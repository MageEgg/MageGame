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-285" yWindow="-270" windowWidth="28695" windowHeight="12000" tabRatio="657"/>
  </bookViews>
  <sheets>
    <sheet name="P000" sheetId="1" r:id="rId1"/>
    <sheet name="装备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卡牌池" sheetId="7" r:id="rId7"/>
    <sheet name="装备池" sheetId="8" r:id="rId8"/>
    <sheet name="Sheet1" sheetId="9" r:id="rId9"/>
  </sheets>
  <functionGroups/>
  <definedNames>
    <definedName name="_xlnm._FilterDatabase" localSheetId="0" hidden="1">P000!$A$1:$AP$618</definedName>
  </definedNames>
  <calcPr calcId="125725"/>
</workbook>
</file>

<file path=xl/calcChain.xml><?xml version="1.0" encoding="utf-8"?>
<calcChain xmlns="http://schemas.openxmlformats.org/spreadsheetml/2006/main">
  <c r="B98" i="1"/>
  <c r="H98" s="1"/>
  <c r="J98" s="1"/>
  <c r="I97"/>
  <c r="K97" s="1"/>
  <c r="H97"/>
  <c r="J97" s="1"/>
  <c r="B97"/>
  <c r="M97" s="1"/>
  <c r="B96"/>
  <c r="H96" s="1"/>
  <c r="J96" s="1"/>
  <c r="H95"/>
  <c r="J95" s="1"/>
  <c r="B95"/>
  <c r="I95" s="1"/>
  <c r="K95" s="1"/>
  <c r="B94"/>
  <c r="H94" s="1"/>
  <c r="J94" s="1"/>
  <c r="B93"/>
  <c r="I93" s="1"/>
  <c r="K93" s="1"/>
  <c r="FS97" i="2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U97" s="1"/>
  <c r="CV97"/>
  <c r="CR97"/>
  <c r="CQ97"/>
  <c r="CP97"/>
  <c r="CO97"/>
  <c r="CN97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V98"/>
  <c r="CR98"/>
  <c r="CQ98"/>
  <c r="CP98"/>
  <c r="CO98"/>
  <c r="CN98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V96"/>
  <c r="CR96"/>
  <c r="CQ96"/>
  <c r="CP96"/>
  <c r="CO96"/>
  <c r="CN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CU95" s="1"/>
  <c r="DC95"/>
  <c r="DB95"/>
  <c r="CV95"/>
  <c r="CR95"/>
  <c r="CQ95"/>
  <c r="CP95"/>
  <c r="CO95"/>
  <c r="CN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V94"/>
  <c r="CR94"/>
  <c r="CQ94"/>
  <c r="CP94"/>
  <c r="CO94"/>
  <c r="CN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V93"/>
  <c r="CR93"/>
  <c r="CQ93"/>
  <c r="CP93"/>
  <c r="CO93"/>
  <c r="CN93"/>
  <c r="B99" i="1"/>
  <c r="H99" s="1"/>
  <c r="J99" s="1"/>
  <c r="FS120" i="2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V120"/>
  <c r="CR120"/>
  <c r="CQ120"/>
  <c r="CP120"/>
  <c r="CO120"/>
  <c r="CN120"/>
  <c r="E4" i="4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3"/>
  <c r="F4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3"/>
  <c r="B116" i="1"/>
  <c r="H116" s="1"/>
  <c r="J116" s="1"/>
  <c r="B115"/>
  <c r="H115" s="1"/>
  <c r="J115" s="1"/>
  <c r="B114"/>
  <c r="H114" s="1"/>
  <c r="J114" s="1"/>
  <c r="B113"/>
  <c r="H113" s="1"/>
  <c r="J113" s="1"/>
  <c r="L184" i="4"/>
  <c r="K184"/>
  <c r="J184"/>
  <c r="I184"/>
  <c r="H184"/>
  <c r="G184"/>
  <c r="D184"/>
  <c r="C184"/>
  <c r="B184"/>
  <c r="A184"/>
  <c r="L183"/>
  <c r="K183"/>
  <c r="J183"/>
  <c r="I183"/>
  <c r="H183"/>
  <c r="G183"/>
  <c r="D183"/>
  <c r="C183"/>
  <c r="B183"/>
  <c r="A183"/>
  <c r="L182"/>
  <c r="K182"/>
  <c r="J182"/>
  <c r="I182"/>
  <c r="H182"/>
  <c r="G182"/>
  <c r="D182"/>
  <c r="C182"/>
  <c r="B182"/>
  <c r="A182"/>
  <c r="L181"/>
  <c r="K181"/>
  <c r="J181"/>
  <c r="I181"/>
  <c r="H181"/>
  <c r="G181"/>
  <c r="D181"/>
  <c r="C181"/>
  <c r="B181"/>
  <c r="A181"/>
  <c r="L180"/>
  <c r="K180"/>
  <c r="J180"/>
  <c r="I180"/>
  <c r="H180"/>
  <c r="G180"/>
  <c r="D180"/>
  <c r="C180"/>
  <c r="B180"/>
  <c r="A180"/>
  <c r="L179"/>
  <c r="K179"/>
  <c r="J179"/>
  <c r="I179"/>
  <c r="H179"/>
  <c r="G179"/>
  <c r="D179"/>
  <c r="C179"/>
  <c r="B179"/>
  <c r="A179"/>
  <c r="L178"/>
  <c r="K178"/>
  <c r="J178"/>
  <c r="I178"/>
  <c r="H178"/>
  <c r="G178"/>
  <c r="D178"/>
  <c r="C178"/>
  <c r="B178"/>
  <c r="A178"/>
  <c r="L177"/>
  <c r="K177"/>
  <c r="J177"/>
  <c r="I177"/>
  <c r="H177"/>
  <c r="G177"/>
  <c r="D177"/>
  <c r="C177"/>
  <c r="B177"/>
  <c r="A177"/>
  <c r="L176"/>
  <c r="K176"/>
  <c r="J176"/>
  <c r="I176"/>
  <c r="H176"/>
  <c r="G176"/>
  <c r="D176"/>
  <c r="C176"/>
  <c r="B176"/>
  <c r="A176"/>
  <c r="L175"/>
  <c r="K175"/>
  <c r="J175"/>
  <c r="I175"/>
  <c r="H175"/>
  <c r="G175"/>
  <c r="D175"/>
  <c r="C175"/>
  <c r="B175"/>
  <c r="A175"/>
  <c r="L174"/>
  <c r="K174"/>
  <c r="J174"/>
  <c r="I174"/>
  <c r="H174"/>
  <c r="G174"/>
  <c r="D174"/>
  <c r="C174"/>
  <c r="B174"/>
  <c r="A174"/>
  <c r="L173"/>
  <c r="K173"/>
  <c r="J173"/>
  <c r="I173"/>
  <c r="H173"/>
  <c r="G173"/>
  <c r="D173"/>
  <c r="C173"/>
  <c r="B173"/>
  <c r="A173"/>
  <c r="L172"/>
  <c r="K172"/>
  <c r="J172"/>
  <c r="I172"/>
  <c r="H172"/>
  <c r="G172"/>
  <c r="D172"/>
  <c r="C172"/>
  <c r="B172"/>
  <c r="A172"/>
  <c r="L171"/>
  <c r="K171"/>
  <c r="J171"/>
  <c r="I171"/>
  <c r="H171"/>
  <c r="G171"/>
  <c r="D171"/>
  <c r="C171"/>
  <c r="B171"/>
  <c r="A171"/>
  <c r="L170"/>
  <c r="K170"/>
  <c r="J170"/>
  <c r="I170"/>
  <c r="H170"/>
  <c r="G170"/>
  <c r="D170"/>
  <c r="C170"/>
  <c r="B170"/>
  <c r="A170"/>
  <c r="L169"/>
  <c r="K169"/>
  <c r="J169"/>
  <c r="I169"/>
  <c r="H169"/>
  <c r="G169"/>
  <c r="D169"/>
  <c r="C169"/>
  <c r="B169"/>
  <c r="A169"/>
  <c r="L168"/>
  <c r="K168"/>
  <c r="J168"/>
  <c r="I168"/>
  <c r="H168"/>
  <c r="G168"/>
  <c r="D168"/>
  <c r="C168"/>
  <c r="B168"/>
  <c r="A168"/>
  <c r="L167"/>
  <c r="K167"/>
  <c r="J167"/>
  <c r="I167"/>
  <c r="H167"/>
  <c r="G167"/>
  <c r="D167"/>
  <c r="C167"/>
  <c r="B167"/>
  <c r="A167"/>
  <c r="L166"/>
  <c r="K166"/>
  <c r="J166"/>
  <c r="I166"/>
  <c r="H166"/>
  <c r="G166"/>
  <c r="D166"/>
  <c r="C166"/>
  <c r="B166"/>
  <c r="A166"/>
  <c r="L165"/>
  <c r="K165"/>
  <c r="J165"/>
  <c r="I165"/>
  <c r="H165"/>
  <c r="G165"/>
  <c r="D165"/>
  <c r="C165"/>
  <c r="B165"/>
  <c r="A165"/>
  <c r="L164"/>
  <c r="K164"/>
  <c r="J164"/>
  <c r="I164"/>
  <c r="H164"/>
  <c r="G164"/>
  <c r="D164"/>
  <c r="C164"/>
  <c r="B164"/>
  <c r="A164"/>
  <c r="L163"/>
  <c r="K163"/>
  <c r="J163"/>
  <c r="I163"/>
  <c r="H163"/>
  <c r="G163"/>
  <c r="D163"/>
  <c r="C163"/>
  <c r="B163"/>
  <c r="A163"/>
  <c r="L162"/>
  <c r="K162"/>
  <c r="J162"/>
  <c r="I162"/>
  <c r="H162"/>
  <c r="G162"/>
  <c r="D162"/>
  <c r="C162"/>
  <c r="B162"/>
  <c r="A162"/>
  <c r="L161"/>
  <c r="K161"/>
  <c r="J161"/>
  <c r="I161"/>
  <c r="H161"/>
  <c r="G161"/>
  <c r="D161"/>
  <c r="C161"/>
  <c r="B161"/>
  <c r="A161"/>
  <c r="L160"/>
  <c r="K160"/>
  <c r="J160"/>
  <c r="I160"/>
  <c r="H160"/>
  <c r="G160"/>
  <c r="D160"/>
  <c r="C160"/>
  <c r="B160"/>
  <c r="A160"/>
  <c r="L159"/>
  <c r="K159"/>
  <c r="J159"/>
  <c r="I159"/>
  <c r="H159"/>
  <c r="G159"/>
  <c r="D159"/>
  <c r="C159"/>
  <c r="B159"/>
  <c r="A159"/>
  <c r="L158"/>
  <c r="K158"/>
  <c r="J158"/>
  <c r="I158"/>
  <c r="H158"/>
  <c r="G158"/>
  <c r="D158"/>
  <c r="C158"/>
  <c r="B158"/>
  <c r="A158"/>
  <c r="L157"/>
  <c r="K157"/>
  <c r="J157"/>
  <c r="I157"/>
  <c r="H157"/>
  <c r="G157"/>
  <c r="D157"/>
  <c r="C157"/>
  <c r="B157"/>
  <c r="A157"/>
  <c r="L156"/>
  <c r="K156"/>
  <c r="J156"/>
  <c r="I156"/>
  <c r="H156"/>
  <c r="G156"/>
  <c r="D156"/>
  <c r="C156"/>
  <c r="B156"/>
  <c r="A156"/>
  <c r="L155"/>
  <c r="K155"/>
  <c r="J155"/>
  <c r="I155"/>
  <c r="H155"/>
  <c r="G155"/>
  <c r="D155"/>
  <c r="C155"/>
  <c r="B155"/>
  <c r="A155"/>
  <c r="L154"/>
  <c r="K154"/>
  <c r="J154"/>
  <c r="I154"/>
  <c r="H154"/>
  <c r="G154"/>
  <c r="D154"/>
  <c r="C154"/>
  <c r="B154"/>
  <c r="A154"/>
  <c r="L153"/>
  <c r="K153"/>
  <c r="J153"/>
  <c r="I153"/>
  <c r="H153"/>
  <c r="G153"/>
  <c r="D153"/>
  <c r="C153"/>
  <c r="B153"/>
  <c r="A153"/>
  <c r="L152"/>
  <c r="K152"/>
  <c r="J152"/>
  <c r="I152"/>
  <c r="H152"/>
  <c r="G152"/>
  <c r="D152"/>
  <c r="C152"/>
  <c r="B152"/>
  <c r="A152"/>
  <c r="L151"/>
  <c r="K151"/>
  <c r="J151"/>
  <c r="I151"/>
  <c r="H151"/>
  <c r="G151"/>
  <c r="D151"/>
  <c r="C151"/>
  <c r="B151"/>
  <c r="A151"/>
  <c r="L150"/>
  <c r="K150"/>
  <c r="J150"/>
  <c r="I150"/>
  <c r="H150"/>
  <c r="G150"/>
  <c r="D150"/>
  <c r="C150"/>
  <c r="B150"/>
  <c r="A150"/>
  <c r="L149"/>
  <c r="K149"/>
  <c r="J149"/>
  <c r="I149"/>
  <c r="H149"/>
  <c r="G149"/>
  <c r="D149"/>
  <c r="C149"/>
  <c r="B149"/>
  <c r="A149"/>
  <c r="L148"/>
  <c r="K148"/>
  <c r="J148"/>
  <c r="I148"/>
  <c r="H148"/>
  <c r="G148"/>
  <c r="D148"/>
  <c r="C148"/>
  <c r="B148"/>
  <c r="A148"/>
  <c r="L147"/>
  <c r="K147"/>
  <c r="J147"/>
  <c r="I147"/>
  <c r="H147"/>
  <c r="G147"/>
  <c r="D147"/>
  <c r="C147"/>
  <c r="B147"/>
  <c r="A147"/>
  <c r="L146"/>
  <c r="K146"/>
  <c r="J146"/>
  <c r="I146"/>
  <c r="H146"/>
  <c r="G146"/>
  <c r="D146"/>
  <c r="C146"/>
  <c r="B146"/>
  <c r="A146"/>
  <c r="L145"/>
  <c r="K145"/>
  <c r="J145"/>
  <c r="I145"/>
  <c r="H145"/>
  <c r="G145"/>
  <c r="D145"/>
  <c r="C145"/>
  <c r="B145"/>
  <c r="A145"/>
  <c r="L144"/>
  <c r="K144"/>
  <c r="J144"/>
  <c r="I144"/>
  <c r="H144"/>
  <c r="G144"/>
  <c r="D144"/>
  <c r="C144"/>
  <c r="B144"/>
  <c r="A144"/>
  <c r="L143"/>
  <c r="K143"/>
  <c r="J143"/>
  <c r="I143"/>
  <c r="H143"/>
  <c r="G143"/>
  <c r="D143"/>
  <c r="C143"/>
  <c r="B143"/>
  <c r="A143"/>
  <c r="L142"/>
  <c r="K142"/>
  <c r="J142"/>
  <c r="I142"/>
  <c r="H142"/>
  <c r="G142"/>
  <c r="D142"/>
  <c r="C142"/>
  <c r="B142"/>
  <c r="A142"/>
  <c r="L141"/>
  <c r="K141"/>
  <c r="J141"/>
  <c r="I141"/>
  <c r="H141"/>
  <c r="G141"/>
  <c r="D141"/>
  <c r="C141"/>
  <c r="B141"/>
  <c r="A141"/>
  <c r="L140"/>
  <c r="K140"/>
  <c r="J140"/>
  <c r="I140"/>
  <c r="H140"/>
  <c r="G140"/>
  <c r="D140"/>
  <c r="C140"/>
  <c r="B140"/>
  <c r="A140"/>
  <c r="L139"/>
  <c r="K139"/>
  <c r="J139"/>
  <c r="I139"/>
  <c r="H139"/>
  <c r="G139"/>
  <c r="D139"/>
  <c r="C139"/>
  <c r="B139"/>
  <c r="A139"/>
  <c r="L138"/>
  <c r="K138"/>
  <c r="J138"/>
  <c r="I138"/>
  <c r="H138"/>
  <c r="G138"/>
  <c r="D138"/>
  <c r="C138"/>
  <c r="B138"/>
  <c r="A138"/>
  <c r="L137"/>
  <c r="K137"/>
  <c r="J137"/>
  <c r="I137"/>
  <c r="H137"/>
  <c r="G137"/>
  <c r="D137"/>
  <c r="C137"/>
  <c r="B137"/>
  <c r="A137"/>
  <c r="L136"/>
  <c r="K136"/>
  <c r="J136"/>
  <c r="I136"/>
  <c r="H136"/>
  <c r="G136"/>
  <c r="D136"/>
  <c r="C136"/>
  <c r="B136"/>
  <c r="A136"/>
  <c r="L135"/>
  <c r="K135"/>
  <c r="J135"/>
  <c r="I135"/>
  <c r="H135"/>
  <c r="G135"/>
  <c r="D135"/>
  <c r="C135"/>
  <c r="B135"/>
  <c r="A135"/>
  <c r="L134"/>
  <c r="K134"/>
  <c r="J134"/>
  <c r="I134"/>
  <c r="H134"/>
  <c r="G134"/>
  <c r="D134"/>
  <c r="C134"/>
  <c r="B134"/>
  <c r="A134"/>
  <c r="L133"/>
  <c r="K133"/>
  <c r="J133"/>
  <c r="I133"/>
  <c r="H133"/>
  <c r="G133"/>
  <c r="D133"/>
  <c r="C133"/>
  <c r="B133"/>
  <c r="A133"/>
  <c r="L132"/>
  <c r="K132"/>
  <c r="J132"/>
  <c r="I132"/>
  <c r="H132"/>
  <c r="G132"/>
  <c r="D132"/>
  <c r="C132"/>
  <c r="B132"/>
  <c r="A132"/>
  <c r="L131"/>
  <c r="K131"/>
  <c r="J131"/>
  <c r="I131"/>
  <c r="H131"/>
  <c r="G131"/>
  <c r="D131"/>
  <c r="C131"/>
  <c r="B131"/>
  <c r="A131"/>
  <c r="L130"/>
  <c r="K130"/>
  <c r="J130"/>
  <c r="I130"/>
  <c r="H130"/>
  <c r="G130"/>
  <c r="D130"/>
  <c r="C130"/>
  <c r="B130"/>
  <c r="A130"/>
  <c r="L129"/>
  <c r="K129"/>
  <c r="J129"/>
  <c r="I129"/>
  <c r="H129"/>
  <c r="G129"/>
  <c r="D129"/>
  <c r="C129"/>
  <c r="B129"/>
  <c r="A129"/>
  <c r="L128"/>
  <c r="K128"/>
  <c r="J128"/>
  <c r="I128"/>
  <c r="H128"/>
  <c r="G128"/>
  <c r="D128"/>
  <c r="C128"/>
  <c r="B128"/>
  <c r="A128"/>
  <c r="L127"/>
  <c r="K127"/>
  <c r="J127"/>
  <c r="I127"/>
  <c r="H127"/>
  <c r="G127"/>
  <c r="D127"/>
  <c r="C127"/>
  <c r="B127"/>
  <c r="A127"/>
  <c r="L126"/>
  <c r="K126"/>
  <c r="J126"/>
  <c r="I126"/>
  <c r="H126"/>
  <c r="G126"/>
  <c r="D126"/>
  <c r="C126"/>
  <c r="B126"/>
  <c r="A126"/>
  <c r="L125"/>
  <c r="K125"/>
  <c r="J125"/>
  <c r="I125"/>
  <c r="H125"/>
  <c r="G125"/>
  <c r="D125"/>
  <c r="C125"/>
  <c r="B125"/>
  <c r="A125"/>
  <c r="L124"/>
  <c r="K124"/>
  <c r="J124"/>
  <c r="I124"/>
  <c r="H124"/>
  <c r="G124"/>
  <c r="D124"/>
  <c r="C124"/>
  <c r="B124"/>
  <c r="A124"/>
  <c r="L123"/>
  <c r="K123"/>
  <c r="J123"/>
  <c r="I123"/>
  <c r="H123"/>
  <c r="G123"/>
  <c r="D123"/>
  <c r="C123"/>
  <c r="B123"/>
  <c r="A123"/>
  <c r="L122"/>
  <c r="K122"/>
  <c r="J122"/>
  <c r="I122"/>
  <c r="H122"/>
  <c r="G122"/>
  <c r="D122"/>
  <c r="C122"/>
  <c r="B122"/>
  <c r="A122"/>
  <c r="L121"/>
  <c r="K121"/>
  <c r="J121"/>
  <c r="I121"/>
  <c r="H121"/>
  <c r="G121"/>
  <c r="D121"/>
  <c r="C121"/>
  <c r="B121"/>
  <c r="A121"/>
  <c r="L120"/>
  <c r="K120"/>
  <c r="J120"/>
  <c r="I120"/>
  <c r="H120"/>
  <c r="G120"/>
  <c r="D120"/>
  <c r="C120"/>
  <c r="B120"/>
  <c r="A120"/>
  <c r="L119"/>
  <c r="K119"/>
  <c r="J119"/>
  <c r="I119"/>
  <c r="H119"/>
  <c r="G119"/>
  <c r="D119"/>
  <c r="C119"/>
  <c r="B119"/>
  <c r="A119"/>
  <c r="L118"/>
  <c r="K118"/>
  <c r="J118"/>
  <c r="I118"/>
  <c r="H118"/>
  <c r="G118"/>
  <c r="D118"/>
  <c r="C118"/>
  <c r="B118"/>
  <c r="A118"/>
  <c r="L117"/>
  <c r="K117"/>
  <c r="J117"/>
  <c r="I117"/>
  <c r="H117"/>
  <c r="G117"/>
  <c r="D117"/>
  <c r="C117"/>
  <c r="B117"/>
  <c r="A117"/>
  <c r="L116"/>
  <c r="K116"/>
  <c r="J116"/>
  <c r="I116"/>
  <c r="H116"/>
  <c r="G116"/>
  <c r="D116"/>
  <c r="C116"/>
  <c r="B116"/>
  <c r="A116"/>
  <c r="L115"/>
  <c r="K115"/>
  <c r="J115"/>
  <c r="I115"/>
  <c r="H115"/>
  <c r="G115"/>
  <c r="D115"/>
  <c r="C115"/>
  <c r="B115"/>
  <c r="A115"/>
  <c r="L114"/>
  <c r="K114"/>
  <c r="J114"/>
  <c r="I114"/>
  <c r="H114"/>
  <c r="G114"/>
  <c r="D114"/>
  <c r="C114"/>
  <c r="B114"/>
  <c r="A114"/>
  <c r="L113"/>
  <c r="K113"/>
  <c r="J113"/>
  <c r="I113"/>
  <c r="H113"/>
  <c r="G113"/>
  <c r="D113"/>
  <c r="C113"/>
  <c r="B113"/>
  <c r="A113"/>
  <c r="L112"/>
  <c r="K112"/>
  <c r="J112"/>
  <c r="I112"/>
  <c r="H112"/>
  <c r="G112"/>
  <c r="D112"/>
  <c r="C112"/>
  <c r="B112"/>
  <c r="A112"/>
  <c r="L111"/>
  <c r="K111"/>
  <c r="J111"/>
  <c r="I111"/>
  <c r="H111"/>
  <c r="G111"/>
  <c r="D111"/>
  <c r="C111"/>
  <c r="B111"/>
  <c r="A111"/>
  <c r="L110"/>
  <c r="K110"/>
  <c r="J110"/>
  <c r="I110"/>
  <c r="H110"/>
  <c r="G110"/>
  <c r="D110"/>
  <c r="C110"/>
  <c r="B110"/>
  <c r="A110"/>
  <c r="L109"/>
  <c r="K109"/>
  <c r="J109"/>
  <c r="I109"/>
  <c r="H109"/>
  <c r="G109"/>
  <c r="D109"/>
  <c r="C109"/>
  <c r="B109"/>
  <c r="A109"/>
  <c r="L108"/>
  <c r="K108"/>
  <c r="J108"/>
  <c r="I108"/>
  <c r="H108"/>
  <c r="G108"/>
  <c r="D108"/>
  <c r="C108"/>
  <c r="B108"/>
  <c r="A108"/>
  <c r="L107"/>
  <c r="K107"/>
  <c r="J107"/>
  <c r="I107"/>
  <c r="H107"/>
  <c r="G107"/>
  <c r="D107"/>
  <c r="C107"/>
  <c r="B107"/>
  <c r="A107"/>
  <c r="L106"/>
  <c r="K106"/>
  <c r="J106"/>
  <c r="I106"/>
  <c r="H106"/>
  <c r="G106"/>
  <c r="D106"/>
  <c r="C106"/>
  <c r="B106"/>
  <c r="A106"/>
  <c r="L105"/>
  <c r="K105"/>
  <c r="J105"/>
  <c r="I105"/>
  <c r="H105"/>
  <c r="G105"/>
  <c r="D105"/>
  <c r="C105"/>
  <c r="B105"/>
  <c r="A105"/>
  <c r="L104"/>
  <c r="K104"/>
  <c r="J104"/>
  <c r="I104"/>
  <c r="H104"/>
  <c r="G104"/>
  <c r="D104"/>
  <c r="C104"/>
  <c r="B104"/>
  <c r="A104"/>
  <c r="L103"/>
  <c r="K103"/>
  <c r="J103"/>
  <c r="I103"/>
  <c r="H103"/>
  <c r="G103"/>
  <c r="D103"/>
  <c r="C103"/>
  <c r="B103"/>
  <c r="A103"/>
  <c r="L102"/>
  <c r="K102"/>
  <c r="J102"/>
  <c r="I102"/>
  <c r="H102"/>
  <c r="G102"/>
  <c r="D102"/>
  <c r="C102"/>
  <c r="B102"/>
  <c r="A102"/>
  <c r="L101"/>
  <c r="K101"/>
  <c r="J101"/>
  <c r="I101"/>
  <c r="H101"/>
  <c r="G101"/>
  <c r="D101"/>
  <c r="C101"/>
  <c r="B101"/>
  <c r="A101"/>
  <c r="L100"/>
  <c r="K100"/>
  <c r="J100"/>
  <c r="I100"/>
  <c r="H100"/>
  <c r="G100"/>
  <c r="D100"/>
  <c r="C100"/>
  <c r="B100"/>
  <c r="A100"/>
  <c r="L99"/>
  <c r="K99"/>
  <c r="J99"/>
  <c r="I99"/>
  <c r="H99"/>
  <c r="G99"/>
  <c r="D99"/>
  <c r="C99"/>
  <c r="B99"/>
  <c r="A99"/>
  <c r="L98"/>
  <c r="K98"/>
  <c r="J98"/>
  <c r="I98"/>
  <c r="H98"/>
  <c r="G98"/>
  <c r="D98"/>
  <c r="C98"/>
  <c r="B98"/>
  <c r="A98"/>
  <c r="L97"/>
  <c r="K97"/>
  <c r="J97"/>
  <c r="I97"/>
  <c r="H97"/>
  <c r="G97"/>
  <c r="D97"/>
  <c r="C97"/>
  <c r="B97"/>
  <c r="A97"/>
  <c r="I225"/>
  <c r="I224"/>
  <c r="I223"/>
  <c r="I222"/>
  <c r="I221"/>
  <c r="I220"/>
  <c r="I219"/>
  <c r="I218"/>
  <c r="I217"/>
  <c r="I216"/>
  <c r="I215"/>
  <c r="I214"/>
  <c r="I213"/>
  <c r="I212"/>
  <c r="I211"/>
  <c r="I210"/>
  <c r="I209"/>
  <c r="I208"/>
  <c r="I207"/>
  <c r="I206"/>
  <c r="I205"/>
  <c r="I204"/>
  <c r="I203"/>
  <c r="I202"/>
  <c r="I201"/>
  <c r="I200"/>
  <c r="I199"/>
  <c r="I198"/>
  <c r="I197"/>
  <c r="I196"/>
  <c r="I195"/>
  <c r="I194"/>
  <c r="I193"/>
  <c r="I192"/>
  <c r="I191"/>
  <c r="I190"/>
  <c r="I189"/>
  <c r="I188"/>
  <c r="I187"/>
  <c r="I186"/>
  <c r="I185"/>
  <c r="I96"/>
  <c r="I95"/>
  <c r="I94"/>
  <c r="I93"/>
  <c r="I92"/>
  <c r="I91"/>
  <c r="I90"/>
  <c r="I89"/>
  <c r="I88"/>
  <c r="I87"/>
  <c r="I86"/>
  <c r="I85"/>
  <c r="I84"/>
  <c r="I83"/>
  <c r="I82"/>
  <c r="I81"/>
  <c r="I80"/>
  <c r="I79"/>
  <c r="I78"/>
  <c r="I77"/>
  <c r="I76"/>
  <c r="I75"/>
  <c r="I74"/>
  <c r="I73"/>
  <c r="I72"/>
  <c r="I71"/>
  <c r="I70"/>
  <c r="I69"/>
  <c r="I68"/>
  <c r="I67"/>
  <c r="I66"/>
  <c r="I65"/>
  <c r="I64"/>
  <c r="I63"/>
  <c r="I62"/>
  <c r="I61"/>
  <c r="I60"/>
  <c r="I59"/>
  <c r="I58"/>
  <c r="I57"/>
  <c r="I56"/>
  <c r="I55"/>
  <c r="I54"/>
  <c r="I53"/>
  <c r="I52"/>
  <c r="I51"/>
  <c r="I50"/>
  <c r="I49"/>
  <c r="I48"/>
  <c r="I47"/>
  <c r="I46"/>
  <c r="I45"/>
  <c r="I44"/>
  <c r="I43"/>
  <c r="I42"/>
  <c r="I41"/>
  <c r="I40"/>
  <c r="I39"/>
  <c r="I38"/>
  <c r="I37"/>
  <c r="I36"/>
  <c r="I35"/>
  <c r="I34"/>
  <c r="I33"/>
  <c r="I32"/>
  <c r="I31"/>
  <c r="I30"/>
  <c r="I29"/>
  <c r="I28"/>
  <c r="I27"/>
  <c r="I26"/>
  <c r="I25"/>
  <c r="I24"/>
  <c r="I23"/>
  <c r="I22"/>
  <c r="I21"/>
  <c r="I20"/>
  <c r="I19"/>
  <c r="I18"/>
  <c r="I17"/>
  <c r="I16"/>
  <c r="I15"/>
  <c r="I14"/>
  <c r="I13"/>
  <c r="I12"/>
  <c r="I11"/>
  <c r="I10"/>
  <c r="I9"/>
  <c r="I8"/>
  <c r="I7"/>
  <c r="I6"/>
  <c r="I5"/>
  <c r="I4"/>
  <c r="I3"/>
  <c r="H225"/>
  <c r="H224"/>
  <c r="H223"/>
  <c r="H222"/>
  <c r="H221"/>
  <c r="H220"/>
  <c r="H219"/>
  <c r="H218"/>
  <c r="H217"/>
  <c r="H216"/>
  <c r="H215"/>
  <c r="H214"/>
  <c r="H213"/>
  <c r="H212"/>
  <c r="H211"/>
  <c r="H210"/>
  <c r="H209"/>
  <c r="H208"/>
  <c r="H207"/>
  <c r="H206"/>
  <c r="H205"/>
  <c r="H204"/>
  <c r="H203"/>
  <c r="H202"/>
  <c r="H201"/>
  <c r="H200"/>
  <c r="H199"/>
  <c r="H198"/>
  <c r="H197"/>
  <c r="H196"/>
  <c r="H195"/>
  <c r="H194"/>
  <c r="H193"/>
  <c r="H192"/>
  <c r="H191"/>
  <c r="H190"/>
  <c r="H189"/>
  <c r="H188"/>
  <c r="H187"/>
  <c r="H186"/>
  <c r="H185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FS115" i="2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V115"/>
  <c r="CR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V114"/>
  <c r="CR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U113" s="1"/>
  <c r="CV113"/>
  <c r="CR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V112"/>
  <c r="CR112"/>
  <c r="CQ112"/>
  <c r="CP112"/>
  <c r="CO112"/>
  <c r="CN112"/>
  <c r="B134" i="1"/>
  <c r="B133"/>
  <c r="M133" s="1"/>
  <c r="B132"/>
  <c r="B131"/>
  <c r="M131" s="1"/>
  <c r="B130"/>
  <c r="B129"/>
  <c r="M129" s="1"/>
  <c r="B128"/>
  <c r="B127"/>
  <c r="M127" s="1"/>
  <c r="B126"/>
  <c r="B125"/>
  <c r="M125" s="1"/>
  <c r="B124"/>
  <c r="H124" s="1"/>
  <c r="J124" s="1"/>
  <c r="B123"/>
  <c r="M123" s="1"/>
  <c r="B122"/>
  <c r="B121"/>
  <c r="M121" s="1"/>
  <c r="B120"/>
  <c r="B119"/>
  <c r="M119" s="1"/>
  <c r="B118"/>
  <c r="B117"/>
  <c r="M117" s="1"/>
  <c r="B112"/>
  <c r="B111"/>
  <c r="M111" s="1"/>
  <c r="B110"/>
  <c r="B109"/>
  <c r="M109" s="1"/>
  <c r="B108"/>
  <c r="B107"/>
  <c r="M107" s="1"/>
  <c r="B106"/>
  <c r="B105"/>
  <c r="M105" s="1"/>
  <c r="B104"/>
  <c r="FS134" i="2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R134"/>
  <c r="CQ134"/>
  <c r="CP134"/>
  <c r="CO134"/>
  <c r="CN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R133"/>
  <c r="CQ133"/>
  <c r="CP133"/>
  <c r="CO133"/>
  <c r="CN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R132"/>
  <c r="CQ132"/>
  <c r="CP132"/>
  <c r="CO132"/>
  <c r="CN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R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R130"/>
  <c r="CQ130"/>
  <c r="CP130"/>
  <c r="CO130"/>
  <c r="CN130"/>
  <c r="M96" i="1" l="1"/>
  <c r="M98"/>
  <c r="I98"/>
  <c r="K98" s="1"/>
  <c r="M94"/>
  <c r="H93"/>
  <c r="J93" s="1"/>
  <c r="I94"/>
  <c r="K94" s="1"/>
  <c r="I96"/>
  <c r="K96" s="1"/>
  <c r="M93"/>
  <c r="M95"/>
  <c r="I132"/>
  <c r="K132" s="1"/>
  <c r="CU133" i="2"/>
  <c r="CU93"/>
  <c r="CU96"/>
  <c r="I130" i="1"/>
  <c r="K130" s="1"/>
  <c r="CU112" i="2"/>
  <c r="CU115"/>
  <c r="CU130"/>
  <c r="CU132"/>
  <c r="CU120"/>
  <c r="CU114"/>
  <c r="CU98"/>
  <c r="CU131"/>
  <c r="CU134"/>
  <c r="I134" i="1"/>
  <c r="CU94" i="2"/>
  <c r="N178" i="4"/>
  <c r="N184"/>
  <c r="N106"/>
  <c r="N139"/>
  <c r="N175"/>
  <c r="N103"/>
  <c r="N115"/>
  <c r="N133"/>
  <c r="M140"/>
  <c r="M176"/>
  <c r="N144"/>
  <c r="N180"/>
  <c r="N145"/>
  <c r="M147"/>
  <c r="N124"/>
  <c r="N160"/>
  <c r="N142"/>
  <c r="N130"/>
  <c r="N131"/>
  <c r="N181"/>
  <c r="M183"/>
  <c r="N113"/>
  <c r="N163"/>
  <c r="N97"/>
  <c r="N127"/>
  <c r="M104"/>
  <c r="M154"/>
  <c r="N109"/>
  <c r="M111"/>
  <c r="M118"/>
  <c r="N166"/>
  <c r="N167"/>
  <c r="N149"/>
  <c r="N169"/>
  <c r="N151"/>
  <c r="M99" i="1"/>
  <c r="N99" i="4"/>
  <c r="M102"/>
  <c r="M138"/>
  <c r="N171"/>
  <c r="M174"/>
  <c r="N101"/>
  <c r="M117"/>
  <c r="N137"/>
  <c r="N150"/>
  <c r="N173"/>
  <c r="M103"/>
  <c r="M125"/>
  <c r="N165"/>
  <c r="N123"/>
  <c r="M126"/>
  <c r="N159"/>
  <c r="M162"/>
  <c r="M98"/>
  <c r="M105"/>
  <c r="M112"/>
  <c r="N118"/>
  <c r="N125"/>
  <c r="M134"/>
  <c r="N138"/>
  <c r="M141"/>
  <c r="M148"/>
  <c r="N154"/>
  <c r="N161"/>
  <c r="M170"/>
  <c r="N174"/>
  <c r="M177"/>
  <c r="M113"/>
  <c r="M120"/>
  <c r="M149"/>
  <c r="N153"/>
  <c r="M156"/>
  <c r="M99"/>
  <c r="M106"/>
  <c r="N112"/>
  <c r="N119"/>
  <c r="M128"/>
  <c r="N132"/>
  <c r="M135"/>
  <c r="M142"/>
  <c r="N148"/>
  <c r="N155"/>
  <c r="M164"/>
  <c r="N168"/>
  <c r="M171"/>
  <c r="M178"/>
  <c r="M114"/>
  <c r="M121"/>
  <c r="M150"/>
  <c r="M157"/>
  <c r="M100"/>
  <c r="M129"/>
  <c r="M136"/>
  <c r="N162"/>
  <c r="M165"/>
  <c r="M172"/>
  <c r="M101"/>
  <c r="M108"/>
  <c r="M115"/>
  <c r="N121"/>
  <c r="M137"/>
  <c r="M151"/>
  <c r="N157"/>
  <c r="M173"/>
  <c r="N177"/>
  <c r="N100"/>
  <c r="N107"/>
  <c r="M116"/>
  <c r="M123"/>
  <c r="M130"/>
  <c r="N136"/>
  <c r="N143"/>
  <c r="M152"/>
  <c r="N156"/>
  <c r="M159"/>
  <c r="M166"/>
  <c r="N172"/>
  <c r="N179"/>
  <c r="M109"/>
  <c r="M131"/>
  <c r="M145"/>
  <c r="M167"/>
  <c r="M181"/>
  <c r="M110"/>
  <c r="M97"/>
  <c r="M119"/>
  <c r="M133"/>
  <c r="M155"/>
  <c r="M169"/>
  <c r="M184"/>
  <c r="M144"/>
  <c r="M180"/>
  <c r="M122"/>
  <c r="M139"/>
  <c r="M158"/>
  <c r="M175"/>
  <c r="M107"/>
  <c r="M124"/>
  <c r="M143"/>
  <c r="M160"/>
  <c r="M161"/>
  <c r="M179"/>
  <c r="M127"/>
  <c r="M146"/>
  <c r="M163"/>
  <c r="M182"/>
  <c r="M132"/>
  <c r="M168"/>
  <c r="M153"/>
  <c r="H127" i="1"/>
  <c r="J127" s="1"/>
  <c r="M114"/>
  <c r="M116"/>
  <c r="I114"/>
  <c r="K114" s="1"/>
  <c r="I116"/>
  <c r="K116" s="1"/>
  <c r="I133"/>
  <c r="K133" s="1"/>
  <c r="M113"/>
  <c r="M115"/>
  <c r="I113"/>
  <c r="K113" s="1"/>
  <c r="I115"/>
  <c r="K115" s="1"/>
  <c r="H118"/>
  <c r="J118" s="1"/>
  <c r="N105" i="4"/>
  <c r="N111"/>
  <c r="N117"/>
  <c r="N129"/>
  <c r="N135"/>
  <c r="N141"/>
  <c r="N147"/>
  <c r="N183"/>
  <c r="N98"/>
  <c r="N104"/>
  <c r="N110"/>
  <c r="N116"/>
  <c r="N122"/>
  <c r="N128"/>
  <c r="N134"/>
  <c r="N140"/>
  <c r="N146"/>
  <c r="N152"/>
  <c r="N158"/>
  <c r="N164"/>
  <c r="N170"/>
  <c r="N176"/>
  <c r="N182"/>
  <c r="N102"/>
  <c r="N108"/>
  <c r="N114"/>
  <c r="N120"/>
  <c r="N126"/>
  <c r="H119" i="1"/>
  <c r="J119" s="1"/>
  <c r="H129"/>
  <c r="J129" s="1"/>
  <c r="H117"/>
  <c r="J117" s="1"/>
  <c r="H123"/>
  <c r="J123" s="1"/>
  <c r="H122"/>
  <c r="J122" s="1"/>
  <c r="H130"/>
  <c r="J130" s="1"/>
  <c r="H110"/>
  <c r="J110" s="1"/>
  <c r="H120"/>
  <c r="J120" s="1"/>
  <c r="H108"/>
  <c r="J108" s="1"/>
  <c r="H125"/>
  <c r="J125" s="1"/>
  <c r="H107"/>
  <c r="J107" s="1"/>
  <c r="I131"/>
  <c r="K131" s="1"/>
  <c r="K134"/>
  <c r="H106"/>
  <c r="J106" s="1"/>
  <c r="H111"/>
  <c r="J111" s="1"/>
  <c r="H134"/>
  <c r="J134" s="1"/>
  <c r="H105"/>
  <c r="J105" s="1"/>
  <c r="H128"/>
  <c r="J128" s="1"/>
  <c r="H133"/>
  <c r="J133" s="1"/>
  <c r="H104"/>
  <c r="J104" s="1"/>
  <c r="H109"/>
  <c r="J109" s="1"/>
  <c r="H132"/>
  <c r="J132" s="1"/>
  <c r="H126"/>
  <c r="J126" s="1"/>
  <c r="H131"/>
  <c r="J131" s="1"/>
  <c r="H112"/>
  <c r="J112" s="1"/>
  <c r="H121"/>
  <c r="J121" s="1"/>
  <c r="M104"/>
  <c r="M106"/>
  <c r="M108"/>
  <c r="M110"/>
  <c r="M112"/>
  <c r="M118"/>
  <c r="M120"/>
  <c r="M122"/>
  <c r="M124"/>
  <c r="M126"/>
  <c r="M128"/>
  <c r="M130"/>
  <c r="M132"/>
  <c r="M134"/>
  <c r="CN123" i="2"/>
  <c r="CO123"/>
  <c r="CP123"/>
  <c r="CQ123"/>
  <c r="CR123"/>
  <c r="CV123"/>
  <c r="I123" i="1" s="1"/>
  <c r="K123" s="1"/>
  <c r="DB123" i="2"/>
  <c r="DC123"/>
  <c r="DD123"/>
  <c r="DE123"/>
  <c r="DF123"/>
  <c r="DG123"/>
  <c r="DH123"/>
  <c r="DI123"/>
  <c r="DJ123"/>
  <c r="DK123"/>
  <c r="DL123"/>
  <c r="DM123"/>
  <c r="DN123"/>
  <c r="DO123"/>
  <c r="DP123"/>
  <c r="DQ123"/>
  <c r="DR123"/>
  <c r="DS123"/>
  <c r="DT123"/>
  <c r="DU123"/>
  <c r="DV123"/>
  <c r="DW123"/>
  <c r="DX123"/>
  <c r="DY123"/>
  <c r="DZ123"/>
  <c r="EA123"/>
  <c r="EB123"/>
  <c r="EC123"/>
  <c r="ED123"/>
  <c r="EE123"/>
  <c r="EF123"/>
  <c r="EG123"/>
  <c r="EH123"/>
  <c r="EI123"/>
  <c r="EJ123"/>
  <c r="EK123"/>
  <c r="EL123"/>
  <c r="EM123"/>
  <c r="EN123"/>
  <c r="EO123"/>
  <c r="EP123"/>
  <c r="EQ123"/>
  <c r="ER123"/>
  <c r="ES123"/>
  <c r="ET123"/>
  <c r="EU123"/>
  <c r="EV123"/>
  <c r="EW123"/>
  <c r="EX123"/>
  <c r="EY123"/>
  <c r="EZ123"/>
  <c r="FA123"/>
  <c r="FB123"/>
  <c r="FC123"/>
  <c r="FD123"/>
  <c r="FE123"/>
  <c r="FF123"/>
  <c r="FG123"/>
  <c r="FH123"/>
  <c r="FI123"/>
  <c r="FJ123"/>
  <c r="FK123"/>
  <c r="FL123"/>
  <c r="FM123"/>
  <c r="FN123"/>
  <c r="FO123"/>
  <c r="FP123"/>
  <c r="FQ123"/>
  <c r="FR123"/>
  <c r="FS123"/>
  <c r="CN124"/>
  <c r="CO124"/>
  <c r="CP124"/>
  <c r="CQ124"/>
  <c r="CR124"/>
  <c r="CV124"/>
  <c r="I124" i="1" s="1"/>
  <c r="K124" s="1"/>
  <c r="DB124" i="2"/>
  <c r="DC124"/>
  <c r="DD124"/>
  <c r="DE124"/>
  <c r="DF124"/>
  <c r="DG124"/>
  <c r="DH124"/>
  <c r="DI124"/>
  <c r="DJ124"/>
  <c r="DK124"/>
  <c r="DL124"/>
  <c r="DM124"/>
  <c r="DN124"/>
  <c r="DO124"/>
  <c r="DP124"/>
  <c r="DQ124"/>
  <c r="DR124"/>
  <c r="DS124"/>
  <c r="DT124"/>
  <c r="DU124"/>
  <c r="DV124"/>
  <c r="DW124"/>
  <c r="DX124"/>
  <c r="DY124"/>
  <c r="DZ124"/>
  <c r="EA124"/>
  <c r="EB124"/>
  <c r="EC124"/>
  <c r="ED124"/>
  <c r="EE124"/>
  <c r="EF124"/>
  <c r="EG124"/>
  <c r="EH124"/>
  <c r="EI124"/>
  <c r="EJ124"/>
  <c r="EK124"/>
  <c r="EL124"/>
  <c r="EM124"/>
  <c r="EN124"/>
  <c r="EO124"/>
  <c r="EP124"/>
  <c r="EQ124"/>
  <c r="ER124"/>
  <c r="ES124"/>
  <c r="ET124"/>
  <c r="EU124"/>
  <c r="EV124"/>
  <c r="EW124"/>
  <c r="EX124"/>
  <c r="EY124"/>
  <c r="EZ124"/>
  <c r="FA124"/>
  <c r="FB124"/>
  <c r="FC124"/>
  <c r="FD124"/>
  <c r="FE124"/>
  <c r="FF124"/>
  <c r="FG124"/>
  <c r="FH124"/>
  <c r="FI124"/>
  <c r="FJ124"/>
  <c r="FK124"/>
  <c r="FL124"/>
  <c r="FM124"/>
  <c r="FN124"/>
  <c r="FO124"/>
  <c r="FP124"/>
  <c r="FQ124"/>
  <c r="FR124"/>
  <c r="FS124"/>
  <c r="CN125"/>
  <c r="CO125"/>
  <c r="CP125"/>
  <c r="CQ125"/>
  <c r="CR125"/>
  <c r="CV125"/>
  <c r="I125" i="1" s="1"/>
  <c r="K125" s="1"/>
  <c r="DB125" i="2"/>
  <c r="DC125"/>
  <c r="DD125"/>
  <c r="DE125"/>
  <c r="DF125"/>
  <c r="DG125"/>
  <c r="DH125"/>
  <c r="DI125"/>
  <c r="DJ125"/>
  <c r="DK125"/>
  <c r="DL125"/>
  <c r="DM125"/>
  <c r="DN125"/>
  <c r="DO125"/>
  <c r="DP125"/>
  <c r="DQ125"/>
  <c r="DR125"/>
  <c r="DS125"/>
  <c r="DT125"/>
  <c r="DU125"/>
  <c r="DV125"/>
  <c r="DW125"/>
  <c r="DX125"/>
  <c r="DY125"/>
  <c r="DZ125"/>
  <c r="EA125"/>
  <c r="EB125"/>
  <c r="EC125"/>
  <c r="ED125"/>
  <c r="EE125"/>
  <c r="EF125"/>
  <c r="EG125"/>
  <c r="EH125"/>
  <c r="EI125"/>
  <c r="EJ125"/>
  <c r="EK125"/>
  <c r="EL125"/>
  <c r="EM125"/>
  <c r="EN125"/>
  <c r="EO125"/>
  <c r="EP125"/>
  <c r="EQ125"/>
  <c r="ER125"/>
  <c r="ES125"/>
  <c r="ET125"/>
  <c r="EU125"/>
  <c r="EV125"/>
  <c r="EW125"/>
  <c r="EX125"/>
  <c r="EY125"/>
  <c r="EZ125"/>
  <c r="FA125"/>
  <c r="FB125"/>
  <c r="FC125"/>
  <c r="FD125"/>
  <c r="FE125"/>
  <c r="FF125"/>
  <c r="FG125"/>
  <c r="FH125"/>
  <c r="FI125"/>
  <c r="FJ125"/>
  <c r="FK125"/>
  <c r="FL125"/>
  <c r="FM125"/>
  <c r="FN125"/>
  <c r="FO125"/>
  <c r="FP125"/>
  <c r="FQ125"/>
  <c r="FR125"/>
  <c r="FS125"/>
  <c r="CN126"/>
  <c r="CO126"/>
  <c r="CP126"/>
  <c r="CQ126"/>
  <c r="CR126"/>
  <c r="CV126"/>
  <c r="I126" i="1" s="1"/>
  <c r="K126" s="1"/>
  <c r="DB126" i="2"/>
  <c r="DC126"/>
  <c r="DD126"/>
  <c r="DE126"/>
  <c r="DF126"/>
  <c r="DG126"/>
  <c r="DH126"/>
  <c r="DI126"/>
  <c r="DJ126"/>
  <c r="DK126"/>
  <c r="DL126"/>
  <c r="DM126"/>
  <c r="DN126"/>
  <c r="DO126"/>
  <c r="DP126"/>
  <c r="DQ126"/>
  <c r="DR126"/>
  <c r="DS126"/>
  <c r="DT126"/>
  <c r="DU126"/>
  <c r="DV126"/>
  <c r="DW126"/>
  <c r="DX126"/>
  <c r="DY126"/>
  <c r="DZ126"/>
  <c r="EA126"/>
  <c r="EB126"/>
  <c r="EC126"/>
  <c r="ED126"/>
  <c r="EE126"/>
  <c r="EF126"/>
  <c r="EG126"/>
  <c r="EH126"/>
  <c r="EI126"/>
  <c r="EJ126"/>
  <c r="EK126"/>
  <c r="EL126"/>
  <c r="EM126"/>
  <c r="EN126"/>
  <c r="EO126"/>
  <c r="EP126"/>
  <c r="EQ126"/>
  <c r="ER126"/>
  <c r="ES126"/>
  <c r="ET126"/>
  <c r="EU126"/>
  <c r="EV126"/>
  <c r="EW126"/>
  <c r="EX126"/>
  <c r="EY126"/>
  <c r="EZ126"/>
  <c r="FA126"/>
  <c r="FB126"/>
  <c r="FC126"/>
  <c r="FD126"/>
  <c r="FE126"/>
  <c r="FF126"/>
  <c r="FG126"/>
  <c r="FH126"/>
  <c r="FI126"/>
  <c r="FJ126"/>
  <c r="FK126"/>
  <c r="FL126"/>
  <c r="FM126"/>
  <c r="FN126"/>
  <c r="FO126"/>
  <c r="FP126"/>
  <c r="FQ126"/>
  <c r="FR126"/>
  <c r="FS126"/>
  <c r="CN127"/>
  <c r="CO127"/>
  <c r="CP127"/>
  <c r="CQ127"/>
  <c r="CR127"/>
  <c r="CV127"/>
  <c r="I127" i="1" s="1"/>
  <c r="K127" s="1"/>
  <c r="DB127" i="2"/>
  <c r="DC127"/>
  <c r="DD127"/>
  <c r="DE127"/>
  <c r="DF127"/>
  <c r="DG127"/>
  <c r="DH127"/>
  <c r="DI127"/>
  <c r="DJ127"/>
  <c r="DK127"/>
  <c r="DL127"/>
  <c r="DM127"/>
  <c r="DN127"/>
  <c r="DO127"/>
  <c r="DP127"/>
  <c r="DQ127"/>
  <c r="DR127"/>
  <c r="DS127"/>
  <c r="DT127"/>
  <c r="DU127"/>
  <c r="DV127"/>
  <c r="DW127"/>
  <c r="DX127"/>
  <c r="DY127"/>
  <c r="DZ127"/>
  <c r="EA127"/>
  <c r="EB127"/>
  <c r="EC127"/>
  <c r="ED127"/>
  <c r="EE127"/>
  <c r="EF127"/>
  <c r="EG127"/>
  <c r="EH127"/>
  <c r="EI127"/>
  <c r="EJ127"/>
  <c r="EK127"/>
  <c r="EL127"/>
  <c r="EM127"/>
  <c r="EN127"/>
  <c r="EO127"/>
  <c r="EP127"/>
  <c r="EQ127"/>
  <c r="ER127"/>
  <c r="ES127"/>
  <c r="ET127"/>
  <c r="EU127"/>
  <c r="EV127"/>
  <c r="EW127"/>
  <c r="EX127"/>
  <c r="EY127"/>
  <c r="EZ127"/>
  <c r="FA127"/>
  <c r="FB127"/>
  <c r="FC127"/>
  <c r="FD127"/>
  <c r="FE127"/>
  <c r="FF127"/>
  <c r="FG127"/>
  <c r="FH127"/>
  <c r="FI127"/>
  <c r="FJ127"/>
  <c r="FK127"/>
  <c r="FL127"/>
  <c r="FM127"/>
  <c r="FN127"/>
  <c r="FO127"/>
  <c r="FP127"/>
  <c r="FQ127"/>
  <c r="FR127"/>
  <c r="FS127"/>
  <c r="CN128"/>
  <c r="CO128"/>
  <c r="CP128"/>
  <c r="CQ128"/>
  <c r="CR128"/>
  <c r="CV128"/>
  <c r="I128" i="1" s="1"/>
  <c r="K128" s="1"/>
  <c r="DB128" i="2"/>
  <c r="DC128"/>
  <c r="DD128"/>
  <c r="DE128"/>
  <c r="DF128"/>
  <c r="DG128"/>
  <c r="DH128"/>
  <c r="DI128"/>
  <c r="DJ128"/>
  <c r="DK128"/>
  <c r="DL128"/>
  <c r="DM128"/>
  <c r="DN128"/>
  <c r="DO128"/>
  <c r="DP128"/>
  <c r="DQ128"/>
  <c r="DR128"/>
  <c r="DS128"/>
  <c r="DT128"/>
  <c r="DU128"/>
  <c r="DV128"/>
  <c r="DW128"/>
  <c r="DX128"/>
  <c r="DY128"/>
  <c r="DZ128"/>
  <c r="EA128"/>
  <c r="EB128"/>
  <c r="EC128"/>
  <c r="ED128"/>
  <c r="EE128"/>
  <c r="EF128"/>
  <c r="EG128"/>
  <c r="EH128"/>
  <c r="EI128"/>
  <c r="EJ128"/>
  <c r="EK128"/>
  <c r="EL128"/>
  <c r="EM128"/>
  <c r="EN128"/>
  <c r="EO128"/>
  <c r="EP128"/>
  <c r="EQ128"/>
  <c r="ER128"/>
  <c r="ES128"/>
  <c r="ET128"/>
  <c r="EU128"/>
  <c r="EV128"/>
  <c r="EW128"/>
  <c r="EX128"/>
  <c r="EY128"/>
  <c r="EZ128"/>
  <c r="FA128"/>
  <c r="FB128"/>
  <c r="FC128"/>
  <c r="FD128"/>
  <c r="FE128"/>
  <c r="FF128"/>
  <c r="FG128"/>
  <c r="FH128"/>
  <c r="FI128"/>
  <c r="FJ128"/>
  <c r="FK128"/>
  <c r="FL128"/>
  <c r="FM128"/>
  <c r="FN128"/>
  <c r="FO128"/>
  <c r="FP128"/>
  <c r="FQ128"/>
  <c r="FR128"/>
  <c r="FS128"/>
  <c r="CN129"/>
  <c r="CO129"/>
  <c r="CP129"/>
  <c r="CQ129"/>
  <c r="CR129"/>
  <c r="CV129"/>
  <c r="I129" i="1" s="1"/>
  <c r="K129" s="1"/>
  <c r="DB129" i="2"/>
  <c r="DC129"/>
  <c r="DD129"/>
  <c r="DE129"/>
  <c r="DF129"/>
  <c r="DG129"/>
  <c r="DH129"/>
  <c r="DI129"/>
  <c r="DJ129"/>
  <c r="DK129"/>
  <c r="DL129"/>
  <c r="DM129"/>
  <c r="DN129"/>
  <c r="DO129"/>
  <c r="DP129"/>
  <c r="DQ129"/>
  <c r="DR129"/>
  <c r="DS129"/>
  <c r="DT129"/>
  <c r="DU129"/>
  <c r="DV129"/>
  <c r="DW129"/>
  <c r="DX129"/>
  <c r="DY129"/>
  <c r="DZ129"/>
  <c r="EA129"/>
  <c r="EB129"/>
  <c r="EC129"/>
  <c r="ED129"/>
  <c r="EE129"/>
  <c r="EF129"/>
  <c r="EG129"/>
  <c r="EH129"/>
  <c r="EI129"/>
  <c r="EJ129"/>
  <c r="EK129"/>
  <c r="EL129"/>
  <c r="EM129"/>
  <c r="EN129"/>
  <c r="EO129"/>
  <c r="EP129"/>
  <c r="EQ129"/>
  <c r="ER129"/>
  <c r="ES129"/>
  <c r="ET129"/>
  <c r="EU129"/>
  <c r="EV129"/>
  <c r="EW129"/>
  <c r="EX129"/>
  <c r="EY129"/>
  <c r="EZ129"/>
  <c r="FA129"/>
  <c r="FB129"/>
  <c r="FC129"/>
  <c r="FD129"/>
  <c r="FE129"/>
  <c r="FF129"/>
  <c r="FG129"/>
  <c r="FH129"/>
  <c r="FI129"/>
  <c r="FJ129"/>
  <c r="FK129"/>
  <c r="FL129"/>
  <c r="FM129"/>
  <c r="FN129"/>
  <c r="FO129"/>
  <c r="FP129"/>
  <c r="FQ129"/>
  <c r="FR129"/>
  <c r="FS129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I122" i="1" s="1"/>
  <c r="K122" s="1"/>
  <c r="CR122" i="2"/>
  <c r="CQ122"/>
  <c r="CP122"/>
  <c r="CO122"/>
  <c r="CN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V121"/>
  <c r="I121" i="1" s="1"/>
  <c r="K121" s="1"/>
  <c r="CR121" i="2"/>
  <c r="CQ121"/>
  <c r="CP121"/>
  <c r="CO121"/>
  <c r="CN121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V119"/>
  <c r="I120" i="1" s="1"/>
  <c r="K120" s="1"/>
  <c r="CR119" i="2"/>
  <c r="CQ119"/>
  <c r="CP119"/>
  <c r="CO119"/>
  <c r="CN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V118"/>
  <c r="I119" i="1" s="1"/>
  <c r="K119" s="1"/>
  <c r="CR118" i="2"/>
  <c r="CQ118"/>
  <c r="CP118"/>
  <c r="CO118"/>
  <c r="CN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V117"/>
  <c r="I118" i="1" s="1"/>
  <c r="K118" s="1"/>
  <c r="CR117" i="2"/>
  <c r="CQ117"/>
  <c r="CP117"/>
  <c r="CO117"/>
  <c r="CN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V116"/>
  <c r="I117" i="1" s="1"/>
  <c r="K117" s="1"/>
  <c r="CR116" i="2"/>
  <c r="CQ116"/>
  <c r="CP116"/>
  <c r="CO116"/>
  <c r="CN116"/>
  <c r="CN103"/>
  <c r="CO103"/>
  <c r="CP103"/>
  <c r="CQ103"/>
  <c r="CR103"/>
  <c r="CV103"/>
  <c r="I104" i="1" s="1"/>
  <c r="K104" s="1"/>
  <c r="DB103" i="2"/>
  <c r="DC103"/>
  <c r="DD103"/>
  <c r="DE103"/>
  <c r="DF103"/>
  <c r="DG103"/>
  <c r="DH103"/>
  <c r="DI103"/>
  <c r="DJ103"/>
  <c r="DK103"/>
  <c r="DL103"/>
  <c r="DM103"/>
  <c r="DN103"/>
  <c r="DO103"/>
  <c r="DP103"/>
  <c r="DQ103"/>
  <c r="DR103"/>
  <c r="DS103"/>
  <c r="DT103"/>
  <c r="DU103"/>
  <c r="DV103"/>
  <c r="DW103"/>
  <c r="DX103"/>
  <c r="DY103"/>
  <c r="DZ103"/>
  <c r="EA103"/>
  <c r="EB103"/>
  <c r="EC103"/>
  <c r="ED103"/>
  <c r="EE103"/>
  <c r="EF103"/>
  <c r="EG103"/>
  <c r="EH103"/>
  <c r="EI103"/>
  <c r="EJ103"/>
  <c r="EK103"/>
  <c r="EL103"/>
  <c r="EM103"/>
  <c r="EN103"/>
  <c r="EO103"/>
  <c r="EP103"/>
  <c r="EQ103"/>
  <c r="ER103"/>
  <c r="ES103"/>
  <c r="ET103"/>
  <c r="EU103"/>
  <c r="EV103"/>
  <c r="EW103"/>
  <c r="EX103"/>
  <c r="EY103"/>
  <c r="EZ103"/>
  <c r="FA103"/>
  <c r="FB103"/>
  <c r="FC103"/>
  <c r="FD103"/>
  <c r="FE103"/>
  <c r="FF103"/>
  <c r="FG103"/>
  <c r="FH103"/>
  <c r="FI103"/>
  <c r="FJ103"/>
  <c r="FK103"/>
  <c r="FL103"/>
  <c r="FM103"/>
  <c r="FN103"/>
  <c r="FO103"/>
  <c r="FP103"/>
  <c r="FQ103"/>
  <c r="FR103"/>
  <c r="FS103"/>
  <c r="CN104"/>
  <c r="CO104"/>
  <c r="CP104"/>
  <c r="CQ104"/>
  <c r="CR104"/>
  <c r="CV104"/>
  <c r="I105" i="1" s="1"/>
  <c r="K105" s="1"/>
  <c r="DB104" i="2"/>
  <c r="DC104"/>
  <c r="DD104"/>
  <c r="DE104"/>
  <c r="DF104"/>
  <c r="DG104"/>
  <c r="DH104"/>
  <c r="DI104"/>
  <c r="DJ104"/>
  <c r="DK104"/>
  <c r="DL104"/>
  <c r="DM104"/>
  <c r="DN104"/>
  <c r="DO104"/>
  <c r="DP104"/>
  <c r="DQ104"/>
  <c r="DR104"/>
  <c r="DS104"/>
  <c r="DT104"/>
  <c r="DU104"/>
  <c r="DV104"/>
  <c r="DW104"/>
  <c r="DX104"/>
  <c r="DY104"/>
  <c r="DZ104"/>
  <c r="EA104"/>
  <c r="EB104"/>
  <c r="EC104"/>
  <c r="ED104"/>
  <c r="EE104"/>
  <c r="EF104"/>
  <c r="EG104"/>
  <c r="EH104"/>
  <c r="EI104"/>
  <c r="EJ104"/>
  <c r="EK104"/>
  <c r="EL104"/>
  <c r="EM104"/>
  <c r="EN104"/>
  <c r="EO104"/>
  <c r="EP104"/>
  <c r="EQ104"/>
  <c r="ER104"/>
  <c r="ES104"/>
  <c r="ET104"/>
  <c r="EU104"/>
  <c r="EV104"/>
  <c r="EW104"/>
  <c r="EX104"/>
  <c r="EY104"/>
  <c r="EZ104"/>
  <c r="FA104"/>
  <c r="FB104"/>
  <c r="FC104"/>
  <c r="FD104"/>
  <c r="FE104"/>
  <c r="FF104"/>
  <c r="FG104"/>
  <c r="FH104"/>
  <c r="FI104"/>
  <c r="FJ104"/>
  <c r="FK104"/>
  <c r="FL104"/>
  <c r="FM104"/>
  <c r="FN104"/>
  <c r="FO104"/>
  <c r="FP104"/>
  <c r="FQ104"/>
  <c r="FR104"/>
  <c r="FS104"/>
  <c r="CN105"/>
  <c r="CO105"/>
  <c r="CP105"/>
  <c r="CQ105"/>
  <c r="CR105"/>
  <c r="CV105"/>
  <c r="I106" i="1" s="1"/>
  <c r="K106" s="1"/>
  <c r="DB105" i="2"/>
  <c r="DC105"/>
  <c r="DD105"/>
  <c r="DE105"/>
  <c r="DF105"/>
  <c r="DG105"/>
  <c r="DH105"/>
  <c r="DI105"/>
  <c r="DJ105"/>
  <c r="DK105"/>
  <c r="DL105"/>
  <c r="DM105"/>
  <c r="DN105"/>
  <c r="DO105"/>
  <c r="DP105"/>
  <c r="DQ105"/>
  <c r="DR105"/>
  <c r="DS105"/>
  <c r="DT105"/>
  <c r="DU105"/>
  <c r="DV105"/>
  <c r="DW105"/>
  <c r="DX105"/>
  <c r="DY105"/>
  <c r="DZ105"/>
  <c r="EA105"/>
  <c r="EB105"/>
  <c r="EC105"/>
  <c r="ED105"/>
  <c r="EE105"/>
  <c r="EF105"/>
  <c r="EG105"/>
  <c r="EH105"/>
  <c r="EI105"/>
  <c r="EJ105"/>
  <c r="EK105"/>
  <c r="EL105"/>
  <c r="EM105"/>
  <c r="EN105"/>
  <c r="EO105"/>
  <c r="EP105"/>
  <c r="EQ105"/>
  <c r="ER105"/>
  <c r="ES105"/>
  <c r="ET105"/>
  <c r="EU105"/>
  <c r="EV105"/>
  <c r="EW105"/>
  <c r="EX105"/>
  <c r="EY105"/>
  <c r="EZ105"/>
  <c r="FA105"/>
  <c r="FB105"/>
  <c r="FC105"/>
  <c r="FD105"/>
  <c r="FE105"/>
  <c r="FF105"/>
  <c r="FG105"/>
  <c r="FH105"/>
  <c r="FI105"/>
  <c r="FJ105"/>
  <c r="FK105"/>
  <c r="FL105"/>
  <c r="FM105"/>
  <c r="FN105"/>
  <c r="FO105"/>
  <c r="FP105"/>
  <c r="FQ105"/>
  <c r="FR105"/>
  <c r="FS105"/>
  <c r="CN106"/>
  <c r="CO106"/>
  <c r="CP106"/>
  <c r="CQ106"/>
  <c r="CR106"/>
  <c r="CV106"/>
  <c r="I107" i="1" s="1"/>
  <c r="K107" s="1"/>
  <c r="DB106" i="2"/>
  <c r="DC106"/>
  <c r="DD106"/>
  <c r="DE106"/>
  <c r="DF106"/>
  <c r="DG106"/>
  <c r="DH106"/>
  <c r="DI106"/>
  <c r="DJ106"/>
  <c r="DK106"/>
  <c r="DL106"/>
  <c r="DM106"/>
  <c r="DN106"/>
  <c r="DO106"/>
  <c r="DP106"/>
  <c r="DQ106"/>
  <c r="DR106"/>
  <c r="DS106"/>
  <c r="DT106"/>
  <c r="DU106"/>
  <c r="DV106"/>
  <c r="DW106"/>
  <c r="DX106"/>
  <c r="DY106"/>
  <c r="DZ106"/>
  <c r="EA106"/>
  <c r="EB106"/>
  <c r="EC106"/>
  <c r="ED106"/>
  <c r="EE106"/>
  <c r="EF106"/>
  <c r="EG106"/>
  <c r="EH106"/>
  <c r="EI106"/>
  <c r="EJ106"/>
  <c r="EK106"/>
  <c r="EL106"/>
  <c r="EM106"/>
  <c r="EN106"/>
  <c r="EO106"/>
  <c r="EP106"/>
  <c r="EQ106"/>
  <c r="ER106"/>
  <c r="ES106"/>
  <c r="ET106"/>
  <c r="EU106"/>
  <c r="EV106"/>
  <c r="EW106"/>
  <c r="EX106"/>
  <c r="EY106"/>
  <c r="EZ106"/>
  <c r="FA106"/>
  <c r="FB106"/>
  <c r="FC106"/>
  <c r="FD106"/>
  <c r="FE106"/>
  <c r="FF106"/>
  <c r="FG106"/>
  <c r="FH106"/>
  <c r="FI106"/>
  <c r="FJ106"/>
  <c r="FK106"/>
  <c r="FL106"/>
  <c r="FM106"/>
  <c r="FN106"/>
  <c r="FO106"/>
  <c r="FP106"/>
  <c r="FQ106"/>
  <c r="FR106"/>
  <c r="FS106"/>
  <c r="CN107"/>
  <c r="CO107"/>
  <c r="CP107"/>
  <c r="CQ107"/>
  <c r="CR107"/>
  <c r="CV107"/>
  <c r="I108" i="1" s="1"/>
  <c r="K108" s="1"/>
  <c r="DB107" i="2"/>
  <c r="DC107"/>
  <c r="DD107"/>
  <c r="DE107"/>
  <c r="DF107"/>
  <c r="DG107"/>
  <c r="DH107"/>
  <c r="DI107"/>
  <c r="DJ107"/>
  <c r="DK107"/>
  <c r="DL107"/>
  <c r="DM107"/>
  <c r="DN107"/>
  <c r="DO107"/>
  <c r="DP107"/>
  <c r="DQ107"/>
  <c r="DR107"/>
  <c r="DS107"/>
  <c r="DT107"/>
  <c r="DU107"/>
  <c r="DV107"/>
  <c r="DW107"/>
  <c r="DX107"/>
  <c r="DY107"/>
  <c r="DZ107"/>
  <c r="EA107"/>
  <c r="EB107"/>
  <c r="EC107"/>
  <c r="ED107"/>
  <c r="EE107"/>
  <c r="EF107"/>
  <c r="EG107"/>
  <c r="EH107"/>
  <c r="EI107"/>
  <c r="EJ107"/>
  <c r="EK107"/>
  <c r="EL107"/>
  <c r="EM107"/>
  <c r="EN107"/>
  <c r="EO107"/>
  <c r="EP107"/>
  <c r="EQ107"/>
  <c r="ER107"/>
  <c r="ES107"/>
  <c r="ET107"/>
  <c r="EU107"/>
  <c r="EV107"/>
  <c r="EW107"/>
  <c r="EX107"/>
  <c r="EY107"/>
  <c r="EZ107"/>
  <c r="FA107"/>
  <c r="FB107"/>
  <c r="FC107"/>
  <c r="FD107"/>
  <c r="FE107"/>
  <c r="FF107"/>
  <c r="FG107"/>
  <c r="FH107"/>
  <c r="FI107"/>
  <c r="FJ107"/>
  <c r="FK107"/>
  <c r="FL107"/>
  <c r="FM107"/>
  <c r="FN107"/>
  <c r="FO107"/>
  <c r="FP107"/>
  <c r="FQ107"/>
  <c r="FR107"/>
  <c r="FS107"/>
  <c r="CN108"/>
  <c r="CO108"/>
  <c r="CP108"/>
  <c r="CQ108"/>
  <c r="CR108"/>
  <c r="CV108"/>
  <c r="I109" i="1" s="1"/>
  <c r="K109" s="1"/>
  <c r="DB108" i="2"/>
  <c r="DC108"/>
  <c r="DD108"/>
  <c r="DE108"/>
  <c r="DF108"/>
  <c r="DG108"/>
  <c r="DH108"/>
  <c r="DI108"/>
  <c r="DJ108"/>
  <c r="DK108"/>
  <c r="DL108"/>
  <c r="DM108"/>
  <c r="DN108"/>
  <c r="DO108"/>
  <c r="DP108"/>
  <c r="DQ108"/>
  <c r="DR108"/>
  <c r="DS108"/>
  <c r="DT108"/>
  <c r="DU108"/>
  <c r="DV108"/>
  <c r="DW108"/>
  <c r="DX108"/>
  <c r="DY108"/>
  <c r="DZ108"/>
  <c r="EA108"/>
  <c r="EB108"/>
  <c r="EC108"/>
  <c r="ED108"/>
  <c r="EE108"/>
  <c r="EF108"/>
  <c r="EG108"/>
  <c r="EH108"/>
  <c r="EI108"/>
  <c r="EJ108"/>
  <c r="EK108"/>
  <c r="EL108"/>
  <c r="EM108"/>
  <c r="EN108"/>
  <c r="EO108"/>
  <c r="EP108"/>
  <c r="EQ108"/>
  <c r="ER108"/>
  <c r="ES108"/>
  <c r="ET108"/>
  <c r="EU108"/>
  <c r="EV108"/>
  <c r="EW108"/>
  <c r="EX108"/>
  <c r="EY108"/>
  <c r="EZ108"/>
  <c r="FA108"/>
  <c r="FB108"/>
  <c r="FC108"/>
  <c r="FD108"/>
  <c r="FE108"/>
  <c r="FF108"/>
  <c r="FG108"/>
  <c r="FH108"/>
  <c r="FI108"/>
  <c r="FJ108"/>
  <c r="FK108"/>
  <c r="FL108"/>
  <c r="FM108"/>
  <c r="FN108"/>
  <c r="FO108"/>
  <c r="FP108"/>
  <c r="FQ108"/>
  <c r="FR108"/>
  <c r="FS108"/>
  <c r="CN109"/>
  <c r="CO109"/>
  <c r="CP109"/>
  <c r="CQ109"/>
  <c r="CR109"/>
  <c r="CV109"/>
  <c r="I110" i="1" s="1"/>
  <c r="K110" s="1"/>
  <c r="DB109" i="2"/>
  <c r="DC109"/>
  <c r="DD109"/>
  <c r="DE109"/>
  <c r="DF109"/>
  <c r="DG109"/>
  <c r="DH109"/>
  <c r="DI109"/>
  <c r="DJ109"/>
  <c r="DK109"/>
  <c r="DL109"/>
  <c r="DM109"/>
  <c r="DN109"/>
  <c r="DO109"/>
  <c r="DP109"/>
  <c r="DQ109"/>
  <c r="DR109"/>
  <c r="DS109"/>
  <c r="DT109"/>
  <c r="DU109"/>
  <c r="DV109"/>
  <c r="DW109"/>
  <c r="DX109"/>
  <c r="DY109"/>
  <c r="DZ109"/>
  <c r="EA109"/>
  <c r="EB109"/>
  <c r="EC109"/>
  <c r="ED109"/>
  <c r="EE109"/>
  <c r="EF109"/>
  <c r="EG109"/>
  <c r="EH109"/>
  <c r="EI109"/>
  <c r="EJ109"/>
  <c r="EK109"/>
  <c r="EL109"/>
  <c r="EM109"/>
  <c r="EN109"/>
  <c r="EO109"/>
  <c r="EP109"/>
  <c r="EQ109"/>
  <c r="ER109"/>
  <c r="ES109"/>
  <c r="ET109"/>
  <c r="EU109"/>
  <c r="EV109"/>
  <c r="EW109"/>
  <c r="EX109"/>
  <c r="EY109"/>
  <c r="EZ109"/>
  <c r="FA109"/>
  <c r="FB109"/>
  <c r="FC109"/>
  <c r="FD109"/>
  <c r="FE109"/>
  <c r="FF109"/>
  <c r="FG109"/>
  <c r="FH109"/>
  <c r="FI109"/>
  <c r="FJ109"/>
  <c r="FK109"/>
  <c r="FL109"/>
  <c r="FM109"/>
  <c r="FN109"/>
  <c r="FO109"/>
  <c r="FP109"/>
  <c r="FQ109"/>
  <c r="FR109"/>
  <c r="FS109"/>
  <c r="CN110"/>
  <c r="CO110"/>
  <c r="CP110"/>
  <c r="CQ110"/>
  <c r="CR110"/>
  <c r="CV110"/>
  <c r="I111" i="1" s="1"/>
  <c r="K111" s="1"/>
  <c r="DB110" i="2"/>
  <c r="DC110"/>
  <c r="DD110"/>
  <c r="DE110"/>
  <c r="DF110"/>
  <c r="DG110"/>
  <c r="DH110"/>
  <c r="DI110"/>
  <c r="DJ110"/>
  <c r="DK110"/>
  <c r="DL110"/>
  <c r="DM110"/>
  <c r="DN110"/>
  <c r="DO110"/>
  <c r="DP110"/>
  <c r="DQ110"/>
  <c r="DR110"/>
  <c r="DS110"/>
  <c r="DT110"/>
  <c r="DU110"/>
  <c r="DV110"/>
  <c r="DW110"/>
  <c r="DX110"/>
  <c r="DY110"/>
  <c r="DZ110"/>
  <c r="EA110"/>
  <c r="EB110"/>
  <c r="EC110"/>
  <c r="ED110"/>
  <c r="EE110"/>
  <c r="EF110"/>
  <c r="EG110"/>
  <c r="EH110"/>
  <c r="EI110"/>
  <c r="EJ110"/>
  <c r="EK110"/>
  <c r="EL110"/>
  <c r="EM110"/>
  <c r="EN110"/>
  <c r="EO110"/>
  <c r="EP110"/>
  <c r="EQ110"/>
  <c r="ER110"/>
  <c r="ES110"/>
  <c r="ET110"/>
  <c r="EU110"/>
  <c r="EV110"/>
  <c r="EW110"/>
  <c r="EX110"/>
  <c r="EY110"/>
  <c r="EZ110"/>
  <c r="FA110"/>
  <c r="FB110"/>
  <c r="FC110"/>
  <c r="FD110"/>
  <c r="FE110"/>
  <c r="FF110"/>
  <c r="FG110"/>
  <c r="FH110"/>
  <c r="FI110"/>
  <c r="FJ110"/>
  <c r="FK110"/>
  <c r="FL110"/>
  <c r="FM110"/>
  <c r="FN110"/>
  <c r="FO110"/>
  <c r="FP110"/>
  <c r="FQ110"/>
  <c r="FR110"/>
  <c r="FS110"/>
  <c r="CN111"/>
  <c r="CO111"/>
  <c r="CP111"/>
  <c r="CQ111"/>
  <c r="CR111"/>
  <c r="CV111"/>
  <c r="I112" i="1" s="1"/>
  <c r="K112" s="1"/>
  <c r="DB111" i="2"/>
  <c r="DC111"/>
  <c r="DD111"/>
  <c r="DE111"/>
  <c r="DF111"/>
  <c r="DG111"/>
  <c r="DH111"/>
  <c r="DI111"/>
  <c r="DJ111"/>
  <c r="DK111"/>
  <c r="DL111"/>
  <c r="DM111"/>
  <c r="DN111"/>
  <c r="DO111"/>
  <c r="DP111"/>
  <c r="DQ111"/>
  <c r="DR111"/>
  <c r="DS111"/>
  <c r="DT111"/>
  <c r="DU111"/>
  <c r="DV111"/>
  <c r="DW111"/>
  <c r="DX111"/>
  <c r="DY111"/>
  <c r="DZ111"/>
  <c r="EA111"/>
  <c r="EB111"/>
  <c r="EC111"/>
  <c r="ED111"/>
  <c r="EE111"/>
  <c r="EF111"/>
  <c r="EG111"/>
  <c r="EH111"/>
  <c r="EI111"/>
  <c r="EJ111"/>
  <c r="EK111"/>
  <c r="EL111"/>
  <c r="EM111"/>
  <c r="EN111"/>
  <c r="EO111"/>
  <c r="EP111"/>
  <c r="EQ111"/>
  <c r="ER111"/>
  <c r="ES111"/>
  <c r="ET111"/>
  <c r="EU111"/>
  <c r="EV111"/>
  <c r="EW111"/>
  <c r="EX111"/>
  <c r="EY111"/>
  <c r="EZ111"/>
  <c r="FA111"/>
  <c r="FB111"/>
  <c r="FC111"/>
  <c r="FD111"/>
  <c r="FE111"/>
  <c r="FF111"/>
  <c r="FG111"/>
  <c r="FH111"/>
  <c r="FI111"/>
  <c r="FJ111"/>
  <c r="FK111"/>
  <c r="FL111"/>
  <c r="FM111"/>
  <c r="FN111"/>
  <c r="FO111"/>
  <c r="FP111"/>
  <c r="FQ111"/>
  <c r="FR111"/>
  <c r="FS111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V102"/>
  <c r="CR102"/>
  <c r="CQ102"/>
  <c r="CP102"/>
  <c r="CO102"/>
  <c r="CN102"/>
  <c r="CU129" l="1"/>
  <c r="CU126"/>
  <c r="CU125"/>
  <c r="CU123"/>
  <c r="CU105"/>
  <c r="CU116"/>
  <c r="CU117"/>
  <c r="CU111"/>
  <c r="CU119"/>
  <c r="CU109"/>
  <c r="CU103"/>
  <c r="CU108"/>
  <c r="CU122"/>
  <c r="CU124"/>
  <c r="CU102"/>
  <c r="CU106"/>
  <c r="CU118"/>
  <c r="CU110"/>
  <c r="CU104"/>
  <c r="CU128"/>
  <c r="CU127"/>
  <c r="CU107"/>
  <c r="CU121"/>
  <c r="B103" i="1"/>
  <c r="J4" i="4"/>
  <c r="J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7"/>
  <c r="J68"/>
  <c r="J69"/>
  <c r="J70"/>
  <c r="J71"/>
  <c r="J72"/>
  <c r="J73"/>
  <c r="J74"/>
  <c r="J75"/>
  <c r="J76"/>
  <c r="J77"/>
  <c r="J78"/>
  <c r="J79"/>
  <c r="J80"/>
  <c r="J81"/>
  <c r="J82"/>
  <c r="J83"/>
  <c r="J84"/>
  <c r="J85"/>
  <c r="J86"/>
  <c r="J87"/>
  <c r="J88"/>
  <c r="J89"/>
  <c r="J90"/>
  <c r="J91"/>
  <c r="J92"/>
  <c r="J93"/>
  <c r="J94"/>
  <c r="J95"/>
  <c r="J96"/>
  <c r="J185"/>
  <c r="J186"/>
  <c r="J187"/>
  <c r="J188"/>
  <c r="J189"/>
  <c r="J190"/>
  <c r="J191"/>
  <c r="J192"/>
  <c r="J193"/>
  <c r="J194"/>
  <c r="J195"/>
  <c r="J196"/>
  <c r="J197"/>
  <c r="J198"/>
  <c r="J199"/>
  <c r="J200"/>
  <c r="J201"/>
  <c r="J202"/>
  <c r="J203"/>
  <c r="J204"/>
  <c r="J205"/>
  <c r="J206"/>
  <c r="J207"/>
  <c r="J208"/>
  <c r="J209"/>
  <c r="J210"/>
  <c r="J211"/>
  <c r="J212"/>
  <c r="J213"/>
  <c r="J214"/>
  <c r="J215"/>
  <c r="J216"/>
  <c r="J217"/>
  <c r="J218"/>
  <c r="J219"/>
  <c r="J220"/>
  <c r="J221"/>
  <c r="J222"/>
  <c r="J223"/>
  <c r="J224"/>
  <c r="J225"/>
  <c r="J3"/>
  <c r="K4"/>
  <c r="K5"/>
  <c r="K6"/>
  <c r="K7"/>
  <c r="K8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185"/>
  <c r="K186"/>
  <c r="K187"/>
  <c r="K188"/>
  <c r="K189"/>
  <c r="K190"/>
  <c r="K191"/>
  <c r="K192"/>
  <c r="K193"/>
  <c r="K194"/>
  <c r="K195"/>
  <c r="K196"/>
  <c r="K197"/>
  <c r="K198"/>
  <c r="K199"/>
  <c r="K200"/>
  <c r="K201"/>
  <c r="K202"/>
  <c r="K203"/>
  <c r="K204"/>
  <c r="K205"/>
  <c r="K206"/>
  <c r="K207"/>
  <c r="K208"/>
  <c r="K209"/>
  <c r="K210"/>
  <c r="K211"/>
  <c r="K212"/>
  <c r="K213"/>
  <c r="K214"/>
  <c r="K215"/>
  <c r="K216"/>
  <c r="K217"/>
  <c r="K218"/>
  <c r="K219"/>
  <c r="K220"/>
  <c r="K221"/>
  <c r="K222"/>
  <c r="K223"/>
  <c r="K224"/>
  <c r="K225"/>
  <c r="K3"/>
  <c r="I76" i="2"/>
  <c r="I75"/>
  <c r="G75" i="4" s="1"/>
  <c r="I74" i="2"/>
  <c r="G74" i="4" s="1"/>
  <c r="I73" i="2"/>
  <c r="I72"/>
  <c r="G72" i="4" s="1"/>
  <c r="I71" i="2"/>
  <c r="G71" i="4" s="1"/>
  <c r="I70" i="2"/>
  <c r="I69"/>
  <c r="G69" i="4" s="1"/>
  <c r="I68" i="2"/>
  <c r="G68" i="4" s="1"/>
  <c r="I67" i="2"/>
  <c r="G67" i="4" s="1"/>
  <c r="I66" i="2"/>
  <c r="G66" i="4" s="1"/>
  <c r="I65" i="2"/>
  <c r="G65" i="4" s="1"/>
  <c r="I64" i="2"/>
  <c r="I63"/>
  <c r="G63" i="4" s="1"/>
  <c r="I62" i="2"/>
  <c r="I61"/>
  <c r="G61" i="4" s="1"/>
  <c r="I60" i="2"/>
  <c r="G60" i="4" s="1"/>
  <c r="I59" i="2"/>
  <c r="G59" i="4" s="1"/>
  <c r="I58" i="2"/>
  <c r="G58" i="4" s="1"/>
  <c r="I57" i="2"/>
  <c r="G57" i="4" s="1"/>
  <c r="I56" i="2"/>
  <c r="G56" i="4" s="1"/>
  <c r="I55" i="2"/>
  <c r="G55" i="4" s="1"/>
  <c r="I54" i="2"/>
  <c r="G54" i="4" s="1"/>
  <c r="I53" i="2"/>
  <c r="G53" i="4" s="1"/>
  <c r="I51" i="2"/>
  <c r="G51" i="4" s="1"/>
  <c r="I50" i="2"/>
  <c r="G50" i="4" s="1"/>
  <c r="I49" i="2"/>
  <c r="G49" i="4" s="1"/>
  <c r="I48" i="2"/>
  <c r="G48" i="4" s="1"/>
  <c r="I47" i="2"/>
  <c r="G47" i="4" s="1"/>
  <c r="I46" i="2"/>
  <c r="G46" i="4" s="1"/>
  <c r="I45" i="2"/>
  <c r="G45" i="4" s="1"/>
  <c r="I44" i="2"/>
  <c r="G44" i="4" s="1"/>
  <c r="I43" i="2"/>
  <c r="G43" i="4" s="1"/>
  <c r="I42" i="2"/>
  <c r="I41"/>
  <c r="G41" i="4" s="1"/>
  <c r="I40" i="2"/>
  <c r="G40" i="4" s="1"/>
  <c r="I39" i="2"/>
  <c r="G39" i="4" s="1"/>
  <c r="I38" i="2"/>
  <c r="G38" i="4" s="1"/>
  <c r="I37" i="2"/>
  <c r="G37" i="4" s="1"/>
  <c r="I36" i="2"/>
  <c r="G36" i="4" s="1"/>
  <c r="I35" i="2"/>
  <c r="G35" i="4" s="1"/>
  <c r="I34" i="2"/>
  <c r="G34" i="4" s="1"/>
  <c r="I33" i="2"/>
  <c r="G33" i="4" s="1"/>
  <c r="I32" i="2"/>
  <c r="G32" i="4" s="1"/>
  <c r="I31" i="2"/>
  <c r="G31" i="4" s="1"/>
  <c r="I30" i="2"/>
  <c r="G30" i="4" s="1"/>
  <c r="I29" i="2"/>
  <c r="G29" i="4" s="1"/>
  <c r="I28" i="2"/>
  <c r="G28" i="4" s="1"/>
  <c r="I4" i="2"/>
  <c r="G4" i="4" s="1"/>
  <c r="I5" i="2"/>
  <c r="G5" i="4" s="1"/>
  <c r="I6" i="2"/>
  <c r="G6" i="4" s="1"/>
  <c r="I7" i="2"/>
  <c r="G7" i="4" s="1"/>
  <c r="I8" i="2"/>
  <c r="G8" i="4" s="1"/>
  <c r="I9" i="2"/>
  <c r="G9" i="4" s="1"/>
  <c r="I10" i="2"/>
  <c r="I11"/>
  <c r="I12"/>
  <c r="G12" i="4" s="1"/>
  <c r="I13" i="2"/>
  <c r="G13" i="4" s="1"/>
  <c r="I14" i="2"/>
  <c r="G14" i="4" s="1"/>
  <c r="I15" i="2"/>
  <c r="G15" i="4" s="1"/>
  <c r="I16" i="2"/>
  <c r="G16" i="4" s="1"/>
  <c r="I17" i="2"/>
  <c r="G17" i="4" s="1"/>
  <c r="I18" i="2"/>
  <c r="G18" i="4" s="1"/>
  <c r="I19" i="2"/>
  <c r="G19" i="4" s="1"/>
  <c r="I20" i="2"/>
  <c r="G20" i="4" s="1"/>
  <c r="I21" i="2"/>
  <c r="G21" i="4" s="1"/>
  <c r="I22" i="2"/>
  <c r="I23"/>
  <c r="I24"/>
  <c r="I25"/>
  <c r="G25" i="4" s="1"/>
  <c r="I26" i="2"/>
  <c r="G26" i="4" s="1"/>
  <c r="I3" i="2"/>
  <c r="G3" i="4" s="1"/>
  <c r="G10"/>
  <c r="G11"/>
  <c r="G22"/>
  <c r="G23"/>
  <c r="G24"/>
  <c r="G27"/>
  <c r="G42"/>
  <c r="G52"/>
  <c r="G62"/>
  <c r="G64"/>
  <c r="G70"/>
  <c r="G73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185"/>
  <c r="G186"/>
  <c r="G187"/>
  <c r="G188"/>
  <c r="G189"/>
  <c r="G190"/>
  <c r="G191"/>
  <c r="G192"/>
  <c r="G193"/>
  <c r="G194"/>
  <c r="G195"/>
  <c r="G196"/>
  <c r="G197"/>
  <c r="G198"/>
  <c r="G199"/>
  <c r="G200"/>
  <c r="G201"/>
  <c r="G202"/>
  <c r="G203"/>
  <c r="G204"/>
  <c r="G205"/>
  <c r="G206"/>
  <c r="G207"/>
  <c r="G208"/>
  <c r="G209"/>
  <c r="G210"/>
  <c r="G211"/>
  <c r="G212"/>
  <c r="G213"/>
  <c r="G214"/>
  <c r="G215"/>
  <c r="G216"/>
  <c r="G217"/>
  <c r="G218"/>
  <c r="G219"/>
  <c r="G220"/>
  <c r="G221"/>
  <c r="G222"/>
  <c r="G223"/>
  <c r="G224"/>
  <c r="G225"/>
  <c r="L225"/>
  <c r="D225"/>
  <c r="C225"/>
  <c r="B225"/>
  <c r="A225"/>
  <c r="L224"/>
  <c r="D224"/>
  <c r="C224"/>
  <c r="B224"/>
  <c r="A224"/>
  <c r="L223"/>
  <c r="D223"/>
  <c r="C223"/>
  <c r="B223"/>
  <c r="A223"/>
  <c r="L222"/>
  <c r="D222"/>
  <c r="C222"/>
  <c r="B222"/>
  <c r="A222"/>
  <c r="L221"/>
  <c r="D221"/>
  <c r="C221"/>
  <c r="B221"/>
  <c r="A221"/>
  <c r="L220"/>
  <c r="D220"/>
  <c r="C220"/>
  <c r="B220"/>
  <c r="A220"/>
  <c r="L219"/>
  <c r="D219"/>
  <c r="C219"/>
  <c r="B219"/>
  <c r="A219"/>
  <c r="L218"/>
  <c r="D218"/>
  <c r="C218"/>
  <c r="B218"/>
  <c r="A218"/>
  <c r="L217"/>
  <c r="D217"/>
  <c r="C217"/>
  <c r="B217"/>
  <c r="A217"/>
  <c r="L216"/>
  <c r="D216"/>
  <c r="C216"/>
  <c r="B216"/>
  <c r="A216"/>
  <c r="L215"/>
  <c r="D215"/>
  <c r="C215"/>
  <c r="B215"/>
  <c r="A215"/>
  <c r="L214"/>
  <c r="D214"/>
  <c r="C214"/>
  <c r="B214"/>
  <c r="A214"/>
  <c r="L213"/>
  <c r="D213"/>
  <c r="C213"/>
  <c r="B213"/>
  <c r="A213"/>
  <c r="L212"/>
  <c r="D212"/>
  <c r="C212"/>
  <c r="B212"/>
  <c r="A212"/>
  <c r="L211"/>
  <c r="D211"/>
  <c r="C211"/>
  <c r="B211"/>
  <c r="A211"/>
  <c r="L210"/>
  <c r="D210"/>
  <c r="C210"/>
  <c r="B210"/>
  <c r="A210"/>
  <c r="L209"/>
  <c r="D209"/>
  <c r="C209"/>
  <c r="B209"/>
  <c r="A209"/>
  <c r="L208"/>
  <c r="D208"/>
  <c r="C208"/>
  <c r="B208"/>
  <c r="A208"/>
  <c r="L207"/>
  <c r="D207"/>
  <c r="C207"/>
  <c r="B207"/>
  <c r="A207"/>
  <c r="L206"/>
  <c r="D206"/>
  <c r="C206"/>
  <c r="B206"/>
  <c r="A206"/>
  <c r="L205"/>
  <c r="D205"/>
  <c r="C205"/>
  <c r="B205"/>
  <c r="A205"/>
  <c r="L204"/>
  <c r="D204"/>
  <c r="C204"/>
  <c r="B204"/>
  <c r="A204"/>
  <c r="L203"/>
  <c r="D203"/>
  <c r="C203"/>
  <c r="B203"/>
  <c r="A203"/>
  <c r="L202"/>
  <c r="D202"/>
  <c r="C202"/>
  <c r="B202"/>
  <c r="A202"/>
  <c r="L201"/>
  <c r="D201"/>
  <c r="C201"/>
  <c r="B201"/>
  <c r="A201"/>
  <c r="L200"/>
  <c r="D200"/>
  <c r="C200"/>
  <c r="B200"/>
  <c r="A200"/>
  <c r="L199"/>
  <c r="D199"/>
  <c r="C199"/>
  <c r="B199"/>
  <c r="A199"/>
  <c r="L198"/>
  <c r="D198"/>
  <c r="C198"/>
  <c r="B198"/>
  <c r="A198"/>
  <c r="L197"/>
  <c r="D197"/>
  <c r="C197"/>
  <c r="B197"/>
  <c r="A197"/>
  <c r="L196"/>
  <c r="D196"/>
  <c r="C196"/>
  <c r="B196"/>
  <c r="A196"/>
  <c r="L195"/>
  <c r="D195"/>
  <c r="C195"/>
  <c r="B195"/>
  <c r="A195"/>
  <c r="L194"/>
  <c r="D194"/>
  <c r="C194"/>
  <c r="B194"/>
  <c r="A194"/>
  <c r="L193"/>
  <c r="D193"/>
  <c r="C193"/>
  <c r="B193"/>
  <c r="A193"/>
  <c r="L192"/>
  <c r="D192"/>
  <c r="C192"/>
  <c r="B192"/>
  <c r="A192"/>
  <c r="L191"/>
  <c r="D191"/>
  <c r="C191"/>
  <c r="B191"/>
  <c r="A191"/>
  <c r="L190"/>
  <c r="D190"/>
  <c r="C190"/>
  <c r="B190"/>
  <c r="A190"/>
  <c r="L189"/>
  <c r="D189"/>
  <c r="C189"/>
  <c r="B189"/>
  <c r="A189"/>
  <c r="L188"/>
  <c r="D188"/>
  <c r="C188"/>
  <c r="B188"/>
  <c r="A188"/>
  <c r="L187"/>
  <c r="D187"/>
  <c r="C187"/>
  <c r="B187"/>
  <c r="A187"/>
  <c r="L186"/>
  <c r="D186"/>
  <c r="C186"/>
  <c r="B186"/>
  <c r="A186"/>
  <c r="L185"/>
  <c r="D185"/>
  <c r="C185"/>
  <c r="B185"/>
  <c r="A185"/>
  <c r="L96"/>
  <c r="D96"/>
  <c r="C96"/>
  <c r="B96"/>
  <c r="A96"/>
  <c r="L95"/>
  <c r="D95"/>
  <c r="C95"/>
  <c r="B95"/>
  <c r="A95"/>
  <c r="L94"/>
  <c r="D94"/>
  <c r="C94"/>
  <c r="B94"/>
  <c r="A94"/>
  <c r="L93"/>
  <c r="D93"/>
  <c r="C93"/>
  <c r="B93"/>
  <c r="A93"/>
  <c r="L92"/>
  <c r="D92"/>
  <c r="C92"/>
  <c r="B92"/>
  <c r="A92"/>
  <c r="L91"/>
  <c r="D91"/>
  <c r="C91"/>
  <c r="B91"/>
  <c r="A91"/>
  <c r="L90"/>
  <c r="D90"/>
  <c r="C90"/>
  <c r="B90"/>
  <c r="A90"/>
  <c r="L89"/>
  <c r="D89"/>
  <c r="C89"/>
  <c r="B89"/>
  <c r="A89"/>
  <c r="L88"/>
  <c r="D88"/>
  <c r="C88"/>
  <c r="B88"/>
  <c r="A88"/>
  <c r="L87"/>
  <c r="D87"/>
  <c r="C87"/>
  <c r="B87"/>
  <c r="A87"/>
  <c r="L86"/>
  <c r="D86"/>
  <c r="C86"/>
  <c r="B86"/>
  <c r="A86"/>
  <c r="L85"/>
  <c r="D85"/>
  <c r="C85"/>
  <c r="B85"/>
  <c r="A85"/>
  <c r="L84"/>
  <c r="D84"/>
  <c r="C84"/>
  <c r="B84"/>
  <c r="A84"/>
  <c r="L83"/>
  <c r="D83"/>
  <c r="C83"/>
  <c r="B83"/>
  <c r="A83"/>
  <c r="L82"/>
  <c r="D82"/>
  <c r="C82"/>
  <c r="B82"/>
  <c r="A82"/>
  <c r="L81"/>
  <c r="D81"/>
  <c r="C81"/>
  <c r="B81"/>
  <c r="A81"/>
  <c r="L80"/>
  <c r="D80"/>
  <c r="C80"/>
  <c r="B80"/>
  <c r="A80"/>
  <c r="L79"/>
  <c r="D79"/>
  <c r="C79"/>
  <c r="B79"/>
  <c r="A79"/>
  <c r="L78"/>
  <c r="D78"/>
  <c r="C78"/>
  <c r="B78"/>
  <c r="A78"/>
  <c r="D77"/>
  <c r="C77"/>
  <c r="B77"/>
  <c r="A77"/>
  <c r="D76"/>
  <c r="C76"/>
  <c r="B76"/>
  <c r="A76"/>
  <c r="D75"/>
  <c r="C75"/>
  <c r="B75"/>
  <c r="A75"/>
  <c r="D74"/>
  <c r="C74"/>
  <c r="B74"/>
  <c r="A74"/>
  <c r="D73"/>
  <c r="C73"/>
  <c r="B73"/>
  <c r="A73"/>
  <c r="D72"/>
  <c r="C72"/>
  <c r="B72"/>
  <c r="A72"/>
  <c r="D71"/>
  <c r="C71"/>
  <c r="B71"/>
  <c r="A71"/>
  <c r="D70"/>
  <c r="C70"/>
  <c r="B70"/>
  <c r="A70"/>
  <c r="D69"/>
  <c r="C69"/>
  <c r="B69"/>
  <c r="A69"/>
  <c r="D68"/>
  <c r="C68"/>
  <c r="B68"/>
  <c r="A68"/>
  <c r="D67"/>
  <c r="C67"/>
  <c r="B67"/>
  <c r="A67"/>
  <c r="D66"/>
  <c r="C66"/>
  <c r="B66"/>
  <c r="A66"/>
  <c r="D65"/>
  <c r="C65"/>
  <c r="B65"/>
  <c r="A65"/>
  <c r="D64"/>
  <c r="C64"/>
  <c r="B64"/>
  <c r="A64"/>
  <c r="D63"/>
  <c r="C63"/>
  <c r="B63"/>
  <c r="A63"/>
  <c r="D62"/>
  <c r="C62"/>
  <c r="B62"/>
  <c r="A62"/>
  <c r="D61"/>
  <c r="C61"/>
  <c r="B61"/>
  <c r="A61"/>
  <c r="D60"/>
  <c r="C60"/>
  <c r="B60"/>
  <c r="A60"/>
  <c r="D59"/>
  <c r="C59"/>
  <c r="B59"/>
  <c r="A59"/>
  <c r="D58"/>
  <c r="C58"/>
  <c r="B58"/>
  <c r="A58"/>
  <c r="D57"/>
  <c r="C57"/>
  <c r="B57"/>
  <c r="A57"/>
  <c r="D56"/>
  <c r="C56"/>
  <c r="B56"/>
  <c r="A56"/>
  <c r="D55"/>
  <c r="C55"/>
  <c r="B55"/>
  <c r="A55"/>
  <c r="D54"/>
  <c r="C54"/>
  <c r="B54"/>
  <c r="A54"/>
  <c r="D53"/>
  <c r="C53"/>
  <c r="B53"/>
  <c r="A53"/>
  <c r="D52"/>
  <c r="C52"/>
  <c r="B52"/>
  <c r="A52"/>
  <c r="D51"/>
  <c r="C51"/>
  <c r="B51"/>
  <c r="A51"/>
  <c r="D50"/>
  <c r="C50"/>
  <c r="B50"/>
  <c r="A50"/>
  <c r="D49"/>
  <c r="C49"/>
  <c r="B49"/>
  <c r="A49"/>
  <c r="D48"/>
  <c r="C48"/>
  <c r="B48"/>
  <c r="A48"/>
  <c r="D47"/>
  <c r="C47"/>
  <c r="B47"/>
  <c r="A47"/>
  <c r="D46"/>
  <c r="C46"/>
  <c r="B46"/>
  <c r="A46"/>
  <c r="D45"/>
  <c r="C45"/>
  <c r="B45"/>
  <c r="A45"/>
  <c r="D44"/>
  <c r="C44"/>
  <c r="B44"/>
  <c r="A44"/>
  <c r="D43"/>
  <c r="C43"/>
  <c r="B43"/>
  <c r="A43"/>
  <c r="D42"/>
  <c r="C42"/>
  <c r="B42"/>
  <c r="A42"/>
  <c r="D41"/>
  <c r="C41"/>
  <c r="B41"/>
  <c r="A41"/>
  <c r="D40"/>
  <c r="C40"/>
  <c r="B40"/>
  <c r="A40"/>
  <c r="D39"/>
  <c r="C39"/>
  <c r="B39"/>
  <c r="A39"/>
  <c r="D38"/>
  <c r="C38"/>
  <c r="B38"/>
  <c r="A38"/>
  <c r="D37"/>
  <c r="C37"/>
  <c r="B37"/>
  <c r="A37"/>
  <c r="D36"/>
  <c r="C36"/>
  <c r="B36"/>
  <c r="A36"/>
  <c r="D35"/>
  <c r="C35"/>
  <c r="B35"/>
  <c r="A35"/>
  <c r="D34"/>
  <c r="C34"/>
  <c r="B34"/>
  <c r="A34"/>
  <c r="D33"/>
  <c r="C33"/>
  <c r="B33"/>
  <c r="A33"/>
  <c r="D32"/>
  <c r="C32"/>
  <c r="B32"/>
  <c r="A32"/>
  <c r="D31"/>
  <c r="C31"/>
  <c r="B31"/>
  <c r="A31"/>
  <c r="D30"/>
  <c r="C30"/>
  <c r="B30"/>
  <c r="A30"/>
  <c r="D29"/>
  <c r="C29"/>
  <c r="B29"/>
  <c r="A29"/>
  <c r="D28"/>
  <c r="C28"/>
  <c r="B28"/>
  <c r="A28"/>
  <c r="D27"/>
  <c r="C27"/>
  <c r="B27"/>
  <c r="A27"/>
  <c r="D26"/>
  <c r="C26"/>
  <c r="B26"/>
  <c r="A26"/>
  <c r="D25"/>
  <c r="C25"/>
  <c r="B25"/>
  <c r="A25"/>
  <c r="D24"/>
  <c r="C24"/>
  <c r="B24"/>
  <c r="A24"/>
  <c r="D23"/>
  <c r="C23"/>
  <c r="B23"/>
  <c r="A23"/>
  <c r="D22"/>
  <c r="C22"/>
  <c r="B22"/>
  <c r="A22"/>
  <c r="D21"/>
  <c r="C21"/>
  <c r="B21"/>
  <c r="A21"/>
  <c r="D20"/>
  <c r="C20"/>
  <c r="B20"/>
  <c r="A20"/>
  <c r="D19"/>
  <c r="C19"/>
  <c r="B19"/>
  <c r="A19"/>
  <c r="D18"/>
  <c r="C18"/>
  <c r="B18"/>
  <c r="A18"/>
  <c r="D17"/>
  <c r="C17"/>
  <c r="B17"/>
  <c r="A17"/>
  <c r="D16"/>
  <c r="C16"/>
  <c r="B16"/>
  <c r="A16"/>
  <c r="D15"/>
  <c r="C15"/>
  <c r="B15"/>
  <c r="A15"/>
  <c r="D14"/>
  <c r="C14"/>
  <c r="B14"/>
  <c r="A14"/>
  <c r="D13"/>
  <c r="C13"/>
  <c r="B13"/>
  <c r="A13"/>
  <c r="D12"/>
  <c r="C12"/>
  <c r="B12"/>
  <c r="A12"/>
  <c r="D11"/>
  <c r="C11"/>
  <c r="B11"/>
  <c r="A11"/>
  <c r="D10"/>
  <c r="C10"/>
  <c r="B10"/>
  <c r="A10"/>
  <c r="D9"/>
  <c r="C9"/>
  <c r="B9"/>
  <c r="A9"/>
  <c r="D8"/>
  <c r="C8"/>
  <c r="B8"/>
  <c r="A8"/>
  <c r="D7"/>
  <c r="C7"/>
  <c r="B7"/>
  <c r="A7"/>
  <c r="D6"/>
  <c r="C6"/>
  <c r="B6"/>
  <c r="A6"/>
  <c r="D5"/>
  <c r="C5"/>
  <c r="B5"/>
  <c r="A5"/>
  <c r="D4"/>
  <c r="C4"/>
  <c r="B4"/>
  <c r="A4"/>
  <c r="B91" i="1"/>
  <c r="B92"/>
  <c r="FS92" i="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V92"/>
  <c r="CR92"/>
  <c r="CQ92"/>
  <c r="CP92"/>
  <c r="CO92"/>
  <c r="CN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V91"/>
  <c r="CR91"/>
  <c r="CQ91"/>
  <c r="CP91"/>
  <c r="CO91"/>
  <c r="CN91"/>
  <c r="B102" i="1"/>
  <c r="B101"/>
  <c r="FS101" i="2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V101"/>
  <c r="CR101"/>
  <c r="CQ101"/>
  <c r="CP101"/>
  <c r="CO101"/>
  <c r="CN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V100"/>
  <c r="CR100"/>
  <c r="CQ100"/>
  <c r="CP100"/>
  <c r="CO100"/>
  <c r="CN100"/>
  <c r="B100" i="1"/>
  <c r="FS99" i="2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V99"/>
  <c r="I99" i="1" s="1"/>
  <c r="K99" s="1"/>
  <c r="CR99" i="2"/>
  <c r="CQ99"/>
  <c r="CP99"/>
  <c r="CO99"/>
  <c r="CN99"/>
  <c r="B90" i="1"/>
  <c r="B89"/>
  <c r="B88"/>
  <c r="FS90" i="2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V90"/>
  <c r="CR90"/>
  <c r="CQ90"/>
  <c r="CP90"/>
  <c r="CO90"/>
  <c r="CN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V89"/>
  <c r="CR89"/>
  <c r="CQ89"/>
  <c r="CP89"/>
  <c r="CO89"/>
  <c r="CN8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V88"/>
  <c r="CR88"/>
  <c r="CQ88"/>
  <c r="CP88"/>
  <c r="CO88"/>
  <c r="CN88"/>
  <c r="B87" i="1"/>
  <c r="B86"/>
  <c r="B85"/>
  <c r="B84"/>
  <c r="B83"/>
  <c r="B82"/>
  <c r="B81"/>
  <c r="B80"/>
  <c r="B79"/>
  <c r="B78"/>
  <c r="CP78" i="2"/>
  <c r="CQ78"/>
  <c r="CR78"/>
  <c r="A77" i="3"/>
  <c r="B77"/>
  <c r="C77"/>
  <c r="Q77" s="1"/>
  <c r="D77"/>
  <c r="R77" s="1"/>
  <c r="W77" s="1"/>
  <c r="E77"/>
  <c r="S77" s="1"/>
  <c r="X77" s="1"/>
  <c r="F77"/>
  <c r="T77" s="1"/>
  <c r="Y77" s="1"/>
  <c r="G77"/>
  <c r="U77" s="1"/>
  <c r="Z77" s="1"/>
  <c r="H77"/>
  <c r="V77" s="1"/>
  <c r="AA77" s="1"/>
  <c r="I77"/>
  <c r="O77" s="1"/>
  <c r="J77"/>
  <c r="K77"/>
  <c r="L77"/>
  <c r="M77"/>
  <c r="N77"/>
  <c r="A78"/>
  <c r="B78"/>
  <c r="C78"/>
  <c r="Q78" s="1"/>
  <c r="D78"/>
  <c r="R78" s="1"/>
  <c r="W78" s="1"/>
  <c r="E78"/>
  <c r="S78" s="1"/>
  <c r="X78" s="1"/>
  <c r="F78"/>
  <c r="T78" s="1"/>
  <c r="Y78" s="1"/>
  <c r="G78"/>
  <c r="U78" s="1"/>
  <c r="Z78" s="1"/>
  <c r="H78"/>
  <c r="V78" s="1"/>
  <c r="AA78" s="1"/>
  <c r="I78"/>
  <c r="O78" s="1"/>
  <c r="J78"/>
  <c r="K78"/>
  <c r="L78"/>
  <c r="M78"/>
  <c r="N78"/>
  <c r="A79"/>
  <c r="B79"/>
  <c r="C79"/>
  <c r="Q79" s="1"/>
  <c r="D79"/>
  <c r="R79" s="1"/>
  <c r="W79" s="1"/>
  <c r="E79"/>
  <c r="S79" s="1"/>
  <c r="X79" s="1"/>
  <c r="F79"/>
  <c r="T79" s="1"/>
  <c r="Y79" s="1"/>
  <c r="G79"/>
  <c r="U79" s="1"/>
  <c r="Z79" s="1"/>
  <c r="H79"/>
  <c r="V79" s="1"/>
  <c r="AA79" s="1"/>
  <c r="I79"/>
  <c r="O79" s="1"/>
  <c r="J79"/>
  <c r="K79"/>
  <c r="L79"/>
  <c r="M79"/>
  <c r="N79"/>
  <c r="A80"/>
  <c r="B80"/>
  <c r="C80"/>
  <c r="D80"/>
  <c r="R80" s="1"/>
  <c r="W80" s="1"/>
  <c r="E80"/>
  <c r="S80" s="1"/>
  <c r="X80" s="1"/>
  <c r="F80"/>
  <c r="T80" s="1"/>
  <c r="Y80" s="1"/>
  <c r="G80"/>
  <c r="U80" s="1"/>
  <c r="Z80" s="1"/>
  <c r="H80"/>
  <c r="V80" s="1"/>
  <c r="AA80" s="1"/>
  <c r="I80"/>
  <c r="O80" s="1"/>
  <c r="J80"/>
  <c r="K80"/>
  <c r="L80"/>
  <c r="M80"/>
  <c r="N80"/>
  <c r="Q80"/>
  <c r="A81"/>
  <c r="B81"/>
  <c r="C81"/>
  <c r="Q81" s="1"/>
  <c r="D81"/>
  <c r="R81" s="1"/>
  <c r="W81" s="1"/>
  <c r="E81"/>
  <c r="S81" s="1"/>
  <c r="X81" s="1"/>
  <c r="F81"/>
  <c r="T81" s="1"/>
  <c r="Y81" s="1"/>
  <c r="G81"/>
  <c r="U81" s="1"/>
  <c r="Z81" s="1"/>
  <c r="H81"/>
  <c r="V81" s="1"/>
  <c r="AA81" s="1"/>
  <c r="I81"/>
  <c r="O81" s="1"/>
  <c r="J81"/>
  <c r="K81"/>
  <c r="L81"/>
  <c r="M81"/>
  <c r="N81"/>
  <c r="A82"/>
  <c r="B82"/>
  <c r="C82"/>
  <c r="Q82" s="1"/>
  <c r="D82"/>
  <c r="R82" s="1"/>
  <c r="W82" s="1"/>
  <c r="E82"/>
  <c r="S82" s="1"/>
  <c r="X82" s="1"/>
  <c r="F82"/>
  <c r="T82" s="1"/>
  <c r="Y82" s="1"/>
  <c r="G82"/>
  <c r="U82" s="1"/>
  <c r="Z82" s="1"/>
  <c r="H82"/>
  <c r="V82" s="1"/>
  <c r="AA82" s="1"/>
  <c r="I82"/>
  <c r="O82" s="1"/>
  <c r="J82"/>
  <c r="K82"/>
  <c r="L82"/>
  <c r="M82"/>
  <c r="N82"/>
  <c r="A83"/>
  <c r="B83"/>
  <c r="C83"/>
  <c r="Q83" s="1"/>
  <c r="D83"/>
  <c r="R83" s="1"/>
  <c r="W83" s="1"/>
  <c r="E83"/>
  <c r="S83" s="1"/>
  <c r="X83" s="1"/>
  <c r="F83"/>
  <c r="T83" s="1"/>
  <c r="Y83" s="1"/>
  <c r="G83"/>
  <c r="U83" s="1"/>
  <c r="Z83" s="1"/>
  <c r="H83"/>
  <c r="V83" s="1"/>
  <c r="AA83" s="1"/>
  <c r="I83"/>
  <c r="O83" s="1"/>
  <c r="J83"/>
  <c r="K83"/>
  <c r="L83"/>
  <c r="M83"/>
  <c r="N83"/>
  <c r="A84"/>
  <c r="B84"/>
  <c r="C84"/>
  <c r="Q84" s="1"/>
  <c r="D84"/>
  <c r="R84" s="1"/>
  <c r="W84" s="1"/>
  <c r="E84"/>
  <c r="S84" s="1"/>
  <c r="X84" s="1"/>
  <c r="F84"/>
  <c r="T84" s="1"/>
  <c r="Y84" s="1"/>
  <c r="G84"/>
  <c r="U84" s="1"/>
  <c r="Z84" s="1"/>
  <c r="H84"/>
  <c r="V84" s="1"/>
  <c r="AA84" s="1"/>
  <c r="I84"/>
  <c r="O84" s="1"/>
  <c r="J84"/>
  <c r="K84"/>
  <c r="L84"/>
  <c r="M84"/>
  <c r="N84"/>
  <c r="A85"/>
  <c r="B85"/>
  <c r="C85"/>
  <c r="Q85" s="1"/>
  <c r="D85"/>
  <c r="R85" s="1"/>
  <c r="W85" s="1"/>
  <c r="E85"/>
  <c r="S85" s="1"/>
  <c r="X85" s="1"/>
  <c r="F85"/>
  <c r="T85" s="1"/>
  <c r="Y85" s="1"/>
  <c r="G85"/>
  <c r="U85" s="1"/>
  <c r="Z85" s="1"/>
  <c r="H85"/>
  <c r="V85" s="1"/>
  <c r="AA85" s="1"/>
  <c r="I85"/>
  <c r="O85" s="1"/>
  <c r="J85"/>
  <c r="K85"/>
  <c r="L85"/>
  <c r="M85"/>
  <c r="N85"/>
  <c r="A86"/>
  <c r="B86"/>
  <c r="C86"/>
  <c r="Q86" s="1"/>
  <c r="D86"/>
  <c r="R86" s="1"/>
  <c r="W86" s="1"/>
  <c r="E86"/>
  <c r="S86" s="1"/>
  <c r="X86" s="1"/>
  <c r="F86"/>
  <c r="T86" s="1"/>
  <c r="Y86" s="1"/>
  <c r="G86"/>
  <c r="U86" s="1"/>
  <c r="Z86" s="1"/>
  <c r="H86"/>
  <c r="V86" s="1"/>
  <c r="AA86" s="1"/>
  <c r="I86"/>
  <c r="O86" s="1"/>
  <c r="J86"/>
  <c r="K86"/>
  <c r="L86"/>
  <c r="M86"/>
  <c r="N86"/>
  <c r="A87"/>
  <c r="B87"/>
  <c r="C87"/>
  <c r="Q87" s="1"/>
  <c r="D87"/>
  <c r="R87" s="1"/>
  <c r="W87" s="1"/>
  <c r="E87"/>
  <c r="S87" s="1"/>
  <c r="X87" s="1"/>
  <c r="F87"/>
  <c r="T87" s="1"/>
  <c r="Y87" s="1"/>
  <c r="G87"/>
  <c r="U87" s="1"/>
  <c r="Z87" s="1"/>
  <c r="H87"/>
  <c r="V87" s="1"/>
  <c r="AA87" s="1"/>
  <c r="I87"/>
  <c r="O87" s="1"/>
  <c r="J87"/>
  <c r="K87"/>
  <c r="L87"/>
  <c r="M87"/>
  <c r="N87"/>
  <c r="U53" i="2"/>
  <c r="L53" i="4" s="1"/>
  <c r="DC2" i="2"/>
  <c r="DD2"/>
  <c r="DE2"/>
  <c r="DF2"/>
  <c r="DG2"/>
  <c r="DH2"/>
  <c r="DI2"/>
  <c r="DJ2"/>
  <c r="DK2"/>
  <c r="DL2"/>
  <c r="DM2"/>
  <c r="DN2"/>
  <c r="DO2"/>
  <c r="DP2"/>
  <c r="DQ2"/>
  <c r="DR2"/>
  <c r="DS2"/>
  <c r="DT2"/>
  <c r="DU2"/>
  <c r="DV2"/>
  <c r="DW2"/>
  <c r="DX2"/>
  <c r="DY2"/>
  <c r="DZ2"/>
  <c r="EA2"/>
  <c r="EB2"/>
  <c r="EC2"/>
  <c r="ED2"/>
  <c r="EE2"/>
  <c r="EF2"/>
  <c r="EG2"/>
  <c r="EH2"/>
  <c r="EI2"/>
  <c r="EJ2"/>
  <c r="EK2"/>
  <c r="EL2"/>
  <c r="EM2"/>
  <c r="EN2"/>
  <c r="EO2"/>
  <c r="EP2"/>
  <c r="EQ2"/>
  <c r="ER2"/>
  <c r="ES2"/>
  <c r="ET2"/>
  <c r="EU2"/>
  <c r="EV2"/>
  <c r="EW2"/>
  <c r="EX2"/>
  <c r="EY2"/>
  <c r="EZ2"/>
  <c r="FA2"/>
  <c r="FB2"/>
  <c r="FC2"/>
  <c r="FD2"/>
  <c r="FE2"/>
  <c r="FF2"/>
  <c r="FG2"/>
  <c r="FH2"/>
  <c r="FI2"/>
  <c r="FJ2"/>
  <c r="FK2"/>
  <c r="FL2"/>
  <c r="FM2"/>
  <c r="FN2"/>
  <c r="FO2"/>
  <c r="FP2"/>
  <c r="FQ2"/>
  <c r="FR2"/>
  <c r="FS2"/>
  <c r="DB2"/>
  <c r="M8" i="4" l="1"/>
  <c r="M14"/>
  <c r="M6"/>
  <c r="M9"/>
  <c r="M12"/>
  <c r="M15"/>
  <c r="M18"/>
  <c r="M21"/>
  <c r="M17"/>
  <c r="M20"/>
  <c r="M5"/>
  <c r="M11"/>
  <c r="M4"/>
  <c r="M7"/>
  <c r="M10"/>
  <c r="M13"/>
  <c r="M16"/>
  <c r="M19"/>
  <c r="H88" i="1"/>
  <c r="J88" s="1"/>
  <c r="I88"/>
  <c r="H103"/>
  <c r="J103" s="1"/>
  <c r="I103"/>
  <c r="K103" s="1"/>
  <c r="M86"/>
  <c r="M85"/>
  <c r="M84"/>
  <c r="M83"/>
  <c r="M100"/>
  <c r="I100"/>
  <c r="M82"/>
  <c r="M81"/>
  <c r="M102"/>
  <c r="I102"/>
  <c r="K102" s="1"/>
  <c r="M80"/>
  <c r="M101"/>
  <c r="I101"/>
  <c r="M79"/>
  <c r="M91"/>
  <c r="I91"/>
  <c r="H78"/>
  <c r="J78" s="1"/>
  <c r="H90"/>
  <c r="J90" s="1"/>
  <c r="I90"/>
  <c r="M92"/>
  <c r="I92"/>
  <c r="H89"/>
  <c r="J89" s="1"/>
  <c r="I89"/>
  <c r="H91"/>
  <c r="J91" s="1"/>
  <c r="H79"/>
  <c r="J79" s="1"/>
  <c r="M87"/>
  <c r="H92"/>
  <c r="J92" s="1"/>
  <c r="H80"/>
  <c r="J80" s="1"/>
  <c r="M88"/>
  <c r="H100"/>
  <c r="J100" s="1"/>
  <c r="H81"/>
  <c r="J81" s="1"/>
  <c r="M89"/>
  <c r="H101"/>
  <c r="J101" s="1"/>
  <c r="H82"/>
  <c r="J82" s="1"/>
  <c r="M90"/>
  <c r="M78"/>
  <c r="H102"/>
  <c r="J102" s="1"/>
  <c r="H83"/>
  <c r="J83" s="1"/>
  <c r="H84"/>
  <c r="J84" s="1"/>
  <c r="H85"/>
  <c r="J85" s="1"/>
  <c r="H86"/>
  <c r="J86" s="1"/>
  <c r="H87"/>
  <c r="J87" s="1"/>
  <c r="M103"/>
  <c r="M30" i="4"/>
  <c r="M42"/>
  <c r="M38"/>
  <c r="M62"/>
  <c r="M74"/>
  <c r="M79"/>
  <c r="M82"/>
  <c r="M85"/>
  <c r="M88"/>
  <c r="M91"/>
  <c r="M94"/>
  <c r="M196"/>
  <c r="M208"/>
  <c r="M50"/>
  <c r="M54"/>
  <c r="M66"/>
  <c r="M220"/>
  <c r="M26"/>
  <c r="M78"/>
  <c r="M81"/>
  <c r="M84"/>
  <c r="M87"/>
  <c r="M28"/>
  <c r="M40"/>
  <c r="M52"/>
  <c r="M64"/>
  <c r="M76"/>
  <c r="M24"/>
  <c r="M36"/>
  <c r="M48"/>
  <c r="M60"/>
  <c r="M72"/>
  <c r="M31"/>
  <c r="M29"/>
  <c r="M41"/>
  <c r="M53"/>
  <c r="M65"/>
  <c r="M77"/>
  <c r="M34"/>
  <c r="M70"/>
  <c r="M83"/>
  <c r="M89"/>
  <c r="M92"/>
  <c r="M95"/>
  <c r="M185"/>
  <c r="M188"/>
  <c r="M191"/>
  <c r="M194"/>
  <c r="M197"/>
  <c r="M200"/>
  <c r="M203"/>
  <c r="M206"/>
  <c r="M209"/>
  <c r="M212"/>
  <c r="M215"/>
  <c r="M218"/>
  <c r="M221"/>
  <c r="M224"/>
  <c r="M46"/>
  <c r="M58"/>
  <c r="M80"/>
  <c r="M86"/>
  <c r="M27"/>
  <c r="M39"/>
  <c r="M51"/>
  <c r="M63"/>
  <c r="M75"/>
  <c r="M44"/>
  <c r="M56"/>
  <c r="M68"/>
  <c r="M22"/>
  <c r="M32"/>
  <c r="M25"/>
  <c r="M37"/>
  <c r="M49"/>
  <c r="M61"/>
  <c r="M73"/>
  <c r="M90"/>
  <c r="M93"/>
  <c r="M96"/>
  <c r="M186"/>
  <c r="M189"/>
  <c r="M192"/>
  <c r="M195"/>
  <c r="M198"/>
  <c r="M201"/>
  <c r="M204"/>
  <c r="M207"/>
  <c r="M210"/>
  <c r="M213"/>
  <c r="M216"/>
  <c r="M219"/>
  <c r="M222"/>
  <c r="M225"/>
  <c r="M23"/>
  <c r="M35"/>
  <c r="M47"/>
  <c r="M59"/>
  <c r="M71"/>
  <c r="M33"/>
  <c r="M45"/>
  <c r="M57"/>
  <c r="M69"/>
  <c r="M187"/>
  <c r="M190"/>
  <c r="M193"/>
  <c r="M199"/>
  <c r="M202"/>
  <c r="M205"/>
  <c r="M211"/>
  <c r="M214"/>
  <c r="M217"/>
  <c r="M223"/>
  <c r="M43"/>
  <c r="M55"/>
  <c r="M67"/>
  <c r="N199"/>
  <c r="N84"/>
  <c r="N192"/>
  <c r="N209"/>
  <c r="N185"/>
  <c r="N214"/>
  <c r="N190"/>
  <c r="N82"/>
  <c r="N204"/>
  <c r="N216"/>
  <c r="N53"/>
  <c r="N91"/>
  <c r="N96"/>
  <c r="N194"/>
  <c r="N221"/>
  <c r="N197"/>
  <c r="N220"/>
  <c r="N81"/>
  <c r="N89"/>
  <c r="N196"/>
  <c r="N202"/>
  <c r="N187"/>
  <c r="N86"/>
  <c r="N189"/>
  <c r="N88"/>
  <c r="N201"/>
  <c r="N206"/>
  <c r="N211"/>
  <c r="N94"/>
  <c r="N79"/>
  <c r="N213"/>
  <c r="N218"/>
  <c r="N223"/>
  <c r="CU101" i="2"/>
  <c r="N225" i="4"/>
  <c r="N93"/>
  <c r="N208"/>
  <c r="N87"/>
  <c r="N195"/>
  <c r="N207"/>
  <c r="N219"/>
  <c r="N80"/>
  <c r="N92"/>
  <c r="N188"/>
  <c r="N200"/>
  <c r="N212"/>
  <c r="N224"/>
  <c r="N85"/>
  <c r="N193"/>
  <c r="N205"/>
  <c r="N217"/>
  <c r="N78"/>
  <c r="N90"/>
  <c r="N186"/>
  <c r="N198"/>
  <c r="N210"/>
  <c r="N222"/>
  <c r="N83"/>
  <c r="N95"/>
  <c r="N191"/>
  <c r="N203"/>
  <c r="N215"/>
  <c r="CU91" i="2"/>
  <c r="CU100"/>
  <c r="CU99"/>
  <c r="CU92"/>
  <c r="K100" i="1"/>
  <c r="CU88" i="2"/>
  <c r="CU90"/>
  <c r="CU89"/>
  <c r="AB84" i="3"/>
  <c r="AB78"/>
  <c r="AB85"/>
  <c r="AB79"/>
  <c r="AB87"/>
  <c r="AB77"/>
  <c r="AB83"/>
  <c r="AB81"/>
  <c r="AB82"/>
  <c r="AB86"/>
  <c r="AB80"/>
  <c r="K88" i="1" l="1"/>
  <c r="K91"/>
  <c r="K90"/>
  <c r="K89"/>
  <c r="K101"/>
  <c r="K92"/>
  <c r="A3" i="4"/>
  <c r="B3"/>
  <c r="C3"/>
  <c r="D3"/>
  <c r="A46" i="3"/>
  <c r="B46"/>
  <c r="C46"/>
  <c r="Q46" s="1"/>
  <c r="D46"/>
  <c r="R46" s="1"/>
  <c r="W46" s="1"/>
  <c r="E46"/>
  <c r="S46" s="1"/>
  <c r="X46" s="1"/>
  <c r="F46"/>
  <c r="T46" s="1"/>
  <c r="Y46" s="1"/>
  <c r="G46"/>
  <c r="U46" s="1"/>
  <c r="Z46" s="1"/>
  <c r="H46"/>
  <c r="V46" s="1"/>
  <c r="AA46" s="1"/>
  <c r="I46"/>
  <c r="J46"/>
  <c r="K46"/>
  <c r="L46"/>
  <c r="M46"/>
  <c r="N46"/>
  <c r="A47"/>
  <c r="B47"/>
  <c r="C47"/>
  <c r="D47"/>
  <c r="E47"/>
  <c r="S47" s="1"/>
  <c r="X47" s="1"/>
  <c r="F47"/>
  <c r="T47" s="1"/>
  <c r="Y47" s="1"/>
  <c r="G47"/>
  <c r="U47" s="1"/>
  <c r="Z47" s="1"/>
  <c r="H47"/>
  <c r="V47" s="1"/>
  <c r="AA47" s="1"/>
  <c r="I47"/>
  <c r="J47"/>
  <c r="K47"/>
  <c r="L47"/>
  <c r="M47"/>
  <c r="N47"/>
  <c r="Q47"/>
  <c r="R47"/>
  <c r="W47" s="1"/>
  <c r="A48"/>
  <c r="B48"/>
  <c r="C48"/>
  <c r="Q48" s="1"/>
  <c r="D48"/>
  <c r="R48" s="1"/>
  <c r="W48" s="1"/>
  <c r="E48"/>
  <c r="S48" s="1"/>
  <c r="X48" s="1"/>
  <c r="F48"/>
  <c r="T48" s="1"/>
  <c r="Y48" s="1"/>
  <c r="G48"/>
  <c r="U48" s="1"/>
  <c r="Z48" s="1"/>
  <c r="H48"/>
  <c r="V48" s="1"/>
  <c r="AA48" s="1"/>
  <c r="I48"/>
  <c r="J48"/>
  <c r="K48"/>
  <c r="L48"/>
  <c r="M48"/>
  <c r="N48"/>
  <c r="A49"/>
  <c r="B49"/>
  <c r="C49"/>
  <c r="D49"/>
  <c r="E49"/>
  <c r="S49" s="1"/>
  <c r="X49" s="1"/>
  <c r="F49"/>
  <c r="T49" s="1"/>
  <c r="Y49" s="1"/>
  <c r="G49"/>
  <c r="U49" s="1"/>
  <c r="Z49" s="1"/>
  <c r="H49"/>
  <c r="V49" s="1"/>
  <c r="AA49" s="1"/>
  <c r="I49"/>
  <c r="J49"/>
  <c r="K49"/>
  <c r="L49"/>
  <c r="M49"/>
  <c r="N49"/>
  <c r="Q49"/>
  <c r="R49"/>
  <c r="W49" s="1"/>
  <c r="A50"/>
  <c r="B50"/>
  <c r="C50"/>
  <c r="D50"/>
  <c r="E50"/>
  <c r="S50" s="1"/>
  <c r="X50" s="1"/>
  <c r="F50"/>
  <c r="T50" s="1"/>
  <c r="Y50" s="1"/>
  <c r="G50"/>
  <c r="U50" s="1"/>
  <c r="Z50" s="1"/>
  <c r="H50"/>
  <c r="V50" s="1"/>
  <c r="AA50" s="1"/>
  <c r="I50"/>
  <c r="J50"/>
  <c r="K50"/>
  <c r="L50"/>
  <c r="M50"/>
  <c r="N50"/>
  <c r="Q50"/>
  <c r="R50"/>
  <c r="W50" s="1"/>
  <c r="A51"/>
  <c r="B51"/>
  <c r="C51"/>
  <c r="Q51" s="1"/>
  <c r="D51"/>
  <c r="R51" s="1"/>
  <c r="W51" s="1"/>
  <c r="E51"/>
  <c r="S51" s="1"/>
  <c r="X51" s="1"/>
  <c r="F51"/>
  <c r="T51" s="1"/>
  <c r="Y51" s="1"/>
  <c r="G51"/>
  <c r="U51" s="1"/>
  <c r="Z51" s="1"/>
  <c r="H51"/>
  <c r="V51" s="1"/>
  <c r="AA51" s="1"/>
  <c r="I51"/>
  <c r="J51"/>
  <c r="K51"/>
  <c r="L51"/>
  <c r="M51"/>
  <c r="N51"/>
  <c r="A52"/>
  <c r="B52"/>
  <c r="C52"/>
  <c r="D52"/>
  <c r="E52"/>
  <c r="S52" s="1"/>
  <c r="X52" s="1"/>
  <c r="F52"/>
  <c r="T52" s="1"/>
  <c r="Y52" s="1"/>
  <c r="G52"/>
  <c r="U52" s="1"/>
  <c r="Z52" s="1"/>
  <c r="H52"/>
  <c r="V52" s="1"/>
  <c r="AA52" s="1"/>
  <c r="I52"/>
  <c r="J52"/>
  <c r="K52"/>
  <c r="L52"/>
  <c r="M52"/>
  <c r="N52"/>
  <c r="Q52"/>
  <c r="R52"/>
  <c r="W52" s="1"/>
  <c r="A53"/>
  <c r="B53"/>
  <c r="C53"/>
  <c r="Q53" s="1"/>
  <c r="D53"/>
  <c r="R53" s="1"/>
  <c r="W53" s="1"/>
  <c r="E53"/>
  <c r="S53" s="1"/>
  <c r="X53" s="1"/>
  <c r="F53"/>
  <c r="T53" s="1"/>
  <c r="Y53" s="1"/>
  <c r="G53"/>
  <c r="U53" s="1"/>
  <c r="Z53" s="1"/>
  <c r="H53"/>
  <c r="V53" s="1"/>
  <c r="AA53" s="1"/>
  <c r="I53"/>
  <c r="O53" s="1"/>
  <c r="J53"/>
  <c r="K53"/>
  <c r="L53"/>
  <c r="M53"/>
  <c r="N53"/>
  <c r="A54"/>
  <c r="B54"/>
  <c r="D54"/>
  <c r="R54" s="1"/>
  <c r="W54" s="1"/>
  <c r="E54"/>
  <c r="S54" s="1"/>
  <c r="X54" s="1"/>
  <c r="F54"/>
  <c r="T54" s="1"/>
  <c r="Y54" s="1"/>
  <c r="G54"/>
  <c r="U54" s="1"/>
  <c r="Z54" s="1"/>
  <c r="H54"/>
  <c r="V54" s="1"/>
  <c r="AA54" s="1"/>
  <c r="J54"/>
  <c r="K54"/>
  <c r="L54"/>
  <c r="M54"/>
  <c r="N54"/>
  <c r="A55"/>
  <c r="B55"/>
  <c r="D55"/>
  <c r="R55" s="1"/>
  <c r="W55" s="1"/>
  <c r="E55"/>
  <c r="S55" s="1"/>
  <c r="X55" s="1"/>
  <c r="F55"/>
  <c r="T55" s="1"/>
  <c r="Y55" s="1"/>
  <c r="G55"/>
  <c r="U55" s="1"/>
  <c r="Z55" s="1"/>
  <c r="H55"/>
  <c r="V55" s="1"/>
  <c r="AA55" s="1"/>
  <c r="J55"/>
  <c r="K55"/>
  <c r="L55"/>
  <c r="M55"/>
  <c r="N55"/>
  <c r="A56"/>
  <c r="B56"/>
  <c r="D56"/>
  <c r="R56" s="1"/>
  <c r="W56" s="1"/>
  <c r="E56"/>
  <c r="S56" s="1"/>
  <c r="X56" s="1"/>
  <c r="F56"/>
  <c r="T56" s="1"/>
  <c r="Y56" s="1"/>
  <c r="G56"/>
  <c r="U56" s="1"/>
  <c r="Z56" s="1"/>
  <c r="H56"/>
  <c r="V56" s="1"/>
  <c r="AA56" s="1"/>
  <c r="J56"/>
  <c r="K56"/>
  <c r="L56"/>
  <c r="M56"/>
  <c r="N56"/>
  <c r="A57"/>
  <c r="B57"/>
  <c r="D57"/>
  <c r="R57" s="1"/>
  <c r="W57" s="1"/>
  <c r="E57"/>
  <c r="S57" s="1"/>
  <c r="X57" s="1"/>
  <c r="F57"/>
  <c r="T57" s="1"/>
  <c r="Y57" s="1"/>
  <c r="G57"/>
  <c r="U57" s="1"/>
  <c r="Z57" s="1"/>
  <c r="H57"/>
  <c r="V57" s="1"/>
  <c r="AA57" s="1"/>
  <c r="J57"/>
  <c r="K57"/>
  <c r="L57"/>
  <c r="M57"/>
  <c r="N57"/>
  <c r="A58"/>
  <c r="B58"/>
  <c r="C58"/>
  <c r="D58"/>
  <c r="E58"/>
  <c r="S58" s="1"/>
  <c r="X58" s="1"/>
  <c r="F58"/>
  <c r="T58" s="1"/>
  <c r="Y58" s="1"/>
  <c r="G58"/>
  <c r="U58" s="1"/>
  <c r="Z58" s="1"/>
  <c r="H58"/>
  <c r="V58" s="1"/>
  <c r="AA58" s="1"/>
  <c r="I58"/>
  <c r="O58" s="1"/>
  <c r="J58"/>
  <c r="K58"/>
  <c r="L58"/>
  <c r="M58"/>
  <c r="N58"/>
  <c r="Q58"/>
  <c r="R58"/>
  <c r="W58" s="1"/>
  <c r="A59"/>
  <c r="B59"/>
  <c r="C59"/>
  <c r="Q59" s="1"/>
  <c r="D59"/>
  <c r="R59" s="1"/>
  <c r="W59" s="1"/>
  <c r="E59"/>
  <c r="S59" s="1"/>
  <c r="X59" s="1"/>
  <c r="F59"/>
  <c r="T59" s="1"/>
  <c r="Y59" s="1"/>
  <c r="G59"/>
  <c r="U59" s="1"/>
  <c r="Z59" s="1"/>
  <c r="H59"/>
  <c r="V59" s="1"/>
  <c r="AA59" s="1"/>
  <c r="I59"/>
  <c r="J59"/>
  <c r="K59"/>
  <c r="L59"/>
  <c r="M59"/>
  <c r="N59"/>
  <c r="A60"/>
  <c r="B60"/>
  <c r="C60"/>
  <c r="Q60" s="1"/>
  <c r="D60"/>
  <c r="R60" s="1"/>
  <c r="W60" s="1"/>
  <c r="E60"/>
  <c r="S60" s="1"/>
  <c r="X60" s="1"/>
  <c r="F60"/>
  <c r="T60" s="1"/>
  <c r="Y60" s="1"/>
  <c r="G60"/>
  <c r="U60" s="1"/>
  <c r="Z60" s="1"/>
  <c r="H60"/>
  <c r="V60" s="1"/>
  <c r="AA60" s="1"/>
  <c r="I60"/>
  <c r="O60" s="1"/>
  <c r="J60"/>
  <c r="K60"/>
  <c r="L60"/>
  <c r="M60"/>
  <c r="N60"/>
  <c r="A61"/>
  <c r="B61"/>
  <c r="D61"/>
  <c r="R61" s="1"/>
  <c r="W61" s="1"/>
  <c r="E61"/>
  <c r="S61" s="1"/>
  <c r="X61" s="1"/>
  <c r="F61"/>
  <c r="T61" s="1"/>
  <c r="Y61" s="1"/>
  <c r="G61"/>
  <c r="U61" s="1"/>
  <c r="Z61" s="1"/>
  <c r="H61"/>
  <c r="V61" s="1"/>
  <c r="AA61" s="1"/>
  <c r="J61"/>
  <c r="K61"/>
  <c r="L61"/>
  <c r="M61"/>
  <c r="N61"/>
  <c r="A62"/>
  <c r="B62"/>
  <c r="C62"/>
  <c r="Q62" s="1"/>
  <c r="D62"/>
  <c r="R62" s="1"/>
  <c r="W62" s="1"/>
  <c r="E62"/>
  <c r="S62" s="1"/>
  <c r="X62" s="1"/>
  <c r="F62"/>
  <c r="T62" s="1"/>
  <c r="Y62" s="1"/>
  <c r="G62"/>
  <c r="U62" s="1"/>
  <c r="Z62" s="1"/>
  <c r="H62"/>
  <c r="V62" s="1"/>
  <c r="AA62" s="1"/>
  <c r="I62"/>
  <c r="O62" s="1"/>
  <c r="J62"/>
  <c r="K62"/>
  <c r="L62"/>
  <c r="M62"/>
  <c r="N62"/>
  <c r="A63"/>
  <c r="B63"/>
  <c r="C63"/>
  <c r="Q63" s="1"/>
  <c r="D63"/>
  <c r="R63" s="1"/>
  <c r="W63" s="1"/>
  <c r="E63"/>
  <c r="S63" s="1"/>
  <c r="X63" s="1"/>
  <c r="F63"/>
  <c r="T63" s="1"/>
  <c r="Y63" s="1"/>
  <c r="G63"/>
  <c r="U63" s="1"/>
  <c r="Z63" s="1"/>
  <c r="H63"/>
  <c r="V63" s="1"/>
  <c r="AA63" s="1"/>
  <c r="I63"/>
  <c r="O63" s="1"/>
  <c r="J63"/>
  <c r="K63"/>
  <c r="L63"/>
  <c r="M63"/>
  <c r="N63"/>
  <c r="A64"/>
  <c r="B64"/>
  <c r="C64"/>
  <c r="Q64" s="1"/>
  <c r="D64"/>
  <c r="R64" s="1"/>
  <c r="W64" s="1"/>
  <c r="E64"/>
  <c r="S64" s="1"/>
  <c r="X64" s="1"/>
  <c r="F64"/>
  <c r="T64" s="1"/>
  <c r="Y64" s="1"/>
  <c r="G64"/>
  <c r="U64" s="1"/>
  <c r="Z64" s="1"/>
  <c r="H64"/>
  <c r="V64" s="1"/>
  <c r="AA64" s="1"/>
  <c r="I64"/>
  <c r="O64" s="1"/>
  <c r="J64"/>
  <c r="K64"/>
  <c r="L64"/>
  <c r="M64"/>
  <c r="N64"/>
  <c r="A65"/>
  <c r="B65"/>
  <c r="C65"/>
  <c r="D65"/>
  <c r="R65" s="1"/>
  <c r="W65" s="1"/>
  <c r="E65"/>
  <c r="S65" s="1"/>
  <c r="X65" s="1"/>
  <c r="F65"/>
  <c r="T65" s="1"/>
  <c r="Y65" s="1"/>
  <c r="G65"/>
  <c r="U65" s="1"/>
  <c r="Z65" s="1"/>
  <c r="H65"/>
  <c r="V65" s="1"/>
  <c r="AA65" s="1"/>
  <c r="I65"/>
  <c r="O65" s="1"/>
  <c r="J65"/>
  <c r="K65"/>
  <c r="L65"/>
  <c r="M65"/>
  <c r="N65"/>
  <c r="Q65"/>
  <c r="A66"/>
  <c r="B66"/>
  <c r="C66"/>
  <c r="Q66" s="1"/>
  <c r="D66"/>
  <c r="R66" s="1"/>
  <c r="W66" s="1"/>
  <c r="E66"/>
  <c r="S66" s="1"/>
  <c r="X66" s="1"/>
  <c r="F66"/>
  <c r="T66" s="1"/>
  <c r="Y66" s="1"/>
  <c r="G66"/>
  <c r="U66" s="1"/>
  <c r="Z66" s="1"/>
  <c r="H66"/>
  <c r="V66" s="1"/>
  <c r="AA66" s="1"/>
  <c r="I66"/>
  <c r="O66" s="1"/>
  <c r="J66"/>
  <c r="K66"/>
  <c r="L66"/>
  <c r="M66"/>
  <c r="N66"/>
  <c r="A67"/>
  <c r="B67"/>
  <c r="C67"/>
  <c r="D67"/>
  <c r="R67" s="1"/>
  <c r="W67" s="1"/>
  <c r="E67"/>
  <c r="S67" s="1"/>
  <c r="X67" s="1"/>
  <c r="F67"/>
  <c r="T67" s="1"/>
  <c r="Y67" s="1"/>
  <c r="G67"/>
  <c r="U67" s="1"/>
  <c r="Z67" s="1"/>
  <c r="H67"/>
  <c r="V67" s="1"/>
  <c r="AA67" s="1"/>
  <c r="I67"/>
  <c r="O67" s="1"/>
  <c r="J67"/>
  <c r="K67"/>
  <c r="L67"/>
  <c r="M67"/>
  <c r="N67"/>
  <c r="Q67"/>
  <c r="A68"/>
  <c r="B68"/>
  <c r="C68"/>
  <c r="Q68" s="1"/>
  <c r="D68"/>
  <c r="R68" s="1"/>
  <c r="W68" s="1"/>
  <c r="E68"/>
  <c r="S68" s="1"/>
  <c r="X68" s="1"/>
  <c r="F68"/>
  <c r="T68" s="1"/>
  <c r="Y68" s="1"/>
  <c r="G68"/>
  <c r="U68" s="1"/>
  <c r="Z68" s="1"/>
  <c r="H68"/>
  <c r="V68" s="1"/>
  <c r="AA68" s="1"/>
  <c r="I68"/>
  <c r="O68" s="1"/>
  <c r="J68"/>
  <c r="K68"/>
  <c r="L68"/>
  <c r="M68"/>
  <c r="N68"/>
  <c r="A69"/>
  <c r="B69"/>
  <c r="C69"/>
  <c r="Q69" s="1"/>
  <c r="D69"/>
  <c r="R69" s="1"/>
  <c r="W69" s="1"/>
  <c r="E69"/>
  <c r="S69" s="1"/>
  <c r="X69" s="1"/>
  <c r="F69"/>
  <c r="T69" s="1"/>
  <c r="Y69" s="1"/>
  <c r="G69"/>
  <c r="U69" s="1"/>
  <c r="Z69" s="1"/>
  <c r="H69"/>
  <c r="V69" s="1"/>
  <c r="AA69" s="1"/>
  <c r="I69"/>
  <c r="O69" s="1"/>
  <c r="J69"/>
  <c r="K69"/>
  <c r="L69"/>
  <c r="M69"/>
  <c r="N69"/>
  <c r="A70"/>
  <c r="B70"/>
  <c r="C70"/>
  <c r="D70"/>
  <c r="R70" s="1"/>
  <c r="W70" s="1"/>
  <c r="E70"/>
  <c r="S70" s="1"/>
  <c r="X70" s="1"/>
  <c r="F70"/>
  <c r="T70" s="1"/>
  <c r="Y70" s="1"/>
  <c r="G70"/>
  <c r="U70" s="1"/>
  <c r="Z70" s="1"/>
  <c r="H70"/>
  <c r="V70" s="1"/>
  <c r="AA70" s="1"/>
  <c r="I70"/>
  <c r="O70" s="1"/>
  <c r="J70"/>
  <c r="K70"/>
  <c r="L70"/>
  <c r="M70"/>
  <c r="N70"/>
  <c r="Q70"/>
  <c r="A71"/>
  <c r="B71"/>
  <c r="C71"/>
  <c r="Q71" s="1"/>
  <c r="D71"/>
  <c r="R71" s="1"/>
  <c r="W71" s="1"/>
  <c r="E71"/>
  <c r="S71" s="1"/>
  <c r="X71" s="1"/>
  <c r="F71"/>
  <c r="T71" s="1"/>
  <c r="Y71" s="1"/>
  <c r="G71"/>
  <c r="U71" s="1"/>
  <c r="Z71" s="1"/>
  <c r="H71"/>
  <c r="V71" s="1"/>
  <c r="AA71" s="1"/>
  <c r="I71"/>
  <c r="O71" s="1"/>
  <c r="J71"/>
  <c r="K71"/>
  <c r="L71"/>
  <c r="M71"/>
  <c r="N71"/>
  <c r="A72"/>
  <c r="B72"/>
  <c r="C72"/>
  <c r="Q72" s="1"/>
  <c r="D72"/>
  <c r="R72" s="1"/>
  <c r="W72" s="1"/>
  <c r="E72"/>
  <c r="S72" s="1"/>
  <c r="X72" s="1"/>
  <c r="F72"/>
  <c r="T72" s="1"/>
  <c r="Y72" s="1"/>
  <c r="G72"/>
  <c r="U72" s="1"/>
  <c r="Z72" s="1"/>
  <c r="H72"/>
  <c r="V72" s="1"/>
  <c r="AA72" s="1"/>
  <c r="I72"/>
  <c r="O72" s="1"/>
  <c r="J72"/>
  <c r="K72"/>
  <c r="L72"/>
  <c r="M72"/>
  <c r="N72"/>
  <c r="A73"/>
  <c r="B73"/>
  <c r="C73"/>
  <c r="Q73" s="1"/>
  <c r="D73"/>
  <c r="R73" s="1"/>
  <c r="W73" s="1"/>
  <c r="E73"/>
  <c r="S73" s="1"/>
  <c r="X73" s="1"/>
  <c r="F73"/>
  <c r="T73" s="1"/>
  <c r="Y73" s="1"/>
  <c r="G73"/>
  <c r="U73" s="1"/>
  <c r="Z73" s="1"/>
  <c r="H73"/>
  <c r="V73" s="1"/>
  <c r="AA73" s="1"/>
  <c r="I73"/>
  <c r="O73" s="1"/>
  <c r="J73"/>
  <c r="K73"/>
  <c r="L73"/>
  <c r="M73"/>
  <c r="N73"/>
  <c r="A74"/>
  <c r="B74"/>
  <c r="C74"/>
  <c r="Q74" s="1"/>
  <c r="D74"/>
  <c r="R74" s="1"/>
  <c r="W74" s="1"/>
  <c r="E74"/>
  <c r="S74" s="1"/>
  <c r="X74" s="1"/>
  <c r="F74"/>
  <c r="T74" s="1"/>
  <c r="Y74" s="1"/>
  <c r="G74"/>
  <c r="U74" s="1"/>
  <c r="Z74" s="1"/>
  <c r="H74"/>
  <c r="V74" s="1"/>
  <c r="AA74" s="1"/>
  <c r="I74"/>
  <c r="O74" s="1"/>
  <c r="J74"/>
  <c r="K74"/>
  <c r="L74"/>
  <c r="M74"/>
  <c r="N74"/>
  <c r="A75"/>
  <c r="B75"/>
  <c r="C75"/>
  <c r="Q75" s="1"/>
  <c r="D75"/>
  <c r="R75" s="1"/>
  <c r="W75" s="1"/>
  <c r="E75"/>
  <c r="S75" s="1"/>
  <c r="X75" s="1"/>
  <c r="F75"/>
  <c r="T75" s="1"/>
  <c r="Y75" s="1"/>
  <c r="G75"/>
  <c r="U75" s="1"/>
  <c r="Z75" s="1"/>
  <c r="H75"/>
  <c r="V75" s="1"/>
  <c r="AA75" s="1"/>
  <c r="I75"/>
  <c r="O75" s="1"/>
  <c r="J75"/>
  <c r="K75"/>
  <c r="L75"/>
  <c r="M75"/>
  <c r="N75"/>
  <c r="A76"/>
  <c r="B76"/>
  <c r="C76"/>
  <c r="Q76" s="1"/>
  <c r="D76"/>
  <c r="R76" s="1"/>
  <c r="W76" s="1"/>
  <c r="E76"/>
  <c r="S76" s="1"/>
  <c r="X76" s="1"/>
  <c r="F76"/>
  <c r="T76" s="1"/>
  <c r="Y76" s="1"/>
  <c r="G76"/>
  <c r="U76" s="1"/>
  <c r="Z76" s="1"/>
  <c r="H76"/>
  <c r="V76" s="1"/>
  <c r="AA76" s="1"/>
  <c r="I76"/>
  <c r="O76" s="1"/>
  <c r="J76"/>
  <c r="K76"/>
  <c r="L76"/>
  <c r="M76"/>
  <c r="N76"/>
  <c r="B62" i="1"/>
  <c r="B61"/>
  <c r="B60"/>
  <c r="B59"/>
  <c r="FS62" i="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Q62"/>
  <c r="CP62"/>
  <c r="CO62"/>
  <c r="CN62"/>
  <c r="U62"/>
  <c r="L62" i="4" s="1"/>
  <c r="N62" s="1"/>
  <c r="C61" i="3"/>
  <c r="Q61" s="1"/>
  <c r="FS61" i="2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Q61"/>
  <c r="CP61"/>
  <c r="CO61"/>
  <c r="CN61"/>
  <c r="U61"/>
  <c r="L61" i="4" s="1"/>
  <c r="N61" s="1"/>
  <c r="FS60" i="2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Q60"/>
  <c r="CP60"/>
  <c r="CO60"/>
  <c r="CN60"/>
  <c r="U60"/>
  <c r="L60" i="4" s="1"/>
  <c r="N60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Q59"/>
  <c r="CP59"/>
  <c r="CO59"/>
  <c r="CN59"/>
  <c r="U59"/>
  <c r="L59" i="4" s="1"/>
  <c r="N59" s="1"/>
  <c r="B58" i="1"/>
  <c r="B57"/>
  <c r="B56"/>
  <c r="B55"/>
  <c r="B54"/>
  <c r="I55" i="3"/>
  <c r="FS58" i="2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Q58"/>
  <c r="CP58"/>
  <c r="CO58"/>
  <c r="CN58"/>
  <c r="U58"/>
  <c r="L58" i="4" s="1"/>
  <c r="N58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Q57"/>
  <c r="CP57"/>
  <c r="CO57"/>
  <c r="CN57"/>
  <c r="U57"/>
  <c r="L57" i="4" s="1"/>
  <c r="N57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Q56"/>
  <c r="CP56"/>
  <c r="CO56"/>
  <c r="CN56"/>
  <c r="U56"/>
  <c r="L56" i="4" s="1"/>
  <c r="N56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Q54"/>
  <c r="CP54"/>
  <c r="CO54"/>
  <c r="CN54"/>
  <c r="U54"/>
  <c r="L54" i="4" s="1"/>
  <c r="N54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Q55"/>
  <c r="CP55"/>
  <c r="CO55"/>
  <c r="CN55"/>
  <c r="U55"/>
  <c r="L55" i="4" s="1"/>
  <c r="N55" s="1"/>
  <c r="M3" l="1"/>
  <c r="M58" i="1"/>
  <c r="H58"/>
  <c r="J58" s="1"/>
  <c r="M55"/>
  <c r="H55"/>
  <c r="J55" s="1"/>
  <c r="H54"/>
  <c r="J54" s="1"/>
  <c r="M54"/>
  <c r="M62"/>
  <c r="H62"/>
  <c r="J62" s="1"/>
  <c r="M61"/>
  <c r="H61"/>
  <c r="J61" s="1"/>
  <c r="M56"/>
  <c r="H56"/>
  <c r="J56" s="1"/>
  <c r="M60"/>
  <c r="H60"/>
  <c r="J60" s="1"/>
  <c r="M59"/>
  <c r="H59"/>
  <c r="J59" s="1"/>
  <c r="M57"/>
  <c r="H57"/>
  <c r="J57" s="1"/>
  <c r="CU57" i="2"/>
  <c r="I56" i="3"/>
  <c r="O56" s="1"/>
  <c r="C54"/>
  <c r="Q54" s="1"/>
  <c r="AB54" s="1"/>
  <c r="C55"/>
  <c r="Q55" s="1"/>
  <c r="AB55" s="1"/>
  <c r="I57"/>
  <c r="O57" s="1"/>
  <c r="CU60" i="2"/>
  <c r="I61" i="3"/>
  <c r="O61" s="1"/>
  <c r="C56"/>
  <c r="Q56" s="1"/>
  <c r="AB56" s="1"/>
  <c r="I54"/>
  <c r="O54" s="1"/>
  <c r="CU62" i="2"/>
  <c r="C57" i="3"/>
  <c r="Q57" s="1"/>
  <c r="AB57" s="1"/>
  <c r="O47"/>
  <c r="O59"/>
  <c r="O52"/>
  <c r="O55"/>
  <c r="O51"/>
  <c r="O49"/>
  <c r="O48"/>
  <c r="O46"/>
  <c r="O50"/>
  <c r="AB71"/>
  <c r="AB52"/>
  <c r="AB67"/>
  <c r="AB75"/>
  <c r="AB73"/>
  <c r="AB69"/>
  <c r="AB65"/>
  <c r="AB48"/>
  <c r="AB60"/>
  <c r="AB58"/>
  <c r="AB50"/>
  <c r="AB64"/>
  <c r="AB66"/>
  <c r="AB62"/>
  <c r="AB76"/>
  <c r="AB70"/>
  <c r="AB74"/>
  <c r="AB72"/>
  <c r="AB68"/>
  <c r="AB51"/>
  <c r="AB49"/>
  <c r="AB47"/>
  <c r="AB61"/>
  <c r="AB63"/>
  <c r="AB59"/>
  <c r="AB53"/>
  <c r="AB46"/>
  <c r="CU55" i="2"/>
  <c r="CU54"/>
  <c r="CU61"/>
  <c r="CU56"/>
  <c r="CU58"/>
  <c r="CU59"/>
  <c r="B77" i="1" l="1"/>
  <c r="B76"/>
  <c r="B75"/>
  <c r="B74"/>
  <c r="B73"/>
  <c r="B72"/>
  <c r="B71"/>
  <c r="B70"/>
  <c r="B69"/>
  <c r="B68"/>
  <c r="B67"/>
  <c r="B66"/>
  <c r="B65"/>
  <c r="B64"/>
  <c r="B63"/>
  <c r="FS77" i="2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R77"/>
  <c r="CQ77"/>
  <c r="CP77"/>
  <c r="CO77"/>
  <c r="CN77"/>
  <c r="U77"/>
  <c r="L77" i="4" s="1"/>
  <c r="N77" s="1"/>
  <c r="FS76" i="2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Q76"/>
  <c r="CP76"/>
  <c r="CO76"/>
  <c r="CN76"/>
  <c r="U76"/>
  <c r="L76" i="4" s="1"/>
  <c r="N76" s="1"/>
  <c r="FS75" i="2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Q75"/>
  <c r="CP75"/>
  <c r="CO75"/>
  <c r="CN75"/>
  <c r="U75"/>
  <c r="L75" i="4" s="1"/>
  <c r="N75" s="1"/>
  <c r="FS74" i="2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Q74"/>
  <c r="CP74"/>
  <c r="CO74"/>
  <c r="CN74"/>
  <c r="U74"/>
  <c r="L74" i="4" s="1"/>
  <c r="N74" s="1"/>
  <c r="FS73" i="2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Q73"/>
  <c r="CP73"/>
  <c r="CO73"/>
  <c r="CN73"/>
  <c r="U73"/>
  <c r="L73" i="4" s="1"/>
  <c r="N73" s="1"/>
  <c r="FS72" i="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Q72"/>
  <c r="CP72"/>
  <c r="CO72"/>
  <c r="CN72"/>
  <c r="U72"/>
  <c r="L72" i="4" s="1"/>
  <c r="N72" s="1"/>
  <c r="FS71" i="2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Q71"/>
  <c r="CP71"/>
  <c r="CO71"/>
  <c r="CN71"/>
  <c r="U71"/>
  <c r="L71" i="4" s="1"/>
  <c r="N71" s="1"/>
  <c r="FS70" i="2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Q70"/>
  <c r="CP70"/>
  <c r="CO70"/>
  <c r="CN70"/>
  <c r="U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Q69"/>
  <c r="CP69"/>
  <c r="CO69"/>
  <c r="CN69"/>
  <c r="U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Q68"/>
  <c r="CP68"/>
  <c r="CO68"/>
  <c r="CN68"/>
  <c r="U68"/>
  <c r="L68" i="4" s="1"/>
  <c r="N68" s="1"/>
  <c r="FS67" i="2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Q67"/>
  <c r="CP67"/>
  <c r="CO67"/>
  <c r="CN67"/>
  <c r="U67"/>
  <c r="L67" i="4" s="1"/>
  <c r="N67" s="1"/>
  <c r="A2" i="3"/>
  <c r="B2"/>
  <c r="C2"/>
  <c r="Q2" s="1"/>
  <c r="D2"/>
  <c r="R2" s="1"/>
  <c r="W2" s="1"/>
  <c r="E2"/>
  <c r="S2" s="1"/>
  <c r="X2" s="1"/>
  <c r="F2"/>
  <c r="T2" s="1"/>
  <c r="Y2" s="1"/>
  <c r="G2"/>
  <c r="U2" s="1"/>
  <c r="Z2" s="1"/>
  <c r="H2"/>
  <c r="V2" s="1"/>
  <c r="AA2" s="1"/>
  <c r="I2"/>
  <c r="J2"/>
  <c r="K2"/>
  <c r="L2"/>
  <c r="M2"/>
  <c r="N2"/>
  <c r="A3"/>
  <c r="B3"/>
  <c r="C3"/>
  <c r="Q3" s="1"/>
  <c r="D3"/>
  <c r="R3" s="1"/>
  <c r="W3" s="1"/>
  <c r="E3"/>
  <c r="S3" s="1"/>
  <c r="X3" s="1"/>
  <c r="F3"/>
  <c r="T3" s="1"/>
  <c r="Y3" s="1"/>
  <c r="G3"/>
  <c r="U3" s="1"/>
  <c r="Z3" s="1"/>
  <c r="H3"/>
  <c r="V3" s="1"/>
  <c r="AA3" s="1"/>
  <c r="I3"/>
  <c r="J3"/>
  <c r="K3"/>
  <c r="L3"/>
  <c r="M3"/>
  <c r="N3"/>
  <c r="A4"/>
  <c r="B4"/>
  <c r="C4"/>
  <c r="D4"/>
  <c r="E4"/>
  <c r="S4" s="1"/>
  <c r="X4" s="1"/>
  <c r="F4"/>
  <c r="T4" s="1"/>
  <c r="Y4" s="1"/>
  <c r="G4"/>
  <c r="U4" s="1"/>
  <c r="Z4" s="1"/>
  <c r="H4"/>
  <c r="V4" s="1"/>
  <c r="AA4" s="1"/>
  <c r="I4"/>
  <c r="J4"/>
  <c r="K4"/>
  <c r="L4"/>
  <c r="M4"/>
  <c r="N4"/>
  <c r="Q4"/>
  <c r="R4"/>
  <c r="W4" s="1"/>
  <c r="A5"/>
  <c r="B5"/>
  <c r="C5"/>
  <c r="Q5" s="1"/>
  <c r="D5"/>
  <c r="R5" s="1"/>
  <c r="W5" s="1"/>
  <c r="E5"/>
  <c r="S5" s="1"/>
  <c r="X5" s="1"/>
  <c r="F5"/>
  <c r="T5" s="1"/>
  <c r="Y5" s="1"/>
  <c r="G5"/>
  <c r="U5" s="1"/>
  <c r="Z5" s="1"/>
  <c r="H5"/>
  <c r="V5" s="1"/>
  <c r="AA5" s="1"/>
  <c r="I5"/>
  <c r="J5"/>
  <c r="K5"/>
  <c r="L5"/>
  <c r="M5"/>
  <c r="N5"/>
  <c r="A6"/>
  <c r="B6"/>
  <c r="C6"/>
  <c r="Q6" s="1"/>
  <c r="D6"/>
  <c r="R6" s="1"/>
  <c r="W6" s="1"/>
  <c r="E6"/>
  <c r="S6" s="1"/>
  <c r="X6" s="1"/>
  <c r="F6"/>
  <c r="T6" s="1"/>
  <c r="Y6" s="1"/>
  <c r="G6"/>
  <c r="U6" s="1"/>
  <c r="Z6" s="1"/>
  <c r="H6"/>
  <c r="V6" s="1"/>
  <c r="AA6" s="1"/>
  <c r="I6"/>
  <c r="J6"/>
  <c r="K6"/>
  <c r="L6"/>
  <c r="M6"/>
  <c r="N6"/>
  <c r="A7"/>
  <c r="B7"/>
  <c r="C7"/>
  <c r="D7"/>
  <c r="E7"/>
  <c r="S7" s="1"/>
  <c r="X7" s="1"/>
  <c r="F7"/>
  <c r="T7" s="1"/>
  <c r="Y7" s="1"/>
  <c r="G7"/>
  <c r="U7" s="1"/>
  <c r="Z7" s="1"/>
  <c r="H7"/>
  <c r="V7" s="1"/>
  <c r="AA7" s="1"/>
  <c r="I7"/>
  <c r="J7"/>
  <c r="K7"/>
  <c r="L7"/>
  <c r="M7"/>
  <c r="N7"/>
  <c r="Q7"/>
  <c r="R7"/>
  <c r="W7" s="1"/>
  <c r="A8"/>
  <c r="B8"/>
  <c r="C8"/>
  <c r="D8"/>
  <c r="R8" s="1"/>
  <c r="W8" s="1"/>
  <c r="E8"/>
  <c r="S8" s="1"/>
  <c r="X8" s="1"/>
  <c r="F8"/>
  <c r="T8" s="1"/>
  <c r="Y8" s="1"/>
  <c r="G8"/>
  <c r="U8" s="1"/>
  <c r="Z8" s="1"/>
  <c r="H8"/>
  <c r="V8" s="1"/>
  <c r="AA8" s="1"/>
  <c r="I8"/>
  <c r="J8"/>
  <c r="K8"/>
  <c r="L8"/>
  <c r="M8"/>
  <c r="N8"/>
  <c r="Q8"/>
  <c r="A9"/>
  <c r="B9"/>
  <c r="C9"/>
  <c r="Q9" s="1"/>
  <c r="D9"/>
  <c r="R9" s="1"/>
  <c r="W9" s="1"/>
  <c r="E9"/>
  <c r="S9" s="1"/>
  <c r="X9" s="1"/>
  <c r="F9"/>
  <c r="T9" s="1"/>
  <c r="Y9" s="1"/>
  <c r="G9"/>
  <c r="U9" s="1"/>
  <c r="Z9" s="1"/>
  <c r="H9"/>
  <c r="V9" s="1"/>
  <c r="AA9" s="1"/>
  <c r="I9"/>
  <c r="J9"/>
  <c r="K9"/>
  <c r="L9"/>
  <c r="M9"/>
  <c r="N9"/>
  <c r="A10"/>
  <c r="B10"/>
  <c r="C10"/>
  <c r="Q10" s="1"/>
  <c r="D10"/>
  <c r="R10" s="1"/>
  <c r="W10" s="1"/>
  <c r="E10"/>
  <c r="S10" s="1"/>
  <c r="X10" s="1"/>
  <c r="F10"/>
  <c r="T10" s="1"/>
  <c r="Y10" s="1"/>
  <c r="G10"/>
  <c r="U10" s="1"/>
  <c r="Z10" s="1"/>
  <c r="H10"/>
  <c r="V10" s="1"/>
  <c r="AA10" s="1"/>
  <c r="I10"/>
  <c r="J10"/>
  <c r="K10"/>
  <c r="L10"/>
  <c r="M10"/>
  <c r="N10"/>
  <c r="A11"/>
  <c r="B11"/>
  <c r="C11"/>
  <c r="Q11" s="1"/>
  <c r="D11"/>
  <c r="R11" s="1"/>
  <c r="W11" s="1"/>
  <c r="E11"/>
  <c r="S11" s="1"/>
  <c r="X11" s="1"/>
  <c r="F11"/>
  <c r="T11" s="1"/>
  <c r="Y11" s="1"/>
  <c r="G11"/>
  <c r="U11" s="1"/>
  <c r="Z11" s="1"/>
  <c r="H11"/>
  <c r="V11" s="1"/>
  <c r="AA11" s="1"/>
  <c r="I11"/>
  <c r="J11"/>
  <c r="K11"/>
  <c r="L11"/>
  <c r="M11"/>
  <c r="N11"/>
  <c r="A12"/>
  <c r="B12"/>
  <c r="C12"/>
  <c r="Q12" s="1"/>
  <c r="D12"/>
  <c r="R12" s="1"/>
  <c r="W12" s="1"/>
  <c r="E12"/>
  <c r="S12" s="1"/>
  <c r="X12" s="1"/>
  <c r="F12"/>
  <c r="T12" s="1"/>
  <c r="Y12" s="1"/>
  <c r="G12"/>
  <c r="U12" s="1"/>
  <c r="Z12" s="1"/>
  <c r="H12"/>
  <c r="V12" s="1"/>
  <c r="AA12" s="1"/>
  <c r="I12"/>
  <c r="J12"/>
  <c r="K12"/>
  <c r="L12"/>
  <c r="M12"/>
  <c r="N12"/>
  <c r="A13"/>
  <c r="B13"/>
  <c r="C13"/>
  <c r="Q13" s="1"/>
  <c r="D13"/>
  <c r="R13" s="1"/>
  <c r="W13" s="1"/>
  <c r="E13"/>
  <c r="S13" s="1"/>
  <c r="X13" s="1"/>
  <c r="F13"/>
  <c r="T13" s="1"/>
  <c r="Y13" s="1"/>
  <c r="G13"/>
  <c r="U13" s="1"/>
  <c r="Z13" s="1"/>
  <c r="H13"/>
  <c r="V13" s="1"/>
  <c r="AA13" s="1"/>
  <c r="I13"/>
  <c r="J13"/>
  <c r="K13"/>
  <c r="L13"/>
  <c r="M13"/>
  <c r="N13"/>
  <c r="A14"/>
  <c r="B14"/>
  <c r="C14"/>
  <c r="Q14" s="1"/>
  <c r="D14"/>
  <c r="R14" s="1"/>
  <c r="W14" s="1"/>
  <c r="E14"/>
  <c r="S14" s="1"/>
  <c r="X14" s="1"/>
  <c r="F14"/>
  <c r="T14" s="1"/>
  <c r="Y14" s="1"/>
  <c r="G14"/>
  <c r="U14" s="1"/>
  <c r="Z14" s="1"/>
  <c r="H14"/>
  <c r="V14" s="1"/>
  <c r="AA14" s="1"/>
  <c r="I14"/>
  <c r="J14"/>
  <c r="K14"/>
  <c r="L14"/>
  <c r="M14"/>
  <c r="N14"/>
  <c r="A15"/>
  <c r="B15"/>
  <c r="C15"/>
  <c r="Q15" s="1"/>
  <c r="D15"/>
  <c r="R15" s="1"/>
  <c r="W15" s="1"/>
  <c r="E15"/>
  <c r="S15" s="1"/>
  <c r="X15" s="1"/>
  <c r="F15"/>
  <c r="T15" s="1"/>
  <c r="Y15" s="1"/>
  <c r="G15"/>
  <c r="U15" s="1"/>
  <c r="Z15" s="1"/>
  <c r="H15"/>
  <c r="V15" s="1"/>
  <c r="AA15" s="1"/>
  <c r="I15"/>
  <c r="J15"/>
  <c r="K15"/>
  <c r="L15"/>
  <c r="M15"/>
  <c r="N15"/>
  <c r="A16"/>
  <c r="B16"/>
  <c r="C16"/>
  <c r="Q16" s="1"/>
  <c r="D16"/>
  <c r="R16" s="1"/>
  <c r="W16" s="1"/>
  <c r="E16"/>
  <c r="S16" s="1"/>
  <c r="X16" s="1"/>
  <c r="F16"/>
  <c r="T16" s="1"/>
  <c r="Y16" s="1"/>
  <c r="G16"/>
  <c r="U16" s="1"/>
  <c r="Z16" s="1"/>
  <c r="H16"/>
  <c r="V16" s="1"/>
  <c r="AA16" s="1"/>
  <c r="I16"/>
  <c r="J16"/>
  <c r="K16"/>
  <c r="L16"/>
  <c r="M16"/>
  <c r="N16"/>
  <c r="A17"/>
  <c r="B17"/>
  <c r="C17"/>
  <c r="Q17" s="1"/>
  <c r="D17"/>
  <c r="R17" s="1"/>
  <c r="W17" s="1"/>
  <c r="E17"/>
  <c r="S17" s="1"/>
  <c r="X17" s="1"/>
  <c r="F17"/>
  <c r="T17" s="1"/>
  <c r="Y17" s="1"/>
  <c r="G17"/>
  <c r="U17" s="1"/>
  <c r="Z17" s="1"/>
  <c r="H17"/>
  <c r="V17" s="1"/>
  <c r="AA17" s="1"/>
  <c r="I17"/>
  <c r="J17"/>
  <c r="K17"/>
  <c r="L17"/>
  <c r="M17"/>
  <c r="N17"/>
  <c r="A18"/>
  <c r="B18"/>
  <c r="C18"/>
  <c r="Q18" s="1"/>
  <c r="D18"/>
  <c r="R18" s="1"/>
  <c r="W18" s="1"/>
  <c r="E18"/>
  <c r="S18" s="1"/>
  <c r="X18" s="1"/>
  <c r="F18"/>
  <c r="T18" s="1"/>
  <c r="Y18" s="1"/>
  <c r="G18"/>
  <c r="U18" s="1"/>
  <c r="Z18" s="1"/>
  <c r="H18"/>
  <c r="V18" s="1"/>
  <c r="AA18" s="1"/>
  <c r="I18"/>
  <c r="J18"/>
  <c r="K18"/>
  <c r="L18"/>
  <c r="M18"/>
  <c r="N18"/>
  <c r="A19"/>
  <c r="B19"/>
  <c r="C19"/>
  <c r="D19"/>
  <c r="E19"/>
  <c r="S19" s="1"/>
  <c r="X19" s="1"/>
  <c r="F19"/>
  <c r="T19" s="1"/>
  <c r="Y19" s="1"/>
  <c r="G19"/>
  <c r="U19" s="1"/>
  <c r="Z19" s="1"/>
  <c r="H19"/>
  <c r="V19" s="1"/>
  <c r="AA19" s="1"/>
  <c r="I19"/>
  <c r="O19" s="1"/>
  <c r="J19"/>
  <c r="K19"/>
  <c r="L19"/>
  <c r="M19"/>
  <c r="N19"/>
  <c r="Q19"/>
  <c r="R19"/>
  <c r="W19" s="1"/>
  <c r="A20"/>
  <c r="B20"/>
  <c r="C20"/>
  <c r="Q20" s="1"/>
  <c r="D20"/>
  <c r="R20" s="1"/>
  <c r="W20" s="1"/>
  <c r="E20"/>
  <c r="S20" s="1"/>
  <c r="X20" s="1"/>
  <c r="F20"/>
  <c r="T20" s="1"/>
  <c r="Y20" s="1"/>
  <c r="G20"/>
  <c r="U20" s="1"/>
  <c r="Z20" s="1"/>
  <c r="H20"/>
  <c r="V20" s="1"/>
  <c r="AA20" s="1"/>
  <c r="I20"/>
  <c r="J20"/>
  <c r="K20"/>
  <c r="L20"/>
  <c r="M20"/>
  <c r="N20"/>
  <c r="A21"/>
  <c r="B21"/>
  <c r="C21"/>
  <c r="Q21" s="1"/>
  <c r="D21"/>
  <c r="R21" s="1"/>
  <c r="W21" s="1"/>
  <c r="E21"/>
  <c r="S21" s="1"/>
  <c r="X21" s="1"/>
  <c r="F21"/>
  <c r="T21" s="1"/>
  <c r="Y21" s="1"/>
  <c r="G21"/>
  <c r="U21" s="1"/>
  <c r="Z21" s="1"/>
  <c r="H21"/>
  <c r="V21" s="1"/>
  <c r="AA21" s="1"/>
  <c r="I21"/>
  <c r="J21"/>
  <c r="K21"/>
  <c r="L21"/>
  <c r="M21"/>
  <c r="N21"/>
  <c r="A22"/>
  <c r="B22"/>
  <c r="C22"/>
  <c r="Q22" s="1"/>
  <c r="D22"/>
  <c r="R22" s="1"/>
  <c r="W22" s="1"/>
  <c r="E22"/>
  <c r="S22" s="1"/>
  <c r="X22" s="1"/>
  <c r="F22"/>
  <c r="T22" s="1"/>
  <c r="Y22" s="1"/>
  <c r="G22"/>
  <c r="U22" s="1"/>
  <c r="Z22" s="1"/>
  <c r="H22"/>
  <c r="V22" s="1"/>
  <c r="AA22" s="1"/>
  <c r="I22"/>
  <c r="J22"/>
  <c r="K22"/>
  <c r="L22"/>
  <c r="M22"/>
  <c r="N22"/>
  <c r="A23"/>
  <c r="B23"/>
  <c r="C23"/>
  <c r="D23"/>
  <c r="R23" s="1"/>
  <c r="W23" s="1"/>
  <c r="E23"/>
  <c r="S23" s="1"/>
  <c r="X23" s="1"/>
  <c r="F23"/>
  <c r="T23" s="1"/>
  <c r="Y23" s="1"/>
  <c r="G23"/>
  <c r="U23" s="1"/>
  <c r="Z23" s="1"/>
  <c r="H23"/>
  <c r="V23" s="1"/>
  <c r="AA23" s="1"/>
  <c r="I23"/>
  <c r="J23"/>
  <c r="K23"/>
  <c r="L23"/>
  <c r="M23"/>
  <c r="N23"/>
  <c r="Q23"/>
  <c r="A24"/>
  <c r="B24"/>
  <c r="C24"/>
  <c r="Q24" s="1"/>
  <c r="D24"/>
  <c r="R24" s="1"/>
  <c r="W24" s="1"/>
  <c r="E24"/>
  <c r="S24" s="1"/>
  <c r="X24" s="1"/>
  <c r="F24"/>
  <c r="T24" s="1"/>
  <c r="Y24" s="1"/>
  <c r="G24"/>
  <c r="U24" s="1"/>
  <c r="Z24" s="1"/>
  <c r="H24"/>
  <c r="V24" s="1"/>
  <c r="AA24" s="1"/>
  <c r="I24"/>
  <c r="J24"/>
  <c r="K24"/>
  <c r="L24"/>
  <c r="M24"/>
  <c r="N24"/>
  <c r="A25"/>
  <c r="B25"/>
  <c r="C25"/>
  <c r="D25"/>
  <c r="R25" s="1"/>
  <c r="W25" s="1"/>
  <c r="E25"/>
  <c r="S25" s="1"/>
  <c r="X25" s="1"/>
  <c r="F25"/>
  <c r="T25" s="1"/>
  <c r="Y25" s="1"/>
  <c r="G25"/>
  <c r="U25" s="1"/>
  <c r="Z25" s="1"/>
  <c r="H25"/>
  <c r="V25" s="1"/>
  <c r="AA25" s="1"/>
  <c r="I25"/>
  <c r="J25"/>
  <c r="K25"/>
  <c r="L25"/>
  <c r="M25"/>
  <c r="N25"/>
  <c r="Q25"/>
  <c r="A26"/>
  <c r="B26"/>
  <c r="C26"/>
  <c r="Q26" s="1"/>
  <c r="D26"/>
  <c r="R26" s="1"/>
  <c r="W26" s="1"/>
  <c r="E26"/>
  <c r="S26" s="1"/>
  <c r="X26" s="1"/>
  <c r="F26"/>
  <c r="T26" s="1"/>
  <c r="Y26" s="1"/>
  <c r="G26"/>
  <c r="U26" s="1"/>
  <c r="Z26" s="1"/>
  <c r="H26"/>
  <c r="V26" s="1"/>
  <c r="AA26" s="1"/>
  <c r="I26"/>
  <c r="J26"/>
  <c r="K26"/>
  <c r="L26"/>
  <c r="M26"/>
  <c r="N26"/>
  <c r="A27"/>
  <c r="B27"/>
  <c r="C27"/>
  <c r="Q27" s="1"/>
  <c r="D27"/>
  <c r="R27" s="1"/>
  <c r="W27" s="1"/>
  <c r="E27"/>
  <c r="S27" s="1"/>
  <c r="X27" s="1"/>
  <c r="F27"/>
  <c r="T27" s="1"/>
  <c r="Y27" s="1"/>
  <c r="G27"/>
  <c r="U27" s="1"/>
  <c r="Z27" s="1"/>
  <c r="H27"/>
  <c r="V27" s="1"/>
  <c r="AA27" s="1"/>
  <c r="I27"/>
  <c r="J27"/>
  <c r="K27"/>
  <c r="L27"/>
  <c r="M27"/>
  <c r="N27"/>
  <c r="A28"/>
  <c r="B28"/>
  <c r="C28"/>
  <c r="Q28" s="1"/>
  <c r="D28"/>
  <c r="R28" s="1"/>
  <c r="W28" s="1"/>
  <c r="E28"/>
  <c r="S28" s="1"/>
  <c r="X28" s="1"/>
  <c r="F28"/>
  <c r="T28" s="1"/>
  <c r="Y28" s="1"/>
  <c r="G28"/>
  <c r="U28" s="1"/>
  <c r="Z28" s="1"/>
  <c r="H28"/>
  <c r="V28" s="1"/>
  <c r="AA28" s="1"/>
  <c r="I28"/>
  <c r="J28"/>
  <c r="K28"/>
  <c r="L28"/>
  <c r="M28"/>
  <c r="N28"/>
  <c r="A29"/>
  <c r="B29"/>
  <c r="C29"/>
  <c r="D29"/>
  <c r="R29" s="1"/>
  <c r="W29" s="1"/>
  <c r="E29"/>
  <c r="S29" s="1"/>
  <c r="X29" s="1"/>
  <c r="F29"/>
  <c r="T29" s="1"/>
  <c r="Y29" s="1"/>
  <c r="G29"/>
  <c r="U29" s="1"/>
  <c r="Z29" s="1"/>
  <c r="H29"/>
  <c r="V29" s="1"/>
  <c r="AA29" s="1"/>
  <c r="I29"/>
  <c r="J29"/>
  <c r="K29"/>
  <c r="L29"/>
  <c r="M29"/>
  <c r="N29"/>
  <c r="Q29"/>
  <c r="A30"/>
  <c r="B30"/>
  <c r="C30"/>
  <c r="Q30" s="1"/>
  <c r="D30"/>
  <c r="R30" s="1"/>
  <c r="W30" s="1"/>
  <c r="E30"/>
  <c r="S30" s="1"/>
  <c r="X30" s="1"/>
  <c r="F30"/>
  <c r="T30" s="1"/>
  <c r="Y30" s="1"/>
  <c r="G30"/>
  <c r="U30" s="1"/>
  <c r="Z30" s="1"/>
  <c r="H30"/>
  <c r="V30" s="1"/>
  <c r="AA30" s="1"/>
  <c r="I30"/>
  <c r="J30"/>
  <c r="K30"/>
  <c r="L30"/>
  <c r="M30"/>
  <c r="N30"/>
  <c r="A31"/>
  <c r="B31"/>
  <c r="C31"/>
  <c r="D31"/>
  <c r="E31"/>
  <c r="S31" s="1"/>
  <c r="X31" s="1"/>
  <c r="F31"/>
  <c r="T31" s="1"/>
  <c r="Y31" s="1"/>
  <c r="G31"/>
  <c r="U31" s="1"/>
  <c r="Z31" s="1"/>
  <c r="H31"/>
  <c r="V31" s="1"/>
  <c r="AA31" s="1"/>
  <c r="I31"/>
  <c r="J31"/>
  <c r="K31"/>
  <c r="L31"/>
  <c r="M31"/>
  <c r="N31"/>
  <c r="Q31"/>
  <c r="R31"/>
  <c r="W31" s="1"/>
  <c r="A32"/>
  <c r="B32"/>
  <c r="C32"/>
  <c r="D32"/>
  <c r="R32" s="1"/>
  <c r="W32" s="1"/>
  <c r="E32"/>
  <c r="S32" s="1"/>
  <c r="X32" s="1"/>
  <c r="F32"/>
  <c r="T32" s="1"/>
  <c r="Y32" s="1"/>
  <c r="G32"/>
  <c r="U32" s="1"/>
  <c r="Z32" s="1"/>
  <c r="H32"/>
  <c r="V32" s="1"/>
  <c r="AA32" s="1"/>
  <c r="I32"/>
  <c r="J32"/>
  <c r="K32"/>
  <c r="L32"/>
  <c r="M32"/>
  <c r="N32"/>
  <c r="Q32"/>
  <c r="A33"/>
  <c r="B33"/>
  <c r="C33"/>
  <c r="Q33" s="1"/>
  <c r="D33"/>
  <c r="R33" s="1"/>
  <c r="W33" s="1"/>
  <c r="E33"/>
  <c r="S33" s="1"/>
  <c r="X33" s="1"/>
  <c r="F33"/>
  <c r="T33" s="1"/>
  <c r="Y33" s="1"/>
  <c r="G33"/>
  <c r="U33" s="1"/>
  <c r="Z33" s="1"/>
  <c r="H33"/>
  <c r="V33" s="1"/>
  <c r="AA33" s="1"/>
  <c r="I33"/>
  <c r="J33"/>
  <c r="K33"/>
  <c r="L33"/>
  <c r="M33"/>
  <c r="N33"/>
  <c r="A34"/>
  <c r="B34"/>
  <c r="C34"/>
  <c r="Q34" s="1"/>
  <c r="D34"/>
  <c r="R34" s="1"/>
  <c r="W34" s="1"/>
  <c r="E34"/>
  <c r="S34" s="1"/>
  <c r="X34" s="1"/>
  <c r="F34"/>
  <c r="T34" s="1"/>
  <c r="Y34" s="1"/>
  <c r="G34"/>
  <c r="U34" s="1"/>
  <c r="Z34" s="1"/>
  <c r="H34"/>
  <c r="V34" s="1"/>
  <c r="AA34" s="1"/>
  <c r="I34"/>
  <c r="J34"/>
  <c r="K34"/>
  <c r="L34"/>
  <c r="M34"/>
  <c r="N34"/>
  <c r="A35"/>
  <c r="B35"/>
  <c r="C35"/>
  <c r="Q35" s="1"/>
  <c r="D35"/>
  <c r="R35" s="1"/>
  <c r="W35" s="1"/>
  <c r="E35"/>
  <c r="S35" s="1"/>
  <c r="X35" s="1"/>
  <c r="F35"/>
  <c r="T35" s="1"/>
  <c r="Y35" s="1"/>
  <c r="G35"/>
  <c r="U35" s="1"/>
  <c r="Z35" s="1"/>
  <c r="H35"/>
  <c r="V35" s="1"/>
  <c r="AA35" s="1"/>
  <c r="I35"/>
  <c r="J35"/>
  <c r="K35"/>
  <c r="L35"/>
  <c r="M35"/>
  <c r="N35"/>
  <c r="A36"/>
  <c r="B36"/>
  <c r="C36"/>
  <c r="Q36" s="1"/>
  <c r="D36"/>
  <c r="R36" s="1"/>
  <c r="W36" s="1"/>
  <c r="E36"/>
  <c r="S36" s="1"/>
  <c r="X36" s="1"/>
  <c r="F36"/>
  <c r="T36" s="1"/>
  <c r="Y36" s="1"/>
  <c r="G36"/>
  <c r="U36" s="1"/>
  <c r="Z36" s="1"/>
  <c r="H36"/>
  <c r="V36" s="1"/>
  <c r="AA36" s="1"/>
  <c r="I36"/>
  <c r="O36" s="1"/>
  <c r="J36"/>
  <c r="K36"/>
  <c r="L36"/>
  <c r="M36"/>
  <c r="N36"/>
  <c r="A37"/>
  <c r="B37"/>
  <c r="C37"/>
  <c r="Q37" s="1"/>
  <c r="D37"/>
  <c r="R37" s="1"/>
  <c r="W37" s="1"/>
  <c r="E37"/>
  <c r="S37" s="1"/>
  <c r="X37" s="1"/>
  <c r="F37"/>
  <c r="T37" s="1"/>
  <c r="Y37" s="1"/>
  <c r="G37"/>
  <c r="U37" s="1"/>
  <c r="Z37" s="1"/>
  <c r="H37"/>
  <c r="V37" s="1"/>
  <c r="AA37" s="1"/>
  <c r="I37"/>
  <c r="J37"/>
  <c r="K37"/>
  <c r="L37"/>
  <c r="M37"/>
  <c r="N37"/>
  <c r="A38"/>
  <c r="B38"/>
  <c r="C38"/>
  <c r="Q38" s="1"/>
  <c r="D38"/>
  <c r="R38" s="1"/>
  <c r="W38" s="1"/>
  <c r="E38"/>
  <c r="S38" s="1"/>
  <c r="X38" s="1"/>
  <c r="F38"/>
  <c r="T38" s="1"/>
  <c r="Y38" s="1"/>
  <c r="G38"/>
  <c r="U38" s="1"/>
  <c r="Z38" s="1"/>
  <c r="H38"/>
  <c r="V38" s="1"/>
  <c r="AA38" s="1"/>
  <c r="I38"/>
  <c r="J38"/>
  <c r="K38"/>
  <c r="L38"/>
  <c r="M38"/>
  <c r="N38"/>
  <c r="A39"/>
  <c r="B39"/>
  <c r="C39"/>
  <c r="Q39" s="1"/>
  <c r="D39"/>
  <c r="R39" s="1"/>
  <c r="W39" s="1"/>
  <c r="E39"/>
  <c r="S39" s="1"/>
  <c r="X39" s="1"/>
  <c r="F39"/>
  <c r="T39" s="1"/>
  <c r="Y39" s="1"/>
  <c r="G39"/>
  <c r="U39" s="1"/>
  <c r="Z39" s="1"/>
  <c r="H39"/>
  <c r="V39" s="1"/>
  <c r="AA39" s="1"/>
  <c r="I39"/>
  <c r="J39"/>
  <c r="K39"/>
  <c r="L39"/>
  <c r="M39"/>
  <c r="N39"/>
  <c r="A40"/>
  <c r="B40"/>
  <c r="C40"/>
  <c r="D40"/>
  <c r="R40" s="1"/>
  <c r="W40" s="1"/>
  <c r="E40"/>
  <c r="S40" s="1"/>
  <c r="X40" s="1"/>
  <c r="F40"/>
  <c r="T40" s="1"/>
  <c r="Y40" s="1"/>
  <c r="G40"/>
  <c r="U40" s="1"/>
  <c r="Z40" s="1"/>
  <c r="H40"/>
  <c r="V40" s="1"/>
  <c r="AA40" s="1"/>
  <c r="I40"/>
  <c r="J40"/>
  <c r="K40"/>
  <c r="L40"/>
  <c r="M40"/>
  <c r="N40"/>
  <c r="Q40"/>
  <c r="A41"/>
  <c r="B41"/>
  <c r="C41"/>
  <c r="Q41" s="1"/>
  <c r="D41"/>
  <c r="R41" s="1"/>
  <c r="W41" s="1"/>
  <c r="E41"/>
  <c r="S41" s="1"/>
  <c r="X41" s="1"/>
  <c r="F41"/>
  <c r="T41" s="1"/>
  <c r="Y41" s="1"/>
  <c r="G41"/>
  <c r="U41" s="1"/>
  <c r="Z41" s="1"/>
  <c r="H41"/>
  <c r="V41" s="1"/>
  <c r="AA41" s="1"/>
  <c r="I41"/>
  <c r="J41"/>
  <c r="K41"/>
  <c r="L41"/>
  <c r="M41"/>
  <c r="N41"/>
  <c r="A42"/>
  <c r="B42"/>
  <c r="C42"/>
  <c r="Q42" s="1"/>
  <c r="D42"/>
  <c r="R42" s="1"/>
  <c r="W42" s="1"/>
  <c r="E42"/>
  <c r="S42" s="1"/>
  <c r="X42" s="1"/>
  <c r="F42"/>
  <c r="T42" s="1"/>
  <c r="Y42" s="1"/>
  <c r="G42"/>
  <c r="U42" s="1"/>
  <c r="Z42" s="1"/>
  <c r="H42"/>
  <c r="V42" s="1"/>
  <c r="AA42" s="1"/>
  <c r="I42"/>
  <c r="J42"/>
  <c r="K42"/>
  <c r="L42"/>
  <c r="M42"/>
  <c r="N42"/>
  <c r="A43"/>
  <c r="B43"/>
  <c r="C43"/>
  <c r="Q43" s="1"/>
  <c r="D43"/>
  <c r="R43" s="1"/>
  <c r="W43" s="1"/>
  <c r="E43"/>
  <c r="S43" s="1"/>
  <c r="X43" s="1"/>
  <c r="F43"/>
  <c r="T43" s="1"/>
  <c r="Y43" s="1"/>
  <c r="G43"/>
  <c r="U43" s="1"/>
  <c r="Z43" s="1"/>
  <c r="H43"/>
  <c r="V43" s="1"/>
  <c r="AA43" s="1"/>
  <c r="I43"/>
  <c r="J43"/>
  <c r="K43"/>
  <c r="L43"/>
  <c r="M43"/>
  <c r="N43"/>
  <c r="A44"/>
  <c r="B44"/>
  <c r="C44"/>
  <c r="Q44" s="1"/>
  <c r="D44"/>
  <c r="R44" s="1"/>
  <c r="W44" s="1"/>
  <c r="E44"/>
  <c r="S44" s="1"/>
  <c r="X44" s="1"/>
  <c r="F44"/>
  <c r="T44" s="1"/>
  <c r="Y44" s="1"/>
  <c r="G44"/>
  <c r="U44" s="1"/>
  <c r="Z44" s="1"/>
  <c r="H44"/>
  <c r="V44" s="1"/>
  <c r="AA44" s="1"/>
  <c r="I44"/>
  <c r="J44"/>
  <c r="K44"/>
  <c r="L44"/>
  <c r="M44"/>
  <c r="N44"/>
  <c r="A45"/>
  <c r="B45"/>
  <c r="C45"/>
  <c r="Q45" s="1"/>
  <c r="D45"/>
  <c r="R45" s="1"/>
  <c r="W45" s="1"/>
  <c r="E45"/>
  <c r="S45" s="1"/>
  <c r="X45" s="1"/>
  <c r="F45"/>
  <c r="T45" s="1"/>
  <c r="Y45" s="1"/>
  <c r="G45"/>
  <c r="U45" s="1"/>
  <c r="Z45" s="1"/>
  <c r="H45"/>
  <c r="V45" s="1"/>
  <c r="AA45" s="1"/>
  <c r="I45"/>
  <c r="J45"/>
  <c r="K45"/>
  <c r="L45"/>
  <c r="M45"/>
  <c r="N45"/>
  <c r="A88"/>
  <c r="B88"/>
  <c r="C88"/>
  <c r="Q88" s="1"/>
  <c r="D88"/>
  <c r="R88" s="1"/>
  <c r="W88" s="1"/>
  <c r="E88"/>
  <c r="S88" s="1"/>
  <c r="X88" s="1"/>
  <c r="F88"/>
  <c r="T88" s="1"/>
  <c r="Y88" s="1"/>
  <c r="G88"/>
  <c r="U88" s="1"/>
  <c r="Z88" s="1"/>
  <c r="H88"/>
  <c r="V88" s="1"/>
  <c r="AA88" s="1"/>
  <c r="I88"/>
  <c r="O88" s="1"/>
  <c r="J88"/>
  <c r="K88"/>
  <c r="L88"/>
  <c r="M88"/>
  <c r="N88"/>
  <c r="A89"/>
  <c r="B89"/>
  <c r="C89"/>
  <c r="Q89" s="1"/>
  <c r="D89"/>
  <c r="R89" s="1"/>
  <c r="W89" s="1"/>
  <c r="E89"/>
  <c r="S89" s="1"/>
  <c r="X89" s="1"/>
  <c r="F89"/>
  <c r="T89" s="1"/>
  <c r="Y89" s="1"/>
  <c r="G89"/>
  <c r="U89" s="1"/>
  <c r="Z89" s="1"/>
  <c r="H89"/>
  <c r="V89" s="1"/>
  <c r="AA89" s="1"/>
  <c r="I89"/>
  <c r="O89" s="1"/>
  <c r="J89"/>
  <c r="K89"/>
  <c r="L89"/>
  <c r="M89"/>
  <c r="N89"/>
  <c r="A90"/>
  <c r="B90"/>
  <c r="C90"/>
  <c r="Q90" s="1"/>
  <c r="D90"/>
  <c r="R90" s="1"/>
  <c r="W90" s="1"/>
  <c r="E90"/>
  <c r="S90" s="1"/>
  <c r="X90" s="1"/>
  <c r="F90"/>
  <c r="T90" s="1"/>
  <c r="Y90" s="1"/>
  <c r="G90"/>
  <c r="U90" s="1"/>
  <c r="Z90" s="1"/>
  <c r="H90"/>
  <c r="V90" s="1"/>
  <c r="AA90" s="1"/>
  <c r="I90"/>
  <c r="O90" s="1"/>
  <c r="J90"/>
  <c r="K90"/>
  <c r="L90"/>
  <c r="M90"/>
  <c r="N90"/>
  <c r="A91"/>
  <c r="B91"/>
  <c r="C91"/>
  <c r="Q91" s="1"/>
  <c r="D91"/>
  <c r="R91" s="1"/>
  <c r="W91" s="1"/>
  <c r="E91"/>
  <c r="S91" s="1"/>
  <c r="X91" s="1"/>
  <c r="F91"/>
  <c r="T91" s="1"/>
  <c r="Y91" s="1"/>
  <c r="G91"/>
  <c r="U91" s="1"/>
  <c r="Z91" s="1"/>
  <c r="H91"/>
  <c r="V91" s="1"/>
  <c r="AA91" s="1"/>
  <c r="I91"/>
  <c r="O91" s="1"/>
  <c r="J91"/>
  <c r="K91"/>
  <c r="L91"/>
  <c r="M91"/>
  <c r="N91"/>
  <c r="A92"/>
  <c r="B92"/>
  <c r="C92"/>
  <c r="Q92" s="1"/>
  <c r="D92"/>
  <c r="R92" s="1"/>
  <c r="W92" s="1"/>
  <c r="E92"/>
  <c r="S92" s="1"/>
  <c r="X92" s="1"/>
  <c r="F92"/>
  <c r="T92" s="1"/>
  <c r="Y92" s="1"/>
  <c r="G92"/>
  <c r="U92" s="1"/>
  <c r="Z92" s="1"/>
  <c r="H92"/>
  <c r="V92" s="1"/>
  <c r="AA92" s="1"/>
  <c r="I92"/>
  <c r="O92" s="1"/>
  <c r="J92"/>
  <c r="K92"/>
  <c r="L92"/>
  <c r="M92"/>
  <c r="N92"/>
  <c r="A93"/>
  <c r="B93"/>
  <c r="C93"/>
  <c r="D93"/>
  <c r="R93" s="1"/>
  <c r="W93" s="1"/>
  <c r="E93"/>
  <c r="S93" s="1"/>
  <c r="X93" s="1"/>
  <c r="F93"/>
  <c r="T93" s="1"/>
  <c r="Y93" s="1"/>
  <c r="G93"/>
  <c r="U93" s="1"/>
  <c r="Z93" s="1"/>
  <c r="H93"/>
  <c r="V93" s="1"/>
  <c r="AA93" s="1"/>
  <c r="I93"/>
  <c r="O93" s="1"/>
  <c r="J93"/>
  <c r="K93"/>
  <c r="L93"/>
  <c r="M93"/>
  <c r="N93"/>
  <c r="Q93"/>
  <c r="A94"/>
  <c r="B94"/>
  <c r="C94"/>
  <c r="Q94" s="1"/>
  <c r="D94"/>
  <c r="R94" s="1"/>
  <c r="W94" s="1"/>
  <c r="E94"/>
  <c r="S94" s="1"/>
  <c r="X94" s="1"/>
  <c r="F94"/>
  <c r="T94" s="1"/>
  <c r="Y94" s="1"/>
  <c r="G94"/>
  <c r="U94" s="1"/>
  <c r="Z94" s="1"/>
  <c r="H94"/>
  <c r="V94" s="1"/>
  <c r="AA94" s="1"/>
  <c r="I94"/>
  <c r="O94" s="1"/>
  <c r="J94"/>
  <c r="K94"/>
  <c r="L94"/>
  <c r="M94"/>
  <c r="N94"/>
  <c r="A95"/>
  <c r="B95"/>
  <c r="C95"/>
  <c r="Q95" s="1"/>
  <c r="D95"/>
  <c r="R95" s="1"/>
  <c r="W95" s="1"/>
  <c r="E95"/>
  <c r="S95" s="1"/>
  <c r="X95" s="1"/>
  <c r="F95"/>
  <c r="T95" s="1"/>
  <c r="Y95" s="1"/>
  <c r="G95"/>
  <c r="U95" s="1"/>
  <c r="Z95" s="1"/>
  <c r="H95"/>
  <c r="V95" s="1"/>
  <c r="AA95" s="1"/>
  <c r="I95"/>
  <c r="O95" s="1"/>
  <c r="J95"/>
  <c r="K95"/>
  <c r="L95"/>
  <c r="M95"/>
  <c r="N95"/>
  <c r="A96"/>
  <c r="B96"/>
  <c r="C96"/>
  <c r="Q96" s="1"/>
  <c r="D96"/>
  <c r="R96" s="1"/>
  <c r="W96" s="1"/>
  <c r="E96"/>
  <c r="S96" s="1"/>
  <c r="X96" s="1"/>
  <c r="F96"/>
  <c r="T96" s="1"/>
  <c r="Y96" s="1"/>
  <c r="G96"/>
  <c r="U96" s="1"/>
  <c r="Z96" s="1"/>
  <c r="H96"/>
  <c r="V96" s="1"/>
  <c r="AA96" s="1"/>
  <c r="I96"/>
  <c r="O96" s="1"/>
  <c r="J96"/>
  <c r="K96"/>
  <c r="L96"/>
  <c r="M96"/>
  <c r="N96"/>
  <c r="A97"/>
  <c r="B97"/>
  <c r="C97"/>
  <c r="Q97" s="1"/>
  <c r="D97"/>
  <c r="R97" s="1"/>
  <c r="W97" s="1"/>
  <c r="E97"/>
  <c r="S97" s="1"/>
  <c r="X97" s="1"/>
  <c r="F97"/>
  <c r="T97" s="1"/>
  <c r="Y97" s="1"/>
  <c r="G97"/>
  <c r="U97" s="1"/>
  <c r="Z97" s="1"/>
  <c r="H97"/>
  <c r="V97" s="1"/>
  <c r="AA97" s="1"/>
  <c r="I97"/>
  <c r="O97" s="1"/>
  <c r="J97"/>
  <c r="K97"/>
  <c r="L97"/>
  <c r="M97"/>
  <c r="N97"/>
  <c r="A98"/>
  <c r="B98"/>
  <c r="C98"/>
  <c r="Q98" s="1"/>
  <c r="D98"/>
  <c r="R98" s="1"/>
  <c r="W98" s="1"/>
  <c r="E98"/>
  <c r="S98" s="1"/>
  <c r="X98" s="1"/>
  <c r="F98"/>
  <c r="T98" s="1"/>
  <c r="Y98" s="1"/>
  <c r="G98"/>
  <c r="U98" s="1"/>
  <c r="Z98" s="1"/>
  <c r="H98"/>
  <c r="V98" s="1"/>
  <c r="AA98" s="1"/>
  <c r="I98"/>
  <c r="O98" s="1"/>
  <c r="J98"/>
  <c r="K98"/>
  <c r="L98"/>
  <c r="M98"/>
  <c r="N98"/>
  <c r="FS66" i="2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R66"/>
  <c r="CQ66"/>
  <c r="CP66"/>
  <c r="CO66"/>
  <c r="CN66"/>
  <c r="U66"/>
  <c r="L66" i="4" s="1"/>
  <c r="N66" s="1"/>
  <c r="FS65" i="2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Q65"/>
  <c r="CP65"/>
  <c r="CO65"/>
  <c r="CN65"/>
  <c r="U65"/>
  <c r="L65" i="4" s="1"/>
  <c r="N65" s="1"/>
  <c r="FS64" i="2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Q64"/>
  <c r="CP64"/>
  <c r="CO64"/>
  <c r="CN64"/>
  <c r="U64"/>
  <c r="L64" i="4" s="1"/>
  <c r="N64" s="1"/>
  <c r="U63" i="2"/>
  <c r="L63" i="4" s="1"/>
  <c r="N63" s="1"/>
  <c r="H65" i="1" l="1"/>
  <c r="J65" s="1"/>
  <c r="M65"/>
  <c r="H77"/>
  <c r="J77" s="1"/>
  <c r="M77"/>
  <c r="H64"/>
  <c r="J64" s="1"/>
  <c r="M64"/>
  <c r="H76"/>
  <c r="J76" s="1"/>
  <c r="M76"/>
  <c r="H63"/>
  <c r="J63" s="1"/>
  <c r="M63"/>
  <c r="H75"/>
  <c r="J75" s="1"/>
  <c r="M75"/>
  <c r="M74"/>
  <c r="H74"/>
  <c r="J74" s="1"/>
  <c r="M73"/>
  <c r="H73"/>
  <c r="J73" s="1"/>
  <c r="M72"/>
  <c r="H72"/>
  <c r="J72" s="1"/>
  <c r="M71"/>
  <c r="H71"/>
  <c r="J71" s="1"/>
  <c r="M70"/>
  <c r="H70"/>
  <c r="J70" s="1"/>
  <c r="M69"/>
  <c r="H69"/>
  <c r="J69" s="1"/>
  <c r="M68"/>
  <c r="H68"/>
  <c r="J68" s="1"/>
  <c r="M67"/>
  <c r="H67"/>
  <c r="J67" s="1"/>
  <c r="H66"/>
  <c r="J66" s="1"/>
  <c r="M66"/>
  <c r="CR69" i="2"/>
  <c r="L70" i="4"/>
  <c r="N70" s="1"/>
  <c r="CR68" i="2"/>
  <c r="L69" i="4"/>
  <c r="N69" s="1"/>
  <c r="O2" i="3"/>
  <c r="CR60" i="2"/>
  <c r="CR71"/>
  <c r="CR54"/>
  <c r="CR55"/>
  <c r="CR74"/>
  <c r="CR59"/>
  <c r="CR62"/>
  <c r="CU69"/>
  <c r="CR73"/>
  <c r="CR58"/>
  <c r="CR61"/>
  <c r="CR76"/>
  <c r="CR72"/>
  <c r="CU75"/>
  <c r="CR75"/>
  <c r="CU66"/>
  <c r="CU71"/>
  <c r="CU68"/>
  <c r="CU77"/>
  <c r="CU70"/>
  <c r="CU74"/>
  <c r="CU65"/>
  <c r="CR65"/>
  <c r="CR57"/>
  <c r="CU67"/>
  <c r="CU73"/>
  <c r="CU76"/>
  <c r="CU64"/>
  <c r="CR67"/>
  <c r="CR70"/>
  <c r="CR64"/>
  <c r="CR56"/>
  <c r="CU72"/>
  <c r="O11" i="3"/>
  <c r="O37"/>
  <c r="O8"/>
  <c r="O45"/>
  <c r="O25"/>
  <c r="O17"/>
  <c r="O33"/>
  <c r="O15"/>
  <c r="O28"/>
  <c r="O10"/>
  <c r="O23"/>
  <c r="O18"/>
  <c r="O21"/>
  <c r="O13"/>
  <c r="O24"/>
  <c r="O34"/>
  <c r="O27"/>
  <c r="O9"/>
  <c r="O41"/>
  <c r="O39"/>
  <c r="O40"/>
  <c r="O43"/>
  <c r="O31"/>
  <c r="O26"/>
  <c r="O29"/>
  <c r="O22"/>
  <c r="O32"/>
  <c r="O30"/>
  <c r="O20"/>
  <c r="O35"/>
  <c r="O44"/>
  <c r="O42"/>
  <c r="AB29"/>
  <c r="O38"/>
  <c r="AB25"/>
  <c r="O5"/>
  <c r="O6"/>
  <c r="O4"/>
  <c r="O16"/>
  <c r="O7"/>
  <c r="AB17"/>
  <c r="O14"/>
  <c r="O12"/>
  <c r="AB13"/>
  <c r="AB26"/>
  <c r="O3"/>
  <c r="AB91"/>
  <c r="AB43"/>
  <c r="AB24"/>
  <c r="AB11"/>
  <c r="AB7"/>
  <c r="AB93"/>
  <c r="AB39"/>
  <c r="AB22"/>
  <c r="AB3"/>
  <c r="AB88"/>
  <c r="AB41"/>
  <c r="AB37"/>
  <c r="AB18"/>
  <c r="AB5"/>
  <c r="AB45"/>
  <c r="AB33"/>
  <c r="AB20"/>
  <c r="AB16"/>
  <c r="AB98"/>
  <c r="AB90"/>
  <c r="AB35"/>
  <c r="AB31"/>
  <c r="AB12"/>
  <c r="AB95"/>
  <c r="AB27"/>
  <c r="AB14"/>
  <c r="AB10"/>
  <c r="AB42"/>
  <c r="AB6"/>
  <c r="AB92"/>
  <c r="AB40"/>
  <c r="AB21"/>
  <c r="AB8"/>
  <c r="AB4"/>
  <c r="AB97"/>
  <c r="AB36"/>
  <c r="AB23"/>
  <c r="AB19"/>
  <c r="AB89"/>
  <c r="AB44"/>
  <c r="AB38"/>
  <c r="AB34"/>
  <c r="AB15"/>
  <c r="AB2"/>
  <c r="AB94"/>
  <c r="AB30"/>
  <c r="AB96"/>
  <c r="AB32"/>
  <c r="AB28"/>
  <c r="AB9"/>
  <c r="B53" i="1" l="1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FS53" i="2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R53"/>
  <c r="CQ53"/>
  <c r="CP53"/>
  <c r="CO53"/>
  <c r="CN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Q52"/>
  <c r="CP52"/>
  <c r="CO52"/>
  <c r="CN52"/>
  <c r="U52"/>
  <c r="L52" i="4" s="1"/>
  <c r="N52" s="1"/>
  <c r="FS51" i="2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Q51"/>
  <c r="CP51"/>
  <c r="CO51"/>
  <c r="CN51"/>
  <c r="U51"/>
  <c r="L51" i="4" s="1"/>
  <c r="N51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Q50"/>
  <c r="CP50"/>
  <c r="CO50"/>
  <c r="CN50"/>
  <c r="U50"/>
  <c r="L50" i="4" s="1"/>
  <c r="N50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Q49"/>
  <c r="CP49"/>
  <c r="CO49"/>
  <c r="CN49"/>
  <c r="U49"/>
  <c r="L49" i="4" s="1"/>
  <c r="N49" s="1"/>
  <c r="FS48" i="2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Q48"/>
  <c r="CP48"/>
  <c r="CO48"/>
  <c r="CN48"/>
  <c r="U48"/>
  <c r="L48" i="4" s="1"/>
  <c r="N48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Q47"/>
  <c r="CP47"/>
  <c r="CO47"/>
  <c r="CN47"/>
  <c r="U47"/>
  <c r="L47" i="4" s="1"/>
  <c r="N47" s="1"/>
  <c r="FS46" i="2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Q46"/>
  <c r="CP46"/>
  <c r="CO46"/>
  <c r="CN46"/>
  <c r="U46"/>
  <c r="L46" i="4" s="1"/>
  <c r="N46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Q45"/>
  <c r="CP45"/>
  <c r="CO45"/>
  <c r="CN45"/>
  <c r="U45"/>
  <c r="L45" i="4" s="1"/>
  <c r="N45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Q44"/>
  <c r="CP44"/>
  <c r="CO44"/>
  <c r="CN44"/>
  <c r="U44"/>
  <c r="L44" i="4" s="1"/>
  <c r="N4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Q43"/>
  <c r="CP43"/>
  <c r="CO43"/>
  <c r="CN43"/>
  <c r="U43"/>
  <c r="L43" i="4" s="1"/>
  <c r="N43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Q42"/>
  <c r="CP42"/>
  <c r="CO42"/>
  <c r="CN42"/>
  <c r="U42"/>
  <c r="L42" i="4" s="1"/>
  <c r="N42" s="1"/>
  <c r="FS41" i="2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Q41"/>
  <c r="CP41"/>
  <c r="CO41"/>
  <c r="CN41"/>
  <c r="U41"/>
  <c r="L41" i="4" s="1"/>
  <c r="N41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Q40"/>
  <c r="CP40"/>
  <c r="CO40"/>
  <c r="CN40"/>
  <c r="U40"/>
  <c r="L40" i="4" s="1"/>
  <c r="N40" s="1"/>
  <c r="FS39" i="2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Q39"/>
  <c r="CP39"/>
  <c r="CO39"/>
  <c r="CN39"/>
  <c r="U39"/>
  <c r="L39" i="4" s="1"/>
  <c r="N39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Q38"/>
  <c r="CP38"/>
  <c r="CO38"/>
  <c r="CN38"/>
  <c r="U38"/>
  <c r="L38" i="4" s="1"/>
  <c r="N38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Q37"/>
  <c r="CP37"/>
  <c r="CO37"/>
  <c r="CN37"/>
  <c r="U37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Q36"/>
  <c r="CP36"/>
  <c r="CO36"/>
  <c r="CN36"/>
  <c r="U36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Q35"/>
  <c r="CP35"/>
  <c r="CO35"/>
  <c r="CN35"/>
  <c r="U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Q34"/>
  <c r="CP34"/>
  <c r="CO34"/>
  <c r="CN34"/>
  <c r="U34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Q33"/>
  <c r="CP33"/>
  <c r="CO33"/>
  <c r="CN33"/>
  <c r="U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Q32"/>
  <c r="CP32"/>
  <c r="CO32"/>
  <c r="CN32"/>
  <c r="U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Q31"/>
  <c r="CP31"/>
  <c r="CO31"/>
  <c r="CN31"/>
  <c r="U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Q30"/>
  <c r="CP30"/>
  <c r="CO30"/>
  <c r="CN30"/>
  <c r="U30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Q29"/>
  <c r="CP29"/>
  <c r="CO29"/>
  <c r="CN29"/>
  <c r="U29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Q28"/>
  <c r="CP28"/>
  <c r="CO28"/>
  <c r="CN28"/>
  <c r="U28"/>
  <c r="L28" i="4" s="1"/>
  <c r="N28" s="1"/>
  <c r="FS27" i="2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Q27"/>
  <c r="CP27"/>
  <c r="CO27"/>
  <c r="CN27"/>
  <c r="U27"/>
  <c r="L27" i="4" s="1"/>
  <c r="N27" s="1"/>
  <c r="FS26" i="2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Q26"/>
  <c r="CP26"/>
  <c r="CO26"/>
  <c r="CN26"/>
  <c r="U26"/>
  <c r="L26" i="4" s="1"/>
  <c r="N26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Q25"/>
  <c r="CP25"/>
  <c r="CO25"/>
  <c r="CN25"/>
  <c r="U25"/>
  <c r="L25" i="4" s="1"/>
  <c r="N25" s="1"/>
  <c r="FS24" i="2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Q24"/>
  <c r="CP24"/>
  <c r="CO24"/>
  <c r="CN24"/>
  <c r="U24"/>
  <c r="L24" i="4" s="1"/>
  <c r="N2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Q23"/>
  <c r="CP23"/>
  <c r="CO23"/>
  <c r="CN23"/>
  <c r="U23"/>
  <c r="L23" i="4" s="1"/>
  <c r="N23" s="1"/>
  <c r="FS22" i="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Q22"/>
  <c r="CP22"/>
  <c r="CO22"/>
  <c r="CN22"/>
  <c r="U22"/>
  <c r="L22" i="4" s="1"/>
  <c r="N22" s="1"/>
  <c r="FS21" i="2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Q21"/>
  <c r="CP21"/>
  <c r="CO21"/>
  <c r="CN21"/>
  <c r="U21"/>
  <c r="L21" i="4" s="1"/>
  <c r="N21" s="1"/>
  <c r="FS20" i="2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Q20"/>
  <c r="CP20"/>
  <c r="CO20"/>
  <c r="CN20"/>
  <c r="U20"/>
  <c r="L20" i="4" s="1"/>
  <c r="N20" s="1"/>
  <c r="B19" i="1"/>
  <c r="B18"/>
  <c r="B17"/>
  <c r="B16"/>
  <c r="B15"/>
  <c r="B14"/>
  <c r="B13"/>
  <c r="B12"/>
  <c r="B11"/>
  <c r="B10"/>
  <c r="B9"/>
  <c r="B8"/>
  <c r="B7"/>
  <c r="B6"/>
  <c r="B5"/>
  <c r="B4"/>
  <c r="B3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Q19"/>
  <c r="CP19"/>
  <c r="CO19"/>
  <c r="CN19"/>
  <c r="U19"/>
  <c r="L19" i="4" s="1"/>
  <c r="N19" s="1"/>
  <c r="FS18" i="2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Q18"/>
  <c r="CP18"/>
  <c r="CO18"/>
  <c r="CN18"/>
  <c r="U18"/>
  <c r="L18" i="4" s="1"/>
  <c r="N18" s="1"/>
  <c r="FS17" i="2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Q17"/>
  <c r="CP17"/>
  <c r="CO17"/>
  <c r="CN17"/>
  <c r="U17"/>
  <c r="L17" i="4" s="1"/>
  <c r="N17" s="1"/>
  <c r="FS16" i="2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Q16"/>
  <c r="CP16"/>
  <c r="CO16"/>
  <c r="CN16"/>
  <c r="U16"/>
  <c r="L16" i="4" s="1"/>
  <c r="N16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Q15"/>
  <c r="CP15"/>
  <c r="CO15"/>
  <c r="CN15"/>
  <c r="U15"/>
  <c r="L15" i="4" s="1"/>
  <c r="N15" s="1"/>
  <c r="FS14" i="2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Q14"/>
  <c r="CP14"/>
  <c r="CO14"/>
  <c r="CN14"/>
  <c r="U14"/>
  <c r="L14" i="4" s="1"/>
  <c r="N1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Q13"/>
  <c r="CP13"/>
  <c r="CO13"/>
  <c r="CN13"/>
  <c r="U13"/>
  <c r="L13" i="4" s="1"/>
  <c r="N13" s="1"/>
  <c r="FS12" i="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Q12"/>
  <c r="CP12"/>
  <c r="CO12"/>
  <c r="CN12"/>
  <c r="U12"/>
  <c r="L12" i="4" s="1"/>
  <c r="N12" s="1"/>
  <c r="FS11" i="2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Q11"/>
  <c r="CP11"/>
  <c r="CO11"/>
  <c r="CN11"/>
  <c r="U11"/>
  <c r="L11" i="4" s="1"/>
  <c r="N11" s="1"/>
  <c r="FS10" i="2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Q10"/>
  <c r="CP10"/>
  <c r="CO10"/>
  <c r="CN10"/>
  <c r="U10"/>
  <c r="L10" i="4" s="1"/>
  <c r="N10" s="1"/>
  <c r="FS9" i="2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Q9"/>
  <c r="CP9"/>
  <c r="CO9"/>
  <c r="CN9"/>
  <c r="U9"/>
  <c r="L9" i="4" s="1"/>
  <c r="N9" s="1"/>
  <c r="FS8" i="2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Q8"/>
  <c r="CP8"/>
  <c r="CO8"/>
  <c r="CN8"/>
  <c r="U8"/>
  <c r="L8" i="4" s="1"/>
  <c r="N8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Q7"/>
  <c r="CP7"/>
  <c r="CO7"/>
  <c r="CN7"/>
  <c r="U7"/>
  <c r="L7" i="4" s="1"/>
  <c r="N7" s="1"/>
  <c r="FS6" i="2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Q6"/>
  <c r="CP6"/>
  <c r="CO6"/>
  <c r="CN6"/>
  <c r="U6"/>
  <c r="L6" i="4" s="1"/>
  <c r="N6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Q5"/>
  <c r="CP5"/>
  <c r="CO5"/>
  <c r="CN5"/>
  <c r="U5"/>
  <c r="L5" i="4" s="1"/>
  <c r="N5" s="1"/>
  <c r="FS4" i="2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Q4"/>
  <c r="CP4"/>
  <c r="CO4"/>
  <c r="CN4"/>
  <c r="U4"/>
  <c r="L4" i="4" s="1"/>
  <c r="N4" s="1"/>
  <c r="M11" i="1" l="1"/>
  <c r="H11"/>
  <c r="J11" s="1"/>
  <c r="H29"/>
  <c r="M29"/>
  <c r="H41"/>
  <c r="M41"/>
  <c r="H53"/>
  <c r="M53"/>
  <c r="M10"/>
  <c r="H10"/>
  <c r="H28"/>
  <c r="M28"/>
  <c r="H40"/>
  <c r="J40" s="1"/>
  <c r="M40"/>
  <c r="H52"/>
  <c r="M52"/>
  <c r="M9"/>
  <c r="H9"/>
  <c r="H27"/>
  <c r="M27"/>
  <c r="H39"/>
  <c r="M39"/>
  <c r="H51"/>
  <c r="J51" s="1"/>
  <c r="M51"/>
  <c r="M8"/>
  <c r="H8"/>
  <c r="M26"/>
  <c r="H26"/>
  <c r="J26" s="1"/>
  <c r="M38"/>
  <c r="H38"/>
  <c r="M50"/>
  <c r="H50"/>
  <c r="J50" s="1"/>
  <c r="M7"/>
  <c r="H7"/>
  <c r="J7" s="1"/>
  <c r="M19"/>
  <c r="H19"/>
  <c r="J19" s="1"/>
  <c r="M25"/>
  <c r="H25"/>
  <c r="J25" s="1"/>
  <c r="M37"/>
  <c r="H37"/>
  <c r="J37" s="1"/>
  <c r="M49"/>
  <c r="H49"/>
  <c r="J49" s="1"/>
  <c r="H6"/>
  <c r="J6" s="1"/>
  <c r="M6"/>
  <c r="H18"/>
  <c r="J18" s="1"/>
  <c r="M18"/>
  <c r="M24"/>
  <c r="H24"/>
  <c r="J24" s="1"/>
  <c r="M48"/>
  <c r="H48"/>
  <c r="J48" s="1"/>
  <c r="M36"/>
  <c r="H36"/>
  <c r="J36" s="1"/>
  <c r="H5"/>
  <c r="J5" s="1"/>
  <c r="M5"/>
  <c r="H17"/>
  <c r="J17" s="1"/>
  <c r="M17"/>
  <c r="M23"/>
  <c r="H23"/>
  <c r="J23" s="1"/>
  <c r="M35"/>
  <c r="H35"/>
  <c r="J35" s="1"/>
  <c r="M47"/>
  <c r="H47"/>
  <c r="J47" s="1"/>
  <c r="H4"/>
  <c r="J4" s="1"/>
  <c r="M4"/>
  <c r="H16"/>
  <c r="J16" s="1"/>
  <c r="M16"/>
  <c r="M22"/>
  <c r="H22"/>
  <c r="J22" s="1"/>
  <c r="M34"/>
  <c r="H34"/>
  <c r="J34" s="1"/>
  <c r="M46"/>
  <c r="H46"/>
  <c r="J46" s="1"/>
  <c r="M3"/>
  <c r="H3"/>
  <c r="J3" s="1"/>
  <c r="H15"/>
  <c r="J15" s="1"/>
  <c r="M15"/>
  <c r="M21"/>
  <c r="H21"/>
  <c r="J21" s="1"/>
  <c r="M33"/>
  <c r="H33"/>
  <c r="J33" s="1"/>
  <c r="M45"/>
  <c r="H45"/>
  <c r="J45" s="1"/>
  <c r="M14"/>
  <c r="H14"/>
  <c r="J14" s="1"/>
  <c r="M20"/>
  <c r="H20"/>
  <c r="J20" s="1"/>
  <c r="M32"/>
  <c r="H32"/>
  <c r="J32" s="1"/>
  <c r="M44"/>
  <c r="H44"/>
  <c r="J44" s="1"/>
  <c r="M13"/>
  <c r="H13"/>
  <c r="J13" s="1"/>
  <c r="M31"/>
  <c r="H31"/>
  <c r="J31" s="1"/>
  <c r="M43"/>
  <c r="H43"/>
  <c r="J43" s="1"/>
  <c r="M12"/>
  <c r="H12"/>
  <c r="J12" s="1"/>
  <c r="H30"/>
  <c r="J30" s="1"/>
  <c r="M30"/>
  <c r="H42"/>
  <c r="J42" s="1"/>
  <c r="M42"/>
  <c r="J41"/>
  <c r="J53"/>
  <c r="J10"/>
  <c r="J52"/>
  <c r="J9"/>
  <c r="J27"/>
  <c r="J8"/>
  <c r="J38"/>
  <c r="L29" i="4"/>
  <c r="N29" s="1"/>
  <c r="L33"/>
  <c r="N33" s="1"/>
  <c r="L37"/>
  <c r="N37" s="1"/>
  <c r="L32"/>
  <c r="N32" s="1"/>
  <c r="L36"/>
  <c r="N36" s="1"/>
  <c r="L31"/>
  <c r="N31" s="1"/>
  <c r="L35"/>
  <c r="N35" s="1"/>
  <c r="L30"/>
  <c r="N30" s="1"/>
  <c r="L34"/>
  <c r="N34" s="1"/>
  <c r="CR5" i="2"/>
  <c r="CR9"/>
  <c r="CR17"/>
  <c r="CR19"/>
  <c r="CR23"/>
  <c r="CR27"/>
  <c r="CR31"/>
  <c r="CR35"/>
  <c r="CR39"/>
  <c r="CR43"/>
  <c r="CR47"/>
  <c r="CR51"/>
  <c r="CR12"/>
  <c r="CR16"/>
  <c r="CR8"/>
  <c r="CR22"/>
  <c r="CR26"/>
  <c r="CR30"/>
  <c r="CR34"/>
  <c r="CR38"/>
  <c r="CR42"/>
  <c r="CR46"/>
  <c r="CR50"/>
  <c r="CR15"/>
  <c r="CR4"/>
  <c r="CR11"/>
  <c r="CR7"/>
  <c r="CR21"/>
  <c r="CR25"/>
  <c r="CR29"/>
  <c r="CR33"/>
  <c r="CR37"/>
  <c r="CR41"/>
  <c r="CR45"/>
  <c r="CR49"/>
  <c r="CR14"/>
  <c r="CR18"/>
  <c r="CR6"/>
  <c r="CR20"/>
  <c r="CR24"/>
  <c r="CR28"/>
  <c r="CR32"/>
  <c r="CR36"/>
  <c r="CR40"/>
  <c r="CR44"/>
  <c r="CR48"/>
  <c r="CR52"/>
  <c r="CR13"/>
  <c r="CR10"/>
  <c r="CU43"/>
  <c r="CU11"/>
  <c r="CU17"/>
  <c r="CU42"/>
  <c r="CU49"/>
  <c r="CU10"/>
  <c r="CU22"/>
  <c r="CU26"/>
  <c r="CU30"/>
  <c r="CU34"/>
  <c r="CU4"/>
  <c r="CU6"/>
  <c r="J39" i="1"/>
  <c r="J28"/>
  <c r="J29"/>
  <c r="CU45" i="2"/>
  <c r="CU52"/>
  <c r="CU44"/>
  <c r="CU51"/>
  <c r="CU46"/>
  <c r="CU53"/>
  <c r="CU39"/>
  <c r="CU38"/>
  <c r="CU37"/>
  <c r="CU48"/>
  <c r="CU41"/>
  <c r="CU40"/>
  <c r="CU47"/>
  <c r="CU50"/>
  <c r="CU36"/>
  <c r="CU20"/>
  <c r="CU24"/>
  <c r="CU28"/>
  <c r="CU32"/>
  <c r="CU23"/>
  <c r="CU27"/>
  <c r="CU31"/>
  <c r="CU35"/>
  <c r="CU21"/>
  <c r="CU25"/>
  <c r="CU29"/>
  <c r="CU33"/>
  <c r="CU9"/>
  <c r="CU13"/>
  <c r="CU16"/>
  <c r="CU19"/>
  <c r="CU12"/>
  <c r="CU15"/>
  <c r="CU18"/>
  <c r="CU14"/>
  <c r="CU8"/>
  <c r="CU7"/>
  <c r="CU5"/>
  <c r="U3"/>
  <c r="L3" i="4" s="1"/>
  <c r="N3" s="1"/>
  <c r="E199" i="8" l="1"/>
  <c r="E198"/>
  <c r="E197"/>
  <c r="E196"/>
  <c r="E195"/>
  <c r="E194"/>
  <c r="E193"/>
  <c r="E192"/>
  <c r="E191"/>
  <c r="E190"/>
  <c r="E189"/>
  <c r="E188"/>
  <c r="E187"/>
  <c r="E186"/>
  <c r="E185"/>
  <c r="E184"/>
  <c r="E183"/>
  <c r="E182"/>
  <c r="E181"/>
  <c r="E180"/>
  <c r="E179"/>
  <c r="E178"/>
  <c r="E177"/>
  <c r="E176"/>
  <c r="E175"/>
  <c r="E174"/>
  <c r="E173"/>
  <c r="E172"/>
  <c r="E171"/>
  <c r="E170"/>
  <c r="E169"/>
  <c r="E168"/>
  <c r="E167"/>
  <c r="E166"/>
  <c r="E165"/>
  <c r="E164"/>
  <c r="E163"/>
  <c r="E162"/>
  <c r="E161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E116"/>
  <c r="E115"/>
  <c r="E114"/>
  <c r="E113"/>
  <c r="E112"/>
  <c r="E111"/>
  <c r="E110"/>
  <c r="E109"/>
  <c r="E108"/>
  <c r="E107"/>
  <c r="E106"/>
  <c r="E105"/>
  <c r="E104"/>
  <c r="E103"/>
  <c r="E102"/>
  <c r="E101"/>
  <c r="E100"/>
  <c r="E99"/>
  <c r="E98"/>
  <c r="E97"/>
  <c r="E96"/>
  <c r="E95"/>
  <c r="E94"/>
  <c r="E93"/>
  <c r="E92"/>
  <c r="E91"/>
  <c r="E90"/>
  <c r="E89"/>
  <c r="E88"/>
  <c r="E87"/>
  <c r="E86"/>
  <c r="E85"/>
  <c r="E84"/>
  <c r="E83"/>
  <c r="E82"/>
  <c r="E81"/>
  <c r="E80"/>
  <c r="E79"/>
  <c r="E78"/>
  <c r="E77"/>
  <c r="E76"/>
  <c r="E75"/>
  <c r="E74"/>
  <c r="E73"/>
  <c r="E72"/>
  <c r="E71"/>
  <c r="E70"/>
  <c r="E69"/>
  <c r="E68"/>
  <c r="E67"/>
  <c r="E66"/>
  <c r="E65"/>
  <c r="E64"/>
  <c r="E63"/>
  <c r="E62"/>
  <c r="E61"/>
  <c r="E60"/>
  <c r="E59"/>
  <c r="E58"/>
  <c r="E57"/>
  <c r="E56"/>
  <c r="E55"/>
  <c r="E54"/>
  <c r="E53"/>
  <c r="E52"/>
  <c r="E51"/>
  <c r="E50"/>
  <c r="E49"/>
  <c r="E48"/>
  <c r="E47"/>
  <c r="E46"/>
  <c r="E45"/>
  <c r="E44"/>
  <c r="E43"/>
  <c r="E42"/>
  <c r="E41"/>
  <c r="E40"/>
  <c r="E39"/>
  <c r="E38"/>
  <c r="E37"/>
  <c r="E36"/>
  <c r="E35"/>
  <c r="E34"/>
  <c r="E33"/>
  <c r="E32"/>
  <c r="E31"/>
  <c r="E30"/>
  <c r="E29"/>
  <c r="E28"/>
  <c r="E26"/>
  <c r="E25"/>
  <c r="E24"/>
  <c r="E23"/>
  <c r="E22"/>
  <c r="E21"/>
  <c r="E20"/>
  <c r="E19"/>
  <c r="E18"/>
  <c r="E17"/>
  <c r="E16"/>
  <c r="E15"/>
  <c r="E13"/>
  <c r="E12"/>
  <c r="E11"/>
  <c r="E10"/>
  <c r="E9"/>
  <c r="E8"/>
  <c r="E7"/>
  <c r="E6"/>
  <c r="E5"/>
  <c r="E4"/>
  <c r="E3"/>
  <c r="E2"/>
  <c r="E68" i="7"/>
  <c r="E67"/>
  <c r="E66"/>
  <c r="E65"/>
  <c r="E64"/>
  <c r="E63"/>
  <c r="E62"/>
  <c r="E61"/>
  <c r="E60"/>
  <c r="E59"/>
  <c r="E58"/>
  <c r="E57"/>
  <c r="E56"/>
  <c r="E55"/>
  <c r="E54"/>
  <c r="E53"/>
  <c r="E52"/>
  <c r="E51"/>
  <c r="E50"/>
  <c r="E49"/>
  <c r="E48"/>
  <c r="E47"/>
  <c r="E46"/>
  <c r="E45"/>
  <c r="E44"/>
  <c r="E43"/>
  <c r="E42"/>
  <c r="E41"/>
  <c r="E40"/>
  <c r="E39"/>
  <c r="E38"/>
  <c r="E37"/>
  <c r="E36"/>
  <c r="E35"/>
  <c r="E34"/>
  <c r="E33"/>
  <c r="E32"/>
  <c r="E31"/>
  <c r="E30"/>
  <c r="E29"/>
  <c r="E28"/>
  <c r="E27"/>
  <c r="E26"/>
  <c r="E25"/>
  <c r="E24"/>
  <c r="E23"/>
  <c r="E22"/>
  <c r="E21"/>
  <c r="E20"/>
  <c r="E19"/>
  <c r="E18"/>
  <c r="E17"/>
  <c r="E16"/>
  <c r="E15"/>
  <c r="E14"/>
  <c r="E13"/>
  <c r="E12"/>
  <c r="E11"/>
  <c r="E10"/>
  <c r="E9"/>
  <c r="E8"/>
  <c r="E7"/>
  <c r="E6"/>
  <c r="E5"/>
  <c r="E4"/>
  <c r="E3"/>
  <c r="E2"/>
  <c r="DB3" i="2" l="1"/>
  <c r="DC3"/>
  <c r="DD3"/>
  <c r="DE3"/>
  <c r="DF3"/>
  <c r="DG3"/>
  <c r="DH3"/>
  <c r="DI3"/>
  <c r="DJ3"/>
  <c r="DK3"/>
  <c r="DL3"/>
  <c r="DM3"/>
  <c r="DN3"/>
  <c r="DO3"/>
  <c r="DP3"/>
  <c r="DQ3"/>
  <c r="DR3"/>
  <c r="DS3"/>
  <c r="DT3"/>
  <c r="DU3"/>
  <c r="DV3"/>
  <c r="DW3"/>
  <c r="DX3"/>
  <c r="DY3"/>
  <c r="DZ3"/>
  <c r="EA3"/>
  <c r="EB3"/>
  <c r="EC3"/>
  <c r="ED3"/>
  <c r="EE3"/>
  <c r="EF3"/>
  <c r="EG3"/>
  <c r="EH3"/>
  <c r="EI3"/>
  <c r="EJ3"/>
  <c r="EK3"/>
  <c r="EL3"/>
  <c r="EM3"/>
  <c r="EN3"/>
  <c r="EO3"/>
  <c r="EP3"/>
  <c r="EQ3"/>
  <c r="ER3"/>
  <c r="ES3"/>
  <c r="ET3"/>
  <c r="EU3"/>
  <c r="EV3"/>
  <c r="EW3"/>
  <c r="EX3"/>
  <c r="EY3"/>
  <c r="EZ3"/>
  <c r="FA3"/>
  <c r="FB3"/>
  <c r="FC3"/>
  <c r="FD3"/>
  <c r="FE3"/>
  <c r="FF3"/>
  <c r="FG3"/>
  <c r="FH3"/>
  <c r="FI3"/>
  <c r="FJ3"/>
  <c r="FK3"/>
  <c r="FL3"/>
  <c r="FM3"/>
  <c r="FN3"/>
  <c r="FO3"/>
  <c r="FP3"/>
  <c r="FQ3"/>
  <c r="FR3"/>
  <c r="FS3"/>
  <c r="DB63"/>
  <c r="DC63"/>
  <c r="DD63"/>
  <c r="DE63"/>
  <c r="DF63"/>
  <c r="DG63"/>
  <c r="DH63"/>
  <c r="DI63"/>
  <c r="DJ63"/>
  <c r="DK63"/>
  <c r="DL63"/>
  <c r="DM63"/>
  <c r="DN63"/>
  <c r="DO63"/>
  <c r="DP63"/>
  <c r="DQ63"/>
  <c r="DR63"/>
  <c r="DS63"/>
  <c r="DT63"/>
  <c r="DU63"/>
  <c r="DV63"/>
  <c r="DW63"/>
  <c r="DX63"/>
  <c r="DY63"/>
  <c r="DZ63"/>
  <c r="EA63"/>
  <c r="EB63"/>
  <c r="EC63"/>
  <c r="ED63"/>
  <c r="EE63"/>
  <c r="EF63"/>
  <c r="EG63"/>
  <c r="EH63"/>
  <c r="EI63"/>
  <c r="EJ63"/>
  <c r="EK63"/>
  <c r="EL63"/>
  <c r="EM63"/>
  <c r="EN63"/>
  <c r="EO63"/>
  <c r="EP63"/>
  <c r="EQ63"/>
  <c r="ER63"/>
  <c r="ES63"/>
  <c r="ET63"/>
  <c r="EU63"/>
  <c r="EV63"/>
  <c r="EW63"/>
  <c r="EX63"/>
  <c r="EY63"/>
  <c r="EZ63"/>
  <c r="FA63"/>
  <c r="FB63"/>
  <c r="FC63"/>
  <c r="FD63"/>
  <c r="FE63"/>
  <c r="FF63"/>
  <c r="FG63"/>
  <c r="FH63"/>
  <c r="FI63"/>
  <c r="FJ63"/>
  <c r="FK63"/>
  <c r="FL63"/>
  <c r="FM63"/>
  <c r="FN63"/>
  <c r="FO63"/>
  <c r="FP63"/>
  <c r="FQ63"/>
  <c r="FR63"/>
  <c r="FS63"/>
  <c r="DB78"/>
  <c r="DC78"/>
  <c r="DD78"/>
  <c r="DE78"/>
  <c r="DF78"/>
  <c r="DG78"/>
  <c r="DH78"/>
  <c r="DI78"/>
  <c r="DJ78"/>
  <c r="DK78"/>
  <c r="DL78"/>
  <c r="DM78"/>
  <c r="DN78"/>
  <c r="DO78"/>
  <c r="DP78"/>
  <c r="DQ78"/>
  <c r="DR78"/>
  <c r="DS78"/>
  <c r="DT78"/>
  <c r="DU78"/>
  <c r="DV78"/>
  <c r="DW78"/>
  <c r="DX78"/>
  <c r="DY78"/>
  <c r="DZ78"/>
  <c r="EA78"/>
  <c r="EB78"/>
  <c r="EC78"/>
  <c r="ED78"/>
  <c r="EE78"/>
  <c r="EF78"/>
  <c r="EG78"/>
  <c r="EH78"/>
  <c r="EI78"/>
  <c r="EJ78"/>
  <c r="EK78"/>
  <c r="EL78"/>
  <c r="EM78"/>
  <c r="EN78"/>
  <c r="EO78"/>
  <c r="EP78"/>
  <c r="EQ78"/>
  <c r="ER78"/>
  <c r="ES78"/>
  <c r="ET78"/>
  <c r="EU78"/>
  <c r="EV78"/>
  <c r="EW78"/>
  <c r="EX78"/>
  <c r="EY78"/>
  <c r="EZ78"/>
  <c r="FA78"/>
  <c r="FB78"/>
  <c r="FC78"/>
  <c r="FD78"/>
  <c r="FE78"/>
  <c r="FF78"/>
  <c r="FG78"/>
  <c r="FH78"/>
  <c r="FI78"/>
  <c r="FJ78"/>
  <c r="FK78"/>
  <c r="FL78"/>
  <c r="FM78"/>
  <c r="FN78"/>
  <c r="FO78"/>
  <c r="FP78"/>
  <c r="FQ78"/>
  <c r="FR78"/>
  <c r="FS78"/>
  <c r="DB79"/>
  <c r="DC79"/>
  <c r="DD79"/>
  <c r="DE79"/>
  <c r="DF79"/>
  <c r="DG79"/>
  <c r="DH79"/>
  <c r="DI79"/>
  <c r="DJ79"/>
  <c r="DK79"/>
  <c r="DL79"/>
  <c r="DM79"/>
  <c r="DN79"/>
  <c r="DO79"/>
  <c r="DP79"/>
  <c r="DQ79"/>
  <c r="DR79"/>
  <c r="DS79"/>
  <c r="DT79"/>
  <c r="DU79"/>
  <c r="DV79"/>
  <c r="DW79"/>
  <c r="DX79"/>
  <c r="DY79"/>
  <c r="DZ79"/>
  <c r="EA79"/>
  <c r="EB79"/>
  <c r="EC79"/>
  <c r="ED79"/>
  <c r="EE79"/>
  <c r="EF79"/>
  <c r="EG79"/>
  <c r="EH79"/>
  <c r="EI79"/>
  <c r="EJ79"/>
  <c r="EK79"/>
  <c r="EL79"/>
  <c r="EM79"/>
  <c r="EN79"/>
  <c r="EO79"/>
  <c r="EP79"/>
  <c r="EQ79"/>
  <c r="ER79"/>
  <c r="ES79"/>
  <c r="ET79"/>
  <c r="EU79"/>
  <c r="EV79"/>
  <c r="EW79"/>
  <c r="EX79"/>
  <c r="EY79"/>
  <c r="EZ79"/>
  <c r="FA79"/>
  <c r="FB79"/>
  <c r="FC79"/>
  <c r="FD79"/>
  <c r="FE79"/>
  <c r="FF79"/>
  <c r="FG79"/>
  <c r="FH79"/>
  <c r="FI79"/>
  <c r="FJ79"/>
  <c r="FK79"/>
  <c r="FL79"/>
  <c r="FM79"/>
  <c r="FN79"/>
  <c r="FO79"/>
  <c r="FP79"/>
  <c r="FQ79"/>
  <c r="FR79"/>
  <c r="FS79"/>
  <c r="DB80"/>
  <c r="DC80"/>
  <c r="DD80"/>
  <c r="DE80"/>
  <c r="DF80"/>
  <c r="DG80"/>
  <c r="DH80"/>
  <c r="DI80"/>
  <c r="DJ80"/>
  <c r="DK80"/>
  <c r="DL80"/>
  <c r="DM80"/>
  <c r="DN80"/>
  <c r="DO80"/>
  <c r="DP80"/>
  <c r="DQ80"/>
  <c r="DR80"/>
  <c r="DS80"/>
  <c r="DT80"/>
  <c r="DU80"/>
  <c r="DV80"/>
  <c r="DW80"/>
  <c r="DX80"/>
  <c r="DY80"/>
  <c r="DZ80"/>
  <c r="EA80"/>
  <c r="EB80"/>
  <c r="EC80"/>
  <c r="ED80"/>
  <c r="EE80"/>
  <c r="EF80"/>
  <c r="EG80"/>
  <c r="EH80"/>
  <c r="EI80"/>
  <c r="EJ80"/>
  <c r="EK80"/>
  <c r="EL80"/>
  <c r="EM80"/>
  <c r="EN80"/>
  <c r="EO80"/>
  <c r="EP80"/>
  <c r="EQ80"/>
  <c r="ER80"/>
  <c r="ES80"/>
  <c r="ET80"/>
  <c r="EU80"/>
  <c r="EV80"/>
  <c r="EW80"/>
  <c r="EX80"/>
  <c r="EY80"/>
  <c r="EZ80"/>
  <c r="FA80"/>
  <c r="FB80"/>
  <c r="FC80"/>
  <c r="FD80"/>
  <c r="FE80"/>
  <c r="FF80"/>
  <c r="FG80"/>
  <c r="FH80"/>
  <c r="FI80"/>
  <c r="FJ80"/>
  <c r="FK80"/>
  <c r="FL80"/>
  <c r="FM80"/>
  <c r="FN80"/>
  <c r="FO80"/>
  <c r="FP80"/>
  <c r="FQ80"/>
  <c r="FR80"/>
  <c r="FS80"/>
  <c r="DB81"/>
  <c r="DC81"/>
  <c r="DD81"/>
  <c r="DE81"/>
  <c r="DF81"/>
  <c r="DG81"/>
  <c r="DH81"/>
  <c r="DI81"/>
  <c r="DJ81"/>
  <c r="DK81"/>
  <c r="DL81"/>
  <c r="DM81"/>
  <c r="DN81"/>
  <c r="DO81"/>
  <c r="DP81"/>
  <c r="DQ81"/>
  <c r="DR81"/>
  <c r="DS81"/>
  <c r="DT81"/>
  <c r="DU81"/>
  <c r="DV81"/>
  <c r="DW81"/>
  <c r="DX81"/>
  <c r="DY81"/>
  <c r="DZ81"/>
  <c r="EA81"/>
  <c r="EB81"/>
  <c r="EC81"/>
  <c r="ED81"/>
  <c r="EE81"/>
  <c r="EF81"/>
  <c r="EG81"/>
  <c r="EH81"/>
  <c r="EI81"/>
  <c r="EJ81"/>
  <c r="EK81"/>
  <c r="EL81"/>
  <c r="EM81"/>
  <c r="EN81"/>
  <c r="EO81"/>
  <c r="EP81"/>
  <c r="EQ81"/>
  <c r="ER81"/>
  <c r="ES81"/>
  <c r="ET81"/>
  <c r="EU81"/>
  <c r="EV81"/>
  <c r="EW81"/>
  <c r="EX81"/>
  <c r="EY81"/>
  <c r="EZ81"/>
  <c r="FA81"/>
  <c r="FB81"/>
  <c r="FC81"/>
  <c r="FD81"/>
  <c r="FE81"/>
  <c r="FF81"/>
  <c r="FG81"/>
  <c r="FH81"/>
  <c r="FI81"/>
  <c r="FJ81"/>
  <c r="FK81"/>
  <c r="FL81"/>
  <c r="FM81"/>
  <c r="FN81"/>
  <c r="FO81"/>
  <c r="FP81"/>
  <c r="FQ81"/>
  <c r="FR81"/>
  <c r="FS81"/>
  <c r="DB82"/>
  <c r="DC82"/>
  <c r="DD82"/>
  <c r="DE82"/>
  <c r="DF82"/>
  <c r="DG82"/>
  <c r="DH82"/>
  <c r="DI82"/>
  <c r="DJ82"/>
  <c r="DK82"/>
  <c r="DL82"/>
  <c r="DM82"/>
  <c r="DN82"/>
  <c r="DO82"/>
  <c r="DP82"/>
  <c r="DQ82"/>
  <c r="DR82"/>
  <c r="DS82"/>
  <c r="DT82"/>
  <c r="DU82"/>
  <c r="DV82"/>
  <c r="DW82"/>
  <c r="DX82"/>
  <c r="DY82"/>
  <c r="DZ82"/>
  <c r="EA82"/>
  <c r="EB82"/>
  <c r="EC82"/>
  <c r="ED82"/>
  <c r="EE82"/>
  <c r="EF82"/>
  <c r="EG82"/>
  <c r="EH82"/>
  <c r="EI82"/>
  <c r="EJ82"/>
  <c r="EK82"/>
  <c r="EL82"/>
  <c r="EM82"/>
  <c r="EN82"/>
  <c r="EO82"/>
  <c r="EP82"/>
  <c r="EQ82"/>
  <c r="ER82"/>
  <c r="ES82"/>
  <c r="ET82"/>
  <c r="EU82"/>
  <c r="EV82"/>
  <c r="EW82"/>
  <c r="EX82"/>
  <c r="EY82"/>
  <c r="EZ82"/>
  <c r="FA82"/>
  <c r="FB82"/>
  <c r="FC82"/>
  <c r="FD82"/>
  <c r="FE82"/>
  <c r="FF82"/>
  <c r="FG82"/>
  <c r="FH82"/>
  <c r="FI82"/>
  <c r="FJ82"/>
  <c r="FK82"/>
  <c r="FL82"/>
  <c r="FM82"/>
  <c r="FN82"/>
  <c r="FO82"/>
  <c r="FP82"/>
  <c r="FQ82"/>
  <c r="FR82"/>
  <c r="FS82"/>
  <c r="DB83"/>
  <c r="DC83"/>
  <c r="DD83"/>
  <c r="DE83"/>
  <c r="DF83"/>
  <c r="DG83"/>
  <c r="DH83"/>
  <c r="DI83"/>
  <c r="DJ83"/>
  <c r="DK83"/>
  <c r="DL83"/>
  <c r="DM83"/>
  <c r="DN83"/>
  <c r="DO83"/>
  <c r="DP83"/>
  <c r="DQ83"/>
  <c r="DR83"/>
  <c r="DS83"/>
  <c r="DT83"/>
  <c r="DU83"/>
  <c r="DV83"/>
  <c r="DW83"/>
  <c r="DX83"/>
  <c r="DY83"/>
  <c r="DZ83"/>
  <c r="EA83"/>
  <c r="EB83"/>
  <c r="EC83"/>
  <c r="ED83"/>
  <c r="EE83"/>
  <c r="EF83"/>
  <c r="EG83"/>
  <c r="EH83"/>
  <c r="EI83"/>
  <c r="EJ83"/>
  <c r="EK83"/>
  <c r="EL83"/>
  <c r="EM83"/>
  <c r="EN83"/>
  <c r="EO83"/>
  <c r="EP83"/>
  <c r="EQ83"/>
  <c r="ER83"/>
  <c r="ES83"/>
  <c r="ET83"/>
  <c r="EU83"/>
  <c r="EV83"/>
  <c r="EW83"/>
  <c r="EX83"/>
  <c r="EY83"/>
  <c r="EZ83"/>
  <c r="FA83"/>
  <c r="FB83"/>
  <c r="FC83"/>
  <c r="FD83"/>
  <c r="FE83"/>
  <c r="FF83"/>
  <c r="FG83"/>
  <c r="FH83"/>
  <c r="FI83"/>
  <c r="FJ83"/>
  <c r="FK83"/>
  <c r="FL83"/>
  <c r="FM83"/>
  <c r="FN83"/>
  <c r="FO83"/>
  <c r="FP83"/>
  <c r="FQ83"/>
  <c r="FR83"/>
  <c r="FS83"/>
  <c r="DB84"/>
  <c r="DC84"/>
  <c r="DD84"/>
  <c r="DE84"/>
  <c r="DF84"/>
  <c r="DG84"/>
  <c r="DH84"/>
  <c r="DI84"/>
  <c r="DJ84"/>
  <c r="DK84"/>
  <c r="DL84"/>
  <c r="DM84"/>
  <c r="DN84"/>
  <c r="DO84"/>
  <c r="DP84"/>
  <c r="DQ84"/>
  <c r="DR84"/>
  <c r="DS84"/>
  <c r="DT84"/>
  <c r="DU84"/>
  <c r="DV84"/>
  <c r="DW84"/>
  <c r="DX84"/>
  <c r="DY84"/>
  <c r="DZ84"/>
  <c r="EA84"/>
  <c r="EB84"/>
  <c r="EC84"/>
  <c r="ED84"/>
  <c r="EE84"/>
  <c r="EF84"/>
  <c r="EG84"/>
  <c r="EH84"/>
  <c r="EI84"/>
  <c r="EJ84"/>
  <c r="EK84"/>
  <c r="EL84"/>
  <c r="EM84"/>
  <c r="EN84"/>
  <c r="EO84"/>
  <c r="EP84"/>
  <c r="EQ84"/>
  <c r="ER84"/>
  <c r="ES84"/>
  <c r="ET84"/>
  <c r="EU84"/>
  <c r="EV84"/>
  <c r="EW84"/>
  <c r="EX84"/>
  <c r="EY84"/>
  <c r="EZ84"/>
  <c r="FA84"/>
  <c r="FB84"/>
  <c r="FC84"/>
  <c r="FD84"/>
  <c r="FE84"/>
  <c r="FF84"/>
  <c r="FG84"/>
  <c r="FH84"/>
  <c r="FI84"/>
  <c r="FJ84"/>
  <c r="FK84"/>
  <c r="FL84"/>
  <c r="FM84"/>
  <c r="FN84"/>
  <c r="FO84"/>
  <c r="FP84"/>
  <c r="FQ84"/>
  <c r="FR84"/>
  <c r="FS84"/>
  <c r="DB85"/>
  <c r="DC85"/>
  <c r="DD85"/>
  <c r="DE85"/>
  <c r="DF85"/>
  <c r="DG85"/>
  <c r="DH85"/>
  <c r="DI85"/>
  <c r="DJ85"/>
  <c r="DK85"/>
  <c r="DL85"/>
  <c r="DM85"/>
  <c r="DN85"/>
  <c r="DO85"/>
  <c r="DP85"/>
  <c r="DQ85"/>
  <c r="DR85"/>
  <c r="DS85"/>
  <c r="DT85"/>
  <c r="DU85"/>
  <c r="DV85"/>
  <c r="DW85"/>
  <c r="DX85"/>
  <c r="DY85"/>
  <c r="DZ85"/>
  <c r="EA85"/>
  <c r="EB85"/>
  <c r="EC85"/>
  <c r="ED85"/>
  <c r="EE85"/>
  <c r="EF85"/>
  <c r="EG85"/>
  <c r="EH85"/>
  <c r="EI85"/>
  <c r="EJ85"/>
  <c r="EK85"/>
  <c r="EL85"/>
  <c r="EM85"/>
  <c r="EN85"/>
  <c r="EO85"/>
  <c r="EP85"/>
  <c r="EQ85"/>
  <c r="ER85"/>
  <c r="ES85"/>
  <c r="ET85"/>
  <c r="EU85"/>
  <c r="EV85"/>
  <c r="EW85"/>
  <c r="EX85"/>
  <c r="EY85"/>
  <c r="EZ85"/>
  <c r="FA85"/>
  <c r="FB85"/>
  <c r="FC85"/>
  <c r="FD85"/>
  <c r="FE85"/>
  <c r="FF85"/>
  <c r="FG85"/>
  <c r="FH85"/>
  <c r="FI85"/>
  <c r="FJ85"/>
  <c r="FK85"/>
  <c r="FL85"/>
  <c r="FM85"/>
  <c r="FN85"/>
  <c r="FO85"/>
  <c r="FP85"/>
  <c r="FQ85"/>
  <c r="FR85"/>
  <c r="FS85"/>
  <c r="DB86"/>
  <c r="DC86"/>
  <c r="DD86"/>
  <c r="DE86"/>
  <c r="DF86"/>
  <c r="DG86"/>
  <c r="DH86"/>
  <c r="DI86"/>
  <c r="DJ86"/>
  <c r="DK86"/>
  <c r="DL86"/>
  <c r="DM86"/>
  <c r="DN86"/>
  <c r="DO86"/>
  <c r="DP86"/>
  <c r="DQ86"/>
  <c r="DR86"/>
  <c r="DS86"/>
  <c r="DT86"/>
  <c r="DU86"/>
  <c r="DV86"/>
  <c r="DW86"/>
  <c r="DX86"/>
  <c r="DY86"/>
  <c r="DZ86"/>
  <c r="EA86"/>
  <c r="EB86"/>
  <c r="EC86"/>
  <c r="ED86"/>
  <c r="EE86"/>
  <c r="EF86"/>
  <c r="EG86"/>
  <c r="EH86"/>
  <c r="EI86"/>
  <c r="EJ86"/>
  <c r="EK86"/>
  <c r="EL86"/>
  <c r="EM86"/>
  <c r="EN86"/>
  <c r="EO86"/>
  <c r="EP86"/>
  <c r="EQ86"/>
  <c r="ER86"/>
  <c r="ES86"/>
  <c r="ET86"/>
  <c r="EU86"/>
  <c r="EV86"/>
  <c r="EW86"/>
  <c r="EX86"/>
  <c r="EY86"/>
  <c r="EZ86"/>
  <c r="FA86"/>
  <c r="FB86"/>
  <c r="FC86"/>
  <c r="FD86"/>
  <c r="FE86"/>
  <c r="FF86"/>
  <c r="FG86"/>
  <c r="FH86"/>
  <c r="FI86"/>
  <c r="FJ86"/>
  <c r="FK86"/>
  <c r="FL86"/>
  <c r="FM86"/>
  <c r="FN86"/>
  <c r="FO86"/>
  <c r="FP86"/>
  <c r="FQ86"/>
  <c r="FR86"/>
  <c r="FS86"/>
  <c r="DB87"/>
  <c r="DC87"/>
  <c r="DD87"/>
  <c r="DE87"/>
  <c r="DF87"/>
  <c r="DG87"/>
  <c r="DH87"/>
  <c r="DI87"/>
  <c r="DJ87"/>
  <c r="DK87"/>
  <c r="DL87"/>
  <c r="DM87"/>
  <c r="DN87"/>
  <c r="DO87"/>
  <c r="DP87"/>
  <c r="DQ87"/>
  <c r="DR87"/>
  <c r="DS87"/>
  <c r="DT87"/>
  <c r="DU87"/>
  <c r="DV87"/>
  <c r="DW87"/>
  <c r="DX87"/>
  <c r="DY87"/>
  <c r="DZ87"/>
  <c r="EA87"/>
  <c r="EB87"/>
  <c r="EC87"/>
  <c r="ED87"/>
  <c r="EE87"/>
  <c r="EF87"/>
  <c r="EG87"/>
  <c r="EH87"/>
  <c r="EI87"/>
  <c r="EJ87"/>
  <c r="EK87"/>
  <c r="EL87"/>
  <c r="EM87"/>
  <c r="EN87"/>
  <c r="EO87"/>
  <c r="EP87"/>
  <c r="EQ87"/>
  <c r="ER87"/>
  <c r="ES87"/>
  <c r="ET87"/>
  <c r="EU87"/>
  <c r="EV87"/>
  <c r="EW87"/>
  <c r="EX87"/>
  <c r="EY87"/>
  <c r="EZ87"/>
  <c r="FA87"/>
  <c r="FB87"/>
  <c r="FC87"/>
  <c r="FD87"/>
  <c r="FE87"/>
  <c r="FF87"/>
  <c r="FG87"/>
  <c r="FH87"/>
  <c r="FI87"/>
  <c r="FJ87"/>
  <c r="FK87"/>
  <c r="FL87"/>
  <c r="FM87"/>
  <c r="FN87"/>
  <c r="FO87"/>
  <c r="FP87"/>
  <c r="FQ87"/>
  <c r="FR87"/>
  <c r="FS87"/>
  <c r="DB135"/>
  <c r="DC135"/>
  <c r="DD135"/>
  <c r="DE135"/>
  <c r="DF135"/>
  <c r="DG135"/>
  <c r="DH135"/>
  <c r="DI135"/>
  <c r="DJ135"/>
  <c r="DK135"/>
  <c r="DL135"/>
  <c r="DM135"/>
  <c r="DN135"/>
  <c r="DO135"/>
  <c r="DP135"/>
  <c r="DQ135"/>
  <c r="DR135"/>
  <c r="DS135"/>
  <c r="DT135"/>
  <c r="DU135"/>
  <c r="DV135"/>
  <c r="DW135"/>
  <c r="DX135"/>
  <c r="DY135"/>
  <c r="DZ135"/>
  <c r="EA135"/>
  <c r="EB135"/>
  <c r="EC135"/>
  <c r="ED135"/>
  <c r="EE135"/>
  <c r="EF135"/>
  <c r="EG135"/>
  <c r="EH135"/>
  <c r="EI135"/>
  <c r="EJ135"/>
  <c r="EK135"/>
  <c r="EL135"/>
  <c r="EM135"/>
  <c r="EN135"/>
  <c r="EO135"/>
  <c r="EP135"/>
  <c r="EQ135"/>
  <c r="ER135"/>
  <c r="ES135"/>
  <c r="ET135"/>
  <c r="EU135"/>
  <c r="EV135"/>
  <c r="EW135"/>
  <c r="EX135"/>
  <c r="EY135"/>
  <c r="EZ135"/>
  <c r="FA135"/>
  <c r="FB135"/>
  <c r="FC135"/>
  <c r="FD135"/>
  <c r="FE135"/>
  <c r="FF135"/>
  <c r="FG135"/>
  <c r="FH135"/>
  <c r="FI135"/>
  <c r="FJ135"/>
  <c r="FK135"/>
  <c r="FL135"/>
  <c r="FM135"/>
  <c r="FN135"/>
  <c r="FO135"/>
  <c r="FP135"/>
  <c r="FQ135"/>
  <c r="FR135"/>
  <c r="FS135"/>
  <c r="DB136"/>
  <c r="DC136"/>
  <c r="DD136"/>
  <c r="DE136"/>
  <c r="DF136"/>
  <c r="DG136"/>
  <c r="DH136"/>
  <c r="DI136"/>
  <c r="DJ136"/>
  <c r="DK136"/>
  <c r="DL136"/>
  <c r="DM136"/>
  <c r="DN136"/>
  <c r="DO136"/>
  <c r="DP136"/>
  <c r="DQ136"/>
  <c r="DR136"/>
  <c r="DS136"/>
  <c r="DT136"/>
  <c r="DU136"/>
  <c r="DV136"/>
  <c r="DW136"/>
  <c r="DX136"/>
  <c r="DY136"/>
  <c r="DZ136"/>
  <c r="EA136"/>
  <c r="EB136"/>
  <c r="EC136"/>
  <c r="ED136"/>
  <c r="EE136"/>
  <c r="EF136"/>
  <c r="EG136"/>
  <c r="EH136"/>
  <c r="EI136"/>
  <c r="EJ136"/>
  <c r="EK136"/>
  <c r="EL136"/>
  <c r="EM136"/>
  <c r="EN136"/>
  <c r="EO136"/>
  <c r="EP136"/>
  <c r="EQ136"/>
  <c r="ER136"/>
  <c r="ES136"/>
  <c r="ET136"/>
  <c r="EU136"/>
  <c r="EV136"/>
  <c r="EW136"/>
  <c r="EX136"/>
  <c r="EY136"/>
  <c r="EZ136"/>
  <c r="FA136"/>
  <c r="FB136"/>
  <c r="FC136"/>
  <c r="FD136"/>
  <c r="FE136"/>
  <c r="FF136"/>
  <c r="FG136"/>
  <c r="FH136"/>
  <c r="FI136"/>
  <c r="FJ136"/>
  <c r="FK136"/>
  <c r="FL136"/>
  <c r="FM136"/>
  <c r="FN136"/>
  <c r="FO136"/>
  <c r="FP136"/>
  <c r="FQ136"/>
  <c r="FR136"/>
  <c r="FS136"/>
  <c r="DB137"/>
  <c r="DC137"/>
  <c r="DD137"/>
  <c r="DE137"/>
  <c r="DF137"/>
  <c r="DG137"/>
  <c r="DH137"/>
  <c r="DI137"/>
  <c r="DJ137"/>
  <c r="DK137"/>
  <c r="DL137"/>
  <c r="DM137"/>
  <c r="DN137"/>
  <c r="DO137"/>
  <c r="DP137"/>
  <c r="DQ137"/>
  <c r="DR137"/>
  <c r="DS137"/>
  <c r="DT137"/>
  <c r="DU137"/>
  <c r="DV137"/>
  <c r="DW137"/>
  <c r="DX137"/>
  <c r="DY137"/>
  <c r="DZ137"/>
  <c r="EA137"/>
  <c r="EB137"/>
  <c r="EC137"/>
  <c r="ED137"/>
  <c r="EE137"/>
  <c r="EF137"/>
  <c r="EG137"/>
  <c r="EH137"/>
  <c r="EI137"/>
  <c r="EJ137"/>
  <c r="EK137"/>
  <c r="EL137"/>
  <c r="EM137"/>
  <c r="EN137"/>
  <c r="EO137"/>
  <c r="EP137"/>
  <c r="EQ137"/>
  <c r="ER137"/>
  <c r="ES137"/>
  <c r="ET137"/>
  <c r="EU137"/>
  <c r="EV137"/>
  <c r="EW137"/>
  <c r="EX137"/>
  <c r="EY137"/>
  <c r="EZ137"/>
  <c r="FA137"/>
  <c r="FB137"/>
  <c r="FC137"/>
  <c r="FD137"/>
  <c r="FE137"/>
  <c r="FF137"/>
  <c r="FG137"/>
  <c r="FH137"/>
  <c r="FI137"/>
  <c r="FJ137"/>
  <c r="FK137"/>
  <c r="FL137"/>
  <c r="FM137"/>
  <c r="FN137"/>
  <c r="FO137"/>
  <c r="FP137"/>
  <c r="FQ137"/>
  <c r="FR137"/>
  <c r="FS137"/>
  <c r="DB138"/>
  <c r="DC138"/>
  <c r="DD138"/>
  <c r="DE138"/>
  <c r="DF138"/>
  <c r="DG138"/>
  <c r="DH138"/>
  <c r="DI138"/>
  <c r="DJ138"/>
  <c r="DK138"/>
  <c r="DL138"/>
  <c r="DM138"/>
  <c r="DN138"/>
  <c r="DO138"/>
  <c r="DP138"/>
  <c r="DQ138"/>
  <c r="DR138"/>
  <c r="DS138"/>
  <c r="DT138"/>
  <c r="DU138"/>
  <c r="DV138"/>
  <c r="DW138"/>
  <c r="DX138"/>
  <c r="DY138"/>
  <c r="DZ138"/>
  <c r="EA138"/>
  <c r="EB138"/>
  <c r="EC138"/>
  <c r="ED138"/>
  <c r="EE138"/>
  <c r="EF138"/>
  <c r="EG138"/>
  <c r="EH138"/>
  <c r="EI138"/>
  <c r="EJ138"/>
  <c r="EK138"/>
  <c r="EL138"/>
  <c r="EM138"/>
  <c r="EN138"/>
  <c r="EO138"/>
  <c r="EP138"/>
  <c r="EQ138"/>
  <c r="ER138"/>
  <c r="ES138"/>
  <c r="ET138"/>
  <c r="EU138"/>
  <c r="EV138"/>
  <c r="EW138"/>
  <c r="EX138"/>
  <c r="EY138"/>
  <c r="EZ138"/>
  <c r="FA138"/>
  <c r="FB138"/>
  <c r="FC138"/>
  <c r="FD138"/>
  <c r="FE138"/>
  <c r="FF138"/>
  <c r="FG138"/>
  <c r="FH138"/>
  <c r="FI138"/>
  <c r="FJ138"/>
  <c r="FK138"/>
  <c r="FL138"/>
  <c r="FM138"/>
  <c r="FN138"/>
  <c r="FO138"/>
  <c r="FP138"/>
  <c r="FQ138"/>
  <c r="FR138"/>
  <c r="FS138"/>
  <c r="DB139"/>
  <c r="DC139"/>
  <c r="DD139"/>
  <c r="DE139"/>
  <c r="DF139"/>
  <c r="DG139"/>
  <c r="DH139"/>
  <c r="DI139"/>
  <c r="DJ139"/>
  <c r="DK139"/>
  <c r="DL139"/>
  <c r="DM139"/>
  <c r="DN139"/>
  <c r="DO139"/>
  <c r="DP139"/>
  <c r="DQ139"/>
  <c r="DR139"/>
  <c r="DS139"/>
  <c r="DT139"/>
  <c r="DU139"/>
  <c r="DV139"/>
  <c r="DW139"/>
  <c r="DX139"/>
  <c r="DY139"/>
  <c r="DZ139"/>
  <c r="EA139"/>
  <c r="EB139"/>
  <c r="EC139"/>
  <c r="ED139"/>
  <c r="EE139"/>
  <c r="EF139"/>
  <c r="EG139"/>
  <c r="EH139"/>
  <c r="EI139"/>
  <c r="EJ139"/>
  <c r="EK139"/>
  <c r="EL139"/>
  <c r="EM139"/>
  <c r="EN139"/>
  <c r="EO139"/>
  <c r="EP139"/>
  <c r="EQ139"/>
  <c r="ER139"/>
  <c r="ES139"/>
  <c r="ET139"/>
  <c r="EU139"/>
  <c r="EV139"/>
  <c r="EW139"/>
  <c r="EX139"/>
  <c r="EY139"/>
  <c r="EZ139"/>
  <c r="FA139"/>
  <c r="FB139"/>
  <c r="FC139"/>
  <c r="FD139"/>
  <c r="FE139"/>
  <c r="FF139"/>
  <c r="FG139"/>
  <c r="FH139"/>
  <c r="FI139"/>
  <c r="FJ139"/>
  <c r="FK139"/>
  <c r="FL139"/>
  <c r="FM139"/>
  <c r="FN139"/>
  <c r="FO139"/>
  <c r="FP139"/>
  <c r="FQ139"/>
  <c r="FR139"/>
  <c r="FS139"/>
  <c r="DB140"/>
  <c r="DC140"/>
  <c r="DD140"/>
  <c r="DE140"/>
  <c r="DF140"/>
  <c r="DG140"/>
  <c r="DH140"/>
  <c r="DI140"/>
  <c r="DJ140"/>
  <c r="DK140"/>
  <c r="DL140"/>
  <c r="DM140"/>
  <c r="DN140"/>
  <c r="DO140"/>
  <c r="DP140"/>
  <c r="DQ140"/>
  <c r="DR140"/>
  <c r="DS140"/>
  <c r="DT140"/>
  <c r="DU140"/>
  <c r="DV140"/>
  <c r="DW140"/>
  <c r="DX140"/>
  <c r="DY140"/>
  <c r="DZ140"/>
  <c r="EA140"/>
  <c r="EB140"/>
  <c r="EC140"/>
  <c r="ED140"/>
  <c r="EE140"/>
  <c r="EF140"/>
  <c r="EG140"/>
  <c r="EH140"/>
  <c r="EI140"/>
  <c r="EJ140"/>
  <c r="EK140"/>
  <c r="EL140"/>
  <c r="EM140"/>
  <c r="EN140"/>
  <c r="EO140"/>
  <c r="EP140"/>
  <c r="EQ140"/>
  <c r="ER140"/>
  <c r="ES140"/>
  <c r="ET140"/>
  <c r="EU140"/>
  <c r="EV140"/>
  <c r="EW140"/>
  <c r="EX140"/>
  <c r="EY140"/>
  <c r="EZ140"/>
  <c r="FA140"/>
  <c r="FB140"/>
  <c r="FC140"/>
  <c r="FD140"/>
  <c r="FE140"/>
  <c r="FF140"/>
  <c r="FG140"/>
  <c r="FH140"/>
  <c r="FI140"/>
  <c r="FJ140"/>
  <c r="FK140"/>
  <c r="FL140"/>
  <c r="FM140"/>
  <c r="FN140"/>
  <c r="FO140"/>
  <c r="FP140"/>
  <c r="FQ140"/>
  <c r="FR140"/>
  <c r="FS140"/>
  <c r="DB141"/>
  <c r="DC141"/>
  <c r="DD141"/>
  <c r="DE141"/>
  <c r="DF141"/>
  <c r="DG141"/>
  <c r="DH141"/>
  <c r="DI141"/>
  <c r="DJ141"/>
  <c r="DK141"/>
  <c r="DL141"/>
  <c r="DM141"/>
  <c r="DN141"/>
  <c r="DO141"/>
  <c r="DP141"/>
  <c r="DQ141"/>
  <c r="DR141"/>
  <c r="DS141"/>
  <c r="DT141"/>
  <c r="DU141"/>
  <c r="DV141"/>
  <c r="DW141"/>
  <c r="DX141"/>
  <c r="DY141"/>
  <c r="DZ141"/>
  <c r="EA141"/>
  <c r="EB141"/>
  <c r="EC141"/>
  <c r="ED141"/>
  <c r="EE141"/>
  <c r="EF141"/>
  <c r="EG141"/>
  <c r="EH141"/>
  <c r="EI141"/>
  <c r="EJ141"/>
  <c r="EK141"/>
  <c r="EL141"/>
  <c r="EM141"/>
  <c r="EN141"/>
  <c r="EO141"/>
  <c r="EP141"/>
  <c r="EQ141"/>
  <c r="ER141"/>
  <c r="ES141"/>
  <c r="ET141"/>
  <c r="EU141"/>
  <c r="EV141"/>
  <c r="EW141"/>
  <c r="EX141"/>
  <c r="EY141"/>
  <c r="EZ141"/>
  <c r="FA141"/>
  <c r="FB141"/>
  <c r="FC141"/>
  <c r="FD141"/>
  <c r="FE141"/>
  <c r="FF141"/>
  <c r="FG141"/>
  <c r="FH141"/>
  <c r="FI141"/>
  <c r="FJ141"/>
  <c r="FK141"/>
  <c r="FL141"/>
  <c r="FM141"/>
  <c r="FN141"/>
  <c r="FO141"/>
  <c r="FP141"/>
  <c r="FQ141"/>
  <c r="FR141"/>
  <c r="FS141"/>
  <c r="DB142"/>
  <c r="DC142"/>
  <c r="DD142"/>
  <c r="DE142"/>
  <c r="DF142"/>
  <c r="DG142"/>
  <c r="DH142"/>
  <c r="DI142"/>
  <c r="DJ142"/>
  <c r="DK142"/>
  <c r="DL142"/>
  <c r="DM142"/>
  <c r="DN142"/>
  <c r="DO142"/>
  <c r="DP142"/>
  <c r="DQ142"/>
  <c r="DR142"/>
  <c r="DS142"/>
  <c r="DT142"/>
  <c r="DU142"/>
  <c r="DV142"/>
  <c r="DW142"/>
  <c r="DX142"/>
  <c r="DY142"/>
  <c r="DZ142"/>
  <c r="EA142"/>
  <c r="EB142"/>
  <c r="EC142"/>
  <c r="ED142"/>
  <c r="EE142"/>
  <c r="EF142"/>
  <c r="EG142"/>
  <c r="EH142"/>
  <c r="EI142"/>
  <c r="EJ142"/>
  <c r="EK142"/>
  <c r="EL142"/>
  <c r="EM142"/>
  <c r="EN142"/>
  <c r="EO142"/>
  <c r="EP142"/>
  <c r="EQ142"/>
  <c r="ER142"/>
  <c r="ES142"/>
  <c r="ET142"/>
  <c r="EU142"/>
  <c r="EV142"/>
  <c r="EW142"/>
  <c r="EX142"/>
  <c r="EY142"/>
  <c r="EZ142"/>
  <c r="FA142"/>
  <c r="FB142"/>
  <c r="FC142"/>
  <c r="FD142"/>
  <c r="FE142"/>
  <c r="FF142"/>
  <c r="FG142"/>
  <c r="FH142"/>
  <c r="FI142"/>
  <c r="FJ142"/>
  <c r="FK142"/>
  <c r="FL142"/>
  <c r="FM142"/>
  <c r="FN142"/>
  <c r="FO142"/>
  <c r="FP142"/>
  <c r="FQ142"/>
  <c r="FR142"/>
  <c r="FS142"/>
  <c r="DB143"/>
  <c r="DC143"/>
  <c r="DD143"/>
  <c r="DE143"/>
  <c r="DF143"/>
  <c r="DG143"/>
  <c r="DH143"/>
  <c r="DI143"/>
  <c r="DJ143"/>
  <c r="DK143"/>
  <c r="DL143"/>
  <c r="DM143"/>
  <c r="DN143"/>
  <c r="DO143"/>
  <c r="DP143"/>
  <c r="DQ143"/>
  <c r="DR143"/>
  <c r="DS143"/>
  <c r="DT143"/>
  <c r="DU143"/>
  <c r="DV143"/>
  <c r="DW143"/>
  <c r="DX143"/>
  <c r="DY143"/>
  <c r="DZ143"/>
  <c r="EA143"/>
  <c r="EB143"/>
  <c r="EC143"/>
  <c r="ED143"/>
  <c r="EE143"/>
  <c r="EF143"/>
  <c r="EG143"/>
  <c r="EH143"/>
  <c r="EI143"/>
  <c r="EJ143"/>
  <c r="EK143"/>
  <c r="EL143"/>
  <c r="EM143"/>
  <c r="EN143"/>
  <c r="EO143"/>
  <c r="EP143"/>
  <c r="EQ143"/>
  <c r="ER143"/>
  <c r="ES143"/>
  <c r="ET143"/>
  <c r="EU143"/>
  <c r="EV143"/>
  <c r="EW143"/>
  <c r="EX143"/>
  <c r="EY143"/>
  <c r="EZ143"/>
  <c r="FA143"/>
  <c r="FB143"/>
  <c r="FC143"/>
  <c r="FD143"/>
  <c r="FE143"/>
  <c r="FF143"/>
  <c r="FG143"/>
  <c r="FH143"/>
  <c r="FI143"/>
  <c r="FJ143"/>
  <c r="FK143"/>
  <c r="FL143"/>
  <c r="FM143"/>
  <c r="FN143"/>
  <c r="FO143"/>
  <c r="FP143"/>
  <c r="FQ143"/>
  <c r="FR143"/>
  <c r="FS143"/>
  <c r="DB144"/>
  <c r="DC144"/>
  <c r="DD144"/>
  <c r="DE144"/>
  <c r="DF144"/>
  <c r="DG144"/>
  <c r="DH144"/>
  <c r="DI144"/>
  <c r="DJ144"/>
  <c r="DK144"/>
  <c r="DL144"/>
  <c r="DM144"/>
  <c r="DN144"/>
  <c r="DO144"/>
  <c r="DP144"/>
  <c r="DQ144"/>
  <c r="DR144"/>
  <c r="DS144"/>
  <c r="DT144"/>
  <c r="DU144"/>
  <c r="DV144"/>
  <c r="DW144"/>
  <c r="DX144"/>
  <c r="DY144"/>
  <c r="DZ144"/>
  <c r="EA144"/>
  <c r="EB144"/>
  <c r="EC144"/>
  <c r="ED144"/>
  <c r="EE144"/>
  <c r="EF144"/>
  <c r="EG144"/>
  <c r="EH144"/>
  <c r="EI144"/>
  <c r="EJ144"/>
  <c r="EK144"/>
  <c r="EL144"/>
  <c r="EM144"/>
  <c r="EN144"/>
  <c r="EO144"/>
  <c r="EP144"/>
  <c r="EQ144"/>
  <c r="ER144"/>
  <c r="ES144"/>
  <c r="ET144"/>
  <c r="EU144"/>
  <c r="EV144"/>
  <c r="EW144"/>
  <c r="EX144"/>
  <c r="EY144"/>
  <c r="EZ144"/>
  <c r="FA144"/>
  <c r="FB144"/>
  <c r="FC144"/>
  <c r="FD144"/>
  <c r="FE144"/>
  <c r="FF144"/>
  <c r="FG144"/>
  <c r="FH144"/>
  <c r="FI144"/>
  <c r="FJ144"/>
  <c r="FK144"/>
  <c r="FL144"/>
  <c r="FM144"/>
  <c r="FN144"/>
  <c r="FO144"/>
  <c r="FP144"/>
  <c r="FQ144"/>
  <c r="FR144"/>
  <c r="FS144"/>
  <c r="DB145"/>
  <c r="DC145"/>
  <c r="DD145"/>
  <c r="DE145"/>
  <c r="DF145"/>
  <c r="DG145"/>
  <c r="DH145"/>
  <c r="DI145"/>
  <c r="DJ145"/>
  <c r="DK145"/>
  <c r="DL145"/>
  <c r="DM145"/>
  <c r="DN145"/>
  <c r="DO145"/>
  <c r="DP145"/>
  <c r="DQ145"/>
  <c r="DR145"/>
  <c r="DS145"/>
  <c r="DT145"/>
  <c r="DU145"/>
  <c r="DV145"/>
  <c r="DW145"/>
  <c r="DX145"/>
  <c r="DY145"/>
  <c r="DZ145"/>
  <c r="EA145"/>
  <c r="EB145"/>
  <c r="EC145"/>
  <c r="ED145"/>
  <c r="EE145"/>
  <c r="EF145"/>
  <c r="EG145"/>
  <c r="EH145"/>
  <c r="EI145"/>
  <c r="EJ145"/>
  <c r="EK145"/>
  <c r="EL145"/>
  <c r="EM145"/>
  <c r="EN145"/>
  <c r="EO145"/>
  <c r="EP145"/>
  <c r="EQ145"/>
  <c r="ER145"/>
  <c r="ES145"/>
  <c r="ET145"/>
  <c r="EU145"/>
  <c r="EV145"/>
  <c r="EW145"/>
  <c r="EX145"/>
  <c r="EY145"/>
  <c r="EZ145"/>
  <c r="FA145"/>
  <c r="FB145"/>
  <c r="FC145"/>
  <c r="FD145"/>
  <c r="FE145"/>
  <c r="FF145"/>
  <c r="FG145"/>
  <c r="FH145"/>
  <c r="FI145"/>
  <c r="FJ145"/>
  <c r="FK145"/>
  <c r="FL145"/>
  <c r="FM145"/>
  <c r="FN145"/>
  <c r="FO145"/>
  <c r="FP145"/>
  <c r="FQ145"/>
  <c r="FR145"/>
  <c r="FS145"/>
  <c r="DB146"/>
  <c r="DC146"/>
  <c r="DD146"/>
  <c r="DE146"/>
  <c r="DF146"/>
  <c r="DG146"/>
  <c r="DH146"/>
  <c r="DI146"/>
  <c r="DJ146"/>
  <c r="DK146"/>
  <c r="DL146"/>
  <c r="DM146"/>
  <c r="DN146"/>
  <c r="DO146"/>
  <c r="DP146"/>
  <c r="DQ146"/>
  <c r="DR146"/>
  <c r="DS146"/>
  <c r="DT146"/>
  <c r="DU146"/>
  <c r="DV146"/>
  <c r="DW146"/>
  <c r="DX146"/>
  <c r="DY146"/>
  <c r="DZ146"/>
  <c r="EA146"/>
  <c r="EB146"/>
  <c r="EC146"/>
  <c r="ED146"/>
  <c r="EE146"/>
  <c r="EF146"/>
  <c r="EG146"/>
  <c r="EH146"/>
  <c r="EI146"/>
  <c r="EJ146"/>
  <c r="EK146"/>
  <c r="EL146"/>
  <c r="EM146"/>
  <c r="EN146"/>
  <c r="EO146"/>
  <c r="EP146"/>
  <c r="EQ146"/>
  <c r="ER146"/>
  <c r="ES146"/>
  <c r="ET146"/>
  <c r="EU146"/>
  <c r="EV146"/>
  <c r="EW146"/>
  <c r="EX146"/>
  <c r="EY146"/>
  <c r="EZ146"/>
  <c r="FA146"/>
  <c r="FB146"/>
  <c r="FC146"/>
  <c r="FD146"/>
  <c r="FE146"/>
  <c r="FF146"/>
  <c r="FG146"/>
  <c r="FH146"/>
  <c r="FI146"/>
  <c r="FJ146"/>
  <c r="FK146"/>
  <c r="FL146"/>
  <c r="FM146"/>
  <c r="FN146"/>
  <c r="FO146"/>
  <c r="FP146"/>
  <c r="FQ146"/>
  <c r="FR146"/>
  <c r="FS146"/>
  <c r="DB147"/>
  <c r="DC147"/>
  <c r="DD147"/>
  <c r="DE147"/>
  <c r="DF147"/>
  <c r="DG147"/>
  <c r="DH147"/>
  <c r="DI147"/>
  <c r="DJ147"/>
  <c r="DK147"/>
  <c r="DL147"/>
  <c r="DM147"/>
  <c r="DN147"/>
  <c r="DO147"/>
  <c r="DP147"/>
  <c r="DQ147"/>
  <c r="DR147"/>
  <c r="DS147"/>
  <c r="DT147"/>
  <c r="DU147"/>
  <c r="DV147"/>
  <c r="DW147"/>
  <c r="DX147"/>
  <c r="DY147"/>
  <c r="DZ147"/>
  <c r="EA147"/>
  <c r="EB147"/>
  <c r="EC147"/>
  <c r="ED147"/>
  <c r="EE147"/>
  <c r="EF147"/>
  <c r="EG147"/>
  <c r="EH147"/>
  <c r="EI147"/>
  <c r="EJ147"/>
  <c r="EK147"/>
  <c r="EL147"/>
  <c r="EM147"/>
  <c r="EN147"/>
  <c r="EO147"/>
  <c r="EP147"/>
  <c r="EQ147"/>
  <c r="ER147"/>
  <c r="ES147"/>
  <c r="ET147"/>
  <c r="EU147"/>
  <c r="EV147"/>
  <c r="EW147"/>
  <c r="EX147"/>
  <c r="EY147"/>
  <c r="EZ147"/>
  <c r="FA147"/>
  <c r="FB147"/>
  <c r="FC147"/>
  <c r="FD147"/>
  <c r="FE147"/>
  <c r="FF147"/>
  <c r="FG147"/>
  <c r="FH147"/>
  <c r="FI147"/>
  <c r="FJ147"/>
  <c r="FK147"/>
  <c r="FL147"/>
  <c r="FM147"/>
  <c r="FN147"/>
  <c r="FO147"/>
  <c r="FP147"/>
  <c r="FQ147"/>
  <c r="FR147"/>
  <c r="FS147"/>
  <c r="DB148"/>
  <c r="DC148"/>
  <c r="DD148"/>
  <c r="DE148"/>
  <c r="DF148"/>
  <c r="DG148"/>
  <c r="DH148"/>
  <c r="DI148"/>
  <c r="DJ148"/>
  <c r="DK148"/>
  <c r="DL148"/>
  <c r="DM148"/>
  <c r="DN148"/>
  <c r="DO148"/>
  <c r="DP148"/>
  <c r="DQ148"/>
  <c r="DR148"/>
  <c r="DS148"/>
  <c r="DT148"/>
  <c r="DU148"/>
  <c r="DV148"/>
  <c r="DW148"/>
  <c r="DX148"/>
  <c r="DY148"/>
  <c r="DZ148"/>
  <c r="EA148"/>
  <c r="EB148"/>
  <c r="EC148"/>
  <c r="ED148"/>
  <c r="EE148"/>
  <c r="EF148"/>
  <c r="EG148"/>
  <c r="EH148"/>
  <c r="EI148"/>
  <c r="EJ148"/>
  <c r="EK148"/>
  <c r="EL148"/>
  <c r="EM148"/>
  <c r="EN148"/>
  <c r="EO148"/>
  <c r="EP148"/>
  <c r="EQ148"/>
  <c r="ER148"/>
  <c r="ES148"/>
  <c r="ET148"/>
  <c r="EU148"/>
  <c r="EV148"/>
  <c r="EW148"/>
  <c r="EX148"/>
  <c r="EY148"/>
  <c r="EZ148"/>
  <c r="FA148"/>
  <c r="FB148"/>
  <c r="FC148"/>
  <c r="FD148"/>
  <c r="FE148"/>
  <c r="FF148"/>
  <c r="FG148"/>
  <c r="FH148"/>
  <c r="FI148"/>
  <c r="FJ148"/>
  <c r="FK148"/>
  <c r="FL148"/>
  <c r="FM148"/>
  <c r="FN148"/>
  <c r="FO148"/>
  <c r="FP148"/>
  <c r="FQ148"/>
  <c r="FR148"/>
  <c r="FS148"/>
  <c r="DB149"/>
  <c r="DC149"/>
  <c r="DD149"/>
  <c r="DE149"/>
  <c r="DF149"/>
  <c r="DG149"/>
  <c r="DH149"/>
  <c r="DI149"/>
  <c r="DJ149"/>
  <c r="DK149"/>
  <c r="DL149"/>
  <c r="DM149"/>
  <c r="DN149"/>
  <c r="DO149"/>
  <c r="DP149"/>
  <c r="DQ149"/>
  <c r="DR149"/>
  <c r="DS149"/>
  <c r="DT149"/>
  <c r="DU149"/>
  <c r="DV149"/>
  <c r="DW149"/>
  <c r="DX149"/>
  <c r="DY149"/>
  <c r="DZ149"/>
  <c r="EA149"/>
  <c r="EB149"/>
  <c r="EC149"/>
  <c r="ED149"/>
  <c r="EE149"/>
  <c r="EF149"/>
  <c r="EG149"/>
  <c r="EH149"/>
  <c r="EI149"/>
  <c r="EJ149"/>
  <c r="EK149"/>
  <c r="EL149"/>
  <c r="EM149"/>
  <c r="EN149"/>
  <c r="EO149"/>
  <c r="EP149"/>
  <c r="EQ149"/>
  <c r="ER149"/>
  <c r="ES149"/>
  <c r="ET149"/>
  <c r="EU149"/>
  <c r="EV149"/>
  <c r="EW149"/>
  <c r="EX149"/>
  <c r="EY149"/>
  <c r="EZ149"/>
  <c r="FA149"/>
  <c r="FB149"/>
  <c r="FC149"/>
  <c r="FD149"/>
  <c r="FE149"/>
  <c r="FF149"/>
  <c r="FG149"/>
  <c r="FH149"/>
  <c r="FI149"/>
  <c r="FJ149"/>
  <c r="FK149"/>
  <c r="FL149"/>
  <c r="FM149"/>
  <c r="FN149"/>
  <c r="FO149"/>
  <c r="FP149"/>
  <c r="FQ149"/>
  <c r="FR149"/>
  <c r="FS149"/>
  <c r="DB150"/>
  <c r="DC150"/>
  <c r="DD150"/>
  <c r="DE150"/>
  <c r="DF150"/>
  <c r="DG150"/>
  <c r="DH150"/>
  <c r="DI150"/>
  <c r="DJ150"/>
  <c r="DK150"/>
  <c r="DL150"/>
  <c r="DM150"/>
  <c r="DN150"/>
  <c r="DO150"/>
  <c r="DP150"/>
  <c r="DQ150"/>
  <c r="DR150"/>
  <c r="DS150"/>
  <c r="DT150"/>
  <c r="DU150"/>
  <c r="DV150"/>
  <c r="DW150"/>
  <c r="DX150"/>
  <c r="DY150"/>
  <c r="DZ150"/>
  <c r="EA150"/>
  <c r="EB150"/>
  <c r="EC150"/>
  <c r="ED150"/>
  <c r="EE150"/>
  <c r="EF150"/>
  <c r="EG150"/>
  <c r="EH150"/>
  <c r="EI150"/>
  <c r="EJ150"/>
  <c r="EK150"/>
  <c r="EL150"/>
  <c r="EM150"/>
  <c r="EN150"/>
  <c r="EO150"/>
  <c r="EP150"/>
  <c r="EQ150"/>
  <c r="ER150"/>
  <c r="ES150"/>
  <c r="ET150"/>
  <c r="EU150"/>
  <c r="EV150"/>
  <c r="EW150"/>
  <c r="EX150"/>
  <c r="EY150"/>
  <c r="EZ150"/>
  <c r="FA150"/>
  <c r="FB150"/>
  <c r="FC150"/>
  <c r="FD150"/>
  <c r="FE150"/>
  <c r="FF150"/>
  <c r="FG150"/>
  <c r="FH150"/>
  <c r="FI150"/>
  <c r="FJ150"/>
  <c r="FK150"/>
  <c r="FL150"/>
  <c r="FM150"/>
  <c r="FN150"/>
  <c r="FO150"/>
  <c r="FP150"/>
  <c r="FQ150"/>
  <c r="FR150"/>
  <c r="FS150"/>
  <c r="DB151"/>
  <c r="DC151"/>
  <c r="DD151"/>
  <c r="DE151"/>
  <c r="DF151"/>
  <c r="DG151"/>
  <c r="DH151"/>
  <c r="DI151"/>
  <c r="DJ151"/>
  <c r="DK151"/>
  <c r="DL151"/>
  <c r="DM151"/>
  <c r="DN151"/>
  <c r="DO151"/>
  <c r="DP151"/>
  <c r="DQ151"/>
  <c r="DR151"/>
  <c r="DS151"/>
  <c r="DT151"/>
  <c r="DU151"/>
  <c r="DV151"/>
  <c r="DW151"/>
  <c r="DX151"/>
  <c r="DY151"/>
  <c r="DZ151"/>
  <c r="EA151"/>
  <c r="EB151"/>
  <c r="EC151"/>
  <c r="ED151"/>
  <c r="EE151"/>
  <c r="EF151"/>
  <c r="EG151"/>
  <c r="EH151"/>
  <c r="EI151"/>
  <c r="EJ151"/>
  <c r="EK151"/>
  <c r="EL151"/>
  <c r="EM151"/>
  <c r="EN151"/>
  <c r="EO151"/>
  <c r="EP151"/>
  <c r="EQ151"/>
  <c r="ER151"/>
  <c r="ES151"/>
  <c r="ET151"/>
  <c r="EU151"/>
  <c r="EV151"/>
  <c r="EW151"/>
  <c r="EX151"/>
  <c r="EY151"/>
  <c r="EZ151"/>
  <c r="FA151"/>
  <c r="FB151"/>
  <c r="FC151"/>
  <c r="FD151"/>
  <c r="FE151"/>
  <c r="FF151"/>
  <c r="FG151"/>
  <c r="FH151"/>
  <c r="FI151"/>
  <c r="FJ151"/>
  <c r="FK151"/>
  <c r="FL151"/>
  <c r="FM151"/>
  <c r="FN151"/>
  <c r="FO151"/>
  <c r="FP151"/>
  <c r="FQ151"/>
  <c r="FR151"/>
  <c r="FS151"/>
  <c r="DB152"/>
  <c r="DC152"/>
  <c r="DD152"/>
  <c r="DE152"/>
  <c r="DF152"/>
  <c r="DG152"/>
  <c r="DH152"/>
  <c r="DI152"/>
  <c r="DJ152"/>
  <c r="DK152"/>
  <c r="DL152"/>
  <c r="DM152"/>
  <c r="DN152"/>
  <c r="DO152"/>
  <c r="DP152"/>
  <c r="DQ152"/>
  <c r="DR152"/>
  <c r="DS152"/>
  <c r="DT152"/>
  <c r="DU152"/>
  <c r="DV152"/>
  <c r="DW152"/>
  <c r="DX152"/>
  <c r="DY152"/>
  <c r="DZ152"/>
  <c r="EA152"/>
  <c r="EB152"/>
  <c r="EC152"/>
  <c r="ED152"/>
  <c r="EE152"/>
  <c r="EF152"/>
  <c r="EG152"/>
  <c r="EH152"/>
  <c r="EI152"/>
  <c r="EJ152"/>
  <c r="EK152"/>
  <c r="EL152"/>
  <c r="EM152"/>
  <c r="EN152"/>
  <c r="EO152"/>
  <c r="EP152"/>
  <c r="EQ152"/>
  <c r="ER152"/>
  <c r="ES152"/>
  <c r="ET152"/>
  <c r="EU152"/>
  <c r="EV152"/>
  <c r="EW152"/>
  <c r="EX152"/>
  <c r="EY152"/>
  <c r="EZ152"/>
  <c r="FA152"/>
  <c r="FB152"/>
  <c r="FC152"/>
  <c r="FD152"/>
  <c r="FE152"/>
  <c r="FF152"/>
  <c r="FG152"/>
  <c r="FH152"/>
  <c r="FI152"/>
  <c r="FJ152"/>
  <c r="FK152"/>
  <c r="FL152"/>
  <c r="FM152"/>
  <c r="FN152"/>
  <c r="FO152"/>
  <c r="FP152"/>
  <c r="FQ152"/>
  <c r="FR152"/>
  <c r="FS152"/>
  <c r="DB153"/>
  <c r="DC153"/>
  <c r="DD153"/>
  <c r="DE153"/>
  <c r="DF153"/>
  <c r="DG153"/>
  <c r="DH153"/>
  <c r="DI153"/>
  <c r="DJ153"/>
  <c r="DK153"/>
  <c r="DL153"/>
  <c r="DM153"/>
  <c r="DN153"/>
  <c r="DO153"/>
  <c r="DP153"/>
  <c r="DQ153"/>
  <c r="DR153"/>
  <c r="DS153"/>
  <c r="DT153"/>
  <c r="DU153"/>
  <c r="DV153"/>
  <c r="DW153"/>
  <c r="DX153"/>
  <c r="DY153"/>
  <c r="DZ153"/>
  <c r="EA153"/>
  <c r="EB153"/>
  <c r="EC153"/>
  <c r="ED153"/>
  <c r="EE153"/>
  <c r="EF153"/>
  <c r="EG153"/>
  <c r="EH153"/>
  <c r="EI153"/>
  <c r="EJ153"/>
  <c r="EK153"/>
  <c r="EL153"/>
  <c r="EM153"/>
  <c r="EN153"/>
  <c r="EO153"/>
  <c r="EP153"/>
  <c r="EQ153"/>
  <c r="ER153"/>
  <c r="ES153"/>
  <c r="ET153"/>
  <c r="EU153"/>
  <c r="EV153"/>
  <c r="EW153"/>
  <c r="EX153"/>
  <c r="EY153"/>
  <c r="EZ153"/>
  <c r="FA153"/>
  <c r="FB153"/>
  <c r="FC153"/>
  <c r="FD153"/>
  <c r="FE153"/>
  <c r="FF153"/>
  <c r="FG153"/>
  <c r="FH153"/>
  <c r="FI153"/>
  <c r="FJ153"/>
  <c r="FK153"/>
  <c r="FL153"/>
  <c r="FM153"/>
  <c r="FN153"/>
  <c r="FO153"/>
  <c r="FP153"/>
  <c r="FQ153"/>
  <c r="FR153"/>
  <c r="FS153"/>
  <c r="DB154"/>
  <c r="DC154"/>
  <c r="DD154"/>
  <c r="DE154"/>
  <c r="DF154"/>
  <c r="DG154"/>
  <c r="DH154"/>
  <c r="DI154"/>
  <c r="DJ154"/>
  <c r="DK154"/>
  <c r="DL154"/>
  <c r="DM154"/>
  <c r="DN154"/>
  <c r="DO154"/>
  <c r="DP154"/>
  <c r="DQ154"/>
  <c r="DR154"/>
  <c r="DS154"/>
  <c r="DT154"/>
  <c r="DU154"/>
  <c r="DV154"/>
  <c r="DW154"/>
  <c r="DX154"/>
  <c r="DY154"/>
  <c r="DZ154"/>
  <c r="EA154"/>
  <c r="EB154"/>
  <c r="EC154"/>
  <c r="ED154"/>
  <c r="EE154"/>
  <c r="EF154"/>
  <c r="EG154"/>
  <c r="EH154"/>
  <c r="EI154"/>
  <c r="EJ154"/>
  <c r="EK154"/>
  <c r="EL154"/>
  <c r="EM154"/>
  <c r="EN154"/>
  <c r="EO154"/>
  <c r="EP154"/>
  <c r="EQ154"/>
  <c r="ER154"/>
  <c r="ES154"/>
  <c r="ET154"/>
  <c r="EU154"/>
  <c r="EV154"/>
  <c r="EW154"/>
  <c r="EX154"/>
  <c r="EY154"/>
  <c r="EZ154"/>
  <c r="FA154"/>
  <c r="FB154"/>
  <c r="FC154"/>
  <c r="FD154"/>
  <c r="FE154"/>
  <c r="FF154"/>
  <c r="FG154"/>
  <c r="FH154"/>
  <c r="FI154"/>
  <c r="FJ154"/>
  <c r="FK154"/>
  <c r="FL154"/>
  <c r="FM154"/>
  <c r="FN154"/>
  <c r="FO154"/>
  <c r="FP154"/>
  <c r="FQ154"/>
  <c r="FR154"/>
  <c r="FS154"/>
  <c r="DB155"/>
  <c r="DC155"/>
  <c r="DD155"/>
  <c r="DE155"/>
  <c r="DF155"/>
  <c r="DG155"/>
  <c r="DH155"/>
  <c r="DI155"/>
  <c r="DJ155"/>
  <c r="DK155"/>
  <c r="DL155"/>
  <c r="DM155"/>
  <c r="DN155"/>
  <c r="DO155"/>
  <c r="DP155"/>
  <c r="DQ155"/>
  <c r="DR155"/>
  <c r="DS155"/>
  <c r="DT155"/>
  <c r="DU155"/>
  <c r="DV155"/>
  <c r="DW155"/>
  <c r="DX155"/>
  <c r="DY155"/>
  <c r="DZ155"/>
  <c r="EA155"/>
  <c r="EB155"/>
  <c r="EC155"/>
  <c r="ED155"/>
  <c r="EE155"/>
  <c r="EF155"/>
  <c r="EG155"/>
  <c r="EH155"/>
  <c r="EI155"/>
  <c r="EJ155"/>
  <c r="EK155"/>
  <c r="EL155"/>
  <c r="EM155"/>
  <c r="EN155"/>
  <c r="EO155"/>
  <c r="EP155"/>
  <c r="EQ155"/>
  <c r="ER155"/>
  <c r="ES155"/>
  <c r="ET155"/>
  <c r="EU155"/>
  <c r="EV155"/>
  <c r="EW155"/>
  <c r="EX155"/>
  <c r="EY155"/>
  <c r="EZ155"/>
  <c r="FA155"/>
  <c r="FB155"/>
  <c r="FC155"/>
  <c r="FD155"/>
  <c r="FE155"/>
  <c r="FF155"/>
  <c r="FG155"/>
  <c r="FH155"/>
  <c r="FI155"/>
  <c r="FJ155"/>
  <c r="FK155"/>
  <c r="FL155"/>
  <c r="FM155"/>
  <c r="FN155"/>
  <c r="FO155"/>
  <c r="FP155"/>
  <c r="FQ155"/>
  <c r="FR155"/>
  <c r="FS155"/>
  <c r="DB156"/>
  <c r="DC156"/>
  <c r="DD156"/>
  <c r="DE156"/>
  <c r="DF156"/>
  <c r="DG156"/>
  <c r="DH156"/>
  <c r="DI156"/>
  <c r="DJ156"/>
  <c r="DK156"/>
  <c r="DL156"/>
  <c r="DM156"/>
  <c r="DN156"/>
  <c r="DO156"/>
  <c r="DP156"/>
  <c r="DQ156"/>
  <c r="DR156"/>
  <c r="DS156"/>
  <c r="DT156"/>
  <c r="DU156"/>
  <c r="DV156"/>
  <c r="DW156"/>
  <c r="DX156"/>
  <c r="DY156"/>
  <c r="DZ156"/>
  <c r="EA156"/>
  <c r="EB156"/>
  <c r="EC156"/>
  <c r="ED156"/>
  <c r="EE156"/>
  <c r="EF156"/>
  <c r="EG156"/>
  <c r="EH156"/>
  <c r="EI156"/>
  <c r="EJ156"/>
  <c r="EK156"/>
  <c r="EL156"/>
  <c r="EM156"/>
  <c r="EN156"/>
  <c r="EO156"/>
  <c r="EP156"/>
  <c r="EQ156"/>
  <c r="ER156"/>
  <c r="ES156"/>
  <c r="ET156"/>
  <c r="EU156"/>
  <c r="EV156"/>
  <c r="EW156"/>
  <c r="EX156"/>
  <c r="EY156"/>
  <c r="EZ156"/>
  <c r="FA156"/>
  <c r="FB156"/>
  <c r="FC156"/>
  <c r="FD156"/>
  <c r="FE156"/>
  <c r="FF156"/>
  <c r="FG156"/>
  <c r="FH156"/>
  <c r="FI156"/>
  <c r="FJ156"/>
  <c r="FK156"/>
  <c r="FL156"/>
  <c r="FM156"/>
  <c r="FN156"/>
  <c r="FO156"/>
  <c r="FP156"/>
  <c r="FQ156"/>
  <c r="FR156"/>
  <c r="FS156"/>
  <c r="DB157"/>
  <c r="DC157"/>
  <c r="DD157"/>
  <c r="DE157"/>
  <c r="DF157"/>
  <c r="DG157"/>
  <c r="DH157"/>
  <c r="DI157"/>
  <c r="DJ157"/>
  <c r="DK157"/>
  <c r="DL157"/>
  <c r="DM157"/>
  <c r="DN157"/>
  <c r="DO157"/>
  <c r="DP157"/>
  <c r="DQ157"/>
  <c r="DR157"/>
  <c r="DS157"/>
  <c r="DT157"/>
  <c r="DU157"/>
  <c r="DV157"/>
  <c r="DW157"/>
  <c r="DX157"/>
  <c r="DY157"/>
  <c r="DZ157"/>
  <c r="EA157"/>
  <c r="EB157"/>
  <c r="EC157"/>
  <c r="ED157"/>
  <c r="EE157"/>
  <c r="EF157"/>
  <c r="EG157"/>
  <c r="EH157"/>
  <c r="EI157"/>
  <c r="EJ157"/>
  <c r="EK157"/>
  <c r="EL157"/>
  <c r="EM157"/>
  <c r="EN157"/>
  <c r="EO157"/>
  <c r="EP157"/>
  <c r="EQ157"/>
  <c r="ER157"/>
  <c r="ES157"/>
  <c r="ET157"/>
  <c r="EU157"/>
  <c r="EV157"/>
  <c r="EW157"/>
  <c r="EX157"/>
  <c r="EY157"/>
  <c r="EZ157"/>
  <c r="FA157"/>
  <c r="FB157"/>
  <c r="FC157"/>
  <c r="FD157"/>
  <c r="FE157"/>
  <c r="FF157"/>
  <c r="FG157"/>
  <c r="FH157"/>
  <c r="FI157"/>
  <c r="FJ157"/>
  <c r="FK157"/>
  <c r="FL157"/>
  <c r="FM157"/>
  <c r="FN157"/>
  <c r="FO157"/>
  <c r="FP157"/>
  <c r="FQ157"/>
  <c r="FR157"/>
  <c r="FS157"/>
  <c r="DB158"/>
  <c r="DC158"/>
  <c r="DD158"/>
  <c r="DE158"/>
  <c r="DF158"/>
  <c r="DG158"/>
  <c r="DH158"/>
  <c r="DI158"/>
  <c r="DJ158"/>
  <c r="DK158"/>
  <c r="DL158"/>
  <c r="DM158"/>
  <c r="DN158"/>
  <c r="DO158"/>
  <c r="DP158"/>
  <c r="DQ158"/>
  <c r="DR158"/>
  <c r="DS158"/>
  <c r="DT158"/>
  <c r="DU158"/>
  <c r="DV158"/>
  <c r="DW158"/>
  <c r="DX158"/>
  <c r="DY158"/>
  <c r="DZ158"/>
  <c r="EA158"/>
  <c r="EB158"/>
  <c r="EC158"/>
  <c r="ED158"/>
  <c r="EE158"/>
  <c r="EF158"/>
  <c r="EG158"/>
  <c r="EH158"/>
  <c r="EI158"/>
  <c r="EJ158"/>
  <c r="EK158"/>
  <c r="EL158"/>
  <c r="EM158"/>
  <c r="EN158"/>
  <c r="EO158"/>
  <c r="EP158"/>
  <c r="EQ158"/>
  <c r="ER158"/>
  <c r="ES158"/>
  <c r="ET158"/>
  <c r="EU158"/>
  <c r="EV158"/>
  <c r="EW158"/>
  <c r="EX158"/>
  <c r="EY158"/>
  <c r="EZ158"/>
  <c r="FA158"/>
  <c r="FB158"/>
  <c r="FC158"/>
  <c r="FD158"/>
  <c r="FE158"/>
  <c r="FF158"/>
  <c r="FG158"/>
  <c r="FH158"/>
  <c r="FI158"/>
  <c r="FJ158"/>
  <c r="FK158"/>
  <c r="FL158"/>
  <c r="FM158"/>
  <c r="FN158"/>
  <c r="FO158"/>
  <c r="FP158"/>
  <c r="FQ158"/>
  <c r="FR158"/>
  <c r="FS158"/>
  <c r="DB159"/>
  <c r="DC159"/>
  <c r="DD159"/>
  <c r="DE159"/>
  <c r="DF159"/>
  <c r="DG159"/>
  <c r="DH159"/>
  <c r="DI159"/>
  <c r="DJ159"/>
  <c r="DK159"/>
  <c r="DL159"/>
  <c r="DM159"/>
  <c r="DN159"/>
  <c r="DO159"/>
  <c r="DP159"/>
  <c r="DQ159"/>
  <c r="DR159"/>
  <c r="DS159"/>
  <c r="DT159"/>
  <c r="DU159"/>
  <c r="DV159"/>
  <c r="DW159"/>
  <c r="DX159"/>
  <c r="DY159"/>
  <c r="DZ159"/>
  <c r="EA159"/>
  <c r="EB159"/>
  <c r="EC159"/>
  <c r="ED159"/>
  <c r="EE159"/>
  <c r="EF159"/>
  <c r="EG159"/>
  <c r="EH159"/>
  <c r="EI159"/>
  <c r="EJ159"/>
  <c r="EK159"/>
  <c r="EL159"/>
  <c r="EM159"/>
  <c r="EN159"/>
  <c r="EO159"/>
  <c r="EP159"/>
  <c r="EQ159"/>
  <c r="ER159"/>
  <c r="ES159"/>
  <c r="ET159"/>
  <c r="EU159"/>
  <c r="EV159"/>
  <c r="EW159"/>
  <c r="EX159"/>
  <c r="EY159"/>
  <c r="EZ159"/>
  <c r="FA159"/>
  <c r="FB159"/>
  <c r="FC159"/>
  <c r="FD159"/>
  <c r="FE159"/>
  <c r="FF159"/>
  <c r="FG159"/>
  <c r="FH159"/>
  <c r="FI159"/>
  <c r="FJ159"/>
  <c r="FK159"/>
  <c r="FL159"/>
  <c r="FM159"/>
  <c r="FN159"/>
  <c r="FO159"/>
  <c r="FP159"/>
  <c r="FQ159"/>
  <c r="FR159"/>
  <c r="FS159"/>
  <c r="DB160"/>
  <c r="DC160"/>
  <c r="DD160"/>
  <c r="DE160"/>
  <c r="DF160"/>
  <c r="DG160"/>
  <c r="DH160"/>
  <c r="DI160"/>
  <c r="DJ160"/>
  <c r="DK160"/>
  <c r="DL160"/>
  <c r="DM160"/>
  <c r="DN160"/>
  <c r="DO160"/>
  <c r="DP160"/>
  <c r="DQ160"/>
  <c r="DR160"/>
  <c r="DS160"/>
  <c r="DT160"/>
  <c r="DU160"/>
  <c r="DV160"/>
  <c r="DW160"/>
  <c r="DX160"/>
  <c r="DY160"/>
  <c r="DZ160"/>
  <c r="EA160"/>
  <c r="EB160"/>
  <c r="EC160"/>
  <c r="ED160"/>
  <c r="EE160"/>
  <c r="EF160"/>
  <c r="EG160"/>
  <c r="EH160"/>
  <c r="EI160"/>
  <c r="EJ160"/>
  <c r="EK160"/>
  <c r="EL160"/>
  <c r="EM160"/>
  <c r="EN160"/>
  <c r="EO160"/>
  <c r="EP160"/>
  <c r="EQ160"/>
  <c r="ER160"/>
  <c r="ES160"/>
  <c r="ET160"/>
  <c r="EU160"/>
  <c r="EV160"/>
  <c r="EW160"/>
  <c r="EX160"/>
  <c r="EY160"/>
  <c r="EZ160"/>
  <c r="FA160"/>
  <c r="FB160"/>
  <c r="FC160"/>
  <c r="FD160"/>
  <c r="FE160"/>
  <c r="FF160"/>
  <c r="FG160"/>
  <c r="FH160"/>
  <c r="FI160"/>
  <c r="FJ160"/>
  <c r="FK160"/>
  <c r="FL160"/>
  <c r="FM160"/>
  <c r="FN160"/>
  <c r="FO160"/>
  <c r="FP160"/>
  <c r="FQ160"/>
  <c r="FR160"/>
  <c r="FS160"/>
  <c r="DB161"/>
  <c r="DC161"/>
  <c r="DD161"/>
  <c r="DE161"/>
  <c r="DF161"/>
  <c r="DG161"/>
  <c r="DH161"/>
  <c r="DI161"/>
  <c r="DJ161"/>
  <c r="DK161"/>
  <c r="DL161"/>
  <c r="DM161"/>
  <c r="DN161"/>
  <c r="DO161"/>
  <c r="DP161"/>
  <c r="DQ161"/>
  <c r="DR161"/>
  <c r="DS161"/>
  <c r="DT161"/>
  <c r="DU161"/>
  <c r="DV161"/>
  <c r="DW161"/>
  <c r="DX161"/>
  <c r="DY161"/>
  <c r="DZ161"/>
  <c r="EA161"/>
  <c r="EB161"/>
  <c r="EC161"/>
  <c r="ED161"/>
  <c r="EE161"/>
  <c r="EF161"/>
  <c r="EG161"/>
  <c r="EH161"/>
  <c r="EI161"/>
  <c r="EJ161"/>
  <c r="EK161"/>
  <c r="EL161"/>
  <c r="EM161"/>
  <c r="EN161"/>
  <c r="EO161"/>
  <c r="EP161"/>
  <c r="EQ161"/>
  <c r="ER161"/>
  <c r="ES161"/>
  <c r="ET161"/>
  <c r="EU161"/>
  <c r="EV161"/>
  <c r="EW161"/>
  <c r="EX161"/>
  <c r="EY161"/>
  <c r="EZ161"/>
  <c r="FA161"/>
  <c r="FB161"/>
  <c r="FC161"/>
  <c r="FD161"/>
  <c r="FE161"/>
  <c r="FF161"/>
  <c r="FG161"/>
  <c r="FH161"/>
  <c r="FI161"/>
  <c r="FJ161"/>
  <c r="FK161"/>
  <c r="FL161"/>
  <c r="FM161"/>
  <c r="FN161"/>
  <c r="FO161"/>
  <c r="FP161"/>
  <c r="FQ161"/>
  <c r="FR161"/>
  <c r="FS161"/>
  <c r="DB162"/>
  <c r="DC162"/>
  <c r="DD162"/>
  <c r="DE162"/>
  <c r="DF162"/>
  <c r="DG162"/>
  <c r="DH162"/>
  <c r="DI162"/>
  <c r="DJ162"/>
  <c r="DK162"/>
  <c r="DL162"/>
  <c r="DM162"/>
  <c r="DN162"/>
  <c r="DO162"/>
  <c r="DP162"/>
  <c r="DQ162"/>
  <c r="DR162"/>
  <c r="DS162"/>
  <c r="DT162"/>
  <c r="DU162"/>
  <c r="DV162"/>
  <c r="DW162"/>
  <c r="DX162"/>
  <c r="DY162"/>
  <c r="DZ162"/>
  <c r="EA162"/>
  <c r="EB162"/>
  <c r="EC162"/>
  <c r="ED162"/>
  <c r="EE162"/>
  <c r="EF162"/>
  <c r="EG162"/>
  <c r="EH162"/>
  <c r="EI162"/>
  <c r="EJ162"/>
  <c r="EK162"/>
  <c r="EL162"/>
  <c r="EM162"/>
  <c r="EN162"/>
  <c r="EO162"/>
  <c r="EP162"/>
  <c r="EQ162"/>
  <c r="ER162"/>
  <c r="ES162"/>
  <c r="ET162"/>
  <c r="EU162"/>
  <c r="EV162"/>
  <c r="EW162"/>
  <c r="EX162"/>
  <c r="EY162"/>
  <c r="EZ162"/>
  <c r="FA162"/>
  <c r="FB162"/>
  <c r="FC162"/>
  <c r="FD162"/>
  <c r="FE162"/>
  <c r="FF162"/>
  <c r="FG162"/>
  <c r="FH162"/>
  <c r="FI162"/>
  <c r="FJ162"/>
  <c r="FK162"/>
  <c r="FL162"/>
  <c r="FM162"/>
  <c r="FN162"/>
  <c r="FO162"/>
  <c r="FP162"/>
  <c r="FQ162"/>
  <c r="FR162"/>
  <c r="FS162"/>
  <c r="DB163"/>
  <c r="DC163"/>
  <c r="DD163"/>
  <c r="DE163"/>
  <c r="DF163"/>
  <c r="DG163"/>
  <c r="DH163"/>
  <c r="DI163"/>
  <c r="DJ163"/>
  <c r="DK163"/>
  <c r="DL163"/>
  <c r="DM163"/>
  <c r="DN163"/>
  <c r="DO163"/>
  <c r="DP163"/>
  <c r="DQ163"/>
  <c r="DR163"/>
  <c r="DS163"/>
  <c r="DT163"/>
  <c r="DU163"/>
  <c r="DV163"/>
  <c r="DW163"/>
  <c r="DX163"/>
  <c r="DY163"/>
  <c r="DZ163"/>
  <c r="EA163"/>
  <c r="EB163"/>
  <c r="EC163"/>
  <c r="ED163"/>
  <c r="EE163"/>
  <c r="EF163"/>
  <c r="EG163"/>
  <c r="EH163"/>
  <c r="EI163"/>
  <c r="EJ163"/>
  <c r="EK163"/>
  <c r="EL163"/>
  <c r="EM163"/>
  <c r="EN163"/>
  <c r="EO163"/>
  <c r="EP163"/>
  <c r="EQ163"/>
  <c r="ER163"/>
  <c r="ES163"/>
  <c r="ET163"/>
  <c r="EU163"/>
  <c r="EV163"/>
  <c r="EW163"/>
  <c r="EX163"/>
  <c r="EY163"/>
  <c r="EZ163"/>
  <c r="FA163"/>
  <c r="FB163"/>
  <c r="FC163"/>
  <c r="FD163"/>
  <c r="FE163"/>
  <c r="FF163"/>
  <c r="FG163"/>
  <c r="FH163"/>
  <c r="FI163"/>
  <c r="FJ163"/>
  <c r="FK163"/>
  <c r="FL163"/>
  <c r="FM163"/>
  <c r="FN163"/>
  <c r="FO163"/>
  <c r="FP163"/>
  <c r="FQ163"/>
  <c r="FR163"/>
  <c r="FS163"/>
  <c r="DB164"/>
  <c r="DC164"/>
  <c r="DD164"/>
  <c r="DE164"/>
  <c r="DF164"/>
  <c r="DG164"/>
  <c r="DH164"/>
  <c r="DI164"/>
  <c r="DJ164"/>
  <c r="DK164"/>
  <c r="DL164"/>
  <c r="DM164"/>
  <c r="DN164"/>
  <c r="DO164"/>
  <c r="DP164"/>
  <c r="DQ164"/>
  <c r="DR164"/>
  <c r="DS164"/>
  <c r="DT164"/>
  <c r="DU164"/>
  <c r="DV164"/>
  <c r="DW164"/>
  <c r="DX164"/>
  <c r="DY164"/>
  <c r="DZ164"/>
  <c r="EA164"/>
  <c r="EB164"/>
  <c r="EC164"/>
  <c r="ED164"/>
  <c r="EE164"/>
  <c r="EF164"/>
  <c r="EG164"/>
  <c r="EH164"/>
  <c r="EI164"/>
  <c r="EJ164"/>
  <c r="EK164"/>
  <c r="EL164"/>
  <c r="EM164"/>
  <c r="EN164"/>
  <c r="EO164"/>
  <c r="EP164"/>
  <c r="EQ164"/>
  <c r="ER164"/>
  <c r="ES164"/>
  <c r="ET164"/>
  <c r="EU164"/>
  <c r="EV164"/>
  <c r="EW164"/>
  <c r="EX164"/>
  <c r="EY164"/>
  <c r="EZ164"/>
  <c r="FA164"/>
  <c r="FB164"/>
  <c r="FC164"/>
  <c r="FD164"/>
  <c r="FE164"/>
  <c r="FF164"/>
  <c r="FG164"/>
  <c r="FH164"/>
  <c r="FI164"/>
  <c r="FJ164"/>
  <c r="FK164"/>
  <c r="FL164"/>
  <c r="FM164"/>
  <c r="FN164"/>
  <c r="FO164"/>
  <c r="FP164"/>
  <c r="FQ164"/>
  <c r="FR164"/>
  <c r="FS164"/>
  <c r="DB165"/>
  <c r="DC165"/>
  <c r="DD165"/>
  <c r="DE165"/>
  <c r="DF165"/>
  <c r="DG165"/>
  <c r="DH165"/>
  <c r="DI165"/>
  <c r="DJ165"/>
  <c r="DK165"/>
  <c r="DL165"/>
  <c r="DM165"/>
  <c r="DN165"/>
  <c r="DO165"/>
  <c r="DP165"/>
  <c r="DQ165"/>
  <c r="DR165"/>
  <c r="DS165"/>
  <c r="DT165"/>
  <c r="DU165"/>
  <c r="DV165"/>
  <c r="DW165"/>
  <c r="DX165"/>
  <c r="DY165"/>
  <c r="DZ165"/>
  <c r="EA165"/>
  <c r="EB165"/>
  <c r="EC165"/>
  <c r="ED165"/>
  <c r="EE165"/>
  <c r="EF165"/>
  <c r="EG165"/>
  <c r="EH165"/>
  <c r="EI165"/>
  <c r="EJ165"/>
  <c r="EK165"/>
  <c r="EL165"/>
  <c r="EM165"/>
  <c r="EN165"/>
  <c r="EO165"/>
  <c r="EP165"/>
  <c r="EQ165"/>
  <c r="ER165"/>
  <c r="ES165"/>
  <c r="ET165"/>
  <c r="EU165"/>
  <c r="EV165"/>
  <c r="EW165"/>
  <c r="EX165"/>
  <c r="EY165"/>
  <c r="EZ165"/>
  <c r="FA165"/>
  <c r="FB165"/>
  <c r="FC165"/>
  <c r="FD165"/>
  <c r="FE165"/>
  <c r="FF165"/>
  <c r="FG165"/>
  <c r="FH165"/>
  <c r="FI165"/>
  <c r="FJ165"/>
  <c r="FK165"/>
  <c r="FL165"/>
  <c r="FM165"/>
  <c r="FN165"/>
  <c r="FO165"/>
  <c r="FP165"/>
  <c r="FQ165"/>
  <c r="FR165"/>
  <c r="FS165"/>
  <c r="DB166"/>
  <c r="DC166"/>
  <c r="DD166"/>
  <c r="DE166"/>
  <c r="DF166"/>
  <c r="DG166"/>
  <c r="DH166"/>
  <c r="DI166"/>
  <c r="DJ166"/>
  <c r="DK166"/>
  <c r="DL166"/>
  <c r="DM166"/>
  <c r="DN166"/>
  <c r="DO166"/>
  <c r="DP166"/>
  <c r="DQ166"/>
  <c r="DR166"/>
  <c r="DS166"/>
  <c r="DT166"/>
  <c r="DU166"/>
  <c r="DV166"/>
  <c r="DW166"/>
  <c r="DX166"/>
  <c r="DY166"/>
  <c r="DZ166"/>
  <c r="EA166"/>
  <c r="EB166"/>
  <c r="EC166"/>
  <c r="ED166"/>
  <c r="EE166"/>
  <c r="EF166"/>
  <c r="EG166"/>
  <c r="EH166"/>
  <c r="EI166"/>
  <c r="EJ166"/>
  <c r="EK166"/>
  <c r="EL166"/>
  <c r="EM166"/>
  <c r="EN166"/>
  <c r="EO166"/>
  <c r="EP166"/>
  <c r="EQ166"/>
  <c r="ER166"/>
  <c r="ES166"/>
  <c r="ET166"/>
  <c r="EU166"/>
  <c r="EV166"/>
  <c r="EW166"/>
  <c r="EX166"/>
  <c r="EY166"/>
  <c r="EZ166"/>
  <c r="FA166"/>
  <c r="FB166"/>
  <c r="FC166"/>
  <c r="FD166"/>
  <c r="FE166"/>
  <c r="FF166"/>
  <c r="FG166"/>
  <c r="FH166"/>
  <c r="FI166"/>
  <c r="FJ166"/>
  <c r="FK166"/>
  <c r="FL166"/>
  <c r="FM166"/>
  <c r="FN166"/>
  <c r="FO166"/>
  <c r="FP166"/>
  <c r="FQ166"/>
  <c r="FR166"/>
  <c r="FS166"/>
  <c r="DB167"/>
  <c r="DC167"/>
  <c r="DD167"/>
  <c r="DE167"/>
  <c r="DF167"/>
  <c r="DG167"/>
  <c r="DH167"/>
  <c r="DI167"/>
  <c r="DJ167"/>
  <c r="DK167"/>
  <c r="DL167"/>
  <c r="DM167"/>
  <c r="DN167"/>
  <c r="DO167"/>
  <c r="DP167"/>
  <c r="DQ167"/>
  <c r="DR167"/>
  <c r="DS167"/>
  <c r="DT167"/>
  <c r="DU167"/>
  <c r="DV167"/>
  <c r="DW167"/>
  <c r="DX167"/>
  <c r="DY167"/>
  <c r="DZ167"/>
  <c r="EA167"/>
  <c r="EB167"/>
  <c r="EC167"/>
  <c r="ED167"/>
  <c r="EE167"/>
  <c r="EF167"/>
  <c r="EG167"/>
  <c r="EH167"/>
  <c r="EI167"/>
  <c r="EJ167"/>
  <c r="EK167"/>
  <c r="EL167"/>
  <c r="EM167"/>
  <c r="EN167"/>
  <c r="EO167"/>
  <c r="EP167"/>
  <c r="EQ167"/>
  <c r="ER167"/>
  <c r="ES167"/>
  <c r="ET167"/>
  <c r="EU167"/>
  <c r="EV167"/>
  <c r="EW167"/>
  <c r="EX167"/>
  <c r="EY167"/>
  <c r="EZ167"/>
  <c r="FA167"/>
  <c r="FB167"/>
  <c r="FC167"/>
  <c r="FD167"/>
  <c r="FE167"/>
  <c r="FF167"/>
  <c r="FG167"/>
  <c r="FH167"/>
  <c r="FI167"/>
  <c r="FJ167"/>
  <c r="FK167"/>
  <c r="FL167"/>
  <c r="FM167"/>
  <c r="FN167"/>
  <c r="FO167"/>
  <c r="FP167"/>
  <c r="FQ167"/>
  <c r="FR167"/>
  <c r="FS167"/>
  <c r="DB168"/>
  <c r="DC168"/>
  <c r="DD168"/>
  <c r="DE168"/>
  <c r="DF168"/>
  <c r="DG168"/>
  <c r="DH168"/>
  <c r="DI168"/>
  <c r="DJ168"/>
  <c r="DK168"/>
  <c r="DL168"/>
  <c r="DM168"/>
  <c r="DN168"/>
  <c r="DO168"/>
  <c r="DP168"/>
  <c r="DQ168"/>
  <c r="DR168"/>
  <c r="DS168"/>
  <c r="DT168"/>
  <c r="DU168"/>
  <c r="DV168"/>
  <c r="DW168"/>
  <c r="DX168"/>
  <c r="DY168"/>
  <c r="DZ168"/>
  <c r="EA168"/>
  <c r="EB168"/>
  <c r="EC168"/>
  <c r="ED168"/>
  <c r="EE168"/>
  <c r="EF168"/>
  <c r="EG168"/>
  <c r="EH168"/>
  <c r="EI168"/>
  <c r="EJ168"/>
  <c r="EK168"/>
  <c r="EL168"/>
  <c r="EM168"/>
  <c r="EN168"/>
  <c r="EO168"/>
  <c r="EP168"/>
  <c r="EQ168"/>
  <c r="ER168"/>
  <c r="ES168"/>
  <c r="ET168"/>
  <c r="EU168"/>
  <c r="EV168"/>
  <c r="EW168"/>
  <c r="EX168"/>
  <c r="EY168"/>
  <c r="EZ168"/>
  <c r="FA168"/>
  <c r="FB168"/>
  <c r="FC168"/>
  <c r="FD168"/>
  <c r="FE168"/>
  <c r="FF168"/>
  <c r="FG168"/>
  <c r="FH168"/>
  <c r="FI168"/>
  <c r="FJ168"/>
  <c r="FK168"/>
  <c r="FL168"/>
  <c r="FM168"/>
  <c r="FN168"/>
  <c r="FO168"/>
  <c r="FP168"/>
  <c r="FQ168"/>
  <c r="FR168"/>
  <c r="FS168"/>
  <c r="DB169"/>
  <c r="DC169"/>
  <c r="DD169"/>
  <c r="DE169"/>
  <c r="DF169"/>
  <c r="DG169"/>
  <c r="DH169"/>
  <c r="DI169"/>
  <c r="DJ169"/>
  <c r="DK169"/>
  <c r="DL169"/>
  <c r="DM169"/>
  <c r="DN169"/>
  <c r="DO169"/>
  <c r="DP169"/>
  <c r="DQ169"/>
  <c r="DR169"/>
  <c r="DS169"/>
  <c r="DT169"/>
  <c r="DU169"/>
  <c r="DV169"/>
  <c r="DW169"/>
  <c r="DX169"/>
  <c r="DY169"/>
  <c r="DZ169"/>
  <c r="EA169"/>
  <c r="EB169"/>
  <c r="EC169"/>
  <c r="ED169"/>
  <c r="EE169"/>
  <c r="EF169"/>
  <c r="EG169"/>
  <c r="EH169"/>
  <c r="EI169"/>
  <c r="EJ169"/>
  <c r="EK169"/>
  <c r="EL169"/>
  <c r="EM169"/>
  <c r="EN169"/>
  <c r="EO169"/>
  <c r="EP169"/>
  <c r="EQ169"/>
  <c r="ER169"/>
  <c r="ES169"/>
  <c r="ET169"/>
  <c r="EU169"/>
  <c r="EV169"/>
  <c r="EW169"/>
  <c r="EX169"/>
  <c r="EY169"/>
  <c r="EZ169"/>
  <c r="FA169"/>
  <c r="FB169"/>
  <c r="FC169"/>
  <c r="FD169"/>
  <c r="FE169"/>
  <c r="FF169"/>
  <c r="FG169"/>
  <c r="FH169"/>
  <c r="FI169"/>
  <c r="FJ169"/>
  <c r="FK169"/>
  <c r="FL169"/>
  <c r="FM169"/>
  <c r="FN169"/>
  <c r="FO169"/>
  <c r="FP169"/>
  <c r="FQ169"/>
  <c r="FR169"/>
  <c r="FS169"/>
  <c r="DB170"/>
  <c r="DC170"/>
  <c r="DD170"/>
  <c r="DE170"/>
  <c r="DF170"/>
  <c r="DG170"/>
  <c r="DH170"/>
  <c r="DI170"/>
  <c r="DJ170"/>
  <c r="DK170"/>
  <c r="DL170"/>
  <c r="DM170"/>
  <c r="DN170"/>
  <c r="DO170"/>
  <c r="DP170"/>
  <c r="DQ170"/>
  <c r="DR170"/>
  <c r="DS170"/>
  <c r="DT170"/>
  <c r="DU170"/>
  <c r="DV170"/>
  <c r="DW170"/>
  <c r="DX170"/>
  <c r="DY170"/>
  <c r="DZ170"/>
  <c r="EA170"/>
  <c r="EB170"/>
  <c r="EC170"/>
  <c r="ED170"/>
  <c r="EE170"/>
  <c r="EF170"/>
  <c r="EG170"/>
  <c r="EH170"/>
  <c r="EI170"/>
  <c r="EJ170"/>
  <c r="EK170"/>
  <c r="EL170"/>
  <c r="EM170"/>
  <c r="EN170"/>
  <c r="EO170"/>
  <c r="EP170"/>
  <c r="EQ170"/>
  <c r="ER170"/>
  <c r="ES170"/>
  <c r="ET170"/>
  <c r="EU170"/>
  <c r="EV170"/>
  <c r="EW170"/>
  <c r="EX170"/>
  <c r="EY170"/>
  <c r="EZ170"/>
  <c r="FA170"/>
  <c r="FB170"/>
  <c r="FC170"/>
  <c r="FD170"/>
  <c r="FE170"/>
  <c r="FF170"/>
  <c r="FG170"/>
  <c r="FH170"/>
  <c r="FI170"/>
  <c r="FJ170"/>
  <c r="FK170"/>
  <c r="FL170"/>
  <c r="FM170"/>
  <c r="FN170"/>
  <c r="FO170"/>
  <c r="FP170"/>
  <c r="FQ170"/>
  <c r="FR170"/>
  <c r="FS170"/>
  <c r="DB171"/>
  <c r="DC171"/>
  <c r="DD171"/>
  <c r="DE171"/>
  <c r="DF171"/>
  <c r="DG171"/>
  <c r="DH171"/>
  <c r="DI171"/>
  <c r="DJ171"/>
  <c r="DK171"/>
  <c r="DL171"/>
  <c r="DM171"/>
  <c r="DN171"/>
  <c r="DO171"/>
  <c r="DP171"/>
  <c r="DQ171"/>
  <c r="DR171"/>
  <c r="DS171"/>
  <c r="DT171"/>
  <c r="DU171"/>
  <c r="DV171"/>
  <c r="DW171"/>
  <c r="DX171"/>
  <c r="DY171"/>
  <c r="DZ171"/>
  <c r="EA171"/>
  <c r="EB171"/>
  <c r="EC171"/>
  <c r="ED171"/>
  <c r="EE171"/>
  <c r="EF171"/>
  <c r="EG171"/>
  <c r="EH171"/>
  <c r="EI171"/>
  <c r="EJ171"/>
  <c r="EK171"/>
  <c r="EL171"/>
  <c r="EM171"/>
  <c r="EN171"/>
  <c r="EO171"/>
  <c r="EP171"/>
  <c r="EQ171"/>
  <c r="ER171"/>
  <c r="ES171"/>
  <c r="ET171"/>
  <c r="EU171"/>
  <c r="EV171"/>
  <c r="EW171"/>
  <c r="EX171"/>
  <c r="EY171"/>
  <c r="EZ171"/>
  <c r="FA171"/>
  <c r="FB171"/>
  <c r="FC171"/>
  <c r="FD171"/>
  <c r="FE171"/>
  <c r="FF171"/>
  <c r="FG171"/>
  <c r="FH171"/>
  <c r="FI171"/>
  <c r="FJ171"/>
  <c r="FK171"/>
  <c r="FL171"/>
  <c r="FM171"/>
  <c r="FN171"/>
  <c r="FO171"/>
  <c r="FP171"/>
  <c r="FQ171"/>
  <c r="FR171"/>
  <c r="FS171"/>
  <c r="DB172"/>
  <c r="DC172"/>
  <c r="DD172"/>
  <c r="DE172"/>
  <c r="DF172"/>
  <c r="DG172"/>
  <c r="DH172"/>
  <c r="DI172"/>
  <c r="DJ172"/>
  <c r="DK172"/>
  <c r="DL172"/>
  <c r="DM172"/>
  <c r="DN172"/>
  <c r="DO172"/>
  <c r="DP172"/>
  <c r="DQ172"/>
  <c r="DR172"/>
  <c r="DS172"/>
  <c r="DT172"/>
  <c r="DU172"/>
  <c r="DV172"/>
  <c r="DW172"/>
  <c r="DX172"/>
  <c r="DY172"/>
  <c r="DZ172"/>
  <c r="EA172"/>
  <c r="EB172"/>
  <c r="EC172"/>
  <c r="ED172"/>
  <c r="EE172"/>
  <c r="EF172"/>
  <c r="EG172"/>
  <c r="EH172"/>
  <c r="EI172"/>
  <c r="EJ172"/>
  <c r="EK172"/>
  <c r="EL172"/>
  <c r="EM172"/>
  <c r="EN172"/>
  <c r="EO172"/>
  <c r="EP172"/>
  <c r="EQ172"/>
  <c r="ER172"/>
  <c r="ES172"/>
  <c r="ET172"/>
  <c r="EU172"/>
  <c r="EV172"/>
  <c r="EW172"/>
  <c r="EX172"/>
  <c r="EY172"/>
  <c r="EZ172"/>
  <c r="FA172"/>
  <c r="FB172"/>
  <c r="FC172"/>
  <c r="FD172"/>
  <c r="FE172"/>
  <c r="FF172"/>
  <c r="FG172"/>
  <c r="FH172"/>
  <c r="FI172"/>
  <c r="FJ172"/>
  <c r="FK172"/>
  <c r="FL172"/>
  <c r="FM172"/>
  <c r="FN172"/>
  <c r="FO172"/>
  <c r="FP172"/>
  <c r="FQ172"/>
  <c r="FR172"/>
  <c r="FS172"/>
  <c r="DB173"/>
  <c r="DC173"/>
  <c r="DD173"/>
  <c r="DE173"/>
  <c r="DF173"/>
  <c r="DG173"/>
  <c r="DH173"/>
  <c r="DI173"/>
  <c r="DJ173"/>
  <c r="DK173"/>
  <c r="DL173"/>
  <c r="DM173"/>
  <c r="DN173"/>
  <c r="DO173"/>
  <c r="DP173"/>
  <c r="DQ173"/>
  <c r="DR173"/>
  <c r="DS173"/>
  <c r="DT173"/>
  <c r="DU173"/>
  <c r="DV173"/>
  <c r="DW173"/>
  <c r="DX173"/>
  <c r="DY173"/>
  <c r="DZ173"/>
  <c r="EA173"/>
  <c r="EB173"/>
  <c r="EC173"/>
  <c r="ED173"/>
  <c r="EE173"/>
  <c r="EF173"/>
  <c r="EG173"/>
  <c r="EH173"/>
  <c r="EI173"/>
  <c r="EJ173"/>
  <c r="EK173"/>
  <c r="EL173"/>
  <c r="EM173"/>
  <c r="EN173"/>
  <c r="EO173"/>
  <c r="EP173"/>
  <c r="EQ173"/>
  <c r="ER173"/>
  <c r="ES173"/>
  <c r="ET173"/>
  <c r="EU173"/>
  <c r="EV173"/>
  <c r="EW173"/>
  <c r="EX173"/>
  <c r="EY173"/>
  <c r="EZ173"/>
  <c r="FA173"/>
  <c r="FB173"/>
  <c r="FC173"/>
  <c r="FD173"/>
  <c r="FE173"/>
  <c r="FF173"/>
  <c r="FG173"/>
  <c r="FH173"/>
  <c r="FI173"/>
  <c r="FJ173"/>
  <c r="FK173"/>
  <c r="FL173"/>
  <c r="FM173"/>
  <c r="FN173"/>
  <c r="FO173"/>
  <c r="FP173"/>
  <c r="FQ173"/>
  <c r="FR173"/>
  <c r="FS173"/>
  <c r="DB174"/>
  <c r="DC174"/>
  <c r="DD174"/>
  <c r="DE174"/>
  <c r="DF174"/>
  <c r="DG174"/>
  <c r="DH174"/>
  <c r="DI174"/>
  <c r="DJ174"/>
  <c r="DK174"/>
  <c r="DL174"/>
  <c r="DM174"/>
  <c r="DN174"/>
  <c r="DO174"/>
  <c r="DP174"/>
  <c r="DQ174"/>
  <c r="DR174"/>
  <c r="DS174"/>
  <c r="DT174"/>
  <c r="DU174"/>
  <c r="DV174"/>
  <c r="DW174"/>
  <c r="DX174"/>
  <c r="DY174"/>
  <c r="DZ174"/>
  <c r="EA174"/>
  <c r="EB174"/>
  <c r="EC174"/>
  <c r="ED174"/>
  <c r="EE174"/>
  <c r="EF174"/>
  <c r="EG174"/>
  <c r="EH174"/>
  <c r="EI174"/>
  <c r="EJ174"/>
  <c r="EK174"/>
  <c r="EL174"/>
  <c r="EM174"/>
  <c r="EN174"/>
  <c r="EO174"/>
  <c r="EP174"/>
  <c r="EQ174"/>
  <c r="ER174"/>
  <c r="ES174"/>
  <c r="ET174"/>
  <c r="EU174"/>
  <c r="EV174"/>
  <c r="EW174"/>
  <c r="EX174"/>
  <c r="EY174"/>
  <c r="EZ174"/>
  <c r="FA174"/>
  <c r="FB174"/>
  <c r="FC174"/>
  <c r="FD174"/>
  <c r="FE174"/>
  <c r="FF174"/>
  <c r="FG174"/>
  <c r="FH174"/>
  <c r="FI174"/>
  <c r="FJ174"/>
  <c r="FK174"/>
  <c r="FL174"/>
  <c r="FM174"/>
  <c r="FN174"/>
  <c r="FO174"/>
  <c r="FP174"/>
  <c r="FQ174"/>
  <c r="FR174"/>
  <c r="FS174"/>
  <c r="DB175"/>
  <c r="DC175"/>
  <c r="DD175"/>
  <c r="DE175"/>
  <c r="DF175"/>
  <c r="DG175"/>
  <c r="DH175"/>
  <c r="DI175"/>
  <c r="DJ175"/>
  <c r="DK175"/>
  <c r="DL175"/>
  <c r="DM175"/>
  <c r="DN175"/>
  <c r="DO175"/>
  <c r="DP175"/>
  <c r="DQ175"/>
  <c r="DR175"/>
  <c r="DS175"/>
  <c r="DT175"/>
  <c r="DU175"/>
  <c r="DV175"/>
  <c r="DW175"/>
  <c r="DX175"/>
  <c r="DY175"/>
  <c r="DZ175"/>
  <c r="EA175"/>
  <c r="EB175"/>
  <c r="EC175"/>
  <c r="ED175"/>
  <c r="EE175"/>
  <c r="EF175"/>
  <c r="EG175"/>
  <c r="EH175"/>
  <c r="EI175"/>
  <c r="EJ175"/>
  <c r="EK175"/>
  <c r="EL175"/>
  <c r="EM175"/>
  <c r="EN175"/>
  <c r="EO175"/>
  <c r="EP175"/>
  <c r="EQ175"/>
  <c r="ER175"/>
  <c r="ES175"/>
  <c r="ET175"/>
  <c r="EU175"/>
  <c r="EV175"/>
  <c r="EW175"/>
  <c r="EX175"/>
  <c r="EY175"/>
  <c r="EZ175"/>
  <c r="FA175"/>
  <c r="FB175"/>
  <c r="FC175"/>
  <c r="FD175"/>
  <c r="FE175"/>
  <c r="FF175"/>
  <c r="FG175"/>
  <c r="FH175"/>
  <c r="FI175"/>
  <c r="FJ175"/>
  <c r="FK175"/>
  <c r="FL175"/>
  <c r="FM175"/>
  <c r="FN175"/>
  <c r="FO175"/>
  <c r="FP175"/>
  <c r="FQ175"/>
  <c r="FR175"/>
  <c r="FS175"/>
  <c r="DB176"/>
  <c r="DC176"/>
  <c r="DD176"/>
  <c r="DE176"/>
  <c r="DF176"/>
  <c r="DG176"/>
  <c r="DH176"/>
  <c r="DI176"/>
  <c r="DJ176"/>
  <c r="DK176"/>
  <c r="DL176"/>
  <c r="DM176"/>
  <c r="DN176"/>
  <c r="DO176"/>
  <c r="DP176"/>
  <c r="DQ176"/>
  <c r="DR176"/>
  <c r="DS176"/>
  <c r="DT176"/>
  <c r="DU176"/>
  <c r="DV176"/>
  <c r="DW176"/>
  <c r="DX176"/>
  <c r="DY176"/>
  <c r="DZ176"/>
  <c r="EA176"/>
  <c r="EB176"/>
  <c r="EC176"/>
  <c r="ED176"/>
  <c r="EE176"/>
  <c r="EF176"/>
  <c r="EG176"/>
  <c r="EH176"/>
  <c r="EI176"/>
  <c r="EJ176"/>
  <c r="EK176"/>
  <c r="EL176"/>
  <c r="EM176"/>
  <c r="EN176"/>
  <c r="EO176"/>
  <c r="EP176"/>
  <c r="EQ176"/>
  <c r="ER176"/>
  <c r="ES176"/>
  <c r="ET176"/>
  <c r="EU176"/>
  <c r="EV176"/>
  <c r="EW176"/>
  <c r="EX176"/>
  <c r="EY176"/>
  <c r="EZ176"/>
  <c r="FA176"/>
  <c r="FB176"/>
  <c r="FC176"/>
  <c r="FD176"/>
  <c r="FE176"/>
  <c r="FF176"/>
  <c r="FG176"/>
  <c r="FH176"/>
  <c r="FI176"/>
  <c r="FJ176"/>
  <c r="FK176"/>
  <c r="FL176"/>
  <c r="FM176"/>
  <c r="FN176"/>
  <c r="FO176"/>
  <c r="FP176"/>
  <c r="FQ176"/>
  <c r="FR176"/>
  <c r="FS176"/>
  <c r="DB177"/>
  <c r="DC177"/>
  <c r="DD177"/>
  <c r="DE177"/>
  <c r="DF177"/>
  <c r="DG177"/>
  <c r="DH177"/>
  <c r="DI177"/>
  <c r="DJ177"/>
  <c r="DK177"/>
  <c r="DL177"/>
  <c r="DM177"/>
  <c r="DN177"/>
  <c r="DO177"/>
  <c r="DP177"/>
  <c r="DQ177"/>
  <c r="DR177"/>
  <c r="DS177"/>
  <c r="DT177"/>
  <c r="DU177"/>
  <c r="DV177"/>
  <c r="DW177"/>
  <c r="DX177"/>
  <c r="DY177"/>
  <c r="DZ177"/>
  <c r="EA177"/>
  <c r="EB177"/>
  <c r="EC177"/>
  <c r="ED177"/>
  <c r="EE177"/>
  <c r="EF177"/>
  <c r="EG177"/>
  <c r="EH177"/>
  <c r="EI177"/>
  <c r="EJ177"/>
  <c r="EK177"/>
  <c r="EL177"/>
  <c r="EM177"/>
  <c r="EN177"/>
  <c r="EO177"/>
  <c r="EP177"/>
  <c r="EQ177"/>
  <c r="ER177"/>
  <c r="ES177"/>
  <c r="ET177"/>
  <c r="EU177"/>
  <c r="EV177"/>
  <c r="EW177"/>
  <c r="EX177"/>
  <c r="EY177"/>
  <c r="EZ177"/>
  <c r="FA177"/>
  <c r="FB177"/>
  <c r="FC177"/>
  <c r="FD177"/>
  <c r="FE177"/>
  <c r="FF177"/>
  <c r="FG177"/>
  <c r="FH177"/>
  <c r="FI177"/>
  <c r="FJ177"/>
  <c r="FK177"/>
  <c r="FL177"/>
  <c r="FM177"/>
  <c r="FN177"/>
  <c r="FO177"/>
  <c r="FP177"/>
  <c r="FQ177"/>
  <c r="FR177"/>
  <c r="FS177"/>
  <c r="DB178"/>
  <c r="DC178"/>
  <c r="DD178"/>
  <c r="DE178"/>
  <c r="DF178"/>
  <c r="DG178"/>
  <c r="DH178"/>
  <c r="DI178"/>
  <c r="DJ178"/>
  <c r="DK178"/>
  <c r="DL178"/>
  <c r="DM178"/>
  <c r="DN178"/>
  <c r="DO178"/>
  <c r="DP178"/>
  <c r="DQ178"/>
  <c r="DR178"/>
  <c r="DS178"/>
  <c r="DT178"/>
  <c r="DU178"/>
  <c r="DV178"/>
  <c r="DW178"/>
  <c r="DX178"/>
  <c r="DY178"/>
  <c r="DZ178"/>
  <c r="EA178"/>
  <c r="EB178"/>
  <c r="EC178"/>
  <c r="ED178"/>
  <c r="EE178"/>
  <c r="EF178"/>
  <c r="EG178"/>
  <c r="EH178"/>
  <c r="EI178"/>
  <c r="EJ178"/>
  <c r="EK178"/>
  <c r="EL178"/>
  <c r="EM178"/>
  <c r="EN178"/>
  <c r="EO178"/>
  <c r="EP178"/>
  <c r="EQ178"/>
  <c r="ER178"/>
  <c r="ES178"/>
  <c r="ET178"/>
  <c r="EU178"/>
  <c r="EV178"/>
  <c r="EW178"/>
  <c r="EX178"/>
  <c r="EY178"/>
  <c r="EZ178"/>
  <c r="FA178"/>
  <c r="FB178"/>
  <c r="FC178"/>
  <c r="FD178"/>
  <c r="FE178"/>
  <c r="FF178"/>
  <c r="FG178"/>
  <c r="FH178"/>
  <c r="FI178"/>
  <c r="FJ178"/>
  <c r="FK178"/>
  <c r="FL178"/>
  <c r="FM178"/>
  <c r="FN178"/>
  <c r="FO178"/>
  <c r="FP178"/>
  <c r="FQ178"/>
  <c r="FR178"/>
  <c r="FS178"/>
  <c r="DB179"/>
  <c r="DC179"/>
  <c r="DD179"/>
  <c r="DE179"/>
  <c r="DF179"/>
  <c r="DG179"/>
  <c r="DH179"/>
  <c r="DI179"/>
  <c r="DJ179"/>
  <c r="DK179"/>
  <c r="DL179"/>
  <c r="DM179"/>
  <c r="DN179"/>
  <c r="DO179"/>
  <c r="DP179"/>
  <c r="DQ179"/>
  <c r="DR179"/>
  <c r="DS179"/>
  <c r="DT179"/>
  <c r="DU179"/>
  <c r="DV179"/>
  <c r="DW179"/>
  <c r="DX179"/>
  <c r="DY179"/>
  <c r="DZ179"/>
  <c r="EA179"/>
  <c r="EB179"/>
  <c r="EC179"/>
  <c r="ED179"/>
  <c r="EE179"/>
  <c r="EF179"/>
  <c r="EG179"/>
  <c r="EH179"/>
  <c r="EI179"/>
  <c r="EJ179"/>
  <c r="EK179"/>
  <c r="EL179"/>
  <c r="EM179"/>
  <c r="EN179"/>
  <c r="EO179"/>
  <c r="EP179"/>
  <c r="EQ179"/>
  <c r="ER179"/>
  <c r="ES179"/>
  <c r="ET179"/>
  <c r="EU179"/>
  <c r="EV179"/>
  <c r="EW179"/>
  <c r="EX179"/>
  <c r="EY179"/>
  <c r="EZ179"/>
  <c r="FA179"/>
  <c r="FB179"/>
  <c r="FC179"/>
  <c r="FD179"/>
  <c r="FE179"/>
  <c r="FF179"/>
  <c r="FG179"/>
  <c r="FH179"/>
  <c r="FI179"/>
  <c r="FJ179"/>
  <c r="FK179"/>
  <c r="FL179"/>
  <c r="FM179"/>
  <c r="FN179"/>
  <c r="FO179"/>
  <c r="FP179"/>
  <c r="FQ179"/>
  <c r="FR179"/>
  <c r="FS179"/>
  <c r="DB180"/>
  <c r="DC180"/>
  <c r="DD180"/>
  <c r="DE180"/>
  <c r="DF180"/>
  <c r="DG180"/>
  <c r="DH180"/>
  <c r="DI180"/>
  <c r="DJ180"/>
  <c r="DK180"/>
  <c r="DL180"/>
  <c r="DM180"/>
  <c r="DN180"/>
  <c r="DO180"/>
  <c r="DP180"/>
  <c r="DQ180"/>
  <c r="DR180"/>
  <c r="DS180"/>
  <c r="DT180"/>
  <c r="DU180"/>
  <c r="DV180"/>
  <c r="DW180"/>
  <c r="DX180"/>
  <c r="DY180"/>
  <c r="DZ180"/>
  <c r="EA180"/>
  <c r="EB180"/>
  <c r="EC180"/>
  <c r="ED180"/>
  <c r="EE180"/>
  <c r="EF180"/>
  <c r="EG180"/>
  <c r="EH180"/>
  <c r="EI180"/>
  <c r="EJ180"/>
  <c r="EK180"/>
  <c r="EL180"/>
  <c r="EM180"/>
  <c r="EN180"/>
  <c r="EO180"/>
  <c r="EP180"/>
  <c r="EQ180"/>
  <c r="ER180"/>
  <c r="ES180"/>
  <c r="ET180"/>
  <c r="EU180"/>
  <c r="EV180"/>
  <c r="EW180"/>
  <c r="EX180"/>
  <c r="EY180"/>
  <c r="EZ180"/>
  <c r="FA180"/>
  <c r="FB180"/>
  <c r="FC180"/>
  <c r="FD180"/>
  <c r="FE180"/>
  <c r="FF180"/>
  <c r="FG180"/>
  <c r="FH180"/>
  <c r="FI180"/>
  <c r="FJ180"/>
  <c r="FK180"/>
  <c r="FL180"/>
  <c r="FM180"/>
  <c r="FN180"/>
  <c r="FO180"/>
  <c r="FP180"/>
  <c r="FQ180"/>
  <c r="FR180"/>
  <c r="FS180"/>
  <c r="DB181"/>
  <c r="DC181"/>
  <c r="DD181"/>
  <c r="DE181"/>
  <c r="DF181"/>
  <c r="DG181"/>
  <c r="DH181"/>
  <c r="DI181"/>
  <c r="DJ181"/>
  <c r="DK181"/>
  <c r="DL181"/>
  <c r="DM181"/>
  <c r="DN181"/>
  <c r="DO181"/>
  <c r="DP181"/>
  <c r="DQ181"/>
  <c r="DR181"/>
  <c r="DS181"/>
  <c r="DT181"/>
  <c r="DU181"/>
  <c r="DV181"/>
  <c r="DW181"/>
  <c r="DX181"/>
  <c r="DY181"/>
  <c r="DZ181"/>
  <c r="EA181"/>
  <c r="EB181"/>
  <c r="EC181"/>
  <c r="ED181"/>
  <c r="EE181"/>
  <c r="EF181"/>
  <c r="EG181"/>
  <c r="EH181"/>
  <c r="EI181"/>
  <c r="EJ181"/>
  <c r="EK181"/>
  <c r="EL181"/>
  <c r="EM181"/>
  <c r="EN181"/>
  <c r="EO181"/>
  <c r="EP181"/>
  <c r="EQ181"/>
  <c r="ER181"/>
  <c r="ES181"/>
  <c r="ET181"/>
  <c r="EU181"/>
  <c r="EV181"/>
  <c r="EW181"/>
  <c r="EX181"/>
  <c r="EY181"/>
  <c r="EZ181"/>
  <c r="FA181"/>
  <c r="FB181"/>
  <c r="FC181"/>
  <c r="FD181"/>
  <c r="FE181"/>
  <c r="FF181"/>
  <c r="FG181"/>
  <c r="FH181"/>
  <c r="FI181"/>
  <c r="FJ181"/>
  <c r="FK181"/>
  <c r="FL181"/>
  <c r="FM181"/>
  <c r="FN181"/>
  <c r="FO181"/>
  <c r="FP181"/>
  <c r="FQ181"/>
  <c r="FR181"/>
  <c r="FS181"/>
  <c r="DB182"/>
  <c r="DC182"/>
  <c r="DD182"/>
  <c r="DE182"/>
  <c r="DF182"/>
  <c r="DG182"/>
  <c r="DH182"/>
  <c r="DI182"/>
  <c r="DJ182"/>
  <c r="DK182"/>
  <c r="DL182"/>
  <c r="DM182"/>
  <c r="DN182"/>
  <c r="DO182"/>
  <c r="DP182"/>
  <c r="DQ182"/>
  <c r="DR182"/>
  <c r="DS182"/>
  <c r="DT182"/>
  <c r="DU182"/>
  <c r="DV182"/>
  <c r="DW182"/>
  <c r="DX182"/>
  <c r="DY182"/>
  <c r="DZ182"/>
  <c r="EA182"/>
  <c r="EB182"/>
  <c r="EC182"/>
  <c r="ED182"/>
  <c r="EE182"/>
  <c r="EF182"/>
  <c r="EG182"/>
  <c r="EH182"/>
  <c r="EI182"/>
  <c r="EJ182"/>
  <c r="EK182"/>
  <c r="EL182"/>
  <c r="EM182"/>
  <c r="EN182"/>
  <c r="EO182"/>
  <c r="EP182"/>
  <c r="EQ182"/>
  <c r="ER182"/>
  <c r="ES182"/>
  <c r="ET182"/>
  <c r="EU182"/>
  <c r="EV182"/>
  <c r="EW182"/>
  <c r="EX182"/>
  <c r="EY182"/>
  <c r="EZ182"/>
  <c r="FA182"/>
  <c r="FB182"/>
  <c r="FC182"/>
  <c r="FD182"/>
  <c r="FE182"/>
  <c r="FF182"/>
  <c r="FG182"/>
  <c r="FH182"/>
  <c r="FI182"/>
  <c r="FJ182"/>
  <c r="FK182"/>
  <c r="FL182"/>
  <c r="FM182"/>
  <c r="FN182"/>
  <c r="FO182"/>
  <c r="FP182"/>
  <c r="FQ182"/>
  <c r="FR182"/>
  <c r="FS182"/>
  <c r="DB183"/>
  <c r="DC183"/>
  <c r="DD183"/>
  <c r="DE183"/>
  <c r="DF183"/>
  <c r="DG183"/>
  <c r="DH183"/>
  <c r="DI183"/>
  <c r="DJ183"/>
  <c r="DK183"/>
  <c r="DL183"/>
  <c r="DM183"/>
  <c r="DN183"/>
  <c r="DO183"/>
  <c r="DP183"/>
  <c r="DQ183"/>
  <c r="DR183"/>
  <c r="DS183"/>
  <c r="DT183"/>
  <c r="DU183"/>
  <c r="DV183"/>
  <c r="DW183"/>
  <c r="DX183"/>
  <c r="DY183"/>
  <c r="DZ183"/>
  <c r="EA183"/>
  <c r="EB183"/>
  <c r="EC183"/>
  <c r="ED183"/>
  <c r="EE183"/>
  <c r="EF183"/>
  <c r="EG183"/>
  <c r="EH183"/>
  <c r="EI183"/>
  <c r="EJ183"/>
  <c r="EK183"/>
  <c r="EL183"/>
  <c r="EM183"/>
  <c r="EN183"/>
  <c r="EO183"/>
  <c r="EP183"/>
  <c r="EQ183"/>
  <c r="ER183"/>
  <c r="ES183"/>
  <c r="ET183"/>
  <c r="EU183"/>
  <c r="EV183"/>
  <c r="EW183"/>
  <c r="EX183"/>
  <c r="EY183"/>
  <c r="EZ183"/>
  <c r="FA183"/>
  <c r="FB183"/>
  <c r="FC183"/>
  <c r="FD183"/>
  <c r="FE183"/>
  <c r="FF183"/>
  <c r="FG183"/>
  <c r="FH183"/>
  <c r="FI183"/>
  <c r="FJ183"/>
  <c r="FK183"/>
  <c r="FL183"/>
  <c r="FM183"/>
  <c r="FN183"/>
  <c r="FO183"/>
  <c r="FP183"/>
  <c r="FQ183"/>
  <c r="FR183"/>
  <c r="FS183"/>
  <c r="DB184"/>
  <c r="DC184"/>
  <c r="DD184"/>
  <c r="DE184"/>
  <c r="DF184"/>
  <c r="DG184"/>
  <c r="DH184"/>
  <c r="DI184"/>
  <c r="DJ184"/>
  <c r="DK184"/>
  <c r="DL184"/>
  <c r="DM184"/>
  <c r="DN184"/>
  <c r="DO184"/>
  <c r="DP184"/>
  <c r="DQ184"/>
  <c r="DR184"/>
  <c r="DS184"/>
  <c r="DT184"/>
  <c r="DU184"/>
  <c r="DV184"/>
  <c r="DW184"/>
  <c r="DX184"/>
  <c r="DY184"/>
  <c r="DZ184"/>
  <c r="EA184"/>
  <c r="EB184"/>
  <c r="EC184"/>
  <c r="ED184"/>
  <c r="EE184"/>
  <c r="EF184"/>
  <c r="EG184"/>
  <c r="EH184"/>
  <c r="EI184"/>
  <c r="EJ184"/>
  <c r="EK184"/>
  <c r="EL184"/>
  <c r="EM184"/>
  <c r="EN184"/>
  <c r="EO184"/>
  <c r="EP184"/>
  <c r="EQ184"/>
  <c r="ER184"/>
  <c r="ES184"/>
  <c r="ET184"/>
  <c r="EU184"/>
  <c r="EV184"/>
  <c r="EW184"/>
  <c r="EX184"/>
  <c r="EY184"/>
  <c r="EZ184"/>
  <c r="FA184"/>
  <c r="FB184"/>
  <c r="FC184"/>
  <c r="FD184"/>
  <c r="FE184"/>
  <c r="FF184"/>
  <c r="FG184"/>
  <c r="FH184"/>
  <c r="FI184"/>
  <c r="FJ184"/>
  <c r="FK184"/>
  <c r="FL184"/>
  <c r="FM184"/>
  <c r="FN184"/>
  <c r="FO184"/>
  <c r="FP184"/>
  <c r="FQ184"/>
  <c r="FR184"/>
  <c r="FS184"/>
  <c r="DB185"/>
  <c r="DC185"/>
  <c r="DD185"/>
  <c r="DE185"/>
  <c r="DF185"/>
  <c r="DG185"/>
  <c r="DH185"/>
  <c r="DI185"/>
  <c r="DJ185"/>
  <c r="DK185"/>
  <c r="DL185"/>
  <c r="DM185"/>
  <c r="DN185"/>
  <c r="DO185"/>
  <c r="DP185"/>
  <c r="DQ185"/>
  <c r="DR185"/>
  <c r="DS185"/>
  <c r="DT185"/>
  <c r="DU185"/>
  <c r="DV185"/>
  <c r="DW185"/>
  <c r="DX185"/>
  <c r="DY185"/>
  <c r="DZ185"/>
  <c r="EA185"/>
  <c r="EB185"/>
  <c r="EC185"/>
  <c r="ED185"/>
  <c r="EE185"/>
  <c r="EF185"/>
  <c r="EG185"/>
  <c r="EH185"/>
  <c r="EI185"/>
  <c r="EJ185"/>
  <c r="EK185"/>
  <c r="EL185"/>
  <c r="EM185"/>
  <c r="EN185"/>
  <c r="EO185"/>
  <c r="EP185"/>
  <c r="EQ185"/>
  <c r="ER185"/>
  <c r="ES185"/>
  <c r="ET185"/>
  <c r="EU185"/>
  <c r="EV185"/>
  <c r="EW185"/>
  <c r="EX185"/>
  <c r="EY185"/>
  <c r="EZ185"/>
  <c r="FA185"/>
  <c r="FB185"/>
  <c r="FC185"/>
  <c r="FD185"/>
  <c r="FE185"/>
  <c r="FF185"/>
  <c r="FG185"/>
  <c r="FH185"/>
  <c r="FI185"/>
  <c r="FJ185"/>
  <c r="FK185"/>
  <c r="FL185"/>
  <c r="FM185"/>
  <c r="FN185"/>
  <c r="FO185"/>
  <c r="FP185"/>
  <c r="FQ185"/>
  <c r="FR185"/>
  <c r="FS185"/>
  <c r="DB186"/>
  <c r="DC186"/>
  <c r="DD186"/>
  <c r="DE186"/>
  <c r="DF186"/>
  <c r="DG186"/>
  <c r="DH186"/>
  <c r="DI186"/>
  <c r="DJ186"/>
  <c r="DK186"/>
  <c r="DL186"/>
  <c r="DM186"/>
  <c r="DN186"/>
  <c r="DO186"/>
  <c r="DP186"/>
  <c r="DQ186"/>
  <c r="DR186"/>
  <c r="DS186"/>
  <c r="DT186"/>
  <c r="DU186"/>
  <c r="DV186"/>
  <c r="DW186"/>
  <c r="DX186"/>
  <c r="DY186"/>
  <c r="DZ186"/>
  <c r="EA186"/>
  <c r="EB186"/>
  <c r="EC186"/>
  <c r="ED186"/>
  <c r="EE186"/>
  <c r="EF186"/>
  <c r="EG186"/>
  <c r="EH186"/>
  <c r="EI186"/>
  <c r="EJ186"/>
  <c r="EK186"/>
  <c r="EL186"/>
  <c r="EM186"/>
  <c r="EN186"/>
  <c r="EO186"/>
  <c r="EP186"/>
  <c r="EQ186"/>
  <c r="ER186"/>
  <c r="ES186"/>
  <c r="ET186"/>
  <c r="EU186"/>
  <c r="EV186"/>
  <c r="EW186"/>
  <c r="EX186"/>
  <c r="EY186"/>
  <c r="EZ186"/>
  <c r="FA186"/>
  <c r="FB186"/>
  <c r="FC186"/>
  <c r="FD186"/>
  <c r="FE186"/>
  <c r="FF186"/>
  <c r="FG186"/>
  <c r="FH186"/>
  <c r="FI186"/>
  <c r="FJ186"/>
  <c r="FK186"/>
  <c r="FL186"/>
  <c r="FM186"/>
  <c r="FN186"/>
  <c r="FO186"/>
  <c r="FP186"/>
  <c r="FQ186"/>
  <c r="FR186"/>
  <c r="FS186"/>
  <c r="DB187"/>
  <c r="DC187"/>
  <c r="DD187"/>
  <c r="DE187"/>
  <c r="DF187"/>
  <c r="DG187"/>
  <c r="DH187"/>
  <c r="DI187"/>
  <c r="DJ187"/>
  <c r="DK187"/>
  <c r="DL187"/>
  <c r="DM187"/>
  <c r="DN187"/>
  <c r="DO187"/>
  <c r="DP187"/>
  <c r="DQ187"/>
  <c r="DR187"/>
  <c r="DS187"/>
  <c r="DT187"/>
  <c r="DU187"/>
  <c r="DV187"/>
  <c r="DW187"/>
  <c r="DX187"/>
  <c r="DY187"/>
  <c r="DZ187"/>
  <c r="EA187"/>
  <c r="EB187"/>
  <c r="EC187"/>
  <c r="ED187"/>
  <c r="EE187"/>
  <c r="EF187"/>
  <c r="EG187"/>
  <c r="EH187"/>
  <c r="EI187"/>
  <c r="EJ187"/>
  <c r="EK187"/>
  <c r="EL187"/>
  <c r="EM187"/>
  <c r="EN187"/>
  <c r="EO187"/>
  <c r="EP187"/>
  <c r="EQ187"/>
  <c r="ER187"/>
  <c r="ES187"/>
  <c r="ET187"/>
  <c r="EU187"/>
  <c r="EV187"/>
  <c r="EW187"/>
  <c r="EX187"/>
  <c r="EY187"/>
  <c r="EZ187"/>
  <c r="FA187"/>
  <c r="FB187"/>
  <c r="FC187"/>
  <c r="FD187"/>
  <c r="FE187"/>
  <c r="FF187"/>
  <c r="FG187"/>
  <c r="FH187"/>
  <c r="FI187"/>
  <c r="FJ187"/>
  <c r="FK187"/>
  <c r="FL187"/>
  <c r="FM187"/>
  <c r="FN187"/>
  <c r="FO187"/>
  <c r="FP187"/>
  <c r="FQ187"/>
  <c r="FR187"/>
  <c r="FS187"/>
  <c r="DB188"/>
  <c r="DC188"/>
  <c r="DD188"/>
  <c r="DE188"/>
  <c r="DF188"/>
  <c r="DG188"/>
  <c r="DH188"/>
  <c r="DI188"/>
  <c r="DJ188"/>
  <c r="DK188"/>
  <c r="DL188"/>
  <c r="DM188"/>
  <c r="DN188"/>
  <c r="DO188"/>
  <c r="DP188"/>
  <c r="DQ188"/>
  <c r="DR188"/>
  <c r="DS188"/>
  <c r="DT188"/>
  <c r="DU188"/>
  <c r="DV188"/>
  <c r="DW188"/>
  <c r="DX188"/>
  <c r="DY188"/>
  <c r="DZ188"/>
  <c r="EA188"/>
  <c r="EB188"/>
  <c r="EC188"/>
  <c r="ED188"/>
  <c r="EE188"/>
  <c r="EF188"/>
  <c r="EG188"/>
  <c r="EH188"/>
  <c r="EI188"/>
  <c r="EJ188"/>
  <c r="EK188"/>
  <c r="EL188"/>
  <c r="EM188"/>
  <c r="EN188"/>
  <c r="EO188"/>
  <c r="EP188"/>
  <c r="EQ188"/>
  <c r="ER188"/>
  <c r="ES188"/>
  <c r="ET188"/>
  <c r="EU188"/>
  <c r="EV188"/>
  <c r="EW188"/>
  <c r="EX188"/>
  <c r="EY188"/>
  <c r="EZ188"/>
  <c r="FA188"/>
  <c r="FB188"/>
  <c r="FC188"/>
  <c r="FD188"/>
  <c r="FE188"/>
  <c r="FF188"/>
  <c r="FG188"/>
  <c r="FH188"/>
  <c r="FI188"/>
  <c r="FJ188"/>
  <c r="FK188"/>
  <c r="FL188"/>
  <c r="FM188"/>
  <c r="FN188"/>
  <c r="FO188"/>
  <c r="FP188"/>
  <c r="FQ188"/>
  <c r="FR188"/>
  <c r="FS188"/>
  <c r="DB189"/>
  <c r="DC189"/>
  <c r="DD189"/>
  <c r="DE189"/>
  <c r="DF189"/>
  <c r="DG189"/>
  <c r="DH189"/>
  <c r="DI189"/>
  <c r="DJ189"/>
  <c r="DK189"/>
  <c r="DL189"/>
  <c r="DM189"/>
  <c r="DN189"/>
  <c r="DO189"/>
  <c r="DP189"/>
  <c r="DQ189"/>
  <c r="DR189"/>
  <c r="DS189"/>
  <c r="DT189"/>
  <c r="DU189"/>
  <c r="DV189"/>
  <c r="DW189"/>
  <c r="DX189"/>
  <c r="DY189"/>
  <c r="DZ189"/>
  <c r="EA189"/>
  <c r="EB189"/>
  <c r="EC189"/>
  <c r="ED189"/>
  <c r="EE189"/>
  <c r="EF189"/>
  <c r="EG189"/>
  <c r="EH189"/>
  <c r="EI189"/>
  <c r="EJ189"/>
  <c r="EK189"/>
  <c r="EL189"/>
  <c r="EM189"/>
  <c r="EN189"/>
  <c r="EO189"/>
  <c r="EP189"/>
  <c r="EQ189"/>
  <c r="ER189"/>
  <c r="ES189"/>
  <c r="ET189"/>
  <c r="EU189"/>
  <c r="EV189"/>
  <c r="EW189"/>
  <c r="EX189"/>
  <c r="EY189"/>
  <c r="EZ189"/>
  <c r="FA189"/>
  <c r="FB189"/>
  <c r="FC189"/>
  <c r="FD189"/>
  <c r="FE189"/>
  <c r="FF189"/>
  <c r="FG189"/>
  <c r="FH189"/>
  <c r="FI189"/>
  <c r="FJ189"/>
  <c r="FK189"/>
  <c r="FL189"/>
  <c r="FM189"/>
  <c r="FN189"/>
  <c r="FO189"/>
  <c r="FP189"/>
  <c r="FQ189"/>
  <c r="FR189"/>
  <c r="FS189"/>
  <c r="DB190"/>
  <c r="DC190"/>
  <c r="DD190"/>
  <c r="DE190"/>
  <c r="DF190"/>
  <c r="DG190"/>
  <c r="DH190"/>
  <c r="DI190"/>
  <c r="DJ190"/>
  <c r="DK190"/>
  <c r="DL190"/>
  <c r="DM190"/>
  <c r="DN190"/>
  <c r="DO190"/>
  <c r="DP190"/>
  <c r="DQ190"/>
  <c r="DR190"/>
  <c r="DS190"/>
  <c r="DT190"/>
  <c r="DU190"/>
  <c r="DV190"/>
  <c r="DW190"/>
  <c r="DX190"/>
  <c r="DY190"/>
  <c r="DZ190"/>
  <c r="EA190"/>
  <c r="EB190"/>
  <c r="EC190"/>
  <c r="ED190"/>
  <c r="EE190"/>
  <c r="EF190"/>
  <c r="EG190"/>
  <c r="EH190"/>
  <c r="EI190"/>
  <c r="EJ190"/>
  <c r="EK190"/>
  <c r="EL190"/>
  <c r="EM190"/>
  <c r="EN190"/>
  <c r="EO190"/>
  <c r="EP190"/>
  <c r="EQ190"/>
  <c r="ER190"/>
  <c r="ES190"/>
  <c r="ET190"/>
  <c r="EU190"/>
  <c r="EV190"/>
  <c r="EW190"/>
  <c r="EX190"/>
  <c r="EY190"/>
  <c r="EZ190"/>
  <c r="FA190"/>
  <c r="FB190"/>
  <c r="FC190"/>
  <c r="FD190"/>
  <c r="FE190"/>
  <c r="FF190"/>
  <c r="FG190"/>
  <c r="FH190"/>
  <c r="FI190"/>
  <c r="FJ190"/>
  <c r="FK190"/>
  <c r="FL190"/>
  <c r="FM190"/>
  <c r="FN190"/>
  <c r="FO190"/>
  <c r="FP190"/>
  <c r="FQ190"/>
  <c r="FR190"/>
  <c r="FS190"/>
  <c r="DB191"/>
  <c r="DC191"/>
  <c r="DD191"/>
  <c r="DE191"/>
  <c r="DF191"/>
  <c r="DG191"/>
  <c r="DH191"/>
  <c r="DI191"/>
  <c r="DJ191"/>
  <c r="DK191"/>
  <c r="DL191"/>
  <c r="DM191"/>
  <c r="DN191"/>
  <c r="DO191"/>
  <c r="DP191"/>
  <c r="DQ191"/>
  <c r="DR191"/>
  <c r="DS191"/>
  <c r="DT191"/>
  <c r="DU191"/>
  <c r="DV191"/>
  <c r="DW191"/>
  <c r="DX191"/>
  <c r="DY191"/>
  <c r="DZ191"/>
  <c r="EA191"/>
  <c r="EB191"/>
  <c r="EC191"/>
  <c r="ED191"/>
  <c r="EE191"/>
  <c r="EF191"/>
  <c r="EG191"/>
  <c r="EH191"/>
  <c r="EI191"/>
  <c r="EJ191"/>
  <c r="EK191"/>
  <c r="EL191"/>
  <c r="EM191"/>
  <c r="EN191"/>
  <c r="EO191"/>
  <c r="EP191"/>
  <c r="EQ191"/>
  <c r="ER191"/>
  <c r="ES191"/>
  <c r="ET191"/>
  <c r="EU191"/>
  <c r="EV191"/>
  <c r="EW191"/>
  <c r="EX191"/>
  <c r="EY191"/>
  <c r="EZ191"/>
  <c r="FA191"/>
  <c r="FB191"/>
  <c r="FC191"/>
  <c r="FD191"/>
  <c r="FE191"/>
  <c r="FF191"/>
  <c r="FG191"/>
  <c r="FH191"/>
  <c r="FI191"/>
  <c r="FJ191"/>
  <c r="FK191"/>
  <c r="FL191"/>
  <c r="FM191"/>
  <c r="FN191"/>
  <c r="FO191"/>
  <c r="FP191"/>
  <c r="FQ191"/>
  <c r="FR191"/>
  <c r="FS191"/>
  <c r="DB192"/>
  <c r="DC192"/>
  <c r="DD192"/>
  <c r="DE192"/>
  <c r="DF192"/>
  <c r="DG192"/>
  <c r="DH192"/>
  <c r="DI192"/>
  <c r="DJ192"/>
  <c r="DK192"/>
  <c r="DL192"/>
  <c r="DM192"/>
  <c r="DN192"/>
  <c r="DO192"/>
  <c r="DP192"/>
  <c r="DQ192"/>
  <c r="DR192"/>
  <c r="DS192"/>
  <c r="DT192"/>
  <c r="DU192"/>
  <c r="DV192"/>
  <c r="DW192"/>
  <c r="DX192"/>
  <c r="DY192"/>
  <c r="DZ192"/>
  <c r="EA192"/>
  <c r="EB192"/>
  <c r="EC192"/>
  <c r="ED192"/>
  <c r="EE192"/>
  <c r="EF192"/>
  <c r="EG192"/>
  <c r="EH192"/>
  <c r="EI192"/>
  <c r="EJ192"/>
  <c r="EK192"/>
  <c r="EL192"/>
  <c r="EM192"/>
  <c r="EN192"/>
  <c r="EO192"/>
  <c r="EP192"/>
  <c r="EQ192"/>
  <c r="ER192"/>
  <c r="ES192"/>
  <c r="ET192"/>
  <c r="EU192"/>
  <c r="EV192"/>
  <c r="EW192"/>
  <c r="EX192"/>
  <c r="EY192"/>
  <c r="EZ192"/>
  <c r="FA192"/>
  <c r="FB192"/>
  <c r="FC192"/>
  <c r="FD192"/>
  <c r="FE192"/>
  <c r="FF192"/>
  <c r="FG192"/>
  <c r="FH192"/>
  <c r="FI192"/>
  <c r="FJ192"/>
  <c r="FK192"/>
  <c r="FL192"/>
  <c r="FM192"/>
  <c r="FN192"/>
  <c r="FO192"/>
  <c r="FP192"/>
  <c r="FQ192"/>
  <c r="FR192"/>
  <c r="FS192"/>
  <c r="DB193"/>
  <c r="DC193"/>
  <c r="DD193"/>
  <c r="DE193"/>
  <c r="DF193"/>
  <c r="DG193"/>
  <c r="DH193"/>
  <c r="DI193"/>
  <c r="DJ193"/>
  <c r="DK193"/>
  <c r="DL193"/>
  <c r="DM193"/>
  <c r="DN193"/>
  <c r="DO193"/>
  <c r="DP193"/>
  <c r="DQ193"/>
  <c r="DR193"/>
  <c r="DS193"/>
  <c r="DT193"/>
  <c r="DU193"/>
  <c r="DV193"/>
  <c r="DW193"/>
  <c r="DX193"/>
  <c r="DY193"/>
  <c r="DZ193"/>
  <c r="EA193"/>
  <c r="EB193"/>
  <c r="EC193"/>
  <c r="ED193"/>
  <c r="EE193"/>
  <c r="EF193"/>
  <c r="EG193"/>
  <c r="EH193"/>
  <c r="EI193"/>
  <c r="EJ193"/>
  <c r="EK193"/>
  <c r="EL193"/>
  <c r="EM193"/>
  <c r="EN193"/>
  <c r="EO193"/>
  <c r="EP193"/>
  <c r="EQ193"/>
  <c r="ER193"/>
  <c r="ES193"/>
  <c r="ET193"/>
  <c r="EU193"/>
  <c r="EV193"/>
  <c r="EW193"/>
  <c r="EX193"/>
  <c r="EY193"/>
  <c r="EZ193"/>
  <c r="FA193"/>
  <c r="FB193"/>
  <c r="FC193"/>
  <c r="FD193"/>
  <c r="FE193"/>
  <c r="FF193"/>
  <c r="FG193"/>
  <c r="FH193"/>
  <c r="FI193"/>
  <c r="FJ193"/>
  <c r="FK193"/>
  <c r="FL193"/>
  <c r="FM193"/>
  <c r="FN193"/>
  <c r="FO193"/>
  <c r="FP193"/>
  <c r="FQ193"/>
  <c r="FR193"/>
  <c r="FS193"/>
  <c r="DB194"/>
  <c r="DC194"/>
  <c r="DD194"/>
  <c r="DE194"/>
  <c r="DF194"/>
  <c r="DG194"/>
  <c r="DH194"/>
  <c r="DI194"/>
  <c r="DJ194"/>
  <c r="DK194"/>
  <c r="DL194"/>
  <c r="DM194"/>
  <c r="DN194"/>
  <c r="DO194"/>
  <c r="DP194"/>
  <c r="DQ194"/>
  <c r="DR194"/>
  <c r="DS194"/>
  <c r="DT194"/>
  <c r="DU194"/>
  <c r="DV194"/>
  <c r="DW194"/>
  <c r="DX194"/>
  <c r="DY194"/>
  <c r="DZ194"/>
  <c r="EA194"/>
  <c r="EB194"/>
  <c r="EC194"/>
  <c r="ED194"/>
  <c r="EE194"/>
  <c r="EF194"/>
  <c r="EG194"/>
  <c r="EH194"/>
  <c r="EI194"/>
  <c r="EJ194"/>
  <c r="EK194"/>
  <c r="EL194"/>
  <c r="EM194"/>
  <c r="EN194"/>
  <c r="EO194"/>
  <c r="EP194"/>
  <c r="EQ194"/>
  <c r="ER194"/>
  <c r="ES194"/>
  <c r="ET194"/>
  <c r="EU194"/>
  <c r="EV194"/>
  <c r="EW194"/>
  <c r="EX194"/>
  <c r="EY194"/>
  <c r="EZ194"/>
  <c r="FA194"/>
  <c r="FB194"/>
  <c r="FC194"/>
  <c r="FD194"/>
  <c r="FE194"/>
  <c r="FF194"/>
  <c r="FG194"/>
  <c r="FH194"/>
  <c r="FI194"/>
  <c r="FJ194"/>
  <c r="FK194"/>
  <c r="FL194"/>
  <c r="FM194"/>
  <c r="FN194"/>
  <c r="FO194"/>
  <c r="FP194"/>
  <c r="FQ194"/>
  <c r="FR194"/>
  <c r="FS194"/>
  <c r="DB195"/>
  <c r="DC195"/>
  <c r="DD195"/>
  <c r="DE195"/>
  <c r="DF195"/>
  <c r="DG195"/>
  <c r="DH195"/>
  <c r="DI195"/>
  <c r="DJ195"/>
  <c r="DK195"/>
  <c r="DL195"/>
  <c r="DM195"/>
  <c r="DN195"/>
  <c r="DO195"/>
  <c r="DP195"/>
  <c r="DQ195"/>
  <c r="DR195"/>
  <c r="DS195"/>
  <c r="DT195"/>
  <c r="DU195"/>
  <c r="DV195"/>
  <c r="DW195"/>
  <c r="DX195"/>
  <c r="DY195"/>
  <c r="DZ195"/>
  <c r="EA195"/>
  <c r="EB195"/>
  <c r="EC195"/>
  <c r="ED195"/>
  <c r="EE195"/>
  <c r="EF195"/>
  <c r="EG195"/>
  <c r="EH195"/>
  <c r="EI195"/>
  <c r="EJ195"/>
  <c r="EK195"/>
  <c r="EL195"/>
  <c r="EM195"/>
  <c r="EN195"/>
  <c r="EO195"/>
  <c r="EP195"/>
  <c r="EQ195"/>
  <c r="ER195"/>
  <c r="ES195"/>
  <c r="ET195"/>
  <c r="EU195"/>
  <c r="EV195"/>
  <c r="EW195"/>
  <c r="EX195"/>
  <c r="EY195"/>
  <c r="EZ195"/>
  <c r="FA195"/>
  <c r="FB195"/>
  <c r="FC195"/>
  <c r="FD195"/>
  <c r="FE195"/>
  <c r="FF195"/>
  <c r="FG195"/>
  <c r="FH195"/>
  <c r="FI195"/>
  <c r="FJ195"/>
  <c r="FK195"/>
  <c r="FL195"/>
  <c r="FM195"/>
  <c r="FN195"/>
  <c r="FO195"/>
  <c r="FP195"/>
  <c r="FQ195"/>
  <c r="FR195"/>
  <c r="FS195"/>
  <c r="DB196"/>
  <c r="DC196"/>
  <c r="DD196"/>
  <c r="DE196"/>
  <c r="DF196"/>
  <c r="DG196"/>
  <c r="DH196"/>
  <c r="DI196"/>
  <c r="DJ196"/>
  <c r="DK196"/>
  <c r="DL196"/>
  <c r="DM196"/>
  <c r="DN196"/>
  <c r="DO196"/>
  <c r="DP196"/>
  <c r="DQ196"/>
  <c r="DR196"/>
  <c r="DS196"/>
  <c r="DT196"/>
  <c r="DU196"/>
  <c r="DV196"/>
  <c r="DW196"/>
  <c r="DX196"/>
  <c r="DY196"/>
  <c r="DZ196"/>
  <c r="EA196"/>
  <c r="EB196"/>
  <c r="EC196"/>
  <c r="ED196"/>
  <c r="EE196"/>
  <c r="EF196"/>
  <c r="EG196"/>
  <c r="EH196"/>
  <c r="EI196"/>
  <c r="EJ196"/>
  <c r="EK196"/>
  <c r="EL196"/>
  <c r="EM196"/>
  <c r="EN196"/>
  <c r="EO196"/>
  <c r="EP196"/>
  <c r="EQ196"/>
  <c r="ER196"/>
  <c r="ES196"/>
  <c r="ET196"/>
  <c r="EU196"/>
  <c r="EV196"/>
  <c r="EW196"/>
  <c r="EX196"/>
  <c r="EY196"/>
  <c r="EZ196"/>
  <c r="FA196"/>
  <c r="FB196"/>
  <c r="FC196"/>
  <c r="FD196"/>
  <c r="FE196"/>
  <c r="FF196"/>
  <c r="FG196"/>
  <c r="FH196"/>
  <c r="FI196"/>
  <c r="FJ196"/>
  <c r="FK196"/>
  <c r="FL196"/>
  <c r="FM196"/>
  <c r="FN196"/>
  <c r="FO196"/>
  <c r="FP196"/>
  <c r="FQ196"/>
  <c r="FR196"/>
  <c r="FS196"/>
  <c r="DB197"/>
  <c r="DC197"/>
  <c r="DD197"/>
  <c r="DE197"/>
  <c r="DF197"/>
  <c r="DG197"/>
  <c r="DH197"/>
  <c r="DI197"/>
  <c r="DJ197"/>
  <c r="DK197"/>
  <c r="DL197"/>
  <c r="DM197"/>
  <c r="DN197"/>
  <c r="DO197"/>
  <c r="DP197"/>
  <c r="DQ197"/>
  <c r="DR197"/>
  <c r="DS197"/>
  <c r="DT197"/>
  <c r="DU197"/>
  <c r="DV197"/>
  <c r="DW197"/>
  <c r="DX197"/>
  <c r="DY197"/>
  <c r="DZ197"/>
  <c r="EA197"/>
  <c r="EB197"/>
  <c r="EC197"/>
  <c r="ED197"/>
  <c r="EE197"/>
  <c r="EF197"/>
  <c r="EG197"/>
  <c r="EH197"/>
  <c r="EI197"/>
  <c r="EJ197"/>
  <c r="EK197"/>
  <c r="EL197"/>
  <c r="EM197"/>
  <c r="EN197"/>
  <c r="EO197"/>
  <c r="EP197"/>
  <c r="EQ197"/>
  <c r="ER197"/>
  <c r="ES197"/>
  <c r="ET197"/>
  <c r="EU197"/>
  <c r="EV197"/>
  <c r="EW197"/>
  <c r="EX197"/>
  <c r="EY197"/>
  <c r="EZ197"/>
  <c r="FA197"/>
  <c r="FB197"/>
  <c r="FC197"/>
  <c r="FD197"/>
  <c r="FE197"/>
  <c r="FF197"/>
  <c r="FG197"/>
  <c r="FH197"/>
  <c r="FI197"/>
  <c r="FJ197"/>
  <c r="FK197"/>
  <c r="FL197"/>
  <c r="FM197"/>
  <c r="FN197"/>
  <c r="FO197"/>
  <c r="FP197"/>
  <c r="FQ197"/>
  <c r="FR197"/>
  <c r="FS197"/>
  <c r="DB198"/>
  <c r="DC198"/>
  <c r="DD198"/>
  <c r="DE198"/>
  <c r="DF198"/>
  <c r="DG198"/>
  <c r="DH198"/>
  <c r="DI198"/>
  <c r="DJ198"/>
  <c r="DK198"/>
  <c r="DL198"/>
  <c r="DM198"/>
  <c r="DN198"/>
  <c r="DO198"/>
  <c r="DP198"/>
  <c r="DQ198"/>
  <c r="DR198"/>
  <c r="DS198"/>
  <c r="DT198"/>
  <c r="DU198"/>
  <c r="DV198"/>
  <c r="DW198"/>
  <c r="DX198"/>
  <c r="DY198"/>
  <c r="DZ198"/>
  <c r="EA198"/>
  <c r="EB198"/>
  <c r="EC198"/>
  <c r="ED198"/>
  <c r="EE198"/>
  <c r="EF198"/>
  <c r="EG198"/>
  <c r="EH198"/>
  <c r="EI198"/>
  <c r="EJ198"/>
  <c r="EK198"/>
  <c r="EL198"/>
  <c r="EM198"/>
  <c r="EN198"/>
  <c r="EO198"/>
  <c r="EP198"/>
  <c r="EQ198"/>
  <c r="ER198"/>
  <c r="ES198"/>
  <c r="ET198"/>
  <c r="EU198"/>
  <c r="EV198"/>
  <c r="EW198"/>
  <c r="EX198"/>
  <c r="EY198"/>
  <c r="EZ198"/>
  <c r="FA198"/>
  <c r="FB198"/>
  <c r="FC198"/>
  <c r="FD198"/>
  <c r="FE198"/>
  <c r="FF198"/>
  <c r="FG198"/>
  <c r="FH198"/>
  <c r="FI198"/>
  <c r="FJ198"/>
  <c r="FK198"/>
  <c r="FL198"/>
  <c r="FM198"/>
  <c r="FN198"/>
  <c r="FO198"/>
  <c r="FP198"/>
  <c r="FQ198"/>
  <c r="FR198"/>
  <c r="FS198"/>
  <c r="DB199"/>
  <c r="DC199"/>
  <c r="DD199"/>
  <c r="DE199"/>
  <c r="DF199"/>
  <c r="DG199"/>
  <c r="DH199"/>
  <c r="DI199"/>
  <c r="DJ199"/>
  <c r="DK199"/>
  <c r="DL199"/>
  <c r="DM199"/>
  <c r="DN199"/>
  <c r="DO199"/>
  <c r="DP199"/>
  <c r="DQ199"/>
  <c r="DR199"/>
  <c r="DS199"/>
  <c r="DT199"/>
  <c r="DU199"/>
  <c r="DV199"/>
  <c r="DW199"/>
  <c r="DX199"/>
  <c r="DY199"/>
  <c r="DZ199"/>
  <c r="EA199"/>
  <c r="EB199"/>
  <c r="EC199"/>
  <c r="ED199"/>
  <c r="EE199"/>
  <c r="EF199"/>
  <c r="EG199"/>
  <c r="EH199"/>
  <c r="EI199"/>
  <c r="EJ199"/>
  <c r="EK199"/>
  <c r="EL199"/>
  <c r="EM199"/>
  <c r="EN199"/>
  <c r="EO199"/>
  <c r="EP199"/>
  <c r="EQ199"/>
  <c r="ER199"/>
  <c r="ES199"/>
  <c r="ET199"/>
  <c r="EU199"/>
  <c r="EV199"/>
  <c r="EW199"/>
  <c r="EX199"/>
  <c r="EY199"/>
  <c r="EZ199"/>
  <c r="FA199"/>
  <c r="FB199"/>
  <c r="FC199"/>
  <c r="FD199"/>
  <c r="FE199"/>
  <c r="FF199"/>
  <c r="FG199"/>
  <c r="FH199"/>
  <c r="FI199"/>
  <c r="FJ199"/>
  <c r="FK199"/>
  <c r="FL199"/>
  <c r="FM199"/>
  <c r="FN199"/>
  <c r="FO199"/>
  <c r="FP199"/>
  <c r="FQ199"/>
  <c r="FR199"/>
  <c r="FS199"/>
  <c r="A259" i="3"/>
  <c r="B259"/>
  <c r="C259"/>
  <c r="Q259" s="1"/>
  <c r="D259"/>
  <c r="R259" s="1"/>
  <c r="E259"/>
  <c r="S259" s="1"/>
  <c r="X259" s="1"/>
  <c r="F259"/>
  <c r="T259" s="1"/>
  <c r="Y259" s="1"/>
  <c r="G259"/>
  <c r="U259" s="1"/>
  <c r="Z259" s="1"/>
  <c r="H259"/>
  <c r="V259" s="1"/>
  <c r="AA259" s="1"/>
  <c r="I259"/>
  <c r="O259" s="1"/>
  <c r="J259"/>
  <c r="K259"/>
  <c r="L259"/>
  <c r="M259"/>
  <c r="N259"/>
  <c r="A260"/>
  <c r="B260"/>
  <c r="C260"/>
  <c r="Q260" s="1"/>
  <c r="D260"/>
  <c r="R260" s="1"/>
  <c r="W260" s="1"/>
  <c r="E260"/>
  <c r="S260" s="1"/>
  <c r="X260" s="1"/>
  <c r="F260"/>
  <c r="T260" s="1"/>
  <c r="Y260" s="1"/>
  <c r="G260"/>
  <c r="U260" s="1"/>
  <c r="Z260" s="1"/>
  <c r="H260"/>
  <c r="V260" s="1"/>
  <c r="AA260" s="1"/>
  <c r="I260"/>
  <c r="O260" s="1"/>
  <c r="J260"/>
  <c r="K260"/>
  <c r="L260"/>
  <c r="M260"/>
  <c r="N260"/>
  <c r="A261"/>
  <c r="B261"/>
  <c r="C261"/>
  <c r="Q261" s="1"/>
  <c r="D261"/>
  <c r="R261" s="1"/>
  <c r="W261" s="1"/>
  <c r="E261"/>
  <c r="S261" s="1"/>
  <c r="X261" s="1"/>
  <c r="F261"/>
  <c r="T261" s="1"/>
  <c r="Y261" s="1"/>
  <c r="G261"/>
  <c r="U261" s="1"/>
  <c r="Z261" s="1"/>
  <c r="H261"/>
  <c r="V261" s="1"/>
  <c r="AA261" s="1"/>
  <c r="I261"/>
  <c r="O261" s="1"/>
  <c r="J261"/>
  <c r="K261"/>
  <c r="L261"/>
  <c r="M261"/>
  <c r="N261"/>
  <c r="A262"/>
  <c r="B262"/>
  <c r="C262"/>
  <c r="Q262" s="1"/>
  <c r="D262"/>
  <c r="R262" s="1"/>
  <c r="W262" s="1"/>
  <c r="E262"/>
  <c r="S262" s="1"/>
  <c r="X262" s="1"/>
  <c r="F262"/>
  <c r="T262" s="1"/>
  <c r="Y262" s="1"/>
  <c r="G262"/>
  <c r="U262" s="1"/>
  <c r="Z262" s="1"/>
  <c r="H262"/>
  <c r="V262" s="1"/>
  <c r="AA262" s="1"/>
  <c r="I262"/>
  <c r="O262" s="1"/>
  <c r="J262"/>
  <c r="K262"/>
  <c r="L262"/>
  <c r="M262"/>
  <c r="N262"/>
  <c r="A263"/>
  <c r="B263"/>
  <c r="C263"/>
  <c r="Q263" s="1"/>
  <c r="D263"/>
  <c r="R263" s="1"/>
  <c r="W263" s="1"/>
  <c r="E263"/>
  <c r="S263" s="1"/>
  <c r="X263" s="1"/>
  <c r="F263"/>
  <c r="T263" s="1"/>
  <c r="Y263" s="1"/>
  <c r="G263"/>
  <c r="U263" s="1"/>
  <c r="Z263" s="1"/>
  <c r="H263"/>
  <c r="V263" s="1"/>
  <c r="AA263" s="1"/>
  <c r="I263"/>
  <c r="O263" s="1"/>
  <c r="J263"/>
  <c r="K263"/>
  <c r="L263"/>
  <c r="M263"/>
  <c r="N263"/>
  <c r="CU87" i="2" l="1"/>
  <c r="CU81"/>
  <c r="CU63"/>
  <c r="CU86"/>
  <c r="CU80"/>
  <c r="CU84"/>
  <c r="CU78"/>
  <c r="CU178"/>
  <c r="CU154"/>
  <c r="CU142"/>
  <c r="CU136"/>
  <c r="CU196"/>
  <c r="CU190"/>
  <c r="CU184"/>
  <c r="CU172"/>
  <c r="CU166"/>
  <c r="CU160"/>
  <c r="CU148"/>
  <c r="CU83"/>
  <c r="CU195"/>
  <c r="CU189"/>
  <c r="CU183"/>
  <c r="CU177"/>
  <c r="CU171"/>
  <c r="CU165"/>
  <c r="CU159"/>
  <c r="CU153"/>
  <c r="CU147"/>
  <c r="CU141"/>
  <c r="CU135"/>
  <c r="CU82"/>
  <c r="CU194"/>
  <c r="CU188"/>
  <c r="CU182"/>
  <c r="CU176"/>
  <c r="CU170"/>
  <c r="CU164"/>
  <c r="CU158"/>
  <c r="CU152"/>
  <c r="CU146"/>
  <c r="CU140"/>
  <c r="CU199"/>
  <c r="CU193"/>
  <c r="CU187"/>
  <c r="CU181"/>
  <c r="CU175"/>
  <c r="CU169"/>
  <c r="CU163"/>
  <c r="CU157"/>
  <c r="CU151"/>
  <c r="CU145"/>
  <c r="CU139"/>
  <c r="CU198"/>
  <c r="CU192"/>
  <c r="CU186"/>
  <c r="CU180"/>
  <c r="CU174"/>
  <c r="CU168"/>
  <c r="CU162"/>
  <c r="CU156"/>
  <c r="CU150"/>
  <c r="CU144"/>
  <c r="CU138"/>
  <c r="CU85"/>
  <c r="CU79"/>
  <c r="CU3"/>
  <c r="CU197"/>
  <c r="CU191"/>
  <c r="CU185"/>
  <c r="CU179"/>
  <c r="CU173"/>
  <c r="CU167"/>
  <c r="CU161"/>
  <c r="CU155"/>
  <c r="CU149"/>
  <c r="CU143"/>
  <c r="CU137"/>
  <c r="AB262" i="3"/>
  <c r="W259"/>
  <c r="AB259" s="1"/>
  <c r="AB263"/>
  <c r="AB261"/>
  <c r="AB260"/>
  <c r="A245" l="1"/>
  <c r="B245"/>
  <c r="C245"/>
  <c r="D245"/>
  <c r="R245" s="1"/>
  <c r="E245"/>
  <c r="S245" s="1"/>
  <c r="X245" s="1"/>
  <c r="F245"/>
  <c r="T245" s="1"/>
  <c r="Y245" s="1"/>
  <c r="G245"/>
  <c r="U245" s="1"/>
  <c r="Z245" s="1"/>
  <c r="H245"/>
  <c r="V245" s="1"/>
  <c r="AA245" s="1"/>
  <c r="I245"/>
  <c r="O245" s="1"/>
  <c r="J245"/>
  <c r="K245"/>
  <c r="L245"/>
  <c r="M245"/>
  <c r="N245"/>
  <c r="Q245"/>
  <c r="A246"/>
  <c r="B246"/>
  <c r="C246"/>
  <c r="D246"/>
  <c r="R246" s="1"/>
  <c r="W246" s="1"/>
  <c r="E246"/>
  <c r="S246" s="1"/>
  <c r="X246" s="1"/>
  <c r="F246"/>
  <c r="T246" s="1"/>
  <c r="Y246" s="1"/>
  <c r="G246"/>
  <c r="U246" s="1"/>
  <c r="Z246" s="1"/>
  <c r="H246"/>
  <c r="V246" s="1"/>
  <c r="AA246" s="1"/>
  <c r="I246"/>
  <c r="O246" s="1"/>
  <c r="J246"/>
  <c r="K246"/>
  <c r="L246"/>
  <c r="M246"/>
  <c r="N246"/>
  <c r="Q246"/>
  <c r="A247"/>
  <c r="B247"/>
  <c r="C247"/>
  <c r="Q247" s="1"/>
  <c r="D247"/>
  <c r="R247" s="1"/>
  <c r="W247" s="1"/>
  <c r="E247"/>
  <c r="S247" s="1"/>
  <c r="X247" s="1"/>
  <c r="F247"/>
  <c r="T247" s="1"/>
  <c r="Y247" s="1"/>
  <c r="G247"/>
  <c r="U247" s="1"/>
  <c r="Z247" s="1"/>
  <c r="H247"/>
  <c r="V247" s="1"/>
  <c r="AA247" s="1"/>
  <c r="I247"/>
  <c r="O247" s="1"/>
  <c r="J247"/>
  <c r="K247"/>
  <c r="L247"/>
  <c r="M247"/>
  <c r="N247"/>
  <c r="A248"/>
  <c r="B248"/>
  <c r="C248"/>
  <c r="D248"/>
  <c r="R248" s="1"/>
  <c r="W248" s="1"/>
  <c r="E248"/>
  <c r="S248" s="1"/>
  <c r="X248" s="1"/>
  <c r="F248"/>
  <c r="T248" s="1"/>
  <c r="Y248" s="1"/>
  <c r="G248"/>
  <c r="U248" s="1"/>
  <c r="Z248" s="1"/>
  <c r="H248"/>
  <c r="V248" s="1"/>
  <c r="AA248" s="1"/>
  <c r="I248"/>
  <c r="O248" s="1"/>
  <c r="J248"/>
  <c r="K248"/>
  <c r="L248"/>
  <c r="M248"/>
  <c r="N248"/>
  <c r="Q248"/>
  <c r="A249"/>
  <c r="B249"/>
  <c r="C249"/>
  <c r="Q249" s="1"/>
  <c r="D249"/>
  <c r="R249" s="1"/>
  <c r="W249" s="1"/>
  <c r="E249"/>
  <c r="S249" s="1"/>
  <c r="X249" s="1"/>
  <c r="F249"/>
  <c r="T249" s="1"/>
  <c r="Y249" s="1"/>
  <c r="G249"/>
  <c r="U249" s="1"/>
  <c r="Z249" s="1"/>
  <c r="H249"/>
  <c r="V249" s="1"/>
  <c r="AA249" s="1"/>
  <c r="I249"/>
  <c r="O249" s="1"/>
  <c r="J249"/>
  <c r="K249"/>
  <c r="L249"/>
  <c r="M249"/>
  <c r="N249"/>
  <c r="A250"/>
  <c r="B250"/>
  <c r="C250"/>
  <c r="Q250" s="1"/>
  <c r="D250"/>
  <c r="R250" s="1"/>
  <c r="W250" s="1"/>
  <c r="E250"/>
  <c r="S250" s="1"/>
  <c r="X250" s="1"/>
  <c r="F250"/>
  <c r="T250" s="1"/>
  <c r="Y250" s="1"/>
  <c r="G250"/>
  <c r="U250" s="1"/>
  <c r="Z250" s="1"/>
  <c r="H250"/>
  <c r="V250" s="1"/>
  <c r="AA250" s="1"/>
  <c r="I250"/>
  <c r="O250" s="1"/>
  <c r="J250"/>
  <c r="K250"/>
  <c r="L250"/>
  <c r="M250"/>
  <c r="N250"/>
  <c r="A251"/>
  <c r="B251"/>
  <c r="C251"/>
  <c r="Q251" s="1"/>
  <c r="D251"/>
  <c r="R251" s="1"/>
  <c r="W251" s="1"/>
  <c r="E251"/>
  <c r="S251" s="1"/>
  <c r="X251" s="1"/>
  <c r="F251"/>
  <c r="T251" s="1"/>
  <c r="Y251" s="1"/>
  <c r="G251"/>
  <c r="U251" s="1"/>
  <c r="Z251" s="1"/>
  <c r="H251"/>
  <c r="V251" s="1"/>
  <c r="AA251" s="1"/>
  <c r="I251"/>
  <c r="O251" s="1"/>
  <c r="J251"/>
  <c r="K251"/>
  <c r="L251"/>
  <c r="M251"/>
  <c r="N251"/>
  <c r="A252"/>
  <c r="B252"/>
  <c r="C252"/>
  <c r="Q252" s="1"/>
  <c r="D252"/>
  <c r="R252" s="1"/>
  <c r="W252" s="1"/>
  <c r="E252"/>
  <c r="S252" s="1"/>
  <c r="X252" s="1"/>
  <c r="F252"/>
  <c r="T252" s="1"/>
  <c r="Y252" s="1"/>
  <c r="G252"/>
  <c r="U252" s="1"/>
  <c r="Z252" s="1"/>
  <c r="H252"/>
  <c r="V252" s="1"/>
  <c r="AA252" s="1"/>
  <c r="I252"/>
  <c r="O252" s="1"/>
  <c r="J252"/>
  <c r="K252"/>
  <c r="L252"/>
  <c r="M252"/>
  <c r="N252"/>
  <c r="A253"/>
  <c r="B253"/>
  <c r="C253"/>
  <c r="Q253" s="1"/>
  <c r="D253"/>
  <c r="R253" s="1"/>
  <c r="W253" s="1"/>
  <c r="E253"/>
  <c r="S253" s="1"/>
  <c r="X253" s="1"/>
  <c r="F253"/>
  <c r="T253" s="1"/>
  <c r="Y253" s="1"/>
  <c r="G253"/>
  <c r="U253" s="1"/>
  <c r="Z253" s="1"/>
  <c r="H253"/>
  <c r="V253" s="1"/>
  <c r="AA253" s="1"/>
  <c r="I253"/>
  <c r="O253" s="1"/>
  <c r="J253"/>
  <c r="K253"/>
  <c r="L253"/>
  <c r="M253"/>
  <c r="N253"/>
  <c r="A254"/>
  <c r="B254"/>
  <c r="C254"/>
  <c r="D254"/>
  <c r="R254" s="1"/>
  <c r="W254" s="1"/>
  <c r="E254"/>
  <c r="S254" s="1"/>
  <c r="X254" s="1"/>
  <c r="F254"/>
  <c r="T254" s="1"/>
  <c r="Y254" s="1"/>
  <c r="G254"/>
  <c r="U254" s="1"/>
  <c r="Z254" s="1"/>
  <c r="H254"/>
  <c r="V254" s="1"/>
  <c r="AA254" s="1"/>
  <c r="I254"/>
  <c r="O254" s="1"/>
  <c r="J254"/>
  <c r="K254"/>
  <c r="L254"/>
  <c r="M254"/>
  <c r="N254"/>
  <c r="Q254"/>
  <c r="A255"/>
  <c r="B255"/>
  <c r="C255"/>
  <c r="Q255" s="1"/>
  <c r="D255"/>
  <c r="R255" s="1"/>
  <c r="W255" s="1"/>
  <c r="E255"/>
  <c r="S255" s="1"/>
  <c r="X255" s="1"/>
  <c r="F255"/>
  <c r="T255" s="1"/>
  <c r="Y255" s="1"/>
  <c r="G255"/>
  <c r="U255" s="1"/>
  <c r="Z255" s="1"/>
  <c r="H255"/>
  <c r="V255" s="1"/>
  <c r="AA255" s="1"/>
  <c r="I255"/>
  <c r="O255" s="1"/>
  <c r="J255"/>
  <c r="K255"/>
  <c r="L255"/>
  <c r="M255"/>
  <c r="N255"/>
  <c r="A256"/>
  <c r="B256"/>
  <c r="C256"/>
  <c r="Q256" s="1"/>
  <c r="D256"/>
  <c r="R256" s="1"/>
  <c r="W256" s="1"/>
  <c r="E256"/>
  <c r="S256" s="1"/>
  <c r="X256" s="1"/>
  <c r="F256"/>
  <c r="T256" s="1"/>
  <c r="Y256" s="1"/>
  <c r="G256"/>
  <c r="U256" s="1"/>
  <c r="Z256" s="1"/>
  <c r="H256"/>
  <c r="V256" s="1"/>
  <c r="AA256" s="1"/>
  <c r="I256"/>
  <c r="O256" s="1"/>
  <c r="J256"/>
  <c r="K256"/>
  <c r="L256"/>
  <c r="M256"/>
  <c r="N256"/>
  <c r="A257"/>
  <c r="B257"/>
  <c r="C257"/>
  <c r="Q257" s="1"/>
  <c r="D257"/>
  <c r="R257" s="1"/>
  <c r="W257" s="1"/>
  <c r="E257"/>
  <c r="S257" s="1"/>
  <c r="X257" s="1"/>
  <c r="F257"/>
  <c r="T257" s="1"/>
  <c r="Y257" s="1"/>
  <c r="G257"/>
  <c r="U257" s="1"/>
  <c r="Z257" s="1"/>
  <c r="H257"/>
  <c r="V257" s="1"/>
  <c r="AA257" s="1"/>
  <c r="I257"/>
  <c r="O257" s="1"/>
  <c r="J257"/>
  <c r="K257"/>
  <c r="L257"/>
  <c r="M257"/>
  <c r="N257"/>
  <c r="A258"/>
  <c r="B258"/>
  <c r="C258"/>
  <c r="Q258" s="1"/>
  <c r="D258"/>
  <c r="R258" s="1"/>
  <c r="W258" s="1"/>
  <c r="E258"/>
  <c r="S258" s="1"/>
  <c r="X258" s="1"/>
  <c r="F258"/>
  <c r="T258" s="1"/>
  <c r="Y258" s="1"/>
  <c r="G258"/>
  <c r="U258" s="1"/>
  <c r="Z258" s="1"/>
  <c r="H258"/>
  <c r="V258" s="1"/>
  <c r="AA258" s="1"/>
  <c r="I258"/>
  <c r="O258" s="1"/>
  <c r="J258"/>
  <c r="K258"/>
  <c r="L258"/>
  <c r="M258"/>
  <c r="N258"/>
  <c r="CN185" i="2"/>
  <c r="CO185"/>
  <c r="CP185"/>
  <c r="CQ185"/>
  <c r="AB256" i="3" l="1"/>
  <c r="AB258"/>
  <c r="AB254"/>
  <c r="AB257"/>
  <c r="AB255"/>
  <c r="AB250"/>
  <c r="AB246"/>
  <c r="W245"/>
  <c r="AB245" s="1"/>
  <c r="AB253"/>
  <c r="AB249"/>
  <c r="AB252"/>
  <c r="AB248"/>
  <c r="AB251"/>
  <c r="AB247"/>
  <c r="CR185" i="2" l="1"/>
  <c r="A227" i="3"/>
  <c r="B227"/>
  <c r="C227"/>
  <c r="Q227" s="1"/>
  <c r="D227"/>
  <c r="R227" s="1"/>
  <c r="W227" s="1"/>
  <c r="E227"/>
  <c r="S227" s="1"/>
  <c r="X227" s="1"/>
  <c r="F227"/>
  <c r="T227" s="1"/>
  <c r="Y227" s="1"/>
  <c r="G227"/>
  <c r="U227" s="1"/>
  <c r="Z227" s="1"/>
  <c r="H227"/>
  <c r="V227" s="1"/>
  <c r="AA227" s="1"/>
  <c r="I227"/>
  <c r="O227" s="1"/>
  <c r="J227"/>
  <c r="K227"/>
  <c r="L227"/>
  <c r="M227"/>
  <c r="N227"/>
  <c r="A228"/>
  <c r="B228"/>
  <c r="C228"/>
  <c r="D228"/>
  <c r="R228" s="1"/>
  <c r="W228" s="1"/>
  <c r="E228"/>
  <c r="S228" s="1"/>
  <c r="X228" s="1"/>
  <c r="F228"/>
  <c r="T228" s="1"/>
  <c r="Y228" s="1"/>
  <c r="G228"/>
  <c r="U228" s="1"/>
  <c r="Z228" s="1"/>
  <c r="H228"/>
  <c r="V228" s="1"/>
  <c r="AA228" s="1"/>
  <c r="I228"/>
  <c r="O228" s="1"/>
  <c r="J228"/>
  <c r="K228"/>
  <c r="L228"/>
  <c r="M228"/>
  <c r="N228"/>
  <c r="Q228"/>
  <c r="A229"/>
  <c r="B229"/>
  <c r="C229"/>
  <c r="D229"/>
  <c r="R229" s="1"/>
  <c r="W229" s="1"/>
  <c r="E229"/>
  <c r="S229" s="1"/>
  <c r="X229" s="1"/>
  <c r="F229"/>
  <c r="T229" s="1"/>
  <c r="Y229" s="1"/>
  <c r="G229"/>
  <c r="U229" s="1"/>
  <c r="Z229" s="1"/>
  <c r="H229"/>
  <c r="V229" s="1"/>
  <c r="AA229" s="1"/>
  <c r="I229"/>
  <c r="O229" s="1"/>
  <c r="J229"/>
  <c r="K229"/>
  <c r="L229"/>
  <c r="M229"/>
  <c r="N229"/>
  <c r="Q229"/>
  <c r="A230"/>
  <c r="B230"/>
  <c r="C230"/>
  <c r="D230"/>
  <c r="R230" s="1"/>
  <c r="W230" s="1"/>
  <c r="E230"/>
  <c r="S230" s="1"/>
  <c r="X230" s="1"/>
  <c r="F230"/>
  <c r="T230" s="1"/>
  <c r="Y230" s="1"/>
  <c r="G230"/>
  <c r="U230" s="1"/>
  <c r="Z230" s="1"/>
  <c r="H230"/>
  <c r="V230" s="1"/>
  <c r="AA230" s="1"/>
  <c r="I230"/>
  <c r="O230" s="1"/>
  <c r="J230"/>
  <c r="K230"/>
  <c r="L230"/>
  <c r="M230"/>
  <c r="N230"/>
  <c r="Q230"/>
  <c r="A231"/>
  <c r="B231"/>
  <c r="C231"/>
  <c r="D231"/>
  <c r="R231" s="1"/>
  <c r="W231" s="1"/>
  <c r="E231"/>
  <c r="S231" s="1"/>
  <c r="X231" s="1"/>
  <c r="F231"/>
  <c r="T231" s="1"/>
  <c r="Y231" s="1"/>
  <c r="G231"/>
  <c r="U231" s="1"/>
  <c r="Z231" s="1"/>
  <c r="H231"/>
  <c r="V231" s="1"/>
  <c r="AA231" s="1"/>
  <c r="I231"/>
  <c r="O231" s="1"/>
  <c r="J231"/>
  <c r="K231"/>
  <c r="L231"/>
  <c r="M231"/>
  <c r="N231"/>
  <c r="Q231"/>
  <c r="A232"/>
  <c r="B232"/>
  <c r="C232"/>
  <c r="D232"/>
  <c r="R232" s="1"/>
  <c r="W232" s="1"/>
  <c r="E232"/>
  <c r="S232" s="1"/>
  <c r="X232" s="1"/>
  <c r="F232"/>
  <c r="T232" s="1"/>
  <c r="Y232" s="1"/>
  <c r="G232"/>
  <c r="U232" s="1"/>
  <c r="Z232" s="1"/>
  <c r="H232"/>
  <c r="V232" s="1"/>
  <c r="AA232" s="1"/>
  <c r="I232"/>
  <c r="O232" s="1"/>
  <c r="J232"/>
  <c r="K232"/>
  <c r="L232"/>
  <c r="M232"/>
  <c r="N232"/>
  <c r="Q232"/>
  <c r="A233"/>
  <c r="B233"/>
  <c r="C233"/>
  <c r="Q233" s="1"/>
  <c r="D233"/>
  <c r="R233" s="1"/>
  <c r="W233" s="1"/>
  <c r="E233"/>
  <c r="S233" s="1"/>
  <c r="X233" s="1"/>
  <c r="F233"/>
  <c r="T233" s="1"/>
  <c r="Y233" s="1"/>
  <c r="G233"/>
  <c r="U233" s="1"/>
  <c r="Z233" s="1"/>
  <c r="H233"/>
  <c r="V233" s="1"/>
  <c r="AA233" s="1"/>
  <c r="I233"/>
  <c r="O233" s="1"/>
  <c r="J233"/>
  <c r="K233"/>
  <c r="L233"/>
  <c r="M233"/>
  <c r="N233"/>
  <c r="A234"/>
  <c r="B234"/>
  <c r="C234"/>
  <c r="D234"/>
  <c r="R234" s="1"/>
  <c r="W234" s="1"/>
  <c r="E234"/>
  <c r="S234" s="1"/>
  <c r="X234" s="1"/>
  <c r="F234"/>
  <c r="T234" s="1"/>
  <c r="Y234" s="1"/>
  <c r="G234"/>
  <c r="U234" s="1"/>
  <c r="Z234" s="1"/>
  <c r="H234"/>
  <c r="V234" s="1"/>
  <c r="AA234" s="1"/>
  <c r="I234"/>
  <c r="O234" s="1"/>
  <c r="J234"/>
  <c r="K234"/>
  <c r="L234"/>
  <c r="M234"/>
  <c r="N234"/>
  <c r="Q234"/>
  <c r="A235"/>
  <c r="B235"/>
  <c r="C235"/>
  <c r="D235"/>
  <c r="R235" s="1"/>
  <c r="W235" s="1"/>
  <c r="E235"/>
  <c r="S235" s="1"/>
  <c r="X235" s="1"/>
  <c r="F235"/>
  <c r="T235" s="1"/>
  <c r="Y235" s="1"/>
  <c r="G235"/>
  <c r="U235" s="1"/>
  <c r="Z235" s="1"/>
  <c r="H235"/>
  <c r="V235" s="1"/>
  <c r="AA235" s="1"/>
  <c r="I235"/>
  <c r="O235" s="1"/>
  <c r="J235"/>
  <c r="K235"/>
  <c r="L235"/>
  <c r="M235"/>
  <c r="N235"/>
  <c r="Q235"/>
  <c r="A236"/>
  <c r="B236"/>
  <c r="C236"/>
  <c r="D236"/>
  <c r="R236" s="1"/>
  <c r="W236" s="1"/>
  <c r="E236"/>
  <c r="S236" s="1"/>
  <c r="X236" s="1"/>
  <c r="F236"/>
  <c r="T236" s="1"/>
  <c r="Y236" s="1"/>
  <c r="G236"/>
  <c r="U236" s="1"/>
  <c r="Z236" s="1"/>
  <c r="H236"/>
  <c r="V236" s="1"/>
  <c r="AA236" s="1"/>
  <c r="I236"/>
  <c r="O236" s="1"/>
  <c r="J236"/>
  <c r="K236"/>
  <c r="L236"/>
  <c r="M236"/>
  <c r="N236"/>
  <c r="Q236"/>
  <c r="A237"/>
  <c r="B237"/>
  <c r="C237"/>
  <c r="Q237" s="1"/>
  <c r="D237"/>
  <c r="R237" s="1"/>
  <c r="W237" s="1"/>
  <c r="E237"/>
  <c r="S237" s="1"/>
  <c r="X237" s="1"/>
  <c r="F237"/>
  <c r="T237" s="1"/>
  <c r="Y237" s="1"/>
  <c r="G237"/>
  <c r="U237" s="1"/>
  <c r="Z237" s="1"/>
  <c r="H237"/>
  <c r="V237" s="1"/>
  <c r="AA237" s="1"/>
  <c r="I237"/>
  <c r="O237" s="1"/>
  <c r="J237"/>
  <c r="K237"/>
  <c r="L237"/>
  <c r="M237"/>
  <c r="N237"/>
  <c r="A238"/>
  <c r="B238"/>
  <c r="C238"/>
  <c r="Q238" s="1"/>
  <c r="D238"/>
  <c r="R238" s="1"/>
  <c r="W238" s="1"/>
  <c r="E238"/>
  <c r="S238" s="1"/>
  <c r="X238" s="1"/>
  <c r="F238"/>
  <c r="T238" s="1"/>
  <c r="Y238" s="1"/>
  <c r="G238"/>
  <c r="U238" s="1"/>
  <c r="Z238" s="1"/>
  <c r="H238"/>
  <c r="V238" s="1"/>
  <c r="AA238" s="1"/>
  <c r="I238"/>
  <c r="O238" s="1"/>
  <c r="J238"/>
  <c r="K238"/>
  <c r="L238"/>
  <c r="M238"/>
  <c r="N238"/>
  <c r="A239"/>
  <c r="B239"/>
  <c r="C239"/>
  <c r="Q239" s="1"/>
  <c r="D239"/>
  <c r="R239" s="1"/>
  <c r="W239" s="1"/>
  <c r="E239"/>
  <c r="S239" s="1"/>
  <c r="X239" s="1"/>
  <c r="F239"/>
  <c r="T239" s="1"/>
  <c r="Y239" s="1"/>
  <c r="G239"/>
  <c r="U239" s="1"/>
  <c r="Z239" s="1"/>
  <c r="H239"/>
  <c r="V239" s="1"/>
  <c r="AA239" s="1"/>
  <c r="I239"/>
  <c r="O239" s="1"/>
  <c r="J239"/>
  <c r="K239"/>
  <c r="L239"/>
  <c r="M239"/>
  <c r="N239"/>
  <c r="A240"/>
  <c r="B240"/>
  <c r="C240"/>
  <c r="Q240" s="1"/>
  <c r="D240"/>
  <c r="R240" s="1"/>
  <c r="W240" s="1"/>
  <c r="E240"/>
  <c r="S240" s="1"/>
  <c r="X240" s="1"/>
  <c r="F240"/>
  <c r="T240" s="1"/>
  <c r="Y240" s="1"/>
  <c r="G240"/>
  <c r="U240" s="1"/>
  <c r="Z240" s="1"/>
  <c r="H240"/>
  <c r="V240" s="1"/>
  <c r="AA240" s="1"/>
  <c r="I240"/>
  <c r="O240" s="1"/>
  <c r="J240"/>
  <c r="K240"/>
  <c r="L240"/>
  <c r="M240"/>
  <c r="N240"/>
  <c r="A241"/>
  <c r="B241"/>
  <c r="C241"/>
  <c r="Q241" s="1"/>
  <c r="D241"/>
  <c r="R241" s="1"/>
  <c r="W241" s="1"/>
  <c r="E241"/>
  <c r="S241" s="1"/>
  <c r="X241" s="1"/>
  <c r="F241"/>
  <c r="T241" s="1"/>
  <c r="Y241" s="1"/>
  <c r="G241"/>
  <c r="U241" s="1"/>
  <c r="Z241" s="1"/>
  <c r="H241"/>
  <c r="V241" s="1"/>
  <c r="AA241" s="1"/>
  <c r="I241"/>
  <c r="O241" s="1"/>
  <c r="J241"/>
  <c r="K241"/>
  <c r="L241"/>
  <c r="M241"/>
  <c r="N241"/>
  <c r="A242"/>
  <c r="B242"/>
  <c r="C242"/>
  <c r="Q242" s="1"/>
  <c r="D242"/>
  <c r="R242" s="1"/>
  <c r="W242" s="1"/>
  <c r="E242"/>
  <c r="S242" s="1"/>
  <c r="X242" s="1"/>
  <c r="F242"/>
  <c r="T242" s="1"/>
  <c r="Y242" s="1"/>
  <c r="G242"/>
  <c r="U242" s="1"/>
  <c r="Z242" s="1"/>
  <c r="H242"/>
  <c r="V242" s="1"/>
  <c r="AA242" s="1"/>
  <c r="I242"/>
  <c r="O242" s="1"/>
  <c r="J242"/>
  <c r="K242"/>
  <c r="L242"/>
  <c r="M242"/>
  <c r="N242"/>
  <c r="A243"/>
  <c r="B243"/>
  <c r="C243"/>
  <c r="Q243" s="1"/>
  <c r="D243"/>
  <c r="R243" s="1"/>
  <c r="W243" s="1"/>
  <c r="E243"/>
  <c r="S243" s="1"/>
  <c r="X243" s="1"/>
  <c r="F243"/>
  <c r="T243" s="1"/>
  <c r="Y243" s="1"/>
  <c r="G243"/>
  <c r="U243" s="1"/>
  <c r="Z243" s="1"/>
  <c r="H243"/>
  <c r="V243" s="1"/>
  <c r="AA243" s="1"/>
  <c r="I243"/>
  <c r="O243" s="1"/>
  <c r="J243"/>
  <c r="K243"/>
  <c r="L243"/>
  <c r="M243"/>
  <c r="N243"/>
  <c r="A244"/>
  <c r="B244"/>
  <c r="C244"/>
  <c r="Q244" s="1"/>
  <c r="D244"/>
  <c r="R244" s="1"/>
  <c r="W244" s="1"/>
  <c r="E244"/>
  <c r="S244" s="1"/>
  <c r="X244" s="1"/>
  <c r="F244"/>
  <c r="T244" s="1"/>
  <c r="Y244" s="1"/>
  <c r="G244"/>
  <c r="U244" s="1"/>
  <c r="Z244" s="1"/>
  <c r="H244"/>
  <c r="V244" s="1"/>
  <c r="AA244" s="1"/>
  <c r="I244"/>
  <c r="O244" s="1"/>
  <c r="J244"/>
  <c r="K244"/>
  <c r="L244"/>
  <c r="M244"/>
  <c r="N244"/>
  <c r="A226"/>
  <c r="B226"/>
  <c r="C226"/>
  <c r="Q226" s="1"/>
  <c r="D226"/>
  <c r="R226" s="1"/>
  <c r="W226" s="1"/>
  <c r="E226"/>
  <c r="S226" s="1"/>
  <c r="X226" s="1"/>
  <c r="F226"/>
  <c r="T226" s="1"/>
  <c r="Y226" s="1"/>
  <c r="G226"/>
  <c r="U226" s="1"/>
  <c r="Z226" s="1"/>
  <c r="H226"/>
  <c r="V226" s="1"/>
  <c r="AA226" s="1"/>
  <c r="I226"/>
  <c r="O226" s="1"/>
  <c r="J226"/>
  <c r="K226"/>
  <c r="L226"/>
  <c r="M226"/>
  <c r="N226"/>
  <c r="CN182" i="2"/>
  <c r="CO182"/>
  <c r="CP182"/>
  <c r="CQ182"/>
  <c r="CN183"/>
  <c r="CO183"/>
  <c r="CP183"/>
  <c r="CQ183"/>
  <c r="CN184"/>
  <c r="CO184"/>
  <c r="CP184"/>
  <c r="CQ184"/>
  <c r="CR184"/>
  <c r="DB200"/>
  <c r="DC200"/>
  <c r="DD200"/>
  <c r="DE200"/>
  <c r="DF200"/>
  <c r="DG200"/>
  <c r="DH200"/>
  <c r="DI200"/>
  <c r="DJ200"/>
  <c r="DK200"/>
  <c r="DL200"/>
  <c r="DM200"/>
  <c r="DN200"/>
  <c r="DO200"/>
  <c r="DP200"/>
  <c r="DQ200"/>
  <c r="DR200"/>
  <c r="DS200"/>
  <c r="DT200"/>
  <c r="DU200"/>
  <c r="DV200"/>
  <c r="DW200"/>
  <c r="DX200"/>
  <c r="DY200"/>
  <c r="DZ200"/>
  <c r="EA200"/>
  <c r="EB200"/>
  <c r="EC200"/>
  <c r="ED200"/>
  <c r="EE200"/>
  <c r="EF200"/>
  <c r="EG200"/>
  <c r="EH200"/>
  <c r="EI200"/>
  <c r="EJ200"/>
  <c r="EK200"/>
  <c r="EL200"/>
  <c r="EM200"/>
  <c r="EN200"/>
  <c r="EO200"/>
  <c r="EP200"/>
  <c r="EQ200"/>
  <c r="ER200"/>
  <c r="ES200"/>
  <c r="ET200"/>
  <c r="EU200"/>
  <c r="EV200"/>
  <c r="EW200"/>
  <c r="EX200"/>
  <c r="EY200"/>
  <c r="EZ200"/>
  <c r="FA200"/>
  <c r="FB200"/>
  <c r="FC200"/>
  <c r="FD200"/>
  <c r="FE200"/>
  <c r="FF200"/>
  <c r="FG200"/>
  <c r="FH200"/>
  <c r="FI200"/>
  <c r="FJ200"/>
  <c r="FK200"/>
  <c r="FL200"/>
  <c r="FM200"/>
  <c r="FN200"/>
  <c r="FO200"/>
  <c r="FP200"/>
  <c r="FQ200"/>
  <c r="FR200"/>
  <c r="FS200"/>
  <c r="DB201"/>
  <c r="DC201"/>
  <c r="DD201"/>
  <c r="DE201"/>
  <c r="DF201"/>
  <c r="DG201"/>
  <c r="DH201"/>
  <c r="DI201"/>
  <c r="DJ201"/>
  <c r="DK201"/>
  <c r="DL201"/>
  <c r="DM201"/>
  <c r="DN201"/>
  <c r="DO201"/>
  <c r="DP201"/>
  <c r="DQ201"/>
  <c r="DR201"/>
  <c r="DS201"/>
  <c r="DT201"/>
  <c r="DU201"/>
  <c r="DV201"/>
  <c r="DW201"/>
  <c r="DX201"/>
  <c r="DY201"/>
  <c r="DZ201"/>
  <c r="EA201"/>
  <c r="EB201"/>
  <c r="EC201"/>
  <c r="ED201"/>
  <c r="EE201"/>
  <c r="EF201"/>
  <c r="EG201"/>
  <c r="EH201"/>
  <c r="EI201"/>
  <c r="EJ201"/>
  <c r="EK201"/>
  <c r="EL201"/>
  <c r="EM201"/>
  <c r="EN201"/>
  <c r="EO201"/>
  <c r="EP201"/>
  <c r="EQ201"/>
  <c r="ER201"/>
  <c r="ES201"/>
  <c r="ET201"/>
  <c r="EU201"/>
  <c r="EV201"/>
  <c r="EW201"/>
  <c r="EX201"/>
  <c r="EY201"/>
  <c r="EZ201"/>
  <c r="FA201"/>
  <c r="FB201"/>
  <c r="FC201"/>
  <c r="FD201"/>
  <c r="FE201"/>
  <c r="FF201"/>
  <c r="FG201"/>
  <c r="FH201"/>
  <c r="FI201"/>
  <c r="FJ201"/>
  <c r="FK201"/>
  <c r="FL201"/>
  <c r="FM201"/>
  <c r="FN201"/>
  <c r="FO201"/>
  <c r="FP201"/>
  <c r="FQ201"/>
  <c r="FR201"/>
  <c r="FS201"/>
  <c r="DB202"/>
  <c r="DC202"/>
  <c r="DD202"/>
  <c r="DE202"/>
  <c r="DF202"/>
  <c r="DG202"/>
  <c r="DH202"/>
  <c r="DI202"/>
  <c r="DJ202"/>
  <c r="DK202"/>
  <c r="DL202"/>
  <c r="DM202"/>
  <c r="DN202"/>
  <c r="DO202"/>
  <c r="DP202"/>
  <c r="DQ202"/>
  <c r="DR202"/>
  <c r="DS202"/>
  <c r="DT202"/>
  <c r="DU202"/>
  <c r="DV202"/>
  <c r="DW202"/>
  <c r="DX202"/>
  <c r="DY202"/>
  <c r="DZ202"/>
  <c r="EA202"/>
  <c r="EB202"/>
  <c r="EC202"/>
  <c r="ED202"/>
  <c r="EE202"/>
  <c r="EF202"/>
  <c r="EG202"/>
  <c r="EH202"/>
  <c r="EI202"/>
  <c r="EJ202"/>
  <c r="EK202"/>
  <c r="EL202"/>
  <c r="EM202"/>
  <c r="EN202"/>
  <c r="EO202"/>
  <c r="EP202"/>
  <c r="EQ202"/>
  <c r="ER202"/>
  <c r="ES202"/>
  <c r="ET202"/>
  <c r="EU202"/>
  <c r="EV202"/>
  <c r="EW202"/>
  <c r="EX202"/>
  <c r="EY202"/>
  <c r="EZ202"/>
  <c r="FA202"/>
  <c r="FB202"/>
  <c r="FC202"/>
  <c r="FD202"/>
  <c r="FE202"/>
  <c r="FF202"/>
  <c r="FG202"/>
  <c r="FH202"/>
  <c r="FI202"/>
  <c r="FJ202"/>
  <c r="FK202"/>
  <c r="FL202"/>
  <c r="FM202"/>
  <c r="FN202"/>
  <c r="FO202"/>
  <c r="FP202"/>
  <c r="FQ202"/>
  <c r="FR202"/>
  <c r="FS202"/>
  <c r="DB203"/>
  <c r="DC203"/>
  <c r="DD203"/>
  <c r="DE203"/>
  <c r="DF203"/>
  <c r="DG203"/>
  <c r="DH203"/>
  <c r="DI203"/>
  <c r="DJ203"/>
  <c r="DK203"/>
  <c r="DL203"/>
  <c r="DM203"/>
  <c r="DN203"/>
  <c r="DO203"/>
  <c r="DP203"/>
  <c r="DQ203"/>
  <c r="DR203"/>
  <c r="DS203"/>
  <c r="DT203"/>
  <c r="DU203"/>
  <c r="DV203"/>
  <c r="DW203"/>
  <c r="DX203"/>
  <c r="DY203"/>
  <c r="DZ203"/>
  <c r="EA203"/>
  <c r="EB203"/>
  <c r="EC203"/>
  <c r="ED203"/>
  <c r="EE203"/>
  <c r="EF203"/>
  <c r="EG203"/>
  <c r="EH203"/>
  <c r="EI203"/>
  <c r="EJ203"/>
  <c r="EK203"/>
  <c r="EL203"/>
  <c r="EM203"/>
  <c r="EN203"/>
  <c r="EO203"/>
  <c r="EP203"/>
  <c r="EQ203"/>
  <c r="ER203"/>
  <c r="ES203"/>
  <c r="ET203"/>
  <c r="EU203"/>
  <c r="EV203"/>
  <c r="EW203"/>
  <c r="EX203"/>
  <c r="EY203"/>
  <c r="EZ203"/>
  <c r="FA203"/>
  <c r="FB203"/>
  <c r="FC203"/>
  <c r="FD203"/>
  <c r="FE203"/>
  <c r="FF203"/>
  <c r="FG203"/>
  <c r="FH203"/>
  <c r="FI203"/>
  <c r="FJ203"/>
  <c r="FK203"/>
  <c r="FL203"/>
  <c r="FM203"/>
  <c r="FN203"/>
  <c r="FO203"/>
  <c r="FP203"/>
  <c r="FQ203"/>
  <c r="FR203"/>
  <c r="FS203"/>
  <c r="DB204"/>
  <c r="DC204"/>
  <c r="DD204"/>
  <c r="DE204"/>
  <c r="DF204"/>
  <c r="DG204"/>
  <c r="DH204"/>
  <c r="DI204"/>
  <c r="DJ204"/>
  <c r="DK204"/>
  <c r="DL204"/>
  <c r="DM204"/>
  <c r="DN204"/>
  <c r="DO204"/>
  <c r="DP204"/>
  <c r="DQ204"/>
  <c r="DR204"/>
  <c r="DS204"/>
  <c r="DT204"/>
  <c r="DU204"/>
  <c r="DV204"/>
  <c r="DW204"/>
  <c r="DX204"/>
  <c r="DY204"/>
  <c r="DZ204"/>
  <c r="EA204"/>
  <c r="EB204"/>
  <c r="EC204"/>
  <c r="ED204"/>
  <c r="EE204"/>
  <c r="EF204"/>
  <c r="EG204"/>
  <c r="EH204"/>
  <c r="EI204"/>
  <c r="EJ204"/>
  <c r="EK204"/>
  <c r="EL204"/>
  <c r="EM204"/>
  <c r="EN204"/>
  <c r="EO204"/>
  <c r="EP204"/>
  <c r="EQ204"/>
  <c r="ER204"/>
  <c r="ES204"/>
  <c r="ET204"/>
  <c r="EU204"/>
  <c r="EV204"/>
  <c r="EW204"/>
  <c r="EX204"/>
  <c r="EY204"/>
  <c r="EZ204"/>
  <c r="FA204"/>
  <c r="FB204"/>
  <c r="FC204"/>
  <c r="FD204"/>
  <c r="FE204"/>
  <c r="FF204"/>
  <c r="FG204"/>
  <c r="FH204"/>
  <c r="FI204"/>
  <c r="FJ204"/>
  <c r="FK204"/>
  <c r="FL204"/>
  <c r="FM204"/>
  <c r="FN204"/>
  <c r="FO204"/>
  <c r="FP204"/>
  <c r="FQ204"/>
  <c r="FR204"/>
  <c r="FS204"/>
  <c r="DB205"/>
  <c r="DC205"/>
  <c r="DD205"/>
  <c r="DE205"/>
  <c r="DF205"/>
  <c r="DG205"/>
  <c r="DH205"/>
  <c r="DI205"/>
  <c r="DJ205"/>
  <c r="DK205"/>
  <c r="DL205"/>
  <c r="DM205"/>
  <c r="DN205"/>
  <c r="DO205"/>
  <c r="DP205"/>
  <c r="DQ205"/>
  <c r="DR205"/>
  <c r="DS205"/>
  <c r="DT205"/>
  <c r="DU205"/>
  <c r="DV205"/>
  <c r="DW205"/>
  <c r="DX205"/>
  <c r="DY205"/>
  <c r="DZ205"/>
  <c r="EA205"/>
  <c r="EB205"/>
  <c r="EC205"/>
  <c r="ED205"/>
  <c r="EE205"/>
  <c r="EF205"/>
  <c r="EG205"/>
  <c r="EH205"/>
  <c r="EI205"/>
  <c r="EJ205"/>
  <c r="EK205"/>
  <c r="EL205"/>
  <c r="EM205"/>
  <c r="EN205"/>
  <c r="EO205"/>
  <c r="EP205"/>
  <c r="EQ205"/>
  <c r="ER205"/>
  <c r="ES205"/>
  <c r="ET205"/>
  <c r="EU205"/>
  <c r="EV205"/>
  <c r="EW205"/>
  <c r="EX205"/>
  <c r="EY205"/>
  <c r="EZ205"/>
  <c r="FA205"/>
  <c r="FB205"/>
  <c r="FC205"/>
  <c r="FD205"/>
  <c r="FE205"/>
  <c r="FF205"/>
  <c r="FG205"/>
  <c r="FH205"/>
  <c r="FI205"/>
  <c r="FJ205"/>
  <c r="FK205"/>
  <c r="FL205"/>
  <c r="FM205"/>
  <c r="FN205"/>
  <c r="FO205"/>
  <c r="FP205"/>
  <c r="FQ205"/>
  <c r="FR205"/>
  <c r="FS205"/>
  <c r="DB206"/>
  <c r="DC206"/>
  <c r="DD206"/>
  <c r="DE206"/>
  <c r="DF206"/>
  <c r="DG206"/>
  <c r="DH206"/>
  <c r="DI206"/>
  <c r="DJ206"/>
  <c r="DK206"/>
  <c r="DL206"/>
  <c r="DM206"/>
  <c r="DN206"/>
  <c r="DO206"/>
  <c r="DP206"/>
  <c r="DQ206"/>
  <c r="DR206"/>
  <c r="DS206"/>
  <c r="DT206"/>
  <c r="DU206"/>
  <c r="DV206"/>
  <c r="DW206"/>
  <c r="DX206"/>
  <c r="DY206"/>
  <c r="DZ206"/>
  <c r="EA206"/>
  <c r="EB206"/>
  <c r="EC206"/>
  <c r="ED206"/>
  <c r="EE206"/>
  <c r="EF206"/>
  <c r="EG206"/>
  <c r="EH206"/>
  <c r="EI206"/>
  <c r="EJ206"/>
  <c r="EK206"/>
  <c r="EL206"/>
  <c r="EM206"/>
  <c r="EN206"/>
  <c r="EO206"/>
  <c r="EP206"/>
  <c r="EQ206"/>
  <c r="ER206"/>
  <c r="ES206"/>
  <c r="ET206"/>
  <c r="EU206"/>
  <c r="EV206"/>
  <c r="EW206"/>
  <c r="EX206"/>
  <c r="EY206"/>
  <c r="EZ206"/>
  <c r="FA206"/>
  <c r="FB206"/>
  <c r="FC206"/>
  <c r="FD206"/>
  <c r="FE206"/>
  <c r="FF206"/>
  <c r="FG206"/>
  <c r="FH206"/>
  <c r="FI206"/>
  <c r="FJ206"/>
  <c r="FK206"/>
  <c r="FL206"/>
  <c r="FM206"/>
  <c r="FN206"/>
  <c r="FO206"/>
  <c r="FP206"/>
  <c r="FQ206"/>
  <c r="FR206"/>
  <c r="FS206"/>
  <c r="DB207"/>
  <c r="DC207"/>
  <c r="DD207"/>
  <c r="DE207"/>
  <c r="DF207"/>
  <c r="DG207"/>
  <c r="DH207"/>
  <c r="DI207"/>
  <c r="DJ207"/>
  <c r="DK207"/>
  <c r="DL207"/>
  <c r="DM207"/>
  <c r="DN207"/>
  <c r="DO207"/>
  <c r="DP207"/>
  <c r="DQ207"/>
  <c r="DR207"/>
  <c r="DS207"/>
  <c r="DT207"/>
  <c r="DU207"/>
  <c r="DV207"/>
  <c r="DW207"/>
  <c r="DX207"/>
  <c r="DY207"/>
  <c r="DZ207"/>
  <c r="EA207"/>
  <c r="EB207"/>
  <c r="EC207"/>
  <c r="ED207"/>
  <c r="EE207"/>
  <c r="EF207"/>
  <c r="EG207"/>
  <c r="EH207"/>
  <c r="EI207"/>
  <c r="EJ207"/>
  <c r="EK207"/>
  <c r="EL207"/>
  <c r="EM207"/>
  <c r="EN207"/>
  <c r="EO207"/>
  <c r="EP207"/>
  <c r="EQ207"/>
  <c r="ER207"/>
  <c r="ES207"/>
  <c r="ET207"/>
  <c r="EU207"/>
  <c r="EV207"/>
  <c r="EW207"/>
  <c r="EX207"/>
  <c r="EY207"/>
  <c r="EZ207"/>
  <c r="FA207"/>
  <c r="FB207"/>
  <c r="FC207"/>
  <c r="FD207"/>
  <c r="FE207"/>
  <c r="FF207"/>
  <c r="FG207"/>
  <c r="FH207"/>
  <c r="FI207"/>
  <c r="FJ207"/>
  <c r="FK207"/>
  <c r="FL207"/>
  <c r="FM207"/>
  <c r="FN207"/>
  <c r="FO207"/>
  <c r="FP207"/>
  <c r="FQ207"/>
  <c r="FR207"/>
  <c r="FS207"/>
  <c r="DB208"/>
  <c r="DC208"/>
  <c r="DD208"/>
  <c r="DE208"/>
  <c r="DF208"/>
  <c r="DG208"/>
  <c r="DH208"/>
  <c r="DI208"/>
  <c r="DJ208"/>
  <c r="DK208"/>
  <c r="DL208"/>
  <c r="DM208"/>
  <c r="DN208"/>
  <c r="DO208"/>
  <c r="DP208"/>
  <c r="DQ208"/>
  <c r="DR208"/>
  <c r="DS208"/>
  <c r="DT208"/>
  <c r="DU208"/>
  <c r="DV208"/>
  <c r="DW208"/>
  <c r="DX208"/>
  <c r="DY208"/>
  <c r="DZ208"/>
  <c r="EA208"/>
  <c r="EB208"/>
  <c r="EC208"/>
  <c r="ED208"/>
  <c r="EE208"/>
  <c r="EF208"/>
  <c r="EG208"/>
  <c r="EH208"/>
  <c r="EI208"/>
  <c r="EJ208"/>
  <c r="EK208"/>
  <c r="EL208"/>
  <c r="EM208"/>
  <c r="EN208"/>
  <c r="EO208"/>
  <c r="EP208"/>
  <c r="EQ208"/>
  <c r="ER208"/>
  <c r="ES208"/>
  <c r="ET208"/>
  <c r="EU208"/>
  <c r="EV208"/>
  <c r="EW208"/>
  <c r="EX208"/>
  <c r="EY208"/>
  <c r="EZ208"/>
  <c r="FA208"/>
  <c r="FB208"/>
  <c r="FC208"/>
  <c r="FD208"/>
  <c r="FE208"/>
  <c r="FF208"/>
  <c r="FG208"/>
  <c r="FH208"/>
  <c r="FI208"/>
  <c r="FJ208"/>
  <c r="FK208"/>
  <c r="FL208"/>
  <c r="FM208"/>
  <c r="FN208"/>
  <c r="FO208"/>
  <c r="FP208"/>
  <c r="FQ208"/>
  <c r="FR208"/>
  <c r="FS208"/>
  <c r="DB209"/>
  <c r="DC209"/>
  <c r="DD209"/>
  <c r="DE209"/>
  <c r="DF209"/>
  <c r="DG209"/>
  <c r="DH209"/>
  <c r="DI209"/>
  <c r="DJ209"/>
  <c r="DK209"/>
  <c r="DL209"/>
  <c r="DM209"/>
  <c r="DN209"/>
  <c r="DO209"/>
  <c r="DP209"/>
  <c r="DQ209"/>
  <c r="DR209"/>
  <c r="DS209"/>
  <c r="DT209"/>
  <c r="DU209"/>
  <c r="DV209"/>
  <c r="DW209"/>
  <c r="DX209"/>
  <c r="DY209"/>
  <c r="DZ209"/>
  <c r="EA209"/>
  <c r="EB209"/>
  <c r="EC209"/>
  <c r="ED209"/>
  <c r="EE209"/>
  <c r="EF209"/>
  <c r="EG209"/>
  <c r="EH209"/>
  <c r="EI209"/>
  <c r="EJ209"/>
  <c r="EK209"/>
  <c r="EL209"/>
  <c r="EM209"/>
  <c r="EN209"/>
  <c r="EO209"/>
  <c r="EP209"/>
  <c r="EQ209"/>
  <c r="ER209"/>
  <c r="ES209"/>
  <c r="ET209"/>
  <c r="EU209"/>
  <c r="EV209"/>
  <c r="EW209"/>
  <c r="EX209"/>
  <c r="EY209"/>
  <c r="EZ209"/>
  <c r="FA209"/>
  <c r="FB209"/>
  <c r="FC209"/>
  <c r="FD209"/>
  <c r="FE209"/>
  <c r="FF209"/>
  <c r="FG209"/>
  <c r="FH209"/>
  <c r="FI209"/>
  <c r="FJ209"/>
  <c r="FK209"/>
  <c r="FL209"/>
  <c r="FM209"/>
  <c r="FN209"/>
  <c r="FO209"/>
  <c r="FP209"/>
  <c r="FQ209"/>
  <c r="FR209"/>
  <c r="FS209"/>
  <c r="DB210"/>
  <c r="DC210"/>
  <c r="DD210"/>
  <c r="DE210"/>
  <c r="DF210"/>
  <c r="DG210"/>
  <c r="DH210"/>
  <c r="DI210"/>
  <c r="DJ210"/>
  <c r="DK210"/>
  <c r="DL210"/>
  <c r="DM210"/>
  <c r="DN210"/>
  <c r="DO210"/>
  <c r="DP210"/>
  <c r="DQ210"/>
  <c r="DR210"/>
  <c r="DS210"/>
  <c r="DT210"/>
  <c r="DU210"/>
  <c r="DV210"/>
  <c r="DW210"/>
  <c r="DX210"/>
  <c r="DY210"/>
  <c r="DZ210"/>
  <c r="EA210"/>
  <c r="EB210"/>
  <c r="EC210"/>
  <c r="ED210"/>
  <c r="EE210"/>
  <c r="EF210"/>
  <c r="EG210"/>
  <c r="EH210"/>
  <c r="EI210"/>
  <c r="EJ210"/>
  <c r="EK210"/>
  <c r="EL210"/>
  <c r="EM210"/>
  <c r="EN210"/>
  <c r="EO210"/>
  <c r="EP210"/>
  <c r="EQ210"/>
  <c r="ER210"/>
  <c r="ES210"/>
  <c r="ET210"/>
  <c r="EU210"/>
  <c r="EV210"/>
  <c r="EW210"/>
  <c r="EX210"/>
  <c r="EY210"/>
  <c r="EZ210"/>
  <c r="FA210"/>
  <c r="FB210"/>
  <c r="FC210"/>
  <c r="FD210"/>
  <c r="FE210"/>
  <c r="FF210"/>
  <c r="FG210"/>
  <c r="FH210"/>
  <c r="FI210"/>
  <c r="FJ210"/>
  <c r="FK210"/>
  <c r="FL210"/>
  <c r="FM210"/>
  <c r="FN210"/>
  <c r="FO210"/>
  <c r="FP210"/>
  <c r="FQ210"/>
  <c r="FR210"/>
  <c r="FS210"/>
  <c r="DB211"/>
  <c r="DC211"/>
  <c r="DD211"/>
  <c r="DE211"/>
  <c r="DF211"/>
  <c r="DG211"/>
  <c r="DH211"/>
  <c r="DI211"/>
  <c r="DJ211"/>
  <c r="DK211"/>
  <c r="DL211"/>
  <c r="DM211"/>
  <c r="DN211"/>
  <c r="DO211"/>
  <c r="DP211"/>
  <c r="DQ211"/>
  <c r="DR211"/>
  <c r="DS211"/>
  <c r="DT211"/>
  <c r="DU211"/>
  <c r="DV211"/>
  <c r="DW211"/>
  <c r="DX211"/>
  <c r="DY211"/>
  <c r="DZ211"/>
  <c r="EA211"/>
  <c r="EB211"/>
  <c r="EC211"/>
  <c r="ED211"/>
  <c r="EE211"/>
  <c r="EF211"/>
  <c r="EG211"/>
  <c r="EH211"/>
  <c r="EI211"/>
  <c r="EJ211"/>
  <c r="EK211"/>
  <c r="EL211"/>
  <c r="EM211"/>
  <c r="EN211"/>
  <c r="EO211"/>
  <c r="EP211"/>
  <c r="EQ211"/>
  <c r="ER211"/>
  <c r="ES211"/>
  <c r="ET211"/>
  <c r="EU211"/>
  <c r="EV211"/>
  <c r="EW211"/>
  <c r="EX211"/>
  <c r="EY211"/>
  <c r="EZ211"/>
  <c r="FA211"/>
  <c r="FB211"/>
  <c r="FC211"/>
  <c r="FD211"/>
  <c r="FE211"/>
  <c r="FF211"/>
  <c r="FG211"/>
  <c r="FH211"/>
  <c r="FI211"/>
  <c r="FJ211"/>
  <c r="FK211"/>
  <c r="FL211"/>
  <c r="FM211"/>
  <c r="FN211"/>
  <c r="FO211"/>
  <c r="FP211"/>
  <c r="FQ211"/>
  <c r="FR211"/>
  <c r="FS211"/>
  <c r="DB212"/>
  <c r="DC212"/>
  <c r="DD212"/>
  <c r="DE212"/>
  <c r="DF212"/>
  <c r="DG212"/>
  <c r="DH212"/>
  <c r="DI212"/>
  <c r="DJ212"/>
  <c r="DK212"/>
  <c r="DL212"/>
  <c r="DM212"/>
  <c r="DN212"/>
  <c r="DO212"/>
  <c r="DP212"/>
  <c r="DQ212"/>
  <c r="DR212"/>
  <c r="DS212"/>
  <c r="DT212"/>
  <c r="DU212"/>
  <c r="DV212"/>
  <c r="DW212"/>
  <c r="DX212"/>
  <c r="DY212"/>
  <c r="DZ212"/>
  <c r="EA212"/>
  <c r="EB212"/>
  <c r="EC212"/>
  <c r="ED212"/>
  <c r="EE212"/>
  <c r="EF212"/>
  <c r="EG212"/>
  <c r="EH212"/>
  <c r="EI212"/>
  <c r="EJ212"/>
  <c r="EK212"/>
  <c r="EL212"/>
  <c r="EM212"/>
  <c r="EN212"/>
  <c r="EO212"/>
  <c r="EP212"/>
  <c r="EQ212"/>
  <c r="ER212"/>
  <c r="ES212"/>
  <c r="ET212"/>
  <c r="EU212"/>
  <c r="EV212"/>
  <c r="EW212"/>
  <c r="EX212"/>
  <c r="EY212"/>
  <c r="EZ212"/>
  <c r="FA212"/>
  <c r="FB212"/>
  <c r="FC212"/>
  <c r="FD212"/>
  <c r="FE212"/>
  <c r="FF212"/>
  <c r="FG212"/>
  <c r="FH212"/>
  <c r="FI212"/>
  <c r="FJ212"/>
  <c r="FK212"/>
  <c r="FL212"/>
  <c r="FM212"/>
  <c r="FN212"/>
  <c r="FO212"/>
  <c r="FP212"/>
  <c r="FQ212"/>
  <c r="FR212"/>
  <c r="FS212"/>
  <c r="DB213"/>
  <c r="DC213"/>
  <c r="DD213"/>
  <c r="DE213"/>
  <c r="DF213"/>
  <c r="DG213"/>
  <c r="DH213"/>
  <c r="DI213"/>
  <c r="DJ213"/>
  <c r="DK213"/>
  <c r="DL213"/>
  <c r="DM213"/>
  <c r="DN213"/>
  <c r="DO213"/>
  <c r="DP213"/>
  <c r="DQ213"/>
  <c r="DR213"/>
  <c r="DS213"/>
  <c r="DT213"/>
  <c r="DU213"/>
  <c r="DV213"/>
  <c r="DW213"/>
  <c r="DX213"/>
  <c r="DY213"/>
  <c r="DZ213"/>
  <c r="EA213"/>
  <c r="EB213"/>
  <c r="EC213"/>
  <c r="ED213"/>
  <c r="EE213"/>
  <c r="EF213"/>
  <c r="EG213"/>
  <c r="EH213"/>
  <c r="EI213"/>
  <c r="EJ213"/>
  <c r="EK213"/>
  <c r="EL213"/>
  <c r="EM213"/>
  <c r="EN213"/>
  <c r="EO213"/>
  <c r="EP213"/>
  <c r="EQ213"/>
  <c r="ER213"/>
  <c r="ES213"/>
  <c r="ET213"/>
  <c r="EU213"/>
  <c r="EV213"/>
  <c r="EW213"/>
  <c r="EX213"/>
  <c r="EY213"/>
  <c r="EZ213"/>
  <c r="FA213"/>
  <c r="FB213"/>
  <c r="FC213"/>
  <c r="FD213"/>
  <c r="FE213"/>
  <c r="FF213"/>
  <c r="FG213"/>
  <c r="FH213"/>
  <c r="FI213"/>
  <c r="FJ213"/>
  <c r="FK213"/>
  <c r="FL213"/>
  <c r="FM213"/>
  <c r="FN213"/>
  <c r="FO213"/>
  <c r="FP213"/>
  <c r="FQ213"/>
  <c r="FR213"/>
  <c r="FS213"/>
  <c r="DB214"/>
  <c r="DC214"/>
  <c r="DD214"/>
  <c r="DE214"/>
  <c r="DF214"/>
  <c r="DG214"/>
  <c r="DH214"/>
  <c r="DI214"/>
  <c r="DJ214"/>
  <c r="DK214"/>
  <c r="DL214"/>
  <c r="DM214"/>
  <c r="DN214"/>
  <c r="DO214"/>
  <c r="DP214"/>
  <c r="DQ214"/>
  <c r="DR214"/>
  <c r="DS214"/>
  <c r="DT214"/>
  <c r="DU214"/>
  <c r="DV214"/>
  <c r="DW214"/>
  <c r="DX214"/>
  <c r="DY214"/>
  <c r="DZ214"/>
  <c r="EA214"/>
  <c r="EB214"/>
  <c r="EC214"/>
  <c r="ED214"/>
  <c r="EE214"/>
  <c r="EF214"/>
  <c r="EG214"/>
  <c r="EH214"/>
  <c r="EI214"/>
  <c r="EJ214"/>
  <c r="EK214"/>
  <c r="EL214"/>
  <c r="EM214"/>
  <c r="EN214"/>
  <c r="EO214"/>
  <c r="EP214"/>
  <c r="EQ214"/>
  <c r="ER214"/>
  <c r="ES214"/>
  <c r="ET214"/>
  <c r="EU214"/>
  <c r="EV214"/>
  <c r="EW214"/>
  <c r="EX214"/>
  <c r="EY214"/>
  <c r="EZ214"/>
  <c r="FA214"/>
  <c r="FB214"/>
  <c r="FC214"/>
  <c r="FD214"/>
  <c r="FE214"/>
  <c r="FF214"/>
  <c r="FG214"/>
  <c r="FH214"/>
  <c r="FI214"/>
  <c r="FJ214"/>
  <c r="FK214"/>
  <c r="FL214"/>
  <c r="FM214"/>
  <c r="FN214"/>
  <c r="FO214"/>
  <c r="FP214"/>
  <c r="FQ214"/>
  <c r="FR214"/>
  <c r="FS214"/>
  <c r="DB215"/>
  <c r="DC215"/>
  <c r="DD215"/>
  <c r="DE215"/>
  <c r="DF215"/>
  <c r="DG215"/>
  <c r="DH215"/>
  <c r="DI215"/>
  <c r="DJ215"/>
  <c r="DK215"/>
  <c r="DL215"/>
  <c r="DM215"/>
  <c r="DN215"/>
  <c r="DO215"/>
  <c r="DP215"/>
  <c r="DQ215"/>
  <c r="DR215"/>
  <c r="DS215"/>
  <c r="DT215"/>
  <c r="DU215"/>
  <c r="DV215"/>
  <c r="DW215"/>
  <c r="DX215"/>
  <c r="DY215"/>
  <c r="DZ215"/>
  <c r="EA215"/>
  <c r="EB215"/>
  <c r="EC215"/>
  <c r="ED215"/>
  <c r="EE215"/>
  <c r="EF215"/>
  <c r="EG215"/>
  <c r="EH215"/>
  <c r="EI215"/>
  <c r="EJ215"/>
  <c r="EK215"/>
  <c r="EL215"/>
  <c r="EM215"/>
  <c r="EN215"/>
  <c r="EO215"/>
  <c r="EP215"/>
  <c r="EQ215"/>
  <c r="ER215"/>
  <c r="ES215"/>
  <c r="ET215"/>
  <c r="EU215"/>
  <c r="EV215"/>
  <c r="EW215"/>
  <c r="EX215"/>
  <c r="EY215"/>
  <c r="EZ215"/>
  <c r="FA215"/>
  <c r="FB215"/>
  <c r="FC215"/>
  <c r="FD215"/>
  <c r="FE215"/>
  <c r="FF215"/>
  <c r="FG215"/>
  <c r="FH215"/>
  <c r="FI215"/>
  <c r="FJ215"/>
  <c r="FK215"/>
  <c r="FL215"/>
  <c r="FM215"/>
  <c r="FN215"/>
  <c r="FO215"/>
  <c r="FP215"/>
  <c r="FQ215"/>
  <c r="FR215"/>
  <c r="FS215"/>
  <c r="DB216"/>
  <c r="DC216"/>
  <c r="DD216"/>
  <c r="DE216"/>
  <c r="DF216"/>
  <c r="DG216"/>
  <c r="DH216"/>
  <c r="DI216"/>
  <c r="DJ216"/>
  <c r="DK216"/>
  <c r="DL216"/>
  <c r="DM216"/>
  <c r="DN216"/>
  <c r="DO216"/>
  <c r="DP216"/>
  <c r="DQ216"/>
  <c r="DR216"/>
  <c r="DS216"/>
  <c r="DT216"/>
  <c r="DU216"/>
  <c r="DV216"/>
  <c r="DW216"/>
  <c r="DX216"/>
  <c r="DY216"/>
  <c r="DZ216"/>
  <c r="EA216"/>
  <c r="EB216"/>
  <c r="EC216"/>
  <c r="ED216"/>
  <c r="EE216"/>
  <c r="EF216"/>
  <c r="EG216"/>
  <c r="EH216"/>
  <c r="EI216"/>
  <c r="EJ216"/>
  <c r="EK216"/>
  <c r="EL216"/>
  <c r="EM216"/>
  <c r="EN216"/>
  <c r="EO216"/>
  <c r="EP216"/>
  <c r="EQ216"/>
  <c r="ER216"/>
  <c r="ES216"/>
  <c r="ET216"/>
  <c r="EU216"/>
  <c r="EV216"/>
  <c r="EW216"/>
  <c r="EX216"/>
  <c r="EY216"/>
  <c r="EZ216"/>
  <c r="FA216"/>
  <c r="FB216"/>
  <c r="FC216"/>
  <c r="FD216"/>
  <c r="FE216"/>
  <c r="FF216"/>
  <c r="FG216"/>
  <c r="FH216"/>
  <c r="FI216"/>
  <c r="FJ216"/>
  <c r="FK216"/>
  <c r="FL216"/>
  <c r="FM216"/>
  <c r="FN216"/>
  <c r="FO216"/>
  <c r="FP216"/>
  <c r="FQ216"/>
  <c r="FR216"/>
  <c r="FS216"/>
  <c r="DB217"/>
  <c r="DC217"/>
  <c r="DD217"/>
  <c r="DE217"/>
  <c r="DF217"/>
  <c r="DG217"/>
  <c r="DH217"/>
  <c r="DI217"/>
  <c r="DJ217"/>
  <c r="DK217"/>
  <c r="DL217"/>
  <c r="DM217"/>
  <c r="DN217"/>
  <c r="DO217"/>
  <c r="DP217"/>
  <c r="DQ217"/>
  <c r="DR217"/>
  <c r="DS217"/>
  <c r="DT217"/>
  <c r="DU217"/>
  <c r="DV217"/>
  <c r="DW217"/>
  <c r="DX217"/>
  <c r="DY217"/>
  <c r="DZ217"/>
  <c r="EA217"/>
  <c r="EB217"/>
  <c r="EC217"/>
  <c r="ED217"/>
  <c r="EE217"/>
  <c r="EF217"/>
  <c r="EG217"/>
  <c r="EH217"/>
  <c r="EI217"/>
  <c r="EJ217"/>
  <c r="EK217"/>
  <c r="EL217"/>
  <c r="EM217"/>
  <c r="EN217"/>
  <c r="EO217"/>
  <c r="EP217"/>
  <c r="EQ217"/>
  <c r="ER217"/>
  <c r="ES217"/>
  <c r="ET217"/>
  <c r="EU217"/>
  <c r="EV217"/>
  <c r="EW217"/>
  <c r="EX217"/>
  <c r="EY217"/>
  <c r="EZ217"/>
  <c r="FA217"/>
  <c r="FB217"/>
  <c r="FC217"/>
  <c r="FD217"/>
  <c r="FE217"/>
  <c r="FF217"/>
  <c r="FG217"/>
  <c r="FH217"/>
  <c r="FI217"/>
  <c r="FJ217"/>
  <c r="FK217"/>
  <c r="FL217"/>
  <c r="FM217"/>
  <c r="FN217"/>
  <c r="FO217"/>
  <c r="FP217"/>
  <c r="FQ217"/>
  <c r="FR217"/>
  <c r="FS217"/>
  <c r="DB218"/>
  <c r="DC218"/>
  <c r="DD218"/>
  <c r="DE218"/>
  <c r="DF218"/>
  <c r="DG218"/>
  <c r="DH218"/>
  <c r="DI218"/>
  <c r="DJ218"/>
  <c r="DK218"/>
  <c r="DL218"/>
  <c r="DM218"/>
  <c r="DN218"/>
  <c r="DO218"/>
  <c r="DP218"/>
  <c r="DQ218"/>
  <c r="DR218"/>
  <c r="DS218"/>
  <c r="DT218"/>
  <c r="DU218"/>
  <c r="DV218"/>
  <c r="DW218"/>
  <c r="DX218"/>
  <c r="DY218"/>
  <c r="DZ218"/>
  <c r="EA218"/>
  <c r="EB218"/>
  <c r="EC218"/>
  <c r="ED218"/>
  <c r="EE218"/>
  <c r="EF218"/>
  <c r="EG218"/>
  <c r="EH218"/>
  <c r="EI218"/>
  <c r="EJ218"/>
  <c r="EK218"/>
  <c r="EL218"/>
  <c r="EM218"/>
  <c r="EN218"/>
  <c r="EO218"/>
  <c r="EP218"/>
  <c r="EQ218"/>
  <c r="ER218"/>
  <c r="ES218"/>
  <c r="ET218"/>
  <c r="EU218"/>
  <c r="EV218"/>
  <c r="EW218"/>
  <c r="EX218"/>
  <c r="EY218"/>
  <c r="EZ218"/>
  <c r="FA218"/>
  <c r="FB218"/>
  <c r="FC218"/>
  <c r="FD218"/>
  <c r="FE218"/>
  <c r="FF218"/>
  <c r="FG218"/>
  <c r="FH218"/>
  <c r="FI218"/>
  <c r="FJ218"/>
  <c r="FK218"/>
  <c r="FL218"/>
  <c r="FM218"/>
  <c r="FN218"/>
  <c r="FO218"/>
  <c r="FP218"/>
  <c r="FQ218"/>
  <c r="FR218"/>
  <c r="FS218"/>
  <c r="DB219"/>
  <c r="DC219"/>
  <c r="DD219"/>
  <c r="DE219"/>
  <c r="DF219"/>
  <c r="DG219"/>
  <c r="DH219"/>
  <c r="DI219"/>
  <c r="DJ219"/>
  <c r="DK219"/>
  <c r="DL219"/>
  <c r="DM219"/>
  <c r="DN219"/>
  <c r="DO219"/>
  <c r="DP219"/>
  <c r="DQ219"/>
  <c r="DR219"/>
  <c r="DS219"/>
  <c r="DT219"/>
  <c r="DU219"/>
  <c r="DV219"/>
  <c r="DW219"/>
  <c r="DX219"/>
  <c r="DY219"/>
  <c r="DZ219"/>
  <c r="EA219"/>
  <c r="EB219"/>
  <c r="EC219"/>
  <c r="ED219"/>
  <c r="EE219"/>
  <c r="EF219"/>
  <c r="EG219"/>
  <c r="EH219"/>
  <c r="EI219"/>
  <c r="EJ219"/>
  <c r="EK219"/>
  <c r="EL219"/>
  <c r="EM219"/>
  <c r="EN219"/>
  <c r="EO219"/>
  <c r="EP219"/>
  <c r="EQ219"/>
  <c r="ER219"/>
  <c r="ES219"/>
  <c r="ET219"/>
  <c r="EU219"/>
  <c r="EV219"/>
  <c r="EW219"/>
  <c r="EX219"/>
  <c r="EY219"/>
  <c r="EZ219"/>
  <c r="FA219"/>
  <c r="FB219"/>
  <c r="FC219"/>
  <c r="FD219"/>
  <c r="FE219"/>
  <c r="FF219"/>
  <c r="FG219"/>
  <c r="FH219"/>
  <c r="FI219"/>
  <c r="FJ219"/>
  <c r="FK219"/>
  <c r="FL219"/>
  <c r="FM219"/>
  <c r="FN219"/>
  <c r="FO219"/>
  <c r="FP219"/>
  <c r="FQ219"/>
  <c r="FR219"/>
  <c r="FS219"/>
  <c r="DB220"/>
  <c r="DC220"/>
  <c r="DD220"/>
  <c r="DE220"/>
  <c r="DF220"/>
  <c r="DG220"/>
  <c r="DH220"/>
  <c r="DI220"/>
  <c r="DJ220"/>
  <c r="DK220"/>
  <c r="DL220"/>
  <c r="DM220"/>
  <c r="DN220"/>
  <c r="DO220"/>
  <c r="DP220"/>
  <c r="DQ220"/>
  <c r="DR220"/>
  <c r="DS220"/>
  <c r="DT220"/>
  <c r="DU220"/>
  <c r="DV220"/>
  <c r="DW220"/>
  <c r="DX220"/>
  <c r="DY220"/>
  <c r="DZ220"/>
  <c r="EA220"/>
  <c r="EB220"/>
  <c r="EC220"/>
  <c r="ED220"/>
  <c r="EE220"/>
  <c r="EF220"/>
  <c r="EG220"/>
  <c r="EH220"/>
  <c r="EI220"/>
  <c r="EJ220"/>
  <c r="EK220"/>
  <c r="EL220"/>
  <c r="EM220"/>
  <c r="EN220"/>
  <c r="EO220"/>
  <c r="EP220"/>
  <c r="EQ220"/>
  <c r="ER220"/>
  <c r="ES220"/>
  <c r="ET220"/>
  <c r="EU220"/>
  <c r="EV220"/>
  <c r="EW220"/>
  <c r="EX220"/>
  <c r="EY220"/>
  <c r="EZ220"/>
  <c r="FA220"/>
  <c r="FB220"/>
  <c r="FC220"/>
  <c r="FD220"/>
  <c r="FE220"/>
  <c r="FF220"/>
  <c r="FG220"/>
  <c r="FH220"/>
  <c r="FI220"/>
  <c r="FJ220"/>
  <c r="FK220"/>
  <c r="FL220"/>
  <c r="FM220"/>
  <c r="FN220"/>
  <c r="FO220"/>
  <c r="FP220"/>
  <c r="FQ220"/>
  <c r="FR220"/>
  <c r="FS220"/>
  <c r="CR182" l="1"/>
  <c r="CR183"/>
  <c r="AB226" i="3"/>
  <c r="AB230"/>
  <c r="AB244"/>
  <c r="AB240"/>
  <c r="AB236"/>
  <c r="AB229"/>
  <c r="AB227"/>
  <c r="AB243"/>
  <c r="AB235"/>
  <c r="AB234"/>
  <c r="AB242"/>
  <c r="AB238"/>
  <c r="AB233"/>
  <c r="AB239"/>
  <c r="AB241"/>
  <c r="AB237"/>
  <c r="AB232"/>
  <c r="AB231"/>
  <c r="AB228"/>
  <c r="CN165" i="2"/>
  <c r="CO165"/>
  <c r="CP165"/>
  <c r="CQ165"/>
  <c r="CN166"/>
  <c r="CO166"/>
  <c r="CP166"/>
  <c r="CQ166"/>
  <c r="CN167"/>
  <c r="CO167"/>
  <c r="CP167"/>
  <c r="CQ167"/>
  <c r="CN168"/>
  <c r="CO168"/>
  <c r="CP168"/>
  <c r="CQ168"/>
  <c r="CR168"/>
  <c r="CN169"/>
  <c r="CO169"/>
  <c r="CP169"/>
  <c r="CQ169"/>
  <c r="CN170"/>
  <c r="CO170"/>
  <c r="CP170"/>
  <c r="CQ170"/>
  <c r="CN171"/>
  <c r="CO171"/>
  <c r="CP171"/>
  <c r="CQ171"/>
  <c r="CR171"/>
  <c r="A199" i="3"/>
  <c r="B199"/>
  <c r="C199"/>
  <c r="D199"/>
  <c r="R199" s="1"/>
  <c r="W199" s="1"/>
  <c r="E199"/>
  <c r="S199" s="1"/>
  <c r="X199" s="1"/>
  <c r="F199"/>
  <c r="T199" s="1"/>
  <c r="Y199" s="1"/>
  <c r="G199"/>
  <c r="U199" s="1"/>
  <c r="Z199" s="1"/>
  <c r="H199"/>
  <c r="V199" s="1"/>
  <c r="AA199" s="1"/>
  <c r="I199"/>
  <c r="O199" s="1"/>
  <c r="J199"/>
  <c r="K199"/>
  <c r="L199"/>
  <c r="M199"/>
  <c r="N199"/>
  <c r="Q199"/>
  <c r="A200"/>
  <c r="B200"/>
  <c r="C200"/>
  <c r="D200"/>
  <c r="R200" s="1"/>
  <c r="W200" s="1"/>
  <c r="E200"/>
  <c r="S200" s="1"/>
  <c r="X200" s="1"/>
  <c r="F200"/>
  <c r="T200" s="1"/>
  <c r="Y200" s="1"/>
  <c r="G200"/>
  <c r="U200" s="1"/>
  <c r="Z200" s="1"/>
  <c r="H200"/>
  <c r="V200" s="1"/>
  <c r="AA200" s="1"/>
  <c r="I200"/>
  <c r="O200" s="1"/>
  <c r="J200"/>
  <c r="K200"/>
  <c r="L200"/>
  <c r="M200"/>
  <c r="N200"/>
  <c r="Q200"/>
  <c r="A201"/>
  <c r="B201"/>
  <c r="C201"/>
  <c r="Q201" s="1"/>
  <c r="D201"/>
  <c r="R201" s="1"/>
  <c r="W201" s="1"/>
  <c r="E201"/>
  <c r="S201" s="1"/>
  <c r="X201" s="1"/>
  <c r="F201"/>
  <c r="T201" s="1"/>
  <c r="Y201" s="1"/>
  <c r="G201"/>
  <c r="U201" s="1"/>
  <c r="Z201" s="1"/>
  <c r="H201"/>
  <c r="V201" s="1"/>
  <c r="AA201" s="1"/>
  <c r="I201"/>
  <c r="O201" s="1"/>
  <c r="J201"/>
  <c r="K201"/>
  <c r="L201"/>
  <c r="M201"/>
  <c r="N201"/>
  <c r="A202"/>
  <c r="B202"/>
  <c r="C202"/>
  <c r="Q202" s="1"/>
  <c r="D202"/>
  <c r="R202" s="1"/>
  <c r="W202" s="1"/>
  <c r="E202"/>
  <c r="S202" s="1"/>
  <c r="X202" s="1"/>
  <c r="F202"/>
  <c r="T202" s="1"/>
  <c r="Y202" s="1"/>
  <c r="G202"/>
  <c r="U202" s="1"/>
  <c r="Z202" s="1"/>
  <c r="H202"/>
  <c r="V202" s="1"/>
  <c r="AA202" s="1"/>
  <c r="I202"/>
  <c r="O202" s="1"/>
  <c r="J202"/>
  <c r="K202"/>
  <c r="L202"/>
  <c r="M202"/>
  <c r="N202"/>
  <c r="A203"/>
  <c r="B203"/>
  <c r="C203"/>
  <c r="D203"/>
  <c r="R203" s="1"/>
  <c r="W203" s="1"/>
  <c r="E203"/>
  <c r="S203" s="1"/>
  <c r="X203" s="1"/>
  <c r="F203"/>
  <c r="T203" s="1"/>
  <c r="Y203" s="1"/>
  <c r="G203"/>
  <c r="U203" s="1"/>
  <c r="Z203" s="1"/>
  <c r="H203"/>
  <c r="V203" s="1"/>
  <c r="AA203" s="1"/>
  <c r="I203"/>
  <c r="O203" s="1"/>
  <c r="J203"/>
  <c r="K203"/>
  <c r="L203"/>
  <c r="M203"/>
  <c r="N203"/>
  <c r="Q203"/>
  <c r="A204"/>
  <c r="B204"/>
  <c r="C204"/>
  <c r="D204"/>
  <c r="R204" s="1"/>
  <c r="W204" s="1"/>
  <c r="E204"/>
  <c r="S204" s="1"/>
  <c r="X204" s="1"/>
  <c r="F204"/>
  <c r="T204" s="1"/>
  <c r="Y204" s="1"/>
  <c r="G204"/>
  <c r="U204" s="1"/>
  <c r="Z204" s="1"/>
  <c r="H204"/>
  <c r="V204" s="1"/>
  <c r="AA204" s="1"/>
  <c r="I204"/>
  <c r="O204" s="1"/>
  <c r="J204"/>
  <c r="K204"/>
  <c r="L204"/>
  <c r="M204"/>
  <c r="N204"/>
  <c r="Q204"/>
  <c r="A205"/>
  <c r="B205"/>
  <c r="C205"/>
  <c r="D205"/>
  <c r="R205" s="1"/>
  <c r="W205" s="1"/>
  <c r="E205"/>
  <c r="S205" s="1"/>
  <c r="X205" s="1"/>
  <c r="F205"/>
  <c r="T205" s="1"/>
  <c r="Y205" s="1"/>
  <c r="G205"/>
  <c r="U205" s="1"/>
  <c r="Z205" s="1"/>
  <c r="H205"/>
  <c r="V205" s="1"/>
  <c r="AA205" s="1"/>
  <c r="I205"/>
  <c r="O205" s="1"/>
  <c r="J205"/>
  <c r="K205"/>
  <c r="L205"/>
  <c r="M205"/>
  <c r="N205"/>
  <c r="Q205"/>
  <c r="A206"/>
  <c r="B206"/>
  <c r="C206"/>
  <c r="Q206" s="1"/>
  <c r="D206"/>
  <c r="R206" s="1"/>
  <c r="W206" s="1"/>
  <c r="E206"/>
  <c r="S206" s="1"/>
  <c r="X206" s="1"/>
  <c r="F206"/>
  <c r="T206" s="1"/>
  <c r="Y206" s="1"/>
  <c r="G206"/>
  <c r="U206" s="1"/>
  <c r="Z206" s="1"/>
  <c r="H206"/>
  <c r="V206" s="1"/>
  <c r="AA206" s="1"/>
  <c r="I206"/>
  <c r="O206" s="1"/>
  <c r="J206"/>
  <c r="K206"/>
  <c r="L206"/>
  <c r="M206"/>
  <c r="N206"/>
  <c r="A207"/>
  <c r="B207"/>
  <c r="C207"/>
  <c r="D207"/>
  <c r="R207" s="1"/>
  <c r="W207" s="1"/>
  <c r="E207"/>
  <c r="S207" s="1"/>
  <c r="X207" s="1"/>
  <c r="F207"/>
  <c r="T207" s="1"/>
  <c r="Y207" s="1"/>
  <c r="G207"/>
  <c r="U207" s="1"/>
  <c r="Z207" s="1"/>
  <c r="H207"/>
  <c r="V207" s="1"/>
  <c r="AA207" s="1"/>
  <c r="I207"/>
  <c r="O207" s="1"/>
  <c r="J207"/>
  <c r="K207"/>
  <c r="L207"/>
  <c r="M207"/>
  <c r="N207"/>
  <c r="Q207"/>
  <c r="A208"/>
  <c r="B208"/>
  <c r="C208"/>
  <c r="D208"/>
  <c r="R208" s="1"/>
  <c r="W208" s="1"/>
  <c r="E208"/>
  <c r="S208" s="1"/>
  <c r="X208" s="1"/>
  <c r="F208"/>
  <c r="T208" s="1"/>
  <c r="Y208" s="1"/>
  <c r="G208"/>
  <c r="U208" s="1"/>
  <c r="Z208" s="1"/>
  <c r="H208"/>
  <c r="V208" s="1"/>
  <c r="AA208" s="1"/>
  <c r="I208"/>
  <c r="O208" s="1"/>
  <c r="J208"/>
  <c r="K208"/>
  <c r="L208"/>
  <c r="M208"/>
  <c r="N208"/>
  <c r="Q208"/>
  <c r="A209"/>
  <c r="B209"/>
  <c r="C209"/>
  <c r="D209"/>
  <c r="R209" s="1"/>
  <c r="W209" s="1"/>
  <c r="E209"/>
  <c r="S209" s="1"/>
  <c r="X209" s="1"/>
  <c r="F209"/>
  <c r="T209" s="1"/>
  <c r="Y209" s="1"/>
  <c r="G209"/>
  <c r="U209" s="1"/>
  <c r="Z209" s="1"/>
  <c r="H209"/>
  <c r="V209" s="1"/>
  <c r="AA209" s="1"/>
  <c r="I209"/>
  <c r="O209" s="1"/>
  <c r="J209"/>
  <c r="K209"/>
  <c r="L209"/>
  <c r="M209"/>
  <c r="N209"/>
  <c r="Q209"/>
  <c r="A210"/>
  <c r="B210"/>
  <c r="C210"/>
  <c r="Q210" s="1"/>
  <c r="D210"/>
  <c r="R210" s="1"/>
  <c r="W210" s="1"/>
  <c r="E210"/>
  <c r="S210" s="1"/>
  <c r="X210" s="1"/>
  <c r="F210"/>
  <c r="T210" s="1"/>
  <c r="Y210" s="1"/>
  <c r="G210"/>
  <c r="U210" s="1"/>
  <c r="Z210" s="1"/>
  <c r="H210"/>
  <c r="V210" s="1"/>
  <c r="AA210" s="1"/>
  <c r="I210"/>
  <c r="O210" s="1"/>
  <c r="J210"/>
  <c r="K210"/>
  <c r="L210"/>
  <c r="M210"/>
  <c r="N210"/>
  <c r="A211"/>
  <c r="B211"/>
  <c r="C211"/>
  <c r="D211"/>
  <c r="R211" s="1"/>
  <c r="W211" s="1"/>
  <c r="E211"/>
  <c r="S211" s="1"/>
  <c r="X211" s="1"/>
  <c r="F211"/>
  <c r="T211" s="1"/>
  <c r="Y211" s="1"/>
  <c r="G211"/>
  <c r="U211" s="1"/>
  <c r="Z211" s="1"/>
  <c r="H211"/>
  <c r="V211" s="1"/>
  <c r="AA211" s="1"/>
  <c r="I211"/>
  <c r="O211" s="1"/>
  <c r="J211"/>
  <c r="K211"/>
  <c r="L211"/>
  <c r="M211"/>
  <c r="N211"/>
  <c r="Q211"/>
  <c r="A212"/>
  <c r="B212"/>
  <c r="C212"/>
  <c r="Q212" s="1"/>
  <c r="D212"/>
  <c r="R212" s="1"/>
  <c r="W212" s="1"/>
  <c r="E212"/>
  <c r="S212" s="1"/>
  <c r="X212" s="1"/>
  <c r="F212"/>
  <c r="T212" s="1"/>
  <c r="Y212" s="1"/>
  <c r="G212"/>
  <c r="U212" s="1"/>
  <c r="Z212" s="1"/>
  <c r="H212"/>
  <c r="V212" s="1"/>
  <c r="AA212" s="1"/>
  <c r="I212"/>
  <c r="O212" s="1"/>
  <c r="J212"/>
  <c r="K212"/>
  <c r="L212"/>
  <c r="M212"/>
  <c r="N212"/>
  <c r="A213"/>
  <c r="B213"/>
  <c r="C213"/>
  <c r="Q213" s="1"/>
  <c r="D213"/>
  <c r="R213" s="1"/>
  <c r="W213" s="1"/>
  <c r="E213"/>
  <c r="S213" s="1"/>
  <c r="X213" s="1"/>
  <c r="F213"/>
  <c r="T213" s="1"/>
  <c r="Y213" s="1"/>
  <c r="G213"/>
  <c r="U213" s="1"/>
  <c r="Z213" s="1"/>
  <c r="H213"/>
  <c r="V213" s="1"/>
  <c r="AA213" s="1"/>
  <c r="I213"/>
  <c r="O213" s="1"/>
  <c r="J213"/>
  <c r="K213"/>
  <c r="L213"/>
  <c r="M213"/>
  <c r="N213"/>
  <c r="A214"/>
  <c r="B214"/>
  <c r="C214"/>
  <c r="Q214" s="1"/>
  <c r="D214"/>
  <c r="R214" s="1"/>
  <c r="W214" s="1"/>
  <c r="E214"/>
  <c r="S214" s="1"/>
  <c r="X214" s="1"/>
  <c r="F214"/>
  <c r="T214" s="1"/>
  <c r="Y214" s="1"/>
  <c r="G214"/>
  <c r="U214" s="1"/>
  <c r="Z214" s="1"/>
  <c r="H214"/>
  <c r="V214" s="1"/>
  <c r="AA214" s="1"/>
  <c r="I214"/>
  <c r="O214" s="1"/>
  <c r="J214"/>
  <c r="K214"/>
  <c r="L214"/>
  <c r="M214"/>
  <c r="N214"/>
  <c r="A215"/>
  <c r="B215"/>
  <c r="C215"/>
  <c r="D215"/>
  <c r="R215" s="1"/>
  <c r="W215" s="1"/>
  <c r="E215"/>
  <c r="S215" s="1"/>
  <c r="X215" s="1"/>
  <c r="F215"/>
  <c r="T215" s="1"/>
  <c r="Y215" s="1"/>
  <c r="G215"/>
  <c r="U215" s="1"/>
  <c r="Z215" s="1"/>
  <c r="H215"/>
  <c r="V215" s="1"/>
  <c r="AA215" s="1"/>
  <c r="I215"/>
  <c r="O215" s="1"/>
  <c r="J215"/>
  <c r="K215"/>
  <c r="L215"/>
  <c r="M215"/>
  <c r="N215"/>
  <c r="Q215"/>
  <c r="A216"/>
  <c r="B216"/>
  <c r="C216"/>
  <c r="Q216" s="1"/>
  <c r="D216"/>
  <c r="R216" s="1"/>
  <c r="W216" s="1"/>
  <c r="E216"/>
  <c r="S216" s="1"/>
  <c r="X216" s="1"/>
  <c r="F216"/>
  <c r="T216" s="1"/>
  <c r="Y216" s="1"/>
  <c r="G216"/>
  <c r="U216" s="1"/>
  <c r="Z216" s="1"/>
  <c r="H216"/>
  <c r="V216" s="1"/>
  <c r="AA216" s="1"/>
  <c r="I216"/>
  <c r="O216" s="1"/>
  <c r="J216"/>
  <c r="K216"/>
  <c r="L216"/>
  <c r="M216"/>
  <c r="N216"/>
  <c r="A217"/>
  <c r="B217"/>
  <c r="C217"/>
  <c r="Q217" s="1"/>
  <c r="D217"/>
  <c r="R217" s="1"/>
  <c r="W217" s="1"/>
  <c r="E217"/>
  <c r="S217" s="1"/>
  <c r="X217" s="1"/>
  <c r="F217"/>
  <c r="T217" s="1"/>
  <c r="Y217" s="1"/>
  <c r="G217"/>
  <c r="U217" s="1"/>
  <c r="Z217" s="1"/>
  <c r="H217"/>
  <c r="V217" s="1"/>
  <c r="AA217" s="1"/>
  <c r="I217"/>
  <c r="O217" s="1"/>
  <c r="J217"/>
  <c r="K217"/>
  <c r="L217"/>
  <c r="M217"/>
  <c r="N217"/>
  <c r="A218"/>
  <c r="B218"/>
  <c r="C218"/>
  <c r="Q218" s="1"/>
  <c r="D218"/>
  <c r="R218" s="1"/>
  <c r="W218" s="1"/>
  <c r="E218"/>
  <c r="S218" s="1"/>
  <c r="X218" s="1"/>
  <c r="F218"/>
  <c r="T218" s="1"/>
  <c r="Y218" s="1"/>
  <c r="G218"/>
  <c r="U218" s="1"/>
  <c r="Z218" s="1"/>
  <c r="H218"/>
  <c r="V218" s="1"/>
  <c r="AA218" s="1"/>
  <c r="I218"/>
  <c r="O218" s="1"/>
  <c r="J218"/>
  <c r="K218"/>
  <c r="L218"/>
  <c r="M218"/>
  <c r="N218"/>
  <c r="A219"/>
  <c r="B219"/>
  <c r="C219"/>
  <c r="Q219" s="1"/>
  <c r="D219"/>
  <c r="R219" s="1"/>
  <c r="W219" s="1"/>
  <c r="E219"/>
  <c r="S219" s="1"/>
  <c r="X219" s="1"/>
  <c r="F219"/>
  <c r="T219" s="1"/>
  <c r="Y219" s="1"/>
  <c r="G219"/>
  <c r="U219" s="1"/>
  <c r="Z219" s="1"/>
  <c r="H219"/>
  <c r="V219" s="1"/>
  <c r="AA219" s="1"/>
  <c r="I219"/>
  <c r="O219" s="1"/>
  <c r="J219"/>
  <c r="K219"/>
  <c r="L219"/>
  <c r="M219"/>
  <c r="N219"/>
  <c r="A220"/>
  <c r="B220"/>
  <c r="C220"/>
  <c r="Q220" s="1"/>
  <c r="D220"/>
  <c r="R220" s="1"/>
  <c r="W220" s="1"/>
  <c r="E220"/>
  <c r="S220" s="1"/>
  <c r="X220" s="1"/>
  <c r="F220"/>
  <c r="T220" s="1"/>
  <c r="Y220" s="1"/>
  <c r="G220"/>
  <c r="U220" s="1"/>
  <c r="Z220" s="1"/>
  <c r="H220"/>
  <c r="V220" s="1"/>
  <c r="AA220" s="1"/>
  <c r="I220"/>
  <c r="O220" s="1"/>
  <c r="J220"/>
  <c r="K220"/>
  <c r="L220"/>
  <c r="M220"/>
  <c r="N220"/>
  <c r="A221"/>
  <c r="B221"/>
  <c r="C221"/>
  <c r="Q221" s="1"/>
  <c r="D221"/>
  <c r="R221" s="1"/>
  <c r="W221" s="1"/>
  <c r="E221"/>
  <c r="S221" s="1"/>
  <c r="X221" s="1"/>
  <c r="F221"/>
  <c r="T221" s="1"/>
  <c r="Y221" s="1"/>
  <c r="G221"/>
  <c r="U221" s="1"/>
  <c r="Z221" s="1"/>
  <c r="H221"/>
  <c r="V221" s="1"/>
  <c r="AA221" s="1"/>
  <c r="I221"/>
  <c r="O221" s="1"/>
  <c r="J221"/>
  <c r="K221"/>
  <c r="L221"/>
  <c r="M221"/>
  <c r="N221"/>
  <c r="A222"/>
  <c r="B222"/>
  <c r="C222"/>
  <c r="Q222" s="1"/>
  <c r="D222"/>
  <c r="R222" s="1"/>
  <c r="W222" s="1"/>
  <c r="E222"/>
  <c r="S222" s="1"/>
  <c r="X222" s="1"/>
  <c r="F222"/>
  <c r="T222" s="1"/>
  <c r="Y222" s="1"/>
  <c r="G222"/>
  <c r="U222" s="1"/>
  <c r="Z222" s="1"/>
  <c r="H222"/>
  <c r="V222" s="1"/>
  <c r="AA222" s="1"/>
  <c r="I222"/>
  <c r="O222" s="1"/>
  <c r="J222"/>
  <c r="K222"/>
  <c r="L222"/>
  <c r="M222"/>
  <c r="N222"/>
  <c r="A223"/>
  <c r="B223"/>
  <c r="C223"/>
  <c r="Q223" s="1"/>
  <c r="D223"/>
  <c r="R223" s="1"/>
  <c r="W223" s="1"/>
  <c r="E223"/>
  <c r="S223" s="1"/>
  <c r="X223" s="1"/>
  <c r="F223"/>
  <c r="T223" s="1"/>
  <c r="Y223" s="1"/>
  <c r="G223"/>
  <c r="U223" s="1"/>
  <c r="Z223" s="1"/>
  <c r="H223"/>
  <c r="V223" s="1"/>
  <c r="AA223" s="1"/>
  <c r="I223"/>
  <c r="O223" s="1"/>
  <c r="J223"/>
  <c r="K223"/>
  <c r="L223"/>
  <c r="M223"/>
  <c r="N223"/>
  <c r="A224"/>
  <c r="B224"/>
  <c r="C224"/>
  <c r="Q224" s="1"/>
  <c r="D224"/>
  <c r="R224" s="1"/>
  <c r="W224" s="1"/>
  <c r="E224"/>
  <c r="S224" s="1"/>
  <c r="X224" s="1"/>
  <c r="F224"/>
  <c r="T224" s="1"/>
  <c r="Y224" s="1"/>
  <c r="G224"/>
  <c r="U224" s="1"/>
  <c r="Z224" s="1"/>
  <c r="H224"/>
  <c r="V224" s="1"/>
  <c r="AA224" s="1"/>
  <c r="I224"/>
  <c r="O224" s="1"/>
  <c r="J224"/>
  <c r="K224"/>
  <c r="L224"/>
  <c r="M224"/>
  <c r="N224"/>
  <c r="A225"/>
  <c r="B225"/>
  <c r="C225"/>
  <c r="Q225" s="1"/>
  <c r="D225"/>
  <c r="R225" s="1"/>
  <c r="W225" s="1"/>
  <c r="E225"/>
  <c r="S225" s="1"/>
  <c r="X225" s="1"/>
  <c r="F225"/>
  <c r="T225" s="1"/>
  <c r="Y225" s="1"/>
  <c r="G225"/>
  <c r="U225" s="1"/>
  <c r="Z225" s="1"/>
  <c r="H225"/>
  <c r="V225" s="1"/>
  <c r="AA225" s="1"/>
  <c r="I225"/>
  <c r="O225" s="1"/>
  <c r="J225"/>
  <c r="K225"/>
  <c r="L225"/>
  <c r="M225"/>
  <c r="N225"/>
  <c r="CR164" i="2"/>
  <c r="CQ164"/>
  <c r="CP164"/>
  <c r="CO164"/>
  <c r="CN164"/>
  <c r="CR170" l="1"/>
  <c r="CR165"/>
  <c r="CR167"/>
  <c r="CR169"/>
  <c r="CR166"/>
  <c r="AB200" i="3"/>
  <c r="AB216"/>
  <c r="AB208"/>
  <c r="AB212"/>
  <c r="AB225"/>
  <c r="AB224"/>
  <c r="AB221"/>
  <c r="AB220"/>
  <c r="AB214"/>
  <c r="AB210"/>
  <c r="AB206"/>
  <c r="AB202"/>
  <c r="AB199"/>
  <c r="AB204"/>
  <c r="AB215"/>
  <c r="AB213"/>
  <c r="AB211"/>
  <c r="AB209"/>
  <c r="AB207"/>
  <c r="AB205"/>
  <c r="AB203"/>
  <c r="AB223"/>
  <c r="AB201"/>
  <c r="AB217"/>
  <c r="AB222"/>
  <c r="AB219"/>
  <c r="AB218"/>
  <c r="A187"/>
  <c r="B187"/>
  <c r="C187"/>
  <c r="Q187" s="1"/>
  <c r="D187"/>
  <c r="R187" s="1"/>
  <c r="W187" s="1"/>
  <c r="E187"/>
  <c r="S187" s="1"/>
  <c r="X187" s="1"/>
  <c r="F187"/>
  <c r="T187" s="1"/>
  <c r="Y187" s="1"/>
  <c r="G187"/>
  <c r="U187" s="1"/>
  <c r="Z187" s="1"/>
  <c r="H187"/>
  <c r="V187" s="1"/>
  <c r="AA187" s="1"/>
  <c r="I187"/>
  <c r="O187" s="1"/>
  <c r="J187"/>
  <c r="K187"/>
  <c r="L187"/>
  <c r="M187"/>
  <c r="N187"/>
  <c r="A188"/>
  <c r="B188"/>
  <c r="C188"/>
  <c r="Q188" s="1"/>
  <c r="D188"/>
  <c r="R188" s="1"/>
  <c r="W188" s="1"/>
  <c r="E188"/>
  <c r="S188" s="1"/>
  <c r="X188" s="1"/>
  <c r="F188"/>
  <c r="T188" s="1"/>
  <c r="Y188" s="1"/>
  <c r="G188"/>
  <c r="U188" s="1"/>
  <c r="Z188" s="1"/>
  <c r="H188"/>
  <c r="V188" s="1"/>
  <c r="AA188" s="1"/>
  <c r="I188"/>
  <c r="O188" s="1"/>
  <c r="J188"/>
  <c r="K188"/>
  <c r="L188"/>
  <c r="M188"/>
  <c r="N188"/>
  <c r="A189"/>
  <c r="B189"/>
  <c r="C189"/>
  <c r="Q189" s="1"/>
  <c r="D189"/>
  <c r="R189" s="1"/>
  <c r="W189" s="1"/>
  <c r="E189"/>
  <c r="S189" s="1"/>
  <c r="X189" s="1"/>
  <c r="F189"/>
  <c r="T189" s="1"/>
  <c r="Y189" s="1"/>
  <c r="G189"/>
  <c r="U189" s="1"/>
  <c r="Z189" s="1"/>
  <c r="H189"/>
  <c r="V189" s="1"/>
  <c r="AA189" s="1"/>
  <c r="I189"/>
  <c r="O189" s="1"/>
  <c r="J189"/>
  <c r="K189"/>
  <c r="L189"/>
  <c r="M189"/>
  <c r="N189"/>
  <c r="A190"/>
  <c r="B190"/>
  <c r="C190"/>
  <c r="Q190" s="1"/>
  <c r="D190"/>
  <c r="R190" s="1"/>
  <c r="W190" s="1"/>
  <c r="E190"/>
  <c r="S190" s="1"/>
  <c r="X190" s="1"/>
  <c r="F190"/>
  <c r="T190" s="1"/>
  <c r="Y190" s="1"/>
  <c r="G190"/>
  <c r="U190" s="1"/>
  <c r="Z190" s="1"/>
  <c r="H190"/>
  <c r="V190" s="1"/>
  <c r="AA190" s="1"/>
  <c r="I190"/>
  <c r="O190" s="1"/>
  <c r="J190"/>
  <c r="K190"/>
  <c r="L190"/>
  <c r="M190"/>
  <c r="N190"/>
  <c r="A191"/>
  <c r="B191"/>
  <c r="C191"/>
  <c r="Q191" s="1"/>
  <c r="D191"/>
  <c r="R191" s="1"/>
  <c r="W191" s="1"/>
  <c r="E191"/>
  <c r="S191" s="1"/>
  <c r="X191" s="1"/>
  <c r="F191"/>
  <c r="T191" s="1"/>
  <c r="Y191" s="1"/>
  <c r="G191"/>
  <c r="U191" s="1"/>
  <c r="Z191" s="1"/>
  <c r="H191"/>
  <c r="V191" s="1"/>
  <c r="AA191" s="1"/>
  <c r="I191"/>
  <c r="O191" s="1"/>
  <c r="J191"/>
  <c r="K191"/>
  <c r="L191"/>
  <c r="M191"/>
  <c r="N191"/>
  <c r="A192"/>
  <c r="B192"/>
  <c r="C192"/>
  <c r="D192"/>
  <c r="E192"/>
  <c r="S192" s="1"/>
  <c r="X192" s="1"/>
  <c r="F192"/>
  <c r="T192" s="1"/>
  <c r="Y192" s="1"/>
  <c r="G192"/>
  <c r="U192" s="1"/>
  <c r="Z192" s="1"/>
  <c r="H192"/>
  <c r="V192" s="1"/>
  <c r="AA192" s="1"/>
  <c r="I192"/>
  <c r="O192" s="1"/>
  <c r="J192"/>
  <c r="K192"/>
  <c r="L192"/>
  <c r="M192"/>
  <c r="N192"/>
  <c r="Q192"/>
  <c r="R192"/>
  <c r="W192" s="1"/>
  <c r="A193"/>
  <c r="B193"/>
  <c r="C193"/>
  <c r="Q193" s="1"/>
  <c r="D193"/>
  <c r="R193" s="1"/>
  <c r="W193" s="1"/>
  <c r="E193"/>
  <c r="S193" s="1"/>
  <c r="X193" s="1"/>
  <c r="F193"/>
  <c r="T193" s="1"/>
  <c r="Y193" s="1"/>
  <c r="G193"/>
  <c r="U193" s="1"/>
  <c r="Z193" s="1"/>
  <c r="H193"/>
  <c r="V193" s="1"/>
  <c r="AA193" s="1"/>
  <c r="I193"/>
  <c r="O193" s="1"/>
  <c r="J193"/>
  <c r="K193"/>
  <c r="L193"/>
  <c r="M193"/>
  <c r="N193"/>
  <c r="A194"/>
  <c r="B194"/>
  <c r="C194"/>
  <c r="Q194" s="1"/>
  <c r="D194"/>
  <c r="R194" s="1"/>
  <c r="W194" s="1"/>
  <c r="E194"/>
  <c r="S194" s="1"/>
  <c r="X194" s="1"/>
  <c r="F194"/>
  <c r="T194" s="1"/>
  <c r="Y194" s="1"/>
  <c r="G194"/>
  <c r="U194" s="1"/>
  <c r="Z194" s="1"/>
  <c r="H194"/>
  <c r="V194" s="1"/>
  <c r="AA194" s="1"/>
  <c r="I194"/>
  <c r="O194" s="1"/>
  <c r="J194"/>
  <c r="K194"/>
  <c r="L194"/>
  <c r="M194"/>
  <c r="N194"/>
  <c r="A195"/>
  <c r="B195"/>
  <c r="C195"/>
  <c r="Q195" s="1"/>
  <c r="D195"/>
  <c r="R195" s="1"/>
  <c r="W195" s="1"/>
  <c r="E195"/>
  <c r="S195" s="1"/>
  <c r="X195" s="1"/>
  <c r="F195"/>
  <c r="T195" s="1"/>
  <c r="Y195" s="1"/>
  <c r="G195"/>
  <c r="U195" s="1"/>
  <c r="Z195" s="1"/>
  <c r="H195"/>
  <c r="V195" s="1"/>
  <c r="AA195" s="1"/>
  <c r="I195"/>
  <c r="O195" s="1"/>
  <c r="J195"/>
  <c r="K195"/>
  <c r="L195"/>
  <c r="M195"/>
  <c r="N195"/>
  <c r="A196"/>
  <c r="B196"/>
  <c r="C196"/>
  <c r="D196"/>
  <c r="R196" s="1"/>
  <c r="W196" s="1"/>
  <c r="E196"/>
  <c r="S196" s="1"/>
  <c r="X196" s="1"/>
  <c r="F196"/>
  <c r="T196" s="1"/>
  <c r="Y196" s="1"/>
  <c r="G196"/>
  <c r="U196" s="1"/>
  <c r="Z196" s="1"/>
  <c r="H196"/>
  <c r="V196" s="1"/>
  <c r="AA196" s="1"/>
  <c r="I196"/>
  <c r="O196" s="1"/>
  <c r="J196"/>
  <c r="K196"/>
  <c r="L196"/>
  <c r="M196"/>
  <c r="N196"/>
  <c r="Q196"/>
  <c r="A197"/>
  <c r="B197"/>
  <c r="C197"/>
  <c r="Q197" s="1"/>
  <c r="D197"/>
  <c r="R197" s="1"/>
  <c r="W197" s="1"/>
  <c r="E197"/>
  <c r="S197" s="1"/>
  <c r="X197" s="1"/>
  <c r="F197"/>
  <c r="T197" s="1"/>
  <c r="Y197" s="1"/>
  <c r="G197"/>
  <c r="U197" s="1"/>
  <c r="Z197" s="1"/>
  <c r="H197"/>
  <c r="V197" s="1"/>
  <c r="AA197" s="1"/>
  <c r="I197"/>
  <c r="O197" s="1"/>
  <c r="J197"/>
  <c r="K197"/>
  <c r="L197"/>
  <c r="M197"/>
  <c r="N197"/>
  <c r="A198"/>
  <c r="B198"/>
  <c r="C198"/>
  <c r="Q198" s="1"/>
  <c r="D198"/>
  <c r="R198" s="1"/>
  <c r="W198" s="1"/>
  <c r="E198"/>
  <c r="S198" s="1"/>
  <c r="X198" s="1"/>
  <c r="F198"/>
  <c r="T198" s="1"/>
  <c r="Y198" s="1"/>
  <c r="G198"/>
  <c r="U198" s="1"/>
  <c r="Z198" s="1"/>
  <c r="H198"/>
  <c r="V198" s="1"/>
  <c r="AA198" s="1"/>
  <c r="I198"/>
  <c r="O198" s="1"/>
  <c r="J198"/>
  <c r="K198"/>
  <c r="L198"/>
  <c r="M198"/>
  <c r="N198"/>
  <c r="AB195" l="1"/>
  <c r="AB194"/>
  <c r="AB197"/>
  <c r="AB189"/>
  <c r="AB187"/>
  <c r="AB192"/>
  <c r="AB198"/>
  <c r="AB190"/>
  <c r="AB193"/>
  <c r="AB188"/>
  <c r="AB196"/>
  <c r="AB191"/>
  <c r="E106" i="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226"/>
  <c r="E227"/>
  <c r="E228"/>
  <c r="E229"/>
  <c r="E230"/>
  <c r="E231"/>
  <c r="E232"/>
  <c r="E233"/>
  <c r="E234"/>
  <c r="E235"/>
  <c r="E236"/>
  <c r="E237"/>
  <c r="E238"/>
  <c r="E239"/>
  <c r="E240"/>
  <c r="E241"/>
  <c r="E242"/>
  <c r="E243"/>
  <c r="E244"/>
  <c r="E245"/>
  <c r="E246"/>
  <c r="E247"/>
  <c r="E248"/>
  <c r="E249"/>
  <c r="E250"/>
  <c r="E251"/>
  <c r="E252"/>
  <c r="E253"/>
  <c r="E254"/>
  <c r="E255"/>
  <c r="E256"/>
  <c r="E257"/>
  <c r="E258"/>
  <c r="E259"/>
  <c r="E260"/>
  <c r="E261"/>
  <c r="E262"/>
  <c r="E263"/>
  <c r="E264"/>
  <c r="E265"/>
  <c r="E266"/>
  <c r="E267"/>
  <c r="E268"/>
  <c r="E269"/>
  <c r="E270"/>
  <c r="E271"/>
  <c r="E272"/>
  <c r="E273"/>
  <c r="E274"/>
  <c r="E275"/>
  <c r="E276"/>
  <c r="E277"/>
  <c r="E278"/>
  <c r="E279"/>
  <c r="E280"/>
  <c r="E281"/>
  <c r="E282"/>
  <c r="E283"/>
  <c r="E284"/>
  <c r="E285"/>
  <c r="E286"/>
  <c r="E287"/>
  <c r="E288"/>
  <c r="E289"/>
  <c r="E290"/>
  <c r="E291"/>
  <c r="E292"/>
  <c r="E293"/>
  <c r="E294"/>
  <c r="E295"/>
  <c r="E296"/>
  <c r="E297"/>
  <c r="E298"/>
  <c r="E299"/>
  <c r="E300"/>
  <c r="E301"/>
  <c r="E302"/>
  <c r="E303"/>
  <c r="E304"/>
  <c r="E305"/>
  <c r="E306"/>
  <c r="E307"/>
  <c r="E308"/>
  <c r="E309"/>
  <c r="E310"/>
  <c r="E311"/>
  <c r="E312"/>
  <c r="E313"/>
  <c r="E314"/>
  <c r="E315"/>
  <c r="E316"/>
  <c r="E317"/>
  <c r="E318"/>
  <c r="E319"/>
  <c r="E320"/>
  <c r="E321"/>
  <c r="E322"/>
  <c r="E323"/>
  <c r="E324"/>
  <c r="E325"/>
  <c r="E326"/>
  <c r="E327"/>
  <c r="E328"/>
  <c r="E329"/>
  <c r="E330"/>
  <c r="E331"/>
  <c r="E332"/>
  <c r="E333"/>
  <c r="E334"/>
  <c r="E335"/>
  <c r="E336"/>
  <c r="E337"/>
  <c r="E338"/>
  <c r="E339"/>
  <c r="E340"/>
  <c r="E341"/>
  <c r="E342"/>
  <c r="E343"/>
  <c r="E344"/>
  <c r="E345"/>
  <c r="E346"/>
  <c r="E347"/>
  <c r="E348"/>
  <c r="E349"/>
  <c r="E350"/>
  <c r="E351"/>
  <c r="E352"/>
  <c r="E353"/>
  <c r="E354"/>
  <c r="E355"/>
  <c r="E356"/>
  <c r="E357"/>
  <c r="E358"/>
  <c r="E359"/>
  <c r="E360"/>
  <c r="E361"/>
  <c r="E362"/>
  <c r="E363"/>
  <c r="E364"/>
  <c r="E365"/>
  <c r="E366"/>
  <c r="E367"/>
  <c r="E368"/>
  <c r="E369"/>
  <c r="E370"/>
  <c r="E371"/>
  <c r="E372"/>
  <c r="E373"/>
  <c r="E374"/>
  <c r="E375"/>
  <c r="E376"/>
  <c r="E377"/>
  <c r="E378"/>
  <c r="E379"/>
  <c r="E380"/>
  <c r="E381"/>
  <c r="E382"/>
  <c r="E383"/>
  <c r="E384"/>
  <c r="E385"/>
  <c r="E386"/>
  <c r="E387"/>
  <c r="E388"/>
  <c r="E389"/>
  <c r="E390"/>
  <c r="E391"/>
  <c r="E392"/>
  <c r="E393"/>
  <c r="E394"/>
  <c r="E395"/>
  <c r="E396"/>
  <c r="E397"/>
  <c r="E398"/>
  <c r="E399"/>
  <c r="E400"/>
  <c r="E401"/>
  <c r="E402"/>
  <c r="E403"/>
  <c r="E404"/>
  <c r="E405"/>
  <c r="E406"/>
  <c r="E407"/>
  <c r="E408"/>
  <c r="E409"/>
  <c r="E410"/>
  <c r="E411"/>
  <c r="E412"/>
  <c r="E413"/>
  <c r="E414"/>
  <c r="E415"/>
  <c r="E416"/>
  <c r="E417"/>
  <c r="E418"/>
  <c r="E419"/>
  <c r="E420"/>
  <c r="E421"/>
  <c r="E422"/>
  <c r="E423"/>
  <c r="E424"/>
  <c r="E425"/>
  <c r="E426"/>
  <c r="E427"/>
  <c r="E428"/>
  <c r="E429"/>
  <c r="E430"/>
  <c r="E431"/>
  <c r="E432"/>
  <c r="E433"/>
  <c r="E434"/>
  <c r="E435"/>
  <c r="E436"/>
  <c r="E437"/>
  <c r="E438"/>
  <c r="E439"/>
  <c r="E440"/>
  <c r="E441"/>
  <c r="E442"/>
  <c r="E443"/>
  <c r="E444"/>
  <c r="E445"/>
  <c r="E446"/>
  <c r="E447"/>
  <c r="E448"/>
  <c r="E449"/>
  <c r="E450"/>
  <c r="E451"/>
  <c r="E452"/>
  <c r="E453"/>
  <c r="E454"/>
  <c r="E455"/>
  <c r="E456"/>
  <c r="E457"/>
  <c r="E458"/>
  <c r="E459"/>
  <c r="E460"/>
  <c r="E461"/>
  <c r="E462"/>
  <c r="E463"/>
  <c r="E464"/>
  <c r="E465"/>
  <c r="E466"/>
  <c r="E467"/>
  <c r="E468"/>
  <c r="E469"/>
  <c r="E470"/>
  <c r="E471"/>
  <c r="E472"/>
  <c r="E473"/>
  <c r="E474"/>
  <c r="E475"/>
  <c r="E476"/>
  <c r="E477"/>
  <c r="E478"/>
  <c r="E479"/>
  <c r="E480"/>
  <c r="E481"/>
  <c r="E482"/>
  <c r="E483"/>
  <c r="E484"/>
  <c r="E485"/>
  <c r="E486"/>
  <c r="E487"/>
  <c r="E488"/>
  <c r="E489"/>
  <c r="E490"/>
  <c r="E491"/>
  <c r="E492"/>
  <c r="E493"/>
  <c r="E494"/>
  <c r="E495"/>
  <c r="E496"/>
  <c r="E497"/>
  <c r="E498"/>
  <c r="E499"/>
  <c r="E500"/>
  <c r="E501"/>
  <c r="E502"/>
  <c r="E503"/>
  <c r="E504"/>
  <c r="E505"/>
  <c r="E506"/>
  <c r="E507"/>
  <c r="E508"/>
  <c r="E509"/>
  <c r="E510"/>
  <c r="E511"/>
  <c r="E512"/>
  <c r="E513"/>
  <c r="E514"/>
  <c r="E515"/>
  <c r="E516"/>
  <c r="E517"/>
  <c r="E518"/>
  <c r="E519"/>
  <c r="E520"/>
  <c r="E521"/>
  <c r="E522"/>
  <c r="E523"/>
  <c r="E524"/>
  <c r="E525"/>
  <c r="E526"/>
  <c r="E527"/>
  <c r="E528"/>
  <c r="E529"/>
  <c r="E530"/>
  <c r="E531"/>
  <c r="E532"/>
  <c r="E533"/>
  <c r="E534"/>
  <c r="E535"/>
  <c r="E536"/>
  <c r="E537"/>
  <c r="E538"/>
  <c r="E539"/>
  <c r="E540"/>
  <c r="E541"/>
  <c r="E542"/>
  <c r="E543"/>
  <c r="E544"/>
  <c r="E545"/>
  <c r="E546"/>
  <c r="E547"/>
  <c r="E548"/>
  <c r="E549"/>
  <c r="E550"/>
  <c r="E551"/>
  <c r="E552"/>
  <c r="E553"/>
  <c r="E554"/>
  <c r="E555"/>
  <c r="E556"/>
  <c r="E557"/>
  <c r="E558"/>
  <c r="E559"/>
  <c r="E560"/>
  <c r="E561"/>
  <c r="E562"/>
  <c r="E563"/>
  <c r="E564"/>
  <c r="E565"/>
  <c r="E566"/>
  <c r="E567"/>
  <c r="E568"/>
  <c r="E569"/>
  <c r="E570"/>
  <c r="E571"/>
  <c r="E572"/>
  <c r="E573"/>
  <c r="E574"/>
  <c r="E575"/>
  <c r="E576"/>
  <c r="E577"/>
  <c r="E578"/>
  <c r="E579"/>
  <c r="E580"/>
  <c r="E581"/>
  <c r="E582"/>
  <c r="E583"/>
  <c r="E584"/>
  <c r="E585"/>
  <c r="E586"/>
  <c r="E587"/>
  <c r="E588"/>
  <c r="E589"/>
  <c r="E590"/>
  <c r="E591"/>
  <c r="E592"/>
  <c r="E593"/>
  <c r="E594"/>
  <c r="E595"/>
  <c r="E596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228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57"/>
  <c r="D258"/>
  <c r="D259"/>
  <c r="D260"/>
  <c r="D261"/>
  <c r="D262"/>
  <c r="D263"/>
  <c r="D264"/>
  <c r="D265"/>
  <c r="D266"/>
  <c r="D267"/>
  <c r="D268"/>
  <c r="D269"/>
  <c r="D270"/>
  <c r="D271"/>
  <c r="D272"/>
  <c r="D273"/>
  <c r="D274"/>
  <c r="D275"/>
  <c r="D276"/>
  <c r="D277"/>
  <c r="D278"/>
  <c r="D279"/>
  <c r="D280"/>
  <c r="D281"/>
  <c r="D282"/>
  <c r="D283"/>
  <c r="D284"/>
  <c r="D285"/>
  <c r="D286"/>
  <c r="D287"/>
  <c r="D288"/>
  <c r="D289"/>
  <c r="D290"/>
  <c r="D291"/>
  <c r="D292"/>
  <c r="D293"/>
  <c r="D294"/>
  <c r="D295"/>
  <c r="D296"/>
  <c r="D297"/>
  <c r="D298"/>
  <c r="D299"/>
  <c r="D300"/>
  <c r="D301"/>
  <c r="D302"/>
  <c r="D303"/>
  <c r="D304"/>
  <c r="D305"/>
  <c r="D306"/>
  <c r="D307"/>
  <c r="D308"/>
  <c r="D309"/>
  <c r="D310"/>
  <c r="D311"/>
  <c r="D312"/>
  <c r="D313"/>
  <c r="D314"/>
  <c r="D315"/>
  <c r="D316"/>
  <c r="D317"/>
  <c r="D318"/>
  <c r="D319"/>
  <c r="D320"/>
  <c r="D321"/>
  <c r="D322"/>
  <c r="D323"/>
  <c r="D324"/>
  <c r="D325"/>
  <c r="D326"/>
  <c r="D327"/>
  <c r="D328"/>
  <c r="D329"/>
  <c r="D330"/>
  <c r="D331"/>
  <c r="D332"/>
  <c r="D333"/>
  <c r="D334"/>
  <c r="D335"/>
  <c r="D336"/>
  <c r="D337"/>
  <c r="D338"/>
  <c r="D339"/>
  <c r="D340"/>
  <c r="D341"/>
  <c r="D342"/>
  <c r="D343"/>
  <c r="D344"/>
  <c r="D345"/>
  <c r="D346"/>
  <c r="D347"/>
  <c r="D348"/>
  <c r="D349"/>
  <c r="D350"/>
  <c r="D351"/>
  <c r="D352"/>
  <c r="D353"/>
  <c r="D354"/>
  <c r="D355"/>
  <c r="D356"/>
  <c r="D357"/>
  <c r="D358"/>
  <c r="D359"/>
  <c r="D360"/>
  <c r="D361"/>
  <c r="D362"/>
  <c r="D363"/>
  <c r="D364"/>
  <c r="D365"/>
  <c r="D366"/>
  <c r="D367"/>
  <c r="D368"/>
  <c r="D369"/>
  <c r="D370"/>
  <c r="D371"/>
  <c r="D372"/>
  <c r="D373"/>
  <c r="D374"/>
  <c r="D375"/>
  <c r="D376"/>
  <c r="D377"/>
  <c r="D378"/>
  <c r="D379"/>
  <c r="D380"/>
  <c r="D381"/>
  <c r="D382"/>
  <c r="D383"/>
  <c r="D384"/>
  <c r="D385"/>
  <c r="D386"/>
  <c r="D387"/>
  <c r="D388"/>
  <c r="D389"/>
  <c r="D390"/>
  <c r="D391"/>
  <c r="D392"/>
  <c r="D393"/>
  <c r="D394"/>
  <c r="D395"/>
  <c r="D396"/>
  <c r="D397"/>
  <c r="D398"/>
  <c r="D399"/>
  <c r="D400"/>
  <c r="D401"/>
  <c r="D402"/>
  <c r="D403"/>
  <c r="D404"/>
  <c r="D405"/>
  <c r="D406"/>
  <c r="D407"/>
  <c r="D408"/>
  <c r="D409"/>
  <c r="D410"/>
  <c r="D411"/>
  <c r="D412"/>
  <c r="D413"/>
  <c r="D414"/>
  <c r="D415"/>
  <c r="D416"/>
  <c r="D417"/>
  <c r="D418"/>
  <c r="D419"/>
  <c r="D420"/>
  <c r="D421"/>
  <c r="D422"/>
  <c r="D423"/>
  <c r="D424"/>
  <c r="D425"/>
  <c r="D426"/>
  <c r="D427"/>
  <c r="D428"/>
  <c r="D429"/>
  <c r="D430"/>
  <c r="D431"/>
  <c r="D432"/>
  <c r="D433"/>
  <c r="D434"/>
  <c r="D435"/>
  <c r="D436"/>
  <c r="D437"/>
  <c r="D438"/>
  <c r="D439"/>
  <c r="D440"/>
  <c r="D441"/>
  <c r="D442"/>
  <c r="D443"/>
  <c r="D444"/>
  <c r="D445"/>
  <c r="D446"/>
  <c r="D447"/>
  <c r="D448"/>
  <c r="D449"/>
  <c r="D450"/>
  <c r="D451"/>
  <c r="D452"/>
  <c r="D453"/>
  <c r="D454"/>
  <c r="D455"/>
  <c r="D456"/>
  <c r="D457"/>
  <c r="D458"/>
  <c r="D459"/>
  <c r="D460"/>
  <c r="D461"/>
  <c r="D462"/>
  <c r="D463"/>
  <c r="D464"/>
  <c r="D465"/>
  <c r="D466"/>
  <c r="D467"/>
  <c r="D468"/>
  <c r="D469"/>
  <c r="D470"/>
  <c r="D471"/>
  <c r="D472"/>
  <c r="D473"/>
  <c r="D474"/>
  <c r="D475"/>
  <c r="D476"/>
  <c r="D477"/>
  <c r="D478"/>
  <c r="D479"/>
  <c r="D480"/>
  <c r="D481"/>
  <c r="D482"/>
  <c r="D483"/>
  <c r="D484"/>
  <c r="D485"/>
  <c r="D486"/>
  <c r="D487"/>
  <c r="D488"/>
  <c r="D489"/>
  <c r="D490"/>
  <c r="D491"/>
  <c r="D492"/>
  <c r="D493"/>
  <c r="D494"/>
  <c r="D495"/>
  <c r="D496"/>
  <c r="D497"/>
  <c r="D498"/>
  <c r="D499"/>
  <c r="D500"/>
  <c r="D501"/>
  <c r="D502"/>
  <c r="D503"/>
  <c r="D504"/>
  <c r="D505"/>
  <c r="D506"/>
  <c r="D507"/>
  <c r="D508"/>
  <c r="D509"/>
  <c r="D510"/>
  <c r="D511"/>
  <c r="D512"/>
  <c r="D513"/>
  <c r="D514"/>
  <c r="D515"/>
  <c r="D516"/>
  <c r="D517"/>
  <c r="D518"/>
  <c r="D519"/>
  <c r="D520"/>
  <c r="D521"/>
  <c r="D522"/>
  <c r="D523"/>
  <c r="D524"/>
  <c r="D525"/>
  <c r="D526"/>
  <c r="D527"/>
  <c r="D528"/>
  <c r="D529"/>
  <c r="D530"/>
  <c r="D531"/>
  <c r="D532"/>
  <c r="D533"/>
  <c r="D534"/>
  <c r="D535"/>
  <c r="D536"/>
  <c r="D537"/>
  <c r="D538"/>
  <c r="D539"/>
  <c r="D540"/>
  <c r="D541"/>
  <c r="D542"/>
  <c r="D543"/>
  <c r="D544"/>
  <c r="D545"/>
  <c r="D546"/>
  <c r="D547"/>
  <c r="D548"/>
  <c r="D549"/>
  <c r="D550"/>
  <c r="D551"/>
  <c r="D552"/>
  <c r="D553"/>
  <c r="D554"/>
  <c r="D555"/>
  <c r="D556"/>
  <c r="D557"/>
  <c r="D558"/>
  <c r="D559"/>
  <c r="D560"/>
  <c r="D561"/>
  <c r="D562"/>
  <c r="D563"/>
  <c r="D564"/>
  <c r="D565"/>
  <c r="D566"/>
  <c r="D567"/>
  <c r="D568"/>
  <c r="D569"/>
  <c r="D570"/>
  <c r="D571"/>
  <c r="D572"/>
  <c r="D573"/>
  <c r="D574"/>
  <c r="D575"/>
  <c r="D576"/>
  <c r="D577"/>
  <c r="D578"/>
  <c r="D579"/>
  <c r="D580"/>
  <c r="D581"/>
  <c r="D582"/>
  <c r="D583"/>
  <c r="D584"/>
  <c r="D585"/>
  <c r="D586"/>
  <c r="D587"/>
  <c r="D588"/>
  <c r="D589"/>
  <c r="D590"/>
  <c r="D591"/>
  <c r="D592"/>
  <c r="D593"/>
  <c r="D594"/>
  <c r="D595"/>
  <c r="D596"/>
  <c r="A99" i="3"/>
  <c r="B99"/>
  <c r="C99"/>
  <c r="Q99" s="1"/>
  <c r="D99"/>
  <c r="R99" s="1"/>
  <c r="W99" s="1"/>
  <c r="E99"/>
  <c r="S99" s="1"/>
  <c r="X99" s="1"/>
  <c r="F99"/>
  <c r="T99" s="1"/>
  <c r="Y99" s="1"/>
  <c r="G99"/>
  <c r="U99" s="1"/>
  <c r="Z99" s="1"/>
  <c r="H99"/>
  <c r="V99" s="1"/>
  <c r="AA99" s="1"/>
  <c r="I99"/>
  <c r="O99" s="1"/>
  <c r="J99"/>
  <c r="K99"/>
  <c r="L99"/>
  <c r="M99"/>
  <c r="N99"/>
  <c r="A100"/>
  <c r="B100"/>
  <c r="C100"/>
  <c r="Q100" s="1"/>
  <c r="D100"/>
  <c r="R100" s="1"/>
  <c r="W100" s="1"/>
  <c r="E100"/>
  <c r="S100" s="1"/>
  <c r="X100" s="1"/>
  <c r="F100"/>
  <c r="T100" s="1"/>
  <c r="Y100" s="1"/>
  <c r="G100"/>
  <c r="U100" s="1"/>
  <c r="Z100" s="1"/>
  <c r="H100"/>
  <c r="V100" s="1"/>
  <c r="AA100" s="1"/>
  <c r="I100"/>
  <c r="O100" s="1"/>
  <c r="J100"/>
  <c r="K100"/>
  <c r="L100"/>
  <c r="M100"/>
  <c r="N100"/>
  <c r="A101"/>
  <c r="B101"/>
  <c r="C101"/>
  <c r="Q101" s="1"/>
  <c r="D101"/>
  <c r="R101" s="1"/>
  <c r="W101" s="1"/>
  <c r="E101"/>
  <c r="S101" s="1"/>
  <c r="X101" s="1"/>
  <c r="F101"/>
  <c r="T101" s="1"/>
  <c r="Y101" s="1"/>
  <c r="G101"/>
  <c r="U101" s="1"/>
  <c r="Z101" s="1"/>
  <c r="H101"/>
  <c r="V101" s="1"/>
  <c r="AA101" s="1"/>
  <c r="I101"/>
  <c r="O101" s="1"/>
  <c r="J101"/>
  <c r="K101"/>
  <c r="L101"/>
  <c r="M101"/>
  <c r="N101"/>
  <c r="A102"/>
  <c r="B102"/>
  <c r="C102"/>
  <c r="Q102" s="1"/>
  <c r="D102"/>
  <c r="R102" s="1"/>
  <c r="W102" s="1"/>
  <c r="E102"/>
  <c r="S102" s="1"/>
  <c r="X102" s="1"/>
  <c r="F102"/>
  <c r="T102" s="1"/>
  <c r="Y102" s="1"/>
  <c r="G102"/>
  <c r="U102" s="1"/>
  <c r="Z102" s="1"/>
  <c r="H102"/>
  <c r="V102" s="1"/>
  <c r="AA102" s="1"/>
  <c r="I102"/>
  <c r="O102" s="1"/>
  <c r="J102"/>
  <c r="K102"/>
  <c r="L102"/>
  <c r="M102"/>
  <c r="N102"/>
  <c r="A103"/>
  <c r="B103"/>
  <c r="C103"/>
  <c r="Q103" s="1"/>
  <c r="D103"/>
  <c r="R103" s="1"/>
  <c r="W103" s="1"/>
  <c r="E103"/>
  <c r="S103" s="1"/>
  <c r="X103" s="1"/>
  <c r="F103"/>
  <c r="T103" s="1"/>
  <c r="Y103" s="1"/>
  <c r="G103"/>
  <c r="U103" s="1"/>
  <c r="Z103" s="1"/>
  <c r="H103"/>
  <c r="V103" s="1"/>
  <c r="AA103" s="1"/>
  <c r="I103"/>
  <c r="O103" s="1"/>
  <c r="J103"/>
  <c r="K103"/>
  <c r="L103"/>
  <c r="M103"/>
  <c r="N103"/>
  <c r="A104"/>
  <c r="B104"/>
  <c r="C104"/>
  <c r="Q104" s="1"/>
  <c r="D104"/>
  <c r="R104" s="1"/>
  <c r="W104" s="1"/>
  <c r="E104"/>
  <c r="S104" s="1"/>
  <c r="X104" s="1"/>
  <c r="F104"/>
  <c r="T104" s="1"/>
  <c r="Y104" s="1"/>
  <c r="G104"/>
  <c r="U104" s="1"/>
  <c r="Z104" s="1"/>
  <c r="H104"/>
  <c r="V104" s="1"/>
  <c r="AA104" s="1"/>
  <c r="I104"/>
  <c r="O104" s="1"/>
  <c r="J104"/>
  <c r="K104"/>
  <c r="L104"/>
  <c r="M104"/>
  <c r="N104"/>
  <c r="A105"/>
  <c r="B105"/>
  <c r="C105"/>
  <c r="Q105" s="1"/>
  <c r="D105"/>
  <c r="R105" s="1"/>
  <c r="W105" s="1"/>
  <c r="E105"/>
  <c r="S105" s="1"/>
  <c r="X105" s="1"/>
  <c r="F105"/>
  <c r="T105" s="1"/>
  <c r="Y105" s="1"/>
  <c r="G105"/>
  <c r="U105" s="1"/>
  <c r="Z105" s="1"/>
  <c r="H105"/>
  <c r="V105" s="1"/>
  <c r="AA105" s="1"/>
  <c r="I105"/>
  <c r="O105" s="1"/>
  <c r="J105"/>
  <c r="K105"/>
  <c r="L105"/>
  <c r="M105"/>
  <c r="N105"/>
  <c r="A106"/>
  <c r="B106"/>
  <c r="C106"/>
  <c r="Q106" s="1"/>
  <c r="D106"/>
  <c r="R106" s="1"/>
  <c r="W106" s="1"/>
  <c r="E106"/>
  <c r="S106" s="1"/>
  <c r="X106" s="1"/>
  <c r="F106"/>
  <c r="T106" s="1"/>
  <c r="Y106" s="1"/>
  <c r="G106"/>
  <c r="U106" s="1"/>
  <c r="Z106" s="1"/>
  <c r="H106"/>
  <c r="V106" s="1"/>
  <c r="AA106" s="1"/>
  <c r="I106"/>
  <c r="O106" s="1"/>
  <c r="J106"/>
  <c r="K106"/>
  <c r="L106"/>
  <c r="M106"/>
  <c r="N106"/>
  <c r="A107"/>
  <c r="B107"/>
  <c r="C107"/>
  <c r="Q107" s="1"/>
  <c r="D107"/>
  <c r="R107" s="1"/>
  <c r="W107" s="1"/>
  <c r="E107"/>
  <c r="S107" s="1"/>
  <c r="X107" s="1"/>
  <c r="F107"/>
  <c r="T107" s="1"/>
  <c r="Y107" s="1"/>
  <c r="G107"/>
  <c r="U107" s="1"/>
  <c r="Z107" s="1"/>
  <c r="H107"/>
  <c r="V107" s="1"/>
  <c r="AA107" s="1"/>
  <c r="I107"/>
  <c r="O107" s="1"/>
  <c r="J107"/>
  <c r="K107"/>
  <c r="L107"/>
  <c r="M107"/>
  <c r="N107"/>
  <c r="A108"/>
  <c r="B108"/>
  <c r="C108"/>
  <c r="Q108" s="1"/>
  <c r="D108"/>
  <c r="R108" s="1"/>
  <c r="W108" s="1"/>
  <c r="E108"/>
  <c r="S108" s="1"/>
  <c r="X108" s="1"/>
  <c r="F108"/>
  <c r="T108" s="1"/>
  <c r="Y108" s="1"/>
  <c r="G108"/>
  <c r="U108" s="1"/>
  <c r="Z108" s="1"/>
  <c r="H108"/>
  <c r="V108" s="1"/>
  <c r="AA108" s="1"/>
  <c r="I108"/>
  <c r="O108" s="1"/>
  <c r="J108"/>
  <c r="K108"/>
  <c r="L108"/>
  <c r="M108"/>
  <c r="N108"/>
  <c r="A109"/>
  <c r="B109"/>
  <c r="C109"/>
  <c r="Q109" s="1"/>
  <c r="D109"/>
  <c r="R109" s="1"/>
  <c r="W109" s="1"/>
  <c r="E109"/>
  <c r="S109" s="1"/>
  <c r="X109" s="1"/>
  <c r="F109"/>
  <c r="T109" s="1"/>
  <c r="Y109" s="1"/>
  <c r="G109"/>
  <c r="U109" s="1"/>
  <c r="Z109" s="1"/>
  <c r="H109"/>
  <c r="V109" s="1"/>
  <c r="AA109" s="1"/>
  <c r="I109"/>
  <c r="O109" s="1"/>
  <c r="J109"/>
  <c r="K109"/>
  <c r="L109"/>
  <c r="M109"/>
  <c r="N109"/>
  <c r="A110"/>
  <c r="B110"/>
  <c r="C110"/>
  <c r="Q110" s="1"/>
  <c r="D110"/>
  <c r="R110" s="1"/>
  <c r="W110" s="1"/>
  <c r="E110"/>
  <c r="S110" s="1"/>
  <c r="X110" s="1"/>
  <c r="F110"/>
  <c r="T110" s="1"/>
  <c r="Y110" s="1"/>
  <c r="G110"/>
  <c r="U110" s="1"/>
  <c r="Z110" s="1"/>
  <c r="H110"/>
  <c r="V110" s="1"/>
  <c r="AA110" s="1"/>
  <c r="I110"/>
  <c r="O110" s="1"/>
  <c r="J110"/>
  <c r="K110"/>
  <c r="L110"/>
  <c r="M110"/>
  <c r="N110"/>
  <c r="A111"/>
  <c r="B111"/>
  <c r="C111"/>
  <c r="Q111" s="1"/>
  <c r="D111"/>
  <c r="R111" s="1"/>
  <c r="W111" s="1"/>
  <c r="E111"/>
  <c r="S111" s="1"/>
  <c r="X111" s="1"/>
  <c r="F111"/>
  <c r="T111" s="1"/>
  <c r="Y111" s="1"/>
  <c r="G111"/>
  <c r="U111" s="1"/>
  <c r="Z111" s="1"/>
  <c r="H111"/>
  <c r="V111" s="1"/>
  <c r="AA111" s="1"/>
  <c r="I111"/>
  <c r="O111" s="1"/>
  <c r="J111"/>
  <c r="K111"/>
  <c r="L111"/>
  <c r="M111"/>
  <c r="N111"/>
  <c r="A112"/>
  <c r="B112"/>
  <c r="C112"/>
  <c r="Q112" s="1"/>
  <c r="D112"/>
  <c r="R112" s="1"/>
  <c r="W112" s="1"/>
  <c r="E112"/>
  <c r="S112" s="1"/>
  <c r="X112" s="1"/>
  <c r="F112"/>
  <c r="T112" s="1"/>
  <c r="Y112" s="1"/>
  <c r="G112"/>
  <c r="U112" s="1"/>
  <c r="Z112" s="1"/>
  <c r="H112"/>
  <c r="V112" s="1"/>
  <c r="AA112" s="1"/>
  <c r="I112"/>
  <c r="O112" s="1"/>
  <c r="J112"/>
  <c r="K112"/>
  <c r="L112"/>
  <c r="M112"/>
  <c r="N112"/>
  <c r="A113"/>
  <c r="B113"/>
  <c r="C113"/>
  <c r="Q113" s="1"/>
  <c r="D113"/>
  <c r="R113" s="1"/>
  <c r="W113" s="1"/>
  <c r="E113"/>
  <c r="S113" s="1"/>
  <c r="X113" s="1"/>
  <c r="F113"/>
  <c r="T113" s="1"/>
  <c r="Y113" s="1"/>
  <c r="G113"/>
  <c r="U113" s="1"/>
  <c r="Z113" s="1"/>
  <c r="H113"/>
  <c r="V113" s="1"/>
  <c r="AA113" s="1"/>
  <c r="I113"/>
  <c r="O113" s="1"/>
  <c r="J113"/>
  <c r="K113"/>
  <c r="L113"/>
  <c r="M113"/>
  <c r="N113"/>
  <c r="A114"/>
  <c r="B114"/>
  <c r="C114"/>
  <c r="Q114" s="1"/>
  <c r="D114"/>
  <c r="R114" s="1"/>
  <c r="W114" s="1"/>
  <c r="E114"/>
  <c r="S114" s="1"/>
  <c r="X114" s="1"/>
  <c r="F114"/>
  <c r="T114" s="1"/>
  <c r="Y114" s="1"/>
  <c r="G114"/>
  <c r="U114" s="1"/>
  <c r="Z114" s="1"/>
  <c r="H114"/>
  <c r="V114" s="1"/>
  <c r="AA114" s="1"/>
  <c r="I114"/>
  <c r="O114" s="1"/>
  <c r="J114"/>
  <c r="K114"/>
  <c r="L114"/>
  <c r="M114"/>
  <c r="N114"/>
  <c r="A115"/>
  <c r="B115"/>
  <c r="C115"/>
  <c r="Q115" s="1"/>
  <c r="D115"/>
  <c r="R115" s="1"/>
  <c r="W115" s="1"/>
  <c r="E115"/>
  <c r="S115" s="1"/>
  <c r="X115" s="1"/>
  <c r="F115"/>
  <c r="T115" s="1"/>
  <c r="Y115" s="1"/>
  <c r="G115"/>
  <c r="U115" s="1"/>
  <c r="Z115" s="1"/>
  <c r="H115"/>
  <c r="V115" s="1"/>
  <c r="AA115" s="1"/>
  <c r="I115"/>
  <c r="O115" s="1"/>
  <c r="J115"/>
  <c r="K115"/>
  <c r="L115"/>
  <c r="M115"/>
  <c r="N115"/>
  <c r="A116"/>
  <c r="B116"/>
  <c r="C116"/>
  <c r="Q116" s="1"/>
  <c r="D116"/>
  <c r="R116" s="1"/>
  <c r="W116" s="1"/>
  <c r="E116"/>
  <c r="S116" s="1"/>
  <c r="X116" s="1"/>
  <c r="F116"/>
  <c r="T116" s="1"/>
  <c r="Y116" s="1"/>
  <c r="G116"/>
  <c r="U116" s="1"/>
  <c r="Z116" s="1"/>
  <c r="H116"/>
  <c r="V116" s="1"/>
  <c r="AA116" s="1"/>
  <c r="I116"/>
  <c r="O116" s="1"/>
  <c r="J116"/>
  <c r="K116"/>
  <c r="L116"/>
  <c r="M116"/>
  <c r="N116"/>
  <c r="A117"/>
  <c r="B117"/>
  <c r="C117"/>
  <c r="Q117" s="1"/>
  <c r="D117"/>
  <c r="R117" s="1"/>
  <c r="W117" s="1"/>
  <c r="E117"/>
  <c r="S117" s="1"/>
  <c r="X117" s="1"/>
  <c r="F117"/>
  <c r="T117" s="1"/>
  <c r="Y117" s="1"/>
  <c r="G117"/>
  <c r="U117" s="1"/>
  <c r="Z117" s="1"/>
  <c r="H117"/>
  <c r="V117" s="1"/>
  <c r="AA117" s="1"/>
  <c r="I117"/>
  <c r="O117" s="1"/>
  <c r="J117"/>
  <c r="K117"/>
  <c r="L117"/>
  <c r="M117"/>
  <c r="N117"/>
  <c r="A118"/>
  <c r="B118"/>
  <c r="C118"/>
  <c r="Q118" s="1"/>
  <c r="D118"/>
  <c r="R118" s="1"/>
  <c r="W118" s="1"/>
  <c r="E118"/>
  <c r="S118" s="1"/>
  <c r="X118" s="1"/>
  <c r="F118"/>
  <c r="T118" s="1"/>
  <c r="Y118" s="1"/>
  <c r="G118"/>
  <c r="U118" s="1"/>
  <c r="Z118" s="1"/>
  <c r="H118"/>
  <c r="V118" s="1"/>
  <c r="AA118" s="1"/>
  <c r="I118"/>
  <c r="O118" s="1"/>
  <c r="J118"/>
  <c r="K118"/>
  <c r="L118"/>
  <c r="M118"/>
  <c r="N118"/>
  <c r="A119"/>
  <c r="B119"/>
  <c r="C119"/>
  <c r="Q119" s="1"/>
  <c r="D119"/>
  <c r="R119" s="1"/>
  <c r="W119" s="1"/>
  <c r="E119"/>
  <c r="S119" s="1"/>
  <c r="X119" s="1"/>
  <c r="F119"/>
  <c r="T119" s="1"/>
  <c r="Y119" s="1"/>
  <c r="G119"/>
  <c r="U119" s="1"/>
  <c r="Z119" s="1"/>
  <c r="H119"/>
  <c r="V119" s="1"/>
  <c r="AA119" s="1"/>
  <c r="I119"/>
  <c r="O119" s="1"/>
  <c r="J119"/>
  <c r="K119"/>
  <c r="L119"/>
  <c r="M119"/>
  <c r="N119"/>
  <c r="A120"/>
  <c r="B120"/>
  <c r="C120"/>
  <c r="Q120" s="1"/>
  <c r="D120"/>
  <c r="R120" s="1"/>
  <c r="W120" s="1"/>
  <c r="E120"/>
  <c r="S120" s="1"/>
  <c r="X120" s="1"/>
  <c r="F120"/>
  <c r="T120" s="1"/>
  <c r="Y120" s="1"/>
  <c r="G120"/>
  <c r="U120" s="1"/>
  <c r="Z120" s="1"/>
  <c r="H120"/>
  <c r="V120" s="1"/>
  <c r="AA120" s="1"/>
  <c r="I120"/>
  <c r="O120" s="1"/>
  <c r="J120"/>
  <c r="K120"/>
  <c r="L120"/>
  <c r="M120"/>
  <c r="N120"/>
  <c r="A121"/>
  <c r="B121"/>
  <c r="C121"/>
  <c r="Q121" s="1"/>
  <c r="D121"/>
  <c r="R121" s="1"/>
  <c r="W121" s="1"/>
  <c r="E121"/>
  <c r="S121" s="1"/>
  <c r="X121" s="1"/>
  <c r="F121"/>
  <c r="T121" s="1"/>
  <c r="Y121" s="1"/>
  <c r="G121"/>
  <c r="U121" s="1"/>
  <c r="Z121" s="1"/>
  <c r="H121"/>
  <c r="V121" s="1"/>
  <c r="AA121" s="1"/>
  <c r="I121"/>
  <c r="O121" s="1"/>
  <c r="J121"/>
  <c r="K121"/>
  <c r="L121"/>
  <c r="M121"/>
  <c r="N121"/>
  <c r="A122"/>
  <c r="B122"/>
  <c r="C122"/>
  <c r="Q122" s="1"/>
  <c r="D122"/>
  <c r="R122" s="1"/>
  <c r="W122" s="1"/>
  <c r="E122"/>
  <c r="S122" s="1"/>
  <c r="X122" s="1"/>
  <c r="F122"/>
  <c r="T122" s="1"/>
  <c r="Y122" s="1"/>
  <c r="G122"/>
  <c r="U122" s="1"/>
  <c r="Z122" s="1"/>
  <c r="H122"/>
  <c r="V122" s="1"/>
  <c r="AA122" s="1"/>
  <c r="I122"/>
  <c r="O122" s="1"/>
  <c r="J122"/>
  <c r="K122"/>
  <c r="L122"/>
  <c r="M122"/>
  <c r="N122"/>
  <c r="A123"/>
  <c r="B123"/>
  <c r="C123"/>
  <c r="Q123" s="1"/>
  <c r="D123"/>
  <c r="R123" s="1"/>
  <c r="W123" s="1"/>
  <c r="E123"/>
  <c r="S123" s="1"/>
  <c r="X123" s="1"/>
  <c r="F123"/>
  <c r="T123" s="1"/>
  <c r="Y123" s="1"/>
  <c r="G123"/>
  <c r="U123" s="1"/>
  <c r="Z123" s="1"/>
  <c r="H123"/>
  <c r="V123" s="1"/>
  <c r="AA123" s="1"/>
  <c r="I123"/>
  <c r="O123" s="1"/>
  <c r="J123"/>
  <c r="K123"/>
  <c r="L123"/>
  <c r="M123"/>
  <c r="N123"/>
  <c r="A124"/>
  <c r="B124"/>
  <c r="C124"/>
  <c r="Q124" s="1"/>
  <c r="D124"/>
  <c r="R124" s="1"/>
  <c r="W124" s="1"/>
  <c r="E124"/>
  <c r="S124" s="1"/>
  <c r="X124" s="1"/>
  <c r="F124"/>
  <c r="T124" s="1"/>
  <c r="Y124" s="1"/>
  <c r="G124"/>
  <c r="U124" s="1"/>
  <c r="Z124" s="1"/>
  <c r="H124"/>
  <c r="V124" s="1"/>
  <c r="AA124" s="1"/>
  <c r="I124"/>
  <c r="O124" s="1"/>
  <c r="J124"/>
  <c r="K124"/>
  <c r="L124"/>
  <c r="M124"/>
  <c r="N124"/>
  <c r="A125"/>
  <c r="B125"/>
  <c r="C125"/>
  <c r="Q125" s="1"/>
  <c r="D125"/>
  <c r="R125" s="1"/>
  <c r="W125" s="1"/>
  <c r="E125"/>
  <c r="S125" s="1"/>
  <c r="X125" s="1"/>
  <c r="F125"/>
  <c r="T125" s="1"/>
  <c r="Y125" s="1"/>
  <c r="G125"/>
  <c r="U125" s="1"/>
  <c r="Z125" s="1"/>
  <c r="H125"/>
  <c r="V125" s="1"/>
  <c r="AA125" s="1"/>
  <c r="I125"/>
  <c r="O125" s="1"/>
  <c r="J125"/>
  <c r="K125"/>
  <c r="L125"/>
  <c r="M125"/>
  <c r="N125"/>
  <c r="A126"/>
  <c r="B126"/>
  <c r="C126"/>
  <c r="Q126" s="1"/>
  <c r="D126"/>
  <c r="R126" s="1"/>
  <c r="W126" s="1"/>
  <c r="E126"/>
  <c r="S126" s="1"/>
  <c r="X126" s="1"/>
  <c r="F126"/>
  <c r="T126" s="1"/>
  <c r="Y126" s="1"/>
  <c r="G126"/>
  <c r="U126" s="1"/>
  <c r="Z126" s="1"/>
  <c r="H126"/>
  <c r="V126" s="1"/>
  <c r="AA126" s="1"/>
  <c r="I126"/>
  <c r="O126" s="1"/>
  <c r="J126"/>
  <c r="K126"/>
  <c r="L126"/>
  <c r="M126"/>
  <c r="N126"/>
  <c r="A127"/>
  <c r="B127"/>
  <c r="C127"/>
  <c r="Q127" s="1"/>
  <c r="D127"/>
  <c r="R127" s="1"/>
  <c r="W127" s="1"/>
  <c r="E127"/>
  <c r="S127" s="1"/>
  <c r="X127" s="1"/>
  <c r="F127"/>
  <c r="T127" s="1"/>
  <c r="Y127" s="1"/>
  <c r="G127"/>
  <c r="U127" s="1"/>
  <c r="Z127" s="1"/>
  <c r="H127"/>
  <c r="V127" s="1"/>
  <c r="AA127" s="1"/>
  <c r="I127"/>
  <c r="O127" s="1"/>
  <c r="J127"/>
  <c r="K127"/>
  <c r="L127"/>
  <c r="M127"/>
  <c r="N127"/>
  <c r="A128"/>
  <c r="B128"/>
  <c r="C128"/>
  <c r="Q128" s="1"/>
  <c r="D128"/>
  <c r="R128" s="1"/>
  <c r="W128" s="1"/>
  <c r="E128"/>
  <c r="S128" s="1"/>
  <c r="X128" s="1"/>
  <c r="F128"/>
  <c r="T128" s="1"/>
  <c r="Y128" s="1"/>
  <c r="G128"/>
  <c r="U128" s="1"/>
  <c r="Z128" s="1"/>
  <c r="H128"/>
  <c r="V128" s="1"/>
  <c r="AA128" s="1"/>
  <c r="I128"/>
  <c r="O128" s="1"/>
  <c r="J128"/>
  <c r="K128"/>
  <c r="L128"/>
  <c r="M128"/>
  <c r="N128"/>
  <c r="A129"/>
  <c r="B129"/>
  <c r="C129"/>
  <c r="Q129" s="1"/>
  <c r="D129"/>
  <c r="R129" s="1"/>
  <c r="W129" s="1"/>
  <c r="E129"/>
  <c r="S129" s="1"/>
  <c r="X129" s="1"/>
  <c r="F129"/>
  <c r="T129" s="1"/>
  <c r="Y129" s="1"/>
  <c r="G129"/>
  <c r="U129" s="1"/>
  <c r="Z129" s="1"/>
  <c r="H129"/>
  <c r="V129" s="1"/>
  <c r="AA129" s="1"/>
  <c r="I129"/>
  <c r="O129" s="1"/>
  <c r="J129"/>
  <c r="K129"/>
  <c r="L129"/>
  <c r="M129"/>
  <c r="N129"/>
  <c r="A130"/>
  <c r="B130"/>
  <c r="C130"/>
  <c r="Q130" s="1"/>
  <c r="D130"/>
  <c r="R130" s="1"/>
  <c r="W130" s="1"/>
  <c r="E130"/>
  <c r="S130" s="1"/>
  <c r="X130" s="1"/>
  <c r="F130"/>
  <c r="T130" s="1"/>
  <c r="Y130" s="1"/>
  <c r="G130"/>
  <c r="U130" s="1"/>
  <c r="Z130" s="1"/>
  <c r="H130"/>
  <c r="V130" s="1"/>
  <c r="AA130" s="1"/>
  <c r="I130"/>
  <c r="O130" s="1"/>
  <c r="J130"/>
  <c r="K130"/>
  <c r="L130"/>
  <c r="M130"/>
  <c r="N130"/>
  <c r="A131"/>
  <c r="B131"/>
  <c r="C131"/>
  <c r="Q131" s="1"/>
  <c r="D131"/>
  <c r="R131" s="1"/>
  <c r="W131" s="1"/>
  <c r="E131"/>
  <c r="S131" s="1"/>
  <c r="X131" s="1"/>
  <c r="F131"/>
  <c r="T131" s="1"/>
  <c r="Y131" s="1"/>
  <c r="G131"/>
  <c r="U131" s="1"/>
  <c r="Z131" s="1"/>
  <c r="H131"/>
  <c r="V131" s="1"/>
  <c r="AA131" s="1"/>
  <c r="I131"/>
  <c r="O131" s="1"/>
  <c r="J131"/>
  <c r="K131"/>
  <c r="L131"/>
  <c r="M131"/>
  <c r="N131"/>
  <c r="A132"/>
  <c r="B132"/>
  <c r="C132"/>
  <c r="Q132" s="1"/>
  <c r="D132"/>
  <c r="R132" s="1"/>
  <c r="W132" s="1"/>
  <c r="E132"/>
  <c r="S132" s="1"/>
  <c r="X132" s="1"/>
  <c r="F132"/>
  <c r="T132" s="1"/>
  <c r="Y132" s="1"/>
  <c r="G132"/>
  <c r="U132" s="1"/>
  <c r="Z132" s="1"/>
  <c r="H132"/>
  <c r="V132" s="1"/>
  <c r="AA132" s="1"/>
  <c r="I132"/>
  <c r="O132" s="1"/>
  <c r="J132"/>
  <c r="K132"/>
  <c r="L132"/>
  <c r="M132"/>
  <c r="N132"/>
  <c r="A133"/>
  <c r="B133"/>
  <c r="C133"/>
  <c r="Q133" s="1"/>
  <c r="D133"/>
  <c r="R133" s="1"/>
  <c r="W133" s="1"/>
  <c r="E133"/>
  <c r="S133" s="1"/>
  <c r="X133" s="1"/>
  <c r="F133"/>
  <c r="T133" s="1"/>
  <c r="Y133" s="1"/>
  <c r="G133"/>
  <c r="U133" s="1"/>
  <c r="Z133" s="1"/>
  <c r="H133"/>
  <c r="V133" s="1"/>
  <c r="AA133" s="1"/>
  <c r="I133"/>
  <c r="O133" s="1"/>
  <c r="J133"/>
  <c r="K133"/>
  <c r="L133"/>
  <c r="M133"/>
  <c r="N133"/>
  <c r="A134"/>
  <c r="B134"/>
  <c r="C134"/>
  <c r="Q134" s="1"/>
  <c r="D134"/>
  <c r="R134" s="1"/>
  <c r="W134" s="1"/>
  <c r="E134"/>
  <c r="S134" s="1"/>
  <c r="X134" s="1"/>
  <c r="F134"/>
  <c r="T134" s="1"/>
  <c r="Y134" s="1"/>
  <c r="G134"/>
  <c r="U134" s="1"/>
  <c r="Z134" s="1"/>
  <c r="H134"/>
  <c r="V134" s="1"/>
  <c r="AA134" s="1"/>
  <c r="I134"/>
  <c r="O134" s="1"/>
  <c r="J134"/>
  <c r="K134"/>
  <c r="L134"/>
  <c r="M134"/>
  <c r="N134"/>
  <c r="A135"/>
  <c r="B135"/>
  <c r="C135"/>
  <c r="Q135" s="1"/>
  <c r="D135"/>
  <c r="R135" s="1"/>
  <c r="W135" s="1"/>
  <c r="E135"/>
  <c r="S135" s="1"/>
  <c r="X135" s="1"/>
  <c r="F135"/>
  <c r="T135" s="1"/>
  <c r="Y135" s="1"/>
  <c r="G135"/>
  <c r="U135" s="1"/>
  <c r="Z135" s="1"/>
  <c r="H135"/>
  <c r="V135" s="1"/>
  <c r="AA135" s="1"/>
  <c r="I135"/>
  <c r="O135" s="1"/>
  <c r="J135"/>
  <c r="K135"/>
  <c r="L135"/>
  <c r="M135"/>
  <c r="N135"/>
  <c r="A136"/>
  <c r="B136"/>
  <c r="C136"/>
  <c r="Q136" s="1"/>
  <c r="D136"/>
  <c r="R136" s="1"/>
  <c r="W136" s="1"/>
  <c r="E136"/>
  <c r="S136" s="1"/>
  <c r="X136" s="1"/>
  <c r="F136"/>
  <c r="T136" s="1"/>
  <c r="Y136" s="1"/>
  <c r="G136"/>
  <c r="U136" s="1"/>
  <c r="Z136" s="1"/>
  <c r="H136"/>
  <c r="V136" s="1"/>
  <c r="AA136" s="1"/>
  <c r="I136"/>
  <c r="O136" s="1"/>
  <c r="J136"/>
  <c r="K136"/>
  <c r="L136"/>
  <c r="M136"/>
  <c r="N136"/>
  <c r="A137"/>
  <c r="B137"/>
  <c r="C137"/>
  <c r="Q137" s="1"/>
  <c r="D137"/>
  <c r="R137" s="1"/>
  <c r="W137" s="1"/>
  <c r="E137"/>
  <c r="S137" s="1"/>
  <c r="X137" s="1"/>
  <c r="F137"/>
  <c r="T137" s="1"/>
  <c r="Y137" s="1"/>
  <c r="G137"/>
  <c r="U137" s="1"/>
  <c r="Z137" s="1"/>
  <c r="H137"/>
  <c r="V137" s="1"/>
  <c r="AA137" s="1"/>
  <c r="I137"/>
  <c r="O137" s="1"/>
  <c r="J137"/>
  <c r="K137"/>
  <c r="L137"/>
  <c r="M137"/>
  <c r="N137"/>
  <c r="A138"/>
  <c r="B138"/>
  <c r="C138"/>
  <c r="Q138" s="1"/>
  <c r="D138"/>
  <c r="R138" s="1"/>
  <c r="W138" s="1"/>
  <c r="E138"/>
  <c r="S138" s="1"/>
  <c r="X138" s="1"/>
  <c r="F138"/>
  <c r="T138" s="1"/>
  <c r="Y138" s="1"/>
  <c r="G138"/>
  <c r="U138" s="1"/>
  <c r="Z138" s="1"/>
  <c r="H138"/>
  <c r="V138" s="1"/>
  <c r="AA138" s="1"/>
  <c r="I138"/>
  <c r="O138" s="1"/>
  <c r="J138"/>
  <c r="K138"/>
  <c r="L138"/>
  <c r="M138"/>
  <c r="N138"/>
  <c r="A139"/>
  <c r="B139"/>
  <c r="C139"/>
  <c r="Q139" s="1"/>
  <c r="D139"/>
  <c r="R139" s="1"/>
  <c r="W139" s="1"/>
  <c r="E139"/>
  <c r="S139" s="1"/>
  <c r="X139" s="1"/>
  <c r="F139"/>
  <c r="T139" s="1"/>
  <c r="Y139" s="1"/>
  <c r="G139"/>
  <c r="U139" s="1"/>
  <c r="Z139" s="1"/>
  <c r="H139"/>
  <c r="V139" s="1"/>
  <c r="AA139" s="1"/>
  <c r="I139"/>
  <c r="O139" s="1"/>
  <c r="J139"/>
  <c r="K139"/>
  <c r="L139"/>
  <c r="M139"/>
  <c r="N139"/>
  <c r="A140"/>
  <c r="B140"/>
  <c r="C140"/>
  <c r="Q140" s="1"/>
  <c r="D140"/>
  <c r="R140" s="1"/>
  <c r="W140" s="1"/>
  <c r="E140"/>
  <c r="S140" s="1"/>
  <c r="X140" s="1"/>
  <c r="F140"/>
  <c r="T140" s="1"/>
  <c r="Y140" s="1"/>
  <c r="G140"/>
  <c r="U140" s="1"/>
  <c r="Z140" s="1"/>
  <c r="H140"/>
  <c r="V140" s="1"/>
  <c r="AA140" s="1"/>
  <c r="I140"/>
  <c r="O140" s="1"/>
  <c r="J140"/>
  <c r="K140"/>
  <c r="L140"/>
  <c r="M140"/>
  <c r="N140"/>
  <c r="A141"/>
  <c r="B141"/>
  <c r="C141"/>
  <c r="Q141" s="1"/>
  <c r="D141"/>
  <c r="R141" s="1"/>
  <c r="W141" s="1"/>
  <c r="E141"/>
  <c r="S141" s="1"/>
  <c r="X141" s="1"/>
  <c r="F141"/>
  <c r="T141" s="1"/>
  <c r="Y141" s="1"/>
  <c r="G141"/>
  <c r="U141" s="1"/>
  <c r="Z141" s="1"/>
  <c r="H141"/>
  <c r="V141" s="1"/>
  <c r="AA141" s="1"/>
  <c r="I141"/>
  <c r="O141" s="1"/>
  <c r="J141"/>
  <c r="K141"/>
  <c r="L141"/>
  <c r="M141"/>
  <c r="N141"/>
  <c r="A142"/>
  <c r="B142"/>
  <c r="C142"/>
  <c r="Q142" s="1"/>
  <c r="D142"/>
  <c r="R142" s="1"/>
  <c r="W142" s="1"/>
  <c r="E142"/>
  <c r="S142" s="1"/>
  <c r="X142" s="1"/>
  <c r="F142"/>
  <c r="T142" s="1"/>
  <c r="Y142" s="1"/>
  <c r="G142"/>
  <c r="U142" s="1"/>
  <c r="Z142" s="1"/>
  <c r="H142"/>
  <c r="V142" s="1"/>
  <c r="AA142" s="1"/>
  <c r="I142"/>
  <c r="O142" s="1"/>
  <c r="J142"/>
  <c r="K142"/>
  <c r="L142"/>
  <c r="M142"/>
  <c r="N142"/>
  <c r="A143"/>
  <c r="B143"/>
  <c r="C143"/>
  <c r="Q143" s="1"/>
  <c r="D143"/>
  <c r="R143" s="1"/>
  <c r="W143" s="1"/>
  <c r="E143"/>
  <c r="S143" s="1"/>
  <c r="X143" s="1"/>
  <c r="F143"/>
  <c r="T143" s="1"/>
  <c r="Y143" s="1"/>
  <c r="G143"/>
  <c r="U143" s="1"/>
  <c r="Z143" s="1"/>
  <c r="H143"/>
  <c r="V143" s="1"/>
  <c r="AA143" s="1"/>
  <c r="I143"/>
  <c r="O143" s="1"/>
  <c r="J143"/>
  <c r="K143"/>
  <c r="L143"/>
  <c r="M143"/>
  <c r="N143"/>
  <c r="A144"/>
  <c r="B144"/>
  <c r="C144"/>
  <c r="Q144" s="1"/>
  <c r="D144"/>
  <c r="R144" s="1"/>
  <c r="W144" s="1"/>
  <c r="E144"/>
  <c r="S144" s="1"/>
  <c r="X144" s="1"/>
  <c r="F144"/>
  <c r="T144" s="1"/>
  <c r="Y144" s="1"/>
  <c r="G144"/>
  <c r="U144" s="1"/>
  <c r="Z144" s="1"/>
  <c r="H144"/>
  <c r="V144" s="1"/>
  <c r="AA144" s="1"/>
  <c r="I144"/>
  <c r="O144" s="1"/>
  <c r="J144"/>
  <c r="K144"/>
  <c r="L144"/>
  <c r="M144"/>
  <c r="N144"/>
  <c r="A145"/>
  <c r="B145"/>
  <c r="C145"/>
  <c r="Q145" s="1"/>
  <c r="D145"/>
  <c r="R145" s="1"/>
  <c r="W145" s="1"/>
  <c r="E145"/>
  <c r="S145" s="1"/>
  <c r="X145" s="1"/>
  <c r="F145"/>
  <c r="T145" s="1"/>
  <c r="Y145" s="1"/>
  <c r="G145"/>
  <c r="U145" s="1"/>
  <c r="Z145" s="1"/>
  <c r="H145"/>
  <c r="V145" s="1"/>
  <c r="AA145" s="1"/>
  <c r="I145"/>
  <c r="O145" s="1"/>
  <c r="J145"/>
  <c r="K145"/>
  <c r="L145"/>
  <c r="M145"/>
  <c r="N145"/>
  <c r="A146"/>
  <c r="B146"/>
  <c r="C146"/>
  <c r="Q146" s="1"/>
  <c r="D146"/>
  <c r="R146" s="1"/>
  <c r="W146" s="1"/>
  <c r="E146"/>
  <c r="S146" s="1"/>
  <c r="X146" s="1"/>
  <c r="F146"/>
  <c r="T146" s="1"/>
  <c r="Y146" s="1"/>
  <c r="G146"/>
  <c r="U146" s="1"/>
  <c r="Z146" s="1"/>
  <c r="H146"/>
  <c r="V146" s="1"/>
  <c r="AA146" s="1"/>
  <c r="I146"/>
  <c r="O146" s="1"/>
  <c r="J146"/>
  <c r="K146"/>
  <c r="L146"/>
  <c r="M146"/>
  <c r="N146"/>
  <c r="A147"/>
  <c r="B147"/>
  <c r="C147"/>
  <c r="Q147" s="1"/>
  <c r="D147"/>
  <c r="R147" s="1"/>
  <c r="W147" s="1"/>
  <c r="E147"/>
  <c r="S147" s="1"/>
  <c r="X147" s="1"/>
  <c r="F147"/>
  <c r="T147" s="1"/>
  <c r="Y147" s="1"/>
  <c r="G147"/>
  <c r="U147" s="1"/>
  <c r="Z147" s="1"/>
  <c r="H147"/>
  <c r="V147" s="1"/>
  <c r="AA147" s="1"/>
  <c r="I147"/>
  <c r="O147" s="1"/>
  <c r="J147"/>
  <c r="K147"/>
  <c r="L147"/>
  <c r="M147"/>
  <c r="N147"/>
  <c r="A148"/>
  <c r="B148"/>
  <c r="C148"/>
  <c r="Q148" s="1"/>
  <c r="D148"/>
  <c r="R148" s="1"/>
  <c r="W148" s="1"/>
  <c r="E148"/>
  <c r="S148" s="1"/>
  <c r="X148" s="1"/>
  <c r="F148"/>
  <c r="T148" s="1"/>
  <c r="Y148" s="1"/>
  <c r="G148"/>
  <c r="U148" s="1"/>
  <c r="Z148" s="1"/>
  <c r="H148"/>
  <c r="V148" s="1"/>
  <c r="AA148" s="1"/>
  <c r="I148"/>
  <c r="O148" s="1"/>
  <c r="J148"/>
  <c r="K148"/>
  <c r="L148"/>
  <c r="M148"/>
  <c r="N148"/>
  <c r="A149"/>
  <c r="B149"/>
  <c r="C149"/>
  <c r="Q149" s="1"/>
  <c r="D149"/>
  <c r="R149" s="1"/>
  <c r="W149" s="1"/>
  <c r="E149"/>
  <c r="S149" s="1"/>
  <c r="X149" s="1"/>
  <c r="F149"/>
  <c r="T149" s="1"/>
  <c r="Y149" s="1"/>
  <c r="G149"/>
  <c r="U149" s="1"/>
  <c r="Z149" s="1"/>
  <c r="H149"/>
  <c r="V149" s="1"/>
  <c r="AA149" s="1"/>
  <c r="I149"/>
  <c r="O149" s="1"/>
  <c r="J149"/>
  <c r="K149"/>
  <c r="L149"/>
  <c r="M149"/>
  <c r="N149"/>
  <c r="A150"/>
  <c r="B150"/>
  <c r="C150"/>
  <c r="Q150" s="1"/>
  <c r="D150"/>
  <c r="R150" s="1"/>
  <c r="W150" s="1"/>
  <c r="E150"/>
  <c r="S150" s="1"/>
  <c r="X150" s="1"/>
  <c r="F150"/>
  <c r="T150" s="1"/>
  <c r="Y150" s="1"/>
  <c r="G150"/>
  <c r="U150" s="1"/>
  <c r="Z150" s="1"/>
  <c r="H150"/>
  <c r="V150" s="1"/>
  <c r="AA150" s="1"/>
  <c r="I150"/>
  <c r="O150" s="1"/>
  <c r="J150"/>
  <c r="K150"/>
  <c r="L150"/>
  <c r="M150"/>
  <c r="N150"/>
  <c r="A151"/>
  <c r="B151"/>
  <c r="C151"/>
  <c r="Q151" s="1"/>
  <c r="D151"/>
  <c r="R151" s="1"/>
  <c r="W151" s="1"/>
  <c r="E151"/>
  <c r="S151" s="1"/>
  <c r="X151" s="1"/>
  <c r="F151"/>
  <c r="T151" s="1"/>
  <c r="Y151" s="1"/>
  <c r="G151"/>
  <c r="U151" s="1"/>
  <c r="Z151" s="1"/>
  <c r="H151"/>
  <c r="V151" s="1"/>
  <c r="AA151" s="1"/>
  <c r="I151"/>
  <c r="O151" s="1"/>
  <c r="J151"/>
  <c r="K151"/>
  <c r="L151"/>
  <c r="M151"/>
  <c r="N151"/>
  <c r="A152"/>
  <c r="B152"/>
  <c r="C152"/>
  <c r="Q152" s="1"/>
  <c r="D152"/>
  <c r="R152" s="1"/>
  <c r="W152" s="1"/>
  <c r="E152"/>
  <c r="S152" s="1"/>
  <c r="X152" s="1"/>
  <c r="F152"/>
  <c r="T152" s="1"/>
  <c r="Y152" s="1"/>
  <c r="G152"/>
  <c r="U152" s="1"/>
  <c r="Z152" s="1"/>
  <c r="H152"/>
  <c r="V152" s="1"/>
  <c r="AA152" s="1"/>
  <c r="I152"/>
  <c r="O152" s="1"/>
  <c r="J152"/>
  <c r="K152"/>
  <c r="L152"/>
  <c r="M152"/>
  <c r="N152"/>
  <c r="A153"/>
  <c r="B153"/>
  <c r="C153"/>
  <c r="Q153" s="1"/>
  <c r="D153"/>
  <c r="R153" s="1"/>
  <c r="W153" s="1"/>
  <c r="E153"/>
  <c r="S153" s="1"/>
  <c r="X153" s="1"/>
  <c r="F153"/>
  <c r="T153" s="1"/>
  <c r="Y153" s="1"/>
  <c r="G153"/>
  <c r="U153" s="1"/>
  <c r="Z153" s="1"/>
  <c r="H153"/>
  <c r="V153" s="1"/>
  <c r="AA153" s="1"/>
  <c r="I153"/>
  <c r="O153" s="1"/>
  <c r="J153"/>
  <c r="K153"/>
  <c r="L153"/>
  <c r="M153"/>
  <c r="N153"/>
  <c r="A154"/>
  <c r="B154"/>
  <c r="C154"/>
  <c r="Q154" s="1"/>
  <c r="D154"/>
  <c r="R154" s="1"/>
  <c r="W154" s="1"/>
  <c r="E154"/>
  <c r="S154" s="1"/>
  <c r="X154" s="1"/>
  <c r="F154"/>
  <c r="T154" s="1"/>
  <c r="Y154" s="1"/>
  <c r="G154"/>
  <c r="U154" s="1"/>
  <c r="Z154" s="1"/>
  <c r="H154"/>
  <c r="V154" s="1"/>
  <c r="AA154" s="1"/>
  <c r="I154"/>
  <c r="O154" s="1"/>
  <c r="J154"/>
  <c r="K154"/>
  <c r="L154"/>
  <c r="M154"/>
  <c r="N154"/>
  <c r="A155"/>
  <c r="B155"/>
  <c r="C155"/>
  <c r="Q155" s="1"/>
  <c r="D155"/>
  <c r="R155" s="1"/>
  <c r="W155" s="1"/>
  <c r="E155"/>
  <c r="S155" s="1"/>
  <c r="X155" s="1"/>
  <c r="F155"/>
  <c r="T155" s="1"/>
  <c r="Y155" s="1"/>
  <c r="G155"/>
  <c r="U155" s="1"/>
  <c r="Z155" s="1"/>
  <c r="H155"/>
  <c r="V155" s="1"/>
  <c r="AA155" s="1"/>
  <c r="I155"/>
  <c r="O155" s="1"/>
  <c r="J155"/>
  <c r="K155"/>
  <c r="L155"/>
  <c r="M155"/>
  <c r="N155"/>
  <c r="A156"/>
  <c r="B156"/>
  <c r="C156"/>
  <c r="Q156" s="1"/>
  <c r="D156"/>
  <c r="R156" s="1"/>
  <c r="W156" s="1"/>
  <c r="E156"/>
  <c r="S156" s="1"/>
  <c r="X156" s="1"/>
  <c r="F156"/>
  <c r="T156" s="1"/>
  <c r="Y156" s="1"/>
  <c r="G156"/>
  <c r="U156" s="1"/>
  <c r="Z156" s="1"/>
  <c r="H156"/>
  <c r="V156" s="1"/>
  <c r="AA156" s="1"/>
  <c r="I156"/>
  <c r="O156" s="1"/>
  <c r="J156"/>
  <c r="K156"/>
  <c r="L156"/>
  <c r="M156"/>
  <c r="N156"/>
  <c r="A157"/>
  <c r="B157"/>
  <c r="C157"/>
  <c r="Q157" s="1"/>
  <c r="D157"/>
  <c r="R157" s="1"/>
  <c r="W157" s="1"/>
  <c r="E157"/>
  <c r="S157" s="1"/>
  <c r="X157" s="1"/>
  <c r="F157"/>
  <c r="T157" s="1"/>
  <c r="Y157" s="1"/>
  <c r="G157"/>
  <c r="U157" s="1"/>
  <c r="Z157" s="1"/>
  <c r="H157"/>
  <c r="V157" s="1"/>
  <c r="AA157" s="1"/>
  <c r="I157"/>
  <c r="O157" s="1"/>
  <c r="J157"/>
  <c r="K157"/>
  <c r="L157"/>
  <c r="M157"/>
  <c r="N157"/>
  <c r="A158"/>
  <c r="B158"/>
  <c r="C158"/>
  <c r="Q158" s="1"/>
  <c r="D158"/>
  <c r="R158" s="1"/>
  <c r="W158" s="1"/>
  <c r="E158"/>
  <c r="S158" s="1"/>
  <c r="X158" s="1"/>
  <c r="F158"/>
  <c r="T158" s="1"/>
  <c r="Y158" s="1"/>
  <c r="G158"/>
  <c r="U158" s="1"/>
  <c r="Z158" s="1"/>
  <c r="H158"/>
  <c r="V158" s="1"/>
  <c r="AA158" s="1"/>
  <c r="I158"/>
  <c r="O158" s="1"/>
  <c r="J158"/>
  <c r="K158"/>
  <c r="L158"/>
  <c r="M158"/>
  <c r="N158"/>
  <c r="A159"/>
  <c r="B159"/>
  <c r="C159"/>
  <c r="Q159" s="1"/>
  <c r="D159"/>
  <c r="R159" s="1"/>
  <c r="W159" s="1"/>
  <c r="E159"/>
  <c r="S159" s="1"/>
  <c r="X159" s="1"/>
  <c r="F159"/>
  <c r="T159" s="1"/>
  <c r="Y159" s="1"/>
  <c r="G159"/>
  <c r="U159" s="1"/>
  <c r="Z159" s="1"/>
  <c r="H159"/>
  <c r="V159" s="1"/>
  <c r="AA159" s="1"/>
  <c r="I159"/>
  <c r="O159" s="1"/>
  <c r="J159"/>
  <c r="K159"/>
  <c r="L159"/>
  <c r="M159"/>
  <c r="N159"/>
  <c r="A160"/>
  <c r="B160"/>
  <c r="C160"/>
  <c r="Q160" s="1"/>
  <c r="D160"/>
  <c r="R160" s="1"/>
  <c r="W160" s="1"/>
  <c r="E160"/>
  <c r="S160" s="1"/>
  <c r="X160" s="1"/>
  <c r="F160"/>
  <c r="T160" s="1"/>
  <c r="Y160" s="1"/>
  <c r="G160"/>
  <c r="U160" s="1"/>
  <c r="Z160" s="1"/>
  <c r="H160"/>
  <c r="V160" s="1"/>
  <c r="AA160" s="1"/>
  <c r="I160"/>
  <c r="O160" s="1"/>
  <c r="J160"/>
  <c r="K160"/>
  <c r="L160"/>
  <c r="M160"/>
  <c r="N160"/>
  <c r="A161"/>
  <c r="B161"/>
  <c r="C161"/>
  <c r="Q161" s="1"/>
  <c r="D161"/>
  <c r="R161" s="1"/>
  <c r="W161" s="1"/>
  <c r="E161"/>
  <c r="S161" s="1"/>
  <c r="X161" s="1"/>
  <c r="F161"/>
  <c r="T161" s="1"/>
  <c r="Y161" s="1"/>
  <c r="G161"/>
  <c r="U161" s="1"/>
  <c r="Z161" s="1"/>
  <c r="H161"/>
  <c r="V161" s="1"/>
  <c r="AA161" s="1"/>
  <c r="I161"/>
  <c r="O161" s="1"/>
  <c r="J161"/>
  <c r="K161"/>
  <c r="L161"/>
  <c r="M161"/>
  <c r="N161"/>
  <c r="A162"/>
  <c r="B162"/>
  <c r="C162"/>
  <c r="Q162" s="1"/>
  <c r="D162"/>
  <c r="R162" s="1"/>
  <c r="W162" s="1"/>
  <c r="E162"/>
  <c r="S162" s="1"/>
  <c r="X162" s="1"/>
  <c r="F162"/>
  <c r="T162" s="1"/>
  <c r="Y162" s="1"/>
  <c r="G162"/>
  <c r="U162" s="1"/>
  <c r="Z162" s="1"/>
  <c r="H162"/>
  <c r="V162" s="1"/>
  <c r="AA162" s="1"/>
  <c r="I162"/>
  <c r="O162" s="1"/>
  <c r="J162"/>
  <c r="K162"/>
  <c r="L162"/>
  <c r="M162"/>
  <c r="N162"/>
  <c r="A163"/>
  <c r="B163"/>
  <c r="C163"/>
  <c r="Q163" s="1"/>
  <c r="D163"/>
  <c r="R163" s="1"/>
  <c r="W163" s="1"/>
  <c r="E163"/>
  <c r="S163" s="1"/>
  <c r="X163" s="1"/>
  <c r="F163"/>
  <c r="T163" s="1"/>
  <c r="Y163" s="1"/>
  <c r="G163"/>
  <c r="U163" s="1"/>
  <c r="Z163" s="1"/>
  <c r="H163"/>
  <c r="V163" s="1"/>
  <c r="AA163" s="1"/>
  <c r="I163"/>
  <c r="O163" s="1"/>
  <c r="J163"/>
  <c r="K163"/>
  <c r="L163"/>
  <c r="M163"/>
  <c r="N163"/>
  <c r="A164"/>
  <c r="B164"/>
  <c r="C164"/>
  <c r="Q164" s="1"/>
  <c r="D164"/>
  <c r="R164" s="1"/>
  <c r="W164" s="1"/>
  <c r="E164"/>
  <c r="S164" s="1"/>
  <c r="X164" s="1"/>
  <c r="F164"/>
  <c r="T164" s="1"/>
  <c r="Y164" s="1"/>
  <c r="G164"/>
  <c r="U164" s="1"/>
  <c r="Z164" s="1"/>
  <c r="H164"/>
  <c r="V164" s="1"/>
  <c r="AA164" s="1"/>
  <c r="I164"/>
  <c r="O164" s="1"/>
  <c r="J164"/>
  <c r="K164"/>
  <c r="L164"/>
  <c r="M164"/>
  <c r="N164"/>
  <c r="A165"/>
  <c r="B165"/>
  <c r="C165"/>
  <c r="Q165" s="1"/>
  <c r="D165"/>
  <c r="R165" s="1"/>
  <c r="W165" s="1"/>
  <c r="E165"/>
  <c r="S165" s="1"/>
  <c r="X165" s="1"/>
  <c r="F165"/>
  <c r="T165" s="1"/>
  <c r="Y165" s="1"/>
  <c r="G165"/>
  <c r="U165" s="1"/>
  <c r="Z165" s="1"/>
  <c r="H165"/>
  <c r="V165" s="1"/>
  <c r="AA165" s="1"/>
  <c r="I165"/>
  <c r="O165" s="1"/>
  <c r="J165"/>
  <c r="K165"/>
  <c r="L165"/>
  <c r="M165"/>
  <c r="N165"/>
  <c r="A166"/>
  <c r="B166"/>
  <c r="C166"/>
  <c r="Q166" s="1"/>
  <c r="D166"/>
  <c r="R166" s="1"/>
  <c r="W166" s="1"/>
  <c r="E166"/>
  <c r="S166" s="1"/>
  <c r="X166" s="1"/>
  <c r="F166"/>
  <c r="T166" s="1"/>
  <c r="Y166" s="1"/>
  <c r="G166"/>
  <c r="U166" s="1"/>
  <c r="Z166" s="1"/>
  <c r="H166"/>
  <c r="V166" s="1"/>
  <c r="AA166" s="1"/>
  <c r="I166"/>
  <c r="O166" s="1"/>
  <c r="J166"/>
  <c r="K166"/>
  <c r="L166"/>
  <c r="M166"/>
  <c r="N166"/>
  <c r="A167"/>
  <c r="B167"/>
  <c r="C167"/>
  <c r="Q167" s="1"/>
  <c r="D167"/>
  <c r="R167" s="1"/>
  <c r="W167" s="1"/>
  <c r="E167"/>
  <c r="S167" s="1"/>
  <c r="X167" s="1"/>
  <c r="F167"/>
  <c r="T167" s="1"/>
  <c r="Y167" s="1"/>
  <c r="G167"/>
  <c r="U167" s="1"/>
  <c r="Z167" s="1"/>
  <c r="H167"/>
  <c r="V167" s="1"/>
  <c r="AA167" s="1"/>
  <c r="I167"/>
  <c r="O167" s="1"/>
  <c r="J167"/>
  <c r="K167"/>
  <c r="L167"/>
  <c r="M167"/>
  <c r="N167"/>
  <c r="A168"/>
  <c r="B168"/>
  <c r="C168"/>
  <c r="Q168" s="1"/>
  <c r="D168"/>
  <c r="R168" s="1"/>
  <c r="W168" s="1"/>
  <c r="E168"/>
  <c r="S168" s="1"/>
  <c r="X168" s="1"/>
  <c r="F168"/>
  <c r="T168" s="1"/>
  <c r="Y168" s="1"/>
  <c r="G168"/>
  <c r="U168" s="1"/>
  <c r="Z168" s="1"/>
  <c r="H168"/>
  <c r="V168" s="1"/>
  <c r="AA168" s="1"/>
  <c r="I168"/>
  <c r="O168" s="1"/>
  <c r="J168"/>
  <c r="K168"/>
  <c r="L168"/>
  <c r="M168"/>
  <c r="N168"/>
  <c r="A169"/>
  <c r="B169"/>
  <c r="C169"/>
  <c r="Q169" s="1"/>
  <c r="D169"/>
  <c r="R169" s="1"/>
  <c r="W169" s="1"/>
  <c r="E169"/>
  <c r="S169" s="1"/>
  <c r="X169" s="1"/>
  <c r="F169"/>
  <c r="T169" s="1"/>
  <c r="Y169" s="1"/>
  <c r="G169"/>
  <c r="U169" s="1"/>
  <c r="Z169" s="1"/>
  <c r="H169"/>
  <c r="V169" s="1"/>
  <c r="AA169" s="1"/>
  <c r="I169"/>
  <c r="O169" s="1"/>
  <c r="J169"/>
  <c r="K169"/>
  <c r="L169"/>
  <c r="M169"/>
  <c r="N169"/>
  <c r="A170"/>
  <c r="B170"/>
  <c r="C170"/>
  <c r="Q170" s="1"/>
  <c r="D170"/>
  <c r="R170" s="1"/>
  <c r="W170" s="1"/>
  <c r="E170"/>
  <c r="S170" s="1"/>
  <c r="X170" s="1"/>
  <c r="F170"/>
  <c r="T170" s="1"/>
  <c r="Y170" s="1"/>
  <c r="G170"/>
  <c r="U170" s="1"/>
  <c r="Z170" s="1"/>
  <c r="H170"/>
  <c r="V170" s="1"/>
  <c r="AA170" s="1"/>
  <c r="I170"/>
  <c r="O170" s="1"/>
  <c r="J170"/>
  <c r="K170"/>
  <c r="L170"/>
  <c r="M170"/>
  <c r="N170"/>
  <c r="A171"/>
  <c r="B171"/>
  <c r="C171"/>
  <c r="Q171" s="1"/>
  <c r="D171"/>
  <c r="R171" s="1"/>
  <c r="W171" s="1"/>
  <c r="E171"/>
  <c r="S171" s="1"/>
  <c r="X171" s="1"/>
  <c r="F171"/>
  <c r="T171" s="1"/>
  <c r="Y171" s="1"/>
  <c r="G171"/>
  <c r="U171" s="1"/>
  <c r="Z171" s="1"/>
  <c r="H171"/>
  <c r="V171" s="1"/>
  <c r="AA171" s="1"/>
  <c r="I171"/>
  <c r="O171" s="1"/>
  <c r="J171"/>
  <c r="K171"/>
  <c r="L171"/>
  <c r="M171"/>
  <c r="N171"/>
  <c r="A172"/>
  <c r="B172"/>
  <c r="C172"/>
  <c r="Q172" s="1"/>
  <c r="D172"/>
  <c r="R172" s="1"/>
  <c r="W172" s="1"/>
  <c r="E172"/>
  <c r="S172" s="1"/>
  <c r="X172" s="1"/>
  <c r="F172"/>
  <c r="T172" s="1"/>
  <c r="Y172" s="1"/>
  <c r="G172"/>
  <c r="U172" s="1"/>
  <c r="Z172" s="1"/>
  <c r="H172"/>
  <c r="V172" s="1"/>
  <c r="AA172" s="1"/>
  <c r="I172"/>
  <c r="O172" s="1"/>
  <c r="J172"/>
  <c r="K172"/>
  <c r="L172"/>
  <c r="M172"/>
  <c r="N172"/>
  <c r="A173"/>
  <c r="B173"/>
  <c r="C173"/>
  <c r="Q173" s="1"/>
  <c r="D173"/>
  <c r="R173" s="1"/>
  <c r="W173" s="1"/>
  <c r="E173"/>
  <c r="S173" s="1"/>
  <c r="X173" s="1"/>
  <c r="F173"/>
  <c r="T173" s="1"/>
  <c r="Y173" s="1"/>
  <c r="G173"/>
  <c r="U173" s="1"/>
  <c r="Z173" s="1"/>
  <c r="H173"/>
  <c r="V173" s="1"/>
  <c r="AA173" s="1"/>
  <c r="I173"/>
  <c r="O173" s="1"/>
  <c r="J173"/>
  <c r="K173"/>
  <c r="L173"/>
  <c r="M173"/>
  <c r="N173"/>
  <c r="A174"/>
  <c r="B174"/>
  <c r="C174"/>
  <c r="Q174" s="1"/>
  <c r="D174"/>
  <c r="R174" s="1"/>
  <c r="W174" s="1"/>
  <c r="E174"/>
  <c r="S174" s="1"/>
  <c r="X174" s="1"/>
  <c r="F174"/>
  <c r="T174" s="1"/>
  <c r="Y174" s="1"/>
  <c r="G174"/>
  <c r="U174" s="1"/>
  <c r="Z174" s="1"/>
  <c r="H174"/>
  <c r="V174" s="1"/>
  <c r="AA174" s="1"/>
  <c r="I174"/>
  <c r="O174" s="1"/>
  <c r="J174"/>
  <c r="K174"/>
  <c r="L174"/>
  <c r="M174"/>
  <c r="N174"/>
  <c r="A175"/>
  <c r="B175"/>
  <c r="C175"/>
  <c r="Q175" s="1"/>
  <c r="D175"/>
  <c r="R175" s="1"/>
  <c r="W175" s="1"/>
  <c r="E175"/>
  <c r="S175" s="1"/>
  <c r="X175" s="1"/>
  <c r="F175"/>
  <c r="T175" s="1"/>
  <c r="Y175" s="1"/>
  <c r="G175"/>
  <c r="U175" s="1"/>
  <c r="Z175" s="1"/>
  <c r="H175"/>
  <c r="V175" s="1"/>
  <c r="AA175" s="1"/>
  <c r="I175"/>
  <c r="O175" s="1"/>
  <c r="J175"/>
  <c r="K175"/>
  <c r="L175"/>
  <c r="M175"/>
  <c r="N175"/>
  <c r="A176"/>
  <c r="B176"/>
  <c r="C176"/>
  <c r="Q176" s="1"/>
  <c r="D176"/>
  <c r="R176" s="1"/>
  <c r="W176" s="1"/>
  <c r="E176"/>
  <c r="S176" s="1"/>
  <c r="X176" s="1"/>
  <c r="F176"/>
  <c r="T176" s="1"/>
  <c r="Y176" s="1"/>
  <c r="G176"/>
  <c r="U176" s="1"/>
  <c r="Z176" s="1"/>
  <c r="H176"/>
  <c r="V176" s="1"/>
  <c r="AA176" s="1"/>
  <c r="I176"/>
  <c r="O176" s="1"/>
  <c r="J176"/>
  <c r="K176"/>
  <c r="L176"/>
  <c r="M176"/>
  <c r="N176"/>
  <c r="A177"/>
  <c r="B177"/>
  <c r="C177"/>
  <c r="Q177" s="1"/>
  <c r="D177"/>
  <c r="R177" s="1"/>
  <c r="W177" s="1"/>
  <c r="E177"/>
  <c r="S177" s="1"/>
  <c r="X177" s="1"/>
  <c r="F177"/>
  <c r="T177" s="1"/>
  <c r="Y177" s="1"/>
  <c r="G177"/>
  <c r="U177" s="1"/>
  <c r="Z177" s="1"/>
  <c r="H177"/>
  <c r="V177" s="1"/>
  <c r="AA177" s="1"/>
  <c r="I177"/>
  <c r="O177" s="1"/>
  <c r="J177"/>
  <c r="K177"/>
  <c r="L177"/>
  <c r="M177"/>
  <c r="N177"/>
  <c r="A178"/>
  <c r="B178"/>
  <c r="C178"/>
  <c r="Q178" s="1"/>
  <c r="D178"/>
  <c r="R178" s="1"/>
  <c r="W178" s="1"/>
  <c r="E178"/>
  <c r="S178" s="1"/>
  <c r="X178" s="1"/>
  <c r="F178"/>
  <c r="T178" s="1"/>
  <c r="Y178" s="1"/>
  <c r="G178"/>
  <c r="U178" s="1"/>
  <c r="Z178" s="1"/>
  <c r="H178"/>
  <c r="V178" s="1"/>
  <c r="AA178" s="1"/>
  <c r="I178"/>
  <c r="O178" s="1"/>
  <c r="J178"/>
  <c r="K178"/>
  <c r="L178"/>
  <c r="M178"/>
  <c r="N178"/>
  <c r="A179"/>
  <c r="B179"/>
  <c r="C179"/>
  <c r="Q179" s="1"/>
  <c r="D179"/>
  <c r="R179" s="1"/>
  <c r="W179" s="1"/>
  <c r="E179"/>
  <c r="S179" s="1"/>
  <c r="X179" s="1"/>
  <c r="F179"/>
  <c r="T179" s="1"/>
  <c r="Y179" s="1"/>
  <c r="G179"/>
  <c r="U179" s="1"/>
  <c r="Z179" s="1"/>
  <c r="H179"/>
  <c r="V179" s="1"/>
  <c r="AA179" s="1"/>
  <c r="I179"/>
  <c r="O179" s="1"/>
  <c r="J179"/>
  <c r="K179"/>
  <c r="L179"/>
  <c r="M179"/>
  <c r="N179"/>
  <c r="A180"/>
  <c r="B180"/>
  <c r="C180"/>
  <c r="Q180" s="1"/>
  <c r="D180"/>
  <c r="R180" s="1"/>
  <c r="W180" s="1"/>
  <c r="E180"/>
  <c r="S180" s="1"/>
  <c r="X180" s="1"/>
  <c r="F180"/>
  <c r="T180" s="1"/>
  <c r="Y180" s="1"/>
  <c r="G180"/>
  <c r="U180" s="1"/>
  <c r="Z180" s="1"/>
  <c r="H180"/>
  <c r="V180" s="1"/>
  <c r="AA180" s="1"/>
  <c r="I180"/>
  <c r="O180" s="1"/>
  <c r="J180"/>
  <c r="K180"/>
  <c r="L180"/>
  <c r="M180"/>
  <c r="N180"/>
  <c r="A181"/>
  <c r="B181"/>
  <c r="C181"/>
  <c r="Q181" s="1"/>
  <c r="D181"/>
  <c r="R181" s="1"/>
  <c r="W181" s="1"/>
  <c r="E181"/>
  <c r="S181" s="1"/>
  <c r="X181" s="1"/>
  <c r="F181"/>
  <c r="T181" s="1"/>
  <c r="Y181" s="1"/>
  <c r="G181"/>
  <c r="U181" s="1"/>
  <c r="Z181" s="1"/>
  <c r="H181"/>
  <c r="V181" s="1"/>
  <c r="AA181" s="1"/>
  <c r="I181"/>
  <c r="O181" s="1"/>
  <c r="J181"/>
  <c r="K181"/>
  <c r="L181"/>
  <c r="M181"/>
  <c r="N181"/>
  <c r="A182"/>
  <c r="B182"/>
  <c r="C182"/>
  <c r="Q182" s="1"/>
  <c r="D182"/>
  <c r="R182" s="1"/>
  <c r="W182" s="1"/>
  <c r="E182"/>
  <c r="S182" s="1"/>
  <c r="X182" s="1"/>
  <c r="F182"/>
  <c r="T182" s="1"/>
  <c r="Y182" s="1"/>
  <c r="G182"/>
  <c r="U182" s="1"/>
  <c r="Z182" s="1"/>
  <c r="H182"/>
  <c r="V182" s="1"/>
  <c r="AA182" s="1"/>
  <c r="I182"/>
  <c r="O182" s="1"/>
  <c r="J182"/>
  <c r="K182"/>
  <c r="L182"/>
  <c r="M182"/>
  <c r="N182"/>
  <c r="A183"/>
  <c r="B183"/>
  <c r="C183"/>
  <c r="Q183" s="1"/>
  <c r="D183"/>
  <c r="R183" s="1"/>
  <c r="W183" s="1"/>
  <c r="E183"/>
  <c r="S183" s="1"/>
  <c r="X183" s="1"/>
  <c r="F183"/>
  <c r="T183" s="1"/>
  <c r="Y183" s="1"/>
  <c r="G183"/>
  <c r="U183" s="1"/>
  <c r="Z183" s="1"/>
  <c r="H183"/>
  <c r="V183" s="1"/>
  <c r="AA183" s="1"/>
  <c r="I183"/>
  <c r="O183" s="1"/>
  <c r="J183"/>
  <c r="K183"/>
  <c r="L183"/>
  <c r="M183"/>
  <c r="N183"/>
  <c r="A184"/>
  <c r="B184"/>
  <c r="C184"/>
  <c r="Q184" s="1"/>
  <c r="D184"/>
  <c r="R184" s="1"/>
  <c r="W184" s="1"/>
  <c r="E184"/>
  <c r="S184" s="1"/>
  <c r="X184" s="1"/>
  <c r="F184"/>
  <c r="T184" s="1"/>
  <c r="Y184" s="1"/>
  <c r="G184"/>
  <c r="U184" s="1"/>
  <c r="Z184" s="1"/>
  <c r="H184"/>
  <c r="V184" s="1"/>
  <c r="AA184" s="1"/>
  <c r="I184"/>
  <c r="O184" s="1"/>
  <c r="J184"/>
  <c r="K184"/>
  <c r="L184"/>
  <c r="M184"/>
  <c r="N184"/>
  <c r="A185"/>
  <c r="B185"/>
  <c r="C185"/>
  <c r="Q185" s="1"/>
  <c r="D185"/>
  <c r="R185" s="1"/>
  <c r="W185" s="1"/>
  <c r="E185"/>
  <c r="S185" s="1"/>
  <c r="X185" s="1"/>
  <c r="F185"/>
  <c r="T185" s="1"/>
  <c r="Y185" s="1"/>
  <c r="G185"/>
  <c r="U185" s="1"/>
  <c r="Z185" s="1"/>
  <c r="H185"/>
  <c r="V185" s="1"/>
  <c r="AA185" s="1"/>
  <c r="I185"/>
  <c r="O185" s="1"/>
  <c r="J185"/>
  <c r="K185"/>
  <c r="L185"/>
  <c r="M185"/>
  <c r="N185"/>
  <c r="A186"/>
  <c r="B186"/>
  <c r="C186"/>
  <c r="Q186" s="1"/>
  <c r="D186"/>
  <c r="R186" s="1"/>
  <c r="W186" s="1"/>
  <c r="E186"/>
  <c r="S186" s="1"/>
  <c r="X186" s="1"/>
  <c r="F186"/>
  <c r="T186" s="1"/>
  <c r="Y186" s="1"/>
  <c r="G186"/>
  <c r="U186" s="1"/>
  <c r="Z186" s="1"/>
  <c r="H186"/>
  <c r="V186" s="1"/>
  <c r="AA186" s="1"/>
  <c r="I186"/>
  <c r="O186" s="1"/>
  <c r="J186"/>
  <c r="K186"/>
  <c r="L186"/>
  <c r="M186"/>
  <c r="N186"/>
  <c r="P84" l="1"/>
  <c r="P82"/>
  <c r="P86"/>
  <c r="P79"/>
  <c r="P78"/>
  <c r="P81"/>
  <c r="P80"/>
  <c r="P77"/>
  <c r="P87"/>
  <c r="P85"/>
  <c r="P83"/>
  <c r="P60"/>
  <c r="P56"/>
  <c r="P54"/>
  <c r="P53"/>
  <c r="P55"/>
  <c r="P50"/>
  <c r="P48"/>
  <c r="P46"/>
  <c r="P47"/>
  <c r="P51"/>
  <c r="P49"/>
  <c r="P12"/>
  <c r="P17"/>
  <c r="P15"/>
  <c r="P13"/>
  <c r="P4"/>
  <c r="P9"/>
  <c r="P11"/>
  <c r="P5"/>
  <c r="P2"/>
  <c r="CV79" i="2" s="1"/>
  <c r="P6" i="3"/>
  <c r="P10"/>
  <c r="P7"/>
  <c r="P16"/>
  <c r="P8"/>
  <c r="P3"/>
  <c r="P14"/>
  <c r="P72"/>
  <c r="P57"/>
  <c r="P73"/>
  <c r="P64"/>
  <c r="CV82" i="2"/>
  <c r="P75" i="3"/>
  <c r="P66"/>
  <c r="P69"/>
  <c r="P76"/>
  <c r="P67"/>
  <c r="P62"/>
  <c r="P74"/>
  <c r="P58"/>
  <c r="P65"/>
  <c r="P59"/>
  <c r="P63"/>
  <c r="P70"/>
  <c r="P68"/>
  <c r="P71"/>
  <c r="P61"/>
  <c r="P52"/>
  <c r="P29"/>
  <c r="P44"/>
  <c r="P39"/>
  <c r="P98"/>
  <c r="P91"/>
  <c r="P23"/>
  <c r="P26"/>
  <c r="P36"/>
  <c r="P45"/>
  <c r="P95"/>
  <c r="P21"/>
  <c r="P97"/>
  <c r="P27"/>
  <c r="P18"/>
  <c r="P30"/>
  <c r="CV56" i="2" s="1"/>
  <c r="I56" i="1" s="1"/>
  <c r="P89" i="3"/>
  <c r="P92"/>
  <c r="P22"/>
  <c r="P41"/>
  <c r="P88"/>
  <c r="P96"/>
  <c r="P33"/>
  <c r="P24"/>
  <c r="P43"/>
  <c r="P90"/>
  <c r="P31"/>
  <c r="P20"/>
  <c r="P32"/>
  <c r="P35"/>
  <c r="CV61" i="2" s="1"/>
  <c r="I61" i="1" s="1"/>
  <c r="P38" i="3"/>
  <c r="P25"/>
  <c r="P34"/>
  <c r="P37"/>
  <c r="P93"/>
  <c r="P19"/>
  <c r="P94"/>
  <c r="P28"/>
  <c r="CV54" i="2" s="1"/>
  <c r="I54" i="1" s="1"/>
  <c r="P42" i="3"/>
  <c r="P40"/>
  <c r="CV41" i="2" s="1"/>
  <c r="I41" i="1" s="1"/>
  <c r="AB154" i="3"/>
  <c r="AB152"/>
  <c r="AB139"/>
  <c r="AB159"/>
  <c r="AB156"/>
  <c r="AB153"/>
  <c r="AB144"/>
  <c r="AB129"/>
  <c r="AB158"/>
  <c r="AB142"/>
  <c r="AB148"/>
  <c r="AB155"/>
  <c r="AB121"/>
  <c r="AB149"/>
  <c r="AB143"/>
  <c r="AB111"/>
  <c r="AB160"/>
  <c r="AB147"/>
  <c r="AB138"/>
  <c r="AB150"/>
  <c r="AB157"/>
  <c r="AB103"/>
  <c r="AB161"/>
  <c r="AB145"/>
  <c r="AB151"/>
  <c r="AB178"/>
  <c r="AB164"/>
  <c r="AB106"/>
  <c r="AB130"/>
  <c r="AB115"/>
  <c r="AB174"/>
  <c r="AB172"/>
  <c r="AB141"/>
  <c r="AB107"/>
  <c r="AB168"/>
  <c r="AB166"/>
  <c r="AB176"/>
  <c r="AB140"/>
  <c r="AB134"/>
  <c r="AB110"/>
  <c r="AB170"/>
  <c r="AB122"/>
  <c r="AB182"/>
  <c r="AB162"/>
  <c r="AB146"/>
  <c r="AB126"/>
  <c r="AB185"/>
  <c r="AB183"/>
  <c r="AB181"/>
  <c r="AB179"/>
  <c r="AB177"/>
  <c r="AB175"/>
  <c r="AB173"/>
  <c r="AB171"/>
  <c r="AB169"/>
  <c r="AB167"/>
  <c r="AB165"/>
  <c r="AB163"/>
  <c r="AB186"/>
  <c r="AB184"/>
  <c r="AB180"/>
  <c r="AB127"/>
  <c r="AB136"/>
  <c r="AB135"/>
  <c r="AB137"/>
  <c r="AB133"/>
  <c r="AB132"/>
  <c r="AB119"/>
  <c r="AB118"/>
  <c r="AB113"/>
  <c r="AB131"/>
  <c r="AB125"/>
  <c r="AB123"/>
  <c r="AB109"/>
  <c r="AB100"/>
  <c r="AB99"/>
  <c r="AB124"/>
  <c r="AB117"/>
  <c r="AB114"/>
  <c r="AB102"/>
  <c r="AB128"/>
  <c r="AB112"/>
  <c r="AB105"/>
  <c r="AB116"/>
  <c r="AB108"/>
  <c r="AB101"/>
  <c r="AB120"/>
  <c r="AB104"/>
  <c r="CV80" i="2" l="1"/>
  <c r="I80" i="1" s="1"/>
  <c r="K80" s="1"/>
  <c r="CV63" i="2"/>
  <c r="I63" i="1" s="1"/>
  <c r="I82"/>
  <c r="K82" s="1"/>
  <c r="I79"/>
  <c r="K79" s="1"/>
  <c r="CV75" i="2"/>
  <c r="I75" i="1" s="1"/>
  <c r="CV87" i="2"/>
  <c r="CV66"/>
  <c r="I66" i="1" s="1"/>
  <c r="CV64" i="2"/>
  <c r="I64" i="1" s="1"/>
  <c r="CV72" i="2"/>
  <c r="I72" i="1" s="1"/>
  <c r="CV68" i="2"/>
  <c r="I68" i="1" s="1"/>
  <c r="CV85" i="2"/>
  <c r="CV83"/>
  <c r="CV73"/>
  <c r="I73" i="1" s="1"/>
  <c r="CV78" i="2"/>
  <c r="CV74"/>
  <c r="I74" i="1" s="1"/>
  <c r="CV65" i="2"/>
  <c r="I65" i="1" s="1"/>
  <c r="CV76" i="2"/>
  <c r="I76" i="1" s="1"/>
  <c r="CV71" i="2"/>
  <c r="I71" i="1" s="1"/>
  <c r="CV67" i="2"/>
  <c r="I67" i="1" s="1"/>
  <c r="CV69" i="2"/>
  <c r="I69" i="1" s="1"/>
  <c r="CV81" i="2"/>
  <c r="CV86"/>
  <c r="CV70"/>
  <c r="I70" i="1" s="1"/>
  <c r="CV84" i="2"/>
  <c r="CV77"/>
  <c r="I77" i="1" s="1"/>
  <c r="CV57" i="2"/>
  <c r="I57" i="1" s="1"/>
  <c r="CV59" i="2"/>
  <c r="I59" i="1" s="1"/>
  <c r="CV60" i="2"/>
  <c r="I60" i="1" s="1"/>
  <c r="CV62" i="2"/>
  <c r="I62" i="1" s="1"/>
  <c r="K41"/>
  <c r="CV58" i="2"/>
  <c r="I58" i="1" s="1"/>
  <c r="CV55" i="2"/>
  <c r="I55" i="1" s="1"/>
  <c r="E105" i="6"/>
  <c r="D105"/>
  <c r="E104"/>
  <c r="D104"/>
  <c r="E103"/>
  <c r="D103"/>
  <c r="E102"/>
  <c r="D102"/>
  <c r="E101"/>
  <c r="D101"/>
  <c r="E100"/>
  <c r="D100"/>
  <c r="E99"/>
  <c r="D99"/>
  <c r="E98"/>
  <c r="D98"/>
  <c r="E97"/>
  <c r="D97"/>
  <c r="E96"/>
  <c r="D96"/>
  <c r="E95"/>
  <c r="D95"/>
  <c r="E94"/>
  <c r="D94"/>
  <c r="E93"/>
  <c r="D93"/>
  <c r="E92"/>
  <c r="D92"/>
  <c r="E91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L110"/>
  <c r="K110"/>
  <c r="J110"/>
  <c r="I110"/>
  <c r="H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L109"/>
  <c r="K109"/>
  <c r="J109"/>
  <c r="I109"/>
  <c r="H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L108"/>
  <c r="K108"/>
  <c r="J108"/>
  <c r="I108"/>
  <c r="H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L107"/>
  <c r="K107"/>
  <c r="J107"/>
  <c r="I107"/>
  <c r="H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L106"/>
  <c r="K106"/>
  <c r="J106"/>
  <c r="I106"/>
  <c r="H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L105"/>
  <c r="K105"/>
  <c r="J105"/>
  <c r="I105"/>
  <c r="H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L104"/>
  <c r="K104"/>
  <c r="J104"/>
  <c r="I104"/>
  <c r="H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L103"/>
  <c r="K103"/>
  <c r="J103"/>
  <c r="I103"/>
  <c r="H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L102"/>
  <c r="K102"/>
  <c r="J102"/>
  <c r="I102"/>
  <c r="H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L101"/>
  <c r="K101"/>
  <c r="J101"/>
  <c r="I101"/>
  <c r="H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L100"/>
  <c r="K100"/>
  <c r="J100"/>
  <c r="I100"/>
  <c r="H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L99"/>
  <c r="K99"/>
  <c r="J99"/>
  <c r="I99"/>
  <c r="H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L98"/>
  <c r="K98"/>
  <c r="J98"/>
  <c r="I98"/>
  <c r="H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L97"/>
  <c r="K97"/>
  <c r="J97"/>
  <c r="I97"/>
  <c r="H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L96"/>
  <c r="K96"/>
  <c r="J96"/>
  <c r="I96"/>
  <c r="H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L95"/>
  <c r="K95"/>
  <c r="J95"/>
  <c r="I95"/>
  <c r="H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L94"/>
  <c r="K94"/>
  <c r="J94"/>
  <c r="I94"/>
  <c r="H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L93"/>
  <c r="K93"/>
  <c r="J93"/>
  <c r="I93"/>
  <c r="H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L92"/>
  <c r="K92"/>
  <c r="J92"/>
  <c r="I92"/>
  <c r="H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L91"/>
  <c r="K91"/>
  <c r="J91"/>
  <c r="I91"/>
  <c r="H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L90"/>
  <c r="K90"/>
  <c r="J90"/>
  <c r="I90"/>
  <c r="H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L89"/>
  <c r="K89"/>
  <c r="J89"/>
  <c r="I89"/>
  <c r="H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L88"/>
  <c r="K88"/>
  <c r="J88"/>
  <c r="I88"/>
  <c r="H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L87"/>
  <c r="K87"/>
  <c r="J87"/>
  <c r="I87"/>
  <c r="H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L86"/>
  <c r="K86"/>
  <c r="J86"/>
  <c r="I86"/>
  <c r="H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L85"/>
  <c r="K85"/>
  <c r="J85"/>
  <c r="I85"/>
  <c r="H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L84"/>
  <c r="K84"/>
  <c r="J84"/>
  <c r="I84"/>
  <c r="H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L83"/>
  <c r="K83"/>
  <c r="J83"/>
  <c r="I83"/>
  <c r="H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L82"/>
  <c r="K82"/>
  <c r="J82"/>
  <c r="I82"/>
  <c r="H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L81"/>
  <c r="K81"/>
  <c r="J81"/>
  <c r="I81"/>
  <c r="H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L80"/>
  <c r="K80"/>
  <c r="J80"/>
  <c r="I80"/>
  <c r="H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L79"/>
  <c r="K79"/>
  <c r="J79"/>
  <c r="I79"/>
  <c r="H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L78"/>
  <c r="K78"/>
  <c r="J78"/>
  <c r="I78"/>
  <c r="H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L77"/>
  <c r="K77"/>
  <c r="J77"/>
  <c r="I77"/>
  <c r="H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L76"/>
  <c r="K76"/>
  <c r="J76"/>
  <c r="I76"/>
  <c r="H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L75"/>
  <c r="K75"/>
  <c r="J75"/>
  <c r="I75"/>
  <c r="H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L74"/>
  <c r="K74"/>
  <c r="J74"/>
  <c r="I74"/>
  <c r="H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L73"/>
  <c r="K73"/>
  <c r="J73"/>
  <c r="I73"/>
  <c r="H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L72"/>
  <c r="K72"/>
  <c r="J72"/>
  <c r="I72"/>
  <c r="H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L71"/>
  <c r="K71"/>
  <c r="J71"/>
  <c r="I71"/>
  <c r="H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L70"/>
  <c r="K70"/>
  <c r="J70"/>
  <c r="I70"/>
  <c r="H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L69"/>
  <c r="K69"/>
  <c r="J69"/>
  <c r="I69"/>
  <c r="H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L68"/>
  <c r="K68"/>
  <c r="J68"/>
  <c r="I68"/>
  <c r="H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L67"/>
  <c r="K67"/>
  <c r="J67"/>
  <c r="I67"/>
  <c r="H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L66"/>
  <c r="K66"/>
  <c r="J66"/>
  <c r="I66"/>
  <c r="H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L65"/>
  <c r="K65"/>
  <c r="J65"/>
  <c r="I65"/>
  <c r="H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L64"/>
  <c r="K64"/>
  <c r="J64"/>
  <c r="I64"/>
  <c r="H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L63"/>
  <c r="K63"/>
  <c r="J63"/>
  <c r="I63"/>
  <c r="H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L62"/>
  <c r="K62"/>
  <c r="J62"/>
  <c r="I62"/>
  <c r="H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L61"/>
  <c r="K61"/>
  <c r="J61"/>
  <c r="I61"/>
  <c r="H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L60"/>
  <c r="K60"/>
  <c r="J60"/>
  <c r="I60"/>
  <c r="H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L59"/>
  <c r="K59"/>
  <c r="J59"/>
  <c r="I59"/>
  <c r="H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L58"/>
  <c r="K58"/>
  <c r="J58"/>
  <c r="I58"/>
  <c r="H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Q56"/>
  <c r="P56"/>
  <c r="O56"/>
  <c r="N56"/>
  <c r="L56"/>
  <c r="K56"/>
  <c r="J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Q55"/>
  <c r="P55"/>
  <c r="O55"/>
  <c r="N55"/>
  <c r="L55"/>
  <c r="K55"/>
  <c r="J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Q54"/>
  <c r="P54"/>
  <c r="O54"/>
  <c r="N54"/>
  <c r="L54"/>
  <c r="K54"/>
  <c r="J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Q53"/>
  <c r="P53"/>
  <c r="O53"/>
  <c r="N53"/>
  <c r="L53"/>
  <c r="K53"/>
  <c r="J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Q52"/>
  <c r="P52"/>
  <c r="O52"/>
  <c r="N52"/>
  <c r="L52"/>
  <c r="K52"/>
  <c r="J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Q51"/>
  <c r="P51"/>
  <c r="O51"/>
  <c r="N51"/>
  <c r="L51"/>
  <c r="K51"/>
  <c r="J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Q50"/>
  <c r="P50"/>
  <c r="O50"/>
  <c r="N50"/>
  <c r="L50"/>
  <c r="K50"/>
  <c r="J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Q49"/>
  <c r="P49"/>
  <c r="O49"/>
  <c r="N49"/>
  <c r="L49"/>
  <c r="K49"/>
  <c r="J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Q48"/>
  <c r="P48"/>
  <c r="O48"/>
  <c r="N48"/>
  <c r="L48"/>
  <c r="K48"/>
  <c r="J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Q47"/>
  <c r="P47"/>
  <c r="O47"/>
  <c r="N47"/>
  <c r="L47"/>
  <c r="K47"/>
  <c r="J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Q46"/>
  <c r="P46"/>
  <c r="O46"/>
  <c r="N46"/>
  <c r="L46"/>
  <c r="K46"/>
  <c r="J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Q45"/>
  <c r="P45"/>
  <c r="O45"/>
  <c r="N45"/>
  <c r="L45"/>
  <c r="K45"/>
  <c r="J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Q44"/>
  <c r="P44"/>
  <c r="O44"/>
  <c r="N44"/>
  <c r="L44"/>
  <c r="K44"/>
  <c r="J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Q43"/>
  <c r="P43"/>
  <c r="O43"/>
  <c r="N43"/>
  <c r="L43"/>
  <c r="K43"/>
  <c r="J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Q42"/>
  <c r="P42"/>
  <c r="O42"/>
  <c r="N42"/>
  <c r="L42"/>
  <c r="K42"/>
  <c r="J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Q41"/>
  <c r="P41"/>
  <c r="O41"/>
  <c r="N41"/>
  <c r="L41"/>
  <c r="K41"/>
  <c r="J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Q40"/>
  <c r="P40"/>
  <c r="O40"/>
  <c r="N40"/>
  <c r="L40"/>
  <c r="K40"/>
  <c r="J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Q39"/>
  <c r="P39"/>
  <c r="O39"/>
  <c r="N39"/>
  <c r="L39"/>
  <c r="K39"/>
  <c r="J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Q38"/>
  <c r="P38"/>
  <c r="O38"/>
  <c r="N38"/>
  <c r="L38"/>
  <c r="K38"/>
  <c r="J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Q37"/>
  <c r="P37"/>
  <c r="O37"/>
  <c r="N37"/>
  <c r="L37"/>
  <c r="K37"/>
  <c r="J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Q36"/>
  <c r="P36"/>
  <c r="O36"/>
  <c r="N36"/>
  <c r="L36"/>
  <c r="K36"/>
  <c r="J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Q35"/>
  <c r="P35"/>
  <c r="O35"/>
  <c r="N35"/>
  <c r="L35"/>
  <c r="K35"/>
  <c r="J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Q34"/>
  <c r="P34"/>
  <c r="O34"/>
  <c r="N34"/>
  <c r="L34"/>
  <c r="K34"/>
  <c r="J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Q33"/>
  <c r="P33"/>
  <c r="O33"/>
  <c r="N33"/>
  <c r="L33"/>
  <c r="K33"/>
  <c r="J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Q32"/>
  <c r="P32"/>
  <c r="O32"/>
  <c r="N32"/>
  <c r="L32"/>
  <c r="K32"/>
  <c r="J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Q31"/>
  <c r="P31"/>
  <c r="O31"/>
  <c r="N31"/>
  <c r="L31"/>
  <c r="K31"/>
  <c r="J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Q30"/>
  <c r="P30"/>
  <c r="O30"/>
  <c r="N30"/>
  <c r="L30"/>
  <c r="K30"/>
  <c r="J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Q29"/>
  <c r="P29"/>
  <c r="O29"/>
  <c r="N29"/>
  <c r="L29"/>
  <c r="K29"/>
  <c r="J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Q28"/>
  <c r="P28"/>
  <c r="O28"/>
  <c r="N28"/>
  <c r="L28"/>
  <c r="K28"/>
  <c r="J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Q27"/>
  <c r="P27"/>
  <c r="O27"/>
  <c r="N27"/>
  <c r="L27"/>
  <c r="K27"/>
  <c r="J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Q26"/>
  <c r="P26"/>
  <c r="O26"/>
  <c r="N26"/>
  <c r="L26"/>
  <c r="K26"/>
  <c r="J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Q25"/>
  <c r="P25"/>
  <c r="O25"/>
  <c r="N25"/>
  <c r="L25"/>
  <c r="K25"/>
  <c r="J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Q24"/>
  <c r="P24"/>
  <c r="O24"/>
  <c r="N24"/>
  <c r="L24"/>
  <c r="K24"/>
  <c r="J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Q23"/>
  <c r="P23"/>
  <c r="O23"/>
  <c r="N23"/>
  <c r="L23"/>
  <c r="K23"/>
  <c r="J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Q22"/>
  <c r="P22"/>
  <c r="O22"/>
  <c r="N22"/>
  <c r="L22"/>
  <c r="K22"/>
  <c r="J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Q21"/>
  <c r="P21"/>
  <c r="O21"/>
  <c r="N21"/>
  <c r="L21"/>
  <c r="K21"/>
  <c r="J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Q20"/>
  <c r="P20"/>
  <c r="O20"/>
  <c r="N20"/>
  <c r="L20"/>
  <c r="K20"/>
  <c r="J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Q19"/>
  <c r="P19"/>
  <c r="O19"/>
  <c r="N19"/>
  <c r="L19"/>
  <c r="K19"/>
  <c r="J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Q18"/>
  <c r="P18"/>
  <c r="O18"/>
  <c r="N18"/>
  <c r="L18"/>
  <c r="K18"/>
  <c r="J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Q17"/>
  <c r="P17"/>
  <c r="O17"/>
  <c r="N17"/>
  <c r="L17"/>
  <c r="K17"/>
  <c r="J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Q16"/>
  <c r="P16"/>
  <c r="O16"/>
  <c r="N16"/>
  <c r="L16"/>
  <c r="K16"/>
  <c r="J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Q15"/>
  <c r="P15"/>
  <c r="O15"/>
  <c r="N15"/>
  <c r="L15"/>
  <c r="K15"/>
  <c r="J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Q14"/>
  <c r="P14"/>
  <c r="O14"/>
  <c r="N14"/>
  <c r="L14"/>
  <c r="K14"/>
  <c r="J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Q13"/>
  <c r="P13"/>
  <c r="O13"/>
  <c r="N13"/>
  <c r="L13"/>
  <c r="K13"/>
  <c r="J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Q12"/>
  <c r="P12"/>
  <c r="O12"/>
  <c r="N12"/>
  <c r="L12"/>
  <c r="K12"/>
  <c r="J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Q11"/>
  <c r="P11"/>
  <c r="O11"/>
  <c r="N11"/>
  <c r="L11"/>
  <c r="K11"/>
  <c r="J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Q10"/>
  <c r="P10"/>
  <c r="O10"/>
  <c r="N10"/>
  <c r="L10"/>
  <c r="K10"/>
  <c r="J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Q9"/>
  <c r="P9"/>
  <c r="O9"/>
  <c r="N9"/>
  <c r="L9"/>
  <c r="K9"/>
  <c r="J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Q8"/>
  <c r="P8"/>
  <c r="O8"/>
  <c r="N8"/>
  <c r="L8"/>
  <c r="K8"/>
  <c r="J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Q7"/>
  <c r="P7"/>
  <c r="O7"/>
  <c r="N7"/>
  <c r="L7"/>
  <c r="K7"/>
  <c r="J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Q6"/>
  <c r="P6"/>
  <c r="O6"/>
  <c r="N6"/>
  <c r="L6"/>
  <c r="K6"/>
  <c r="J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Q5"/>
  <c r="P5"/>
  <c r="O5"/>
  <c r="N5"/>
  <c r="L5"/>
  <c r="K5"/>
  <c r="J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Q4"/>
  <c r="P4"/>
  <c r="O4"/>
  <c r="N4"/>
  <c r="L4"/>
  <c r="K4"/>
  <c r="J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DP251" i="2"/>
  <c r="DO251"/>
  <c r="DN251"/>
  <c r="DM251"/>
  <c r="DL251"/>
  <c r="DK251"/>
  <c r="DJ251"/>
  <c r="DI251"/>
  <c r="DH251"/>
  <c r="DG251"/>
  <c r="DF251"/>
  <c r="DE251"/>
  <c r="DD251"/>
  <c r="DC251"/>
  <c r="DB251"/>
  <c r="CR251"/>
  <c r="CQ251"/>
  <c r="CP251"/>
  <c r="CO251"/>
  <c r="CN251"/>
  <c r="DP250"/>
  <c r="DO250"/>
  <c r="DN250"/>
  <c r="DM250"/>
  <c r="DL250"/>
  <c r="DK250"/>
  <c r="DJ250"/>
  <c r="DI250"/>
  <c r="DH250"/>
  <c r="DG250"/>
  <c r="DF250"/>
  <c r="DE250"/>
  <c r="DD250"/>
  <c r="DC250"/>
  <c r="DB250"/>
  <c r="CR250"/>
  <c r="CQ250"/>
  <c r="CP250"/>
  <c r="CO250"/>
  <c r="CN250"/>
  <c r="DP249"/>
  <c r="DO249"/>
  <c r="DN249"/>
  <c r="DM249"/>
  <c r="DL249"/>
  <c r="DK249"/>
  <c r="DJ249"/>
  <c r="DI249"/>
  <c r="DH249"/>
  <c r="DG249"/>
  <c r="DF249"/>
  <c r="DE249"/>
  <c r="DD249"/>
  <c r="DC249"/>
  <c r="DB249"/>
  <c r="CR249"/>
  <c r="CQ249"/>
  <c r="CP249"/>
  <c r="CO249"/>
  <c r="CN249"/>
  <c r="DP248"/>
  <c r="DO248"/>
  <c r="DN248"/>
  <c r="DM248"/>
  <c r="DL248"/>
  <c r="DK248"/>
  <c r="DJ248"/>
  <c r="DI248"/>
  <c r="DH248"/>
  <c r="DG248"/>
  <c r="DF248"/>
  <c r="DE248"/>
  <c r="DD248"/>
  <c r="DC248"/>
  <c r="DB248"/>
  <c r="CR248"/>
  <c r="CQ248"/>
  <c r="CP248"/>
  <c r="CO248"/>
  <c r="CN248"/>
  <c r="DP247"/>
  <c r="DO247"/>
  <c r="DN247"/>
  <c r="DM247"/>
  <c r="DL247"/>
  <c r="DK247"/>
  <c r="DJ247"/>
  <c r="DI247"/>
  <c r="DH247"/>
  <c r="DG247"/>
  <c r="DF247"/>
  <c r="DE247"/>
  <c r="DD247"/>
  <c r="DC247"/>
  <c r="DB247"/>
  <c r="CR247"/>
  <c r="CQ247"/>
  <c r="CP247"/>
  <c r="CO247"/>
  <c r="CN247"/>
  <c r="DP246"/>
  <c r="DO246"/>
  <c r="DN246"/>
  <c r="DM246"/>
  <c r="DL246"/>
  <c r="DK246"/>
  <c r="DJ246"/>
  <c r="DI246"/>
  <c r="DH246"/>
  <c r="DG246"/>
  <c r="DF246"/>
  <c r="DE246"/>
  <c r="DD246"/>
  <c r="DC246"/>
  <c r="DB246"/>
  <c r="CR246"/>
  <c r="CQ246"/>
  <c r="CP246"/>
  <c r="CO246"/>
  <c r="CN246"/>
  <c r="DP245"/>
  <c r="DO245"/>
  <c r="DN245"/>
  <c r="DM245"/>
  <c r="DL245"/>
  <c r="DK245"/>
  <c r="DJ245"/>
  <c r="DI245"/>
  <c r="DH245"/>
  <c r="DG245"/>
  <c r="DF245"/>
  <c r="DE245"/>
  <c r="DD245"/>
  <c r="DC245"/>
  <c r="DB245"/>
  <c r="CR245"/>
  <c r="CQ245"/>
  <c r="CP245"/>
  <c r="CO245"/>
  <c r="CN245"/>
  <c r="DP244"/>
  <c r="DO244"/>
  <c r="DN244"/>
  <c r="DM244"/>
  <c r="DL244"/>
  <c r="DK244"/>
  <c r="DJ244"/>
  <c r="DI244"/>
  <c r="DH244"/>
  <c r="DG244"/>
  <c r="DF244"/>
  <c r="DE244"/>
  <c r="DD244"/>
  <c r="DC244"/>
  <c r="DB244"/>
  <c r="CR244"/>
  <c r="CQ244"/>
  <c r="CP244"/>
  <c r="CO244"/>
  <c r="CN244"/>
  <c r="DP243"/>
  <c r="DO243"/>
  <c r="DN243"/>
  <c r="DM243"/>
  <c r="DL243"/>
  <c r="DK243"/>
  <c r="DJ243"/>
  <c r="DI243"/>
  <c r="DH243"/>
  <c r="DG243"/>
  <c r="DF243"/>
  <c r="DE243"/>
  <c r="DD243"/>
  <c r="DC243"/>
  <c r="DB243"/>
  <c r="CR243"/>
  <c r="CQ243"/>
  <c r="CP243"/>
  <c r="CO243"/>
  <c r="CN243"/>
  <c r="DP242"/>
  <c r="DO242"/>
  <c r="DN242"/>
  <c r="DM242"/>
  <c r="DL242"/>
  <c r="DK242"/>
  <c r="DJ242"/>
  <c r="DI242"/>
  <c r="DH242"/>
  <c r="DG242"/>
  <c r="DF242"/>
  <c r="DE242"/>
  <c r="DD242"/>
  <c r="DC242"/>
  <c r="DB242"/>
  <c r="CR242"/>
  <c r="CQ242"/>
  <c r="CP242"/>
  <c r="CO242"/>
  <c r="CN242"/>
  <c r="DP241"/>
  <c r="DO241"/>
  <c r="DN241"/>
  <c r="DM241"/>
  <c r="DL241"/>
  <c r="DK241"/>
  <c r="DJ241"/>
  <c r="DI241"/>
  <c r="DH241"/>
  <c r="DG241"/>
  <c r="DF241"/>
  <c r="DE241"/>
  <c r="DD241"/>
  <c r="DC241"/>
  <c r="DB241"/>
  <c r="CR241"/>
  <c r="CQ241"/>
  <c r="CP241"/>
  <c r="CO241"/>
  <c r="CN241"/>
  <c r="DP240"/>
  <c r="DO240"/>
  <c r="DN240"/>
  <c r="DM240"/>
  <c r="DL240"/>
  <c r="DK240"/>
  <c r="DJ240"/>
  <c r="DI240"/>
  <c r="DH240"/>
  <c r="DG240"/>
  <c r="DF240"/>
  <c r="DE240"/>
  <c r="DD240"/>
  <c r="DC240"/>
  <c r="DB240"/>
  <c r="CR240"/>
  <c r="CQ240"/>
  <c r="CP240"/>
  <c r="CO240"/>
  <c r="CN240"/>
  <c r="DP239"/>
  <c r="DO239"/>
  <c r="DN239"/>
  <c r="DM239"/>
  <c r="DL239"/>
  <c r="DK239"/>
  <c r="DJ239"/>
  <c r="DI239"/>
  <c r="DH239"/>
  <c r="DG239"/>
  <c r="DF239"/>
  <c r="DE239"/>
  <c r="DD239"/>
  <c r="DC239"/>
  <c r="DB239"/>
  <c r="CR239"/>
  <c r="CQ239"/>
  <c r="CP239"/>
  <c r="CO239"/>
  <c r="CN239"/>
  <c r="DP238"/>
  <c r="DO238"/>
  <c r="DN238"/>
  <c r="DM238"/>
  <c r="DL238"/>
  <c r="DK238"/>
  <c r="DJ238"/>
  <c r="DI238"/>
  <c r="DH238"/>
  <c r="DG238"/>
  <c r="DF238"/>
  <c r="DE238"/>
  <c r="DD238"/>
  <c r="DC238"/>
  <c r="DB238"/>
  <c r="CR238"/>
  <c r="CQ238"/>
  <c r="CP238"/>
  <c r="CO238"/>
  <c r="CN238"/>
  <c r="DP237"/>
  <c r="DO237"/>
  <c r="DN237"/>
  <c r="DM237"/>
  <c r="DL237"/>
  <c r="DK237"/>
  <c r="DJ237"/>
  <c r="DI237"/>
  <c r="DH237"/>
  <c r="DG237"/>
  <c r="DF237"/>
  <c r="DE237"/>
  <c r="DD237"/>
  <c r="DC237"/>
  <c r="DB237"/>
  <c r="CR237"/>
  <c r="CQ237"/>
  <c r="CP237"/>
  <c r="CO237"/>
  <c r="CN237"/>
  <c r="DP236"/>
  <c r="DO236"/>
  <c r="DN236"/>
  <c r="DM236"/>
  <c r="DL236"/>
  <c r="DK236"/>
  <c r="DJ236"/>
  <c r="DI236"/>
  <c r="DH236"/>
  <c r="DG236"/>
  <c r="DF236"/>
  <c r="DE236"/>
  <c r="DD236"/>
  <c r="DC236"/>
  <c r="DB236"/>
  <c r="CR236"/>
  <c r="CQ236"/>
  <c r="CP236"/>
  <c r="CO236"/>
  <c r="CN236"/>
  <c r="DP235"/>
  <c r="DO235"/>
  <c r="DN235"/>
  <c r="DM235"/>
  <c r="DL235"/>
  <c r="DK235"/>
  <c r="DJ235"/>
  <c r="DI235"/>
  <c r="DH235"/>
  <c r="DG235"/>
  <c r="DF235"/>
  <c r="DE235"/>
  <c r="DD235"/>
  <c r="DC235"/>
  <c r="DB235"/>
  <c r="CR235"/>
  <c r="CQ235"/>
  <c r="CP235"/>
  <c r="CO235"/>
  <c r="CN235"/>
  <c r="DP234"/>
  <c r="DO234"/>
  <c r="DN234"/>
  <c r="DM234"/>
  <c r="DL234"/>
  <c r="DK234"/>
  <c r="DJ234"/>
  <c r="DI234"/>
  <c r="DH234"/>
  <c r="DG234"/>
  <c r="DF234"/>
  <c r="DE234"/>
  <c r="DD234"/>
  <c r="DC234"/>
  <c r="DB234"/>
  <c r="CR234"/>
  <c r="CQ234"/>
  <c r="CP234"/>
  <c r="CO234"/>
  <c r="CN234"/>
  <c r="DP233"/>
  <c r="DO233"/>
  <c r="DN233"/>
  <c r="DM233"/>
  <c r="DL233"/>
  <c r="DK233"/>
  <c r="DJ233"/>
  <c r="DI233"/>
  <c r="DH233"/>
  <c r="DG233"/>
  <c r="DF233"/>
  <c r="DE233"/>
  <c r="DD233"/>
  <c r="DC233"/>
  <c r="DB233"/>
  <c r="CR233"/>
  <c r="CQ233"/>
  <c r="CP233"/>
  <c r="CO233"/>
  <c r="CN233"/>
  <c r="DP232"/>
  <c r="DO232"/>
  <c r="DN232"/>
  <c r="DM232"/>
  <c r="DL232"/>
  <c r="DK232"/>
  <c r="DJ232"/>
  <c r="DI232"/>
  <c r="DH232"/>
  <c r="DG232"/>
  <c r="DF232"/>
  <c r="DE232"/>
  <c r="DD232"/>
  <c r="DC232"/>
  <c r="DB232"/>
  <c r="CR232"/>
  <c r="CQ232"/>
  <c r="CP232"/>
  <c r="CO232"/>
  <c r="CN232"/>
  <c r="DP231"/>
  <c r="DO231"/>
  <c r="DN231"/>
  <c r="DM231"/>
  <c r="DL231"/>
  <c r="DK231"/>
  <c r="DJ231"/>
  <c r="DI231"/>
  <c r="DH231"/>
  <c r="DG231"/>
  <c r="DF231"/>
  <c r="DE231"/>
  <c r="DD231"/>
  <c r="DC231"/>
  <c r="DB231"/>
  <c r="CR231"/>
  <c r="CQ231"/>
  <c r="CP231"/>
  <c r="CO231"/>
  <c r="CN231"/>
  <c r="DP230"/>
  <c r="DO230"/>
  <c r="DN230"/>
  <c r="DM230"/>
  <c r="DL230"/>
  <c r="DK230"/>
  <c r="DJ230"/>
  <c r="DI230"/>
  <c r="DH230"/>
  <c r="DG230"/>
  <c r="DF230"/>
  <c r="DE230"/>
  <c r="DD230"/>
  <c r="DC230"/>
  <c r="DB230"/>
  <c r="CR230"/>
  <c r="CQ230"/>
  <c r="CP230"/>
  <c r="CO230"/>
  <c r="CN230"/>
  <c r="DP229"/>
  <c r="DO229"/>
  <c r="DN229"/>
  <c r="DM229"/>
  <c r="DL229"/>
  <c r="DK229"/>
  <c r="DJ229"/>
  <c r="DI229"/>
  <c r="DH229"/>
  <c r="DG229"/>
  <c r="DF229"/>
  <c r="DE229"/>
  <c r="DD229"/>
  <c r="DC229"/>
  <c r="DB229"/>
  <c r="CR229"/>
  <c r="CQ229"/>
  <c r="CP229"/>
  <c r="CO229"/>
  <c r="CN229"/>
  <c r="DP228"/>
  <c r="DO228"/>
  <c r="DN228"/>
  <c r="DM228"/>
  <c r="DL228"/>
  <c r="DK228"/>
  <c r="DJ228"/>
  <c r="DI228"/>
  <c r="DH228"/>
  <c r="DG228"/>
  <c r="DF228"/>
  <c r="DE228"/>
  <c r="DD228"/>
  <c r="DC228"/>
  <c r="DB228"/>
  <c r="CR228"/>
  <c r="CQ228"/>
  <c r="CP228"/>
  <c r="CO228"/>
  <c r="CN228"/>
  <c r="DP227"/>
  <c r="DO227"/>
  <c r="DN227"/>
  <c r="DM227"/>
  <c r="DL227"/>
  <c r="DK227"/>
  <c r="DJ227"/>
  <c r="DI227"/>
  <c r="DH227"/>
  <c r="DG227"/>
  <c r="DF227"/>
  <c r="DE227"/>
  <c r="DD227"/>
  <c r="DC227"/>
  <c r="DB227"/>
  <c r="CR227"/>
  <c r="CQ227"/>
  <c r="CP227"/>
  <c r="CO227"/>
  <c r="CN227"/>
  <c r="DP226"/>
  <c r="DO226"/>
  <c r="DN226"/>
  <c r="DM226"/>
  <c r="DL226"/>
  <c r="DK226"/>
  <c r="DJ226"/>
  <c r="DI226"/>
  <c r="DH226"/>
  <c r="DG226"/>
  <c r="DF226"/>
  <c r="DE226"/>
  <c r="DD226"/>
  <c r="DC226"/>
  <c r="DB226"/>
  <c r="CR226"/>
  <c r="CQ226"/>
  <c r="CP226"/>
  <c r="CO226"/>
  <c r="CN226"/>
  <c r="DP225"/>
  <c r="DO225"/>
  <c r="DN225"/>
  <c r="DM225"/>
  <c r="DL225"/>
  <c r="DK225"/>
  <c r="DJ225"/>
  <c r="DI225"/>
  <c r="DH225"/>
  <c r="DG225"/>
  <c r="DF225"/>
  <c r="DE225"/>
  <c r="DD225"/>
  <c r="DC225"/>
  <c r="DB225"/>
  <c r="CR225"/>
  <c r="CQ225"/>
  <c r="CP225"/>
  <c r="CO225"/>
  <c r="CN225"/>
  <c r="DP224"/>
  <c r="DO224"/>
  <c r="DN224"/>
  <c r="DM224"/>
  <c r="DL224"/>
  <c r="DK224"/>
  <c r="DJ224"/>
  <c r="DI224"/>
  <c r="DH224"/>
  <c r="DG224"/>
  <c r="DF224"/>
  <c r="DE224"/>
  <c r="DD224"/>
  <c r="DC224"/>
  <c r="DB224"/>
  <c r="CR224"/>
  <c r="CQ224"/>
  <c r="CP224"/>
  <c r="CO224"/>
  <c r="CN224"/>
  <c r="DP223"/>
  <c r="DO223"/>
  <c r="DN223"/>
  <c r="DM223"/>
  <c r="DL223"/>
  <c r="DK223"/>
  <c r="DJ223"/>
  <c r="DI223"/>
  <c r="DH223"/>
  <c r="DG223"/>
  <c r="DF223"/>
  <c r="DE223"/>
  <c r="DD223"/>
  <c r="DC223"/>
  <c r="DB223"/>
  <c r="CR223"/>
  <c r="CQ223"/>
  <c r="CP223"/>
  <c r="CO223"/>
  <c r="CN223"/>
  <c r="DP222"/>
  <c r="DO222"/>
  <c r="DN222"/>
  <c r="DM222"/>
  <c r="DL222"/>
  <c r="DK222"/>
  <c r="DJ222"/>
  <c r="DI222"/>
  <c r="DH222"/>
  <c r="DG222"/>
  <c r="DF222"/>
  <c r="DE222"/>
  <c r="DD222"/>
  <c r="DC222"/>
  <c r="DB222"/>
  <c r="CR222"/>
  <c r="CQ222"/>
  <c r="CP222"/>
  <c r="CO222"/>
  <c r="CN222"/>
  <c r="DP221"/>
  <c r="DO221"/>
  <c r="DN221"/>
  <c r="DM221"/>
  <c r="DL221"/>
  <c r="DK221"/>
  <c r="DJ221"/>
  <c r="DI221"/>
  <c r="DH221"/>
  <c r="DG221"/>
  <c r="DF221"/>
  <c r="DE221"/>
  <c r="DD221"/>
  <c r="DC221"/>
  <c r="DB221"/>
  <c r="CR221"/>
  <c r="CQ221"/>
  <c r="CP221"/>
  <c r="CO221"/>
  <c r="CN221"/>
  <c r="CR220"/>
  <c r="CQ220"/>
  <c r="CP220"/>
  <c r="CO220"/>
  <c r="CN220"/>
  <c r="CR219"/>
  <c r="CQ219"/>
  <c r="CP219"/>
  <c r="CO219"/>
  <c r="CN219"/>
  <c r="CR218"/>
  <c r="CQ218"/>
  <c r="CP218"/>
  <c r="CO218"/>
  <c r="CN218"/>
  <c r="CR217"/>
  <c r="CQ217"/>
  <c r="CP217"/>
  <c r="CO217"/>
  <c r="CN217"/>
  <c r="CR216"/>
  <c r="CQ216"/>
  <c r="CP216"/>
  <c r="CO216"/>
  <c r="CN216"/>
  <c r="CR215"/>
  <c r="CQ215"/>
  <c r="CP215"/>
  <c r="CO215"/>
  <c r="CN215"/>
  <c r="CR214"/>
  <c r="CQ214"/>
  <c r="CP214"/>
  <c r="CO214"/>
  <c r="CN214"/>
  <c r="CR213"/>
  <c r="CQ213"/>
  <c r="CP213"/>
  <c r="CO213"/>
  <c r="CN213"/>
  <c r="CR212"/>
  <c r="CQ212"/>
  <c r="CP212"/>
  <c r="CO212"/>
  <c r="CN212"/>
  <c r="CR211"/>
  <c r="CQ211"/>
  <c r="CP211"/>
  <c r="CO211"/>
  <c r="CN211"/>
  <c r="CR210"/>
  <c r="CQ210"/>
  <c r="CP210"/>
  <c r="CO210"/>
  <c r="CN210"/>
  <c r="CR209"/>
  <c r="CQ209"/>
  <c r="CP209"/>
  <c r="CO209"/>
  <c r="CN209"/>
  <c r="CR208"/>
  <c r="CQ208"/>
  <c r="CP208"/>
  <c r="CO208"/>
  <c r="CN208"/>
  <c r="CR207"/>
  <c r="CQ207"/>
  <c r="CP207"/>
  <c r="CO207"/>
  <c r="CN207"/>
  <c r="CU206"/>
  <c r="CR206"/>
  <c r="CQ206"/>
  <c r="CP206"/>
  <c r="CO206"/>
  <c r="CN206"/>
  <c r="CR205"/>
  <c r="CQ205"/>
  <c r="CP205"/>
  <c r="CO205"/>
  <c r="CN205"/>
  <c r="CR204"/>
  <c r="CQ204"/>
  <c r="CP204"/>
  <c r="CO204"/>
  <c r="CN204"/>
  <c r="CR203"/>
  <c r="CQ203"/>
  <c r="CP203"/>
  <c r="CO203"/>
  <c r="CN203"/>
  <c r="CR202"/>
  <c r="CQ202"/>
  <c r="CP202"/>
  <c r="CO202"/>
  <c r="CN202"/>
  <c r="CR201"/>
  <c r="CQ201"/>
  <c r="CP201"/>
  <c r="CO201"/>
  <c r="CN201"/>
  <c r="CR200"/>
  <c r="CQ200"/>
  <c r="CP200"/>
  <c r="CO200"/>
  <c r="CN200"/>
  <c r="CR163"/>
  <c r="CQ163"/>
  <c r="CP163"/>
  <c r="CO163"/>
  <c r="CN163"/>
  <c r="CR162"/>
  <c r="CQ162"/>
  <c r="CP162"/>
  <c r="CO162"/>
  <c r="CN162"/>
  <c r="CR161"/>
  <c r="CQ161"/>
  <c r="CP161"/>
  <c r="CO161"/>
  <c r="CN161"/>
  <c r="CR160"/>
  <c r="CQ160"/>
  <c r="CP160"/>
  <c r="CO160"/>
  <c r="CN160"/>
  <c r="CR159"/>
  <c r="CQ159"/>
  <c r="CP159"/>
  <c r="CO159"/>
  <c r="CN159"/>
  <c r="CR158"/>
  <c r="CQ158"/>
  <c r="CP158"/>
  <c r="CO158"/>
  <c r="CN158"/>
  <c r="CR157"/>
  <c r="CQ157"/>
  <c r="CP157"/>
  <c r="CO157"/>
  <c r="CN157"/>
  <c r="CR156"/>
  <c r="CQ156"/>
  <c r="CP156"/>
  <c r="CO156"/>
  <c r="CN156"/>
  <c r="CR155"/>
  <c r="CQ155"/>
  <c r="CP155"/>
  <c r="CO155"/>
  <c r="CN155"/>
  <c r="CR154"/>
  <c r="CQ154"/>
  <c r="CP154"/>
  <c r="CO154"/>
  <c r="CN154"/>
  <c r="CR153"/>
  <c r="CQ153"/>
  <c r="CP153"/>
  <c r="CO153"/>
  <c r="CN153"/>
  <c r="CR152"/>
  <c r="CQ152"/>
  <c r="CP152"/>
  <c r="CO152"/>
  <c r="CN152"/>
  <c r="CR151"/>
  <c r="CQ151"/>
  <c r="CP151"/>
  <c r="CO151"/>
  <c r="CN151"/>
  <c r="CR150"/>
  <c r="CQ150"/>
  <c r="CP150"/>
  <c r="CO150"/>
  <c r="CN150"/>
  <c r="CR149"/>
  <c r="CQ149"/>
  <c r="CP149"/>
  <c r="CO149"/>
  <c r="CN149"/>
  <c r="CR148"/>
  <c r="CQ148"/>
  <c r="CP148"/>
  <c r="CO148"/>
  <c r="CN148"/>
  <c r="CR147"/>
  <c r="CQ147"/>
  <c r="CP147"/>
  <c r="CO147"/>
  <c r="CN147"/>
  <c r="CR146"/>
  <c r="CQ146"/>
  <c r="CP146"/>
  <c r="CO146"/>
  <c r="CN146"/>
  <c r="CR145"/>
  <c r="CQ145"/>
  <c r="CP145"/>
  <c r="CO145"/>
  <c r="CN145"/>
  <c r="CR144"/>
  <c r="CQ144"/>
  <c r="CP144"/>
  <c r="CO144"/>
  <c r="CN144"/>
  <c r="CR143"/>
  <c r="CQ143"/>
  <c r="CP143"/>
  <c r="CO143"/>
  <c r="CN143"/>
  <c r="CR142"/>
  <c r="CQ142"/>
  <c r="CP142"/>
  <c r="CO142"/>
  <c r="CN142"/>
  <c r="CR141"/>
  <c r="CQ141"/>
  <c r="CP141"/>
  <c r="CO141"/>
  <c r="CN141"/>
  <c r="CR140"/>
  <c r="CQ140"/>
  <c r="CP140"/>
  <c r="CO140"/>
  <c r="CN140"/>
  <c r="CR139"/>
  <c r="CQ139"/>
  <c r="CP139"/>
  <c r="CO139"/>
  <c r="CN139"/>
  <c r="CR138"/>
  <c r="CQ138"/>
  <c r="CP138"/>
  <c r="CO138"/>
  <c r="CN138"/>
  <c r="CR137"/>
  <c r="CQ137"/>
  <c r="CP137"/>
  <c r="CO137"/>
  <c r="CN137"/>
  <c r="CR136"/>
  <c r="CQ136"/>
  <c r="CP136"/>
  <c r="CO136"/>
  <c r="CN136"/>
  <c r="CR135"/>
  <c r="CQ135"/>
  <c r="CP135"/>
  <c r="CO135"/>
  <c r="CN135"/>
  <c r="CQ63"/>
  <c r="CP63"/>
  <c r="CO63"/>
  <c r="CN63"/>
  <c r="CQ3"/>
  <c r="CP3"/>
  <c r="CO3"/>
  <c r="CN3"/>
  <c r="N58" i="5"/>
  <c r="G58"/>
  <c r="R4"/>
  <c r="I4"/>
  <c r="I85" i="1" l="1"/>
  <c r="K85" s="1"/>
  <c r="I84"/>
  <c r="K84" s="1"/>
  <c r="I83"/>
  <c r="K83" s="1"/>
  <c r="I78"/>
  <c r="K78" s="1"/>
  <c r="I87"/>
  <c r="K87" s="1"/>
  <c r="I81"/>
  <c r="K81" s="1"/>
  <c r="I86"/>
  <c r="K86" s="1"/>
  <c r="CU238" i="2"/>
  <c r="CU246"/>
  <c r="CU247"/>
  <c r="CV42"/>
  <c r="I42" i="1" s="1"/>
  <c r="CV53" i="2"/>
  <c r="CV40"/>
  <c r="I40" i="1" s="1"/>
  <c r="CV24" i="2"/>
  <c r="CV10"/>
  <c r="CV30"/>
  <c r="CV48"/>
  <c r="I48" i="1" s="1"/>
  <c r="CV28" i="2"/>
  <c r="I28" i="1" s="1"/>
  <c r="CV9" i="2"/>
  <c r="CV51"/>
  <c r="CV29"/>
  <c r="CV38"/>
  <c r="I38" i="1" s="1"/>
  <c r="P261" i="3"/>
  <c r="P260"/>
  <c r="P259"/>
  <c r="P262"/>
  <c r="P263"/>
  <c r="P251"/>
  <c r="P250"/>
  <c r="P253"/>
  <c r="P255"/>
  <c r="P256"/>
  <c r="P254"/>
  <c r="P257"/>
  <c r="P258"/>
  <c r="P252"/>
  <c r="P245"/>
  <c r="P247"/>
  <c r="P248"/>
  <c r="P249"/>
  <c r="P246"/>
  <c r="P233"/>
  <c r="P234"/>
  <c r="P228"/>
  <c r="P242"/>
  <c r="P238"/>
  <c r="P243"/>
  <c r="P231"/>
  <c r="P227"/>
  <c r="P239"/>
  <c r="P235"/>
  <c r="P240"/>
  <c r="P230"/>
  <c r="P236"/>
  <c r="P244"/>
  <c r="P226"/>
  <c r="P237"/>
  <c r="P229"/>
  <c r="P232"/>
  <c r="P241"/>
  <c r="P213"/>
  <c r="P201"/>
  <c r="P217"/>
  <c r="P223"/>
  <c r="P207"/>
  <c r="P215"/>
  <c r="P218"/>
  <c r="P205"/>
  <c r="P224"/>
  <c r="P212"/>
  <c r="P210"/>
  <c r="P209"/>
  <c r="P225"/>
  <c r="P214"/>
  <c r="P199"/>
  <c r="P203"/>
  <c r="P208"/>
  <c r="P202"/>
  <c r="P221"/>
  <c r="P220"/>
  <c r="P211"/>
  <c r="P204"/>
  <c r="P222"/>
  <c r="P206"/>
  <c r="P216"/>
  <c r="P219"/>
  <c r="P200"/>
  <c r="CU202" i="2"/>
  <c r="CU203"/>
  <c r="CU204"/>
  <c r="CU205"/>
  <c r="CU222"/>
  <c r="CU210"/>
  <c r="CU218"/>
  <c r="CU220"/>
  <c r="CU221"/>
  <c r="CU214"/>
  <c r="CU215"/>
  <c r="CU226"/>
  <c r="CU234"/>
  <c r="CU236"/>
  <c r="CU237"/>
  <c r="CU230"/>
  <c r="CU231"/>
  <c r="CU242"/>
  <c r="CU250"/>
  <c r="P191" i="3"/>
  <c r="P190"/>
  <c r="P195"/>
  <c r="P196"/>
  <c r="P186"/>
  <c r="P188"/>
  <c r="P189"/>
  <c r="P197"/>
  <c r="P193"/>
  <c r="P187"/>
  <c r="P194"/>
  <c r="P192"/>
  <c r="P198"/>
  <c r="P147"/>
  <c r="P157"/>
  <c r="P123"/>
  <c r="P133"/>
  <c r="P120"/>
  <c r="P99"/>
  <c r="P166"/>
  <c r="P127"/>
  <c r="P171"/>
  <c r="P156"/>
  <c r="P173"/>
  <c r="P155"/>
  <c r="P158"/>
  <c r="P165"/>
  <c r="P146"/>
  <c r="P144"/>
  <c r="P164"/>
  <c r="P170"/>
  <c r="P135"/>
  <c r="P119"/>
  <c r="P114"/>
  <c r="P126"/>
  <c r="P137"/>
  <c r="P121"/>
  <c r="P181"/>
  <c r="P168"/>
  <c r="P174"/>
  <c r="P136"/>
  <c r="P118"/>
  <c r="P107"/>
  <c r="P116"/>
  <c r="P128"/>
  <c r="P141"/>
  <c r="P117"/>
  <c r="P148"/>
  <c r="P151"/>
  <c r="P139"/>
  <c r="P101"/>
  <c r="P163"/>
  <c r="P152"/>
  <c r="P153"/>
  <c r="P184"/>
  <c r="P138"/>
  <c r="P183"/>
  <c r="P172"/>
  <c r="P178"/>
  <c r="P103"/>
  <c r="P104"/>
  <c r="P111"/>
  <c r="P130"/>
  <c r="P113"/>
  <c r="P110"/>
  <c r="P176"/>
  <c r="P182"/>
  <c r="P140"/>
  <c r="P100"/>
  <c r="P108"/>
  <c r="P109"/>
  <c r="P106"/>
  <c r="P185"/>
  <c r="P180"/>
  <c r="P150"/>
  <c r="P131"/>
  <c r="P105"/>
  <c r="P102"/>
  <c r="P115"/>
  <c r="P125"/>
  <c r="P145"/>
  <c r="P143"/>
  <c r="P149"/>
  <c r="P169"/>
  <c r="P167"/>
  <c r="P154"/>
  <c r="P122"/>
  <c r="P175"/>
  <c r="P159"/>
  <c r="P177"/>
  <c r="P160"/>
  <c r="P161"/>
  <c r="P129"/>
  <c r="P179"/>
  <c r="P124"/>
  <c r="P142"/>
  <c r="P134"/>
  <c r="P132"/>
  <c r="P112"/>
  <c r="P162"/>
  <c r="CU200" i="2"/>
  <c r="CU201"/>
  <c r="CU211"/>
  <c r="CU216"/>
  <c r="CU217"/>
  <c r="CU227"/>
  <c r="CU232"/>
  <c r="CU233"/>
  <c r="CU243"/>
  <c r="CU248"/>
  <c r="CU249"/>
  <c r="G59" i="5"/>
  <c r="M59" s="1"/>
  <c r="CB59" s="1"/>
  <c r="CR3" i="2"/>
  <c r="CU208"/>
  <c r="CU209"/>
  <c r="CU219"/>
  <c r="CU224"/>
  <c r="CU225"/>
  <c r="CU235"/>
  <c r="CU240"/>
  <c r="CU241"/>
  <c r="CU251"/>
  <c r="CU207"/>
  <c r="CU212"/>
  <c r="CU213"/>
  <c r="CU223"/>
  <c r="CU228"/>
  <c r="CU229"/>
  <c r="CU239"/>
  <c r="CU244"/>
  <c r="CU245"/>
  <c r="AT186" i="5"/>
  <c r="CE186" s="1"/>
  <c r="X187"/>
  <c r="CC187" s="1"/>
  <c r="BP187"/>
  <c r="CG187" s="1"/>
  <c r="AT188"/>
  <c r="CE188" s="1"/>
  <c r="X189"/>
  <c r="CC189" s="1"/>
  <c r="BP189"/>
  <c r="CG189" s="1"/>
  <c r="AT190"/>
  <c r="CE190" s="1"/>
  <c r="X191"/>
  <c r="CC191" s="1"/>
  <c r="BP191"/>
  <c r="CG191" s="1"/>
  <c r="AT192"/>
  <c r="CE192" s="1"/>
  <c r="X193"/>
  <c r="CC193" s="1"/>
  <c r="CA193"/>
  <c r="CH193" s="1"/>
  <c r="BP195"/>
  <c r="CG195" s="1"/>
  <c r="AI196"/>
  <c r="CD196" s="1"/>
  <c r="CA198"/>
  <c r="CH198" s="1"/>
  <c r="AI200"/>
  <c r="CD200" s="1"/>
  <c r="X203"/>
  <c r="CC203" s="1"/>
  <c r="AT203"/>
  <c r="CE203" s="1"/>
  <c r="BP203"/>
  <c r="CG203" s="1"/>
  <c r="AT204"/>
  <c r="CE204" s="1"/>
  <c r="X205"/>
  <c r="CC205" s="1"/>
  <c r="AT205"/>
  <c r="CE205" s="1"/>
  <c r="X206"/>
  <c r="CC206" s="1"/>
  <c r="X208"/>
  <c r="CC208" s="1"/>
  <c r="BP208"/>
  <c r="CG208" s="1"/>
  <c r="X209"/>
  <c r="CC209" s="1"/>
  <c r="AT209"/>
  <c r="CE209" s="1"/>
  <c r="X257"/>
  <c r="CC257" s="1"/>
  <c r="AT257"/>
  <c r="CE257" s="1"/>
  <c r="BP259"/>
  <c r="CG259" s="1"/>
  <c r="X261"/>
  <c r="CC261" s="1"/>
  <c r="BP261"/>
  <c r="CG261" s="1"/>
  <c r="AT262"/>
  <c r="CE262" s="1"/>
  <c r="BE264"/>
  <c r="CF264" s="1"/>
  <c r="AT265"/>
  <c r="CE265" s="1"/>
  <c r="X268"/>
  <c r="CC268" s="1"/>
  <c r="X270"/>
  <c r="CC270" s="1"/>
  <c r="AT271"/>
  <c r="CE271" s="1"/>
  <c r="BP272"/>
  <c r="CG272" s="1"/>
  <c r="CA272"/>
  <c r="CH272" s="1"/>
  <c r="AI275"/>
  <c r="CD275" s="1"/>
  <c r="AT287"/>
  <c r="CE287" s="1"/>
  <c r="BE288"/>
  <c r="CF288" s="1"/>
  <c r="BP288"/>
  <c r="CG288" s="1"/>
  <c r="AI290"/>
  <c r="CD290" s="1"/>
  <c r="BE291"/>
  <c r="CF291" s="1"/>
  <c r="X58"/>
  <c r="CC58" s="1"/>
  <c r="N59"/>
  <c r="X59" s="1"/>
  <c r="CC59" s="1"/>
  <c r="BE178"/>
  <c r="CF178" s="1"/>
  <c r="BE179"/>
  <c r="CF179" s="1"/>
  <c r="BE180"/>
  <c r="CF180" s="1"/>
  <c r="BE181"/>
  <c r="CF181" s="1"/>
  <c r="BE223"/>
  <c r="CF223" s="1"/>
  <c r="BE241"/>
  <c r="CF241" s="1"/>
  <c r="BE245"/>
  <c r="CF245" s="1"/>
  <c r="X165"/>
  <c r="CC165" s="1"/>
  <c r="BP167"/>
  <c r="CG167" s="1"/>
  <c r="X173"/>
  <c r="CC173" s="1"/>
  <c r="X213"/>
  <c r="CC213" s="1"/>
  <c r="BP215"/>
  <c r="CG215" s="1"/>
  <c r="X235"/>
  <c r="CC235" s="1"/>
  <c r="BP237"/>
  <c r="CG237" s="1"/>
  <c r="BP4"/>
  <c r="CG4" s="1"/>
  <c r="BP6"/>
  <c r="CG6" s="1"/>
  <c r="BP8"/>
  <c r="CG8" s="1"/>
  <c r="BP10"/>
  <c r="CG10" s="1"/>
  <c r="BP12"/>
  <c r="CG12" s="1"/>
  <c r="BP14"/>
  <c r="CG14" s="1"/>
  <c r="BP16"/>
  <c r="CG16" s="1"/>
  <c r="CA58"/>
  <c r="CH58" s="1"/>
  <c r="CA60"/>
  <c r="CH60" s="1"/>
  <c r="CA62"/>
  <c r="CH62" s="1"/>
  <c r="CA64"/>
  <c r="CH64" s="1"/>
  <c r="CA66"/>
  <c r="CH66" s="1"/>
  <c r="CA68"/>
  <c r="CH68" s="1"/>
  <c r="CA70"/>
  <c r="CH70" s="1"/>
  <c r="CA72"/>
  <c r="CH72" s="1"/>
  <c r="CA74"/>
  <c r="CH74" s="1"/>
  <c r="CA76"/>
  <c r="CH76" s="1"/>
  <c r="CA78"/>
  <c r="CH78" s="1"/>
  <c r="CA80"/>
  <c r="CH80" s="1"/>
  <c r="CA82"/>
  <c r="CH82" s="1"/>
  <c r="CA84"/>
  <c r="CH84" s="1"/>
  <c r="AI185"/>
  <c r="CD185" s="1"/>
  <c r="AI225"/>
  <c r="CD225" s="1"/>
  <c r="CA227"/>
  <c r="CH227" s="1"/>
  <c r="AI255"/>
  <c r="CD255" s="1"/>
  <c r="CA255"/>
  <c r="CH255" s="1"/>
  <c r="BE256"/>
  <c r="CF256" s="1"/>
  <c r="BE3"/>
  <c r="CF3" s="1"/>
  <c r="BE10"/>
  <c r="CF10" s="1"/>
  <c r="BE12"/>
  <c r="CF12" s="1"/>
  <c r="BE14"/>
  <c r="CF14" s="1"/>
  <c r="BE16"/>
  <c r="CF16" s="1"/>
  <c r="AT58"/>
  <c r="CE58" s="1"/>
  <c r="BP58"/>
  <c r="CG58" s="1"/>
  <c r="AT59"/>
  <c r="CE59" s="1"/>
  <c r="BP59"/>
  <c r="CG59" s="1"/>
  <c r="AT60"/>
  <c r="CE60" s="1"/>
  <c r="BP60"/>
  <c r="CG60" s="1"/>
  <c r="AT61"/>
  <c r="CE61" s="1"/>
  <c r="BP61"/>
  <c r="CG61" s="1"/>
  <c r="AT62"/>
  <c r="CE62" s="1"/>
  <c r="BP62"/>
  <c r="CG62" s="1"/>
  <c r="AT63"/>
  <c r="CE63" s="1"/>
  <c r="BP63"/>
  <c r="CG63" s="1"/>
  <c r="AT64"/>
  <c r="CE64" s="1"/>
  <c r="BP64"/>
  <c r="CG64" s="1"/>
  <c r="AT65"/>
  <c r="CE65" s="1"/>
  <c r="BP65"/>
  <c r="CG65" s="1"/>
  <c r="AT66"/>
  <c r="CE66" s="1"/>
  <c r="BP66"/>
  <c r="CG66" s="1"/>
  <c r="AT67"/>
  <c r="CE67" s="1"/>
  <c r="BP67"/>
  <c r="CG67" s="1"/>
  <c r="AT68"/>
  <c r="CE68" s="1"/>
  <c r="BP68"/>
  <c r="CG68" s="1"/>
  <c r="AT69"/>
  <c r="CE69" s="1"/>
  <c r="BP69"/>
  <c r="CG69" s="1"/>
  <c r="AT70"/>
  <c r="CE70" s="1"/>
  <c r="BP70"/>
  <c r="CG70" s="1"/>
  <c r="AT71"/>
  <c r="CE71" s="1"/>
  <c r="BP71"/>
  <c r="CG71" s="1"/>
  <c r="AT72"/>
  <c r="CE72" s="1"/>
  <c r="AT91"/>
  <c r="CE91" s="1"/>
  <c r="CA20"/>
  <c r="CH20" s="1"/>
  <c r="CA22"/>
  <c r="CH22" s="1"/>
  <c r="CA24"/>
  <c r="CH24" s="1"/>
  <c r="CA26"/>
  <c r="CH26" s="1"/>
  <c r="CA28"/>
  <c r="CH28" s="1"/>
  <c r="CA30"/>
  <c r="CH30" s="1"/>
  <c r="CA32"/>
  <c r="CH32" s="1"/>
  <c r="CA34"/>
  <c r="CH34" s="1"/>
  <c r="CA36"/>
  <c r="CH36" s="1"/>
  <c r="CA38"/>
  <c r="CH38" s="1"/>
  <c r="CA40"/>
  <c r="CH40" s="1"/>
  <c r="CA42"/>
  <c r="CH42" s="1"/>
  <c r="CA44"/>
  <c r="CH44" s="1"/>
  <c r="CA46"/>
  <c r="CH46" s="1"/>
  <c r="CA48"/>
  <c r="CH48" s="1"/>
  <c r="CA50"/>
  <c r="CH50" s="1"/>
  <c r="CA52"/>
  <c r="CH52" s="1"/>
  <c r="CA54"/>
  <c r="CH54" s="1"/>
  <c r="CA56"/>
  <c r="CH56" s="1"/>
  <c r="AI4"/>
  <c r="CD4" s="1"/>
  <c r="CA4"/>
  <c r="CH4" s="1"/>
  <c r="AI6"/>
  <c r="CD6" s="1"/>
  <c r="CA6"/>
  <c r="CH6" s="1"/>
  <c r="AI8"/>
  <c r="CD8" s="1"/>
  <c r="CA8"/>
  <c r="CH8" s="1"/>
  <c r="AI10"/>
  <c r="CD10" s="1"/>
  <c r="AT10"/>
  <c r="CE10" s="1"/>
  <c r="CA10"/>
  <c r="CH10" s="1"/>
  <c r="BE11"/>
  <c r="CF11" s="1"/>
  <c r="AI12"/>
  <c r="CD12" s="1"/>
  <c r="AT12"/>
  <c r="CE12" s="1"/>
  <c r="CA12"/>
  <c r="CH12" s="1"/>
  <c r="BE13"/>
  <c r="CF13" s="1"/>
  <c r="AI14"/>
  <c r="CD14" s="1"/>
  <c r="AT14"/>
  <c r="CE14" s="1"/>
  <c r="CA14"/>
  <c r="CH14" s="1"/>
  <c r="BE15"/>
  <c r="CF15" s="1"/>
  <c r="AI16"/>
  <c r="CD16" s="1"/>
  <c r="AT16"/>
  <c r="CE16" s="1"/>
  <c r="CA16"/>
  <c r="CH16" s="1"/>
  <c r="BE17"/>
  <c r="CF17" s="1"/>
  <c r="AI18"/>
  <c r="CD18" s="1"/>
  <c r="BP18"/>
  <c r="CG18" s="1"/>
  <c r="BE19"/>
  <c r="CF19" s="1"/>
  <c r="AI20"/>
  <c r="CD20" s="1"/>
  <c r="AT20"/>
  <c r="CE20" s="1"/>
  <c r="BP20"/>
  <c r="CG20" s="1"/>
  <c r="BE21"/>
  <c r="CF21" s="1"/>
  <c r="AI22"/>
  <c r="CD22" s="1"/>
  <c r="AT22"/>
  <c r="CE22" s="1"/>
  <c r="BP22"/>
  <c r="CG22" s="1"/>
  <c r="BE23"/>
  <c r="CF23" s="1"/>
  <c r="AI24"/>
  <c r="CD24" s="1"/>
  <c r="AT24"/>
  <c r="CE24" s="1"/>
  <c r="BP24"/>
  <c r="CG24" s="1"/>
  <c r="BE25"/>
  <c r="CF25" s="1"/>
  <c r="AI26"/>
  <c r="CD26" s="1"/>
  <c r="AT26"/>
  <c r="CE26" s="1"/>
  <c r="BP26"/>
  <c r="CG26" s="1"/>
  <c r="BE27"/>
  <c r="CF27" s="1"/>
  <c r="AI28"/>
  <c r="CD28" s="1"/>
  <c r="AT28"/>
  <c r="CE28" s="1"/>
  <c r="BP28"/>
  <c r="CG28" s="1"/>
  <c r="BE29"/>
  <c r="CF29" s="1"/>
  <c r="AI30"/>
  <c r="CD30" s="1"/>
  <c r="BP94"/>
  <c r="CG94" s="1"/>
  <c r="BP241"/>
  <c r="CG241" s="1"/>
  <c r="CA241"/>
  <c r="CH241" s="1"/>
  <c r="AT243"/>
  <c r="CE243" s="1"/>
  <c r="X244"/>
  <c r="CC244" s="1"/>
  <c r="BE244"/>
  <c r="CF244" s="1"/>
  <c r="X245"/>
  <c r="CC245" s="1"/>
  <c r="AI245"/>
  <c r="CD245" s="1"/>
  <c r="CA245"/>
  <c r="CH245" s="1"/>
  <c r="BE246"/>
  <c r="CF246" s="1"/>
  <c r="BP247"/>
  <c r="CG247" s="1"/>
  <c r="CA247"/>
  <c r="CH247" s="1"/>
  <c r="BE248"/>
  <c r="CF248" s="1"/>
  <c r="AT249"/>
  <c r="CE249" s="1"/>
  <c r="BP249"/>
  <c r="CG249" s="1"/>
  <c r="AI251"/>
  <c r="CD251" s="1"/>
  <c r="AI301"/>
  <c r="CD301" s="1"/>
  <c r="BE301"/>
  <c r="CF301" s="1"/>
  <c r="CA302"/>
  <c r="CH302" s="1"/>
  <c r="AI303"/>
  <c r="CD303" s="1"/>
  <c r="BE304"/>
  <c r="CF304" s="1"/>
  <c r="BE305"/>
  <c r="CF305" s="1"/>
  <c r="CA308"/>
  <c r="CH308" s="1"/>
  <c r="AI309"/>
  <c r="CD309" s="1"/>
  <c r="BE309"/>
  <c r="CF309" s="1"/>
  <c r="BE310"/>
  <c r="CF310" s="1"/>
  <c r="CA311"/>
  <c r="CH311" s="1"/>
  <c r="CA313"/>
  <c r="CH313" s="1"/>
  <c r="AI89"/>
  <c r="CD89" s="1"/>
  <c r="CA89"/>
  <c r="CH89" s="1"/>
  <c r="AT95"/>
  <c r="CE95" s="1"/>
  <c r="AI131"/>
  <c r="CD131" s="1"/>
  <c r="CA131"/>
  <c r="CH131" s="1"/>
  <c r="AI133"/>
  <c r="CD133" s="1"/>
  <c r="CA133"/>
  <c r="CH133" s="1"/>
  <c r="AI135"/>
  <c r="CD135" s="1"/>
  <c r="CA135"/>
  <c r="CH135" s="1"/>
  <c r="AI137"/>
  <c r="CD137" s="1"/>
  <c r="CA137"/>
  <c r="CH137" s="1"/>
  <c r="AI139"/>
  <c r="CD139" s="1"/>
  <c r="CA139"/>
  <c r="CH139" s="1"/>
  <c r="AI141"/>
  <c r="CD141" s="1"/>
  <c r="CA141"/>
  <c r="CH141" s="1"/>
  <c r="AI143"/>
  <c r="CD143" s="1"/>
  <c r="CA143"/>
  <c r="CH143" s="1"/>
  <c r="AI145"/>
  <c r="CD145" s="1"/>
  <c r="CA145"/>
  <c r="CH145" s="1"/>
  <c r="AI147"/>
  <c r="CD147" s="1"/>
  <c r="CA147"/>
  <c r="CH147" s="1"/>
  <c r="AI149"/>
  <c r="CD149" s="1"/>
  <c r="CA149"/>
  <c r="CH149" s="1"/>
  <c r="AI151"/>
  <c r="CD151" s="1"/>
  <c r="CA151"/>
  <c r="CH151" s="1"/>
  <c r="AI153"/>
  <c r="CD153" s="1"/>
  <c r="CA153"/>
  <c r="CH153" s="1"/>
  <c r="AI155"/>
  <c r="CD155" s="1"/>
  <c r="CA155"/>
  <c r="CH155" s="1"/>
  <c r="AI157"/>
  <c r="CD157" s="1"/>
  <c r="CA157"/>
  <c r="CH157" s="1"/>
  <c r="AI159"/>
  <c r="CD159" s="1"/>
  <c r="CA159"/>
  <c r="CH159" s="1"/>
  <c r="AI161"/>
  <c r="CD161" s="1"/>
  <c r="CA161"/>
  <c r="CH161" s="1"/>
  <c r="AI163"/>
  <c r="CD163" s="1"/>
  <c r="CA163"/>
  <c r="CH163" s="1"/>
  <c r="CA165"/>
  <c r="CH165" s="1"/>
  <c r="AI167"/>
  <c r="CD167" s="1"/>
  <c r="BE168"/>
  <c r="CF168" s="1"/>
  <c r="AI169"/>
  <c r="CD169" s="1"/>
  <c r="CA169"/>
  <c r="CH169" s="1"/>
  <c r="BE170"/>
  <c r="CF170" s="1"/>
  <c r="AI171"/>
  <c r="CD171" s="1"/>
  <c r="CA171"/>
  <c r="CH171" s="1"/>
  <c r="CA173"/>
  <c r="CH173" s="1"/>
  <c r="CA175"/>
  <c r="CH175" s="1"/>
  <c r="AI177"/>
  <c r="CD177" s="1"/>
  <c r="AT30"/>
  <c r="CE30" s="1"/>
  <c r="BP30"/>
  <c r="CG30" s="1"/>
  <c r="BE31"/>
  <c r="CF31" s="1"/>
  <c r="AI32"/>
  <c r="CD32" s="1"/>
  <c r="AT32"/>
  <c r="CE32" s="1"/>
  <c r="BP32"/>
  <c r="CG32" s="1"/>
  <c r="BE33"/>
  <c r="CF33" s="1"/>
  <c r="AI34"/>
  <c r="CD34" s="1"/>
  <c r="AT34"/>
  <c r="CE34" s="1"/>
  <c r="BP34"/>
  <c r="CG34" s="1"/>
  <c r="BE35"/>
  <c r="CF35" s="1"/>
  <c r="AI36"/>
  <c r="CD36" s="1"/>
  <c r="AT36"/>
  <c r="CE36" s="1"/>
  <c r="BP36"/>
  <c r="CG36" s="1"/>
  <c r="BE37"/>
  <c r="CF37" s="1"/>
  <c r="AI38"/>
  <c r="CD38" s="1"/>
  <c r="AT38"/>
  <c r="CE38" s="1"/>
  <c r="BP38"/>
  <c r="CG38" s="1"/>
  <c r="BE39"/>
  <c r="CF39" s="1"/>
  <c r="AI40"/>
  <c r="CD40" s="1"/>
  <c r="AT40"/>
  <c r="CE40" s="1"/>
  <c r="BP40"/>
  <c r="CG40" s="1"/>
  <c r="BE41"/>
  <c r="CF41" s="1"/>
  <c r="AI42"/>
  <c r="CD42" s="1"/>
  <c r="AT42"/>
  <c r="CE42" s="1"/>
  <c r="BP42"/>
  <c r="CG42" s="1"/>
  <c r="BE43"/>
  <c r="CF43" s="1"/>
  <c r="AI44"/>
  <c r="CD44" s="1"/>
  <c r="AT44"/>
  <c r="CE44" s="1"/>
  <c r="BP44"/>
  <c r="CG44" s="1"/>
  <c r="BP90"/>
  <c r="CG90" s="1"/>
  <c r="AI93"/>
  <c r="CD93" s="1"/>
  <c r="CA93"/>
  <c r="CH93" s="1"/>
  <c r="BE190"/>
  <c r="CF190" s="1"/>
  <c r="X190"/>
  <c r="CC190" s="1"/>
  <c r="BP190"/>
  <c r="CG190" s="1"/>
  <c r="BE191"/>
  <c r="CF191" s="1"/>
  <c r="AT191"/>
  <c r="CE191" s="1"/>
  <c r="X192"/>
  <c r="CC192" s="1"/>
  <c r="BP192"/>
  <c r="CG192" s="1"/>
  <c r="BE193"/>
  <c r="CF193" s="1"/>
  <c r="AT194"/>
  <c r="CE194" s="1"/>
  <c r="BE195"/>
  <c r="CF195" s="1"/>
  <c r="AI195"/>
  <c r="CD195" s="1"/>
  <c r="BE196"/>
  <c r="CF196" s="1"/>
  <c r="CA196"/>
  <c r="CH196" s="1"/>
  <c r="CA197"/>
  <c r="CH197" s="1"/>
  <c r="BE198"/>
  <c r="CF198" s="1"/>
  <c r="AI198"/>
  <c r="CD198" s="1"/>
  <c r="CA199"/>
  <c r="CH199" s="1"/>
  <c r="BE199"/>
  <c r="CF199" s="1"/>
  <c r="BE200"/>
  <c r="CF200" s="1"/>
  <c r="CA200"/>
  <c r="CH200" s="1"/>
  <c r="CA201"/>
  <c r="CH201" s="1"/>
  <c r="BE202"/>
  <c r="CF202" s="1"/>
  <c r="AI202"/>
  <c r="CD202" s="1"/>
  <c r="CA205"/>
  <c r="CH205" s="1"/>
  <c r="BP206"/>
  <c r="CG206" s="1"/>
  <c r="BE206"/>
  <c r="CF206" s="1"/>
  <c r="BE207"/>
  <c r="CF207" s="1"/>
  <c r="X207"/>
  <c r="CC207" s="1"/>
  <c r="AI207"/>
  <c r="CD207" s="1"/>
  <c r="BP207"/>
  <c r="CG207" s="1"/>
  <c r="BE209"/>
  <c r="CF209" s="1"/>
  <c r="BP209"/>
  <c r="CG209" s="1"/>
  <c r="CA209"/>
  <c r="CH209" s="1"/>
  <c r="AI215"/>
  <c r="CD215" s="1"/>
  <c r="AI217"/>
  <c r="CD217" s="1"/>
  <c r="AI300"/>
  <c r="CD300" s="1"/>
  <c r="BE300"/>
  <c r="CF300" s="1"/>
  <c r="X301"/>
  <c r="CC301" s="1"/>
  <c r="CA301"/>
  <c r="CH301" s="1"/>
  <c r="AI304"/>
  <c r="CD304" s="1"/>
  <c r="AT306"/>
  <c r="CE306" s="1"/>
  <c r="X307"/>
  <c r="CC307" s="1"/>
  <c r="AT308"/>
  <c r="CE308" s="1"/>
  <c r="X309"/>
  <c r="CC309" s="1"/>
  <c r="BP309"/>
  <c r="CG309" s="1"/>
  <c r="CA309"/>
  <c r="CH309" s="1"/>
  <c r="AI311"/>
  <c r="CD311" s="1"/>
  <c r="AI312"/>
  <c r="CD312" s="1"/>
  <c r="BE312"/>
  <c r="CF312" s="1"/>
  <c r="X313"/>
  <c r="CC313" s="1"/>
  <c r="BP72"/>
  <c r="CG72" s="1"/>
  <c r="AT73"/>
  <c r="CE73" s="1"/>
  <c r="BP73"/>
  <c r="CG73" s="1"/>
  <c r="AT74"/>
  <c r="CE74" s="1"/>
  <c r="BP74"/>
  <c r="CG74" s="1"/>
  <c r="AT75"/>
  <c r="CE75" s="1"/>
  <c r="BP75"/>
  <c r="CG75" s="1"/>
  <c r="AT76"/>
  <c r="CE76" s="1"/>
  <c r="BP76"/>
  <c r="CG76" s="1"/>
  <c r="AT77"/>
  <c r="CE77" s="1"/>
  <c r="BP77"/>
  <c r="CG77" s="1"/>
  <c r="AT78"/>
  <c r="CE78" s="1"/>
  <c r="BP78"/>
  <c r="CG78" s="1"/>
  <c r="AT79"/>
  <c r="CE79" s="1"/>
  <c r="BP79"/>
  <c r="CG79" s="1"/>
  <c r="AT80"/>
  <c r="CE80" s="1"/>
  <c r="BP80"/>
  <c r="CG80" s="1"/>
  <c r="AT81"/>
  <c r="CE81" s="1"/>
  <c r="BP81"/>
  <c r="CG81" s="1"/>
  <c r="AT82"/>
  <c r="CE82" s="1"/>
  <c r="BP82"/>
  <c r="CG82" s="1"/>
  <c r="AT83"/>
  <c r="CE83" s="1"/>
  <c r="BP83"/>
  <c r="CG83" s="1"/>
  <c r="AT84"/>
  <c r="CE84" s="1"/>
  <c r="BP84"/>
  <c r="CG84" s="1"/>
  <c r="AT85"/>
  <c r="CE85" s="1"/>
  <c r="BP85"/>
  <c r="CG85" s="1"/>
  <c r="BE86"/>
  <c r="CF86" s="1"/>
  <c r="CA86"/>
  <c r="CH86" s="1"/>
  <c r="AT87"/>
  <c r="CE87" s="1"/>
  <c r="AT89"/>
  <c r="CE89" s="1"/>
  <c r="BP92"/>
  <c r="CG92" s="1"/>
  <c r="AI95"/>
  <c r="CD95" s="1"/>
  <c r="CA95"/>
  <c r="CH95" s="1"/>
  <c r="BP97"/>
  <c r="CG97" s="1"/>
  <c r="AT97"/>
  <c r="CE97" s="1"/>
  <c r="BP99"/>
  <c r="CG99" s="1"/>
  <c r="AT99"/>
  <c r="CE99" s="1"/>
  <c r="BP101"/>
  <c r="CG101" s="1"/>
  <c r="AT101"/>
  <c r="CE101" s="1"/>
  <c r="BP103"/>
  <c r="CG103" s="1"/>
  <c r="AT103"/>
  <c r="CE103" s="1"/>
  <c r="BP105"/>
  <c r="CG105" s="1"/>
  <c r="AT105"/>
  <c r="CE105" s="1"/>
  <c r="BP107"/>
  <c r="CG107" s="1"/>
  <c r="AT107"/>
  <c r="CE107" s="1"/>
  <c r="BP109"/>
  <c r="CG109" s="1"/>
  <c r="AT109"/>
  <c r="CE109" s="1"/>
  <c r="X111"/>
  <c r="CC111" s="1"/>
  <c r="AI111"/>
  <c r="CD111" s="1"/>
  <c r="CA111"/>
  <c r="CH111" s="1"/>
  <c r="BE112"/>
  <c r="CF112" s="1"/>
  <c r="AI113"/>
  <c r="CD113" s="1"/>
  <c r="BP113"/>
  <c r="CG113" s="1"/>
  <c r="CA113"/>
  <c r="CH113" s="1"/>
  <c r="BE115"/>
  <c r="CF115" s="1"/>
  <c r="X115"/>
  <c r="CC115" s="1"/>
  <c r="AI115"/>
  <c r="CD115" s="1"/>
  <c r="CA115"/>
  <c r="CH115" s="1"/>
  <c r="BE116"/>
  <c r="CF116" s="1"/>
  <c r="AI117"/>
  <c r="CD117" s="1"/>
  <c r="BP117"/>
  <c r="CG117" s="1"/>
  <c r="CA117"/>
  <c r="CH117" s="1"/>
  <c r="BE118"/>
  <c r="CF118" s="1"/>
  <c r="BE119"/>
  <c r="CF119" s="1"/>
  <c r="X119"/>
  <c r="CC119" s="1"/>
  <c r="AI119"/>
  <c r="CD119" s="1"/>
  <c r="CA119"/>
  <c r="CH119" s="1"/>
  <c r="BE120"/>
  <c r="CF120" s="1"/>
  <c r="AI121"/>
  <c r="CD121" s="1"/>
  <c r="BP121"/>
  <c r="CG121" s="1"/>
  <c r="CA121"/>
  <c r="CH121" s="1"/>
  <c r="BE123"/>
  <c r="CF123" s="1"/>
  <c r="X123"/>
  <c r="CC123" s="1"/>
  <c r="AI123"/>
  <c r="CD123" s="1"/>
  <c r="CA123"/>
  <c r="CH123" s="1"/>
  <c r="BE124"/>
  <c r="CF124" s="1"/>
  <c r="AI125"/>
  <c r="CD125" s="1"/>
  <c r="BP125"/>
  <c r="CG125" s="1"/>
  <c r="CA125"/>
  <c r="CH125" s="1"/>
  <c r="BE126"/>
  <c r="CF126" s="1"/>
  <c r="BE127"/>
  <c r="CF127" s="1"/>
  <c r="X127"/>
  <c r="CC127" s="1"/>
  <c r="AI127"/>
  <c r="CD127" s="1"/>
  <c r="CA127"/>
  <c r="CH127" s="1"/>
  <c r="BE128"/>
  <c r="CF128" s="1"/>
  <c r="AI129"/>
  <c r="CD129" s="1"/>
  <c r="BP129"/>
  <c r="CG129" s="1"/>
  <c r="CA129"/>
  <c r="CH129" s="1"/>
  <c r="BE131"/>
  <c r="CF131" s="1"/>
  <c r="X131"/>
  <c r="CC131" s="1"/>
  <c r="BP131"/>
  <c r="CG131" s="1"/>
  <c r="AT132"/>
  <c r="CE132" s="1"/>
  <c r="BE133"/>
  <c r="CF133" s="1"/>
  <c r="X133"/>
  <c r="CC133" s="1"/>
  <c r="BP133"/>
  <c r="CG133" s="1"/>
  <c r="AT134"/>
  <c r="CE134" s="1"/>
  <c r="BE135"/>
  <c r="CF135" s="1"/>
  <c r="X135"/>
  <c r="CC135" s="1"/>
  <c r="BP135"/>
  <c r="CG135" s="1"/>
  <c r="AT136"/>
  <c r="CE136" s="1"/>
  <c r="BE137"/>
  <c r="CF137" s="1"/>
  <c r="X137"/>
  <c r="CC137" s="1"/>
  <c r="BP137"/>
  <c r="CG137" s="1"/>
  <c r="AT138"/>
  <c r="CE138" s="1"/>
  <c r="BE139"/>
  <c r="CF139" s="1"/>
  <c r="X139"/>
  <c r="CC139" s="1"/>
  <c r="BP139"/>
  <c r="CG139" s="1"/>
  <c r="AT140"/>
  <c r="CE140" s="1"/>
  <c r="BE141"/>
  <c r="CF141" s="1"/>
  <c r="X141"/>
  <c r="CC141" s="1"/>
  <c r="BP141"/>
  <c r="CG141" s="1"/>
  <c r="AT142"/>
  <c r="CE142" s="1"/>
  <c r="BE143"/>
  <c r="CF143" s="1"/>
  <c r="X143"/>
  <c r="CC143" s="1"/>
  <c r="BP143"/>
  <c r="CG143" s="1"/>
  <c r="AT144"/>
  <c r="CE144" s="1"/>
  <c r="BE145"/>
  <c r="CF145" s="1"/>
  <c r="X145"/>
  <c r="CC145" s="1"/>
  <c r="BP145"/>
  <c r="CG145" s="1"/>
  <c r="AT146"/>
  <c r="CE146" s="1"/>
  <c r="BE147"/>
  <c r="CF147" s="1"/>
  <c r="X147"/>
  <c r="CC147" s="1"/>
  <c r="BP147"/>
  <c r="CG147" s="1"/>
  <c r="AT148"/>
  <c r="CE148" s="1"/>
  <c r="BE149"/>
  <c r="CF149" s="1"/>
  <c r="X149"/>
  <c r="CC149" s="1"/>
  <c r="BP149"/>
  <c r="CG149" s="1"/>
  <c r="AT150"/>
  <c r="CE150" s="1"/>
  <c r="BE151"/>
  <c r="CF151" s="1"/>
  <c r="X151"/>
  <c r="CC151" s="1"/>
  <c r="BP151"/>
  <c r="CG151" s="1"/>
  <c r="AT152"/>
  <c r="CE152" s="1"/>
  <c r="BE153"/>
  <c r="CF153" s="1"/>
  <c r="X153"/>
  <c r="CC153" s="1"/>
  <c r="BP153"/>
  <c r="CG153" s="1"/>
  <c r="AT154"/>
  <c r="CE154" s="1"/>
  <c r="BE155"/>
  <c r="CF155" s="1"/>
  <c r="X155"/>
  <c r="CC155" s="1"/>
  <c r="BP155"/>
  <c r="CG155" s="1"/>
  <c r="AT156"/>
  <c r="CE156" s="1"/>
  <c r="BE157"/>
  <c r="CF157" s="1"/>
  <c r="X157"/>
  <c r="CC157" s="1"/>
  <c r="BP157"/>
  <c r="CG157" s="1"/>
  <c r="AT158"/>
  <c r="CE158" s="1"/>
  <c r="BE159"/>
  <c r="CF159" s="1"/>
  <c r="X178"/>
  <c r="CC178" s="1"/>
  <c r="BP178"/>
  <c r="CG178" s="1"/>
  <c r="AT179"/>
  <c r="CE179" s="1"/>
  <c r="X180"/>
  <c r="CC180" s="1"/>
  <c r="BP180"/>
  <c r="CG180" s="1"/>
  <c r="AT181"/>
  <c r="CE181" s="1"/>
  <c r="X221"/>
  <c r="CC221" s="1"/>
  <c r="BP222"/>
  <c r="CG222" s="1"/>
  <c r="BP224"/>
  <c r="CG224" s="1"/>
  <c r="CA276"/>
  <c r="CH276" s="1"/>
  <c r="BE279"/>
  <c r="CF279" s="1"/>
  <c r="AI280"/>
  <c r="CD280" s="1"/>
  <c r="BE280"/>
  <c r="CF280" s="1"/>
  <c r="CA280"/>
  <c r="CH280" s="1"/>
  <c r="BE281"/>
  <c r="CF281" s="1"/>
  <c r="CA281"/>
  <c r="CH281" s="1"/>
  <c r="AI285"/>
  <c r="CD285" s="1"/>
  <c r="BE292"/>
  <c r="CF292" s="1"/>
  <c r="CA296"/>
  <c r="CH296" s="1"/>
  <c r="CA297"/>
  <c r="CH297" s="1"/>
  <c r="BE299"/>
  <c r="CF299" s="1"/>
  <c r="BE45"/>
  <c r="CF45" s="1"/>
  <c r="AI46"/>
  <c r="CD46" s="1"/>
  <c r="AT46"/>
  <c r="CE46" s="1"/>
  <c r="BP46"/>
  <c r="CG46" s="1"/>
  <c r="BE47"/>
  <c r="CF47" s="1"/>
  <c r="AI48"/>
  <c r="CD48" s="1"/>
  <c r="AT48"/>
  <c r="CE48" s="1"/>
  <c r="BP48"/>
  <c r="CG48" s="1"/>
  <c r="BE49"/>
  <c r="CF49" s="1"/>
  <c r="AI50"/>
  <c r="CD50" s="1"/>
  <c r="AT50"/>
  <c r="CE50" s="1"/>
  <c r="BP50"/>
  <c r="CG50" s="1"/>
  <c r="BE51"/>
  <c r="CF51" s="1"/>
  <c r="AI52"/>
  <c r="CD52" s="1"/>
  <c r="AT52"/>
  <c r="CE52" s="1"/>
  <c r="BP52"/>
  <c r="CG52" s="1"/>
  <c r="BE53"/>
  <c r="CF53" s="1"/>
  <c r="AI54"/>
  <c r="CD54" s="1"/>
  <c r="AT54"/>
  <c r="CE54" s="1"/>
  <c r="BP54"/>
  <c r="CG54" s="1"/>
  <c r="BE55"/>
  <c r="CF55" s="1"/>
  <c r="AI56"/>
  <c r="CD56" s="1"/>
  <c r="AT56"/>
  <c r="CE56" s="1"/>
  <c r="BP56"/>
  <c r="CG56" s="1"/>
  <c r="X57"/>
  <c r="CC57" s="1"/>
  <c r="BE58"/>
  <c r="CF58" s="1"/>
  <c r="BE60"/>
  <c r="CF60" s="1"/>
  <c r="BE62"/>
  <c r="CF62" s="1"/>
  <c r="BE64"/>
  <c r="CF64" s="1"/>
  <c r="BE66"/>
  <c r="CF66" s="1"/>
  <c r="BE68"/>
  <c r="CF68" s="1"/>
  <c r="BE70"/>
  <c r="CF70" s="1"/>
  <c r="BE72"/>
  <c r="CF72" s="1"/>
  <c r="BE74"/>
  <c r="CF74" s="1"/>
  <c r="BE76"/>
  <c r="CF76" s="1"/>
  <c r="BE78"/>
  <c r="CF78" s="1"/>
  <c r="BE80"/>
  <c r="CF80" s="1"/>
  <c r="BE82"/>
  <c r="CF82" s="1"/>
  <c r="BE84"/>
  <c r="CF84" s="1"/>
  <c r="BP88"/>
  <c r="CG88" s="1"/>
  <c r="AI91"/>
  <c r="CD91" s="1"/>
  <c r="CA91"/>
  <c r="CH91" s="1"/>
  <c r="AT93"/>
  <c r="CE93" s="1"/>
  <c r="AI97"/>
  <c r="CD97" s="1"/>
  <c r="CA97"/>
  <c r="CH97" s="1"/>
  <c r="AI99"/>
  <c r="CD99" s="1"/>
  <c r="CA99"/>
  <c r="CH99" s="1"/>
  <c r="AI101"/>
  <c r="CD101" s="1"/>
  <c r="CA101"/>
  <c r="CH101" s="1"/>
  <c r="AI103"/>
  <c r="CD103" s="1"/>
  <c r="CA103"/>
  <c r="CH103" s="1"/>
  <c r="AI105"/>
  <c r="CD105" s="1"/>
  <c r="CA105"/>
  <c r="CH105" s="1"/>
  <c r="AI107"/>
  <c r="CD107" s="1"/>
  <c r="CA107"/>
  <c r="CH107" s="1"/>
  <c r="AI109"/>
  <c r="CD109" s="1"/>
  <c r="CA109"/>
  <c r="CH109" s="1"/>
  <c r="AT113"/>
  <c r="CE113" s="1"/>
  <c r="AT117"/>
  <c r="CE117" s="1"/>
  <c r="AT121"/>
  <c r="CE121" s="1"/>
  <c r="AT125"/>
  <c r="CE125" s="1"/>
  <c r="AT129"/>
  <c r="CE129" s="1"/>
  <c r="AT131"/>
  <c r="CE131" s="1"/>
  <c r="X132"/>
  <c r="CC132" s="1"/>
  <c r="BP132"/>
  <c r="CG132" s="1"/>
  <c r="AT133"/>
  <c r="CE133" s="1"/>
  <c r="X134"/>
  <c r="CC134" s="1"/>
  <c r="BP134"/>
  <c r="CG134" s="1"/>
  <c r="AT135"/>
  <c r="CE135" s="1"/>
  <c r="X136"/>
  <c r="CC136" s="1"/>
  <c r="BP136"/>
  <c r="CG136" s="1"/>
  <c r="AT137"/>
  <c r="CE137" s="1"/>
  <c r="X138"/>
  <c r="CC138" s="1"/>
  <c r="BP138"/>
  <c r="CG138" s="1"/>
  <c r="AT139"/>
  <c r="CE139" s="1"/>
  <c r="X140"/>
  <c r="CC140" s="1"/>
  <c r="BP140"/>
  <c r="CG140" s="1"/>
  <c r="AT141"/>
  <c r="CE141" s="1"/>
  <c r="X142"/>
  <c r="CC142" s="1"/>
  <c r="BP142"/>
  <c r="CG142" s="1"/>
  <c r="AT143"/>
  <c r="CE143" s="1"/>
  <c r="X144"/>
  <c r="CC144" s="1"/>
  <c r="BP144"/>
  <c r="CG144" s="1"/>
  <c r="AT145"/>
  <c r="CE145" s="1"/>
  <c r="X146"/>
  <c r="CC146" s="1"/>
  <c r="BP146"/>
  <c r="CG146" s="1"/>
  <c r="AT147"/>
  <c r="CE147" s="1"/>
  <c r="X148"/>
  <c r="CC148" s="1"/>
  <c r="BP148"/>
  <c r="CG148" s="1"/>
  <c r="AT149"/>
  <c r="CE149" s="1"/>
  <c r="X150"/>
  <c r="CC150" s="1"/>
  <c r="BP150"/>
  <c r="CG150" s="1"/>
  <c r="AT151"/>
  <c r="CE151" s="1"/>
  <c r="X152"/>
  <c r="CC152" s="1"/>
  <c r="BP152"/>
  <c r="CG152" s="1"/>
  <c r="AT153"/>
  <c r="CE153" s="1"/>
  <c r="X154"/>
  <c r="CC154" s="1"/>
  <c r="BP154"/>
  <c r="CG154" s="1"/>
  <c r="AT155"/>
  <c r="CE155" s="1"/>
  <c r="X156"/>
  <c r="CC156" s="1"/>
  <c r="BP156"/>
  <c r="CG156" s="1"/>
  <c r="AT157"/>
  <c r="CE157" s="1"/>
  <c r="X158"/>
  <c r="CC158" s="1"/>
  <c r="BP158"/>
  <c r="CG158" s="1"/>
  <c r="AT159"/>
  <c r="CE159" s="1"/>
  <c r="X160"/>
  <c r="CC160" s="1"/>
  <c r="BP160"/>
  <c r="CG160" s="1"/>
  <c r="AT161"/>
  <c r="CE161" s="1"/>
  <c r="X162"/>
  <c r="CC162" s="1"/>
  <c r="BP162"/>
  <c r="CG162" s="1"/>
  <c r="X163"/>
  <c r="CC163" s="1"/>
  <c r="BP165"/>
  <c r="CG165" s="1"/>
  <c r="X166"/>
  <c r="CC166" s="1"/>
  <c r="AT167"/>
  <c r="CE167" s="1"/>
  <c r="X168"/>
  <c r="CC168" s="1"/>
  <c r="BP168"/>
  <c r="CG168" s="1"/>
  <c r="AT169"/>
  <c r="CE169" s="1"/>
  <c r="BP170"/>
  <c r="CG170" s="1"/>
  <c r="X171"/>
  <c r="CC171" s="1"/>
  <c r="BP173"/>
  <c r="CG173" s="1"/>
  <c r="BP174"/>
  <c r="CG174" s="1"/>
  <c r="X175"/>
  <c r="CC175" s="1"/>
  <c r="X176"/>
  <c r="CC176" s="1"/>
  <c r="AT176"/>
  <c r="CE176" s="1"/>
  <c r="BP177"/>
  <c r="CG177" s="1"/>
  <c r="AT218"/>
  <c r="CE218" s="1"/>
  <c r="AI219"/>
  <c r="CD219" s="1"/>
  <c r="BP219"/>
  <c r="CG219" s="1"/>
  <c r="AT221"/>
  <c r="CE221" s="1"/>
  <c r="CA221"/>
  <c r="CH221" s="1"/>
  <c r="BE222"/>
  <c r="CF222" s="1"/>
  <c r="AI223"/>
  <c r="CD223" s="1"/>
  <c r="X224"/>
  <c r="CC224" s="1"/>
  <c r="X276"/>
  <c r="CC276" s="1"/>
  <c r="AT277"/>
  <c r="CE277" s="1"/>
  <c r="AI279"/>
  <c r="CD279" s="1"/>
  <c r="X280"/>
  <c r="CC280" s="1"/>
  <c r="AT281"/>
  <c r="CE281" s="1"/>
  <c r="BP282"/>
  <c r="CG282" s="1"/>
  <c r="AI283"/>
  <c r="CD283" s="1"/>
  <c r="BE283"/>
  <c r="CF283" s="1"/>
  <c r="CA285"/>
  <c r="CH285" s="1"/>
  <c r="X286"/>
  <c r="CC286" s="1"/>
  <c r="BP286"/>
  <c r="CG286" s="1"/>
  <c r="X292"/>
  <c r="CC292" s="1"/>
  <c r="CA292"/>
  <c r="CH292" s="1"/>
  <c r="AT293"/>
  <c r="CE293" s="1"/>
  <c r="AI295"/>
  <c r="CD295" s="1"/>
  <c r="BE295"/>
  <c r="CF295" s="1"/>
  <c r="X296"/>
  <c r="CC296" s="1"/>
  <c r="BE296"/>
  <c r="CF296" s="1"/>
  <c r="AT297"/>
  <c r="CE297" s="1"/>
  <c r="BP298"/>
  <c r="CG298" s="1"/>
  <c r="X299"/>
  <c r="CC299" s="1"/>
  <c r="BP299"/>
  <c r="CG299" s="1"/>
  <c r="X182"/>
  <c r="CC182" s="1"/>
  <c r="BP182"/>
  <c r="CG182" s="1"/>
  <c r="BE183"/>
  <c r="CF183" s="1"/>
  <c r="AT183"/>
  <c r="CE183" s="1"/>
  <c r="X184"/>
  <c r="CC184" s="1"/>
  <c r="BP184"/>
  <c r="CG184" s="1"/>
  <c r="BE185"/>
  <c r="CF185" s="1"/>
  <c r="AT185"/>
  <c r="CE185" s="1"/>
  <c r="AI187"/>
  <c r="CD187" s="1"/>
  <c r="AI189"/>
  <c r="CD189" s="1"/>
  <c r="CA189"/>
  <c r="CH189" s="1"/>
  <c r="BE228"/>
  <c r="CF228" s="1"/>
  <c r="X229"/>
  <c r="CC229" s="1"/>
  <c r="AI229"/>
  <c r="CD229" s="1"/>
  <c r="CA231"/>
  <c r="CH231" s="1"/>
  <c r="BE232"/>
  <c r="CF232" s="1"/>
  <c r="AT233"/>
  <c r="CE233" s="1"/>
  <c r="AI235"/>
  <c r="CD235" s="1"/>
  <c r="AT236"/>
  <c r="CE236" s="1"/>
  <c r="X237"/>
  <c r="CC237" s="1"/>
  <c r="CA237"/>
  <c r="CH237" s="1"/>
  <c r="BP238"/>
  <c r="CG238" s="1"/>
  <c r="BE238"/>
  <c r="CF238" s="1"/>
  <c r="BE239"/>
  <c r="CF239" s="1"/>
  <c r="X239"/>
  <c r="CC239" s="1"/>
  <c r="AI239"/>
  <c r="CD239" s="1"/>
  <c r="BP239"/>
  <c r="CG239" s="1"/>
  <c r="BE240"/>
  <c r="CF240" s="1"/>
  <c r="AI247"/>
  <c r="CD247" s="1"/>
  <c r="CA249"/>
  <c r="CH249" s="1"/>
  <c r="AT253"/>
  <c r="CE253" s="1"/>
  <c r="BP253"/>
  <c r="CG253" s="1"/>
  <c r="AT255"/>
  <c r="CE255" s="1"/>
  <c r="X256"/>
  <c r="CC256" s="1"/>
  <c r="BP256"/>
  <c r="CG256" s="1"/>
  <c r="X259"/>
  <c r="CC259" s="1"/>
  <c r="X264"/>
  <c r="CC264" s="1"/>
  <c r="BP264"/>
  <c r="CG264" s="1"/>
  <c r="X272"/>
  <c r="CC272" s="1"/>
  <c r="X288"/>
  <c r="CC288" s="1"/>
  <c r="BP296"/>
  <c r="CG296" s="1"/>
  <c r="X159"/>
  <c r="CC159" s="1"/>
  <c r="BP159"/>
  <c r="CG159" s="1"/>
  <c r="AT160"/>
  <c r="CE160" s="1"/>
  <c r="BE161"/>
  <c r="CF161" s="1"/>
  <c r="X161"/>
  <c r="CC161" s="1"/>
  <c r="BP161"/>
  <c r="CG161" s="1"/>
  <c r="AT162"/>
  <c r="CE162" s="1"/>
  <c r="AT163"/>
  <c r="CE163" s="1"/>
  <c r="BP163"/>
  <c r="CG163" s="1"/>
  <c r="BE164"/>
  <c r="CF164" s="1"/>
  <c r="AI165"/>
  <c r="CD165" s="1"/>
  <c r="AT165"/>
  <c r="CE165" s="1"/>
  <c r="BP166"/>
  <c r="CG166" s="1"/>
  <c r="BE166"/>
  <c r="CF166" s="1"/>
  <c r="BE167"/>
  <c r="CF167" s="1"/>
  <c r="X167"/>
  <c r="CC167" s="1"/>
  <c r="CA167"/>
  <c r="CH167" s="1"/>
  <c r="BE169"/>
  <c r="CF169" s="1"/>
  <c r="X169"/>
  <c r="CC169" s="1"/>
  <c r="BP169"/>
  <c r="CG169" s="1"/>
  <c r="X170"/>
  <c r="CC170" s="1"/>
  <c r="AT171"/>
  <c r="CE171" s="1"/>
  <c r="BP171"/>
  <c r="CG171" s="1"/>
  <c r="BE172"/>
  <c r="CF172" s="1"/>
  <c r="AI173"/>
  <c r="CD173" s="1"/>
  <c r="AT173"/>
  <c r="CE173" s="1"/>
  <c r="BE174"/>
  <c r="CF174" s="1"/>
  <c r="X174"/>
  <c r="CC174" s="1"/>
  <c r="AT174"/>
  <c r="CE174" s="1"/>
  <c r="AT175"/>
  <c r="CE175" s="1"/>
  <c r="BP175"/>
  <c r="CG175" s="1"/>
  <c r="BP176"/>
  <c r="CG176" s="1"/>
  <c r="BE177"/>
  <c r="CF177" s="1"/>
  <c r="X177"/>
  <c r="CC177" s="1"/>
  <c r="AT177"/>
  <c r="CE177" s="1"/>
  <c r="AI179"/>
  <c r="CD179" s="1"/>
  <c r="CA179"/>
  <c r="CH179" s="1"/>
  <c r="CA181"/>
  <c r="CH181" s="1"/>
  <c r="AT182"/>
  <c r="CE182" s="1"/>
  <c r="X183"/>
  <c r="CC183" s="1"/>
  <c r="BP183"/>
  <c r="CG183" s="1"/>
  <c r="AT184"/>
  <c r="CE184" s="1"/>
  <c r="X185"/>
  <c r="CC185" s="1"/>
  <c r="BP185"/>
  <c r="CG185" s="1"/>
  <c r="BP193"/>
  <c r="CG193" s="1"/>
  <c r="BP205"/>
  <c r="CG205" s="1"/>
  <c r="AI211"/>
  <c r="CD211" s="1"/>
  <c r="AT211"/>
  <c r="CE211" s="1"/>
  <c r="X212"/>
  <c r="CC212" s="1"/>
  <c r="BE212"/>
  <c r="CF212" s="1"/>
  <c r="AI213"/>
  <c r="CD213" s="1"/>
  <c r="AT213"/>
  <c r="CE213" s="1"/>
  <c r="AT214"/>
  <c r="CE214" s="1"/>
  <c r="CA215"/>
  <c r="CH215" s="1"/>
  <c r="X216"/>
  <c r="CC216" s="1"/>
  <c r="BE216"/>
  <c r="CF216" s="1"/>
  <c r="X217"/>
  <c r="CC217" s="1"/>
  <c r="CA219"/>
  <c r="CH219" s="1"/>
  <c r="AI221"/>
  <c r="CD221" s="1"/>
  <c r="CA223"/>
  <c r="CH223" s="1"/>
  <c r="BE224"/>
  <c r="CF224" s="1"/>
  <c r="X227"/>
  <c r="CC227" s="1"/>
  <c r="X228"/>
  <c r="CC228" s="1"/>
  <c r="AT229"/>
  <c r="CE229" s="1"/>
  <c r="BP229"/>
  <c r="CG229" s="1"/>
  <c r="BP230"/>
  <c r="CG230" s="1"/>
  <c r="AT231"/>
  <c r="CE231" s="1"/>
  <c r="X232"/>
  <c r="CC232" s="1"/>
  <c r="X233"/>
  <c r="CC233" s="1"/>
  <c r="AT234"/>
  <c r="CE234" s="1"/>
  <c r="BP235"/>
  <c r="CG235" s="1"/>
  <c r="AT237"/>
  <c r="CE237" s="1"/>
  <c r="X238"/>
  <c r="CC238" s="1"/>
  <c r="AT239"/>
  <c r="CE239" s="1"/>
  <c r="X251"/>
  <c r="CC251" s="1"/>
  <c r="BE253"/>
  <c r="CF253" s="1"/>
  <c r="X253"/>
  <c r="CC253" s="1"/>
  <c r="AI253"/>
  <c r="CD253" s="1"/>
  <c r="CA253"/>
  <c r="CH253" s="1"/>
  <c r="AT254"/>
  <c r="CE254" s="1"/>
  <c r="X255"/>
  <c r="CC255" s="1"/>
  <c r="BE272"/>
  <c r="CF272" s="1"/>
  <c r="AT178"/>
  <c r="CE178" s="1"/>
  <c r="X179"/>
  <c r="CC179" s="1"/>
  <c r="BP179"/>
  <c r="CG179" s="1"/>
  <c r="AT180"/>
  <c r="CE180" s="1"/>
  <c r="X181"/>
  <c r="CC181" s="1"/>
  <c r="BP181"/>
  <c r="CG181" s="1"/>
  <c r="BE186"/>
  <c r="CF186" s="1"/>
  <c r="X186"/>
  <c r="CC186" s="1"/>
  <c r="BP186"/>
  <c r="CG186" s="1"/>
  <c r="BE187"/>
  <c r="CF187" s="1"/>
  <c r="AT187"/>
  <c r="CE187" s="1"/>
  <c r="BE188"/>
  <c r="CF188" s="1"/>
  <c r="X188"/>
  <c r="CC188" s="1"/>
  <c r="BP188"/>
  <c r="CG188" s="1"/>
  <c r="BE189"/>
  <c r="CF189" s="1"/>
  <c r="AT189"/>
  <c r="CE189" s="1"/>
  <c r="AI193"/>
  <c r="CD193" s="1"/>
  <c r="CA207"/>
  <c r="CH207" s="1"/>
  <c r="BE208"/>
  <c r="CF208" s="1"/>
  <c r="BP210"/>
  <c r="CG210" s="1"/>
  <c r="X211"/>
  <c r="CC211" s="1"/>
  <c r="BP211"/>
  <c r="CG211" s="1"/>
  <c r="BP213"/>
  <c r="CG213" s="1"/>
  <c r="AT215"/>
  <c r="CE215" s="1"/>
  <c r="BP216"/>
  <c r="CG216" s="1"/>
  <c r="X219"/>
  <c r="CC219" s="1"/>
  <c r="BP221"/>
  <c r="CG221" s="1"/>
  <c r="X225"/>
  <c r="CC225" s="1"/>
  <c r="AT225"/>
  <c r="CE225" s="1"/>
  <c r="CA225"/>
  <c r="CH225" s="1"/>
  <c r="AT227"/>
  <c r="CE227" s="1"/>
  <c r="BP227"/>
  <c r="CG227" s="1"/>
  <c r="AI231"/>
  <c r="CD231" s="1"/>
  <c r="CA233"/>
  <c r="CH233" s="1"/>
  <c r="AI237"/>
  <c r="CD237" s="1"/>
  <c r="CA239"/>
  <c r="CH239" s="1"/>
  <c r="X240"/>
  <c r="CC240" s="1"/>
  <c r="BP240"/>
  <c r="CG240" s="1"/>
  <c r="X241"/>
  <c r="CC241" s="1"/>
  <c r="AT241"/>
  <c r="CE241" s="1"/>
  <c r="AT242"/>
  <c r="CE242" s="1"/>
  <c r="X243"/>
  <c r="CC243" s="1"/>
  <c r="BP243"/>
  <c r="CG243" s="1"/>
  <c r="AT245"/>
  <c r="CE245" s="1"/>
  <c r="BP245"/>
  <c r="CG245" s="1"/>
  <c r="X246"/>
  <c r="CC246" s="1"/>
  <c r="AT247"/>
  <c r="CE247" s="1"/>
  <c r="X248"/>
  <c r="CC248" s="1"/>
  <c r="BP248"/>
  <c r="CG248" s="1"/>
  <c r="X249"/>
  <c r="CC249" s="1"/>
  <c r="AT250"/>
  <c r="CE250" s="1"/>
  <c r="BP251"/>
  <c r="CG251" s="1"/>
  <c r="BP257"/>
  <c r="CG257" s="1"/>
  <c r="CA257"/>
  <c r="CH257" s="1"/>
  <c r="AI259"/>
  <c r="CD259" s="1"/>
  <c r="X260"/>
  <c r="CC260" s="1"/>
  <c r="BE260"/>
  <c r="CF260" s="1"/>
  <c r="AI261"/>
  <c r="CD261" s="1"/>
  <c r="AT261"/>
  <c r="CE261" s="1"/>
  <c r="AI263"/>
  <c r="CD263" s="1"/>
  <c r="BE263"/>
  <c r="CF263" s="1"/>
  <c r="AI264"/>
  <c r="CD264" s="1"/>
  <c r="CA264"/>
  <c r="CH264" s="1"/>
  <c r="AI267"/>
  <c r="CD267" s="1"/>
  <c r="BE267"/>
  <c r="CF267" s="1"/>
  <c r="CA268"/>
  <c r="CH268" s="1"/>
  <c r="CA269"/>
  <c r="CH269" s="1"/>
  <c r="BE270"/>
  <c r="CF270" s="1"/>
  <c r="CA271"/>
  <c r="CH271" s="1"/>
  <c r="AI272"/>
  <c r="CD272" s="1"/>
  <c r="AI274"/>
  <c r="CD274" s="1"/>
  <c r="CA274"/>
  <c r="CH274" s="1"/>
  <c r="BE275"/>
  <c r="CF275" s="1"/>
  <c r="BE286"/>
  <c r="CF286" s="1"/>
  <c r="CA287"/>
  <c r="CH287" s="1"/>
  <c r="AI288"/>
  <c r="CD288" s="1"/>
  <c r="CA288"/>
  <c r="CH288" s="1"/>
  <c r="BE289"/>
  <c r="CF289" s="1"/>
  <c r="CA290"/>
  <c r="CH290" s="1"/>
  <c r="AI291"/>
  <c r="CD291" s="1"/>
  <c r="BP231"/>
  <c r="CG231" s="1"/>
  <c r="BP223"/>
  <c r="CG223" s="1"/>
  <c r="CA229"/>
  <c r="CH229" s="1"/>
  <c r="BP225"/>
  <c r="CG225" s="1"/>
  <c r="BE225"/>
  <c r="CF225" s="1"/>
  <c r="X223"/>
  <c r="CC223" s="1"/>
  <c r="X222"/>
  <c r="CC222" s="1"/>
  <c r="CA217"/>
  <c r="CH217" s="1"/>
  <c r="AT217"/>
  <c r="CE217" s="1"/>
  <c r="A2" i="1"/>
  <c r="CR63" i="2"/>
  <c r="AT4" i="5"/>
  <c r="CE4" s="1"/>
  <c r="AT6"/>
  <c r="CE6" s="1"/>
  <c r="AT8"/>
  <c r="CE8" s="1"/>
  <c r="BP3"/>
  <c r="CG3" s="1"/>
  <c r="X3"/>
  <c r="CC3" s="1"/>
  <c r="CA3"/>
  <c r="CH3" s="1"/>
  <c r="AI3"/>
  <c r="CD3" s="1"/>
  <c r="AT3"/>
  <c r="CE3" s="1"/>
  <c r="M3"/>
  <c r="CB3" s="1"/>
  <c r="BE4"/>
  <c r="CF4" s="1"/>
  <c r="X4"/>
  <c r="CC4" s="1"/>
  <c r="BE6"/>
  <c r="CF6" s="1"/>
  <c r="BE8"/>
  <c r="CF8" s="1"/>
  <c r="BP5"/>
  <c r="CG5" s="1"/>
  <c r="CA5"/>
  <c r="CH5" s="1"/>
  <c r="AI5"/>
  <c r="CD5" s="1"/>
  <c r="AT5"/>
  <c r="CE5" s="1"/>
  <c r="BE5"/>
  <c r="CF5" s="1"/>
  <c r="BP7"/>
  <c r="CG7" s="1"/>
  <c r="CA7"/>
  <c r="CH7" s="1"/>
  <c r="AI7"/>
  <c r="CD7" s="1"/>
  <c r="AT7"/>
  <c r="CE7" s="1"/>
  <c r="BE7"/>
  <c r="CF7" s="1"/>
  <c r="BE9"/>
  <c r="CF9" s="1"/>
  <c r="BP9"/>
  <c r="CG9" s="1"/>
  <c r="CA9"/>
  <c r="CH9" s="1"/>
  <c r="AI9"/>
  <c r="CD9" s="1"/>
  <c r="AT9"/>
  <c r="CE9" s="1"/>
  <c r="AT11"/>
  <c r="CE11" s="1"/>
  <c r="AT13"/>
  <c r="CE13" s="1"/>
  <c r="AT15"/>
  <c r="CE15" s="1"/>
  <c r="AT17"/>
  <c r="CE17" s="1"/>
  <c r="BP57"/>
  <c r="CG57" s="1"/>
  <c r="AT130"/>
  <c r="CE130" s="1"/>
  <c r="BP130"/>
  <c r="CG130" s="1"/>
  <c r="X130"/>
  <c r="CC130" s="1"/>
  <c r="CA130"/>
  <c r="CH130" s="1"/>
  <c r="AI130"/>
  <c r="CD130" s="1"/>
  <c r="BE130"/>
  <c r="CF130" s="1"/>
  <c r="M130"/>
  <c r="CB130" s="1"/>
  <c r="M4"/>
  <c r="CB4" s="1"/>
  <c r="AI11"/>
  <c r="CD11" s="1"/>
  <c r="CA11"/>
  <c r="CH11" s="1"/>
  <c r="AI13"/>
  <c r="CD13" s="1"/>
  <c r="CA13"/>
  <c r="CH13" s="1"/>
  <c r="AI15"/>
  <c r="CD15" s="1"/>
  <c r="CA15"/>
  <c r="CH15" s="1"/>
  <c r="AI17"/>
  <c r="CD17" s="1"/>
  <c r="CA17"/>
  <c r="CH17" s="1"/>
  <c r="BE18"/>
  <c r="CF18" s="1"/>
  <c r="AT18"/>
  <c r="CE18" s="1"/>
  <c r="CA18"/>
  <c r="CH18" s="1"/>
  <c r="BP19"/>
  <c r="CG19" s="1"/>
  <c r="BP21"/>
  <c r="CG21" s="1"/>
  <c r="BP23"/>
  <c r="CG23" s="1"/>
  <c r="BP25"/>
  <c r="CG25" s="1"/>
  <c r="BP27"/>
  <c r="CG27" s="1"/>
  <c r="BP29"/>
  <c r="CG29" s="1"/>
  <c r="BP31"/>
  <c r="CG31" s="1"/>
  <c r="BP33"/>
  <c r="CG33" s="1"/>
  <c r="BP35"/>
  <c r="CG35" s="1"/>
  <c r="BP37"/>
  <c r="CG37" s="1"/>
  <c r="BP39"/>
  <c r="CG39" s="1"/>
  <c r="BP41"/>
  <c r="CG41" s="1"/>
  <c r="BP43"/>
  <c r="CG43" s="1"/>
  <c r="BP45"/>
  <c r="CG45" s="1"/>
  <c r="BP47"/>
  <c r="CG47" s="1"/>
  <c r="BP49"/>
  <c r="CG49" s="1"/>
  <c r="BP51"/>
  <c r="CG51" s="1"/>
  <c r="BP53"/>
  <c r="CG53" s="1"/>
  <c r="BP55"/>
  <c r="CG55" s="1"/>
  <c r="CA59"/>
  <c r="CH59" s="1"/>
  <c r="CA61"/>
  <c r="CH61" s="1"/>
  <c r="CA63"/>
  <c r="CH63" s="1"/>
  <c r="CA65"/>
  <c r="CH65" s="1"/>
  <c r="CA67"/>
  <c r="CH67" s="1"/>
  <c r="CA69"/>
  <c r="CH69" s="1"/>
  <c r="CA71"/>
  <c r="CH71" s="1"/>
  <c r="CA73"/>
  <c r="CH73" s="1"/>
  <c r="CA75"/>
  <c r="CH75" s="1"/>
  <c r="CA77"/>
  <c r="CH77" s="1"/>
  <c r="CA79"/>
  <c r="CH79" s="1"/>
  <c r="CA81"/>
  <c r="CH81" s="1"/>
  <c r="CA83"/>
  <c r="CH83" s="1"/>
  <c r="CA85"/>
  <c r="CH85" s="1"/>
  <c r="BP86"/>
  <c r="CG86" s="1"/>
  <c r="AT102"/>
  <c r="CE102" s="1"/>
  <c r="BP102"/>
  <c r="CG102" s="1"/>
  <c r="CA102"/>
  <c r="CH102" s="1"/>
  <c r="AI102"/>
  <c r="CD102" s="1"/>
  <c r="BE102"/>
  <c r="CF102" s="1"/>
  <c r="AT106"/>
  <c r="CE106" s="1"/>
  <c r="BP106"/>
  <c r="CG106" s="1"/>
  <c r="CA106"/>
  <c r="CH106" s="1"/>
  <c r="AI106"/>
  <c r="CD106" s="1"/>
  <c r="BE106"/>
  <c r="CF106" s="1"/>
  <c r="AT110"/>
  <c r="CE110" s="1"/>
  <c r="BP110"/>
  <c r="CG110" s="1"/>
  <c r="CA110"/>
  <c r="CH110" s="1"/>
  <c r="AI110"/>
  <c r="CD110" s="1"/>
  <c r="BE110"/>
  <c r="CF110" s="1"/>
  <c r="AT122"/>
  <c r="CE122" s="1"/>
  <c r="BP122"/>
  <c r="CG122" s="1"/>
  <c r="X122"/>
  <c r="CC122" s="1"/>
  <c r="CA122"/>
  <c r="CH122" s="1"/>
  <c r="AI122"/>
  <c r="CD122" s="1"/>
  <c r="BE122"/>
  <c r="CF122" s="1"/>
  <c r="M122"/>
  <c r="CB122" s="1"/>
  <c r="BP11"/>
  <c r="CG11" s="1"/>
  <c r="BP13"/>
  <c r="CG13" s="1"/>
  <c r="BP15"/>
  <c r="CG15" s="1"/>
  <c r="BP17"/>
  <c r="CG17" s="1"/>
  <c r="BE20"/>
  <c r="CF20" s="1"/>
  <c r="BE22"/>
  <c r="CF22" s="1"/>
  <c r="BE24"/>
  <c r="CF24" s="1"/>
  <c r="BE26"/>
  <c r="CF26" s="1"/>
  <c r="BE28"/>
  <c r="CF28" s="1"/>
  <c r="BE30"/>
  <c r="CF30" s="1"/>
  <c r="BE32"/>
  <c r="CF32" s="1"/>
  <c r="BE34"/>
  <c r="CF34" s="1"/>
  <c r="BE36"/>
  <c r="CF36" s="1"/>
  <c r="BE38"/>
  <c r="CF38" s="1"/>
  <c r="BE40"/>
  <c r="CF40" s="1"/>
  <c r="BE42"/>
  <c r="CF42" s="1"/>
  <c r="BE44"/>
  <c r="CF44" s="1"/>
  <c r="BE46"/>
  <c r="CF46" s="1"/>
  <c r="BE48"/>
  <c r="CF48" s="1"/>
  <c r="BE50"/>
  <c r="CF50" s="1"/>
  <c r="BE52"/>
  <c r="CF52" s="1"/>
  <c r="BE54"/>
  <c r="CF54" s="1"/>
  <c r="BE56"/>
  <c r="CF56" s="1"/>
  <c r="AI58"/>
  <c r="CD58" s="1"/>
  <c r="AI60"/>
  <c r="CD60" s="1"/>
  <c r="AI62"/>
  <c r="CD62" s="1"/>
  <c r="AI64"/>
  <c r="CD64" s="1"/>
  <c r="AI66"/>
  <c r="CD66" s="1"/>
  <c r="AI68"/>
  <c r="CD68" s="1"/>
  <c r="AI70"/>
  <c r="CD70" s="1"/>
  <c r="AI72"/>
  <c r="CD72" s="1"/>
  <c r="AI74"/>
  <c r="CD74" s="1"/>
  <c r="AI76"/>
  <c r="CD76" s="1"/>
  <c r="AI78"/>
  <c r="CD78" s="1"/>
  <c r="AI80"/>
  <c r="CD80" s="1"/>
  <c r="AI82"/>
  <c r="CD82" s="1"/>
  <c r="AI84"/>
  <c r="CD84" s="1"/>
  <c r="AI86"/>
  <c r="CD86" s="1"/>
  <c r="AT100"/>
  <c r="CE100" s="1"/>
  <c r="BP100"/>
  <c r="CG100" s="1"/>
  <c r="CA100"/>
  <c r="CH100" s="1"/>
  <c r="AI100"/>
  <c r="CD100" s="1"/>
  <c r="BE100"/>
  <c r="CF100" s="1"/>
  <c r="AT114"/>
  <c r="CE114" s="1"/>
  <c r="BP114"/>
  <c r="CG114" s="1"/>
  <c r="X114"/>
  <c r="CC114" s="1"/>
  <c r="CA114"/>
  <c r="CH114" s="1"/>
  <c r="AI114"/>
  <c r="CD114" s="1"/>
  <c r="BE114"/>
  <c r="CF114" s="1"/>
  <c r="M114"/>
  <c r="CB114" s="1"/>
  <c r="CA19"/>
  <c r="CH19" s="1"/>
  <c r="AI19"/>
  <c r="CD19" s="1"/>
  <c r="AT19"/>
  <c r="CE19" s="1"/>
  <c r="CA21"/>
  <c r="CH21" s="1"/>
  <c r="AI21"/>
  <c r="CD21" s="1"/>
  <c r="AT21"/>
  <c r="CE21" s="1"/>
  <c r="CA23"/>
  <c r="CH23" s="1"/>
  <c r="AI23"/>
  <c r="CD23" s="1"/>
  <c r="AT23"/>
  <c r="CE23" s="1"/>
  <c r="CA25"/>
  <c r="CH25" s="1"/>
  <c r="AI25"/>
  <c r="CD25" s="1"/>
  <c r="AT25"/>
  <c r="CE25" s="1"/>
  <c r="CA27"/>
  <c r="CH27" s="1"/>
  <c r="AI27"/>
  <c r="CD27" s="1"/>
  <c r="AT27"/>
  <c r="CE27" s="1"/>
  <c r="CA29"/>
  <c r="CH29" s="1"/>
  <c r="AI29"/>
  <c r="CD29" s="1"/>
  <c r="AT29"/>
  <c r="CE29" s="1"/>
  <c r="CA31"/>
  <c r="CH31" s="1"/>
  <c r="AI31"/>
  <c r="CD31" s="1"/>
  <c r="AT31"/>
  <c r="CE31" s="1"/>
  <c r="CA33"/>
  <c r="CH33" s="1"/>
  <c r="AI33"/>
  <c r="CD33" s="1"/>
  <c r="AT33"/>
  <c r="CE33" s="1"/>
  <c r="CA35"/>
  <c r="CH35" s="1"/>
  <c r="AI35"/>
  <c r="CD35" s="1"/>
  <c r="AT35"/>
  <c r="CE35" s="1"/>
  <c r="CA37"/>
  <c r="CH37" s="1"/>
  <c r="AI37"/>
  <c r="CD37" s="1"/>
  <c r="AT37"/>
  <c r="CE37" s="1"/>
  <c r="CA39"/>
  <c r="CH39" s="1"/>
  <c r="AI39"/>
  <c r="CD39" s="1"/>
  <c r="AT39"/>
  <c r="CE39" s="1"/>
  <c r="CA41"/>
  <c r="CH41" s="1"/>
  <c r="AI41"/>
  <c r="CD41" s="1"/>
  <c r="AT41"/>
  <c r="CE41" s="1"/>
  <c r="CA43"/>
  <c r="CH43" s="1"/>
  <c r="AI43"/>
  <c r="CD43" s="1"/>
  <c r="AT43"/>
  <c r="CE43" s="1"/>
  <c r="CA45"/>
  <c r="CH45" s="1"/>
  <c r="AI45"/>
  <c r="CD45" s="1"/>
  <c r="AT45"/>
  <c r="CE45" s="1"/>
  <c r="CA47"/>
  <c r="CH47" s="1"/>
  <c r="AI47"/>
  <c r="CD47" s="1"/>
  <c r="AT47"/>
  <c r="CE47" s="1"/>
  <c r="CA49"/>
  <c r="CH49" s="1"/>
  <c r="AI49"/>
  <c r="CD49" s="1"/>
  <c r="AT49"/>
  <c r="CE49" s="1"/>
  <c r="CA51"/>
  <c r="CH51" s="1"/>
  <c r="AI51"/>
  <c r="CD51" s="1"/>
  <c r="AT51"/>
  <c r="CE51" s="1"/>
  <c r="CA53"/>
  <c r="CH53" s="1"/>
  <c r="AI53"/>
  <c r="CD53" s="1"/>
  <c r="AT53"/>
  <c r="CE53" s="1"/>
  <c r="CA55"/>
  <c r="CH55" s="1"/>
  <c r="AI55"/>
  <c r="CD55" s="1"/>
  <c r="AT55"/>
  <c r="CE55" s="1"/>
  <c r="CA57"/>
  <c r="CH57" s="1"/>
  <c r="AI57"/>
  <c r="CD57" s="1"/>
  <c r="BE57"/>
  <c r="CF57" s="1"/>
  <c r="M57"/>
  <c r="CB57" s="1"/>
  <c r="AT57"/>
  <c r="CE57" s="1"/>
  <c r="BP87"/>
  <c r="CG87" s="1"/>
  <c r="BE87"/>
  <c r="CF87" s="1"/>
  <c r="AI87"/>
  <c r="CD87" s="1"/>
  <c r="CA87"/>
  <c r="CH87" s="1"/>
  <c r="AT98"/>
  <c r="CE98" s="1"/>
  <c r="BP98"/>
  <c r="CG98" s="1"/>
  <c r="CA98"/>
  <c r="CH98" s="1"/>
  <c r="AI98"/>
  <c r="CD98" s="1"/>
  <c r="BE98"/>
  <c r="CF98" s="1"/>
  <c r="AT104"/>
  <c r="CE104" s="1"/>
  <c r="BP104"/>
  <c r="CG104" s="1"/>
  <c r="CA104"/>
  <c r="CH104" s="1"/>
  <c r="AI104"/>
  <c r="CD104" s="1"/>
  <c r="BE104"/>
  <c r="CF104" s="1"/>
  <c r="AT108"/>
  <c r="CE108" s="1"/>
  <c r="BP108"/>
  <c r="CG108" s="1"/>
  <c r="CA108"/>
  <c r="CH108" s="1"/>
  <c r="AI108"/>
  <c r="CD108" s="1"/>
  <c r="BE108"/>
  <c r="CF108" s="1"/>
  <c r="BE59"/>
  <c r="CF59" s="1"/>
  <c r="BE61"/>
  <c r="CF61" s="1"/>
  <c r="BE63"/>
  <c r="CF63" s="1"/>
  <c r="BE65"/>
  <c r="CF65" s="1"/>
  <c r="BE67"/>
  <c r="CF67" s="1"/>
  <c r="BE69"/>
  <c r="CF69" s="1"/>
  <c r="BE71"/>
  <c r="CF71" s="1"/>
  <c r="BE73"/>
  <c r="CF73" s="1"/>
  <c r="BE75"/>
  <c r="CF75" s="1"/>
  <c r="BE77"/>
  <c r="CF77" s="1"/>
  <c r="BE79"/>
  <c r="CF79" s="1"/>
  <c r="BE81"/>
  <c r="CF81" s="1"/>
  <c r="BE83"/>
  <c r="CF83" s="1"/>
  <c r="BE85"/>
  <c r="CF85" s="1"/>
  <c r="AT88"/>
  <c r="CE88" s="1"/>
  <c r="CA88"/>
  <c r="CH88" s="1"/>
  <c r="AI88"/>
  <c r="CD88" s="1"/>
  <c r="BE88"/>
  <c r="CF88" s="1"/>
  <c r="AT90"/>
  <c r="CE90" s="1"/>
  <c r="CA90"/>
  <c r="CH90" s="1"/>
  <c r="AI90"/>
  <c r="CD90" s="1"/>
  <c r="BE90"/>
  <c r="CF90" s="1"/>
  <c r="AT92"/>
  <c r="CE92" s="1"/>
  <c r="CA92"/>
  <c r="CH92" s="1"/>
  <c r="AI92"/>
  <c r="CD92" s="1"/>
  <c r="BE92"/>
  <c r="CF92" s="1"/>
  <c r="AT94"/>
  <c r="CE94" s="1"/>
  <c r="CA94"/>
  <c r="CH94" s="1"/>
  <c r="AI94"/>
  <c r="CD94" s="1"/>
  <c r="BE94"/>
  <c r="CF94" s="1"/>
  <c r="AT96"/>
  <c r="CE96" s="1"/>
  <c r="BP96"/>
  <c r="CG96" s="1"/>
  <c r="CA96"/>
  <c r="CH96" s="1"/>
  <c r="AI96"/>
  <c r="CD96" s="1"/>
  <c r="BE96"/>
  <c r="CF96" s="1"/>
  <c r="AT115"/>
  <c r="CE115" s="1"/>
  <c r="AT116"/>
  <c r="CE116" s="1"/>
  <c r="BP116"/>
  <c r="CG116" s="1"/>
  <c r="X116"/>
  <c r="CC116" s="1"/>
  <c r="CA116"/>
  <c r="CH116" s="1"/>
  <c r="AI116"/>
  <c r="CD116" s="1"/>
  <c r="M116"/>
  <c r="CB116" s="1"/>
  <c r="BE117"/>
  <c r="CF117" s="1"/>
  <c r="X117"/>
  <c r="CC117" s="1"/>
  <c r="BP119"/>
  <c r="CG119" s="1"/>
  <c r="AT123"/>
  <c r="CE123" s="1"/>
  <c r="AT124"/>
  <c r="CE124" s="1"/>
  <c r="BP124"/>
  <c r="CG124" s="1"/>
  <c r="X124"/>
  <c r="CC124" s="1"/>
  <c r="CA124"/>
  <c r="CH124" s="1"/>
  <c r="AI124"/>
  <c r="CD124" s="1"/>
  <c r="M124"/>
  <c r="CB124" s="1"/>
  <c r="BE125"/>
  <c r="CF125" s="1"/>
  <c r="X125"/>
  <c r="CC125" s="1"/>
  <c r="BP127"/>
  <c r="CG127" s="1"/>
  <c r="M58"/>
  <c r="CB58" s="1"/>
  <c r="AI59"/>
  <c r="CD59" s="1"/>
  <c r="AI61"/>
  <c r="CD61" s="1"/>
  <c r="AI63"/>
  <c r="CD63" s="1"/>
  <c r="AI65"/>
  <c r="CD65" s="1"/>
  <c r="AI67"/>
  <c r="CD67" s="1"/>
  <c r="AI69"/>
  <c r="CD69" s="1"/>
  <c r="AI71"/>
  <c r="CD71" s="1"/>
  <c r="AI73"/>
  <c r="CD73" s="1"/>
  <c r="AI75"/>
  <c r="CD75" s="1"/>
  <c r="AI77"/>
  <c r="CD77" s="1"/>
  <c r="AI79"/>
  <c r="CD79" s="1"/>
  <c r="AI81"/>
  <c r="CD81" s="1"/>
  <c r="AI83"/>
  <c r="CD83" s="1"/>
  <c r="AI85"/>
  <c r="CD85" s="1"/>
  <c r="AT86"/>
  <c r="CE86" s="1"/>
  <c r="BP89"/>
  <c r="CG89" s="1"/>
  <c r="BP91"/>
  <c r="CG91" s="1"/>
  <c r="BP93"/>
  <c r="CG93" s="1"/>
  <c r="BP95"/>
  <c r="CG95" s="1"/>
  <c r="AT111"/>
  <c r="CE111" s="1"/>
  <c r="AT112"/>
  <c r="CE112" s="1"/>
  <c r="BP112"/>
  <c r="CG112" s="1"/>
  <c r="X112"/>
  <c r="CC112" s="1"/>
  <c r="CA112"/>
  <c r="CH112" s="1"/>
  <c r="AI112"/>
  <c r="CD112" s="1"/>
  <c r="M112"/>
  <c r="CB112" s="1"/>
  <c r="BE113"/>
  <c r="CF113" s="1"/>
  <c r="X113"/>
  <c r="CC113" s="1"/>
  <c r="BP115"/>
  <c r="CG115" s="1"/>
  <c r="AT119"/>
  <c r="CE119" s="1"/>
  <c r="AT120"/>
  <c r="CE120" s="1"/>
  <c r="BP120"/>
  <c r="CG120" s="1"/>
  <c r="X120"/>
  <c r="CC120" s="1"/>
  <c r="CA120"/>
  <c r="CH120" s="1"/>
  <c r="AI120"/>
  <c r="CD120" s="1"/>
  <c r="M120"/>
  <c r="CB120" s="1"/>
  <c r="BE121"/>
  <c r="CF121" s="1"/>
  <c r="X121"/>
  <c r="CC121" s="1"/>
  <c r="BP123"/>
  <c r="CG123" s="1"/>
  <c r="AT127"/>
  <c r="CE127" s="1"/>
  <c r="AT128"/>
  <c r="CE128" s="1"/>
  <c r="BP128"/>
  <c r="CG128" s="1"/>
  <c r="X128"/>
  <c r="CC128" s="1"/>
  <c r="CA128"/>
  <c r="CH128" s="1"/>
  <c r="AI128"/>
  <c r="CD128" s="1"/>
  <c r="M128"/>
  <c r="CB128" s="1"/>
  <c r="BE129"/>
  <c r="CF129" s="1"/>
  <c r="X129"/>
  <c r="CC129" s="1"/>
  <c r="BP111"/>
  <c r="CG111" s="1"/>
  <c r="AT118"/>
  <c r="CE118" s="1"/>
  <c r="BP118"/>
  <c r="CG118" s="1"/>
  <c r="X118"/>
  <c r="CC118" s="1"/>
  <c r="CA118"/>
  <c r="CH118" s="1"/>
  <c r="AI118"/>
  <c r="CD118" s="1"/>
  <c r="M118"/>
  <c r="CB118" s="1"/>
  <c r="AT126"/>
  <c r="CE126" s="1"/>
  <c r="BP126"/>
  <c r="CG126" s="1"/>
  <c r="X126"/>
  <c r="CC126" s="1"/>
  <c r="CA126"/>
  <c r="CH126" s="1"/>
  <c r="AI126"/>
  <c r="CD126" s="1"/>
  <c r="M126"/>
  <c r="CB126" s="1"/>
  <c r="BE89"/>
  <c r="CF89" s="1"/>
  <c r="BE91"/>
  <c r="CF91" s="1"/>
  <c r="BE93"/>
  <c r="CF93" s="1"/>
  <c r="BE95"/>
  <c r="CF95" s="1"/>
  <c r="BE97"/>
  <c r="CF97" s="1"/>
  <c r="BE99"/>
  <c r="CF99" s="1"/>
  <c r="BE101"/>
  <c r="CF101" s="1"/>
  <c r="BE103"/>
  <c r="CF103" s="1"/>
  <c r="BE105"/>
  <c r="CF105" s="1"/>
  <c r="BE107"/>
  <c r="CF107" s="1"/>
  <c r="BE109"/>
  <c r="CF109" s="1"/>
  <c r="M111"/>
  <c r="CB111" s="1"/>
  <c r="BE111"/>
  <c r="CF111" s="1"/>
  <c r="M113"/>
  <c r="CB113" s="1"/>
  <c r="M115"/>
  <c r="CB115" s="1"/>
  <c r="M117"/>
  <c r="CB117" s="1"/>
  <c r="M119"/>
  <c r="CB119" s="1"/>
  <c r="M121"/>
  <c r="CB121" s="1"/>
  <c r="M123"/>
  <c r="CB123" s="1"/>
  <c r="M125"/>
  <c r="CB125" s="1"/>
  <c r="M127"/>
  <c r="CB127" s="1"/>
  <c r="M129"/>
  <c r="CB129" s="1"/>
  <c r="M131"/>
  <c r="CB131" s="1"/>
  <c r="AI132"/>
  <c r="CD132" s="1"/>
  <c r="CA132"/>
  <c r="CH132" s="1"/>
  <c r="M133"/>
  <c r="CB133" s="1"/>
  <c r="AI134"/>
  <c r="CD134" s="1"/>
  <c r="CA134"/>
  <c r="CH134" s="1"/>
  <c r="M135"/>
  <c r="CB135" s="1"/>
  <c r="AI136"/>
  <c r="CD136" s="1"/>
  <c r="CA136"/>
  <c r="CH136" s="1"/>
  <c r="M137"/>
  <c r="CB137" s="1"/>
  <c r="AI138"/>
  <c r="CD138" s="1"/>
  <c r="CA138"/>
  <c r="CH138" s="1"/>
  <c r="M139"/>
  <c r="CB139" s="1"/>
  <c r="AI140"/>
  <c r="CD140" s="1"/>
  <c r="CA140"/>
  <c r="CH140" s="1"/>
  <c r="M141"/>
  <c r="CB141" s="1"/>
  <c r="AI142"/>
  <c r="CD142" s="1"/>
  <c r="CA142"/>
  <c r="CH142" s="1"/>
  <c r="M143"/>
  <c r="CB143" s="1"/>
  <c r="AI144"/>
  <c r="CD144" s="1"/>
  <c r="CA144"/>
  <c r="CH144" s="1"/>
  <c r="M145"/>
  <c r="CB145" s="1"/>
  <c r="AI146"/>
  <c r="CD146" s="1"/>
  <c r="CA146"/>
  <c r="CH146" s="1"/>
  <c r="M147"/>
  <c r="CB147" s="1"/>
  <c r="AI148"/>
  <c r="CD148" s="1"/>
  <c r="CA148"/>
  <c r="CH148" s="1"/>
  <c r="M149"/>
  <c r="CB149" s="1"/>
  <c r="AI150"/>
  <c r="CD150" s="1"/>
  <c r="CA150"/>
  <c r="CH150" s="1"/>
  <c r="M151"/>
  <c r="CB151" s="1"/>
  <c r="AI152"/>
  <c r="CD152" s="1"/>
  <c r="CA152"/>
  <c r="CH152" s="1"/>
  <c r="M153"/>
  <c r="CB153" s="1"/>
  <c r="AI154"/>
  <c r="CD154" s="1"/>
  <c r="CA154"/>
  <c r="CH154" s="1"/>
  <c r="M155"/>
  <c r="CB155" s="1"/>
  <c r="AI156"/>
  <c r="CD156" s="1"/>
  <c r="CA156"/>
  <c r="CH156" s="1"/>
  <c r="M157"/>
  <c r="CB157" s="1"/>
  <c r="AI158"/>
  <c r="CD158" s="1"/>
  <c r="CA158"/>
  <c r="CH158" s="1"/>
  <c r="M159"/>
  <c r="CB159" s="1"/>
  <c r="AI160"/>
  <c r="CD160" s="1"/>
  <c r="CA160"/>
  <c r="CH160" s="1"/>
  <c r="M161"/>
  <c r="CB161" s="1"/>
  <c r="AI162"/>
  <c r="CD162" s="1"/>
  <c r="CA162"/>
  <c r="CH162" s="1"/>
  <c r="X164"/>
  <c r="CC164" s="1"/>
  <c r="BE165"/>
  <c r="CF165" s="1"/>
  <c r="CA170"/>
  <c r="CH170" s="1"/>
  <c r="AI170"/>
  <c r="CD170" s="1"/>
  <c r="M170"/>
  <c r="CB170" s="1"/>
  <c r="AT170"/>
  <c r="CE170" s="1"/>
  <c r="X172"/>
  <c r="CC172" s="1"/>
  <c r="BE173"/>
  <c r="CF173" s="1"/>
  <c r="BE175"/>
  <c r="CF175" s="1"/>
  <c r="AI175"/>
  <c r="CD175" s="1"/>
  <c r="AI181"/>
  <c r="CD181" s="1"/>
  <c r="BE182"/>
  <c r="CF182" s="1"/>
  <c r="CA183"/>
  <c r="CH183" s="1"/>
  <c r="CA191"/>
  <c r="CH191" s="1"/>
  <c r="CA164"/>
  <c r="CH164" s="1"/>
  <c r="AI164"/>
  <c r="CD164" s="1"/>
  <c r="M164"/>
  <c r="CB164" s="1"/>
  <c r="AT164"/>
  <c r="CE164" s="1"/>
  <c r="CA172"/>
  <c r="CH172" s="1"/>
  <c r="AI172"/>
  <c r="CD172" s="1"/>
  <c r="M172"/>
  <c r="CB172" s="1"/>
  <c r="AT172"/>
  <c r="CE172" s="1"/>
  <c r="BP194"/>
  <c r="CG194" s="1"/>
  <c r="X194"/>
  <c r="CC194" s="1"/>
  <c r="BE194"/>
  <c r="CF194" s="1"/>
  <c r="AI194"/>
  <c r="CD194" s="1"/>
  <c r="M194"/>
  <c r="CB194" s="1"/>
  <c r="M132"/>
  <c r="CB132" s="1"/>
  <c r="BE132"/>
  <c r="CF132" s="1"/>
  <c r="M134"/>
  <c r="CB134" s="1"/>
  <c r="BE134"/>
  <c r="CF134" s="1"/>
  <c r="M136"/>
  <c r="CB136" s="1"/>
  <c r="BE136"/>
  <c r="CF136" s="1"/>
  <c r="M138"/>
  <c r="CB138" s="1"/>
  <c r="BE138"/>
  <c r="CF138" s="1"/>
  <c r="M140"/>
  <c r="CB140" s="1"/>
  <c r="BE140"/>
  <c r="CF140" s="1"/>
  <c r="M142"/>
  <c r="CB142" s="1"/>
  <c r="BE142"/>
  <c r="CF142" s="1"/>
  <c r="M144"/>
  <c r="CB144" s="1"/>
  <c r="BE144"/>
  <c r="CF144" s="1"/>
  <c r="M146"/>
  <c r="CB146" s="1"/>
  <c r="BE146"/>
  <c r="CF146" s="1"/>
  <c r="M148"/>
  <c r="CB148" s="1"/>
  <c r="BE148"/>
  <c r="CF148" s="1"/>
  <c r="M150"/>
  <c r="CB150" s="1"/>
  <c r="BE150"/>
  <c r="CF150" s="1"/>
  <c r="M152"/>
  <c r="CB152" s="1"/>
  <c r="BE152"/>
  <c r="CF152" s="1"/>
  <c r="M154"/>
  <c r="CB154" s="1"/>
  <c r="BE154"/>
  <c r="CF154" s="1"/>
  <c r="M156"/>
  <c r="CB156" s="1"/>
  <c r="BE156"/>
  <c r="CF156" s="1"/>
  <c r="M158"/>
  <c r="CB158" s="1"/>
  <c r="BE158"/>
  <c r="CF158" s="1"/>
  <c r="M160"/>
  <c r="CB160" s="1"/>
  <c r="BE160"/>
  <c r="CF160" s="1"/>
  <c r="M162"/>
  <c r="CB162" s="1"/>
  <c r="BE162"/>
  <c r="CF162" s="1"/>
  <c r="CA166"/>
  <c r="CH166" s="1"/>
  <c r="AI166"/>
  <c r="CD166" s="1"/>
  <c r="M166"/>
  <c r="CB166" s="1"/>
  <c r="AT166"/>
  <c r="CE166" s="1"/>
  <c r="CA187"/>
  <c r="CH187" s="1"/>
  <c r="BE163"/>
  <c r="CF163" s="1"/>
  <c r="BP164"/>
  <c r="CG164" s="1"/>
  <c r="CA168"/>
  <c r="CH168" s="1"/>
  <c r="AI168"/>
  <c r="CD168" s="1"/>
  <c r="M168"/>
  <c r="CB168" s="1"/>
  <c r="AT168"/>
  <c r="CE168" s="1"/>
  <c r="BE171"/>
  <c r="CF171" s="1"/>
  <c r="BP172"/>
  <c r="CG172" s="1"/>
  <c r="BE176"/>
  <c r="CF176" s="1"/>
  <c r="CA177"/>
  <c r="CH177" s="1"/>
  <c r="AI183"/>
  <c r="CD183" s="1"/>
  <c r="BE184"/>
  <c r="CF184" s="1"/>
  <c r="CA185"/>
  <c r="CH185" s="1"/>
  <c r="AI191"/>
  <c r="CD191" s="1"/>
  <c r="BE192"/>
  <c r="CF192" s="1"/>
  <c r="CA194"/>
  <c r="CH194" s="1"/>
  <c r="M163"/>
  <c r="CB163" s="1"/>
  <c r="M165"/>
  <c r="CB165" s="1"/>
  <c r="M167"/>
  <c r="CB167" s="1"/>
  <c r="M169"/>
  <c r="CB169" s="1"/>
  <c r="M171"/>
  <c r="CB171" s="1"/>
  <c r="M173"/>
  <c r="CB173" s="1"/>
  <c r="AI174"/>
  <c r="CD174" s="1"/>
  <c r="CA174"/>
  <c r="CH174" s="1"/>
  <c r="M175"/>
  <c r="CB175" s="1"/>
  <c r="AI176"/>
  <c r="CD176" s="1"/>
  <c r="CA176"/>
  <c r="CH176" s="1"/>
  <c r="M177"/>
  <c r="CB177" s="1"/>
  <c r="AI178"/>
  <c r="CD178" s="1"/>
  <c r="CA178"/>
  <c r="CH178" s="1"/>
  <c r="M179"/>
  <c r="CB179" s="1"/>
  <c r="AI180"/>
  <c r="CD180" s="1"/>
  <c r="CA180"/>
  <c r="CH180" s="1"/>
  <c r="M181"/>
  <c r="CB181" s="1"/>
  <c r="AI182"/>
  <c r="CD182" s="1"/>
  <c r="CA182"/>
  <c r="CH182" s="1"/>
  <c r="M183"/>
  <c r="CB183" s="1"/>
  <c r="AI184"/>
  <c r="CD184" s="1"/>
  <c r="CA184"/>
  <c r="CH184" s="1"/>
  <c r="M185"/>
  <c r="CB185" s="1"/>
  <c r="AI186"/>
  <c r="CD186" s="1"/>
  <c r="CA186"/>
  <c r="CH186" s="1"/>
  <c r="M187"/>
  <c r="CB187" s="1"/>
  <c r="AI188"/>
  <c r="CD188" s="1"/>
  <c r="CA188"/>
  <c r="CH188" s="1"/>
  <c r="M189"/>
  <c r="CB189" s="1"/>
  <c r="AI190"/>
  <c r="CD190" s="1"/>
  <c r="CA190"/>
  <c r="CH190" s="1"/>
  <c r="M191"/>
  <c r="CB191" s="1"/>
  <c r="AI192"/>
  <c r="CD192" s="1"/>
  <c r="CA192"/>
  <c r="CH192" s="1"/>
  <c r="AT193"/>
  <c r="CE193" s="1"/>
  <c r="M193"/>
  <c r="CB193" s="1"/>
  <c r="X195"/>
  <c r="CC195" s="1"/>
  <c r="AT196"/>
  <c r="CE196" s="1"/>
  <c r="BP196"/>
  <c r="CG196" s="1"/>
  <c r="X196"/>
  <c r="CC196" s="1"/>
  <c r="M196"/>
  <c r="CB196" s="1"/>
  <c r="AI197"/>
  <c r="CD197" s="1"/>
  <c r="AT200"/>
  <c r="CE200" s="1"/>
  <c r="BP200"/>
  <c r="CG200" s="1"/>
  <c r="X200"/>
  <c r="CC200" s="1"/>
  <c r="M200"/>
  <c r="CB200" s="1"/>
  <c r="AI201"/>
  <c r="CD201" s="1"/>
  <c r="BE203"/>
  <c r="CF203" s="1"/>
  <c r="AI203"/>
  <c r="CD203" s="1"/>
  <c r="CA204"/>
  <c r="CH204" s="1"/>
  <c r="AI204"/>
  <c r="CD204" s="1"/>
  <c r="BP204"/>
  <c r="CG204" s="1"/>
  <c r="BE204"/>
  <c r="CF204" s="1"/>
  <c r="X204"/>
  <c r="CC204" s="1"/>
  <c r="M204"/>
  <c r="CB204" s="1"/>
  <c r="BE205"/>
  <c r="CF205" s="1"/>
  <c r="AI205"/>
  <c r="CD205" s="1"/>
  <c r="AT207"/>
  <c r="CE207" s="1"/>
  <c r="CA210"/>
  <c r="CH210" s="1"/>
  <c r="AI210"/>
  <c r="CD210" s="1"/>
  <c r="BE210"/>
  <c r="CF210" s="1"/>
  <c r="X210"/>
  <c r="CC210" s="1"/>
  <c r="AT210"/>
  <c r="CE210" s="1"/>
  <c r="M210"/>
  <c r="CB210" s="1"/>
  <c r="CA213"/>
  <c r="CH213" s="1"/>
  <c r="BE237"/>
  <c r="CF237" s="1"/>
  <c r="BP246"/>
  <c r="CG246" s="1"/>
  <c r="AT195"/>
  <c r="CE195" s="1"/>
  <c r="M195"/>
  <c r="CB195" s="1"/>
  <c r="BE197"/>
  <c r="CF197" s="1"/>
  <c r="BP199"/>
  <c r="CG199" s="1"/>
  <c r="X199"/>
  <c r="CC199" s="1"/>
  <c r="AT199"/>
  <c r="CE199" s="1"/>
  <c r="M199"/>
  <c r="CB199" s="1"/>
  <c r="BE201"/>
  <c r="CF201" s="1"/>
  <c r="AI209"/>
  <c r="CD209" s="1"/>
  <c r="CA214"/>
  <c r="CH214" s="1"/>
  <c r="AI214"/>
  <c r="CD214" s="1"/>
  <c r="BE214"/>
  <c r="CF214" s="1"/>
  <c r="X214"/>
  <c r="CC214" s="1"/>
  <c r="BP214"/>
  <c r="CG214" s="1"/>
  <c r="M214"/>
  <c r="CB214" s="1"/>
  <c r="AT223"/>
  <c r="CE223" s="1"/>
  <c r="BP232"/>
  <c r="CG232" s="1"/>
  <c r="CA236"/>
  <c r="CH236" s="1"/>
  <c r="AI236"/>
  <c r="CD236" s="1"/>
  <c r="BP236"/>
  <c r="CG236" s="1"/>
  <c r="BE236"/>
  <c r="CF236" s="1"/>
  <c r="X236"/>
  <c r="CC236" s="1"/>
  <c r="M236"/>
  <c r="CB236" s="1"/>
  <c r="CA254"/>
  <c r="CH254" s="1"/>
  <c r="AI254"/>
  <c r="CD254" s="1"/>
  <c r="BP254"/>
  <c r="CG254" s="1"/>
  <c r="BE254"/>
  <c r="CF254" s="1"/>
  <c r="X254"/>
  <c r="CC254" s="1"/>
  <c r="M254"/>
  <c r="CB254" s="1"/>
  <c r="M174"/>
  <c r="CB174" s="1"/>
  <c r="M176"/>
  <c r="CB176" s="1"/>
  <c r="M178"/>
  <c r="CB178" s="1"/>
  <c r="M180"/>
  <c r="CB180" s="1"/>
  <c r="M182"/>
  <c r="CB182" s="1"/>
  <c r="M184"/>
  <c r="CB184" s="1"/>
  <c r="M186"/>
  <c r="CB186" s="1"/>
  <c r="M188"/>
  <c r="CB188" s="1"/>
  <c r="M190"/>
  <c r="CB190" s="1"/>
  <c r="M192"/>
  <c r="CB192" s="1"/>
  <c r="CA195"/>
  <c r="CH195" s="1"/>
  <c r="AT198"/>
  <c r="CE198" s="1"/>
  <c r="BP198"/>
  <c r="CG198" s="1"/>
  <c r="X198"/>
  <c r="CC198" s="1"/>
  <c r="M198"/>
  <c r="CB198" s="1"/>
  <c r="AI199"/>
  <c r="CD199" s="1"/>
  <c r="CA202"/>
  <c r="CH202" s="1"/>
  <c r="AT202"/>
  <c r="CE202" s="1"/>
  <c r="BP202"/>
  <c r="CG202" s="1"/>
  <c r="X202"/>
  <c r="CC202" s="1"/>
  <c r="M202"/>
  <c r="CB202" s="1"/>
  <c r="AI227"/>
  <c r="CD227" s="1"/>
  <c r="BP197"/>
  <c r="CG197" s="1"/>
  <c r="X197"/>
  <c r="CC197" s="1"/>
  <c r="AT197"/>
  <c r="CE197" s="1"/>
  <c r="M197"/>
  <c r="CB197" s="1"/>
  <c r="BP201"/>
  <c r="CG201" s="1"/>
  <c r="X201"/>
  <c r="CC201" s="1"/>
  <c r="AT201"/>
  <c r="CE201" s="1"/>
  <c r="M201"/>
  <c r="CB201" s="1"/>
  <c r="BP273"/>
  <c r="CG273" s="1"/>
  <c r="X273"/>
  <c r="CC273" s="1"/>
  <c r="AI273"/>
  <c r="CD273" s="1"/>
  <c r="CA273"/>
  <c r="CH273" s="1"/>
  <c r="AT273"/>
  <c r="CE273" s="1"/>
  <c r="BE273"/>
  <c r="CF273" s="1"/>
  <c r="M273"/>
  <c r="CB273" s="1"/>
  <c r="AT294"/>
  <c r="CE294" s="1"/>
  <c r="CA294"/>
  <c r="CH294" s="1"/>
  <c r="BE294"/>
  <c r="CF294" s="1"/>
  <c r="X294"/>
  <c r="CC294" s="1"/>
  <c r="AI294"/>
  <c r="CD294" s="1"/>
  <c r="BP294"/>
  <c r="CG294" s="1"/>
  <c r="M294"/>
  <c r="CB294" s="1"/>
  <c r="CA211"/>
  <c r="CH211" s="1"/>
  <c r="CA220"/>
  <c r="CH220" s="1"/>
  <c r="AI220"/>
  <c r="CD220" s="1"/>
  <c r="BP220"/>
  <c r="CG220" s="1"/>
  <c r="M220"/>
  <c r="CB220" s="1"/>
  <c r="AT220"/>
  <c r="CE220" s="1"/>
  <c r="BE221"/>
  <c r="CF221" s="1"/>
  <c r="CA226"/>
  <c r="CH226" s="1"/>
  <c r="AI226"/>
  <c r="CD226" s="1"/>
  <c r="BE226"/>
  <c r="CF226" s="1"/>
  <c r="X226"/>
  <c r="CC226" s="1"/>
  <c r="M226"/>
  <c r="CB226" s="1"/>
  <c r="BP226"/>
  <c r="CG226" s="1"/>
  <c r="CA230"/>
  <c r="CH230" s="1"/>
  <c r="AI230"/>
  <c r="CD230" s="1"/>
  <c r="M230"/>
  <c r="CB230" s="1"/>
  <c r="AT230"/>
  <c r="CE230" s="1"/>
  <c r="AI241"/>
  <c r="CD241" s="1"/>
  <c r="CA252"/>
  <c r="CH252" s="1"/>
  <c r="AI252"/>
  <c r="CD252" s="1"/>
  <c r="BP252"/>
  <c r="CG252" s="1"/>
  <c r="BE252"/>
  <c r="CF252" s="1"/>
  <c r="X252"/>
  <c r="CC252" s="1"/>
  <c r="M252"/>
  <c r="CB252" s="1"/>
  <c r="CA258"/>
  <c r="CH258" s="1"/>
  <c r="AI258"/>
  <c r="CD258" s="1"/>
  <c r="BE258"/>
  <c r="CF258" s="1"/>
  <c r="X258"/>
  <c r="CC258" s="1"/>
  <c r="AT258"/>
  <c r="CE258" s="1"/>
  <c r="M258"/>
  <c r="CB258" s="1"/>
  <c r="CA203"/>
  <c r="CH203" s="1"/>
  <c r="CA212"/>
  <c r="CH212" s="1"/>
  <c r="AI212"/>
  <c r="CD212" s="1"/>
  <c r="BP212"/>
  <c r="CG212" s="1"/>
  <c r="M212"/>
  <c r="CB212" s="1"/>
  <c r="AT212"/>
  <c r="CE212" s="1"/>
  <c r="BE213"/>
  <c r="CF213" s="1"/>
  <c r="BP217"/>
  <c r="CG217" s="1"/>
  <c r="CA218"/>
  <c r="CH218" s="1"/>
  <c r="AI218"/>
  <c r="CD218" s="1"/>
  <c r="BE218"/>
  <c r="CF218" s="1"/>
  <c r="X218"/>
  <c r="CC218" s="1"/>
  <c r="M218"/>
  <c r="CB218" s="1"/>
  <c r="BP218"/>
  <c r="CG218" s="1"/>
  <c r="CA222"/>
  <c r="CH222" s="1"/>
  <c r="AI222"/>
  <c r="CD222" s="1"/>
  <c r="M222"/>
  <c r="CB222" s="1"/>
  <c r="AT222"/>
  <c r="CE222" s="1"/>
  <c r="BE231"/>
  <c r="CF231" s="1"/>
  <c r="X231"/>
  <c r="CC231" s="1"/>
  <c r="BE233"/>
  <c r="CF233" s="1"/>
  <c r="AI233"/>
  <c r="CD233" s="1"/>
  <c r="AT235"/>
  <c r="CE235" s="1"/>
  <c r="CA235"/>
  <c r="CH235" s="1"/>
  <c r="CA242"/>
  <c r="CH242" s="1"/>
  <c r="AI242"/>
  <c r="CD242" s="1"/>
  <c r="BE242"/>
  <c r="CF242" s="1"/>
  <c r="X242"/>
  <c r="CC242" s="1"/>
  <c r="M242"/>
  <c r="CB242" s="1"/>
  <c r="BP242"/>
  <c r="CG242" s="1"/>
  <c r="AI243"/>
  <c r="CD243" s="1"/>
  <c r="CA243"/>
  <c r="CH243" s="1"/>
  <c r="CA244"/>
  <c r="CH244" s="1"/>
  <c r="AI244"/>
  <c r="CD244" s="1"/>
  <c r="BP244"/>
  <c r="CG244" s="1"/>
  <c r="M244"/>
  <c r="CB244" s="1"/>
  <c r="AT244"/>
  <c r="CE244" s="1"/>
  <c r="BP255"/>
  <c r="CG255" s="1"/>
  <c r="CA261"/>
  <c r="CH261" s="1"/>
  <c r="BP302"/>
  <c r="CG302" s="1"/>
  <c r="X302"/>
  <c r="CC302" s="1"/>
  <c r="AI302"/>
  <c r="CD302" s="1"/>
  <c r="BE302"/>
  <c r="CF302" s="1"/>
  <c r="AT302"/>
  <c r="CE302" s="1"/>
  <c r="M302"/>
  <c r="CB302" s="1"/>
  <c r="AT305"/>
  <c r="CE305" s="1"/>
  <c r="BP305"/>
  <c r="CG305" s="1"/>
  <c r="AI305"/>
  <c r="CD305" s="1"/>
  <c r="CA305"/>
  <c r="CH305" s="1"/>
  <c r="X305"/>
  <c r="CC305" s="1"/>
  <c r="M305"/>
  <c r="CB305" s="1"/>
  <c r="CA206"/>
  <c r="CH206" s="1"/>
  <c r="AI206"/>
  <c r="CD206" s="1"/>
  <c r="M206"/>
  <c r="CB206" s="1"/>
  <c r="AT206"/>
  <c r="CE206" s="1"/>
  <c r="BE215"/>
  <c r="CF215" s="1"/>
  <c r="X215"/>
  <c r="CC215" s="1"/>
  <c r="BE217"/>
  <c r="CF217" s="1"/>
  <c r="AT219"/>
  <c r="CE219" s="1"/>
  <c r="X220"/>
  <c r="CC220" s="1"/>
  <c r="BE220"/>
  <c r="CF220" s="1"/>
  <c r="AT226"/>
  <c r="CE226" s="1"/>
  <c r="CA228"/>
  <c r="CH228" s="1"/>
  <c r="AI228"/>
  <c r="CD228" s="1"/>
  <c r="BP228"/>
  <c r="CG228" s="1"/>
  <c r="M228"/>
  <c r="CB228" s="1"/>
  <c r="AT228"/>
  <c r="CE228" s="1"/>
  <c r="BE229"/>
  <c r="CF229" s="1"/>
  <c r="X230"/>
  <c r="CC230" s="1"/>
  <c r="BE230"/>
  <c r="CF230" s="1"/>
  <c r="BP233"/>
  <c r="CG233" s="1"/>
  <c r="CA234"/>
  <c r="CH234" s="1"/>
  <c r="AI234"/>
  <c r="CD234" s="1"/>
  <c r="BE234"/>
  <c r="CF234" s="1"/>
  <c r="X234"/>
  <c r="CC234" s="1"/>
  <c r="M234"/>
  <c r="CB234" s="1"/>
  <c r="BP234"/>
  <c r="CG234" s="1"/>
  <c r="CA238"/>
  <c r="CH238" s="1"/>
  <c r="AI238"/>
  <c r="CD238" s="1"/>
  <c r="M238"/>
  <c r="CB238" s="1"/>
  <c r="AT238"/>
  <c r="CE238" s="1"/>
  <c r="CA246"/>
  <c r="CH246" s="1"/>
  <c r="AI246"/>
  <c r="CD246" s="1"/>
  <c r="M246"/>
  <c r="CB246" s="1"/>
  <c r="AT246"/>
  <c r="CE246" s="1"/>
  <c r="CA250"/>
  <c r="CH250" s="1"/>
  <c r="AI250"/>
  <c r="CD250" s="1"/>
  <c r="BE250"/>
  <c r="CF250" s="1"/>
  <c r="X250"/>
  <c r="CC250" s="1"/>
  <c r="M250"/>
  <c r="CB250" s="1"/>
  <c r="BP250"/>
  <c r="CG250" s="1"/>
  <c r="AT252"/>
  <c r="CE252" s="1"/>
  <c r="BP258"/>
  <c r="CG258" s="1"/>
  <c r="CA262"/>
  <c r="CH262" s="1"/>
  <c r="AI262"/>
  <c r="CD262" s="1"/>
  <c r="BE262"/>
  <c r="CF262" s="1"/>
  <c r="X262"/>
  <c r="CC262" s="1"/>
  <c r="BP262"/>
  <c r="CG262" s="1"/>
  <c r="M262"/>
  <c r="CB262" s="1"/>
  <c r="BP265"/>
  <c r="CG265" s="1"/>
  <c r="X265"/>
  <c r="CC265" s="1"/>
  <c r="AI265"/>
  <c r="CD265" s="1"/>
  <c r="BE265"/>
  <c r="CF265" s="1"/>
  <c r="CA265"/>
  <c r="CH265" s="1"/>
  <c r="M265"/>
  <c r="CB265" s="1"/>
  <c r="AT268"/>
  <c r="CE268" s="1"/>
  <c r="BP268"/>
  <c r="CG268" s="1"/>
  <c r="AI268"/>
  <c r="CD268" s="1"/>
  <c r="BE268"/>
  <c r="CF268" s="1"/>
  <c r="M268"/>
  <c r="CB268" s="1"/>
  <c r="BP293"/>
  <c r="CG293" s="1"/>
  <c r="X293"/>
  <c r="CC293" s="1"/>
  <c r="BE293"/>
  <c r="CF293" s="1"/>
  <c r="AI293"/>
  <c r="CD293" s="1"/>
  <c r="CA293"/>
  <c r="CH293" s="1"/>
  <c r="M293"/>
  <c r="CB293" s="1"/>
  <c r="BE255"/>
  <c r="CF255" s="1"/>
  <c r="BE257"/>
  <c r="CF257" s="1"/>
  <c r="AI257"/>
  <c r="CD257" s="1"/>
  <c r="AT259"/>
  <c r="CE259" s="1"/>
  <c r="CA259"/>
  <c r="CH259" s="1"/>
  <c r="AT266"/>
  <c r="CE266" s="1"/>
  <c r="BE266"/>
  <c r="CF266" s="1"/>
  <c r="X266"/>
  <c r="CC266" s="1"/>
  <c r="CA266"/>
  <c r="CH266" s="1"/>
  <c r="M266"/>
  <c r="CB266" s="1"/>
  <c r="BP266"/>
  <c r="CG266" s="1"/>
  <c r="BP277"/>
  <c r="CG277" s="1"/>
  <c r="X277"/>
  <c r="CC277" s="1"/>
  <c r="BE277"/>
  <c r="CF277" s="1"/>
  <c r="CA277"/>
  <c r="CH277" s="1"/>
  <c r="AI277"/>
  <c r="CD277" s="1"/>
  <c r="M277"/>
  <c r="CB277" s="1"/>
  <c r="AT278"/>
  <c r="CE278" s="1"/>
  <c r="CA278"/>
  <c r="CH278" s="1"/>
  <c r="BE278"/>
  <c r="CF278" s="1"/>
  <c r="X278"/>
  <c r="CC278" s="1"/>
  <c r="M278"/>
  <c r="CB278" s="1"/>
  <c r="BP278"/>
  <c r="CG278" s="1"/>
  <c r="BP280"/>
  <c r="CG280" s="1"/>
  <c r="AT284"/>
  <c r="CE284" s="1"/>
  <c r="BP284"/>
  <c r="CG284" s="1"/>
  <c r="AI284"/>
  <c r="CD284" s="1"/>
  <c r="CA284"/>
  <c r="CH284" s="1"/>
  <c r="X284"/>
  <c r="CC284" s="1"/>
  <c r="M284"/>
  <c r="CB284" s="1"/>
  <c r="BP287"/>
  <c r="CG287" s="1"/>
  <c r="X287"/>
  <c r="CC287" s="1"/>
  <c r="BE287"/>
  <c r="CF287" s="1"/>
  <c r="AI287"/>
  <c r="CD287" s="1"/>
  <c r="M287"/>
  <c r="CB287" s="1"/>
  <c r="AT298"/>
  <c r="CE298" s="1"/>
  <c r="BE298"/>
  <c r="CF298" s="1"/>
  <c r="X298"/>
  <c r="CC298" s="1"/>
  <c r="CA298"/>
  <c r="CH298" s="1"/>
  <c r="AI298"/>
  <c r="CD298" s="1"/>
  <c r="M298"/>
  <c r="CB298" s="1"/>
  <c r="BE247"/>
  <c r="CF247" s="1"/>
  <c r="X247"/>
  <c r="CC247" s="1"/>
  <c r="BE249"/>
  <c r="CF249" s="1"/>
  <c r="AI249"/>
  <c r="CD249" s="1"/>
  <c r="AT251"/>
  <c r="CE251" s="1"/>
  <c r="CA251"/>
  <c r="CH251" s="1"/>
  <c r="CA260"/>
  <c r="CH260" s="1"/>
  <c r="AI260"/>
  <c r="CD260" s="1"/>
  <c r="BP260"/>
  <c r="CG260" s="1"/>
  <c r="M260"/>
  <c r="CB260" s="1"/>
  <c r="AT260"/>
  <c r="CE260" s="1"/>
  <c r="BE261"/>
  <c r="CF261" s="1"/>
  <c r="AI266"/>
  <c r="CD266" s="1"/>
  <c r="BP269"/>
  <c r="CG269" s="1"/>
  <c r="X269"/>
  <c r="CC269" s="1"/>
  <c r="BE269"/>
  <c r="CF269" s="1"/>
  <c r="AT269"/>
  <c r="CE269" s="1"/>
  <c r="M269"/>
  <c r="CB269" s="1"/>
  <c r="AI269"/>
  <c r="CD269" s="1"/>
  <c r="BP271"/>
  <c r="CG271" s="1"/>
  <c r="X271"/>
  <c r="CC271" s="1"/>
  <c r="AI271"/>
  <c r="CD271" s="1"/>
  <c r="BE271"/>
  <c r="CF271" s="1"/>
  <c r="M271"/>
  <c r="CB271" s="1"/>
  <c r="AI278"/>
  <c r="CD278" s="1"/>
  <c r="AT282"/>
  <c r="CE282" s="1"/>
  <c r="BE282"/>
  <c r="CF282" s="1"/>
  <c r="X282"/>
  <c r="CC282" s="1"/>
  <c r="AI282"/>
  <c r="CD282" s="1"/>
  <c r="CA282"/>
  <c r="CH282" s="1"/>
  <c r="M282"/>
  <c r="CB282" s="1"/>
  <c r="BE284"/>
  <c r="CF284" s="1"/>
  <c r="AI286"/>
  <c r="CD286" s="1"/>
  <c r="BP289"/>
  <c r="CG289" s="1"/>
  <c r="X289"/>
  <c r="CC289" s="1"/>
  <c r="AI289"/>
  <c r="CD289" s="1"/>
  <c r="CA289"/>
  <c r="CH289" s="1"/>
  <c r="AT289"/>
  <c r="CE289" s="1"/>
  <c r="M289"/>
  <c r="CB289" s="1"/>
  <c r="AI296"/>
  <c r="CD296" s="1"/>
  <c r="AI299"/>
  <c r="CD299" s="1"/>
  <c r="BP301"/>
  <c r="CG301" s="1"/>
  <c r="BP306"/>
  <c r="CG306" s="1"/>
  <c r="X306"/>
  <c r="CC306" s="1"/>
  <c r="BE306"/>
  <c r="CF306" s="1"/>
  <c r="AI306"/>
  <c r="CD306" s="1"/>
  <c r="CA306"/>
  <c r="CH306" s="1"/>
  <c r="M306"/>
  <c r="CB306" s="1"/>
  <c r="BE308"/>
  <c r="CF308" s="1"/>
  <c r="AT270"/>
  <c r="CE270" s="1"/>
  <c r="CA270"/>
  <c r="CH270" s="1"/>
  <c r="M270"/>
  <c r="CB270" s="1"/>
  <c r="AT276"/>
  <c r="CE276" s="1"/>
  <c r="BP276"/>
  <c r="CG276" s="1"/>
  <c r="AI276"/>
  <c r="CD276" s="1"/>
  <c r="M276"/>
  <c r="CB276" s="1"/>
  <c r="BP279"/>
  <c r="CG279" s="1"/>
  <c r="X279"/>
  <c r="CC279" s="1"/>
  <c r="M279"/>
  <c r="CB279" s="1"/>
  <c r="AT279"/>
  <c r="CE279" s="1"/>
  <c r="CA279"/>
  <c r="CH279" s="1"/>
  <c r="AT290"/>
  <c r="CE290" s="1"/>
  <c r="BE290"/>
  <c r="CF290" s="1"/>
  <c r="X290"/>
  <c r="CC290" s="1"/>
  <c r="M290"/>
  <c r="CB290" s="1"/>
  <c r="BP290"/>
  <c r="CG290" s="1"/>
  <c r="BP297"/>
  <c r="CG297" s="1"/>
  <c r="X297"/>
  <c r="CC297" s="1"/>
  <c r="AI297"/>
  <c r="CD297" s="1"/>
  <c r="M297"/>
  <c r="CB297" s="1"/>
  <c r="AT303"/>
  <c r="CE303" s="1"/>
  <c r="BE303"/>
  <c r="CF303" s="1"/>
  <c r="X303"/>
  <c r="CC303" s="1"/>
  <c r="CA303"/>
  <c r="CH303" s="1"/>
  <c r="M303"/>
  <c r="CB303" s="1"/>
  <c r="BP303"/>
  <c r="CG303" s="1"/>
  <c r="AT307"/>
  <c r="CE307" s="1"/>
  <c r="CA307"/>
  <c r="CH307" s="1"/>
  <c r="BP307"/>
  <c r="CG307" s="1"/>
  <c r="AI307"/>
  <c r="CD307" s="1"/>
  <c r="M307"/>
  <c r="CB307" s="1"/>
  <c r="BP310"/>
  <c r="CG310" s="1"/>
  <c r="X310"/>
  <c r="CC310" s="1"/>
  <c r="AI310"/>
  <c r="CD310" s="1"/>
  <c r="CA310"/>
  <c r="CH310" s="1"/>
  <c r="AT310"/>
  <c r="CE310" s="1"/>
  <c r="M310"/>
  <c r="CB310" s="1"/>
  <c r="CA208"/>
  <c r="CH208" s="1"/>
  <c r="AI208"/>
  <c r="CD208" s="1"/>
  <c r="M208"/>
  <c r="CB208" s="1"/>
  <c r="AT208"/>
  <c r="CE208" s="1"/>
  <c r="BE211"/>
  <c r="CF211" s="1"/>
  <c r="CA216"/>
  <c r="CH216" s="1"/>
  <c r="AI216"/>
  <c r="CD216" s="1"/>
  <c r="M216"/>
  <c r="CB216" s="1"/>
  <c r="AT216"/>
  <c r="CE216" s="1"/>
  <c r="BE219"/>
  <c r="CF219" s="1"/>
  <c r="CA224"/>
  <c r="CH224" s="1"/>
  <c r="AI224"/>
  <c r="CD224" s="1"/>
  <c r="M224"/>
  <c r="CB224" s="1"/>
  <c r="AT224"/>
  <c r="CE224" s="1"/>
  <c r="BE227"/>
  <c r="CF227" s="1"/>
  <c r="CA232"/>
  <c r="CH232" s="1"/>
  <c r="AI232"/>
  <c r="CD232" s="1"/>
  <c r="M232"/>
  <c r="CB232" s="1"/>
  <c r="AT232"/>
  <c r="CE232" s="1"/>
  <c r="BE235"/>
  <c r="CF235" s="1"/>
  <c r="CA240"/>
  <c r="CH240" s="1"/>
  <c r="AI240"/>
  <c r="CD240" s="1"/>
  <c r="M240"/>
  <c r="CB240" s="1"/>
  <c r="AT240"/>
  <c r="CE240" s="1"/>
  <c r="BE243"/>
  <c r="CF243" s="1"/>
  <c r="CA248"/>
  <c r="CH248" s="1"/>
  <c r="AI248"/>
  <c r="CD248" s="1"/>
  <c r="M248"/>
  <c r="CB248" s="1"/>
  <c r="AT248"/>
  <c r="CE248" s="1"/>
  <c r="BE251"/>
  <c r="CF251" s="1"/>
  <c r="CA256"/>
  <c r="CH256" s="1"/>
  <c r="AI256"/>
  <c r="CD256" s="1"/>
  <c r="M256"/>
  <c r="CB256" s="1"/>
  <c r="AT256"/>
  <c r="CE256" s="1"/>
  <c r="BE259"/>
  <c r="CF259" s="1"/>
  <c r="BP263"/>
  <c r="CG263" s="1"/>
  <c r="X263"/>
  <c r="CC263" s="1"/>
  <c r="M263"/>
  <c r="CB263" s="1"/>
  <c r="AT263"/>
  <c r="CE263" s="1"/>
  <c r="CA263"/>
  <c r="CH263" s="1"/>
  <c r="AI270"/>
  <c r="CD270" s="1"/>
  <c r="BP270"/>
  <c r="CG270" s="1"/>
  <c r="AT274"/>
  <c r="CE274" s="1"/>
  <c r="BE274"/>
  <c r="CF274" s="1"/>
  <c r="X274"/>
  <c r="CC274" s="1"/>
  <c r="M274"/>
  <c r="CB274" s="1"/>
  <c r="BP274"/>
  <c r="CG274" s="1"/>
  <c r="BE276"/>
  <c r="CF276" s="1"/>
  <c r="BP281"/>
  <c r="CG281" s="1"/>
  <c r="X281"/>
  <c r="CC281" s="1"/>
  <c r="AI281"/>
  <c r="CD281" s="1"/>
  <c r="M281"/>
  <c r="CB281" s="1"/>
  <c r="BP285"/>
  <c r="CG285" s="1"/>
  <c r="X285"/>
  <c r="CC285" s="1"/>
  <c r="BE285"/>
  <c r="CF285" s="1"/>
  <c r="M285"/>
  <c r="CB285" s="1"/>
  <c r="AT285"/>
  <c r="CE285" s="1"/>
  <c r="AT286"/>
  <c r="CE286" s="1"/>
  <c r="CA286"/>
  <c r="CH286" s="1"/>
  <c r="M286"/>
  <c r="CB286" s="1"/>
  <c r="AT292"/>
  <c r="CE292" s="1"/>
  <c r="BP292"/>
  <c r="CG292" s="1"/>
  <c r="AI292"/>
  <c r="CD292" s="1"/>
  <c r="M292"/>
  <c r="CB292" s="1"/>
  <c r="BP295"/>
  <c r="CG295" s="1"/>
  <c r="X295"/>
  <c r="CC295" s="1"/>
  <c r="M295"/>
  <c r="CB295" s="1"/>
  <c r="AT295"/>
  <c r="CE295" s="1"/>
  <c r="CA295"/>
  <c r="CH295" s="1"/>
  <c r="BE297"/>
  <c r="CF297" s="1"/>
  <c r="AT299"/>
  <c r="CE299" s="1"/>
  <c r="CA299"/>
  <c r="CH299" s="1"/>
  <c r="M299"/>
  <c r="CB299" s="1"/>
  <c r="BE307"/>
  <c r="CF307" s="1"/>
  <c r="BP308"/>
  <c r="CG308" s="1"/>
  <c r="X308"/>
  <c r="CC308" s="1"/>
  <c r="AI308"/>
  <c r="CD308" s="1"/>
  <c r="M308"/>
  <c r="CB308" s="1"/>
  <c r="AT313"/>
  <c r="CE313" s="1"/>
  <c r="BP313"/>
  <c r="CG313" s="1"/>
  <c r="AI313"/>
  <c r="CD313" s="1"/>
  <c r="BE313"/>
  <c r="CF313" s="1"/>
  <c r="M313"/>
  <c r="CB313" s="1"/>
  <c r="M203"/>
  <c r="CB203" s="1"/>
  <c r="M205"/>
  <c r="CB205" s="1"/>
  <c r="M207"/>
  <c r="CB207" s="1"/>
  <c r="M209"/>
  <c r="CB209" s="1"/>
  <c r="M211"/>
  <c r="CB211" s="1"/>
  <c r="M213"/>
  <c r="CB213" s="1"/>
  <c r="M215"/>
  <c r="CB215" s="1"/>
  <c r="M217"/>
  <c r="CB217" s="1"/>
  <c r="M219"/>
  <c r="CB219" s="1"/>
  <c r="M221"/>
  <c r="CB221" s="1"/>
  <c r="M223"/>
  <c r="CB223" s="1"/>
  <c r="M225"/>
  <c r="CB225" s="1"/>
  <c r="M227"/>
  <c r="CB227" s="1"/>
  <c r="M229"/>
  <c r="CB229" s="1"/>
  <c r="M231"/>
  <c r="CB231" s="1"/>
  <c r="M233"/>
  <c r="CB233" s="1"/>
  <c r="M235"/>
  <c r="CB235" s="1"/>
  <c r="M237"/>
  <c r="CB237" s="1"/>
  <c r="M239"/>
  <c r="CB239" s="1"/>
  <c r="M241"/>
  <c r="CB241" s="1"/>
  <c r="M243"/>
  <c r="CB243" s="1"/>
  <c r="M245"/>
  <c r="CB245" s="1"/>
  <c r="M247"/>
  <c r="CB247" s="1"/>
  <c r="M249"/>
  <c r="CB249" s="1"/>
  <c r="M251"/>
  <c r="CB251" s="1"/>
  <c r="M253"/>
  <c r="CB253" s="1"/>
  <c r="M255"/>
  <c r="CB255" s="1"/>
  <c r="M257"/>
  <c r="CB257" s="1"/>
  <c r="M259"/>
  <c r="CB259" s="1"/>
  <c r="M261"/>
  <c r="CB261" s="1"/>
  <c r="AT264"/>
  <c r="CE264" s="1"/>
  <c r="M264"/>
  <c r="CB264" s="1"/>
  <c r="BP267"/>
  <c r="CG267" s="1"/>
  <c r="X267"/>
  <c r="CC267" s="1"/>
  <c r="M267"/>
  <c r="CB267" s="1"/>
  <c r="AT267"/>
  <c r="CE267" s="1"/>
  <c r="CA267"/>
  <c r="CH267" s="1"/>
  <c r="AT272"/>
  <c r="CE272" s="1"/>
  <c r="M272"/>
  <c r="CB272" s="1"/>
  <c r="BP275"/>
  <c r="CG275" s="1"/>
  <c r="X275"/>
  <c r="CC275" s="1"/>
  <c r="M275"/>
  <c r="CB275" s="1"/>
  <c r="AT275"/>
  <c r="CE275" s="1"/>
  <c r="CA275"/>
  <c r="CH275" s="1"/>
  <c r="AT280"/>
  <c r="CE280" s="1"/>
  <c r="M280"/>
  <c r="CB280" s="1"/>
  <c r="BP283"/>
  <c r="CG283" s="1"/>
  <c r="X283"/>
  <c r="CC283" s="1"/>
  <c r="M283"/>
  <c r="CB283" s="1"/>
  <c r="AT283"/>
  <c r="CE283" s="1"/>
  <c r="CA283"/>
  <c r="CH283" s="1"/>
  <c r="AT288"/>
  <c r="CE288" s="1"/>
  <c r="M288"/>
  <c r="CB288" s="1"/>
  <c r="BP291"/>
  <c r="CG291" s="1"/>
  <c r="X291"/>
  <c r="CC291" s="1"/>
  <c r="M291"/>
  <c r="CB291" s="1"/>
  <c r="AT291"/>
  <c r="CE291" s="1"/>
  <c r="CA291"/>
  <c r="CH291" s="1"/>
  <c r="AT296"/>
  <c r="CE296" s="1"/>
  <c r="M296"/>
  <c r="CB296" s="1"/>
  <c r="BP300"/>
  <c r="CG300" s="1"/>
  <c r="X300"/>
  <c r="CC300" s="1"/>
  <c r="M300"/>
  <c r="CB300" s="1"/>
  <c r="AT300"/>
  <c r="CE300" s="1"/>
  <c r="CA300"/>
  <c r="CH300" s="1"/>
  <c r="AT311"/>
  <c r="CE311" s="1"/>
  <c r="BE311"/>
  <c r="CF311" s="1"/>
  <c r="X311"/>
  <c r="CC311" s="1"/>
  <c r="M311"/>
  <c r="CB311" s="1"/>
  <c r="BP311"/>
  <c r="CG311" s="1"/>
  <c r="AT301"/>
  <c r="CE301" s="1"/>
  <c r="M301"/>
  <c r="CB301" s="1"/>
  <c r="BP304"/>
  <c r="CG304" s="1"/>
  <c r="X304"/>
  <c r="CC304" s="1"/>
  <c r="M304"/>
  <c r="CB304" s="1"/>
  <c r="AT304"/>
  <c r="CE304" s="1"/>
  <c r="CA304"/>
  <c r="CH304" s="1"/>
  <c r="AT309"/>
  <c r="CE309" s="1"/>
  <c r="M309"/>
  <c r="CB309" s="1"/>
  <c r="BP312"/>
  <c r="CG312" s="1"/>
  <c r="X312"/>
  <c r="CC312" s="1"/>
  <c r="M312"/>
  <c r="CB312" s="1"/>
  <c r="AT312"/>
  <c r="CE312" s="1"/>
  <c r="CA312"/>
  <c r="CH312" s="1"/>
  <c r="I9" i="1" l="1"/>
  <c r="K9" s="1"/>
  <c r="K76"/>
  <c r="I51"/>
  <c r="K51" s="1"/>
  <c r="K54"/>
  <c r="I29"/>
  <c r="K29" s="1"/>
  <c r="I53"/>
  <c r="K53" s="1"/>
  <c r="I24"/>
  <c r="K24" s="1"/>
  <c r="I10"/>
  <c r="K10" s="1"/>
  <c r="K55"/>
  <c r="I30"/>
  <c r="K30" s="1"/>
  <c r="K38"/>
  <c r="K73"/>
  <c r="K42"/>
  <c r="K40"/>
  <c r="K65"/>
  <c r="K48"/>
  <c r="K28"/>
  <c r="K63"/>
  <c r="CV49" i="2"/>
  <c r="I49" i="1" s="1"/>
  <c r="CV50" i="2"/>
  <c r="CV46"/>
  <c r="CV52"/>
  <c r="CV39"/>
  <c r="CV45"/>
  <c r="CV37"/>
  <c r="CV47"/>
  <c r="CV43"/>
  <c r="I43" i="1" s="1"/>
  <c r="CV44" i="2"/>
  <c r="CV31"/>
  <c r="CV27"/>
  <c r="CV32"/>
  <c r="CV20"/>
  <c r="CV26"/>
  <c r="CV36"/>
  <c r="CV35"/>
  <c r="CV21"/>
  <c r="CV25"/>
  <c r="CV34"/>
  <c r="CV33"/>
  <c r="CV22"/>
  <c r="CV23"/>
  <c r="CV19"/>
  <c r="CV7"/>
  <c r="CV8"/>
  <c r="CV17"/>
  <c r="CV15"/>
  <c r="CV18"/>
  <c r="CV16"/>
  <c r="CV14"/>
  <c r="CV12"/>
  <c r="CV11"/>
  <c r="CV13"/>
  <c r="CV4"/>
  <c r="CV6"/>
  <c r="CV5"/>
  <c r="CV3"/>
  <c r="G60" i="5"/>
  <c r="M60" s="1"/>
  <c r="CB60" s="1"/>
  <c r="N60"/>
  <c r="X60" s="1"/>
  <c r="CC60" s="1"/>
  <c r="I5"/>
  <c r="M5" s="1"/>
  <c r="CB5" s="1"/>
  <c r="R5"/>
  <c r="X5" s="1"/>
  <c r="CC5" s="1"/>
  <c r="I46" i="1" l="1"/>
  <c r="K46" s="1"/>
  <c r="I25"/>
  <c r="K25" s="1"/>
  <c r="K62"/>
  <c r="I37"/>
  <c r="K37" s="1"/>
  <c r="I13"/>
  <c r="K13" s="1"/>
  <c r="I44"/>
  <c r="K44" s="1"/>
  <c r="I6"/>
  <c r="K6" s="1"/>
  <c r="I19"/>
  <c r="K19" s="1"/>
  <c r="I27"/>
  <c r="K27" s="1"/>
  <c r="I3"/>
  <c r="K3" s="1"/>
  <c r="I8"/>
  <c r="K8" s="1"/>
  <c r="I20"/>
  <c r="K20" s="1"/>
  <c r="K75"/>
  <c r="I50"/>
  <c r="K50" s="1"/>
  <c r="I15"/>
  <c r="K15" s="1"/>
  <c r="I5"/>
  <c r="K5" s="1"/>
  <c r="K57"/>
  <c r="I32"/>
  <c r="K32" s="1"/>
  <c r="I26"/>
  <c r="K26" s="1"/>
  <c r="K61"/>
  <c r="I36"/>
  <c r="K36" s="1"/>
  <c r="I52"/>
  <c r="K52" s="1"/>
  <c r="I18"/>
  <c r="K18" s="1"/>
  <c r="K60"/>
  <c r="I35"/>
  <c r="K35" s="1"/>
  <c r="K64"/>
  <c r="I39"/>
  <c r="K39" s="1"/>
  <c r="I16"/>
  <c r="K16" s="1"/>
  <c r="I21"/>
  <c r="K21" s="1"/>
  <c r="I45"/>
  <c r="K45" s="1"/>
  <c r="I7"/>
  <c r="K7" s="1"/>
  <c r="I17"/>
  <c r="K17" s="1"/>
  <c r="I14"/>
  <c r="K14" s="1"/>
  <c r="K59"/>
  <c r="I34"/>
  <c r="K34" s="1"/>
  <c r="I12"/>
  <c r="K12" s="1"/>
  <c r="I47"/>
  <c r="K47" s="1"/>
  <c r="I11"/>
  <c r="K11" s="1"/>
  <c r="K58"/>
  <c r="I33"/>
  <c r="K33" s="1"/>
  <c r="I22"/>
  <c r="K22" s="1"/>
  <c r="I4"/>
  <c r="K4" s="1"/>
  <c r="I23"/>
  <c r="K23" s="1"/>
  <c r="K56"/>
  <c r="I31"/>
  <c r="K31" s="1"/>
  <c r="K77"/>
  <c r="K68"/>
  <c r="K43"/>
  <c r="K66"/>
  <c r="K67"/>
  <c r="K49"/>
  <c r="K71"/>
  <c r="K70"/>
  <c r="K74"/>
  <c r="K72"/>
  <c r="K69"/>
  <c r="R6" i="5"/>
  <c r="X6" s="1"/>
  <c r="CC6" s="1"/>
  <c r="I6"/>
  <c r="M6" s="1"/>
  <c r="CB6" s="1"/>
  <c r="N61"/>
  <c r="X61" s="1"/>
  <c r="CC61" s="1"/>
  <c r="G61"/>
  <c r="M61" s="1"/>
  <c r="CB61" s="1"/>
  <c r="I7" l="1"/>
  <c r="M7" s="1"/>
  <c r="CB7" s="1"/>
  <c r="G62"/>
  <c r="M62" s="1"/>
  <c r="CB62" s="1"/>
  <c r="N62"/>
  <c r="X62" s="1"/>
  <c r="CC62" s="1"/>
  <c r="R7"/>
  <c r="X7" s="1"/>
  <c r="CC7" s="1"/>
  <c r="G63" l="1"/>
  <c r="M63" s="1"/>
  <c r="CB63" s="1"/>
  <c r="R8"/>
  <c r="X8" s="1"/>
  <c r="CC8" s="1"/>
  <c r="N63"/>
  <c r="X63" s="1"/>
  <c r="CC63" s="1"/>
  <c r="I8"/>
  <c r="M8" s="1"/>
  <c r="CB8" s="1"/>
  <c r="I9" l="1"/>
  <c r="M9" s="1"/>
  <c r="CB9" s="1"/>
  <c r="N64"/>
  <c r="X64" s="1"/>
  <c r="CC64" s="1"/>
  <c r="R9"/>
  <c r="X9" s="1"/>
  <c r="CC9" s="1"/>
  <c r="G64"/>
  <c r="M64" s="1"/>
  <c r="CB64" s="1"/>
  <c r="G65" l="1"/>
  <c r="M65" s="1"/>
  <c r="CB65" s="1"/>
  <c r="R10"/>
  <c r="X10" s="1"/>
  <c r="CC10" s="1"/>
  <c r="N65"/>
  <c r="X65" s="1"/>
  <c r="CC65" s="1"/>
  <c r="I10"/>
  <c r="M10" s="1"/>
  <c r="CB10" s="1"/>
  <c r="R11" l="1"/>
  <c r="X11" s="1"/>
  <c r="CC11" s="1"/>
  <c r="N66"/>
  <c r="X66" s="1"/>
  <c r="CC66" s="1"/>
  <c r="G66"/>
  <c r="M66" s="1"/>
  <c r="CB66" s="1"/>
  <c r="I11"/>
  <c r="M11" s="1"/>
  <c r="CB11" s="1"/>
  <c r="G67" l="1"/>
  <c r="M67" s="1"/>
  <c r="CB67" s="1"/>
  <c r="I12"/>
  <c r="M12" s="1"/>
  <c r="CB12" s="1"/>
  <c r="N67"/>
  <c r="X67" s="1"/>
  <c r="CC67" s="1"/>
  <c r="R12"/>
  <c r="X12" s="1"/>
  <c r="CC12" s="1"/>
  <c r="I13" l="1"/>
  <c r="M13" s="1"/>
  <c r="CB13" s="1"/>
  <c r="G68"/>
  <c r="M68" s="1"/>
  <c r="CB68" s="1"/>
  <c r="R13"/>
  <c r="X13" s="1"/>
  <c r="CC13" s="1"/>
  <c r="N68"/>
  <c r="X68" s="1"/>
  <c r="CC68" s="1"/>
  <c r="G69" l="1"/>
  <c r="M69" s="1"/>
  <c r="CB69" s="1"/>
  <c r="N69"/>
  <c r="X69" s="1"/>
  <c r="CC69" s="1"/>
  <c r="R14"/>
  <c r="X14" s="1"/>
  <c r="CC14" s="1"/>
  <c r="I14"/>
  <c r="M14" s="1"/>
  <c r="CB14" s="1"/>
  <c r="I15" l="1"/>
  <c r="M15" s="1"/>
  <c r="CB15" s="1"/>
  <c r="R15"/>
  <c r="X15" s="1"/>
  <c r="CC15" s="1"/>
  <c r="N70"/>
  <c r="X70" s="1"/>
  <c r="CC70" s="1"/>
  <c r="G70"/>
  <c r="M70" s="1"/>
  <c r="CB70" s="1"/>
  <c r="N71" l="1"/>
  <c r="X71" s="1"/>
  <c r="CC71" s="1"/>
  <c r="G71"/>
  <c r="M71" s="1"/>
  <c r="CB71" s="1"/>
  <c r="R16"/>
  <c r="X16" s="1"/>
  <c r="CC16" s="1"/>
  <c r="I16"/>
  <c r="M16" s="1"/>
  <c r="CB16" s="1"/>
  <c r="I17" l="1"/>
  <c r="M17" s="1"/>
  <c r="CB17" s="1"/>
  <c r="N72"/>
  <c r="X72" s="1"/>
  <c r="CC72" s="1"/>
  <c r="R17"/>
  <c r="X17" s="1"/>
  <c r="CC17" s="1"/>
  <c r="G72"/>
  <c r="M72" s="1"/>
  <c r="CB72" s="1"/>
  <c r="G73" l="1"/>
  <c r="M73" s="1"/>
  <c r="CB73" s="1"/>
  <c r="R18"/>
  <c r="X18" s="1"/>
  <c r="CC18" s="1"/>
  <c r="N73"/>
  <c r="X73" s="1"/>
  <c r="CC73" s="1"/>
  <c r="I18"/>
  <c r="M18" s="1"/>
  <c r="CB18" s="1"/>
  <c r="G74" l="1"/>
  <c r="M74" s="1"/>
  <c r="CB74" s="1"/>
  <c r="I19"/>
  <c r="M19" s="1"/>
  <c r="CB19" s="1"/>
  <c r="N74"/>
  <c r="X74" s="1"/>
  <c r="CC74" s="1"/>
  <c r="R19"/>
  <c r="X19" s="1"/>
  <c r="CC19" s="1"/>
  <c r="G75" l="1"/>
  <c r="M75" s="1"/>
  <c r="CB75" s="1"/>
  <c r="R20"/>
  <c r="X20" s="1"/>
  <c r="CC20" s="1"/>
  <c r="N75"/>
  <c r="X75" s="1"/>
  <c r="CC75" s="1"/>
  <c r="I20"/>
  <c r="M20" s="1"/>
  <c r="CB20" s="1"/>
  <c r="G76" l="1"/>
  <c r="M76" s="1"/>
  <c r="CB76" s="1"/>
  <c r="N76"/>
  <c r="X76" s="1"/>
  <c r="CC76" s="1"/>
  <c r="R21"/>
  <c r="X21" s="1"/>
  <c r="CC21" s="1"/>
  <c r="I21"/>
  <c r="M21" s="1"/>
  <c r="CB21" s="1"/>
  <c r="I22" l="1"/>
  <c r="M22" s="1"/>
  <c r="CB22" s="1"/>
  <c r="R22"/>
  <c r="X22" s="1"/>
  <c r="CC22" s="1"/>
  <c r="N77"/>
  <c r="X77" s="1"/>
  <c r="CC77" s="1"/>
  <c r="G77"/>
  <c r="M77" s="1"/>
  <c r="CB77" s="1"/>
  <c r="G78" l="1"/>
  <c r="M78" s="1"/>
  <c r="CB78" s="1"/>
  <c r="N78"/>
  <c r="X78" s="1"/>
  <c r="CC78" s="1"/>
  <c r="R23"/>
  <c r="X23" s="1"/>
  <c r="CC23" s="1"/>
  <c r="I23"/>
  <c r="M23" s="1"/>
  <c r="CB23" s="1"/>
  <c r="I24" l="1"/>
  <c r="M24" s="1"/>
  <c r="CB24" s="1"/>
  <c r="R24"/>
  <c r="X24" s="1"/>
  <c r="CC24" s="1"/>
  <c r="N79"/>
  <c r="X79" s="1"/>
  <c r="CC79" s="1"/>
  <c r="G79"/>
  <c r="M79" s="1"/>
  <c r="CB79" s="1"/>
  <c r="R25" l="1"/>
  <c r="X25" s="1"/>
  <c r="CC25" s="1"/>
  <c r="I25"/>
  <c r="M25" s="1"/>
  <c r="CB25" s="1"/>
  <c r="G80"/>
  <c r="M80" s="1"/>
  <c r="CB80" s="1"/>
  <c r="N80"/>
  <c r="X80" s="1"/>
  <c r="CC80" s="1"/>
  <c r="G81" l="1"/>
  <c r="M81" s="1"/>
  <c r="CB81" s="1"/>
  <c r="N81"/>
  <c r="X81" s="1"/>
  <c r="CC81" s="1"/>
  <c r="I26"/>
  <c r="M26" s="1"/>
  <c r="CB26" s="1"/>
  <c r="R26"/>
  <c r="X26" s="1"/>
  <c r="CC26" s="1"/>
  <c r="R27" l="1"/>
  <c r="X27" s="1"/>
  <c r="CC27" s="1"/>
  <c r="I27"/>
  <c r="M27" s="1"/>
  <c r="CB27" s="1"/>
  <c r="G82"/>
  <c r="M82" s="1"/>
  <c r="CB82" s="1"/>
  <c r="N82"/>
  <c r="X82" s="1"/>
  <c r="CC82" s="1"/>
  <c r="G83" l="1"/>
  <c r="M83" s="1"/>
  <c r="CB83" s="1"/>
  <c r="N83"/>
  <c r="X83" s="1"/>
  <c r="CC83" s="1"/>
  <c r="I28"/>
  <c r="M28" s="1"/>
  <c r="CB28" s="1"/>
  <c r="R28"/>
  <c r="X28" s="1"/>
  <c r="CC28" s="1"/>
  <c r="I29" l="1"/>
  <c r="M29" s="1"/>
  <c r="CB29" s="1"/>
  <c r="R29"/>
  <c r="X29" s="1"/>
  <c r="CC29" s="1"/>
  <c r="N84"/>
  <c r="X84" s="1"/>
  <c r="CC84" s="1"/>
  <c r="G84"/>
  <c r="M84" s="1"/>
  <c r="CB84" s="1"/>
  <c r="G85" l="1"/>
  <c r="M85" s="1"/>
  <c r="CB85" s="1"/>
  <c r="N85"/>
  <c r="X85" s="1"/>
  <c r="CC85" s="1"/>
  <c r="R30"/>
  <c r="X30" s="1"/>
  <c r="CC30" s="1"/>
  <c r="I30"/>
  <c r="M30" s="1"/>
  <c r="CB30" s="1"/>
  <c r="R31" l="1"/>
  <c r="X31" s="1"/>
  <c r="CC31" s="1"/>
  <c r="I31"/>
  <c r="M31" s="1"/>
  <c r="CB31" s="1"/>
  <c r="N86"/>
  <c r="X86" s="1"/>
  <c r="CC86" s="1"/>
  <c r="G86"/>
  <c r="M86" s="1"/>
  <c r="CB86" s="1"/>
  <c r="G87" l="1"/>
  <c r="M87" s="1"/>
  <c r="CB87" s="1"/>
  <c r="N87"/>
  <c r="X87" s="1"/>
  <c r="CC87" s="1"/>
  <c r="I32"/>
  <c r="M32" s="1"/>
  <c r="CB32" s="1"/>
  <c r="R32"/>
  <c r="X32" s="1"/>
  <c r="CC32" s="1"/>
  <c r="I33" l="1"/>
  <c r="M33" s="1"/>
  <c r="CB33" s="1"/>
  <c r="G88"/>
  <c r="M88" s="1"/>
  <c r="CB88" s="1"/>
  <c r="R33"/>
  <c r="X33" s="1"/>
  <c r="CC33" s="1"/>
  <c r="N88"/>
  <c r="X88" s="1"/>
  <c r="CC88" s="1"/>
  <c r="G89" l="1"/>
  <c r="M89" s="1"/>
  <c r="CB89" s="1"/>
  <c r="N89"/>
  <c r="X89" s="1"/>
  <c r="CC89" s="1"/>
  <c r="R34"/>
  <c r="X34" s="1"/>
  <c r="CC34" s="1"/>
  <c r="I34"/>
  <c r="M34" s="1"/>
  <c r="CB34" s="1"/>
  <c r="N90" l="1"/>
  <c r="X90" s="1"/>
  <c r="CC90" s="1"/>
  <c r="I35"/>
  <c r="M35" s="1"/>
  <c r="CB35" s="1"/>
  <c r="R35"/>
  <c r="X35" s="1"/>
  <c r="CC35" s="1"/>
  <c r="G90"/>
  <c r="M90" s="1"/>
  <c r="CB90" s="1"/>
  <c r="G91" l="1"/>
  <c r="M91" s="1"/>
  <c r="CB91" s="1"/>
  <c r="R36"/>
  <c r="X36" s="1"/>
  <c r="CC36" s="1"/>
  <c r="I36"/>
  <c r="M36" s="1"/>
  <c r="CB36" s="1"/>
  <c r="N91"/>
  <c r="X91" s="1"/>
  <c r="CC91" s="1"/>
  <c r="I37" l="1"/>
  <c r="M37" s="1"/>
  <c r="CB37" s="1"/>
  <c r="R37"/>
  <c r="X37" s="1"/>
  <c r="CC37" s="1"/>
  <c r="G92"/>
  <c r="M92" s="1"/>
  <c r="CB92" s="1"/>
  <c r="N92"/>
  <c r="X92" s="1"/>
  <c r="CC92" s="1"/>
  <c r="G93" l="1"/>
  <c r="M93" s="1"/>
  <c r="CB93" s="1"/>
  <c r="N93"/>
  <c r="X93" s="1"/>
  <c r="CC93" s="1"/>
  <c r="R38"/>
  <c r="X38" s="1"/>
  <c r="CC38" s="1"/>
  <c r="I38"/>
  <c r="M38" s="1"/>
  <c r="CB38" s="1"/>
  <c r="N94" l="1"/>
  <c r="X94" s="1"/>
  <c r="CC94" s="1"/>
  <c r="G94"/>
  <c r="M94" s="1"/>
  <c r="CB94" s="1"/>
  <c r="I39"/>
  <c r="M39" s="1"/>
  <c r="CB39" s="1"/>
  <c r="R39"/>
  <c r="X39" s="1"/>
  <c r="CC39" s="1"/>
  <c r="G95" l="1"/>
  <c r="M95" s="1"/>
  <c r="CB95" s="1"/>
  <c r="R40"/>
  <c r="X40" s="1"/>
  <c r="CC40" s="1"/>
  <c r="I40"/>
  <c r="M40" s="1"/>
  <c r="CB40" s="1"/>
  <c r="N95"/>
  <c r="X95" s="1"/>
  <c r="CC95" s="1"/>
  <c r="R41" l="1"/>
  <c r="X41" s="1"/>
  <c r="CC41" s="1"/>
  <c r="I41"/>
  <c r="M41" s="1"/>
  <c r="CB41" s="1"/>
  <c r="G96"/>
  <c r="M96" s="1"/>
  <c r="CB96" s="1"/>
  <c r="N96"/>
  <c r="X96" s="1"/>
  <c r="CC96" s="1"/>
  <c r="G97" l="1"/>
  <c r="M97" s="1"/>
  <c r="CB97" s="1"/>
  <c r="N97"/>
  <c r="X97" s="1"/>
  <c r="CC97" s="1"/>
  <c r="I42"/>
  <c r="M42" s="1"/>
  <c r="CB42" s="1"/>
  <c r="R42"/>
  <c r="X42" s="1"/>
  <c r="CC42" s="1"/>
  <c r="I43" l="1"/>
  <c r="M43" s="1"/>
  <c r="CB43" s="1"/>
  <c r="N98"/>
  <c r="X98" s="1"/>
  <c r="CC98" s="1"/>
  <c r="R43"/>
  <c r="X43" s="1"/>
  <c r="CC43" s="1"/>
  <c r="G98"/>
  <c r="M98" s="1"/>
  <c r="CB98" s="1"/>
  <c r="G99" l="1"/>
  <c r="M99" s="1"/>
  <c r="CB99" s="1"/>
  <c r="R44"/>
  <c r="X44" s="1"/>
  <c r="CC44" s="1"/>
  <c r="N99"/>
  <c r="X99" s="1"/>
  <c r="CC99" s="1"/>
  <c r="I44"/>
  <c r="M44" s="1"/>
  <c r="CB44" s="1"/>
  <c r="N100" l="1"/>
  <c r="X100" s="1"/>
  <c r="CC100" s="1"/>
  <c r="I45"/>
  <c r="M45" s="1"/>
  <c r="CB45" s="1"/>
  <c r="R45"/>
  <c r="X45" s="1"/>
  <c r="CC45" s="1"/>
  <c r="G100"/>
  <c r="M100" s="1"/>
  <c r="CB100" s="1"/>
  <c r="G101" l="1"/>
  <c r="M101" s="1"/>
  <c r="CB101" s="1"/>
  <c r="R46"/>
  <c r="X46" s="1"/>
  <c r="CC46" s="1"/>
  <c r="I46"/>
  <c r="M46" s="1"/>
  <c r="CB46" s="1"/>
  <c r="N101"/>
  <c r="X101" s="1"/>
  <c r="CC101" s="1"/>
  <c r="I47" l="1"/>
  <c r="M47" s="1"/>
  <c r="CB47" s="1"/>
  <c r="N102"/>
  <c r="X102" s="1"/>
  <c r="CC102" s="1"/>
  <c r="R47"/>
  <c r="X47" s="1"/>
  <c r="CC47" s="1"/>
  <c r="G102"/>
  <c r="M102" s="1"/>
  <c r="CB102" s="1"/>
  <c r="G103" l="1"/>
  <c r="M103" s="1"/>
  <c r="CB103" s="1"/>
  <c r="R48"/>
  <c r="X48" s="1"/>
  <c r="CC48" s="1"/>
  <c r="N103"/>
  <c r="X103" s="1"/>
  <c r="CC103" s="1"/>
  <c r="I48"/>
  <c r="M48" s="1"/>
  <c r="CB48" s="1"/>
  <c r="N104" l="1"/>
  <c r="X104" s="1"/>
  <c r="CC104" s="1"/>
  <c r="R49"/>
  <c r="X49" s="1"/>
  <c r="CC49" s="1"/>
  <c r="I49"/>
  <c r="M49" s="1"/>
  <c r="CB49" s="1"/>
  <c r="G104"/>
  <c r="M104" s="1"/>
  <c r="CB104" s="1"/>
  <c r="I50" l="1"/>
  <c r="M50" s="1"/>
  <c r="CB50" s="1"/>
  <c r="R50"/>
  <c r="X50" s="1"/>
  <c r="CC50" s="1"/>
  <c r="N105"/>
  <c r="X105" s="1"/>
  <c r="CC105" s="1"/>
  <c r="G105"/>
  <c r="M105" s="1"/>
  <c r="CB105" s="1"/>
  <c r="I51" l="1"/>
  <c r="M51" s="1"/>
  <c r="CB51" s="1"/>
  <c r="G106"/>
  <c r="M106" s="1"/>
  <c r="CB106" s="1"/>
  <c r="N106"/>
  <c r="X106" s="1"/>
  <c r="CC106" s="1"/>
  <c r="R51"/>
  <c r="X51" s="1"/>
  <c r="CC51" s="1"/>
  <c r="N107" l="1"/>
  <c r="X107" s="1"/>
  <c r="CC107" s="1"/>
  <c r="R52"/>
  <c r="X52" s="1"/>
  <c r="CC52" s="1"/>
  <c r="G107"/>
  <c r="M107" s="1"/>
  <c r="CB107" s="1"/>
  <c r="I52"/>
  <c r="M52" s="1"/>
  <c r="CB52" s="1"/>
  <c r="R53" l="1"/>
  <c r="X53" s="1"/>
  <c r="CC53" s="1"/>
  <c r="I53"/>
  <c r="M53" s="1"/>
  <c r="CB53" s="1"/>
  <c r="N108"/>
  <c r="X108" s="1"/>
  <c r="CC108" s="1"/>
  <c r="G108"/>
  <c r="M108" s="1"/>
  <c r="CB108" s="1"/>
  <c r="N109" l="1"/>
  <c r="X109" s="1"/>
  <c r="CC109" s="1"/>
  <c r="G109"/>
  <c r="M109" s="1"/>
  <c r="CB109" s="1"/>
  <c r="I54"/>
  <c r="M54" s="1"/>
  <c r="CB54" s="1"/>
  <c r="R54"/>
  <c r="X54" s="1"/>
  <c r="CC54" s="1"/>
  <c r="I55" l="1"/>
  <c r="M55" s="1"/>
  <c r="CB55" s="1"/>
  <c r="G110"/>
  <c r="M110" s="1"/>
  <c r="CB110" s="1"/>
  <c r="R55"/>
  <c r="X55" s="1"/>
  <c r="CC55" s="1"/>
  <c r="N110"/>
  <c r="X110" s="1"/>
  <c r="CC110" s="1"/>
  <c r="R56" l="1"/>
  <c r="X56" s="1"/>
  <c r="CC56" s="1"/>
  <c r="I56"/>
  <c r="M56" s="1"/>
  <c r="CB56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color indexed="81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<sst xmlns="http://schemas.openxmlformats.org/spreadsheetml/2006/main" count="3932" uniqueCount="961">
  <si>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</si>
  <si>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</si>
  <si>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</si>
  <si>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</si>
  <si>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</si>
  <si>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</si>
  <si>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</si>
  <si>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</si>
  <si>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</si>
  <si>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</si>
  <si>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</si>
  <si>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</si>
  <si>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</si>
  <si>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</si>
  <si>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</si>
  <si>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</si>
  <si>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</si>
  <si>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</si>
  <si>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</si>
  <si>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</si>
  <si>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</si>
  <si>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</si>
  <si>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</si>
  <si>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</si>
  <si>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</si>
  <si>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</si>
  <si>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</si>
  <si>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</si>
  <si>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无视CD间隔</t>
  </si>
  <si>
    <t>有效的物品转换</t>
  </si>
  <si>
    <t>持有者死亡掉落</t>
  </si>
  <si>
    <t>捡取时自动使用</t>
  </si>
  <si>
    <t>可被市场出售</t>
  </si>
  <si>
    <t>可以丢弃</t>
  </si>
  <si>
    <t>可以作为随机物品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</si>
  <si>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</si>
  <si>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</si>
  <si>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</si>
  <si>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</si>
  <si>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</si>
  <si>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</si>
  <si>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</si>
  <si>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</si>
  <si>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</si>
  <si>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</si>
  <si>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</si>
  <si>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</si>
  <si>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</si>
  <si>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</si>
  <si>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</si>
  <si>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</si>
  <si>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</si>
  <si>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</si>
  <si>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</si>
  <si>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</si>
  <si>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</si>
  <si>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</si>
  <si>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</si>
  <si>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</si>
  <si>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</si>
  <si>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</si>
  <si>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</si>
  <si>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</si>
  <si>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</si>
  <si>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</si>
  <si>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</si>
  <si>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</si>
  <si>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</si>
  <si>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</si>
  <si>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</si>
  <si>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</si>
  <si>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</si>
  <si>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</si>
  <si>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</si>
  <si>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</si>
  <si>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</si>
  <si>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</si>
  <si>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/>
  </si>
  <si>
    <t>Objects\\InventoryItems\\TreasureChest\\treasurechest.mdl</t>
  </si>
  <si>
    <t>合成需求</t>
  </si>
  <si>
    <t>传送</t>
  </si>
  <si>
    <t>"</t>
  </si>
  <si>
    <t>位置</t>
  </si>
  <si>
    <t>id</t>
  </si>
  <si>
    <t>品质</t>
  </si>
  <si>
    <t>金币</t>
  </si>
  <si>
    <t>木材</t>
  </si>
  <si>
    <t>材料1</t>
  </si>
  <si>
    <t>材料2</t>
  </si>
  <si>
    <t>材料3</t>
  </si>
  <si>
    <t>材料4</t>
  </si>
  <si>
    <t>材料5</t>
  </si>
  <si>
    <t>材料6</t>
  </si>
  <si>
    <t>X</t>
  </si>
  <si>
    <t>Y</t>
  </si>
  <si>
    <t>文本说明</t>
  </si>
  <si>
    <t>图标</t>
  </si>
  <si>
    <t>全属性</t>
  </si>
  <si>
    <t>力量</t>
  </si>
  <si>
    <t>敏捷</t>
  </si>
  <si>
    <t>智力</t>
  </si>
  <si>
    <t>生命上限</t>
  </si>
  <si>
    <t>魔法上限</t>
  </si>
  <si>
    <t>攻击力</t>
  </si>
  <si>
    <t>分裂攻击</t>
  </si>
  <si>
    <t>闪避</t>
  </si>
  <si>
    <t>命中</t>
  </si>
  <si>
    <t>物理防御</t>
  </si>
  <si>
    <t>物理吸血</t>
  </si>
  <si>
    <t>物理暴击</t>
  </si>
  <si>
    <t>暴击伤害</t>
  </si>
  <si>
    <t>物理伤害提高</t>
  </si>
  <si>
    <t>物理抵抗</t>
  </si>
  <si>
    <t>物理穿透</t>
  </si>
  <si>
    <t>生命恢复</t>
  </si>
  <si>
    <t>生命恢复%</t>
  </si>
  <si>
    <t>攻速</t>
  </si>
  <si>
    <t>魔法防御</t>
  </si>
  <si>
    <t>魔法吸血</t>
  </si>
  <si>
    <t>魔法暴击</t>
  </si>
  <si>
    <t>魔法暴击伤害</t>
  </si>
  <si>
    <t>魔法伤害提高</t>
  </si>
  <si>
    <t>魔法抵抗</t>
  </si>
  <si>
    <t>魔法穿透</t>
  </si>
  <si>
    <t>魔法回复</t>
  </si>
  <si>
    <t>魔法恢复%</t>
  </si>
  <si>
    <t>免伤概率</t>
  </si>
  <si>
    <t>杀敌属性</t>
  </si>
  <si>
    <t>杀敌力量</t>
  </si>
  <si>
    <t>杀敌敏捷</t>
  </si>
  <si>
    <t>杀敌智力</t>
  </si>
  <si>
    <t>杀敌攻击</t>
  </si>
  <si>
    <t>杀敌木头</t>
  </si>
  <si>
    <t>攻击真实伤害</t>
  </si>
  <si>
    <t>每秒属性</t>
  </si>
  <si>
    <t>每秒力量</t>
  </si>
  <si>
    <t>每秒敏捷</t>
  </si>
  <si>
    <t>每秒智力</t>
  </si>
  <si>
    <t>每秒攻击</t>
  </si>
  <si>
    <t>每秒金币</t>
  </si>
  <si>
    <t>每秒木头</t>
  </si>
  <si>
    <t>攻击属性</t>
  </si>
  <si>
    <t>攻击力量</t>
  </si>
  <si>
    <t>攻击敏捷</t>
  </si>
  <si>
    <t>攻击智力</t>
  </si>
  <si>
    <t>攻击攻击</t>
  </si>
  <si>
    <t>全属性加成</t>
  </si>
  <si>
    <t>力量加成</t>
  </si>
  <si>
    <t>敏捷加成</t>
  </si>
  <si>
    <t>智力加成</t>
  </si>
  <si>
    <t>攻击加成</t>
  </si>
  <si>
    <t>金币加成</t>
  </si>
  <si>
    <t>木材加成</t>
  </si>
  <si>
    <t>经验率</t>
  </si>
  <si>
    <t>杀敌数增加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</si>
  <si>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</si>
  <si>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</si>
  <si>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</si>
  <si>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</si>
  <si>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</si>
  <si>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</si>
  <si>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</si>
  <si>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E201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</si>
  <si>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</si>
  <si>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</si>
  <si>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</si>
  <si>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</si>
  <si>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</si>
  <si>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</si>
  <si>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</si>
  <si>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</si>
  <si>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</si>
  <si>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</si>
  <si>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</si>
  <si>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E101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</si>
  <si>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</si>
  <si>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</si>
  <si>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</si>
  <si>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</si>
  <si>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</si>
  <si>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</si>
  <si>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</si>
  <si>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</si>
  <si>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</si>
  <si>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</si>
  <si>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</si>
  <si>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E301</t>
  </si>
  <si>
    <t>E302</t>
  </si>
  <si>
    <t>E303</t>
  </si>
  <si>
    <t>E304</t>
  </si>
  <si>
    <t>E305</t>
  </si>
  <si>
    <t>E401</t>
  </si>
  <si>
    <t>E306</t>
  </si>
  <si>
    <t>E307</t>
  </si>
  <si>
    <t>E308</t>
  </si>
  <si>
    <t>E402</t>
  </si>
  <si>
    <t>E309</t>
  </si>
  <si>
    <t>E403</t>
  </si>
  <si>
    <t>E310</t>
  </si>
  <si>
    <t>E311</t>
  </si>
  <si>
    <t>E312</t>
  </si>
  <si>
    <t>E404</t>
  </si>
  <si>
    <t>E313</t>
  </si>
  <si>
    <t>E405</t>
  </si>
  <si>
    <t>E406</t>
  </si>
  <si>
    <t>E407</t>
  </si>
  <si>
    <t>E408</t>
  </si>
  <si>
    <t>E409</t>
  </si>
  <si>
    <t>E410</t>
  </si>
  <si>
    <t>E411</t>
  </si>
  <si>
    <t>E412</t>
  </si>
  <si>
    <t>E501</t>
  </si>
  <si>
    <t>E502</t>
  </si>
  <si>
    <t>E503</t>
  </si>
  <si>
    <t>E504</t>
  </si>
  <si>
    <t>E505</t>
  </si>
  <si>
    <t>E506</t>
  </si>
  <si>
    <t>E507</t>
  </si>
  <si>
    <t>E508</t>
  </si>
  <si>
    <t>E509</t>
  </si>
  <si>
    <t>E510</t>
  </si>
  <si>
    <t>E511</t>
  </si>
  <si>
    <t>E512</t>
  </si>
  <si>
    <t>E513</t>
  </si>
  <si>
    <t>E514</t>
  </si>
  <si>
    <t>E515</t>
  </si>
  <si>
    <t>E517</t>
  </si>
  <si>
    <t>E518</t>
  </si>
  <si>
    <t>E519</t>
  </si>
  <si>
    <t>E520</t>
  </si>
  <si>
    <t>E522</t>
  </si>
  <si>
    <t>E523</t>
  </si>
  <si>
    <t>E524</t>
  </si>
  <si>
    <t>I101</t>
  </si>
  <si>
    <t>I102</t>
  </si>
  <si>
    <t>I103</t>
  </si>
  <si>
    <t>I104</t>
  </si>
  <si>
    <t>I105</t>
  </si>
  <si>
    <t>I106</t>
  </si>
  <si>
    <t>I107</t>
  </si>
  <si>
    <t>I108</t>
  </si>
  <si>
    <t>I109</t>
  </si>
  <si>
    <t>I110</t>
  </si>
  <si>
    <t>I111</t>
  </si>
  <si>
    <t>I112</t>
  </si>
  <si>
    <t>I113</t>
  </si>
  <si>
    <t>I114</t>
  </si>
  <si>
    <t>I115</t>
  </si>
  <si>
    <t>I116</t>
  </si>
  <si>
    <t>I117</t>
  </si>
  <si>
    <t>I118</t>
  </si>
  <si>
    <t>I119</t>
  </si>
  <si>
    <t>I120</t>
  </si>
  <si>
    <t>I121</t>
  </si>
  <si>
    <t>I122</t>
  </si>
  <si>
    <t>I123</t>
  </si>
  <si>
    <t>I124</t>
  </si>
  <si>
    <t>I125</t>
  </si>
  <si>
    <t>I126</t>
  </si>
  <si>
    <t>I127</t>
  </si>
  <si>
    <t>I128</t>
  </si>
  <si>
    <t>I129</t>
  </si>
  <si>
    <t>I130</t>
  </si>
  <si>
    <t>I131</t>
  </si>
  <si>
    <t>I132</t>
  </si>
  <si>
    <t>I133</t>
  </si>
  <si>
    <t>I134</t>
  </si>
  <si>
    <t>I135</t>
  </si>
  <si>
    <t>I136</t>
  </si>
  <si>
    <t>I137</t>
  </si>
  <si>
    <t>I138</t>
  </si>
  <si>
    <t>I139</t>
  </si>
  <si>
    <t>I140</t>
  </si>
  <si>
    <t>I141</t>
  </si>
  <si>
    <t>I142</t>
  </si>
  <si>
    <t>I143</t>
  </si>
  <si>
    <t>I144</t>
  </si>
  <si>
    <t>I145</t>
  </si>
  <si>
    <t>I146</t>
  </si>
  <si>
    <t>I147</t>
  </si>
  <si>
    <t>I148</t>
  </si>
  <si>
    <t>E901</t>
  </si>
  <si>
    <t>E902</t>
  </si>
  <si>
    <t>E903</t>
  </si>
  <si>
    <t>E904</t>
  </si>
  <si>
    <t>E905</t>
  </si>
  <si>
    <t>E906</t>
  </si>
  <si>
    <t>E907</t>
  </si>
  <si>
    <t>E908</t>
  </si>
  <si>
    <t>E909</t>
  </si>
  <si>
    <t>E910</t>
  </si>
  <si>
    <t>名称</t>
  </si>
  <si>
    <t>公式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</si>
  <si>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</si>
  <si>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</si>
  <si>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</si>
  <si>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</si>
  <si>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</si>
  <si>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</si>
  <si>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</si>
  <si>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</si>
  <si>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</si>
  <si>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</si>
  <si>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</si>
  <si>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</si>
  <si>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</si>
  <si>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</si>
  <si>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E911</t>
  </si>
  <si>
    <t>Z012</t>
  </si>
  <si>
    <t>Z013</t>
  </si>
  <si>
    <t>Z022</t>
  </si>
  <si>
    <t>Z023</t>
  </si>
  <si>
    <t>Z032</t>
  </si>
  <si>
    <t>Z033</t>
  </si>
  <si>
    <t>Z042</t>
  </si>
  <si>
    <t>Z043</t>
  </si>
  <si>
    <t>Z052</t>
  </si>
  <si>
    <t>Z053</t>
  </si>
  <si>
    <t>Z062</t>
  </si>
  <si>
    <t>Z063</t>
  </si>
  <si>
    <t>Z072</t>
  </si>
  <si>
    <t>Z073</t>
  </si>
  <si>
    <t>Z082</t>
  </si>
  <si>
    <t>Z083</t>
  </si>
  <si>
    <t>Z092</t>
  </si>
  <si>
    <t>Z093</t>
  </si>
  <si>
    <t>Z102</t>
  </si>
  <si>
    <t>Z103</t>
  </si>
  <si>
    <t>Z112</t>
  </si>
  <si>
    <t>Z113</t>
  </si>
  <si>
    <t>Z122</t>
  </si>
  <si>
    <t>Z123</t>
  </si>
  <si>
    <t>Z132</t>
  </si>
  <si>
    <t>Z133</t>
  </si>
  <si>
    <t>Z142</t>
  </si>
  <si>
    <t>Z143</t>
  </si>
  <si>
    <t>Z152</t>
  </si>
  <si>
    <t>Z153</t>
  </si>
  <si>
    <t>Z162</t>
  </si>
  <si>
    <t>Z163</t>
  </si>
  <si>
    <t>Z172</t>
  </si>
  <si>
    <t>Z173</t>
  </si>
  <si>
    <t>Z182</t>
  </si>
  <si>
    <t>Z183</t>
  </si>
  <si>
    <t>Z192</t>
  </si>
  <si>
    <t>Z193</t>
  </si>
  <si>
    <t>Z202</t>
  </si>
  <si>
    <t>Z203</t>
  </si>
  <si>
    <t>Z212</t>
  </si>
  <si>
    <t>Z213</t>
  </si>
  <si>
    <t>Z222</t>
  </si>
  <si>
    <t>Z223</t>
  </si>
  <si>
    <t>Z232</t>
  </si>
  <si>
    <t>Z233</t>
  </si>
  <si>
    <t>Z242</t>
  </si>
  <si>
    <t>Z243</t>
  </si>
  <si>
    <t>Z253</t>
  </si>
  <si>
    <t>ReplaceableTextures\\CommandButtons\\BTNScrollOfRegenerationGreen.blp</t>
  </si>
  <si>
    <t>Z272</t>
  </si>
  <si>
    <t>Z273</t>
  </si>
  <si>
    <t>Z282</t>
  </si>
  <si>
    <t>Z283</t>
  </si>
  <si>
    <t>Z292</t>
  </si>
  <si>
    <t>Z293</t>
  </si>
  <si>
    <t>Z302</t>
  </si>
  <si>
    <t>Z303</t>
  </si>
  <si>
    <t>E525</t>
  </si>
  <si>
    <t>E527</t>
  </si>
  <si>
    <t>E528</t>
  </si>
  <si>
    <t>E529</t>
  </si>
  <si>
    <t>E530</t>
  </si>
  <si>
    <t>Z011</t>
  </si>
  <si>
    <t>Z021</t>
  </si>
  <si>
    <t>Z031</t>
  </si>
  <si>
    <t>Z041</t>
  </si>
  <si>
    <t>Z051</t>
  </si>
  <si>
    <t>Z061</t>
  </si>
  <si>
    <t>Z071</t>
  </si>
  <si>
    <t>Z081</t>
  </si>
  <si>
    <t>Z091</t>
  </si>
  <si>
    <t>Z101</t>
  </si>
  <si>
    <t>Z111</t>
  </si>
  <si>
    <t>Z121</t>
  </si>
  <si>
    <t>Z131</t>
  </si>
  <si>
    <t>Z141</t>
  </si>
  <si>
    <t>Z151</t>
  </si>
  <si>
    <t>Z161</t>
  </si>
  <si>
    <t>Z171</t>
  </si>
  <si>
    <t>Z181</t>
  </si>
  <si>
    <t>Z191</t>
  </si>
  <si>
    <t>Z201</t>
  </si>
  <si>
    <t>Z211</t>
  </si>
  <si>
    <t>Z221</t>
  </si>
  <si>
    <t>Z231</t>
  </si>
  <si>
    <t>Z241</t>
  </si>
  <si>
    <t>Z251</t>
  </si>
  <si>
    <t>Z261</t>
  </si>
  <si>
    <t>Z262</t>
  </si>
  <si>
    <t>Z271</t>
  </si>
  <si>
    <t>Z281</t>
  </si>
  <si>
    <t>Z291</t>
  </si>
  <si>
    <t>Z301</t>
  </si>
  <si>
    <t>Z263</t>
  </si>
  <si>
    <t>可以被抵押</t>
    <phoneticPr fontId="15" type="noConversion"/>
  </si>
  <si>
    <t>%</t>
    <phoneticPr fontId="15" type="noConversion"/>
  </si>
  <si>
    <t>C101</t>
  </si>
  <si>
    <t>C102</t>
  </si>
  <si>
    <t>|cFFFFFF00金系-黑暗游侠★★|r</t>
  </si>
  <si>
    <t>C111</t>
  </si>
  <si>
    <t>|cFFFFFF00金系-全能骑士★|r</t>
  </si>
  <si>
    <t>C112</t>
  </si>
  <si>
    <t>C121</t>
  </si>
  <si>
    <t>|cFFFFFF00金系-圣堂刺客★|r</t>
  </si>
  <si>
    <t>C122</t>
  </si>
  <si>
    <t>|cFFFFFF00金系-圣堂刺客★★|r</t>
  </si>
  <si>
    <t>C131</t>
  </si>
  <si>
    <t>|cFFFFFF00金系-沉默术士★|r</t>
  </si>
  <si>
    <t>C132</t>
  </si>
  <si>
    <t>|cFFFFFF00金系-沉默术士★★|r</t>
  </si>
  <si>
    <t>C141</t>
  </si>
  <si>
    <t>|cFFFFFF00金系-剧毒术士★|r</t>
  </si>
  <si>
    <t>C142</t>
  </si>
  <si>
    <t>|cFFFFFF00金系-剧毒术士★★|r</t>
  </si>
  <si>
    <t>C151</t>
  </si>
  <si>
    <t>|cFFFFFF00金系-双头龙★|r</t>
  </si>
  <si>
    <t>C152</t>
  </si>
  <si>
    <t>|cFFFFFF00金系-双头龙★★|r</t>
  </si>
  <si>
    <t>C161</t>
  </si>
  <si>
    <t>|cFFFFFF00金系-风暴之灵★|r</t>
  </si>
  <si>
    <t>C162</t>
  </si>
  <si>
    <t>|cFFFFFF00金系-风暴之灵★★|r</t>
  </si>
  <si>
    <t>C201</t>
  </si>
  <si>
    <t>|cffadff2f木系-月之女祭祀★|r</t>
  </si>
  <si>
    <t>C202</t>
  </si>
  <si>
    <t>|cffadff2f木系-月之女祭祀★★|r</t>
  </si>
  <si>
    <t>C211</t>
  </si>
  <si>
    <t>|cffadff2f木系-月骑士★|r</t>
  </si>
  <si>
    <t>C212</t>
  </si>
  <si>
    <t>|cffadff2f木系-月骑士★★|r</t>
  </si>
  <si>
    <t>C221</t>
  </si>
  <si>
    <t>|cffadff2f木系-隐形刺客★|r</t>
  </si>
  <si>
    <t>C222</t>
  </si>
  <si>
    <t>|cffadff2f木系-隐形刺客★★|r</t>
  </si>
  <si>
    <t>C231</t>
  </si>
  <si>
    <t>|cffadff2f木系-死灵法师★|r</t>
  </si>
  <si>
    <t>C232</t>
  </si>
  <si>
    <t>|cffadff2f木系-死灵法师★★|r</t>
  </si>
  <si>
    <t>C241</t>
  </si>
  <si>
    <t>|cffadff2f木系-圣骑士★|r</t>
  </si>
  <si>
    <t>C242</t>
  </si>
  <si>
    <t>|cffadff2f木系-圣骑士★★|r</t>
  </si>
  <si>
    <t>C251</t>
  </si>
  <si>
    <t>|cffadff2f木系-熊猫酒仙★|r</t>
  </si>
  <si>
    <t>C252</t>
  </si>
  <si>
    <t>|cffadff2f木系-熊猫酒仙★★|r</t>
  </si>
  <si>
    <t>C301</t>
  </si>
  <si>
    <t>|cffff0000火系-火枪手★|r</t>
  </si>
  <si>
    <t>C302</t>
  </si>
  <si>
    <t>|cffff0000火系-火枪手★★|r</t>
  </si>
  <si>
    <t>C311</t>
  </si>
  <si>
    <t>|cffff0000火系-幻影刺客★|r</t>
  </si>
  <si>
    <t>C312</t>
  </si>
  <si>
    <t>|cffff0000火系-幻影刺客★★|r</t>
  </si>
  <si>
    <t>C321</t>
  </si>
  <si>
    <t>|cffff0000火系-斧王★|r</t>
  </si>
  <si>
    <t>C322</t>
  </si>
  <si>
    <t>|cffff0000火系-斧王★★|r</t>
  </si>
  <si>
    <t>C331</t>
  </si>
  <si>
    <t>|cffff0000火系-术士★|r</t>
  </si>
  <si>
    <t>C332</t>
  </si>
  <si>
    <t>|cffff0000火系-术士★★|r</t>
  </si>
  <si>
    <t>C341</t>
  </si>
  <si>
    <t>|cffff0000火系-屠夫★|r</t>
  </si>
  <si>
    <t>C342</t>
  </si>
  <si>
    <t>|cffff0000火系-屠夫★★|r</t>
  </si>
  <si>
    <t>C351</t>
  </si>
  <si>
    <t>|cffff0000火系-冥界亚龙★|r</t>
  </si>
  <si>
    <t>C352</t>
  </si>
  <si>
    <t>|cffff0000火系-冥界亚龙★★|r</t>
  </si>
  <si>
    <t>C361</t>
  </si>
  <si>
    <t>|cffff0000火系-火熊猫★|r</t>
  </si>
  <si>
    <t>C362</t>
  </si>
  <si>
    <t>|cffff0000火系-火熊猫★★|r</t>
  </si>
  <si>
    <t>C401</t>
  </si>
  <si>
    <t>|cff99ccff水系-蛇发女妖★|r</t>
  </si>
  <si>
    <t>C402</t>
  </si>
  <si>
    <t>|cff99ccff水系-蛇发女妖★★|r</t>
  </si>
  <si>
    <t>C411</t>
  </si>
  <si>
    <t>|cff99ccff水系-巫妖★|r</t>
  </si>
  <si>
    <t>C412</t>
  </si>
  <si>
    <t>|cff99ccff水系-巫妖★★|r</t>
  </si>
  <si>
    <t>C421</t>
  </si>
  <si>
    <t>|cff99ccff水系-冰晶室女★|r</t>
  </si>
  <si>
    <t>C422</t>
  </si>
  <si>
    <t>|cff99ccff水系-冰晶室女★★|r</t>
  </si>
  <si>
    <t>C431</t>
  </si>
  <si>
    <t>|cff99ccff水系-暗影牧师★|r</t>
  </si>
  <si>
    <t>C432</t>
  </si>
  <si>
    <t>|cff99ccff水系-暗影牧师★★|r</t>
  </si>
  <si>
    <t>C441</t>
  </si>
  <si>
    <t>|cff99ccff水系-神谕者★|r</t>
  </si>
  <si>
    <t>C442</t>
  </si>
  <si>
    <t>|cff99ccff水系-神谕者★★|r</t>
  </si>
  <si>
    <t>C451</t>
  </si>
  <si>
    <t>|cff99ccff水系-仙女龙★|r</t>
  </si>
  <si>
    <t>C452</t>
  </si>
  <si>
    <t>|cff99ccff水系-仙女龙★★|r</t>
  </si>
  <si>
    <t>C501</t>
  </si>
  <si>
    <t>|CFFFF8000土系-混沌骑士★|r</t>
  </si>
  <si>
    <t>C502</t>
  </si>
  <si>
    <t>|CFFFF8000土系-混沌骑士★★|r</t>
  </si>
  <si>
    <t>C511</t>
  </si>
  <si>
    <t>|CFFFF8000土系-龙骑士★|r</t>
  </si>
  <si>
    <t>C512</t>
  </si>
  <si>
    <t>|CFFFF8000土系-龙骑士★★|r</t>
  </si>
  <si>
    <t>C521</t>
  </si>
  <si>
    <t>|CFFFF8000土系-剑圣★|r</t>
  </si>
  <si>
    <t>C522</t>
  </si>
  <si>
    <t>|CFFFF8000土系-剑圣★★|r</t>
  </si>
  <si>
    <t>C531</t>
  </si>
  <si>
    <t>|CFFFF8000土系-熊战士★|r</t>
  </si>
  <si>
    <t>C532</t>
  </si>
  <si>
    <t>|CFFFF8000土系-熊战士★★|r</t>
  </si>
  <si>
    <t>C541</t>
  </si>
  <si>
    <t>|CFFFF8000土系-山岭巨人★|r</t>
  </si>
  <si>
    <t>C542</t>
  </si>
  <si>
    <t>|CFFFF8000土系-山岭巨人★★|r</t>
  </si>
  <si>
    <t>C551</t>
  </si>
  <si>
    <t>|CFFFF8000土系-骷髅王★|r</t>
  </si>
  <si>
    <t>C552</t>
  </si>
  <si>
    <t>|CFFFF8000土系-骷髅王★★|r</t>
  </si>
  <si>
    <t>C561</t>
  </si>
  <si>
    <t>|CFFFF8000土系-大地之灵★|r</t>
  </si>
  <si>
    <t>C562</t>
  </si>
  <si>
    <t>E601</t>
  </si>
  <si>
    <t>E602</t>
  </si>
  <si>
    <t>E603</t>
  </si>
  <si>
    <t>E604</t>
  </si>
  <si>
    <t>E605</t>
  </si>
  <si>
    <t>E606</t>
  </si>
  <si>
    <t>E607</t>
  </si>
  <si>
    <t>E608</t>
  </si>
  <si>
    <t>E609</t>
  </si>
  <si>
    <t>E610</t>
  </si>
  <si>
    <t>E611</t>
  </si>
  <si>
    <t>E612</t>
  </si>
  <si>
    <t>E613</t>
  </si>
  <si>
    <t>E614</t>
  </si>
  <si>
    <t>E615</t>
  </si>
  <si>
    <t>E616</t>
  </si>
  <si>
    <t>E617</t>
  </si>
  <si>
    <t>E618</t>
  </si>
  <si>
    <t>E619</t>
  </si>
  <si>
    <t>E620</t>
  </si>
  <si>
    <t>使用次数</t>
    <phoneticPr fontId="15" type="noConversion"/>
  </si>
  <si>
    <t>使用完全消失</t>
    <phoneticPr fontId="15" type="noConversion"/>
  </si>
  <si>
    <t>CD间隔组</t>
    <phoneticPr fontId="15" type="noConversion"/>
  </si>
  <si>
    <t>|cFFFFFF00金系-全能骑士★★|r</t>
  </si>
  <si>
    <t>|cFFFFFF00金系-黑暗游侠★|r</t>
  </si>
  <si>
    <t>|CFFFF8000土系-大地之灵★★|r</t>
  </si>
  <si>
    <t>攻击之爪</t>
  </si>
  <si>
    <t>力量手套</t>
  </si>
  <si>
    <t>敏捷便鞋</t>
  </si>
  <si>
    <t>智力斗篷</t>
  </si>
  <si>
    <t>守护戒指</t>
  </si>
  <si>
    <t>铁树枝干</t>
  </si>
  <si>
    <t>恢复戒指</t>
  </si>
  <si>
    <t>能量垂饰</t>
  </si>
  <si>
    <t>魔法面罩</t>
  </si>
  <si>
    <t>攻速手套</t>
  </si>
  <si>
    <t>速度之靴</t>
  </si>
  <si>
    <t>传送权杖</t>
  </si>
  <si>
    <t>|cffadff2f长剑|r</t>
  </si>
  <si>
    <t>|cffadff2f巨人力量腰带|r</t>
  </si>
  <si>
    <t>|cffadff2f敏捷腰带|r</t>
  </si>
  <si>
    <t>|cffadff2f法师长袍|r</t>
  </si>
  <si>
    <t>|cffadff2f板甲|r</t>
  </si>
  <si>
    <t>|cffadff2f贵族圆环|r</t>
  </si>
  <si>
    <t>|cffadff2f生命护符|r</t>
  </si>
  <si>
    <t>|cffadff2f魔法垂饰|r</t>
  </si>
  <si>
    <t>|cffadff2f活力之石|r</t>
  </si>
  <si>
    <t>|cffadff2f短刀|r</t>
  </si>
  <si>
    <t>|cffadff2f风暴狮角|r</t>
  </si>
  <si>
    <t>|cffadff2f流浪者斗篷|r</t>
  </si>
  <si>
    <t>|cff99ccff阔剑|r</t>
  </si>
  <si>
    <t>|cff99ccff国王之冠|r</t>
  </si>
  <si>
    <t>|cff99ccff极限法球|r</t>
  </si>
  <si>
    <t>|cff99ccff吸血面罩|r</t>
  </si>
  <si>
    <t>|cff99ccff腐蚀之球|r</t>
  </si>
  <si>
    <t>|cff99ccff攻速之靴|r</t>
  </si>
  <si>
    <t>|cff99ccff力量之靴|r</t>
  </si>
  <si>
    <t>|cff99ccff敏捷之靴|r</t>
  </si>
  <si>
    <t>|cff99ccff智力之靴|r</t>
  </si>
  <si>
    <t>|cff99ccff战歌之鼓|r</t>
  </si>
  <si>
    <t>|cff99ccff啊利亚之笛|r</t>
  </si>
  <si>
    <t>|cff99ccff穷鬼盾|r</t>
  </si>
  <si>
    <t>|cff99ccff闪避护符|r</t>
  </si>
  <si>
    <t>|cffcc99ff标枪|r</t>
  </si>
  <si>
    <t>|cffcc99ff圆盾|r</t>
  </si>
  <si>
    <t>|cffcc99ff掠夺之手|r</t>
  </si>
  <si>
    <t>|cffcc99ff穿刺飞矛|r</t>
  </si>
  <si>
    <t>|cffcc99ff水晶球|r</t>
  </si>
  <si>
    <t>|cffcc99ff全能之靴|r</t>
  </si>
  <si>
    <t>|cffcc99ff神秘腰带|r</t>
  </si>
  <si>
    <t>|cffcc99ff魔力法杖|r</t>
  </si>
  <si>
    <t>|cffcc99ff生锈的矿铲|r</t>
  </si>
  <si>
    <t>|cffcc99ff古之忍耐姜歌|r</t>
  </si>
  <si>
    <t>|cffcc99ff欢欣之刃|r</t>
  </si>
  <si>
    <t>|cffcc99ff力量之斧|r</t>
  </si>
  <si>
    <t>|CFFFF8000水晶剑|r</t>
  </si>
  <si>
    <t>|CFFFF8000空明杖|r</t>
  </si>
  <si>
    <t>|CFFFF8000挑战头巾|r</t>
  </si>
  <si>
    <t>|CFFFF8000角鹰弓|r</t>
  </si>
  <si>
    <t>|CFFFF8000圣者遗物|r</t>
  </si>
  <si>
    <t>|CFFFF8000掠夺者之斧|r</t>
  </si>
  <si>
    <t>|CFFFF8000疯狂面具|r</t>
  </si>
  <si>
    <t>|CFFFF8000散华|r</t>
  </si>
  <si>
    <t>|CFFFF8000精气之球|r</t>
  </si>
  <si>
    <t>|CFFFF8000传送之书|r</t>
  </si>
  <si>
    <t>|CFFFF8000玄冥盾牌|r</t>
  </si>
  <si>
    <t>|CFFFF8000夜叉|r</t>
  </si>
  <si>
    <t>|cffff0000暗灭|r</t>
  </si>
  <si>
    <t>|cffff0000旋涡|r</t>
  </si>
  <si>
    <t>|cffff0000散夜对剑|r</t>
  </si>
  <si>
    <t>|cffff0000塞尔达头盔|r</t>
  </si>
  <si>
    <t>|cffff0000塞尔达之盾|r</t>
  </si>
  <si>
    <t>|cffff0000刺甲|r</t>
  </si>
  <si>
    <t>|cffff0000紫苑|r</t>
  </si>
  <si>
    <t>|cffff0000红杖|r</t>
  </si>
  <si>
    <t>|cffff0000风杖|r</t>
  </si>
  <si>
    <t>|cffff0000守护面纱|r</t>
  </si>
  <si>
    <t>|cffff0000分身斧|r</t>
  </si>
  <si>
    <t>|cffff0000狂战士之斧|r</t>
  </si>
  <si>
    <t>|cffff0000蝴蝶|r</t>
  </si>
  <si>
    <t>|cffff0000偷袭之锋|r</t>
  </si>
  <si>
    <t>|cffff0000碎颅锤|r</t>
  </si>
  <si>
    <t>|cffff0000塞尔达之眼|r</t>
  </si>
  <si>
    <t>|cffff0000强袭甲|r</t>
  </si>
  <si>
    <t>|cffff0000塞尔达的守护|r</t>
  </si>
  <si>
    <t>|cffff0000死灵书|r</t>
  </si>
  <si>
    <t>|cffff0000哈姆神杖|r</t>
  </si>
  <si>
    <t>杀敌仙力</t>
  </si>
  <si>
    <t>真气</t>
  </si>
  <si>
    <t>心境概率增加</t>
  </si>
  <si>
    <t>杀敌真气</t>
  </si>
  <si>
    <t>攻击真气</t>
  </si>
  <si>
    <t>每秒真气</t>
  </si>
  <si>
    <t>仙力加成</t>
  </si>
  <si>
    <t>E001</t>
    <phoneticPr fontId="15" type="noConversion"/>
  </si>
  <si>
    <t>E002</t>
  </si>
  <si>
    <t>E003</t>
  </si>
  <si>
    <t>E004</t>
  </si>
  <si>
    <t>E005</t>
  </si>
  <si>
    <t>E006</t>
  </si>
  <si>
    <t>E007</t>
  </si>
  <si>
    <t>E008</t>
  </si>
  <si>
    <t>E009</t>
  </si>
  <si>
    <t>E010</t>
  </si>
  <si>
    <t>E011</t>
  </si>
  <si>
    <t>E012</t>
  </si>
  <si>
    <t>E013</t>
  </si>
  <si>
    <t>E014</t>
  </si>
  <si>
    <t>E015</t>
  </si>
  <si>
    <t>E016</t>
  </si>
  <si>
    <t>E017</t>
  </si>
  <si>
    <t>Artifact</t>
  </si>
  <si>
    <t>E113</t>
  </si>
  <si>
    <t>E114</t>
  </si>
  <si>
    <t>E115</t>
  </si>
  <si>
    <t>E116</t>
  </si>
  <si>
    <t>AI00</t>
    <phoneticPr fontId="15" type="noConversion"/>
  </si>
  <si>
    <t>E122</t>
  </si>
  <si>
    <t>E123</t>
  </si>
  <si>
    <t>E124</t>
  </si>
  <si>
    <t>武器lv1</t>
    <phoneticPr fontId="15" type="noConversion"/>
  </si>
  <si>
    <t>武器lv2</t>
  </si>
  <si>
    <t>武器lv3</t>
  </si>
  <si>
    <t>武器lv4</t>
  </si>
  <si>
    <t>武器lv5</t>
  </si>
  <si>
    <t>武器lv6</t>
  </si>
  <si>
    <t>武器lv7</t>
  </si>
  <si>
    <t>武器lv8</t>
  </si>
  <si>
    <t>武器lv9</t>
  </si>
  <si>
    <t>武器lv10</t>
  </si>
  <si>
    <t>武器lv11</t>
  </si>
  <si>
    <t>武器lv12</t>
  </si>
  <si>
    <t>武器lv13</t>
  </si>
  <si>
    <t>武器lv14</t>
  </si>
  <si>
    <t>武器lv15</t>
  </si>
  <si>
    <t>武器lv16</t>
  </si>
  <si>
    <t>武器lv17</t>
  </si>
  <si>
    <t>E018</t>
  </si>
  <si>
    <t>武器lv18</t>
  </si>
  <si>
    <t>E019</t>
  </si>
  <si>
    <t>武器lv19</t>
  </si>
  <si>
    <t>E020</t>
  </si>
  <si>
    <t>武器lv20</t>
  </si>
  <si>
    <t>E021</t>
  </si>
  <si>
    <t>武器lv21</t>
  </si>
  <si>
    <t>E022</t>
  </si>
  <si>
    <t>武器lv22</t>
  </si>
  <si>
    <t>E023</t>
  </si>
  <si>
    <t>武器lv23</t>
  </si>
  <si>
    <t>E024</t>
  </si>
  <si>
    <t>武器lv24</t>
  </si>
  <si>
    <t>E025</t>
  </si>
  <si>
    <t>武器lv25</t>
  </si>
  <si>
    <t>攻击</t>
  </si>
  <si>
    <t>法强</t>
  </si>
  <si>
    <t>护甲</t>
  </si>
  <si>
    <t>法抗</t>
  </si>
  <si>
    <t>魔法值</t>
  </si>
  <si>
    <t>生命回复</t>
  </si>
  <si>
    <t>免伤</t>
  </si>
  <si>
    <t>普攻伤害</t>
  </si>
  <si>
    <t>法术穿透</t>
  </si>
  <si>
    <t>物理伤害</t>
  </si>
  <si>
    <t>法术伤害</t>
  </si>
  <si>
    <t>伤害加成</t>
  </si>
  <si>
    <t>伤害减免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</si>
  <si>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</si>
  <si>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</si>
  <si>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</si>
  <si>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</si>
  <si>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</si>
  <si>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</si>
  <si>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</si>
  <si>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</si>
  <si>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元神力</t>
    <phoneticPr fontId="15" type="noConversion"/>
  </si>
  <si>
    <t>生命</t>
  </si>
  <si>
    <t>%</t>
  </si>
  <si>
    <t>E101</t>
    <phoneticPr fontId="15" type="noConversion"/>
  </si>
  <si>
    <t>法杖lv1</t>
    <phoneticPr fontId="15" type="noConversion"/>
  </si>
  <si>
    <t>法杖lv2</t>
  </si>
  <si>
    <t>法杖lv3</t>
  </si>
  <si>
    <t>法杖lv4</t>
  </si>
  <si>
    <t>法杖lv5</t>
  </si>
  <si>
    <t>法杖lv6</t>
  </si>
  <si>
    <t>法杖lv7</t>
  </si>
  <si>
    <t>法杖lv8</t>
  </si>
  <si>
    <t>法杖lv9</t>
  </si>
  <si>
    <t>法杖lv10</t>
  </si>
  <si>
    <t>法杖lv11</t>
  </si>
  <si>
    <t>法杖lv12</t>
  </si>
  <si>
    <t>法杖lv13</t>
  </si>
  <si>
    <t>法杖lv14</t>
  </si>
  <si>
    <t>法杖lv15</t>
  </si>
  <si>
    <t>法杖lv16</t>
  </si>
  <si>
    <t>E117</t>
  </si>
  <si>
    <t>法杖lv17</t>
  </si>
  <si>
    <t>E118</t>
  </si>
  <si>
    <t>法杖lv18</t>
  </si>
  <si>
    <t>E119</t>
  </si>
  <si>
    <t>法杖lv19</t>
  </si>
  <si>
    <t>E120</t>
  </si>
  <si>
    <t>法杖lv20</t>
  </si>
  <si>
    <t>E121</t>
  </si>
  <si>
    <t>法杖lv21</t>
  </si>
  <si>
    <t>法杖lv22</t>
  </si>
  <si>
    <t>法杖lv23</t>
  </si>
  <si>
    <t>法杖lv24</t>
  </si>
  <si>
    <t>E125</t>
  </si>
  <si>
    <t>法杖lv25</t>
  </si>
  <si>
    <t>护甲lv1</t>
    <phoneticPr fontId="15" type="noConversion"/>
  </si>
  <si>
    <t>E201</t>
    <phoneticPr fontId="15" type="noConversion"/>
  </si>
  <si>
    <t>护甲lv2</t>
  </si>
  <si>
    <t>护甲lv3</t>
  </si>
  <si>
    <t>护甲lv4</t>
  </si>
  <si>
    <t>护甲lv5</t>
  </si>
  <si>
    <t>护甲lv6</t>
  </si>
  <si>
    <t>护甲lv7</t>
  </si>
  <si>
    <t>护甲lv8</t>
  </si>
  <si>
    <t>护甲lv9</t>
  </si>
  <si>
    <t>护甲lv10</t>
  </si>
  <si>
    <t>护甲lv11</t>
  </si>
  <si>
    <t>护甲lv12</t>
  </si>
  <si>
    <t>E213</t>
  </si>
  <si>
    <t>护甲lv13</t>
  </si>
  <si>
    <t>E214</t>
  </si>
  <si>
    <t>护甲lv14</t>
  </si>
  <si>
    <t>E215</t>
  </si>
  <si>
    <t>护甲lv15</t>
  </si>
  <si>
    <t>E216</t>
  </si>
  <si>
    <t>护甲lv16</t>
  </si>
  <si>
    <t>E217</t>
  </si>
  <si>
    <t>护甲lv17</t>
  </si>
  <si>
    <t>E218</t>
  </si>
  <si>
    <t>护甲lv18</t>
  </si>
  <si>
    <t>E219</t>
  </si>
  <si>
    <t>护甲lv19</t>
  </si>
  <si>
    <t>E220</t>
  </si>
  <si>
    <t>护甲lv20</t>
  </si>
  <si>
    <t>E221</t>
  </si>
  <si>
    <t>护甲lv21</t>
  </si>
  <si>
    <t>E222</t>
  </si>
  <si>
    <t>护甲lv22</t>
  </si>
  <si>
    <t>E223</t>
  </si>
  <si>
    <t>护甲lv23</t>
  </si>
  <si>
    <t>E224</t>
  </si>
  <si>
    <t>护甲lv24</t>
  </si>
  <si>
    <t>E225</t>
  </si>
  <si>
    <t>护甲lv25</t>
  </si>
  <si>
    <t>低级道果</t>
  </si>
  <si>
    <t>中级道果</t>
  </si>
  <si>
    <t>高级道果</t>
  </si>
  <si>
    <t>黄级道果</t>
  </si>
  <si>
    <t>玄级道果</t>
  </si>
  <si>
    <t>地级道果</t>
  </si>
  <si>
    <t>天级道果</t>
  </si>
  <si>
    <t>仙品道果</t>
  </si>
  <si>
    <t>至圣道果</t>
  </si>
  <si>
    <t>混沌道果</t>
  </si>
  <si>
    <t>IJ01</t>
    <phoneticPr fontId="15" type="noConversion"/>
  </si>
  <si>
    <t>IJ02</t>
  </si>
  <si>
    <t>IJ03</t>
  </si>
  <si>
    <t>IJ04</t>
  </si>
  <si>
    <t>IJ05</t>
  </si>
  <si>
    <t>IJ06</t>
  </si>
  <si>
    <t>IJ07</t>
  </si>
  <si>
    <t>IJ08</t>
  </si>
  <si>
    <t>IJ09</t>
  </si>
  <si>
    <t>IJ10</t>
  </si>
  <si>
    <t>ReplaceableTextures\\CommandButtons\\BTNTome.blp</t>
    <phoneticPr fontId="15" type="noConversion"/>
  </si>
  <si>
    <r>
      <t>Objects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\InventoryItems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\tomeRed\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tomeRed.mdl</t>
    </r>
    <phoneticPr fontId="15" type="noConversion"/>
  </si>
  <si>
    <t>ReplaceableTextures\\CommandButtons\\BTNOrbOfDarkness.blp</t>
    <phoneticPr fontId="15" type="noConversion"/>
  </si>
  <si>
    <t>CS01</t>
    <phoneticPr fontId="15" type="noConversion"/>
  </si>
  <si>
    <t>低阶技能书</t>
    <phoneticPr fontId="15" type="noConversion"/>
  </si>
  <si>
    <t>随机技能</t>
    <phoneticPr fontId="15" type="noConversion"/>
  </si>
  <si>
    <t>CS02</t>
  </si>
  <si>
    <t>CS03</t>
  </si>
  <si>
    <t>中阶技能书</t>
    <phoneticPr fontId="15" type="noConversion"/>
  </si>
  <si>
    <t>高阶技能书</t>
    <phoneticPr fontId="15" type="noConversion"/>
  </si>
  <si>
    <t>IP01</t>
    <phoneticPr fontId="15" type="noConversion"/>
  </si>
  <si>
    <t>时渊碎片</t>
    <phoneticPr fontId="15" type="noConversion"/>
  </si>
  <si>
    <t>进入时渊副本消耗时渊碎片</t>
  </si>
  <si>
    <t>PowerUp</t>
  </si>
  <si>
    <t>Objects\\InventoryItems\\CrystalShard\\CrystalShard.mdl</t>
    <phoneticPr fontId="15" type="noConversion"/>
  </si>
  <si>
    <t>IP02</t>
  </si>
  <si>
    <t>IP03</t>
  </si>
  <si>
    <t>补天石</t>
  </si>
  <si>
    <t>鸿蒙结晶</t>
  </si>
  <si>
    <t>消耗补天石，可重铸指定法宝</t>
  </si>
  <si>
    <t>消耗鸿蒙结晶，可将指定法宝锻造为高一品阶的随机法宝。</t>
    <phoneticPr fontId="15" type="noConversion"/>
  </si>
  <si>
    <t>Charged</t>
  </si>
  <si>
    <t>神阶技能书</t>
    <phoneticPr fontId="15" type="noConversion"/>
  </si>
  <si>
    <t>CS04</t>
  </si>
  <si>
    <t>CF01</t>
    <phoneticPr fontId="15" type="noConversion"/>
  </si>
  <si>
    <t>随机法宝</t>
    <phoneticPr fontId="15" type="noConversion"/>
  </si>
  <si>
    <t>随机法宝</t>
    <phoneticPr fontId="15" type="noConversion"/>
  </si>
  <si>
    <t>下一个</t>
    <phoneticPr fontId="15" type="noConversion"/>
  </si>
  <si>
    <t>杀敌数</t>
    <phoneticPr fontId="15" type="noConversion"/>
  </si>
  <si>
    <t>下一级</t>
    <phoneticPr fontId="15" type="noConversion"/>
  </si>
  <si>
    <t>X坐标</t>
    <phoneticPr fontId="15" type="noConversion"/>
  </si>
  <si>
    <t>Y坐标</t>
    <phoneticPr fontId="15" type="noConversion"/>
  </si>
  <si>
    <t>ReplaceableTextures\\CommandButtons\\BTNOrbOfFrost.blp</t>
  </si>
  <si>
    <t>ReplaceableTextures\\CommandButtons\\BTNOrbOfVenom.blp</t>
  </si>
  <si>
    <t>ReplaceableTextures\\CommandButtons\\BTNOrbOfCorruption.blp</t>
  </si>
  <si>
    <t>ReplaceableTextures\\CommandButtons\\BTNOrbOfFire.blp</t>
  </si>
  <si>
    <t>ReplaceableTextures\\CommandButtons\\BTNUsedSoulGem.blp</t>
  </si>
  <si>
    <t>ReplaceableTextures\\CommandButtons\\BTNOrbofSlowness.blp</t>
  </si>
  <si>
    <t>ReplaceableTextures\\CommandButtons\\BTNOrbOfLightning.blp</t>
  </si>
  <si>
    <t>ReplaceableTextures\\CommandButtons\\BTNHeartOfAszune.blp</t>
  </si>
  <si>
    <t>ReplaceableTextures\\CommandButtons\\BTNPhilosophersStone.blp</t>
  </si>
  <si>
    <t>IT01</t>
    <phoneticPr fontId="15" type="noConversion"/>
  </si>
  <si>
    <t>境界挑战1</t>
    <phoneticPr fontId="15" type="noConversion"/>
  </si>
  <si>
    <t>IT02</t>
  </si>
  <si>
    <t>境界挑战2</t>
  </si>
  <si>
    <t>IT03</t>
  </si>
  <si>
    <t>境界挑战3</t>
  </si>
  <si>
    <t>IT04</t>
  </si>
  <si>
    <t>境界挑战4</t>
  </si>
  <si>
    <t>IT05</t>
  </si>
  <si>
    <t>境界挑战5</t>
  </si>
  <si>
    <t>IT06</t>
  </si>
  <si>
    <t>境界挑战6</t>
  </si>
  <si>
    <t>IT07</t>
  </si>
  <si>
    <t>境界挑战7</t>
  </si>
  <si>
    <t>IT08</t>
  </si>
  <si>
    <t>境界挑战8</t>
  </si>
  <si>
    <t>IT09</t>
  </si>
  <si>
    <t>境界挑战9</t>
  </si>
  <si>
    <t>IT10</t>
  </si>
  <si>
    <t>境界挑战10</t>
  </si>
  <si>
    <t>IS01</t>
    <phoneticPr fontId="15" type="noConversion"/>
  </si>
  <si>
    <t>IS02</t>
  </si>
  <si>
    <t>IS03</t>
  </si>
  <si>
    <t>IS04</t>
  </si>
  <si>
    <t>抽技能DC</t>
    <phoneticPr fontId="15" type="noConversion"/>
  </si>
  <si>
    <t>抽技能B</t>
    <phoneticPr fontId="15" type="noConversion"/>
  </si>
  <si>
    <t>抽技能A</t>
    <phoneticPr fontId="15" type="noConversion"/>
  </si>
  <si>
    <t>抽技能S</t>
    <phoneticPr fontId="15" type="noConversion"/>
  </si>
  <si>
    <t>IH00</t>
    <phoneticPr fontId="15" type="noConversion"/>
  </si>
  <si>
    <t>觉醒兽魂</t>
    <phoneticPr fontId="15" type="noConversion"/>
  </si>
  <si>
    <t>IH01</t>
    <phoneticPr fontId="15" type="noConversion"/>
  </si>
  <si>
    <t>兽魂1</t>
    <phoneticPr fontId="15" type="noConversion"/>
  </si>
  <si>
    <t>IH02</t>
  </si>
  <si>
    <t>兽魂2</t>
  </si>
  <si>
    <t>IH03</t>
  </si>
  <si>
    <t>兽魂3</t>
  </si>
  <si>
    <t>IH04</t>
  </si>
  <si>
    <t>兽魂4</t>
  </si>
  <si>
    <t>IH05</t>
  </si>
  <si>
    <t>兽魂5</t>
  </si>
  <si>
    <t>IH06</t>
  </si>
  <si>
    <t>兽魂6</t>
  </si>
  <si>
    <t>IH07</t>
  </si>
  <si>
    <t>兽魂7</t>
  </si>
  <si>
    <t>IH08</t>
  </si>
  <si>
    <t>兽魂8</t>
  </si>
  <si>
    <t>IB01</t>
    <phoneticPr fontId="15" type="noConversion"/>
  </si>
  <si>
    <t>入群礼包</t>
    <phoneticPr fontId="15" type="noConversion"/>
  </si>
  <si>
    <t>公众号礼包</t>
    <phoneticPr fontId="15" type="noConversion"/>
  </si>
  <si>
    <t>好评礼包</t>
    <phoneticPr fontId="15" type="noConversion"/>
  </si>
  <si>
    <t>老铁礼包</t>
    <phoneticPr fontId="15" type="noConversion"/>
  </si>
  <si>
    <t>工会礼包</t>
    <phoneticPr fontId="15" type="noConversion"/>
  </si>
  <si>
    <t>IB02</t>
  </si>
  <si>
    <t>IB03</t>
  </si>
  <si>
    <t>IB04</t>
  </si>
  <si>
    <t>IB05</t>
  </si>
  <si>
    <t>.</t>
    <phoneticPr fontId="15" type="noConversion"/>
  </si>
  <si>
    <t>IT11</t>
  </si>
  <si>
    <t>IT12</t>
  </si>
  <si>
    <t>IT13</t>
  </si>
  <si>
    <t>IT14</t>
  </si>
  <si>
    <t>境界挑战11</t>
  </si>
  <si>
    <t>境界挑战12</t>
  </si>
  <si>
    <t>境界挑战13</t>
  </si>
  <si>
    <t>境界挑战14</t>
  </si>
  <si>
    <t>uE01</t>
  </si>
  <si>
    <t>uE02</t>
    <phoneticPr fontId="15" type="noConversion"/>
  </si>
  <si>
    <t>uE03</t>
    <phoneticPr fontId="15" type="noConversion"/>
  </si>
  <si>
    <t>uE04</t>
    <phoneticPr fontId="15" type="noConversion"/>
  </si>
  <si>
    <t>uE11</t>
    <phoneticPr fontId="15" type="noConversion"/>
  </si>
  <si>
    <t>uE12</t>
    <phoneticPr fontId="15" type="noConversion"/>
  </si>
  <si>
    <t>uE13</t>
    <phoneticPr fontId="15" type="noConversion"/>
  </si>
  <si>
    <t>uE14</t>
    <phoneticPr fontId="15" type="noConversion"/>
  </si>
  <si>
    <t>uE21</t>
    <phoneticPr fontId="15" type="noConversion"/>
  </si>
  <si>
    <t>uE22</t>
    <phoneticPr fontId="15" type="noConversion"/>
  </si>
  <si>
    <t>uE23</t>
    <phoneticPr fontId="15" type="noConversion"/>
  </si>
  <si>
    <t>uE24</t>
    <phoneticPr fontId="15" type="noConversion"/>
  </si>
  <si>
    <t>IS11</t>
    <phoneticPr fontId="15" type="noConversion"/>
  </si>
  <si>
    <t>占星</t>
    <phoneticPr fontId="15" type="noConversion"/>
  </si>
  <si>
    <t>每次占星触发以下随机事件：\n\n山精怪潮：击杀获得一定量金币；每个存活20秒\nBoss1：击杀掉落聚宝盆；限时20秒\nBoss2：造成伤害到一定量级掉落金币。限时20秒\nBoss3：获得击杀时间和境界相关的金币。保底40%\nBoss4：击杀获得随机量金币。</t>
    <phoneticPr fontId="15" type="noConversion"/>
  </si>
  <si>
    <t>I001</t>
    <phoneticPr fontId="15" type="noConversion"/>
  </si>
  <si>
    <t>聚宝盆</t>
    <phoneticPr fontId="15" type="noConversion"/>
  </si>
  <si>
    <t>I002</t>
  </si>
  <si>
    <t>I003</t>
  </si>
  <si>
    <t>I004</t>
  </si>
  <si>
    <t>I005</t>
  </si>
  <si>
    <t>蛋黄月饼</t>
    <phoneticPr fontId="15" type="noConversion"/>
  </si>
  <si>
    <t>豆沙月饼</t>
    <phoneticPr fontId="15" type="noConversion"/>
  </si>
  <si>
    <t>果蔬月饼</t>
    <phoneticPr fontId="15" type="noConversion"/>
  </si>
  <si>
    <t>鲜肉月饼</t>
    <phoneticPr fontId="15" type="noConversion"/>
  </si>
  <si>
    <t>I010</t>
    <phoneticPr fontId="15" type="noConversion"/>
  </si>
  <si>
    <t>聚宝盆</t>
    <phoneticPr fontId="15" type="noConversion"/>
  </si>
  <si>
    <t>回复80%生命，解除异常状态</t>
  </si>
  <si>
    <t>回复70%蓝量</t>
  </si>
  <si>
    <t>冰皮月饼</t>
    <phoneticPr fontId="15" type="noConversion"/>
  </si>
  <si>
    <t>攻击速度+60%，持续15秒。</t>
    <phoneticPr fontId="15" type="noConversion"/>
  </si>
  <si>
    <t>法术伤害提高40%，持续15秒。</t>
    <phoneticPr fontId="15" type="noConversion"/>
  </si>
  <si>
    <t>物理伤害提高40%，持续15秒。</t>
    <phoneticPr fontId="15" type="noConversion"/>
  </si>
</sst>
</file>

<file path=xl/styles.xml><?xml version="1.0" encoding="utf-8"?>
<styleSheet xmlns="http://schemas.openxmlformats.org/spreadsheetml/2006/main">
  <fonts count="21">
    <font>
      <sz val="11"/>
      <color theme="1"/>
      <name val="等线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0"/>
      <color rgb="FF000000"/>
      <name val="Microsoft YaHei"/>
      <charset val="134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000000"/>
      <name val="SimSun"/>
      <charset val="134"/>
    </font>
    <font>
      <sz val="9"/>
      <color rgb="FF2B2B2B"/>
      <name val="PingFang SC"/>
      <family val="1"/>
    </font>
    <font>
      <sz val="11"/>
      <color theme="1"/>
      <name val="SimSun"/>
      <charset val="134"/>
    </font>
    <font>
      <sz val="10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color rgb="FF000000"/>
      <name val="等线"/>
      <family val="3"/>
      <charset val="134"/>
      <scheme val="minor"/>
    </font>
    <font>
      <sz val="11"/>
      <color rgb="FF999999"/>
      <name val="等线"/>
      <family val="3"/>
      <charset val="134"/>
      <scheme val="minor"/>
    </font>
    <font>
      <sz val="11"/>
      <color rgb="FFA9D18D"/>
      <name val="宋体"/>
      <family val="3"/>
      <charset val="134"/>
    </font>
    <font>
      <sz val="10"/>
      <color theme="1"/>
      <name val="微软雅黑"/>
      <family val="2"/>
      <charset val="134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5A5A5A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5" fillId="5" borderId="0" applyNumberFormat="0" applyBorder="0" applyAlignment="0" applyProtection="0">
      <alignment vertical="center"/>
    </xf>
    <xf numFmtId="0" fontId="1" fillId="7" borderId="13" applyNumberFormat="0" applyFont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</cellStyleXfs>
  <cellXfs count="128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Fill="1" applyAlignment="1"/>
    <xf numFmtId="0" fontId="3" fillId="2" borderId="1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4" fillId="4" borderId="0" xfId="3" applyAlignment="1"/>
    <xf numFmtId="0" fontId="0" fillId="0" borderId="1" xfId="0" applyBorder="1" applyAlignment="1">
      <alignment vertical="center"/>
    </xf>
    <xf numFmtId="0" fontId="5" fillId="5" borderId="1" xfId="1" applyBorder="1">
      <alignment vertical="center"/>
    </xf>
    <xf numFmtId="0" fontId="5" fillId="5" borderId="1" xfId="1" applyFont="1" applyBorder="1">
      <alignment vertical="center"/>
    </xf>
    <xf numFmtId="0" fontId="5" fillId="5" borderId="3" xfId="1" applyFont="1" applyBorder="1">
      <alignment vertical="center"/>
    </xf>
    <xf numFmtId="0" fontId="6" fillId="6" borderId="3" xfId="4" applyBorder="1" applyAlignment="1">
      <alignment horizontal="center"/>
    </xf>
    <xf numFmtId="0" fontId="4" fillId="4" borderId="1" xfId="3" applyFont="1" applyBorder="1" applyAlignment="1">
      <alignment vertical="center"/>
    </xf>
    <xf numFmtId="0" fontId="4" fillId="4" borderId="2" xfId="3" applyFont="1" applyBorder="1" applyAlignment="1">
      <alignment horizontal="left"/>
    </xf>
    <xf numFmtId="0" fontId="4" fillId="4" borderId="1" xfId="3" applyFont="1" applyBorder="1">
      <alignment vertical="center"/>
    </xf>
    <xf numFmtId="0" fontId="7" fillId="7" borderId="4" xfId="2" applyFont="1" applyBorder="1" applyAlignment="1">
      <alignment horizontal="center"/>
    </xf>
    <xf numFmtId="0" fontId="7" fillId="7" borderId="5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5" fillId="5" borderId="0" xfId="1" applyNumberFormat="1" applyBorder="1">
      <alignment vertical="center"/>
    </xf>
    <xf numFmtId="0" fontId="5" fillId="5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0" fillId="0" borderId="0" xfId="0" applyFont="1" applyFill="1" applyAlignment="1"/>
    <xf numFmtId="0" fontId="6" fillId="6" borderId="1" xfId="4" applyBorder="1" applyAlignment="1"/>
    <xf numFmtId="0" fontId="6" fillId="6" borderId="1" xfId="4" applyBorder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0" fontId="5" fillId="5" borderId="0" xfId="1" applyAlignment="1">
      <alignment vertical="center"/>
    </xf>
    <xf numFmtId="0" fontId="0" fillId="0" borderId="1" xfId="0" applyFont="1" applyFill="1" applyBorder="1" applyAlignment="1">
      <alignment vertical="center"/>
    </xf>
    <xf numFmtId="0" fontId="6" fillId="6" borderId="3" xfId="4" applyFont="1" applyFill="1" applyBorder="1">
      <alignment vertical="center"/>
    </xf>
    <xf numFmtId="0" fontId="4" fillId="4" borderId="1" xfId="3" applyBorder="1" applyAlignment="1"/>
    <xf numFmtId="0" fontId="4" fillId="4" borderId="0" xfId="3" applyBorder="1" applyAlignment="1"/>
    <xf numFmtId="0" fontId="0" fillId="0" borderId="7" xfId="0" applyBorder="1" applyAlignment="1">
      <alignment vertical="center"/>
    </xf>
    <xf numFmtId="0" fontId="3" fillId="3" borderId="1" xfId="0" applyFont="1" applyFill="1" applyBorder="1" applyAlignment="1">
      <alignment horizontal="left" vertical="center"/>
    </xf>
    <xf numFmtId="0" fontId="6" fillId="6" borderId="3" xfId="4" applyBorder="1">
      <alignment vertical="center"/>
    </xf>
    <xf numFmtId="0" fontId="5" fillId="5" borderId="1" xfId="1" applyFont="1" applyFill="1" applyBorder="1">
      <alignment vertical="center"/>
    </xf>
    <xf numFmtId="0" fontId="0" fillId="0" borderId="8" xfId="0" applyFont="1" applyFill="1" applyBorder="1" applyAlignment="1">
      <alignment vertical="center"/>
    </xf>
    <xf numFmtId="0" fontId="5" fillId="5" borderId="3" xfId="1" applyFont="1" applyFill="1" applyBorder="1">
      <alignment vertical="center"/>
    </xf>
    <xf numFmtId="0" fontId="5" fillId="5" borderId="11" xfId="1" applyFont="1" applyFill="1" applyBorder="1">
      <alignment vertical="center"/>
    </xf>
    <xf numFmtId="0" fontId="6" fillId="6" borderId="10" xfId="4" applyFont="1" applyFill="1" applyBorder="1" applyAlignment="1"/>
    <xf numFmtId="0" fontId="0" fillId="0" borderId="0" xfId="0" applyNumberFormat="1" applyFont="1" applyFill="1" applyAlignment="1"/>
    <xf numFmtId="0" fontId="4" fillId="4" borderId="0" xfId="3" applyFont="1" applyFill="1" applyAlignment="1"/>
    <xf numFmtId="0" fontId="0" fillId="0" borderId="0" xfId="0" applyFont="1" applyFill="1" applyAlignment="1">
      <alignment vertical="center"/>
    </xf>
    <xf numFmtId="0" fontId="1" fillId="0" borderId="1" xfId="0" applyFont="1" applyFill="1" applyBorder="1" applyAlignment="1">
      <alignment horizontal="center"/>
    </xf>
    <xf numFmtId="0" fontId="5" fillId="5" borderId="6" xfId="1" applyFont="1" applyFill="1" applyBorder="1">
      <alignment vertical="center"/>
    </xf>
    <xf numFmtId="0" fontId="1" fillId="0" borderId="3" xfId="0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6" fillId="6" borderId="1" xfId="4" applyFont="1" applyFill="1" applyBorder="1" applyAlignment="1"/>
    <xf numFmtId="0" fontId="6" fillId="6" borderId="1" xfId="4" applyFont="1" applyBorder="1" applyAlignment="1"/>
    <xf numFmtId="0" fontId="6" fillId="6" borderId="7" xfId="4" applyFont="1" applyFill="1" applyBorder="1" applyAlignment="1"/>
    <xf numFmtId="0" fontId="1" fillId="0" borderId="8" xfId="0" applyFont="1" applyBorder="1" applyAlignment="1">
      <alignment vertical="center"/>
    </xf>
    <xf numFmtId="0" fontId="1" fillId="0" borderId="7" xfId="0" applyFont="1" applyBorder="1" applyAlignment="1">
      <alignment vertical="center"/>
    </xf>
    <xf numFmtId="0" fontId="6" fillId="6" borderId="7" xfId="4" applyFont="1" applyBorder="1" applyAlignme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0" fillId="2" borderId="0" xfId="0" applyFont="1" applyFill="1"/>
    <xf numFmtId="0" fontId="0" fillId="11" borderId="0" xfId="0" applyFont="1" applyFill="1"/>
    <xf numFmtId="0" fontId="0" fillId="0" borderId="0" xfId="0" applyFont="1"/>
    <xf numFmtId="0" fontId="0" fillId="0" borderId="0" xfId="0" applyFont="1" applyAlignment="1">
      <alignment horizontal="left"/>
    </xf>
    <xf numFmtId="0" fontId="0" fillId="0" borderId="0" xfId="0" applyFont="1" applyAlignment="1">
      <alignment horizontal="center" vertical="center"/>
    </xf>
    <xf numFmtId="0" fontId="0" fillId="0" borderId="0" xfId="0" applyNumberFormat="1" applyAlignment="1">
      <alignment horizontal="left"/>
    </xf>
    <xf numFmtId="0" fontId="0" fillId="0" borderId="0" xfId="0" applyFont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1" fillId="11" borderId="12" xfId="0" applyFont="1" applyFill="1" applyBorder="1" applyAlignment="1">
      <alignment horizontal="center"/>
    </xf>
    <xf numFmtId="0" fontId="0" fillId="2" borderId="0" xfId="0" applyFont="1" applyFill="1" applyAlignment="1">
      <alignment horizontal="left"/>
    </xf>
    <xf numFmtId="0" fontId="12" fillId="3" borderId="9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1" xfId="4" applyFont="1" applyFill="1" applyBorder="1">
      <alignment vertical="center"/>
    </xf>
    <xf numFmtId="0" fontId="0" fillId="2" borderId="0" xfId="0" applyFont="1" applyFill="1" applyAlignment="1">
      <alignment horizontal="center"/>
    </xf>
    <xf numFmtId="0" fontId="0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2" borderId="0" xfId="0" applyFill="1" applyAlignment="1">
      <alignment horizontal="left" vertical="center"/>
    </xf>
    <xf numFmtId="0" fontId="0" fillId="2" borderId="0" xfId="0" applyFont="1" applyFill="1" applyAlignment="1">
      <alignment horizontal="left" vertical="center"/>
    </xf>
    <xf numFmtId="0" fontId="0" fillId="11" borderId="0" xfId="0" applyFont="1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1" borderId="0" xfId="0" applyFont="1" applyFill="1" applyAlignment="1">
      <alignment horizontal="left" vertical="center"/>
    </xf>
    <xf numFmtId="0" fontId="0" fillId="11" borderId="0" xfId="0" applyFont="1" applyFill="1" applyAlignment="1">
      <alignment horizontal="left"/>
    </xf>
    <xf numFmtId="0" fontId="0" fillId="11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vertical="center"/>
    </xf>
    <xf numFmtId="0" fontId="16" fillId="12" borderId="12" xfId="0" applyFont="1" applyFill="1" applyBorder="1" applyAlignment="1">
      <alignment horizontal="left" vertical="center"/>
    </xf>
    <xf numFmtId="0" fontId="16" fillId="3" borderId="12" xfId="0" applyFont="1" applyFill="1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5" fillId="5" borderId="0" xfId="1" applyBorder="1">
      <alignment vertical="center"/>
    </xf>
    <xf numFmtId="0" fontId="5" fillId="5" borderId="0" xfId="1" applyFont="1" applyBorder="1">
      <alignment vertical="center"/>
    </xf>
    <xf numFmtId="0" fontId="4" fillId="4" borderId="0" xfId="3" applyFont="1" applyBorder="1" applyAlignment="1">
      <alignment vertical="center"/>
    </xf>
    <xf numFmtId="0" fontId="4" fillId="4" borderId="0" xfId="3" applyFont="1" applyBorder="1" applyAlignment="1">
      <alignment horizontal="left"/>
    </xf>
    <xf numFmtId="0" fontId="4" fillId="4" borderId="0" xfId="3" applyFont="1" applyBorder="1">
      <alignment vertical="center"/>
    </xf>
    <xf numFmtId="0" fontId="7" fillId="7" borderId="0" xfId="2" applyFont="1" applyBorder="1" applyAlignment="1">
      <alignment horizontal="center"/>
    </xf>
    <xf numFmtId="0" fontId="7" fillId="7" borderId="0" xfId="2" applyFont="1" applyBorder="1" applyAlignment="1"/>
    <xf numFmtId="0" fontId="8" fillId="0" borderId="0" xfId="0" applyFont="1" applyAlignment="1">
      <alignment horizontal="left"/>
    </xf>
    <xf numFmtId="0" fontId="9" fillId="0" borderId="0" xfId="0" applyFont="1" applyAlignment="1">
      <alignment horizontal="left"/>
    </xf>
    <xf numFmtId="0" fontId="6" fillId="8" borderId="2" xfId="4" applyFill="1" applyBorder="1" applyAlignment="1"/>
    <xf numFmtId="0" fontId="1" fillId="10" borderId="0" xfId="0" applyFont="1" applyFill="1" applyAlignment="1">
      <alignment vertical="center"/>
    </xf>
    <xf numFmtId="0" fontId="1" fillId="8" borderId="1" xfId="0" applyFont="1" applyFill="1" applyBorder="1" applyAlignment="1">
      <alignment vertical="center"/>
    </xf>
    <xf numFmtId="0" fontId="1" fillId="8" borderId="2" xfId="0" applyFont="1" applyFill="1" applyBorder="1" applyAlignment="1">
      <alignment vertical="center"/>
    </xf>
    <xf numFmtId="9" fontId="1" fillId="8" borderId="1" xfId="0" applyNumberFormat="1" applyFont="1" applyFill="1" applyBorder="1" applyAlignment="1">
      <alignment vertical="center"/>
    </xf>
    <xf numFmtId="9" fontId="0" fillId="8" borderId="1" xfId="0" applyNumberFormat="1" applyFont="1" applyFill="1" applyBorder="1" applyAlignment="1">
      <alignment vertical="center"/>
    </xf>
    <xf numFmtId="0" fontId="3" fillId="10" borderId="12" xfId="0" applyFont="1" applyFill="1" applyBorder="1" applyAlignment="1">
      <alignment vertical="center"/>
    </xf>
    <xf numFmtId="0" fontId="16" fillId="12" borderId="12" xfId="0" applyFont="1" applyFill="1" applyBorder="1" applyAlignment="1">
      <alignment vertical="center"/>
    </xf>
    <xf numFmtId="0" fontId="16" fillId="3" borderId="12" xfId="0" applyFont="1" applyFill="1" applyBorder="1" applyAlignment="1">
      <alignment vertical="center"/>
    </xf>
    <xf numFmtId="0" fontId="9" fillId="3" borderId="12" xfId="0" applyFont="1" applyFill="1" applyBorder="1" applyAlignment="1"/>
    <xf numFmtId="0" fontId="9" fillId="3" borderId="12" xfId="0" applyFont="1" applyFill="1" applyBorder="1" applyAlignment="1">
      <alignment vertical="center"/>
    </xf>
    <xf numFmtId="0" fontId="6" fillId="8" borderId="1" xfId="4" applyFill="1" applyBorder="1" applyAlignment="1">
      <alignment vertical="center"/>
    </xf>
    <xf numFmtId="0" fontId="16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9" fillId="9" borderId="0" xfId="0" applyFont="1" applyFill="1" applyAlignment="1">
      <alignment horizontal="left"/>
    </xf>
    <xf numFmtId="0" fontId="9" fillId="0" borderId="0" xfId="0" applyFont="1" applyAlignment="1">
      <alignment horizontal="left" vertical="center" wrapText="1"/>
    </xf>
    <xf numFmtId="0" fontId="1" fillId="0" borderId="0" xfId="0" applyFont="1" applyAlignment="1">
      <alignment horizontal="left" vertical="center"/>
    </xf>
    <xf numFmtId="0" fontId="18" fillId="0" borderId="0" xfId="0" applyFont="1"/>
    <xf numFmtId="0" fontId="17" fillId="0" borderId="0" xfId="0" applyFont="1"/>
    <xf numFmtId="0" fontId="17" fillId="0" borderId="0" xfId="0" applyFont="1" applyAlignment="1">
      <alignment horizontal="left"/>
    </xf>
    <xf numFmtId="0" fontId="19" fillId="13" borderId="0" xfId="0" applyFont="1" applyFill="1" applyAlignment="1">
      <alignment horizontal="left" vertical="center"/>
    </xf>
    <xf numFmtId="0" fontId="1" fillId="8" borderId="1" xfId="4" applyFont="1" applyFill="1" applyBorder="1" applyAlignment="1">
      <alignment vertical="center"/>
    </xf>
    <xf numFmtId="0" fontId="20" fillId="2" borderId="0" xfId="0" applyNumberFormat="1" applyFont="1" applyFill="1" applyAlignment="1">
      <alignment horizontal="center" vertical="center"/>
    </xf>
    <xf numFmtId="0" fontId="8" fillId="0" borderId="0" xfId="0" applyFont="1"/>
    <xf numFmtId="0" fontId="5" fillId="5" borderId="1" xfId="1" applyBorder="1" applyAlignment="1">
      <alignment horizontal="center" vertical="center"/>
    </xf>
    <xf numFmtId="0" fontId="6" fillId="6" borderId="7" xfId="4" applyBorder="1" applyAlignment="1">
      <alignment horizontal="center"/>
    </xf>
    <xf numFmtId="0" fontId="6" fillId="6" borderId="8" xfId="4" applyBorder="1" applyAlignment="1">
      <alignment horizontal="center"/>
    </xf>
    <xf numFmtId="0" fontId="6" fillId="6" borderId="3" xfId="4" applyBorder="1" applyAlignment="1">
      <alignment horizontal="center"/>
    </xf>
    <xf numFmtId="0" fontId="6" fillId="6" borderId="1" xfId="4" applyBorder="1" applyAlignment="1">
      <alignment horizontal="center"/>
    </xf>
  </cellXfs>
  <cellStyles count="5">
    <cellStyle name="差" xfId="1" builtinId="27"/>
    <cellStyle name="常规" xfId="0" builtinId="0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620"/>
  <sheetViews>
    <sheetView tabSelected="1" zoomScaleNormal="100" workbookViewId="0">
      <pane xSplit="8" ySplit="2" topLeftCell="S78" activePane="bottomRight" state="frozen"/>
      <selection pane="topRight"/>
      <selection pane="bottomLeft"/>
      <selection pane="bottomRight" activeCell="S93" sqref="S93"/>
    </sheetView>
  </sheetViews>
  <sheetFormatPr defaultColWidth="9" defaultRowHeight="14.25"/>
  <cols>
    <col min="1" max="2" width="9" style="61"/>
    <col min="3" max="3" width="7.625" style="61" customWidth="1"/>
    <col min="4" max="4" width="7.375" style="61" customWidth="1"/>
    <col min="5" max="5" width="11.625" style="61" customWidth="1"/>
    <col min="6" max="6" width="11" style="61" customWidth="1"/>
    <col min="7" max="7" width="8.875" style="61" customWidth="1"/>
    <col min="8" max="8" width="26.25" style="61" customWidth="1"/>
    <col min="9" max="9" width="8.25" style="58" customWidth="1"/>
    <col min="10" max="10" width="16.125" customWidth="1"/>
    <col min="11" max="11" width="41" customWidth="1"/>
    <col min="12" max="12" width="9" style="61" customWidth="1"/>
    <col min="13" max="13" width="47.375" style="62" customWidth="1"/>
    <col min="14" max="14" width="14.25" style="61" customWidth="1"/>
    <col min="15" max="15" width="53.5" style="61" customWidth="1"/>
    <col min="16" max="16" width="13" style="61" customWidth="1"/>
    <col min="17" max="17" width="13.25" style="61" customWidth="1"/>
    <col min="18" max="22" width="9" style="61"/>
    <col min="23" max="23" width="23.25" style="61" customWidth="1"/>
    <col min="24" max="24" width="9.25" style="61" customWidth="1"/>
    <col min="25" max="26" width="12.375" style="61" customWidth="1"/>
    <col min="27" max="27" width="10" style="61" customWidth="1"/>
    <col min="28" max="28" width="10.375" style="61" customWidth="1"/>
    <col min="29" max="29" width="9" style="61"/>
    <col min="30" max="30" width="10.75" style="61" customWidth="1"/>
    <col min="31" max="31" width="11" style="61" customWidth="1"/>
    <col min="32" max="32" width="9" style="61"/>
    <col min="33" max="34" width="14.375" style="61" customWidth="1"/>
    <col min="35" max="35" width="12.375" style="61" customWidth="1"/>
    <col min="36" max="39" width="9" style="61"/>
    <col min="40" max="40" width="9" style="58"/>
    <col min="41" max="16384" width="9" style="61"/>
  </cols>
  <sheetData>
    <row r="1" spans="1:42" s="58" customFormat="1">
      <c r="A1" s="62"/>
      <c r="B1" s="58" t="s">
        <v>0</v>
      </c>
      <c r="C1" s="58" t="s">
        <v>1</v>
      </c>
      <c r="D1" s="58" t="s">
        <v>2</v>
      </c>
      <c r="E1" s="83" t="s">
        <v>3</v>
      </c>
      <c r="F1" s="58" t="s">
        <v>4</v>
      </c>
      <c r="G1" s="58" t="s">
        <v>5</v>
      </c>
      <c r="H1" s="58" t="s">
        <v>6</v>
      </c>
      <c r="I1" s="58" t="s">
        <v>7</v>
      </c>
      <c r="J1" s="57" t="s">
        <v>8</v>
      </c>
      <c r="K1" s="57" t="s">
        <v>9</v>
      </c>
      <c r="L1" s="58" t="s">
        <v>10</v>
      </c>
      <c r="M1" s="58" t="s">
        <v>357</v>
      </c>
      <c r="N1" s="58" t="s">
        <v>11</v>
      </c>
      <c r="O1" s="58" t="s">
        <v>12</v>
      </c>
      <c r="P1" s="58" t="s">
        <v>13</v>
      </c>
      <c r="Q1" s="58" t="s">
        <v>14</v>
      </c>
      <c r="R1" s="58" t="s">
        <v>15</v>
      </c>
      <c r="S1" s="58" t="s">
        <v>16</v>
      </c>
      <c r="T1" s="58" t="s">
        <v>17</v>
      </c>
      <c r="U1" s="58" t="s">
        <v>18</v>
      </c>
      <c r="V1" s="58" t="s">
        <v>19</v>
      </c>
      <c r="W1" s="58" t="s">
        <v>20</v>
      </c>
      <c r="X1" s="58" t="s">
        <v>21</v>
      </c>
      <c r="Y1" s="58" t="s">
        <v>22</v>
      </c>
      <c r="Z1" s="58" t="s">
        <v>23</v>
      </c>
      <c r="AA1" s="58" t="s">
        <v>24</v>
      </c>
      <c r="AB1" s="58" t="s">
        <v>25</v>
      </c>
      <c r="AC1" s="58" t="s">
        <v>26</v>
      </c>
      <c r="AD1" s="58" t="s">
        <v>27</v>
      </c>
      <c r="AE1" s="85" t="s">
        <v>556</v>
      </c>
      <c r="AF1" s="58" t="s">
        <v>28</v>
      </c>
      <c r="AG1" s="58" t="s">
        <v>29</v>
      </c>
      <c r="AH1" s="58" t="s">
        <v>30</v>
      </c>
      <c r="AI1" s="58" t="s">
        <v>31</v>
      </c>
      <c r="AJ1" s="57" t="s">
        <v>32</v>
      </c>
      <c r="AK1" s="85" t="s">
        <v>403</v>
      </c>
      <c r="AL1" s="58" t="s">
        <v>33</v>
      </c>
      <c r="AM1" s="58" t="s">
        <v>34</v>
      </c>
      <c r="AN1" s="85" t="s">
        <v>554</v>
      </c>
      <c r="AO1" s="85" t="s">
        <v>555</v>
      </c>
      <c r="AP1" s="57" t="s">
        <v>35</v>
      </c>
    </row>
    <row r="2" spans="1:42" s="57" customFormat="1" ht="12.75" customHeight="1">
      <c r="A2" s="64">
        <f>COUNTA(B:B)+1</f>
        <v>134</v>
      </c>
      <c r="C2" s="57" t="s">
        <v>36</v>
      </c>
      <c r="D2" s="57" t="s">
        <v>37</v>
      </c>
      <c r="E2" s="57" t="s">
        <v>38</v>
      </c>
      <c r="F2" s="57" t="s">
        <v>39</v>
      </c>
      <c r="G2" s="57" t="s">
        <v>40</v>
      </c>
      <c r="H2" s="57" t="s">
        <v>41</v>
      </c>
      <c r="I2" s="57" t="s">
        <v>42</v>
      </c>
      <c r="J2" s="57" t="s">
        <v>43</v>
      </c>
      <c r="K2" s="57" t="s">
        <v>44</v>
      </c>
      <c r="L2" s="57" t="s">
        <v>45</v>
      </c>
      <c r="M2" s="57" t="s">
        <v>46</v>
      </c>
      <c r="N2" s="57" t="s">
        <v>47</v>
      </c>
      <c r="O2" s="57" t="s">
        <v>48</v>
      </c>
      <c r="P2" s="57" t="s">
        <v>49</v>
      </c>
      <c r="Q2" s="57" t="s">
        <v>50</v>
      </c>
      <c r="R2" s="57" t="s">
        <v>51</v>
      </c>
      <c r="S2" s="57" t="s">
        <v>52</v>
      </c>
      <c r="T2" s="57" t="s">
        <v>53</v>
      </c>
      <c r="U2" s="57" t="s">
        <v>54</v>
      </c>
      <c r="V2" s="57" t="s">
        <v>55</v>
      </c>
      <c r="W2" s="57" t="s">
        <v>56</v>
      </c>
      <c r="X2" s="57" t="s">
        <v>57</v>
      </c>
      <c r="Y2" s="57" t="s">
        <v>58</v>
      </c>
      <c r="Z2" s="57" t="s">
        <v>59</v>
      </c>
      <c r="AA2" s="57" t="s">
        <v>60</v>
      </c>
      <c r="AB2" s="57" t="s">
        <v>61</v>
      </c>
      <c r="AC2" s="57" t="s">
        <v>62</v>
      </c>
      <c r="AD2" s="57" t="s">
        <v>63</v>
      </c>
      <c r="AE2" s="57" t="s">
        <v>64</v>
      </c>
      <c r="AF2" s="57" t="s">
        <v>65</v>
      </c>
      <c r="AG2" s="57" t="s">
        <v>66</v>
      </c>
      <c r="AH2" s="57" t="s">
        <v>67</v>
      </c>
      <c r="AI2" s="57" t="s">
        <v>68</v>
      </c>
      <c r="AJ2" s="57" t="s">
        <v>69</v>
      </c>
      <c r="AK2" s="57" t="s">
        <v>70</v>
      </c>
      <c r="AL2" s="57" t="s">
        <v>71</v>
      </c>
      <c r="AM2" s="57" t="s">
        <v>72</v>
      </c>
      <c r="AN2" s="57" t="s">
        <v>73</v>
      </c>
      <c r="AO2" s="57" t="s">
        <v>74</v>
      </c>
      <c r="AP2" s="57" t="s">
        <v>75</v>
      </c>
    </row>
    <row r="3" spans="1:42">
      <c r="A3" s="62"/>
      <c r="B3" s="63" t="str">
        <f>装备!B3</f>
        <v>E001</v>
      </c>
      <c r="C3" s="63" t="s">
        <v>36</v>
      </c>
      <c r="D3" s="63" t="s">
        <v>76</v>
      </c>
      <c r="E3" s="66" t="s">
        <v>670</v>
      </c>
      <c r="F3" s="63"/>
      <c r="G3" s="63"/>
      <c r="H3" s="63" t="str">
        <f>VLOOKUP(LEFT(RIGHT(B3,5),4),装备!B:CU,2,FALSE)</f>
        <v>武器lv1</v>
      </c>
      <c r="I3" s="63" t="str">
        <f>VLOOKUP(B3,装备!B:CV,99,FALSE)</f>
        <v>|cffffcc00属性：|r|n攻击+1000|n攻速+13%|n</v>
      </c>
      <c r="J3" s="56" t="str">
        <f t="shared" ref="J3" si="0">H3</f>
        <v>武器lv1</v>
      </c>
      <c r="K3" s="56" t="str">
        <f t="shared" ref="K3" si="1">I3</f>
        <v>|cffffcc00属性：|r|n攻击+1000|n攻速+13%|n</v>
      </c>
      <c r="L3" s="63"/>
      <c r="M3" s="65" t="str">
        <f>VLOOKUP(LEFT(RIGHT(B3,5),4),装备!B:CU,20,FALSE)</f>
        <v>ReplaceableTextures\\CommandButtons\\BTNE001.blp</v>
      </c>
      <c r="N3" s="83" t="s">
        <v>77</v>
      </c>
      <c r="O3" s="84" t="s">
        <v>78</v>
      </c>
      <c r="P3" s="63">
        <v>0</v>
      </c>
      <c r="Q3" s="63">
        <v>0</v>
      </c>
      <c r="R3" s="83" t="s">
        <v>77</v>
      </c>
      <c r="S3" s="83" t="s">
        <v>77</v>
      </c>
      <c r="T3" s="83" t="s">
        <v>77</v>
      </c>
      <c r="U3" s="83" t="s">
        <v>77</v>
      </c>
      <c r="V3" s="63"/>
      <c r="W3" s="66" t="s">
        <v>665</v>
      </c>
      <c r="X3" s="63">
        <v>0</v>
      </c>
      <c r="Y3" s="83" t="s">
        <v>77</v>
      </c>
      <c r="Z3" s="63">
        <v>0</v>
      </c>
      <c r="AA3" s="63">
        <v>0</v>
      </c>
      <c r="AB3" s="63">
        <v>0</v>
      </c>
      <c r="AC3" s="63">
        <v>1</v>
      </c>
      <c r="AD3" s="63">
        <v>1</v>
      </c>
      <c r="AE3" s="83" t="s">
        <v>77</v>
      </c>
      <c r="AF3" s="83" t="s">
        <v>77</v>
      </c>
      <c r="AG3" s="83" t="s">
        <v>77</v>
      </c>
      <c r="AH3" s="83" t="s">
        <v>77</v>
      </c>
      <c r="AI3" s="83"/>
      <c r="AJ3" s="63"/>
      <c r="AK3" s="63">
        <v>1</v>
      </c>
      <c r="AL3" s="63">
        <v>1</v>
      </c>
      <c r="AM3" s="83" t="s">
        <v>77</v>
      </c>
      <c r="AN3" s="83"/>
      <c r="AO3" s="83"/>
      <c r="AP3" s="83">
        <v>1</v>
      </c>
    </row>
    <row r="4" spans="1:42">
      <c r="A4" s="62"/>
      <c r="B4" s="63" t="str">
        <f>装备!B4</f>
        <v>E002</v>
      </c>
      <c r="C4" s="63" t="s">
        <v>36</v>
      </c>
      <c r="D4" s="63" t="s">
        <v>76</v>
      </c>
      <c r="E4" s="66" t="s">
        <v>670</v>
      </c>
      <c r="F4" s="63"/>
      <c r="G4" s="63"/>
      <c r="H4" s="63" t="str">
        <f>VLOOKUP(LEFT(RIGHT(B4,5),4),装备!B:CU,2,FALSE)</f>
        <v>武器lv2</v>
      </c>
      <c r="I4" s="63" t="str">
        <f>VLOOKUP(B4,装备!B:CV,99,FALSE)</f>
        <v>|cffffcc00属性：|r|n攻击+2000|n攻速+13%|n</v>
      </c>
      <c r="J4" s="56" t="str">
        <f t="shared" ref="J4:J7" si="2">H4</f>
        <v>武器lv2</v>
      </c>
      <c r="K4" s="56" t="str">
        <f t="shared" ref="K4:K7" si="3">I4</f>
        <v>|cffffcc00属性：|r|n攻击+2000|n攻速+13%|n</v>
      </c>
      <c r="L4" s="63"/>
      <c r="M4" s="65" t="str">
        <f>VLOOKUP(LEFT(RIGHT(B4,5),4),装备!B:CU,20,FALSE)</f>
        <v>ReplaceableTextures\\CommandButtons\\BTNE002.blp</v>
      </c>
      <c r="N4" s="83" t="s">
        <v>77</v>
      </c>
      <c r="O4" s="84" t="s">
        <v>78</v>
      </c>
      <c r="P4" s="63">
        <v>0</v>
      </c>
      <c r="Q4" s="63">
        <v>0</v>
      </c>
      <c r="R4" s="83" t="s">
        <v>77</v>
      </c>
      <c r="S4" s="83" t="s">
        <v>77</v>
      </c>
      <c r="T4" s="83" t="s">
        <v>77</v>
      </c>
      <c r="U4" s="83" t="s">
        <v>77</v>
      </c>
      <c r="V4" s="63"/>
      <c r="W4" s="66" t="s">
        <v>665</v>
      </c>
      <c r="X4" s="63">
        <v>0</v>
      </c>
      <c r="Y4" s="83" t="s">
        <v>77</v>
      </c>
      <c r="Z4" s="63">
        <v>0</v>
      </c>
      <c r="AA4" s="63">
        <v>0</v>
      </c>
      <c r="AB4" s="63">
        <v>0</v>
      </c>
      <c r="AC4" s="63">
        <v>1</v>
      </c>
      <c r="AD4" s="63">
        <v>1</v>
      </c>
      <c r="AE4" s="83" t="s">
        <v>77</v>
      </c>
      <c r="AF4" s="83" t="s">
        <v>77</v>
      </c>
      <c r="AG4" s="83" t="s">
        <v>77</v>
      </c>
      <c r="AH4" s="83" t="s">
        <v>77</v>
      </c>
      <c r="AI4" s="83"/>
      <c r="AJ4" s="63"/>
      <c r="AK4" s="63">
        <v>1</v>
      </c>
      <c r="AL4" s="63">
        <v>1</v>
      </c>
      <c r="AM4" s="83" t="s">
        <v>77</v>
      </c>
      <c r="AN4" s="83"/>
      <c r="AO4" s="83"/>
      <c r="AP4" s="83">
        <v>1</v>
      </c>
    </row>
    <row r="5" spans="1:42">
      <c r="A5" s="62"/>
      <c r="B5" s="63" t="str">
        <f>装备!B5</f>
        <v>E003</v>
      </c>
      <c r="C5" s="63" t="s">
        <v>36</v>
      </c>
      <c r="D5" s="63" t="s">
        <v>76</v>
      </c>
      <c r="E5" s="66" t="s">
        <v>670</v>
      </c>
      <c r="F5" s="63"/>
      <c r="G5" s="63"/>
      <c r="H5" s="63" t="str">
        <f>VLOOKUP(LEFT(RIGHT(B5,5),4),装备!B:CU,2,FALSE)</f>
        <v>武器lv3</v>
      </c>
      <c r="I5" s="63" t="str">
        <f>VLOOKUP(B5,装备!B:CV,99,FALSE)</f>
        <v>|cffffcc00属性：|r|n攻击+3000|n攻速+13%|n</v>
      </c>
      <c r="J5" s="56" t="str">
        <f t="shared" si="2"/>
        <v>武器lv3</v>
      </c>
      <c r="K5" s="56" t="str">
        <f t="shared" si="3"/>
        <v>|cffffcc00属性：|r|n攻击+3000|n攻速+13%|n</v>
      </c>
      <c r="L5" s="63"/>
      <c r="M5" s="65" t="str">
        <f>VLOOKUP(LEFT(RIGHT(B5,5),4),装备!B:CU,20,FALSE)</f>
        <v>ReplaceableTextures\\CommandButtons\\BTNE003.blp</v>
      </c>
      <c r="N5" s="83" t="s">
        <v>77</v>
      </c>
      <c r="O5" s="84" t="s">
        <v>78</v>
      </c>
      <c r="P5" s="63">
        <v>0</v>
      </c>
      <c r="Q5" s="63">
        <v>0</v>
      </c>
      <c r="R5" s="83" t="s">
        <v>77</v>
      </c>
      <c r="S5" s="83" t="s">
        <v>77</v>
      </c>
      <c r="T5" s="83" t="s">
        <v>77</v>
      </c>
      <c r="U5" s="83" t="s">
        <v>77</v>
      </c>
      <c r="V5" s="63"/>
      <c r="W5" s="66" t="s">
        <v>665</v>
      </c>
      <c r="X5" s="63">
        <v>0</v>
      </c>
      <c r="Y5" s="83" t="s">
        <v>77</v>
      </c>
      <c r="Z5" s="63">
        <v>0</v>
      </c>
      <c r="AA5" s="63">
        <v>0</v>
      </c>
      <c r="AB5" s="63">
        <v>0</v>
      </c>
      <c r="AC5" s="63">
        <v>1</v>
      </c>
      <c r="AD5" s="63">
        <v>1</v>
      </c>
      <c r="AE5" s="83" t="s">
        <v>77</v>
      </c>
      <c r="AF5" s="83" t="s">
        <v>77</v>
      </c>
      <c r="AG5" s="83" t="s">
        <v>77</v>
      </c>
      <c r="AH5" s="83" t="s">
        <v>77</v>
      </c>
      <c r="AI5" s="83"/>
      <c r="AJ5" s="63"/>
      <c r="AK5" s="63">
        <v>1</v>
      </c>
      <c r="AL5" s="63">
        <v>1</v>
      </c>
      <c r="AM5" s="83" t="s">
        <v>77</v>
      </c>
      <c r="AN5" s="83"/>
      <c r="AO5" s="83"/>
      <c r="AP5" s="83">
        <v>1</v>
      </c>
    </row>
    <row r="6" spans="1:42">
      <c r="A6" s="62"/>
      <c r="B6" s="63" t="str">
        <f>装备!B6</f>
        <v>E004</v>
      </c>
      <c r="C6" s="63" t="s">
        <v>36</v>
      </c>
      <c r="D6" s="63" t="s">
        <v>76</v>
      </c>
      <c r="E6" s="66" t="s">
        <v>670</v>
      </c>
      <c r="F6" s="63"/>
      <c r="G6" s="63"/>
      <c r="H6" s="63" t="str">
        <f>VLOOKUP(LEFT(RIGHT(B6,5),4),装备!B:CU,2,FALSE)</f>
        <v>武器lv4</v>
      </c>
      <c r="I6" s="63" t="str">
        <f>VLOOKUP(B6,装备!B:CV,99,FALSE)</f>
        <v>|cffffcc00属性：|r|n攻击+4000|n攻速+13%|n</v>
      </c>
      <c r="J6" s="56" t="str">
        <f t="shared" si="2"/>
        <v>武器lv4</v>
      </c>
      <c r="K6" s="56" t="str">
        <f t="shared" si="3"/>
        <v>|cffffcc00属性：|r|n攻击+4000|n攻速+13%|n</v>
      </c>
      <c r="L6" s="63"/>
      <c r="M6" s="65" t="str">
        <f>VLOOKUP(LEFT(RIGHT(B6,5),4),装备!B:CU,20,FALSE)</f>
        <v>ReplaceableTextures\\CommandButtons\\BTNE004.blp</v>
      </c>
      <c r="N6" s="83" t="s">
        <v>77</v>
      </c>
      <c r="O6" s="84" t="s">
        <v>78</v>
      </c>
      <c r="P6" s="63">
        <v>0</v>
      </c>
      <c r="Q6" s="63">
        <v>0</v>
      </c>
      <c r="R6" s="83" t="s">
        <v>77</v>
      </c>
      <c r="S6" s="83" t="s">
        <v>77</v>
      </c>
      <c r="T6" s="83" t="s">
        <v>77</v>
      </c>
      <c r="U6" s="83" t="s">
        <v>77</v>
      </c>
      <c r="V6" s="63"/>
      <c r="W6" s="66" t="s">
        <v>665</v>
      </c>
      <c r="X6" s="63">
        <v>0</v>
      </c>
      <c r="Y6" s="83" t="s">
        <v>77</v>
      </c>
      <c r="Z6" s="63">
        <v>0</v>
      </c>
      <c r="AA6" s="63">
        <v>0</v>
      </c>
      <c r="AB6" s="63">
        <v>0</v>
      </c>
      <c r="AC6" s="63">
        <v>1</v>
      </c>
      <c r="AD6" s="63">
        <v>1</v>
      </c>
      <c r="AE6" s="83" t="s">
        <v>77</v>
      </c>
      <c r="AF6" s="83" t="s">
        <v>77</v>
      </c>
      <c r="AG6" s="83" t="s">
        <v>77</v>
      </c>
      <c r="AH6" s="83" t="s">
        <v>77</v>
      </c>
      <c r="AI6" s="83"/>
      <c r="AJ6" s="63"/>
      <c r="AK6" s="63">
        <v>1</v>
      </c>
      <c r="AL6" s="63">
        <v>1</v>
      </c>
      <c r="AM6" s="83" t="s">
        <v>77</v>
      </c>
      <c r="AN6" s="83"/>
      <c r="AO6" s="83"/>
      <c r="AP6" s="83">
        <v>1</v>
      </c>
    </row>
    <row r="7" spans="1:42">
      <c r="A7" s="62"/>
      <c r="B7" s="63" t="str">
        <f>装备!B7</f>
        <v>E005</v>
      </c>
      <c r="C7" s="63" t="s">
        <v>36</v>
      </c>
      <c r="D7" s="63" t="s">
        <v>76</v>
      </c>
      <c r="E7" s="66" t="s">
        <v>670</v>
      </c>
      <c r="F7" s="63"/>
      <c r="G7" s="63"/>
      <c r="H7" s="63" t="str">
        <f>VLOOKUP(LEFT(RIGHT(B7,5),4),装备!B:CU,2,FALSE)</f>
        <v>武器lv5</v>
      </c>
      <c r="I7" s="63" t="str">
        <f>VLOOKUP(B7,装备!B:CV,99,FALSE)</f>
        <v>|cffffcc00属性：|r|n攻击+5000|n攻速+13%|n</v>
      </c>
      <c r="J7" s="56" t="str">
        <f t="shared" si="2"/>
        <v>武器lv5</v>
      </c>
      <c r="K7" s="56" t="str">
        <f t="shared" si="3"/>
        <v>|cffffcc00属性：|r|n攻击+5000|n攻速+13%|n</v>
      </c>
      <c r="L7" s="63"/>
      <c r="M7" s="65" t="str">
        <f>VLOOKUP(LEFT(RIGHT(B7,5),4),装备!B:CU,20,FALSE)</f>
        <v>ReplaceableTextures\\CommandButtons\\BTNE005.blp</v>
      </c>
      <c r="N7" s="83" t="s">
        <v>77</v>
      </c>
      <c r="O7" s="84" t="s">
        <v>78</v>
      </c>
      <c r="P7" s="63">
        <v>0</v>
      </c>
      <c r="Q7" s="63">
        <v>0</v>
      </c>
      <c r="R7" s="83" t="s">
        <v>77</v>
      </c>
      <c r="S7" s="83" t="s">
        <v>77</v>
      </c>
      <c r="T7" s="83" t="s">
        <v>77</v>
      </c>
      <c r="U7" s="83" t="s">
        <v>77</v>
      </c>
      <c r="V7" s="63"/>
      <c r="W7" s="66" t="s">
        <v>665</v>
      </c>
      <c r="X7" s="63">
        <v>0</v>
      </c>
      <c r="Y7" s="83" t="s">
        <v>77</v>
      </c>
      <c r="Z7" s="63">
        <v>0</v>
      </c>
      <c r="AA7" s="63">
        <v>0</v>
      </c>
      <c r="AB7" s="63">
        <v>0</v>
      </c>
      <c r="AC7" s="63">
        <v>1</v>
      </c>
      <c r="AD7" s="63">
        <v>1</v>
      </c>
      <c r="AE7" s="83" t="s">
        <v>77</v>
      </c>
      <c r="AF7" s="83" t="s">
        <v>77</v>
      </c>
      <c r="AG7" s="83" t="s">
        <v>77</v>
      </c>
      <c r="AH7" s="83" t="s">
        <v>77</v>
      </c>
      <c r="AI7" s="83"/>
      <c r="AJ7" s="63"/>
      <c r="AK7" s="63">
        <v>1</v>
      </c>
      <c r="AL7" s="63">
        <v>1</v>
      </c>
      <c r="AM7" s="83" t="s">
        <v>77</v>
      </c>
      <c r="AN7" s="83"/>
      <c r="AO7" s="83"/>
      <c r="AP7" s="83">
        <v>1</v>
      </c>
    </row>
    <row r="8" spans="1:42">
      <c r="A8" s="62"/>
      <c r="B8" s="63" t="str">
        <f>装备!B8</f>
        <v>E006</v>
      </c>
      <c r="C8" s="63" t="s">
        <v>36</v>
      </c>
      <c r="D8" s="63" t="s">
        <v>76</v>
      </c>
      <c r="E8" s="66" t="s">
        <v>670</v>
      </c>
      <c r="F8" s="63"/>
      <c r="G8" s="63"/>
      <c r="H8" s="63" t="str">
        <f>VLOOKUP(LEFT(RIGHT(B8,5),4),装备!B:CU,2,FALSE)</f>
        <v>武器lv6</v>
      </c>
      <c r="I8" s="63" t="str">
        <f>VLOOKUP(B8,装备!B:CV,99,FALSE)</f>
        <v>|cffffcc00属性：|r|n攻击+6400|n攻速+26%|n暴击+3%|n</v>
      </c>
      <c r="J8" s="56" t="str">
        <f t="shared" ref="J8:J18" si="4">H8</f>
        <v>武器lv6</v>
      </c>
      <c r="K8" s="56" t="str">
        <f t="shared" ref="K8:K18" si="5">I8</f>
        <v>|cffffcc00属性：|r|n攻击+6400|n攻速+26%|n暴击+3%|n</v>
      </c>
      <c r="L8" s="63"/>
      <c r="M8" s="65" t="str">
        <f>VLOOKUP(LEFT(RIGHT(B8,5),4),装备!B:CU,20,FALSE)</f>
        <v>ReplaceableTextures\\CommandButtons\\BTNE006.blp</v>
      </c>
      <c r="N8" s="83" t="s">
        <v>77</v>
      </c>
      <c r="O8" s="84" t="s">
        <v>78</v>
      </c>
      <c r="P8" s="63">
        <v>0</v>
      </c>
      <c r="Q8" s="63">
        <v>0</v>
      </c>
      <c r="R8" s="83" t="s">
        <v>77</v>
      </c>
      <c r="S8" s="83" t="s">
        <v>77</v>
      </c>
      <c r="T8" s="83" t="s">
        <v>77</v>
      </c>
      <c r="U8" s="83" t="s">
        <v>77</v>
      </c>
      <c r="V8" s="63"/>
      <c r="W8" s="66" t="s">
        <v>665</v>
      </c>
      <c r="X8" s="63">
        <v>0</v>
      </c>
      <c r="Y8" s="83" t="s">
        <v>77</v>
      </c>
      <c r="Z8" s="63">
        <v>0</v>
      </c>
      <c r="AA8" s="63">
        <v>0</v>
      </c>
      <c r="AB8" s="63">
        <v>0</v>
      </c>
      <c r="AC8" s="63">
        <v>1</v>
      </c>
      <c r="AD8" s="63">
        <v>1</v>
      </c>
      <c r="AE8" s="83" t="s">
        <v>77</v>
      </c>
      <c r="AF8" s="83" t="s">
        <v>77</v>
      </c>
      <c r="AG8" s="83" t="s">
        <v>77</v>
      </c>
      <c r="AH8" s="83" t="s">
        <v>77</v>
      </c>
      <c r="AI8" s="83"/>
      <c r="AJ8" s="63"/>
      <c r="AK8" s="63">
        <v>1</v>
      </c>
      <c r="AL8" s="63">
        <v>1</v>
      </c>
      <c r="AM8" s="83" t="s">
        <v>77</v>
      </c>
      <c r="AN8" s="83"/>
      <c r="AO8" s="83"/>
      <c r="AP8" s="83">
        <v>1</v>
      </c>
    </row>
    <row r="9" spans="1:42">
      <c r="A9" s="62"/>
      <c r="B9" s="63" t="str">
        <f>装备!B9</f>
        <v>E007</v>
      </c>
      <c r="C9" s="63" t="s">
        <v>36</v>
      </c>
      <c r="D9" s="63" t="s">
        <v>76</v>
      </c>
      <c r="E9" s="66" t="s">
        <v>670</v>
      </c>
      <c r="F9" s="63"/>
      <c r="G9" s="63"/>
      <c r="H9" s="63" t="str">
        <f>VLOOKUP(LEFT(RIGHT(B9,5),4),装备!B:CU,2,FALSE)</f>
        <v>武器lv7</v>
      </c>
      <c r="I9" s="63" t="str">
        <f>VLOOKUP(B9,装备!B:CV,99,FALSE)</f>
        <v>|cffffcc00属性：|r|n攻击+7800|n攻速+26%|n暴击+3%|n</v>
      </c>
      <c r="J9" s="56" t="str">
        <f t="shared" si="4"/>
        <v>武器lv7</v>
      </c>
      <c r="K9" s="56" t="str">
        <f t="shared" si="5"/>
        <v>|cffffcc00属性：|r|n攻击+7800|n攻速+26%|n暴击+3%|n</v>
      </c>
      <c r="L9" s="63"/>
      <c r="M9" s="65" t="str">
        <f>VLOOKUP(LEFT(RIGHT(B9,5),4),装备!B:CU,20,FALSE)</f>
        <v>ReplaceableTextures\\CommandButtons\\BTNE007.blp</v>
      </c>
      <c r="N9" s="83" t="s">
        <v>77</v>
      </c>
      <c r="O9" s="84" t="s">
        <v>78</v>
      </c>
      <c r="P9" s="63">
        <v>0</v>
      </c>
      <c r="Q9" s="63">
        <v>0</v>
      </c>
      <c r="R9" s="83" t="s">
        <v>77</v>
      </c>
      <c r="S9" s="83" t="s">
        <v>77</v>
      </c>
      <c r="T9" s="83" t="s">
        <v>77</v>
      </c>
      <c r="U9" s="83" t="s">
        <v>77</v>
      </c>
      <c r="V9" s="63"/>
      <c r="W9" s="66" t="s">
        <v>665</v>
      </c>
      <c r="X9" s="63">
        <v>0</v>
      </c>
      <c r="Y9" s="83" t="s">
        <v>77</v>
      </c>
      <c r="Z9" s="63">
        <v>0</v>
      </c>
      <c r="AA9" s="63">
        <v>0</v>
      </c>
      <c r="AB9" s="63">
        <v>0</v>
      </c>
      <c r="AC9" s="63">
        <v>1</v>
      </c>
      <c r="AD9" s="63">
        <v>1</v>
      </c>
      <c r="AE9" s="83" t="s">
        <v>77</v>
      </c>
      <c r="AF9" s="83" t="s">
        <v>77</v>
      </c>
      <c r="AG9" s="83" t="s">
        <v>77</v>
      </c>
      <c r="AH9" s="83" t="s">
        <v>77</v>
      </c>
      <c r="AI9" s="83"/>
      <c r="AJ9" s="63"/>
      <c r="AK9" s="63">
        <v>1</v>
      </c>
      <c r="AL9" s="63">
        <v>1</v>
      </c>
      <c r="AM9" s="83" t="s">
        <v>77</v>
      </c>
      <c r="AN9" s="83"/>
      <c r="AO9" s="83"/>
      <c r="AP9" s="83">
        <v>1</v>
      </c>
    </row>
    <row r="10" spans="1:42">
      <c r="A10" s="62"/>
      <c r="B10" s="63" t="str">
        <f>装备!B10</f>
        <v>E008</v>
      </c>
      <c r="C10" s="63" t="s">
        <v>36</v>
      </c>
      <c r="D10" s="63" t="s">
        <v>76</v>
      </c>
      <c r="E10" s="66" t="s">
        <v>670</v>
      </c>
      <c r="F10" s="63"/>
      <c r="G10" s="63"/>
      <c r="H10" s="63" t="str">
        <f>VLOOKUP(LEFT(RIGHT(B10,5),4),装备!B:CU,2,FALSE)</f>
        <v>武器lv8</v>
      </c>
      <c r="I10" s="63" t="str">
        <f>VLOOKUP(B10,装备!B:CV,99,FALSE)</f>
        <v>|cffffcc00属性：|r|n攻击+9200|n攻速+26%|n暴击+3%|n</v>
      </c>
      <c r="J10" s="56" t="str">
        <f t="shared" si="4"/>
        <v>武器lv8</v>
      </c>
      <c r="K10" s="56" t="str">
        <f t="shared" si="5"/>
        <v>|cffffcc00属性：|r|n攻击+9200|n攻速+26%|n暴击+3%|n</v>
      </c>
      <c r="L10" s="63"/>
      <c r="M10" s="65" t="str">
        <f>VLOOKUP(LEFT(RIGHT(B10,5),4),装备!B:CU,20,FALSE)</f>
        <v>ReplaceableTextures\\CommandButtons\\BTNE008.blp</v>
      </c>
      <c r="N10" s="83" t="s">
        <v>77</v>
      </c>
      <c r="O10" s="84" t="s">
        <v>78</v>
      </c>
      <c r="P10" s="63">
        <v>0</v>
      </c>
      <c r="Q10" s="63">
        <v>0</v>
      </c>
      <c r="R10" s="83" t="s">
        <v>77</v>
      </c>
      <c r="S10" s="83" t="s">
        <v>77</v>
      </c>
      <c r="T10" s="83" t="s">
        <v>77</v>
      </c>
      <c r="U10" s="83" t="s">
        <v>77</v>
      </c>
      <c r="V10" s="63"/>
      <c r="W10" s="66" t="s">
        <v>665</v>
      </c>
      <c r="X10" s="63">
        <v>0</v>
      </c>
      <c r="Y10" s="83" t="s">
        <v>77</v>
      </c>
      <c r="Z10" s="63">
        <v>0</v>
      </c>
      <c r="AA10" s="63">
        <v>0</v>
      </c>
      <c r="AB10" s="63">
        <v>0</v>
      </c>
      <c r="AC10" s="63">
        <v>1</v>
      </c>
      <c r="AD10" s="63">
        <v>1</v>
      </c>
      <c r="AE10" s="83" t="s">
        <v>77</v>
      </c>
      <c r="AF10" s="83" t="s">
        <v>77</v>
      </c>
      <c r="AG10" s="83" t="s">
        <v>77</v>
      </c>
      <c r="AH10" s="83" t="s">
        <v>77</v>
      </c>
      <c r="AI10" s="83"/>
      <c r="AJ10" s="63"/>
      <c r="AK10" s="63">
        <v>1</v>
      </c>
      <c r="AL10" s="63">
        <v>1</v>
      </c>
      <c r="AM10" s="83" t="s">
        <v>77</v>
      </c>
      <c r="AN10" s="83"/>
      <c r="AO10" s="83"/>
      <c r="AP10" s="83">
        <v>1</v>
      </c>
    </row>
    <row r="11" spans="1:42">
      <c r="A11" s="62"/>
      <c r="B11" s="63" t="str">
        <f>装备!B11</f>
        <v>E009</v>
      </c>
      <c r="C11" s="63" t="s">
        <v>36</v>
      </c>
      <c r="D11" s="63" t="s">
        <v>76</v>
      </c>
      <c r="E11" s="66" t="s">
        <v>670</v>
      </c>
      <c r="F11" s="63"/>
      <c r="G11" s="63"/>
      <c r="H11" s="63" t="str">
        <f>VLOOKUP(LEFT(RIGHT(B11,5),4),装备!B:CU,2,FALSE)</f>
        <v>武器lv9</v>
      </c>
      <c r="I11" s="63" t="str">
        <f>VLOOKUP(B11,装备!B:CV,99,FALSE)</f>
        <v>|cffffcc00属性：|r|n攻击+10600|n攻速+26%|n暴击+3%|n</v>
      </c>
      <c r="J11" s="56" t="str">
        <f t="shared" si="4"/>
        <v>武器lv9</v>
      </c>
      <c r="K11" s="56" t="str">
        <f t="shared" si="5"/>
        <v>|cffffcc00属性：|r|n攻击+10600|n攻速+26%|n暴击+3%|n</v>
      </c>
      <c r="L11" s="63"/>
      <c r="M11" s="65" t="str">
        <f>VLOOKUP(LEFT(RIGHT(B11,5),4),装备!B:CU,20,FALSE)</f>
        <v>ReplaceableTextures\\CommandButtons\\BTNE009.blp</v>
      </c>
      <c r="N11" s="83" t="s">
        <v>77</v>
      </c>
      <c r="O11" s="84" t="s">
        <v>78</v>
      </c>
      <c r="P11" s="63">
        <v>0</v>
      </c>
      <c r="Q11" s="63">
        <v>0</v>
      </c>
      <c r="R11" s="83" t="s">
        <v>77</v>
      </c>
      <c r="S11" s="83" t="s">
        <v>77</v>
      </c>
      <c r="T11" s="83" t="s">
        <v>77</v>
      </c>
      <c r="U11" s="83" t="s">
        <v>77</v>
      </c>
      <c r="V11" s="63"/>
      <c r="W11" s="66" t="s">
        <v>665</v>
      </c>
      <c r="X11" s="63">
        <v>0</v>
      </c>
      <c r="Y11" s="83" t="s">
        <v>77</v>
      </c>
      <c r="Z11" s="63">
        <v>0</v>
      </c>
      <c r="AA11" s="63">
        <v>0</v>
      </c>
      <c r="AB11" s="63">
        <v>0</v>
      </c>
      <c r="AC11" s="63">
        <v>1</v>
      </c>
      <c r="AD11" s="63">
        <v>1</v>
      </c>
      <c r="AE11" s="83" t="s">
        <v>77</v>
      </c>
      <c r="AF11" s="83" t="s">
        <v>77</v>
      </c>
      <c r="AG11" s="83" t="s">
        <v>77</v>
      </c>
      <c r="AH11" s="83" t="s">
        <v>77</v>
      </c>
      <c r="AI11" s="83"/>
      <c r="AJ11" s="63"/>
      <c r="AK11" s="63">
        <v>1</v>
      </c>
      <c r="AL11" s="63">
        <v>1</v>
      </c>
      <c r="AM11" s="83" t="s">
        <v>77</v>
      </c>
      <c r="AN11" s="83"/>
      <c r="AO11" s="83"/>
      <c r="AP11" s="83">
        <v>1</v>
      </c>
    </row>
    <row r="12" spans="1:42">
      <c r="A12" s="62"/>
      <c r="B12" s="63" t="str">
        <f>装备!B12</f>
        <v>E010</v>
      </c>
      <c r="C12" s="63" t="s">
        <v>36</v>
      </c>
      <c r="D12" s="63" t="s">
        <v>76</v>
      </c>
      <c r="E12" s="66" t="s">
        <v>670</v>
      </c>
      <c r="F12" s="63"/>
      <c r="G12" s="63"/>
      <c r="H12" s="63" t="str">
        <f>VLOOKUP(LEFT(RIGHT(B12,5),4),装备!B:CU,2,FALSE)</f>
        <v>武器lv10</v>
      </c>
      <c r="I12" s="63" t="str">
        <f>VLOOKUP(B12,装备!B:CV,99,FALSE)</f>
        <v>|cffffcc00属性：|r|n攻击+12000|n攻速+26%|n暴击+3%|n</v>
      </c>
      <c r="J12" s="56" t="str">
        <f t="shared" si="4"/>
        <v>武器lv10</v>
      </c>
      <c r="K12" s="56" t="str">
        <f t="shared" si="5"/>
        <v>|cffffcc00属性：|r|n攻击+12000|n攻速+26%|n暴击+3%|n</v>
      </c>
      <c r="L12" s="63"/>
      <c r="M12" s="65" t="str">
        <f>VLOOKUP(LEFT(RIGHT(B12,5),4),装备!B:CU,20,FALSE)</f>
        <v>ReplaceableTextures\\CommandButtons\\BTNE010.blp</v>
      </c>
      <c r="N12" s="83" t="s">
        <v>77</v>
      </c>
      <c r="O12" s="84" t="s">
        <v>78</v>
      </c>
      <c r="P12" s="63">
        <v>0</v>
      </c>
      <c r="Q12" s="63">
        <v>0</v>
      </c>
      <c r="R12" s="83" t="s">
        <v>77</v>
      </c>
      <c r="S12" s="83" t="s">
        <v>77</v>
      </c>
      <c r="T12" s="83" t="s">
        <v>77</v>
      </c>
      <c r="U12" s="83" t="s">
        <v>77</v>
      </c>
      <c r="V12" s="63"/>
      <c r="W12" s="66" t="s">
        <v>665</v>
      </c>
      <c r="X12" s="63">
        <v>0</v>
      </c>
      <c r="Y12" s="83" t="s">
        <v>77</v>
      </c>
      <c r="Z12" s="63">
        <v>0</v>
      </c>
      <c r="AA12" s="63">
        <v>0</v>
      </c>
      <c r="AB12" s="63">
        <v>0</v>
      </c>
      <c r="AC12" s="63">
        <v>1</v>
      </c>
      <c r="AD12" s="63">
        <v>1</v>
      </c>
      <c r="AE12" s="83" t="s">
        <v>77</v>
      </c>
      <c r="AF12" s="83" t="s">
        <v>77</v>
      </c>
      <c r="AG12" s="83" t="s">
        <v>77</v>
      </c>
      <c r="AH12" s="83" t="s">
        <v>77</v>
      </c>
      <c r="AI12" s="83"/>
      <c r="AJ12" s="63"/>
      <c r="AK12" s="63">
        <v>1</v>
      </c>
      <c r="AL12" s="63">
        <v>1</v>
      </c>
      <c r="AM12" s="83" t="s">
        <v>77</v>
      </c>
      <c r="AN12" s="83"/>
      <c r="AO12" s="83"/>
      <c r="AP12" s="83">
        <v>1</v>
      </c>
    </row>
    <row r="13" spans="1:42">
      <c r="A13" s="62"/>
      <c r="B13" s="63" t="str">
        <f>装备!B13</f>
        <v>E011</v>
      </c>
      <c r="C13" s="63" t="s">
        <v>36</v>
      </c>
      <c r="D13" s="63" t="s">
        <v>76</v>
      </c>
      <c r="E13" s="66" t="s">
        <v>670</v>
      </c>
      <c r="F13" s="63"/>
      <c r="G13" s="63"/>
      <c r="H13" s="63" t="str">
        <f>VLOOKUP(LEFT(RIGHT(B13,5),4),装备!B:CU,2,FALSE)</f>
        <v>武器lv11</v>
      </c>
      <c r="I13" s="63" t="str">
        <f>VLOOKUP(B13,装备!B:CV,99,FALSE)</f>
        <v>|cffffcc00属性：|r|n攻击+14200|n攻速+40%|n暴击+6%|n</v>
      </c>
      <c r="J13" s="56" t="str">
        <f t="shared" si="4"/>
        <v>武器lv11</v>
      </c>
      <c r="K13" s="56" t="str">
        <f t="shared" si="5"/>
        <v>|cffffcc00属性：|r|n攻击+14200|n攻速+40%|n暴击+6%|n</v>
      </c>
      <c r="L13" s="63"/>
      <c r="M13" s="65" t="str">
        <f>VLOOKUP(LEFT(RIGHT(B13,5),4),装备!B:CU,20,FALSE)</f>
        <v>ReplaceableTextures\\CommandButtons\\BTNE011.blp</v>
      </c>
      <c r="N13" s="83" t="s">
        <v>77</v>
      </c>
      <c r="O13" s="84" t="s">
        <v>78</v>
      </c>
      <c r="P13" s="63">
        <v>0</v>
      </c>
      <c r="Q13" s="63">
        <v>0</v>
      </c>
      <c r="R13" s="83" t="s">
        <v>77</v>
      </c>
      <c r="S13" s="83" t="s">
        <v>77</v>
      </c>
      <c r="T13" s="83" t="s">
        <v>77</v>
      </c>
      <c r="U13" s="83" t="s">
        <v>77</v>
      </c>
      <c r="V13" s="63"/>
      <c r="W13" s="66" t="s">
        <v>665</v>
      </c>
      <c r="X13" s="63">
        <v>0</v>
      </c>
      <c r="Y13" s="83" t="s">
        <v>77</v>
      </c>
      <c r="Z13" s="63">
        <v>0</v>
      </c>
      <c r="AA13" s="63">
        <v>0</v>
      </c>
      <c r="AB13" s="63">
        <v>0</v>
      </c>
      <c r="AC13" s="63">
        <v>1</v>
      </c>
      <c r="AD13" s="63">
        <v>1</v>
      </c>
      <c r="AE13" s="83" t="s">
        <v>77</v>
      </c>
      <c r="AF13" s="83" t="s">
        <v>77</v>
      </c>
      <c r="AG13" s="83" t="s">
        <v>77</v>
      </c>
      <c r="AH13" s="83" t="s">
        <v>77</v>
      </c>
      <c r="AI13" s="83"/>
      <c r="AJ13" s="63"/>
      <c r="AK13" s="63">
        <v>1</v>
      </c>
      <c r="AL13" s="63">
        <v>1</v>
      </c>
      <c r="AM13" s="83" t="s">
        <v>77</v>
      </c>
      <c r="AN13" s="83"/>
      <c r="AO13" s="83"/>
      <c r="AP13" s="83">
        <v>1</v>
      </c>
    </row>
    <row r="14" spans="1:42">
      <c r="A14" s="62"/>
      <c r="B14" s="63" t="str">
        <f>装备!B14</f>
        <v>E012</v>
      </c>
      <c r="C14" s="63" t="s">
        <v>36</v>
      </c>
      <c r="D14" s="63" t="s">
        <v>76</v>
      </c>
      <c r="E14" s="66" t="s">
        <v>670</v>
      </c>
      <c r="F14" s="63"/>
      <c r="G14" s="63"/>
      <c r="H14" s="63" t="str">
        <f>VLOOKUP(LEFT(RIGHT(B14,5),4),装备!B:CU,2,FALSE)</f>
        <v>武器lv12</v>
      </c>
      <c r="I14" s="63" t="str">
        <f>VLOOKUP(B14,装备!B:CV,99,FALSE)</f>
        <v>|cffffcc00属性：|r|n攻击+16400|n攻速+40%|n暴击+6%|n</v>
      </c>
      <c r="J14" s="56" t="str">
        <f t="shared" si="4"/>
        <v>武器lv12</v>
      </c>
      <c r="K14" s="56" t="str">
        <f t="shared" si="5"/>
        <v>|cffffcc00属性：|r|n攻击+16400|n攻速+40%|n暴击+6%|n</v>
      </c>
      <c r="L14" s="63"/>
      <c r="M14" s="65" t="str">
        <f>VLOOKUP(LEFT(RIGHT(B14,5),4),装备!B:CU,20,FALSE)</f>
        <v>ReplaceableTextures\\CommandButtons\\BTNE012.blp</v>
      </c>
      <c r="N14" s="83" t="s">
        <v>77</v>
      </c>
      <c r="O14" s="84" t="s">
        <v>78</v>
      </c>
      <c r="P14" s="63">
        <v>0</v>
      </c>
      <c r="Q14" s="63">
        <v>0</v>
      </c>
      <c r="R14" s="83" t="s">
        <v>77</v>
      </c>
      <c r="S14" s="83" t="s">
        <v>77</v>
      </c>
      <c r="T14" s="83" t="s">
        <v>77</v>
      </c>
      <c r="U14" s="83" t="s">
        <v>77</v>
      </c>
      <c r="V14" s="63"/>
      <c r="W14" s="66" t="s">
        <v>665</v>
      </c>
      <c r="X14" s="63">
        <v>0</v>
      </c>
      <c r="Y14" s="83" t="s">
        <v>77</v>
      </c>
      <c r="Z14" s="63">
        <v>0</v>
      </c>
      <c r="AA14" s="63">
        <v>0</v>
      </c>
      <c r="AB14" s="63">
        <v>0</v>
      </c>
      <c r="AC14" s="63">
        <v>1</v>
      </c>
      <c r="AD14" s="63">
        <v>1</v>
      </c>
      <c r="AE14" s="83" t="s">
        <v>77</v>
      </c>
      <c r="AF14" s="83" t="s">
        <v>77</v>
      </c>
      <c r="AG14" s="83" t="s">
        <v>77</v>
      </c>
      <c r="AH14" s="83" t="s">
        <v>77</v>
      </c>
      <c r="AI14" s="83"/>
      <c r="AJ14" s="63"/>
      <c r="AK14" s="63">
        <v>1</v>
      </c>
      <c r="AL14" s="63">
        <v>1</v>
      </c>
      <c r="AM14" s="83" t="s">
        <v>77</v>
      </c>
      <c r="AN14" s="83"/>
      <c r="AO14" s="83"/>
      <c r="AP14" s="83">
        <v>1</v>
      </c>
    </row>
    <row r="15" spans="1:42">
      <c r="A15" s="62"/>
      <c r="B15" s="63" t="str">
        <f>装备!B15</f>
        <v>E013</v>
      </c>
      <c r="C15" s="63" t="s">
        <v>36</v>
      </c>
      <c r="D15" s="63" t="s">
        <v>76</v>
      </c>
      <c r="E15" s="66" t="s">
        <v>670</v>
      </c>
      <c r="F15" s="63"/>
      <c r="G15" s="63"/>
      <c r="H15" s="63" t="str">
        <f>VLOOKUP(LEFT(RIGHT(B15,5),4),装备!B:CU,2,FALSE)</f>
        <v>武器lv13</v>
      </c>
      <c r="I15" s="63" t="str">
        <f>VLOOKUP(B15,装备!B:CV,99,FALSE)</f>
        <v>|cffffcc00属性：|r|n攻击+18600|n攻速+40%|n暴击+6%|n</v>
      </c>
      <c r="J15" s="56" t="str">
        <f t="shared" si="4"/>
        <v>武器lv13</v>
      </c>
      <c r="K15" s="56" t="str">
        <f t="shared" si="5"/>
        <v>|cffffcc00属性：|r|n攻击+18600|n攻速+40%|n暴击+6%|n</v>
      </c>
      <c r="L15" s="63"/>
      <c r="M15" s="65" t="str">
        <f>VLOOKUP(LEFT(RIGHT(B15,5),4),装备!B:CU,20,FALSE)</f>
        <v>ReplaceableTextures\\CommandButtons\\BTNE013.blp</v>
      </c>
      <c r="N15" s="83" t="s">
        <v>77</v>
      </c>
      <c r="O15" s="84" t="s">
        <v>78</v>
      </c>
      <c r="P15" s="63">
        <v>0</v>
      </c>
      <c r="Q15" s="63">
        <v>0</v>
      </c>
      <c r="R15" s="83" t="s">
        <v>77</v>
      </c>
      <c r="S15" s="83" t="s">
        <v>77</v>
      </c>
      <c r="T15" s="83" t="s">
        <v>77</v>
      </c>
      <c r="U15" s="83" t="s">
        <v>77</v>
      </c>
      <c r="V15" s="63"/>
      <c r="W15" s="66" t="s">
        <v>665</v>
      </c>
      <c r="X15" s="63">
        <v>0</v>
      </c>
      <c r="Y15" s="83" t="s">
        <v>77</v>
      </c>
      <c r="Z15" s="63">
        <v>0</v>
      </c>
      <c r="AA15" s="63">
        <v>0</v>
      </c>
      <c r="AB15" s="63">
        <v>0</v>
      </c>
      <c r="AC15" s="63">
        <v>1</v>
      </c>
      <c r="AD15" s="63">
        <v>1</v>
      </c>
      <c r="AE15" s="83" t="s">
        <v>77</v>
      </c>
      <c r="AF15" s="83" t="s">
        <v>77</v>
      </c>
      <c r="AG15" s="83" t="s">
        <v>77</v>
      </c>
      <c r="AH15" s="83" t="s">
        <v>77</v>
      </c>
      <c r="AI15" s="83"/>
      <c r="AJ15" s="63"/>
      <c r="AK15" s="63">
        <v>1</v>
      </c>
      <c r="AL15" s="63">
        <v>1</v>
      </c>
      <c r="AM15" s="83" t="s">
        <v>77</v>
      </c>
      <c r="AN15" s="83"/>
      <c r="AO15" s="83"/>
      <c r="AP15" s="83">
        <v>1</v>
      </c>
    </row>
    <row r="16" spans="1:42">
      <c r="A16" s="62"/>
      <c r="B16" s="63" t="str">
        <f>装备!B16</f>
        <v>E014</v>
      </c>
      <c r="C16" s="63" t="s">
        <v>36</v>
      </c>
      <c r="D16" s="63" t="s">
        <v>76</v>
      </c>
      <c r="E16" s="66" t="s">
        <v>670</v>
      </c>
      <c r="F16" s="63"/>
      <c r="G16" s="63"/>
      <c r="H16" s="63" t="str">
        <f>VLOOKUP(LEFT(RIGHT(B16,5),4),装备!B:CU,2,FALSE)</f>
        <v>武器lv14</v>
      </c>
      <c r="I16" s="63" t="str">
        <f>VLOOKUP(B16,装备!B:CV,99,FALSE)</f>
        <v>|cffffcc00属性：|r|n攻击+20800|n攻速+40%|n暴击+6%|n</v>
      </c>
      <c r="J16" s="56" t="str">
        <f t="shared" si="4"/>
        <v>武器lv14</v>
      </c>
      <c r="K16" s="56" t="str">
        <f t="shared" si="5"/>
        <v>|cffffcc00属性：|r|n攻击+20800|n攻速+40%|n暴击+6%|n</v>
      </c>
      <c r="L16" s="63"/>
      <c r="M16" s="65" t="str">
        <f>VLOOKUP(LEFT(RIGHT(B16,5),4),装备!B:CU,20,FALSE)</f>
        <v>ReplaceableTextures\\CommandButtons\\BTNE014.blp</v>
      </c>
      <c r="N16" s="83" t="s">
        <v>77</v>
      </c>
      <c r="O16" s="84" t="s">
        <v>78</v>
      </c>
      <c r="P16" s="63">
        <v>0</v>
      </c>
      <c r="Q16" s="63">
        <v>0</v>
      </c>
      <c r="R16" s="83" t="s">
        <v>77</v>
      </c>
      <c r="S16" s="83" t="s">
        <v>77</v>
      </c>
      <c r="T16" s="83" t="s">
        <v>77</v>
      </c>
      <c r="U16" s="83" t="s">
        <v>77</v>
      </c>
      <c r="V16" s="63"/>
      <c r="W16" s="66" t="s">
        <v>665</v>
      </c>
      <c r="X16" s="63">
        <v>0</v>
      </c>
      <c r="Y16" s="83" t="s">
        <v>77</v>
      </c>
      <c r="Z16" s="63">
        <v>0</v>
      </c>
      <c r="AA16" s="63">
        <v>0</v>
      </c>
      <c r="AB16" s="63">
        <v>0</v>
      </c>
      <c r="AC16" s="63">
        <v>1</v>
      </c>
      <c r="AD16" s="63">
        <v>1</v>
      </c>
      <c r="AE16" s="83" t="s">
        <v>77</v>
      </c>
      <c r="AF16" s="83" t="s">
        <v>77</v>
      </c>
      <c r="AG16" s="83" t="s">
        <v>77</v>
      </c>
      <c r="AH16" s="83" t="s">
        <v>77</v>
      </c>
      <c r="AI16" s="83"/>
      <c r="AJ16" s="63"/>
      <c r="AK16" s="63">
        <v>1</v>
      </c>
      <c r="AL16" s="63">
        <v>1</v>
      </c>
      <c r="AM16" s="83" t="s">
        <v>77</v>
      </c>
      <c r="AN16" s="83"/>
      <c r="AO16" s="83"/>
      <c r="AP16" s="83">
        <v>1</v>
      </c>
    </row>
    <row r="17" spans="1:42">
      <c r="A17" s="62"/>
      <c r="B17" s="63" t="str">
        <f>装备!B17</f>
        <v>E015</v>
      </c>
      <c r="C17" s="63" t="s">
        <v>36</v>
      </c>
      <c r="D17" s="63" t="s">
        <v>76</v>
      </c>
      <c r="E17" s="66" t="s">
        <v>670</v>
      </c>
      <c r="F17" s="63"/>
      <c r="G17" s="63"/>
      <c r="H17" s="63" t="str">
        <f>VLOOKUP(LEFT(RIGHT(B17,5),4),装备!B:CU,2,FALSE)</f>
        <v>武器lv15</v>
      </c>
      <c r="I17" s="63" t="str">
        <f>VLOOKUP(B17,装备!B:CV,99,FALSE)</f>
        <v>|cffffcc00属性：|r|n攻击+23000|n攻速+40%|n暴击+6%|n</v>
      </c>
      <c r="J17" s="56" t="str">
        <f t="shared" si="4"/>
        <v>武器lv15</v>
      </c>
      <c r="K17" s="56" t="str">
        <f t="shared" si="5"/>
        <v>|cffffcc00属性：|r|n攻击+23000|n攻速+40%|n暴击+6%|n</v>
      </c>
      <c r="L17" s="63"/>
      <c r="M17" s="65" t="str">
        <f>VLOOKUP(LEFT(RIGHT(B17,5),4),装备!B:CU,20,FALSE)</f>
        <v>ReplaceableTextures\\CommandButtons\\BTNE015.blp</v>
      </c>
      <c r="N17" s="83" t="s">
        <v>77</v>
      </c>
      <c r="O17" s="84" t="s">
        <v>78</v>
      </c>
      <c r="P17" s="63">
        <v>0</v>
      </c>
      <c r="Q17" s="63">
        <v>0</v>
      </c>
      <c r="R17" s="83" t="s">
        <v>77</v>
      </c>
      <c r="S17" s="83" t="s">
        <v>77</v>
      </c>
      <c r="T17" s="83" t="s">
        <v>77</v>
      </c>
      <c r="U17" s="83" t="s">
        <v>77</v>
      </c>
      <c r="V17" s="63"/>
      <c r="W17" s="66" t="s">
        <v>665</v>
      </c>
      <c r="X17" s="63">
        <v>0</v>
      </c>
      <c r="Y17" s="83" t="s">
        <v>77</v>
      </c>
      <c r="Z17" s="63">
        <v>0</v>
      </c>
      <c r="AA17" s="63">
        <v>0</v>
      </c>
      <c r="AB17" s="63">
        <v>0</v>
      </c>
      <c r="AC17" s="63">
        <v>1</v>
      </c>
      <c r="AD17" s="63">
        <v>1</v>
      </c>
      <c r="AE17" s="83" t="s">
        <v>77</v>
      </c>
      <c r="AF17" s="83" t="s">
        <v>77</v>
      </c>
      <c r="AG17" s="83" t="s">
        <v>77</v>
      </c>
      <c r="AH17" s="83" t="s">
        <v>77</v>
      </c>
      <c r="AI17" s="83"/>
      <c r="AJ17" s="63"/>
      <c r="AK17" s="63">
        <v>1</v>
      </c>
      <c r="AL17" s="63">
        <v>1</v>
      </c>
      <c r="AM17" s="83" t="s">
        <v>77</v>
      </c>
      <c r="AN17" s="83"/>
      <c r="AO17" s="83"/>
      <c r="AP17" s="83">
        <v>1</v>
      </c>
    </row>
    <row r="18" spans="1:42">
      <c r="A18" s="62"/>
      <c r="B18" s="63" t="str">
        <f>装备!B18</f>
        <v>E016</v>
      </c>
      <c r="C18" s="63" t="s">
        <v>36</v>
      </c>
      <c r="D18" s="63" t="s">
        <v>76</v>
      </c>
      <c r="E18" s="66" t="s">
        <v>670</v>
      </c>
      <c r="F18" s="63"/>
      <c r="G18" s="63"/>
      <c r="H18" s="63" t="str">
        <f>VLOOKUP(LEFT(RIGHT(B18,5),4),装备!B:CU,2,FALSE)</f>
        <v>武器lv16</v>
      </c>
      <c r="I18" s="63" t="str">
        <f>VLOOKUP(B18,装备!B:CV,99,FALSE)</f>
        <v>|cffffcc00属性：|r|n攻击+27400|n攻速+53%|n暴击+9%|n</v>
      </c>
      <c r="J18" s="56" t="str">
        <f t="shared" si="4"/>
        <v>武器lv16</v>
      </c>
      <c r="K18" s="56" t="str">
        <f t="shared" si="5"/>
        <v>|cffffcc00属性：|r|n攻击+27400|n攻速+53%|n暴击+9%|n</v>
      </c>
      <c r="L18" s="63"/>
      <c r="M18" s="65" t="str">
        <f>VLOOKUP(LEFT(RIGHT(B18,5),4),装备!B:CU,20,FALSE)</f>
        <v>ReplaceableTextures\\CommandButtons\\BTNE016.blp</v>
      </c>
      <c r="N18" s="83" t="s">
        <v>77</v>
      </c>
      <c r="O18" s="84" t="s">
        <v>78</v>
      </c>
      <c r="P18" s="63">
        <v>0</v>
      </c>
      <c r="Q18" s="63">
        <v>0</v>
      </c>
      <c r="R18" s="83" t="s">
        <v>77</v>
      </c>
      <c r="S18" s="83" t="s">
        <v>77</v>
      </c>
      <c r="T18" s="83" t="s">
        <v>77</v>
      </c>
      <c r="U18" s="83" t="s">
        <v>77</v>
      </c>
      <c r="V18" s="63"/>
      <c r="W18" s="66" t="s">
        <v>665</v>
      </c>
      <c r="X18" s="63">
        <v>0</v>
      </c>
      <c r="Y18" s="83" t="s">
        <v>77</v>
      </c>
      <c r="Z18" s="63">
        <v>0</v>
      </c>
      <c r="AA18" s="63">
        <v>0</v>
      </c>
      <c r="AB18" s="63">
        <v>0</v>
      </c>
      <c r="AC18" s="63">
        <v>1</v>
      </c>
      <c r="AD18" s="63">
        <v>1</v>
      </c>
      <c r="AE18" s="83" t="s">
        <v>77</v>
      </c>
      <c r="AF18" s="83" t="s">
        <v>77</v>
      </c>
      <c r="AG18" s="83" t="s">
        <v>77</v>
      </c>
      <c r="AH18" s="83" t="s">
        <v>77</v>
      </c>
      <c r="AI18" s="83"/>
      <c r="AJ18" s="63"/>
      <c r="AK18" s="63">
        <v>1</v>
      </c>
      <c r="AL18" s="63">
        <v>1</v>
      </c>
      <c r="AM18" s="83" t="s">
        <v>77</v>
      </c>
      <c r="AN18" s="83"/>
      <c r="AO18" s="83"/>
      <c r="AP18" s="83">
        <v>1</v>
      </c>
    </row>
    <row r="19" spans="1:42">
      <c r="A19" s="62"/>
      <c r="B19" s="63" t="str">
        <f>装备!B19</f>
        <v>E017</v>
      </c>
      <c r="C19" s="63" t="s">
        <v>36</v>
      </c>
      <c r="D19" s="63" t="s">
        <v>76</v>
      </c>
      <c r="E19" s="66" t="s">
        <v>670</v>
      </c>
      <c r="F19" s="63"/>
      <c r="G19" s="63"/>
      <c r="H19" s="63" t="str">
        <f>VLOOKUP(LEFT(RIGHT(B19,5),4),装备!B:CU,2,FALSE)</f>
        <v>武器lv17</v>
      </c>
      <c r="I19" s="63" t="str">
        <f>VLOOKUP(B19,装备!B:CV,99,FALSE)</f>
        <v>|cffffcc00属性：|r|n攻击+31800|n攻速+53%|n暴击+9%|n</v>
      </c>
      <c r="J19" s="56" t="str">
        <f t="shared" ref="J19:J35" si="6">H19</f>
        <v>武器lv17</v>
      </c>
      <c r="K19" s="56" t="str">
        <f t="shared" ref="K19:K35" si="7">I19</f>
        <v>|cffffcc00属性：|r|n攻击+31800|n攻速+53%|n暴击+9%|n</v>
      </c>
      <c r="L19" s="63"/>
      <c r="M19" s="65" t="str">
        <f>VLOOKUP(LEFT(RIGHT(B19,5),4),装备!B:CU,20,FALSE)</f>
        <v>ReplaceableTextures\\CommandButtons\\BTNE017.blp</v>
      </c>
      <c r="N19" s="83" t="s">
        <v>77</v>
      </c>
      <c r="O19" s="84" t="s">
        <v>78</v>
      </c>
      <c r="P19" s="63">
        <v>0</v>
      </c>
      <c r="Q19" s="63">
        <v>0</v>
      </c>
      <c r="R19" s="83" t="s">
        <v>77</v>
      </c>
      <c r="S19" s="83" t="s">
        <v>77</v>
      </c>
      <c r="T19" s="83" t="s">
        <v>77</v>
      </c>
      <c r="U19" s="83" t="s">
        <v>77</v>
      </c>
      <c r="V19" s="63"/>
      <c r="W19" s="66" t="s">
        <v>665</v>
      </c>
      <c r="X19" s="63">
        <v>0</v>
      </c>
      <c r="Y19" s="83" t="s">
        <v>77</v>
      </c>
      <c r="Z19" s="63">
        <v>0</v>
      </c>
      <c r="AA19" s="63">
        <v>0</v>
      </c>
      <c r="AB19" s="63">
        <v>0</v>
      </c>
      <c r="AC19" s="63">
        <v>1</v>
      </c>
      <c r="AD19" s="63">
        <v>1</v>
      </c>
      <c r="AE19" s="83" t="s">
        <v>77</v>
      </c>
      <c r="AF19" s="83" t="s">
        <v>77</v>
      </c>
      <c r="AG19" s="83" t="s">
        <v>77</v>
      </c>
      <c r="AH19" s="83" t="s">
        <v>77</v>
      </c>
      <c r="AI19" s="83"/>
      <c r="AJ19" s="63"/>
      <c r="AK19" s="63">
        <v>1</v>
      </c>
      <c r="AL19" s="63">
        <v>1</v>
      </c>
      <c r="AM19" s="83" t="s">
        <v>77</v>
      </c>
      <c r="AN19" s="83"/>
      <c r="AO19" s="83"/>
      <c r="AP19" s="83">
        <v>1</v>
      </c>
    </row>
    <row r="20" spans="1:42">
      <c r="A20" s="62"/>
      <c r="B20" s="63" t="str">
        <f>装备!B20</f>
        <v>E018</v>
      </c>
      <c r="C20" s="63" t="s">
        <v>36</v>
      </c>
      <c r="D20" s="63" t="s">
        <v>76</v>
      </c>
      <c r="E20" s="66" t="s">
        <v>670</v>
      </c>
      <c r="F20" s="63"/>
      <c r="G20" s="63"/>
      <c r="H20" s="63" t="str">
        <f>VLOOKUP(LEFT(RIGHT(B20,5),4),装备!B:CU,2,FALSE)</f>
        <v>武器lv18</v>
      </c>
      <c r="I20" s="63" t="str">
        <f>VLOOKUP(B20,装备!B:CV,99,FALSE)</f>
        <v>|cffffcc00属性：|r|n攻击+36200|n攻速+53%|n暴击+9%|n</v>
      </c>
      <c r="J20" s="56" t="str">
        <f t="shared" si="6"/>
        <v>武器lv18</v>
      </c>
      <c r="K20" s="56" t="str">
        <f t="shared" si="7"/>
        <v>|cffffcc00属性：|r|n攻击+36200|n攻速+53%|n暴击+9%|n</v>
      </c>
      <c r="L20" s="63"/>
      <c r="M20" s="65" t="str">
        <f>VLOOKUP(LEFT(RIGHT(B20,5),4),装备!B:CU,20,FALSE)</f>
        <v>ReplaceableTextures\\CommandButtons\\BTNE018.blp</v>
      </c>
      <c r="N20" s="83" t="s">
        <v>77</v>
      </c>
      <c r="O20" s="84" t="s">
        <v>78</v>
      </c>
      <c r="P20" s="63">
        <v>0</v>
      </c>
      <c r="Q20" s="63">
        <v>0</v>
      </c>
      <c r="R20" s="83" t="s">
        <v>77</v>
      </c>
      <c r="S20" s="83" t="s">
        <v>77</v>
      </c>
      <c r="T20" s="83" t="s">
        <v>77</v>
      </c>
      <c r="U20" s="83" t="s">
        <v>77</v>
      </c>
      <c r="V20" s="63"/>
      <c r="W20" s="66" t="s">
        <v>665</v>
      </c>
      <c r="X20" s="63">
        <v>0</v>
      </c>
      <c r="Y20" s="83" t="s">
        <v>77</v>
      </c>
      <c r="Z20" s="63">
        <v>0</v>
      </c>
      <c r="AA20" s="63">
        <v>0</v>
      </c>
      <c r="AB20" s="63">
        <v>0</v>
      </c>
      <c r="AC20" s="63">
        <v>1</v>
      </c>
      <c r="AD20" s="63">
        <v>1</v>
      </c>
      <c r="AE20" s="83" t="s">
        <v>77</v>
      </c>
      <c r="AF20" s="83" t="s">
        <v>77</v>
      </c>
      <c r="AG20" s="83" t="s">
        <v>77</v>
      </c>
      <c r="AH20" s="83" t="s">
        <v>77</v>
      </c>
      <c r="AI20" s="83"/>
      <c r="AJ20" s="63"/>
      <c r="AK20" s="63">
        <v>1</v>
      </c>
      <c r="AL20" s="63">
        <v>1</v>
      </c>
      <c r="AM20" s="83" t="s">
        <v>77</v>
      </c>
      <c r="AN20" s="83"/>
      <c r="AO20" s="83"/>
      <c r="AP20" s="83">
        <v>1</v>
      </c>
    </row>
    <row r="21" spans="1:42">
      <c r="A21" s="62"/>
      <c r="B21" s="63" t="str">
        <f>装备!B21</f>
        <v>E019</v>
      </c>
      <c r="C21" s="63" t="s">
        <v>36</v>
      </c>
      <c r="D21" s="63" t="s">
        <v>76</v>
      </c>
      <c r="E21" s="66" t="s">
        <v>670</v>
      </c>
      <c r="F21" s="63"/>
      <c r="G21" s="63"/>
      <c r="H21" s="63" t="str">
        <f>VLOOKUP(LEFT(RIGHT(B21,5),4),装备!B:CU,2,FALSE)</f>
        <v>武器lv19</v>
      </c>
      <c r="I21" s="63" t="str">
        <f>VLOOKUP(B21,装备!B:CV,99,FALSE)</f>
        <v>|cffffcc00属性：|r|n攻击+40600|n攻速+53%|n暴击+9%|n</v>
      </c>
      <c r="J21" s="56" t="str">
        <f t="shared" si="6"/>
        <v>武器lv19</v>
      </c>
      <c r="K21" s="56" t="str">
        <f t="shared" si="7"/>
        <v>|cffffcc00属性：|r|n攻击+40600|n攻速+53%|n暴击+9%|n</v>
      </c>
      <c r="L21" s="63"/>
      <c r="M21" s="65" t="str">
        <f>VLOOKUP(LEFT(RIGHT(B21,5),4),装备!B:CU,20,FALSE)</f>
        <v>ReplaceableTextures\\CommandButtons\\BTNE019.blp</v>
      </c>
      <c r="N21" s="83" t="s">
        <v>77</v>
      </c>
      <c r="O21" s="84" t="s">
        <v>78</v>
      </c>
      <c r="P21" s="63">
        <v>0</v>
      </c>
      <c r="Q21" s="63">
        <v>0</v>
      </c>
      <c r="R21" s="83" t="s">
        <v>77</v>
      </c>
      <c r="S21" s="83" t="s">
        <v>77</v>
      </c>
      <c r="T21" s="83" t="s">
        <v>77</v>
      </c>
      <c r="U21" s="83" t="s">
        <v>77</v>
      </c>
      <c r="V21" s="63"/>
      <c r="W21" s="66" t="s">
        <v>665</v>
      </c>
      <c r="X21" s="63">
        <v>0</v>
      </c>
      <c r="Y21" s="83" t="s">
        <v>77</v>
      </c>
      <c r="Z21" s="63">
        <v>0</v>
      </c>
      <c r="AA21" s="63">
        <v>0</v>
      </c>
      <c r="AB21" s="63">
        <v>0</v>
      </c>
      <c r="AC21" s="63">
        <v>1</v>
      </c>
      <c r="AD21" s="63">
        <v>1</v>
      </c>
      <c r="AE21" s="83" t="s">
        <v>77</v>
      </c>
      <c r="AF21" s="83" t="s">
        <v>77</v>
      </c>
      <c r="AG21" s="83" t="s">
        <v>77</v>
      </c>
      <c r="AH21" s="83" t="s">
        <v>77</v>
      </c>
      <c r="AI21" s="83"/>
      <c r="AJ21" s="63"/>
      <c r="AK21" s="63">
        <v>1</v>
      </c>
      <c r="AL21" s="63">
        <v>1</v>
      </c>
      <c r="AM21" s="83" t="s">
        <v>77</v>
      </c>
      <c r="AN21" s="83"/>
      <c r="AO21" s="83"/>
      <c r="AP21" s="83">
        <v>1</v>
      </c>
    </row>
    <row r="22" spans="1:42">
      <c r="A22" s="62"/>
      <c r="B22" s="63" t="str">
        <f>装备!B22</f>
        <v>E020</v>
      </c>
      <c r="C22" s="63" t="s">
        <v>36</v>
      </c>
      <c r="D22" s="63" t="s">
        <v>76</v>
      </c>
      <c r="E22" s="66" t="s">
        <v>670</v>
      </c>
      <c r="F22" s="63"/>
      <c r="G22" s="63"/>
      <c r="H22" s="63" t="str">
        <f>VLOOKUP(LEFT(RIGHT(B22,5),4),装备!B:CU,2,FALSE)</f>
        <v>武器lv20</v>
      </c>
      <c r="I22" s="63" t="str">
        <f>VLOOKUP(B22,装备!B:CV,99,FALSE)</f>
        <v>|cffffcc00属性：|r|n攻击+45000|n攻速+53%|n暴击+9%|n</v>
      </c>
      <c r="J22" s="56" t="str">
        <f t="shared" si="6"/>
        <v>武器lv20</v>
      </c>
      <c r="K22" s="56" t="str">
        <f t="shared" si="7"/>
        <v>|cffffcc00属性：|r|n攻击+45000|n攻速+53%|n暴击+9%|n</v>
      </c>
      <c r="L22" s="63"/>
      <c r="M22" s="65" t="str">
        <f>VLOOKUP(LEFT(RIGHT(B22,5),4),装备!B:CU,20,FALSE)</f>
        <v>ReplaceableTextures\\CommandButtons\\BTNE020.blp</v>
      </c>
      <c r="N22" s="83" t="s">
        <v>77</v>
      </c>
      <c r="O22" s="84" t="s">
        <v>78</v>
      </c>
      <c r="P22" s="63">
        <v>0</v>
      </c>
      <c r="Q22" s="63">
        <v>0</v>
      </c>
      <c r="R22" s="83" t="s">
        <v>77</v>
      </c>
      <c r="S22" s="83" t="s">
        <v>77</v>
      </c>
      <c r="T22" s="83" t="s">
        <v>77</v>
      </c>
      <c r="U22" s="83" t="s">
        <v>77</v>
      </c>
      <c r="V22" s="63"/>
      <c r="W22" s="66" t="s">
        <v>665</v>
      </c>
      <c r="X22" s="63">
        <v>0</v>
      </c>
      <c r="Y22" s="83" t="s">
        <v>77</v>
      </c>
      <c r="Z22" s="63">
        <v>0</v>
      </c>
      <c r="AA22" s="63">
        <v>0</v>
      </c>
      <c r="AB22" s="63">
        <v>0</v>
      </c>
      <c r="AC22" s="63">
        <v>1</v>
      </c>
      <c r="AD22" s="63">
        <v>1</v>
      </c>
      <c r="AE22" s="83" t="s">
        <v>77</v>
      </c>
      <c r="AF22" s="83" t="s">
        <v>77</v>
      </c>
      <c r="AG22" s="83" t="s">
        <v>77</v>
      </c>
      <c r="AH22" s="83" t="s">
        <v>77</v>
      </c>
      <c r="AI22" s="83"/>
      <c r="AJ22" s="63"/>
      <c r="AK22" s="63">
        <v>1</v>
      </c>
      <c r="AL22" s="63">
        <v>1</v>
      </c>
      <c r="AM22" s="83" t="s">
        <v>77</v>
      </c>
      <c r="AN22" s="83"/>
      <c r="AO22" s="83"/>
      <c r="AP22" s="83">
        <v>1</v>
      </c>
    </row>
    <row r="23" spans="1:42">
      <c r="A23" s="62"/>
      <c r="B23" s="63" t="str">
        <f>装备!B23</f>
        <v>E021</v>
      </c>
      <c r="C23" s="63" t="s">
        <v>36</v>
      </c>
      <c r="D23" s="63" t="s">
        <v>76</v>
      </c>
      <c r="E23" s="66" t="s">
        <v>670</v>
      </c>
      <c r="F23" s="63"/>
      <c r="G23" s="63"/>
      <c r="H23" s="63" t="str">
        <f>VLOOKUP(LEFT(RIGHT(B23,5),4),装备!B:CU,2,FALSE)</f>
        <v>武器lv21</v>
      </c>
      <c r="I23" s="63" t="str">
        <f>VLOOKUP(B23,装备!B:CV,99,FALSE)</f>
        <v>|cffffcc00属性：|r|n攻击+56000|n攻速+66%|n暴击+12%|n</v>
      </c>
      <c r="J23" s="56" t="str">
        <f t="shared" si="6"/>
        <v>武器lv21</v>
      </c>
      <c r="K23" s="56" t="str">
        <f t="shared" si="7"/>
        <v>|cffffcc00属性：|r|n攻击+56000|n攻速+66%|n暴击+12%|n</v>
      </c>
      <c r="L23" s="63"/>
      <c r="M23" s="65" t="str">
        <f>VLOOKUP(LEFT(RIGHT(B23,5),4),装备!B:CU,20,FALSE)</f>
        <v>ReplaceableTextures\\CommandButtons\\BTNE021.blp</v>
      </c>
      <c r="N23" s="83" t="s">
        <v>77</v>
      </c>
      <c r="O23" s="84" t="s">
        <v>78</v>
      </c>
      <c r="P23" s="63">
        <v>0</v>
      </c>
      <c r="Q23" s="63">
        <v>0</v>
      </c>
      <c r="R23" s="83" t="s">
        <v>77</v>
      </c>
      <c r="S23" s="83" t="s">
        <v>77</v>
      </c>
      <c r="T23" s="83" t="s">
        <v>77</v>
      </c>
      <c r="U23" s="83" t="s">
        <v>77</v>
      </c>
      <c r="V23" s="63"/>
      <c r="W23" s="66" t="s">
        <v>665</v>
      </c>
      <c r="X23" s="63">
        <v>0</v>
      </c>
      <c r="Y23" s="83" t="s">
        <v>77</v>
      </c>
      <c r="Z23" s="63">
        <v>0</v>
      </c>
      <c r="AA23" s="63">
        <v>0</v>
      </c>
      <c r="AB23" s="63">
        <v>0</v>
      </c>
      <c r="AC23" s="63">
        <v>1</v>
      </c>
      <c r="AD23" s="63">
        <v>1</v>
      </c>
      <c r="AE23" s="83" t="s">
        <v>77</v>
      </c>
      <c r="AF23" s="83" t="s">
        <v>77</v>
      </c>
      <c r="AG23" s="83" t="s">
        <v>77</v>
      </c>
      <c r="AH23" s="83" t="s">
        <v>77</v>
      </c>
      <c r="AI23" s="83"/>
      <c r="AJ23" s="63"/>
      <c r="AK23" s="63">
        <v>1</v>
      </c>
      <c r="AL23" s="63">
        <v>1</v>
      </c>
      <c r="AM23" s="83" t="s">
        <v>77</v>
      </c>
      <c r="AN23" s="83"/>
      <c r="AO23" s="83"/>
      <c r="AP23" s="83">
        <v>1</v>
      </c>
    </row>
    <row r="24" spans="1:42">
      <c r="A24" s="62"/>
      <c r="B24" s="63" t="str">
        <f>装备!B24</f>
        <v>E022</v>
      </c>
      <c r="C24" s="63" t="s">
        <v>36</v>
      </c>
      <c r="D24" s="63" t="s">
        <v>76</v>
      </c>
      <c r="E24" s="66" t="s">
        <v>670</v>
      </c>
      <c r="F24" s="63"/>
      <c r="G24" s="63"/>
      <c r="H24" s="63" t="str">
        <f>VLOOKUP(LEFT(RIGHT(B24,5),4),装备!B:CU,2,FALSE)</f>
        <v>武器lv22</v>
      </c>
      <c r="I24" s="63" t="str">
        <f>VLOOKUP(B24,装备!B:CV,99,FALSE)</f>
        <v>|cffffcc00属性：|r|n攻击+67000|n攻速+66%|n暴击+12%|n</v>
      </c>
      <c r="J24" s="56" t="str">
        <f t="shared" si="6"/>
        <v>武器lv22</v>
      </c>
      <c r="K24" s="56" t="str">
        <f t="shared" si="7"/>
        <v>|cffffcc00属性：|r|n攻击+67000|n攻速+66%|n暴击+12%|n</v>
      </c>
      <c r="L24" s="63"/>
      <c r="M24" s="65" t="str">
        <f>VLOOKUP(LEFT(RIGHT(B24,5),4),装备!B:CU,20,FALSE)</f>
        <v>ReplaceableTextures\\CommandButtons\\BTNE022.blp</v>
      </c>
      <c r="N24" s="83" t="s">
        <v>77</v>
      </c>
      <c r="O24" s="84" t="s">
        <v>78</v>
      </c>
      <c r="P24" s="63">
        <v>0</v>
      </c>
      <c r="Q24" s="63">
        <v>0</v>
      </c>
      <c r="R24" s="83" t="s">
        <v>77</v>
      </c>
      <c r="S24" s="83" t="s">
        <v>77</v>
      </c>
      <c r="T24" s="83" t="s">
        <v>77</v>
      </c>
      <c r="U24" s="83" t="s">
        <v>77</v>
      </c>
      <c r="V24" s="63"/>
      <c r="W24" s="66" t="s">
        <v>665</v>
      </c>
      <c r="X24" s="63">
        <v>0</v>
      </c>
      <c r="Y24" s="83" t="s">
        <v>77</v>
      </c>
      <c r="Z24" s="63">
        <v>0</v>
      </c>
      <c r="AA24" s="63">
        <v>0</v>
      </c>
      <c r="AB24" s="63">
        <v>0</v>
      </c>
      <c r="AC24" s="63">
        <v>1</v>
      </c>
      <c r="AD24" s="63">
        <v>1</v>
      </c>
      <c r="AE24" s="83" t="s">
        <v>77</v>
      </c>
      <c r="AF24" s="83" t="s">
        <v>77</v>
      </c>
      <c r="AG24" s="83" t="s">
        <v>77</v>
      </c>
      <c r="AH24" s="83" t="s">
        <v>77</v>
      </c>
      <c r="AI24" s="83"/>
      <c r="AJ24" s="63"/>
      <c r="AK24" s="63">
        <v>1</v>
      </c>
      <c r="AL24" s="63">
        <v>1</v>
      </c>
      <c r="AM24" s="83" t="s">
        <v>77</v>
      </c>
      <c r="AN24" s="83"/>
      <c r="AO24" s="83"/>
      <c r="AP24" s="83">
        <v>1</v>
      </c>
    </row>
    <row r="25" spans="1:42">
      <c r="A25" s="62"/>
      <c r="B25" s="63" t="str">
        <f>装备!B25</f>
        <v>E023</v>
      </c>
      <c r="C25" s="63" t="s">
        <v>36</v>
      </c>
      <c r="D25" s="63" t="s">
        <v>76</v>
      </c>
      <c r="E25" s="66" t="s">
        <v>670</v>
      </c>
      <c r="F25" s="63"/>
      <c r="G25" s="63"/>
      <c r="H25" s="63" t="str">
        <f>VLOOKUP(LEFT(RIGHT(B25,5),4),装备!B:CU,2,FALSE)</f>
        <v>武器lv23</v>
      </c>
      <c r="I25" s="63" t="str">
        <f>VLOOKUP(B25,装备!B:CV,99,FALSE)</f>
        <v>|cffffcc00属性：|r|n攻击+78000|n攻速+66%|n暴击+12%|n</v>
      </c>
      <c r="J25" s="56" t="str">
        <f t="shared" si="6"/>
        <v>武器lv23</v>
      </c>
      <c r="K25" s="56" t="str">
        <f t="shared" si="7"/>
        <v>|cffffcc00属性：|r|n攻击+78000|n攻速+66%|n暴击+12%|n</v>
      </c>
      <c r="L25" s="63"/>
      <c r="M25" s="65" t="str">
        <f>VLOOKUP(LEFT(RIGHT(B25,5),4),装备!B:CU,20,FALSE)</f>
        <v>ReplaceableTextures\\CommandButtons\\BTNE023.blp</v>
      </c>
      <c r="N25" s="83" t="s">
        <v>77</v>
      </c>
      <c r="O25" s="84" t="s">
        <v>78</v>
      </c>
      <c r="P25" s="63">
        <v>0</v>
      </c>
      <c r="Q25" s="63">
        <v>0</v>
      </c>
      <c r="R25" s="83" t="s">
        <v>77</v>
      </c>
      <c r="S25" s="83" t="s">
        <v>77</v>
      </c>
      <c r="T25" s="83" t="s">
        <v>77</v>
      </c>
      <c r="U25" s="83" t="s">
        <v>77</v>
      </c>
      <c r="V25" s="63"/>
      <c r="W25" s="66" t="s">
        <v>665</v>
      </c>
      <c r="X25" s="63">
        <v>0</v>
      </c>
      <c r="Y25" s="83" t="s">
        <v>77</v>
      </c>
      <c r="Z25" s="63">
        <v>0</v>
      </c>
      <c r="AA25" s="63">
        <v>0</v>
      </c>
      <c r="AB25" s="63">
        <v>0</v>
      </c>
      <c r="AC25" s="63">
        <v>1</v>
      </c>
      <c r="AD25" s="63">
        <v>1</v>
      </c>
      <c r="AE25" s="83" t="s">
        <v>77</v>
      </c>
      <c r="AF25" s="83" t="s">
        <v>77</v>
      </c>
      <c r="AG25" s="83" t="s">
        <v>77</v>
      </c>
      <c r="AH25" s="83" t="s">
        <v>77</v>
      </c>
      <c r="AI25" s="83"/>
      <c r="AJ25" s="63"/>
      <c r="AK25" s="63">
        <v>1</v>
      </c>
      <c r="AL25" s="63">
        <v>1</v>
      </c>
      <c r="AM25" s="83" t="s">
        <v>77</v>
      </c>
      <c r="AN25" s="83"/>
      <c r="AO25" s="83"/>
      <c r="AP25" s="83">
        <v>1</v>
      </c>
    </row>
    <row r="26" spans="1:42">
      <c r="A26" s="62"/>
      <c r="B26" s="63" t="str">
        <f>装备!B26</f>
        <v>E024</v>
      </c>
      <c r="C26" s="63" t="s">
        <v>36</v>
      </c>
      <c r="D26" s="63" t="s">
        <v>76</v>
      </c>
      <c r="E26" s="66" t="s">
        <v>670</v>
      </c>
      <c r="F26" s="63"/>
      <c r="G26" s="63"/>
      <c r="H26" s="63" t="str">
        <f>VLOOKUP(LEFT(RIGHT(B26,5),4),装备!B:CU,2,FALSE)</f>
        <v>武器lv24</v>
      </c>
      <c r="I26" s="63" t="str">
        <f>VLOOKUP(B26,装备!B:CV,99,FALSE)</f>
        <v>|cffffcc00属性：|r|n攻击+89000|n攻速+66%|n暴击+12%|n</v>
      </c>
      <c r="J26" s="56" t="str">
        <f t="shared" si="6"/>
        <v>武器lv24</v>
      </c>
      <c r="K26" s="56" t="str">
        <f t="shared" si="7"/>
        <v>|cffffcc00属性：|r|n攻击+89000|n攻速+66%|n暴击+12%|n</v>
      </c>
      <c r="L26" s="63"/>
      <c r="M26" s="65" t="str">
        <f>VLOOKUP(LEFT(RIGHT(B26,5),4),装备!B:CU,20,FALSE)</f>
        <v>ReplaceableTextures\\CommandButtons\\BTNE024.blp</v>
      </c>
      <c r="N26" s="83" t="s">
        <v>77</v>
      </c>
      <c r="O26" s="84" t="s">
        <v>78</v>
      </c>
      <c r="P26" s="63">
        <v>0</v>
      </c>
      <c r="Q26" s="63">
        <v>0</v>
      </c>
      <c r="R26" s="83" t="s">
        <v>77</v>
      </c>
      <c r="S26" s="83" t="s">
        <v>77</v>
      </c>
      <c r="T26" s="83" t="s">
        <v>77</v>
      </c>
      <c r="U26" s="83" t="s">
        <v>77</v>
      </c>
      <c r="V26" s="63"/>
      <c r="W26" s="66" t="s">
        <v>665</v>
      </c>
      <c r="X26" s="63">
        <v>0</v>
      </c>
      <c r="Y26" s="83" t="s">
        <v>77</v>
      </c>
      <c r="Z26" s="63">
        <v>0</v>
      </c>
      <c r="AA26" s="63">
        <v>0</v>
      </c>
      <c r="AB26" s="63">
        <v>0</v>
      </c>
      <c r="AC26" s="63">
        <v>1</v>
      </c>
      <c r="AD26" s="63">
        <v>1</v>
      </c>
      <c r="AE26" s="83" t="s">
        <v>77</v>
      </c>
      <c r="AF26" s="83" t="s">
        <v>77</v>
      </c>
      <c r="AG26" s="83" t="s">
        <v>77</v>
      </c>
      <c r="AH26" s="83" t="s">
        <v>77</v>
      </c>
      <c r="AI26" s="83"/>
      <c r="AJ26" s="63"/>
      <c r="AK26" s="63">
        <v>1</v>
      </c>
      <c r="AL26" s="63">
        <v>1</v>
      </c>
      <c r="AM26" s="83" t="s">
        <v>77</v>
      </c>
      <c r="AN26" s="83"/>
      <c r="AO26" s="83"/>
      <c r="AP26" s="83">
        <v>1</v>
      </c>
    </row>
    <row r="27" spans="1:42">
      <c r="A27" s="62"/>
      <c r="B27" s="63" t="str">
        <f>装备!B27</f>
        <v>E025</v>
      </c>
      <c r="C27" s="63" t="s">
        <v>36</v>
      </c>
      <c r="D27" s="63" t="s">
        <v>76</v>
      </c>
      <c r="E27" s="66"/>
      <c r="F27" s="63"/>
      <c r="G27" s="63"/>
      <c r="H27" s="63" t="str">
        <f>VLOOKUP(LEFT(RIGHT(B27,5),4),装备!B:CU,2,FALSE)</f>
        <v>武器lv25</v>
      </c>
      <c r="I27" s="63" t="str">
        <f>VLOOKUP(B27,装备!B:CV,99,FALSE)</f>
        <v>|cffffcc00属性：|r|n攻击+100000|n攻速+66%|n暴击+12%|n</v>
      </c>
      <c r="J27" s="56" t="str">
        <f t="shared" si="6"/>
        <v>武器lv25</v>
      </c>
      <c r="K27" s="56" t="str">
        <f t="shared" si="7"/>
        <v>|cffffcc00属性：|r|n攻击+100000|n攻速+66%|n暴击+12%|n</v>
      </c>
      <c r="L27" s="63"/>
      <c r="M27" s="65" t="str">
        <f>VLOOKUP(LEFT(RIGHT(B27,5),4),装备!B:CU,20,FALSE)</f>
        <v>ReplaceableTextures\\CommandButtons\\BTNE025.blp</v>
      </c>
      <c r="N27" s="83" t="s">
        <v>77</v>
      </c>
      <c r="O27" s="84" t="s">
        <v>78</v>
      </c>
      <c r="P27" s="63">
        <v>0</v>
      </c>
      <c r="Q27" s="63">
        <v>0</v>
      </c>
      <c r="R27" s="83" t="s">
        <v>77</v>
      </c>
      <c r="S27" s="83" t="s">
        <v>77</v>
      </c>
      <c r="T27" s="83" t="s">
        <v>77</v>
      </c>
      <c r="U27" s="83" t="s">
        <v>77</v>
      </c>
      <c r="V27" s="63"/>
      <c r="W27" s="66" t="s">
        <v>665</v>
      </c>
      <c r="X27" s="63">
        <v>0</v>
      </c>
      <c r="Y27" s="83" t="s">
        <v>77</v>
      </c>
      <c r="Z27" s="63">
        <v>0</v>
      </c>
      <c r="AA27" s="63">
        <v>0</v>
      </c>
      <c r="AB27" s="63">
        <v>0</v>
      </c>
      <c r="AC27" s="63">
        <v>1</v>
      </c>
      <c r="AD27" s="63">
        <v>1</v>
      </c>
      <c r="AE27" s="83" t="s">
        <v>77</v>
      </c>
      <c r="AF27" s="83" t="s">
        <v>77</v>
      </c>
      <c r="AG27" s="83" t="s">
        <v>77</v>
      </c>
      <c r="AH27" s="83" t="s">
        <v>77</v>
      </c>
      <c r="AI27" s="83"/>
      <c r="AJ27" s="63"/>
      <c r="AK27" s="63">
        <v>1</v>
      </c>
      <c r="AL27" s="63">
        <v>1</v>
      </c>
      <c r="AM27" s="83" t="s">
        <v>77</v>
      </c>
      <c r="AN27" s="83"/>
      <c r="AO27" s="83"/>
      <c r="AP27" s="83"/>
    </row>
    <row r="28" spans="1:42">
      <c r="A28" s="62"/>
      <c r="B28" s="63" t="str">
        <f>装备!B28</f>
        <v>E101</v>
      </c>
      <c r="C28" s="63" t="s">
        <v>36</v>
      </c>
      <c r="D28" s="63" t="s">
        <v>76</v>
      </c>
      <c r="E28" s="66" t="s">
        <v>670</v>
      </c>
      <c r="F28" s="63"/>
      <c r="G28" s="63"/>
      <c r="H28" s="63" t="str">
        <f>VLOOKUP(LEFT(RIGHT(B28,5),4),装备!B:CU,2,FALSE)</f>
        <v>法杖lv1</v>
      </c>
      <c r="I28" s="63" t="str">
        <f>VLOOKUP(B28,装备!B:CV,99,FALSE)</f>
        <v>|cffffcc00属性：|r|n法强+1000|n冷却缩减+3%|n</v>
      </c>
      <c r="J28" s="56" t="str">
        <f t="shared" si="6"/>
        <v>法杖lv1</v>
      </c>
      <c r="K28" s="56" t="str">
        <f t="shared" si="7"/>
        <v>|cffffcc00属性：|r|n法强+1000|n冷却缩减+3%|n</v>
      </c>
      <c r="L28" s="63"/>
      <c r="M28" s="65" t="str">
        <f>VLOOKUP(LEFT(RIGHT(B28,5),4),装备!B:CU,20,FALSE)</f>
        <v>ReplaceableTextures\\CommandButtons\\BTNE101.blp</v>
      </c>
      <c r="N28" s="83" t="s">
        <v>77</v>
      </c>
      <c r="O28" s="84" t="s">
        <v>78</v>
      </c>
      <c r="P28" s="63">
        <v>0</v>
      </c>
      <c r="Q28" s="63">
        <v>0</v>
      </c>
      <c r="R28" s="83" t="s">
        <v>77</v>
      </c>
      <c r="S28" s="83" t="s">
        <v>77</v>
      </c>
      <c r="T28" s="83" t="s">
        <v>77</v>
      </c>
      <c r="U28" s="83" t="s">
        <v>77</v>
      </c>
      <c r="V28" s="63"/>
      <c r="W28" s="66" t="s">
        <v>665</v>
      </c>
      <c r="X28" s="63">
        <v>0</v>
      </c>
      <c r="Y28" s="83" t="s">
        <v>77</v>
      </c>
      <c r="Z28" s="63">
        <v>0</v>
      </c>
      <c r="AA28" s="63">
        <v>0</v>
      </c>
      <c r="AB28" s="63">
        <v>0</v>
      </c>
      <c r="AC28" s="63">
        <v>1</v>
      </c>
      <c r="AD28" s="63">
        <v>1</v>
      </c>
      <c r="AE28" s="83" t="s">
        <v>77</v>
      </c>
      <c r="AF28" s="83" t="s">
        <v>77</v>
      </c>
      <c r="AG28" s="83" t="s">
        <v>77</v>
      </c>
      <c r="AH28" s="83" t="s">
        <v>77</v>
      </c>
      <c r="AI28" s="83"/>
      <c r="AJ28" s="63"/>
      <c r="AK28" s="63">
        <v>1</v>
      </c>
      <c r="AL28" s="63">
        <v>1</v>
      </c>
      <c r="AM28" s="83" t="s">
        <v>77</v>
      </c>
      <c r="AN28" s="83"/>
      <c r="AO28" s="83"/>
      <c r="AP28" s="83">
        <v>1</v>
      </c>
    </row>
    <row r="29" spans="1:42">
      <c r="A29" s="62"/>
      <c r="B29" s="63" t="str">
        <f>装备!B29</f>
        <v>E102</v>
      </c>
      <c r="C29" s="63" t="s">
        <v>36</v>
      </c>
      <c r="D29" s="63" t="s">
        <v>76</v>
      </c>
      <c r="E29" s="66" t="s">
        <v>670</v>
      </c>
      <c r="F29" s="63"/>
      <c r="G29" s="63"/>
      <c r="H29" s="63" t="str">
        <f>VLOOKUP(LEFT(RIGHT(B29,5),4),装备!B:CU,2,FALSE)</f>
        <v>法杖lv2</v>
      </c>
      <c r="I29" s="63" t="str">
        <f>VLOOKUP(B29,装备!B:CV,99,FALSE)</f>
        <v>|cffffcc00属性：|r|n法强+2000|n冷却缩减+3%|n</v>
      </c>
      <c r="J29" s="56" t="str">
        <f t="shared" si="6"/>
        <v>法杖lv2</v>
      </c>
      <c r="K29" s="56" t="str">
        <f t="shared" si="7"/>
        <v>|cffffcc00属性：|r|n法强+2000|n冷却缩减+3%|n</v>
      </c>
      <c r="L29" s="63"/>
      <c r="M29" s="65" t="str">
        <f>VLOOKUP(LEFT(RIGHT(B29,5),4),装备!B:CU,20,FALSE)</f>
        <v>ReplaceableTextures\\CommandButtons\\BTNE102.blp</v>
      </c>
      <c r="N29" s="83" t="s">
        <v>77</v>
      </c>
      <c r="O29" s="84" t="s">
        <v>78</v>
      </c>
      <c r="P29" s="63">
        <v>0</v>
      </c>
      <c r="Q29" s="63">
        <v>0</v>
      </c>
      <c r="R29" s="83" t="s">
        <v>77</v>
      </c>
      <c r="S29" s="83" t="s">
        <v>77</v>
      </c>
      <c r="T29" s="83" t="s">
        <v>77</v>
      </c>
      <c r="U29" s="83" t="s">
        <v>77</v>
      </c>
      <c r="V29" s="63"/>
      <c r="W29" s="66" t="s">
        <v>665</v>
      </c>
      <c r="X29" s="63">
        <v>0</v>
      </c>
      <c r="Y29" s="83" t="s">
        <v>77</v>
      </c>
      <c r="Z29" s="63">
        <v>0</v>
      </c>
      <c r="AA29" s="63">
        <v>0</v>
      </c>
      <c r="AB29" s="63">
        <v>0</v>
      </c>
      <c r="AC29" s="63">
        <v>1</v>
      </c>
      <c r="AD29" s="63">
        <v>1</v>
      </c>
      <c r="AE29" s="83" t="s">
        <v>77</v>
      </c>
      <c r="AF29" s="83" t="s">
        <v>77</v>
      </c>
      <c r="AG29" s="83" t="s">
        <v>77</v>
      </c>
      <c r="AH29" s="83" t="s">
        <v>77</v>
      </c>
      <c r="AI29" s="83"/>
      <c r="AJ29" s="63"/>
      <c r="AK29" s="63">
        <v>1</v>
      </c>
      <c r="AL29" s="63">
        <v>1</v>
      </c>
      <c r="AM29" s="83" t="s">
        <v>77</v>
      </c>
      <c r="AN29" s="83"/>
      <c r="AO29" s="83"/>
      <c r="AP29" s="83">
        <v>1</v>
      </c>
    </row>
    <row r="30" spans="1:42">
      <c r="A30" s="62"/>
      <c r="B30" s="63" t="str">
        <f>装备!B30</f>
        <v>E103</v>
      </c>
      <c r="C30" s="63" t="s">
        <v>36</v>
      </c>
      <c r="D30" s="63" t="s">
        <v>76</v>
      </c>
      <c r="E30" s="66" t="s">
        <v>670</v>
      </c>
      <c r="F30" s="63"/>
      <c r="G30" s="63"/>
      <c r="H30" s="63" t="str">
        <f>VLOOKUP(LEFT(RIGHT(B30,5),4),装备!B:CU,2,FALSE)</f>
        <v>法杖lv3</v>
      </c>
      <c r="I30" s="63" t="str">
        <f>VLOOKUP(B30,装备!B:CV,99,FALSE)</f>
        <v>|cffffcc00属性：|r|n法强+3000|n冷却缩减+3%|n</v>
      </c>
      <c r="J30" s="56" t="str">
        <f t="shared" si="6"/>
        <v>法杖lv3</v>
      </c>
      <c r="K30" s="56" t="str">
        <f t="shared" si="7"/>
        <v>|cffffcc00属性：|r|n法强+3000|n冷却缩减+3%|n</v>
      </c>
      <c r="L30" s="63"/>
      <c r="M30" s="65" t="str">
        <f>VLOOKUP(LEFT(RIGHT(B30,5),4),装备!B:CU,20,FALSE)</f>
        <v>ReplaceableTextures\\CommandButtons\\BTNE103.blp</v>
      </c>
      <c r="N30" s="83" t="s">
        <v>77</v>
      </c>
      <c r="O30" s="84" t="s">
        <v>78</v>
      </c>
      <c r="P30" s="63">
        <v>0</v>
      </c>
      <c r="Q30" s="63">
        <v>0</v>
      </c>
      <c r="R30" s="83" t="s">
        <v>77</v>
      </c>
      <c r="S30" s="83" t="s">
        <v>77</v>
      </c>
      <c r="T30" s="83" t="s">
        <v>77</v>
      </c>
      <c r="U30" s="83" t="s">
        <v>77</v>
      </c>
      <c r="V30" s="63"/>
      <c r="W30" s="66" t="s">
        <v>665</v>
      </c>
      <c r="X30" s="63">
        <v>0</v>
      </c>
      <c r="Y30" s="83" t="s">
        <v>77</v>
      </c>
      <c r="Z30" s="63">
        <v>0</v>
      </c>
      <c r="AA30" s="63">
        <v>0</v>
      </c>
      <c r="AB30" s="63">
        <v>0</v>
      </c>
      <c r="AC30" s="63">
        <v>1</v>
      </c>
      <c r="AD30" s="63">
        <v>1</v>
      </c>
      <c r="AE30" s="83" t="s">
        <v>77</v>
      </c>
      <c r="AF30" s="83" t="s">
        <v>77</v>
      </c>
      <c r="AG30" s="83" t="s">
        <v>77</v>
      </c>
      <c r="AH30" s="83" t="s">
        <v>77</v>
      </c>
      <c r="AI30" s="83"/>
      <c r="AJ30" s="63"/>
      <c r="AK30" s="63">
        <v>1</v>
      </c>
      <c r="AL30" s="63">
        <v>1</v>
      </c>
      <c r="AM30" s="83" t="s">
        <v>77</v>
      </c>
      <c r="AN30" s="83"/>
      <c r="AO30" s="83"/>
      <c r="AP30" s="83">
        <v>1</v>
      </c>
    </row>
    <row r="31" spans="1:42">
      <c r="A31" s="62"/>
      <c r="B31" s="63" t="str">
        <f>装备!B31</f>
        <v>E104</v>
      </c>
      <c r="C31" s="63" t="s">
        <v>36</v>
      </c>
      <c r="D31" s="63" t="s">
        <v>76</v>
      </c>
      <c r="E31" s="66" t="s">
        <v>670</v>
      </c>
      <c r="F31" s="63"/>
      <c r="G31" s="63"/>
      <c r="H31" s="63" t="str">
        <f>VLOOKUP(LEFT(RIGHT(B31,5),4),装备!B:CU,2,FALSE)</f>
        <v>法杖lv4</v>
      </c>
      <c r="I31" s="63" t="str">
        <f>VLOOKUP(B31,装备!B:CV,99,FALSE)</f>
        <v>|cffffcc00属性：|r|n法强+4000|n冷却缩减+3%|n</v>
      </c>
      <c r="J31" s="56" t="str">
        <f t="shared" si="6"/>
        <v>法杖lv4</v>
      </c>
      <c r="K31" s="56" t="str">
        <f t="shared" si="7"/>
        <v>|cffffcc00属性：|r|n法强+4000|n冷却缩减+3%|n</v>
      </c>
      <c r="L31" s="63"/>
      <c r="M31" s="65" t="str">
        <f>VLOOKUP(LEFT(RIGHT(B31,5),4),装备!B:CU,20,FALSE)</f>
        <v>ReplaceableTextures\\CommandButtons\\BTNE104.blp</v>
      </c>
      <c r="N31" s="83" t="s">
        <v>77</v>
      </c>
      <c r="O31" s="84" t="s">
        <v>78</v>
      </c>
      <c r="P31" s="63">
        <v>0</v>
      </c>
      <c r="Q31" s="63">
        <v>0</v>
      </c>
      <c r="R31" s="83" t="s">
        <v>77</v>
      </c>
      <c r="S31" s="83" t="s">
        <v>77</v>
      </c>
      <c r="T31" s="83" t="s">
        <v>77</v>
      </c>
      <c r="U31" s="83" t="s">
        <v>77</v>
      </c>
      <c r="V31" s="63"/>
      <c r="W31" s="66" t="s">
        <v>665</v>
      </c>
      <c r="X31" s="63">
        <v>0</v>
      </c>
      <c r="Y31" s="83" t="s">
        <v>77</v>
      </c>
      <c r="Z31" s="63">
        <v>0</v>
      </c>
      <c r="AA31" s="63">
        <v>0</v>
      </c>
      <c r="AB31" s="63">
        <v>0</v>
      </c>
      <c r="AC31" s="63">
        <v>1</v>
      </c>
      <c r="AD31" s="63">
        <v>1</v>
      </c>
      <c r="AE31" s="83" t="s">
        <v>77</v>
      </c>
      <c r="AF31" s="83" t="s">
        <v>77</v>
      </c>
      <c r="AG31" s="83" t="s">
        <v>77</v>
      </c>
      <c r="AH31" s="83" t="s">
        <v>77</v>
      </c>
      <c r="AI31" s="83"/>
      <c r="AJ31" s="63"/>
      <c r="AK31" s="63">
        <v>1</v>
      </c>
      <c r="AL31" s="63">
        <v>1</v>
      </c>
      <c r="AM31" s="83" t="s">
        <v>77</v>
      </c>
      <c r="AN31" s="83"/>
      <c r="AO31" s="83"/>
      <c r="AP31" s="83">
        <v>1</v>
      </c>
    </row>
    <row r="32" spans="1:42">
      <c r="A32" s="62"/>
      <c r="B32" s="63" t="str">
        <f>装备!B32</f>
        <v>E105</v>
      </c>
      <c r="C32" s="63" t="s">
        <v>36</v>
      </c>
      <c r="D32" s="63" t="s">
        <v>76</v>
      </c>
      <c r="E32" s="66" t="s">
        <v>670</v>
      </c>
      <c r="F32" s="63"/>
      <c r="G32" s="63"/>
      <c r="H32" s="63" t="str">
        <f>VLOOKUP(LEFT(RIGHT(B32,5),4),装备!B:CU,2,FALSE)</f>
        <v>法杖lv5</v>
      </c>
      <c r="I32" s="63" t="str">
        <f>VLOOKUP(B32,装备!B:CV,99,FALSE)</f>
        <v>|cffffcc00属性：|r|n法强+5000|n冷却缩减+3%|n</v>
      </c>
      <c r="J32" s="56" t="str">
        <f t="shared" si="6"/>
        <v>法杖lv5</v>
      </c>
      <c r="K32" s="56" t="str">
        <f t="shared" si="7"/>
        <v>|cffffcc00属性：|r|n法强+5000|n冷却缩减+3%|n</v>
      </c>
      <c r="L32" s="63"/>
      <c r="M32" s="65" t="str">
        <f>VLOOKUP(LEFT(RIGHT(B32,5),4),装备!B:CU,20,FALSE)</f>
        <v>ReplaceableTextures\\CommandButtons\\BTNE105.blp</v>
      </c>
      <c r="N32" s="83" t="s">
        <v>77</v>
      </c>
      <c r="O32" s="84" t="s">
        <v>78</v>
      </c>
      <c r="P32" s="63">
        <v>0</v>
      </c>
      <c r="Q32" s="63">
        <v>0</v>
      </c>
      <c r="R32" s="83" t="s">
        <v>77</v>
      </c>
      <c r="S32" s="83" t="s">
        <v>77</v>
      </c>
      <c r="T32" s="83" t="s">
        <v>77</v>
      </c>
      <c r="U32" s="83" t="s">
        <v>77</v>
      </c>
      <c r="V32" s="63"/>
      <c r="W32" s="66" t="s">
        <v>665</v>
      </c>
      <c r="X32" s="63">
        <v>0</v>
      </c>
      <c r="Y32" s="83" t="s">
        <v>77</v>
      </c>
      <c r="Z32" s="63">
        <v>0</v>
      </c>
      <c r="AA32" s="63">
        <v>0</v>
      </c>
      <c r="AB32" s="63">
        <v>0</v>
      </c>
      <c r="AC32" s="63">
        <v>1</v>
      </c>
      <c r="AD32" s="63">
        <v>1</v>
      </c>
      <c r="AE32" s="83" t="s">
        <v>77</v>
      </c>
      <c r="AF32" s="83" t="s">
        <v>77</v>
      </c>
      <c r="AG32" s="83" t="s">
        <v>77</v>
      </c>
      <c r="AH32" s="83" t="s">
        <v>77</v>
      </c>
      <c r="AI32" s="83"/>
      <c r="AJ32" s="63"/>
      <c r="AK32" s="63">
        <v>1</v>
      </c>
      <c r="AL32" s="63">
        <v>1</v>
      </c>
      <c r="AM32" s="83" t="s">
        <v>77</v>
      </c>
      <c r="AN32" s="83"/>
      <c r="AO32" s="83"/>
      <c r="AP32" s="83">
        <v>1</v>
      </c>
    </row>
    <row r="33" spans="1:42">
      <c r="A33" s="62"/>
      <c r="B33" s="63" t="str">
        <f>装备!B33</f>
        <v>E106</v>
      </c>
      <c r="C33" s="63" t="s">
        <v>36</v>
      </c>
      <c r="D33" s="63" t="s">
        <v>76</v>
      </c>
      <c r="E33" s="66" t="s">
        <v>670</v>
      </c>
      <c r="F33" s="63"/>
      <c r="G33" s="63"/>
      <c r="H33" s="63" t="str">
        <f>VLOOKUP(LEFT(RIGHT(B33,5),4),装备!B:CU,2,FALSE)</f>
        <v>法杖lv6</v>
      </c>
      <c r="I33" s="63" t="str">
        <f>VLOOKUP(B33,装备!B:CV,99,FALSE)</f>
        <v>|cffffcc00属性：|r|n法强+6400|n伤害加成+3%|n冷却缩减+6%|n</v>
      </c>
      <c r="J33" s="56" t="str">
        <f t="shared" si="6"/>
        <v>法杖lv6</v>
      </c>
      <c r="K33" s="56" t="str">
        <f t="shared" si="7"/>
        <v>|cffffcc00属性：|r|n法强+6400|n伤害加成+3%|n冷却缩减+6%|n</v>
      </c>
      <c r="L33" s="63"/>
      <c r="M33" s="65" t="str">
        <f>VLOOKUP(LEFT(RIGHT(B33,5),4),装备!B:CU,20,FALSE)</f>
        <v>ReplaceableTextures\\CommandButtons\\BTNE106.blp</v>
      </c>
      <c r="N33" s="83" t="s">
        <v>77</v>
      </c>
      <c r="O33" s="84" t="s">
        <v>78</v>
      </c>
      <c r="P33" s="63">
        <v>0</v>
      </c>
      <c r="Q33" s="63">
        <v>0</v>
      </c>
      <c r="R33" s="83" t="s">
        <v>77</v>
      </c>
      <c r="S33" s="83" t="s">
        <v>77</v>
      </c>
      <c r="T33" s="83" t="s">
        <v>77</v>
      </c>
      <c r="U33" s="83" t="s">
        <v>77</v>
      </c>
      <c r="V33" s="63"/>
      <c r="W33" s="66" t="s">
        <v>665</v>
      </c>
      <c r="X33" s="63">
        <v>0</v>
      </c>
      <c r="Y33" s="83" t="s">
        <v>77</v>
      </c>
      <c r="Z33" s="63">
        <v>0</v>
      </c>
      <c r="AA33" s="63">
        <v>0</v>
      </c>
      <c r="AB33" s="63">
        <v>0</v>
      </c>
      <c r="AC33" s="63">
        <v>1</v>
      </c>
      <c r="AD33" s="63">
        <v>1</v>
      </c>
      <c r="AE33" s="83" t="s">
        <v>77</v>
      </c>
      <c r="AF33" s="83" t="s">
        <v>77</v>
      </c>
      <c r="AG33" s="83" t="s">
        <v>77</v>
      </c>
      <c r="AH33" s="83" t="s">
        <v>77</v>
      </c>
      <c r="AI33" s="83"/>
      <c r="AJ33" s="63"/>
      <c r="AK33" s="63">
        <v>1</v>
      </c>
      <c r="AL33" s="63">
        <v>1</v>
      </c>
      <c r="AM33" s="83" t="s">
        <v>77</v>
      </c>
      <c r="AN33" s="83"/>
      <c r="AO33" s="83"/>
      <c r="AP33" s="83">
        <v>1</v>
      </c>
    </row>
    <row r="34" spans="1:42">
      <c r="A34" s="62"/>
      <c r="B34" s="63" t="str">
        <f>装备!B34</f>
        <v>E107</v>
      </c>
      <c r="C34" s="63" t="s">
        <v>36</v>
      </c>
      <c r="D34" s="63" t="s">
        <v>76</v>
      </c>
      <c r="E34" s="66" t="s">
        <v>670</v>
      </c>
      <c r="F34" s="63"/>
      <c r="G34" s="63"/>
      <c r="H34" s="63" t="str">
        <f>VLOOKUP(LEFT(RIGHT(B34,5),4),装备!B:CU,2,FALSE)</f>
        <v>法杖lv7</v>
      </c>
      <c r="I34" s="63" t="str">
        <f>VLOOKUP(B34,装备!B:CV,99,FALSE)</f>
        <v>|cffffcc00属性：|r|n法强+7800|n伤害加成+3%|n冷却缩减+6%|n</v>
      </c>
      <c r="J34" s="56" t="str">
        <f t="shared" si="6"/>
        <v>法杖lv7</v>
      </c>
      <c r="K34" s="56" t="str">
        <f t="shared" si="7"/>
        <v>|cffffcc00属性：|r|n法强+7800|n伤害加成+3%|n冷却缩减+6%|n</v>
      </c>
      <c r="L34" s="63"/>
      <c r="M34" s="65" t="str">
        <f>VLOOKUP(LEFT(RIGHT(B34,5),4),装备!B:CU,20,FALSE)</f>
        <v>ReplaceableTextures\\CommandButtons\\BTNE107.blp</v>
      </c>
      <c r="N34" s="83" t="s">
        <v>77</v>
      </c>
      <c r="O34" s="84" t="s">
        <v>78</v>
      </c>
      <c r="P34" s="63">
        <v>0</v>
      </c>
      <c r="Q34" s="63">
        <v>0</v>
      </c>
      <c r="R34" s="83" t="s">
        <v>77</v>
      </c>
      <c r="S34" s="83" t="s">
        <v>77</v>
      </c>
      <c r="T34" s="83" t="s">
        <v>77</v>
      </c>
      <c r="U34" s="83" t="s">
        <v>77</v>
      </c>
      <c r="V34" s="63"/>
      <c r="W34" s="66" t="s">
        <v>665</v>
      </c>
      <c r="X34" s="63">
        <v>0</v>
      </c>
      <c r="Y34" s="83" t="s">
        <v>77</v>
      </c>
      <c r="Z34" s="63">
        <v>0</v>
      </c>
      <c r="AA34" s="63">
        <v>0</v>
      </c>
      <c r="AB34" s="63">
        <v>0</v>
      </c>
      <c r="AC34" s="63">
        <v>1</v>
      </c>
      <c r="AD34" s="63">
        <v>1</v>
      </c>
      <c r="AE34" s="83" t="s">
        <v>77</v>
      </c>
      <c r="AF34" s="83" t="s">
        <v>77</v>
      </c>
      <c r="AG34" s="83" t="s">
        <v>77</v>
      </c>
      <c r="AH34" s="83" t="s">
        <v>77</v>
      </c>
      <c r="AI34" s="83"/>
      <c r="AJ34" s="63"/>
      <c r="AK34" s="63">
        <v>1</v>
      </c>
      <c r="AL34" s="63">
        <v>1</v>
      </c>
      <c r="AM34" s="83" t="s">
        <v>77</v>
      </c>
      <c r="AN34" s="83"/>
      <c r="AO34" s="83"/>
      <c r="AP34" s="83">
        <v>1</v>
      </c>
    </row>
    <row r="35" spans="1:42">
      <c r="A35" s="62"/>
      <c r="B35" s="63" t="str">
        <f>装备!B35</f>
        <v>E108</v>
      </c>
      <c r="C35" s="63" t="s">
        <v>36</v>
      </c>
      <c r="D35" s="63" t="s">
        <v>76</v>
      </c>
      <c r="E35" s="66" t="s">
        <v>670</v>
      </c>
      <c r="F35" s="63"/>
      <c r="G35" s="63"/>
      <c r="H35" s="63" t="str">
        <f>VLOOKUP(LEFT(RIGHT(B35,5),4),装备!B:CU,2,FALSE)</f>
        <v>法杖lv8</v>
      </c>
      <c r="I35" s="63" t="str">
        <f>VLOOKUP(B35,装备!B:CV,99,FALSE)</f>
        <v>|cffffcc00属性：|r|n法强+9200|n伤害加成+3%|n冷却缩减+6%|n</v>
      </c>
      <c r="J35" s="56" t="str">
        <f t="shared" si="6"/>
        <v>法杖lv8</v>
      </c>
      <c r="K35" s="56" t="str">
        <f t="shared" si="7"/>
        <v>|cffffcc00属性：|r|n法强+9200|n伤害加成+3%|n冷却缩减+6%|n</v>
      </c>
      <c r="L35" s="63"/>
      <c r="M35" s="65" t="str">
        <f>VLOOKUP(LEFT(RIGHT(B35,5),4),装备!B:CU,20,FALSE)</f>
        <v>ReplaceableTextures\\CommandButtons\\BTNE108.blp</v>
      </c>
      <c r="N35" s="83" t="s">
        <v>77</v>
      </c>
      <c r="O35" s="84" t="s">
        <v>78</v>
      </c>
      <c r="P35" s="63">
        <v>0</v>
      </c>
      <c r="Q35" s="63">
        <v>0</v>
      </c>
      <c r="R35" s="83" t="s">
        <v>77</v>
      </c>
      <c r="S35" s="83" t="s">
        <v>77</v>
      </c>
      <c r="T35" s="83" t="s">
        <v>77</v>
      </c>
      <c r="U35" s="83" t="s">
        <v>77</v>
      </c>
      <c r="V35" s="63"/>
      <c r="W35" s="66" t="s">
        <v>665</v>
      </c>
      <c r="X35" s="63">
        <v>0</v>
      </c>
      <c r="Y35" s="83" t="s">
        <v>77</v>
      </c>
      <c r="Z35" s="63">
        <v>0</v>
      </c>
      <c r="AA35" s="63">
        <v>0</v>
      </c>
      <c r="AB35" s="63">
        <v>0</v>
      </c>
      <c r="AC35" s="63">
        <v>1</v>
      </c>
      <c r="AD35" s="63">
        <v>1</v>
      </c>
      <c r="AE35" s="83" t="s">
        <v>77</v>
      </c>
      <c r="AF35" s="83" t="s">
        <v>77</v>
      </c>
      <c r="AG35" s="83" t="s">
        <v>77</v>
      </c>
      <c r="AH35" s="83" t="s">
        <v>77</v>
      </c>
      <c r="AI35" s="83"/>
      <c r="AJ35" s="63"/>
      <c r="AK35" s="63">
        <v>1</v>
      </c>
      <c r="AL35" s="63">
        <v>1</v>
      </c>
      <c r="AM35" s="83" t="s">
        <v>77</v>
      </c>
      <c r="AN35" s="83"/>
      <c r="AO35" s="83"/>
      <c r="AP35" s="83">
        <v>1</v>
      </c>
    </row>
    <row r="36" spans="1:42">
      <c r="A36" s="62"/>
      <c r="B36" s="63" t="str">
        <f>装备!B36</f>
        <v>E109</v>
      </c>
      <c r="C36" s="63" t="s">
        <v>36</v>
      </c>
      <c r="D36" s="63" t="s">
        <v>76</v>
      </c>
      <c r="E36" s="66" t="s">
        <v>670</v>
      </c>
      <c r="F36" s="63"/>
      <c r="G36" s="63"/>
      <c r="H36" s="63" t="str">
        <f>VLOOKUP(LEFT(RIGHT(B36,5),4),装备!B:CU,2,FALSE)</f>
        <v>法杖lv9</v>
      </c>
      <c r="I36" s="63" t="str">
        <f>VLOOKUP(B36,装备!B:CV,99,FALSE)</f>
        <v>|cffffcc00属性：|r|n法强+10600|n伤害加成+3%|n冷却缩减+6%|n</v>
      </c>
      <c r="J36" s="56" t="str">
        <f t="shared" ref="J36:J53" si="8">H36</f>
        <v>法杖lv9</v>
      </c>
      <c r="K36" s="56" t="str">
        <f t="shared" ref="K36:K53" si="9">I36</f>
        <v>|cffffcc00属性：|r|n法强+10600|n伤害加成+3%|n冷却缩减+6%|n</v>
      </c>
      <c r="L36" s="63"/>
      <c r="M36" s="65" t="str">
        <f>VLOOKUP(LEFT(RIGHT(B36,5),4),装备!B:CU,20,FALSE)</f>
        <v>ReplaceableTextures\\CommandButtons\\BTNE109.blp</v>
      </c>
      <c r="N36" s="83" t="s">
        <v>77</v>
      </c>
      <c r="O36" s="84" t="s">
        <v>78</v>
      </c>
      <c r="P36" s="63">
        <v>0</v>
      </c>
      <c r="Q36" s="63">
        <v>0</v>
      </c>
      <c r="R36" s="83" t="s">
        <v>77</v>
      </c>
      <c r="S36" s="83" t="s">
        <v>77</v>
      </c>
      <c r="T36" s="83" t="s">
        <v>77</v>
      </c>
      <c r="U36" s="83" t="s">
        <v>77</v>
      </c>
      <c r="V36" s="63"/>
      <c r="W36" s="66" t="s">
        <v>665</v>
      </c>
      <c r="X36" s="63">
        <v>0</v>
      </c>
      <c r="Y36" s="83" t="s">
        <v>77</v>
      </c>
      <c r="Z36" s="63">
        <v>0</v>
      </c>
      <c r="AA36" s="63">
        <v>0</v>
      </c>
      <c r="AB36" s="63">
        <v>0</v>
      </c>
      <c r="AC36" s="63">
        <v>1</v>
      </c>
      <c r="AD36" s="63">
        <v>1</v>
      </c>
      <c r="AE36" s="83" t="s">
        <v>77</v>
      </c>
      <c r="AF36" s="83" t="s">
        <v>77</v>
      </c>
      <c r="AG36" s="83" t="s">
        <v>77</v>
      </c>
      <c r="AH36" s="83" t="s">
        <v>77</v>
      </c>
      <c r="AI36" s="83"/>
      <c r="AJ36" s="63"/>
      <c r="AK36" s="63">
        <v>1</v>
      </c>
      <c r="AL36" s="63">
        <v>1</v>
      </c>
      <c r="AM36" s="83" t="s">
        <v>77</v>
      </c>
      <c r="AN36" s="83"/>
      <c r="AO36" s="83"/>
      <c r="AP36" s="83">
        <v>1</v>
      </c>
    </row>
    <row r="37" spans="1:42">
      <c r="A37" s="62"/>
      <c r="B37" s="63" t="str">
        <f>装备!B37</f>
        <v>E110</v>
      </c>
      <c r="C37" s="63" t="s">
        <v>36</v>
      </c>
      <c r="D37" s="63" t="s">
        <v>76</v>
      </c>
      <c r="E37" s="66" t="s">
        <v>670</v>
      </c>
      <c r="F37" s="63"/>
      <c r="G37" s="63"/>
      <c r="H37" s="63" t="str">
        <f>VLOOKUP(LEFT(RIGHT(B37,5),4),装备!B:CU,2,FALSE)</f>
        <v>法杖lv10</v>
      </c>
      <c r="I37" s="63" t="str">
        <f>VLOOKUP(B37,装备!B:CV,99,FALSE)</f>
        <v>|cffffcc00属性：|r|n法强+12000|n伤害加成+3%|n冷却缩减+6%|n</v>
      </c>
      <c r="J37" s="56" t="str">
        <f t="shared" si="8"/>
        <v>法杖lv10</v>
      </c>
      <c r="K37" s="56" t="str">
        <f t="shared" si="9"/>
        <v>|cffffcc00属性：|r|n法强+12000|n伤害加成+3%|n冷却缩减+6%|n</v>
      </c>
      <c r="L37" s="63"/>
      <c r="M37" s="65" t="str">
        <f>VLOOKUP(LEFT(RIGHT(B37,5),4),装备!B:CU,20,FALSE)</f>
        <v>ReplaceableTextures\\CommandButtons\\BTNE110.blp</v>
      </c>
      <c r="N37" s="83" t="s">
        <v>77</v>
      </c>
      <c r="O37" s="84" t="s">
        <v>78</v>
      </c>
      <c r="P37" s="63">
        <v>0</v>
      </c>
      <c r="Q37" s="63">
        <v>0</v>
      </c>
      <c r="R37" s="83" t="s">
        <v>77</v>
      </c>
      <c r="S37" s="83" t="s">
        <v>77</v>
      </c>
      <c r="T37" s="83" t="s">
        <v>77</v>
      </c>
      <c r="U37" s="83" t="s">
        <v>77</v>
      </c>
      <c r="V37" s="63"/>
      <c r="W37" s="66" t="s">
        <v>665</v>
      </c>
      <c r="X37" s="63">
        <v>0</v>
      </c>
      <c r="Y37" s="83" t="s">
        <v>77</v>
      </c>
      <c r="Z37" s="63">
        <v>0</v>
      </c>
      <c r="AA37" s="63">
        <v>0</v>
      </c>
      <c r="AB37" s="63">
        <v>0</v>
      </c>
      <c r="AC37" s="63">
        <v>1</v>
      </c>
      <c r="AD37" s="63">
        <v>1</v>
      </c>
      <c r="AE37" s="83" t="s">
        <v>77</v>
      </c>
      <c r="AF37" s="83" t="s">
        <v>77</v>
      </c>
      <c r="AG37" s="83" t="s">
        <v>77</v>
      </c>
      <c r="AH37" s="83" t="s">
        <v>77</v>
      </c>
      <c r="AI37" s="83"/>
      <c r="AJ37" s="63"/>
      <c r="AK37" s="63">
        <v>1</v>
      </c>
      <c r="AL37" s="63">
        <v>1</v>
      </c>
      <c r="AM37" s="83" t="s">
        <v>77</v>
      </c>
      <c r="AN37" s="83"/>
      <c r="AO37" s="83"/>
      <c r="AP37" s="83">
        <v>1</v>
      </c>
    </row>
    <row r="38" spans="1:42">
      <c r="A38" s="62"/>
      <c r="B38" s="63" t="str">
        <f>装备!B38</f>
        <v>E111</v>
      </c>
      <c r="C38" s="63" t="s">
        <v>36</v>
      </c>
      <c r="D38" s="63" t="s">
        <v>76</v>
      </c>
      <c r="E38" s="66" t="s">
        <v>670</v>
      </c>
      <c r="F38" s="63"/>
      <c r="G38" s="63"/>
      <c r="H38" s="63" t="str">
        <f>VLOOKUP(LEFT(RIGHT(B38,5),4),装备!B:CU,2,FALSE)</f>
        <v>法杖lv11</v>
      </c>
      <c r="I38" s="63" t="str">
        <f>VLOOKUP(B38,装备!B:CV,99,FALSE)</f>
        <v>|cffffcc00属性：|r|n法强+14200|n伤害加成+6%|n冷却缩减+9%|n</v>
      </c>
      <c r="J38" s="56" t="str">
        <f t="shared" si="8"/>
        <v>法杖lv11</v>
      </c>
      <c r="K38" s="56" t="str">
        <f t="shared" si="9"/>
        <v>|cffffcc00属性：|r|n法强+14200|n伤害加成+6%|n冷却缩减+9%|n</v>
      </c>
      <c r="L38" s="63"/>
      <c r="M38" s="65" t="str">
        <f>VLOOKUP(LEFT(RIGHT(B38,5),4),装备!B:CU,20,FALSE)</f>
        <v>ReplaceableTextures\\CommandButtons\\BTNE111.blp</v>
      </c>
      <c r="N38" s="83" t="s">
        <v>77</v>
      </c>
      <c r="O38" s="84" t="s">
        <v>78</v>
      </c>
      <c r="P38" s="63">
        <v>0</v>
      </c>
      <c r="Q38" s="63">
        <v>0</v>
      </c>
      <c r="R38" s="83" t="s">
        <v>77</v>
      </c>
      <c r="S38" s="83" t="s">
        <v>77</v>
      </c>
      <c r="T38" s="83" t="s">
        <v>77</v>
      </c>
      <c r="U38" s="83" t="s">
        <v>77</v>
      </c>
      <c r="V38" s="63"/>
      <c r="W38" s="66" t="s">
        <v>665</v>
      </c>
      <c r="X38" s="63">
        <v>0</v>
      </c>
      <c r="Y38" s="83" t="s">
        <v>77</v>
      </c>
      <c r="Z38" s="63">
        <v>0</v>
      </c>
      <c r="AA38" s="63">
        <v>0</v>
      </c>
      <c r="AB38" s="63">
        <v>0</v>
      </c>
      <c r="AC38" s="63">
        <v>1</v>
      </c>
      <c r="AD38" s="63">
        <v>1</v>
      </c>
      <c r="AE38" s="83" t="s">
        <v>77</v>
      </c>
      <c r="AF38" s="83" t="s">
        <v>77</v>
      </c>
      <c r="AG38" s="83" t="s">
        <v>77</v>
      </c>
      <c r="AH38" s="83" t="s">
        <v>77</v>
      </c>
      <c r="AI38" s="83"/>
      <c r="AJ38" s="63"/>
      <c r="AK38" s="63">
        <v>1</v>
      </c>
      <c r="AL38" s="63">
        <v>1</v>
      </c>
      <c r="AM38" s="83" t="s">
        <v>77</v>
      </c>
      <c r="AN38" s="83"/>
      <c r="AO38" s="83"/>
      <c r="AP38" s="83">
        <v>1</v>
      </c>
    </row>
    <row r="39" spans="1:42">
      <c r="A39" s="62"/>
      <c r="B39" s="63" t="str">
        <f>装备!B39</f>
        <v>E112</v>
      </c>
      <c r="C39" s="63" t="s">
        <v>36</v>
      </c>
      <c r="D39" s="63" t="s">
        <v>76</v>
      </c>
      <c r="E39" s="66" t="s">
        <v>670</v>
      </c>
      <c r="F39" s="63"/>
      <c r="G39" s="63"/>
      <c r="H39" s="63" t="str">
        <f>VLOOKUP(LEFT(RIGHT(B39,5),4),装备!B:CU,2,FALSE)</f>
        <v>法杖lv12</v>
      </c>
      <c r="I39" s="63" t="str">
        <f>VLOOKUP(B39,装备!B:CV,99,FALSE)</f>
        <v>|cffffcc00属性：|r|n法强+16400|n伤害加成+6%|n冷却缩减+9%|n</v>
      </c>
      <c r="J39" s="56" t="str">
        <f t="shared" si="8"/>
        <v>法杖lv12</v>
      </c>
      <c r="K39" s="56" t="str">
        <f t="shared" si="9"/>
        <v>|cffffcc00属性：|r|n法强+16400|n伤害加成+6%|n冷却缩减+9%|n</v>
      </c>
      <c r="L39" s="63"/>
      <c r="M39" s="65" t="str">
        <f>VLOOKUP(LEFT(RIGHT(B39,5),4),装备!B:CU,20,FALSE)</f>
        <v>ReplaceableTextures\\CommandButtons\\BTNE112.blp</v>
      </c>
      <c r="N39" s="83" t="s">
        <v>77</v>
      </c>
      <c r="O39" s="84" t="s">
        <v>78</v>
      </c>
      <c r="P39" s="63">
        <v>0</v>
      </c>
      <c r="Q39" s="63">
        <v>0</v>
      </c>
      <c r="R39" s="83" t="s">
        <v>77</v>
      </c>
      <c r="S39" s="83" t="s">
        <v>77</v>
      </c>
      <c r="T39" s="83" t="s">
        <v>77</v>
      </c>
      <c r="U39" s="83" t="s">
        <v>77</v>
      </c>
      <c r="V39" s="63"/>
      <c r="W39" s="66" t="s">
        <v>665</v>
      </c>
      <c r="X39" s="63">
        <v>0</v>
      </c>
      <c r="Y39" s="83" t="s">
        <v>77</v>
      </c>
      <c r="Z39" s="63">
        <v>0</v>
      </c>
      <c r="AA39" s="63">
        <v>0</v>
      </c>
      <c r="AB39" s="63">
        <v>0</v>
      </c>
      <c r="AC39" s="63">
        <v>1</v>
      </c>
      <c r="AD39" s="63">
        <v>1</v>
      </c>
      <c r="AE39" s="83" t="s">
        <v>77</v>
      </c>
      <c r="AF39" s="83" t="s">
        <v>77</v>
      </c>
      <c r="AG39" s="83" t="s">
        <v>77</v>
      </c>
      <c r="AH39" s="83" t="s">
        <v>77</v>
      </c>
      <c r="AI39" s="83"/>
      <c r="AJ39" s="63"/>
      <c r="AK39" s="63">
        <v>1</v>
      </c>
      <c r="AL39" s="63">
        <v>1</v>
      </c>
      <c r="AM39" s="83" t="s">
        <v>77</v>
      </c>
      <c r="AN39" s="83"/>
      <c r="AO39" s="83"/>
      <c r="AP39" s="83">
        <v>1</v>
      </c>
    </row>
    <row r="40" spans="1:42">
      <c r="A40" s="62"/>
      <c r="B40" s="63" t="str">
        <f>装备!B40</f>
        <v>E113</v>
      </c>
      <c r="C40" s="63" t="s">
        <v>36</v>
      </c>
      <c r="D40" s="63" t="s">
        <v>76</v>
      </c>
      <c r="E40" s="66" t="s">
        <v>670</v>
      </c>
      <c r="F40" s="63"/>
      <c r="G40" s="63"/>
      <c r="H40" s="63" t="str">
        <f>VLOOKUP(LEFT(RIGHT(B40,5),4),装备!B:CU,2,FALSE)</f>
        <v>法杖lv13</v>
      </c>
      <c r="I40" s="63" t="str">
        <f>VLOOKUP(B40,装备!B:CV,99,FALSE)</f>
        <v>|cffffcc00属性：|r|n法强+18600|n伤害加成+6%|n冷却缩减+9%|n</v>
      </c>
      <c r="J40" s="56" t="str">
        <f t="shared" si="8"/>
        <v>法杖lv13</v>
      </c>
      <c r="K40" s="56" t="str">
        <f t="shared" si="9"/>
        <v>|cffffcc00属性：|r|n法强+18600|n伤害加成+6%|n冷却缩减+9%|n</v>
      </c>
      <c r="L40" s="63"/>
      <c r="M40" s="65" t="str">
        <f>VLOOKUP(LEFT(RIGHT(B40,5),4),装备!B:CU,20,FALSE)</f>
        <v>ReplaceableTextures\\CommandButtons\\BTNE113.blp</v>
      </c>
      <c r="N40" s="83" t="s">
        <v>77</v>
      </c>
      <c r="O40" s="84" t="s">
        <v>78</v>
      </c>
      <c r="P40" s="63">
        <v>0</v>
      </c>
      <c r="Q40" s="63">
        <v>0</v>
      </c>
      <c r="R40" s="83" t="s">
        <v>77</v>
      </c>
      <c r="S40" s="83" t="s">
        <v>77</v>
      </c>
      <c r="T40" s="83" t="s">
        <v>77</v>
      </c>
      <c r="U40" s="83" t="s">
        <v>77</v>
      </c>
      <c r="V40" s="63"/>
      <c r="W40" s="66" t="s">
        <v>665</v>
      </c>
      <c r="X40" s="63">
        <v>0</v>
      </c>
      <c r="Y40" s="83" t="s">
        <v>77</v>
      </c>
      <c r="Z40" s="63">
        <v>0</v>
      </c>
      <c r="AA40" s="63">
        <v>0</v>
      </c>
      <c r="AB40" s="63">
        <v>0</v>
      </c>
      <c r="AC40" s="63">
        <v>1</v>
      </c>
      <c r="AD40" s="63">
        <v>1</v>
      </c>
      <c r="AE40" s="83" t="s">
        <v>77</v>
      </c>
      <c r="AF40" s="83" t="s">
        <v>77</v>
      </c>
      <c r="AG40" s="83" t="s">
        <v>77</v>
      </c>
      <c r="AH40" s="83" t="s">
        <v>77</v>
      </c>
      <c r="AI40" s="83"/>
      <c r="AJ40" s="63"/>
      <c r="AK40" s="63">
        <v>1</v>
      </c>
      <c r="AL40" s="63">
        <v>1</v>
      </c>
      <c r="AM40" s="83" t="s">
        <v>77</v>
      </c>
      <c r="AN40" s="83"/>
      <c r="AO40" s="83"/>
      <c r="AP40" s="83">
        <v>1</v>
      </c>
    </row>
    <row r="41" spans="1:42">
      <c r="A41" s="62"/>
      <c r="B41" s="63" t="str">
        <f>装备!B41</f>
        <v>E114</v>
      </c>
      <c r="C41" s="63" t="s">
        <v>36</v>
      </c>
      <c r="D41" s="63" t="s">
        <v>76</v>
      </c>
      <c r="E41" s="66" t="s">
        <v>670</v>
      </c>
      <c r="F41" s="63"/>
      <c r="G41" s="63"/>
      <c r="H41" s="63" t="str">
        <f>VLOOKUP(LEFT(RIGHT(B41,5),4),装备!B:CU,2,FALSE)</f>
        <v>法杖lv14</v>
      </c>
      <c r="I41" s="63" t="str">
        <f>VLOOKUP(B41,装备!B:CV,99,FALSE)</f>
        <v>|cffffcc00属性：|r|n法强+20800|n伤害加成+6%|n冷却缩减+9%|n</v>
      </c>
      <c r="J41" s="56" t="str">
        <f t="shared" si="8"/>
        <v>法杖lv14</v>
      </c>
      <c r="K41" s="56" t="str">
        <f t="shared" si="9"/>
        <v>|cffffcc00属性：|r|n法强+20800|n伤害加成+6%|n冷却缩减+9%|n</v>
      </c>
      <c r="L41" s="63"/>
      <c r="M41" s="65" t="str">
        <f>VLOOKUP(LEFT(RIGHT(B41,5),4),装备!B:CU,20,FALSE)</f>
        <v>ReplaceableTextures\\CommandButtons\\BTNE114.blp</v>
      </c>
      <c r="N41" s="83" t="s">
        <v>77</v>
      </c>
      <c r="O41" s="84" t="s">
        <v>78</v>
      </c>
      <c r="P41" s="63">
        <v>0</v>
      </c>
      <c r="Q41" s="63">
        <v>0</v>
      </c>
      <c r="R41" s="83" t="s">
        <v>77</v>
      </c>
      <c r="S41" s="83" t="s">
        <v>77</v>
      </c>
      <c r="T41" s="83" t="s">
        <v>77</v>
      </c>
      <c r="U41" s="83" t="s">
        <v>77</v>
      </c>
      <c r="V41" s="63"/>
      <c r="W41" s="66" t="s">
        <v>665</v>
      </c>
      <c r="X41" s="63">
        <v>0</v>
      </c>
      <c r="Y41" s="83" t="s">
        <v>77</v>
      </c>
      <c r="Z41" s="63">
        <v>0</v>
      </c>
      <c r="AA41" s="63">
        <v>0</v>
      </c>
      <c r="AB41" s="63">
        <v>0</v>
      </c>
      <c r="AC41" s="63">
        <v>1</v>
      </c>
      <c r="AD41" s="63">
        <v>1</v>
      </c>
      <c r="AE41" s="83" t="s">
        <v>77</v>
      </c>
      <c r="AF41" s="83" t="s">
        <v>77</v>
      </c>
      <c r="AG41" s="83" t="s">
        <v>77</v>
      </c>
      <c r="AH41" s="83" t="s">
        <v>77</v>
      </c>
      <c r="AI41" s="83"/>
      <c r="AJ41" s="63"/>
      <c r="AK41" s="63">
        <v>1</v>
      </c>
      <c r="AL41" s="63">
        <v>1</v>
      </c>
      <c r="AM41" s="83" t="s">
        <v>77</v>
      </c>
      <c r="AN41" s="83"/>
      <c r="AO41" s="83"/>
      <c r="AP41" s="83">
        <v>1</v>
      </c>
    </row>
    <row r="42" spans="1:42">
      <c r="A42" s="62"/>
      <c r="B42" s="63" t="str">
        <f>装备!B42</f>
        <v>E115</v>
      </c>
      <c r="C42" s="63" t="s">
        <v>36</v>
      </c>
      <c r="D42" s="63" t="s">
        <v>76</v>
      </c>
      <c r="E42" s="66" t="s">
        <v>670</v>
      </c>
      <c r="F42" s="63"/>
      <c r="G42" s="63"/>
      <c r="H42" s="63" t="str">
        <f>VLOOKUP(LEFT(RIGHT(B42,5),4),装备!B:CU,2,FALSE)</f>
        <v>法杖lv15</v>
      </c>
      <c r="I42" s="63" t="str">
        <f>VLOOKUP(B42,装备!B:CV,99,FALSE)</f>
        <v>|cffffcc00属性：|r|n法强+23000|n伤害加成+6%|n冷却缩减+9%|n</v>
      </c>
      <c r="J42" s="56" t="str">
        <f t="shared" si="8"/>
        <v>法杖lv15</v>
      </c>
      <c r="K42" s="56" t="str">
        <f t="shared" si="9"/>
        <v>|cffffcc00属性：|r|n法强+23000|n伤害加成+6%|n冷却缩减+9%|n</v>
      </c>
      <c r="L42" s="63"/>
      <c r="M42" s="65" t="str">
        <f>VLOOKUP(LEFT(RIGHT(B42,5),4),装备!B:CU,20,FALSE)</f>
        <v>ReplaceableTextures\\CommandButtons\\BTNE115.blp</v>
      </c>
      <c r="N42" s="83" t="s">
        <v>77</v>
      </c>
      <c r="O42" s="84" t="s">
        <v>78</v>
      </c>
      <c r="P42" s="63">
        <v>0</v>
      </c>
      <c r="Q42" s="63">
        <v>0</v>
      </c>
      <c r="R42" s="83" t="s">
        <v>77</v>
      </c>
      <c r="S42" s="83" t="s">
        <v>77</v>
      </c>
      <c r="T42" s="83" t="s">
        <v>77</v>
      </c>
      <c r="U42" s="83" t="s">
        <v>77</v>
      </c>
      <c r="V42" s="63"/>
      <c r="W42" s="66" t="s">
        <v>665</v>
      </c>
      <c r="X42" s="63">
        <v>0</v>
      </c>
      <c r="Y42" s="83" t="s">
        <v>77</v>
      </c>
      <c r="Z42" s="63">
        <v>0</v>
      </c>
      <c r="AA42" s="63">
        <v>0</v>
      </c>
      <c r="AB42" s="63">
        <v>0</v>
      </c>
      <c r="AC42" s="63">
        <v>1</v>
      </c>
      <c r="AD42" s="63">
        <v>1</v>
      </c>
      <c r="AE42" s="83" t="s">
        <v>77</v>
      </c>
      <c r="AF42" s="83" t="s">
        <v>77</v>
      </c>
      <c r="AG42" s="83" t="s">
        <v>77</v>
      </c>
      <c r="AH42" s="83" t="s">
        <v>77</v>
      </c>
      <c r="AI42" s="83"/>
      <c r="AJ42" s="63"/>
      <c r="AK42" s="63">
        <v>1</v>
      </c>
      <c r="AL42" s="63">
        <v>1</v>
      </c>
      <c r="AM42" s="83" t="s">
        <v>77</v>
      </c>
      <c r="AN42" s="83"/>
      <c r="AO42" s="83"/>
      <c r="AP42" s="83">
        <v>1</v>
      </c>
    </row>
    <row r="43" spans="1:42">
      <c r="A43" s="62"/>
      <c r="B43" s="63" t="str">
        <f>装备!B43</f>
        <v>E116</v>
      </c>
      <c r="C43" s="63" t="s">
        <v>36</v>
      </c>
      <c r="D43" s="63" t="s">
        <v>76</v>
      </c>
      <c r="E43" s="66" t="s">
        <v>670</v>
      </c>
      <c r="F43" s="63"/>
      <c r="G43" s="63"/>
      <c r="H43" s="63" t="str">
        <f>VLOOKUP(LEFT(RIGHT(B43,5),4),装备!B:CU,2,FALSE)</f>
        <v>法杖lv16</v>
      </c>
      <c r="I43" s="63" t="str">
        <f>VLOOKUP(B43,装备!B:CV,99,FALSE)</f>
        <v>|cffffcc00属性：|r|n法强+27400|n伤害加成+9%|n冷却缩减+12%|n</v>
      </c>
      <c r="J43" s="56" t="str">
        <f t="shared" si="8"/>
        <v>法杖lv16</v>
      </c>
      <c r="K43" s="56" t="str">
        <f t="shared" si="9"/>
        <v>|cffffcc00属性：|r|n法强+27400|n伤害加成+9%|n冷却缩减+12%|n</v>
      </c>
      <c r="L43" s="63"/>
      <c r="M43" s="65" t="str">
        <f>VLOOKUP(LEFT(RIGHT(B43,5),4),装备!B:CU,20,FALSE)</f>
        <v>ReplaceableTextures\\CommandButtons\\BTNE116.blp</v>
      </c>
      <c r="N43" s="83" t="s">
        <v>77</v>
      </c>
      <c r="O43" s="84" t="s">
        <v>78</v>
      </c>
      <c r="P43" s="63">
        <v>0</v>
      </c>
      <c r="Q43" s="63">
        <v>0</v>
      </c>
      <c r="R43" s="83" t="s">
        <v>77</v>
      </c>
      <c r="S43" s="83" t="s">
        <v>77</v>
      </c>
      <c r="T43" s="83" t="s">
        <v>77</v>
      </c>
      <c r="U43" s="83" t="s">
        <v>77</v>
      </c>
      <c r="V43" s="63"/>
      <c r="W43" s="66" t="s">
        <v>665</v>
      </c>
      <c r="X43" s="63">
        <v>0</v>
      </c>
      <c r="Y43" s="83" t="s">
        <v>77</v>
      </c>
      <c r="Z43" s="63">
        <v>0</v>
      </c>
      <c r="AA43" s="63">
        <v>0</v>
      </c>
      <c r="AB43" s="63">
        <v>0</v>
      </c>
      <c r="AC43" s="63">
        <v>1</v>
      </c>
      <c r="AD43" s="63">
        <v>1</v>
      </c>
      <c r="AE43" s="83" t="s">
        <v>77</v>
      </c>
      <c r="AF43" s="83" t="s">
        <v>77</v>
      </c>
      <c r="AG43" s="83" t="s">
        <v>77</v>
      </c>
      <c r="AH43" s="83" t="s">
        <v>77</v>
      </c>
      <c r="AI43" s="83"/>
      <c r="AJ43" s="63"/>
      <c r="AK43" s="63">
        <v>1</v>
      </c>
      <c r="AL43" s="63">
        <v>1</v>
      </c>
      <c r="AM43" s="83" t="s">
        <v>77</v>
      </c>
      <c r="AN43" s="83"/>
      <c r="AO43" s="83"/>
      <c r="AP43" s="83">
        <v>1</v>
      </c>
    </row>
    <row r="44" spans="1:42">
      <c r="A44" s="62"/>
      <c r="B44" s="63" t="str">
        <f>装备!B44</f>
        <v>E117</v>
      </c>
      <c r="C44" s="63" t="s">
        <v>36</v>
      </c>
      <c r="D44" s="63" t="s">
        <v>76</v>
      </c>
      <c r="E44" s="66" t="s">
        <v>670</v>
      </c>
      <c r="F44" s="63"/>
      <c r="G44" s="63"/>
      <c r="H44" s="63" t="str">
        <f>VLOOKUP(LEFT(RIGHT(B44,5),4),装备!B:CU,2,FALSE)</f>
        <v>法杖lv17</v>
      </c>
      <c r="I44" s="63" t="str">
        <f>VLOOKUP(B44,装备!B:CV,99,FALSE)</f>
        <v>|cffffcc00属性：|r|n法强+31800|n伤害加成+9%|n冷却缩减+12%|n</v>
      </c>
      <c r="J44" s="56" t="str">
        <f t="shared" si="8"/>
        <v>法杖lv17</v>
      </c>
      <c r="K44" s="56" t="str">
        <f t="shared" si="9"/>
        <v>|cffffcc00属性：|r|n法强+31800|n伤害加成+9%|n冷却缩减+12%|n</v>
      </c>
      <c r="L44" s="63"/>
      <c r="M44" s="65" t="str">
        <f>VLOOKUP(LEFT(RIGHT(B44,5),4),装备!B:CU,20,FALSE)</f>
        <v>ReplaceableTextures\\CommandButtons\\BTNE117.blp</v>
      </c>
      <c r="N44" s="83" t="s">
        <v>77</v>
      </c>
      <c r="O44" s="84" t="s">
        <v>78</v>
      </c>
      <c r="P44" s="63">
        <v>0</v>
      </c>
      <c r="Q44" s="63">
        <v>0</v>
      </c>
      <c r="R44" s="83" t="s">
        <v>77</v>
      </c>
      <c r="S44" s="83" t="s">
        <v>77</v>
      </c>
      <c r="T44" s="83" t="s">
        <v>77</v>
      </c>
      <c r="U44" s="83" t="s">
        <v>77</v>
      </c>
      <c r="V44" s="63"/>
      <c r="W44" s="66" t="s">
        <v>665</v>
      </c>
      <c r="X44" s="63">
        <v>0</v>
      </c>
      <c r="Y44" s="83" t="s">
        <v>77</v>
      </c>
      <c r="Z44" s="63">
        <v>0</v>
      </c>
      <c r="AA44" s="63">
        <v>0</v>
      </c>
      <c r="AB44" s="63">
        <v>0</v>
      </c>
      <c r="AC44" s="63">
        <v>1</v>
      </c>
      <c r="AD44" s="63">
        <v>1</v>
      </c>
      <c r="AE44" s="83" t="s">
        <v>77</v>
      </c>
      <c r="AF44" s="83" t="s">
        <v>77</v>
      </c>
      <c r="AG44" s="83" t="s">
        <v>77</v>
      </c>
      <c r="AH44" s="83" t="s">
        <v>77</v>
      </c>
      <c r="AI44" s="83"/>
      <c r="AJ44" s="63"/>
      <c r="AK44" s="63">
        <v>1</v>
      </c>
      <c r="AL44" s="63">
        <v>1</v>
      </c>
      <c r="AM44" s="83" t="s">
        <v>77</v>
      </c>
      <c r="AN44" s="83"/>
      <c r="AO44" s="83"/>
      <c r="AP44" s="83">
        <v>1</v>
      </c>
    </row>
    <row r="45" spans="1:42">
      <c r="A45" s="62"/>
      <c r="B45" s="63" t="str">
        <f>装备!B45</f>
        <v>E118</v>
      </c>
      <c r="C45" s="63" t="s">
        <v>36</v>
      </c>
      <c r="D45" s="63" t="s">
        <v>76</v>
      </c>
      <c r="E45" s="66" t="s">
        <v>670</v>
      </c>
      <c r="F45" s="63"/>
      <c r="G45" s="63"/>
      <c r="H45" s="63" t="str">
        <f>VLOOKUP(LEFT(RIGHT(B45,5),4),装备!B:CU,2,FALSE)</f>
        <v>法杖lv18</v>
      </c>
      <c r="I45" s="63" t="str">
        <f>VLOOKUP(B45,装备!B:CV,99,FALSE)</f>
        <v>|cffffcc00属性：|r|n法强+36200|n伤害加成+9%|n冷却缩减+12%|n</v>
      </c>
      <c r="J45" s="56" t="str">
        <f t="shared" si="8"/>
        <v>法杖lv18</v>
      </c>
      <c r="K45" s="56" t="str">
        <f t="shared" si="9"/>
        <v>|cffffcc00属性：|r|n法强+36200|n伤害加成+9%|n冷却缩减+12%|n</v>
      </c>
      <c r="L45" s="63"/>
      <c r="M45" s="65" t="str">
        <f>VLOOKUP(LEFT(RIGHT(B45,5),4),装备!B:CU,20,FALSE)</f>
        <v>ReplaceableTextures\\CommandButtons\\BTNE118.blp</v>
      </c>
      <c r="N45" s="83" t="s">
        <v>77</v>
      </c>
      <c r="O45" s="84" t="s">
        <v>78</v>
      </c>
      <c r="P45" s="63">
        <v>0</v>
      </c>
      <c r="Q45" s="63">
        <v>0</v>
      </c>
      <c r="R45" s="83" t="s">
        <v>77</v>
      </c>
      <c r="S45" s="83" t="s">
        <v>77</v>
      </c>
      <c r="T45" s="83" t="s">
        <v>77</v>
      </c>
      <c r="U45" s="83" t="s">
        <v>77</v>
      </c>
      <c r="V45" s="63"/>
      <c r="W45" s="66" t="s">
        <v>665</v>
      </c>
      <c r="X45" s="63">
        <v>0</v>
      </c>
      <c r="Y45" s="83" t="s">
        <v>77</v>
      </c>
      <c r="Z45" s="63">
        <v>0</v>
      </c>
      <c r="AA45" s="63">
        <v>0</v>
      </c>
      <c r="AB45" s="63">
        <v>0</v>
      </c>
      <c r="AC45" s="63">
        <v>1</v>
      </c>
      <c r="AD45" s="63">
        <v>1</v>
      </c>
      <c r="AE45" s="83" t="s">
        <v>77</v>
      </c>
      <c r="AF45" s="83" t="s">
        <v>77</v>
      </c>
      <c r="AG45" s="83" t="s">
        <v>77</v>
      </c>
      <c r="AH45" s="83" t="s">
        <v>77</v>
      </c>
      <c r="AI45" s="83"/>
      <c r="AJ45" s="63"/>
      <c r="AK45" s="63">
        <v>1</v>
      </c>
      <c r="AL45" s="63">
        <v>1</v>
      </c>
      <c r="AM45" s="83" t="s">
        <v>77</v>
      </c>
      <c r="AN45" s="83"/>
      <c r="AO45" s="83"/>
      <c r="AP45" s="83">
        <v>1</v>
      </c>
    </row>
    <row r="46" spans="1:42">
      <c r="A46" s="62"/>
      <c r="B46" s="63" t="str">
        <f>装备!B46</f>
        <v>E119</v>
      </c>
      <c r="C46" s="63" t="s">
        <v>36</v>
      </c>
      <c r="D46" s="63" t="s">
        <v>76</v>
      </c>
      <c r="E46" s="66" t="s">
        <v>670</v>
      </c>
      <c r="F46" s="63"/>
      <c r="G46" s="63"/>
      <c r="H46" s="63" t="str">
        <f>VLOOKUP(LEFT(RIGHT(B46,5),4),装备!B:CU,2,FALSE)</f>
        <v>法杖lv19</v>
      </c>
      <c r="I46" s="63" t="str">
        <f>VLOOKUP(B46,装备!B:CV,99,FALSE)</f>
        <v>|cffffcc00属性：|r|n法强+40600|n伤害加成+9%|n冷却缩减+12%|n</v>
      </c>
      <c r="J46" s="56" t="str">
        <f t="shared" si="8"/>
        <v>法杖lv19</v>
      </c>
      <c r="K46" s="56" t="str">
        <f t="shared" si="9"/>
        <v>|cffffcc00属性：|r|n法强+40600|n伤害加成+9%|n冷却缩减+12%|n</v>
      </c>
      <c r="L46" s="63"/>
      <c r="M46" s="65" t="str">
        <f>VLOOKUP(LEFT(RIGHT(B46,5),4),装备!B:CU,20,FALSE)</f>
        <v>ReplaceableTextures\\CommandButtons\\BTNE119.blp</v>
      </c>
      <c r="N46" s="83" t="s">
        <v>77</v>
      </c>
      <c r="O46" s="84" t="s">
        <v>78</v>
      </c>
      <c r="P46" s="63">
        <v>0</v>
      </c>
      <c r="Q46" s="63">
        <v>0</v>
      </c>
      <c r="R46" s="83" t="s">
        <v>77</v>
      </c>
      <c r="S46" s="83" t="s">
        <v>77</v>
      </c>
      <c r="T46" s="83" t="s">
        <v>77</v>
      </c>
      <c r="U46" s="83" t="s">
        <v>77</v>
      </c>
      <c r="V46" s="63"/>
      <c r="W46" s="66" t="s">
        <v>665</v>
      </c>
      <c r="X46" s="63">
        <v>0</v>
      </c>
      <c r="Y46" s="83" t="s">
        <v>77</v>
      </c>
      <c r="Z46" s="63">
        <v>0</v>
      </c>
      <c r="AA46" s="63">
        <v>0</v>
      </c>
      <c r="AB46" s="63">
        <v>0</v>
      </c>
      <c r="AC46" s="63">
        <v>1</v>
      </c>
      <c r="AD46" s="63">
        <v>1</v>
      </c>
      <c r="AE46" s="83" t="s">
        <v>77</v>
      </c>
      <c r="AF46" s="83" t="s">
        <v>77</v>
      </c>
      <c r="AG46" s="83" t="s">
        <v>77</v>
      </c>
      <c r="AH46" s="83" t="s">
        <v>77</v>
      </c>
      <c r="AI46" s="83"/>
      <c r="AJ46" s="63"/>
      <c r="AK46" s="63">
        <v>1</v>
      </c>
      <c r="AL46" s="63">
        <v>1</v>
      </c>
      <c r="AM46" s="83" t="s">
        <v>77</v>
      </c>
      <c r="AN46" s="83"/>
      <c r="AO46" s="83"/>
      <c r="AP46" s="83">
        <v>1</v>
      </c>
    </row>
    <row r="47" spans="1:42">
      <c r="A47" s="62"/>
      <c r="B47" s="63" t="str">
        <f>装备!B47</f>
        <v>E120</v>
      </c>
      <c r="C47" s="63" t="s">
        <v>36</v>
      </c>
      <c r="D47" s="63" t="s">
        <v>76</v>
      </c>
      <c r="E47" s="66" t="s">
        <v>670</v>
      </c>
      <c r="F47" s="63"/>
      <c r="G47" s="63"/>
      <c r="H47" s="63" t="str">
        <f>VLOOKUP(LEFT(RIGHT(B47,5),4),装备!B:CU,2,FALSE)</f>
        <v>法杖lv20</v>
      </c>
      <c r="I47" s="63" t="str">
        <f>VLOOKUP(B47,装备!B:CV,99,FALSE)</f>
        <v>|cffffcc00属性：|r|n法强+45000|n伤害加成+9%|n冷却缩减+12%|n</v>
      </c>
      <c r="J47" s="56" t="str">
        <f t="shared" si="8"/>
        <v>法杖lv20</v>
      </c>
      <c r="K47" s="56" t="str">
        <f t="shared" si="9"/>
        <v>|cffffcc00属性：|r|n法强+45000|n伤害加成+9%|n冷却缩减+12%|n</v>
      </c>
      <c r="L47" s="63"/>
      <c r="M47" s="65" t="str">
        <f>VLOOKUP(LEFT(RIGHT(B47,5),4),装备!B:CU,20,FALSE)</f>
        <v>ReplaceableTextures\\CommandButtons\\BTNE120.blp</v>
      </c>
      <c r="N47" s="83" t="s">
        <v>77</v>
      </c>
      <c r="O47" s="84" t="s">
        <v>78</v>
      </c>
      <c r="P47" s="63">
        <v>0</v>
      </c>
      <c r="Q47" s="63">
        <v>0</v>
      </c>
      <c r="R47" s="83" t="s">
        <v>77</v>
      </c>
      <c r="S47" s="83" t="s">
        <v>77</v>
      </c>
      <c r="T47" s="83" t="s">
        <v>77</v>
      </c>
      <c r="U47" s="83" t="s">
        <v>77</v>
      </c>
      <c r="V47" s="63"/>
      <c r="W47" s="66" t="s">
        <v>665</v>
      </c>
      <c r="X47" s="63">
        <v>0</v>
      </c>
      <c r="Y47" s="83" t="s">
        <v>77</v>
      </c>
      <c r="Z47" s="63">
        <v>0</v>
      </c>
      <c r="AA47" s="63">
        <v>0</v>
      </c>
      <c r="AB47" s="63">
        <v>0</v>
      </c>
      <c r="AC47" s="63">
        <v>1</v>
      </c>
      <c r="AD47" s="63">
        <v>1</v>
      </c>
      <c r="AE47" s="83" t="s">
        <v>77</v>
      </c>
      <c r="AF47" s="83" t="s">
        <v>77</v>
      </c>
      <c r="AG47" s="83" t="s">
        <v>77</v>
      </c>
      <c r="AH47" s="83" t="s">
        <v>77</v>
      </c>
      <c r="AI47" s="83"/>
      <c r="AJ47" s="63"/>
      <c r="AK47" s="63">
        <v>1</v>
      </c>
      <c r="AL47" s="63">
        <v>1</v>
      </c>
      <c r="AM47" s="83" t="s">
        <v>77</v>
      </c>
      <c r="AN47" s="83"/>
      <c r="AO47" s="83"/>
      <c r="AP47" s="83">
        <v>1</v>
      </c>
    </row>
    <row r="48" spans="1:42">
      <c r="A48" s="62"/>
      <c r="B48" s="63" t="str">
        <f>装备!B48</f>
        <v>E121</v>
      </c>
      <c r="C48" s="63" t="s">
        <v>36</v>
      </c>
      <c r="D48" s="63" t="s">
        <v>76</v>
      </c>
      <c r="E48" s="66" t="s">
        <v>670</v>
      </c>
      <c r="F48" s="63"/>
      <c r="G48" s="63"/>
      <c r="H48" s="63" t="str">
        <f>VLOOKUP(LEFT(RIGHT(B48,5),4),装备!B:CU,2,FALSE)</f>
        <v>法杖lv21</v>
      </c>
      <c r="I48" s="63" t="str">
        <f>VLOOKUP(B48,装备!B:CV,99,FALSE)</f>
        <v>|cffffcc00属性：|r|n法强+56000|n伤害加成+12%|n冷却缩减+15%|n</v>
      </c>
      <c r="J48" s="56" t="str">
        <f t="shared" si="8"/>
        <v>法杖lv21</v>
      </c>
      <c r="K48" s="56" t="str">
        <f t="shared" si="9"/>
        <v>|cffffcc00属性：|r|n法强+56000|n伤害加成+12%|n冷却缩减+15%|n</v>
      </c>
      <c r="L48" s="63"/>
      <c r="M48" s="65" t="str">
        <f>VLOOKUP(LEFT(RIGHT(B48,5),4),装备!B:CU,20,FALSE)</f>
        <v>ReplaceableTextures\\CommandButtons\\BTNE121.blp</v>
      </c>
      <c r="N48" s="83" t="s">
        <v>77</v>
      </c>
      <c r="O48" s="84" t="s">
        <v>78</v>
      </c>
      <c r="P48" s="63">
        <v>0</v>
      </c>
      <c r="Q48" s="63">
        <v>0</v>
      </c>
      <c r="R48" s="83" t="s">
        <v>77</v>
      </c>
      <c r="S48" s="83" t="s">
        <v>77</v>
      </c>
      <c r="T48" s="83" t="s">
        <v>77</v>
      </c>
      <c r="U48" s="83" t="s">
        <v>77</v>
      </c>
      <c r="V48" s="63"/>
      <c r="W48" s="66" t="s">
        <v>665</v>
      </c>
      <c r="X48" s="63">
        <v>0</v>
      </c>
      <c r="Y48" s="83" t="s">
        <v>77</v>
      </c>
      <c r="Z48" s="63">
        <v>0</v>
      </c>
      <c r="AA48" s="63">
        <v>0</v>
      </c>
      <c r="AB48" s="63">
        <v>0</v>
      </c>
      <c r="AC48" s="63">
        <v>1</v>
      </c>
      <c r="AD48" s="63">
        <v>1</v>
      </c>
      <c r="AE48" s="83" t="s">
        <v>77</v>
      </c>
      <c r="AF48" s="83" t="s">
        <v>77</v>
      </c>
      <c r="AG48" s="83" t="s">
        <v>77</v>
      </c>
      <c r="AH48" s="83" t="s">
        <v>77</v>
      </c>
      <c r="AI48" s="83"/>
      <c r="AJ48" s="63"/>
      <c r="AK48" s="63">
        <v>1</v>
      </c>
      <c r="AL48" s="63">
        <v>1</v>
      </c>
      <c r="AM48" s="83" t="s">
        <v>77</v>
      </c>
      <c r="AN48" s="83"/>
      <c r="AO48" s="83"/>
      <c r="AP48" s="83">
        <v>1</v>
      </c>
    </row>
    <row r="49" spans="1:42">
      <c r="A49" s="62"/>
      <c r="B49" s="63" t="str">
        <f>装备!B49</f>
        <v>E122</v>
      </c>
      <c r="C49" s="63" t="s">
        <v>36</v>
      </c>
      <c r="D49" s="63" t="s">
        <v>76</v>
      </c>
      <c r="E49" s="66" t="s">
        <v>670</v>
      </c>
      <c r="F49" s="63"/>
      <c r="G49" s="63"/>
      <c r="H49" s="63" t="str">
        <f>VLOOKUP(LEFT(RIGHT(B49,5),4),装备!B:CU,2,FALSE)</f>
        <v>法杖lv22</v>
      </c>
      <c r="I49" s="63" t="str">
        <f>VLOOKUP(B49,装备!B:CV,99,FALSE)</f>
        <v>|cffffcc00属性：|r|n法强+67000|n伤害加成+12%|n冷却缩减+15%|n</v>
      </c>
      <c r="J49" s="56" t="str">
        <f t="shared" si="8"/>
        <v>法杖lv22</v>
      </c>
      <c r="K49" s="56" t="str">
        <f t="shared" si="9"/>
        <v>|cffffcc00属性：|r|n法强+67000|n伤害加成+12%|n冷却缩减+15%|n</v>
      </c>
      <c r="L49" s="63"/>
      <c r="M49" s="65" t="str">
        <f>VLOOKUP(LEFT(RIGHT(B49,5),4),装备!B:CU,20,FALSE)</f>
        <v>ReplaceableTextures\\CommandButtons\\BTNE122.blp</v>
      </c>
      <c r="N49" s="83" t="s">
        <v>77</v>
      </c>
      <c r="O49" s="84" t="s">
        <v>78</v>
      </c>
      <c r="P49" s="63">
        <v>0</v>
      </c>
      <c r="Q49" s="63">
        <v>0</v>
      </c>
      <c r="R49" s="83" t="s">
        <v>77</v>
      </c>
      <c r="S49" s="83" t="s">
        <v>77</v>
      </c>
      <c r="T49" s="83" t="s">
        <v>77</v>
      </c>
      <c r="U49" s="83" t="s">
        <v>77</v>
      </c>
      <c r="V49" s="63"/>
      <c r="W49" s="66" t="s">
        <v>665</v>
      </c>
      <c r="X49" s="63">
        <v>0</v>
      </c>
      <c r="Y49" s="83" t="s">
        <v>77</v>
      </c>
      <c r="Z49" s="63">
        <v>0</v>
      </c>
      <c r="AA49" s="63">
        <v>0</v>
      </c>
      <c r="AB49" s="63">
        <v>0</v>
      </c>
      <c r="AC49" s="63">
        <v>1</v>
      </c>
      <c r="AD49" s="63">
        <v>1</v>
      </c>
      <c r="AE49" s="83" t="s">
        <v>77</v>
      </c>
      <c r="AF49" s="83" t="s">
        <v>77</v>
      </c>
      <c r="AG49" s="83" t="s">
        <v>77</v>
      </c>
      <c r="AH49" s="83" t="s">
        <v>77</v>
      </c>
      <c r="AI49" s="83"/>
      <c r="AJ49" s="63"/>
      <c r="AK49" s="63">
        <v>1</v>
      </c>
      <c r="AL49" s="63">
        <v>1</v>
      </c>
      <c r="AM49" s="83" t="s">
        <v>77</v>
      </c>
      <c r="AN49" s="83"/>
      <c r="AO49" s="83"/>
      <c r="AP49" s="83">
        <v>1</v>
      </c>
    </row>
    <row r="50" spans="1:42">
      <c r="A50" s="62"/>
      <c r="B50" s="63" t="str">
        <f>装备!B50</f>
        <v>E123</v>
      </c>
      <c r="C50" s="63" t="s">
        <v>36</v>
      </c>
      <c r="D50" s="63" t="s">
        <v>76</v>
      </c>
      <c r="E50" s="66" t="s">
        <v>670</v>
      </c>
      <c r="F50" s="63"/>
      <c r="G50" s="63"/>
      <c r="H50" s="63" t="str">
        <f>VLOOKUP(LEFT(RIGHT(B50,5),4),装备!B:CU,2,FALSE)</f>
        <v>法杖lv23</v>
      </c>
      <c r="I50" s="63" t="str">
        <f>VLOOKUP(B50,装备!B:CV,99,FALSE)</f>
        <v>|cffffcc00属性：|r|n法强+78000|n伤害加成+12%|n冷却缩减+15%|n</v>
      </c>
      <c r="J50" s="56" t="str">
        <f t="shared" si="8"/>
        <v>法杖lv23</v>
      </c>
      <c r="K50" s="56" t="str">
        <f t="shared" si="9"/>
        <v>|cffffcc00属性：|r|n法强+78000|n伤害加成+12%|n冷却缩减+15%|n</v>
      </c>
      <c r="L50" s="63"/>
      <c r="M50" s="65" t="str">
        <f>VLOOKUP(LEFT(RIGHT(B50,5),4),装备!B:CU,20,FALSE)</f>
        <v>ReplaceableTextures\\CommandButtons\\BTNE123.blp</v>
      </c>
      <c r="N50" s="83" t="s">
        <v>77</v>
      </c>
      <c r="O50" s="84" t="s">
        <v>78</v>
      </c>
      <c r="P50" s="63">
        <v>0</v>
      </c>
      <c r="Q50" s="63">
        <v>0</v>
      </c>
      <c r="R50" s="83" t="s">
        <v>77</v>
      </c>
      <c r="S50" s="83" t="s">
        <v>77</v>
      </c>
      <c r="T50" s="83" t="s">
        <v>77</v>
      </c>
      <c r="U50" s="83" t="s">
        <v>77</v>
      </c>
      <c r="V50" s="63"/>
      <c r="W50" s="66" t="s">
        <v>665</v>
      </c>
      <c r="X50" s="63">
        <v>0</v>
      </c>
      <c r="Y50" s="83" t="s">
        <v>77</v>
      </c>
      <c r="Z50" s="63">
        <v>0</v>
      </c>
      <c r="AA50" s="63">
        <v>0</v>
      </c>
      <c r="AB50" s="63">
        <v>0</v>
      </c>
      <c r="AC50" s="63">
        <v>1</v>
      </c>
      <c r="AD50" s="63">
        <v>1</v>
      </c>
      <c r="AE50" s="83" t="s">
        <v>77</v>
      </c>
      <c r="AF50" s="83" t="s">
        <v>77</v>
      </c>
      <c r="AG50" s="83" t="s">
        <v>77</v>
      </c>
      <c r="AH50" s="83" t="s">
        <v>77</v>
      </c>
      <c r="AI50" s="83"/>
      <c r="AJ50" s="63"/>
      <c r="AK50" s="63">
        <v>1</v>
      </c>
      <c r="AL50" s="63">
        <v>1</v>
      </c>
      <c r="AM50" s="83" t="s">
        <v>77</v>
      </c>
      <c r="AN50" s="83"/>
      <c r="AO50" s="83"/>
      <c r="AP50" s="83">
        <v>1</v>
      </c>
    </row>
    <row r="51" spans="1:42">
      <c r="A51" s="62"/>
      <c r="B51" s="63" t="str">
        <f>装备!B51</f>
        <v>E124</v>
      </c>
      <c r="C51" s="63" t="s">
        <v>36</v>
      </c>
      <c r="D51" s="63" t="s">
        <v>76</v>
      </c>
      <c r="E51" s="66" t="s">
        <v>670</v>
      </c>
      <c r="F51" s="63"/>
      <c r="G51" s="63"/>
      <c r="H51" s="63" t="str">
        <f>VLOOKUP(LEFT(RIGHT(B51,5),4),装备!B:CU,2,FALSE)</f>
        <v>法杖lv24</v>
      </c>
      <c r="I51" s="63" t="str">
        <f>VLOOKUP(B51,装备!B:CV,99,FALSE)</f>
        <v>|cffffcc00属性：|r|n法强+89000|n伤害加成+12%|n冷却缩减+15%|n</v>
      </c>
      <c r="J51" s="56" t="str">
        <f t="shared" si="8"/>
        <v>法杖lv24</v>
      </c>
      <c r="K51" s="56" t="str">
        <f t="shared" si="9"/>
        <v>|cffffcc00属性：|r|n法强+89000|n伤害加成+12%|n冷却缩减+15%|n</v>
      </c>
      <c r="L51" s="63"/>
      <c r="M51" s="65" t="str">
        <f>VLOOKUP(LEFT(RIGHT(B51,5),4),装备!B:CU,20,FALSE)</f>
        <v>ReplaceableTextures\\CommandButtons\\BTNE124.blp</v>
      </c>
      <c r="N51" s="83" t="s">
        <v>77</v>
      </c>
      <c r="O51" s="84" t="s">
        <v>78</v>
      </c>
      <c r="P51" s="63">
        <v>0</v>
      </c>
      <c r="Q51" s="63">
        <v>0</v>
      </c>
      <c r="R51" s="83" t="s">
        <v>77</v>
      </c>
      <c r="S51" s="83" t="s">
        <v>77</v>
      </c>
      <c r="T51" s="83" t="s">
        <v>77</v>
      </c>
      <c r="U51" s="83" t="s">
        <v>77</v>
      </c>
      <c r="V51" s="63"/>
      <c r="W51" s="66" t="s">
        <v>665</v>
      </c>
      <c r="X51" s="63">
        <v>0</v>
      </c>
      <c r="Y51" s="83" t="s">
        <v>77</v>
      </c>
      <c r="Z51" s="63">
        <v>0</v>
      </c>
      <c r="AA51" s="63">
        <v>0</v>
      </c>
      <c r="AB51" s="63">
        <v>0</v>
      </c>
      <c r="AC51" s="63">
        <v>1</v>
      </c>
      <c r="AD51" s="63">
        <v>1</v>
      </c>
      <c r="AE51" s="83" t="s">
        <v>77</v>
      </c>
      <c r="AF51" s="83" t="s">
        <v>77</v>
      </c>
      <c r="AG51" s="83" t="s">
        <v>77</v>
      </c>
      <c r="AH51" s="83" t="s">
        <v>77</v>
      </c>
      <c r="AI51" s="83"/>
      <c r="AJ51" s="63"/>
      <c r="AK51" s="63">
        <v>1</v>
      </c>
      <c r="AL51" s="63">
        <v>1</v>
      </c>
      <c r="AM51" s="83" t="s">
        <v>77</v>
      </c>
      <c r="AN51" s="83"/>
      <c r="AO51" s="83"/>
      <c r="AP51" s="83">
        <v>1</v>
      </c>
    </row>
    <row r="52" spans="1:42">
      <c r="A52" s="62"/>
      <c r="B52" s="63" t="str">
        <f>装备!B52</f>
        <v>E125</v>
      </c>
      <c r="C52" s="63" t="s">
        <v>36</v>
      </c>
      <c r="D52" s="63" t="s">
        <v>76</v>
      </c>
      <c r="E52" s="66"/>
      <c r="F52" s="63"/>
      <c r="G52" s="63"/>
      <c r="H52" s="63" t="str">
        <f>VLOOKUP(LEFT(RIGHT(B52,5),4),装备!B:CU,2,FALSE)</f>
        <v>法杖lv25</v>
      </c>
      <c r="I52" s="63" t="str">
        <f>VLOOKUP(B52,装备!B:CV,99,FALSE)</f>
        <v>|cffffcc00属性：|r|n法强+100000|n伤害加成+12%|n冷却缩减+15%|n</v>
      </c>
      <c r="J52" s="56" t="str">
        <f t="shared" si="8"/>
        <v>法杖lv25</v>
      </c>
      <c r="K52" s="56" t="str">
        <f t="shared" si="9"/>
        <v>|cffffcc00属性：|r|n法强+100000|n伤害加成+12%|n冷却缩减+15%|n</v>
      </c>
      <c r="L52" s="63"/>
      <c r="M52" s="65" t="str">
        <f>VLOOKUP(LEFT(RIGHT(B52,5),4),装备!B:CU,20,FALSE)</f>
        <v>ReplaceableTextures\\CommandButtons\\BTNE125.blp</v>
      </c>
      <c r="N52" s="83" t="s">
        <v>77</v>
      </c>
      <c r="O52" s="84" t="s">
        <v>78</v>
      </c>
      <c r="P52" s="63">
        <v>0</v>
      </c>
      <c r="Q52" s="63">
        <v>0</v>
      </c>
      <c r="R52" s="83" t="s">
        <v>77</v>
      </c>
      <c r="S52" s="83" t="s">
        <v>77</v>
      </c>
      <c r="T52" s="83" t="s">
        <v>77</v>
      </c>
      <c r="U52" s="83" t="s">
        <v>77</v>
      </c>
      <c r="V52" s="63"/>
      <c r="W52" s="66" t="s">
        <v>665</v>
      </c>
      <c r="X52" s="63">
        <v>0</v>
      </c>
      <c r="Y52" s="83" t="s">
        <v>77</v>
      </c>
      <c r="Z52" s="63">
        <v>0</v>
      </c>
      <c r="AA52" s="63">
        <v>0</v>
      </c>
      <c r="AB52" s="63">
        <v>0</v>
      </c>
      <c r="AC52" s="63">
        <v>1</v>
      </c>
      <c r="AD52" s="63">
        <v>1</v>
      </c>
      <c r="AE52" s="83" t="s">
        <v>77</v>
      </c>
      <c r="AF52" s="83" t="s">
        <v>77</v>
      </c>
      <c r="AG52" s="83" t="s">
        <v>77</v>
      </c>
      <c r="AH52" s="83" t="s">
        <v>77</v>
      </c>
      <c r="AI52" s="83"/>
      <c r="AJ52" s="63"/>
      <c r="AK52" s="63">
        <v>1</v>
      </c>
      <c r="AL52" s="63">
        <v>1</v>
      </c>
      <c r="AM52" s="83" t="s">
        <v>77</v>
      </c>
      <c r="AN52" s="83"/>
      <c r="AO52" s="83"/>
      <c r="AP52" s="83"/>
    </row>
    <row r="53" spans="1:42">
      <c r="A53" s="62"/>
      <c r="B53" s="63" t="str">
        <f>装备!B53</f>
        <v>E201</v>
      </c>
      <c r="C53" s="63" t="s">
        <v>36</v>
      </c>
      <c r="D53" s="63" t="s">
        <v>76</v>
      </c>
      <c r="E53" s="66" t="s">
        <v>670</v>
      </c>
      <c r="F53" s="63"/>
      <c r="G53" s="63"/>
      <c r="H53" s="63" t="str">
        <f>VLOOKUP(LEFT(RIGHT(B53,5),4),装备!B:CU,2,FALSE)</f>
        <v>护甲lv1</v>
      </c>
      <c r="I53" s="63" t="str">
        <f>VLOOKUP(B53,装备!B:CV,99,FALSE)</f>
        <v>|cffffcc00属性：|r|n护甲+1|n生命值+2000|n</v>
      </c>
      <c r="J53" s="56" t="str">
        <f t="shared" si="8"/>
        <v>护甲lv1</v>
      </c>
      <c r="K53" s="56" t="str">
        <f t="shared" si="9"/>
        <v>|cffffcc00属性：|r|n护甲+1|n生命值+2000|n</v>
      </c>
      <c r="L53" s="63"/>
      <c r="M53" s="65" t="str">
        <f>VLOOKUP(LEFT(RIGHT(B53,5),4),装备!B:CU,20,FALSE)</f>
        <v>ReplaceableTextures\\CommandButtons\\BTNE201.blp</v>
      </c>
      <c r="N53" s="83" t="s">
        <v>77</v>
      </c>
      <c r="O53" s="84" t="s">
        <v>78</v>
      </c>
      <c r="P53" s="63">
        <v>0</v>
      </c>
      <c r="Q53" s="63">
        <v>0</v>
      </c>
      <c r="R53" s="83" t="s">
        <v>77</v>
      </c>
      <c r="S53" s="83" t="s">
        <v>77</v>
      </c>
      <c r="T53" s="83" t="s">
        <v>77</v>
      </c>
      <c r="U53" s="83" t="s">
        <v>77</v>
      </c>
      <c r="V53" s="63"/>
      <c r="W53" s="66" t="s">
        <v>665</v>
      </c>
      <c r="X53" s="63">
        <v>0</v>
      </c>
      <c r="Y53" s="83" t="s">
        <v>77</v>
      </c>
      <c r="Z53" s="63">
        <v>0</v>
      </c>
      <c r="AA53" s="63">
        <v>0</v>
      </c>
      <c r="AB53" s="63">
        <v>0</v>
      </c>
      <c r="AC53" s="63">
        <v>1</v>
      </c>
      <c r="AD53" s="63">
        <v>1</v>
      </c>
      <c r="AE53" s="83" t="s">
        <v>77</v>
      </c>
      <c r="AF53" s="83" t="s">
        <v>77</v>
      </c>
      <c r="AG53" s="83" t="s">
        <v>77</v>
      </c>
      <c r="AH53" s="83" t="s">
        <v>77</v>
      </c>
      <c r="AI53" s="83"/>
      <c r="AJ53" s="63"/>
      <c r="AK53" s="63">
        <v>1</v>
      </c>
      <c r="AL53" s="63">
        <v>1</v>
      </c>
      <c r="AM53" s="83" t="s">
        <v>77</v>
      </c>
      <c r="AN53" s="83"/>
      <c r="AO53" s="83"/>
      <c r="AP53" s="83">
        <v>1</v>
      </c>
    </row>
    <row r="54" spans="1:42">
      <c r="A54" s="62"/>
      <c r="B54" s="63" t="str">
        <f>装备!B54</f>
        <v>E202</v>
      </c>
      <c r="C54" s="63" t="s">
        <v>36</v>
      </c>
      <c r="D54" s="63" t="s">
        <v>76</v>
      </c>
      <c r="E54" s="66" t="s">
        <v>670</v>
      </c>
      <c r="F54" s="63"/>
      <c r="G54" s="63"/>
      <c r="H54" s="63" t="str">
        <f>VLOOKUP(LEFT(RIGHT(B54,5),4),装备!B:CU,2,FALSE)</f>
        <v>护甲lv2</v>
      </c>
      <c r="I54" s="63" t="str">
        <f>VLOOKUP(B54,装备!B:CV,99,FALSE)</f>
        <v>|cffffcc00属性：|r|n护甲+2|n生命值+4000|n</v>
      </c>
      <c r="J54" s="56" t="str">
        <f t="shared" ref="J54:J58" si="10">H54</f>
        <v>护甲lv2</v>
      </c>
      <c r="K54" s="56" t="str">
        <f t="shared" ref="K54:K58" si="11">I54</f>
        <v>|cffffcc00属性：|r|n护甲+2|n生命值+4000|n</v>
      </c>
      <c r="L54" s="63"/>
      <c r="M54" s="65" t="str">
        <f>VLOOKUP(LEFT(RIGHT(B54,5),4),装备!B:CU,20,FALSE)</f>
        <v>ReplaceableTextures\\CommandButtons\\BTNE202.blp</v>
      </c>
      <c r="N54" s="83" t="s">
        <v>77</v>
      </c>
      <c r="O54" s="84" t="s">
        <v>78</v>
      </c>
      <c r="P54" s="63">
        <v>0</v>
      </c>
      <c r="Q54" s="63">
        <v>0</v>
      </c>
      <c r="R54" s="83" t="s">
        <v>77</v>
      </c>
      <c r="S54" s="83" t="s">
        <v>77</v>
      </c>
      <c r="T54" s="83" t="s">
        <v>77</v>
      </c>
      <c r="U54" s="83" t="s">
        <v>77</v>
      </c>
      <c r="V54" s="63"/>
      <c r="W54" s="66" t="s">
        <v>665</v>
      </c>
      <c r="X54" s="63">
        <v>0</v>
      </c>
      <c r="Y54" s="83" t="s">
        <v>77</v>
      </c>
      <c r="Z54" s="63">
        <v>0</v>
      </c>
      <c r="AA54" s="63">
        <v>0</v>
      </c>
      <c r="AB54" s="63">
        <v>0</v>
      </c>
      <c r="AC54" s="63">
        <v>1</v>
      </c>
      <c r="AD54" s="63">
        <v>1</v>
      </c>
      <c r="AE54" s="83" t="s">
        <v>77</v>
      </c>
      <c r="AF54" s="83" t="s">
        <v>77</v>
      </c>
      <c r="AG54" s="83" t="s">
        <v>77</v>
      </c>
      <c r="AH54" s="83" t="s">
        <v>77</v>
      </c>
      <c r="AI54" s="83"/>
      <c r="AJ54" s="63"/>
      <c r="AK54" s="63">
        <v>1</v>
      </c>
      <c r="AL54" s="63">
        <v>1</v>
      </c>
      <c r="AM54" s="83" t="s">
        <v>77</v>
      </c>
      <c r="AN54" s="83"/>
      <c r="AO54" s="83"/>
      <c r="AP54" s="83">
        <v>1</v>
      </c>
    </row>
    <row r="55" spans="1:42">
      <c r="A55" s="62"/>
      <c r="B55" s="63" t="str">
        <f>装备!B55</f>
        <v>E203</v>
      </c>
      <c r="C55" s="63" t="s">
        <v>36</v>
      </c>
      <c r="D55" s="63" t="s">
        <v>76</v>
      </c>
      <c r="E55" s="66" t="s">
        <v>670</v>
      </c>
      <c r="F55" s="63"/>
      <c r="G55" s="63"/>
      <c r="H55" s="63" t="str">
        <f>VLOOKUP(LEFT(RIGHT(B55,5),4),装备!B:CU,2,FALSE)</f>
        <v>护甲lv3</v>
      </c>
      <c r="I55" s="63" t="str">
        <f>VLOOKUP(B55,装备!B:CV,99,FALSE)</f>
        <v>|cffffcc00属性：|r|n护甲+3|n生命值+6000|n</v>
      </c>
      <c r="J55" s="56" t="str">
        <f t="shared" si="10"/>
        <v>护甲lv3</v>
      </c>
      <c r="K55" s="56" t="str">
        <f t="shared" si="11"/>
        <v>|cffffcc00属性：|r|n护甲+3|n生命值+6000|n</v>
      </c>
      <c r="L55" s="63"/>
      <c r="M55" s="65" t="str">
        <f>VLOOKUP(LEFT(RIGHT(B55,5),4),装备!B:CU,20,FALSE)</f>
        <v>ReplaceableTextures\\CommandButtons\\BTNE203.blp</v>
      </c>
      <c r="N55" s="83" t="s">
        <v>77</v>
      </c>
      <c r="O55" s="84" t="s">
        <v>78</v>
      </c>
      <c r="P55" s="63">
        <v>0</v>
      </c>
      <c r="Q55" s="63">
        <v>0</v>
      </c>
      <c r="R55" s="83" t="s">
        <v>77</v>
      </c>
      <c r="S55" s="83" t="s">
        <v>77</v>
      </c>
      <c r="T55" s="83" t="s">
        <v>77</v>
      </c>
      <c r="U55" s="83" t="s">
        <v>77</v>
      </c>
      <c r="V55" s="63"/>
      <c r="W55" s="66" t="s">
        <v>665</v>
      </c>
      <c r="X55" s="63">
        <v>0</v>
      </c>
      <c r="Y55" s="83" t="s">
        <v>77</v>
      </c>
      <c r="Z55" s="63">
        <v>0</v>
      </c>
      <c r="AA55" s="63">
        <v>0</v>
      </c>
      <c r="AB55" s="63">
        <v>0</v>
      </c>
      <c r="AC55" s="63">
        <v>1</v>
      </c>
      <c r="AD55" s="63">
        <v>1</v>
      </c>
      <c r="AE55" s="83" t="s">
        <v>77</v>
      </c>
      <c r="AF55" s="83" t="s">
        <v>77</v>
      </c>
      <c r="AG55" s="83" t="s">
        <v>77</v>
      </c>
      <c r="AH55" s="83" t="s">
        <v>77</v>
      </c>
      <c r="AI55" s="83"/>
      <c r="AJ55" s="63"/>
      <c r="AK55" s="63">
        <v>1</v>
      </c>
      <c r="AL55" s="63">
        <v>1</v>
      </c>
      <c r="AM55" s="83" t="s">
        <v>77</v>
      </c>
      <c r="AN55" s="83"/>
      <c r="AO55" s="83"/>
      <c r="AP55" s="83">
        <v>1</v>
      </c>
    </row>
    <row r="56" spans="1:42">
      <c r="A56" s="62"/>
      <c r="B56" s="63" t="str">
        <f>装备!B56</f>
        <v>E204</v>
      </c>
      <c r="C56" s="63" t="s">
        <v>36</v>
      </c>
      <c r="D56" s="63" t="s">
        <v>76</v>
      </c>
      <c r="E56" s="66" t="s">
        <v>670</v>
      </c>
      <c r="F56" s="63"/>
      <c r="G56" s="63"/>
      <c r="H56" s="63" t="str">
        <f>VLOOKUP(LEFT(RIGHT(B56,5),4),装备!B:CU,2,FALSE)</f>
        <v>护甲lv4</v>
      </c>
      <c r="I56" s="63" t="str">
        <f>VLOOKUP(B56,装备!B:CV,99,FALSE)</f>
        <v>|cffffcc00属性：|r|n护甲+4|n生命值+8000|n</v>
      </c>
      <c r="J56" s="56" t="str">
        <f t="shared" si="10"/>
        <v>护甲lv4</v>
      </c>
      <c r="K56" s="56" t="str">
        <f t="shared" si="11"/>
        <v>|cffffcc00属性：|r|n护甲+4|n生命值+8000|n</v>
      </c>
      <c r="L56" s="63"/>
      <c r="M56" s="65" t="str">
        <f>VLOOKUP(LEFT(RIGHT(B56,5),4),装备!B:CU,20,FALSE)</f>
        <v>ReplaceableTextures\\CommandButtons\\BTNE204.blp</v>
      </c>
      <c r="N56" s="83" t="s">
        <v>77</v>
      </c>
      <c r="O56" s="84" t="s">
        <v>78</v>
      </c>
      <c r="P56" s="63">
        <v>0</v>
      </c>
      <c r="Q56" s="63">
        <v>0</v>
      </c>
      <c r="R56" s="83" t="s">
        <v>77</v>
      </c>
      <c r="S56" s="83" t="s">
        <v>77</v>
      </c>
      <c r="T56" s="83" t="s">
        <v>77</v>
      </c>
      <c r="U56" s="83" t="s">
        <v>77</v>
      </c>
      <c r="V56" s="63"/>
      <c r="W56" s="66" t="s">
        <v>665</v>
      </c>
      <c r="X56" s="63">
        <v>0</v>
      </c>
      <c r="Y56" s="83" t="s">
        <v>77</v>
      </c>
      <c r="Z56" s="63">
        <v>0</v>
      </c>
      <c r="AA56" s="63">
        <v>0</v>
      </c>
      <c r="AB56" s="63">
        <v>0</v>
      </c>
      <c r="AC56" s="63">
        <v>1</v>
      </c>
      <c r="AD56" s="63">
        <v>1</v>
      </c>
      <c r="AE56" s="83" t="s">
        <v>77</v>
      </c>
      <c r="AF56" s="83" t="s">
        <v>77</v>
      </c>
      <c r="AG56" s="83" t="s">
        <v>77</v>
      </c>
      <c r="AH56" s="83" t="s">
        <v>77</v>
      </c>
      <c r="AI56" s="83"/>
      <c r="AJ56" s="63"/>
      <c r="AK56" s="63">
        <v>1</v>
      </c>
      <c r="AL56" s="63">
        <v>1</v>
      </c>
      <c r="AM56" s="83" t="s">
        <v>77</v>
      </c>
      <c r="AN56" s="83"/>
      <c r="AO56" s="83"/>
      <c r="AP56" s="83">
        <v>1</v>
      </c>
    </row>
    <row r="57" spans="1:42">
      <c r="A57" s="62"/>
      <c r="B57" s="63" t="str">
        <f>装备!B57</f>
        <v>E205</v>
      </c>
      <c r="C57" s="63" t="s">
        <v>36</v>
      </c>
      <c r="D57" s="63" t="s">
        <v>76</v>
      </c>
      <c r="E57" s="66" t="s">
        <v>670</v>
      </c>
      <c r="F57" s="63"/>
      <c r="G57" s="63"/>
      <c r="H57" s="63" t="str">
        <f>VLOOKUP(LEFT(RIGHT(B57,5),4),装备!B:CU,2,FALSE)</f>
        <v>护甲lv5</v>
      </c>
      <c r="I57" s="63" t="str">
        <f>VLOOKUP(B57,装备!B:CV,99,FALSE)</f>
        <v>|cffffcc00属性：|r|n护甲+5|n生命值+10000|n</v>
      </c>
      <c r="J57" s="56" t="str">
        <f t="shared" si="10"/>
        <v>护甲lv5</v>
      </c>
      <c r="K57" s="56" t="str">
        <f t="shared" si="11"/>
        <v>|cffffcc00属性：|r|n护甲+5|n生命值+10000|n</v>
      </c>
      <c r="L57" s="63"/>
      <c r="M57" s="65" t="str">
        <f>VLOOKUP(LEFT(RIGHT(B57,5),4),装备!B:CU,20,FALSE)</f>
        <v>ReplaceableTextures\\CommandButtons\\BTNE205.blp</v>
      </c>
      <c r="N57" s="83" t="s">
        <v>77</v>
      </c>
      <c r="O57" s="84" t="s">
        <v>78</v>
      </c>
      <c r="P57" s="63">
        <v>0</v>
      </c>
      <c r="Q57" s="63">
        <v>0</v>
      </c>
      <c r="R57" s="83" t="s">
        <v>77</v>
      </c>
      <c r="S57" s="83" t="s">
        <v>77</v>
      </c>
      <c r="T57" s="83" t="s">
        <v>77</v>
      </c>
      <c r="U57" s="83" t="s">
        <v>77</v>
      </c>
      <c r="V57" s="63"/>
      <c r="W57" s="66" t="s">
        <v>665</v>
      </c>
      <c r="X57" s="63">
        <v>0</v>
      </c>
      <c r="Y57" s="83" t="s">
        <v>77</v>
      </c>
      <c r="Z57" s="63">
        <v>0</v>
      </c>
      <c r="AA57" s="63">
        <v>0</v>
      </c>
      <c r="AB57" s="63">
        <v>0</v>
      </c>
      <c r="AC57" s="63">
        <v>1</v>
      </c>
      <c r="AD57" s="63">
        <v>1</v>
      </c>
      <c r="AE57" s="83" t="s">
        <v>77</v>
      </c>
      <c r="AF57" s="83" t="s">
        <v>77</v>
      </c>
      <c r="AG57" s="83" t="s">
        <v>77</v>
      </c>
      <c r="AH57" s="83" t="s">
        <v>77</v>
      </c>
      <c r="AI57" s="83"/>
      <c r="AJ57" s="63"/>
      <c r="AK57" s="63">
        <v>1</v>
      </c>
      <c r="AL57" s="63">
        <v>1</v>
      </c>
      <c r="AM57" s="83" t="s">
        <v>77</v>
      </c>
      <c r="AN57" s="83"/>
      <c r="AO57" s="83"/>
      <c r="AP57" s="83">
        <v>1</v>
      </c>
    </row>
    <row r="58" spans="1:42">
      <c r="A58" s="62"/>
      <c r="B58" s="63" t="str">
        <f>装备!B58</f>
        <v>E206</v>
      </c>
      <c r="C58" s="63" t="s">
        <v>36</v>
      </c>
      <c r="D58" s="63" t="s">
        <v>76</v>
      </c>
      <c r="E58" s="66" t="s">
        <v>670</v>
      </c>
      <c r="F58" s="63"/>
      <c r="G58" s="63"/>
      <c r="H58" s="63" t="str">
        <f>VLOOKUP(LEFT(RIGHT(B58,5),4),装备!B:CU,2,FALSE)</f>
        <v>护甲lv6</v>
      </c>
      <c r="I58" s="63" t="str">
        <f>VLOOKUP(B58,装备!B:CV,99,FALSE)</f>
        <v>|cffffcc00属性：|r|n护甲+7|n生命值+12800|n伤害减免+3%|n</v>
      </c>
      <c r="J58" s="56" t="str">
        <f t="shared" si="10"/>
        <v>护甲lv6</v>
      </c>
      <c r="K58" s="56" t="str">
        <f t="shared" si="11"/>
        <v>|cffffcc00属性：|r|n护甲+7|n生命值+12800|n伤害减免+3%|n</v>
      </c>
      <c r="L58" s="63"/>
      <c r="M58" s="65" t="str">
        <f>VLOOKUP(LEFT(RIGHT(B58,5),4),装备!B:CU,20,FALSE)</f>
        <v>ReplaceableTextures\\CommandButtons\\BTNE206.blp</v>
      </c>
      <c r="N58" s="83" t="s">
        <v>77</v>
      </c>
      <c r="O58" s="84" t="s">
        <v>78</v>
      </c>
      <c r="P58" s="63">
        <v>0</v>
      </c>
      <c r="Q58" s="63">
        <v>0</v>
      </c>
      <c r="R58" s="83" t="s">
        <v>77</v>
      </c>
      <c r="S58" s="83" t="s">
        <v>77</v>
      </c>
      <c r="T58" s="83" t="s">
        <v>77</v>
      </c>
      <c r="U58" s="83" t="s">
        <v>77</v>
      </c>
      <c r="V58" s="63"/>
      <c r="W58" s="66" t="s">
        <v>665</v>
      </c>
      <c r="X58" s="63">
        <v>0</v>
      </c>
      <c r="Y58" s="83" t="s">
        <v>77</v>
      </c>
      <c r="Z58" s="63">
        <v>0</v>
      </c>
      <c r="AA58" s="63">
        <v>0</v>
      </c>
      <c r="AB58" s="63">
        <v>0</v>
      </c>
      <c r="AC58" s="63">
        <v>1</v>
      </c>
      <c r="AD58" s="63">
        <v>1</v>
      </c>
      <c r="AE58" s="83" t="s">
        <v>77</v>
      </c>
      <c r="AF58" s="83" t="s">
        <v>77</v>
      </c>
      <c r="AG58" s="83" t="s">
        <v>77</v>
      </c>
      <c r="AH58" s="83" t="s">
        <v>77</v>
      </c>
      <c r="AI58" s="83"/>
      <c r="AJ58" s="63"/>
      <c r="AK58" s="63">
        <v>1</v>
      </c>
      <c r="AL58" s="63">
        <v>1</v>
      </c>
      <c r="AM58" s="83" t="s">
        <v>77</v>
      </c>
      <c r="AN58" s="83"/>
      <c r="AO58" s="83"/>
      <c r="AP58" s="83">
        <v>1</v>
      </c>
    </row>
    <row r="59" spans="1:42">
      <c r="A59" s="62"/>
      <c r="B59" s="63" t="str">
        <f>装备!B59</f>
        <v>E207</v>
      </c>
      <c r="C59" s="63" t="s">
        <v>36</v>
      </c>
      <c r="D59" s="63" t="s">
        <v>76</v>
      </c>
      <c r="E59" s="66" t="s">
        <v>670</v>
      </c>
      <c r="F59" s="63"/>
      <c r="G59" s="63"/>
      <c r="H59" s="63" t="str">
        <f>VLOOKUP(LEFT(RIGHT(B59,5),4),装备!B:CU,2,FALSE)</f>
        <v>护甲lv7</v>
      </c>
      <c r="I59" s="63" t="str">
        <f>VLOOKUP(B59,装备!B:CV,99,FALSE)</f>
        <v>|cffffcc00属性：|r|n护甲+9|n生命值+15600|n伤害减免+3%|n</v>
      </c>
      <c r="J59" s="56" t="str">
        <f t="shared" ref="J59:J62" si="12">H59</f>
        <v>护甲lv7</v>
      </c>
      <c r="K59" s="56" t="str">
        <f t="shared" ref="K59:K62" si="13">I59</f>
        <v>|cffffcc00属性：|r|n护甲+9|n生命值+15600|n伤害减免+3%|n</v>
      </c>
      <c r="L59" s="63"/>
      <c r="M59" s="65" t="str">
        <f>VLOOKUP(LEFT(RIGHT(B59,5),4),装备!B:CU,20,FALSE)</f>
        <v>ReplaceableTextures\\CommandButtons\\BTNE207.blp</v>
      </c>
      <c r="N59" s="83" t="s">
        <v>77</v>
      </c>
      <c r="O59" s="84" t="s">
        <v>78</v>
      </c>
      <c r="P59" s="63">
        <v>0</v>
      </c>
      <c r="Q59" s="63">
        <v>0</v>
      </c>
      <c r="R59" s="83" t="s">
        <v>77</v>
      </c>
      <c r="S59" s="83" t="s">
        <v>77</v>
      </c>
      <c r="T59" s="83" t="s">
        <v>77</v>
      </c>
      <c r="U59" s="83" t="s">
        <v>77</v>
      </c>
      <c r="V59" s="63"/>
      <c r="W59" s="66" t="s">
        <v>665</v>
      </c>
      <c r="X59" s="63">
        <v>0</v>
      </c>
      <c r="Y59" s="83" t="s">
        <v>77</v>
      </c>
      <c r="Z59" s="63">
        <v>0</v>
      </c>
      <c r="AA59" s="63">
        <v>0</v>
      </c>
      <c r="AB59" s="63">
        <v>0</v>
      </c>
      <c r="AC59" s="63">
        <v>1</v>
      </c>
      <c r="AD59" s="63">
        <v>1</v>
      </c>
      <c r="AE59" s="83" t="s">
        <v>77</v>
      </c>
      <c r="AF59" s="83" t="s">
        <v>77</v>
      </c>
      <c r="AG59" s="83" t="s">
        <v>77</v>
      </c>
      <c r="AH59" s="83" t="s">
        <v>77</v>
      </c>
      <c r="AI59" s="83"/>
      <c r="AJ59" s="63"/>
      <c r="AK59" s="63">
        <v>1</v>
      </c>
      <c r="AL59" s="63">
        <v>1</v>
      </c>
      <c r="AM59" s="83" t="s">
        <v>77</v>
      </c>
      <c r="AN59" s="83"/>
      <c r="AO59" s="83"/>
      <c r="AP59" s="83">
        <v>1</v>
      </c>
    </row>
    <row r="60" spans="1:42">
      <c r="A60" s="62"/>
      <c r="B60" s="63" t="str">
        <f>装备!B60</f>
        <v>E208</v>
      </c>
      <c r="C60" s="63" t="s">
        <v>36</v>
      </c>
      <c r="D60" s="63" t="s">
        <v>76</v>
      </c>
      <c r="E60" s="66" t="s">
        <v>670</v>
      </c>
      <c r="F60" s="63"/>
      <c r="G60" s="63"/>
      <c r="H60" s="63" t="str">
        <f>VLOOKUP(LEFT(RIGHT(B60,5),4),装备!B:CU,2,FALSE)</f>
        <v>护甲lv8</v>
      </c>
      <c r="I60" s="63" t="str">
        <f>VLOOKUP(B60,装备!B:CV,99,FALSE)</f>
        <v>|cffffcc00属性：|r|n护甲+11|n生命值+18400|n伤害减免+3%|n</v>
      </c>
      <c r="J60" s="56" t="str">
        <f t="shared" si="12"/>
        <v>护甲lv8</v>
      </c>
      <c r="K60" s="56" t="str">
        <f t="shared" si="13"/>
        <v>|cffffcc00属性：|r|n护甲+11|n生命值+18400|n伤害减免+3%|n</v>
      </c>
      <c r="L60" s="63"/>
      <c r="M60" s="65" t="str">
        <f>VLOOKUP(LEFT(RIGHT(B60,5),4),装备!B:CU,20,FALSE)</f>
        <v>ReplaceableTextures\\CommandButtons\\BTNE208.blp</v>
      </c>
      <c r="N60" s="83" t="s">
        <v>77</v>
      </c>
      <c r="O60" s="84" t="s">
        <v>78</v>
      </c>
      <c r="P60" s="63">
        <v>0</v>
      </c>
      <c r="Q60" s="63">
        <v>0</v>
      </c>
      <c r="R60" s="83" t="s">
        <v>77</v>
      </c>
      <c r="S60" s="83" t="s">
        <v>77</v>
      </c>
      <c r="T60" s="83" t="s">
        <v>77</v>
      </c>
      <c r="U60" s="83" t="s">
        <v>77</v>
      </c>
      <c r="V60" s="63"/>
      <c r="W60" s="66" t="s">
        <v>665</v>
      </c>
      <c r="X60" s="63">
        <v>0</v>
      </c>
      <c r="Y60" s="83" t="s">
        <v>77</v>
      </c>
      <c r="Z60" s="63">
        <v>0</v>
      </c>
      <c r="AA60" s="63">
        <v>0</v>
      </c>
      <c r="AB60" s="63">
        <v>0</v>
      </c>
      <c r="AC60" s="63">
        <v>1</v>
      </c>
      <c r="AD60" s="63">
        <v>1</v>
      </c>
      <c r="AE60" s="83" t="s">
        <v>77</v>
      </c>
      <c r="AF60" s="83" t="s">
        <v>77</v>
      </c>
      <c r="AG60" s="83" t="s">
        <v>77</v>
      </c>
      <c r="AH60" s="83" t="s">
        <v>77</v>
      </c>
      <c r="AI60" s="83"/>
      <c r="AJ60" s="63"/>
      <c r="AK60" s="63">
        <v>1</v>
      </c>
      <c r="AL60" s="63">
        <v>1</v>
      </c>
      <c r="AM60" s="83" t="s">
        <v>77</v>
      </c>
      <c r="AN60" s="83"/>
      <c r="AO60" s="83"/>
      <c r="AP60" s="83">
        <v>1</v>
      </c>
    </row>
    <row r="61" spans="1:42">
      <c r="A61" s="62"/>
      <c r="B61" s="63" t="str">
        <f>装备!B61</f>
        <v>E209</v>
      </c>
      <c r="C61" s="63" t="s">
        <v>36</v>
      </c>
      <c r="D61" s="63" t="s">
        <v>76</v>
      </c>
      <c r="E61" s="66" t="s">
        <v>670</v>
      </c>
      <c r="F61" s="63"/>
      <c r="G61" s="63"/>
      <c r="H61" s="63" t="str">
        <f>VLOOKUP(LEFT(RIGHT(B61,5),4),装备!B:CU,2,FALSE)</f>
        <v>护甲lv9</v>
      </c>
      <c r="I61" s="63" t="str">
        <f>VLOOKUP(B61,装备!B:CV,99,FALSE)</f>
        <v>|cffffcc00属性：|r|n护甲+13|n生命值+21200|n伤害减免+3%|n</v>
      </c>
      <c r="J61" s="56" t="str">
        <f t="shared" si="12"/>
        <v>护甲lv9</v>
      </c>
      <c r="K61" s="56" t="str">
        <f t="shared" si="13"/>
        <v>|cffffcc00属性：|r|n护甲+13|n生命值+21200|n伤害减免+3%|n</v>
      </c>
      <c r="L61" s="63"/>
      <c r="M61" s="65" t="str">
        <f>VLOOKUP(LEFT(RIGHT(B61,5),4),装备!B:CU,20,FALSE)</f>
        <v>ReplaceableTextures\\CommandButtons\\BTNE209.blp</v>
      </c>
      <c r="N61" s="83" t="s">
        <v>77</v>
      </c>
      <c r="O61" s="84" t="s">
        <v>78</v>
      </c>
      <c r="P61" s="63">
        <v>0</v>
      </c>
      <c r="Q61" s="63">
        <v>0</v>
      </c>
      <c r="R61" s="83" t="s">
        <v>77</v>
      </c>
      <c r="S61" s="83" t="s">
        <v>77</v>
      </c>
      <c r="T61" s="83" t="s">
        <v>77</v>
      </c>
      <c r="U61" s="83" t="s">
        <v>77</v>
      </c>
      <c r="V61" s="63"/>
      <c r="W61" s="66" t="s">
        <v>665</v>
      </c>
      <c r="X61" s="63">
        <v>0</v>
      </c>
      <c r="Y61" s="83" t="s">
        <v>77</v>
      </c>
      <c r="Z61" s="63">
        <v>0</v>
      </c>
      <c r="AA61" s="63">
        <v>0</v>
      </c>
      <c r="AB61" s="63">
        <v>0</v>
      </c>
      <c r="AC61" s="63">
        <v>1</v>
      </c>
      <c r="AD61" s="63">
        <v>1</v>
      </c>
      <c r="AE61" s="83" t="s">
        <v>77</v>
      </c>
      <c r="AF61" s="83" t="s">
        <v>77</v>
      </c>
      <c r="AG61" s="83" t="s">
        <v>77</v>
      </c>
      <c r="AH61" s="83" t="s">
        <v>77</v>
      </c>
      <c r="AI61" s="83"/>
      <c r="AJ61" s="63"/>
      <c r="AK61" s="63">
        <v>1</v>
      </c>
      <c r="AL61" s="63">
        <v>1</v>
      </c>
      <c r="AM61" s="83" t="s">
        <v>77</v>
      </c>
      <c r="AN61" s="83"/>
      <c r="AO61" s="83"/>
      <c r="AP61" s="83">
        <v>1</v>
      </c>
    </row>
    <row r="62" spans="1:42">
      <c r="A62" s="62"/>
      <c r="B62" s="63" t="str">
        <f>装备!B62</f>
        <v>E210</v>
      </c>
      <c r="C62" s="63" t="s">
        <v>36</v>
      </c>
      <c r="D62" s="63" t="s">
        <v>76</v>
      </c>
      <c r="E62" s="66" t="s">
        <v>670</v>
      </c>
      <c r="F62" s="63"/>
      <c r="G62" s="63"/>
      <c r="H62" s="63" t="str">
        <f>VLOOKUP(LEFT(RIGHT(B62,5),4),装备!B:CU,2,FALSE)</f>
        <v>护甲lv10</v>
      </c>
      <c r="I62" s="63" t="str">
        <f>VLOOKUP(B62,装备!B:CV,99,FALSE)</f>
        <v>|cffffcc00属性：|r|n护甲+15|n生命值+24000|n伤害减免+3%|n</v>
      </c>
      <c r="J62" s="56" t="str">
        <f t="shared" si="12"/>
        <v>护甲lv10</v>
      </c>
      <c r="K62" s="56" t="str">
        <f t="shared" si="13"/>
        <v>|cffffcc00属性：|r|n护甲+15|n生命值+24000|n伤害减免+3%|n</v>
      </c>
      <c r="L62" s="63"/>
      <c r="M62" s="65" t="str">
        <f>VLOOKUP(LEFT(RIGHT(B62,5),4),装备!B:CU,20,FALSE)</f>
        <v>ReplaceableTextures\\CommandButtons\\BTNE210.blp</v>
      </c>
      <c r="N62" s="83" t="s">
        <v>77</v>
      </c>
      <c r="O62" s="84" t="s">
        <v>78</v>
      </c>
      <c r="P62" s="63">
        <v>0</v>
      </c>
      <c r="Q62" s="63">
        <v>0</v>
      </c>
      <c r="R62" s="83" t="s">
        <v>77</v>
      </c>
      <c r="S62" s="83" t="s">
        <v>77</v>
      </c>
      <c r="T62" s="83" t="s">
        <v>77</v>
      </c>
      <c r="U62" s="83" t="s">
        <v>77</v>
      </c>
      <c r="V62" s="63"/>
      <c r="W62" s="66" t="s">
        <v>665</v>
      </c>
      <c r="X62" s="63">
        <v>0</v>
      </c>
      <c r="Y62" s="83" t="s">
        <v>77</v>
      </c>
      <c r="Z62" s="63">
        <v>0</v>
      </c>
      <c r="AA62" s="63">
        <v>0</v>
      </c>
      <c r="AB62" s="63">
        <v>0</v>
      </c>
      <c r="AC62" s="63">
        <v>1</v>
      </c>
      <c r="AD62" s="63">
        <v>1</v>
      </c>
      <c r="AE62" s="83" t="s">
        <v>77</v>
      </c>
      <c r="AF62" s="83" t="s">
        <v>77</v>
      </c>
      <c r="AG62" s="83" t="s">
        <v>77</v>
      </c>
      <c r="AH62" s="83" t="s">
        <v>77</v>
      </c>
      <c r="AI62" s="83"/>
      <c r="AJ62" s="63"/>
      <c r="AK62" s="63">
        <v>1</v>
      </c>
      <c r="AL62" s="63">
        <v>1</v>
      </c>
      <c r="AM62" s="83" t="s">
        <v>77</v>
      </c>
      <c r="AN62" s="83"/>
      <c r="AO62" s="83"/>
      <c r="AP62" s="83">
        <v>1</v>
      </c>
    </row>
    <row r="63" spans="1:42">
      <c r="A63" s="62"/>
      <c r="B63" s="63" t="str">
        <f>装备!B63</f>
        <v>E211</v>
      </c>
      <c r="C63" s="63" t="s">
        <v>36</v>
      </c>
      <c r="D63" s="63" t="s">
        <v>76</v>
      </c>
      <c r="E63" s="66" t="s">
        <v>670</v>
      </c>
      <c r="F63" s="63"/>
      <c r="G63" s="63"/>
      <c r="H63" s="63" t="str">
        <f>VLOOKUP(LEFT(RIGHT(B63,5),4),装备!B:CU,2,FALSE)</f>
        <v>护甲lv11</v>
      </c>
      <c r="I63" s="63" t="str">
        <f>VLOOKUP(B63,装备!B:CV,99,FALSE)</f>
        <v>|cffffcc00属性：|r|n护甲+18|n生命值+28400|n伤害减免+6%|n</v>
      </c>
      <c r="J63" s="56" t="str">
        <f t="shared" ref="J63:J77" si="14">H63</f>
        <v>护甲lv11</v>
      </c>
      <c r="K63" s="56" t="str">
        <f t="shared" ref="K63:K77" si="15">I63</f>
        <v>|cffffcc00属性：|r|n护甲+18|n生命值+28400|n伤害减免+6%|n</v>
      </c>
      <c r="L63" s="63"/>
      <c r="M63" s="65" t="str">
        <f>VLOOKUP(LEFT(RIGHT(B63,5),4),装备!B:CU,20,FALSE)</f>
        <v>ReplaceableTextures\\CommandButtons\\BTNE211.blp</v>
      </c>
      <c r="N63" s="83" t="s">
        <v>77</v>
      </c>
      <c r="O63" s="84" t="s">
        <v>78</v>
      </c>
      <c r="P63" s="63">
        <v>0</v>
      </c>
      <c r="Q63" s="63">
        <v>0</v>
      </c>
      <c r="R63" s="83" t="s">
        <v>77</v>
      </c>
      <c r="S63" s="83" t="s">
        <v>77</v>
      </c>
      <c r="T63" s="83" t="s">
        <v>77</v>
      </c>
      <c r="U63" s="83" t="s">
        <v>77</v>
      </c>
      <c r="V63" s="63"/>
      <c r="W63" s="66" t="s">
        <v>665</v>
      </c>
      <c r="X63" s="63">
        <v>0</v>
      </c>
      <c r="Y63" s="83" t="s">
        <v>77</v>
      </c>
      <c r="Z63" s="63">
        <v>0</v>
      </c>
      <c r="AA63" s="63">
        <v>0</v>
      </c>
      <c r="AB63" s="63">
        <v>0</v>
      </c>
      <c r="AC63" s="63">
        <v>1</v>
      </c>
      <c r="AD63" s="63">
        <v>1</v>
      </c>
      <c r="AE63" s="83" t="s">
        <v>77</v>
      </c>
      <c r="AF63" s="83" t="s">
        <v>77</v>
      </c>
      <c r="AG63" s="83" t="s">
        <v>77</v>
      </c>
      <c r="AH63" s="83" t="s">
        <v>77</v>
      </c>
      <c r="AI63" s="83"/>
      <c r="AJ63" s="63"/>
      <c r="AK63" s="63">
        <v>1</v>
      </c>
      <c r="AL63" s="63">
        <v>1</v>
      </c>
      <c r="AM63" s="83" t="s">
        <v>77</v>
      </c>
      <c r="AN63" s="83"/>
      <c r="AO63" s="83"/>
      <c r="AP63" s="83">
        <v>1</v>
      </c>
    </row>
    <row r="64" spans="1:42">
      <c r="A64" s="62"/>
      <c r="B64" s="63" t="str">
        <f>装备!B64</f>
        <v>E212</v>
      </c>
      <c r="C64" s="63" t="s">
        <v>36</v>
      </c>
      <c r="D64" s="63" t="s">
        <v>76</v>
      </c>
      <c r="E64" s="66" t="s">
        <v>670</v>
      </c>
      <c r="F64" s="63"/>
      <c r="G64" s="63"/>
      <c r="H64" s="63" t="str">
        <f>VLOOKUP(LEFT(RIGHT(B64,5),4),装备!B:CU,2,FALSE)</f>
        <v>护甲lv12</v>
      </c>
      <c r="I64" s="63" t="str">
        <f>VLOOKUP(B64,装备!B:CV,99,FALSE)</f>
        <v>|cffffcc00属性：|r|n护甲+21|n生命值+32800|n伤害减免+6%|n</v>
      </c>
      <c r="J64" s="56" t="str">
        <f t="shared" si="14"/>
        <v>护甲lv12</v>
      </c>
      <c r="K64" s="56" t="str">
        <f t="shared" si="15"/>
        <v>|cffffcc00属性：|r|n护甲+21|n生命值+32800|n伤害减免+6%|n</v>
      </c>
      <c r="L64" s="63"/>
      <c r="M64" s="65" t="str">
        <f>VLOOKUP(LEFT(RIGHT(B64,5),4),装备!B:CU,20,FALSE)</f>
        <v>ReplaceableTextures\\CommandButtons\\BTNE212.blp</v>
      </c>
      <c r="N64" s="83" t="s">
        <v>77</v>
      </c>
      <c r="O64" s="84" t="s">
        <v>78</v>
      </c>
      <c r="P64" s="63">
        <v>0</v>
      </c>
      <c r="Q64" s="63">
        <v>0</v>
      </c>
      <c r="R64" s="83" t="s">
        <v>77</v>
      </c>
      <c r="S64" s="83" t="s">
        <v>77</v>
      </c>
      <c r="T64" s="83" t="s">
        <v>77</v>
      </c>
      <c r="U64" s="83" t="s">
        <v>77</v>
      </c>
      <c r="V64" s="63"/>
      <c r="W64" s="66" t="s">
        <v>665</v>
      </c>
      <c r="X64" s="63">
        <v>0</v>
      </c>
      <c r="Y64" s="83" t="s">
        <v>77</v>
      </c>
      <c r="Z64" s="63">
        <v>0</v>
      </c>
      <c r="AA64" s="63">
        <v>0</v>
      </c>
      <c r="AB64" s="63">
        <v>0</v>
      </c>
      <c r="AC64" s="63">
        <v>1</v>
      </c>
      <c r="AD64" s="63">
        <v>1</v>
      </c>
      <c r="AE64" s="83" t="s">
        <v>77</v>
      </c>
      <c r="AF64" s="83" t="s">
        <v>77</v>
      </c>
      <c r="AG64" s="83" t="s">
        <v>77</v>
      </c>
      <c r="AH64" s="83" t="s">
        <v>77</v>
      </c>
      <c r="AI64" s="83"/>
      <c r="AJ64" s="63"/>
      <c r="AK64" s="63">
        <v>1</v>
      </c>
      <c r="AL64" s="63">
        <v>1</v>
      </c>
      <c r="AM64" s="83" t="s">
        <v>77</v>
      </c>
      <c r="AN64" s="83"/>
      <c r="AO64" s="83"/>
      <c r="AP64" s="83">
        <v>1</v>
      </c>
    </row>
    <row r="65" spans="1:42">
      <c r="A65" s="62"/>
      <c r="B65" s="63" t="str">
        <f>装备!B65</f>
        <v>E213</v>
      </c>
      <c r="C65" s="63" t="s">
        <v>36</v>
      </c>
      <c r="D65" s="63" t="s">
        <v>76</v>
      </c>
      <c r="E65" s="66" t="s">
        <v>670</v>
      </c>
      <c r="F65" s="63"/>
      <c r="G65" s="63"/>
      <c r="H65" s="63" t="str">
        <f>VLOOKUP(LEFT(RIGHT(B65,5),4),装备!B:CU,2,FALSE)</f>
        <v>护甲lv13</v>
      </c>
      <c r="I65" s="63" t="str">
        <f>VLOOKUP(B65,装备!B:CV,99,FALSE)</f>
        <v>|cffffcc00属性：|r|n护甲+24|n生命值+37200|n伤害减免+6%|n</v>
      </c>
      <c r="J65" s="56" t="str">
        <f t="shared" si="14"/>
        <v>护甲lv13</v>
      </c>
      <c r="K65" s="56" t="str">
        <f t="shared" si="15"/>
        <v>|cffffcc00属性：|r|n护甲+24|n生命值+37200|n伤害减免+6%|n</v>
      </c>
      <c r="L65" s="63"/>
      <c r="M65" s="65" t="str">
        <f>VLOOKUP(LEFT(RIGHT(B65,5),4),装备!B:CU,20,FALSE)</f>
        <v>ReplaceableTextures\\CommandButtons\\BTNE213.blp</v>
      </c>
      <c r="N65" s="83" t="s">
        <v>77</v>
      </c>
      <c r="O65" s="84" t="s">
        <v>78</v>
      </c>
      <c r="P65" s="63">
        <v>0</v>
      </c>
      <c r="Q65" s="63">
        <v>0</v>
      </c>
      <c r="R65" s="83" t="s">
        <v>77</v>
      </c>
      <c r="S65" s="83" t="s">
        <v>77</v>
      </c>
      <c r="T65" s="83" t="s">
        <v>77</v>
      </c>
      <c r="U65" s="83" t="s">
        <v>77</v>
      </c>
      <c r="V65" s="63"/>
      <c r="W65" s="66" t="s">
        <v>665</v>
      </c>
      <c r="X65" s="63">
        <v>0</v>
      </c>
      <c r="Y65" s="83" t="s">
        <v>77</v>
      </c>
      <c r="Z65" s="63">
        <v>0</v>
      </c>
      <c r="AA65" s="63">
        <v>0</v>
      </c>
      <c r="AB65" s="63">
        <v>0</v>
      </c>
      <c r="AC65" s="63">
        <v>1</v>
      </c>
      <c r="AD65" s="63">
        <v>1</v>
      </c>
      <c r="AE65" s="83" t="s">
        <v>77</v>
      </c>
      <c r="AF65" s="83" t="s">
        <v>77</v>
      </c>
      <c r="AG65" s="83" t="s">
        <v>77</v>
      </c>
      <c r="AH65" s="83" t="s">
        <v>77</v>
      </c>
      <c r="AI65" s="83"/>
      <c r="AJ65" s="63"/>
      <c r="AK65" s="63">
        <v>1</v>
      </c>
      <c r="AL65" s="63">
        <v>1</v>
      </c>
      <c r="AM65" s="83" t="s">
        <v>77</v>
      </c>
      <c r="AN65" s="83"/>
      <c r="AO65" s="83"/>
      <c r="AP65" s="83">
        <v>1</v>
      </c>
    </row>
    <row r="66" spans="1:42">
      <c r="A66" s="62"/>
      <c r="B66" s="63" t="str">
        <f>装备!B66</f>
        <v>E214</v>
      </c>
      <c r="C66" s="63" t="s">
        <v>36</v>
      </c>
      <c r="D66" s="63" t="s">
        <v>76</v>
      </c>
      <c r="E66" s="66" t="s">
        <v>670</v>
      </c>
      <c r="F66" s="63"/>
      <c r="G66" s="63"/>
      <c r="H66" s="63" t="str">
        <f>VLOOKUP(LEFT(RIGHT(B66,5),4),装备!B:CU,2,FALSE)</f>
        <v>护甲lv14</v>
      </c>
      <c r="I66" s="63" t="str">
        <f>VLOOKUP(B66,装备!B:CV,99,FALSE)</f>
        <v>|cffffcc00属性：|r|n护甲+27|n生命值+41600|n伤害减免+6%|n</v>
      </c>
      <c r="J66" s="56" t="str">
        <f t="shared" si="14"/>
        <v>护甲lv14</v>
      </c>
      <c r="K66" s="56" t="str">
        <f t="shared" si="15"/>
        <v>|cffffcc00属性：|r|n护甲+27|n生命值+41600|n伤害减免+6%|n</v>
      </c>
      <c r="L66" s="63"/>
      <c r="M66" s="65" t="str">
        <f>VLOOKUP(LEFT(RIGHT(B66,5),4),装备!B:CU,20,FALSE)</f>
        <v>ReplaceableTextures\\CommandButtons\\BTNE214.blp</v>
      </c>
      <c r="N66" s="83" t="s">
        <v>77</v>
      </c>
      <c r="O66" s="84" t="s">
        <v>78</v>
      </c>
      <c r="P66" s="63">
        <v>0</v>
      </c>
      <c r="Q66" s="63">
        <v>0</v>
      </c>
      <c r="R66" s="83" t="s">
        <v>77</v>
      </c>
      <c r="S66" s="83" t="s">
        <v>77</v>
      </c>
      <c r="T66" s="83" t="s">
        <v>77</v>
      </c>
      <c r="U66" s="83" t="s">
        <v>77</v>
      </c>
      <c r="V66" s="63"/>
      <c r="W66" s="66" t="s">
        <v>665</v>
      </c>
      <c r="X66" s="63">
        <v>0</v>
      </c>
      <c r="Y66" s="83" t="s">
        <v>77</v>
      </c>
      <c r="Z66" s="63">
        <v>0</v>
      </c>
      <c r="AA66" s="63">
        <v>0</v>
      </c>
      <c r="AB66" s="63">
        <v>0</v>
      </c>
      <c r="AC66" s="63">
        <v>1</v>
      </c>
      <c r="AD66" s="63">
        <v>1</v>
      </c>
      <c r="AE66" s="83" t="s">
        <v>77</v>
      </c>
      <c r="AF66" s="83" t="s">
        <v>77</v>
      </c>
      <c r="AG66" s="83" t="s">
        <v>77</v>
      </c>
      <c r="AH66" s="83" t="s">
        <v>77</v>
      </c>
      <c r="AI66" s="83"/>
      <c r="AJ66" s="63"/>
      <c r="AK66" s="63">
        <v>1</v>
      </c>
      <c r="AL66" s="63">
        <v>1</v>
      </c>
      <c r="AM66" s="83" t="s">
        <v>77</v>
      </c>
      <c r="AN66" s="83"/>
      <c r="AO66" s="83"/>
      <c r="AP66" s="83">
        <v>1</v>
      </c>
    </row>
    <row r="67" spans="1:42">
      <c r="A67" s="62"/>
      <c r="B67" s="63" t="str">
        <f>装备!B67</f>
        <v>E215</v>
      </c>
      <c r="C67" s="63" t="s">
        <v>36</v>
      </c>
      <c r="D67" s="63" t="s">
        <v>76</v>
      </c>
      <c r="E67" s="66" t="s">
        <v>670</v>
      </c>
      <c r="F67" s="63"/>
      <c r="G67" s="63"/>
      <c r="H67" s="63" t="str">
        <f>VLOOKUP(LEFT(RIGHT(B67,5),4),装备!B:CU,2,FALSE)</f>
        <v>护甲lv15</v>
      </c>
      <c r="I67" s="63" t="str">
        <f>VLOOKUP(B67,装备!B:CV,99,FALSE)</f>
        <v>|cffffcc00属性：|r|n护甲+30|n生命值+46000|n伤害减免+6%|n</v>
      </c>
      <c r="J67" s="56" t="str">
        <f t="shared" si="14"/>
        <v>护甲lv15</v>
      </c>
      <c r="K67" s="56" t="str">
        <f t="shared" si="15"/>
        <v>|cffffcc00属性：|r|n护甲+30|n生命值+46000|n伤害减免+6%|n</v>
      </c>
      <c r="L67" s="63"/>
      <c r="M67" s="65" t="str">
        <f>VLOOKUP(LEFT(RIGHT(B67,5),4),装备!B:CU,20,FALSE)</f>
        <v>ReplaceableTextures\\CommandButtons\\BTNE215.blp</v>
      </c>
      <c r="N67" s="83" t="s">
        <v>77</v>
      </c>
      <c r="O67" s="84" t="s">
        <v>78</v>
      </c>
      <c r="P67" s="63">
        <v>0</v>
      </c>
      <c r="Q67" s="63">
        <v>0</v>
      </c>
      <c r="R67" s="83" t="s">
        <v>77</v>
      </c>
      <c r="S67" s="83" t="s">
        <v>77</v>
      </c>
      <c r="T67" s="83" t="s">
        <v>77</v>
      </c>
      <c r="U67" s="83" t="s">
        <v>77</v>
      </c>
      <c r="V67" s="63"/>
      <c r="W67" s="66" t="s">
        <v>665</v>
      </c>
      <c r="X67" s="63">
        <v>0</v>
      </c>
      <c r="Y67" s="83" t="s">
        <v>77</v>
      </c>
      <c r="Z67" s="63">
        <v>0</v>
      </c>
      <c r="AA67" s="63">
        <v>0</v>
      </c>
      <c r="AB67" s="63">
        <v>0</v>
      </c>
      <c r="AC67" s="63">
        <v>1</v>
      </c>
      <c r="AD67" s="63">
        <v>1</v>
      </c>
      <c r="AE67" s="83" t="s">
        <v>77</v>
      </c>
      <c r="AF67" s="83" t="s">
        <v>77</v>
      </c>
      <c r="AG67" s="83" t="s">
        <v>77</v>
      </c>
      <c r="AH67" s="83" t="s">
        <v>77</v>
      </c>
      <c r="AI67" s="83"/>
      <c r="AJ67" s="63"/>
      <c r="AK67" s="63">
        <v>1</v>
      </c>
      <c r="AL67" s="63">
        <v>1</v>
      </c>
      <c r="AM67" s="83" t="s">
        <v>77</v>
      </c>
      <c r="AN67" s="83"/>
      <c r="AO67" s="83"/>
      <c r="AP67" s="83">
        <v>1</v>
      </c>
    </row>
    <row r="68" spans="1:42">
      <c r="A68" s="62"/>
      <c r="B68" s="63" t="str">
        <f>装备!B68</f>
        <v>E216</v>
      </c>
      <c r="C68" s="63" t="s">
        <v>36</v>
      </c>
      <c r="D68" s="63" t="s">
        <v>76</v>
      </c>
      <c r="E68" s="66" t="s">
        <v>670</v>
      </c>
      <c r="F68" s="63"/>
      <c r="G68" s="63"/>
      <c r="H68" s="63" t="str">
        <f>VLOOKUP(LEFT(RIGHT(B68,5),4),装备!B:CU,2,FALSE)</f>
        <v>护甲lv16</v>
      </c>
      <c r="I68" s="63" t="str">
        <f>VLOOKUP(B68,装备!B:CV,99,FALSE)</f>
        <v>|cffffcc00属性：|r|n护甲+34|n生命值+54800|n伤害减免+9%|n</v>
      </c>
      <c r="J68" s="56" t="str">
        <f t="shared" si="14"/>
        <v>护甲lv16</v>
      </c>
      <c r="K68" s="56" t="str">
        <f t="shared" si="15"/>
        <v>|cffffcc00属性：|r|n护甲+34|n生命值+54800|n伤害减免+9%|n</v>
      </c>
      <c r="L68" s="63"/>
      <c r="M68" s="65" t="str">
        <f>VLOOKUP(LEFT(RIGHT(B68,5),4),装备!B:CU,20,FALSE)</f>
        <v>ReplaceableTextures\\CommandButtons\\BTNE216.blp</v>
      </c>
      <c r="N68" s="83" t="s">
        <v>77</v>
      </c>
      <c r="O68" s="84" t="s">
        <v>78</v>
      </c>
      <c r="P68" s="63">
        <v>0</v>
      </c>
      <c r="Q68" s="63">
        <v>0</v>
      </c>
      <c r="R68" s="83" t="s">
        <v>77</v>
      </c>
      <c r="S68" s="83" t="s">
        <v>77</v>
      </c>
      <c r="T68" s="83" t="s">
        <v>77</v>
      </c>
      <c r="U68" s="83" t="s">
        <v>77</v>
      </c>
      <c r="V68" s="63"/>
      <c r="W68" s="66" t="s">
        <v>665</v>
      </c>
      <c r="X68" s="63">
        <v>0</v>
      </c>
      <c r="Y68" s="83" t="s">
        <v>77</v>
      </c>
      <c r="Z68" s="63">
        <v>0</v>
      </c>
      <c r="AA68" s="63">
        <v>0</v>
      </c>
      <c r="AB68" s="63">
        <v>0</v>
      </c>
      <c r="AC68" s="63">
        <v>1</v>
      </c>
      <c r="AD68" s="63">
        <v>1</v>
      </c>
      <c r="AE68" s="83" t="s">
        <v>77</v>
      </c>
      <c r="AF68" s="83" t="s">
        <v>77</v>
      </c>
      <c r="AG68" s="83" t="s">
        <v>77</v>
      </c>
      <c r="AH68" s="83" t="s">
        <v>77</v>
      </c>
      <c r="AI68" s="83"/>
      <c r="AJ68" s="63"/>
      <c r="AK68" s="63">
        <v>1</v>
      </c>
      <c r="AL68" s="63">
        <v>1</v>
      </c>
      <c r="AM68" s="83" t="s">
        <v>77</v>
      </c>
      <c r="AN68" s="83"/>
      <c r="AO68" s="83"/>
      <c r="AP68" s="83">
        <v>1</v>
      </c>
    </row>
    <row r="69" spans="1:42">
      <c r="A69" s="62"/>
      <c r="B69" s="63" t="str">
        <f>装备!B69</f>
        <v>E217</v>
      </c>
      <c r="C69" s="63" t="s">
        <v>36</v>
      </c>
      <c r="D69" s="63" t="s">
        <v>76</v>
      </c>
      <c r="E69" s="66" t="s">
        <v>670</v>
      </c>
      <c r="F69" s="63"/>
      <c r="G69" s="63"/>
      <c r="H69" s="63" t="str">
        <f>VLOOKUP(LEFT(RIGHT(B69,5),4),装备!B:CU,2,FALSE)</f>
        <v>护甲lv17</v>
      </c>
      <c r="I69" s="63" t="str">
        <f>VLOOKUP(B69,装备!B:CV,99,FALSE)</f>
        <v>|cffffcc00属性：|r|n护甲+38|n生命值+63600|n伤害减免+9%|n</v>
      </c>
      <c r="J69" s="56" t="str">
        <f t="shared" si="14"/>
        <v>护甲lv17</v>
      </c>
      <c r="K69" s="56" t="str">
        <f t="shared" si="15"/>
        <v>|cffffcc00属性：|r|n护甲+38|n生命值+63600|n伤害减免+9%|n</v>
      </c>
      <c r="L69" s="63"/>
      <c r="M69" s="65" t="str">
        <f>VLOOKUP(LEFT(RIGHT(B69,5),4),装备!B:CU,20,FALSE)</f>
        <v>ReplaceableTextures\\CommandButtons\\BTNE217.blp</v>
      </c>
      <c r="N69" s="83" t="s">
        <v>77</v>
      </c>
      <c r="O69" s="84" t="s">
        <v>78</v>
      </c>
      <c r="P69" s="63">
        <v>0</v>
      </c>
      <c r="Q69" s="63">
        <v>0</v>
      </c>
      <c r="R69" s="83" t="s">
        <v>77</v>
      </c>
      <c r="S69" s="83" t="s">
        <v>77</v>
      </c>
      <c r="T69" s="83" t="s">
        <v>77</v>
      </c>
      <c r="U69" s="83" t="s">
        <v>77</v>
      </c>
      <c r="V69" s="63"/>
      <c r="W69" s="66" t="s">
        <v>665</v>
      </c>
      <c r="X69" s="63">
        <v>0</v>
      </c>
      <c r="Y69" s="83" t="s">
        <v>77</v>
      </c>
      <c r="Z69" s="63">
        <v>0</v>
      </c>
      <c r="AA69" s="63">
        <v>0</v>
      </c>
      <c r="AB69" s="63">
        <v>0</v>
      </c>
      <c r="AC69" s="63">
        <v>1</v>
      </c>
      <c r="AD69" s="63">
        <v>1</v>
      </c>
      <c r="AE69" s="83" t="s">
        <v>77</v>
      </c>
      <c r="AF69" s="83" t="s">
        <v>77</v>
      </c>
      <c r="AG69" s="83" t="s">
        <v>77</v>
      </c>
      <c r="AH69" s="83" t="s">
        <v>77</v>
      </c>
      <c r="AI69" s="83"/>
      <c r="AJ69" s="63"/>
      <c r="AK69" s="63">
        <v>1</v>
      </c>
      <c r="AL69" s="63">
        <v>1</v>
      </c>
      <c r="AM69" s="83" t="s">
        <v>77</v>
      </c>
      <c r="AN69" s="83"/>
      <c r="AO69" s="83"/>
      <c r="AP69" s="83">
        <v>1</v>
      </c>
    </row>
    <row r="70" spans="1:42">
      <c r="A70" s="62"/>
      <c r="B70" s="63" t="str">
        <f>装备!B70</f>
        <v>E218</v>
      </c>
      <c r="C70" s="63" t="s">
        <v>36</v>
      </c>
      <c r="D70" s="63" t="s">
        <v>76</v>
      </c>
      <c r="E70" s="66" t="s">
        <v>670</v>
      </c>
      <c r="F70" s="63"/>
      <c r="G70" s="63"/>
      <c r="H70" s="63" t="str">
        <f>VLOOKUP(LEFT(RIGHT(B70,5),4),装备!B:CU,2,FALSE)</f>
        <v>护甲lv18</v>
      </c>
      <c r="I70" s="63" t="str">
        <f>VLOOKUP(B70,装备!B:CV,99,FALSE)</f>
        <v>|cffffcc00属性：|r|n护甲+42|n生命值+72400|n伤害减免+9%|n</v>
      </c>
      <c r="J70" s="56" t="str">
        <f t="shared" si="14"/>
        <v>护甲lv18</v>
      </c>
      <c r="K70" s="56" t="str">
        <f t="shared" si="15"/>
        <v>|cffffcc00属性：|r|n护甲+42|n生命值+72400|n伤害减免+9%|n</v>
      </c>
      <c r="L70" s="63"/>
      <c r="M70" s="65" t="str">
        <f>VLOOKUP(LEFT(RIGHT(B70,5),4),装备!B:CU,20,FALSE)</f>
        <v>ReplaceableTextures\\CommandButtons\\BTNE218.blp</v>
      </c>
      <c r="N70" s="83" t="s">
        <v>77</v>
      </c>
      <c r="O70" s="84" t="s">
        <v>78</v>
      </c>
      <c r="P70" s="63">
        <v>0</v>
      </c>
      <c r="Q70" s="63">
        <v>0</v>
      </c>
      <c r="R70" s="83" t="s">
        <v>77</v>
      </c>
      <c r="S70" s="83" t="s">
        <v>77</v>
      </c>
      <c r="T70" s="83" t="s">
        <v>77</v>
      </c>
      <c r="U70" s="83" t="s">
        <v>77</v>
      </c>
      <c r="V70" s="63"/>
      <c r="W70" s="66" t="s">
        <v>665</v>
      </c>
      <c r="X70" s="63">
        <v>0</v>
      </c>
      <c r="Y70" s="83" t="s">
        <v>77</v>
      </c>
      <c r="Z70" s="63">
        <v>0</v>
      </c>
      <c r="AA70" s="63">
        <v>0</v>
      </c>
      <c r="AB70" s="63">
        <v>0</v>
      </c>
      <c r="AC70" s="63">
        <v>1</v>
      </c>
      <c r="AD70" s="63">
        <v>1</v>
      </c>
      <c r="AE70" s="83" t="s">
        <v>77</v>
      </c>
      <c r="AF70" s="83" t="s">
        <v>77</v>
      </c>
      <c r="AG70" s="83" t="s">
        <v>77</v>
      </c>
      <c r="AH70" s="83" t="s">
        <v>77</v>
      </c>
      <c r="AI70" s="83"/>
      <c r="AJ70" s="63"/>
      <c r="AK70" s="63">
        <v>1</v>
      </c>
      <c r="AL70" s="63">
        <v>1</v>
      </c>
      <c r="AM70" s="83" t="s">
        <v>77</v>
      </c>
      <c r="AN70" s="83"/>
      <c r="AO70" s="83"/>
      <c r="AP70" s="83">
        <v>1</v>
      </c>
    </row>
    <row r="71" spans="1:42">
      <c r="A71" s="62"/>
      <c r="B71" s="63" t="str">
        <f>装备!B71</f>
        <v>E219</v>
      </c>
      <c r="C71" s="63" t="s">
        <v>36</v>
      </c>
      <c r="D71" s="63" t="s">
        <v>76</v>
      </c>
      <c r="E71" s="66" t="s">
        <v>670</v>
      </c>
      <c r="F71" s="63"/>
      <c r="G71" s="63"/>
      <c r="H71" s="63" t="str">
        <f>VLOOKUP(LEFT(RIGHT(B71,5),4),装备!B:CU,2,FALSE)</f>
        <v>护甲lv19</v>
      </c>
      <c r="I71" s="63" t="str">
        <f>VLOOKUP(B71,装备!B:CV,99,FALSE)</f>
        <v>|cffffcc00属性：|r|n护甲+46|n生命值+81200|n伤害减免+9%|n</v>
      </c>
      <c r="J71" s="56" t="str">
        <f t="shared" si="14"/>
        <v>护甲lv19</v>
      </c>
      <c r="K71" s="56" t="str">
        <f t="shared" si="15"/>
        <v>|cffffcc00属性：|r|n护甲+46|n生命值+81200|n伤害减免+9%|n</v>
      </c>
      <c r="L71" s="63"/>
      <c r="M71" s="65" t="str">
        <f>VLOOKUP(LEFT(RIGHT(B71,5),4),装备!B:CU,20,FALSE)</f>
        <v>ReplaceableTextures\\CommandButtons\\BTNE219.blp</v>
      </c>
      <c r="N71" s="83" t="s">
        <v>77</v>
      </c>
      <c r="O71" s="84" t="s">
        <v>78</v>
      </c>
      <c r="P71" s="63">
        <v>0</v>
      </c>
      <c r="Q71" s="63">
        <v>0</v>
      </c>
      <c r="R71" s="83" t="s">
        <v>77</v>
      </c>
      <c r="S71" s="83" t="s">
        <v>77</v>
      </c>
      <c r="T71" s="83" t="s">
        <v>77</v>
      </c>
      <c r="U71" s="83" t="s">
        <v>77</v>
      </c>
      <c r="V71" s="63"/>
      <c r="W71" s="66" t="s">
        <v>665</v>
      </c>
      <c r="X71" s="63">
        <v>0</v>
      </c>
      <c r="Y71" s="83" t="s">
        <v>77</v>
      </c>
      <c r="Z71" s="63">
        <v>0</v>
      </c>
      <c r="AA71" s="63">
        <v>0</v>
      </c>
      <c r="AB71" s="63">
        <v>0</v>
      </c>
      <c r="AC71" s="63">
        <v>1</v>
      </c>
      <c r="AD71" s="63">
        <v>1</v>
      </c>
      <c r="AE71" s="83" t="s">
        <v>77</v>
      </c>
      <c r="AF71" s="83" t="s">
        <v>77</v>
      </c>
      <c r="AG71" s="83" t="s">
        <v>77</v>
      </c>
      <c r="AH71" s="83" t="s">
        <v>77</v>
      </c>
      <c r="AI71" s="83"/>
      <c r="AJ71" s="63"/>
      <c r="AK71" s="63">
        <v>1</v>
      </c>
      <c r="AL71" s="63">
        <v>1</v>
      </c>
      <c r="AM71" s="83" t="s">
        <v>77</v>
      </c>
      <c r="AN71" s="83"/>
      <c r="AO71" s="83"/>
      <c r="AP71" s="83">
        <v>1</v>
      </c>
    </row>
    <row r="72" spans="1:42">
      <c r="A72" s="62"/>
      <c r="B72" s="63" t="str">
        <f>装备!B72</f>
        <v>E220</v>
      </c>
      <c r="C72" s="63" t="s">
        <v>36</v>
      </c>
      <c r="D72" s="63" t="s">
        <v>76</v>
      </c>
      <c r="E72" s="66" t="s">
        <v>670</v>
      </c>
      <c r="F72" s="63"/>
      <c r="G72" s="63"/>
      <c r="H72" s="63" t="str">
        <f>VLOOKUP(LEFT(RIGHT(B72,5),4),装备!B:CU,2,FALSE)</f>
        <v>护甲lv20</v>
      </c>
      <c r="I72" s="63" t="str">
        <f>VLOOKUP(B72,装备!B:CV,99,FALSE)</f>
        <v>|cffffcc00属性：|r|n护甲+50|n生命值+90000|n伤害减免+9%|n</v>
      </c>
      <c r="J72" s="56" t="str">
        <f t="shared" si="14"/>
        <v>护甲lv20</v>
      </c>
      <c r="K72" s="56" t="str">
        <f t="shared" si="15"/>
        <v>|cffffcc00属性：|r|n护甲+50|n生命值+90000|n伤害减免+9%|n</v>
      </c>
      <c r="L72" s="63"/>
      <c r="M72" s="65" t="str">
        <f>VLOOKUP(LEFT(RIGHT(B72,5),4),装备!B:CU,20,FALSE)</f>
        <v>ReplaceableTextures\\CommandButtons\\BTNE220.blp</v>
      </c>
      <c r="N72" s="83" t="s">
        <v>77</v>
      </c>
      <c r="O72" s="84" t="s">
        <v>78</v>
      </c>
      <c r="P72" s="63">
        <v>0</v>
      </c>
      <c r="Q72" s="63">
        <v>0</v>
      </c>
      <c r="R72" s="83" t="s">
        <v>77</v>
      </c>
      <c r="S72" s="83" t="s">
        <v>77</v>
      </c>
      <c r="T72" s="83" t="s">
        <v>77</v>
      </c>
      <c r="U72" s="83" t="s">
        <v>77</v>
      </c>
      <c r="V72" s="63"/>
      <c r="W72" s="66" t="s">
        <v>665</v>
      </c>
      <c r="X72" s="63">
        <v>0</v>
      </c>
      <c r="Y72" s="83" t="s">
        <v>77</v>
      </c>
      <c r="Z72" s="63">
        <v>0</v>
      </c>
      <c r="AA72" s="63">
        <v>0</v>
      </c>
      <c r="AB72" s="63">
        <v>0</v>
      </c>
      <c r="AC72" s="63">
        <v>1</v>
      </c>
      <c r="AD72" s="63">
        <v>1</v>
      </c>
      <c r="AE72" s="83" t="s">
        <v>77</v>
      </c>
      <c r="AF72" s="83" t="s">
        <v>77</v>
      </c>
      <c r="AG72" s="83" t="s">
        <v>77</v>
      </c>
      <c r="AH72" s="83" t="s">
        <v>77</v>
      </c>
      <c r="AI72" s="83"/>
      <c r="AJ72" s="63"/>
      <c r="AK72" s="63">
        <v>1</v>
      </c>
      <c r="AL72" s="63">
        <v>1</v>
      </c>
      <c r="AM72" s="83" t="s">
        <v>77</v>
      </c>
      <c r="AN72" s="83"/>
      <c r="AO72" s="83"/>
      <c r="AP72" s="83">
        <v>1</v>
      </c>
    </row>
    <row r="73" spans="1:42">
      <c r="A73" s="62"/>
      <c r="B73" s="63" t="str">
        <f>装备!B73</f>
        <v>E221</v>
      </c>
      <c r="C73" s="63" t="s">
        <v>36</v>
      </c>
      <c r="D73" s="63" t="s">
        <v>76</v>
      </c>
      <c r="E73" s="66" t="s">
        <v>670</v>
      </c>
      <c r="F73" s="63"/>
      <c r="G73" s="63"/>
      <c r="H73" s="63" t="str">
        <f>VLOOKUP(LEFT(RIGHT(B73,5),4),装备!B:CU,2,FALSE)</f>
        <v>护甲lv21</v>
      </c>
      <c r="I73" s="63" t="str">
        <f>VLOOKUP(B73,装备!B:CV,99,FALSE)</f>
        <v>|cffffcc00属性：|r|n护甲+55|n生命值+112000|n伤害减免+12%|n</v>
      </c>
      <c r="J73" s="56" t="str">
        <f t="shared" si="14"/>
        <v>护甲lv21</v>
      </c>
      <c r="K73" s="56" t="str">
        <f t="shared" si="15"/>
        <v>|cffffcc00属性：|r|n护甲+55|n生命值+112000|n伤害减免+12%|n</v>
      </c>
      <c r="L73" s="63"/>
      <c r="M73" s="65" t="str">
        <f>VLOOKUP(LEFT(RIGHT(B73,5),4),装备!B:CU,20,FALSE)</f>
        <v>ReplaceableTextures\\CommandButtons\\BTNE221.blp</v>
      </c>
      <c r="N73" s="83" t="s">
        <v>77</v>
      </c>
      <c r="O73" s="84" t="s">
        <v>78</v>
      </c>
      <c r="P73" s="63">
        <v>0</v>
      </c>
      <c r="Q73" s="63">
        <v>0</v>
      </c>
      <c r="R73" s="83" t="s">
        <v>77</v>
      </c>
      <c r="S73" s="83" t="s">
        <v>77</v>
      </c>
      <c r="T73" s="83" t="s">
        <v>77</v>
      </c>
      <c r="U73" s="83" t="s">
        <v>77</v>
      </c>
      <c r="V73" s="63"/>
      <c r="W73" s="66" t="s">
        <v>665</v>
      </c>
      <c r="X73" s="63">
        <v>0</v>
      </c>
      <c r="Y73" s="83" t="s">
        <v>77</v>
      </c>
      <c r="Z73" s="63">
        <v>0</v>
      </c>
      <c r="AA73" s="63">
        <v>0</v>
      </c>
      <c r="AB73" s="63">
        <v>0</v>
      </c>
      <c r="AC73" s="63">
        <v>1</v>
      </c>
      <c r="AD73" s="63">
        <v>1</v>
      </c>
      <c r="AE73" s="83" t="s">
        <v>77</v>
      </c>
      <c r="AF73" s="83" t="s">
        <v>77</v>
      </c>
      <c r="AG73" s="83" t="s">
        <v>77</v>
      </c>
      <c r="AH73" s="83" t="s">
        <v>77</v>
      </c>
      <c r="AI73" s="83"/>
      <c r="AJ73" s="63"/>
      <c r="AK73" s="63">
        <v>1</v>
      </c>
      <c r="AL73" s="63">
        <v>1</v>
      </c>
      <c r="AM73" s="83" t="s">
        <v>77</v>
      </c>
      <c r="AN73" s="83"/>
      <c r="AO73" s="83"/>
      <c r="AP73" s="83">
        <v>1</v>
      </c>
    </row>
    <row r="74" spans="1:42">
      <c r="A74" s="62"/>
      <c r="B74" s="63" t="str">
        <f>装备!B74</f>
        <v>E222</v>
      </c>
      <c r="C74" s="63" t="s">
        <v>36</v>
      </c>
      <c r="D74" s="63" t="s">
        <v>76</v>
      </c>
      <c r="E74" s="66" t="s">
        <v>670</v>
      </c>
      <c r="F74" s="63"/>
      <c r="G74" s="63"/>
      <c r="H74" s="63" t="str">
        <f>VLOOKUP(LEFT(RIGHT(B74,5),4),装备!B:CU,2,FALSE)</f>
        <v>护甲lv22</v>
      </c>
      <c r="I74" s="63" t="str">
        <f>VLOOKUP(B74,装备!B:CV,99,FALSE)</f>
        <v>|cffffcc00属性：|r|n护甲+60|n生命值+134000|n伤害减免+12%|n</v>
      </c>
      <c r="J74" s="56" t="str">
        <f t="shared" si="14"/>
        <v>护甲lv22</v>
      </c>
      <c r="K74" s="56" t="str">
        <f t="shared" si="15"/>
        <v>|cffffcc00属性：|r|n护甲+60|n生命值+134000|n伤害减免+12%|n</v>
      </c>
      <c r="L74" s="63"/>
      <c r="M74" s="65" t="str">
        <f>VLOOKUP(LEFT(RIGHT(B74,5),4),装备!B:CU,20,FALSE)</f>
        <v>ReplaceableTextures\\CommandButtons\\BTNE222.blp</v>
      </c>
      <c r="N74" s="83" t="s">
        <v>77</v>
      </c>
      <c r="O74" s="84" t="s">
        <v>78</v>
      </c>
      <c r="P74" s="63">
        <v>0</v>
      </c>
      <c r="Q74" s="63">
        <v>0</v>
      </c>
      <c r="R74" s="83" t="s">
        <v>77</v>
      </c>
      <c r="S74" s="83" t="s">
        <v>77</v>
      </c>
      <c r="T74" s="83" t="s">
        <v>77</v>
      </c>
      <c r="U74" s="83" t="s">
        <v>77</v>
      </c>
      <c r="V74" s="63"/>
      <c r="W74" s="66" t="s">
        <v>665</v>
      </c>
      <c r="X74" s="63">
        <v>0</v>
      </c>
      <c r="Y74" s="83" t="s">
        <v>77</v>
      </c>
      <c r="Z74" s="63">
        <v>0</v>
      </c>
      <c r="AA74" s="63">
        <v>0</v>
      </c>
      <c r="AB74" s="63">
        <v>0</v>
      </c>
      <c r="AC74" s="63">
        <v>1</v>
      </c>
      <c r="AD74" s="63">
        <v>1</v>
      </c>
      <c r="AE74" s="83" t="s">
        <v>77</v>
      </c>
      <c r="AF74" s="83" t="s">
        <v>77</v>
      </c>
      <c r="AG74" s="83" t="s">
        <v>77</v>
      </c>
      <c r="AH74" s="83" t="s">
        <v>77</v>
      </c>
      <c r="AI74" s="83"/>
      <c r="AJ74" s="63"/>
      <c r="AK74" s="63">
        <v>1</v>
      </c>
      <c r="AL74" s="63">
        <v>1</v>
      </c>
      <c r="AM74" s="83" t="s">
        <v>77</v>
      </c>
      <c r="AN74" s="83"/>
      <c r="AO74" s="83"/>
      <c r="AP74" s="83">
        <v>1</v>
      </c>
    </row>
    <row r="75" spans="1:42">
      <c r="A75" s="62"/>
      <c r="B75" s="63" t="str">
        <f>装备!B75</f>
        <v>E223</v>
      </c>
      <c r="C75" s="63" t="s">
        <v>36</v>
      </c>
      <c r="D75" s="63" t="s">
        <v>76</v>
      </c>
      <c r="E75" s="66" t="s">
        <v>670</v>
      </c>
      <c r="F75" s="63"/>
      <c r="G75" s="63"/>
      <c r="H75" s="63" t="str">
        <f>VLOOKUP(LEFT(RIGHT(B75,5),4),装备!B:CU,2,FALSE)</f>
        <v>护甲lv23</v>
      </c>
      <c r="I75" s="63" t="str">
        <f>VLOOKUP(B75,装备!B:CV,99,FALSE)</f>
        <v>|cffffcc00属性：|r|n护甲+65|n生命值+156000|n伤害减免+12%|n</v>
      </c>
      <c r="J75" s="56" t="str">
        <f t="shared" si="14"/>
        <v>护甲lv23</v>
      </c>
      <c r="K75" s="56" t="str">
        <f t="shared" si="15"/>
        <v>|cffffcc00属性：|r|n护甲+65|n生命值+156000|n伤害减免+12%|n</v>
      </c>
      <c r="L75" s="63"/>
      <c r="M75" s="65" t="str">
        <f>VLOOKUP(LEFT(RIGHT(B75,5),4),装备!B:CU,20,FALSE)</f>
        <v>ReplaceableTextures\\CommandButtons\\BTNE223.blp</v>
      </c>
      <c r="N75" s="83" t="s">
        <v>77</v>
      </c>
      <c r="O75" s="84" t="s">
        <v>78</v>
      </c>
      <c r="P75" s="63">
        <v>0</v>
      </c>
      <c r="Q75" s="63">
        <v>0</v>
      </c>
      <c r="R75" s="83" t="s">
        <v>77</v>
      </c>
      <c r="S75" s="83" t="s">
        <v>77</v>
      </c>
      <c r="T75" s="83" t="s">
        <v>77</v>
      </c>
      <c r="U75" s="83" t="s">
        <v>77</v>
      </c>
      <c r="V75" s="63"/>
      <c r="W75" s="66" t="s">
        <v>665</v>
      </c>
      <c r="X75" s="63">
        <v>0</v>
      </c>
      <c r="Y75" s="83" t="s">
        <v>77</v>
      </c>
      <c r="Z75" s="63">
        <v>0</v>
      </c>
      <c r="AA75" s="63">
        <v>0</v>
      </c>
      <c r="AB75" s="63">
        <v>0</v>
      </c>
      <c r="AC75" s="63">
        <v>1</v>
      </c>
      <c r="AD75" s="63">
        <v>1</v>
      </c>
      <c r="AE75" s="83" t="s">
        <v>77</v>
      </c>
      <c r="AF75" s="83" t="s">
        <v>77</v>
      </c>
      <c r="AG75" s="83" t="s">
        <v>77</v>
      </c>
      <c r="AH75" s="83" t="s">
        <v>77</v>
      </c>
      <c r="AI75" s="83"/>
      <c r="AJ75" s="63"/>
      <c r="AK75" s="63">
        <v>1</v>
      </c>
      <c r="AL75" s="63">
        <v>1</v>
      </c>
      <c r="AM75" s="83" t="s">
        <v>77</v>
      </c>
      <c r="AN75" s="83"/>
      <c r="AO75" s="83"/>
      <c r="AP75" s="83">
        <v>1</v>
      </c>
    </row>
    <row r="76" spans="1:42">
      <c r="A76" s="62"/>
      <c r="B76" s="63" t="str">
        <f>装备!B76</f>
        <v>E224</v>
      </c>
      <c r="C76" s="63" t="s">
        <v>36</v>
      </c>
      <c r="D76" s="63" t="s">
        <v>76</v>
      </c>
      <c r="E76" s="66" t="s">
        <v>670</v>
      </c>
      <c r="F76" s="63"/>
      <c r="G76" s="63"/>
      <c r="H76" s="63" t="str">
        <f>VLOOKUP(LEFT(RIGHT(B76,5),4),装备!B:CU,2,FALSE)</f>
        <v>护甲lv24</v>
      </c>
      <c r="I76" s="63" t="str">
        <f>VLOOKUP(B76,装备!B:CV,99,FALSE)</f>
        <v>|cffffcc00属性：|r|n护甲+70|n生命值+178000|n伤害减免+12%|n</v>
      </c>
      <c r="J76" s="56" t="str">
        <f t="shared" si="14"/>
        <v>护甲lv24</v>
      </c>
      <c r="K76" s="56" t="str">
        <f t="shared" si="15"/>
        <v>|cffffcc00属性：|r|n护甲+70|n生命值+178000|n伤害减免+12%|n</v>
      </c>
      <c r="L76" s="63"/>
      <c r="M76" s="65" t="str">
        <f>VLOOKUP(LEFT(RIGHT(B76,5),4),装备!B:CU,20,FALSE)</f>
        <v>ReplaceableTextures\\CommandButtons\\BTNE224.blp</v>
      </c>
      <c r="N76" s="83" t="s">
        <v>77</v>
      </c>
      <c r="O76" s="84" t="s">
        <v>78</v>
      </c>
      <c r="P76" s="63">
        <v>0</v>
      </c>
      <c r="Q76" s="63">
        <v>0</v>
      </c>
      <c r="R76" s="83" t="s">
        <v>77</v>
      </c>
      <c r="S76" s="83" t="s">
        <v>77</v>
      </c>
      <c r="T76" s="83" t="s">
        <v>77</v>
      </c>
      <c r="U76" s="83" t="s">
        <v>77</v>
      </c>
      <c r="V76" s="63"/>
      <c r="W76" s="66" t="s">
        <v>665</v>
      </c>
      <c r="X76" s="63">
        <v>0</v>
      </c>
      <c r="Y76" s="83" t="s">
        <v>77</v>
      </c>
      <c r="Z76" s="63">
        <v>0</v>
      </c>
      <c r="AA76" s="63">
        <v>0</v>
      </c>
      <c r="AB76" s="63">
        <v>0</v>
      </c>
      <c r="AC76" s="63">
        <v>1</v>
      </c>
      <c r="AD76" s="63">
        <v>1</v>
      </c>
      <c r="AE76" s="83" t="s">
        <v>77</v>
      </c>
      <c r="AF76" s="83" t="s">
        <v>77</v>
      </c>
      <c r="AG76" s="83" t="s">
        <v>77</v>
      </c>
      <c r="AH76" s="83" t="s">
        <v>77</v>
      </c>
      <c r="AI76" s="83"/>
      <c r="AJ76" s="63"/>
      <c r="AK76" s="63">
        <v>1</v>
      </c>
      <c r="AL76" s="63">
        <v>1</v>
      </c>
      <c r="AM76" s="83" t="s">
        <v>77</v>
      </c>
      <c r="AN76" s="83"/>
      <c r="AO76" s="83"/>
      <c r="AP76" s="83">
        <v>1</v>
      </c>
    </row>
    <row r="77" spans="1:42">
      <c r="A77" s="62"/>
      <c r="B77" s="63" t="str">
        <f>装备!B77</f>
        <v>E225</v>
      </c>
      <c r="C77" s="63" t="s">
        <v>36</v>
      </c>
      <c r="D77" s="63" t="s">
        <v>76</v>
      </c>
      <c r="E77" s="66"/>
      <c r="F77" s="63"/>
      <c r="G77" s="63"/>
      <c r="H77" s="63" t="str">
        <f>VLOOKUP(LEFT(RIGHT(B77,5),4),装备!B:CU,2,FALSE)</f>
        <v>护甲lv25</v>
      </c>
      <c r="I77" s="63" t="str">
        <f>VLOOKUP(B77,装备!B:CV,99,FALSE)</f>
        <v>|cffffcc00属性：|r|n护甲+75|n生命值+200000|n伤害减免+12%|n</v>
      </c>
      <c r="J77" s="56" t="str">
        <f t="shared" si="14"/>
        <v>护甲lv25</v>
      </c>
      <c r="K77" s="56" t="str">
        <f t="shared" si="15"/>
        <v>|cffffcc00属性：|r|n护甲+75|n生命值+200000|n伤害减免+12%|n</v>
      </c>
      <c r="L77" s="63"/>
      <c r="M77" s="65" t="str">
        <f>VLOOKUP(LEFT(RIGHT(B77,5),4),装备!B:CU,20,FALSE)</f>
        <v>ReplaceableTextures\\CommandButtons\\BTNE225.blp</v>
      </c>
      <c r="N77" s="83" t="s">
        <v>77</v>
      </c>
      <c r="O77" s="84" t="s">
        <v>78</v>
      </c>
      <c r="P77" s="63">
        <v>0</v>
      </c>
      <c r="Q77" s="63">
        <v>0</v>
      </c>
      <c r="R77" s="83" t="s">
        <v>77</v>
      </c>
      <c r="S77" s="83" t="s">
        <v>77</v>
      </c>
      <c r="T77" s="83" t="s">
        <v>77</v>
      </c>
      <c r="U77" s="83" t="s">
        <v>77</v>
      </c>
      <c r="V77" s="63"/>
      <c r="W77" s="66" t="s">
        <v>665</v>
      </c>
      <c r="X77" s="63">
        <v>0</v>
      </c>
      <c r="Y77" s="83" t="s">
        <v>77</v>
      </c>
      <c r="Z77" s="63">
        <v>0</v>
      </c>
      <c r="AA77" s="63">
        <v>0</v>
      </c>
      <c r="AB77" s="63">
        <v>0</v>
      </c>
      <c r="AC77" s="63">
        <v>1</v>
      </c>
      <c r="AD77" s="63">
        <v>1</v>
      </c>
      <c r="AE77" s="83" t="s">
        <v>77</v>
      </c>
      <c r="AF77" s="83" t="s">
        <v>77</v>
      </c>
      <c r="AG77" s="83" t="s">
        <v>77</v>
      </c>
      <c r="AH77" s="83" t="s">
        <v>77</v>
      </c>
      <c r="AI77" s="83"/>
      <c r="AJ77" s="63"/>
      <c r="AK77" s="63">
        <v>1</v>
      </c>
      <c r="AL77" s="63">
        <v>1</v>
      </c>
      <c r="AM77" s="83" t="s">
        <v>77</v>
      </c>
      <c r="AN77" s="83"/>
      <c r="AO77" s="83"/>
      <c r="AP77" s="83"/>
    </row>
    <row r="78" spans="1:42">
      <c r="A78" s="62"/>
      <c r="B78" s="63" t="str">
        <f>装备!B78</f>
        <v>IJ01</v>
      </c>
      <c r="C78" s="63" t="s">
        <v>36</v>
      </c>
      <c r="D78" s="63" t="s">
        <v>76</v>
      </c>
      <c r="E78" s="66" t="s">
        <v>670</v>
      </c>
      <c r="F78" s="63"/>
      <c r="G78" s="63"/>
      <c r="H78" s="63" t="str">
        <f>VLOOKUP(LEFT(RIGHT(B78,5),4),装备!B:CU,2,FALSE)</f>
        <v>低级道果</v>
      </c>
      <c r="I78" s="63" t="str">
        <f>VLOOKUP(B78,装备!B:CV,99,FALSE)</f>
        <v>|cffffcc00属性：|r|n攻击+878|n法强+878|n生命值+1756|n</v>
      </c>
      <c r="J78" s="56" t="str">
        <f t="shared" ref="J78" si="16">H78</f>
        <v>低级道果</v>
      </c>
      <c r="K78" s="56" t="str">
        <f t="shared" ref="K78" si="17">I78</f>
        <v>|cffffcc00属性：|r|n攻击+878|n法强+878|n生命值+1756|n</v>
      </c>
      <c r="L78" s="63"/>
      <c r="M78" s="65" t="str">
        <f>VLOOKUP(LEFT(RIGHT(B78,5),4),装备!B:CU,20,FALSE)</f>
        <v>ReplaceableTextures\\CommandButtons\\BTNOrbOfFrost.blp</v>
      </c>
      <c r="N78" s="83" t="s">
        <v>77</v>
      </c>
      <c r="O78" s="84" t="s">
        <v>78</v>
      </c>
      <c r="P78" s="63">
        <v>0</v>
      </c>
      <c r="Q78" s="63">
        <v>0</v>
      </c>
      <c r="R78" s="83" t="s">
        <v>77</v>
      </c>
      <c r="S78" s="83" t="s">
        <v>77</v>
      </c>
      <c r="T78" s="83" t="s">
        <v>77</v>
      </c>
      <c r="U78" s="83" t="s">
        <v>77</v>
      </c>
      <c r="V78" s="63"/>
      <c r="W78" s="66" t="s">
        <v>835</v>
      </c>
      <c r="X78" s="63">
        <v>0</v>
      </c>
      <c r="Y78" s="83" t="s">
        <v>77</v>
      </c>
      <c r="Z78" s="63">
        <v>0</v>
      </c>
      <c r="AA78" s="63">
        <v>0</v>
      </c>
      <c r="AB78" s="63">
        <v>0</v>
      </c>
      <c r="AC78" s="63">
        <v>1</v>
      </c>
      <c r="AD78" s="63">
        <v>1</v>
      </c>
      <c r="AE78" s="83" t="s">
        <v>77</v>
      </c>
      <c r="AF78" s="83" t="s">
        <v>77</v>
      </c>
      <c r="AG78" s="83" t="s">
        <v>77</v>
      </c>
      <c r="AH78" s="83" t="s">
        <v>77</v>
      </c>
      <c r="AI78" s="83">
        <v>1</v>
      </c>
      <c r="AJ78" s="63"/>
      <c r="AK78" s="63">
        <v>1</v>
      </c>
      <c r="AL78" s="63">
        <v>1</v>
      </c>
      <c r="AM78" s="83" t="s">
        <v>77</v>
      </c>
      <c r="AN78" s="83">
        <v>1</v>
      </c>
      <c r="AO78" s="83">
        <v>1</v>
      </c>
      <c r="AP78" s="83">
        <v>1</v>
      </c>
    </row>
    <row r="79" spans="1:42">
      <c r="A79" s="62"/>
      <c r="B79" s="63" t="str">
        <f>装备!B79</f>
        <v>IJ02</v>
      </c>
      <c r="C79" s="63" t="s">
        <v>36</v>
      </c>
      <c r="D79" s="63" t="s">
        <v>76</v>
      </c>
      <c r="E79" s="66" t="s">
        <v>670</v>
      </c>
      <c r="F79" s="63"/>
      <c r="G79" s="63"/>
      <c r="H79" s="63" t="str">
        <f>VLOOKUP(LEFT(RIGHT(B79,5),4),装备!B:CU,2,FALSE)</f>
        <v>中级道果</v>
      </c>
      <c r="I79" s="63" t="str">
        <f>VLOOKUP(B79,装备!B:CV,99,FALSE)</f>
        <v>|cffffcc00属性：|r|n攻击+1316|n法强+1316|n生命值+2634|n</v>
      </c>
      <c r="J79" s="56" t="str">
        <f t="shared" ref="J79:J82" si="18">H79</f>
        <v>中级道果</v>
      </c>
      <c r="K79" s="56" t="str">
        <f t="shared" ref="K79:K82" si="19">I79</f>
        <v>|cffffcc00属性：|r|n攻击+1316|n法强+1316|n生命值+2634|n</v>
      </c>
      <c r="L79" s="63"/>
      <c r="M79" s="65" t="str">
        <f>VLOOKUP(LEFT(RIGHT(B79,5),4),装备!B:CU,20,FALSE)</f>
        <v>ReplaceableTextures\\CommandButtons\\BTNOrbOfVenom.blp</v>
      </c>
      <c r="N79" s="83" t="s">
        <v>77</v>
      </c>
      <c r="O79" s="84" t="s">
        <v>78</v>
      </c>
      <c r="P79" s="63">
        <v>0</v>
      </c>
      <c r="Q79" s="63">
        <v>0</v>
      </c>
      <c r="R79" s="83" t="s">
        <v>77</v>
      </c>
      <c r="S79" s="83" t="s">
        <v>77</v>
      </c>
      <c r="T79" s="83" t="s">
        <v>77</v>
      </c>
      <c r="U79" s="83" t="s">
        <v>77</v>
      </c>
      <c r="V79" s="63"/>
      <c r="W79" s="66" t="s">
        <v>835</v>
      </c>
      <c r="X79" s="63">
        <v>0</v>
      </c>
      <c r="Y79" s="83" t="s">
        <v>77</v>
      </c>
      <c r="Z79" s="63">
        <v>0</v>
      </c>
      <c r="AA79" s="63">
        <v>0</v>
      </c>
      <c r="AB79" s="63">
        <v>0</v>
      </c>
      <c r="AC79" s="63">
        <v>1</v>
      </c>
      <c r="AD79" s="63">
        <v>1</v>
      </c>
      <c r="AE79" s="83" t="s">
        <v>77</v>
      </c>
      <c r="AF79" s="83" t="s">
        <v>77</v>
      </c>
      <c r="AG79" s="83" t="s">
        <v>77</v>
      </c>
      <c r="AH79" s="83" t="s">
        <v>77</v>
      </c>
      <c r="AI79" s="83">
        <v>1</v>
      </c>
      <c r="AJ79" s="63"/>
      <c r="AK79" s="63">
        <v>1</v>
      </c>
      <c r="AL79" s="63">
        <v>1</v>
      </c>
      <c r="AM79" s="83" t="s">
        <v>77</v>
      </c>
      <c r="AN79" s="83">
        <v>1</v>
      </c>
      <c r="AO79" s="83">
        <v>1</v>
      </c>
      <c r="AP79" s="83">
        <v>1</v>
      </c>
    </row>
    <row r="80" spans="1:42">
      <c r="A80" s="62"/>
      <c r="B80" s="63" t="str">
        <f>装备!B80</f>
        <v>IJ03</v>
      </c>
      <c r="C80" s="63" t="s">
        <v>36</v>
      </c>
      <c r="D80" s="63" t="s">
        <v>76</v>
      </c>
      <c r="E80" s="66" t="s">
        <v>670</v>
      </c>
      <c r="F80" s="63"/>
      <c r="G80" s="63"/>
      <c r="H80" s="63" t="str">
        <f>VLOOKUP(LEFT(RIGHT(B80,5),4),装备!B:CU,2,FALSE)</f>
        <v>高级道果</v>
      </c>
      <c r="I80" s="63" t="str">
        <f>VLOOKUP(B80,装备!B:CV,99,FALSE)</f>
        <v>|cffffcc00属性：|r|n攻击+1975|n法强+1975|n生命值+3950|n</v>
      </c>
      <c r="J80" s="56" t="str">
        <f t="shared" si="18"/>
        <v>高级道果</v>
      </c>
      <c r="K80" s="56" t="str">
        <f t="shared" si="19"/>
        <v>|cffffcc00属性：|r|n攻击+1975|n法强+1975|n生命值+3950|n</v>
      </c>
      <c r="L80" s="63"/>
      <c r="M80" s="65" t="str">
        <f>VLOOKUP(LEFT(RIGHT(B80,5),4),装备!B:CU,20,FALSE)</f>
        <v>ReplaceableTextures\\CommandButtons\\BTNOrbOfCorruption.blp</v>
      </c>
      <c r="N80" s="83" t="s">
        <v>77</v>
      </c>
      <c r="O80" s="84" t="s">
        <v>78</v>
      </c>
      <c r="P80" s="63">
        <v>0</v>
      </c>
      <c r="Q80" s="63">
        <v>0</v>
      </c>
      <c r="R80" s="83" t="s">
        <v>77</v>
      </c>
      <c r="S80" s="83" t="s">
        <v>77</v>
      </c>
      <c r="T80" s="83" t="s">
        <v>77</v>
      </c>
      <c r="U80" s="83" t="s">
        <v>77</v>
      </c>
      <c r="V80" s="63"/>
      <c r="W80" s="66" t="s">
        <v>835</v>
      </c>
      <c r="X80" s="63">
        <v>0</v>
      </c>
      <c r="Y80" s="83" t="s">
        <v>77</v>
      </c>
      <c r="Z80" s="63">
        <v>0</v>
      </c>
      <c r="AA80" s="63">
        <v>0</v>
      </c>
      <c r="AB80" s="63">
        <v>0</v>
      </c>
      <c r="AC80" s="63">
        <v>1</v>
      </c>
      <c r="AD80" s="63">
        <v>1</v>
      </c>
      <c r="AE80" s="83" t="s">
        <v>77</v>
      </c>
      <c r="AF80" s="83" t="s">
        <v>77</v>
      </c>
      <c r="AG80" s="83" t="s">
        <v>77</v>
      </c>
      <c r="AH80" s="83" t="s">
        <v>77</v>
      </c>
      <c r="AI80" s="83">
        <v>1</v>
      </c>
      <c r="AJ80" s="63"/>
      <c r="AK80" s="63">
        <v>1</v>
      </c>
      <c r="AL80" s="63">
        <v>1</v>
      </c>
      <c r="AM80" s="83" t="s">
        <v>77</v>
      </c>
      <c r="AN80" s="83">
        <v>1</v>
      </c>
      <c r="AO80" s="83">
        <v>1</v>
      </c>
      <c r="AP80" s="83">
        <v>1</v>
      </c>
    </row>
    <row r="81" spans="1:42">
      <c r="A81" s="62"/>
      <c r="B81" s="63" t="str">
        <f>装备!B81</f>
        <v>IJ04</v>
      </c>
      <c r="C81" s="63" t="s">
        <v>36</v>
      </c>
      <c r="D81" s="63" t="s">
        <v>76</v>
      </c>
      <c r="E81" s="66" t="s">
        <v>670</v>
      </c>
      <c r="F81" s="63"/>
      <c r="G81" s="63"/>
      <c r="H81" s="63" t="str">
        <f>VLOOKUP(LEFT(RIGHT(B81,5),4),装备!B:CU,2,FALSE)</f>
        <v>黄级道果</v>
      </c>
      <c r="I81" s="63" t="str">
        <f>VLOOKUP(B81,装备!B:CV,99,FALSE)</f>
        <v>|cffffcc00属性：|r|n攻击+2963|n法强+2963|n生命值+5925|n</v>
      </c>
      <c r="J81" s="56" t="str">
        <f t="shared" si="18"/>
        <v>黄级道果</v>
      </c>
      <c r="K81" s="56" t="str">
        <f t="shared" si="19"/>
        <v>|cffffcc00属性：|r|n攻击+2963|n法强+2963|n生命值+5925|n</v>
      </c>
      <c r="L81" s="63"/>
      <c r="M81" s="65" t="str">
        <f>VLOOKUP(LEFT(RIGHT(B81,5),4),装备!B:CU,20,FALSE)</f>
        <v>ReplaceableTextures\\CommandButtons\\BTNOrbOfFire.blp</v>
      </c>
      <c r="N81" s="83" t="s">
        <v>77</v>
      </c>
      <c r="O81" s="84" t="s">
        <v>78</v>
      </c>
      <c r="P81" s="63">
        <v>0</v>
      </c>
      <c r="Q81" s="63">
        <v>0</v>
      </c>
      <c r="R81" s="83" t="s">
        <v>77</v>
      </c>
      <c r="S81" s="83" t="s">
        <v>77</v>
      </c>
      <c r="T81" s="83" t="s">
        <v>77</v>
      </c>
      <c r="U81" s="83" t="s">
        <v>77</v>
      </c>
      <c r="V81" s="63"/>
      <c r="W81" s="66" t="s">
        <v>835</v>
      </c>
      <c r="X81" s="63">
        <v>0</v>
      </c>
      <c r="Y81" s="83" t="s">
        <v>77</v>
      </c>
      <c r="Z81" s="63">
        <v>0</v>
      </c>
      <c r="AA81" s="63">
        <v>0</v>
      </c>
      <c r="AB81" s="63">
        <v>0</v>
      </c>
      <c r="AC81" s="63">
        <v>1</v>
      </c>
      <c r="AD81" s="63">
        <v>1</v>
      </c>
      <c r="AE81" s="83" t="s">
        <v>77</v>
      </c>
      <c r="AF81" s="83" t="s">
        <v>77</v>
      </c>
      <c r="AG81" s="83" t="s">
        <v>77</v>
      </c>
      <c r="AH81" s="83" t="s">
        <v>77</v>
      </c>
      <c r="AI81" s="83">
        <v>1</v>
      </c>
      <c r="AJ81" s="63"/>
      <c r="AK81" s="63">
        <v>1</v>
      </c>
      <c r="AL81" s="63">
        <v>1</v>
      </c>
      <c r="AM81" s="83" t="s">
        <v>77</v>
      </c>
      <c r="AN81" s="83">
        <v>1</v>
      </c>
      <c r="AO81" s="83">
        <v>1</v>
      </c>
      <c r="AP81" s="83">
        <v>1</v>
      </c>
    </row>
    <row r="82" spans="1:42">
      <c r="A82" s="62"/>
      <c r="B82" s="63" t="str">
        <f>装备!B82</f>
        <v>IJ05</v>
      </c>
      <c r="C82" s="63" t="s">
        <v>36</v>
      </c>
      <c r="D82" s="63" t="s">
        <v>76</v>
      </c>
      <c r="E82" s="66" t="s">
        <v>670</v>
      </c>
      <c r="F82" s="63"/>
      <c r="G82" s="63"/>
      <c r="H82" s="63" t="str">
        <f>VLOOKUP(LEFT(RIGHT(B82,5),4),装备!B:CU,2,FALSE)</f>
        <v>玄级道果</v>
      </c>
      <c r="I82" s="63" t="str">
        <f>VLOOKUP(B82,装备!B:CV,99,FALSE)</f>
        <v>|cffffcc00属性：|r|n攻击+4444|n法强+4444|n生命值+8888|n</v>
      </c>
      <c r="J82" s="56" t="str">
        <f t="shared" si="18"/>
        <v>玄级道果</v>
      </c>
      <c r="K82" s="56" t="str">
        <f t="shared" si="19"/>
        <v>|cffffcc00属性：|r|n攻击+4444|n法强+4444|n生命值+8888|n</v>
      </c>
      <c r="L82" s="63"/>
      <c r="M82" s="65" t="str">
        <f>VLOOKUP(LEFT(RIGHT(B82,5),4),装备!B:CU,20,FALSE)</f>
        <v>ReplaceableTextures\\CommandButtons\\BTNUsedSoulGem.blp</v>
      </c>
      <c r="N82" s="83" t="s">
        <v>77</v>
      </c>
      <c r="O82" s="84" t="s">
        <v>78</v>
      </c>
      <c r="P82" s="63">
        <v>0</v>
      </c>
      <c r="Q82" s="63">
        <v>0</v>
      </c>
      <c r="R82" s="83" t="s">
        <v>77</v>
      </c>
      <c r="S82" s="83" t="s">
        <v>77</v>
      </c>
      <c r="T82" s="83" t="s">
        <v>77</v>
      </c>
      <c r="U82" s="83" t="s">
        <v>77</v>
      </c>
      <c r="V82" s="63"/>
      <c r="W82" s="66" t="s">
        <v>835</v>
      </c>
      <c r="X82" s="63">
        <v>0</v>
      </c>
      <c r="Y82" s="83" t="s">
        <v>77</v>
      </c>
      <c r="Z82" s="63">
        <v>0</v>
      </c>
      <c r="AA82" s="63">
        <v>0</v>
      </c>
      <c r="AB82" s="63">
        <v>0</v>
      </c>
      <c r="AC82" s="63">
        <v>1</v>
      </c>
      <c r="AD82" s="63">
        <v>1</v>
      </c>
      <c r="AE82" s="83" t="s">
        <v>77</v>
      </c>
      <c r="AF82" s="83" t="s">
        <v>77</v>
      </c>
      <c r="AG82" s="83" t="s">
        <v>77</v>
      </c>
      <c r="AH82" s="83" t="s">
        <v>77</v>
      </c>
      <c r="AI82" s="83">
        <v>1</v>
      </c>
      <c r="AJ82" s="63"/>
      <c r="AK82" s="63">
        <v>1</v>
      </c>
      <c r="AL82" s="63">
        <v>1</v>
      </c>
      <c r="AM82" s="83" t="s">
        <v>77</v>
      </c>
      <c r="AN82" s="83">
        <v>1</v>
      </c>
      <c r="AO82" s="83">
        <v>1</v>
      </c>
      <c r="AP82" s="83">
        <v>1</v>
      </c>
    </row>
    <row r="83" spans="1:42">
      <c r="A83" s="62"/>
      <c r="B83" s="63" t="str">
        <f>装备!B83</f>
        <v>IJ06</v>
      </c>
      <c r="C83" s="63" t="s">
        <v>36</v>
      </c>
      <c r="D83" s="63" t="s">
        <v>76</v>
      </c>
      <c r="E83" s="66" t="s">
        <v>670</v>
      </c>
      <c r="F83" s="63"/>
      <c r="G83" s="63"/>
      <c r="H83" s="63" t="str">
        <f>VLOOKUP(LEFT(RIGHT(B83,5),4),装备!B:CU,2,FALSE)</f>
        <v>地级道果</v>
      </c>
      <c r="I83" s="63" t="str">
        <f>VLOOKUP(B83,装备!B:CV,99,FALSE)</f>
        <v>|cffffcc00属性：|r|n攻击+6666|n法强+6666|n生命值+13333|n</v>
      </c>
      <c r="J83" s="56" t="str">
        <f t="shared" ref="J83:J87" si="20">H83</f>
        <v>地级道果</v>
      </c>
      <c r="K83" s="56" t="str">
        <f t="shared" ref="K83:K87" si="21">I83</f>
        <v>|cffffcc00属性：|r|n攻击+6666|n法强+6666|n生命值+13333|n</v>
      </c>
      <c r="L83" s="63"/>
      <c r="M83" s="65" t="str">
        <f>VLOOKUP(LEFT(RIGHT(B83,5),4),装备!B:CU,20,FALSE)</f>
        <v>ReplaceableTextures\\CommandButtons\\BTNOrbofSlowness.blp</v>
      </c>
      <c r="N83" s="83" t="s">
        <v>77</v>
      </c>
      <c r="O83" s="84" t="s">
        <v>78</v>
      </c>
      <c r="P83" s="63">
        <v>0</v>
      </c>
      <c r="Q83" s="63">
        <v>0</v>
      </c>
      <c r="R83" s="83" t="s">
        <v>77</v>
      </c>
      <c r="S83" s="83" t="s">
        <v>77</v>
      </c>
      <c r="T83" s="83" t="s">
        <v>77</v>
      </c>
      <c r="U83" s="83" t="s">
        <v>77</v>
      </c>
      <c r="V83" s="63"/>
      <c r="W83" s="66" t="s">
        <v>835</v>
      </c>
      <c r="X83" s="63">
        <v>0</v>
      </c>
      <c r="Y83" s="83" t="s">
        <v>77</v>
      </c>
      <c r="Z83" s="63">
        <v>0</v>
      </c>
      <c r="AA83" s="63">
        <v>0</v>
      </c>
      <c r="AB83" s="63">
        <v>0</v>
      </c>
      <c r="AC83" s="63">
        <v>1</v>
      </c>
      <c r="AD83" s="63">
        <v>1</v>
      </c>
      <c r="AE83" s="83" t="s">
        <v>77</v>
      </c>
      <c r="AF83" s="83" t="s">
        <v>77</v>
      </c>
      <c r="AG83" s="83" t="s">
        <v>77</v>
      </c>
      <c r="AH83" s="83" t="s">
        <v>77</v>
      </c>
      <c r="AI83" s="83">
        <v>1</v>
      </c>
      <c r="AJ83" s="63"/>
      <c r="AK83" s="63">
        <v>1</v>
      </c>
      <c r="AL83" s="63">
        <v>1</v>
      </c>
      <c r="AM83" s="83" t="s">
        <v>77</v>
      </c>
      <c r="AN83" s="83">
        <v>1</v>
      </c>
      <c r="AO83" s="83">
        <v>1</v>
      </c>
      <c r="AP83" s="83">
        <v>1</v>
      </c>
    </row>
    <row r="84" spans="1:42">
      <c r="A84" s="62"/>
      <c r="B84" s="63" t="str">
        <f>装备!B84</f>
        <v>IJ07</v>
      </c>
      <c r="C84" s="63" t="s">
        <v>36</v>
      </c>
      <c r="D84" s="63" t="s">
        <v>76</v>
      </c>
      <c r="E84" s="66" t="s">
        <v>670</v>
      </c>
      <c r="F84" s="63"/>
      <c r="G84" s="63"/>
      <c r="H84" s="63" t="str">
        <f>VLOOKUP(LEFT(RIGHT(B84,5),4),装备!B:CU,2,FALSE)</f>
        <v>天级道果</v>
      </c>
      <c r="I84" s="63" t="str">
        <f>VLOOKUP(B84,装备!B:CV,99,FALSE)</f>
        <v>|cffffcc00属性：|r|n攻击+10000|n法强+10000|n生命值+20000|n</v>
      </c>
      <c r="J84" s="56" t="str">
        <f t="shared" si="20"/>
        <v>天级道果</v>
      </c>
      <c r="K84" s="56" t="str">
        <f t="shared" si="21"/>
        <v>|cffffcc00属性：|r|n攻击+10000|n法强+10000|n生命值+20000|n</v>
      </c>
      <c r="L84" s="63"/>
      <c r="M84" s="65" t="str">
        <f>VLOOKUP(LEFT(RIGHT(B84,5),4),装备!B:CU,20,FALSE)</f>
        <v>ReplaceableTextures\\CommandButtons\\BTNOrbOfLightning.blp</v>
      </c>
      <c r="N84" s="83" t="s">
        <v>77</v>
      </c>
      <c r="O84" s="84" t="s">
        <v>78</v>
      </c>
      <c r="P84" s="63">
        <v>0</v>
      </c>
      <c r="Q84" s="63">
        <v>0</v>
      </c>
      <c r="R84" s="83" t="s">
        <v>77</v>
      </c>
      <c r="S84" s="83" t="s">
        <v>77</v>
      </c>
      <c r="T84" s="83" t="s">
        <v>77</v>
      </c>
      <c r="U84" s="83" t="s">
        <v>77</v>
      </c>
      <c r="V84" s="63"/>
      <c r="W84" s="66" t="s">
        <v>835</v>
      </c>
      <c r="X84" s="63">
        <v>0</v>
      </c>
      <c r="Y84" s="83" t="s">
        <v>77</v>
      </c>
      <c r="Z84" s="63">
        <v>0</v>
      </c>
      <c r="AA84" s="63">
        <v>0</v>
      </c>
      <c r="AB84" s="63">
        <v>0</v>
      </c>
      <c r="AC84" s="63">
        <v>1</v>
      </c>
      <c r="AD84" s="63">
        <v>1</v>
      </c>
      <c r="AE84" s="83" t="s">
        <v>77</v>
      </c>
      <c r="AF84" s="83" t="s">
        <v>77</v>
      </c>
      <c r="AG84" s="83" t="s">
        <v>77</v>
      </c>
      <c r="AH84" s="83" t="s">
        <v>77</v>
      </c>
      <c r="AI84" s="83">
        <v>1</v>
      </c>
      <c r="AJ84" s="63"/>
      <c r="AK84" s="63">
        <v>1</v>
      </c>
      <c r="AL84" s="63">
        <v>1</v>
      </c>
      <c r="AM84" s="83" t="s">
        <v>77</v>
      </c>
      <c r="AN84" s="83">
        <v>1</v>
      </c>
      <c r="AO84" s="83">
        <v>1</v>
      </c>
      <c r="AP84" s="83">
        <v>1</v>
      </c>
    </row>
    <row r="85" spans="1:42">
      <c r="A85" s="62"/>
      <c r="B85" s="63" t="str">
        <f>装备!B85</f>
        <v>IJ08</v>
      </c>
      <c r="C85" s="63" t="s">
        <v>36</v>
      </c>
      <c r="D85" s="63" t="s">
        <v>76</v>
      </c>
      <c r="E85" s="66" t="s">
        <v>670</v>
      </c>
      <c r="F85" s="63"/>
      <c r="G85" s="63"/>
      <c r="H85" s="63" t="str">
        <f>VLOOKUP(LEFT(RIGHT(B85,5),4),装备!B:CU,2,FALSE)</f>
        <v>仙品道果</v>
      </c>
      <c r="I85" s="63" t="str">
        <f>VLOOKUP(B85,装备!B:CV,99,FALSE)</f>
        <v>|cffffcc00属性：|r|n攻击+15000|n法强+15000|n生命值+30000|n</v>
      </c>
      <c r="J85" s="56" t="str">
        <f t="shared" si="20"/>
        <v>仙品道果</v>
      </c>
      <c r="K85" s="56" t="str">
        <f t="shared" si="21"/>
        <v>|cffffcc00属性：|r|n攻击+15000|n法强+15000|n生命值+30000|n</v>
      </c>
      <c r="L85" s="63"/>
      <c r="M85" s="65" t="str">
        <f>VLOOKUP(LEFT(RIGHT(B85,5),4),装备!B:CU,20,FALSE)</f>
        <v>ReplaceableTextures\\CommandButtons\\BTNHeartOfAszune.blp</v>
      </c>
      <c r="N85" s="83" t="s">
        <v>77</v>
      </c>
      <c r="O85" s="84" t="s">
        <v>78</v>
      </c>
      <c r="P85" s="63">
        <v>0</v>
      </c>
      <c r="Q85" s="63">
        <v>0</v>
      </c>
      <c r="R85" s="83" t="s">
        <v>77</v>
      </c>
      <c r="S85" s="83" t="s">
        <v>77</v>
      </c>
      <c r="T85" s="83" t="s">
        <v>77</v>
      </c>
      <c r="U85" s="83" t="s">
        <v>77</v>
      </c>
      <c r="V85" s="63"/>
      <c r="W85" s="66" t="s">
        <v>835</v>
      </c>
      <c r="X85" s="63">
        <v>0</v>
      </c>
      <c r="Y85" s="83" t="s">
        <v>77</v>
      </c>
      <c r="Z85" s="63">
        <v>0</v>
      </c>
      <c r="AA85" s="63">
        <v>0</v>
      </c>
      <c r="AB85" s="63">
        <v>0</v>
      </c>
      <c r="AC85" s="63">
        <v>1</v>
      </c>
      <c r="AD85" s="63">
        <v>1</v>
      </c>
      <c r="AE85" s="83" t="s">
        <v>77</v>
      </c>
      <c r="AF85" s="83" t="s">
        <v>77</v>
      </c>
      <c r="AG85" s="83" t="s">
        <v>77</v>
      </c>
      <c r="AH85" s="83" t="s">
        <v>77</v>
      </c>
      <c r="AI85" s="83">
        <v>1</v>
      </c>
      <c r="AJ85" s="63"/>
      <c r="AK85" s="63">
        <v>1</v>
      </c>
      <c r="AL85" s="63">
        <v>1</v>
      </c>
      <c r="AM85" s="83" t="s">
        <v>77</v>
      </c>
      <c r="AN85" s="83">
        <v>1</v>
      </c>
      <c r="AO85" s="83">
        <v>1</v>
      </c>
      <c r="AP85" s="83">
        <v>1</v>
      </c>
    </row>
    <row r="86" spans="1:42">
      <c r="A86" s="62"/>
      <c r="B86" s="63" t="str">
        <f>装备!B86</f>
        <v>IJ09</v>
      </c>
      <c r="C86" s="63" t="s">
        <v>36</v>
      </c>
      <c r="D86" s="63" t="s">
        <v>76</v>
      </c>
      <c r="E86" s="66" t="s">
        <v>670</v>
      </c>
      <c r="F86" s="63"/>
      <c r="G86" s="63"/>
      <c r="H86" s="63" t="str">
        <f>VLOOKUP(LEFT(RIGHT(B86,5),4),装备!B:CU,2,FALSE)</f>
        <v>至圣道果</v>
      </c>
      <c r="I86" s="63" t="str">
        <f>VLOOKUP(B86,装备!B:CV,99,FALSE)</f>
        <v>|cffffcc00属性：|r|n攻击+22500|n法强+22500|n生命值+45000|n</v>
      </c>
      <c r="J86" s="56" t="str">
        <f t="shared" si="20"/>
        <v>至圣道果</v>
      </c>
      <c r="K86" s="56" t="str">
        <f t="shared" si="21"/>
        <v>|cffffcc00属性：|r|n攻击+22500|n法强+22500|n生命值+45000|n</v>
      </c>
      <c r="L86" s="63"/>
      <c r="M86" s="65" t="str">
        <f>VLOOKUP(LEFT(RIGHT(B86,5),4),装备!B:CU,20,FALSE)</f>
        <v>ReplaceableTextures\\CommandButtons\\BTNPhilosophersStone.blp</v>
      </c>
      <c r="N86" s="83" t="s">
        <v>77</v>
      </c>
      <c r="O86" s="84" t="s">
        <v>78</v>
      </c>
      <c r="P86" s="63">
        <v>0</v>
      </c>
      <c r="Q86" s="63">
        <v>0</v>
      </c>
      <c r="R86" s="83" t="s">
        <v>77</v>
      </c>
      <c r="S86" s="83" t="s">
        <v>77</v>
      </c>
      <c r="T86" s="83" t="s">
        <v>77</v>
      </c>
      <c r="U86" s="83" t="s">
        <v>77</v>
      </c>
      <c r="V86" s="63"/>
      <c r="W86" s="66" t="s">
        <v>835</v>
      </c>
      <c r="X86" s="63">
        <v>0</v>
      </c>
      <c r="Y86" s="83" t="s">
        <v>77</v>
      </c>
      <c r="Z86" s="63">
        <v>0</v>
      </c>
      <c r="AA86" s="63">
        <v>0</v>
      </c>
      <c r="AB86" s="63">
        <v>0</v>
      </c>
      <c r="AC86" s="63">
        <v>1</v>
      </c>
      <c r="AD86" s="63">
        <v>1</v>
      </c>
      <c r="AE86" s="83" t="s">
        <v>77</v>
      </c>
      <c r="AF86" s="83" t="s">
        <v>77</v>
      </c>
      <c r="AG86" s="83" t="s">
        <v>77</v>
      </c>
      <c r="AH86" s="83" t="s">
        <v>77</v>
      </c>
      <c r="AI86" s="83">
        <v>1</v>
      </c>
      <c r="AJ86" s="63"/>
      <c r="AK86" s="63">
        <v>1</v>
      </c>
      <c r="AL86" s="63">
        <v>1</v>
      </c>
      <c r="AM86" s="83" t="s">
        <v>77</v>
      </c>
      <c r="AN86" s="83">
        <v>1</v>
      </c>
      <c r="AO86" s="83">
        <v>1</v>
      </c>
      <c r="AP86" s="83">
        <v>1</v>
      </c>
    </row>
    <row r="87" spans="1:42">
      <c r="A87" s="62"/>
      <c r="B87" s="63" t="str">
        <f>装备!B87</f>
        <v>IJ10</v>
      </c>
      <c r="C87" s="63" t="s">
        <v>36</v>
      </c>
      <c r="D87" s="63" t="s">
        <v>76</v>
      </c>
      <c r="E87" s="66" t="s">
        <v>670</v>
      </c>
      <c r="F87" s="63"/>
      <c r="G87" s="63"/>
      <c r="H87" s="63" t="str">
        <f>VLOOKUP(LEFT(RIGHT(B87,5),4),装备!B:CU,2,FALSE)</f>
        <v>混沌道果</v>
      </c>
      <c r="I87" s="63" t="str">
        <f>VLOOKUP(B87,装备!B:CV,99,FALSE)</f>
        <v>|cffffcc00属性：|r|n攻击+45000|n法强+45000|n生命值+90000|n</v>
      </c>
      <c r="J87" s="56" t="str">
        <f t="shared" si="20"/>
        <v>混沌道果</v>
      </c>
      <c r="K87" s="56" t="str">
        <f t="shared" si="21"/>
        <v>|cffffcc00属性：|r|n攻击+45000|n法强+45000|n生命值+90000|n</v>
      </c>
      <c r="L87" s="63"/>
      <c r="M87" s="65" t="str">
        <f>VLOOKUP(LEFT(RIGHT(B87,5),4),装备!B:CU,20,FALSE)</f>
        <v>ReplaceableTextures\\CommandButtons\\BTNOrbOfDarkness.blp</v>
      </c>
      <c r="N87" s="83" t="s">
        <v>77</v>
      </c>
      <c r="O87" s="84" t="s">
        <v>78</v>
      </c>
      <c r="P87" s="63">
        <v>0</v>
      </c>
      <c r="Q87" s="63">
        <v>0</v>
      </c>
      <c r="R87" s="83" t="s">
        <v>77</v>
      </c>
      <c r="S87" s="83" t="s">
        <v>77</v>
      </c>
      <c r="T87" s="83" t="s">
        <v>77</v>
      </c>
      <c r="U87" s="83" t="s">
        <v>77</v>
      </c>
      <c r="V87" s="63"/>
      <c r="W87" s="66" t="s">
        <v>835</v>
      </c>
      <c r="X87" s="63">
        <v>0</v>
      </c>
      <c r="Y87" s="83" t="s">
        <v>77</v>
      </c>
      <c r="Z87" s="63">
        <v>0</v>
      </c>
      <c r="AA87" s="63">
        <v>0</v>
      </c>
      <c r="AB87" s="63">
        <v>0</v>
      </c>
      <c r="AC87" s="63">
        <v>1</v>
      </c>
      <c r="AD87" s="63">
        <v>1</v>
      </c>
      <c r="AE87" s="83" t="s">
        <v>77</v>
      </c>
      <c r="AF87" s="83" t="s">
        <v>77</v>
      </c>
      <c r="AG87" s="83" t="s">
        <v>77</v>
      </c>
      <c r="AH87" s="83" t="s">
        <v>77</v>
      </c>
      <c r="AI87" s="83">
        <v>1</v>
      </c>
      <c r="AJ87" s="63"/>
      <c r="AK87" s="63">
        <v>1</v>
      </c>
      <c r="AL87" s="63">
        <v>1</v>
      </c>
      <c r="AM87" s="83" t="s">
        <v>77</v>
      </c>
      <c r="AN87" s="83">
        <v>1</v>
      </c>
      <c r="AO87" s="83">
        <v>1</v>
      </c>
      <c r="AP87" s="83">
        <v>1</v>
      </c>
    </row>
    <row r="88" spans="1:42">
      <c r="A88" s="62"/>
      <c r="B88" s="63" t="str">
        <f>装备!B88</f>
        <v>CS01</v>
      </c>
      <c r="C88" s="63" t="s">
        <v>36</v>
      </c>
      <c r="D88" s="63" t="s">
        <v>76</v>
      </c>
      <c r="E88" s="66" t="s">
        <v>670</v>
      </c>
      <c r="F88" s="63"/>
      <c r="G88" s="63"/>
      <c r="H88" s="63" t="str">
        <f>VLOOKUP(LEFT(RIGHT(B88,5),4),装备!B:CU,2,FALSE)</f>
        <v>低阶技能书</v>
      </c>
      <c r="I88" s="63" t="str">
        <f>VLOOKUP(B88,装备!B:CV,99,FALSE)</f>
        <v>随机技能</v>
      </c>
      <c r="J88" s="56" t="str">
        <f t="shared" ref="J88:J92" si="22">H88</f>
        <v>低阶技能书</v>
      </c>
      <c r="K88" s="56" t="str">
        <f t="shared" ref="K88:K92" si="23">I88</f>
        <v>随机技能</v>
      </c>
      <c r="L88" s="63"/>
      <c r="M88" s="65" t="str">
        <f>VLOOKUP(LEFT(RIGHT(B88,5),4),装备!B:CU,20,FALSE)</f>
        <v>ReplaceableTextures\\CommandButtons\\BTNTome.blp</v>
      </c>
      <c r="N88" s="83" t="s">
        <v>77</v>
      </c>
      <c r="O88" s="115" t="s">
        <v>823</v>
      </c>
      <c r="P88" s="63">
        <v>0</v>
      </c>
      <c r="Q88" s="63">
        <v>0</v>
      </c>
      <c r="R88" s="83" t="s">
        <v>77</v>
      </c>
      <c r="S88" s="83" t="s">
        <v>77</v>
      </c>
      <c r="T88" s="83" t="s">
        <v>77</v>
      </c>
      <c r="U88" s="83" t="s">
        <v>77</v>
      </c>
      <c r="V88" s="63"/>
      <c r="W88" s="66" t="s">
        <v>843</v>
      </c>
      <c r="X88" s="63">
        <v>0</v>
      </c>
      <c r="Y88" s="83" t="s">
        <v>77</v>
      </c>
      <c r="Z88" s="63">
        <v>0</v>
      </c>
      <c r="AA88" s="63">
        <v>0</v>
      </c>
      <c r="AB88" s="63">
        <v>0</v>
      </c>
      <c r="AC88" s="63">
        <v>1</v>
      </c>
      <c r="AD88" s="63">
        <v>1</v>
      </c>
      <c r="AE88" s="83" t="s">
        <v>77</v>
      </c>
      <c r="AF88" s="83" t="s">
        <v>77</v>
      </c>
      <c r="AG88" s="83" t="s">
        <v>77</v>
      </c>
      <c r="AH88" s="83" t="s">
        <v>77</v>
      </c>
      <c r="AI88" s="83"/>
      <c r="AJ88" s="63"/>
      <c r="AK88" s="63">
        <v>1</v>
      </c>
      <c r="AL88" s="63">
        <v>1</v>
      </c>
      <c r="AM88" s="83" t="s">
        <v>77</v>
      </c>
      <c r="AN88" s="83">
        <v>1</v>
      </c>
      <c r="AO88" s="83">
        <v>1</v>
      </c>
      <c r="AP88" s="83">
        <v>1</v>
      </c>
    </row>
    <row r="89" spans="1:42">
      <c r="A89" s="62"/>
      <c r="B89" s="63" t="str">
        <f>装备!B89</f>
        <v>CS02</v>
      </c>
      <c r="C89" s="63" t="s">
        <v>36</v>
      </c>
      <c r="D89" s="63" t="s">
        <v>76</v>
      </c>
      <c r="E89" s="66" t="s">
        <v>670</v>
      </c>
      <c r="F89" s="63"/>
      <c r="G89" s="63"/>
      <c r="H89" s="63" t="str">
        <f>VLOOKUP(LEFT(RIGHT(B89,5),4),装备!B:CU,2,FALSE)</f>
        <v>中阶技能书</v>
      </c>
      <c r="I89" s="63" t="str">
        <f>VLOOKUP(B89,装备!B:CV,99,FALSE)</f>
        <v>随机技能</v>
      </c>
      <c r="J89" s="56" t="str">
        <f t="shared" si="22"/>
        <v>中阶技能书</v>
      </c>
      <c r="K89" s="56" t="str">
        <f t="shared" si="23"/>
        <v>随机技能</v>
      </c>
      <c r="L89" s="63"/>
      <c r="M89" s="65" t="str">
        <f>VLOOKUP(LEFT(RIGHT(B89,5),4),装备!B:CU,20,FALSE)</f>
        <v>ReplaceableTextures\\CommandButtons\\BTNTome.blp</v>
      </c>
      <c r="N89" s="83" t="s">
        <v>77</v>
      </c>
      <c r="O89" s="115" t="s">
        <v>823</v>
      </c>
      <c r="P89" s="63">
        <v>0</v>
      </c>
      <c r="Q89" s="63">
        <v>0</v>
      </c>
      <c r="R89" s="83" t="s">
        <v>77</v>
      </c>
      <c r="S89" s="83" t="s">
        <v>77</v>
      </c>
      <c r="T89" s="83" t="s">
        <v>77</v>
      </c>
      <c r="U89" s="83" t="s">
        <v>77</v>
      </c>
      <c r="V89" s="63"/>
      <c r="W89" s="66" t="s">
        <v>843</v>
      </c>
      <c r="X89" s="63">
        <v>0</v>
      </c>
      <c r="Y89" s="83" t="s">
        <v>77</v>
      </c>
      <c r="Z89" s="63">
        <v>0</v>
      </c>
      <c r="AA89" s="63">
        <v>0</v>
      </c>
      <c r="AB89" s="63">
        <v>0</v>
      </c>
      <c r="AC89" s="63">
        <v>1</v>
      </c>
      <c r="AD89" s="63">
        <v>1</v>
      </c>
      <c r="AE89" s="83" t="s">
        <v>77</v>
      </c>
      <c r="AF89" s="83" t="s">
        <v>77</v>
      </c>
      <c r="AG89" s="83" t="s">
        <v>77</v>
      </c>
      <c r="AH89" s="83" t="s">
        <v>77</v>
      </c>
      <c r="AI89" s="83"/>
      <c r="AJ89" s="63"/>
      <c r="AK89" s="63">
        <v>1</v>
      </c>
      <c r="AL89" s="63">
        <v>1</v>
      </c>
      <c r="AM89" s="83" t="s">
        <v>77</v>
      </c>
      <c r="AN89" s="83">
        <v>1</v>
      </c>
      <c r="AO89" s="83">
        <v>1</v>
      </c>
      <c r="AP89" s="83">
        <v>1</v>
      </c>
    </row>
    <row r="90" spans="1:42">
      <c r="A90" s="62"/>
      <c r="B90" s="63" t="str">
        <f>装备!B90</f>
        <v>CS03</v>
      </c>
      <c r="C90" s="63" t="s">
        <v>36</v>
      </c>
      <c r="D90" s="63" t="s">
        <v>76</v>
      </c>
      <c r="E90" s="66" t="s">
        <v>670</v>
      </c>
      <c r="F90" s="63"/>
      <c r="G90" s="63"/>
      <c r="H90" s="63" t="str">
        <f>VLOOKUP(LEFT(RIGHT(B90,5),4),装备!B:CU,2,FALSE)</f>
        <v>高阶技能书</v>
      </c>
      <c r="I90" s="63" t="str">
        <f>VLOOKUP(B90,装备!B:CV,99,FALSE)</f>
        <v>随机技能</v>
      </c>
      <c r="J90" s="56" t="str">
        <f t="shared" si="22"/>
        <v>高阶技能书</v>
      </c>
      <c r="K90" s="56" t="str">
        <f t="shared" si="23"/>
        <v>随机技能</v>
      </c>
      <c r="L90" s="63"/>
      <c r="M90" s="65" t="str">
        <f>VLOOKUP(LEFT(RIGHT(B90,5),4),装备!B:CU,20,FALSE)</f>
        <v>ReplaceableTextures\\CommandButtons\\BTNTome.blp</v>
      </c>
      <c r="N90" s="83" t="s">
        <v>77</v>
      </c>
      <c r="O90" s="115" t="s">
        <v>823</v>
      </c>
      <c r="P90" s="63">
        <v>0</v>
      </c>
      <c r="Q90" s="63">
        <v>0</v>
      </c>
      <c r="R90" s="83" t="s">
        <v>77</v>
      </c>
      <c r="S90" s="83" t="s">
        <v>77</v>
      </c>
      <c r="T90" s="83" t="s">
        <v>77</v>
      </c>
      <c r="U90" s="83" t="s">
        <v>77</v>
      </c>
      <c r="V90" s="63"/>
      <c r="W90" s="66" t="s">
        <v>843</v>
      </c>
      <c r="X90" s="63">
        <v>0</v>
      </c>
      <c r="Y90" s="83" t="s">
        <v>77</v>
      </c>
      <c r="Z90" s="63">
        <v>0</v>
      </c>
      <c r="AA90" s="63">
        <v>0</v>
      </c>
      <c r="AB90" s="63">
        <v>0</v>
      </c>
      <c r="AC90" s="63">
        <v>1</v>
      </c>
      <c r="AD90" s="63">
        <v>1</v>
      </c>
      <c r="AE90" s="83" t="s">
        <v>77</v>
      </c>
      <c r="AF90" s="83" t="s">
        <v>77</v>
      </c>
      <c r="AG90" s="83" t="s">
        <v>77</v>
      </c>
      <c r="AH90" s="83" t="s">
        <v>77</v>
      </c>
      <c r="AI90" s="83"/>
      <c r="AJ90" s="63"/>
      <c r="AK90" s="63">
        <v>1</v>
      </c>
      <c r="AL90" s="63">
        <v>1</v>
      </c>
      <c r="AM90" s="83" t="s">
        <v>77</v>
      </c>
      <c r="AN90" s="83">
        <v>1</v>
      </c>
      <c r="AO90" s="83">
        <v>1</v>
      </c>
      <c r="AP90" s="83">
        <v>1</v>
      </c>
    </row>
    <row r="91" spans="1:42">
      <c r="A91" s="62"/>
      <c r="B91" s="63" t="str">
        <f>装备!B91</f>
        <v>CS04</v>
      </c>
      <c r="C91" s="63" t="s">
        <v>36</v>
      </c>
      <c r="D91" s="63" t="s">
        <v>76</v>
      </c>
      <c r="E91" s="66" t="s">
        <v>670</v>
      </c>
      <c r="F91" s="63"/>
      <c r="G91" s="63"/>
      <c r="H91" s="63" t="str">
        <f>VLOOKUP(LEFT(RIGHT(B91,5),4),装备!B:CU,2,FALSE)</f>
        <v>神阶技能书</v>
      </c>
      <c r="I91" s="63" t="str">
        <f>VLOOKUP(B91,装备!B:CV,99,FALSE)</f>
        <v>随机技能</v>
      </c>
      <c r="J91" s="56" t="str">
        <f t="shared" ref="J91" si="24">H91</f>
        <v>神阶技能书</v>
      </c>
      <c r="K91" s="56" t="str">
        <f t="shared" ref="K91" si="25">I91</f>
        <v>随机技能</v>
      </c>
      <c r="L91" s="63"/>
      <c r="M91" s="65" t="str">
        <f>VLOOKUP(LEFT(RIGHT(B91,5),4),装备!B:CU,20,FALSE)</f>
        <v>ReplaceableTextures\\CommandButtons\\BTNTome.blp</v>
      </c>
      <c r="N91" s="83" t="s">
        <v>77</v>
      </c>
      <c r="O91" s="115" t="s">
        <v>823</v>
      </c>
      <c r="P91" s="63">
        <v>0</v>
      </c>
      <c r="Q91" s="63">
        <v>0</v>
      </c>
      <c r="R91" s="83" t="s">
        <v>77</v>
      </c>
      <c r="S91" s="83" t="s">
        <v>77</v>
      </c>
      <c r="T91" s="83" t="s">
        <v>77</v>
      </c>
      <c r="U91" s="83" t="s">
        <v>77</v>
      </c>
      <c r="V91" s="63"/>
      <c r="W91" s="66" t="s">
        <v>843</v>
      </c>
      <c r="X91" s="63">
        <v>0</v>
      </c>
      <c r="Y91" s="83" t="s">
        <v>77</v>
      </c>
      <c r="Z91" s="63">
        <v>0</v>
      </c>
      <c r="AA91" s="63">
        <v>0</v>
      </c>
      <c r="AB91" s="63">
        <v>0</v>
      </c>
      <c r="AC91" s="63">
        <v>1</v>
      </c>
      <c r="AD91" s="63">
        <v>1</v>
      </c>
      <c r="AE91" s="83" t="s">
        <v>77</v>
      </c>
      <c r="AF91" s="83" t="s">
        <v>77</v>
      </c>
      <c r="AG91" s="83" t="s">
        <v>77</v>
      </c>
      <c r="AH91" s="83" t="s">
        <v>77</v>
      </c>
      <c r="AI91" s="83"/>
      <c r="AJ91" s="63"/>
      <c r="AK91" s="63">
        <v>1</v>
      </c>
      <c r="AL91" s="63">
        <v>1</v>
      </c>
      <c r="AM91" s="83" t="s">
        <v>77</v>
      </c>
      <c r="AN91" s="83">
        <v>1</v>
      </c>
      <c r="AO91" s="83">
        <v>1</v>
      </c>
      <c r="AP91" s="83">
        <v>1</v>
      </c>
    </row>
    <row r="92" spans="1:42" ht="15" customHeight="1">
      <c r="A92" s="62"/>
      <c r="B92" s="63" t="str">
        <f>装备!B92</f>
        <v>CF01</v>
      </c>
      <c r="C92" s="63" t="s">
        <v>36</v>
      </c>
      <c r="D92" s="63" t="s">
        <v>76</v>
      </c>
      <c r="E92" s="66"/>
      <c r="F92" s="63"/>
      <c r="G92" s="63"/>
      <c r="H92" s="63" t="str">
        <f>VLOOKUP(LEFT(RIGHT(B92,5),4),装备!B:CU,2,FALSE)</f>
        <v>随机法宝</v>
      </c>
      <c r="I92" s="63" t="str">
        <f>VLOOKUP(B92,装备!B:CV,99,FALSE)</f>
        <v>随机法宝</v>
      </c>
      <c r="J92" s="56" t="str">
        <f t="shared" si="22"/>
        <v>随机法宝</v>
      </c>
      <c r="K92" s="56" t="str">
        <f t="shared" si="23"/>
        <v>随机法宝</v>
      </c>
      <c r="L92" s="63"/>
      <c r="M92" s="65" t="str">
        <f>VLOOKUP(LEFT(RIGHT(B92,5),4),装备!B:CU,20,FALSE)</f>
        <v>ReplaceableTextures\\CommandButtons\\BTNTome.blp</v>
      </c>
      <c r="N92" s="83" t="s">
        <v>77</v>
      </c>
      <c r="O92" s="115" t="s">
        <v>836</v>
      </c>
      <c r="P92" s="63">
        <v>0</v>
      </c>
      <c r="Q92" s="63">
        <v>0</v>
      </c>
      <c r="R92" s="83" t="s">
        <v>77</v>
      </c>
      <c r="S92" s="83" t="s">
        <v>77</v>
      </c>
      <c r="T92" s="83" t="s">
        <v>77</v>
      </c>
      <c r="U92" s="83" t="s">
        <v>77</v>
      </c>
      <c r="V92" s="63"/>
      <c r="W92" s="66" t="s">
        <v>835</v>
      </c>
      <c r="X92" s="63">
        <v>0</v>
      </c>
      <c r="Y92" s="83" t="s">
        <v>77</v>
      </c>
      <c r="Z92" s="63">
        <v>0</v>
      </c>
      <c r="AA92" s="63">
        <v>0</v>
      </c>
      <c r="AB92" s="63">
        <v>0</v>
      </c>
      <c r="AC92" s="63">
        <v>1</v>
      </c>
      <c r="AD92" s="63">
        <v>1</v>
      </c>
      <c r="AE92" s="83" t="s">
        <v>77</v>
      </c>
      <c r="AF92" s="83" t="s">
        <v>77</v>
      </c>
      <c r="AG92" s="83" t="s">
        <v>77</v>
      </c>
      <c r="AH92" s="83" t="s">
        <v>77</v>
      </c>
      <c r="AI92" s="83">
        <v>1</v>
      </c>
      <c r="AJ92" s="63"/>
      <c r="AK92" s="63">
        <v>1</v>
      </c>
      <c r="AL92" s="63">
        <v>1</v>
      </c>
      <c r="AM92" s="83" t="s">
        <v>77</v>
      </c>
      <c r="AN92" s="83">
        <v>1</v>
      </c>
      <c r="AO92" s="83">
        <v>1</v>
      </c>
      <c r="AP92" s="83">
        <v>1</v>
      </c>
    </row>
    <row r="93" spans="1:42">
      <c r="A93" s="62"/>
      <c r="B93" s="63" t="str">
        <f>装备!B93</f>
        <v>I001</v>
      </c>
      <c r="C93" s="63" t="s">
        <v>36</v>
      </c>
      <c r="D93" s="63" t="s">
        <v>76</v>
      </c>
      <c r="E93" s="66" t="s">
        <v>670</v>
      </c>
      <c r="F93" s="63"/>
      <c r="G93" s="63"/>
      <c r="H93" s="63" t="str">
        <f>VLOOKUP(LEFT(RIGHT(B93,5),4),装备!B:CU,2,FALSE)</f>
        <v>蛋黄月饼</v>
      </c>
      <c r="I93" s="63" t="str">
        <f>VLOOKUP(B93,装备!B:CV,99,FALSE)</f>
        <v>回复80%生命，解除异常状态</v>
      </c>
      <c r="J93" s="56" t="str">
        <f t="shared" ref="J93:J96" si="26">H93</f>
        <v>蛋黄月饼</v>
      </c>
      <c r="K93" s="56" t="str">
        <f t="shared" ref="K93:K96" si="27">I93</f>
        <v>回复80%生命，解除异常状态</v>
      </c>
      <c r="L93" s="63"/>
      <c r="M93" s="65" t="str">
        <f>VLOOKUP(LEFT(RIGHT(B93,5),4),装备!B:CU,20,FALSE)</f>
        <v>ReplaceableTextures\\CommandButtons\\BTNTome.blp</v>
      </c>
      <c r="N93" s="83" t="s">
        <v>77</v>
      </c>
      <c r="O93" s="115" t="s">
        <v>823</v>
      </c>
      <c r="P93" s="63">
        <v>0</v>
      </c>
      <c r="Q93" s="63">
        <v>0</v>
      </c>
      <c r="R93" s="83" t="s">
        <v>77</v>
      </c>
      <c r="S93" s="83" t="s">
        <v>77</v>
      </c>
      <c r="T93" s="83" t="s">
        <v>77</v>
      </c>
      <c r="U93" s="83" t="s">
        <v>77</v>
      </c>
      <c r="V93" s="63"/>
      <c r="W93" s="66" t="s">
        <v>843</v>
      </c>
      <c r="X93" s="63">
        <v>0</v>
      </c>
      <c r="Y93" s="83" t="s">
        <v>77</v>
      </c>
      <c r="Z93" s="63">
        <v>0</v>
      </c>
      <c r="AA93" s="63">
        <v>0</v>
      </c>
      <c r="AB93" s="63">
        <v>0</v>
      </c>
      <c r="AC93" s="63">
        <v>1</v>
      </c>
      <c r="AD93" s="63">
        <v>1</v>
      </c>
      <c r="AE93" s="83" t="s">
        <v>77</v>
      </c>
      <c r="AF93" s="83" t="s">
        <v>77</v>
      </c>
      <c r="AG93" s="83" t="s">
        <v>77</v>
      </c>
      <c r="AH93" s="83" t="s">
        <v>77</v>
      </c>
      <c r="AI93" s="83"/>
      <c r="AJ93" s="63"/>
      <c r="AK93" s="63">
        <v>1</v>
      </c>
      <c r="AL93" s="63">
        <v>1</v>
      </c>
      <c r="AM93" s="83" t="s">
        <v>77</v>
      </c>
      <c r="AN93" s="83">
        <v>1</v>
      </c>
      <c r="AO93" s="83">
        <v>1</v>
      </c>
      <c r="AP93" s="83">
        <v>1</v>
      </c>
    </row>
    <row r="94" spans="1:42">
      <c r="A94" s="62"/>
      <c r="B94" s="63" t="str">
        <f>装备!B94</f>
        <v>I002</v>
      </c>
      <c r="C94" s="63" t="s">
        <v>36</v>
      </c>
      <c r="D94" s="63" t="s">
        <v>76</v>
      </c>
      <c r="E94" s="66" t="s">
        <v>670</v>
      </c>
      <c r="F94" s="63"/>
      <c r="G94" s="63"/>
      <c r="H94" s="63" t="str">
        <f>VLOOKUP(LEFT(RIGHT(B94,5),4),装备!B:CU,2,FALSE)</f>
        <v>豆沙月饼</v>
      </c>
      <c r="I94" s="63" t="str">
        <f>VLOOKUP(B94,装备!B:CV,99,FALSE)</f>
        <v>回复70%蓝量</v>
      </c>
      <c r="J94" s="56" t="str">
        <f t="shared" si="26"/>
        <v>豆沙月饼</v>
      </c>
      <c r="K94" s="56" t="str">
        <f t="shared" si="27"/>
        <v>回复70%蓝量</v>
      </c>
      <c r="L94" s="63"/>
      <c r="M94" s="65" t="str">
        <f>VLOOKUP(LEFT(RIGHT(B94,5),4),装备!B:CU,20,FALSE)</f>
        <v>ReplaceableTextures\\CommandButtons\\BTNTome.blp</v>
      </c>
      <c r="N94" s="83" t="s">
        <v>77</v>
      </c>
      <c r="O94" s="115" t="s">
        <v>823</v>
      </c>
      <c r="P94" s="63">
        <v>0</v>
      </c>
      <c r="Q94" s="63">
        <v>0</v>
      </c>
      <c r="R94" s="83" t="s">
        <v>77</v>
      </c>
      <c r="S94" s="83" t="s">
        <v>77</v>
      </c>
      <c r="T94" s="83" t="s">
        <v>77</v>
      </c>
      <c r="U94" s="83" t="s">
        <v>77</v>
      </c>
      <c r="V94" s="63"/>
      <c r="W94" s="66" t="s">
        <v>843</v>
      </c>
      <c r="X94" s="63">
        <v>0</v>
      </c>
      <c r="Y94" s="83" t="s">
        <v>77</v>
      </c>
      <c r="Z94" s="63">
        <v>0</v>
      </c>
      <c r="AA94" s="63">
        <v>0</v>
      </c>
      <c r="AB94" s="63">
        <v>0</v>
      </c>
      <c r="AC94" s="63">
        <v>1</v>
      </c>
      <c r="AD94" s="63">
        <v>1</v>
      </c>
      <c r="AE94" s="83" t="s">
        <v>77</v>
      </c>
      <c r="AF94" s="83" t="s">
        <v>77</v>
      </c>
      <c r="AG94" s="83" t="s">
        <v>77</v>
      </c>
      <c r="AH94" s="83" t="s">
        <v>77</v>
      </c>
      <c r="AI94" s="83"/>
      <c r="AJ94" s="63"/>
      <c r="AK94" s="63">
        <v>1</v>
      </c>
      <c r="AL94" s="63">
        <v>1</v>
      </c>
      <c r="AM94" s="83" t="s">
        <v>77</v>
      </c>
      <c r="AN94" s="83">
        <v>1</v>
      </c>
      <c r="AO94" s="83">
        <v>1</v>
      </c>
      <c r="AP94" s="83">
        <v>1</v>
      </c>
    </row>
    <row r="95" spans="1:42">
      <c r="A95" s="62"/>
      <c r="B95" s="63" t="str">
        <f>装备!B95</f>
        <v>I003</v>
      </c>
      <c r="C95" s="63" t="s">
        <v>36</v>
      </c>
      <c r="D95" s="63" t="s">
        <v>76</v>
      </c>
      <c r="E95" s="66" t="s">
        <v>670</v>
      </c>
      <c r="F95" s="63"/>
      <c r="G95" s="63"/>
      <c r="H95" s="63" t="str">
        <f>VLOOKUP(LEFT(RIGHT(B95,5),4),装备!B:CU,2,FALSE)</f>
        <v>冰皮月饼</v>
      </c>
      <c r="I95" s="63" t="str">
        <f>VLOOKUP(B95,装备!B:CV,99,FALSE)</f>
        <v>攻击速度+60%，持续15秒。</v>
      </c>
      <c r="J95" s="56" t="str">
        <f t="shared" si="26"/>
        <v>冰皮月饼</v>
      </c>
      <c r="K95" s="56" t="str">
        <f t="shared" si="27"/>
        <v>攻击速度+60%，持续15秒。</v>
      </c>
      <c r="L95" s="63"/>
      <c r="M95" s="65" t="str">
        <f>VLOOKUP(LEFT(RIGHT(B95,5),4),装备!B:CU,20,FALSE)</f>
        <v>ReplaceableTextures\\CommandButtons\\BTNTome.blp</v>
      </c>
      <c r="N95" s="83" t="s">
        <v>77</v>
      </c>
      <c r="O95" s="115" t="s">
        <v>823</v>
      </c>
      <c r="P95" s="63">
        <v>0</v>
      </c>
      <c r="Q95" s="63">
        <v>0</v>
      </c>
      <c r="R95" s="83" t="s">
        <v>77</v>
      </c>
      <c r="S95" s="83" t="s">
        <v>77</v>
      </c>
      <c r="T95" s="83" t="s">
        <v>77</v>
      </c>
      <c r="U95" s="83" t="s">
        <v>77</v>
      </c>
      <c r="V95" s="63"/>
      <c r="W95" s="66" t="s">
        <v>843</v>
      </c>
      <c r="X95" s="63">
        <v>0</v>
      </c>
      <c r="Y95" s="83" t="s">
        <v>77</v>
      </c>
      <c r="Z95" s="63">
        <v>0</v>
      </c>
      <c r="AA95" s="63">
        <v>0</v>
      </c>
      <c r="AB95" s="63">
        <v>0</v>
      </c>
      <c r="AC95" s="63">
        <v>1</v>
      </c>
      <c r="AD95" s="63">
        <v>1</v>
      </c>
      <c r="AE95" s="83" t="s">
        <v>77</v>
      </c>
      <c r="AF95" s="83" t="s">
        <v>77</v>
      </c>
      <c r="AG95" s="83" t="s">
        <v>77</v>
      </c>
      <c r="AH95" s="83" t="s">
        <v>77</v>
      </c>
      <c r="AI95" s="83"/>
      <c r="AJ95" s="63"/>
      <c r="AK95" s="63">
        <v>1</v>
      </c>
      <c r="AL95" s="63">
        <v>1</v>
      </c>
      <c r="AM95" s="83" t="s">
        <v>77</v>
      </c>
      <c r="AN95" s="83">
        <v>1</v>
      </c>
      <c r="AO95" s="83">
        <v>1</v>
      </c>
      <c r="AP95" s="83">
        <v>1</v>
      </c>
    </row>
    <row r="96" spans="1:42">
      <c r="A96" s="62"/>
      <c r="B96" s="63" t="str">
        <f>装备!B96</f>
        <v>I004</v>
      </c>
      <c r="C96" s="63" t="s">
        <v>36</v>
      </c>
      <c r="D96" s="63" t="s">
        <v>76</v>
      </c>
      <c r="E96" s="66" t="s">
        <v>670</v>
      </c>
      <c r="F96" s="63"/>
      <c r="G96" s="63"/>
      <c r="H96" s="63" t="str">
        <f>VLOOKUP(LEFT(RIGHT(B96,5),4),装备!B:CU,2,FALSE)</f>
        <v>果蔬月饼</v>
      </c>
      <c r="I96" s="63" t="str">
        <f>VLOOKUP(B96,装备!B:CV,99,FALSE)</f>
        <v>法术伤害提高40%，持续15秒。</v>
      </c>
      <c r="J96" s="56" t="str">
        <f t="shared" si="26"/>
        <v>果蔬月饼</v>
      </c>
      <c r="K96" s="56" t="str">
        <f t="shared" si="27"/>
        <v>法术伤害提高40%，持续15秒。</v>
      </c>
      <c r="L96" s="63"/>
      <c r="M96" s="65" t="str">
        <f>VLOOKUP(LEFT(RIGHT(B96,5),4),装备!B:CU,20,FALSE)</f>
        <v>ReplaceableTextures\\CommandButtons\\BTNTome.blp</v>
      </c>
      <c r="N96" s="83" t="s">
        <v>77</v>
      </c>
      <c r="O96" s="115" t="s">
        <v>823</v>
      </c>
      <c r="P96" s="63">
        <v>0</v>
      </c>
      <c r="Q96" s="63">
        <v>0</v>
      </c>
      <c r="R96" s="83" t="s">
        <v>77</v>
      </c>
      <c r="S96" s="83" t="s">
        <v>77</v>
      </c>
      <c r="T96" s="83" t="s">
        <v>77</v>
      </c>
      <c r="U96" s="83" t="s">
        <v>77</v>
      </c>
      <c r="V96" s="63"/>
      <c r="W96" s="66" t="s">
        <v>843</v>
      </c>
      <c r="X96" s="63">
        <v>0</v>
      </c>
      <c r="Y96" s="83" t="s">
        <v>77</v>
      </c>
      <c r="Z96" s="63">
        <v>0</v>
      </c>
      <c r="AA96" s="63">
        <v>0</v>
      </c>
      <c r="AB96" s="63">
        <v>0</v>
      </c>
      <c r="AC96" s="63">
        <v>1</v>
      </c>
      <c r="AD96" s="63">
        <v>1</v>
      </c>
      <c r="AE96" s="83" t="s">
        <v>77</v>
      </c>
      <c r="AF96" s="83" t="s">
        <v>77</v>
      </c>
      <c r="AG96" s="83" t="s">
        <v>77</v>
      </c>
      <c r="AH96" s="83" t="s">
        <v>77</v>
      </c>
      <c r="AI96" s="83"/>
      <c r="AJ96" s="63"/>
      <c r="AK96" s="63">
        <v>1</v>
      </c>
      <c r="AL96" s="63">
        <v>1</v>
      </c>
      <c r="AM96" s="83" t="s">
        <v>77</v>
      </c>
      <c r="AN96" s="83">
        <v>1</v>
      </c>
      <c r="AO96" s="83">
        <v>1</v>
      </c>
      <c r="AP96" s="83">
        <v>1</v>
      </c>
    </row>
    <row r="97" spans="1:42">
      <c r="A97" s="62"/>
      <c r="B97" s="63" t="str">
        <f>装备!B97</f>
        <v>I005</v>
      </c>
      <c r="C97" s="63" t="s">
        <v>36</v>
      </c>
      <c r="D97" s="63" t="s">
        <v>76</v>
      </c>
      <c r="E97" s="66" t="s">
        <v>670</v>
      </c>
      <c r="F97" s="63"/>
      <c r="G97" s="63"/>
      <c r="H97" s="63" t="str">
        <f>VLOOKUP(LEFT(RIGHT(B97,5),4),装备!B:CU,2,FALSE)</f>
        <v>鲜肉月饼</v>
      </c>
      <c r="I97" s="63" t="str">
        <f>VLOOKUP(B97,装备!B:CV,99,FALSE)</f>
        <v>物理伤害提高40%，持续15秒。</v>
      </c>
      <c r="J97" s="56" t="str">
        <f t="shared" ref="J97:J98" si="28">H97</f>
        <v>鲜肉月饼</v>
      </c>
      <c r="K97" s="56" t="str">
        <f t="shared" ref="K97:K98" si="29">I97</f>
        <v>物理伤害提高40%，持续15秒。</v>
      </c>
      <c r="L97" s="63"/>
      <c r="M97" s="65" t="str">
        <f>VLOOKUP(LEFT(RIGHT(B97,5),4),装备!B:CU,20,FALSE)</f>
        <v>ReplaceableTextures\\CommandButtons\\BTNTome.blp</v>
      </c>
      <c r="N97" s="83" t="s">
        <v>77</v>
      </c>
      <c r="O97" s="115" t="s">
        <v>823</v>
      </c>
      <c r="P97" s="63">
        <v>0</v>
      </c>
      <c r="Q97" s="63">
        <v>0</v>
      </c>
      <c r="R97" s="83" t="s">
        <v>77</v>
      </c>
      <c r="S97" s="83" t="s">
        <v>77</v>
      </c>
      <c r="T97" s="83" t="s">
        <v>77</v>
      </c>
      <c r="U97" s="83" t="s">
        <v>77</v>
      </c>
      <c r="V97" s="63"/>
      <c r="W97" s="66" t="s">
        <v>843</v>
      </c>
      <c r="X97" s="63">
        <v>0</v>
      </c>
      <c r="Y97" s="83" t="s">
        <v>77</v>
      </c>
      <c r="Z97" s="63">
        <v>0</v>
      </c>
      <c r="AA97" s="63">
        <v>0</v>
      </c>
      <c r="AB97" s="63">
        <v>0</v>
      </c>
      <c r="AC97" s="63">
        <v>1</v>
      </c>
      <c r="AD97" s="63">
        <v>1</v>
      </c>
      <c r="AE97" s="83" t="s">
        <v>77</v>
      </c>
      <c r="AF97" s="83" t="s">
        <v>77</v>
      </c>
      <c r="AG97" s="83" t="s">
        <v>77</v>
      </c>
      <c r="AH97" s="83" t="s">
        <v>77</v>
      </c>
      <c r="AI97" s="83"/>
      <c r="AJ97" s="63"/>
      <c r="AK97" s="63">
        <v>1</v>
      </c>
      <c r="AL97" s="63">
        <v>1</v>
      </c>
      <c r="AM97" s="83" t="s">
        <v>77</v>
      </c>
      <c r="AN97" s="83">
        <v>1</v>
      </c>
      <c r="AO97" s="83">
        <v>1</v>
      </c>
      <c r="AP97" s="83">
        <v>1</v>
      </c>
    </row>
    <row r="98" spans="1:42">
      <c r="A98" s="62"/>
      <c r="B98" s="63" t="str">
        <f>装备!B98</f>
        <v>I010</v>
      </c>
      <c r="C98" s="63" t="s">
        <v>36</v>
      </c>
      <c r="D98" s="63" t="s">
        <v>76</v>
      </c>
      <c r="E98" s="66" t="s">
        <v>670</v>
      </c>
      <c r="F98" s="63"/>
      <c r="G98" s="63"/>
      <c r="H98" s="63" t="str">
        <f>VLOOKUP(LEFT(RIGHT(B98,5),4),装备!B:CU,2,FALSE)</f>
        <v>聚宝盆</v>
      </c>
      <c r="I98" s="63" t="str">
        <f>VLOOKUP(B98,装备!B:CV,99,FALSE)</f>
        <v>聚宝盆</v>
      </c>
      <c r="J98" s="56" t="str">
        <f t="shared" si="28"/>
        <v>聚宝盆</v>
      </c>
      <c r="K98" s="56" t="str">
        <f t="shared" si="29"/>
        <v>聚宝盆</v>
      </c>
      <c r="L98" s="63"/>
      <c r="M98" s="65" t="str">
        <f>VLOOKUP(LEFT(RIGHT(B98,5),4),装备!B:CU,20,FALSE)</f>
        <v>ReplaceableTextures\\CommandButtons\\BTNTome.blp</v>
      </c>
      <c r="N98" s="83" t="s">
        <v>77</v>
      </c>
      <c r="O98" s="115" t="s">
        <v>823</v>
      </c>
      <c r="P98" s="63">
        <v>0</v>
      </c>
      <c r="Q98" s="63">
        <v>0</v>
      </c>
      <c r="R98" s="83" t="s">
        <v>77</v>
      </c>
      <c r="S98" s="83" t="s">
        <v>77</v>
      </c>
      <c r="T98" s="83" t="s">
        <v>77</v>
      </c>
      <c r="U98" s="83" t="s">
        <v>77</v>
      </c>
      <c r="V98" s="63"/>
      <c r="W98" s="66" t="s">
        <v>843</v>
      </c>
      <c r="X98" s="63">
        <v>0</v>
      </c>
      <c r="Y98" s="83" t="s">
        <v>77</v>
      </c>
      <c r="Z98" s="63">
        <v>0</v>
      </c>
      <c r="AA98" s="63">
        <v>0</v>
      </c>
      <c r="AB98" s="63">
        <v>0</v>
      </c>
      <c r="AC98" s="63">
        <v>1</v>
      </c>
      <c r="AD98" s="63">
        <v>1</v>
      </c>
      <c r="AE98" s="83" t="s">
        <v>77</v>
      </c>
      <c r="AF98" s="83" t="s">
        <v>77</v>
      </c>
      <c r="AG98" s="83" t="s">
        <v>77</v>
      </c>
      <c r="AH98" s="83" t="s">
        <v>77</v>
      </c>
      <c r="AI98" s="83"/>
      <c r="AJ98" s="63"/>
      <c r="AK98" s="63">
        <v>1</v>
      </c>
      <c r="AL98" s="63">
        <v>1</v>
      </c>
      <c r="AM98" s="83" t="s">
        <v>77</v>
      </c>
      <c r="AN98" s="83">
        <v>1</v>
      </c>
      <c r="AO98" s="83">
        <v>1</v>
      </c>
      <c r="AP98" s="83">
        <v>1</v>
      </c>
    </row>
    <row r="99" spans="1:42">
      <c r="A99" s="62"/>
      <c r="B99" s="63" t="str">
        <f>装备!B99</f>
        <v>IP01</v>
      </c>
      <c r="C99" s="63" t="s">
        <v>36</v>
      </c>
      <c r="D99" s="63" t="s">
        <v>76</v>
      </c>
      <c r="E99" s="66" t="s">
        <v>670</v>
      </c>
      <c r="F99" s="63"/>
      <c r="G99" s="63"/>
      <c r="H99" s="63" t="str">
        <f>VLOOKUP(LEFT(RIGHT(B99,5),4),装备!B:CU,2,FALSE)</f>
        <v>时渊碎片</v>
      </c>
      <c r="I99" s="63" t="str">
        <f>VLOOKUP(B99,装备!B:CV,99,FALSE)</f>
        <v>进入时渊副本消耗时渊碎片</v>
      </c>
      <c r="J99" s="56" t="str">
        <f t="shared" ref="J99" si="30">H99</f>
        <v>时渊碎片</v>
      </c>
      <c r="K99" s="56" t="str">
        <f t="shared" ref="K99" si="31">I99</f>
        <v>进入时渊副本消耗时渊碎片</v>
      </c>
      <c r="L99" s="63"/>
      <c r="M99" s="65" t="str">
        <f>VLOOKUP(LEFT(RIGHT(B99,5),4),装备!B:CU,20,FALSE)</f>
        <v>ReplaceableTextures\\CommandButtons\\BTNTome.blp</v>
      </c>
      <c r="N99" s="83" t="s">
        <v>77</v>
      </c>
      <c r="O99" s="115" t="s">
        <v>823</v>
      </c>
      <c r="P99" s="63">
        <v>0</v>
      </c>
      <c r="Q99" s="63">
        <v>0</v>
      </c>
      <c r="R99" s="83" t="s">
        <v>77</v>
      </c>
      <c r="S99" s="83" t="s">
        <v>77</v>
      </c>
      <c r="T99" s="83" t="s">
        <v>77</v>
      </c>
      <c r="U99" s="83" t="s">
        <v>77</v>
      </c>
      <c r="V99" s="63"/>
      <c r="W99" s="66" t="s">
        <v>843</v>
      </c>
      <c r="X99" s="63">
        <v>0</v>
      </c>
      <c r="Y99" s="83" t="s">
        <v>77</v>
      </c>
      <c r="Z99" s="63">
        <v>0</v>
      </c>
      <c r="AA99" s="63">
        <v>0</v>
      </c>
      <c r="AB99" s="63">
        <v>0</v>
      </c>
      <c r="AC99" s="63">
        <v>1</v>
      </c>
      <c r="AD99" s="63">
        <v>1</v>
      </c>
      <c r="AE99" s="83" t="s">
        <v>77</v>
      </c>
      <c r="AF99" s="83" t="s">
        <v>77</v>
      </c>
      <c r="AG99" s="83" t="s">
        <v>77</v>
      </c>
      <c r="AH99" s="83" t="s">
        <v>77</v>
      </c>
      <c r="AI99" s="83"/>
      <c r="AJ99" s="63"/>
      <c r="AK99" s="63">
        <v>1</v>
      </c>
      <c r="AL99" s="63">
        <v>1</v>
      </c>
      <c r="AM99" s="83" t="s">
        <v>77</v>
      </c>
      <c r="AN99" s="83">
        <v>1</v>
      </c>
      <c r="AO99" s="83">
        <v>1</v>
      </c>
      <c r="AP99" s="83">
        <v>1</v>
      </c>
    </row>
    <row r="100" spans="1:42">
      <c r="A100" s="62"/>
      <c r="B100" s="63" t="str">
        <f>装备!B99</f>
        <v>IP01</v>
      </c>
      <c r="C100" s="63" t="s">
        <v>36</v>
      </c>
      <c r="D100" s="63" t="s">
        <v>76</v>
      </c>
      <c r="E100" s="66"/>
      <c r="F100" s="63"/>
      <c r="G100" s="63"/>
      <c r="H100" s="63" t="str">
        <f>VLOOKUP(LEFT(RIGHT(B100,5),4),装备!B:CU,2,FALSE)</f>
        <v>时渊碎片</v>
      </c>
      <c r="I100" s="63" t="str">
        <f>VLOOKUP(B100,装备!B:CV,99,FALSE)</f>
        <v>进入时渊副本消耗时渊碎片</v>
      </c>
      <c r="J100" s="56" t="str">
        <f t="shared" ref="J100" si="32">H100</f>
        <v>时渊碎片</v>
      </c>
      <c r="K100" s="56" t="str">
        <f t="shared" ref="K100" si="33">I100</f>
        <v>进入时渊副本消耗时渊碎片</v>
      </c>
      <c r="L100" s="63"/>
      <c r="M100" s="65" t="str">
        <f>VLOOKUP(LEFT(RIGHT(B100,5),4),装备!B:CU,20,FALSE)</f>
        <v>ReplaceableTextures\\CommandButtons\\BTNTome.blp</v>
      </c>
      <c r="N100" s="83" t="s">
        <v>77</v>
      </c>
      <c r="O100" s="115" t="s">
        <v>836</v>
      </c>
      <c r="P100" s="63">
        <v>0</v>
      </c>
      <c r="Q100" s="63">
        <v>0</v>
      </c>
      <c r="R100" s="83" t="s">
        <v>77</v>
      </c>
      <c r="S100" s="83" t="s">
        <v>77</v>
      </c>
      <c r="T100" s="83" t="s">
        <v>77</v>
      </c>
      <c r="U100" s="83" t="s">
        <v>77</v>
      </c>
      <c r="V100" s="63"/>
      <c r="W100" s="66" t="s">
        <v>835</v>
      </c>
      <c r="X100" s="63">
        <v>0</v>
      </c>
      <c r="Y100" s="83" t="s">
        <v>77</v>
      </c>
      <c r="Z100" s="63">
        <v>0</v>
      </c>
      <c r="AA100" s="63">
        <v>0</v>
      </c>
      <c r="AB100" s="63">
        <v>0</v>
      </c>
      <c r="AC100" s="63">
        <v>1</v>
      </c>
      <c r="AD100" s="63">
        <v>1</v>
      </c>
      <c r="AE100" s="83" t="s">
        <v>77</v>
      </c>
      <c r="AF100" s="83" t="s">
        <v>77</v>
      </c>
      <c r="AG100" s="83" t="s">
        <v>77</v>
      </c>
      <c r="AH100" s="83" t="s">
        <v>77</v>
      </c>
      <c r="AI100" s="83">
        <v>1</v>
      </c>
      <c r="AJ100" s="63"/>
      <c r="AK100" s="63">
        <v>1</v>
      </c>
      <c r="AL100" s="63">
        <v>1</v>
      </c>
      <c r="AM100" s="83" t="s">
        <v>77</v>
      </c>
      <c r="AN100" s="83">
        <v>1</v>
      </c>
      <c r="AO100" s="83">
        <v>1</v>
      </c>
      <c r="AP100" s="83">
        <v>1</v>
      </c>
    </row>
    <row r="101" spans="1:42">
      <c r="A101" s="62"/>
      <c r="B101" s="63" t="str">
        <f>装备!B100</f>
        <v>IP02</v>
      </c>
      <c r="C101" s="63" t="s">
        <v>36</v>
      </c>
      <c r="D101" s="63" t="s">
        <v>76</v>
      </c>
      <c r="E101" s="66"/>
      <c r="F101" s="63"/>
      <c r="G101" s="63"/>
      <c r="H101" s="63" t="str">
        <f>VLOOKUP(LEFT(RIGHT(B101,5),4),装备!B:CU,2,FALSE)</f>
        <v>补天石</v>
      </c>
      <c r="I101" s="63" t="str">
        <f>VLOOKUP(B101,装备!B:CV,99,FALSE)</f>
        <v>消耗补天石，可重铸指定法宝</v>
      </c>
      <c r="J101" s="56" t="str">
        <f t="shared" ref="J101:J103" si="34">H101</f>
        <v>补天石</v>
      </c>
      <c r="K101" s="56" t="str">
        <f t="shared" ref="K101:K103" si="35">I101</f>
        <v>消耗补天石，可重铸指定法宝</v>
      </c>
      <c r="L101" s="63"/>
      <c r="M101" s="65" t="str">
        <f>VLOOKUP(LEFT(RIGHT(B101,5),4),装备!B:CU,20,FALSE)</f>
        <v>ReplaceableTextures\\CommandButtons\\BTNTome.blp</v>
      </c>
      <c r="N101" s="83" t="s">
        <v>77</v>
      </c>
      <c r="O101" s="115" t="s">
        <v>836</v>
      </c>
      <c r="P101" s="63">
        <v>0</v>
      </c>
      <c r="Q101" s="63">
        <v>0</v>
      </c>
      <c r="R101" s="83" t="s">
        <v>77</v>
      </c>
      <c r="S101" s="83" t="s">
        <v>77</v>
      </c>
      <c r="T101" s="83" t="s">
        <v>77</v>
      </c>
      <c r="U101" s="83" t="s">
        <v>77</v>
      </c>
      <c r="V101" s="63"/>
      <c r="W101" s="66" t="s">
        <v>835</v>
      </c>
      <c r="X101" s="63">
        <v>0</v>
      </c>
      <c r="Y101" s="83" t="s">
        <v>77</v>
      </c>
      <c r="Z101" s="63">
        <v>0</v>
      </c>
      <c r="AA101" s="63">
        <v>0</v>
      </c>
      <c r="AB101" s="63">
        <v>0</v>
      </c>
      <c r="AC101" s="63">
        <v>1</v>
      </c>
      <c r="AD101" s="63">
        <v>1</v>
      </c>
      <c r="AE101" s="83" t="s">
        <v>77</v>
      </c>
      <c r="AF101" s="83" t="s">
        <v>77</v>
      </c>
      <c r="AG101" s="83" t="s">
        <v>77</v>
      </c>
      <c r="AH101" s="83" t="s">
        <v>77</v>
      </c>
      <c r="AI101" s="83">
        <v>1</v>
      </c>
      <c r="AJ101" s="63"/>
      <c r="AK101" s="63">
        <v>1</v>
      </c>
      <c r="AL101" s="63">
        <v>1</v>
      </c>
      <c r="AM101" s="83" t="s">
        <v>77</v>
      </c>
      <c r="AN101" s="83">
        <v>1</v>
      </c>
      <c r="AO101" s="83">
        <v>1</v>
      </c>
      <c r="AP101" s="83">
        <v>1</v>
      </c>
    </row>
    <row r="102" spans="1:42">
      <c r="A102" s="62"/>
      <c r="B102" s="63" t="str">
        <f>装备!B101</f>
        <v>IP03</v>
      </c>
      <c r="C102" s="63" t="s">
        <v>36</v>
      </c>
      <c r="D102" s="63" t="s">
        <v>76</v>
      </c>
      <c r="E102" s="66"/>
      <c r="F102" s="63"/>
      <c r="G102" s="63"/>
      <c r="H102" s="63" t="str">
        <f>VLOOKUP(LEFT(RIGHT(B102,5),4),装备!B:CU,2,FALSE)</f>
        <v>鸿蒙结晶</v>
      </c>
      <c r="I102" s="63" t="str">
        <f>VLOOKUP(B102,装备!B:CV,99,FALSE)</f>
        <v>消耗鸿蒙结晶，可将指定法宝锻造为高一品阶的随机法宝。</v>
      </c>
      <c r="J102" s="56" t="str">
        <f t="shared" si="34"/>
        <v>鸿蒙结晶</v>
      </c>
      <c r="K102" s="56" t="str">
        <f t="shared" si="35"/>
        <v>消耗鸿蒙结晶，可将指定法宝锻造为高一品阶的随机法宝。</v>
      </c>
      <c r="L102" s="63"/>
      <c r="M102" s="65" t="str">
        <f>VLOOKUP(LEFT(RIGHT(B102,5),4),装备!B:CU,20,FALSE)</f>
        <v>ReplaceableTextures\\CommandButtons\\BTNTome.blp</v>
      </c>
      <c r="N102" s="83" t="s">
        <v>77</v>
      </c>
      <c r="O102" s="115" t="s">
        <v>836</v>
      </c>
      <c r="P102" s="63">
        <v>0</v>
      </c>
      <c r="Q102" s="63">
        <v>0</v>
      </c>
      <c r="R102" s="83" t="s">
        <v>77</v>
      </c>
      <c r="S102" s="83" t="s">
        <v>77</v>
      </c>
      <c r="T102" s="83" t="s">
        <v>77</v>
      </c>
      <c r="U102" s="83" t="s">
        <v>77</v>
      </c>
      <c r="V102" s="63"/>
      <c r="W102" s="66" t="s">
        <v>835</v>
      </c>
      <c r="X102" s="63">
        <v>0</v>
      </c>
      <c r="Y102" s="83" t="s">
        <v>77</v>
      </c>
      <c r="Z102" s="63">
        <v>0</v>
      </c>
      <c r="AA102" s="63">
        <v>0</v>
      </c>
      <c r="AB102" s="63">
        <v>0</v>
      </c>
      <c r="AC102" s="63">
        <v>1</v>
      </c>
      <c r="AD102" s="63">
        <v>1</v>
      </c>
      <c r="AE102" s="83" t="s">
        <v>77</v>
      </c>
      <c r="AF102" s="83" t="s">
        <v>77</v>
      </c>
      <c r="AG102" s="83" t="s">
        <v>77</v>
      </c>
      <c r="AH102" s="83" t="s">
        <v>77</v>
      </c>
      <c r="AI102" s="83">
        <v>1</v>
      </c>
      <c r="AJ102" s="63"/>
      <c r="AK102" s="63">
        <v>1</v>
      </c>
      <c r="AL102" s="63">
        <v>1</v>
      </c>
      <c r="AM102" s="83" t="s">
        <v>77</v>
      </c>
      <c r="AN102" s="83">
        <v>1</v>
      </c>
      <c r="AO102" s="83">
        <v>1</v>
      </c>
      <c r="AP102" s="83">
        <v>1</v>
      </c>
    </row>
    <row r="103" spans="1:42">
      <c r="A103" s="62"/>
      <c r="B103" s="63" t="str">
        <f>装备!B102</f>
        <v>IT01</v>
      </c>
      <c r="C103" s="63" t="s">
        <v>36</v>
      </c>
      <c r="D103" s="63" t="s">
        <v>76</v>
      </c>
      <c r="E103" s="66"/>
      <c r="F103" s="63"/>
      <c r="G103" s="63"/>
      <c r="H103" s="63" t="str">
        <f>VLOOKUP(LEFT(RIGHT(B103,5),4),装备!B:CU,2,FALSE)</f>
        <v>境界挑战1</v>
      </c>
      <c r="I103" s="63" t="str">
        <f>VLOOKUP(B103,装备!B:CV,99,FALSE)</f>
        <v>境界挑战1</v>
      </c>
      <c r="J103" s="56" t="str">
        <f t="shared" si="34"/>
        <v>境界挑战1</v>
      </c>
      <c r="K103" s="56" t="str">
        <f t="shared" si="35"/>
        <v>境界挑战1</v>
      </c>
      <c r="L103" s="63"/>
      <c r="M103" s="65" t="str">
        <f>VLOOKUP(LEFT(RIGHT(B103,5),4),装备!B:CU,20,FALSE)</f>
        <v>ReplaceableTextures\\CommandButtons\\BTNTome.blp</v>
      </c>
      <c r="N103" s="83" t="s">
        <v>77</v>
      </c>
      <c r="O103" s="115" t="s">
        <v>836</v>
      </c>
      <c r="P103" s="63">
        <v>0</v>
      </c>
      <c r="Q103" s="63">
        <v>0</v>
      </c>
      <c r="R103" s="83" t="s">
        <v>77</v>
      </c>
      <c r="S103" s="83" t="s">
        <v>77</v>
      </c>
      <c r="T103" s="83" t="s">
        <v>77</v>
      </c>
      <c r="U103" s="83" t="s">
        <v>77</v>
      </c>
      <c r="V103" s="63"/>
      <c r="W103" s="66" t="s">
        <v>835</v>
      </c>
      <c r="X103" s="63">
        <v>1000</v>
      </c>
      <c r="Y103" s="83" t="s">
        <v>77</v>
      </c>
      <c r="Z103" s="63">
        <v>0</v>
      </c>
      <c r="AA103" s="63">
        <v>0</v>
      </c>
      <c r="AB103" s="63">
        <v>0</v>
      </c>
      <c r="AC103" s="63">
        <v>1</v>
      </c>
      <c r="AD103" s="63">
        <v>1</v>
      </c>
      <c r="AE103" s="83" t="s">
        <v>77</v>
      </c>
      <c r="AF103" s="83" t="s">
        <v>77</v>
      </c>
      <c r="AG103" s="83" t="s">
        <v>77</v>
      </c>
      <c r="AH103" s="83" t="s">
        <v>77</v>
      </c>
      <c r="AI103" s="83">
        <v>1</v>
      </c>
      <c r="AJ103" s="63"/>
      <c r="AK103" s="63">
        <v>1</v>
      </c>
      <c r="AL103" s="63">
        <v>1</v>
      </c>
      <c r="AM103" s="83" t="s">
        <v>77</v>
      </c>
      <c r="AN103" s="83">
        <v>1</v>
      </c>
      <c r="AO103" s="83">
        <v>1</v>
      </c>
      <c r="AP103" s="83">
        <v>1</v>
      </c>
    </row>
    <row r="104" spans="1:42">
      <c r="A104" s="62"/>
      <c r="B104" s="63" t="str">
        <f>装备!B103</f>
        <v>IT02</v>
      </c>
      <c r="C104" s="63" t="s">
        <v>36</v>
      </c>
      <c r="D104" s="63" t="s">
        <v>76</v>
      </c>
      <c r="E104" s="66"/>
      <c r="F104" s="63"/>
      <c r="G104" s="63"/>
      <c r="H104" s="63" t="str">
        <f>VLOOKUP(LEFT(RIGHT(B104,5),4),装备!B:CU,2,FALSE)</f>
        <v>境界挑战2</v>
      </c>
      <c r="I104" s="63" t="str">
        <f>VLOOKUP(B104,装备!B:CV,99,FALSE)</f>
        <v>境界挑战2</v>
      </c>
      <c r="J104" s="56" t="str">
        <f t="shared" ref="J104:J134" si="36">H104</f>
        <v>境界挑战2</v>
      </c>
      <c r="K104" s="56" t="str">
        <f t="shared" ref="K104:K134" si="37">I104</f>
        <v>境界挑战2</v>
      </c>
      <c r="L104" s="63"/>
      <c r="M104" s="65" t="str">
        <f>VLOOKUP(LEFT(RIGHT(B104,5),4),装备!B:CU,20,FALSE)</f>
        <v>ReplaceableTextures\\CommandButtons\\BTNTome.blp</v>
      </c>
      <c r="N104" s="83" t="s">
        <v>77</v>
      </c>
      <c r="O104" s="115" t="s">
        <v>836</v>
      </c>
      <c r="P104" s="63">
        <v>1</v>
      </c>
      <c r="Q104" s="63">
        <v>0</v>
      </c>
      <c r="R104" s="83" t="s">
        <v>77</v>
      </c>
      <c r="S104" s="83" t="s">
        <v>77</v>
      </c>
      <c r="T104" s="83" t="s">
        <v>77</v>
      </c>
      <c r="U104" s="83" t="s">
        <v>77</v>
      </c>
      <c r="V104" s="63"/>
      <c r="W104" s="66" t="s">
        <v>835</v>
      </c>
      <c r="X104" s="63">
        <v>2000</v>
      </c>
      <c r="Y104" s="83" t="s">
        <v>77</v>
      </c>
      <c r="Z104" s="63">
        <v>0</v>
      </c>
      <c r="AA104" s="63">
        <v>0</v>
      </c>
      <c r="AB104" s="63">
        <v>0</v>
      </c>
      <c r="AC104" s="63">
        <v>1</v>
      </c>
      <c r="AD104" s="63">
        <v>1</v>
      </c>
      <c r="AE104" s="83" t="s">
        <v>77</v>
      </c>
      <c r="AF104" s="83" t="s">
        <v>77</v>
      </c>
      <c r="AG104" s="83" t="s">
        <v>77</v>
      </c>
      <c r="AH104" s="83" t="s">
        <v>77</v>
      </c>
      <c r="AI104" s="83">
        <v>1</v>
      </c>
      <c r="AJ104" s="63"/>
      <c r="AK104" s="63">
        <v>1</v>
      </c>
      <c r="AL104" s="63">
        <v>1</v>
      </c>
      <c r="AM104" s="83" t="s">
        <v>77</v>
      </c>
      <c r="AN104" s="83">
        <v>1</v>
      </c>
      <c r="AO104" s="83">
        <v>1</v>
      </c>
      <c r="AP104" s="83">
        <v>1</v>
      </c>
    </row>
    <row r="105" spans="1:42">
      <c r="A105" s="62"/>
      <c r="B105" s="63" t="str">
        <f>装备!B104</f>
        <v>IT03</v>
      </c>
      <c r="C105" s="63" t="s">
        <v>36</v>
      </c>
      <c r="D105" s="63" t="s">
        <v>76</v>
      </c>
      <c r="E105" s="66"/>
      <c r="F105" s="63"/>
      <c r="G105" s="63"/>
      <c r="H105" s="63" t="str">
        <f>VLOOKUP(LEFT(RIGHT(B105,5),4),装备!B:CU,2,FALSE)</f>
        <v>境界挑战3</v>
      </c>
      <c r="I105" s="63" t="str">
        <f>VLOOKUP(B105,装备!B:CV,99,FALSE)</f>
        <v>境界挑战3</v>
      </c>
      <c r="J105" s="56" t="str">
        <f t="shared" si="36"/>
        <v>境界挑战3</v>
      </c>
      <c r="K105" s="56" t="str">
        <f t="shared" si="37"/>
        <v>境界挑战3</v>
      </c>
      <c r="L105" s="63"/>
      <c r="M105" s="65" t="str">
        <f>VLOOKUP(LEFT(RIGHT(B105,5),4),装备!B:CU,20,FALSE)</f>
        <v>ReplaceableTextures\\CommandButtons\\BTNTome.blp</v>
      </c>
      <c r="N105" s="83" t="s">
        <v>77</v>
      </c>
      <c r="O105" s="115" t="s">
        <v>836</v>
      </c>
      <c r="P105" s="63">
        <v>2</v>
      </c>
      <c r="Q105" s="63">
        <v>0</v>
      </c>
      <c r="R105" s="83" t="s">
        <v>77</v>
      </c>
      <c r="S105" s="83" t="s">
        <v>77</v>
      </c>
      <c r="T105" s="83" t="s">
        <v>77</v>
      </c>
      <c r="U105" s="83" t="s">
        <v>77</v>
      </c>
      <c r="V105" s="63"/>
      <c r="W105" s="66" t="s">
        <v>835</v>
      </c>
      <c r="X105" s="63">
        <v>3000</v>
      </c>
      <c r="Y105" s="83" t="s">
        <v>77</v>
      </c>
      <c r="Z105" s="63">
        <v>0</v>
      </c>
      <c r="AA105" s="63">
        <v>0</v>
      </c>
      <c r="AB105" s="63">
        <v>0</v>
      </c>
      <c r="AC105" s="63">
        <v>1</v>
      </c>
      <c r="AD105" s="63">
        <v>1</v>
      </c>
      <c r="AE105" s="83" t="s">
        <v>77</v>
      </c>
      <c r="AF105" s="83" t="s">
        <v>77</v>
      </c>
      <c r="AG105" s="83" t="s">
        <v>77</v>
      </c>
      <c r="AH105" s="83" t="s">
        <v>77</v>
      </c>
      <c r="AI105" s="83">
        <v>1</v>
      </c>
      <c r="AJ105" s="63"/>
      <c r="AK105" s="63">
        <v>1</v>
      </c>
      <c r="AL105" s="63">
        <v>1</v>
      </c>
      <c r="AM105" s="83" t="s">
        <v>77</v>
      </c>
      <c r="AN105" s="83">
        <v>1</v>
      </c>
      <c r="AO105" s="83">
        <v>1</v>
      </c>
      <c r="AP105" s="83">
        <v>1</v>
      </c>
    </row>
    <row r="106" spans="1:42">
      <c r="A106" s="62"/>
      <c r="B106" s="63" t="str">
        <f>装备!B105</f>
        <v>IT04</v>
      </c>
      <c r="C106" s="63" t="s">
        <v>36</v>
      </c>
      <c r="D106" s="63" t="s">
        <v>76</v>
      </c>
      <c r="E106" s="66"/>
      <c r="F106" s="63"/>
      <c r="G106" s="63"/>
      <c r="H106" s="63" t="str">
        <f>VLOOKUP(LEFT(RIGHT(B106,5),4),装备!B:CU,2,FALSE)</f>
        <v>境界挑战4</v>
      </c>
      <c r="I106" s="63" t="str">
        <f>VLOOKUP(B106,装备!B:CV,99,FALSE)</f>
        <v>境界挑战4</v>
      </c>
      <c r="J106" s="56" t="str">
        <f t="shared" si="36"/>
        <v>境界挑战4</v>
      </c>
      <c r="K106" s="56" t="str">
        <f t="shared" si="37"/>
        <v>境界挑战4</v>
      </c>
      <c r="L106" s="63"/>
      <c r="M106" s="65" t="str">
        <f>VLOOKUP(LEFT(RIGHT(B106,5),4),装备!B:CU,20,FALSE)</f>
        <v>ReplaceableTextures\\CommandButtons\\BTNTome.blp</v>
      </c>
      <c r="N106" s="83" t="s">
        <v>77</v>
      </c>
      <c r="O106" s="115" t="s">
        <v>836</v>
      </c>
      <c r="P106" s="63">
        <v>3</v>
      </c>
      <c r="Q106" s="63">
        <v>0</v>
      </c>
      <c r="R106" s="83" t="s">
        <v>77</v>
      </c>
      <c r="S106" s="83" t="s">
        <v>77</v>
      </c>
      <c r="T106" s="83" t="s">
        <v>77</v>
      </c>
      <c r="U106" s="83" t="s">
        <v>77</v>
      </c>
      <c r="V106" s="63"/>
      <c r="W106" s="66" t="s">
        <v>835</v>
      </c>
      <c r="X106" s="63">
        <v>4000</v>
      </c>
      <c r="Y106" s="83" t="s">
        <v>77</v>
      </c>
      <c r="Z106" s="63">
        <v>0</v>
      </c>
      <c r="AA106" s="63">
        <v>0</v>
      </c>
      <c r="AB106" s="63">
        <v>0</v>
      </c>
      <c r="AC106" s="63">
        <v>1</v>
      </c>
      <c r="AD106" s="63">
        <v>1</v>
      </c>
      <c r="AE106" s="83" t="s">
        <v>77</v>
      </c>
      <c r="AF106" s="83" t="s">
        <v>77</v>
      </c>
      <c r="AG106" s="83" t="s">
        <v>77</v>
      </c>
      <c r="AH106" s="83" t="s">
        <v>77</v>
      </c>
      <c r="AI106" s="83">
        <v>1</v>
      </c>
      <c r="AJ106" s="63"/>
      <c r="AK106" s="63">
        <v>1</v>
      </c>
      <c r="AL106" s="63">
        <v>1</v>
      </c>
      <c r="AM106" s="83" t="s">
        <v>77</v>
      </c>
      <c r="AN106" s="83">
        <v>1</v>
      </c>
      <c r="AO106" s="83">
        <v>1</v>
      </c>
      <c r="AP106" s="83">
        <v>1</v>
      </c>
    </row>
    <row r="107" spans="1:42">
      <c r="A107" s="62"/>
      <c r="B107" s="63" t="str">
        <f>装备!B106</f>
        <v>IT05</v>
      </c>
      <c r="C107" s="63" t="s">
        <v>36</v>
      </c>
      <c r="D107" s="63" t="s">
        <v>76</v>
      </c>
      <c r="E107" s="66"/>
      <c r="F107" s="63"/>
      <c r="G107" s="63"/>
      <c r="H107" s="63" t="str">
        <f>VLOOKUP(LEFT(RIGHT(B107,5),4),装备!B:CU,2,FALSE)</f>
        <v>境界挑战5</v>
      </c>
      <c r="I107" s="63" t="str">
        <f>VLOOKUP(B107,装备!B:CV,99,FALSE)</f>
        <v>境界挑战5</v>
      </c>
      <c r="J107" s="56" t="str">
        <f t="shared" si="36"/>
        <v>境界挑战5</v>
      </c>
      <c r="K107" s="56" t="str">
        <f t="shared" si="37"/>
        <v>境界挑战5</v>
      </c>
      <c r="L107" s="63"/>
      <c r="M107" s="65" t="str">
        <f>VLOOKUP(LEFT(RIGHT(B107,5),4),装备!B:CU,20,FALSE)</f>
        <v>ReplaceableTextures\\CommandButtons\\BTNTome.blp</v>
      </c>
      <c r="N107" s="83" t="s">
        <v>77</v>
      </c>
      <c r="O107" s="115" t="s">
        <v>836</v>
      </c>
      <c r="P107" s="63">
        <v>0</v>
      </c>
      <c r="Q107" s="63">
        <v>1</v>
      </c>
      <c r="R107" s="83" t="s">
        <v>77</v>
      </c>
      <c r="S107" s="83" t="s">
        <v>77</v>
      </c>
      <c r="T107" s="83" t="s">
        <v>77</v>
      </c>
      <c r="U107" s="83" t="s">
        <v>77</v>
      </c>
      <c r="V107" s="63"/>
      <c r="W107" s="66" t="s">
        <v>835</v>
      </c>
      <c r="X107" s="63">
        <v>5000</v>
      </c>
      <c r="Y107" s="83" t="s">
        <v>77</v>
      </c>
      <c r="Z107" s="63">
        <v>0</v>
      </c>
      <c r="AA107" s="63">
        <v>0</v>
      </c>
      <c r="AB107" s="63">
        <v>0</v>
      </c>
      <c r="AC107" s="63">
        <v>1</v>
      </c>
      <c r="AD107" s="63">
        <v>1</v>
      </c>
      <c r="AE107" s="83" t="s">
        <v>77</v>
      </c>
      <c r="AF107" s="83" t="s">
        <v>77</v>
      </c>
      <c r="AG107" s="83" t="s">
        <v>77</v>
      </c>
      <c r="AH107" s="83" t="s">
        <v>77</v>
      </c>
      <c r="AI107" s="83">
        <v>1</v>
      </c>
      <c r="AJ107" s="63"/>
      <c r="AK107" s="63">
        <v>1</v>
      </c>
      <c r="AL107" s="63">
        <v>1</v>
      </c>
      <c r="AM107" s="83" t="s">
        <v>77</v>
      </c>
      <c r="AN107" s="83">
        <v>1</v>
      </c>
      <c r="AO107" s="83">
        <v>1</v>
      </c>
      <c r="AP107" s="83">
        <v>1</v>
      </c>
    </row>
    <row r="108" spans="1:42">
      <c r="A108" s="62"/>
      <c r="B108" s="63" t="str">
        <f>装备!B107</f>
        <v>IT06</v>
      </c>
      <c r="C108" s="63" t="s">
        <v>36</v>
      </c>
      <c r="D108" s="63" t="s">
        <v>76</v>
      </c>
      <c r="E108" s="66"/>
      <c r="F108" s="63"/>
      <c r="G108" s="63"/>
      <c r="H108" s="63" t="str">
        <f>VLOOKUP(LEFT(RIGHT(B108,5),4),装备!B:CU,2,FALSE)</f>
        <v>境界挑战6</v>
      </c>
      <c r="I108" s="63" t="str">
        <f>VLOOKUP(B108,装备!B:CV,99,FALSE)</f>
        <v>境界挑战6</v>
      </c>
      <c r="J108" s="56" t="str">
        <f t="shared" si="36"/>
        <v>境界挑战6</v>
      </c>
      <c r="K108" s="56" t="str">
        <f t="shared" si="37"/>
        <v>境界挑战6</v>
      </c>
      <c r="L108" s="63"/>
      <c r="M108" s="65" t="str">
        <f>VLOOKUP(LEFT(RIGHT(B108,5),4),装备!B:CU,20,FALSE)</f>
        <v>ReplaceableTextures\\CommandButtons\\BTNTome.blp</v>
      </c>
      <c r="N108" s="83" t="s">
        <v>77</v>
      </c>
      <c r="O108" s="115" t="s">
        <v>836</v>
      </c>
      <c r="P108" s="63">
        <v>1</v>
      </c>
      <c r="Q108" s="63">
        <v>1</v>
      </c>
      <c r="R108" s="83" t="s">
        <v>77</v>
      </c>
      <c r="S108" s="83" t="s">
        <v>77</v>
      </c>
      <c r="T108" s="83" t="s">
        <v>77</v>
      </c>
      <c r="U108" s="83" t="s">
        <v>77</v>
      </c>
      <c r="V108" s="63"/>
      <c r="W108" s="66" t="s">
        <v>835</v>
      </c>
      <c r="X108" s="63">
        <v>6000</v>
      </c>
      <c r="Y108" s="83" t="s">
        <v>77</v>
      </c>
      <c r="Z108" s="63">
        <v>0</v>
      </c>
      <c r="AA108" s="63">
        <v>0</v>
      </c>
      <c r="AB108" s="63">
        <v>0</v>
      </c>
      <c r="AC108" s="63">
        <v>1</v>
      </c>
      <c r="AD108" s="63">
        <v>1</v>
      </c>
      <c r="AE108" s="83" t="s">
        <v>77</v>
      </c>
      <c r="AF108" s="83" t="s">
        <v>77</v>
      </c>
      <c r="AG108" s="83" t="s">
        <v>77</v>
      </c>
      <c r="AH108" s="83" t="s">
        <v>77</v>
      </c>
      <c r="AI108" s="83">
        <v>1</v>
      </c>
      <c r="AJ108" s="63"/>
      <c r="AK108" s="63">
        <v>1</v>
      </c>
      <c r="AL108" s="63">
        <v>1</v>
      </c>
      <c r="AM108" s="83" t="s">
        <v>77</v>
      </c>
      <c r="AN108" s="83">
        <v>1</v>
      </c>
      <c r="AO108" s="83">
        <v>1</v>
      </c>
      <c r="AP108" s="83">
        <v>1</v>
      </c>
    </row>
    <row r="109" spans="1:42">
      <c r="A109" s="62"/>
      <c r="B109" s="63" t="str">
        <f>装备!B108</f>
        <v>IT07</v>
      </c>
      <c r="C109" s="63" t="s">
        <v>36</v>
      </c>
      <c r="D109" s="63" t="s">
        <v>76</v>
      </c>
      <c r="E109" s="66"/>
      <c r="F109" s="63"/>
      <c r="G109" s="63"/>
      <c r="H109" s="63" t="str">
        <f>VLOOKUP(LEFT(RIGHT(B109,5),4),装备!B:CU,2,FALSE)</f>
        <v>境界挑战7</v>
      </c>
      <c r="I109" s="63" t="str">
        <f>VLOOKUP(B109,装备!B:CV,99,FALSE)</f>
        <v>境界挑战7</v>
      </c>
      <c r="J109" s="56" t="str">
        <f t="shared" si="36"/>
        <v>境界挑战7</v>
      </c>
      <c r="K109" s="56" t="str">
        <f t="shared" si="37"/>
        <v>境界挑战7</v>
      </c>
      <c r="L109" s="63"/>
      <c r="M109" s="65" t="str">
        <f>VLOOKUP(LEFT(RIGHT(B109,5),4),装备!B:CU,20,FALSE)</f>
        <v>ReplaceableTextures\\CommandButtons\\BTNTome.blp</v>
      </c>
      <c r="N109" s="83" t="s">
        <v>77</v>
      </c>
      <c r="O109" s="115" t="s">
        <v>836</v>
      </c>
      <c r="P109" s="63">
        <v>2</v>
      </c>
      <c r="Q109" s="63">
        <v>1</v>
      </c>
      <c r="R109" s="83" t="s">
        <v>77</v>
      </c>
      <c r="S109" s="83" t="s">
        <v>77</v>
      </c>
      <c r="T109" s="83" t="s">
        <v>77</v>
      </c>
      <c r="U109" s="83" t="s">
        <v>77</v>
      </c>
      <c r="V109" s="63"/>
      <c r="W109" s="66" t="s">
        <v>835</v>
      </c>
      <c r="X109" s="63">
        <v>7000</v>
      </c>
      <c r="Y109" s="83" t="s">
        <v>77</v>
      </c>
      <c r="Z109" s="63">
        <v>0</v>
      </c>
      <c r="AA109" s="63">
        <v>0</v>
      </c>
      <c r="AB109" s="63">
        <v>0</v>
      </c>
      <c r="AC109" s="63">
        <v>1</v>
      </c>
      <c r="AD109" s="63">
        <v>1</v>
      </c>
      <c r="AE109" s="83" t="s">
        <v>77</v>
      </c>
      <c r="AF109" s="83" t="s">
        <v>77</v>
      </c>
      <c r="AG109" s="83" t="s">
        <v>77</v>
      </c>
      <c r="AH109" s="83" t="s">
        <v>77</v>
      </c>
      <c r="AI109" s="83">
        <v>1</v>
      </c>
      <c r="AJ109" s="63"/>
      <c r="AK109" s="63">
        <v>1</v>
      </c>
      <c r="AL109" s="63">
        <v>1</v>
      </c>
      <c r="AM109" s="83" t="s">
        <v>77</v>
      </c>
      <c r="AN109" s="83">
        <v>1</v>
      </c>
      <c r="AO109" s="83">
        <v>1</v>
      </c>
      <c r="AP109" s="83">
        <v>1</v>
      </c>
    </row>
    <row r="110" spans="1:42">
      <c r="A110" s="62"/>
      <c r="B110" s="63" t="str">
        <f>装备!B109</f>
        <v>IT08</v>
      </c>
      <c r="C110" s="63" t="s">
        <v>36</v>
      </c>
      <c r="D110" s="63" t="s">
        <v>76</v>
      </c>
      <c r="E110" s="66"/>
      <c r="F110" s="63"/>
      <c r="G110" s="63"/>
      <c r="H110" s="63" t="str">
        <f>VLOOKUP(LEFT(RIGHT(B110,5),4),装备!B:CU,2,FALSE)</f>
        <v>境界挑战8</v>
      </c>
      <c r="I110" s="63" t="str">
        <f>VLOOKUP(B110,装备!B:CV,99,FALSE)</f>
        <v>境界挑战8</v>
      </c>
      <c r="J110" s="56" t="str">
        <f t="shared" si="36"/>
        <v>境界挑战8</v>
      </c>
      <c r="K110" s="56" t="str">
        <f t="shared" si="37"/>
        <v>境界挑战8</v>
      </c>
      <c r="L110" s="63"/>
      <c r="M110" s="65" t="str">
        <f>VLOOKUP(LEFT(RIGHT(B110,5),4),装备!B:CU,20,FALSE)</f>
        <v>ReplaceableTextures\\CommandButtons\\BTNTome.blp</v>
      </c>
      <c r="N110" s="83" t="s">
        <v>77</v>
      </c>
      <c r="O110" s="115" t="s">
        <v>836</v>
      </c>
      <c r="P110" s="63">
        <v>3</v>
      </c>
      <c r="Q110" s="63">
        <v>1</v>
      </c>
      <c r="R110" s="83" t="s">
        <v>77</v>
      </c>
      <c r="S110" s="83" t="s">
        <v>77</v>
      </c>
      <c r="T110" s="83" t="s">
        <v>77</v>
      </c>
      <c r="U110" s="83" t="s">
        <v>77</v>
      </c>
      <c r="V110" s="63"/>
      <c r="W110" s="66" t="s">
        <v>835</v>
      </c>
      <c r="X110" s="63">
        <v>8000</v>
      </c>
      <c r="Y110" s="83" t="s">
        <v>77</v>
      </c>
      <c r="Z110" s="63">
        <v>0</v>
      </c>
      <c r="AA110" s="63">
        <v>0</v>
      </c>
      <c r="AB110" s="63">
        <v>0</v>
      </c>
      <c r="AC110" s="63">
        <v>1</v>
      </c>
      <c r="AD110" s="63">
        <v>1</v>
      </c>
      <c r="AE110" s="83" t="s">
        <v>77</v>
      </c>
      <c r="AF110" s="83" t="s">
        <v>77</v>
      </c>
      <c r="AG110" s="83" t="s">
        <v>77</v>
      </c>
      <c r="AH110" s="83" t="s">
        <v>77</v>
      </c>
      <c r="AI110" s="83">
        <v>1</v>
      </c>
      <c r="AJ110" s="63"/>
      <c r="AK110" s="63">
        <v>1</v>
      </c>
      <c r="AL110" s="63">
        <v>1</v>
      </c>
      <c r="AM110" s="83" t="s">
        <v>77</v>
      </c>
      <c r="AN110" s="83">
        <v>1</v>
      </c>
      <c r="AO110" s="83">
        <v>1</v>
      </c>
      <c r="AP110" s="83">
        <v>1</v>
      </c>
    </row>
    <row r="111" spans="1:42">
      <c r="A111" s="62"/>
      <c r="B111" s="63" t="str">
        <f>装备!B110</f>
        <v>IT09</v>
      </c>
      <c r="C111" s="63" t="s">
        <v>36</v>
      </c>
      <c r="D111" s="63" t="s">
        <v>76</v>
      </c>
      <c r="E111" s="66"/>
      <c r="F111" s="63"/>
      <c r="G111" s="63"/>
      <c r="H111" s="63" t="str">
        <f>VLOOKUP(LEFT(RIGHT(B111,5),4),装备!B:CU,2,FALSE)</f>
        <v>境界挑战9</v>
      </c>
      <c r="I111" s="63" t="str">
        <f>VLOOKUP(B111,装备!B:CV,99,FALSE)</f>
        <v>境界挑战9</v>
      </c>
      <c r="J111" s="56" t="str">
        <f t="shared" si="36"/>
        <v>境界挑战9</v>
      </c>
      <c r="K111" s="56" t="str">
        <f t="shared" si="37"/>
        <v>境界挑战9</v>
      </c>
      <c r="L111" s="63"/>
      <c r="M111" s="65" t="str">
        <f>VLOOKUP(LEFT(RIGHT(B111,5),4),装备!B:CU,20,FALSE)</f>
        <v>ReplaceableTextures\\CommandButtons\\BTNTome.blp</v>
      </c>
      <c r="N111" s="83" t="s">
        <v>77</v>
      </c>
      <c r="O111" s="115" t="s">
        <v>836</v>
      </c>
      <c r="P111" s="63">
        <v>0</v>
      </c>
      <c r="Q111" s="63">
        <v>2</v>
      </c>
      <c r="R111" s="83" t="s">
        <v>77</v>
      </c>
      <c r="S111" s="83" t="s">
        <v>77</v>
      </c>
      <c r="T111" s="83" t="s">
        <v>77</v>
      </c>
      <c r="U111" s="83" t="s">
        <v>77</v>
      </c>
      <c r="V111" s="63"/>
      <c r="W111" s="66" t="s">
        <v>835</v>
      </c>
      <c r="X111" s="63">
        <v>9000</v>
      </c>
      <c r="Y111" s="83" t="s">
        <v>77</v>
      </c>
      <c r="Z111" s="63">
        <v>0</v>
      </c>
      <c r="AA111" s="63">
        <v>0</v>
      </c>
      <c r="AB111" s="63">
        <v>0</v>
      </c>
      <c r="AC111" s="63">
        <v>1</v>
      </c>
      <c r="AD111" s="63">
        <v>1</v>
      </c>
      <c r="AE111" s="83" t="s">
        <v>77</v>
      </c>
      <c r="AF111" s="83" t="s">
        <v>77</v>
      </c>
      <c r="AG111" s="83" t="s">
        <v>77</v>
      </c>
      <c r="AH111" s="83" t="s">
        <v>77</v>
      </c>
      <c r="AI111" s="83">
        <v>1</v>
      </c>
      <c r="AJ111" s="63"/>
      <c r="AK111" s="63">
        <v>1</v>
      </c>
      <c r="AL111" s="63">
        <v>1</v>
      </c>
      <c r="AM111" s="83" t="s">
        <v>77</v>
      </c>
      <c r="AN111" s="83">
        <v>1</v>
      </c>
      <c r="AO111" s="83">
        <v>1</v>
      </c>
      <c r="AP111" s="83">
        <v>1</v>
      </c>
    </row>
    <row r="112" spans="1:42">
      <c r="A112" s="62"/>
      <c r="B112" s="63" t="str">
        <f>装备!B111</f>
        <v>IT10</v>
      </c>
      <c r="C112" s="63" t="s">
        <v>36</v>
      </c>
      <c r="D112" s="63" t="s">
        <v>76</v>
      </c>
      <c r="E112" s="66"/>
      <c r="F112" s="63"/>
      <c r="G112" s="63"/>
      <c r="H112" s="63" t="str">
        <f>VLOOKUP(LEFT(RIGHT(B112,5),4),装备!B:CU,2,FALSE)</f>
        <v>境界挑战10</v>
      </c>
      <c r="I112" s="63" t="str">
        <f>VLOOKUP(B112,装备!B:CV,99,FALSE)</f>
        <v>境界挑战10</v>
      </c>
      <c r="J112" s="56" t="str">
        <f t="shared" si="36"/>
        <v>境界挑战10</v>
      </c>
      <c r="K112" s="56" t="str">
        <f t="shared" si="37"/>
        <v>境界挑战10</v>
      </c>
      <c r="L112" s="63"/>
      <c r="M112" s="65" t="str">
        <f>VLOOKUP(LEFT(RIGHT(B112,5),4),装备!B:CU,20,FALSE)</f>
        <v>ReplaceableTextures\\CommandButtons\\BTNTome.blp</v>
      </c>
      <c r="N112" s="83" t="s">
        <v>77</v>
      </c>
      <c r="O112" s="115" t="s">
        <v>836</v>
      </c>
      <c r="P112" s="63">
        <v>1</v>
      </c>
      <c r="Q112" s="63">
        <v>2</v>
      </c>
      <c r="R112" s="83" t="s">
        <v>77</v>
      </c>
      <c r="S112" s="83" t="s">
        <v>77</v>
      </c>
      <c r="T112" s="83" t="s">
        <v>77</v>
      </c>
      <c r="U112" s="83" t="s">
        <v>77</v>
      </c>
      <c r="V112" s="63"/>
      <c r="W112" s="66" t="s">
        <v>835</v>
      </c>
      <c r="X112" s="63">
        <v>10000</v>
      </c>
      <c r="Y112" s="83" t="s">
        <v>77</v>
      </c>
      <c r="Z112" s="63">
        <v>0</v>
      </c>
      <c r="AA112" s="63">
        <v>0</v>
      </c>
      <c r="AB112" s="63">
        <v>0</v>
      </c>
      <c r="AC112" s="63">
        <v>1</v>
      </c>
      <c r="AD112" s="63">
        <v>1</v>
      </c>
      <c r="AE112" s="83" t="s">
        <v>77</v>
      </c>
      <c r="AF112" s="83" t="s">
        <v>77</v>
      </c>
      <c r="AG112" s="83" t="s">
        <v>77</v>
      </c>
      <c r="AH112" s="83" t="s">
        <v>77</v>
      </c>
      <c r="AI112" s="83">
        <v>1</v>
      </c>
      <c r="AJ112" s="63"/>
      <c r="AK112" s="63">
        <v>1</v>
      </c>
      <c r="AL112" s="63">
        <v>1</v>
      </c>
      <c r="AM112" s="83" t="s">
        <v>77</v>
      </c>
      <c r="AN112" s="83">
        <v>1</v>
      </c>
      <c r="AO112" s="83">
        <v>1</v>
      </c>
      <c r="AP112" s="83">
        <v>1</v>
      </c>
    </row>
    <row r="113" spans="1:42">
      <c r="A113" s="62"/>
      <c r="B113" s="63" t="str">
        <f>装备!B112</f>
        <v>IT11</v>
      </c>
      <c r="C113" s="63" t="s">
        <v>36</v>
      </c>
      <c r="D113" s="63" t="s">
        <v>76</v>
      </c>
      <c r="E113" s="66"/>
      <c r="F113" s="63"/>
      <c r="G113" s="63"/>
      <c r="H113" s="63" t="str">
        <f>VLOOKUP(LEFT(RIGHT(B113,5),4),装备!B:CU,2,FALSE)</f>
        <v>境界挑战11</v>
      </c>
      <c r="I113" s="63" t="str">
        <f>VLOOKUP(B113,装备!B:CV,99,FALSE)</f>
        <v>境界挑战11</v>
      </c>
      <c r="J113" s="56" t="str">
        <f t="shared" ref="J113:J116" si="38">H113</f>
        <v>境界挑战11</v>
      </c>
      <c r="K113" s="56" t="str">
        <f t="shared" ref="K113:K116" si="39">I113</f>
        <v>境界挑战11</v>
      </c>
      <c r="L113" s="63"/>
      <c r="M113" s="65" t="str">
        <f>VLOOKUP(LEFT(RIGHT(B113,5),4),装备!B:CU,20,FALSE)</f>
        <v>ReplaceableTextures\\CommandButtons\\BTNTome.blp</v>
      </c>
      <c r="N113" s="83" t="s">
        <v>77</v>
      </c>
      <c r="O113" s="115" t="s">
        <v>836</v>
      </c>
      <c r="P113" s="63">
        <v>2</v>
      </c>
      <c r="Q113" s="63">
        <v>1</v>
      </c>
      <c r="R113" s="83" t="s">
        <v>77</v>
      </c>
      <c r="S113" s="83" t="s">
        <v>77</v>
      </c>
      <c r="T113" s="83" t="s">
        <v>77</v>
      </c>
      <c r="U113" s="83" t="s">
        <v>77</v>
      </c>
      <c r="V113" s="63"/>
      <c r="W113" s="66" t="s">
        <v>835</v>
      </c>
      <c r="X113" s="63">
        <v>11000</v>
      </c>
      <c r="Y113" s="83" t="s">
        <v>77</v>
      </c>
      <c r="Z113" s="63">
        <v>0</v>
      </c>
      <c r="AA113" s="63">
        <v>0</v>
      </c>
      <c r="AB113" s="63">
        <v>0</v>
      </c>
      <c r="AC113" s="63">
        <v>1</v>
      </c>
      <c r="AD113" s="63">
        <v>1</v>
      </c>
      <c r="AE113" s="83" t="s">
        <v>77</v>
      </c>
      <c r="AF113" s="83" t="s">
        <v>77</v>
      </c>
      <c r="AG113" s="83" t="s">
        <v>77</v>
      </c>
      <c r="AH113" s="83" t="s">
        <v>77</v>
      </c>
      <c r="AI113" s="83">
        <v>1</v>
      </c>
      <c r="AJ113" s="63"/>
      <c r="AK113" s="63">
        <v>1</v>
      </c>
      <c r="AL113" s="63">
        <v>1</v>
      </c>
      <c r="AM113" s="83" t="s">
        <v>77</v>
      </c>
      <c r="AN113" s="83">
        <v>1</v>
      </c>
      <c r="AO113" s="83">
        <v>1</v>
      </c>
      <c r="AP113" s="83">
        <v>1</v>
      </c>
    </row>
    <row r="114" spans="1:42">
      <c r="A114" s="62"/>
      <c r="B114" s="63" t="str">
        <f>装备!B113</f>
        <v>IT12</v>
      </c>
      <c r="C114" s="63" t="s">
        <v>36</v>
      </c>
      <c r="D114" s="63" t="s">
        <v>76</v>
      </c>
      <c r="E114" s="66"/>
      <c r="F114" s="63"/>
      <c r="G114" s="63"/>
      <c r="H114" s="63" t="str">
        <f>VLOOKUP(LEFT(RIGHT(B114,5),4),装备!B:CU,2,FALSE)</f>
        <v>境界挑战12</v>
      </c>
      <c r="I114" s="63" t="str">
        <f>VLOOKUP(B114,装备!B:CV,99,FALSE)</f>
        <v>境界挑战12</v>
      </c>
      <c r="J114" s="56" t="str">
        <f t="shared" si="38"/>
        <v>境界挑战12</v>
      </c>
      <c r="K114" s="56" t="str">
        <f t="shared" si="39"/>
        <v>境界挑战12</v>
      </c>
      <c r="L114" s="63"/>
      <c r="M114" s="65" t="str">
        <f>VLOOKUP(LEFT(RIGHT(B114,5),4),装备!B:CU,20,FALSE)</f>
        <v>ReplaceableTextures\\CommandButtons\\BTNTome.blp</v>
      </c>
      <c r="N114" s="83" t="s">
        <v>77</v>
      </c>
      <c r="O114" s="115" t="s">
        <v>836</v>
      </c>
      <c r="P114" s="63">
        <v>3</v>
      </c>
      <c r="Q114" s="63">
        <v>1</v>
      </c>
      <c r="R114" s="83" t="s">
        <v>77</v>
      </c>
      <c r="S114" s="83" t="s">
        <v>77</v>
      </c>
      <c r="T114" s="83" t="s">
        <v>77</v>
      </c>
      <c r="U114" s="83" t="s">
        <v>77</v>
      </c>
      <c r="V114" s="63"/>
      <c r="W114" s="66" t="s">
        <v>835</v>
      </c>
      <c r="X114" s="63">
        <v>12000</v>
      </c>
      <c r="Y114" s="83" t="s">
        <v>77</v>
      </c>
      <c r="Z114" s="63">
        <v>0</v>
      </c>
      <c r="AA114" s="63">
        <v>0</v>
      </c>
      <c r="AB114" s="63">
        <v>0</v>
      </c>
      <c r="AC114" s="63">
        <v>1</v>
      </c>
      <c r="AD114" s="63">
        <v>1</v>
      </c>
      <c r="AE114" s="83" t="s">
        <v>77</v>
      </c>
      <c r="AF114" s="83" t="s">
        <v>77</v>
      </c>
      <c r="AG114" s="83" t="s">
        <v>77</v>
      </c>
      <c r="AH114" s="83" t="s">
        <v>77</v>
      </c>
      <c r="AI114" s="83">
        <v>1</v>
      </c>
      <c r="AJ114" s="63"/>
      <c r="AK114" s="63">
        <v>1</v>
      </c>
      <c r="AL114" s="63">
        <v>1</v>
      </c>
      <c r="AM114" s="83" t="s">
        <v>77</v>
      </c>
      <c r="AN114" s="83">
        <v>1</v>
      </c>
      <c r="AO114" s="83">
        <v>1</v>
      </c>
      <c r="AP114" s="83">
        <v>1</v>
      </c>
    </row>
    <row r="115" spans="1:42">
      <c r="A115" s="62"/>
      <c r="B115" s="63" t="str">
        <f>装备!B114</f>
        <v>IT13</v>
      </c>
      <c r="C115" s="63" t="s">
        <v>36</v>
      </c>
      <c r="D115" s="63" t="s">
        <v>76</v>
      </c>
      <c r="E115" s="66"/>
      <c r="F115" s="63"/>
      <c r="G115" s="63"/>
      <c r="H115" s="63" t="str">
        <f>VLOOKUP(LEFT(RIGHT(B115,5),4),装备!B:CU,2,FALSE)</f>
        <v>境界挑战13</v>
      </c>
      <c r="I115" s="63" t="str">
        <f>VLOOKUP(B115,装备!B:CV,99,FALSE)</f>
        <v>境界挑战13</v>
      </c>
      <c r="J115" s="56" t="str">
        <f t="shared" si="38"/>
        <v>境界挑战13</v>
      </c>
      <c r="K115" s="56" t="str">
        <f t="shared" si="39"/>
        <v>境界挑战13</v>
      </c>
      <c r="L115" s="63"/>
      <c r="M115" s="65" t="str">
        <f>VLOOKUP(LEFT(RIGHT(B115,5),4),装备!B:CU,20,FALSE)</f>
        <v>ReplaceableTextures\\CommandButtons\\BTNTome.blp</v>
      </c>
      <c r="N115" s="83" t="s">
        <v>77</v>
      </c>
      <c r="O115" s="115" t="s">
        <v>836</v>
      </c>
      <c r="P115" s="63">
        <v>0</v>
      </c>
      <c r="Q115" s="63">
        <v>2</v>
      </c>
      <c r="R115" s="83" t="s">
        <v>77</v>
      </c>
      <c r="S115" s="83" t="s">
        <v>77</v>
      </c>
      <c r="T115" s="83" t="s">
        <v>77</v>
      </c>
      <c r="U115" s="83" t="s">
        <v>77</v>
      </c>
      <c r="V115" s="63"/>
      <c r="W115" s="66" t="s">
        <v>835</v>
      </c>
      <c r="X115" s="63">
        <v>13000</v>
      </c>
      <c r="Y115" s="83" t="s">
        <v>77</v>
      </c>
      <c r="Z115" s="63">
        <v>0</v>
      </c>
      <c r="AA115" s="63">
        <v>0</v>
      </c>
      <c r="AB115" s="63">
        <v>0</v>
      </c>
      <c r="AC115" s="63">
        <v>1</v>
      </c>
      <c r="AD115" s="63">
        <v>1</v>
      </c>
      <c r="AE115" s="83" t="s">
        <v>77</v>
      </c>
      <c r="AF115" s="83" t="s">
        <v>77</v>
      </c>
      <c r="AG115" s="83" t="s">
        <v>77</v>
      </c>
      <c r="AH115" s="83" t="s">
        <v>77</v>
      </c>
      <c r="AI115" s="83">
        <v>1</v>
      </c>
      <c r="AJ115" s="63"/>
      <c r="AK115" s="63">
        <v>1</v>
      </c>
      <c r="AL115" s="63">
        <v>1</v>
      </c>
      <c r="AM115" s="83" t="s">
        <v>77</v>
      </c>
      <c r="AN115" s="83">
        <v>1</v>
      </c>
      <c r="AO115" s="83">
        <v>1</v>
      </c>
      <c r="AP115" s="83">
        <v>1</v>
      </c>
    </row>
    <row r="116" spans="1:42">
      <c r="A116" s="62"/>
      <c r="B116" s="63" t="str">
        <f>装备!B115</f>
        <v>IT14</v>
      </c>
      <c r="C116" s="63" t="s">
        <v>36</v>
      </c>
      <c r="D116" s="63" t="s">
        <v>76</v>
      </c>
      <c r="E116" s="66"/>
      <c r="F116" s="63"/>
      <c r="G116" s="63"/>
      <c r="H116" s="63" t="str">
        <f>VLOOKUP(LEFT(RIGHT(B116,5),4),装备!B:CU,2,FALSE)</f>
        <v>境界挑战14</v>
      </c>
      <c r="I116" s="63" t="str">
        <f>VLOOKUP(B116,装备!B:CV,99,FALSE)</f>
        <v>境界挑战14</v>
      </c>
      <c r="J116" s="56" t="str">
        <f t="shared" si="38"/>
        <v>境界挑战14</v>
      </c>
      <c r="K116" s="56" t="str">
        <f t="shared" si="39"/>
        <v>境界挑战14</v>
      </c>
      <c r="L116" s="63"/>
      <c r="M116" s="65" t="str">
        <f>VLOOKUP(LEFT(RIGHT(B116,5),4),装备!B:CU,20,FALSE)</f>
        <v>ReplaceableTextures\\CommandButtons\\BTNTome.blp</v>
      </c>
      <c r="N116" s="83" t="s">
        <v>77</v>
      </c>
      <c r="O116" s="115" t="s">
        <v>836</v>
      </c>
      <c r="P116" s="63">
        <v>1</v>
      </c>
      <c r="Q116" s="63">
        <v>2</v>
      </c>
      <c r="R116" s="83" t="s">
        <v>77</v>
      </c>
      <c r="S116" s="83" t="s">
        <v>77</v>
      </c>
      <c r="T116" s="83" t="s">
        <v>77</v>
      </c>
      <c r="U116" s="83" t="s">
        <v>77</v>
      </c>
      <c r="V116" s="63"/>
      <c r="W116" s="66" t="s">
        <v>835</v>
      </c>
      <c r="X116" s="63">
        <v>14000</v>
      </c>
      <c r="Y116" s="83" t="s">
        <v>77</v>
      </c>
      <c r="Z116" s="63">
        <v>0</v>
      </c>
      <c r="AA116" s="63">
        <v>0</v>
      </c>
      <c r="AB116" s="63">
        <v>0</v>
      </c>
      <c r="AC116" s="63">
        <v>1</v>
      </c>
      <c r="AD116" s="63">
        <v>1</v>
      </c>
      <c r="AE116" s="83" t="s">
        <v>77</v>
      </c>
      <c r="AF116" s="83" t="s">
        <v>77</v>
      </c>
      <c r="AG116" s="83" t="s">
        <v>77</v>
      </c>
      <c r="AH116" s="83" t="s">
        <v>77</v>
      </c>
      <c r="AI116" s="83">
        <v>1</v>
      </c>
      <c r="AJ116" s="63"/>
      <c r="AK116" s="63">
        <v>1</v>
      </c>
      <c r="AL116" s="63">
        <v>1</v>
      </c>
      <c r="AM116" s="83" t="s">
        <v>77</v>
      </c>
      <c r="AN116" s="83">
        <v>1</v>
      </c>
      <c r="AO116" s="83">
        <v>1</v>
      </c>
      <c r="AP116" s="83">
        <v>1</v>
      </c>
    </row>
    <row r="117" spans="1:42">
      <c r="A117" s="62"/>
      <c r="B117" s="63" t="str">
        <f>装备!B116</f>
        <v>IS01</v>
      </c>
      <c r="C117" s="63" t="s">
        <v>36</v>
      </c>
      <c r="D117" s="63" t="s">
        <v>76</v>
      </c>
      <c r="E117" s="66"/>
      <c r="F117" s="63"/>
      <c r="G117" s="63"/>
      <c r="H117" s="63" t="str">
        <f>VLOOKUP(LEFT(RIGHT(B117,5),4),装备!B:CU,2,FALSE)</f>
        <v>抽技能DC</v>
      </c>
      <c r="I117" s="63" t="str">
        <f>VLOOKUP(B117,装备!B:CV,99,FALSE)</f>
        <v>抽技能DC</v>
      </c>
      <c r="J117" s="56" t="str">
        <f t="shared" si="36"/>
        <v>抽技能DC</v>
      </c>
      <c r="K117" s="56" t="str">
        <f t="shared" si="37"/>
        <v>抽技能DC</v>
      </c>
      <c r="L117" s="63"/>
      <c r="M117" s="65" t="str">
        <f>VLOOKUP(LEFT(RIGHT(B117,5),4),装备!B:CU,20,FALSE)</f>
        <v>ReplaceableTextures\\CommandButtons\\BTNTome.blp</v>
      </c>
      <c r="N117" s="83" t="s">
        <v>77</v>
      </c>
      <c r="O117" s="115" t="s">
        <v>836</v>
      </c>
      <c r="P117" s="63">
        <v>0</v>
      </c>
      <c r="Q117" s="63">
        <v>0</v>
      </c>
      <c r="R117" s="83" t="s">
        <v>77</v>
      </c>
      <c r="S117" s="83" t="s">
        <v>77</v>
      </c>
      <c r="T117" s="83" t="s">
        <v>77</v>
      </c>
      <c r="U117" s="83" t="s">
        <v>77</v>
      </c>
      <c r="V117" s="63"/>
      <c r="W117" s="66" t="s">
        <v>835</v>
      </c>
      <c r="X117" s="63">
        <v>0</v>
      </c>
      <c r="Y117" s="83" t="s">
        <v>77</v>
      </c>
      <c r="Z117" s="63">
        <v>0</v>
      </c>
      <c r="AA117" s="63">
        <v>0</v>
      </c>
      <c r="AB117" s="63">
        <v>0</v>
      </c>
      <c r="AC117" s="63">
        <v>1</v>
      </c>
      <c r="AD117" s="63">
        <v>1</v>
      </c>
      <c r="AE117" s="83" t="s">
        <v>77</v>
      </c>
      <c r="AF117" s="83" t="s">
        <v>77</v>
      </c>
      <c r="AG117" s="83" t="s">
        <v>77</v>
      </c>
      <c r="AH117" s="83" t="s">
        <v>77</v>
      </c>
      <c r="AI117" s="83">
        <v>1</v>
      </c>
      <c r="AJ117" s="63"/>
      <c r="AK117" s="63">
        <v>1</v>
      </c>
      <c r="AL117" s="63">
        <v>1</v>
      </c>
      <c r="AM117" s="83" t="s">
        <v>77</v>
      </c>
      <c r="AN117" s="83">
        <v>1</v>
      </c>
      <c r="AO117" s="83">
        <v>1</v>
      </c>
      <c r="AP117" s="83">
        <v>1</v>
      </c>
    </row>
    <row r="118" spans="1:42">
      <c r="A118" s="62"/>
      <c r="B118" s="63" t="str">
        <f>装备!B117</f>
        <v>IS02</v>
      </c>
      <c r="C118" s="63" t="s">
        <v>36</v>
      </c>
      <c r="D118" s="63" t="s">
        <v>76</v>
      </c>
      <c r="E118" s="66"/>
      <c r="F118" s="63"/>
      <c r="G118" s="63"/>
      <c r="H118" s="63" t="str">
        <f>VLOOKUP(LEFT(RIGHT(B118,5),4),装备!B:CU,2,FALSE)</f>
        <v>抽技能B</v>
      </c>
      <c r="I118" s="63" t="str">
        <f>VLOOKUP(B118,装备!B:CV,99,FALSE)</f>
        <v>抽技能B</v>
      </c>
      <c r="J118" s="56" t="str">
        <f t="shared" si="36"/>
        <v>抽技能B</v>
      </c>
      <c r="K118" s="56" t="str">
        <f t="shared" si="37"/>
        <v>抽技能B</v>
      </c>
      <c r="L118" s="63"/>
      <c r="M118" s="65" t="str">
        <f>VLOOKUP(LEFT(RIGHT(B118,5),4),装备!B:CU,20,FALSE)</f>
        <v>ReplaceableTextures\\CommandButtons\\BTNTome.blp</v>
      </c>
      <c r="N118" s="83" t="s">
        <v>77</v>
      </c>
      <c r="O118" s="115" t="s">
        <v>836</v>
      </c>
      <c r="P118" s="63">
        <v>1</v>
      </c>
      <c r="Q118" s="63">
        <v>0</v>
      </c>
      <c r="R118" s="83" t="s">
        <v>77</v>
      </c>
      <c r="S118" s="83" t="s">
        <v>77</v>
      </c>
      <c r="T118" s="83" t="s">
        <v>77</v>
      </c>
      <c r="U118" s="83" t="s">
        <v>77</v>
      </c>
      <c r="V118" s="63"/>
      <c r="W118" s="66" t="s">
        <v>835</v>
      </c>
      <c r="X118" s="63">
        <v>0</v>
      </c>
      <c r="Y118" s="83" t="s">
        <v>77</v>
      </c>
      <c r="Z118" s="63">
        <v>0</v>
      </c>
      <c r="AA118" s="63">
        <v>0</v>
      </c>
      <c r="AB118" s="63">
        <v>0</v>
      </c>
      <c r="AC118" s="63">
        <v>1</v>
      </c>
      <c r="AD118" s="63">
        <v>1</v>
      </c>
      <c r="AE118" s="83" t="s">
        <v>77</v>
      </c>
      <c r="AF118" s="83" t="s">
        <v>77</v>
      </c>
      <c r="AG118" s="83" t="s">
        <v>77</v>
      </c>
      <c r="AH118" s="83" t="s">
        <v>77</v>
      </c>
      <c r="AI118" s="83">
        <v>1</v>
      </c>
      <c r="AJ118" s="63"/>
      <c r="AK118" s="63">
        <v>1</v>
      </c>
      <c r="AL118" s="63">
        <v>1</v>
      </c>
      <c r="AM118" s="83" t="s">
        <v>77</v>
      </c>
      <c r="AN118" s="83">
        <v>1</v>
      </c>
      <c r="AO118" s="83">
        <v>1</v>
      </c>
      <c r="AP118" s="83">
        <v>1</v>
      </c>
    </row>
    <row r="119" spans="1:42">
      <c r="A119" s="62"/>
      <c r="B119" s="63" t="str">
        <f>装备!B118</f>
        <v>IS03</v>
      </c>
      <c r="C119" s="63" t="s">
        <v>36</v>
      </c>
      <c r="D119" s="63" t="s">
        <v>76</v>
      </c>
      <c r="E119" s="66"/>
      <c r="F119" s="63"/>
      <c r="G119" s="63"/>
      <c r="H119" s="63" t="str">
        <f>VLOOKUP(LEFT(RIGHT(B119,5),4),装备!B:CU,2,FALSE)</f>
        <v>抽技能A</v>
      </c>
      <c r="I119" s="63" t="str">
        <f>VLOOKUP(B119,装备!B:CV,99,FALSE)</f>
        <v>抽技能A</v>
      </c>
      <c r="J119" s="56" t="str">
        <f t="shared" si="36"/>
        <v>抽技能A</v>
      </c>
      <c r="K119" s="56" t="str">
        <f t="shared" si="37"/>
        <v>抽技能A</v>
      </c>
      <c r="L119" s="63"/>
      <c r="M119" s="65" t="str">
        <f>VLOOKUP(LEFT(RIGHT(B119,5),4),装备!B:CU,20,FALSE)</f>
        <v>ReplaceableTextures\\CommandButtons\\BTNTome.blp</v>
      </c>
      <c r="N119" s="83" t="s">
        <v>77</v>
      </c>
      <c r="O119" s="115" t="s">
        <v>836</v>
      </c>
      <c r="P119" s="63">
        <v>2</v>
      </c>
      <c r="Q119" s="63">
        <v>0</v>
      </c>
      <c r="R119" s="83" t="s">
        <v>77</v>
      </c>
      <c r="S119" s="83" t="s">
        <v>77</v>
      </c>
      <c r="T119" s="83" t="s">
        <v>77</v>
      </c>
      <c r="U119" s="83" t="s">
        <v>77</v>
      </c>
      <c r="V119" s="63"/>
      <c r="W119" s="66" t="s">
        <v>835</v>
      </c>
      <c r="X119" s="63">
        <v>0</v>
      </c>
      <c r="Y119" s="83" t="s">
        <v>77</v>
      </c>
      <c r="Z119" s="63">
        <v>0</v>
      </c>
      <c r="AA119" s="63">
        <v>0</v>
      </c>
      <c r="AB119" s="63">
        <v>0</v>
      </c>
      <c r="AC119" s="63">
        <v>1</v>
      </c>
      <c r="AD119" s="63">
        <v>1</v>
      </c>
      <c r="AE119" s="83" t="s">
        <v>77</v>
      </c>
      <c r="AF119" s="83" t="s">
        <v>77</v>
      </c>
      <c r="AG119" s="83" t="s">
        <v>77</v>
      </c>
      <c r="AH119" s="83" t="s">
        <v>77</v>
      </c>
      <c r="AI119" s="83">
        <v>1</v>
      </c>
      <c r="AJ119" s="63"/>
      <c r="AK119" s="63">
        <v>1</v>
      </c>
      <c r="AL119" s="63">
        <v>1</v>
      </c>
      <c r="AM119" s="83" t="s">
        <v>77</v>
      </c>
      <c r="AN119" s="83">
        <v>1</v>
      </c>
      <c r="AO119" s="83">
        <v>1</v>
      </c>
      <c r="AP119" s="83">
        <v>1</v>
      </c>
    </row>
    <row r="120" spans="1:42">
      <c r="A120" s="62"/>
      <c r="B120" s="63" t="str">
        <f>装备!B119</f>
        <v>IS04</v>
      </c>
      <c r="C120" s="63" t="s">
        <v>36</v>
      </c>
      <c r="D120" s="63" t="s">
        <v>76</v>
      </c>
      <c r="E120" s="66"/>
      <c r="F120" s="63"/>
      <c r="G120" s="63"/>
      <c r="H120" s="63" t="str">
        <f>VLOOKUP(LEFT(RIGHT(B120,5),4),装备!B:CU,2,FALSE)</f>
        <v>抽技能S</v>
      </c>
      <c r="I120" s="63" t="str">
        <f>VLOOKUP(B120,装备!B:CV,99,FALSE)</f>
        <v>抽技能S</v>
      </c>
      <c r="J120" s="56" t="str">
        <f t="shared" si="36"/>
        <v>抽技能S</v>
      </c>
      <c r="K120" s="56" t="str">
        <f t="shared" si="37"/>
        <v>抽技能S</v>
      </c>
      <c r="L120" s="63"/>
      <c r="M120" s="65" t="str">
        <f>VLOOKUP(LEFT(RIGHT(B120,5),4),装备!B:CU,20,FALSE)</f>
        <v>ReplaceableTextures\\CommandButtons\\BTNTome.blp</v>
      </c>
      <c r="N120" s="83" t="s">
        <v>77</v>
      </c>
      <c r="O120" s="115" t="s">
        <v>836</v>
      </c>
      <c r="P120" s="63">
        <v>3</v>
      </c>
      <c r="Q120" s="63">
        <v>0</v>
      </c>
      <c r="R120" s="83" t="s">
        <v>77</v>
      </c>
      <c r="S120" s="83" t="s">
        <v>77</v>
      </c>
      <c r="T120" s="83" t="s">
        <v>77</v>
      </c>
      <c r="U120" s="83" t="s">
        <v>77</v>
      </c>
      <c r="V120" s="63"/>
      <c r="W120" s="66" t="s">
        <v>835</v>
      </c>
      <c r="X120" s="63">
        <v>0</v>
      </c>
      <c r="Y120" s="83" t="s">
        <v>77</v>
      </c>
      <c r="Z120" s="63">
        <v>0</v>
      </c>
      <c r="AA120" s="63">
        <v>0</v>
      </c>
      <c r="AB120" s="63">
        <v>0</v>
      </c>
      <c r="AC120" s="63">
        <v>1</v>
      </c>
      <c r="AD120" s="63">
        <v>1</v>
      </c>
      <c r="AE120" s="83" t="s">
        <v>77</v>
      </c>
      <c r="AF120" s="83" t="s">
        <v>77</v>
      </c>
      <c r="AG120" s="83" t="s">
        <v>77</v>
      </c>
      <c r="AH120" s="83" t="s">
        <v>77</v>
      </c>
      <c r="AI120" s="83">
        <v>1</v>
      </c>
      <c r="AJ120" s="63"/>
      <c r="AK120" s="63">
        <v>1</v>
      </c>
      <c r="AL120" s="63">
        <v>1</v>
      </c>
      <c r="AM120" s="83" t="s">
        <v>77</v>
      </c>
      <c r="AN120" s="83">
        <v>1</v>
      </c>
      <c r="AO120" s="83">
        <v>1</v>
      </c>
      <c r="AP120" s="83">
        <v>1</v>
      </c>
    </row>
    <row r="121" spans="1:42">
      <c r="A121" s="62"/>
      <c r="B121" s="63" t="str">
        <f>装备!B121</f>
        <v>IH00</v>
      </c>
      <c r="C121" s="63" t="s">
        <v>36</v>
      </c>
      <c r="D121" s="63" t="s">
        <v>76</v>
      </c>
      <c r="E121" s="66"/>
      <c r="F121" s="63"/>
      <c r="G121" s="63"/>
      <c r="H121" s="63" t="str">
        <f>VLOOKUP(LEFT(RIGHT(B121,5),4),装备!B:CU,2,FALSE)</f>
        <v>觉醒兽魂</v>
      </c>
      <c r="I121" s="63" t="str">
        <f>VLOOKUP(B121,装备!B:CV,99,FALSE)</f>
        <v>觉醒兽魂</v>
      </c>
      <c r="J121" s="56" t="str">
        <f t="shared" si="36"/>
        <v>觉醒兽魂</v>
      </c>
      <c r="K121" s="56" t="str">
        <f t="shared" si="37"/>
        <v>觉醒兽魂</v>
      </c>
      <c r="L121" s="63"/>
      <c r="M121" s="65" t="str">
        <f>VLOOKUP(LEFT(RIGHT(B121,5),4),装备!B:CU,20,FALSE)</f>
        <v>ReplaceableTextures\\CommandButtons\\BTNTome.blp</v>
      </c>
      <c r="N121" s="83" t="s">
        <v>77</v>
      </c>
      <c r="O121" s="115" t="s">
        <v>836</v>
      </c>
      <c r="P121" s="63">
        <v>3</v>
      </c>
      <c r="Q121" s="63">
        <v>2</v>
      </c>
      <c r="R121" s="83" t="s">
        <v>77</v>
      </c>
      <c r="S121" s="83" t="s">
        <v>77</v>
      </c>
      <c r="T121" s="83" t="s">
        <v>77</v>
      </c>
      <c r="U121" s="83" t="s">
        <v>77</v>
      </c>
      <c r="V121" s="63"/>
      <c r="W121" s="66" t="s">
        <v>835</v>
      </c>
      <c r="X121" s="63">
        <v>0</v>
      </c>
      <c r="Y121" s="83" t="s">
        <v>77</v>
      </c>
      <c r="Z121" s="63">
        <v>0</v>
      </c>
      <c r="AA121" s="63">
        <v>0</v>
      </c>
      <c r="AB121" s="63">
        <v>0</v>
      </c>
      <c r="AC121" s="63">
        <v>1</v>
      </c>
      <c r="AD121" s="63">
        <v>1</v>
      </c>
      <c r="AE121" s="83" t="s">
        <v>77</v>
      </c>
      <c r="AF121" s="83" t="s">
        <v>77</v>
      </c>
      <c r="AG121" s="83" t="s">
        <v>77</v>
      </c>
      <c r="AH121" s="83" t="s">
        <v>77</v>
      </c>
      <c r="AI121" s="83">
        <v>1</v>
      </c>
      <c r="AJ121" s="63"/>
      <c r="AK121" s="63">
        <v>1</v>
      </c>
      <c r="AL121" s="63">
        <v>1</v>
      </c>
      <c r="AM121" s="83" t="s">
        <v>77</v>
      </c>
      <c r="AN121" s="83">
        <v>1</v>
      </c>
      <c r="AO121" s="83">
        <v>1</v>
      </c>
      <c r="AP121" s="83">
        <v>1</v>
      </c>
    </row>
    <row r="122" spans="1:42">
      <c r="A122" s="62"/>
      <c r="B122" s="63" t="str">
        <f>装备!B122</f>
        <v>IH01</v>
      </c>
      <c r="C122" s="63" t="s">
        <v>36</v>
      </c>
      <c r="D122" s="63" t="s">
        <v>76</v>
      </c>
      <c r="E122" s="66"/>
      <c r="F122" s="63"/>
      <c r="G122" s="63"/>
      <c r="H122" s="63" t="str">
        <f>VLOOKUP(LEFT(RIGHT(B122,5),4),装备!B:CU,2,FALSE)</f>
        <v>兽魂1</v>
      </c>
      <c r="I122" s="63" t="str">
        <f>VLOOKUP(B122,装备!B:CV,99,FALSE)</f>
        <v>觉醒兽魂</v>
      </c>
      <c r="J122" s="56" t="str">
        <f t="shared" si="36"/>
        <v>兽魂1</v>
      </c>
      <c r="K122" s="56" t="str">
        <f t="shared" si="37"/>
        <v>觉醒兽魂</v>
      </c>
      <c r="L122" s="63"/>
      <c r="M122" s="65" t="str">
        <f>VLOOKUP(LEFT(RIGHT(B122,5),4),装备!B:CU,20,FALSE)</f>
        <v>ReplaceableTextures\\CommandButtons\\BTNTome.blp</v>
      </c>
      <c r="N122" s="83" t="s">
        <v>77</v>
      </c>
      <c r="O122" s="115" t="s">
        <v>836</v>
      </c>
      <c r="P122" s="63">
        <v>0</v>
      </c>
      <c r="Q122" s="63">
        <v>0</v>
      </c>
      <c r="R122" s="83" t="s">
        <v>77</v>
      </c>
      <c r="S122" s="83" t="s">
        <v>77</v>
      </c>
      <c r="T122" s="83" t="s">
        <v>77</v>
      </c>
      <c r="U122" s="83" t="s">
        <v>77</v>
      </c>
      <c r="V122" s="63"/>
      <c r="W122" s="66" t="s">
        <v>835</v>
      </c>
      <c r="X122" s="63">
        <v>0</v>
      </c>
      <c r="Y122" s="83" t="s">
        <v>77</v>
      </c>
      <c r="Z122" s="63">
        <v>0</v>
      </c>
      <c r="AA122" s="63">
        <v>0</v>
      </c>
      <c r="AB122" s="63">
        <v>0</v>
      </c>
      <c r="AC122" s="63">
        <v>1</v>
      </c>
      <c r="AD122" s="63">
        <v>1</v>
      </c>
      <c r="AE122" s="83" t="s">
        <v>77</v>
      </c>
      <c r="AF122" s="83" t="s">
        <v>77</v>
      </c>
      <c r="AG122" s="83" t="s">
        <v>77</v>
      </c>
      <c r="AH122" s="83" t="s">
        <v>77</v>
      </c>
      <c r="AI122" s="83">
        <v>1</v>
      </c>
      <c r="AJ122" s="63"/>
      <c r="AK122" s="63">
        <v>1</v>
      </c>
      <c r="AL122" s="63">
        <v>1</v>
      </c>
      <c r="AM122" s="83" t="s">
        <v>77</v>
      </c>
      <c r="AN122" s="83">
        <v>1</v>
      </c>
      <c r="AO122" s="83">
        <v>1</v>
      </c>
      <c r="AP122" s="83">
        <v>1</v>
      </c>
    </row>
    <row r="123" spans="1:42">
      <c r="A123" s="62"/>
      <c r="B123" s="63" t="str">
        <f>装备!B123</f>
        <v>IH02</v>
      </c>
      <c r="C123" s="63" t="s">
        <v>36</v>
      </c>
      <c r="D123" s="63" t="s">
        <v>76</v>
      </c>
      <c r="E123" s="66"/>
      <c r="F123" s="63"/>
      <c r="G123" s="63"/>
      <c r="H123" s="63" t="str">
        <f>VLOOKUP(LEFT(RIGHT(B123,5),4),装备!B:CU,2,FALSE)</f>
        <v>兽魂2</v>
      </c>
      <c r="I123" s="63" t="str">
        <f>VLOOKUP(B123,装备!B:CV,99,FALSE)</f>
        <v>觉醒兽魂</v>
      </c>
      <c r="J123" s="56" t="str">
        <f t="shared" si="36"/>
        <v>兽魂2</v>
      </c>
      <c r="K123" s="56" t="str">
        <f t="shared" si="37"/>
        <v>觉醒兽魂</v>
      </c>
      <c r="L123" s="63"/>
      <c r="M123" s="65" t="str">
        <f>VLOOKUP(LEFT(RIGHT(B123,5),4),装备!B:CU,20,FALSE)</f>
        <v>ReplaceableTextures\\CommandButtons\\BTNTome.blp</v>
      </c>
      <c r="N123" s="83" t="s">
        <v>77</v>
      </c>
      <c r="O123" s="115" t="s">
        <v>836</v>
      </c>
      <c r="P123" s="63">
        <v>1</v>
      </c>
      <c r="Q123" s="63">
        <v>0</v>
      </c>
      <c r="R123" s="83" t="s">
        <v>77</v>
      </c>
      <c r="S123" s="83" t="s">
        <v>77</v>
      </c>
      <c r="T123" s="83" t="s">
        <v>77</v>
      </c>
      <c r="U123" s="83" t="s">
        <v>77</v>
      </c>
      <c r="V123" s="63"/>
      <c r="W123" s="66" t="s">
        <v>835</v>
      </c>
      <c r="X123" s="63">
        <v>0</v>
      </c>
      <c r="Y123" s="83" t="s">
        <v>77</v>
      </c>
      <c r="Z123" s="63">
        <v>0</v>
      </c>
      <c r="AA123" s="63">
        <v>0</v>
      </c>
      <c r="AB123" s="63">
        <v>0</v>
      </c>
      <c r="AC123" s="63">
        <v>1</v>
      </c>
      <c r="AD123" s="63">
        <v>1</v>
      </c>
      <c r="AE123" s="83" t="s">
        <v>77</v>
      </c>
      <c r="AF123" s="83" t="s">
        <v>77</v>
      </c>
      <c r="AG123" s="83" t="s">
        <v>77</v>
      </c>
      <c r="AH123" s="83" t="s">
        <v>77</v>
      </c>
      <c r="AI123" s="83">
        <v>1</v>
      </c>
      <c r="AJ123" s="63"/>
      <c r="AK123" s="63">
        <v>1</v>
      </c>
      <c r="AL123" s="63">
        <v>1</v>
      </c>
      <c r="AM123" s="83" t="s">
        <v>77</v>
      </c>
      <c r="AN123" s="83">
        <v>1</v>
      </c>
      <c r="AO123" s="83">
        <v>1</v>
      </c>
      <c r="AP123" s="83">
        <v>1</v>
      </c>
    </row>
    <row r="124" spans="1:42">
      <c r="A124" s="62"/>
      <c r="B124" s="63" t="str">
        <f>装备!B124</f>
        <v>IH03</v>
      </c>
      <c r="C124" s="63" t="s">
        <v>36</v>
      </c>
      <c r="D124" s="63" t="s">
        <v>76</v>
      </c>
      <c r="E124" s="66"/>
      <c r="F124" s="63"/>
      <c r="G124" s="63"/>
      <c r="H124" s="63" t="str">
        <f>VLOOKUP(LEFT(RIGHT(B124,5),4),装备!B:CU,2,FALSE)</f>
        <v>兽魂3</v>
      </c>
      <c r="I124" s="63" t="str">
        <f>VLOOKUP(B124,装备!B:CV,99,FALSE)</f>
        <v>觉醒兽魂</v>
      </c>
      <c r="J124" s="56" t="str">
        <f t="shared" si="36"/>
        <v>兽魂3</v>
      </c>
      <c r="K124" s="56" t="str">
        <f t="shared" si="37"/>
        <v>觉醒兽魂</v>
      </c>
      <c r="L124" s="63"/>
      <c r="M124" s="65" t="str">
        <f>VLOOKUP(LEFT(RIGHT(B124,5),4),装备!B:CU,20,FALSE)</f>
        <v>ReplaceableTextures\\CommandButtons\\BTNTome.blp</v>
      </c>
      <c r="N124" s="83" t="s">
        <v>77</v>
      </c>
      <c r="O124" s="115" t="s">
        <v>836</v>
      </c>
      <c r="P124" s="63">
        <v>2</v>
      </c>
      <c r="Q124" s="63">
        <v>0</v>
      </c>
      <c r="R124" s="83" t="s">
        <v>77</v>
      </c>
      <c r="S124" s="83" t="s">
        <v>77</v>
      </c>
      <c r="T124" s="83" t="s">
        <v>77</v>
      </c>
      <c r="U124" s="83" t="s">
        <v>77</v>
      </c>
      <c r="V124" s="63"/>
      <c r="W124" s="66" t="s">
        <v>835</v>
      </c>
      <c r="X124" s="63">
        <v>0</v>
      </c>
      <c r="Y124" s="83" t="s">
        <v>77</v>
      </c>
      <c r="Z124" s="63">
        <v>0</v>
      </c>
      <c r="AA124" s="63">
        <v>0</v>
      </c>
      <c r="AB124" s="63">
        <v>0</v>
      </c>
      <c r="AC124" s="63">
        <v>1</v>
      </c>
      <c r="AD124" s="63">
        <v>1</v>
      </c>
      <c r="AE124" s="83" t="s">
        <v>77</v>
      </c>
      <c r="AF124" s="83" t="s">
        <v>77</v>
      </c>
      <c r="AG124" s="83" t="s">
        <v>77</v>
      </c>
      <c r="AH124" s="83" t="s">
        <v>77</v>
      </c>
      <c r="AI124" s="83">
        <v>1</v>
      </c>
      <c r="AJ124" s="63"/>
      <c r="AK124" s="63">
        <v>1</v>
      </c>
      <c r="AL124" s="63">
        <v>1</v>
      </c>
      <c r="AM124" s="83" t="s">
        <v>77</v>
      </c>
      <c r="AN124" s="83">
        <v>1</v>
      </c>
      <c r="AO124" s="83">
        <v>1</v>
      </c>
      <c r="AP124" s="83">
        <v>1</v>
      </c>
    </row>
    <row r="125" spans="1:42">
      <c r="A125" s="62"/>
      <c r="B125" s="63" t="str">
        <f>装备!B125</f>
        <v>IH04</v>
      </c>
      <c r="C125" s="63" t="s">
        <v>36</v>
      </c>
      <c r="D125" s="63" t="s">
        <v>76</v>
      </c>
      <c r="E125" s="66"/>
      <c r="F125" s="63"/>
      <c r="G125" s="63"/>
      <c r="H125" s="63" t="str">
        <f>VLOOKUP(LEFT(RIGHT(B125,5),4),装备!B:CU,2,FALSE)</f>
        <v>兽魂4</v>
      </c>
      <c r="I125" s="63" t="str">
        <f>VLOOKUP(B125,装备!B:CV,99,FALSE)</f>
        <v>觉醒兽魂</v>
      </c>
      <c r="J125" s="56" t="str">
        <f t="shared" si="36"/>
        <v>兽魂4</v>
      </c>
      <c r="K125" s="56" t="str">
        <f t="shared" si="37"/>
        <v>觉醒兽魂</v>
      </c>
      <c r="L125" s="63"/>
      <c r="M125" s="65" t="str">
        <f>VLOOKUP(LEFT(RIGHT(B125,5),4),装备!B:CU,20,FALSE)</f>
        <v>ReplaceableTextures\\CommandButtons\\BTNTome.blp</v>
      </c>
      <c r="N125" s="83" t="s">
        <v>77</v>
      </c>
      <c r="O125" s="115" t="s">
        <v>836</v>
      </c>
      <c r="P125" s="63">
        <v>3</v>
      </c>
      <c r="Q125" s="63">
        <v>0</v>
      </c>
      <c r="R125" s="83" t="s">
        <v>77</v>
      </c>
      <c r="S125" s="83" t="s">
        <v>77</v>
      </c>
      <c r="T125" s="83" t="s">
        <v>77</v>
      </c>
      <c r="U125" s="83" t="s">
        <v>77</v>
      </c>
      <c r="V125" s="63"/>
      <c r="W125" s="66" t="s">
        <v>835</v>
      </c>
      <c r="X125" s="63">
        <v>0</v>
      </c>
      <c r="Y125" s="83" t="s">
        <v>77</v>
      </c>
      <c r="Z125" s="63">
        <v>0</v>
      </c>
      <c r="AA125" s="63">
        <v>0</v>
      </c>
      <c r="AB125" s="63">
        <v>0</v>
      </c>
      <c r="AC125" s="63">
        <v>1</v>
      </c>
      <c r="AD125" s="63">
        <v>1</v>
      </c>
      <c r="AE125" s="83" t="s">
        <v>77</v>
      </c>
      <c r="AF125" s="83" t="s">
        <v>77</v>
      </c>
      <c r="AG125" s="83" t="s">
        <v>77</v>
      </c>
      <c r="AH125" s="83" t="s">
        <v>77</v>
      </c>
      <c r="AI125" s="83">
        <v>1</v>
      </c>
      <c r="AJ125" s="63"/>
      <c r="AK125" s="63">
        <v>1</v>
      </c>
      <c r="AL125" s="63">
        <v>1</v>
      </c>
      <c r="AM125" s="83" t="s">
        <v>77</v>
      </c>
      <c r="AN125" s="83">
        <v>1</v>
      </c>
      <c r="AO125" s="83">
        <v>1</v>
      </c>
      <c r="AP125" s="83">
        <v>1</v>
      </c>
    </row>
    <row r="126" spans="1:42">
      <c r="A126" s="62"/>
      <c r="B126" s="63" t="str">
        <f>装备!B126</f>
        <v>IH05</v>
      </c>
      <c r="C126" s="63" t="s">
        <v>36</v>
      </c>
      <c r="D126" s="63" t="s">
        <v>76</v>
      </c>
      <c r="E126" s="66"/>
      <c r="F126" s="63"/>
      <c r="G126" s="63"/>
      <c r="H126" s="63" t="str">
        <f>VLOOKUP(LEFT(RIGHT(B126,5),4),装备!B:CU,2,FALSE)</f>
        <v>兽魂5</v>
      </c>
      <c r="I126" s="63" t="str">
        <f>VLOOKUP(B126,装备!B:CV,99,FALSE)</f>
        <v>觉醒兽魂</v>
      </c>
      <c r="J126" s="56" t="str">
        <f t="shared" si="36"/>
        <v>兽魂5</v>
      </c>
      <c r="K126" s="56" t="str">
        <f t="shared" si="37"/>
        <v>觉醒兽魂</v>
      </c>
      <c r="L126" s="63"/>
      <c r="M126" s="65" t="str">
        <f>VLOOKUP(LEFT(RIGHT(B126,5),4),装备!B:CU,20,FALSE)</f>
        <v>ReplaceableTextures\\CommandButtons\\BTNTome.blp</v>
      </c>
      <c r="N126" s="83" t="s">
        <v>77</v>
      </c>
      <c r="O126" s="115" t="s">
        <v>836</v>
      </c>
      <c r="P126" s="63">
        <v>0</v>
      </c>
      <c r="Q126" s="63">
        <v>1</v>
      </c>
      <c r="R126" s="83" t="s">
        <v>77</v>
      </c>
      <c r="S126" s="83" t="s">
        <v>77</v>
      </c>
      <c r="T126" s="83" t="s">
        <v>77</v>
      </c>
      <c r="U126" s="83" t="s">
        <v>77</v>
      </c>
      <c r="V126" s="63"/>
      <c r="W126" s="66" t="s">
        <v>835</v>
      </c>
      <c r="X126" s="63">
        <v>0</v>
      </c>
      <c r="Y126" s="83" t="s">
        <v>77</v>
      </c>
      <c r="Z126" s="63">
        <v>0</v>
      </c>
      <c r="AA126" s="63">
        <v>0</v>
      </c>
      <c r="AB126" s="63">
        <v>0</v>
      </c>
      <c r="AC126" s="63">
        <v>1</v>
      </c>
      <c r="AD126" s="63">
        <v>1</v>
      </c>
      <c r="AE126" s="83" t="s">
        <v>77</v>
      </c>
      <c r="AF126" s="83" t="s">
        <v>77</v>
      </c>
      <c r="AG126" s="83" t="s">
        <v>77</v>
      </c>
      <c r="AH126" s="83" t="s">
        <v>77</v>
      </c>
      <c r="AI126" s="83">
        <v>1</v>
      </c>
      <c r="AJ126" s="63"/>
      <c r="AK126" s="63">
        <v>1</v>
      </c>
      <c r="AL126" s="63">
        <v>1</v>
      </c>
      <c r="AM126" s="83" t="s">
        <v>77</v>
      </c>
      <c r="AN126" s="83">
        <v>1</v>
      </c>
      <c r="AO126" s="83">
        <v>1</v>
      </c>
      <c r="AP126" s="83">
        <v>1</v>
      </c>
    </row>
    <row r="127" spans="1:42">
      <c r="A127" s="62"/>
      <c r="B127" s="63" t="str">
        <f>装备!B127</f>
        <v>IH06</v>
      </c>
      <c r="C127" s="63" t="s">
        <v>36</v>
      </c>
      <c r="D127" s="63" t="s">
        <v>76</v>
      </c>
      <c r="E127" s="66"/>
      <c r="F127" s="63"/>
      <c r="G127" s="63"/>
      <c r="H127" s="63" t="str">
        <f>VLOOKUP(LEFT(RIGHT(B127,5),4),装备!B:CU,2,FALSE)</f>
        <v>兽魂6</v>
      </c>
      <c r="I127" s="63" t="str">
        <f>VLOOKUP(B127,装备!B:CV,99,FALSE)</f>
        <v>觉醒兽魂</v>
      </c>
      <c r="J127" s="56" t="str">
        <f t="shared" si="36"/>
        <v>兽魂6</v>
      </c>
      <c r="K127" s="56" t="str">
        <f t="shared" si="37"/>
        <v>觉醒兽魂</v>
      </c>
      <c r="L127" s="63"/>
      <c r="M127" s="65" t="str">
        <f>VLOOKUP(LEFT(RIGHT(B127,5),4),装备!B:CU,20,FALSE)</f>
        <v>ReplaceableTextures\\CommandButtons\\BTNTome.blp</v>
      </c>
      <c r="N127" s="83" t="s">
        <v>77</v>
      </c>
      <c r="O127" s="115" t="s">
        <v>836</v>
      </c>
      <c r="P127" s="63">
        <v>1</v>
      </c>
      <c r="Q127" s="63">
        <v>1</v>
      </c>
      <c r="R127" s="83" t="s">
        <v>77</v>
      </c>
      <c r="S127" s="83" t="s">
        <v>77</v>
      </c>
      <c r="T127" s="83" t="s">
        <v>77</v>
      </c>
      <c r="U127" s="83" t="s">
        <v>77</v>
      </c>
      <c r="V127" s="63"/>
      <c r="W127" s="66" t="s">
        <v>835</v>
      </c>
      <c r="X127" s="63">
        <v>0</v>
      </c>
      <c r="Y127" s="83" t="s">
        <v>77</v>
      </c>
      <c r="Z127" s="63">
        <v>0</v>
      </c>
      <c r="AA127" s="63">
        <v>0</v>
      </c>
      <c r="AB127" s="63">
        <v>0</v>
      </c>
      <c r="AC127" s="63">
        <v>1</v>
      </c>
      <c r="AD127" s="63">
        <v>1</v>
      </c>
      <c r="AE127" s="83" t="s">
        <v>77</v>
      </c>
      <c r="AF127" s="83" t="s">
        <v>77</v>
      </c>
      <c r="AG127" s="83" t="s">
        <v>77</v>
      </c>
      <c r="AH127" s="83" t="s">
        <v>77</v>
      </c>
      <c r="AI127" s="83">
        <v>1</v>
      </c>
      <c r="AJ127" s="63"/>
      <c r="AK127" s="63">
        <v>1</v>
      </c>
      <c r="AL127" s="63">
        <v>1</v>
      </c>
      <c r="AM127" s="83" t="s">
        <v>77</v>
      </c>
      <c r="AN127" s="83">
        <v>1</v>
      </c>
      <c r="AO127" s="83">
        <v>1</v>
      </c>
      <c r="AP127" s="83">
        <v>1</v>
      </c>
    </row>
    <row r="128" spans="1:42">
      <c r="A128" s="62"/>
      <c r="B128" s="63" t="str">
        <f>装备!B128</f>
        <v>IH07</v>
      </c>
      <c r="C128" s="63" t="s">
        <v>36</v>
      </c>
      <c r="D128" s="63" t="s">
        <v>76</v>
      </c>
      <c r="E128" s="66"/>
      <c r="F128" s="63"/>
      <c r="G128" s="63"/>
      <c r="H128" s="63" t="str">
        <f>VLOOKUP(LEFT(RIGHT(B128,5),4),装备!B:CU,2,FALSE)</f>
        <v>兽魂7</v>
      </c>
      <c r="I128" s="63" t="str">
        <f>VLOOKUP(B128,装备!B:CV,99,FALSE)</f>
        <v>觉醒兽魂</v>
      </c>
      <c r="J128" s="56" t="str">
        <f t="shared" si="36"/>
        <v>兽魂7</v>
      </c>
      <c r="K128" s="56" t="str">
        <f t="shared" si="37"/>
        <v>觉醒兽魂</v>
      </c>
      <c r="L128" s="63"/>
      <c r="M128" s="65" t="str">
        <f>VLOOKUP(LEFT(RIGHT(B128,5),4),装备!B:CU,20,FALSE)</f>
        <v>ReplaceableTextures\\CommandButtons\\BTNTome.blp</v>
      </c>
      <c r="N128" s="83" t="s">
        <v>77</v>
      </c>
      <c r="O128" s="115" t="s">
        <v>836</v>
      </c>
      <c r="P128" s="63">
        <v>2</v>
      </c>
      <c r="Q128" s="63">
        <v>1</v>
      </c>
      <c r="R128" s="83" t="s">
        <v>77</v>
      </c>
      <c r="S128" s="83" t="s">
        <v>77</v>
      </c>
      <c r="T128" s="83" t="s">
        <v>77</v>
      </c>
      <c r="U128" s="83" t="s">
        <v>77</v>
      </c>
      <c r="V128" s="63"/>
      <c r="W128" s="66" t="s">
        <v>835</v>
      </c>
      <c r="X128" s="63">
        <v>0</v>
      </c>
      <c r="Y128" s="83" t="s">
        <v>77</v>
      </c>
      <c r="Z128" s="63">
        <v>0</v>
      </c>
      <c r="AA128" s="63">
        <v>0</v>
      </c>
      <c r="AB128" s="63">
        <v>0</v>
      </c>
      <c r="AC128" s="63">
        <v>1</v>
      </c>
      <c r="AD128" s="63">
        <v>1</v>
      </c>
      <c r="AE128" s="83" t="s">
        <v>77</v>
      </c>
      <c r="AF128" s="83" t="s">
        <v>77</v>
      </c>
      <c r="AG128" s="83" t="s">
        <v>77</v>
      </c>
      <c r="AH128" s="83" t="s">
        <v>77</v>
      </c>
      <c r="AI128" s="83">
        <v>1</v>
      </c>
      <c r="AJ128" s="63"/>
      <c r="AK128" s="63">
        <v>1</v>
      </c>
      <c r="AL128" s="63">
        <v>1</v>
      </c>
      <c r="AM128" s="83" t="s">
        <v>77</v>
      </c>
      <c r="AN128" s="83">
        <v>1</v>
      </c>
      <c r="AO128" s="83">
        <v>1</v>
      </c>
      <c r="AP128" s="83">
        <v>1</v>
      </c>
    </row>
    <row r="129" spans="1:42">
      <c r="A129" s="62"/>
      <c r="B129" s="63" t="str">
        <f>装备!B129</f>
        <v>IH08</v>
      </c>
      <c r="C129" s="63" t="s">
        <v>36</v>
      </c>
      <c r="D129" s="63" t="s">
        <v>76</v>
      </c>
      <c r="E129" s="66"/>
      <c r="F129" s="63"/>
      <c r="G129" s="63"/>
      <c r="H129" s="63" t="str">
        <f>VLOOKUP(LEFT(RIGHT(B129,5),4),装备!B:CU,2,FALSE)</f>
        <v>兽魂8</v>
      </c>
      <c r="I129" s="63" t="str">
        <f>VLOOKUP(B129,装备!B:CV,99,FALSE)</f>
        <v>觉醒兽魂</v>
      </c>
      <c r="J129" s="56" t="str">
        <f t="shared" si="36"/>
        <v>兽魂8</v>
      </c>
      <c r="K129" s="56" t="str">
        <f t="shared" si="37"/>
        <v>觉醒兽魂</v>
      </c>
      <c r="L129" s="63"/>
      <c r="M129" s="65" t="str">
        <f>VLOOKUP(LEFT(RIGHT(B129,5),4),装备!B:CU,20,FALSE)</f>
        <v>ReplaceableTextures\\CommandButtons\\BTNTome.blp</v>
      </c>
      <c r="N129" s="83" t="s">
        <v>77</v>
      </c>
      <c r="O129" s="115" t="s">
        <v>836</v>
      </c>
      <c r="P129" s="63">
        <v>3</v>
      </c>
      <c r="Q129" s="63">
        <v>1</v>
      </c>
      <c r="R129" s="83" t="s">
        <v>77</v>
      </c>
      <c r="S129" s="83" t="s">
        <v>77</v>
      </c>
      <c r="T129" s="83" t="s">
        <v>77</v>
      </c>
      <c r="U129" s="83" t="s">
        <v>77</v>
      </c>
      <c r="V129" s="63"/>
      <c r="W129" s="66" t="s">
        <v>835</v>
      </c>
      <c r="X129" s="63">
        <v>0</v>
      </c>
      <c r="Y129" s="83" t="s">
        <v>77</v>
      </c>
      <c r="Z129" s="63">
        <v>0</v>
      </c>
      <c r="AA129" s="63">
        <v>0</v>
      </c>
      <c r="AB129" s="63">
        <v>0</v>
      </c>
      <c r="AC129" s="63">
        <v>1</v>
      </c>
      <c r="AD129" s="63">
        <v>1</v>
      </c>
      <c r="AE129" s="83" t="s">
        <v>77</v>
      </c>
      <c r="AF129" s="83" t="s">
        <v>77</v>
      </c>
      <c r="AG129" s="83" t="s">
        <v>77</v>
      </c>
      <c r="AH129" s="83" t="s">
        <v>77</v>
      </c>
      <c r="AI129" s="83">
        <v>1</v>
      </c>
      <c r="AJ129" s="63"/>
      <c r="AK129" s="63">
        <v>1</v>
      </c>
      <c r="AL129" s="63">
        <v>1</v>
      </c>
      <c r="AM129" s="83" t="s">
        <v>77</v>
      </c>
      <c r="AN129" s="83">
        <v>1</v>
      </c>
      <c r="AO129" s="83">
        <v>1</v>
      </c>
      <c r="AP129" s="83">
        <v>1</v>
      </c>
    </row>
    <row r="130" spans="1:42">
      <c r="A130" s="62"/>
      <c r="B130" s="63" t="str">
        <f>装备!B130</f>
        <v>IB01</v>
      </c>
      <c r="C130" s="63" t="s">
        <v>36</v>
      </c>
      <c r="D130" s="63" t="s">
        <v>76</v>
      </c>
      <c r="E130" s="66"/>
      <c r="F130" s="63"/>
      <c r="G130" s="63"/>
      <c r="H130" s="63" t="str">
        <f>VLOOKUP(LEFT(RIGHT(B130,5),4),装备!B:CU,2,FALSE)</f>
        <v>入群礼包</v>
      </c>
      <c r="I130" s="63" t="str">
        <f>VLOOKUP(B130,装备!B:CV,99,FALSE)</f>
        <v>入群礼包</v>
      </c>
      <c r="J130" s="56" t="str">
        <f t="shared" si="36"/>
        <v>入群礼包</v>
      </c>
      <c r="K130" s="56" t="str">
        <f t="shared" si="37"/>
        <v>入群礼包</v>
      </c>
      <c r="L130" s="63"/>
      <c r="M130" s="65" t="str">
        <f>VLOOKUP(LEFT(RIGHT(B130,5),4),装备!B:CU,20,FALSE)</f>
        <v>ReplaceableTextures\\CommandButtons\\BTNTome.blp</v>
      </c>
      <c r="N130" s="83" t="s">
        <v>77</v>
      </c>
      <c r="O130" s="115" t="s">
        <v>836</v>
      </c>
      <c r="P130" s="63">
        <v>0</v>
      </c>
      <c r="Q130" s="63">
        <v>0</v>
      </c>
      <c r="R130" s="83" t="s">
        <v>77</v>
      </c>
      <c r="S130" s="83" t="s">
        <v>77</v>
      </c>
      <c r="T130" s="83" t="s">
        <v>77</v>
      </c>
      <c r="U130" s="83" t="s">
        <v>77</v>
      </c>
      <c r="V130" s="63"/>
      <c r="W130" s="66" t="s">
        <v>835</v>
      </c>
      <c r="X130" s="63">
        <v>0</v>
      </c>
      <c r="Y130" s="83" t="s">
        <v>77</v>
      </c>
      <c r="Z130" s="63">
        <v>0</v>
      </c>
      <c r="AA130" s="63">
        <v>0</v>
      </c>
      <c r="AB130" s="63">
        <v>0</v>
      </c>
      <c r="AC130" s="63">
        <v>1</v>
      </c>
      <c r="AD130" s="63">
        <v>1</v>
      </c>
      <c r="AE130" s="83" t="s">
        <v>77</v>
      </c>
      <c r="AF130" s="83" t="s">
        <v>77</v>
      </c>
      <c r="AG130" s="83" t="s">
        <v>77</v>
      </c>
      <c r="AH130" s="83" t="s">
        <v>77</v>
      </c>
      <c r="AI130" s="83">
        <v>1</v>
      </c>
      <c r="AJ130" s="63"/>
      <c r="AK130" s="63">
        <v>1</v>
      </c>
      <c r="AL130" s="63">
        <v>1</v>
      </c>
      <c r="AM130" s="83" t="s">
        <v>77</v>
      </c>
      <c r="AN130" s="83">
        <v>1</v>
      </c>
      <c r="AO130" s="83">
        <v>1</v>
      </c>
      <c r="AP130" s="83">
        <v>1</v>
      </c>
    </row>
    <row r="131" spans="1:42">
      <c r="A131" s="62"/>
      <c r="B131" s="63" t="str">
        <f>装备!B131</f>
        <v>IB02</v>
      </c>
      <c r="C131" s="63" t="s">
        <v>36</v>
      </c>
      <c r="D131" s="63" t="s">
        <v>76</v>
      </c>
      <c r="E131" s="66"/>
      <c r="F131" s="63"/>
      <c r="G131" s="63"/>
      <c r="H131" s="63" t="str">
        <f>VLOOKUP(LEFT(RIGHT(B131,5),4),装备!B:CU,2,FALSE)</f>
        <v>公众号礼包</v>
      </c>
      <c r="I131" s="63" t="str">
        <f>VLOOKUP(B131,装备!B:CV,99,FALSE)</f>
        <v>公众号礼包</v>
      </c>
      <c r="J131" s="56" t="str">
        <f t="shared" si="36"/>
        <v>公众号礼包</v>
      </c>
      <c r="K131" s="56" t="str">
        <f t="shared" si="37"/>
        <v>公众号礼包</v>
      </c>
      <c r="L131" s="63"/>
      <c r="M131" s="65" t="str">
        <f>VLOOKUP(LEFT(RIGHT(B131,5),4),装备!B:CU,20,FALSE)</f>
        <v>ReplaceableTextures\\CommandButtons\\BTNTome.blp</v>
      </c>
      <c r="N131" s="83" t="s">
        <v>77</v>
      </c>
      <c r="O131" s="115" t="s">
        <v>836</v>
      </c>
      <c r="P131" s="63">
        <v>0</v>
      </c>
      <c r="Q131" s="63">
        <v>0</v>
      </c>
      <c r="R131" s="83" t="s">
        <v>77</v>
      </c>
      <c r="S131" s="83" t="s">
        <v>77</v>
      </c>
      <c r="T131" s="83" t="s">
        <v>77</v>
      </c>
      <c r="U131" s="83" t="s">
        <v>77</v>
      </c>
      <c r="V131" s="63"/>
      <c r="W131" s="66" t="s">
        <v>835</v>
      </c>
      <c r="X131" s="63">
        <v>0</v>
      </c>
      <c r="Y131" s="83" t="s">
        <v>77</v>
      </c>
      <c r="Z131" s="63">
        <v>0</v>
      </c>
      <c r="AA131" s="63">
        <v>0</v>
      </c>
      <c r="AB131" s="63">
        <v>0</v>
      </c>
      <c r="AC131" s="63">
        <v>1</v>
      </c>
      <c r="AD131" s="63">
        <v>1</v>
      </c>
      <c r="AE131" s="83" t="s">
        <v>77</v>
      </c>
      <c r="AF131" s="83" t="s">
        <v>77</v>
      </c>
      <c r="AG131" s="83" t="s">
        <v>77</v>
      </c>
      <c r="AH131" s="83" t="s">
        <v>77</v>
      </c>
      <c r="AI131" s="83">
        <v>1</v>
      </c>
      <c r="AJ131" s="63"/>
      <c r="AK131" s="63">
        <v>1</v>
      </c>
      <c r="AL131" s="63">
        <v>1</v>
      </c>
      <c r="AM131" s="83" t="s">
        <v>77</v>
      </c>
      <c r="AN131" s="83">
        <v>1</v>
      </c>
      <c r="AO131" s="83">
        <v>1</v>
      </c>
      <c r="AP131" s="83">
        <v>1</v>
      </c>
    </row>
    <row r="132" spans="1:42">
      <c r="A132" s="62"/>
      <c r="B132" s="63" t="str">
        <f>装备!B132</f>
        <v>IB03</v>
      </c>
      <c r="C132" s="63" t="s">
        <v>36</v>
      </c>
      <c r="D132" s="63" t="s">
        <v>76</v>
      </c>
      <c r="E132" s="66"/>
      <c r="F132" s="63"/>
      <c r="G132" s="63"/>
      <c r="H132" s="63" t="str">
        <f>VLOOKUP(LEFT(RIGHT(B132,5),4),装备!B:CU,2,FALSE)</f>
        <v>好评礼包</v>
      </c>
      <c r="I132" s="63" t="str">
        <f>VLOOKUP(B132,装备!B:CV,99,FALSE)</f>
        <v>好评礼包</v>
      </c>
      <c r="J132" s="56" t="str">
        <f t="shared" si="36"/>
        <v>好评礼包</v>
      </c>
      <c r="K132" s="56" t="str">
        <f t="shared" si="37"/>
        <v>好评礼包</v>
      </c>
      <c r="L132" s="63"/>
      <c r="M132" s="65" t="str">
        <f>VLOOKUP(LEFT(RIGHT(B132,5),4),装备!B:CU,20,FALSE)</f>
        <v>ReplaceableTextures\\CommandButtons\\BTNTome.blp</v>
      </c>
      <c r="N132" s="83" t="s">
        <v>77</v>
      </c>
      <c r="O132" s="115" t="s">
        <v>836</v>
      </c>
      <c r="P132" s="63">
        <v>0</v>
      </c>
      <c r="Q132" s="63">
        <v>0</v>
      </c>
      <c r="R132" s="83" t="s">
        <v>77</v>
      </c>
      <c r="S132" s="83" t="s">
        <v>77</v>
      </c>
      <c r="T132" s="83" t="s">
        <v>77</v>
      </c>
      <c r="U132" s="83" t="s">
        <v>77</v>
      </c>
      <c r="V132" s="63"/>
      <c r="W132" s="66" t="s">
        <v>835</v>
      </c>
      <c r="X132" s="63">
        <v>0</v>
      </c>
      <c r="Y132" s="83" t="s">
        <v>77</v>
      </c>
      <c r="Z132" s="63">
        <v>0</v>
      </c>
      <c r="AA132" s="63">
        <v>0</v>
      </c>
      <c r="AB132" s="63">
        <v>0</v>
      </c>
      <c r="AC132" s="63">
        <v>1</v>
      </c>
      <c r="AD132" s="63">
        <v>1</v>
      </c>
      <c r="AE132" s="83" t="s">
        <v>77</v>
      </c>
      <c r="AF132" s="83" t="s">
        <v>77</v>
      </c>
      <c r="AG132" s="83" t="s">
        <v>77</v>
      </c>
      <c r="AH132" s="83" t="s">
        <v>77</v>
      </c>
      <c r="AI132" s="83">
        <v>1</v>
      </c>
      <c r="AJ132" s="63"/>
      <c r="AK132" s="63">
        <v>1</v>
      </c>
      <c r="AL132" s="63">
        <v>1</v>
      </c>
      <c r="AM132" s="83" t="s">
        <v>77</v>
      </c>
      <c r="AN132" s="83">
        <v>1</v>
      </c>
      <c r="AO132" s="83">
        <v>1</v>
      </c>
      <c r="AP132" s="83">
        <v>1</v>
      </c>
    </row>
    <row r="133" spans="1:42">
      <c r="A133" s="62"/>
      <c r="B133" s="63" t="str">
        <f>装备!B133</f>
        <v>IB04</v>
      </c>
      <c r="C133" s="63" t="s">
        <v>36</v>
      </c>
      <c r="D133" s="63" t="s">
        <v>76</v>
      </c>
      <c r="E133" s="66"/>
      <c r="F133" s="63"/>
      <c r="G133" s="63"/>
      <c r="H133" s="63" t="str">
        <f>VLOOKUP(LEFT(RIGHT(B133,5),4),装备!B:CU,2,FALSE)</f>
        <v>老铁礼包</v>
      </c>
      <c r="I133" s="63" t="str">
        <f>VLOOKUP(B133,装备!B:CV,99,FALSE)</f>
        <v>老铁礼包</v>
      </c>
      <c r="J133" s="56" t="str">
        <f t="shared" si="36"/>
        <v>老铁礼包</v>
      </c>
      <c r="K133" s="56" t="str">
        <f t="shared" si="37"/>
        <v>老铁礼包</v>
      </c>
      <c r="L133" s="63"/>
      <c r="M133" s="65" t="str">
        <f>VLOOKUP(LEFT(RIGHT(B133,5),4),装备!B:CU,20,FALSE)</f>
        <v>ReplaceableTextures\\CommandButtons\\BTNTome.blp</v>
      </c>
      <c r="N133" s="83" t="s">
        <v>77</v>
      </c>
      <c r="O133" s="115" t="s">
        <v>836</v>
      </c>
      <c r="P133" s="63">
        <v>0</v>
      </c>
      <c r="Q133" s="63">
        <v>0</v>
      </c>
      <c r="R133" s="83" t="s">
        <v>77</v>
      </c>
      <c r="S133" s="83" t="s">
        <v>77</v>
      </c>
      <c r="T133" s="83" t="s">
        <v>77</v>
      </c>
      <c r="U133" s="83" t="s">
        <v>77</v>
      </c>
      <c r="V133" s="63"/>
      <c r="W133" s="66" t="s">
        <v>835</v>
      </c>
      <c r="X133" s="63">
        <v>0</v>
      </c>
      <c r="Y133" s="83" t="s">
        <v>77</v>
      </c>
      <c r="Z133" s="63">
        <v>0</v>
      </c>
      <c r="AA133" s="63">
        <v>0</v>
      </c>
      <c r="AB133" s="63">
        <v>0</v>
      </c>
      <c r="AC133" s="63">
        <v>1</v>
      </c>
      <c r="AD133" s="63">
        <v>1</v>
      </c>
      <c r="AE133" s="83" t="s">
        <v>77</v>
      </c>
      <c r="AF133" s="83" t="s">
        <v>77</v>
      </c>
      <c r="AG133" s="83" t="s">
        <v>77</v>
      </c>
      <c r="AH133" s="83" t="s">
        <v>77</v>
      </c>
      <c r="AI133" s="83">
        <v>1</v>
      </c>
      <c r="AJ133" s="63"/>
      <c r="AK133" s="63">
        <v>1</v>
      </c>
      <c r="AL133" s="63">
        <v>1</v>
      </c>
      <c r="AM133" s="83" t="s">
        <v>77</v>
      </c>
      <c r="AN133" s="83">
        <v>1</v>
      </c>
      <c r="AO133" s="83">
        <v>1</v>
      </c>
      <c r="AP133" s="83">
        <v>1</v>
      </c>
    </row>
    <row r="134" spans="1:42">
      <c r="A134" s="62"/>
      <c r="B134" s="63" t="str">
        <f>装备!B134</f>
        <v>IB05</v>
      </c>
      <c r="C134" s="63" t="s">
        <v>36</v>
      </c>
      <c r="D134" s="63" t="s">
        <v>76</v>
      </c>
      <c r="E134" s="66"/>
      <c r="F134" s="63"/>
      <c r="G134" s="63"/>
      <c r="H134" s="63" t="str">
        <f>VLOOKUP(LEFT(RIGHT(B134,5),4),装备!B:CU,2,FALSE)</f>
        <v>工会礼包</v>
      </c>
      <c r="I134" s="63" t="str">
        <f>VLOOKUP(B134,装备!B:CV,99,FALSE)</f>
        <v>工会礼包</v>
      </c>
      <c r="J134" s="56" t="str">
        <f t="shared" si="36"/>
        <v>工会礼包</v>
      </c>
      <c r="K134" s="56" t="str">
        <f t="shared" si="37"/>
        <v>工会礼包</v>
      </c>
      <c r="L134" s="63"/>
      <c r="M134" s="65" t="str">
        <f>VLOOKUP(LEFT(RIGHT(B134,5),4),装备!B:CU,20,FALSE)</f>
        <v>ReplaceableTextures\\CommandButtons\\BTNTome.blp</v>
      </c>
      <c r="N134" s="83" t="s">
        <v>77</v>
      </c>
      <c r="O134" s="115" t="s">
        <v>836</v>
      </c>
      <c r="P134" s="63">
        <v>0</v>
      </c>
      <c r="Q134" s="63">
        <v>0</v>
      </c>
      <c r="R134" s="83" t="s">
        <v>77</v>
      </c>
      <c r="S134" s="83" t="s">
        <v>77</v>
      </c>
      <c r="T134" s="83" t="s">
        <v>77</v>
      </c>
      <c r="U134" s="83" t="s">
        <v>77</v>
      </c>
      <c r="V134" s="63"/>
      <c r="W134" s="66" t="s">
        <v>835</v>
      </c>
      <c r="X134" s="63">
        <v>0</v>
      </c>
      <c r="Y134" s="83" t="s">
        <v>77</v>
      </c>
      <c r="Z134" s="63">
        <v>0</v>
      </c>
      <c r="AA134" s="63">
        <v>0</v>
      </c>
      <c r="AB134" s="63">
        <v>0</v>
      </c>
      <c r="AC134" s="63">
        <v>1</v>
      </c>
      <c r="AD134" s="63">
        <v>1</v>
      </c>
      <c r="AE134" s="83" t="s">
        <v>77</v>
      </c>
      <c r="AF134" s="83" t="s">
        <v>77</v>
      </c>
      <c r="AG134" s="83" t="s">
        <v>77</v>
      </c>
      <c r="AH134" s="83" t="s">
        <v>77</v>
      </c>
      <c r="AI134" s="83">
        <v>1</v>
      </c>
      <c r="AJ134" s="63"/>
      <c r="AK134" s="63">
        <v>1</v>
      </c>
      <c r="AL134" s="63">
        <v>1</v>
      </c>
      <c r="AM134" s="83" t="s">
        <v>77</v>
      </c>
      <c r="AN134" s="83">
        <v>1</v>
      </c>
      <c r="AO134" s="83">
        <v>1</v>
      </c>
      <c r="AP134" s="83">
        <v>1</v>
      </c>
    </row>
    <row r="135" spans="1:42">
      <c r="A135" s="62"/>
      <c r="B135" s="63"/>
      <c r="C135" s="63"/>
      <c r="D135" s="63"/>
      <c r="E135" s="66"/>
      <c r="F135" s="63"/>
      <c r="G135" s="63"/>
      <c r="H135" s="63"/>
      <c r="I135" s="63"/>
      <c r="J135" s="56"/>
      <c r="K135" s="56"/>
      <c r="L135" s="63"/>
      <c r="M135" s="65"/>
      <c r="N135" s="83"/>
      <c r="O135" s="84"/>
      <c r="P135" s="63"/>
      <c r="Q135" s="63"/>
      <c r="R135" s="83"/>
      <c r="S135" s="83"/>
      <c r="T135" s="83"/>
      <c r="U135" s="83"/>
      <c r="V135" s="63"/>
      <c r="W135" s="83"/>
      <c r="X135" s="63"/>
      <c r="Y135" s="83"/>
      <c r="Z135" s="63"/>
      <c r="AA135" s="63"/>
      <c r="AB135" s="63"/>
      <c r="AC135" s="63"/>
      <c r="AD135" s="63"/>
      <c r="AE135" s="63"/>
      <c r="AF135" s="63"/>
      <c r="AG135" s="63"/>
      <c r="AH135" s="63"/>
      <c r="AI135" s="63"/>
      <c r="AJ135" s="63"/>
      <c r="AK135" s="63"/>
      <c r="AL135" s="63"/>
      <c r="AM135" s="63"/>
      <c r="AN135" s="63"/>
      <c r="AO135" s="63"/>
      <c r="AP135" s="63"/>
    </row>
    <row r="136" spans="1:42">
      <c r="A136" s="62"/>
      <c r="B136" s="63"/>
      <c r="C136" s="63"/>
      <c r="D136" s="63"/>
      <c r="E136" s="66"/>
      <c r="F136" s="63"/>
      <c r="G136" s="63"/>
      <c r="H136" s="63"/>
      <c r="I136" s="63"/>
      <c r="J136" s="56"/>
      <c r="K136" s="56"/>
      <c r="L136" s="63"/>
      <c r="M136" s="65"/>
      <c r="N136" s="83"/>
      <c r="O136" s="84"/>
      <c r="P136" s="63"/>
      <c r="Q136" s="63"/>
      <c r="R136" s="83"/>
      <c r="S136" s="83"/>
      <c r="T136" s="83"/>
      <c r="U136" s="83"/>
      <c r="V136" s="63"/>
      <c r="W136" s="83"/>
      <c r="X136" s="63"/>
      <c r="Y136" s="83"/>
      <c r="Z136" s="63"/>
      <c r="AA136" s="63"/>
      <c r="AB136" s="63"/>
      <c r="AC136" s="63"/>
      <c r="AD136" s="63"/>
      <c r="AE136" s="63"/>
      <c r="AF136" s="63"/>
      <c r="AG136" s="63"/>
      <c r="AH136" s="63"/>
      <c r="AI136" s="63"/>
      <c r="AJ136" s="63"/>
      <c r="AK136" s="63"/>
      <c r="AL136" s="63"/>
      <c r="AM136" s="63"/>
      <c r="AN136" s="63"/>
      <c r="AO136" s="63"/>
      <c r="AP136" s="63"/>
    </row>
    <row r="137" spans="1:42">
      <c r="A137" s="62"/>
      <c r="B137" s="63"/>
      <c r="C137" s="63"/>
      <c r="D137" s="63"/>
      <c r="E137" s="66"/>
      <c r="F137" s="63"/>
      <c r="G137" s="63"/>
      <c r="H137" s="63"/>
      <c r="I137" s="63"/>
      <c r="J137" s="56"/>
      <c r="K137" s="56"/>
      <c r="L137" s="63"/>
      <c r="M137" s="65"/>
      <c r="N137" s="83"/>
      <c r="O137" s="84"/>
      <c r="P137" s="63"/>
      <c r="Q137" s="63"/>
      <c r="R137" s="83"/>
      <c r="S137" s="83"/>
      <c r="T137" s="83"/>
      <c r="U137" s="83"/>
      <c r="V137" s="63"/>
      <c r="W137" s="83"/>
      <c r="X137" s="63"/>
      <c r="Y137" s="83"/>
      <c r="Z137" s="63"/>
      <c r="AA137" s="63"/>
      <c r="AB137" s="63"/>
      <c r="AC137" s="63"/>
      <c r="AD137" s="63"/>
      <c r="AE137" s="63"/>
      <c r="AF137" s="63"/>
      <c r="AG137" s="63"/>
      <c r="AH137" s="63"/>
      <c r="AI137" s="63"/>
      <c r="AJ137" s="63"/>
      <c r="AK137" s="63"/>
      <c r="AL137" s="63"/>
      <c r="AM137" s="63"/>
      <c r="AN137" s="63"/>
      <c r="AO137" s="63"/>
      <c r="AP137" s="63"/>
    </row>
    <row r="138" spans="1:42">
      <c r="A138" s="62"/>
      <c r="B138" s="63"/>
      <c r="C138" s="63"/>
      <c r="D138" s="63"/>
      <c r="E138" s="66"/>
      <c r="F138" s="63"/>
      <c r="G138" s="63"/>
      <c r="H138" s="63"/>
      <c r="I138" s="63"/>
      <c r="J138" s="56"/>
      <c r="K138" s="56"/>
      <c r="L138" s="63"/>
      <c r="M138" s="65"/>
      <c r="N138" s="83"/>
      <c r="O138" s="84"/>
      <c r="P138" s="63"/>
      <c r="Q138" s="63"/>
      <c r="R138" s="83"/>
      <c r="S138" s="83"/>
      <c r="T138" s="83"/>
      <c r="U138" s="83"/>
      <c r="V138" s="63"/>
      <c r="W138" s="83"/>
      <c r="X138" s="63"/>
      <c r="Y138" s="83"/>
      <c r="Z138" s="63"/>
      <c r="AA138" s="63"/>
      <c r="AB138" s="63"/>
      <c r="AC138" s="63"/>
      <c r="AD138" s="63"/>
      <c r="AE138" s="63"/>
      <c r="AF138" s="63"/>
      <c r="AG138" s="63"/>
      <c r="AH138" s="63"/>
      <c r="AI138" s="63"/>
      <c r="AJ138" s="63"/>
      <c r="AK138" s="63"/>
      <c r="AL138" s="63"/>
      <c r="AM138" s="63"/>
      <c r="AN138" s="63"/>
      <c r="AO138" s="63"/>
      <c r="AP138" s="63"/>
    </row>
    <row r="139" spans="1:42">
      <c r="A139" s="62"/>
      <c r="B139" s="63"/>
      <c r="C139" s="63"/>
      <c r="D139" s="63"/>
      <c r="E139" s="66"/>
      <c r="F139" s="63"/>
      <c r="G139" s="63"/>
      <c r="H139" s="63"/>
      <c r="I139" s="63"/>
      <c r="J139" s="56"/>
      <c r="K139" s="56"/>
      <c r="L139" s="63"/>
      <c r="M139" s="65"/>
      <c r="N139" s="83"/>
      <c r="O139" s="84"/>
      <c r="P139" s="63"/>
      <c r="Q139" s="63"/>
      <c r="R139" s="83"/>
      <c r="S139" s="83"/>
      <c r="T139" s="83"/>
      <c r="U139" s="83"/>
      <c r="V139" s="63"/>
      <c r="W139" s="83"/>
      <c r="X139" s="63"/>
      <c r="Y139" s="83"/>
      <c r="Z139" s="63"/>
      <c r="AA139" s="63"/>
      <c r="AB139" s="63"/>
      <c r="AC139" s="63"/>
      <c r="AD139" s="63"/>
      <c r="AE139" s="63"/>
      <c r="AF139" s="63"/>
      <c r="AG139" s="63"/>
      <c r="AH139" s="63"/>
      <c r="AI139" s="63"/>
      <c r="AJ139" s="63"/>
      <c r="AK139" s="63"/>
      <c r="AL139" s="63"/>
      <c r="AM139" s="63"/>
      <c r="AN139" s="63"/>
      <c r="AO139" s="63"/>
      <c r="AP139" s="63"/>
    </row>
    <row r="140" spans="1:42">
      <c r="A140" s="62"/>
      <c r="B140" s="63"/>
      <c r="C140" s="63"/>
      <c r="D140" s="63"/>
      <c r="E140" s="66"/>
      <c r="F140" s="63"/>
      <c r="G140" s="63"/>
      <c r="H140" s="63"/>
      <c r="I140" s="63"/>
      <c r="J140" s="56"/>
      <c r="K140" s="56"/>
      <c r="L140" s="63"/>
      <c r="M140" s="65"/>
      <c r="N140" s="83"/>
      <c r="O140" s="84"/>
      <c r="P140" s="63"/>
      <c r="Q140" s="63"/>
      <c r="R140" s="83"/>
      <c r="S140" s="83"/>
      <c r="T140" s="83"/>
      <c r="U140" s="83"/>
      <c r="V140" s="63"/>
      <c r="W140" s="83"/>
      <c r="X140" s="63"/>
      <c r="Y140" s="83"/>
      <c r="Z140" s="63"/>
      <c r="AA140" s="63"/>
      <c r="AB140" s="63"/>
      <c r="AC140" s="63"/>
      <c r="AD140" s="63"/>
      <c r="AE140" s="63"/>
      <c r="AF140" s="63"/>
      <c r="AG140" s="63"/>
      <c r="AH140" s="63"/>
      <c r="AI140" s="63"/>
      <c r="AJ140" s="63"/>
      <c r="AK140" s="63"/>
      <c r="AL140" s="63"/>
      <c r="AM140" s="63"/>
      <c r="AN140" s="63"/>
      <c r="AO140" s="63"/>
      <c r="AP140" s="63"/>
    </row>
    <row r="141" spans="1:42">
      <c r="A141" s="62"/>
      <c r="B141" s="63"/>
      <c r="C141" s="63"/>
      <c r="D141" s="63"/>
      <c r="E141" s="66"/>
      <c r="F141" s="63"/>
      <c r="G141" s="63"/>
      <c r="H141" s="63"/>
      <c r="I141" s="63"/>
      <c r="J141" s="56"/>
      <c r="K141" s="56"/>
      <c r="L141" s="63"/>
      <c r="M141" s="65"/>
      <c r="N141" s="83"/>
      <c r="O141" s="84"/>
      <c r="P141" s="63"/>
      <c r="Q141" s="63"/>
      <c r="R141" s="83"/>
      <c r="S141" s="83"/>
      <c r="T141" s="83"/>
      <c r="U141" s="83"/>
      <c r="V141" s="63"/>
      <c r="W141" s="83"/>
      <c r="X141" s="63"/>
      <c r="Y141" s="83"/>
      <c r="Z141" s="63"/>
      <c r="AA141" s="63"/>
      <c r="AB141" s="63"/>
      <c r="AC141" s="63"/>
      <c r="AD141" s="63"/>
      <c r="AE141" s="63"/>
      <c r="AF141" s="63"/>
      <c r="AG141" s="63"/>
      <c r="AH141" s="63"/>
      <c r="AI141" s="63"/>
      <c r="AJ141" s="63"/>
      <c r="AK141" s="63"/>
      <c r="AL141" s="63"/>
      <c r="AM141" s="63"/>
      <c r="AN141" s="63"/>
      <c r="AO141" s="63"/>
      <c r="AP141" s="63"/>
    </row>
    <row r="142" spans="1:42">
      <c r="A142" s="62"/>
      <c r="B142" s="63"/>
      <c r="C142" s="63"/>
      <c r="D142" s="63"/>
      <c r="E142" s="66"/>
      <c r="F142" s="63"/>
      <c r="G142" s="63"/>
      <c r="H142" s="63"/>
      <c r="I142" s="63"/>
      <c r="J142" s="56"/>
      <c r="K142" s="56"/>
      <c r="L142" s="63"/>
      <c r="M142" s="65"/>
      <c r="N142" s="83"/>
      <c r="O142" s="84"/>
      <c r="P142" s="63"/>
      <c r="Q142" s="63"/>
      <c r="R142" s="83"/>
      <c r="S142" s="83"/>
      <c r="T142" s="83"/>
      <c r="U142" s="83"/>
      <c r="V142" s="63"/>
      <c r="W142" s="83"/>
      <c r="X142" s="63"/>
      <c r="Y142" s="83"/>
      <c r="Z142" s="63"/>
      <c r="AA142" s="63"/>
      <c r="AB142" s="63"/>
      <c r="AC142" s="63"/>
      <c r="AD142" s="63"/>
      <c r="AE142" s="63"/>
      <c r="AF142" s="63"/>
      <c r="AG142" s="63"/>
      <c r="AH142" s="63"/>
      <c r="AI142" s="63"/>
      <c r="AJ142" s="63"/>
      <c r="AK142" s="63"/>
      <c r="AL142" s="63"/>
      <c r="AM142" s="63"/>
      <c r="AN142" s="63"/>
      <c r="AO142" s="63"/>
      <c r="AP142" s="63"/>
    </row>
    <row r="143" spans="1:42">
      <c r="A143" s="62"/>
      <c r="B143" s="63"/>
      <c r="C143" s="63"/>
      <c r="D143" s="63"/>
      <c r="E143" s="66"/>
      <c r="F143" s="63"/>
      <c r="G143" s="63"/>
      <c r="H143" s="63"/>
      <c r="I143" s="63"/>
      <c r="J143" s="56"/>
      <c r="K143" s="56"/>
      <c r="L143" s="63"/>
      <c r="M143" s="65"/>
      <c r="N143" s="83"/>
      <c r="O143" s="84"/>
      <c r="P143" s="63"/>
      <c r="Q143" s="63"/>
      <c r="R143" s="83"/>
      <c r="S143" s="83"/>
      <c r="T143" s="83"/>
      <c r="U143" s="83"/>
      <c r="V143" s="63"/>
      <c r="W143" s="83"/>
      <c r="X143" s="63"/>
      <c r="Y143" s="83"/>
      <c r="Z143" s="63"/>
      <c r="AA143" s="63"/>
      <c r="AB143" s="63"/>
      <c r="AC143" s="63"/>
      <c r="AD143" s="63"/>
      <c r="AE143" s="63"/>
      <c r="AF143" s="63"/>
      <c r="AG143" s="63"/>
      <c r="AH143" s="63"/>
      <c r="AI143" s="63"/>
      <c r="AJ143" s="63"/>
      <c r="AK143" s="63"/>
      <c r="AL143" s="63"/>
      <c r="AM143" s="63"/>
      <c r="AN143" s="63"/>
      <c r="AO143" s="63"/>
      <c r="AP143" s="63"/>
    </row>
    <row r="144" spans="1:42">
      <c r="A144" s="62"/>
      <c r="B144" s="63"/>
      <c r="C144" s="63"/>
      <c r="D144" s="63"/>
      <c r="E144" s="66"/>
      <c r="F144" s="63"/>
      <c r="G144" s="63"/>
      <c r="H144" s="63"/>
      <c r="I144" s="63"/>
      <c r="J144" s="56"/>
      <c r="K144" s="56"/>
      <c r="L144" s="63"/>
      <c r="M144" s="65"/>
      <c r="N144" s="83"/>
      <c r="O144" s="84"/>
      <c r="P144" s="63"/>
      <c r="Q144" s="63"/>
      <c r="R144" s="83"/>
      <c r="S144" s="83"/>
      <c r="T144" s="83"/>
      <c r="U144" s="83"/>
      <c r="V144" s="63"/>
      <c r="W144" s="83"/>
      <c r="X144" s="63"/>
      <c r="Y144" s="83"/>
      <c r="Z144" s="63"/>
      <c r="AA144" s="63"/>
      <c r="AB144" s="63"/>
      <c r="AC144" s="63"/>
      <c r="AD144" s="63"/>
      <c r="AE144" s="63"/>
      <c r="AF144" s="63"/>
      <c r="AG144" s="63"/>
      <c r="AH144" s="63"/>
      <c r="AI144" s="63"/>
      <c r="AJ144" s="63"/>
      <c r="AK144" s="63"/>
      <c r="AL144" s="63"/>
      <c r="AM144" s="63"/>
      <c r="AN144" s="63"/>
      <c r="AO144" s="63"/>
      <c r="AP144" s="63"/>
    </row>
    <row r="145" spans="1:42">
      <c r="A145" s="62"/>
      <c r="B145" s="63"/>
      <c r="C145" s="63"/>
      <c r="D145" s="63"/>
      <c r="E145" s="66"/>
      <c r="F145" s="63"/>
      <c r="G145" s="63"/>
      <c r="H145" s="63"/>
      <c r="I145" s="63"/>
      <c r="J145" s="56"/>
      <c r="K145" s="56"/>
      <c r="L145" s="63"/>
      <c r="M145" s="65"/>
      <c r="N145" s="83"/>
      <c r="O145" s="84"/>
      <c r="P145" s="63"/>
      <c r="Q145" s="63"/>
      <c r="R145" s="83"/>
      <c r="S145" s="83"/>
      <c r="T145" s="83"/>
      <c r="U145" s="83"/>
      <c r="V145" s="63"/>
      <c r="W145" s="83"/>
      <c r="X145" s="63"/>
      <c r="Y145" s="83"/>
      <c r="Z145" s="63"/>
      <c r="AA145" s="63"/>
      <c r="AB145" s="63"/>
      <c r="AC145" s="63"/>
      <c r="AD145" s="63"/>
      <c r="AE145" s="63"/>
      <c r="AF145" s="63"/>
      <c r="AG145" s="63"/>
      <c r="AH145" s="63"/>
      <c r="AI145" s="63"/>
      <c r="AJ145" s="63"/>
      <c r="AK145" s="63"/>
      <c r="AL145" s="63"/>
      <c r="AM145" s="63"/>
      <c r="AN145" s="63"/>
      <c r="AO145" s="63"/>
      <c r="AP145" s="63"/>
    </row>
    <row r="146" spans="1:42">
      <c r="A146" s="62"/>
      <c r="B146" s="63"/>
      <c r="C146" s="63"/>
      <c r="D146" s="63"/>
      <c r="E146" s="66"/>
      <c r="F146" s="63"/>
      <c r="G146" s="63"/>
      <c r="H146" s="63"/>
      <c r="I146" s="63"/>
      <c r="J146" s="56"/>
      <c r="K146" s="56"/>
      <c r="L146" s="63"/>
      <c r="M146" s="65"/>
      <c r="N146" s="83"/>
      <c r="O146" s="84"/>
      <c r="P146" s="63"/>
      <c r="Q146" s="63"/>
      <c r="R146" s="83"/>
      <c r="S146" s="83"/>
      <c r="T146" s="83"/>
      <c r="U146" s="83"/>
      <c r="V146" s="63"/>
      <c r="W146" s="83"/>
      <c r="X146" s="63"/>
      <c r="Y146" s="83"/>
      <c r="Z146" s="63"/>
      <c r="AA146" s="63"/>
      <c r="AB146" s="63"/>
      <c r="AC146" s="63"/>
      <c r="AD146" s="63"/>
      <c r="AE146" s="63"/>
      <c r="AF146" s="63"/>
      <c r="AG146" s="63"/>
      <c r="AH146" s="63"/>
      <c r="AI146" s="63"/>
      <c r="AJ146" s="63"/>
      <c r="AK146" s="63"/>
      <c r="AL146" s="63"/>
      <c r="AM146" s="63"/>
      <c r="AN146" s="63"/>
      <c r="AO146" s="63"/>
      <c r="AP146" s="63"/>
    </row>
    <row r="147" spans="1:42">
      <c r="A147" s="62"/>
      <c r="B147" s="63"/>
      <c r="C147" s="63"/>
      <c r="D147" s="63"/>
      <c r="E147" s="66"/>
      <c r="F147" s="63"/>
      <c r="G147" s="63"/>
      <c r="H147" s="63"/>
      <c r="I147" s="63"/>
      <c r="J147" s="56"/>
      <c r="K147" s="56"/>
      <c r="L147" s="63"/>
      <c r="M147" s="65"/>
      <c r="N147" s="83"/>
      <c r="O147" s="84"/>
      <c r="P147" s="63"/>
      <c r="Q147" s="63"/>
      <c r="R147" s="83"/>
      <c r="S147" s="83"/>
      <c r="T147" s="83"/>
      <c r="U147" s="83"/>
      <c r="V147" s="63"/>
      <c r="W147" s="83"/>
      <c r="X147" s="63"/>
      <c r="Y147" s="83"/>
      <c r="Z147" s="63"/>
      <c r="AA147" s="63"/>
      <c r="AB147" s="63"/>
      <c r="AC147" s="63"/>
      <c r="AD147" s="63"/>
      <c r="AE147" s="63"/>
      <c r="AF147" s="63"/>
      <c r="AG147" s="63"/>
      <c r="AH147" s="63"/>
      <c r="AI147" s="63"/>
      <c r="AJ147" s="63"/>
      <c r="AK147" s="63"/>
      <c r="AL147" s="63"/>
      <c r="AM147" s="63"/>
      <c r="AN147" s="63"/>
      <c r="AO147" s="63"/>
      <c r="AP147" s="63"/>
    </row>
    <row r="148" spans="1:42">
      <c r="A148" s="62"/>
      <c r="B148" s="63"/>
      <c r="C148" s="63"/>
      <c r="D148" s="63"/>
      <c r="E148" s="66"/>
      <c r="F148" s="63"/>
      <c r="G148" s="63"/>
      <c r="H148" s="63"/>
      <c r="I148" s="63"/>
      <c r="J148" s="56"/>
      <c r="K148" s="56"/>
      <c r="L148" s="63"/>
      <c r="M148" s="65"/>
      <c r="N148" s="83"/>
      <c r="O148" s="84"/>
      <c r="P148" s="63"/>
      <c r="Q148" s="63"/>
      <c r="R148" s="83"/>
      <c r="S148" s="83"/>
      <c r="T148" s="83"/>
      <c r="U148" s="83"/>
      <c r="V148" s="63"/>
      <c r="W148" s="83"/>
      <c r="X148" s="63"/>
      <c r="Y148" s="83"/>
      <c r="Z148" s="63"/>
      <c r="AA148" s="63"/>
      <c r="AB148" s="63"/>
      <c r="AC148" s="63"/>
      <c r="AD148" s="63"/>
      <c r="AE148" s="63"/>
      <c r="AF148" s="63"/>
      <c r="AG148" s="63"/>
      <c r="AH148" s="63"/>
      <c r="AI148" s="63"/>
      <c r="AJ148" s="63"/>
      <c r="AK148" s="63"/>
      <c r="AL148" s="63"/>
      <c r="AM148" s="63"/>
      <c r="AN148" s="63"/>
      <c r="AO148" s="63"/>
      <c r="AP148" s="63"/>
    </row>
    <row r="149" spans="1:42">
      <c r="A149" s="62"/>
      <c r="B149" s="63"/>
      <c r="C149" s="63"/>
      <c r="D149" s="63"/>
      <c r="E149" s="66"/>
      <c r="F149" s="63"/>
      <c r="G149" s="63"/>
      <c r="H149" s="63"/>
      <c r="I149" s="63"/>
      <c r="J149" s="56"/>
      <c r="K149" s="56"/>
      <c r="L149" s="63"/>
      <c r="M149" s="65"/>
      <c r="N149" s="83"/>
      <c r="O149" s="84"/>
      <c r="P149" s="63"/>
      <c r="Q149" s="63"/>
      <c r="R149" s="83"/>
      <c r="S149" s="83"/>
      <c r="T149" s="83"/>
      <c r="U149" s="83"/>
      <c r="V149" s="63"/>
      <c r="W149" s="83"/>
      <c r="X149" s="63"/>
      <c r="Y149" s="83"/>
      <c r="Z149" s="63"/>
      <c r="AA149" s="63"/>
      <c r="AB149" s="63"/>
      <c r="AC149" s="63"/>
      <c r="AD149" s="63"/>
      <c r="AE149" s="63"/>
      <c r="AF149" s="63"/>
      <c r="AG149" s="63"/>
      <c r="AH149" s="63"/>
      <c r="AI149" s="63"/>
      <c r="AJ149" s="63"/>
      <c r="AK149" s="63"/>
      <c r="AL149" s="63"/>
      <c r="AM149" s="63"/>
      <c r="AN149" s="63"/>
      <c r="AO149" s="63"/>
      <c r="AP149" s="63"/>
    </row>
    <row r="150" spans="1:42">
      <c r="A150" s="62"/>
      <c r="B150" s="63"/>
      <c r="C150" s="63"/>
      <c r="D150" s="63"/>
      <c r="E150" s="66"/>
      <c r="F150" s="63"/>
      <c r="G150" s="63"/>
      <c r="H150" s="63"/>
      <c r="I150" s="63"/>
      <c r="J150" s="56"/>
      <c r="K150" s="56"/>
      <c r="L150" s="63"/>
      <c r="M150" s="65"/>
      <c r="N150" s="83"/>
      <c r="O150" s="84"/>
      <c r="P150" s="63"/>
      <c r="Q150" s="63"/>
      <c r="R150" s="83"/>
      <c r="S150" s="83"/>
      <c r="T150" s="83"/>
      <c r="U150" s="83"/>
      <c r="V150" s="63"/>
      <c r="W150" s="83"/>
      <c r="X150" s="63"/>
      <c r="Y150" s="83"/>
      <c r="Z150" s="63"/>
      <c r="AA150" s="63"/>
      <c r="AB150" s="63"/>
      <c r="AC150" s="63"/>
      <c r="AD150" s="63"/>
      <c r="AE150" s="63"/>
      <c r="AF150" s="63"/>
      <c r="AG150" s="63"/>
      <c r="AH150" s="63"/>
      <c r="AI150" s="63"/>
      <c r="AJ150" s="63"/>
      <c r="AK150" s="63"/>
      <c r="AL150" s="63"/>
      <c r="AM150" s="63"/>
      <c r="AN150" s="63"/>
      <c r="AO150" s="63"/>
      <c r="AP150" s="63"/>
    </row>
    <row r="151" spans="1:42">
      <c r="A151" s="62"/>
      <c r="B151" s="63"/>
      <c r="C151" s="63"/>
      <c r="D151" s="63"/>
      <c r="E151" s="66"/>
      <c r="F151" s="63"/>
      <c r="G151" s="63"/>
      <c r="H151" s="63"/>
      <c r="I151" s="63"/>
      <c r="J151" s="56"/>
      <c r="K151" s="56"/>
      <c r="L151" s="63"/>
      <c r="M151" s="65"/>
      <c r="N151" s="83"/>
      <c r="O151" s="84"/>
      <c r="P151" s="63"/>
      <c r="Q151" s="63"/>
      <c r="R151" s="83"/>
      <c r="S151" s="83"/>
      <c r="T151" s="83"/>
      <c r="U151" s="83"/>
      <c r="V151" s="63"/>
      <c r="W151" s="83"/>
      <c r="X151" s="63"/>
      <c r="Y151" s="83"/>
      <c r="Z151" s="63"/>
      <c r="AA151" s="63"/>
      <c r="AB151" s="63"/>
      <c r="AC151" s="63"/>
      <c r="AD151" s="63"/>
      <c r="AE151" s="63"/>
      <c r="AF151" s="63"/>
      <c r="AG151" s="63"/>
      <c r="AH151" s="63"/>
      <c r="AI151" s="63"/>
      <c r="AJ151" s="63"/>
      <c r="AK151" s="63"/>
      <c r="AL151" s="63"/>
      <c r="AM151" s="63"/>
      <c r="AN151" s="63"/>
      <c r="AO151" s="63"/>
      <c r="AP151" s="63"/>
    </row>
    <row r="152" spans="1:42">
      <c r="A152" s="62"/>
      <c r="B152" s="63"/>
      <c r="C152" s="63"/>
      <c r="D152" s="63"/>
      <c r="E152" s="66"/>
      <c r="F152" s="63"/>
      <c r="G152" s="63"/>
      <c r="H152" s="63"/>
      <c r="I152" s="63"/>
      <c r="J152" s="56"/>
      <c r="K152" s="56"/>
      <c r="L152" s="63"/>
      <c r="M152" s="65"/>
      <c r="N152" s="83"/>
      <c r="O152" s="84"/>
      <c r="P152" s="63"/>
      <c r="Q152" s="63"/>
      <c r="R152" s="83"/>
      <c r="S152" s="83"/>
      <c r="T152" s="83"/>
      <c r="U152" s="83"/>
      <c r="V152" s="63"/>
      <c r="W152" s="83"/>
      <c r="X152" s="63"/>
      <c r="Y152" s="83"/>
      <c r="Z152" s="63"/>
      <c r="AA152" s="63"/>
      <c r="AB152" s="63"/>
      <c r="AC152" s="63"/>
      <c r="AD152" s="63"/>
      <c r="AE152" s="63"/>
      <c r="AF152" s="63"/>
      <c r="AG152" s="63"/>
      <c r="AH152" s="63"/>
      <c r="AI152" s="63"/>
      <c r="AJ152" s="63"/>
      <c r="AK152" s="63"/>
      <c r="AL152" s="63"/>
      <c r="AM152" s="63"/>
      <c r="AN152" s="63"/>
      <c r="AO152" s="63"/>
      <c r="AP152" s="63"/>
    </row>
    <row r="153" spans="1:42">
      <c r="A153" s="62"/>
      <c r="B153" s="63"/>
      <c r="C153" s="63"/>
      <c r="D153" s="63"/>
      <c r="E153" s="66"/>
      <c r="F153" s="63"/>
      <c r="G153" s="63"/>
      <c r="H153" s="63"/>
      <c r="I153" s="63"/>
      <c r="J153" s="56"/>
      <c r="K153" s="56"/>
      <c r="L153" s="63"/>
      <c r="M153" s="65"/>
      <c r="N153" s="83"/>
      <c r="O153" s="84"/>
      <c r="P153" s="63"/>
      <c r="Q153" s="63"/>
      <c r="R153" s="83"/>
      <c r="S153" s="83"/>
      <c r="T153" s="83"/>
      <c r="U153" s="83"/>
      <c r="V153" s="63"/>
      <c r="W153" s="83"/>
      <c r="X153" s="63"/>
      <c r="Y153" s="83"/>
      <c r="Z153" s="63"/>
      <c r="AA153" s="63"/>
      <c r="AB153" s="63"/>
      <c r="AC153" s="63"/>
      <c r="AD153" s="63"/>
      <c r="AE153" s="63"/>
      <c r="AF153" s="63"/>
      <c r="AG153" s="63"/>
      <c r="AH153" s="63"/>
      <c r="AI153" s="63"/>
      <c r="AJ153" s="63"/>
      <c r="AK153" s="63"/>
      <c r="AL153" s="63"/>
      <c r="AM153" s="63"/>
      <c r="AN153" s="63"/>
      <c r="AO153" s="63"/>
      <c r="AP153" s="63"/>
    </row>
    <row r="154" spans="1:42">
      <c r="A154" s="62"/>
      <c r="B154" s="63"/>
      <c r="C154" s="63"/>
      <c r="D154" s="63"/>
      <c r="E154" s="66"/>
      <c r="F154" s="63"/>
      <c r="G154" s="63"/>
      <c r="H154" s="63"/>
      <c r="I154" s="63"/>
      <c r="J154" s="56"/>
      <c r="K154" s="56"/>
      <c r="L154" s="63"/>
      <c r="M154" s="65"/>
      <c r="N154" s="83"/>
      <c r="O154" s="84"/>
      <c r="P154" s="63"/>
      <c r="Q154" s="63"/>
      <c r="R154" s="83"/>
      <c r="S154" s="83"/>
      <c r="T154" s="83"/>
      <c r="U154" s="83"/>
      <c r="V154" s="63"/>
      <c r="W154" s="83"/>
      <c r="X154" s="63"/>
      <c r="Y154" s="83"/>
      <c r="Z154" s="63"/>
      <c r="AA154" s="63"/>
      <c r="AB154" s="63"/>
      <c r="AC154" s="63"/>
      <c r="AD154" s="63"/>
      <c r="AE154" s="63"/>
      <c r="AF154" s="63"/>
      <c r="AG154" s="63"/>
      <c r="AH154" s="63"/>
      <c r="AI154" s="63"/>
      <c r="AJ154" s="63"/>
      <c r="AK154" s="63"/>
      <c r="AL154" s="63"/>
      <c r="AM154" s="63"/>
      <c r="AN154" s="63"/>
      <c r="AO154" s="63"/>
      <c r="AP154" s="63"/>
    </row>
    <row r="155" spans="1:42">
      <c r="A155" s="62"/>
      <c r="B155" s="63"/>
      <c r="C155" s="63"/>
      <c r="D155" s="63"/>
      <c r="E155" s="66"/>
      <c r="F155" s="63"/>
      <c r="G155" s="63"/>
      <c r="H155" s="63"/>
      <c r="I155" s="63"/>
      <c r="J155" s="56"/>
      <c r="K155" s="56"/>
      <c r="L155" s="63"/>
      <c r="M155" s="65"/>
      <c r="N155" s="83"/>
      <c r="O155" s="84"/>
      <c r="P155" s="63"/>
      <c r="Q155" s="63"/>
      <c r="R155" s="83"/>
      <c r="S155" s="83"/>
      <c r="T155" s="83"/>
      <c r="U155" s="83"/>
      <c r="V155" s="63"/>
      <c r="W155" s="83"/>
      <c r="X155" s="63"/>
      <c r="Y155" s="83"/>
      <c r="Z155" s="63"/>
      <c r="AA155" s="63"/>
      <c r="AB155" s="63"/>
      <c r="AC155" s="63"/>
      <c r="AD155" s="63"/>
      <c r="AE155" s="63"/>
      <c r="AF155" s="63"/>
      <c r="AG155" s="63"/>
      <c r="AH155" s="63"/>
      <c r="AI155" s="63"/>
      <c r="AJ155" s="63"/>
      <c r="AK155" s="63"/>
      <c r="AL155" s="63"/>
      <c r="AM155" s="63"/>
      <c r="AN155" s="63"/>
      <c r="AO155" s="63"/>
      <c r="AP155" s="63"/>
    </row>
    <row r="156" spans="1:42">
      <c r="A156" s="62"/>
      <c r="B156" s="63"/>
      <c r="C156" s="63"/>
      <c r="D156" s="63"/>
      <c r="E156" s="66"/>
      <c r="F156" s="63"/>
      <c r="G156" s="63"/>
      <c r="H156" s="63"/>
      <c r="I156" s="63"/>
      <c r="J156" s="56"/>
      <c r="K156" s="56"/>
      <c r="L156" s="63"/>
      <c r="M156" s="65"/>
      <c r="N156" s="83"/>
      <c r="O156" s="84"/>
      <c r="P156" s="63"/>
      <c r="Q156" s="63"/>
      <c r="R156" s="83"/>
      <c r="S156" s="83"/>
      <c r="T156" s="83"/>
      <c r="U156" s="83"/>
      <c r="V156" s="63"/>
      <c r="W156" s="83"/>
      <c r="X156" s="63"/>
      <c r="Y156" s="83"/>
      <c r="Z156" s="63"/>
      <c r="AA156" s="63"/>
      <c r="AB156" s="63"/>
      <c r="AC156" s="63"/>
      <c r="AD156" s="63"/>
      <c r="AE156" s="63"/>
      <c r="AF156" s="63"/>
      <c r="AG156" s="63"/>
      <c r="AH156" s="63"/>
      <c r="AI156" s="63"/>
      <c r="AJ156" s="63"/>
      <c r="AK156" s="63"/>
      <c r="AL156" s="63"/>
      <c r="AM156" s="63"/>
      <c r="AN156" s="63"/>
      <c r="AO156" s="63"/>
      <c r="AP156" s="63"/>
    </row>
    <row r="157" spans="1:42">
      <c r="A157" s="62"/>
      <c r="B157" s="63"/>
      <c r="C157" s="63"/>
      <c r="D157" s="63"/>
      <c r="E157" s="66"/>
      <c r="F157" s="63"/>
      <c r="G157" s="63"/>
      <c r="H157" s="63"/>
      <c r="I157" s="63"/>
      <c r="J157" s="56"/>
      <c r="K157" s="56"/>
      <c r="L157" s="63"/>
      <c r="M157" s="65"/>
      <c r="N157" s="83"/>
      <c r="O157" s="84"/>
      <c r="P157" s="63"/>
      <c r="Q157" s="63"/>
      <c r="R157" s="83"/>
      <c r="S157" s="83"/>
      <c r="T157" s="83"/>
      <c r="U157" s="83"/>
      <c r="V157" s="63"/>
      <c r="W157" s="83"/>
      <c r="X157" s="63"/>
      <c r="Y157" s="83"/>
      <c r="Z157" s="63"/>
      <c r="AA157" s="63"/>
      <c r="AB157" s="63"/>
      <c r="AC157" s="63"/>
      <c r="AD157" s="63"/>
      <c r="AE157" s="63"/>
      <c r="AF157" s="63"/>
      <c r="AG157" s="63"/>
      <c r="AH157" s="63"/>
      <c r="AI157" s="63"/>
      <c r="AJ157" s="63"/>
      <c r="AK157" s="63"/>
      <c r="AL157" s="63"/>
      <c r="AM157" s="63"/>
      <c r="AN157" s="63"/>
      <c r="AO157" s="63"/>
      <c r="AP157" s="63"/>
    </row>
    <row r="158" spans="1:42">
      <c r="A158" s="62"/>
      <c r="B158" s="63"/>
      <c r="C158" s="63"/>
      <c r="D158" s="63"/>
      <c r="E158" s="66"/>
      <c r="F158" s="63"/>
      <c r="G158" s="63"/>
      <c r="H158" s="63"/>
      <c r="I158" s="63"/>
      <c r="J158" s="56"/>
      <c r="K158" s="56"/>
      <c r="L158" s="63"/>
      <c r="M158" s="65"/>
      <c r="N158" s="83"/>
      <c r="O158" s="84"/>
      <c r="P158" s="63"/>
      <c r="Q158" s="63"/>
      <c r="R158" s="83"/>
      <c r="S158" s="83"/>
      <c r="T158" s="83"/>
      <c r="U158" s="83"/>
      <c r="V158" s="63"/>
      <c r="W158" s="83"/>
      <c r="X158" s="63"/>
      <c r="Y158" s="83"/>
      <c r="Z158" s="63"/>
      <c r="AA158" s="63"/>
      <c r="AB158" s="63"/>
      <c r="AC158" s="63"/>
      <c r="AD158" s="63"/>
      <c r="AE158" s="63"/>
      <c r="AF158" s="63"/>
      <c r="AG158" s="63"/>
      <c r="AH158" s="63"/>
      <c r="AI158" s="63"/>
      <c r="AJ158" s="63"/>
      <c r="AK158" s="63"/>
      <c r="AL158" s="63"/>
      <c r="AM158" s="63"/>
      <c r="AN158" s="63"/>
      <c r="AO158" s="63"/>
      <c r="AP158" s="63"/>
    </row>
    <row r="159" spans="1:42">
      <c r="A159" s="62"/>
      <c r="B159" s="63"/>
      <c r="C159" s="63"/>
      <c r="D159" s="63"/>
      <c r="E159" s="66"/>
      <c r="F159" s="63"/>
      <c r="G159" s="63"/>
      <c r="H159" s="63"/>
      <c r="I159" s="63"/>
      <c r="J159" s="56"/>
      <c r="K159" s="56"/>
      <c r="L159" s="63"/>
      <c r="M159" s="65"/>
      <c r="N159" s="83"/>
      <c r="O159" s="84"/>
      <c r="P159" s="63"/>
      <c r="Q159" s="63"/>
      <c r="R159" s="83"/>
      <c r="S159" s="83"/>
      <c r="T159" s="83"/>
      <c r="U159" s="83"/>
      <c r="V159" s="63"/>
      <c r="W159" s="83"/>
      <c r="X159" s="63"/>
      <c r="Y159" s="83"/>
      <c r="Z159" s="63"/>
      <c r="AA159" s="63"/>
      <c r="AB159" s="63"/>
      <c r="AC159" s="63"/>
      <c r="AD159" s="63"/>
      <c r="AE159" s="63"/>
      <c r="AF159" s="63"/>
      <c r="AG159" s="63"/>
      <c r="AH159" s="63"/>
      <c r="AI159" s="63"/>
      <c r="AJ159" s="63"/>
      <c r="AK159" s="63"/>
      <c r="AL159" s="63"/>
      <c r="AM159" s="63"/>
      <c r="AN159" s="63"/>
      <c r="AO159" s="63"/>
      <c r="AP159" s="63"/>
    </row>
    <row r="160" spans="1:42">
      <c r="A160" s="62"/>
      <c r="B160" s="63"/>
      <c r="C160" s="63"/>
      <c r="D160" s="63"/>
      <c r="E160" s="66"/>
      <c r="F160" s="63"/>
      <c r="G160" s="63"/>
      <c r="H160" s="63"/>
      <c r="I160" s="63"/>
      <c r="J160" s="56"/>
      <c r="K160" s="56"/>
      <c r="L160" s="63"/>
      <c r="M160" s="65"/>
      <c r="N160" s="83"/>
      <c r="O160" s="84"/>
      <c r="P160" s="63"/>
      <c r="Q160" s="63"/>
      <c r="R160" s="83"/>
      <c r="S160" s="83"/>
      <c r="T160" s="83"/>
      <c r="U160" s="83"/>
      <c r="V160" s="63"/>
      <c r="W160" s="83"/>
      <c r="X160" s="63"/>
      <c r="Y160" s="83"/>
      <c r="Z160" s="63"/>
      <c r="AA160" s="63"/>
      <c r="AB160" s="63"/>
      <c r="AC160" s="63"/>
      <c r="AD160" s="63"/>
      <c r="AE160" s="63"/>
      <c r="AF160" s="63"/>
      <c r="AG160" s="63"/>
      <c r="AH160" s="63"/>
      <c r="AI160" s="63"/>
      <c r="AJ160" s="63"/>
      <c r="AK160" s="63"/>
      <c r="AL160" s="63"/>
      <c r="AM160" s="63"/>
      <c r="AN160" s="63"/>
      <c r="AO160" s="63"/>
      <c r="AP160" s="63"/>
    </row>
    <row r="161" spans="1:42">
      <c r="A161" s="62"/>
      <c r="B161" s="63"/>
      <c r="C161" s="63"/>
      <c r="D161" s="63"/>
      <c r="E161" s="66"/>
      <c r="F161" s="63"/>
      <c r="G161" s="63"/>
      <c r="H161" s="63"/>
      <c r="I161" s="63"/>
      <c r="J161" s="56"/>
      <c r="K161" s="56"/>
      <c r="L161" s="63"/>
      <c r="M161" s="65"/>
      <c r="N161" s="83"/>
      <c r="O161" s="84"/>
      <c r="P161" s="63"/>
      <c r="Q161" s="63"/>
      <c r="R161" s="83"/>
      <c r="S161" s="83"/>
      <c r="T161" s="83"/>
      <c r="U161" s="83"/>
      <c r="V161" s="63"/>
      <c r="W161" s="83"/>
      <c r="X161" s="63"/>
      <c r="Y161" s="83"/>
      <c r="Z161" s="63"/>
      <c r="AA161" s="63"/>
      <c r="AB161" s="63"/>
      <c r="AC161" s="63"/>
      <c r="AD161" s="63"/>
      <c r="AE161" s="63"/>
      <c r="AF161" s="63"/>
      <c r="AG161" s="63"/>
      <c r="AH161" s="63"/>
      <c r="AI161" s="63"/>
      <c r="AJ161" s="63"/>
      <c r="AK161" s="63"/>
      <c r="AL161" s="63"/>
      <c r="AM161" s="63"/>
      <c r="AN161" s="63"/>
      <c r="AO161" s="63"/>
      <c r="AP161" s="63"/>
    </row>
    <row r="162" spans="1:42">
      <c r="A162" s="62"/>
      <c r="B162" s="63"/>
      <c r="C162" s="63"/>
      <c r="D162" s="63"/>
      <c r="E162" s="66"/>
      <c r="F162" s="63"/>
      <c r="G162" s="63"/>
      <c r="H162" s="63"/>
      <c r="I162" s="63"/>
      <c r="J162" s="56"/>
      <c r="K162" s="56"/>
      <c r="L162" s="63"/>
      <c r="M162" s="65"/>
      <c r="N162" s="83"/>
      <c r="O162" s="84"/>
      <c r="P162" s="63"/>
      <c r="Q162" s="63"/>
      <c r="R162" s="83"/>
      <c r="S162" s="83"/>
      <c r="T162" s="83"/>
      <c r="U162" s="83"/>
      <c r="V162" s="63"/>
      <c r="W162" s="83"/>
      <c r="X162" s="63"/>
      <c r="Y162" s="83"/>
      <c r="Z162" s="63"/>
      <c r="AA162" s="63"/>
      <c r="AB162" s="63"/>
      <c r="AC162" s="63"/>
      <c r="AD162" s="63"/>
      <c r="AE162" s="63"/>
      <c r="AF162" s="63"/>
      <c r="AG162" s="63"/>
      <c r="AH162" s="63"/>
      <c r="AI162" s="63"/>
      <c r="AJ162" s="63"/>
      <c r="AK162" s="63"/>
      <c r="AL162" s="63"/>
      <c r="AM162" s="63"/>
      <c r="AN162" s="63"/>
      <c r="AO162" s="63"/>
      <c r="AP162" s="63"/>
    </row>
    <row r="163" spans="1:42">
      <c r="A163" s="62"/>
      <c r="B163" s="63"/>
      <c r="C163" s="63"/>
      <c r="D163" s="63"/>
      <c r="E163" s="66"/>
      <c r="F163" s="63"/>
      <c r="G163" s="63"/>
      <c r="H163" s="63"/>
      <c r="I163" s="63"/>
      <c r="J163" s="56"/>
      <c r="K163" s="56"/>
      <c r="L163" s="63"/>
      <c r="M163" s="65"/>
      <c r="N163" s="83"/>
      <c r="O163" s="84"/>
      <c r="P163" s="63"/>
      <c r="Q163" s="63"/>
      <c r="R163" s="83"/>
      <c r="S163" s="83"/>
      <c r="T163" s="83"/>
      <c r="U163" s="83"/>
      <c r="V163" s="63"/>
      <c r="W163" s="83"/>
      <c r="X163" s="63"/>
      <c r="Y163" s="83"/>
      <c r="Z163" s="63"/>
      <c r="AA163" s="63"/>
      <c r="AB163" s="63"/>
      <c r="AC163" s="63"/>
      <c r="AD163" s="63"/>
      <c r="AE163" s="63"/>
      <c r="AF163" s="63"/>
      <c r="AG163" s="63"/>
      <c r="AH163" s="63"/>
      <c r="AI163" s="63"/>
      <c r="AJ163" s="63"/>
      <c r="AK163" s="63"/>
      <c r="AL163" s="63"/>
      <c r="AM163" s="63"/>
      <c r="AN163" s="63"/>
      <c r="AO163" s="63"/>
      <c r="AP163" s="63"/>
    </row>
    <row r="164" spans="1:42">
      <c r="A164" s="62"/>
      <c r="B164" s="63"/>
      <c r="C164" s="63"/>
      <c r="D164" s="63"/>
      <c r="E164" s="66"/>
      <c r="F164" s="63"/>
      <c r="G164" s="63"/>
      <c r="H164" s="63"/>
      <c r="I164" s="63"/>
      <c r="J164" s="56"/>
      <c r="K164" s="56"/>
      <c r="L164" s="63"/>
      <c r="M164" s="65"/>
      <c r="N164" s="83"/>
      <c r="O164" s="84"/>
      <c r="P164" s="63"/>
      <c r="Q164" s="63"/>
      <c r="R164" s="83"/>
      <c r="S164" s="83"/>
      <c r="T164" s="83"/>
      <c r="U164" s="83"/>
      <c r="V164" s="63"/>
      <c r="W164" s="83"/>
      <c r="X164" s="63"/>
      <c r="Y164" s="83"/>
      <c r="Z164" s="63"/>
      <c r="AA164" s="63"/>
      <c r="AB164" s="63"/>
      <c r="AC164" s="63"/>
      <c r="AD164" s="63"/>
      <c r="AE164" s="63"/>
      <c r="AF164" s="63"/>
      <c r="AG164" s="63"/>
      <c r="AH164" s="63"/>
      <c r="AI164" s="63"/>
      <c r="AJ164" s="63"/>
      <c r="AK164" s="63"/>
      <c r="AL164" s="63"/>
      <c r="AM164" s="63"/>
      <c r="AN164" s="63"/>
      <c r="AO164" s="63"/>
      <c r="AP164" s="63"/>
    </row>
    <row r="165" spans="1:42">
      <c r="A165" s="62"/>
      <c r="B165" s="63"/>
      <c r="C165" s="63"/>
      <c r="D165" s="63"/>
      <c r="E165" s="66"/>
      <c r="F165" s="63"/>
      <c r="G165" s="63"/>
      <c r="H165" s="63"/>
      <c r="I165" s="63"/>
      <c r="J165" s="56"/>
      <c r="K165" s="56"/>
      <c r="L165" s="63"/>
      <c r="M165" s="65"/>
      <c r="N165" s="83"/>
      <c r="O165" s="84"/>
      <c r="P165" s="63"/>
      <c r="Q165" s="63"/>
      <c r="R165" s="83"/>
      <c r="S165" s="83"/>
      <c r="T165" s="83"/>
      <c r="U165" s="83"/>
      <c r="V165" s="63"/>
      <c r="W165" s="83"/>
      <c r="X165" s="63"/>
      <c r="Y165" s="83"/>
      <c r="Z165" s="63"/>
      <c r="AA165" s="63"/>
      <c r="AB165" s="63"/>
      <c r="AC165" s="63"/>
      <c r="AD165" s="63"/>
      <c r="AE165" s="63"/>
      <c r="AF165" s="63"/>
      <c r="AG165" s="63"/>
      <c r="AH165" s="63"/>
      <c r="AI165" s="63"/>
      <c r="AJ165" s="63"/>
      <c r="AK165" s="63"/>
      <c r="AL165" s="63"/>
      <c r="AM165" s="63"/>
      <c r="AN165" s="63"/>
      <c r="AO165" s="63"/>
      <c r="AP165" s="63"/>
    </row>
    <row r="166" spans="1:42">
      <c r="A166" s="62"/>
      <c r="B166" s="63"/>
      <c r="C166" s="63"/>
      <c r="D166" s="63"/>
      <c r="E166" s="66"/>
      <c r="F166" s="63"/>
      <c r="G166" s="63"/>
      <c r="H166" s="63"/>
      <c r="I166" s="63"/>
      <c r="J166" s="56"/>
      <c r="K166" s="56"/>
      <c r="L166" s="63"/>
      <c r="M166" s="65"/>
      <c r="N166" s="83"/>
      <c r="O166" s="84"/>
      <c r="P166" s="63"/>
      <c r="Q166" s="63"/>
      <c r="R166" s="83"/>
      <c r="S166" s="83"/>
      <c r="T166" s="83"/>
      <c r="U166" s="83"/>
      <c r="V166" s="63"/>
      <c r="W166" s="83"/>
      <c r="X166" s="63"/>
      <c r="Y166" s="83"/>
      <c r="Z166" s="63"/>
      <c r="AA166" s="63"/>
      <c r="AB166" s="63"/>
      <c r="AC166" s="63"/>
      <c r="AD166" s="63"/>
      <c r="AE166" s="63"/>
      <c r="AF166" s="63"/>
      <c r="AG166" s="63"/>
      <c r="AH166" s="63"/>
      <c r="AI166" s="63"/>
      <c r="AJ166" s="63"/>
      <c r="AK166" s="63"/>
      <c r="AL166" s="63"/>
      <c r="AM166" s="63"/>
      <c r="AN166" s="63"/>
      <c r="AO166" s="63"/>
      <c r="AP166" s="63"/>
    </row>
    <row r="167" spans="1:42">
      <c r="A167" s="62"/>
      <c r="B167" s="63"/>
      <c r="C167" s="63"/>
      <c r="D167" s="63"/>
      <c r="E167" s="66"/>
      <c r="F167" s="63"/>
      <c r="G167" s="63"/>
      <c r="H167" s="63"/>
      <c r="I167" s="63"/>
      <c r="J167" s="56"/>
      <c r="K167" s="56"/>
      <c r="L167" s="63"/>
      <c r="M167" s="65"/>
      <c r="N167" s="83"/>
      <c r="O167" s="84"/>
      <c r="P167" s="63"/>
      <c r="Q167" s="63"/>
      <c r="R167" s="83"/>
      <c r="S167" s="83"/>
      <c r="T167" s="83"/>
      <c r="U167" s="83"/>
      <c r="V167" s="63"/>
      <c r="W167" s="83"/>
      <c r="X167" s="63"/>
      <c r="Y167" s="83"/>
      <c r="Z167" s="63"/>
      <c r="AA167" s="63"/>
      <c r="AB167" s="63"/>
      <c r="AC167" s="63"/>
      <c r="AD167" s="63"/>
      <c r="AE167" s="63"/>
      <c r="AF167" s="63"/>
      <c r="AG167" s="63"/>
      <c r="AH167" s="63"/>
      <c r="AI167" s="63"/>
      <c r="AJ167" s="63"/>
      <c r="AK167" s="63"/>
      <c r="AL167" s="63"/>
      <c r="AM167" s="63"/>
      <c r="AN167" s="63"/>
      <c r="AO167" s="63"/>
      <c r="AP167" s="63"/>
    </row>
    <row r="168" spans="1:42">
      <c r="A168" s="62"/>
      <c r="B168" s="63"/>
      <c r="C168" s="63"/>
      <c r="D168" s="63"/>
      <c r="E168" s="66"/>
      <c r="F168" s="63"/>
      <c r="G168" s="63"/>
      <c r="H168" s="63"/>
      <c r="I168" s="63"/>
      <c r="J168" s="56"/>
      <c r="K168" s="56"/>
      <c r="L168" s="63"/>
      <c r="M168" s="65"/>
      <c r="N168" s="83"/>
      <c r="O168" s="84"/>
      <c r="P168" s="63"/>
      <c r="Q168" s="63"/>
      <c r="R168" s="83"/>
      <c r="S168" s="83"/>
      <c r="T168" s="83"/>
      <c r="U168" s="83"/>
      <c r="V168" s="63"/>
      <c r="W168" s="83"/>
      <c r="X168" s="63"/>
      <c r="Y168" s="83"/>
      <c r="Z168" s="63"/>
      <c r="AA168" s="63"/>
      <c r="AB168" s="63"/>
      <c r="AC168" s="63"/>
      <c r="AD168" s="63"/>
      <c r="AE168" s="63"/>
      <c r="AF168" s="63"/>
      <c r="AG168" s="63"/>
      <c r="AH168" s="63"/>
      <c r="AI168" s="63"/>
      <c r="AJ168" s="63"/>
      <c r="AK168" s="63"/>
      <c r="AL168" s="63"/>
      <c r="AM168" s="63"/>
      <c r="AN168" s="63"/>
      <c r="AO168" s="63"/>
      <c r="AP168" s="63"/>
    </row>
    <row r="169" spans="1:42">
      <c r="A169" s="62"/>
      <c r="B169" s="63"/>
      <c r="C169" s="63"/>
      <c r="D169" s="63"/>
      <c r="E169" s="66"/>
      <c r="F169" s="63"/>
      <c r="G169" s="63"/>
      <c r="H169" s="63"/>
      <c r="I169" s="63"/>
      <c r="J169" s="56"/>
      <c r="K169" s="56"/>
      <c r="L169" s="63"/>
      <c r="M169" s="65"/>
      <c r="N169" s="83"/>
      <c r="O169" s="84"/>
      <c r="P169" s="63"/>
      <c r="Q169" s="63"/>
      <c r="R169" s="83"/>
      <c r="S169" s="83"/>
      <c r="T169" s="83"/>
      <c r="U169" s="83"/>
      <c r="V169" s="63"/>
      <c r="W169" s="83"/>
      <c r="X169" s="63"/>
      <c r="Y169" s="83"/>
      <c r="Z169" s="63"/>
      <c r="AA169" s="63"/>
      <c r="AB169" s="63"/>
      <c r="AC169" s="63"/>
      <c r="AD169" s="63"/>
      <c r="AE169" s="63"/>
      <c r="AF169" s="63"/>
      <c r="AG169" s="63"/>
      <c r="AH169" s="63"/>
      <c r="AI169" s="63"/>
      <c r="AJ169" s="63"/>
      <c r="AK169" s="63"/>
      <c r="AL169" s="63"/>
      <c r="AM169" s="63"/>
      <c r="AN169" s="63"/>
      <c r="AO169" s="63"/>
      <c r="AP169" s="63"/>
    </row>
    <row r="170" spans="1:42">
      <c r="A170" s="62"/>
      <c r="B170" s="63"/>
      <c r="C170" s="63"/>
      <c r="D170" s="63"/>
      <c r="E170" s="66"/>
      <c r="F170" s="63"/>
      <c r="G170" s="63"/>
      <c r="H170" s="63"/>
      <c r="I170" s="63"/>
      <c r="J170" s="56"/>
      <c r="K170" s="56"/>
      <c r="L170" s="63"/>
      <c r="M170" s="65"/>
      <c r="N170" s="83"/>
      <c r="O170" s="84"/>
      <c r="P170" s="63"/>
      <c r="Q170" s="63"/>
      <c r="R170" s="83"/>
      <c r="S170" s="83"/>
      <c r="T170" s="83"/>
      <c r="U170" s="83"/>
      <c r="V170" s="63"/>
      <c r="W170" s="83"/>
      <c r="X170" s="63"/>
      <c r="Y170" s="83"/>
      <c r="Z170" s="63"/>
      <c r="AA170" s="63"/>
      <c r="AB170" s="63"/>
      <c r="AC170" s="63"/>
      <c r="AD170" s="63"/>
      <c r="AE170" s="63"/>
      <c r="AF170" s="63"/>
      <c r="AG170" s="63"/>
      <c r="AH170" s="63"/>
      <c r="AI170" s="63"/>
      <c r="AJ170" s="63"/>
      <c r="AK170" s="63"/>
      <c r="AL170" s="63"/>
      <c r="AM170" s="63"/>
      <c r="AN170" s="63"/>
      <c r="AO170" s="63"/>
      <c r="AP170" s="63"/>
    </row>
    <row r="171" spans="1:42">
      <c r="A171" s="62"/>
      <c r="B171" s="63"/>
      <c r="C171" s="63"/>
      <c r="D171" s="63"/>
      <c r="E171" s="66"/>
      <c r="F171" s="63"/>
      <c r="G171" s="63"/>
      <c r="H171" s="63"/>
      <c r="I171" s="63"/>
      <c r="J171" s="56"/>
      <c r="K171" s="56"/>
      <c r="L171" s="63"/>
      <c r="M171" s="65"/>
      <c r="N171" s="83"/>
      <c r="O171" s="84"/>
      <c r="P171" s="63"/>
      <c r="Q171" s="63"/>
      <c r="R171" s="83"/>
      <c r="S171" s="83"/>
      <c r="T171" s="83"/>
      <c r="U171" s="83"/>
      <c r="V171" s="63"/>
      <c r="W171" s="83"/>
      <c r="X171" s="63"/>
      <c r="Y171" s="83"/>
      <c r="Z171" s="63"/>
      <c r="AA171" s="63"/>
      <c r="AB171" s="63"/>
      <c r="AC171" s="63"/>
      <c r="AD171" s="63"/>
      <c r="AE171" s="63"/>
      <c r="AF171" s="63"/>
      <c r="AG171" s="63"/>
      <c r="AH171" s="63"/>
      <c r="AI171" s="63"/>
      <c r="AJ171" s="63"/>
      <c r="AK171" s="63"/>
      <c r="AL171" s="63"/>
      <c r="AM171" s="63"/>
      <c r="AN171" s="63"/>
      <c r="AO171" s="63"/>
      <c r="AP171" s="63"/>
    </row>
    <row r="172" spans="1:42">
      <c r="A172" s="62"/>
      <c r="B172" s="63"/>
      <c r="C172" s="63"/>
      <c r="D172" s="63"/>
      <c r="E172" s="66"/>
      <c r="F172" s="63"/>
      <c r="G172" s="63"/>
      <c r="H172" s="63"/>
      <c r="I172" s="63"/>
      <c r="J172" s="56"/>
      <c r="K172" s="56"/>
      <c r="L172" s="63"/>
      <c r="M172" s="65"/>
      <c r="N172" s="83"/>
      <c r="O172" s="84"/>
      <c r="P172" s="63"/>
      <c r="Q172" s="63"/>
      <c r="R172" s="83"/>
      <c r="S172" s="83"/>
      <c r="T172" s="83"/>
      <c r="U172" s="83"/>
      <c r="V172" s="63"/>
      <c r="W172" s="83"/>
      <c r="X172" s="63"/>
      <c r="Y172" s="83"/>
      <c r="Z172" s="63"/>
      <c r="AA172" s="63"/>
      <c r="AB172" s="63"/>
      <c r="AC172" s="63"/>
      <c r="AD172" s="63"/>
      <c r="AE172" s="63"/>
      <c r="AF172" s="63"/>
      <c r="AG172" s="63"/>
      <c r="AH172" s="63"/>
      <c r="AI172" s="63"/>
      <c r="AJ172" s="63"/>
      <c r="AK172" s="63"/>
      <c r="AL172" s="63"/>
      <c r="AM172" s="63"/>
      <c r="AN172" s="63"/>
      <c r="AO172" s="63"/>
      <c r="AP172" s="63"/>
    </row>
    <row r="173" spans="1:42">
      <c r="A173" s="62"/>
      <c r="B173" s="63"/>
      <c r="C173" s="63"/>
      <c r="D173" s="63"/>
      <c r="E173" s="66"/>
      <c r="F173" s="63"/>
      <c r="G173" s="63"/>
      <c r="H173" s="63"/>
      <c r="I173" s="63"/>
      <c r="J173" s="56"/>
      <c r="K173" s="56"/>
      <c r="L173" s="63"/>
      <c r="M173" s="65"/>
      <c r="N173" s="83"/>
      <c r="O173" s="84"/>
      <c r="P173" s="63"/>
      <c r="Q173" s="63"/>
      <c r="R173" s="83"/>
      <c r="S173" s="83"/>
      <c r="T173" s="83"/>
      <c r="U173" s="83"/>
      <c r="V173" s="63"/>
      <c r="W173" s="83"/>
      <c r="X173" s="63"/>
      <c r="Y173" s="83"/>
      <c r="Z173" s="63"/>
      <c r="AA173" s="63"/>
      <c r="AB173" s="63"/>
      <c r="AC173" s="63"/>
      <c r="AD173" s="63"/>
      <c r="AE173" s="63"/>
      <c r="AF173" s="63"/>
      <c r="AG173" s="63"/>
      <c r="AH173" s="63"/>
      <c r="AI173" s="63"/>
      <c r="AJ173" s="63"/>
      <c r="AK173" s="63"/>
      <c r="AL173" s="63"/>
      <c r="AM173" s="63"/>
      <c r="AN173" s="63"/>
      <c r="AO173" s="63"/>
      <c r="AP173" s="63"/>
    </row>
    <row r="174" spans="1:42">
      <c r="A174" s="62"/>
      <c r="B174" s="63"/>
      <c r="C174" s="63"/>
      <c r="D174" s="63"/>
      <c r="E174" s="66"/>
      <c r="F174" s="63"/>
      <c r="G174" s="63"/>
      <c r="H174" s="63"/>
      <c r="I174" s="63"/>
      <c r="J174" s="56"/>
      <c r="K174" s="56"/>
      <c r="L174" s="63"/>
      <c r="M174" s="65"/>
      <c r="N174" s="83"/>
      <c r="O174" s="84"/>
      <c r="P174" s="63"/>
      <c r="Q174" s="63"/>
      <c r="R174" s="83"/>
      <c r="S174" s="83"/>
      <c r="T174" s="83"/>
      <c r="U174" s="83"/>
      <c r="V174" s="63"/>
      <c r="W174" s="66"/>
      <c r="X174" s="63"/>
      <c r="Y174" s="83"/>
      <c r="Z174" s="63"/>
      <c r="AA174" s="63"/>
      <c r="AB174" s="63"/>
      <c r="AC174" s="63"/>
      <c r="AD174" s="63"/>
      <c r="AE174" s="63"/>
      <c r="AF174" s="63"/>
      <c r="AG174" s="63"/>
      <c r="AH174" s="63"/>
      <c r="AI174" s="63"/>
      <c r="AJ174" s="63"/>
      <c r="AK174" s="63"/>
      <c r="AL174" s="63"/>
      <c r="AM174" s="63"/>
      <c r="AN174" s="63"/>
      <c r="AO174" s="63"/>
      <c r="AP174" s="63"/>
    </row>
    <row r="175" spans="1:42">
      <c r="A175" s="62"/>
      <c r="B175" s="63"/>
      <c r="C175" s="63"/>
      <c r="D175" s="63"/>
      <c r="E175" s="66"/>
      <c r="F175" s="63"/>
      <c r="G175" s="63"/>
      <c r="H175" s="63"/>
      <c r="I175" s="63"/>
      <c r="J175" s="56"/>
      <c r="K175" s="56"/>
      <c r="L175" s="63"/>
      <c r="M175" s="65"/>
      <c r="N175" s="83"/>
      <c r="O175" s="84"/>
      <c r="P175" s="63"/>
      <c r="Q175" s="63"/>
      <c r="R175" s="83"/>
      <c r="S175" s="83"/>
      <c r="T175" s="83"/>
      <c r="U175" s="83"/>
      <c r="V175" s="63"/>
      <c r="W175" s="66"/>
      <c r="X175" s="63"/>
      <c r="Y175" s="83"/>
      <c r="Z175" s="63"/>
      <c r="AA175" s="63"/>
      <c r="AB175" s="63"/>
      <c r="AC175" s="63"/>
      <c r="AD175" s="63"/>
      <c r="AE175" s="63"/>
      <c r="AF175" s="63"/>
      <c r="AG175" s="63"/>
      <c r="AH175" s="63"/>
      <c r="AI175" s="63"/>
      <c r="AJ175" s="63"/>
      <c r="AK175" s="63"/>
      <c r="AL175" s="63"/>
      <c r="AM175" s="63"/>
      <c r="AN175" s="63"/>
      <c r="AO175" s="63"/>
      <c r="AP175" s="63"/>
    </row>
    <row r="176" spans="1:42">
      <c r="A176" s="62"/>
      <c r="B176" s="63"/>
      <c r="C176" s="63"/>
      <c r="D176" s="63"/>
      <c r="E176" s="66"/>
      <c r="F176" s="63"/>
      <c r="G176" s="63"/>
      <c r="H176" s="63"/>
      <c r="I176" s="63"/>
      <c r="J176" s="56"/>
      <c r="K176" s="56"/>
      <c r="L176" s="63"/>
      <c r="M176" s="65"/>
      <c r="N176" s="83"/>
      <c r="O176" s="84"/>
      <c r="P176" s="63"/>
      <c r="Q176" s="63"/>
      <c r="R176" s="83"/>
      <c r="S176" s="83"/>
      <c r="T176" s="83"/>
      <c r="U176" s="83"/>
      <c r="V176" s="63"/>
      <c r="W176" s="66"/>
      <c r="X176" s="63"/>
      <c r="Y176" s="83"/>
      <c r="Z176" s="63"/>
      <c r="AA176" s="63"/>
      <c r="AB176" s="63"/>
      <c r="AC176" s="63"/>
      <c r="AD176" s="63"/>
      <c r="AE176" s="63"/>
      <c r="AF176" s="63"/>
      <c r="AG176" s="63"/>
      <c r="AH176" s="63"/>
      <c r="AI176" s="63"/>
      <c r="AJ176" s="63"/>
      <c r="AK176" s="63"/>
      <c r="AL176" s="63"/>
      <c r="AM176" s="63"/>
      <c r="AN176" s="63"/>
      <c r="AO176" s="63"/>
      <c r="AP176" s="63"/>
    </row>
    <row r="177" spans="1:42">
      <c r="A177" s="62"/>
      <c r="B177" s="63"/>
      <c r="C177" s="63"/>
      <c r="D177" s="63"/>
      <c r="E177" s="66"/>
      <c r="F177" s="63"/>
      <c r="G177" s="63"/>
      <c r="H177" s="63"/>
      <c r="I177" s="63"/>
      <c r="J177" s="56"/>
      <c r="K177" s="56"/>
      <c r="L177" s="63"/>
      <c r="M177" s="65"/>
      <c r="N177" s="83"/>
      <c r="O177" s="84"/>
      <c r="P177" s="63"/>
      <c r="Q177" s="63"/>
      <c r="R177" s="83"/>
      <c r="S177" s="83"/>
      <c r="T177" s="83"/>
      <c r="U177" s="83"/>
      <c r="V177" s="63"/>
      <c r="W177" s="66"/>
      <c r="X177" s="63"/>
      <c r="Y177" s="83"/>
      <c r="Z177" s="63"/>
      <c r="AA177" s="63"/>
      <c r="AB177" s="63"/>
      <c r="AC177" s="63"/>
      <c r="AD177" s="63"/>
      <c r="AE177" s="63"/>
      <c r="AF177" s="63"/>
      <c r="AG177" s="63"/>
      <c r="AH177" s="63"/>
      <c r="AI177" s="63"/>
      <c r="AJ177" s="63"/>
      <c r="AK177" s="63"/>
      <c r="AL177" s="63"/>
      <c r="AM177" s="63"/>
      <c r="AN177" s="63"/>
      <c r="AO177" s="63"/>
      <c r="AP177" s="63"/>
    </row>
    <row r="178" spans="1:42">
      <c r="A178" s="62"/>
      <c r="B178" s="63"/>
      <c r="C178" s="63"/>
      <c r="D178" s="63"/>
      <c r="E178" s="66"/>
      <c r="F178" s="63"/>
      <c r="G178" s="63"/>
      <c r="H178" s="63"/>
      <c r="I178" s="63"/>
      <c r="J178" s="56"/>
      <c r="K178" s="56"/>
      <c r="L178" s="63"/>
      <c r="M178" s="65"/>
      <c r="N178" s="83"/>
      <c r="O178" s="84"/>
      <c r="P178" s="63"/>
      <c r="Q178" s="63"/>
      <c r="R178" s="83"/>
      <c r="S178" s="83"/>
      <c r="T178" s="83"/>
      <c r="U178" s="83"/>
      <c r="V178" s="63"/>
      <c r="W178" s="66"/>
      <c r="X178" s="63"/>
      <c r="Y178" s="83"/>
      <c r="Z178" s="63"/>
      <c r="AA178" s="63"/>
      <c r="AB178" s="63"/>
      <c r="AC178" s="63"/>
      <c r="AD178" s="63"/>
      <c r="AE178" s="63"/>
      <c r="AF178" s="63"/>
      <c r="AG178" s="63"/>
      <c r="AH178" s="63"/>
      <c r="AI178" s="63"/>
      <c r="AJ178" s="63"/>
      <c r="AK178" s="63"/>
      <c r="AL178" s="63"/>
      <c r="AM178" s="63"/>
      <c r="AN178" s="63"/>
      <c r="AO178" s="63"/>
      <c r="AP178" s="63"/>
    </row>
    <row r="179" spans="1:42">
      <c r="A179" s="62"/>
      <c r="B179" s="63"/>
      <c r="C179" s="63"/>
      <c r="D179" s="63"/>
      <c r="E179" s="66"/>
      <c r="F179" s="63"/>
      <c r="G179" s="63"/>
      <c r="H179" s="63"/>
      <c r="I179" s="63"/>
      <c r="J179" s="56"/>
      <c r="K179" s="56"/>
      <c r="L179" s="63"/>
      <c r="M179" s="65"/>
      <c r="N179" s="83"/>
      <c r="O179" s="84"/>
      <c r="P179" s="63"/>
      <c r="Q179" s="63"/>
      <c r="R179" s="83"/>
      <c r="S179" s="83"/>
      <c r="T179" s="83"/>
      <c r="U179" s="83"/>
      <c r="V179" s="63"/>
      <c r="W179" s="66"/>
      <c r="X179" s="63"/>
      <c r="Y179" s="83"/>
      <c r="Z179" s="63"/>
      <c r="AA179" s="63"/>
      <c r="AB179" s="63"/>
      <c r="AC179" s="63"/>
      <c r="AD179" s="63"/>
      <c r="AE179" s="63"/>
      <c r="AF179" s="63"/>
      <c r="AG179" s="63"/>
      <c r="AH179" s="63"/>
      <c r="AI179" s="63"/>
      <c r="AJ179" s="63"/>
      <c r="AK179" s="63"/>
      <c r="AL179" s="63"/>
      <c r="AM179" s="63"/>
      <c r="AN179" s="63"/>
      <c r="AO179" s="63"/>
      <c r="AP179" s="63"/>
    </row>
    <row r="180" spans="1:42">
      <c r="A180" s="62"/>
      <c r="B180" s="63"/>
      <c r="C180" s="63"/>
      <c r="D180" s="63"/>
      <c r="E180" s="66"/>
      <c r="F180" s="63"/>
      <c r="G180" s="63"/>
      <c r="H180" s="63"/>
      <c r="I180" s="63"/>
      <c r="J180" s="56"/>
      <c r="K180" s="56"/>
      <c r="L180" s="63"/>
      <c r="M180" s="65"/>
      <c r="N180" s="83"/>
      <c r="O180" s="84"/>
      <c r="P180" s="63"/>
      <c r="Q180" s="63"/>
      <c r="R180" s="83"/>
      <c r="S180" s="83"/>
      <c r="T180" s="83"/>
      <c r="U180" s="83"/>
      <c r="V180" s="63"/>
      <c r="W180" s="66"/>
      <c r="X180" s="63"/>
      <c r="Y180" s="83"/>
      <c r="Z180" s="63"/>
      <c r="AA180" s="63"/>
      <c r="AB180" s="63"/>
      <c r="AC180" s="63"/>
      <c r="AD180" s="63"/>
      <c r="AE180" s="63"/>
      <c r="AF180" s="63"/>
      <c r="AG180" s="63"/>
      <c r="AH180" s="63"/>
      <c r="AI180" s="63"/>
      <c r="AJ180" s="63"/>
      <c r="AK180" s="63"/>
      <c r="AL180" s="63"/>
      <c r="AM180" s="63"/>
      <c r="AN180" s="63"/>
      <c r="AO180" s="63"/>
      <c r="AP180" s="63"/>
    </row>
    <row r="181" spans="1:42">
      <c r="A181" s="62"/>
      <c r="B181" s="63"/>
      <c r="C181" s="63"/>
      <c r="D181" s="63"/>
      <c r="E181" s="66"/>
      <c r="F181" s="63"/>
      <c r="G181" s="63"/>
      <c r="H181" s="63"/>
      <c r="I181" s="63"/>
      <c r="J181" s="56"/>
      <c r="K181" s="56"/>
      <c r="L181" s="63"/>
      <c r="M181" s="65"/>
      <c r="N181" s="83"/>
      <c r="O181" s="84"/>
      <c r="P181" s="63"/>
      <c r="Q181" s="63"/>
      <c r="R181" s="83"/>
      <c r="S181" s="83"/>
      <c r="T181" s="83"/>
      <c r="U181" s="83"/>
      <c r="V181" s="63"/>
      <c r="W181" s="66"/>
      <c r="X181" s="63"/>
      <c r="Y181" s="83"/>
      <c r="Z181" s="63"/>
      <c r="AA181" s="63"/>
      <c r="AB181" s="63"/>
      <c r="AC181" s="63"/>
      <c r="AD181" s="63"/>
      <c r="AE181" s="63"/>
      <c r="AF181" s="63"/>
      <c r="AG181" s="63"/>
      <c r="AH181" s="63"/>
      <c r="AI181" s="63"/>
      <c r="AJ181" s="63"/>
      <c r="AK181" s="63"/>
      <c r="AL181" s="63"/>
      <c r="AM181" s="63"/>
      <c r="AN181" s="63"/>
      <c r="AO181" s="63"/>
      <c r="AP181" s="63"/>
    </row>
    <row r="182" spans="1:42">
      <c r="A182" s="62"/>
      <c r="B182" s="63"/>
      <c r="C182" s="63"/>
      <c r="D182" s="63"/>
      <c r="E182" s="66"/>
      <c r="F182" s="63"/>
      <c r="G182" s="63"/>
      <c r="H182" s="63"/>
      <c r="I182" s="63"/>
      <c r="J182" s="56"/>
      <c r="K182" s="56"/>
      <c r="L182" s="63"/>
      <c r="M182" s="65"/>
      <c r="N182" s="83"/>
      <c r="O182" s="84"/>
      <c r="P182" s="63"/>
      <c r="Q182" s="63"/>
      <c r="R182" s="83"/>
      <c r="S182" s="83"/>
      <c r="T182" s="83"/>
      <c r="U182" s="83"/>
      <c r="V182" s="63"/>
      <c r="W182" s="66"/>
      <c r="X182" s="63"/>
      <c r="Y182" s="83"/>
      <c r="Z182" s="63"/>
      <c r="AA182" s="63"/>
      <c r="AB182" s="63"/>
      <c r="AC182" s="63"/>
      <c r="AD182" s="63"/>
      <c r="AE182" s="63"/>
      <c r="AF182" s="63"/>
      <c r="AG182" s="63"/>
      <c r="AH182" s="63"/>
      <c r="AI182" s="63"/>
      <c r="AJ182" s="63"/>
      <c r="AK182" s="63"/>
      <c r="AL182" s="63"/>
      <c r="AM182" s="63"/>
      <c r="AN182" s="63"/>
      <c r="AO182" s="63"/>
      <c r="AP182" s="63"/>
    </row>
    <row r="183" spans="1:42">
      <c r="A183" s="62"/>
      <c r="B183" s="63"/>
      <c r="C183" s="63"/>
      <c r="D183" s="63"/>
      <c r="E183" s="66"/>
      <c r="F183" s="63"/>
      <c r="G183" s="63"/>
      <c r="H183" s="63"/>
      <c r="I183" s="63"/>
      <c r="J183" s="56"/>
      <c r="K183" s="56"/>
      <c r="L183" s="63"/>
      <c r="M183" s="65"/>
      <c r="N183" s="83"/>
      <c r="O183" s="84"/>
      <c r="P183" s="63"/>
      <c r="Q183" s="63"/>
      <c r="R183" s="83"/>
      <c r="S183" s="83"/>
      <c r="T183" s="83"/>
      <c r="U183" s="83"/>
      <c r="V183" s="63"/>
      <c r="W183" s="66"/>
      <c r="X183" s="63"/>
      <c r="Y183" s="83"/>
      <c r="Z183" s="63"/>
      <c r="AA183" s="63"/>
      <c r="AB183" s="63"/>
      <c r="AC183" s="63"/>
      <c r="AD183" s="63"/>
      <c r="AE183" s="63"/>
      <c r="AF183" s="63"/>
      <c r="AG183" s="63"/>
      <c r="AH183" s="63"/>
      <c r="AI183" s="63"/>
      <c r="AJ183" s="63"/>
      <c r="AK183" s="63"/>
      <c r="AL183" s="63"/>
      <c r="AM183" s="63"/>
      <c r="AN183" s="63"/>
      <c r="AO183" s="63"/>
      <c r="AP183" s="63"/>
    </row>
    <row r="184" spans="1:42">
      <c r="A184" s="62"/>
      <c r="B184" s="63"/>
      <c r="C184" s="63"/>
      <c r="D184" s="63"/>
      <c r="E184" s="66"/>
      <c r="F184" s="63"/>
      <c r="G184" s="63"/>
      <c r="H184" s="63"/>
      <c r="I184" s="63"/>
      <c r="J184" s="56"/>
      <c r="K184" s="56"/>
      <c r="L184" s="63"/>
      <c r="M184" s="65"/>
      <c r="N184" s="83"/>
      <c r="O184" s="84"/>
      <c r="P184" s="63"/>
      <c r="Q184" s="63"/>
      <c r="R184" s="83"/>
      <c r="S184" s="83"/>
      <c r="T184" s="83"/>
      <c r="U184" s="83"/>
      <c r="V184" s="63"/>
      <c r="W184" s="66"/>
      <c r="X184" s="63"/>
      <c r="Y184" s="83"/>
      <c r="Z184" s="63"/>
      <c r="AA184" s="63"/>
      <c r="AB184" s="63"/>
      <c r="AC184" s="63"/>
      <c r="AD184" s="63"/>
      <c r="AE184" s="63"/>
      <c r="AF184" s="63"/>
      <c r="AG184" s="63"/>
      <c r="AH184" s="63"/>
      <c r="AI184" s="63"/>
      <c r="AJ184" s="63"/>
      <c r="AK184" s="63"/>
      <c r="AL184" s="63"/>
      <c r="AM184" s="63"/>
      <c r="AN184" s="63"/>
      <c r="AO184" s="63"/>
      <c r="AP184" s="63"/>
    </row>
    <row r="185" spans="1:42">
      <c r="A185" s="62"/>
      <c r="B185" s="63"/>
      <c r="C185" s="63"/>
      <c r="D185" s="63"/>
      <c r="E185" s="66"/>
      <c r="F185" s="63"/>
      <c r="G185" s="63"/>
      <c r="H185" s="63"/>
      <c r="I185" s="63"/>
      <c r="J185" s="56"/>
      <c r="K185" s="56"/>
      <c r="L185" s="63"/>
      <c r="M185" s="65"/>
      <c r="N185" s="83"/>
      <c r="O185" s="84"/>
      <c r="P185" s="63"/>
      <c r="Q185" s="63"/>
      <c r="R185" s="83"/>
      <c r="S185" s="83"/>
      <c r="T185" s="83"/>
      <c r="U185" s="83"/>
      <c r="V185" s="63"/>
      <c r="W185" s="66"/>
      <c r="X185" s="63"/>
      <c r="Y185" s="83"/>
      <c r="Z185" s="63"/>
      <c r="AA185" s="63"/>
      <c r="AB185" s="63"/>
      <c r="AC185" s="63"/>
      <c r="AD185" s="63"/>
      <c r="AE185" s="63"/>
      <c r="AF185" s="63"/>
      <c r="AG185" s="63"/>
      <c r="AH185" s="63"/>
      <c r="AI185" s="63"/>
      <c r="AJ185" s="63"/>
      <c r="AK185" s="63"/>
      <c r="AL185" s="63"/>
      <c r="AM185" s="63"/>
      <c r="AN185" s="63"/>
      <c r="AO185" s="63"/>
      <c r="AP185" s="63"/>
    </row>
    <row r="186" spans="1:42">
      <c r="A186" s="62"/>
      <c r="B186" s="63"/>
      <c r="C186" s="63"/>
      <c r="D186" s="63"/>
      <c r="E186" s="66"/>
      <c r="F186" s="63"/>
      <c r="G186" s="63"/>
      <c r="H186" s="63"/>
      <c r="I186" s="63"/>
      <c r="J186" s="56"/>
      <c r="K186" s="56"/>
      <c r="L186" s="63"/>
      <c r="M186" s="65"/>
      <c r="N186" s="83"/>
      <c r="O186" s="84"/>
      <c r="P186" s="63"/>
      <c r="Q186" s="63"/>
      <c r="R186" s="83"/>
      <c r="S186" s="83"/>
      <c r="T186" s="83"/>
      <c r="U186" s="83"/>
      <c r="V186" s="63"/>
      <c r="W186" s="66"/>
      <c r="X186" s="63"/>
      <c r="Y186" s="83"/>
      <c r="Z186" s="63"/>
      <c r="AA186" s="63"/>
      <c r="AB186" s="63"/>
      <c r="AC186" s="63"/>
      <c r="AD186" s="63"/>
      <c r="AE186" s="63"/>
      <c r="AF186" s="63"/>
      <c r="AG186" s="63"/>
      <c r="AH186" s="63"/>
      <c r="AI186" s="63"/>
      <c r="AJ186" s="63"/>
      <c r="AK186" s="63"/>
      <c r="AL186" s="63"/>
      <c r="AM186" s="63"/>
      <c r="AN186" s="63"/>
      <c r="AO186" s="63"/>
      <c r="AP186" s="63"/>
    </row>
    <row r="187" spans="1:42">
      <c r="A187" s="62"/>
      <c r="B187" s="63"/>
      <c r="C187" s="63"/>
      <c r="D187" s="63"/>
      <c r="E187" s="66"/>
      <c r="F187" s="63"/>
      <c r="G187" s="63"/>
      <c r="H187" s="63"/>
      <c r="I187" s="63"/>
      <c r="J187" s="56"/>
      <c r="K187" s="56"/>
      <c r="L187" s="63"/>
      <c r="M187" s="65"/>
      <c r="N187" s="83"/>
      <c r="O187" s="84"/>
      <c r="P187" s="63"/>
      <c r="Q187" s="63"/>
      <c r="R187" s="83"/>
      <c r="S187" s="83"/>
      <c r="T187" s="83"/>
      <c r="U187" s="83"/>
      <c r="V187" s="63"/>
      <c r="W187" s="66"/>
      <c r="X187" s="63"/>
      <c r="Y187" s="83"/>
      <c r="Z187" s="63"/>
      <c r="AA187" s="63"/>
      <c r="AB187" s="63"/>
      <c r="AC187" s="63"/>
      <c r="AD187" s="63"/>
      <c r="AE187" s="63"/>
      <c r="AF187" s="63"/>
      <c r="AG187" s="63"/>
      <c r="AH187" s="63"/>
      <c r="AI187" s="63"/>
      <c r="AJ187" s="63"/>
      <c r="AK187" s="63"/>
      <c r="AL187" s="63"/>
      <c r="AM187" s="63"/>
      <c r="AN187" s="63"/>
      <c r="AO187" s="63"/>
      <c r="AP187" s="63"/>
    </row>
    <row r="188" spans="1:42">
      <c r="A188" s="62"/>
      <c r="B188" s="63"/>
      <c r="C188" s="63"/>
      <c r="D188" s="63"/>
      <c r="E188" s="66"/>
      <c r="F188" s="63"/>
      <c r="G188" s="63"/>
      <c r="H188" s="63"/>
      <c r="I188" s="63"/>
      <c r="J188" s="56"/>
      <c r="K188" s="56"/>
      <c r="L188" s="63"/>
      <c r="M188" s="65"/>
      <c r="N188" s="83"/>
      <c r="O188" s="84"/>
      <c r="P188" s="63"/>
      <c r="Q188" s="63"/>
      <c r="R188" s="83"/>
      <c r="S188" s="83"/>
      <c r="T188" s="83"/>
      <c r="U188" s="83"/>
      <c r="V188" s="63"/>
      <c r="W188" s="66"/>
      <c r="X188" s="63"/>
      <c r="Y188" s="83"/>
      <c r="Z188" s="63"/>
      <c r="AA188" s="63"/>
      <c r="AB188" s="63"/>
      <c r="AC188" s="63"/>
      <c r="AD188" s="63"/>
      <c r="AE188" s="63"/>
      <c r="AF188" s="63"/>
      <c r="AG188" s="63"/>
      <c r="AH188" s="63"/>
      <c r="AI188" s="63"/>
      <c r="AJ188" s="63"/>
      <c r="AK188" s="63"/>
      <c r="AL188" s="63"/>
      <c r="AM188" s="63"/>
      <c r="AN188" s="63"/>
      <c r="AO188" s="63"/>
      <c r="AP188" s="63"/>
    </row>
    <row r="189" spans="1:42">
      <c r="A189" s="62"/>
      <c r="B189" s="63"/>
      <c r="C189" s="63"/>
      <c r="D189" s="63"/>
      <c r="E189" s="66"/>
      <c r="F189" s="63"/>
      <c r="G189" s="63"/>
      <c r="H189" s="63"/>
      <c r="I189" s="63"/>
      <c r="J189" s="56"/>
      <c r="K189" s="56"/>
      <c r="L189" s="63"/>
      <c r="M189" s="65"/>
      <c r="N189" s="83"/>
      <c r="O189" s="84"/>
      <c r="P189" s="63"/>
      <c r="Q189" s="63"/>
      <c r="R189" s="83"/>
      <c r="S189" s="83"/>
      <c r="T189" s="83"/>
      <c r="U189" s="83"/>
      <c r="V189" s="63"/>
      <c r="W189" s="66"/>
      <c r="X189" s="63"/>
      <c r="Y189" s="83"/>
      <c r="Z189" s="63"/>
      <c r="AA189" s="63"/>
      <c r="AB189" s="63"/>
      <c r="AC189" s="63"/>
      <c r="AD189" s="63"/>
      <c r="AE189" s="63"/>
      <c r="AF189" s="63"/>
      <c r="AG189" s="63"/>
      <c r="AH189" s="63"/>
      <c r="AI189" s="63"/>
      <c r="AJ189" s="63"/>
      <c r="AK189" s="63"/>
      <c r="AL189" s="63"/>
      <c r="AM189" s="63"/>
      <c r="AN189" s="63"/>
      <c r="AO189" s="63"/>
      <c r="AP189" s="63"/>
    </row>
    <row r="190" spans="1:42">
      <c r="A190" s="62"/>
      <c r="B190" s="63"/>
      <c r="C190" s="63"/>
      <c r="D190" s="63"/>
      <c r="E190" s="66"/>
      <c r="F190" s="63"/>
      <c r="G190" s="63"/>
      <c r="H190" s="63"/>
      <c r="I190" s="63"/>
      <c r="J190" s="56"/>
      <c r="K190" s="56"/>
      <c r="L190" s="63"/>
      <c r="M190" s="65"/>
      <c r="N190" s="83"/>
      <c r="O190" s="84"/>
      <c r="P190" s="63"/>
      <c r="Q190" s="63"/>
      <c r="R190" s="83"/>
      <c r="S190" s="83"/>
      <c r="T190" s="83"/>
      <c r="U190" s="83"/>
      <c r="V190" s="63"/>
      <c r="W190" s="83"/>
      <c r="X190" s="63"/>
      <c r="Y190" s="83"/>
      <c r="Z190" s="63"/>
      <c r="AA190" s="63"/>
      <c r="AB190" s="63"/>
      <c r="AC190" s="63"/>
      <c r="AD190" s="63"/>
      <c r="AE190" s="63"/>
      <c r="AF190" s="63"/>
      <c r="AG190" s="63"/>
      <c r="AH190" s="63"/>
      <c r="AI190" s="63"/>
      <c r="AJ190" s="63"/>
      <c r="AK190" s="63"/>
      <c r="AL190" s="63"/>
      <c r="AM190" s="63"/>
      <c r="AN190" s="63"/>
      <c r="AO190" s="63"/>
      <c r="AP190" s="63"/>
    </row>
    <row r="191" spans="1:42">
      <c r="A191" s="62"/>
      <c r="B191" s="63"/>
      <c r="C191" s="63"/>
      <c r="D191" s="63"/>
      <c r="E191" s="66"/>
      <c r="F191" s="63"/>
      <c r="G191" s="63"/>
      <c r="H191" s="63"/>
      <c r="I191" s="63"/>
      <c r="J191" s="56"/>
      <c r="K191" s="56"/>
      <c r="L191" s="63"/>
      <c r="M191" s="65"/>
      <c r="N191" s="83"/>
      <c r="O191" s="84"/>
      <c r="P191" s="63"/>
      <c r="Q191" s="63"/>
      <c r="R191" s="83"/>
      <c r="S191" s="83"/>
      <c r="T191" s="83"/>
      <c r="U191" s="83"/>
      <c r="V191" s="63"/>
      <c r="W191" s="83"/>
      <c r="X191" s="63"/>
      <c r="Y191" s="83"/>
      <c r="Z191" s="63"/>
      <c r="AA191" s="63"/>
      <c r="AB191" s="63"/>
      <c r="AC191" s="63"/>
      <c r="AD191" s="63"/>
      <c r="AE191" s="63"/>
      <c r="AF191" s="63"/>
      <c r="AG191" s="63"/>
      <c r="AH191" s="63"/>
      <c r="AI191" s="63"/>
      <c r="AJ191" s="63"/>
      <c r="AK191" s="63"/>
      <c r="AL191" s="63"/>
      <c r="AM191" s="63"/>
      <c r="AN191" s="63"/>
      <c r="AO191" s="63"/>
      <c r="AP191" s="63"/>
    </row>
    <row r="192" spans="1:42">
      <c r="A192" s="62"/>
      <c r="B192" s="63"/>
      <c r="C192" s="63"/>
      <c r="D192" s="63"/>
      <c r="E192" s="66"/>
      <c r="F192" s="63"/>
      <c r="G192" s="63"/>
      <c r="H192" s="63"/>
      <c r="I192" s="63"/>
      <c r="J192" s="56"/>
      <c r="K192" s="56"/>
      <c r="L192" s="63"/>
      <c r="M192" s="65"/>
      <c r="N192" s="83"/>
      <c r="O192" s="84"/>
      <c r="P192" s="63"/>
      <c r="Q192" s="63"/>
      <c r="R192" s="83"/>
      <c r="S192" s="83"/>
      <c r="T192" s="83"/>
      <c r="U192" s="83"/>
      <c r="V192" s="63"/>
      <c r="W192" s="66"/>
      <c r="X192" s="63"/>
      <c r="Y192" s="83"/>
      <c r="Z192" s="63"/>
      <c r="AA192" s="63"/>
      <c r="AB192" s="63"/>
      <c r="AC192" s="63"/>
      <c r="AD192" s="63"/>
      <c r="AE192" s="63"/>
      <c r="AF192" s="63"/>
      <c r="AG192" s="63"/>
      <c r="AH192" s="63"/>
      <c r="AI192" s="63"/>
      <c r="AJ192" s="63"/>
      <c r="AK192" s="63"/>
      <c r="AL192" s="63"/>
      <c r="AM192" s="63"/>
      <c r="AN192" s="63"/>
      <c r="AO192" s="63"/>
      <c r="AP192" s="63"/>
    </row>
    <row r="193" spans="1:42">
      <c r="A193" s="62"/>
      <c r="B193" s="63"/>
      <c r="C193" s="63"/>
      <c r="D193" s="63"/>
      <c r="E193" s="66"/>
      <c r="F193" s="63"/>
      <c r="G193" s="63"/>
      <c r="H193" s="63"/>
      <c r="I193" s="63"/>
      <c r="J193" s="56"/>
      <c r="K193" s="56"/>
      <c r="L193" s="63"/>
      <c r="M193" s="65"/>
      <c r="N193" s="83"/>
      <c r="O193" s="84"/>
      <c r="P193" s="63"/>
      <c r="Q193" s="63"/>
      <c r="R193" s="83"/>
      <c r="S193" s="83"/>
      <c r="T193" s="83"/>
      <c r="U193" s="83"/>
      <c r="V193" s="63"/>
      <c r="W193" s="66"/>
      <c r="X193" s="63"/>
      <c r="Y193" s="83"/>
      <c r="Z193" s="63"/>
      <c r="AA193" s="63"/>
      <c r="AB193" s="63"/>
      <c r="AC193" s="63"/>
      <c r="AD193" s="63"/>
      <c r="AE193" s="63"/>
      <c r="AF193" s="63"/>
      <c r="AG193" s="63"/>
      <c r="AH193" s="63"/>
      <c r="AI193" s="63"/>
      <c r="AJ193" s="63"/>
      <c r="AK193" s="63"/>
      <c r="AL193" s="63"/>
      <c r="AM193" s="63"/>
      <c r="AN193" s="63"/>
      <c r="AO193" s="63"/>
      <c r="AP193" s="63"/>
    </row>
    <row r="194" spans="1:42">
      <c r="A194" s="62"/>
      <c r="B194" s="63"/>
      <c r="C194" s="63"/>
      <c r="D194" s="63"/>
      <c r="E194" s="66"/>
      <c r="F194" s="63"/>
      <c r="G194" s="63"/>
      <c r="H194" s="63"/>
      <c r="I194" s="63"/>
      <c r="J194" s="56"/>
      <c r="K194" s="56"/>
      <c r="L194" s="63"/>
      <c r="M194" s="65"/>
      <c r="N194" s="83"/>
      <c r="O194" s="84"/>
      <c r="P194" s="63"/>
      <c r="Q194" s="63"/>
      <c r="R194" s="83"/>
      <c r="S194" s="83"/>
      <c r="T194" s="83"/>
      <c r="U194" s="83"/>
      <c r="V194" s="63"/>
      <c r="W194" s="66"/>
      <c r="X194" s="63"/>
      <c r="Y194" s="83"/>
      <c r="Z194" s="63"/>
      <c r="AA194" s="63"/>
      <c r="AB194" s="63"/>
      <c r="AC194" s="63"/>
      <c r="AD194" s="63"/>
      <c r="AE194" s="63"/>
      <c r="AF194" s="63"/>
      <c r="AG194" s="63"/>
      <c r="AH194" s="63"/>
      <c r="AI194" s="63"/>
      <c r="AJ194" s="63"/>
      <c r="AK194" s="63"/>
      <c r="AL194" s="63"/>
      <c r="AM194" s="63"/>
      <c r="AN194" s="63"/>
      <c r="AO194" s="63"/>
      <c r="AP194" s="63"/>
    </row>
    <row r="195" spans="1:42">
      <c r="A195" s="62"/>
      <c r="B195" s="63"/>
      <c r="C195" s="63"/>
      <c r="D195" s="63"/>
      <c r="E195" s="66"/>
      <c r="F195" s="63"/>
      <c r="G195" s="63"/>
      <c r="H195" s="63"/>
      <c r="I195" s="63"/>
      <c r="J195" s="56"/>
      <c r="K195" s="56"/>
      <c r="L195" s="63"/>
      <c r="M195" s="65"/>
      <c r="N195" s="83"/>
      <c r="O195" s="84"/>
      <c r="P195" s="63"/>
      <c r="Q195" s="63"/>
      <c r="R195" s="83"/>
      <c r="S195" s="83"/>
      <c r="T195" s="83"/>
      <c r="U195" s="83"/>
      <c r="V195" s="63"/>
      <c r="W195" s="66"/>
      <c r="X195" s="63"/>
      <c r="Y195" s="83"/>
      <c r="Z195" s="63"/>
      <c r="AA195" s="63"/>
      <c r="AB195" s="63"/>
      <c r="AC195" s="63"/>
      <c r="AD195" s="63"/>
      <c r="AE195" s="63"/>
      <c r="AF195" s="63"/>
      <c r="AG195" s="63"/>
      <c r="AH195" s="63"/>
      <c r="AI195" s="63"/>
      <c r="AJ195" s="63"/>
      <c r="AK195" s="63"/>
      <c r="AL195" s="63"/>
      <c r="AM195" s="63"/>
      <c r="AN195" s="63"/>
      <c r="AO195" s="63"/>
      <c r="AP195" s="63"/>
    </row>
    <row r="196" spans="1:42">
      <c r="A196" s="62"/>
      <c r="B196" s="63"/>
      <c r="C196" s="63"/>
      <c r="D196" s="63"/>
      <c r="E196" s="66"/>
      <c r="F196" s="63"/>
      <c r="G196" s="63"/>
      <c r="H196" s="63"/>
      <c r="I196" s="63"/>
      <c r="J196" s="56"/>
      <c r="K196" s="56"/>
      <c r="L196" s="63"/>
      <c r="M196" s="65"/>
      <c r="N196" s="83"/>
      <c r="O196" s="84"/>
      <c r="P196" s="63"/>
      <c r="Q196" s="63"/>
      <c r="R196" s="83"/>
      <c r="S196" s="83"/>
      <c r="T196" s="83"/>
      <c r="U196" s="83"/>
      <c r="V196" s="63"/>
      <c r="W196" s="83"/>
      <c r="X196" s="63"/>
      <c r="Y196" s="83"/>
      <c r="Z196" s="63"/>
      <c r="AA196" s="63"/>
      <c r="AB196" s="63"/>
      <c r="AC196" s="63"/>
      <c r="AD196" s="63"/>
      <c r="AE196" s="63"/>
      <c r="AF196" s="63"/>
      <c r="AG196" s="63"/>
      <c r="AH196" s="63"/>
      <c r="AI196" s="63"/>
      <c r="AJ196" s="63"/>
      <c r="AK196" s="63"/>
      <c r="AL196" s="63"/>
      <c r="AM196" s="63"/>
      <c r="AN196" s="63"/>
      <c r="AO196" s="63"/>
      <c r="AP196" s="63"/>
    </row>
    <row r="197" spans="1:42">
      <c r="A197" s="62"/>
      <c r="B197" s="63"/>
      <c r="C197" s="63"/>
      <c r="D197" s="63"/>
      <c r="E197" s="66"/>
      <c r="F197" s="63"/>
      <c r="G197" s="63"/>
      <c r="H197" s="63"/>
      <c r="I197" s="63"/>
      <c r="J197" s="56"/>
      <c r="K197" s="56"/>
      <c r="L197" s="63"/>
      <c r="M197" s="65"/>
      <c r="N197" s="83"/>
      <c r="O197" s="84"/>
      <c r="P197" s="63"/>
      <c r="Q197" s="63"/>
      <c r="R197" s="83"/>
      <c r="S197" s="83"/>
      <c r="T197" s="83"/>
      <c r="U197" s="83"/>
      <c r="V197" s="63"/>
      <c r="W197" s="83"/>
      <c r="X197" s="63"/>
      <c r="Y197" s="83"/>
      <c r="Z197" s="63"/>
      <c r="AA197" s="63"/>
      <c r="AB197" s="63"/>
      <c r="AC197" s="63"/>
      <c r="AD197" s="63"/>
      <c r="AE197" s="63"/>
      <c r="AF197" s="63"/>
      <c r="AG197" s="63"/>
      <c r="AH197" s="63"/>
      <c r="AI197" s="63"/>
      <c r="AJ197" s="63"/>
      <c r="AK197" s="63"/>
      <c r="AL197" s="63"/>
      <c r="AM197" s="63"/>
      <c r="AN197" s="63"/>
      <c r="AO197" s="63"/>
      <c r="AP197" s="63"/>
    </row>
    <row r="198" spans="1:42">
      <c r="A198" s="62"/>
      <c r="B198" s="63"/>
      <c r="C198" s="63"/>
      <c r="D198" s="63"/>
      <c r="E198" s="66"/>
      <c r="F198" s="63"/>
      <c r="G198" s="63"/>
      <c r="H198" s="63"/>
      <c r="I198" s="63"/>
      <c r="J198" s="56"/>
      <c r="K198" s="56"/>
      <c r="L198" s="63"/>
      <c r="M198" s="65"/>
      <c r="N198" s="83"/>
      <c r="O198" s="84"/>
      <c r="P198" s="63"/>
      <c r="Q198" s="63"/>
      <c r="R198" s="83"/>
      <c r="S198" s="83"/>
      <c r="T198" s="83"/>
      <c r="U198" s="83"/>
      <c r="V198" s="63"/>
      <c r="W198" s="83"/>
      <c r="X198" s="63"/>
      <c r="Y198" s="83"/>
      <c r="Z198" s="63"/>
      <c r="AA198" s="63"/>
      <c r="AB198" s="63"/>
      <c r="AC198" s="63"/>
      <c r="AD198" s="63"/>
      <c r="AE198" s="63"/>
      <c r="AF198" s="63"/>
      <c r="AG198" s="63"/>
      <c r="AH198" s="63"/>
      <c r="AI198" s="63"/>
      <c r="AJ198" s="63"/>
      <c r="AK198" s="63"/>
      <c r="AL198" s="63"/>
      <c r="AM198" s="63"/>
      <c r="AN198" s="63"/>
      <c r="AO198" s="63"/>
      <c r="AP198" s="63"/>
    </row>
    <row r="199" spans="1:42">
      <c r="A199" s="62"/>
      <c r="B199" s="63"/>
      <c r="C199" s="63"/>
      <c r="D199" s="63"/>
      <c r="E199" s="66"/>
      <c r="F199" s="63"/>
      <c r="G199" s="63"/>
      <c r="H199" s="63"/>
      <c r="I199" s="63"/>
      <c r="J199" s="56"/>
      <c r="K199" s="56"/>
      <c r="L199" s="63"/>
      <c r="M199" s="65"/>
      <c r="N199" s="83"/>
      <c r="O199" s="84"/>
      <c r="P199" s="63"/>
      <c r="Q199" s="63"/>
      <c r="R199" s="83"/>
      <c r="S199" s="83"/>
      <c r="T199" s="83"/>
      <c r="U199" s="83"/>
      <c r="V199" s="63"/>
      <c r="W199" s="83"/>
      <c r="X199" s="63"/>
      <c r="Y199" s="83"/>
      <c r="Z199" s="63"/>
      <c r="AA199" s="63"/>
      <c r="AB199" s="63"/>
      <c r="AC199" s="63"/>
      <c r="AD199" s="63"/>
      <c r="AE199" s="63"/>
      <c r="AF199" s="63"/>
      <c r="AG199" s="63"/>
      <c r="AH199" s="63"/>
      <c r="AI199" s="63"/>
      <c r="AJ199" s="63"/>
      <c r="AK199" s="63"/>
      <c r="AL199" s="63"/>
      <c r="AM199" s="63"/>
      <c r="AN199" s="63"/>
      <c r="AO199" s="63"/>
      <c r="AP199" s="63"/>
    </row>
    <row r="200" spans="1:42">
      <c r="A200" s="62"/>
      <c r="B200" s="63"/>
      <c r="C200" s="63"/>
      <c r="D200" s="63"/>
      <c r="E200" s="66"/>
      <c r="F200" s="63"/>
      <c r="G200" s="63"/>
      <c r="H200" s="63"/>
      <c r="I200" s="63"/>
      <c r="J200" s="56"/>
      <c r="K200" s="56"/>
      <c r="L200" s="63"/>
      <c r="M200" s="65"/>
      <c r="N200" s="83"/>
      <c r="O200" s="84"/>
      <c r="P200" s="63"/>
      <c r="Q200" s="63"/>
      <c r="R200" s="83"/>
      <c r="S200" s="83"/>
      <c r="T200" s="83"/>
      <c r="U200" s="83"/>
      <c r="V200" s="63"/>
      <c r="W200" s="83"/>
      <c r="X200" s="63"/>
      <c r="Y200" s="83"/>
      <c r="Z200" s="63"/>
      <c r="AA200" s="63"/>
      <c r="AB200" s="63"/>
      <c r="AC200" s="63"/>
      <c r="AD200" s="63"/>
      <c r="AE200" s="63"/>
      <c r="AF200" s="63"/>
      <c r="AG200" s="63"/>
      <c r="AH200" s="63"/>
      <c r="AI200" s="63"/>
      <c r="AJ200" s="63"/>
      <c r="AK200" s="63"/>
      <c r="AL200" s="63"/>
      <c r="AM200" s="63"/>
      <c r="AN200" s="63"/>
      <c r="AO200" s="63"/>
      <c r="AP200" s="63"/>
    </row>
    <row r="201" spans="1:42">
      <c r="A201" s="62"/>
      <c r="B201" s="63"/>
      <c r="C201" s="63"/>
      <c r="D201" s="63"/>
      <c r="E201" s="66"/>
      <c r="F201" s="63"/>
      <c r="G201" s="63"/>
      <c r="H201" s="63"/>
      <c r="I201" s="63"/>
      <c r="J201" s="56"/>
      <c r="K201" s="56"/>
      <c r="L201" s="63"/>
      <c r="M201" s="65"/>
      <c r="N201" s="83"/>
      <c r="O201" s="84"/>
      <c r="P201" s="63"/>
      <c r="Q201" s="63"/>
      <c r="R201" s="83"/>
      <c r="S201" s="83"/>
      <c r="T201" s="83"/>
      <c r="U201" s="83"/>
      <c r="V201" s="63"/>
      <c r="W201" s="83"/>
      <c r="X201" s="63"/>
      <c r="Y201" s="83"/>
      <c r="Z201" s="63"/>
      <c r="AA201" s="63"/>
      <c r="AB201" s="63"/>
      <c r="AC201" s="63"/>
      <c r="AD201" s="63"/>
      <c r="AE201" s="63"/>
      <c r="AF201" s="63"/>
      <c r="AG201" s="63"/>
      <c r="AH201" s="63"/>
      <c r="AI201" s="63"/>
      <c r="AJ201" s="63"/>
      <c r="AK201" s="63"/>
      <c r="AL201" s="63"/>
      <c r="AM201" s="63"/>
      <c r="AN201" s="63"/>
      <c r="AO201" s="63"/>
      <c r="AP201" s="63"/>
    </row>
    <row r="202" spans="1:42">
      <c r="A202" s="62"/>
      <c r="B202" s="63"/>
      <c r="C202" s="63"/>
      <c r="D202" s="63"/>
      <c r="E202" s="66"/>
      <c r="F202" s="63"/>
      <c r="G202" s="63"/>
      <c r="H202" s="63"/>
      <c r="I202" s="63"/>
      <c r="J202" s="56"/>
      <c r="K202" s="56"/>
      <c r="L202" s="63"/>
      <c r="M202" s="65"/>
      <c r="N202" s="83"/>
      <c r="O202" s="84"/>
      <c r="P202" s="63"/>
      <c r="Q202" s="63"/>
      <c r="R202" s="83"/>
      <c r="S202" s="83"/>
      <c r="T202" s="83"/>
      <c r="U202" s="83"/>
      <c r="V202" s="63"/>
      <c r="W202" s="83"/>
      <c r="X202" s="63"/>
      <c r="Y202" s="83"/>
      <c r="Z202" s="63"/>
      <c r="AA202" s="63"/>
      <c r="AB202" s="63"/>
      <c r="AC202" s="63"/>
      <c r="AD202" s="63"/>
      <c r="AE202" s="63"/>
      <c r="AF202" s="63"/>
      <c r="AG202" s="63"/>
      <c r="AH202" s="63"/>
      <c r="AI202" s="63"/>
      <c r="AJ202" s="63"/>
      <c r="AK202" s="63"/>
      <c r="AL202" s="63"/>
      <c r="AM202" s="63"/>
      <c r="AN202" s="63"/>
      <c r="AO202" s="63"/>
      <c r="AP202" s="63"/>
    </row>
    <row r="203" spans="1:42">
      <c r="A203" s="62"/>
      <c r="B203" s="63"/>
      <c r="C203" s="63"/>
      <c r="D203" s="63"/>
      <c r="E203" s="66"/>
      <c r="F203" s="63"/>
      <c r="G203" s="63"/>
      <c r="H203" s="63"/>
      <c r="I203" s="63"/>
      <c r="J203" s="56"/>
      <c r="K203" s="56"/>
      <c r="L203" s="63"/>
      <c r="M203" s="65"/>
      <c r="N203" s="83"/>
      <c r="O203" s="84"/>
      <c r="P203" s="63"/>
      <c r="Q203" s="63"/>
      <c r="R203" s="83"/>
      <c r="S203" s="83"/>
      <c r="T203" s="83"/>
      <c r="U203" s="83"/>
      <c r="V203" s="63"/>
      <c r="W203" s="83"/>
      <c r="X203" s="63"/>
      <c r="Y203" s="83"/>
      <c r="Z203" s="63"/>
      <c r="AA203" s="63"/>
      <c r="AB203" s="63"/>
      <c r="AC203" s="63"/>
      <c r="AD203" s="63"/>
      <c r="AE203" s="63"/>
      <c r="AF203" s="63"/>
      <c r="AG203" s="63"/>
      <c r="AH203" s="63"/>
      <c r="AI203" s="63"/>
      <c r="AJ203" s="63"/>
      <c r="AK203" s="63"/>
      <c r="AL203" s="63"/>
      <c r="AM203" s="63"/>
      <c r="AN203" s="63"/>
      <c r="AO203" s="63"/>
      <c r="AP203" s="63"/>
    </row>
    <row r="204" spans="1:42">
      <c r="A204" s="62"/>
      <c r="B204" s="63"/>
      <c r="C204" s="63"/>
      <c r="D204" s="63"/>
      <c r="E204" s="66"/>
      <c r="F204" s="63"/>
      <c r="G204" s="63"/>
      <c r="H204" s="63"/>
      <c r="I204" s="63"/>
      <c r="J204" s="56"/>
      <c r="K204" s="56"/>
      <c r="L204" s="63"/>
      <c r="M204" s="65"/>
      <c r="N204" s="83"/>
      <c r="O204" s="84"/>
      <c r="P204" s="63"/>
      <c r="Q204" s="63"/>
      <c r="R204" s="83"/>
      <c r="S204" s="83"/>
      <c r="T204" s="83"/>
      <c r="U204" s="83"/>
      <c r="V204" s="63"/>
      <c r="W204" s="83"/>
      <c r="X204" s="63"/>
      <c r="Y204" s="83"/>
      <c r="Z204" s="63"/>
      <c r="AA204" s="63"/>
      <c r="AB204" s="63"/>
      <c r="AC204" s="63"/>
      <c r="AD204" s="63"/>
      <c r="AE204" s="63"/>
      <c r="AF204" s="63"/>
      <c r="AG204" s="63"/>
      <c r="AH204" s="63"/>
      <c r="AI204" s="63"/>
      <c r="AJ204" s="63"/>
      <c r="AK204" s="63"/>
      <c r="AL204" s="63"/>
      <c r="AM204" s="63"/>
      <c r="AN204" s="63"/>
      <c r="AO204" s="63"/>
      <c r="AP204" s="63"/>
    </row>
    <row r="205" spans="1:42">
      <c r="A205" s="62"/>
      <c r="B205" s="63"/>
      <c r="C205" s="63"/>
      <c r="D205" s="63"/>
      <c r="E205" s="66"/>
      <c r="F205" s="63"/>
      <c r="G205" s="63"/>
      <c r="H205" s="63"/>
      <c r="I205" s="63"/>
      <c r="J205" s="56"/>
      <c r="K205" s="56"/>
      <c r="L205" s="63"/>
      <c r="M205" s="65"/>
      <c r="N205" s="83"/>
      <c r="O205" s="84"/>
      <c r="P205" s="63"/>
      <c r="Q205" s="63"/>
      <c r="R205" s="83"/>
      <c r="S205" s="83"/>
      <c r="T205" s="83"/>
      <c r="U205" s="83"/>
      <c r="V205" s="63"/>
      <c r="W205" s="83"/>
      <c r="X205" s="63"/>
      <c r="Y205" s="83"/>
      <c r="Z205" s="63"/>
      <c r="AA205" s="63"/>
      <c r="AB205" s="63"/>
      <c r="AC205" s="63"/>
      <c r="AD205" s="63"/>
      <c r="AE205" s="63"/>
      <c r="AF205" s="63"/>
      <c r="AG205" s="63"/>
      <c r="AH205" s="63"/>
      <c r="AI205" s="63"/>
      <c r="AJ205" s="63"/>
      <c r="AK205" s="63"/>
      <c r="AL205" s="63"/>
      <c r="AM205" s="63"/>
      <c r="AN205" s="63"/>
      <c r="AO205" s="63"/>
      <c r="AP205" s="63"/>
    </row>
    <row r="206" spans="1:42">
      <c r="A206" s="62"/>
      <c r="B206" s="63"/>
      <c r="C206" s="63"/>
      <c r="D206" s="63"/>
      <c r="E206" s="66"/>
      <c r="F206" s="63"/>
      <c r="G206" s="63"/>
      <c r="H206" s="63"/>
      <c r="I206" s="63"/>
      <c r="J206" s="56"/>
      <c r="K206" s="56"/>
      <c r="L206" s="63"/>
      <c r="M206" s="65"/>
      <c r="N206" s="83"/>
      <c r="O206" s="84"/>
      <c r="P206" s="63"/>
      <c r="Q206" s="63"/>
      <c r="R206" s="83"/>
      <c r="S206" s="83"/>
      <c r="T206" s="83"/>
      <c r="U206" s="83"/>
      <c r="V206" s="63"/>
      <c r="W206" s="83"/>
      <c r="X206" s="63"/>
      <c r="Y206" s="83"/>
      <c r="Z206" s="63"/>
      <c r="AA206" s="63"/>
      <c r="AB206" s="63"/>
      <c r="AC206" s="63"/>
      <c r="AD206" s="63"/>
      <c r="AE206" s="63"/>
      <c r="AF206" s="63"/>
      <c r="AG206" s="63"/>
      <c r="AH206" s="63"/>
      <c r="AI206" s="63"/>
      <c r="AJ206" s="63"/>
      <c r="AK206" s="63"/>
      <c r="AL206" s="63"/>
      <c r="AM206" s="63"/>
      <c r="AN206" s="63"/>
      <c r="AO206" s="63"/>
      <c r="AP206" s="63"/>
    </row>
    <row r="207" spans="1:42">
      <c r="A207" s="62"/>
      <c r="B207" s="63"/>
      <c r="C207" s="63"/>
      <c r="D207" s="63"/>
      <c r="E207" s="66"/>
      <c r="F207" s="63"/>
      <c r="G207" s="63"/>
      <c r="H207" s="63"/>
      <c r="I207" s="63"/>
      <c r="J207" s="56"/>
      <c r="K207" s="56"/>
      <c r="L207" s="63"/>
      <c r="M207" s="65"/>
      <c r="N207" s="83"/>
      <c r="O207" s="84"/>
      <c r="P207" s="63"/>
      <c r="Q207" s="63"/>
      <c r="R207" s="83"/>
      <c r="S207" s="83"/>
      <c r="T207" s="83"/>
      <c r="U207" s="83"/>
      <c r="V207" s="63"/>
      <c r="W207" s="83"/>
      <c r="X207" s="63"/>
      <c r="Y207" s="83"/>
      <c r="Z207" s="63"/>
      <c r="AA207" s="63"/>
      <c r="AB207" s="63"/>
      <c r="AC207" s="63"/>
      <c r="AD207" s="63"/>
      <c r="AE207" s="63"/>
      <c r="AF207" s="63"/>
      <c r="AG207" s="63"/>
      <c r="AH207" s="63"/>
      <c r="AI207" s="63"/>
      <c r="AJ207" s="63"/>
      <c r="AK207" s="63"/>
      <c r="AL207" s="63"/>
      <c r="AM207" s="63"/>
      <c r="AN207" s="63"/>
      <c r="AO207" s="63"/>
      <c r="AP207" s="63"/>
    </row>
    <row r="208" spans="1:42">
      <c r="A208" s="62"/>
      <c r="B208" s="63"/>
      <c r="C208" s="63"/>
      <c r="D208" s="63"/>
      <c r="E208" s="66"/>
      <c r="F208" s="63"/>
      <c r="G208" s="63"/>
      <c r="H208" s="63"/>
      <c r="I208" s="63"/>
      <c r="J208" s="56"/>
      <c r="K208" s="56"/>
      <c r="L208" s="63"/>
      <c r="M208" s="65"/>
      <c r="N208" s="83"/>
      <c r="O208" s="84"/>
      <c r="P208" s="63"/>
      <c r="Q208" s="63"/>
      <c r="R208" s="83"/>
      <c r="S208" s="83"/>
      <c r="T208" s="83"/>
      <c r="U208" s="83"/>
      <c r="V208" s="63"/>
      <c r="W208" s="83"/>
      <c r="X208" s="63"/>
      <c r="Y208" s="83"/>
      <c r="Z208" s="63"/>
      <c r="AA208" s="63"/>
      <c r="AB208" s="63"/>
      <c r="AC208" s="63"/>
      <c r="AD208" s="63"/>
      <c r="AE208" s="63"/>
      <c r="AF208" s="63"/>
      <c r="AG208" s="63"/>
      <c r="AH208" s="63"/>
      <c r="AI208" s="63"/>
      <c r="AJ208" s="63"/>
      <c r="AK208" s="63"/>
      <c r="AL208" s="63"/>
      <c r="AM208" s="63"/>
      <c r="AN208" s="63"/>
      <c r="AO208" s="63"/>
      <c r="AP208" s="63"/>
    </row>
    <row r="209" spans="1:42">
      <c r="A209" s="62"/>
      <c r="B209" s="63"/>
      <c r="C209" s="63"/>
      <c r="D209" s="63"/>
      <c r="E209" s="66"/>
      <c r="F209" s="63"/>
      <c r="G209" s="63"/>
      <c r="H209" s="63"/>
      <c r="I209" s="63"/>
      <c r="J209" s="56"/>
      <c r="K209" s="56"/>
      <c r="L209" s="63"/>
      <c r="M209" s="65"/>
      <c r="N209" s="83"/>
      <c r="O209" s="84"/>
      <c r="P209" s="63"/>
      <c r="Q209" s="63"/>
      <c r="R209" s="83"/>
      <c r="S209" s="83"/>
      <c r="T209" s="83"/>
      <c r="U209" s="83"/>
      <c r="V209" s="63"/>
      <c r="W209" s="83"/>
      <c r="X209" s="63"/>
      <c r="Y209" s="83"/>
      <c r="Z209" s="63"/>
      <c r="AA209" s="63"/>
      <c r="AB209" s="63"/>
      <c r="AC209" s="63"/>
      <c r="AD209" s="63"/>
      <c r="AE209" s="63"/>
      <c r="AF209" s="63"/>
      <c r="AG209" s="63"/>
      <c r="AH209" s="63"/>
      <c r="AI209" s="63"/>
      <c r="AJ209" s="63"/>
      <c r="AK209" s="63"/>
      <c r="AL209" s="63"/>
      <c r="AM209" s="63"/>
      <c r="AN209" s="63"/>
      <c r="AO209" s="63"/>
      <c r="AP209" s="63"/>
    </row>
    <row r="210" spans="1:42">
      <c r="B210" s="67"/>
      <c r="C210" s="63"/>
      <c r="D210" s="63"/>
      <c r="E210" s="66"/>
      <c r="H210" s="63"/>
      <c r="J210" s="56"/>
      <c r="K210" s="63"/>
      <c r="L210" s="63"/>
      <c r="O210" s="65"/>
      <c r="P210" s="63"/>
      <c r="Q210" s="63"/>
      <c r="W210" s="58"/>
      <c r="X210" s="58"/>
      <c r="Z210" s="63"/>
      <c r="AA210" s="63"/>
      <c r="AB210" s="58"/>
      <c r="AC210" s="63"/>
      <c r="AD210" s="63"/>
      <c r="AI210" s="63"/>
      <c r="AJ210" s="63"/>
      <c r="AK210" s="63"/>
      <c r="AO210" s="63"/>
      <c r="AP210" s="63"/>
    </row>
    <row r="211" spans="1:42">
      <c r="B211" s="67"/>
      <c r="C211" s="63"/>
      <c r="D211" s="63"/>
      <c r="E211" s="66"/>
      <c r="H211" s="63"/>
      <c r="J211" s="56"/>
      <c r="K211" s="63"/>
      <c r="L211" s="63"/>
      <c r="O211" s="65"/>
      <c r="P211" s="63"/>
      <c r="Q211" s="63"/>
      <c r="W211" s="58"/>
      <c r="X211" s="58"/>
      <c r="Z211" s="63"/>
      <c r="AA211" s="63"/>
      <c r="AB211" s="58"/>
      <c r="AC211" s="63"/>
      <c r="AD211" s="63"/>
      <c r="AI211" s="63"/>
      <c r="AJ211" s="63"/>
      <c r="AK211" s="63"/>
      <c r="AO211" s="63"/>
      <c r="AP211" s="63"/>
    </row>
    <row r="212" spans="1:42">
      <c r="B212" s="67"/>
      <c r="C212" s="63"/>
      <c r="D212" s="63"/>
      <c r="E212" s="66"/>
      <c r="H212" s="63"/>
      <c r="J212" s="56"/>
      <c r="K212" s="63"/>
      <c r="L212" s="63"/>
      <c r="O212" s="65"/>
      <c r="P212" s="63"/>
      <c r="Q212" s="63"/>
      <c r="W212" s="58"/>
      <c r="X212" s="58"/>
      <c r="Z212" s="63"/>
      <c r="AA212" s="63"/>
      <c r="AB212" s="58"/>
      <c r="AC212" s="63"/>
      <c r="AD212" s="63"/>
      <c r="AI212" s="63"/>
      <c r="AJ212" s="63"/>
      <c r="AK212" s="63"/>
      <c r="AO212" s="63"/>
      <c r="AP212" s="63"/>
    </row>
    <row r="213" spans="1:42">
      <c r="B213" s="67"/>
      <c r="C213" s="63"/>
      <c r="D213" s="63"/>
      <c r="E213" s="66"/>
      <c r="H213" s="63"/>
      <c r="J213" s="56"/>
      <c r="K213" s="63"/>
      <c r="L213" s="63"/>
      <c r="O213" s="65"/>
      <c r="P213" s="63"/>
      <c r="Q213" s="63"/>
      <c r="W213" s="58"/>
      <c r="X213" s="58"/>
      <c r="Z213" s="63"/>
      <c r="AA213" s="63"/>
      <c r="AB213" s="58"/>
      <c r="AC213" s="63"/>
      <c r="AD213" s="63"/>
      <c r="AI213" s="63"/>
      <c r="AJ213" s="63"/>
      <c r="AK213" s="63"/>
      <c r="AO213" s="63"/>
      <c r="AP213" s="63"/>
    </row>
    <row r="214" spans="1:42">
      <c r="B214" s="67"/>
      <c r="C214" s="63"/>
      <c r="D214" s="63"/>
      <c r="E214" s="66"/>
      <c r="H214" s="63"/>
      <c r="J214" s="56"/>
      <c r="K214" s="63"/>
      <c r="L214" s="63"/>
      <c r="O214" s="65"/>
      <c r="P214" s="63"/>
      <c r="Q214" s="63"/>
      <c r="W214" s="58"/>
      <c r="X214" s="58"/>
      <c r="Z214" s="63"/>
      <c r="AA214" s="63"/>
      <c r="AB214" s="58"/>
      <c r="AC214" s="63"/>
      <c r="AD214" s="63"/>
      <c r="AI214" s="63"/>
      <c r="AJ214" s="63"/>
      <c r="AK214" s="63"/>
      <c r="AO214" s="63"/>
      <c r="AP214" s="63"/>
    </row>
    <row r="215" spans="1:42">
      <c r="B215" s="67"/>
      <c r="C215" s="63"/>
      <c r="D215" s="63"/>
      <c r="E215" s="66"/>
      <c r="H215" s="63"/>
      <c r="J215" s="56"/>
      <c r="K215" s="63"/>
      <c r="L215" s="63"/>
      <c r="O215" s="65"/>
      <c r="P215" s="63"/>
      <c r="Q215" s="63"/>
      <c r="W215" s="58"/>
      <c r="X215" s="58"/>
      <c r="Z215" s="63"/>
      <c r="AA215" s="63"/>
      <c r="AB215" s="58"/>
      <c r="AC215" s="63"/>
      <c r="AD215" s="63"/>
      <c r="AI215" s="63"/>
      <c r="AJ215" s="63"/>
      <c r="AK215" s="63"/>
      <c r="AO215" s="63"/>
      <c r="AP215" s="63"/>
    </row>
    <row r="216" spans="1:42">
      <c r="B216" s="67"/>
      <c r="C216" s="63"/>
      <c r="D216" s="63"/>
      <c r="E216" s="66"/>
      <c r="H216" s="63"/>
      <c r="J216" s="56"/>
      <c r="K216" s="63"/>
      <c r="L216" s="63"/>
      <c r="O216" s="65"/>
      <c r="P216" s="63"/>
      <c r="Q216" s="63"/>
      <c r="W216" s="58"/>
      <c r="X216" s="58"/>
      <c r="Z216" s="63"/>
      <c r="AA216" s="63"/>
      <c r="AB216" s="58"/>
      <c r="AC216" s="63"/>
      <c r="AD216" s="63"/>
      <c r="AI216" s="63"/>
      <c r="AJ216" s="63"/>
      <c r="AK216" s="63"/>
      <c r="AO216" s="63"/>
      <c r="AP216" s="63"/>
    </row>
    <row r="217" spans="1:42">
      <c r="B217" s="67"/>
      <c r="C217" s="63"/>
      <c r="D217" s="63"/>
      <c r="E217" s="66"/>
      <c r="H217" s="63"/>
      <c r="J217" s="56"/>
      <c r="K217" s="63"/>
      <c r="L217" s="63"/>
      <c r="O217" s="65"/>
      <c r="P217" s="63"/>
      <c r="Q217" s="63"/>
      <c r="W217" s="58"/>
      <c r="X217" s="58"/>
      <c r="Z217" s="63"/>
      <c r="AA217" s="63"/>
      <c r="AB217" s="58"/>
      <c r="AC217" s="63"/>
      <c r="AD217" s="63"/>
      <c r="AI217" s="63"/>
      <c r="AJ217" s="63"/>
      <c r="AK217" s="63"/>
      <c r="AO217" s="63"/>
      <c r="AP217" s="63"/>
    </row>
    <row r="218" spans="1:42">
      <c r="B218" s="67"/>
      <c r="C218" s="63"/>
      <c r="D218" s="63"/>
      <c r="E218" s="66"/>
      <c r="H218" s="63"/>
      <c r="J218" s="56"/>
      <c r="K218" s="63"/>
      <c r="L218" s="63"/>
      <c r="O218" s="65"/>
      <c r="P218" s="63"/>
      <c r="Q218" s="63"/>
      <c r="W218" s="58"/>
      <c r="X218" s="58"/>
      <c r="Z218" s="63"/>
      <c r="AA218" s="63"/>
      <c r="AB218" s="58"/>
      <c r="AC218" s="63"/>
      <c r="AD218" s="63"/>
      <c r="AI218" s="63"/>
      <c r="AJ218" s="63"/>
      <c r="AK218" s="63"/>
      <c r="AO218" s="63"/>
      <c r="AP218" s="63"/>
    </row>
    <row r="219" spans="1:42">
      <c r="B219" s="67"/>
      <c r="C219" s="63"/>
      <c r="D219" s="63"/>
      <c r="E219" s="66"/>
      <c r="H219" s="63"/>
      <c r="J219" s="56"/>
      <c r="K219" s="63"/>
      <c r="L219" s="63"/>
      <c r="O219" s="65"/>
      <c r="P219" s="63"/>
      <c r="Q219" s="63"/>
      <c r="W219" s="58"/>
      <c r="X219" s="58"/>
      <c r="Z219" s="63"/>
      <c r="AA219" s="63"/>
      <c r="AB219" s="58"/>
      <c r="AC219" s="63"/>
      <c r="AD219" s="63"/>
      <c r="AI219" s="63"/>
      <c r="AJ219" s="63"/>
      <c r="AK219" s="63"/>
      <c r="AO219" s="63"/>
      <c r="AP219" s="63"/>
    </row>
    <row r="220" spans="1:42">
      <c r="B220" s="67"/>
      <c r="C220" s="63"/>
      <c r="D220" s="63"/>
      <c r="E220" s="66"/>
      <c r="H220" s="63"/>
      <c r="J220" s="56"/>
      <c r="K220" s="63"/>
      <c r="L220" s="63"/>
      <c r="O220" s="65"/>
      <c r="P220" s="63"/>
      <c r="Q220" s="63"/>
      <c r="W220" s="58"/>
      <c r="X220" s="58"/>
      <c r="Z220" s="63"/>
      <c r="AA220" s="63"/>
      <c r="AB220" s="58"/>
      <c r="AC220" s="63"/>
      <c r="AD220" s="63"/>
      <c r="AI220" s="63"/>
      <c r="AJ220" s="63"/>
      <c r="AK220" s="63"/>
      <c r="AO220" s="63"/>
      <c r="AP220" s="63"/>
    </row>
    <row r="221" spans="1:42">
      <c r="B221" s="67"/>
      <c r="C221" s="63"/>
      <c r="D221" s="63"/>
      <c r="E221" s="66"/>
      <c r="H221" s="63"/>
      <c r="J221" s="56"/>
      <c r="K221" s="63"/>
      <c r="L221" s="63"/>
      <c r="O221" s="65"/>
      <c r="P221" s="63"/>
      <c r="Q221" s="63"/>
      <c r="W221" s="58"/>
      <c r="X221" s="58"/>
      <c r="Z221" s="63"/>
      <c r="AA221" s="63"/>
      <c r="AB221" s="58"/>
      <c r="AC221" s="63"/>
      <c r="AD221" s="63"/>
      <c r="AI221" s="63"/>
      <c r="AJ221" s="63"/>
      <c r="AK221" s="63"/>
      <c r="AO221" s="63"/>
      <c r="AP221" s="63"/>
    </row>
    <row r="222" spans="1:42">
      <c r="B222" s="67"/>
      <c r="C222" s="63"/>
      <c r="D222" s="63"/>
      <c r="E222" s="66"/>
      <c r="H222" s="63"/>
      <c r="J222" s="56"/>
      <c r="K222" s="63"/>
      <c r="L222" s="63"/>
      <c r="O222" s="65"/>
      <c r="P222" s="63"/>
      <c r="Q222" s="63"/>
      <c r="W222" s="58"/>
      <c r="X222" s="58"/>
      <c r="Z222" s="63"/>
      <c r="AA222" s="63"/>
      <c r="AB222" s="58"/>
      <c r="AC222" s="63"/>
      <c r="AD222" s="63"/>
      <c r="AI222" s="63"/>
      <c r="AJ222" s="63"/>
      <c r="AK222" s="63"/>
      <c r="AO222" s="63"/>
      <c r="AP222" s="63"/>
    </row>
    <row r="223" spans="1:42">
      <c r="B223" s="67"/>
      <c r="C223" s="63"/>
      <c r="D223" s="63"/>
      <c r="E223" s="66"/>
      <c r="H223" s="63"/>
      <c r="J223" s="56"/>
      <c r="K223" s="63"/>
      <c r="L223" s="63"/>
      <c r="O223" s="65"/>
      <c r="P223" s="63"/>
      <c r="Q223" s="63"/>
      <c r="W223" s="58"/>
      <c r="X223" s="58"/>
      <c r="Z223" s="63"/>
      <c r="AA223" s="63"/>
      <c r="AB223" s="58"/>
      <c r="AC223" s="63"/>
      <c r="AD223" s="63"/>
      <c r="AI223" s="63"/>
      <c r="AJ223" s="63"/>
      <c r="AK223" s="63"/>
      <c r="AO223" s="63"/>
      <c r="AP223" s="63"/>
    </row>
    <row r="224" spans="1:42">
      <c r="B224" s="67"/>
      <c r="C224" s="63"/>
      <c r="D224" s="63"/>
      <c r="E224" s="66"/>
      <c r="H224" s="63"/>
      <c r="J224" s="56"/>
      <c r="K224" s="63"/>
      <c r="L224" s="63"/>
      <c r="O224" s="65"/>
      <c r="P224" s="63"/>
      <c r="Q224" s="63"/>
      <c r="W224" s="58"/>
      <c r="X224" s="58"/>
      <c r="Z224" s="63"/>
      <c r="AA224" s="63"/>
      <c r="AB224" s="58"/>
      <c r="AC224" s="63"/>
      <c r="AD224" s="63"/>
      <c r="AI224" s="63"/>
      <c r="AJ224" s="63"/>
      <c r="AK224" s="63"/>
      <c r="AO224" s="63"/>
      <c r="AP224" s="63"/>
    </row>
    <row r="225" spans="2:42">
      <c r="B225" s="67"/>
      <c r="C225" s="63"/>
      <c r="D225" s="63"/>
      <c r="E225" s="66"/>
      <c r="H225" s="63"/>
      <c r="J225" s="56"/>
      <c r="K225" s="63"/>
      <c r="L225" s="63"/>
      <c r="O225" s="65"/>
      <c r="P225" s="63"/>
      <c r="Q225" s="63"/>
      <c r="W225" s="58"/>
      <c r="X225" s="58"/>
      <c r="Z225" s="63"/>
      <c r="AA225" s="63"/>
      <c r="AB225" s="58"/>
      <c r="AC225" s="63"/>
      <c r="AD225" s="63"/>
      <c r="AI225" s="63"/>
      <c r="AJ225" s="63"/>
      <c r="AK225" s="63"/>
      <c r="AO225" s="63"/>
      <c r="AP225" s="63"/>
    </row>
    <row r="226" spans="2:42">
      <c r="B226" s="67"/>
      <c r="C226" s="63"/>
      <c r="D226" s="63"/>
      <c r="E226" s="66"/>
      <c r="H226" s="63"/>
      <c r="J226" s="56"/>
      <c r="K226" s="63"/>
      <c r="L226" s="63"/>
      <c r="O226" s="65"/>
      <c r="P226" s="63"/>
      <c r="Q226" s="63"/>
      <c r="W226" s="58"/>
      <c r="X226" s="58"/>
      <c r="Z226" s="63"/>
      <c r="AA226" s="63"/>
      <c r="AB226" s="58"/>
      <c r="AC226" s="63"/>
      <c r="AD226" s="63"/>
      <c r="AI226" s="63"/>
      <c r="AJ226" s="63"/>
      <c r="AK226" s="63"/>
      <c r="AO226" s="63"/>
      <c r="AP226" s="63"/>
    </row>
    <row r="227" spans="2:42">
      <c r="B227" s="67"/>
      <c r="C227" s="63"/>
      <c r="D227" s="63"/>
      <c r="E227" s="66"/>
      <c r="H227" s="63"/>
      <c r="J227" s="56"/>
      <c r="K227" s="63"/>
      <c r="L227" s="63"/>
      <c r="O227" s="65"/>
      <c r="P227" s="63"/>
      <c r="Q227" s="63"/>
      <c r="W227" s="58"/>
      <c r="X227" s="58"/>
      <c r="Z227" s="63"/>
      <c r="AA227" s="63"/>
      <c r="AB227" s="58"/>
      <c r="AC227" s="63"/>
      <c r="AD227" s="63"/>
      <c r="AI227" s="63"/>
      <c r="AJ227" s="63"/>
      <c r="AK227" s="63"/>
      <c r="AO227" s="63"/>
      <c r="AP227" s="63"/>
    </row>
    <row r="228" spans="2:42">
      <c r="B228" s="67"/>
      <c r="C228" s="63"/>
      <c r="D228" s="63"/>
      <c r="E228" s="66"/>
      <c r="H228" s="63"/>
      <c r="J228" s="56"/>
      <c r="K228" s="63"/>
      <c r="L228" s="63"/>
      <c r="O228" s="65"/>
      <c r="P228" s="63"/>
      <c r="Q228" s="63"/>
      <c r="W228" s="58"/>
      <c r="X228" s="58"/>
      <c r="Z228" s="63"/>
      <c r="AA228" s="63"/>
      <c r="AB228" s="58"/>
      <c r="AC228" s="63"/>
      <c r="AD228" s="63"/>
      <c r="AI228" s="63"/>
      <c r="AJ228" s="63"/>
      <c r="AK228" s="63"/>
      <c r="AO228" s="63"/>
      <c r="AP228" s="63"/>
    </row>
    <row r="229" spans="2:42">
      <c r="B229" s="67"/>
      <c r="C229" s="63"/>
      <c r="D229" s="63"/>
      <c r="E229" s="66"/>
      <c r="H229" s="63"/>
      <c r="J229" s="56"/>
      <c r="K229" s="63"/>
      <c r="L229" s="63"/>
      <c r="O229" s="65"/>
      <c r="P229" s="63"/>
      <c r="Q229" s="63"/>
      <c r="W229" s="58"/>
      <c r="X229" s="58"/>
      <c r="Z229" s="63"/>
      <c r="AA229" s="63"/>
      <c r="AB229" s="58"/>
      <c r="AC229" s="63"/>
      <c r="AD229" s="63"/>
      <c r="AI229" s="63"/>
      <c r="AJ229" s="63"/>
      <c r="AK229" s="63"/>
      <c r="AO229" s="63"/>
      <c r="AP229" s="63"/>
    </row>
    <row r="230" spans="2:42">
      <c r="B230" s="67"/>
      <c r="C230" s="63"/>
      <c r="D230" s="63"/>
      <c r="E230" s="66"/>
      <c r="H230" s="63"/>
      <c r="J230" s="56"/>
      <c r="K230" s="63"/>
      <c r="L230" s="63"/>
      <c r="O230" s="65"/>
      <c r="P230" s="63"/>
      <c r="Q230" s="63"/>
      <c r="W230" s="58"/>
      <c r="X230" s="58"/>
      <c r="Z230" s="63"/>
      <c r="AA230" s="63"/>
      <c r="AB230" s="58"/>
      <c r="AC230" s="63"/>
      <c r="AD230" s="63"/>
      <c r="AI230" s="63"/>
      <c r="AJ230" s="63"/>
      <c r="AK230" s="63"/>
      <c r="AO230" s="63"/>
      <c r="AP230" s="63"/>
    </row>
    <row r="231" spans="2:42">
      <c r="B231" s="67"/>
      <c r="C231" s="63"/>
      <c r="D231" s="63"/>
      <c r="E231" s="66"/>
      <c r="H231" s="63"/>
      <c r="J231" s="56"/>
      <c r="K231" s="63"/>
      <c r="L231" s="63"/>
      <c r="O231" s="65"/>
      <c r="P231" s="63"/>
      <c r="Q231" s="63"/>
      <c r="W231" s="58"/>
      <c r="X231" s="58"/>
      <c r="Z231" s="63"/>
      <c r="AA231" s="63"/>
      <c r="AB231" s="58"/>
      <c r="AC231" s="63"/>
      <c r="AD231" s="63"/>
      <c r="AI231" s="63"/>
      <c r="AJ231" s="63"/>
      <c r="AK231" s="63"/>
      <c r="AO231" s="63"/>
      <c r="AP231" s="63"/>
    </row>
    <row r="232" spans="2:42">
      <c r="B232" s="67"/>
      <c r="C232" s="63"/>
      <c r="D232" s="63"/>
      <c r="E232" s="66"/>
      <c r="H232" s="63"/>
      <c r="J232" s="56"/>
      <c r="K232" s="63"/>
      <c r="L232" s="63"/>
      <c r="O232" s="65"/>
      <c r="P232" s="63"/>
      <c r="Q232" s="63"/>
      <c r="W232" s="58"/>
      <c r="X232" s="58"/>
      <c r="Z232" s="63"/>
      <c r="AA232" s="63"/>
      <c r="AB232" s="58"/>
      <c r="AC232" s="63"/>
      <c r="AD232" s="63"/>
      <c r="AI232" s="63"/>
      <c r="AJ232" s="63"/>
      <c r="AK232" s="63"/>
      <c r="AO232" s="63"/>
      <c r="AP232" s="63"/>
    </row>
    <row r="233" spans="2:42">
      <c r="B233" s="67"/>
      <c r="C233" s="63"/>
      <c r="D233" s="63"/>
      <c r="E233" s="66"/>
      <c r="H233" s="63"/>
      <c r="J233" s="56"/>
      <c r="K233" s="63"/>
      <c r="L233" s="63"/>
      <c r="O233" s="65"/>
      <c r="P233" s="63"/>
      <c r="Q233" s="63"/>
      <c r="W233" s="58"/>
      <c r="X233" s="58"/>
      <c r="Z233" s="63"/>
      <c r="AA233" s="63"/>
      <c r="AB233" s="58"/>
      <c r="AC233" s="63"/>
      <c r="AD233" s="63"/>
      <c r="AI233" s="63"/>
      <c r="AJ233" s="63"/>
      <c r="AK233" s="63"/>
      <c r="AO233" s="63"/>
      <c r="AP233" s="63"/>
    </row>
    <row r="234" spans="2:42">
      <c r="B234" s="67"/>
      <c r="C234" s="63"/>
      <c r="D234" s="63"/>
      <c r="E234" s="66"/>
      <c r="H234" s="63"/>
      <c r="J234" s="56"/>
      <c r="K234" s="63"/>
      <c r="L234" s="63"/>
      <c r="O234" s="65"/>
      <c r="P234" s="63"/>
      <c r="Q234" s="63"/>
      <c r="W234" s="58"/>
      <c r="X234" s="58"/>
      <c r="Z234" s="63"/>
      <c r="AA234" s="63"/>
      <c r="AB234" s="58"/>
      <c r="AC234" s="63"/>
      <c r="AD234" s="63"/>
      <c r="AI234" s="63"/>
      <c r="AJ234" s="63"/>
      <c r="AK234" s="63"/>
      <c r="AO234" s="63"/>
      <c r="AP234" s="63"/>
    </row>
    <row r="235" spans="2:42">
      <c r="B235" s="67"/>
      <c r="C235" s="63"/>
      <c r="D235" s="63"/>
      <c r="E235" s="66"/>
      <c r="H235" s="63"/>
      <c r="J235" s="56"/>
      <c r="K235" s="63"/>
      <c r="L235" s="63"/>
      <c r="O235" s="65"/>
      <c r="P235" s="63"/>
      <c r="Q235" s="63"/>
      <c r="W235" s="58"/>
      <c r="X235" s="58"/>
      <c r="Z235" s="63"/>
      <c r="AA235" s="63"/>
      <c r="AB235" s="58"/>
      <c r="AC235" s="63"/>
      <c r="AD235" s="63"/>
      <c r="AI235" s="63"/>
      <c r="AJ235" s="63"/>
      <c r="AK235" s="63"/>
      <c r="AO235" s="63"/>
      <c r="AP235" s="63"/>
    </row>
    <row r="236" spans="2:42">
      <c r="B236" s="67"/>
      <c r="C236" s="63"/>
      <c r="D236" s="63"/>
      <c r="E236" s="66"/>
      <c r="H236" s="63"/>
      <c r="J236" s="56"/>
      <c r="K236" s="63"/>
      <c r="L236" s="63"/>
      <c r="O236" s="65"/>
      <c r="P236" s="63"/>
      <c r="Q236" s="63"/>
      <c r="W236" s="58"/>
      <c r="X236" s="58"/>
      <c r="Z236" s="63"/>
      <c r="AA236" s="63"/>
      <c r="AB236" s="58"/>
      <c r="AC236" s="63"/>
      <c r="AD236" s="63"/>
      <c r="AI236" s="63"/>
      <c r="AJ236" s="63"/>
      <c r="AK236" s="63"/>
      <c r="AO236" s="63"/>
      <c r="AP236" s="63"/>
    </row>
    <row r="237" spans="2:42">
      <c r="B237" s="67"/>
      <c r="C237" s="63"/>
      <c r="D237" s="63"/>
      <c r="E237" s="66"/>
      <c r="H237" s="63"/>
      <c r="J237" s="56"/>
      <c r="K237" s="63"/>
      <c r="L237" s="63"/>
      <c r="O237" s="65"/>
      <c r="P237" s="63"/>
      <c r="Q237" s="63"/>
      <c r="W237" s="58"/>
      <c r="X237" s="58"/>
      <c r="Z237" s="63"/>
      <c r="AA237" s="63"/>
      <c r="AB237" s="58"/>
      <c r="AC237" s="63"/>
      <c r="AD237" s="63"/>
      <c r="AI237" s="63"/>
      <c r="AJ237" s="63"/>
      <c r="AK237" s="63"/>
      <c r="AO237" s="63"/>
      <c r="AP237" s="63"/>
    </row>
    <row r="238" spans="2:42">
      <c r="B238" s="67"/>
      <c r="C238" s="63"/>
      <c r="D238" s="63"/>
      <c r="E238" s="66"/>
      <c r="H238" s="63"/>
      <c r="J238" s="56"/>
      <c r="K238" s="63"/>
      <c r="L238" s="63"/>
      <c r="O238" s="65"/>
      <c r="P238" s="63"/>
      <c r="Q238" s="63"/>
      <c r="W238" s="58"/>
      <c r="X238" s="58"/>
      <c r="Z238" s="63"/>
      <c r="AA238" s="63"/>
      <c r="AB238" s="58"/>
      <c r="AC238" s="63"/>
      <c r="AD238" s="63"/>
      <c r="AI238" s="63"/>
      <c r="AJ238" s="63"/>
      <c r="AK238" s="63"/>
      <c r="AO238" s="63"/>
      <c r="AP238" s="63"/>
    </row>
    <row r="239" spans="2:42">
      <c r="B239" s="67"/>
      <c r="C239" s="63"/>
      <c r="D239" s="63"/>
      <c r="E239" s="66"/>
      <c r="H239" s="63"/>
      <c r="J239" s="56"/>
      <c r="K239" s="63"/>
      <c r="L239" s="63"/>
      <c r="O239" s="65"/>
      <c r="P239" s="63"/>
      <c r="Q239" s="63"/>
      <c r="W239" s="58"/>
      <c r="X239" s="58"/>
      <c r="Z239" s="63"/>
      <c r="AA239" s="63"/>
      <c r="AB239" s="58"/>
      <c r="AC239" s="63"/>
      <c r="AD239" s="63"/>
      <c r="AI239" s="63"/>
      <c r="AJ239" s="63"/>
      <c r="AK239" s="63"/>
      <c r="AO239" s="63"/>
      <c r="AP239" s="63"/>
    </row>
    <row r="240" spans="2:42">
      <c r="B240" s="67"/>
      <c r="C240" s="63"/>
      <c r="D240" s="63"/>
      <c r="E240" s="66"/>
      <c r="H240" s="63"/>
      <c r="J240" s="56"/>
      <c r="K240" s="63"/>
      <c r="L240" s="63"/>
      <c r="O240" s="65"/>
      <c r="P240" s="63"/>
      <c r="Q240" s="63"/>
      <c r="W240" s="58"/>
      <c r="X240" s="58"/>
      <c r="Z240" s="63"/>
      <c r="AA240" s="63"/>
      <c r="AB240" s="58"/>
      <c r="AC240" s="63"/>
      <c r="AD240" s="63"/>
      <c r="AI240" s="63"/>
      <c r="AJ240" s="63"/>
      <c r="AK240" s="63"/>
      <c r="AO240" s="63"/>
      <c r="AP240" s="63"/>
    </row>
    <row r="241" spans="2:42">
      <c r="B241" s="67"/>
      <c r="C241" s="63"/>
      <c r="D241" s="63"/>
      <c r="E241" s="66"/>
      <c r="H241" s="63"/>
      <c r="J241" s="56"/>
      <c r="K241" s="63"/>
      <c r="L241" s="63"/>
      <c r="O241" s="65"/>
      <c r="P241" s="63"/>
      <c r="Q241" s="63"/>
      <c r="W241" s="58"/>
      <c r="X241" s="58"/>
      <c r="Z241" s="63"/>
      <c r="AA241" s="63"/>
      <c r="AB241" s="58"/>
      <c r="AC241" s="63"/>
      <c r="AD241" s="63"/>
      <c r="AI241" s="63"/>
      <c r="AJ241" s="63"/>
      <c r="AK241" s="63"/>
      <c r="AO241" s="63"/>
      <c r="AP241" s="63"/>
    </row>
    <row r="242" spans="2:42">
      <c r="B242" s="67"/>
      <c r="C242" s="63"/>
      <c r="D242" s="63"/>
      <c r="E242" s="66"/>
      <c r="H242" s="63"/>
      <c r="J242" s="56"/>
      <c r="K242" s="63"/>
      <c r="L242" s="63"/>
      <c r="O242" s="65"/>
      <c r="P242" s="63"/>
      <c r="Q242" s="63"/>
      <c r="W242" s="58"/>
      <c r="X242" s="58"/>
      <c r="Z242" s="63"/>
      <c r="AA242" s="63"/>
      <c r="AB242" s="58"/>
      <c r="AC242" s="63"/>
      <c r="AD242" s="63"/>
      <c r="AI242" s="63"/>
      <c r="AJ242" s="63"/>
      <c r="AK242" s="63"/>
      <c r="AO242" s="63"/>
      <c r="AP242" s="63"/>
    </row>
    <row r="243" spans="2:42">
      <c r="B243" s="67"/>
      <c r="C243" s="63"/>
      <c r="D243" s="63"/>
      <c r="E243" s="66"/>
      <c r="H243" s="63"/>
      <c r="J243" s="56"/>
      <c r="K243" s="63"/>
      <c r="L243" s="63"/>
      <c r="O243" s="65"/>
      <c r="P243" s="63"/>
      <c r="Q243" s="63"/>
      <c r="W243" s="58"/>
      <c r="X243" s="58"/>
      <c r="Z243" s="63"/>
      <c r="AA243" s="63"/>
      <c r="AB243" s="58"/>
      <c r="AC243" s="63"/>
      <c r="AD243" s="63"/>
      <c r="AI243" s="63"/>
      <c r="AJ243" s="63"/>
      <c r="AK243" s="63"/>
      <c r="AO243" s="63"/>
      <c r="AP243" s="63"/>
    </row>
    <row r="244" spans="2:42">
      <c r="B244" s="67"/>
      <c r="C244" s="63"/>
      <c r="D244" s="63"/>
      <c r="E244" s="66"/>
      <c r="H244" s="63"/>
      <c r="J244" s="56"/>
      <c r="K244" s="63"/>
      <c r="L244" s="63"/>
      <c r="O244" s="65"/>
      <c r="P244" s="63"/>
      <c r="Q244" s="63"/>
      <c r="W244" s="58"/>
      <c r="X244" s="58"/>
      <c r="Z244" s="63"/>
      <c r="AA244" s="63"/>
      <c r="AB244" s="58"/>
      <c r="AC244" s="63"/>
      <c r="AD244" s="63"/>
      <c r="AI244" s="63"/>
      <c r="AJ244" s="63"/>
      <c r="AK244" s="63"/>
      <c r="AO244" s="63"/>
      <c r="AP244" s="63"/>
    </row>
    <row r="245" spans="2:42">
      <c r="B245" s="67"/>
      <c r="C245" s="63"/>
      <c r="D245" s="63"/>
      <c r="E245" s="66"/>
      <c r="H245" s="63"/>
      <c r="J245" s="56"/>
      <c r="K245" s="63"/>
      <c r="L245" s="63"/>
      <c r="O245" s="65"/>
      <c r="P245" s="63"/>
      <c r="Q245" s="63"/>
      <c r="W245" s="58"/>
      <c r="X245" s="58"/>
      <c r="Z245" s="63"/>
      <c r="AA245" s="63"/>
      <c r="AB245" s="58"/>
      <c r="AC245" s="63"/>
      <c r="AD245" s="63"/>
      <c r="AI245" s="63"/>
      <c r="AJ245" s="63"/>
      <c r="AK245" s="63"/>
      <c r="AO245" s="63"/>
      <c r="AP245" s="63"/>
    </row>
    <row r="246" spans="2:42">
      <c r="B246" s="67"/>
      <c r="C246" s="63"/>
      <c r="D246" s="63"/>
      <c r="E246" s="66"/>
      <c r="H246" s="63"/>
      <c r="J246" s="56"/>
      <c r="K246" s="63"/>
      <c r="L246" s="63"/>
      <c r="O246" s="65"/>
      <c r="P246" s="63"/>
      <c r="Q246" s="63"/>
      <c r="W246" s="58"/>
      <c r="X246" s="58"/>
      <c r="Z246" s="63"/>
      <c r="AA246" s="63"/>
      <c r="AB246" s="58"/>
      <c r="AC246" s="63"/>
      <c r="AD246" s="63"/>
      <c r="AI246" s="63"/>
      <c r="AJ246" s="63"/>
      <c r="AK246" s="63"/>
      <c r="AO246" s="63"/>
      <c r="AP246" s="63"/>
    </row>
    <row r="247" spans="2:42">
      <c r="B247" s="67"/>
      <c r="C247" s="63"/>
      <c r="D247" s="63"/>
      <c r="E247" s="66"/>
      <c r="H247" s="63"/>
      <c r="J247" s="56"/>
      <c r="K247" s="63"/>
      <c r="L247" s="63"/>
      <c r="O247" s="65"/>
      <c r="P247" s="63"/>
      <c r="Q247" s="63"/>
      <c r="W247" s="58"/>
      <c r="X247" s="58"/>
      <c r="Z247" s="63"/>
      <c r="AA247" s="63"/>
      <c r="AB247" s="58"/>
      <c r="AC247" s="63"/>
      <c r="AD247" s="63"/>
      <c r="AI247" s="63"/>
      <c r="AJ247" s="63"/>
      <c r="AK247" s="63"/>
      <c r="AO247" s="63"/>
      <c r="AP247" s="63"/>
    </row>
    <row r="248" spans="2:42">
      <c r="B248" s="67"/>
      <c r="C248" s="63"/>
      <c r="D248" s="63"/>
      <c r="E248" s="66"/>
      <c r="H248" s="63"/>
      <c r="J248" s="56"/>
      <c r="K248" s="63"/>
      <c r="L248" s="63"/>
      <c r="O248" s="65"/>
      <c r="P248" s="63"/>
      <c r="Q248" s="63"/>
      <c r="W248" s="58"/>
      <c r="X248" s="58"/>
      <c r="Z248" s="63"/>
      <c r="AA248" s="63"/>
      <c r="AB248" s="58"/>
      <c r="AC248" s="63"/>
      <c r="AD248" s="63"/>
      <c r="AI248" s="63"/>
      <c r="AJ248" s="63"/>
      <c r="AK248" s="63"/>
      <c r="AO248" s="63"/>
      <c r="AP248" s="63"/>
    </row>
    <row r="249" spans="2:42">
      <c r="B249" s="67"/>
      <c r="C249" s="63"/>
      <c r="D249" s="63"/>
      <c r="E249" s="66"/>
      <c r="H249" s="63"/>
      <c r="J249" s="56"/>
      <c r="K249" s="63"/>
      <c r="L249" s="63"/>
      <c r="O249" s="65"/>
      <c r="P249" s="63"/>
      <c r="Q249" s="63"/>
      <c r="W249" s="58"/>
      <c r="X249" s="58"/>
      <c r="Z249" s="63"/>
      <c r="AA249" s="63"/>
      <c r="AB249" s="58"/>
      <c r="AC249" s="63"/>
      <c r="AD249" s="63"/>
      <c r="AI249" s="63"/>
      <c r="AJ249" s="63"/>
      <c r="AK249" s="63"/>
      <c r="AO249" s="63"/>
      <c r="AP249" s="63"/>
    </row>
    <row r="250" spans="2:42">
      <c r="B250" s="67"/>
      <c r="C250" s="63"/>
      <c r="D250" s="63"/>
      <c r="E250" s="66"/>
      <c r="H250" s="63"/>
      <c r="J250" s="56"/>
      <c r="K250" s="63"/>
      <c r="L250" s="63"/>
      <c r="O250" s="65"/>
      <c r="P250" s="63"/>
      <c r="Q250" s="63"/>
      <c r="W250" s="58"/>
      <c r="X250" s="58"/>
      <c r="Z250" s="63"/>
      <c r="AA250" s="63"/>
      <c r="AB250" s="58"/>
      <c r="AC250" s="63"/>
      <c r="AD250" s="63"/>
      <c r="AI250" s="63"/>
      <c r="AJ250" s="63"/>
      <c r="AK250" s="63"/>
      <c r="AO250" s="63"/>
      <c r="AP250" s="63"/>
    </row>
    <row r="251" spans="2:42">
      <c r="B251" s="67"/>
      <c r="C251" s="63"/>
      <c r="D251" s="63"/>
      <c r="E251" s="66"/>
      <c r="H251" s="63"/>
      <c r="J251" s="56"/>
      <c r="K251" s="63"/>
      <c r="L251" s="63"/>
      <c r="O251" s="65"/>
      <c r="P251" s="63"/>
      <c r="Q251" s="63"/>
      <c r="W251" s="58"/>
      <c r="X251" s="58"/>
      <c r="Z251" s="63"/>
      <c r="AA251" s="63"/>
      <c r="AB251" s="58"/>
      <c r="AC251" s="63"/>
      <c r="AD251" s="63"/>
      <c r="AI251" s="63"/>
      <c r="AJ251" s="63"/>
      <c r="AK251" s="63"/>
      <c r="AO251" s="63"/>
      <c r="AP251" s="63"/>
    </row>
    <row r="252" spans="2:42">
      <c r="B252" s="67"/>
      <c r="C252" s="63"/>
      <c r="D252" s="63"/>
      <c r="E252" s="66"/>
      <c r="H252" s="63"/>
      <c r="J252" s="56"/>
      <c r="K252" s="63"/>
      <c r="L252" s="63"/>
      <c r="O252" s="65"/>
      <c r="P252" s="63"/>
      <c r="Q252" s="63"/>
      <c r="W252" s="58"/>
      <c r="X252" s="58"/>
      <c r="Z252" s="63"/>
      <c r="AA252" s="63"/>
      <c r="AB252" s="58"/>
      <c r="AC252" s="63"/>
      <c r="AD252" s="63"/>
      <c r="AI252" s="63"/>
      <c r="AJ252" s="63"/>
      <c r="AK252" s="63"/>
      <c r="AO252" s="63"/>
      <c r="AP252" s="63"/>
    </row>
    <row r="253" spans="2:42">
      <c r="B253" s="67"/>
      <c r="C253" s="63"/>
      <c r="D253" s="63"/>
      <c r="E253" s="66"/>
      <c r="H253" s="63"/>
      <c r="J253" s="56"/>
      <c r="K253" s="63"/>
      <c r="L253" s="63"/>
      <c r="O253" s="65"/>
      <c r="P253" s="63"/>
      <c r="Q253" s="63"/>
      <c r="W253" s="58"/>
      <c r="X253" s="58"/>
      <c r="Z253" s="63"/>
      <c r="AA253" s="63"/>
      <c r="AB253" s="58"/>
      <c r="AC253" s="63"/>
      <c r="AD253" s="63"/>
      <c r="AI253" s="63"/>
      <c r="AJ253" s="63"/>
      <c r="AK253" s="63"/>
      <c r="AO253" s="63"/>
      <c r="AP253" s="63"/>
    </row>
    <row r="254" spans="2:42">
      <c r="B254" s="67"/>
      <c r="C254" s="63"/>
      <c r="D254" s="63"/>
      <c r="E254" s="66"/>
      <c r="H254" s="63"/>
      <c r="J254" s="56"/>
      <c r="K254" s="63"/>
      <c r="L254" s="63"/>
      <c r="O254" s="65"/>
      <c r="P254" s="63"/>
      <c r="Q254" s="63"/>
      <c r="W254" s="58"/>
      <c r="X254" s="58"/>
      <c r="Z254" s="63"/>
      <c r="AA254" s="63"/>
      <c r="AB254" s="58"/>
      <c r="AC254" s="63"/>
      <c r="AD254" s="63"/>
      <c r="AI254" s="63"/>
      <c r="AJ254" s="63"/>
      <c r="AK254" s="63"/>
      <c r="AO254" s="63"/>
      <c r="AP254" s="63"/>
    </row>
    <row r="255" spans="2:42">
      <c r="B255" s="67"/>
      <c r="C255" s="63"/>
      <c r="D255" s="63"/>
      <c r="E255" s="66"/>
      <c r="H255" s="63"/>
      <c r="J255" s="56"/>
      <c r="K255" s="63"/>
      <c r="L255" s="63"/>
      <c r="O255" s="65"/>
      <c r="P255" s="63"/>
      <c r="Q255" s="63"/>
      <c r="W255" s="58"/>
      <c r="X255" s="58"/>
      <c r="Z255" s="63"/>
      <c r="AA255" s="63"/>
      <c r="AB255" s="58"/>
      <c r="AC255" s="63"/>
      <c r="AD255" s="63"/>
      <c r="AI255" s="63"/>
      <c r="AJ255" s="63"/>
      <c r="AK255" s="63"/>
      <c r="AO255" s="63"/>
      <c r="AP255" s="63"/>
    </row>
    <row r="256" spans="2:42">
      <c r="B256" s="67"/>
      <c r="C256" s="63"/>
      <c r="D256" s="63"/>
      <c r="E256" s="66"/>
      <c r="H256" s="63"/>
      <c r="J256" s="56"/>
      <c r="K256" s="63"/>
      <c r="L256" s="63"/>
      <c r="O256" s="65"/>
      <c r="P256" s="63"/>
      <c r="Q256" s="63"/>
      <c r="W256" s="58"/>
      <c r="X256" s="58"/>
      <c r="Z256" s="63"/>
      <c r="AA256" s="63"/>
      <c r="AB256" s="58"/>
      <c r="AC256" s="63"/>
      <c r="AD256" s="63"/>
      <c r="AI256" s="63"/>
      <c r="AJ256" s="63"/>
      <c r="AK256" s="63"/>
      <c r="AO256" s="63"/>
      <c r="AP256" s="63"/>
    </row>
    <row r="257" spans="2:42">
      <c r="B257" s="67"/>
      <c r="C257" s="63"/>
      <c r="D257" s="63"/>
      <c r="E257" s="66"/>
      <c r="H257" s="63"/>
      <c r="J257" s="56"/>
      <c r="K257" s="63"/>
      <c r="L257" s="63"/>
      <c r="O257" s="65"/>
      <c r="P257" s="63"/>
      <c r="Q257" s="63"/>
      <c r="W257" s="58"/>
      <c r="X257" s="58"/>
      <c r="Z257" s="63"/>
      <c r="AA257" s="63"/>
      <c r="AB257" s="58"/>
      <c r="AC257" s="63"/>
      <c r="AD257" s="63"/>
      <c r="AI257" s="63"/>
      <c r="AJ257" s="63"/>
      <c r="AK257" s="63"/>
      <c r="AO257" s="63"/>
      <c r="AP257" s="63"/>
    </row>
    <row r="258" spans="2:42">
      <c r="B258" s="67"/>
      <c r="C258" s="63"/>
      <c r="D258" s="63"/>
      <c r="E258" s="66"/>
      <c r="H258" s="63"/>
      <c r="J258" s="56"/>
      <c r="K258" s="63"/>
      <c r="L258" s="63"/>
      <c r="O258" s="65"/>
      <c r="P258" s="63"/>
      <c r="Q258" s="63"/>
      <c r="W258" s="58"/>
      <c r="X258" s="58"/>
      <c r="Z258" s="63"/>
      <c r="AA258" s="63"/>
      <c r="AB258" s="58"/>
      <c r="AC258" s="63"/>
      <c r="AD258" s="63"/>
      <c r="AI258" s="63"/>
      <c r="AJ258" s="63"/>
      <c r="AK258" s="63"/>
      <c r="AO258" s="63"/>
      <c r="AP258" s="63"/>
    </row>
    <row r="259" spans="2:42">
      <c r="B259" s="67"/>
      <c r="C259" s="63"/>
      <c r="D259" s="63"/>
      <c r="E259" s="66"/>
      <c r="H259" s="63"/>
      <c r="J259" s="56"/>
      <c r="K259" s="63"/>
      <c r="L259" s="63"/>
      <c r="O259" s="65"/>
      <c r="P259" s="63"/>
      <c r="Q259" s="63"/>
      <c r="W259" s="58"/>
      <c r="X259" s="58"/>
      <c r="Z259" s="63"/>
      <c r="AA259" s="63"/>
      <c r="AB259" s="58"/>
      <c r="AC259" s="63"/>
      <c r="AD259" s="63"/>
      <c r="AI259" s="63"/>
      <c r="AJ259" s="63"/>
      <c r="AK259" s="63"/>
      <c r="AO259" s="63"/>
      <c r="AP259" s="63"/>
    </row>
    <row r="260" spans="2:42">
      <c r="B260" s="67"/>
      <c r="C260" s="63"/>
      <c r="D260" s="63"/>
      <c r="E260" s="66"/>
      <c r="H260" s="63"/>
      <c r="J260" s="56"/>
      <c r="K260" s="63"/>
      <c r="L260" s="63"/>
      <c r="O260" s="65"/>
      <c r="P260" s="63"/>
      <c r="Q260" s="63"/>
      <c r="W260" s="58"/>
      <c r="X260" s="58"/>
      <c r="Z260" s="63"/>
      <c r="AA260" s="63"/>
      <c r="AB260" s="58"/>
      <c r="AC260" s="63"/>
      <c r="AD260" s="63"/>
      <c r="AI260" s="63"/>
      <c r="AJ260" s="63"/>
      <c r="AK260" s="63"/>
      <c r="AO260" s="63"/>
      <c r="AP260" s="63"/>
    </row>
    <row r="261" spans="2:42">
      <c r="B261" s="67"/>
      <c r="C261" s="63"/>
      <c r="D261" s="63"/>
      <c r="E261" s="66"/>
      <c r="H261" s="63"/>
      <c r="J261" s="56"/>
      <c r="K261" s="63"/>
      <c r="L261" s="63"/>
      <c r="O261" s="65"/>
      <c r="P261" s="63"/>
      <c r="Q261" s="63"/>
      <c r="W261" s="58"/>
      <c r="X261" s="58"/>
      <c r="Z261" s="63"/>
      <c r="AA261" s="63"/>
      <c r="AB261" s="58"/>
      <c r="AC261" s="63"/>
      <c r="AD261" s="63"/>
      <c r="AI261" s="63"/>
      <c r="AJ261" s="63"/>
      <c r="AK261" s="63"/>
      <c r="AO261" s="63"/>
      <c r="AP261" s="63"/>
    </row>
    <row r="262" spans="2:42">
      <c r="B262" s="67"/>
      <c r="C262" s="63"/>
      <c r="D262" s="63"/>
      <c r="E262" s="66"/>
      <c r="H262" s="63"/>
      <c r="J262" s="56"/>
      <c r="K262" s="63"/>
      <c r="L262" s="63"/>
      <c r="O262" s="65"/>
      <c r="P262" s="63"/>
      <c r="Q262" s="63"/>
      <c r="W262" s="58"/>
      <c r="X262" s="58"/>
      <c r="Z262" s="63"/>
      <c r="AA262" s="63"/>
      <c r="AB262" s="58"/>
      <c r="AC262" s="63"/>
      <c r="AD262" s="63"/>
      <c r="AI262" s="63"/>
      <c r="AJ262" s="63"/>
      <c r="AK262" s="63"/>
      <c r="AO262" s="63"/>
      <c r="AP262" s="63"/>
    </row>
    <row r="263" spans="2:42">
      <c r="B263" s="58"/>
      <c r="C263" s="63"/>
      <c r="D263" s="63"/>
      <c r="E263" s="66"/>
      <c r="H263" s="63"/>
      <c r="J263" s="56"/>
      <c r="K263" s="63"/>
      <c r="L263" s="63"/>
      <c r="M263" s="68"/>
      <c r="O263" s="65"/>
      <c r="P263" s="63"/>
      <c r="Q263" s="63"/>
      <c r="W263" s="63"/>
      <c r="X263" s="63"/>
      <c r="Z263" s="63"/>
      <c r="AA263" s="63"/>
      <c r="AB263" s="58"/>
      <c r="AC263" s="63"/>
      <c r="AD263" s="63"/>
      <c r="AJ263" s="63"/>
      <c r="AK263" s="63"/>
      <c r="AO263" s="63"/>
      <c r="AP263" s="63"/>
    </row>
    <row r="264" spans="2:42">
      <c r="B264" s="58"/>
      <c r="C264" s="63"/>
      <c r="D264" s="63"/>
      <c r="E264" s="66"/>
      <c r="H264" s="63"/>
      <c r="J264" s="56"/>
      <c r="K264" s="63"/>
      <c r="L264" s="63"/>
      <c r="M264" s="68"/>
      <c r="O264" s="65"/>
      <c r="P264" s="63"/>
      <c r="Q264" s="63"/>
      <c r="W264" s="63"/>
      <c r="X264" s="63"/>
      <c r="Z264" s="63"/>
      <c r="AA264" s="63"/>
      <c r="AB264" s="58"/>
      <c r="AC264" s="63"/>
      <c r="AD264" s="63"/>
      <c r="AJ264" s="63"/>
      <c r="AK264" s="63"/>
      <c r="AO264" s="63"/>
      <c r="AP264" s="63"/>
    </row>
    <row r="265" spans="2:42">
      <c r="B265" s="58"/>
      <c r="C265" s="63"/>
      <c r="D265" s="63"/>
      <c r="E265" s="66"/>
      <c r="H265" s="63"/>
      <c r="J265" s="56"/>
      <c r="K265" s="63"/>
      <c r="L265" s="63"/>
      <c r="M265" s="68"/>
      <c r="O265" s="65"/>
      <c r="P265" s="63"/>
      <c r="Q265" s="63"/>
      <c r="W265" s="63"/>
      <c r="X265" s="63"/>
      <c r="Z265" s="63"/>
      <c r="AA265" s="63"/>
      <c r="AB265" s="58"/>
      <c r="AC265" s="63"/>
      <c r="AD265" s="63"/>
      <c r="AJ265" s="63"/>
      <c r="AK265" s="63"/>
      <c r="AO265" s="63"/>
      <c r="AP265" s="63"/>
    </row>
    <row r="266" spans="2:42">
      <c r="B266" s="58"/>
      <c r="C266" s="63"/>
      <c r="D266" s="63"/>
      <c r="E266" s="66"/>
      <c r="H266" s="63"/>
      <c r="J266" s="56"/>
      <c r="K266" s="63"/>
      <c r="L266" s="63"/>
      <c r="M266" s="68"/>
      <c r="O266" s="65"/>
      <c r="P266" s="63"/>
      <c r="Q266" s="63"/>
      <c r="W266" s="63"/>
      <c r="X266" s="63"/>
      <c r="Z266" s="63"/>
      <c r="AA266" s="63"/>
      <c r="AB266" s="58"/>
      <c r="AC266" s="63"/>
      <c r="AD266" s="63"/>
      <c r="AJ266" s="63"/>
      <c r="AK266" s="63"/>
      <c r="AO266" s="63"/>
      <c r="AP266" s="63"/>
    </row>
    <row r="267" spans="2:42">
      <c r="B267" s="58"/>
      <c r="C267" s="63"/>
      <c r="D267" s="63"/>
      <c r="E267" s="66"/>
      <c r="H267" s="63"/>
      <c r="J267" s="56"/>
      <c r="K267" s="63"/>
      <c r="L267" s="63"/>
      <c r="M267" s="68"/>
      <c r="O267" s="65"/>
      <c r="P267" s="63"/>
      <c r="Q267" s="63"/>
      <c r="W267" s="63"/>
      <c r="X267" s="63"/>
      <c r="Z267" s="63"/>
      <c r="AA267" s="63"/>
      <c r="AB267" s="58"/>
      <c r="AC267" s="63"/>
      <c r="AD267" s="63"/>
      <c r="AJ267" s="63"/>
      <c r="AK267" s="63"/>
      <c r="AO267" s="63"/>
      <c r="AP267" s="63"/>
    </row>
    <row r="268" spans="2:42">
      <c r="B268" s="58"/>
      <c r="C268" s="63"/>
      <c r="D268" s="63"/>
      <c r="E268" s="66"/>
      <c r="H268" s="63"/>
      <c r="J268" s="56"/>
      <c r="K268" s="63"/>
      <c r="L268" s="63"/>
      <c r="M268" s="68"/>
      <c r="O268" s="65"/>
      <c r="P268" s="63"/>
      <c r="Q268" s="63"/>
      <c r="W268" s="63"/>
      <c r="X268" s="63"/>
      <c r="Z268" s="63"/>
      <c r="AA268" s="63"/>
      <c r="AB268" s="58"/>
      <c r="AC268" s="63"/>
      <c r="AD268" s="63"/>
      <c r="AJ268" s="63"/>
      <c r="AK268" s="63"/>
      <c r="AO268" s="63"/>
      <c r="AP268" s="63"/>
    </row>
    <row r="269" spans="2:42">
      <c r="B269" s="58"/>
      <c r="C269" s="63"/>
      <c r="D269" s="63"/>
      <c r="E269" s="66"/>
      <c r="H269" s="63"/>
      <c r="J269" s="56"/>
      <c r="K269" s="63"/>
      <c r="L269" s="63"/>
      <c r="M269" s="68"/>
      <c r="P269" s="63"/>
      <c r="Q269" s="63"/>
      <c r="W269" s="63"/>
      <c r="X269" s="63"/>
      <c r="Z269" s="63"/>
      <c r="AA269" s="63"/>
      <c r="AC269" s="63"/>
      <c r="AD269" s="63"/>
      <c r="AI269" s="63"/>
      <c r="AJ269" s="63"/>
      <c r="AK269" s="63"/>
      <c r="AO269" s="63"/>
      <c r="AP269" s="63"/>
    </row>
    <row r="270" spans="2:42">
      <c r="B270" s="58"/>
      <c r="C270" s="63"/>
      <c r="D270" s="63"/>
      <c r="E270" s="66"/>
      <c r="H270" s="63"/>
      <c r="J270" s="56"/>
      <c r="K270" s="63"/>
      <c r="L270" s="63"/>
      <c r="M270" s="68"/>
      <c r="P270" s="63"/>
      <c r="Q270" s="63"/>
      <c r="W270" s="63"/>
      <c r="X270" s="63"/>
      <c r="Z270" s="63"/>
      <c r="AA270" s="63"/>
      <c r="AC270" s="63"/>
      <c r="AD270" s="63"/>
      <c r="AI270" s="63"/>
      <c r="AJ270" s="63"/>
      <c r="AK270" s="63"/>
      <c r="AO270" s="63"/>
      <c r="AP270" s="63"/>
    </row>
    <row r="271" spans="2:42">
      <c r="B271" s="58"/>
      <c r="C271" s="63"/>
      <c r="D271" s="63"/>
      <c r="E271" s="66"/>
      <c r="H271" s="63"/>
      <c r="J271" s="56"/>
      <c r="K271" s="63"/>
      <c r="L271" s="63"/>
      <c r="M271" s="68"/>
      <c r="P271" s="63"/>
      <c r="Q271" s="63"/>
      <c r="W271" s="63"/>
      <c r="X271" s="63"/>
      <c r="Z271" s="63"/>
      <c r="AA271" s="63"/>
      <c r="AC271" s="63"/>
      <c r="AD271" s="63"/>
      <c r="AI271" s="63"/>
      <c r="AJ271" s="63"/>
      <c r="AK271" s="63"/>
      <c r="AO271" s="63"/>
      <c r="AP271" s="63"/>
    </row>
    <row r="272" spans="2:42">
      <c r="B272" s="58"/>
      <c r="C272" s="63"/>
      <c r="D272" s="63"/>
      <c r="E272" s="66"/>
      <c r="H272" s="63"/>
      <c r="J272" s="56"/>
      <c r="K272" s="63"/>
      <c r="L272" s="63"/>
      <c r="M272" s="68"/>
      <c r="P272" s="63"/>
      <c r="Q272" s="63"/>
      <c r="W272" s="63"/>
      <c r="X272" s="63"/>
      <c r="Z272" s="63"/>
      <c r="AA272" s="63"/>
      <c r="AC272" s="63"/>
      <c r="AD272" s="63"/>
      <c r="AI272" s="63"/>
      <c r="AJ272" s="63"/>
      <c r="AK272" s="63"/>
      <c r="AO272" s="63"/>
      <c r="AP272" s="63"/>
    </row>
    <row r="273" spans="2:42">
      <c r="B273" s="58"/>
      <c r="C273" s="63"/>
      <c r="D273" s="63"/>
      <c r="E273" s="66"/>
      <c r="H273" s="63"/>
      <c r="J273" s="56"/>
      <c r="K273" s="63"/>
      <c r="L273" s="63"/>
      <c r="M273" s="68"/>
      <c r="P273" s="63"/>
      <c r="Q273" s="63"/>
      <c r="W273" s="63"/>
      <c r="X273" s="63"/>
      <c r="Z273" s="63"/>
      <c r="AA273" s="63"/>
      <c r="AC273" s="63"/>
      <c r="AD273" s="63"/>
      <c r="AI273" s="63"/>
      <c r="AJ273" s="63"/>
      <c r="AK273" s="63"/>
      <c r="AO273" s="63"/>
      <c r="AP273" s="63"/>
    </row>
    <row r="274" spans="2:42">
      <c r="B274" s="58"/>
      <c r="C274" s="63"/>
      <c r="D274" s="63"/>
      <c r="E274" s="66"/>
      <c r="H274" s="63"/>
      <c r="J274" s="69"/>
      <c r="K274" s="58"/>
      <c r="L274" s="63"/>
      <c r="M274" s="68"/>
      <c r="O274" s="65"/>
      <c r="P274" s="63"/>
      <c r="Q274" s="63"/>
      <c r="W274" s="58"/>
      <c r="X274" s="63"/>
      <c r="Z274" s="63"/>
      <c r="AA274" s="63"/>
      <c r="AB274" s="63"/>
      <c r="AC274" s="63"/>
      <c r="AD274" s="63"/>
      <c r="AI274" s="63"/>
      <c r="AJ274" s="63"/>
      <c r="AK274" s="63"/>
      <c r="AO274" s="63"/>
      <c r="AP274" s="63"/>
    </row>
    <row r="275" spans="2:42">
      <c r="B275" s="58"/>
      <c r="C275" s="63"/>
      <c r="D275" s="63"/>
      <c r="E275" s="66"/>
      <c r="H275" s="63"/>
      <c r="J275" s="69"/>
      <c r="K275" s="58"/>
      <c r="L275" s="63"/>
      <c r="M275" s="68"/>
      <c r="O275" s="65"/>
      <c r="P275" s="63"/>
      <c r="Q275" s="63"/>
      <c r="W275" s="58"/>
      <c r="X275" s="63"/>
      <c r="Z275" s="63"/>
      <c r="AA275" s="63"/>
      <c r="AB275" s="63"/>
      <c r="AC275" s="63"/>
      <c r="AD275" s="63"/>
      <c r="AI275" s="63"/>
      <c r="AJ275" s="63"/>
      <c r="AK275" s="63"/>
      <c r="AO275" s="63"/>
      <c r="AP275" s="63"/>
    </row>
    <row r="276" spans="2:42">
      <c r="B276" s="58"/>
      <c r="C276" s="63"/>
      <c r="D276" s="63"/>
      <c r="E276" s="66"/>
      <c r="H276" s="63"/>
      <c r="J276" s="69"/>
      <c r="K276" s="58"/>
      <c r="L276" s="63"/>
      <c r="M276" s="68"/>
      <c r="O276" s="65"/>
      <c r="P276" s="63"/>
      <c r="Q276" s="63"/>
      <c r="W276" s="58"/>
      <c r="X276" s="63"/>
      <c r="Z276" s="63"/>
      <c r="AA276" s="63"/>
      <c r="AB276" s="63"/>
      <c r="AC276" s="63"/>
      <c r="AD276" s="63"/>
      <c r="AI276" s="63"/>
      <c r="AJ276" s="63"/>
      <c r="AK276" s="63"/>
      <c r="AO276" s="63"/>
      <c r="AP276" s="63"/>
    </row>
    <row r="277" spans="2:42">
      <c r="B277" s="58"/>
      <c r="C277" s="63"/>
      <c r="D277" s="63"/>
      <c r="E277" s="66"/>
      <c r="H277" s="63"/>
      <c r="J277" s="69"/>
      <c r="K277" s="58"/>
      <c r="L277" s="63"/>
      <c r="M277" s="68"/>
      <c r="O277" s="65"/>
      <c r="P277" s="63"/>
      <c r="Q277" s="63"/>
      <c r="W277" s="58"/>
      <c r="X277" s="63"/>
      <c r="Z277" s="63"/>
      <c r="AA277" s="63"/>
      <c r="AB277" s="63"/>
      <c r="AC277" s="63"/>
      <c r="AD277" s="63"/>
      <c r="AI277" s="63"/>
      <c r="AJ277" s="63"/>
      <c r="AK277" s="63"/>
      <c r="AO277" s="63"/>
      <c r="AP277" s="63"/>
    </row>
    <row r="278" spans="2:42">
      <c r="B278" s="58"/>
      <c r="C278" s="63"/>
      <c r="D278" s="63"/>
      <c r="E278" s="66"/>
      <c r="H278" s="63"/>
      <c r="J278" s="69"/>
      <c r="K278" s="58"/>
      <c r="L278" s="63"/>
      <c r="M278" s="68"/>
      <c r="O278" s="65"/>
      <c r="P278" s="63"/>
      <c r="Q278" s="63"/>
      <c r="R278" s="58"/>
      <c r="S278" s="58"/>
      <c r="T278" s="58"/>
      <c r="W278" s="58"/>
      <c r="X278" s="63"/>
      <c r="Z278" s="63"/>
      <c r="AA278" s="63"/>
      <c r="AB278" s="63"/>
      <c r="AC278" s="63"/>
      <c r="AD278" s="63"/>
      <c r="AI278" s="63"/>
      <c r="AJ278" s="63"/>
      <c r="AK278" s="63"/>
      <c r="AO278" s="63"/>
      <c r="AP278" s="63"/>
    </row>
    <row r="279" spans="2:42">
      <c r="B279" s="58"/>
      <c r="C279" s="63"/>
      <c r="D279" s="63"/>
      <c r="E279" s="66"/>
      <c r="H279" s="63"/>
      <c r="J279" s="69"/>
      <c r="K279" s="58"/>
      <c r="L279" s="63"/>
      <c r="M279" s="68"/>
      <c r="O279" s="65"/>
      <c r="P279" s="63"/>
      <c r="Q279" s="63"/>
      <c r="R279" s="58"/>
      <c r="S279" s="58"/>
      <c r="T279" s="58"/>
      <c r="W279" s="58"/>
      <c r="X279" s="63"/>
      <c r="Z279" s="63"/>
      <c r="AA279" s="63"/>
      <c r="AB279" s="63"/>
      <c r="AC279" s="63"/>
      <c r="AD279" s="63"/>
      <c r="AI279" s="63"/>
      <c r="AJ279" s="63"/>
      <c r="AK279" s="63"/>
      <c r="AO279" s="63"/>
      <c r="AP279" s="63"/>
    </row>
    <row r="280" spans="2:42">
      <c r="B280" s="58"/>
      <c r="C280" s="63"/>
      <c r="D280" s="63"/>
      <c r="E280" s="66"/>
      <c r="H280" s="63"/>
      <c r="J280" s="69"/>
      <c r="K280" s="58"/>
      <c r="L280" s="63"/>
      <c r="M280" s="68"/>
      <c r="O280" s="65"/>
      <c r="P280" s="63"/>
      <c r="Q280" s="63"/>
      <c r="R280" s="58"/>
      <c r="S280" s="58"/>
      <c r="T280" s="58"/>
      <c r="W280" s="58"/>
      <c r="X280" s="63"/>
      <c r="Z280" s="63"/>
      <c r="AA280" s="63"/>
      <c r="AB280" s="63"/>
      <c r="AC280" s="63"/>
      <c r="AD280" s="63"/>
      <c r="AI280" s="63"/>
      <c r="AJ280" s="63"/>
      <c r="AK280" s="63"/>
      <c r="AO280" s="63"/>
      <c r="AP280" s="63"/>
    </row>
    <row r="281" spans="2:42">
      <c r="B281" s="58"/>
      <c r="C281" s="63"/>
      <c r="D281" s="63"/>
      <c r="E281" s="66"/>
      <c r="H281" s="63"/>
      <c r="J281" s="69"/>
      <c r="K281" s="58"/>
      <c r="L281" s="63"/>
      <c r="M281" s="68"/>
      <c r="O281" s="65"/>
      <c r="P281" s="63"/>
      <c r="Q281" s="63"/>
      <c r="R281" s="58"/>
      <c r="S281" s="58"/>
      <c r="T281" s="58"/>
      <c r="W281" s="58"/>
      <c r="X281" s="63"/>
      <c r="Z281" s="63"/>
      <c r="AA281" s="63"/>
      <c r="AB281" s="63"/>
      <c r="AC281" s="63"/>
      <c r="AD281" s="63"/>
      <c r="AI281" s="63"/>
      <c r="AJ281" s="63"/>
      <c r="AK281" s="63"/>
      <c r="AO281" s="63"/>
      <c r="AP281" s="63"/>
    </row>
    <row r="282" spans="2:42">
      <c r="B282" s="58"/>
      <c r="C282" s="63"/>
      <c r="D282" s="63"/>
      <c r="E282" s="66"/>
      <c r="H282" s="63"/>
      <c r="J282" s="69"/>
      <c r="K282" s="58"/>
      <c r="L282" s="63"/>
      <c r="M282" s="68"/>
      <c r="O282" s="65"/>
      <c r="P282" s="63"/>
      <c r="Q282" s="63"/>
      <c r="R282" s="58"/>
      <c r="S282" s="58"/>
      <c r="T282" s="58"/>
      <c r="W282" s="58"/>
      <c r="X282" s="63"/>
      <c r="Z282" s="63"/>
      <c r="AA282" s="63"/>
      <c r="AB282" s="63"/>
      <c r="AC282" s="63"/>
      <c r="AD282" s="63"/>
      <c r="AI282" s="63"/>
      <c r="AJ282" s="63"/>
      <c r="AK282" s="63"/>
      <c r="AO282" s="63"/>
      <c r="AP282" s="63"/>
    </row>
    <row r="283" spans="2:42">
      <c r="B283" s="58"/>
      <c r="C283" s="63"/>
      <c r="D283" s="63"/>
      <c r="E283" s="66"/>
      <c r="H283" s="63"/>
      <c r="J283" s="69"/>
      <c r="K283" s="58"/>
      <c r="L283" s="63"/>
      <c r="M283" s="68"/>
      <c r="O283" s="65"/>
      <c r="P283" s="63"/>
      <c r="Q283" s="63"/>
      <c r="R283" s="58"/>
      <c r="S283" s="58"/>
      <c r="T283" s="58"/>
      <c r="W283" s="58"/>
      <c r="X283" s="63"/>
      <c r="Z283" s="63"/>
      <c r="AA283" s="63"/>
      <c r="AB283" s="63"/>
      <c r="AC283" s="63"/>
      <c r="AD283" s="63"/>
      <c r="AI283" s="63"/>
      <c r="AJ283" s="63"/>
      <c r="AK283" s="63"/>
      <c r="AO283" s="63"/>
      <c r="AP283" s="63"/>
    </row>
    <row r="284" spans="2:42">
      <c r="B284" s="58"/>
      <c r="C284" s="63"/>
      <c r="D284" s="63"/>
      <c r="E284" s="66"/>
      <c r="H284" s="63"/>
      <c r="J284" s="69"/>
      <c r="K284" s="58"/>
      <c r="L284" s="63"/>
      <c r="M284" s="68"/>
      <c r="O284" s="65"/>
      <c r="P284" s="63"/>
      <c r="Q284" s="63"/>
      <c r="R284" s="58"/>
      <c r="S284" s="58"/>
      <c r="T284" s="58"/>
      <c r="W284" s="58"/>
      <c r="X284" s="63"/>
      <c r="Z284" s="63"/>
      <c r="AA284" s="63"/>
      <c r="AB284" s="63"/>
      <c r="AC284" s="63"/>
      <c r="AD284" s="63"/>
      <c r="AI284" s="63"/>
      <c r="AJ284" s="63"/>
      <c r="AK284" s="63"/>
      <c r="AO284" s="63"/>
      <c r="AP284" s="63"/>
    </row>
    <row r="285" spans="2:42">
      <c r="B285" s="58"/>
      <c r="C285" s="63"/>
      <c r="D285" s="63"/>
      <c r="E285" s="66"/>
      <c r="H285" s="63"/>
      <c r="J285" s="69"/>
      <c r="K285" s="58"/>
      <c r="L285" s="63"/>
      <c r="M285" s="68"/>
      <c r="O285" s="65"/>
      <c r="P285" s="63"/>
      <c r="Q285" s="63"/>
      <c r="R285" s="58"/>
      <c r="S285" s="58"/>
      <c r="T285" s="58"/>
      <c r="W285" s="58"/>
      <c r="X285" s="63"/>
      <c r="Z285" s="63"/>
      <c r="AA285" s="63"/>
      <c r="AB285" s="63"/>
      <c r="AC285" s="63"/>
      <c r="AD285" s="63"/>
      <c r="AI285" s="63"/>
      <c r="AJ285" s="63"/>
      <c r="AK285" s="63"/>
      <c r="AO285" s="63"/>
      <c r="AP285" s="63"/>
    </row>
    <row r="286" spans="2:42">
      <c r="B286" s="58"/>
      <c r="C286" s="63"/>
      <c r="D286" s="63"/>
      <c r="E286" s="66"/>
      <c r="H286" s="63"/>
      <c r="J286" s="69"/>
      <c r="K286" s="58"/>
      <c r="L286" s="63"/>
      <c r="M286" s="68"/>
      <c r="O286" s="65"/>
      <c r="P286" s="63"/>
      <c r="Q286" s="63"/>
      <c r="R286" s="58"/>
      <c r="S286" s="58"/>
      <c r="T286" s="58"/>
      <c r="W286" s="58"/>
      <c r="X286" s="63"/>
      <c r="Z286" s="63"/>
      <c r="AA286" s="63"/>
      <c r="AB286" s="63"/>
      <c r="AC286" s="63"/>
      <c r="AD286" s="63"/>
      <c r="AI286" s="63"/>
      <c r="AJ286" s="63"/>
      <c r="AK286" s="63"/>
      <c r="AO286" s="63"/>
      <c r="AP286" s="63"/>
    </row>
    <row r="287" spans="2:42">
      <c r="B287" s="58"/>
      <c r="C287" s="63"/>
      <c r="D287" s="63"/>
      <c r="E287" s="66"/>
      <c r="H287" s="63"/>
      <c r="J287" s="69"/>
      <c r="K287" s="58"/>
      <c r="L287" s="63"/>
      <c r="M287" s="68"/>
      <c r="O287" s="65"/>
      <c r="P287" s="63"/>
      <c r="Q287" s="63"/>
      <c r="R287" s="58"/>
      <c r="S287" s="58"/>
      <c r="T287" s="58"/>
      <c r="W287" s="58"/>
      <c r="X287" s="63"/>
      <c r="Z287" s="63"/>
      <c r="AA287" s="63"/>
      <c r="AB287" s="63"/>
      <c r="AC287" s="63"/>
      <c r="AD287" s="63"/>
      <c r="AI287" s="63"/>
      <c r="AJ287" s="63"/>
      <c r="AK287" s="63"/>
      <c r="AO287" s="63"/>
      <c r="AP287" s="63"/>
    </row>
    <row r="288" spans="2:42">
      <c r="B288" s="58"/>
      <c r="C288" s="63"/>
      <c r="D288" s="63"/>
      <c r="E288" s="66"/>
      <c r="H288" s="63"/>
      <c r="J288" s="69"/>
      <c r="K288" s="58"/>
      <c r="L288" s="63"/>
      <c r="M288" s="68"/>
      <c r="O288" s="65"/>
      <c r="P288" s="63"/>
      <c r="Q288" s="63"/>
      <c r="R288" s="58"/>
      <c r="S288" s="58"/>
      <c r="T288" s="58"/>
      <c r="W288" s="58"/>
      <c r="X288" s="63"/>
      <c r="Z288" s="63"/>
      <c r="AA288" s="63"/>
      <c r="AB288" s="63"/>
      <c r="AC288" s="63"/>
      <c r="AD288" s="63"/>
      <c r="AI288" s="63"/>
      <c r="AJ288" s="63"/>
      <c r="AK288" s="63"/>
      <c r="AO288" s="63"/>
      <c r="AP288" s="63"/>
    </row>
    <row r="289" spans="2:42">
      <c r="B289" s="58"/>
      <c r="C289" s="63"/>
      <c r="D289" s="63"/>
      <c r="E289" s="66"/>
      <c r="H289" s="63"/>
      <c r="J289" s="69"/>
      <c r="K289" s="58"/>
      <c r="L289" s="63"/>
      <c r="M289" s="68"/>
      <c r="O289" s="65"/>
      <c r="P289" s="63"/>
      <c r="Q289" s="63"/>
      <c r="R289" s="58"/>
      <c r="S289" s="58"/>
      <c r="T289" s="58"/>
      <c r="W289" s="58"/>
      <c r="X289" s="63"/>
      <c r="Z289" s="63"/>
      <c r="AA289" s="63"/>
      <c r="AB289" s="63"/>
      <c r="AC289" s="63"/>
      <c r="AD289" s="63"/>
      <c r="AI289" s="63"/>
      <c r="AJ289" s="63"/>
      <c r="AK289" s="63"/>
      <c r="AO289" s="63"/>
      <c r="AP289" s="63"/>
    </row>
    <row r="290" spans="2:42">
      <c r="B290" s="58"/>
      <c r="C290" s="63"/>
      <c r="D290" s="63"/>
      <c r="E290" s="66"/>
      <c r="H290" s="63"/>
      <c r="J290" s="69"/>
      <c r="K290" s="58"/>
      <c r="L290" s="63"/>
      <c r="M290" s="68"/>
      <c r="O290" s="65"/>
      <c r="P290" s="63"/>
      <c r="Q290" s="63"/>
      <c r="R290" s="63"/>
      <c r="S290" s="63"/>
      <c r="T290" s="63"/>
      <c r="W290" s="58"/>
      <c r="X290" s="63"/>
      <c r="Z290" s="63"/>
      <c r="AA290" s="63"/>
      <c r="AB290" s="63"/>
      <c r="AC290" s="63"/>
      <c r="AD290" s="63"/>
      <c r="AI290" s="63"/>
      <c r="AJ290" s="63"/>
      <c r="AK290" s="63"/>
      <c r="AO290" s="63"/>
      <c r="AP290" s="63"/>
    </row>
    <row r="291" spans="2:42">
      <c r="B291" s="58"/>
      <c r="C291" s="63"/>
      <c r="D291" s="63"/>
      <c r="E291" s="66"/>
      <c r="H291" s="63"/>
      <c r="J291" s="69"/>
      <c r="K291" s="58"/>
      <c r="L291" s="63"/>
      <c r="M291" s="68"/>
      <c r="O291" s="65"/>
      <c r="P291" s="63"/>
      <c r="Q291" s="63"/>
      <c r="R291" s="63"/>
      <c r="S291" s="63"/>
      <c r="T291" s="63"/>
      <c r="W291" s="58"/>
      <c r="X291" s="63"/>
      <c r="Z291" s="63"/>
      <c r="AA291" s="63"/>
      <c r="AB291" s="63"/>
      <c r="AC291" s="63"/>
      <c r="AD291" s="63"/>
      <c r="AI291" s="63"/>
      <c r="AJ291" s="63"/>
      <c r="AK291" s="63"/>
      <c r="AO291" s="63"/>
      <c r="AP291" s="63"/>
    </row>
    <row r="292" spans="2:42" s="57" customFormat="1">
      <c r="E292" s="66"/>
      <c r="H292" s="63"/>
      <c r="J292" s="56"/>
      <c r="AB292" s="63"/>
    </row>
    <row r="293" spans="2:42" s="57" customFormat="1">
      <c r="E293" s="66"/>
      <c r="H293" s="63"/>
      <c r="J293" s="56"/>
      <c r="AB293" s="63"/>
    </row>
    <row r="294" spans="2:42" s="57" customFormat="1">
      <c r="E294" s="66"/>
      <c r="H294" s="63"/>
      <c r="J294" s="56"/>
      <c r="AB294" s="63"/>
    </row>
    <row r="295" spans="2:42" s="57" customFormat="1">
      <c r="E295" s="66"/>
      <c r="H295" s="63"/>
      <c r="J295" s="56"/>
      <c r="AB295" s="63"/>
    </row>
    <row r="296" spans="2:42" s="57" customFormat="1">
      <c r="E296" s="66"/>
      <c r="H296" s="63"/>
      <c r="J296" s="56"/>
      <c r="AB296" s="63"/>
    </row>
    <row r="297" spans="2:42" s="57" customFormat="1">
      <c r="E297" s="66"/>
      <c r="H297" s="63"/>
      <c r="J297" s="56"/>
      <c r="AB297" s="63"/>
    </row>
    <row r="298" spans="2:42" s="57" customFormat="1">
      <c r="E298" s="66"/>
      <c r="H298" s="63"/>
      <c r="J298" s="56"/>
      <c r="AB298" s="63"/>
    </row>
    <row r="299" spans="2:42" s="57" customFormat="1">
      <c r="E299" s="66"/>
      <c r="H299" s="63"/>
      <c r="J299" s="56"/>
      <c r="AB299" s="63"/>
    </row>
    <row r="300" spans="2:42" s="57" customFormat="1">
      <c r="E300" s="66"/>
      <c r="H300" s="63"/>
      <c r="J300" s="56"/>
      <c r="AB300" s="63"/>
    </row>
    <row r="301" spans="2:42" s="57" customFormat="1">
      <c r="E301" s="66"/>
      <c r="H301" s="63"/>
      <c r="J301" s="56"/>
      <c r="AB301" s="63"/>
    </row>
    <row r="302" spans="2:42" s="57" customFormat="1">
      <c r="E302" s="66"/>
      <c r="H302" s="63"/>
      <c r="J302" s="56"/>
      <c r="AB302" s="63"/>
    </row>
    <row r="303" spans="2:42" s="57" customFormat="1">
      <c r="E303" s="66"/>
      <c r="H303" s="63"/>
      <c r="J303" s="56"/>
      <c r="AB303" s="63"/>
    </row>
    <row r="304" spans="2:42" s="57" customFormat="1">
      <c r="E304" s="66"/>
      <c r="H304" s="63"/>
      <c r="J304" s="56"/>
      <c r="AB304" s="63"/>
    </row>
    <row r="305" spans="2:42" s="57" customFormat="1">
      <c r="E305" s="66"/>
      <c r="H305" s="63"/>
      <c r="J305" s="56"/>
      <c r="AB305" s="63"/>
    </row>
    <row r="306" spans="2:42" s="57" customFormat="1">
      <c r="E306" s="66"/>
      <c r="H306" s="63"/>
      <c r="J306" s="56"/>
      <c r="AB306" s="63"/>
    </row>
    <row r="307" spans="2:42" s="57" customFormat="1">
      <c r="E307" s="66"/>
      <c r="H307" s="63"/>
      <c r="J307" s="56"/>
      <c r="AB307" s="63"/>
    </row>
    <row r="308" spans="2:42" s="57" customFormat="1">
      <c r="E308" s="66"/>
      <c r="H308" s="63"/>
      <c r="J308" s="56"/>
      <c r="AB308" s="63"/>
    </row>
    <row r="309" spans="2:42" s="57" customFormat="1">
      <c r="E309" s="66"/>
      <c r="H309" s="63"/>
      <c r="J309" s="56"/>
      <c r="AB309" s="63"/>
    </row>
    <row r="310" spans="2:42">
      <c r="B310" s="58"/>
      <c r="C310" s="63"/>
      <c r="D310" s="63"/>
      <c r="E310" s="66"/>
      <c r="H310" s="63"/>
      <c r="J310" s="56"/>
      <c r="K310" s="63"/>
      <c r="L310" s="63"/>
      <c r="O310" s="65"/>
      <c r="P310" s="63"/>
      <c r="Q310" s="63"/>
      <c r="W310" s="63"/>
      <c r="X310" s="63"/>
      <c r="Z310" s="63"/>
      <c r="AA310" s="63"/>
      <c r="AC310" s="63"/>
      <c r="AD310" s="63"/>
      <c r="AI310" s="63"/>
      <c r="AJ310" s="63"/>
      <c r="AK310" s="63"/>
      <c r="AO310" s="63"/>
      <c r="AP310" s="63"/>
    </row>
    <row r="311" spans="2:42">
      <c r="B311" s="58"/>
      <c r="C311" s="63"/>
      <c r="D311" s="63"/>
      <c r="E311" s="66"/>
      <c r="H311" s="63"/>
      <c r="I311" s="57"/>
      <c r="J311" s="56"/>
      <c r="K311" s="63"/>
      <c r="L311" s="63"/>
      <c r="M311" s="57"/>
      <c r="O311" s="65"/>
      <c r="P311" s="63"/>
      <c r="Q311" s="63"/>
      <c r="W311" s="63"/>
      <c r="X311" s="63"/>
      <c r="Z311" s="63"/>
      <c r="AA311" s="63"/>
      <c r="AC311" s="63"/>
      <c r="AD311" s="63"/>
      <c r="AI311" s="63"/>
      <c r="AJ311" s="63"/>
      <c r="AK311" s="63"/>
      <c r="AO311" s="63"/>
      <c r="AP311" s="63"/>
    </row>
    <row r="312" spans="2:42">
      <c r="B312" s="58"/>
      <c r="C312" s="63"/>
      <c r="D312" s="63"/>
      <c r="E312" s="66"/>
      <c r="H312" s="63"/>
      <c r="I312" s="57"/>
      <c r="J312" s="56"/>
      <c r="K312" s="63"/>
      <c r="L312" s="63"/>
      <c r="M312" s="57"/>
      <c r="O312" s="65"/>
      <c r="P312" s="63"/>
      <c r="Q312" s="63"/>
      <c r="W312" s="63"/>
      <c r="X312" s="63"/>
      <c r="Z312" s="63"/>
      <c r="AA312" s="63"/>
      <c r="AC312" s="63"/>
      <c r="AD312" s="63"/>
      <c r="AI312" s="63"/>
      <c r="AJ312" s="63"/>
      <c r="AK312" s="63"/>
      <c r="AO312" s="63"/>
      <c r="AP312" s="63"/>
    </row>
    <row r="313" spans="2:42">
      <c r="B313" s="58"/>
      <c r="C313" s="63"/>
      <c r="D313" s="63"/>
      <c r="E313" s="66"/>
      <c r="H313" s="63"/>
      <c r="I313" s="57"/>
      <c r="J313" s="56"/>
      <c r="K313" s="63"/>
      <c r="L313" s="63"/>
      <c r="M313" s="57"/>
      <c r="O313" s="65"/>
      <c r="P313" s="63"/>
      <c r="Q313" s="63"/>
      <c r="W313" s="63"/>
      <c r="X313" s="63"/>
      <c r="Z313" s="63"/>
      <c r="AA313" s="63"/>
      <c r="AC313" s="63"/>
      <c r="AD313" s="63"/>
      <c r="AI313" s="63"/>
      <c r="AJ313" s="63"/>
      <c r="AK313" s="63"/>
      <c r="AO313" s="63"/>
      <c r="AP313" s="63"/>
    </row>
    <row r="314" spans="2:42">
      <c r="B314" s="58"/>
      <c r="C314" s="63"/>
      <c r="D314" s="63"/>
      <c r="E314" s="66"/>
      <c r="H314" s="63"/>
      <c r="I314" s="57"/>
      <c r="J314" s="57"/>
      <c r="K314" s="63"/>
      <c r="L314" s="63"/>
      <c r="M314" s="57"/>
      <c r="O314" s="65"/>
      <c r="P314" s="63"/>
      <c r="Q314" s="63"/>
      <c r="W314" s="63"/>
      <c r="X314" s="63"/>
      <c r="Z314" s="63"/>
      <c r="AA314" s="63"/>
      <c r="AC314" s="63"/>
      <c r="AD314" s="63"/>
      <c r="AI314" s="63"/>
      <c r="AJ314" s="63"/>
      <c r="AK314" s="63"/>
      <c r="AO314" s="63"/>
      <c r="AP314" s="63"/>
    </row>
    <row r="315" spans="2:42">
      <c r="B315" s="58"/>
      <c r="C315" s="63"/>
      <c r="D315" s="63"/>
      <c r="E315" s="66"/>
      <c r="H315" s="63"/>
      <c r="I315" s="57"/>
      <c r="J315" s="57"/>
      <c r="K315" s="63"/>
      <c r="L315" s="63"/>
      <c r="M315" s="57"/>
      <c r="O315" s="65"/>
      <c r="P315" s="63"/>
      <c r="Q315" s="63"/>
      <c r="W315" s="63"/>
      <c r="X315" s="63"/>
      <c r="Z315" s="63"/>
      <c r="AA315" s="63"/>
      <c r="AC315" s="63"/>
      <c r="AD315" s="63"/>
      <c r="AI315" s="63"/>
      <c r="AJ315" s="63"/>
      <c r="AK315" s="63"/>
      <c r="AO315" s="63"/>
      <c r="AP315" s="63"/>
    </row>
    <row r="316" spans="2:42">
      <c r="B316" s="58"/>
      <c r="C316" s="63"/>
      <c r="D316" s="63"/>
      <c r="E316" s="66"/>
      <c r="H316" s="63"/>
      <c r="I316" s="57"/>
      <c r="J316" s="57"/>
      <c r="K316" s="63"/>
      <c r="L316" s="63"/>
      <c r="M316" s="57"/>
      <c r="O316" s="65"/>
      <c r="P316" s="63"/>
      <c r="Q316" s="63"/>
      <c r="W316" s="63"/>
      <c r="X316" s="63"/>
      <c r="Z316" s="63"/>
      <c r="AA316" s="63"/>
      <c r="AC316" s="63"/>
      <c r="AD316" s="63"/>
      <c r="AI316" s="63"/>
      <c r="AJ316" s="63"/>
      <c r="AK316" s="63"/>
      <c r="AO316" s="63"/>
      <c r="AP316" s="63"/>
    </row>
    <row r="317" spans="2:42">
      <c r="B317" s="58"/>
      <c r="C317" s="63"/>
      <c r="D317" s="63"/>
      <c r="E317" s="66"/>
      <c r="H317" s="63"/>
      <c r="I317" s="57"/>
      <c r="J317" s="58"/>
      <c r="K317" s="63"/>
      <c r="L317" s="63"/>
      <c r="M317" s="57"/>
      <c r="O317" s="65"/>
      <c r="P317" s="63"/>
      <c r="Q317" s="63"/>
      <c r="W317" s="63"/>
      <c r="X317" s="63"/>
      <c r="Z317" s="63"/>
      <c r="AA317" s="63"/>
      <c r="AC317" s="63"/>
      <c r="AD317" s="63"/>
      <c r="AI317" s="63"/>
      <c r="AJ317" s="63"/>
      <c r="AK317" s="63"/>
      <c r="AO317" s="63"/>
      <c r="AP317" s="63"/>
    </row>
    <row r="318" spans="2:42">
      <c r="B318" s="58"/>
      <c r="C318" s="63"/>
      <c r="D318" s="63"/>
      <c r="E318" s="66"/>
      <c r="H318" s="63"/>
      <c r="I318" s="57"/>
      <c r="J318" s="58"/>
      <c r="K318" s="63"/>
      <c r="L318" s="63"/>
      <c r="M318" s="57"/>
      <c r="O318" s="65"/>
      <c r="P318" s="63"/>
      <c r="Q318" s="63"/>
      <c r="W318" s="63"/>
      <c r="X318" s="63"/>
      <c r="Z318" s="63"/>
      <c r="AA318" s="63"/>
      <c r="AC318" s="63"/>
      <c r="AD318" s="63"/>
      <c r="AI318" s="63"/>
      <c r="AJ318" s="63"/>
      <c r="AK318" s="63"/>
      <c r="AO318" s="63"/>
      <c r="AP318" s="63"/>
    </row>
    <row r="319" spans="2:42">
      <c r="B319" s="58"/>
      <c r="C319" s="63"/>
      <c r="D319" s="63"/>
      <c r="E319" s="66"/>
      <c r="H319" s="63"/>
      <c r="J319" s="56"/>
      <c r="K319" s="63"/>
      <c r="L319" s="63"/>
      <c r="M319" s="68"/>
      <c r="O319" s="65"/>
      <c r="P319" s="63"/>
      <c r="Q319" s="63"/>
      <c r="W319" s="58"/>
      <c r="X319" s="63"/>
      <c r="Z319" s="63"/>
      <c r="AA319" s="63"/>
      <c r="AC319" s="63"/>
      <c r="AD319" s="63"/>
      <c r="AI319" s="63"/>
      <c r="AJ319" s="63"/>
      <c r="AK319" s="63"/>
      <c r="AO319" s="63"/>
      <c r="AP319" s="63"/>
    </row>
    <row r="320" spans="2:42">
      <c r="B320" s="58"/>
      <c r="C320" s="63"/>
      <c r="D320" s="63"/>
      <c r="E320" s="66"/>
      <c r="H320" s="63"/>
      <c r="J320" s="56"/>
      <c r="K320" s="63"/>
      <c r="L320" s="63"/>
      <c r="M320" s="68"/>
      <c r="O320" s="65"/>
      <c r="P320" s="63"/>
      <c r="Q320" s="63"/>
      <c r="W320" s="58"/>
      <c r="X320" s="63"/>
      <c r="Z320" s="63"/>
      <c r="AA320" s="63"/>
      <c r="AC320" s="63"/>
      <c r="AD320" s="63"/>
      <c r="AI320" s="63"/>
      <c r="AJ320" s="63"/>
      <c r="AK320" s="63"/>
      <c r="AO320" s="63"/>
      <c r="AP320" s="63"/>
    </row>
    <row r="321" spans="2:42">
      <c r="B321" s="58"/>
      <c r="C321" s="63"/>
      <c r="D321" s="63"/>
      <c r="E321" s="66"/>
      <c r="H321" s="63"/>
      <c r="J321" s="56"/>
      <c r="K321" s="63"/>
      <c r="L321" s="63"/>
      <c r="M321" s="68"/>
      <c r="O321" s="65"/>
      <c r="P321" s="63"/>
      <c r="Q321" s="63"/>
      <c r="W321" s="58"/>
      <c r="X321" s="63"/>
      <c r="Z321" s="63"/>
      <c r="AA321" s="63"/>
      <c r="AC321" s="63"/>
      <c r="AD321" s="63"/>
      <c r="AI321" s="63"/>
      <c r="AJ321" s="63"/>
      <c r="AK321" s="63"/>
      <c r="AO321" s="63"/>
      <c r="AP321" s="63"/>
    </row>
    <row r="322" spans="2:42">
      <c r="B322" s="58"/>
      <c r="C322" s="63"/>
      <c r="D322" s="63"/>
      <c r="E322" s="66"/>
      <c r="H322" s="63"/>
      <c r="J322" s="56"/>
      <c r="K322" s="63"/>
      <c r="L322" s="63"/>
      <c r="M322" s="68"/>
      <c r="O322" s="65"/>
      <c r="P322" s="63"/>
      <c r="Q322" s="63"/>
      <c r="W322" s="58"/>
      <c r="X322" s="63"/>
      <c r="Z322" s="63"/>
      <c r="AA322" s="63"/>
      <c r="AC322" s="63"/>
      <c r="AD322" s="63"/>
      <c r="AI322" s="63"/>
      <c r="AJ322" s="63"/>
      <c r="AK322" s="63"/>
      <c r="AO322" s="63"/>
      <c r="AP322" s="63"/>
    </row>
    <row r="323" spans="2:42">
      <c r="B323" s="58"/>
      <c r="C323" s="63"/>
      <c r="D323" s="63"/>
      <c r="E323" s="66"/>
      <c r="H323" s="63"/>
      <c r="J323" s="56"/>
      <c r="K323" s="63"/>
      <c r="L323" s="63"/>
      <c r="M323" s="70"/>
      <c r="O323" s="65"/>
      <c r="P323" s="63"/>
      <c r="Q323" s="63"/>
      <c r="W323" s="63"/>
      <c r="X323" s="63"/>
      <c r="Z323" s="63"/>
      <c r="AA323" s="63"/>
      <c r="AC323" s="63"/>
      <c r="AD323" s="63"/>
      <c r="AI323" s="63"/>
      <c r="AJ323" s="63"/>
      <c r="AK323" s="63"/>
      <c r="AO323" s="63"/>
      <c r="AP323" s="63"/>
    </row>
    <row r="324" spans="2:42">
      <c r="B324" s="58"/>
      <c r="C324" s="63"/>
      <c r="D324" s="63"/>
      <c r="E324" s="66"/>
      <c r="H324" s="63"/>
      <c r="J324" s="56"/>
      <c r="K324" s="63"/>
      <c r="L324" s="63"/>
      <c r="M324" s="70"/>
      <c r="O324" s="65"/>
      <c r="P324" s="63"/>
      <c r="Q324" s="63"/>
      <c r="W324" s="63"/>
      <c r="X324" s="63"/>
      <c r="Z324" s="63"/>
      <c r="AA324" s="63"/>
      <c r="AC324" s="63"/>
      <c r="AD324" s="63"/>
      <c r="AI324" s="63"/>
      <c r="AJ324" s="63"/>
      <c r="AK324" s="63"/>
      <c r="AO324" s="63"/>
      <c r="AP324" s="63"/>
    </row>
    <row r="325" spans="2:42">
      <c r="B325" s="58"/>
      <c r="C325" s="63"/>
      <c r="D325" s="63"/>
      <c r="E325" s="66"/>
      <c r="H325" s="63"/>
      <c r="J325" s="56"/>
      <c r="K325" s="63"/>
      <c r="L325" s="63"/>
      <c r="M325" s="70"/>
      <c r="O325" s="65"/>
      <c r="P325" s="63"/>
      <c r="Q325" s="63"/>
      <c r="W325" s="63"/>
      <c r="X325" s="63"/>
      <c r="Z325" s="63"/>
      <c r="AA325" s="63"/>
      <c r="AC325" s="63"/>
      <c r="AD325" s="63"/>
      <c r="AI325" s="63"/>
      <c r="AJ325" s="63"/>
      <c r="AK325" s="63"/>
      <c r="AO325" s="63"/>
      <c r="AP325" s="63"/>
    </row>
    <row r="326" spans="2:42">
      <c r="B326" s="58"/>
      <c r="C326" s="63"/>
      <c r="D326" s="63"/>
      <c r="E326" s="66"/>
      <c r="H326" s="63"/>
      <c r="J326" s="56"/>
      <c r="K326" s="63"/>
      <c r="L326" s="63"/>
      <c r="M326" s="70"/>
      <c r="O326" s="65"/>
      <c r="P326" s="63"/>
      <c r="Q326" s="63"/>
      <c r="W326" s="63"/>
      <c r="X326" s="63"/>
      <c r="Z326" s="63"/>
      <c r="AA326" s="63"/>
      <c r="AC326" s="63"/>
      <c r="AD326" s="63"/>
      <c r="AI326" s="63"/>
      <c r="AJ326" s="63"/>
      <c r="AK326" s="63"/>
      <c r="AO326" s="63"/>
      <c r="AP326" s="63"/>
    </row>
    <row r="327" spans="2:42">
      <c r="B327" s="58"/>
      <c r="C327" s="63"/>
      <c r="D327" s="63"/>
      <c r="E327" s="66"/>
      <c r="H327" s="63"/>
      <c r="J327" s="56"/>
      <c r="K327" s="63"/>
      <c r="L327" s="63"/>
      <c r="M327" s="70"/>
      <c r="O327" s="65"/>
      <c r="P327" s="63"/>
      <c r="Q327" s="63"/>
      <c r="W327" s="63"/>
      <c r="X327" s="63"/>
      <c r="Z327" s="63"/>
      <c r="AA327" s="63"/>
      <c r="AC327" s="63"/>
      <c r="AD327" s="63"/>
      <c r="AI327" s="63"/>
      <c r="AJ327" s="63"/>
      <c r="AK327" s="63"/>
      <c r="AO327" s="63"/>
      <c r="AP327" s="63"/>
    </row>
    <row r="328" spans="2:42">
      <c r="B328" s="58"/>
      <c r="C328" s="63"/>
      <c r="D328" s="63"/>
      <c r="E328" s="66"/>
      <c r="H328" s="63"/>
      <c r="J328" s="56"/>
      <c r="K328" s="63"/>
      <c r="L328" s="63"/>
      <c r="M328" s="70"/>
      <c r="O328" s="65"/>
      <c r="P328" s="63"/>
      <c r="Q328" s="63"/>
      <c r="W328" s="63"/>
      <c r="X328" s="63"/>
      <c r="Z328" s="63"/>
      <c r="AA328" s="63"/>
      <c r="AC328" s="63"/>
      <c r="AD328" s="63"/>
      <c r="AI328" s="63"/>
      <c r="AJ328" s="63"/>
      <c r="AK328" s="63"/>
      <c r="AO328" s="63"/>
      <c r="AP328" s="63"/>
    </row>
    <row r="329" spans="2:42">
      <c r="B329" s="58"/>
      <c r="C329" s="63"/>
      <c r="D329" s="63"/>
      <c r="E329" s="66"/>
      <c r="H329" s="63"/>
      <c r="J329" s="56"/>
      <c r="K329" s="63"/>
      <c r="L329" s="63"/>
      <c r="M329" s="70"/>
      <c r="O329" s="65"/>
      <c r="P329" s="63"/>
      <c r="Q329" s="63"/>
      <c r="W329" s="63"/>
      <c r="X329" s="63"/>
      <c r="Z329" s="63"/>
      <c r="AA329" s="63"/>
      <c r="AC329" s="63"/>
      <c r="AD329" s="63"/>
      <c r="AI329" s="63"/>
      <c r="AJ329" s="63"/>
      <c r="AK329" s="63"/>
      <c r="AO329" s="63"/>
      <c r="AP329" s="63"/>
    </row>
    <row r="330" spans="2:42">
      <c r="B330" s="58"/>
      <c r="C330" s="63"/>
      <c r="D330" s="63"/>
      <c r="E330" s="66"/>
      <c r="H330" s="63"/>
      <c r="J330" s="56"/>
      <c r="K330" s="63"/>
      <c r="L330" s="63"/>
      <c r="M330" s="70"/>
      <c r="O330" s="65"/>
      <c r="P330" s="63"/>
      <c r="Q330" s="63"/>
      <c r="W330" s="63"/>
      <c r="X330" s="63"/>
      <c r="Z330" s="63"/>
      <c r="AA330" s="63"/>
      <c r="AC330" s="63"/>
      <c r="AD330" s="63"/>
      <c r="AI330" s="63"/>
      <c r="AJ330" s="63"/>
      <c r="AK330" s="63"/>
      <c r="AO330" s="63"/>
      <c r="AP330" s="63"/>
    </row>
    <row r="331" spans="2:42">
      <c r="B331" s="57"/>
      <c r="C331" s="63"/>
      <c r="D331" s="63"/>
      <c r="E331" s="66"/>
      <c r="H331" s="63"/>
      <c r="J331" s="56"/>
      <c r="K331" s="63"/>
      <c r="L331" s="63"/>
      <c r="M331" s="70"/>
      <c r="O331" s="65"/>
      <c r="P331" s="63"/>
      <c r="Q331" s="63"/>
      <c r="W331" s="63"/>
      <c r="X331" s="63"/>
      <c r="Z331" s="63"/>
      <c r="AA331" s="63"/>
      <c r="AC331" s="63"/>
      <c r="AD331" s="63"/>
      <c r="AI331" s="63"/>
      <c r="AJ331" s="63"/>
      <c r="AK331" s="63"/>
      <c r="AO331" s="63"/>
      <c r="AP331" s="63"/>
    </row>
    <row r="332" spans="2:42">
      <c r="B332" s="57"/>
      <c r="C332" s="63"/>
      <c r="D332" s="63"/>
      <c r="E332" s="66"/>
      <c r="H332" s="63"/>
      <c r="J332" s="56"/>
      <c r="K332" s="63"/>
      <c r="L332" s="63"/>
      <c r="M332" s="70"/>
      <c r="O332" s="65"/>
      <c r="P332" s="63"/>
      <c r="Q332" s="63"/>
      <c r="W332" s="63"/>
      <c r="X332" s="63"/>
      <c r="Z332" s="63"/>
      <c r="AA332" s="63"/>
      <c r="AC332" s="63"/>
      <c r="AD332" s="63"/>
      <c r="AI332" s="63"/>
      <c r="AJ332" s="63"/>
      <c r="AK332" s="63"/>
      <c r="AO332" s="63"/>
      <c r="AP332" s="63"/>
    </row>
    <row r="333" spans="2:42">
      <c r="B333" s="57"/>
      <c r="C333" s="63"/>
      <c r="D333" s="63"/>
      <c r="E333" s="66"/>
      <c r="H333" s="63"/>
      <c r="J333" s="56"/>
      <c r="K333" s="63"/>
      <c r="L333" s="63"/>
      <c r="M333" s="70"/>
      <c r="O333" s="65"/>
      <c r="P333" s="63"/>
      <c r="Q333" s="63"/>
      <c r="W333" s="63"/>
      <c r="X333" s="63"/>
      <c r="Z333" s="63"/>
      <c r="AA333" s="63"/>
      <c r="AC333" s="63"/>
      <c r="AD333" s="63"/>
      <c r="AI333" s="63"/>
      <c r="AJ333" s="63"/>
      <c r="AK333" s="63"/>
      <c r="AO333" s="63"/>
      <c r="AP333" s="63"/>
    </row>
    <row r="334" spans="2:42">
      <c r="B334" s="58"/>
      <c r="C334" s="63"/>
      <c r="D334" s="63"/>
      <c r="E334" s="66"/>
      <c r="H334" s="63"/>
      <c r="I334" s="57"/>
      <c r="J334" s="56"/>
      <c r="K334" s="63"/>
      <c r="L334" s="63"/>
      <c r="M334" s="68"/>
      <c r="O334" s="65"/>
      <c r="P334" s="63"/>
      <c r="Q334" s="63"/>
      <c r="W334" s="58"/>
      <c r="X334" s="63"/>
      <c r="Z334" s="63"/>
      <c r="AA334" s="63"/>
      <c r="AC334" s="63"/>
      <c r="AD334" s="63"/>
      <c r="AJ334" s="63"/>
      <c r="AK334" s="63"/>
    </row>
    <row r="335" spans="2:42">
      <c r="B335" s="58"/>
      <c r="C335" s="63"/>
      <c r="D335" s="63"/>
      <c r="E335" s="66"/>
      <c r="H335" s="63"/>
      <c r="J335" s="56"/>
      <c r="K335" s="63"/>
      <c r="L335" s="63"/>
      <c r="M335" s="68"/>
      <c r="O335" s="65"/>
      <c r="P335" s="63"/>
      <c r="Q335" s="63"/>
      <c r="W335" s="58"/>
      <c r="X335" s="63"/>
      <c r="Z335" s="63"/>
      <c r="AA335" s="63"/>
      <c r="AC335" s="63"/>
      <c r="AD335" s="63"/>
      <c r="AJ335" s="63"/>
      <c r="AK335" s="63"/>
    </row>
    <row r="336" spans="2:42">
      <c r="B336" s="58"/>
      <c r="C336" s="63"/>
      <c r="D336" s="63"/>
      <c r="E336" s="66"/>
      <c r="H336" s="63"/>
      <c r="J336" s="56"/>
      <c r="K336" s="63"/>
      <c r="L336" s="63"/>
      <c r="M336" s="68"/>
      <c r="O336" s="65"/>
      <c r="P336" s="63"/>
      <c r="Q336" s="63"/>
      <c r="W336" s="58"/>
      <c r="X336" s="63"/>
      <c r="Z336" s="63"/>
      <c r="AA336" s="63"/>
      <c r="AC336" s="63"/>
      <c r="AD336" s="63"/>
      <c r="AJ336" s="63"/>
      <c r="AK336" s="63"/>
    </row>
    <row r="337" spans="2:42">
      <c r="B337" s="58"/>
      <c r="C337" s="63"/>
      <c r="D337" s="63"/>
      <c r="E337" s="66"/>
      <c r="H337" s="63"/>
      <c r="J337" s="56"/>
      <c r="K337" s="63"/>
      <c r="L337" s="63"/>
      <c r="M337" s="68"/>
      <c r="O337" s="65"/>
      <c r="P337" s="63"/>
      <c r="Q337" s="63"/>
      <c r="W337" s="58"/>
      <c r="X337" s="63"/>
      <c r="Z337" s="63"/>
      <c r="AA337" s="63"/>
      <c r="AC337" s="63"/>
      <c r="AD337" s="63"/>
      <c r="AJ337" s="63"/>
      <c r="AK337" s="63"/>
    </row>
    <row r="338" spans="2:42">
      <c r="B338" s="58"/>
      <c r="C338" s="63"/>
      <c r="D338" s="63"/>
      <c r="E338" s="66"/>
      <c r="H338" s="63"/>
      <c r="J338" s="56"/>
      <c r="K338" s="63"/>
      <c r="L338" s="63"/>
      <c r="P338" s="63"/>
      <c r="Q338" s="63"/>
      <c r="W338" s="58"/>
      <c r="X338" s="63"/>
      <c r="Z338" s="63"/>
      <c r="AA338" s="63"/>
      <c r="AC338" s="63"/>
      <c r="AD338" s="63"/>
      <c r="AJ338" s="63"/>
      <c r="AK338" s="63"/>
      <c r="AO338" s="63"/>
      <c r="AP338" s="63"/>
    </row>
    <row r="339" spans="2:42">
      <c r="B339" s="58"/>
      <c r="C339" s="63"/>
      <c r="D339" s="63"/>
      <c r="E339" s="66"/>
      <c r="H339" s="63"/>
      <c r="J339" s="56"/>
      <c r="K339" s="63"/>
      <c r="L339" s="63"/>
      <c r="P339" s="63"/>
      <c r="Q339" s="63"/>
      <c r="W339" s="63"/>
      <c r="X339" s="63"/>
      <c r="Z339" s="63"/>
      <c r="AA339" s="63"/>
      <c r="AC339" s="63"/>
      <c r="AD339" s="63"/>
      <c r="AI339" s="63"/>
      <c r="AJ339" s="63"/>
      <c r="AK339" s="63"/>
      <c r="AO339" s="63"/>
      <c r="AP339" s="63"/>
    </row>
    <row r="340" spans="2:42">
      <c r="B340" s="58"/>
      <c r="C340" s="63"/>
      <c r="D340" s="63"/>
      <c r="E340" s="66"/>
      <c r="H340" s="63"/>
      <c r="J340" s="56"/>
      <c r="K340" s="63"/>
      <c r="L340" s="63"/>
      <c r="P340" s="63"/>
      <c r="Q340" s="63"/>
      <c r="W340" s="63"/>
      <c r="X340" s="63"/>
      <c r="Z340" s="63"/>
      <c r="AA340" s="63"/>
      <c r="AC340" s="63"/>
      <c r="AD340" s="63"/>
      <c r="AI340" s="63"/>
      <c r="AJ340" s="63"/>
      <c r="AK340" s="63"/>
      <c r="AO340" s="63"/>
      <c r="AP340" s="63"/>
    </row>
    <row r="341" spans="2:42">
      <c r="B341" s="58"/>
      <c r="C341" s="63"/>
      <c r="D341" s="63"/>
      <c r="E341" s="66"/>
      <c r="H341" s="63"/>
      <c r="J341" s="56"/>
      <c r="K341" s="63"/>
      <c r="L341" s="63"/>
      <c r="P341" s="63"/>
      <c r="Q341" s="63"/>
      <c r="W341" s="63"/>
      <c r="X341" s="63"/>
      <c r="Z341" s="63"/>
      <c r="AA341" s="63"/>
      <c r="AC341" s="63"/>
      <c r="AD341" s="63"/>
      <c r="AI341" s="63"/>
      <c r="AJ341" s="63"/>
      <c r="AK341" s="63"/>
      <c r="AO341" s="63"/>
      <c r="AP341" s="63"/>
    </row>
    <row r="342" spans="2:42">
      <c r="B342" s="58"/>
      <c r="C342" s="63"/>
      <c r="D342" s="63"/>
      <c r="E342" s="66"/>
      <c r="H342" s="63"/>
      <c r="J342" s="56"/>
      <c r="K342" s="63"/>
      <c r="L342" s="63"/>
      <c r="P342" s="63"/>
      <c r="Q342" s="63"/>
      <c r="W342" s="63"/>
      <c r="X342" s="63"/>
      <c r="Z342" s="63"/>
      <c r="AA342" s="63"/>
      <c r="AC342" s="63"/>
      <c r="AD342" s="63"/>
      <c r="AI342" s="63"/>
      <c r="AJ342" s="63"/>
      <c r="AK342" s="63"/>
      <c r="AO342" s="63"/>
      <c r="AP342" s="63"/>
    </row>
    <row r="343" spans="2:42">
      <c r="B343" s="58"/>
      <c r="C343" s="63"/>
      <c r="D343" s="63"/>
      <c r="E343" s="66"/>
      <c r="H343" s="63"/>
      <c r="J343" s="56"/>
      <c r="K343" s="63"/>
      <c r="L343" s="63"/>
      <c r="P343" s="63"/>
      <c r="Q343" s="63"/>
      <c r="W343" s="63"/>
      <c r="X343" s="63"/>
      <c r="Z343" s="63"/>
      <c r="AA343" s="63"/>
      <c r="AC343" s="63"/>
      <c r="AD343" s="63"/>
      <c r="AI343" s="63"/>
      <c r="AJ343" s="63"/>
      <c r="AK343" s="63"/>
      <c r="AO343" s="63"/>
      <c r="AP343" s="63"/>
    </row>
    <row r="344" spans="2:42">
      <c r="B344" s="58"/>
      <c r="C344" s="63"/>
      <c r="D344" s="63"/>
      <c r="E344" s="66"/>
      <c r="H344" s="63"/>
      <c r="J344" s="56"/>
      <c r="K344" s="63"/>
      <c r="L344" s="63"/>
      <c r="P344" s="63"/>
      <c r="Q344" s="63"/>
      <c r="W344" s="63"/>
      <c r="X344" s="63"/>
      <c r="Z344" s="63"/>
      <c r="AA344" s="63"/>
      <c r="AC344" s="63"/>
      <c r="AD344" s="63"/>
      <c r="AI344" s="63"/>
      <c r="AJ344" s="63"/>
      <c r="AK344" s="63"/>
      <c r="AO344" s="63"/>
      <c r="AP344" s="63"/>
    </row>
    <row r="345" spans="2:42">
      <c r="B345" s="58"/>
      <c r="C345" s="63"/>
      <c r="D345" s="63"/>
      <c r="E345" s="66"/>
      <c r="H345" s="63"/>
      <c r="J345" s="56"/>
      <c r="K345" s="63"/>
      <c r="L345" s="63"/>
      <c r="P345" s="63"/>
      <c r="Q345" s="63"/>
      <c r="W345" s="63"/>
      <c r="X345" s="63"/>
      <c r="Z345" s="63"/>
      <c r="AA345" s="63"/>
      <c r="AC345" s="63"/>
      <c r="AD345" s="63"/>
      <c r="AI345" s="63"/>
      <c r="AJ345" s="63"/>
      <c r="AK345" s="63"/>
      <c r="AO345" s="63"/>
      <c r="AP345" s="63"/>
    </row>
    <row r="346" spans="2:42">
      <c r="B346" s="58"/>
      <c r="C346" s="63"/>
      <c r="D346" s="63"/>
      <c r="E346" s="66"/>
      <c r="H346" s="63"/>
      <c r="J346" s="56"/>
      <c r="K346" s="63"/>
      <c r="L346" s="63"/>
      <c r="P346" s="63"/>
      <c r="Q346" s="63"/>
      <c r="W346" s="63"/>
      <c r="X346" s="63"/>
      <c r="Z346" s="63"/>
      <c r="AA346" s="63"/>
      <c r="AC346" s="63"/>
      <c r="AD346" s="63"/>
      <c r="AI346" s="63"/>
      <c r="AJ346" s="63"/>
      <c r="AK346" s="63"/>
      <c r="AO346" s="63"/>
      <c r="AP346" s="63"/>
    </row>
    <row r="347" spans="2:42">
      <c r="B347" s="58"/>
      <c r="C347" s="63"/>
      <c r="D347" s="63"/>
      <c r="E347" s="66"/>
      <c r="H347" s="63"/>
      <c r="J347" s="56"/>
      <c r="K347" s="63"/>
      <c r="L347" s="63"/>
      <c r="P347" s="63"/>
      <c r="Q347" s="63"/>
      <c r="W347" s="63"/>
      <c r="X347" s="63"/>
      <c r="Z347" s="63"/>
      <c r="AA347" s="63"/>
      <c r="AC347" s="63"/>
      <c r="AD347" s="63"/>
      <c r="AI347" s="63"/>
      <c r="AJ347" s="63"/>
      <c r="AK347" s="63"/>
      <c r="AO347" s="63"/>
      <c r="AP347" s="63"/>
    </row>
    <row r="348" spans="2:42">
      <c r="B348" s="58"/>
      <c r="C348" s="63"/>
      <c r="D348" s="63"/>
      <c r="E348" s="66"/>
      <c r="H348" s="63"/>
      <c r="J348" s="56"/>
      <c r="K348" s="63"/>
      <c r="L348" s="63"/>
      <c r="O348" s="65"/>
      <c r="P348" s="63"/>
      <c r="Q348" s="63"/>
      <c r="W348" s="63"/>
      <c r="X348" s="63"/>
      <c r="Z348" s="63"/>
      <c r="AA348" s="63"/>
      <c r="AC348" s="63"/>
      <c r="AD348" s="63"/>
      <c r="AI348" s="63"/>
      <c r="AJ348" s="63"/>
      <c r="AK348" s="63"/>
      <c r="AO348" s="63"/>
      <c r="AP348" s="63"/>
    </row>
    <row r="349" spans="2:42">
      <c r="B349" s="58"/>
      <c r="C349" s="63"/>
      <c r="D349" s="63"/>
      <c r="E349" s="66"/>
      <c r="H349" s="63"/>
      <c r="J349" s="56"/>
      <c r="K349" s="63"/>
      <c r="L349" s="63"/>
      <c r="O349" s="65"/>
      <c r="P349" s="63"/>
      <c r="Q349" s="63"/>
      <c r="W349" s="63"/>
      <c r="X349" s="63"/>
      <c r="Z349" s="63"/>
      <c r="AA349" s="63"/>
      <c r="AC349" s="63"/>
      <c r="AD349" s="63"/>
      <c r="AI349" s="63"/>
      <c r="AJ349" s="63"/>
      <c r="AK349" s="63"/>
      <c r="AO349" s="63"/>
      <c r="AP349" s="63"/>
    </row>
    <row r="350" spans="2:42">
      <c r="B350" s="58"/>
      <c r="C350" s="63"/>
      <c r="D350" s="63"/>
      <c r="E350" s="66"/>
      <c r="H350" s="63"/>
      <c r="J350" s="56"/>
      <c r="K350" s="63"/>
      <c r="L350" s="63"/>
      <c r="O350" s="65"/>
      <c r="P350" s="63"/>
      <c r="Q350" s="63"/>
      <c r="W350" s="63"/>
      <c r="X350" s="63"/>
      <c r="Z350" s="63"/>
      <c r="AA350" s="63"/>
      <c r="AC350" s="63"/>
      <c r="AD350" s="63"/>
      <c r="AI350" s="63"/>
      <c r="AJ350" s="63"/>
      <c r="AK350" s="63"/>
      <c r="AO350" s="63"/>
      <c r="AP350" s="63"/>
    </row>
    <row r="351" spans="2:42">
      <c r="B351" s="58"/>
      <c r="C351" s="63"/>
      <c r="D351" s="63"/>
      <c r="E351" s="66"/>
      <c r="H351" s="63"/>
      <c r="J351" s="56"/>
      <c r="K351" s="63"/>
      <c r="L351" s="63"/>
      <c r="M351"/>
      <c r="O351" s="65"/>
      <c r="P351" s="63"/>
      <c r="Q351" s="63"/>
      <c r="W351" s="63"/>
      <c r="X351" s="63"/>
      <c r="Z351" s="63"/>
      <c r="AA351" s="63"/>
      <c r="AB351" s="63"/>
      <c r="AC351" s="63"/>
      <c r="AD351" s="63"/>
      <c r="AI351" s="63"/>
      <c r="AJ351" s="63"/>
      <c r="AK351" s="63"/>
      <c r="AO351" s="63"/>
      <c r="AP351" s="63"/>
    </row>
    <row r="352" spans="2:42">
      <c r="B352" s="58"/>
      <c r="C352" s="63"/>
      <c r="D352" s="63"/>
      <c r="E352" s="66"/>
      <c r="H352" s="63"/>
      <c r="J352" s="56"/>
      <c r="K352" s="63"/>
      <c r="L352" s="63"/>
      <c r="M352"/>
      <c r="O352" s="65"/>
      <c r="P352" s="63"/>
      <c r="Q352" s="63"/>
      <c r="W352" s="63"/>
      <c r="X352" s="63"/>
      <c r="Z352" s="63"/>
      <c r="AA352" s="63"/>
      <c r="AB352" s="63"/>
      <c r="AC352" s="63"/>
      <c r="AD352" s="63"/>
      <c r="AI352" s="63"/>
      <c r="AJ352" s="63"/>
      <c r="AK352" s="63"/>
      <c r="AO352" s="63"/>
      <c r="AP352" s="63"/>
    </row>
    <row r="353" spans="2:42">
      <c r="B353" s="58"/>
      <c r="C353" s="63"/>
      <c r="D353" s="63"/>
      <c r="E353" s="66"/>
      <c r="H353" s="63"/>
      <c r="J353" s="56"/>
      <c r="K353" s="63"/>
      <c r="L353" s="63"/>
      <c r="M353"/>
      <c r="O353" s="65"/>
      <c r="P353" s="63"/>
      <c r="Q353" s="63"/>
      <c r="W353" s="63"/>
      <c r="X353" s="63"/>
      <c r="Z353" s="63"/>
      <c r="AA353" s="63"/>
      <c r="AB353" s="63"/>
      <c r="AC353" s="63"/>
      <c r="AD353" s="63"/>
      <c r="AI353" s="63"/>
      <c r="AJ353" s="63"/>
      <c r="AK353" s="63"/>
      <c r="AO353" s="63"/>
      <c r="AP353" s="63"/>
    </row>
    <row r="354" spans="2:42">
      <c r="B354" s="58"/>
      <c r="C354" s="63"/>
      <c r="D354" s="63"/>
      <c r="E354" s="66"/>
      <c r="H354" s="63"/>
      <c r="J354" s="56"/>
      <c r="K354" s="63"/>
      <c r="L354" s="63"/>
      <c r="M354"/>
      <c r="O354" s="65"/>
      <c r="P354" s="63"/>
      <c r="Q354" s="63"/>
      <c r="W354" s="63"/>
      <c r="X354" s="63"/>
      <c r="Z354" s="63"/>
      <c r="AA354" s="63"/>
      <c r="AB354" s="63"/>
      <c r="AC354" s="63"/>
      <c r="AD354" s="63"/>
      <c r="AI354" s="63"/>
      <c r="AJ354" s="63"/>
      <c r="AK354" s="63"/>
      <c r="AO354" s="63"/>
      <c r="AP354" s="63"/>
    </row>
    <row r="355" spans="2:42">
      <c r="B355" s="58"/>
      <c r="C355" s="63"/>
      <c r="D355" s="63"/>
      <c r="E355" s="66"/>
      <c r="H355" s="63"/>
      <c r="J355" s="56"/>
      <c r="K355" s="63"/>
      <c r="L355" s="63"/>
      <c r="M355"/>
      <c r="O355" s="65"/>
      <c r="P355" s="63"/>
      <c r="Q355" s="63"/>
      <c r="W355" s="63"/>
      <c r="X355" s="63"/>
      <c r="Z355" s="63"/>
      <c r="AA355" s="63"/>
      <c r="AB355" s="63"/>
      <c r="AC355" s="63"/>
      <c r="AD355" s="63"/>
      <c r="AI355" s="63"/>
      <c r="AJ355" s="63"/>
      <c r="AK355" s="63"/>
      <c r="AO355" s="63"/>
      <c r="AP355" s="63"/>
    </row>
    <row r="356" spans="2:42">
      <c r="B356" s="58"/>
      <c r="C356" s="63"/>
      <c r="D356" s="63"/>
      <c r="E356" s="66"/>
      <c r="H356" s="63"/>
      <c r="J356" s="56"/>
      <c r="K356" s="63"/>
      <c r="L356" s="63"/>
      <c r="M356"/>
      <c r="O356" s="65"/>
      <c r="P356" s="63"/>
      <c r="Q356" s="63"/>
      <c r="W356" s="63"/>
      <c r="X356" s="63"/>
      <c r="Z356" s="63"/>
      <c r="AA356" s="63"/>
      <c r="AB356" s="63"/>
      <c r="AC356" s="63"/>
      <c r="AD356" s="63"/>
      <c r="AI356" s="63"/>
      <c r="AJ356" s="63"/>
      <c r="AK356" s="63"/>
      <c r="AO356" s="63"/>
      <c r="AP356" s="63"/>
    </row>
    <row r="357" spans="2:42">
      <c r="B357" s="58"/>
      <c r="C357" s="63"/>
      <c r="D357" s="63"/>
      <c r="E357" s="66"/>
      <c r="H357" s="63"/>
      <c r="J357" s="56"/>
      <c r="K357" s="63"/>
      <c r="L357" s="63"/>
      <c r="M357"/>
      <c r="O357" s="65"/>
      <c r="P357" s="63"/>
      <c r="Q357" s="63"/>
      <c r="W357" s="63"/>
      <c r="X357" s="63"/>
      <c r="Z357" s="63"/>
      <c r="AA357" s="63"/>
      <c r="AB357" s="63"/>
      <c r="AC357" s="63"/>
      <c r="AD357" s="63"/>
      <c r="AI357" s="63"/>
      <c r="AJ357" s="63"/>
      <c r="AK357" s="63"/>
      <c r="AO357" s="63"/>
      <c r="AP357" s="63"/>
    </row>
    <row r="358" spans="2:42">
      <c r="B358" s="58"/>
      <c r="C358" s="63"/>
      <c r="D358" s="63"/>
      <c r="E358" s="66"/>
      <c r="H358" s="63"/>
      <c r="J358" s="56"/>
      <c r="K358" s="63"/>
      <c r="L358" s="63"/>
      <c r="M358"/>
      <c r="O358" s="65"/>
      <c r="P358" s="63"/>
      <c r="Q358" s="63"/>
      <c r="W358" s="63"/>
      <c r="X358" s="63"/>
      <c r="Z358" s="63"/>
      <c r="AA358" s="63"/>
      <c r="AB358" s="63"/>
      <c r="AC358" s="63"/>
      <c r="AD358" s="63"/>
      <c r="AI358" s="63"/>
      <c r="AJ358" s="63"/>
      <c r="AK358" s="63"/>
      <c r="AO358" s="63"/>
      <c r="AP358" s="63"/>
    </row>
    <row r="359" spans="2:42">
      <c r="B359" s="58"/>
      <c r="C359" s="63"/>
      <c r="D359" s="63"/>
      <c r="E359" s="66"/>
      <c r="H359" s="63"/>
      <c r="J359" s="56"/>
      <c r="K359" s="63"/>
      <c r="L359" s="63"/>
      <c r="M359"/>
      <c r="O359" s="65"/>
      <c r="P359" s="63"/>
      <c r="Q359" s="63"/>
      <c r="W359" s="63"/>
      <c r="X359" s="63"/>
      <c r="Z359" s="63"/>
      <c r="AA359" s="63"/>
      <c r="AB359" s="63"/>
      <c r="AC359" s="63"/>
      <c r="AD359" s="63"/>
      <c r="AI359" s="63"/>
      <c r="AJ359" s="63"/>
      <c r="AK359" s="63"/>
      <c r="AO359" s="63"/>
      <c r="AP359" s="63"/>
    </row>
    <row r="360" spans="2:42">
      <c r="B360" s="58"/>
      <c r="C360" s="63"/>
      <c r="D360" s="63"/>
      <c r="E360" s="66"/>
      <c r="H360" s="63"/>
      <c r="J360" s="56"/>
      <c r="K360" s="63"/>
      <c r="L360" s="63"/>
      <c r="M360"/>
      <c r="O360" s="65"/>
      <c r="P360" s="63"/>
      <c r="Q360" s="63"/>
      <c r="W360" s="63"/>
      <c r="X360" s="63"/>
      <c r="Z360" s="63"/>
      <c r="AA360" s="63"/>
      <c r="AB360" s="63"/>
      <c r="AC360" s="63"/>
      <c r="AD360" s="63"/>
      <c r="AI360" s="63"/>
      <c r="AJ360" s="63"/>
      <c r="AK360" s="63"/>
      <c r="AO360" s="63"/>
      <c r="AP360" s="63"/>
    </row>
    <row r="361" spans="2:42">
      <c r="B361" s="58"/>
      <c r="C361" s="63"/>
      <c r="D361" s="63"/>
      <c r="E361" s="66"/>
      <c r="H361" s="63"/>
      <c r="J361" s="56"/>
      <c r="K361" s="63"/>
      <c r="L361" s="63"/>
      <c r="M361"/>
      <c r="O361" s="65"/>
      <c r="P361" s="63"/>
      <c r="Q361" s="63"/>
      <c r="W361" s="63"/>
      <c r="X361" s="63"/>
      <c r="Z361" s="63"/>
      <c r="AA361" s="63"/>
      <c r="AB361" s="63"/>
      <c r="AC361" s="63"/>
      <c r="AD361" s="63"/>
      <c r="AI361" s="63"/>
      <c r="AJ361" s="63"/>
      <c r="AK361" s="63"/>
      <c r="AO361" s="63"/>
      <c r="AP361" s="63"/>
    </row>
    <row r="362" spans="2:42">
      <c r="B362" s="58"/>
      <c r="C362" s="63"/>
      <c r="D362" s="63"/>
      <c r="E362" s="66"/>
      <c r="H362" s="63"/>
      <c r="J362" s="56"/>
      <c r="K362" s="63"/>
      <c r="L362" s="63"/>
      <c r="M362"/>
      <c r="O362" s="65"/>
      <c r="P362" s="63"/>
      <c r="Q362" s="63"/>
      <c r="W362" s="63"/>
      <c r="X362" s="63"/>
      <c r="Z362" s="63"/>
      <c r="AA362" s="63"/>
      <c r="AB362" s="63"/>
      <c r="AC362" s="63"/>
      <c r="AD362" s="63"/>
      <c r="AI362" s="63"/>
      <c r="AJ362" s="63"/>
      <c r="AK362" s="63"/>
      <c r="AO362" s="63"/>
      <c r="AP362" s="63"/>
    </row>
    <row r="363" spans="2:42">
      <c r="B363" s="58"/>
      <c r="C363" s="63"/>
      <c r="D363" s="63"/>
      <c r="E363" s="66"/>
      <c r="H363" s="63"/>
      <c r="J363" s="56"/>
      <c r="K363" s="63"/>
      <c r="L363" s="63"/>
      <c r="M363"/>
      <c r="O363" s="65"/>
      <c r="P363" s="63"/>
      <c r="Q363" s="63"/>
      <c r="W363" s="63"/>
      <c r="X363" s="63"/>
      <c r="Z363" s="63"/>
      <c r="AA363" s="63"/>
      <c r="AB363" s="63"/>
      <c r="AC363" s="63"/>
      <c r="AD363" s="63"/>
      <c r="AI363" s="63"/>
      <c r="AJ363" s="63"/>
      <c r="AK363" s="63"/>
      <c r="AO363" s="63"/>
      <c r="AP363" s="63"/>
    </row>
    <row r="364" spans="2:42">
      <c r="B364" s="58"/>
      <c r="C364" s="63"/>
      <c r="D364" s="63"/>
      <c r="E364" s="66"/>
      <c r="H364" s="63"/>
      <c r="J364" s="56"/>
      <c r="K364" s="63"/>
      <c r="L364" s="63"/>
      <c r="M364"/>
      <c r="O364" s="65"/>
      <c r="P364" s="63"/>
      <c r="Q364" s="63"/>
      <c r="W364" s="63"/>
      <c r="X364" s="63"/>
      <c r="Z364" s="63"/>
      <c r="AA364" s="63"/>
      <c r="AB364" s="63"/>
      <c r="AC364" s="63"/>
      <c r="AD364" s="63"/>
      <c r="AI364" s="63"/>
      <c r="AJ364" s="63"/>
      <c r="AK364" s="63"/>
      <c r="AO364" s="63"/>
      <c r="AP364" s="63"/>
    </row>
    <row r="365" spans="2:42">
      <c r="B365" s="58"/>
      <c r="C365" s="63"/>
      <c r="D365" s="63"/>
      <c r="E365" s="66"/>
      <c r="H365" s="63"/>
      <c r="J365" s="56"/>
      <c r="K365" s="63"/>
      <c r="L365" s="63"/>
      <c r="M365"/>
      <c r="O365" s="65"/>
      <c r="P365" s="63"/>
      <c r="Q365" s="63"/>
      <c r="W365" s="63"/>
      <c r="X365" s="63"/>
      <c r="Z365" s="63"/>
      <c r="AA365" s="63"/>
      <c r="AB365" s="63"/>
      <c r="AC365" s="63"/>
      <c r="AD365" s="63"/>
      <c r="AI365" s="63"/>
      <c r="AJ365" s="63"/>
      <c r="AK365" s="63"/>
      <c r="AO365" s="63"/>
      <c r="AP365" s="63"/>
    </row>
    <row r="366" spans="2:42">
      <c r="B366" s="58"/>
      <c r="C366" s="63"/>
      <c r="D366" s="63"/>
      <c r="E366" s="66"/>
      <c r="H366" s="63"/>
      <c r="J366" s="56"/>
      <c r="K366" s="63"/>
      <c r="L366" s="63"/>
      <c r="M366"/>
      <c r="O366" s="65"/>
      <c r="P366" s="63"/>
      <c r="Q366" s="63"/>
      <c r="W366" s="63"/>
      <c r="X366" s="63"/>
      <c r="Z366" s="63"/>
      <c r="AA366" s="63"/>
      <c r="AB366" s="63"/>
      <c r="AC366" s="63"/>
      <c r="AD366" s="63"/>
      <c r="AI366" s="63"/>
      <c r="AJ366" s="63"/>
      <c r="AK366" s="63"/>
      <c r="AO366" s="63"/>
      <c r="AP366" s="63"/>
    </row>
    <row r="367" spans="2:42">
      <c r="B367" s="58"/>
      <c r="C367" s="63"/>
      <c r="D367" s="63"/>
      <c r="E367" s="66"/>
      <c r="H367" s="63"/>
      <c r="J367" s="56"/>
      <c r="K367" s="63"/>
      <c r="L367" s="63"/>
      <c r="M367"/>
      <c r="O367" s="65"/>
      <c r="P367" s="63"/>
      <c r="Q367" s="63"/>
      <c r="W367" s="63"/>
      <c r="X367" s="63"/>
      <c r="Z367" s="63"/>
      <c r="AA367" s="63"/>
      <c r="AB367" s="63"/>
      <c r="AC367" s="63"/>
      <c r="AD367" s="63"/>
      <c r="AI367" s="63"/>
      <c r="AJ367" s="63"/>
      <c r="AK367" s="63"/>
      <c r="AO367" s="63"/>
      <c r="AP367" s="63"/>
    </row>
    <row r="368" spans="2:42">
      <c r="B368" s="58"/>
      <c r="C368" s="63"/>
      <c r="D368" s="63"/>
      <c r="E368" s="66"/>
      <c r="H368" s="63"/>
      <c r="J368" s="56"/>
      <c r="K368" s="63"/>
      <c r="L368" s="63"/>
      <c r="M368"/>
      <c r="O368" s="65"/>
      <c r="P368" s="63"/>
      <c r="Q368" s="63"/>
      <c r="W368" s="63"/>
      <c r="X368" s="63"/>
      <c r="Z368" s="63"/>
      <c r="AA368" s="63"/>
      <c r="AB368" s="63"/>
      <c r="AC368" s="63"/>
      <c r="AD368" s="63"/>
      <c r="AI368" s="63"/>
      <c r="AJ368" s="63"/>
      <c r="AK368" s="63"/>
      <c r="AO368" s="63"/>
      <c r="AP368" s="63"/>
    </row>
    <row r="369" spans="2:42">
      <c r="B369" s="58"/>
      <c r="C369" s="63"/>
      <c r="D369" s="63"/>
      <c r="E369" s="66"/>
      <c r="H369" s="63"/>
      <c r="J369" s="56"/>
      <c r="K369" s="63"/>
      <c r="L369" s="63"/>
      <c r="M369"/>
      <c r="O369" s="65"/>
      <c r="P369" s="63"/>
      <c r="Q369" s="63"/>
      <c r="W369" s="63"/>
      <c r="X369" s="63"/>
      <c r="Z369" s="63"/>
      <c r="AA369" s="63"/>
      <c r="AB369" s="63"/>
      <c r="AC369" s="63"/>
      <c r="AD369" s="63"/>
      <c r="AI369" s="63"/>
      <c r="AJ369" s="63"/>
      <c r="AK369" s="63"/>
      <c r="AO369" s="63"/>
      <c r="AP369" s="63"/>
    </row>
    <row r="370" spans="2:42">
      <c r="B370" s="58"/>
      <c r="C370" s="63"/>
      <c r="D370" s="63"/>
      <c r="E370" s="66"/>
      <c r="H370" s="63"/>
      <c r="J370" s="56"/>
      <c r="K370" s="63"/>
      <c r="L370" s="63"/>
      <c r="M370"/>
      <c r="O370" s="65"/>
      <c r="P370" s="63"/>
      <c r="Q370" s="63"/>
      <c r="W370" s="63"/>
      <c r="X370" s="63"/>
      <c r="Z370" s="63"/>
      <c r="AA370" s="63"/>
      <c r="AB370" s="63"/>
      <c r="AC370" s="63"/>
      <c r="AD370" s="63"/>
      <c r="AI370" s="63"/>
      <c r="AJ370" s="63"/>
      <c r="AK370" s="63"/>
      <c r="AO370" s="63"/>
      <c r="AP370" s="63"/>
    </row>
    <row r="371" spans="2:42">
      <c r="B371" s="58"/>
      <c r="C371" s="63"/>
      <c r="D371" s="63"/>
      <c r="E371" s="66"/>
      <c r="H371" s="63"/>
      <c r="J371" s="56"/>
      <c r="K371" s="63"/>
      <c r="L371" s="63"/>
      <c r="M371"/>
      <c r="O371" s="65"/>
      <c r="P371" s="63"/>
      <c r="Q371" s="63"/>
      <c r="W371" s="63"/>
      <c r="X371" s="63"/>
      <c r="Z371" s="63"/>
      <c r="AA371" s="63"/>
      <c r="AB371" s="63"/>
      <c r="AC371" s="63"/>
      <c r="AD371" s="63"/>
      <c r="AI371" s="63"/>
      <c r="AJ371" s="63"/>
      <c r="AK371" s="63"/>
      <c r="AO371" s="63"/>
      <c r="AP371" s="63"/>
    </row>
    <row r="372" spans="2:42">
      <c r="B372" s="58"/>
      <c r="C372" s="63"/>
      <c r="D372" s="63"/>
      <c r="E372" s="66"/>
      <c r="H372" s="63"/>
      <c r="J372" s="56"/>
      <c r="K372" s="63"/>
      <c r="L372" s="63"/>
      <c r="M372"/>
      <c r="O372" s="65"/>
      <c r="P372" s="63"/>
      <c r="Q372" s="63"/>
      <c r="W372" s="63"/>
      <c r="X372" s="63"/>
      <c r="Z372" s="63"/>
      <c r="AA372" s="63"/>
      <c r="AB372" s="63"/>
      <c r="AC372" s="63"/>
      <c r="AD372" s="63"/>
      <c r="AI372" s="63"/>
      <c r="AJ372" s="63"/>
      <c r="AK372" s="63"/>
      <c r="AO372" s="63"/>
      <c r="AP372" s="63"/>
    </row>
    <row r="373" spans="2:42">
      <c r="B373" s="58"/>
      <c r="C373" s="63"/>
      <c r="D373" s="63"/>
      <c r="E373" s="66"/>
      <c r="H373" s="63"/>
      <c r="J373" s="56"/>
      <c r="K373" s="63"/>
      <c r="L373" s="63"/>
      <c r="M373"/>
      <c r="O373" s="65"/>
      <c r="P373" s="63"/>
      <c r="Q373" s="63"/>
      <c r="W373" s="63"/>
      <c r="X373" s="63"/>
      <c r="Z373" s="63"/>
      <c r="AA373" s="63"/>
      <c r="AB373" s="63"/>
      <c r="AC373" s="63"/>
      <c r="AD373" s="63"/>
      <c r="AI373" s="63"/>
      <c r="AJ373" s="63"/>
      <c r="AK373" s="63"/>
      <c r="AO373" s="63"/>
      <c r="AP373" s="63"/>
    </row>
    <row r="374" spans="2:42">
      <c r="B374" s="58"/>
      <c r="C374" s="63"/>
      <c r="D374" s="63"/>
      <c r="E374" s="66"/>
      <c r="H374" s="63"/>
      <c r="J374" s="56"/>
      <c r="K374" s="63"/>
      <c r="L374" s="63"/>
      <c r="M374"/>
      <c r="O374" s="65"/>
      <c r="P374" s="63"/>
      <c r="Q374" s="63"/>
      <c r="W374" s="63"/>
      <c r="X374" s="63"/>
      <c r="Z374" s="63"/>
      <c r="AA374" s="63"/>
      <c r="AB374" s="63"/>
      <c r="AC374" s="63"/>
      <c r="AD374" s="63"/>
      <c r="AI374" s="63"/>
      <c r="AJ374" s="63"/>
      <c r="AK374" s="63"/>
      <c r="AO374" s="63"/>
      <c r="AP374" s="63"/>
    </row>
    <row r="375" spans="2:42">
      <c r="B375" s="58"/>
      <c r="C375" s="63"/>
      <c r="D375" s="63"/>
      <c r="E375" s="66"/>
      <c r="H375" s="63"/>
      <c r="J375" s="56"/>
      <c r="K375" s="63"/>
      <c r="M375" s="71"/>
      <c r="P375" s="63"/>
      <c r="Q375" s="63"/>
      <c r="W375" s="63"/>
      <c r="X375" s="63"/>
      <c r="Z375" s="63"/>
      <c r="AA375" s="63"/>
      <c r="AB375" s="63"/>
      <c r="AC375" s="63"/>
      <c r="AD375" s="63"/>
      <c r="AI375" s="63"/>
      <c r="AJ375" s="63"/>
      <c r="AK375" s="63"/>
      <c r="AO375" s="63"/>
      <c r="AP375" s="63"/>
    </row>
    <row r="376" spans="2:42">
      <c r="B376" s="58"/>
      <c r="C376" s="63"/>
      <c r="D376" s="63"/>
      <c r="E376" s="66"/>
      <c r="H376" s="63"/>
      <c r="J376" s="56"/>
      <c r="K376" s="63"/>
      <c r="M376" s="71"/>
      <c r="P376" s="63"/>
      <c r="Q376" s="63"/>
      <c r="W376" s="63"/>
      <c r="X376" s="63"/>
      <c r="Z376" s="63"/>
      <c r="AA376" s="63"/>
      <c r="AB376" s="63"/>
      <c r="AC376" s="63"/>
      <c r="AD376" s="63"/>
      <c r="AI376" s="63"/>
      <c r="AJ376" s="63"/>
      <c r="AK376" s="63"/>
      <c r="AO376" s="63"/>
      <c r="AP376" s="63"/>
    </row>
    <row r="377" spans="2:42">
      <c r="B377" s="58"/>
      <c r="C377" s="63"/>
      <c r="D377" s="63"/>
      <c r="E377" s="66"/>
      <c r="H377" s="63"/>
      <c r="J377" s="56"/>
      <c r="K377" s="63"/>
      <c r="M377" s="71"/>
      <c r="P377" s="63"/>
      <c r="Q377" s="63"/>
      <c r="W377" s="63"/>
      <c r="X377" s="63"/>
      <c r="Z377" s="63"/>
      <c r="AA377" s="63"/>
      <c r="AB377" s="63"/>
      <c r="AC377" s="63"/>
      <c r="AD377" s="63"/>
      <c r="AI377" s="63"/>
      <c r="AJ377" s="63"/>
      <c r="AK377" s="63"/>
      <c r="AO377" s="63"/>
      <c r="AP377" s="63"/>
    </row>
    <row r="378" spans="2:42">
      <c r="B378" s="58"/>
      <c r="C378" s="63"/>
      <c r="D378" s="63"/>
      <c r="E378" s="66"/>
      <c r="H378" s="63"/>
      <c r="J378" s="56"/>
      <c r="K378" s="63"/>
      <c r="M378" s="71"/>
      <c r="P378" s="63"/>
      <c r="Q378" s="63"/>
      <c r="W378" s="63"/>
      <c r="X378" s="63"/>
      <c r="Z378" s="63"/>
      <c r="AA378" s="63"/>
      <c r="AB378" s="63"/>
      <c r="AC378" s="63"/>
      <c r="AD378" s="63"/>
      <c r="AI378" s="63"/>
      <c r="AJ378" s="63"/>
      <c r="AK378" s="63"/>
      <c r="AO378" s="63"/>
      <c r="AP378" s="63"/>
    </row>
    <row r="379" spans="2:42">
      <c r="B379" s="58"/>
      <c r="C379" s="63"/>
      <c r="D379" s="63"/>
      <c r="E379" s="66"/>
      <c r="H379" s="63"/>
      <c r="J379" s="56"/>
      <c r="K379" s="63"/>
      <c r="M379" s="71"/>
      <c r="P379" s="63"/>
      <c r="Q379" s="63"/>
      <c r="W379" s="58"/>
      <c r="X379" s="63"/>
      <c r="Z379" s="63"/>
      <c r="AA379" s="63"/>
      <c r="AC379" s="63"/>
      <c r="AD379" s="63"/>
      <c r="AI379" s="63"/>
      <c r="AJ379" s="63"/>
      <c r="AK379" s="63"/>
      <c r="AO379" s="63"/>
      <c r="AP379" s="63"/>
    </row>
    <row r="380" spans="2:42">
      <c r="B380" s="58"/>
      <c r="C380" s="63"/>
      <c r="D380" s="63"/>
      <c r="E380" s="66"/>
      <c r="H380" s="63"/>
      <c r="J380" s="56"/>
      <c r="K380" s="63"/>
      <c r="M380" s="71"/>
      <c r="P380" s="63"/>
      <c r="Q380" s="63"/>
      <c r="W380" s="58"/>
      <c r="X380" s="63"/>
      <c r="Z380" s="63"/>
      <c r="AA380" s="63"/>
      <c r="AC380" s="63"/>
      <c r="AD380" s="63"/>
      <c r="AI380" s="63"/>
      <c r="AJ380" s="63"/>
      <c r="AK380" s="63"/>
      <c r="AO380" s="63"/>
      <c r="AP380" s="63"/>
    </row>
    <row r="381" spans="2:42">
      <c r="B381" s="58"/>
      <c r="C381" s="63"/>
      <c r="D381" s="63"/>
      <c r="E381" s="66"/>
      <c r="H381" s="63"/>
      <c r="J381" s="56"/>
      <c r="K381" s="63"/>
      <c r="M381" s="71"/>
      <c r="P381" s="63"/>
      <c r="Q381" s="63"/>
      <c r="W381" s="58"/>
      <c r="X381" s="63"/>
      <c r="Z381" s="63"/>
      <c r="AA381" s="63"/>
      <c r="AC381" s="63"/>
      <c r="AD381" s="63"/>
      <c r="AI381" s="63"/>
      <c r="AJ381" s="63"/>
      <c r="AK381" s="63"/>
      <c r="AO381" s="63"/>
      <c r="AP381" s="63"/>
    </row>
    <row r="382" spans="2:42">
      <c r="B382" s="58"/>
      <c r="C382" s="63"/>
      <c r="D382" s="63"/>
      <c r="E382" s="66"/>
      <c r="H382" s="63"/>
      <c r="J382" s="56"/>
      <c r="K382" s="63"/>
      <c r="M382" s="71"/>
      <c r="P382" s="63"/>
      <c r="Q382" s="63"/>
      <c r="W382" s="63"/>
      <c r="X382" s="63"/>
      <c r="Z382" s="63"/>
      <c r="AA382" s="63"/>
      <c r="AC382" s="63"/>
      <c r="AD382" s="63"/>
      <c r="AI382" s="63"/>
      <c r="AJ382" s="63"/>
      <c r="AK382" s="63"/>
      <c r="AO382" s="63"/>
      <c r="AP382" s="63"/>
    </row>
    <row r="383" spans="2:42">
      <c r="B383" s="58"/>
      <c r="C383" s="63"/>
      <c r="D383" s="63"/>
      <c r="E383" s="66"/>
      <c r="H383" s="63"/>
      <c r="J383" s="56"/>
      <c r="K383" s="63"/>
      <c r="M383" s="71"/>
      <c r="P383" s="63"/>
      <c r="Q383" s="63"/>
      <c r="W383" s="63"/>
      <c r="X383" s="63"/>
      <c r="Z383" s="63"/>
      <c r="AA383" s="63"/>
      <c r="AC383" s="63"/>
      <c r="AD383" s="63"/>
      <c r="AI383" s="63"/>
      <c r="AJ383" s="63"/>
      <c r="AK383" s="63"/>
      <c r="AO383" s="63"/>
      <c r="AP383" s="63"/>
    </row>
    <row r="384" spans="2:42">
      <c r="B384" s="58"/>
      <c r="C384" s="63"/>
      <c r="D384" s="63"/>
      <c r="E384" s="66"/>
      <c r="H384" s="63"/>
      <c r="J384" s="56"/>
      <c r="K384" s="63"/>
      <c r="M384" s="71"/>
      <c r="P384" s="63"/>
      <c r="Q384" s="63"/>
      <c r="W384" s="63"/>
      <c r="X384" s="63"/>
      <c r="Z384" s="63"/>
      <c r="AA384" s="63"/>
      <c r="AC384" s="63"/>
      <c r="AD384" s="63"/>
      <c r="AI384" s="63"/>
      <c r="AJ384" s="63"/>
      <c r="AK384" s="63"/>
      <c r="AO384" s="63"/>
      <c r="AP384" s="63"/>
    </row>
    <row r="385" spans="2:42">
      <c r="B385" s="58"/>
      <c r="C385" s="63"/>
      <c r="D385" s="63"/>
      <c r="E385" s="66"/>
      <c r="H385" s="63"/>
      <c r="J385" s="56"/>
      <c r="K385" s="63"/>
      <c r="M385" s="71"/>
      <c r="P385" s="63"/>
      <c r="Q385" s="63"/>
      <c r="W385" s="63"/>
      <c r="X385" s="63"/>
      <c r="Z385" s="63"/>
      <c r="AA385" s="63"/>
      <c r="AC385" s="63"/>
      <c r="AD385" s="63"/>
      <c r="AI385" s="63"/>
      <c r="AJ385" s="63"/>
      <c r="AK385" s="63"/>
      <c r="AO385" s="63"/>
      <c r="AP385" s="63"/>
    </row>
    <row r="386" spans="2:42">
      <c r="B386" s="58"/>
      <c r="C386" s="63"/>
      <c r="D386" s="63"/>
      <c r="E386" s="66"/>
      <c r="H386" s="63"/>
      <c r="J386" s="56"/>
      <c r="K386" s="63"/>
      <c r="M386" s="71"/>
      <c r="P386" s="63"/>
      <c r="Q386" s="63"/>
      <c r="W386" s="63"/>
      <c r="X386" s="63"/>
      <c r="Z386" s="63"/>
      <c r="AA386" s="63"/>
      <c r="AC386" s="63"/>
      <c r="AD386" s="63"/>
      <c r="AI386" s="63"/>
      <c r="AJ386" s="63"/>
      <c r="AK386" s="63"/>
      <c r="AO386" s="63"/>
      <c r="AP386" s="63"/>
    </row>
    <row r="387" spans="2:42">
      <c r="B387" s="58"/>
      <c r="C387" s="63"/>
      <c r="D387" s="63"/>
      <c r="E387" s="66"/>
      <c r="H387" s="63"/>
      <c r="J387" s="56"/>
      <c r="K387" s="63"/>
      <c r="M387" s="71"/>
      <c r="P387" s="63"/>
      <c r="Q387" s="63"/>
      <c r="W387" s="63"/>
      <c r="X387" s="63"/>
      <c r="Z387" s="63"/>
      <c r="AA387" s="63"/>
      <c r="AC387" s="63"/>
      <c r="AD387" s="63"/>
      <c r="AI387" s="63"/>
      <c r="AJ387" s="63"/>
      <c r="AK387" s="63"/>
      <c r="AO387" s="63"/>
      <c r="AP387" s="63"/>
    </row>
    <row r="388" spans="2:42">
      <c r="B388" s="58"/>
      <c r="C388" s="63"/>
      <c r="D388" s="63"/>
      <c r="E388" s="66"/>
      <c r="H388" s="63"/>
      <c r="J388" s="56"/>
      <c r="K388" s="63"/>
      <c r="M388" s="71"/>
      <c r="P388" s="63"/>
      <c r="Q388" s="63"/>
      <c r="W388" s="63"/>
      <c r="X388" s="63"/>
      <c r="Z388" s="63"/>
      <c r="AA388" s="63"/>
      <c r="AC388" s="63"/>
      <c r="AD388" s="63"/>
      <c r="AI388" s="63"/>
      <c r="AJ388" s="63"/>
      <c r="AK388" s="63"/>
      <c r="AO388" s="63"/>
      <c r="AP388" s="63"/>
    </row>
    <row r="389" spans="2:42">
      <c r="B389" s="58"/>
      <c r="C389" s="63"/>
      <c r="D389" s="63"/>
      <c r="E389" s="66"/>
      <c r="H389" s="63"/>
      <c r="J389" s="56"/>
      <c r="K389" s="63"/>
      <c r="M389" s="71"/>
      <c r="P389" s="63"/>
      <c r="Q389" s="63"/>
      <c r="W389" s="63"/>
      <c r="X389" s="63"/>
      <c r="Z389" s="63"/>
      <c r="AA389" s="63"/>
      <c r="AC389" s="63"/>
      <c r="AD389" s="63"/>
      <c r="AI389" s="63"/>
      <c r="AJ389" s="63"/>
      <c r="AK389" s="63"/>
      <c r="AO389" s="63"/>
      <c r="AP389" s="63"/>
    </row>
    <row r="390" spans="2:42">
      <c r="B390" s="58"/>
      <c r="C390" s="63"/>
      <c r="D390" s="63"/>
      <c r="E390" s="66"/>
      <c r="H390" s="63"/>
      <c r="J390" s="56"/>
      <c r="K390" s="63"/>
      <c r="M390" s="71"/>
      <c r="P390" s="63"/>
      <c r="Q390" s="63"/>
      <c r="W390" s="63"/>
      <c r="X390" s="63"/>
      <c r="Z390" s="63"/>
      <c r="AA390" s="63"/>
      <c r="AC390" s="63"/>
      <c r="AD390" s="63"/>
      <c r="AI390" s="63"/>
      <c r="AJ390" s="63"/>
      <c r="AK390" s="63"/>
      <c r="AO390" s="63"/>
      <c r="AP390" s="63"/>
    </row>
    <row r="391" spans="2:42">
      <c r="B391" s="58"/>
      <c r="C391" s="63"/>
      <c r="D391" s="63"/>
      <c r="E391" s="66"/>
      <c r="H391" s="63"/>
      <c r="J391" s="56"/>
      <c r="K391" s="63"/>
      <c r="M391" s="71"/>
      <c r="P391" s="63"/>
      <c r="Q391" s="63"/>
      <c r="W391" s="63"/>
      <c r="X391" s="63"/>
      <c r="Z391" s="63"/>
      <c r="AA391" s="63"/>
      <c r="AC391" s="63"/>
      <c r="AD391" s="63"/>
      <c r="AI391" s="63"/>
      <c r="AJ391" s="63"/>
      <c r="AK391" s="63"/>
      <c r="AO391" s="63"/>
      <c r="AP391" s="63"/>
    </row>
    <row r="392" spans="2:42">
      <c r="B392" s="58"/>
      <c r="C392" s="63"/>
      <c r="D392" s="63"/>
      <c r="E392" s="66"/>
      <c r="H392" s="63"/>
      <c r="J392" s="56"/>
      <c r="K392" s="63"/>
      <c r="M392" s="71"/>
      <c r="P392" s="63"/>
      <c r="Q392" s="63"/>
      <c r="W392" s="63"/>
      <c r="X392" s="63"/>
      <c r="Z392" s="63"/>
      <c r="AA392" s="63"/>
      <c r="AC392" s="63"/>
      <c r="AD392" s="63"/>
      <c r="AI392" s="63"/>
      <c r="AJ392" s="63"/>
      <c r="AK392" s="63"/>
      <c r="AO392" s="63"/>
      <c r="AP392" s="63"/>
    </row>
    <row r="393" spans="2:42">
      <c r="B393" s="58"/>
      <c r="C393" s="63"/>
      <c r="D393" s="63"/>
      <c r="E393" s="66"/>
      <c r="H393" s="63"/>
      <c r="J393" s="56"/>
      <c r="K393" s="63"/>
      <c r="M393" s="71"/>
      <c r="P393" s="63"/>
      <c r="Q393" s="63"/>
      <c r="W393" s="63"/>
      <c r="X393" s="63"/>
      <c r="Z393" s="63"/>
      <c r="AA393" s="63"/>
      <c r="AC393" s="63"/>
      <c r="AD393" s="63"/>
      <c r="AI393" s="63"/>
      <c r="AJ393" s="63"/>
      <c r="AK393" s="63"/>
      <c r="AO393" s="63"/>
      <c r="AP393" s="63"/>
    </row>
    <row r="394" spans="2:42">
      <c r="B394" s="58"/>
      <c r="C394" s="63"/>
      <c r="D394" s="63"/>
      <c r="E394" s="66"/>
      <c r="H394" s="63"/>
      <c r="J394" s="56"/>
      <c r="K394" s="63"/>
      <c r="M394" s="71"/>
      <c r="P394" s="63"/>
      <c r="Q394" s="63"/>
      <c r="W394" s="63"/>
      <c r="X394" s="63"/>
      <c r="Z394" s="63"/>
      <c r="AA394" s="63"/>
      <c r="AC394" s="63"/>
      <c r="AD394" s="63"/>
      <c r="AI394" s="63"/>
      <c r="AJ394" s="63"/>
      <c r="AK394" s="63"/>
      <c r="AO394" s="63"/>
      <c r="AP394" s="63"/>
    </row>
    <row r="395" spans="2:42">
      <c r="B395" s="57"/>
      <c r="C395" s="63"/>
      <c r="D395" s="63"/>
      <c r="E395" s="66"/>
      <c r="H395" s="63"/>
      <c r="I395" s="57"/>
      <c r="J395" s="56"/>
      <c r="K395" s="63"/>
      <c r="L395" s="63"/>
      <c r="M395" s="71"/>
      <c r="O395" s="65"/>
      <c r="P395" s="63"/>
      <c r="Q395" s="63"/>
      <c r="W395" s="63"/>
      <c r="X395" s="63"/>
      <c r="Z395" s="63"/>
      <c r="AA395" s="63"/>
      <c r="AC395" s="63"/>
      <c r="AD395" s="63"/>
      <c r="AI395" s="63"/>
      <c r="AJ395" s="63"/>
      <c r="AK395" s="63"/>
      <c r="AO395" s="63"/>
      <c r="AP395" s="63"/>
    </row>
    <row r="396" spans="2:42">
      <c r="B396" s="57"/>
      <c r="C396" s="63"/>
      <c r="D396" s="63"/>
      <c r="E396" s="66"/>
      <c r="H396" s="63"/>
      <c r="I396" s="57"/>
      <c r="J396" s="56"/>
      <c r="K396" s="63"/>
      <c r="L396" s="63"/>
      <c r="M396" s="71"/>
      <c r="O396" s="65"/>
      <c r="P396" s="63"/>
      <c r="Q396" s="63"/>
      <c r="W396" s="63"/>
      <c r="X396" s="63"/>
      <c r="Z396" s="63"/>
      <c r="AA396" s="63"/>
      <c r="AC396" s="63"/>
      <c r="AD396" s="63"/>
      <c r="AI396" s="63"/>
      <c r="AJ396" s="63"/>
      <c r="AK396" s="63"/>
      <c r="AO396" s="63"/>
      <c r="AP396" s="63"/>
    </row>
    <row r="397" spans="2:42">
      <c r="B397" s="57"/>
      <c r="C397" s="63"/>
      <c r="D397" s="63"/>
      <c r="E397" s="66"/>
      <c r="H397" s="63"/>
      <c r="I397" s="57"/>
      <c r="J397" s="56"/>
      <c r="K397" s="63"/>
      <c r="L397" s="63"/>
      <c r="M397" s="71"/>
      <c r="O397" s="65"/>
      <c r="P397" s="63"/>
      <c r="Q397" s="63"/>
      <c r="W397" s="63"/>
      <c r="X397" s="63"/>
      <c r="Z397" s="63"/>
      <c r="AA397" s="63"/>
      <c r="AC397" s="63"/>
      <c r="AD397" s="63"/>
      <c r="AI397" s="63"/>
      <c r="AJ397" s="63"/>
      <c r="AK397" s="63"/>
      <c r="AO397" s="63"/>
      <c r="AP397" s="63"/>
    </row>
    <row r="398" spans="2:42">
      <c r="B398" s="57"/>
      <c r="C398" s="63"/>
      <c r="D398" s="63"/>
      <c r="E398" s="66"/>
      <c r="H398" s="63"/>
      <c r="I398" s="57"/>
      <c r="J398" s="56"/>
      <c r="K398" s="63"/>
      <c r="L398" s="63"/>
      <c r="M398" s="71"/>
      <c r="O398" s="65"/>
      <c r="P398" s="63"/>
      <c r="Q398" s="63"/>
      <c r="W398" s="63"/>
      <c r="X398" s="63"/>
      <c r="Z398" s="63"/>
      <c r="AA398" s="63"/>
      <c r="AC398" s="63"/>
      <c r="AD398" s="63"/>
      <c r="AI398" s="63"/>
      <c r="AJ398" s="63"/>
      <c r="AK398" s="63"/>
      <c r="AO398" s="63"/>
      <c r="AP398" s="63"/>
    </row>
    <row r="399" spans="2:42">
      <c r="B399" s="57"/>
      <c r="C399" s="63"/>
      <c r="D399" s="63"/>
      <c r="E399" s="66"/>
      <c r="H399" s="63"/>
      <c r="I399" s="57"/>
      <c r="J399" s="56"/>
      <c r="K399" s="63"/>
      <c r="L399" s="63"/>
      <c r="M399" s="71"/>
      <c r="O399" s="65"/>
      <c r="P399" s="63"/>
      <c r="Q399" s="63"/>
      <c r="W399" s="63"/>
      <c r="X399" s="63"/>
      <c r="Z399" s="63"/>
      <c r="AA399" s="63"/>
      <c r="AC399" s="63"/>
      <c r="AD399" s="63"/>
      <c r="AI399" s="63"/>
      <c r="AJ399" s="63"/>
      <c r="AK399" s="63"/>
      <c r="AO399" s="63"/>
      <c r="AP399" s="63"/>
    </row>
    <row r="400" spans="2:42">
      <c r="B400" s="57"/>
      <c r="C400" s="63"/>
      <c r="D400" s="63"/>
      <c r="E400" s="66"/>
      <c r="H400" s="63"/>
      <c r="I400" s="57"/>
      <c r="J400" s="56"/>
      <c r="K400" s="63"/>
      <c r="L400" s="63"/>
      <c r="M400" s="71"/>
      <c r="O400" s="65"/>
      <c r="P400" s="63"/>
      <c r="Q400" s="63"/>
      <c r="W400" s="63"/>
      <c r="X400" s="63"/>
      <c r="Z400" s="63"/>
      <c r="AA400" s="63"/>
      <c r="AC400" s="63"/>
      <c r="AD400" s="63"/>
      <c r="AI400" s="63"/>
      <c r="AJ400" s="63"/>
      <c r="AK400" s="63"/>
      <c r="AO400" s="63"/>
      <c r="AP400" s="63"/>
    </row>
    <row r="401" spans="2:42">
      <c r="B401" s="57"/>
      <c r="C401" s="63"/>
      <c r="D401" s="63"/>
      <c r="E401" s="66"/>
      <c r="H401" s="63"/>
      <c r="I401" s="57"/>
      <c r="J401" s="56"/>
      <c r="K401" s="63"/>
      <c r="L401" s="63"/>
      <c r="M401" s="71"/>
      <c r="O401" s="65"/>
      <c r="P401" s="63"/>
      <c r="Q401" s="63"/>
      <c r="W401" s="63"/>
      <c r="X401" s="63"/>
      <c r="Z401" s="63"/>
      <c r="AA401" s="63"/>
      <c r="AC401" s="63"/>
      <c r="AD401" s="63"/>
      <c r="AI401" s="63"/>
      <c r="AJ401" s="63"/>
      <c r="AK401" s="63"/>
      <c r="AO401" s="63"/>
      <c r="AP401" s="63"/>
    </row>
    <row r="402" spans="2:42">
      <c r="B402" s="57"/>
      <c r="C402" s="63"/>
      <c r="D402" s="63"/>
      <c r="E402" s="66"/>
      <c r="H402" s="63"/>
      <c r="I402" s="57"/>
      <c r="J402" s="56"/>
      <c r="K402" s="63"/>
      <c r="L402" s="63"/>
      <c r="M402" s="71"/>
      <c r="O402" s="65"/>
      <c r="P402" s="63"/>
      <c r="Q402" s="63"/>
      <c r="W402" s="63"/>
      <c r="X402" s="63"/>
      <c r="Z402" s="63"/>
      <c r="AA402" s="63"/>
      <c r="AC402" s="63"/>
      <c r="AD402" s="63"/>
      <c r="AI402" s="63"/>
      <c r="AJ402" s="63"/>
      <c r="AK402" s="63"/>
      <c r="AO402" s="63"/>
      <c r="AP402" s="63"/>
    </row>
    <row r="403" spans="2:42">
      <c r="B403" s="57"/>
      <c r="C403" s="63"/>
      <c r="D403" s="63"/>
      <c r="E403" s="66"/>
      <c r="H403" s="63"/>
      <c r="I403" s="57"/>
      <c r="J403" s="56"/>
      <c r="K403" s="63"/>
      <c r="L403" s="63"/>
      <c r="M403" s="71"/>
      <c r="O403" s="65"/>
      <c r="P403" s="63"/>
      <c r="Q403" s="63"/>
      <c r="W403" s="63"/>
      <c r="X403" s="63"/>
      <c r="Z403" s="63"/>
      <c r="AA403" s="63"/>
      <c r="AC403" s="63"/>
      <c r="AD403" s="63"/>
      <c r="AI403" s="63"/>
      <c r="AJ403" s="63"/>
      <c r="AK403" s="63"/>
      <c r="AO403" s="63"/>
      <c r="AP403" s="63"/>
    </row>
    <row r="404" spans="2:42">
      <c r="B404" s="57"/>
      <c r="C404" s="63"/>
      <c r="D404" s="63"/>
      <c r="E404" s="66"/>
      <c r="H404" s="63"/>
      <c r="I404" s="57"/>
      <c r="J404" s="56"/>
      <c r="K404" s="63"/>
      <c r="L404" s="63"/>
      <c r="M404" s="71"/>
      <c r="O404" s="65"/>
      <c r="P404" s="63"/>
      <c r="Q404" s="63"/>
      <c r="W404" s="63"/>
      <c r="X404" s="63"/>
      <c r="Z404" s="63"/>
      <c r="AA404" s="63"/>
      <c r="AC404" s="63"/>
      <c r="AD404" s="63"/>
      <c r="AI404" s="63"/>
      <c r="AJ404" s="63"/>
      <c r="AK404" s="63"/>
      <c r="AO404" s="63"/>
      <c r="AP404" s="63"/>
    </row>
    <row r="405" spans="2:42">
      <c r="B405" s="57"/>
      <c r="C405" s="63"/>
      <c r="D405" s="63"/>
      <c r="E405" s="66"/>
      <c r="H405" s="63"/>
      <c r="I405" s="57"/>
      <c r="J405" s="56"/>
      <c r="K405" s="63"/>
      <c r="L405" s="63"/>
      <c r="M405" s="71"/>
      <c r="O405" s="65"/>
      <c r="P405" s="63"/>
      <c r="Q405" s="63"/>
      <c r="W405" s="63"/>
      <c r="X405" s="63"/>
      <c r="Z405" s="63"/>
      <c r="AA405" s="63"/>
      <c r="AC405" s="63"/>
      <c r="AD405" s="63"/>
      <c r="AI405" s="63"/>
      <c r="AJ405" s="63"/>
      <c r="AK405" s="63"/>
      <c r="AO405" s="63"/>
      <c r="AP405" s="63"/>
    </row>
    <row r="406" spans="2:42">
      <c r="B406" s="57"/>
      <c r="C406" s="63"/>
      <c r="D406" s="63"/>
      <c r="E406" s="66"/>
      <c r="H406" s="63"/>
      <c r="I406" s="57"/>
      <c r="J406" s="56"/>
      <c r="K406" s="63"/>
      <c r="L406" s="63"/>
      <c r="M406" s="71"/>
      <c r="O406" s="65"/>
      <c r="P406" s="63"/>
      <c r="Q406" s="63"/>
      <c r="W406" s="63"/>
      <c r="X406" s="63"/>
      <c r="Z406" s="63"/>
      <c r="AA406" s="63"/>
      <c r="AC406" s="63"/>
      <c r="AD406" s="63"/>
      <c r="AI406" s="63"/>
      <c r="AJ406" s="63"/>
      <c r="AK406" s="63"/>
      <c r="AO406" s="63"/>
      <c r="AP406" s="63"/>
    </row>
    <row r="407" spans="2:42">
      <c r="B407" s="57"/>
      <c r="C407" s="63"/>
      <c r="D407" s="63"/>
      <c r="E407" s="66"/>
      <c r="H407" s="63"/>
      <c r="I407" s="57"/>
      <c r="J407" s="56"/>
      <c r="K407" s="63"/>
      <c r="L407" s="63"/>
      <c r="M407" s="71"/>
      <c r="O407" s="65"/>
      <c r="P407" s="63"/>
      <c r="Q407" s="63"/>
      <c r="W407" s="63"/>
      <c r="X407" s="63"/>
      <c r="Z407" s="63"/>
      <c r="AA407" s="63"/>
      <c r="AC407" s="63"/>
      <c r="AD407" s="63"/>
      <c r="AI407" s="63"/>
      <c r="AJ407" s="63"/>
      <c r="AK407" s="63"/>
      <c r="AO407" s="63"/>
      <c r="AP407" s="63"/>
    </row>
    <row r="408" spans="2:42">
      <c r="B408" s="57"/>
      <c r="C408" s="63"/>
      <c r="D408" s="63"/>
      <c r="E408" s="66"/>
      <c r="H408" s="63"/>
      <c r="I408" s="57"/>
      <c r="J408" s="56"/>
      <c r="K408" s="63"/>
      <c r="L408" s="63"/>
      <c r="M408" s="71"/>
      <c r="O408" s="65"/>
      <c r="P408" s="63"/>
      <c r="Q408" s="63"/>
      <c r="W408" s="63"/>
      <c r="X408" s="63"/>
      <c r="Z408" s="63"/>
      <c r="AA408" s="63"/>
      <c r="AC408" s="63"/>
      <c r="AD408" s="63"/>
      <c r="AI408" s="63"/>
      <c r="AJ408" s="63"/>
      <c r="AK408" s="63"/>
      <c r="AO408" s="63"/>
      <c r="AP408" s="63"/>
    </row>
    <row r="409" spans="2:42">
      <c r="B409" s="57"/>
      <c r="C409" s="63"/>
      <c r="D409" s="63"/>
      <c r="E409" s="66"/>
      <c r="H409" s="63"/>
      <c r="I409" s="57"/>
      <c r="J409" s="56"/>
      <c r="K409" s="63"/>
      <c r="L409" s="63"/>
      <c r="M409" s="71"/>
      <c r="O409" s="65"/>
      <c r="P409" s="63"/>
      <c r="Q409" s="63"/>
      <c r="W409" s="63"/>
      <c r="X409" s="63"/>
      <c r="Z409" s="63"/>
      <c r="AA409" s="63"/>
      <c r="AC409" s="63"/>
      <c r="AD409" s="63"/>
      <c r="AI409" s="63"/>
      <c r="AJ409" s="63"/>
      <c r="AK409" s="63"/>
      <c r="AO409" s="63"/>
      <c r="AP409" s="63"/>
    </row>
    <row r="410" spans="2:42">
      <c r="B410" s="57"/>
      <c r="C410" s="63"/>
      <c r="D410" s="63"/>
      <c r="E410" s="66"/>
      <c r="H410" s="63"/>
      <c r="I410" s="57"/>
      <c r="J410" s="56"/>
      <c r="K410" s="63"/>
      <c r="L410" s="63"/>
      <c r="M410" s="71"/>
      <c r="O410" s="65"/>
      <c r="P410" s="63"/>
      <c r="Q410" s="63"/>
      <c r="W410" s="63"/>
      <c r="X410" s="63"/>
      <c r="Z410" s="63"/>
      <c r="AA410" s="63"/>
      <c r="AC410" s="63"/>
      <c r="AD410" s="63"/>
      <c r="AI410" s="63"/>
      <c r="AJ410" s="63"/>
      <c r="AK410" s="63"/>
      <c r="AO410" s="63"/>
      <c r="AP410" s="63"/>
    </row>
    <row r="411" spans="2:42">
      <c r="B411" s="57"/>
      <c r="C411" s="63"/>
      <c r="D411" s="63"/>
      <c r="E411" s="66"/>
      <c r="H411" s="63"/>
      <c r="I411" s="57"/>
      <c r="J411" s="56"/>
      <c r="K411" s="63"/>
      <c r="L411" s="63"/>
      <c r="M411" s="71"/>
      <c r="O411" s="65"/>
      <c r="P411" s="63"/>
      <c r="Q411" s="63"/>
      <c r="W411" s="63"/>
      <c r="X411" s="63"/>
      <c r="Z411" s="63"/>
      <c r="AA411" s="63"/>
      <c r="AC411" s="63"/>
      <c r="AD411" s="63"/>
      <c r="AI411" s="63"/>
      <c r="AJ411" s="63"/>
      <c r="AK411" s="63"/>
      <c r="AO411" s="63"/>
      <c r="AP411" s="63"/>
    </row>
    <row r="412" spans="2:42">
      <c r="B412" s="57"/>
      <c r="C412" s="63"/>
      <c r="D412" s="63"/>
      <c r="E412" s="66"/>
      <c r="H412" s="63"/>
      <c r="I412" s="57"/>
      <c r="J412" s="56"/>
      <c r="K412" s="63"/>
      <c r="L412" s="63"/>
      <c r="M412" s="71"/>
      <c r="O412" s="65"/>
      <c r="P412" s="63"/>
      <c r="Q412" s="63"/>
      <c r="W412" s="63"/>
      <c r="X412" s="63"/>
      <c r="Z412" s="63"/>
      <c r="AA412" s="63"/>
      <c r="AC412" s="63"/>
      <c r="AD412" s="63"/>
      <c r="AI412" s="63"/>
      <c r="AJ412" s="63"/>
      <c r="AK412" s="63"/>
      <c r="AO412" s="63"/>
      <c r="AP412" s="63"/>
    </row>
    <row r="413" spans="2:42">
      <c r="B413" s="57"/>
      <c r="C413" s="63"/>
      <c r="D413" s="63"/>
      <c r="E413" s="66"/>
      <c r="H413" s="63"/>
      <c r="I413" s="57"/>
      <c r="J413" s="56"/>
      <c r="K413" s="63"/>
      <c r="L413" s="63"/>
      <c r="M413" s="71"/>
      <c r="O413" s="65"/>
      <c r="P413" s="63"/>
      <c r="Q413" s="63"/>
      <c r="W413" s="63"/>
      <c r="X413" s="63"/>
      <c r="Z413" s="63"/>
      <c r="AA413" s="63"/>
      <c r="AC413" s="63"/>
      <c r="AD413" s="63"/>
      <c r="AI413" s="63"/>
      <c r="AJ413" s="63"/>
      <c r="AK413" s="63"/>
      <c r="AO413" s="63"/>
      <c r="AP413" s="63"/>
    </row>
    <row r="414" spans="2:42">
      <c r="B414" s="58"/>
      <c r="C414" s="63"/>
      <c r="D414" s="63"/>
      <c r="E414" s="66"/>
      <c r="H414" s="63"/>
      <c r="J414" s="56"/>
      <c r="K414" s="63"/>
      <c r="L414" s="63"/>
      <c r="O414" s="65"/>
      <c r="P414" s="63"/>
      <c r="Q414" s="63"/>
      <c r="W414" s="58"/>
      <c r="X414" s="63"/>
      <c r="Z414" s="63"/>
      <c r="AA414" s="63"/>
      <c r="AC414" s="63"/>
      <c r="AD414" s="63"/>
      <c r="AI414" s="63"/>
      <c r="AJ414" s="63"/>
      <c r="AK414" s="63"/>
      <c r="AO414" s="63"/>
      <c r="AP414" s="63"/>
    </row>
    <row r="415" spans="2:42">
      <c r="B415" s="58"/>
      <c r="C415" s="63"/>
      <c r="D415" s="63"/>
      <c r="E415" s="66"/>
      <c r="H415" s="63"/>
      <c r="J415" s="56"/>
      <c r="K415" s="63"/>
      <c r="L415" s="63"/>
      <c r="O415" s="65"/>
      <c r="P415" s="63"/>
      <c r="Q415" s="63"/>
      <c r="W415" s="58"/>
      <c r="X415" s="63"/>
      <c r="Z415" s="63"/>
      <c r="AA415" s="63"/>
      <c r="AC415" s="63"/>
      <c r="AD415" s="63"/>
      <c r="AI415" s="63"/>
      <c r="AJ415" s="63"/>
      <c r="AK415" s="63"/>
      <c r="AO415" s="63"/>
      <c r="AP415" s="63"/>
    </row>
    <row r="416" spans="2:42">
      <c r="B416" s="58"/>
      <c r="C416" s="63"/>
      <c r="D416" s="63"/>
      <c r="E416" s="66"/>
      <c r="H416" s="63"/>
      <c r="J416" s="56"/>
      <c r="K416" s="63"/>
      <c r="L416" s="63"/>
      <c r="O416" s="65"/>
      <c r="P416" s="63"/>
      <c r="Q416" s="63"/>
      <c r="W416" s="58"/>
      <c r="X416" s="63"/>
      <c r="Z416" s="63"/>
      <c r="AA416" s="63"/>
      <c r="AC416" s="63"/>
      <c r="AD416" s="63"/>
      <c r="AI416" s="63"/>
      <c r="AJ416" s="63"/>
      <c r="AK416" s="63"/>
      <c r="AO416" s="63"/>
      <c r="AP416" s="63"/>
    </row>
    <row r="417" spans="2:42">
      <c r="B417" s="58"/>
      <c r="C417" s="63"/>
      <c r="D417" s="63"/>
      <c r="E417" s="66"/>
      <c r="H417" s="63"/>
      <c r="J417" s="56"/>
      <c r="K417" s="63"/>
      <c r="L417" s="63"/>
      <c r="O417" s="65"/>
      <c r="P417" s="63"/>
      <c r="Q417" s="63"/>
      <c r="W417" s="58"/>
      <c r="X417" s="63"/>
      <c r="Z417" s="63"/>
      <c r="AA417" s="63"/>
      <c r="AC417" s="63"/>
      <c r="AD417" s="63"/>
      <c r="AI417" s="63"/>
      <c r="AJ417" s="63"/>
      <c r="AK417" s="63"/>
      <c r="AO417" s="63"/>
      <c r="AP417" s="63"/>
    </row>
    <row r="418" spans="2:42">
      <c r="B418" s="58"/>
      <c r="C418" s="63"/>
      <c r="D418" s="63"/>
      <c r="E418" s="66"/>
      <c r="H418" s="63"/>
      <c r="J418" s="56"/>
      <c r="K418" s="63"/>
      <c r="L418" s="63"/>
      <c r="O418" s="65"/>
      <c r="P418" s="63"/>
      <c r="Q418" s="63"/>
      <c r="W418" s="58"/>
      <c r="X418" s="63"/>
      <c r="Z418" s="63"/>
      <c r="AA418" s="63"/>
      <c r="AC418" s="63"/>
      <c r="AD418" s="63"/>
      <c r="AI418" s="63"/>
      <c r="AJ418" s="63"/>
      <c r="AK418" s="63"/>
      <c r="AO418" s="63"/>
      <c r="AP418" s="63"/>
    </row>
    <row r="419" spans="2:42">
      <c r="B419" s="58"/>
      <c r="C419" s="63"/>
      <c r="D419" s="63"/>
      <c r="E419" s="66"/>
      <c r="H419" s="63"/>
      <c r="J419" s="56"/>
      <c r="K419" s="63"/>
      <c r="L419" s="63"/>
      <c r="O419" s="65"/>
      <c r="P419" s="63"/>
      <c r="Q419" s="63"/>
      <c r="W419" s="58"/>
      <c r="X419" s="63"/>
      <c r="Z419" s="63"/>
      <c r="AA419" s="63"/>
      <c r="AC419" s="63"/>
      <c r="AD419" s="63"/>
      <c r="AI419" s="63"/>
      <c r="AJ419" s="63"/>
      <c r="AK419" s="63"/>
      <c r="AO419" s="63"/>
      <c r="AP419" s="63"/>
    </row>
    <row r="420" spans="2:42">
      <c r="B420" s="58"/>
      <c r="C420" s="63"/>
      <c r="D420" s="63"/>
      <c r="E420" s="66"/>
      <c r="H420" s="63"/>
      <c r="J420" s="56"/>
      <c r="K420" s="63"/>
      <c r="L420" s="63"/>
      <c r="O420" s="65"/>
      <c r="P420" s="63"/>
      <c r="Q420" s="63"/>
      <c r="W420" s="58"/>
      <c r="X420" s="63"/>
      <c r="Z420" s="63"/>
      <c r="AA420" s="63"/>
      <c r="AC420" s="63"/>
      <c r="AD420" s="63"/>
      <c r="AI420" s="63"/>
      <c r="AJ420" s="63"/>
      <c r="AK420" s="63"/>
      <c r="AO420" s="63"/>
      <c r="AP420" s="63"/>
    </row>
    <row r="421" spans="2:42">
      <c r="B421" s="58"/>
      <c r="C421" s="63"/>
      <c r="D421" s="63"/>
      <c r="E421" s="66"/>
      <c r="H421" s="63"/>
      <c r="J421" s="56"/>
      <c r="K421" s="63"/>
      <c r="L421" s="63"/>
      <c r="O421" s="65"/>
      <c r="P421" s="63"/>
      <c r="Q421" s="63"/>
      <c r="W421" s="58"/>
      <c r="X421" s="63"/>
      <c r="Z421" s="63"/>
      <c r="AA421" s="63"/>
      <c r="AC421" s="63"/>
      <c r="AD421" s="63"/>
      <c r="AI421" s="63"/>
      <c r="AJ421" s="63"/>
      <c r="AK421" s="63"/>
      <c r="AO421" s="63"/>
      <c r="AP421" s="63"/>
    </row>
    <row r="422" spans="2:42">
      <c r="B422" s="58"/>
      <c r="C422" s="63"/>
      <c r="D422" s="63"/>
      <c r="E422" s="66"/>
      <c r="H422" s="63"/>
      <c r="J422" s="56"/>
      <c r="K422" s="63"/>
      <c r="L422" s="63"/>
      <c r="O422" s="65"/>
      <c r="P422" s="63"/>
      <c r="Q422" s="63"/>
      <c r="W422" s="58"/>
      <c r="X422" s="63"/>
      <c r="Z422" s="63"/>
      <c r="AA422" s="63"/>
      <c r="AC422" s="63"/>
      <c r="AD422" s="63"/>
      <c r="AI422" s="63"/>
      <c r="AJ422" s="63"/>
      <c r="AK422" s="63"/>
      <c r="AO422" s="63"/>
      <c r="AP422" s="63"/>
    </row>
    <row r="423" spans="2:42">
      <c r="B423" s="58"/>
      <c r="C423" s="63"/>
      <c r="D423" s="63"/>
      <c r="E423" s="66"/>
      <c r="H423" s="63"/>
      <c r="J423" s="56"/>
      <c r="K423" s="63"/>
      <c r="L423" s="63"/>
      <c r="O423" s="65"/>
      <c r="P423" s="63"/>
      <c r="Q423" s="63"/>
      <c r="W423" s="58"/>
      <c r="X423" s="63"/>
      <c r="Z423" s="63"/>
      <c r="AA423" s="63"/>
      <c r="AC423" s="63"/>
      <c r="AD423" s="63"/>
      <c r="AI423" s="63"/>
      <c r="AJ423" s="63"/>
      <c r="AK423" s="63"/>
      <c r="AO423" s="63"/>
      <c r="AP423" s="63"/>
    </row>
    <row r="424" spans="2:42">
      <c r="B424" s="58"/>
      <c r="C424" s="63"/>
      <c r="D424" s="63"/>
      <c r="E424" s="66"/>
      <c r="H424" s="63"/>
      <c r="J424" s="56"/>
      <c r="K424" s="63"/>
      <c r="L424" s="63"/>
      <c r="O424" s="65"/>
      <c r="P424" s="63"/>
      <c r="Q424" s="63"/>
      <c r="W424" s="58"/>
      <c r="X424" s="63"/>
      <c r="Z424" s="63"/>
      <c r="AA424" s="63"/>
      <c r="AC424" s="63"/>
      <c r="AD424" s="63"/>
      <c r="AI424" s="63"/>
      <c r="AJ424" s="63"/>
      <c r="AK424" s="63"/>
      <c r="AO424" s="63"/>
      <c r="AP424" s="63"/>
    </row>
    <row r="425" spans="2:42">
      <c r="B425" s="58"/>
      <c r="C425" s="63"/>
      <c r="D425" s="63"/>
      <c r="E425" s="66"/>
      <c r="H425" s="63"/>
      <c r="I425" s="63"/>
      <c r="J425" s="56"/>
      <c r="K425" s="63"/>
      <c r="L425" s="63"/>
      <c r="N425" s="58"/>
      <c r="O425" s="65"/>
      <c r="P425" s="63"/>
      <c r="Q425" s="63"/>
      <c r="W425" s="63"/>
      <c r="X425" s="63"/>
      <c r="Z425" s="63"/>
      <c r="AA425" s="63"/>
      <c r="AC425" s="63"/>
      <c r="AD425" s="63"/>
      <c r="AI425" s="63"/>
      <c r="AJ425" s="63"/>
      <c r="AK425" s="63"/>
      <c r="AO425" s="63"/>
      <c r="AP425" s="63"/>
    </row>
    <row r="426" spans="2:42">
      <c r="B426" s="58"/>
      <c r="C426" s="63"/>
      <c r="D426" s="63"/>
      <c r="E426" s="66"/>
      <c r="H426" s="63"/>
      <c r="I426" s="63"/>
      <c r="J426" s="56"/>
      <c r="K426" s="63"/>
      <c r="L426" s="63"/>
      <c r="N426" s="58"/>
      <c r="O426" s="65"/>
      <c r="P426" s="63"/>
      <c r="Q426" s="63"/>
      <c r="W426" s="63"/>
      <c r="X426" s="63"/>
      <c r="Z426" s="63"/>
      <c r="AA426" s="63"/>
      <c r="AC426" s="63"/>
      <c r="AD426" s="63"/>
      <c r="AI426" s="63"/>
      <c r="AJ426" s="63"/>
      <c r="AK426" s="63"/>
      <c r="AO426" s="63"/>
      <c r="AP426" s="63"/>
    </row>
    <row r="427" spans="2:42">
      <c r="B427" s="58"/>
      <c r="C427" s="63"/>
      <c r="D427" s="63"/>
      <c r="E427" s="66"/>
      <c r="H427" s="63"/>
      <c r="I427" s="63"/>
      <c r="J427" s="56"/>
      <c r="K427" s="63"/>
      <c r="L427" s="63"/>
      <c r="N427" s="58"/>
      <c r="O427" s="65"/>
      <c r="P427" s="63"/>
      <c r="Q427" s="63"/>
      <c r="W427" s="63"/>
      <c r="X427" s="63"/>
      <c r="Z427" s="63"/>
      <c r="AA427" s="63"/>
      <c r="AC427" s="63"/>
      <c r="AD427" s="63"/>
      <c r="AI427" s="63"/>
      <c r="AJ427" s="63"/>
      <c r="AK427" s="63"/>
      <c r="AO427" s="63"/>
      <c r="AP427" s="63"/>
    </row>
    <row r="428" spans="2:42">
      <c r="B428" s="58"/>
      <c r="C428" s="63"/>
      <c r="D428" s="63"/>
      <c r="E428" s="66"/>
      <c r="H428" s="63"/>
      <c r="I428" s="63"/>
      <c r="J428" s="56"/>
      <c r="K428" s="63"/>
      <c r="L428" s="63"/>
      <c r="N428" s="58"/>
      <c r="O428" s="65"/>
      <c r="P428" s="63"/>
      <c r="Q428" s="63"/>
      <c r="W428" s="63"/>
      <c r="X428" s="63"/>
      <c r="Z428" s="63"/>
      <c r="AA428" s="63"/>
      <c r="AC428" s="63"/>
      <c r="AD428" s="63"/>
      <c r="AI428" s="63"/>
      <c r="AJ428" s="63"/>
      <c r="AK428" s="63"/>
      <c r="AO428" s="63"/>
      <c r="AP428" s="63"/>
    </row>
    <row r="429" spans="2:42" s="59" customFormat="1">
      <c r="B429" s="72"/>
      <c r="C429" s="73"/>
      <c r="D429" s="73"/>
      <c r="E429" s="66"/>
      <c r="H429" s="63"/>
      <c r="I429" s="73"/>
      <c r="J429" s="74"/>
      <c r="K429" s="73"/>
      <c r="L429" s="73"/>
      <c r="M429" s="68"/>
      <c r="P429" s="73"/>
      <c r="Q429" s="73"/>
      <c r="W429" s="73"/>
      <c r="X429" s="73"/>
      <c r="Z429" s="73"/>
      <c r="AA429" s="63"/>
      <c r="AC429" s="73"/>
      <c r="AD429" s="73"/>
      <c r="AI429" s="73"/>
      <c r="AJ429" s="73"/>
      <c r="AK429" s="73"/>
      <c r="AN429" s="72"/>
      <c r="AO429" s="73"/>
      <c r="AP429" s="73"/>
    </row>
    <row r="430" spans="2:42" s="59" customFormat="1">
      <c r="B430" s="72"/>
      <c r="C430" s="73"/>
      <c r="D430" s="73"/>
      <c r="E430" s="66"/>
      <c r="H430" s="63"/>
      <c r="I430" s="73"/>
      <c r="J430" s="74"/>
      <c r="K430" s="73"/>
      <c r="L430" s="73"/>
      <c r="M430" s="68"/>
      <c r="P430" s="73"/>
      <c r="Q430" s="73"/>
      <c r="W430" s="73"/>
      <c r="X430" s="73"/>
      <c r="Z430" s="73"/>
      <c r="AA430" s="63"/>
      <c r="AC430" s="73"/>
      <c r="AD430" s="73"/>
      <c r="AI430" s="73"/>
      <c r="AJ430" s="73"/>
      <c r="AK430" s="73"/>
      <c r="AN430" s="72"/>
      <c r="AO430" s="73"/>
      <c r="AP430" s="73"/>
    </row>
    <row r="431" spans="2:42">
      <c r="B431" s="58"/>
      <c r="C431" s="63"/>
      <c r="D431" s="63"/>
      <c r="E431" s="66"/>
      <c r="H431" s="63"/>
      <c r="I431" s="63"/>
      <c r="J431" s="56"/>
      <c r="K431" s="63"/>
      <c r="L431" s="63"/>
      <c r="P431" s="63"/>
      <c r="Q431" s="63"/>
      <c r="W431" s="63"/>
      <c r="X431" s="63"/>
      <c r="Z431" s="63"/>
      <c r="AA431" s="63"/>
      <c r="AC431" s="63"/>
      <c r="AD431" s="63"/>
      <c r="AI431" s="63"/>
      <c r="AJ431" s="63"/>
      <c r="AK431" s="63"/>
      <c r="AO431" s="63"/>
      <c r="AP431" s="63"/>
    </row>
    <row r="432" spans="2:42">
      <c r="B432" s="58"/>
      <c r="C432" s="63"/>
      <c r="D432" s="63"/>
      <c r="E432" s="66"/>
      <c r="H432" s="63"/>
      <c r="I432" s="63"/>
      <c r="J432" s="56"/>
      <c r="K432" s="63"/>
      <c r="L432" s="63"/>
      <c r="P432" s="63"/>
      <c r="Q432" s="63"/>
      <c r="W432" s="63"/>
      <c r="X432" s="63"/>
      <c r="Z432" s="63"/>
      <c r="AA432" s="63"/>
      <c r="AC432" s="63"/>
      <c r="AD432" s="63"/>
      <c r="AI432" s="63"/>
      <c r="AJ432" s="63"/>
      <c r="AK432" s="63"/>
      <c r="AO432" s="63"/>
      <c r="AP432" s="63"/>
    </row>
    <row r="433" spans="2:42">
      <c r="B433" s="58"/>
      <c r="C433" s="63"/>
      <c r="D433" s="63"/>
      <c r="E433" s="66"/>
      <c r="H433" s="63"/>
      <c r="I433" s="63"/>
      <c r="J433" s="56"/>
      <c r="K433" s="63"/>
      <c r="L433" s="63"/>
      <c r="P433" s="63"/>
      <c r="Q433" s="63"/>
      <c r="W433" s="63"/>
      <c r="X433" s="63"/>
      <c r="Z433" s="63"/>
      <c r="AA433" s="63"/>
      <c r="AC433" s="63"/>
      <c r="AD433" s="63"/>
      <c r="AI433" s="63"/>
      <c r="AJ433" s="63"/>
      <c r="AK433" s="63"/>
      <c r="AO433" s="63"/>
      <c r="AP433" s="63"/>
    </row>
    <row r="434" spans="2:42">
      <c r="B434" s="58"/>
      <c r="C434" s="63"/>
      <c r="D434" s="63"/>
      <c r="E434" s="66"/>
      <c r="H434" s="63"/>
      <c r="I434" s="63"/>
      <c r="J434" s="56"/>
      <c r="K434" s="63"/>
      <c r="L434" s="63"/>
      <c r="P434" s="63"/>
      <c r="Q434" s="63"/>
      <c r="W434" s="63"/>
      <c r="X434" s="63"/>
      <c r="Z434" s="63"/>
      <c r="AA434" s="63"/>
      <c r="AC434" s="63"/>
      <c r="AD434" s="63"/>
      <c r="AI434" s="63"/>
      <c r="AJ434" s="63"/>
      <c r="AK434" s="63"/>
      <c r="AO434" s="63"/>
      <c r="AP434" s="63"/>
    </row>
    <row r="435" spans="2:42">
      <c r="B435" s="58"/>
      <c r="C435" s="63"/>
      <c r="D435" s="63"/>
      <c r="E435" s="66"/>
      <c r="H435" s="63"/>
      <c r="I435" s="63"/>
      <c r="J435" s="56"/>
      <c r="K435" s="63"/>
      <c r="L435" s="63"/>
      <c r="P435" s="63"/>
      <c r="Q435" s="63"/>
      <c r="W435" s="63"/>
      <c r="X435" s="63"/>
      <c r="Z435" s="63"/>
      <c r="AA435" s="63"/>
      <c r="AC435" s="63"/>
      <c r="AD435" s="63"/>
      <c r="AI435" s="63"/>
      <c r="AJ435" s="63"/>
      <c r="AK435" s="63"/>
      <c r="AO435" s="63"/>
      <c r="AP435" s="63"/>
    </row>
    <row r="436" spans="2:42">
      <c r="B436" s="58"/>
      <c r="C436" s="63"/>
      <c r="D436" s="63"/>
      <c r="E436" s="66"/>
      <c r="H436" s="63"/>
      <c r="I436" s="63"/>
      <c r="J436" s="56"/>
      <c r="K436" s="63"/>
      <c r="L436" s="63"/>
      <c r="P436" s="63"/>
      <c r="Q436" s="63"/>
      <c r="W436" s="63"/>
      <c r="X436" s="63"/>
      <c r="Z436" s="63"/>
      <c r="AA436" s="63"/>
      <c r="AC436" s="63"/>
      <c r="AD436" s="63"/>
      <c r="AI436" s="63"/>
      <c r="AJ436" s="63"/>
      <c r="AK436" s="63"/>
      <c r="AO436" s="63"/>
      <c r="AP436" s="63"/>
    </row>
    <row r="437" spans="2:42">
      <c r="B437" s="58"/>
      <c r="C437" s="63"/>
      <c r="D437" s="63"/>
      <c r="E437" s="66"/>
      <c r="H437" s="63"/>
      <c r="I437" s="63"/>
      <c r="J437" s="56"/>
      <c r="K437" s="63"/>
      <c r="L437" s="63"/>
      <c r="P437" s="63"/>
      <c r="Q437" s="63"/>
      <c r="W437" s="63"/>
      <c r="X437" s="63"/>
      <c r="Z437" s="63"/>
      <c r="AA437" s="63"/>
      <c r="AC437" s="63"/>
      <c r="AD437" s="63"/>
      <c r="AI437" s="63"/>
      <c r="AJ437" s="63"/>
      <c r="AK437" s="63"/>
      <c r="AO437" s="63"/>
      <c r="AP437" s="63"/>
    </row>
    <row r="438" spans="2:42">
      <c r="B438" s="58"/>
      <c r="C438" s="63"/>
      <c r="D438" s="63"/>
      <c r="E438" s="66"/>
      <c r="H438" s="63"/>
      <c r="I438" s="63"/>
      <c r="J438" s="56"/>
      <c r="K438" s="63"/>
      <c r="L438" s="63"/>
      <c r="P438" s="63"/>
      <c r="Q438" s="63"/>
      <c r="W438" s="63"/>
      <c r="X438" s="63"/>
      <c r="Z438" s="63"/>
      <c r="AA438" s="63"/>
      <c r="AC438" s="63"/>
      <c r="AD438" s="63"/>
      <c r="AI438" s="63"/>
      <c r="AJ438" s="63"/>
      <c r="AK438" s="63"/>
      <c r="AO438" s="63"/>
      <c r="AP438" s="63"/>
    </row>
    <row r="439" spans="2:42">
      <c r="B439" s="58"/>
      <c r="C439" s="63"/>
      <c r="D439" s="63"/>
      <c r="E439" s="66"/>
      <c r="H439" s="63"/>
      <c r="I439" s="63"/>
      <c r="J439" s="56"/>
      <c r="K439" s="63"/>
      <c r="L439" s="63"/>
      <c r="P439" s="63"/>
      <c r="Q439" s="63"/>
      <c r="W439" s="63"/>
      <c r="X439" s="63"/>
      <c r="Z439" s="63"/>
      <c r="AA439" s="63"/>
      <c r="AC439" s="63"/>
      <c r="AD439" s="63"/>
      <c r="AI439" s="63"/>
      <c r="AJ439" s="63"/>
      <c r="AK439" s="63"/>
      <c r="AO439" s="63"/>
      <c r="AP439" s="63"/>
    </row>
    <row r="440" spans="2:42">
      <c r="B440" s="58"/>
      <c r="C440" s="63"/>
      <c r="D440" s="63"/>
      <c r="E440" s="66"/>
      <c r="H440" s="63"/>
      <c r="I440" s="63"/>
      <c r="J440" s="56"/>
      <c r="K440" s="63"/>
      <c r="L440" s="63"/>
      <c r="P440" s="63"/>
      <c r="Q440" s="63"/>
      <c r="W440" s="63"/>
      <c r="X440" s="63"/>
      <c r="Z440" s="63"/>
      <c r="AA440" s="63"/>
      <c r="AC440" s="63"/>
      <c r="AD440" s="63"/>
      <c r="AI440" s="63"/>
      <c r="AJ440" s="63"/>
      <c r="AK440" s="63"/>
      <c r="AO440" s="63"/>
      <c r="AP440" s="63"/>
    </row>
    <row r="441" spans="2:42">
      <c r="B441" s="58"/>
      <c r="C441" s="63"/>
      <c r="D441" s="63"/>
      <c r="E441" s="66"/>
      <c r="H441" s="63"/>
      <c r="I441" s="63"/>
      <c r="J441" s="56"/>
      <c r="K441" s="63"/>
      <c r="L441" s="63"/>
      <c r="P441" s="63"/>
      <c r="Q441" s="63"/>
      <c r="W441" s="63"/>
      <c r="X441" s="63"/>
      <c r="Z441" s="63"/>
      <c r="AA441" s="63"/>
      <c r="AC441" s="63"/>
      <c r="AD441" s="63"/>
      <c r="AI441" s="63"/>
      <c r="AJ441" s="63"/>
      <c r="AK441" s="63"/>
      <c r="AO441" s="63"/>
      <c r="AP441" s="63"/>
    </row>
    <row r="442" spans="2:42">
      <c r="B442" s="58"/>
      <c r="C442" s="63"/>
      <c r="D442" s="63"/>
      <c r="E442" s="66"/>
      <c r="H442" s="63"/>
      <c r="I442" s="63"/>
      <c r="J442" s="56"/>
      <c r="K442" s="63"/>
      <c r="L442" s="63"/>
      <c r="P442" s="63"/>
      <c r="Q442" s="63"/>
      <c r="W442" s="63"/>
      <c r="X442" s="63"/>
      <c r="Z442" s="63"/>
      <c r="AA442" s="63"/>
      <c r="AC442" s="63"/>
      <c r="AD442" s="63"/>
      <c r="AI442" s="63"/>
      <c r="AJ442" s="63"/>
      <c r="AK442" s="63"/>
      <c r="AO442" s="63"/>
      <c r="AP442" s="63"/>
    </row>
    <row r="443" spans="2:42">
      <c r="B443" s="58"/>
      <c r="C443" s="63"/>
      <c r="D443" s="63"/>
      <c r="E443" s="66"/>
      <c r="H443" s="63"/>
      <c r="I443" s="63"/>
      <c r="J443" s="56"/>
      <c r="K443" s="63"/>
      <c r="L443" s="63"/>
      <c r="P443" s="63"/>
      <c r="Q443" s="63"/>
      <c r="W443" s="63"/>
      <c r="X443" s="63"/>
      <c r="Z443" s="63"/>
      <c r="AA443" s="63"/>
      <c r="AC443" s="63"/>
      <c r="AD443" s="63"/>
      <c r="AI443" s="63"/>
      <c r="AJ443" s="63"/>
      <c r="AK443" s="63"/>
      <c r="AO443" s="63"/>
      <c r="AP443" s="63"/>
    </row>
    <row r="444" spans="2:42">
      <c r="B444" s="58"/>
      <c r="C444" s="63"/>
      <c r="D444" s="63"/>
      <c r="E444" s="66"/>
      <c r="H444" s="63"/>
      <c r="I444" s="63"/>
      <c r="J444" s="56"/>
      <c r="K444" s="63"/>
      <c r="L444" s="63"/>
      <c r="P444" s="63"/>
      <c r="Q444" s="63"/>
      <c r="W444" s="63"/>
      <c r="X444" s="63"/>
      <c r="Z444" s="63"/>
      <c r="AA444" s="63"/>
      <c r="AC444" s="63"/>
      <c r="AD444" s="63"/>
      <c r="AI444" s="63"/>
      <c r="AJ444" s="63"/>
      <c r="AK444" s="63"/>
      <c r="AO444" s="63"/>
      <c r="AP444" s="63"/>
    </row>
    <row r="445" spans="2:42">
      <c r="B445" s="58"/>
      <c r="C445" s="63"/>
      <c r="D445" s="63"/>
      <c r="E445" s="66"/>
      <c r="H445" s="63"/>
      <c r="I445" s="63"/>
      <c r="J445" s="56"/>
      <c r="K445" s="63"/>
      <c r="L445" s="63"/>
      <c r="P445" s="63"/>
      <c r="Q445" s="63"/>
      <c r="W445" s="63"/>
      <c r="X445" s="63"/>
      <c r="Z445" s="63"/>
      <c r="AA445" s="63"/>
      <c r="AC445" s="63"/>
      <c r="AD445" s="63"/>
      <c r="AI445" s="63"/>
      <c r="AJ445" s="63"/>
      <c r="AK445" s="63"/>
      <c r="AO445" s="63"/>
      <c r="AP445" s="63"/>
    </row>
    <row r="446" spans="2:42">
      <c r="B446" s="58"/>
      <c r="C446" s="63"/>
      <c r="D446" s="63"/>
      <c r="E446" s="66"/>
      <c r="H446" s="63"/>
      <c r="I446" s="63"/>
      <c r="J446" s="56"/>
      <c r="K446" s="63"/>
      <c r="L446" s="63"/>
      <c r="P446" s="63"/>
      <c r="Q446" s="63"/>
      <c r="W446" s="63"/>
      <c r="X446" s="63"/>
      <c r="Z446" s="63"/>
      <c r="AA446" s="63"/>
      <c r="AC446" s="63"/>
      <c r="AD446" s="63"/>
      <c r="AI446" s="63"/>
      <c r="AJ446" s="63"/>
      <c r="AK446" s="63"/>
      <c r="AO446" s="63"/>
      <c r="AP446" s="63"/>
    </row>
    <row r="447" spans="2:42">
      <c r="B447" s="58"/>
      <c r="C447" s="63"/>
      <c r="D447" s="63"/>
      <c r="E447" s="66"/>
      <c r="H447" s="63"/>
      <c r="I447" s="63"/>
      <c r="J447" s="56"/>
      <c r="K447" s="63"/>
      <c r="L447" s="63"/>
      <c r="P447" s="63"/>
      <c r="Q447" s="63"/>
      <c r="W447" s="63"/>
      <c r="X447" s="63"/>
      <c r="Z447" s="63"/>
      <c r="AA447" s="63"/>
      <c r="AC447" s="63"/>
      <c r="AD447" s="63"/>
      <c r="AI447" s="63"/>
      <c r="AJ447" s="63"/>
      <c r="AK447" s="63"/>
      <c r="AO447" s="63"/>
      <c r="AP447" s="63"/>
    </row>
    <row r="448" spans="2:42">
      <c r="B448" s="58"/>
      <c r="C448" s="63"/>
      <c r="D448" s="63"/>
      <c r="E448" s="66"/>
      <c r="H448" s="63"/>
      <c r="I448" s="63"/>
      <c r="J448" s="56"/>
      <c r="K448" s="63"/>
      <c r="L448" s="63"/>
      <c r="P448" s="63"/>
      <c r="Q448" s="63"/>
      <c r="W448" s="63"/>
      <c r="X448" s="63"/>
      <c r="Z448" s="63"/>
      <c r="AA448" s="63"/>
      <c r="AC448" s="63"/>
      <c r="AD448" s="63"/>
      <c r="AI448" s="63"/>
      <c r="AJ448" s="63"/>
      <c r="AK448" s="63"/>
      <c r="AO448" s="63"/>
      <c r="AP448" s="63"/>
    </row>
    <row r="449" spans="2:42">
      <c r="B449" s="58"/>
      <c r="C449" s="63"/>
      <c r="D449" s="63"/>
      <c r="E449" s="66"/>
      <c r="H449" s="63"/>
      <c r="I449" s="63"/>
      <c r="J449" s="56"/>
      <c r="K449" s="63"/>
      <c r="L449" s="63"/>
      <c r="P449" s="63"/>
      <c r="Q449" s="63"/>
      <c r="W449" s="63"/>
      <c r="X449" s="63"/>
      <c r="Z449" s="63"/>
      <c r="AA449" s="63"/>
      <c r="AC449" s="63"/>
      <c r="AD449" s="63"/>
      <c r="AI449" s="63"/>
      <c r="AJ449" s="63"/>
      <c r="AK449" s="63"/>
      <c r="AO449" s="63"/>
      <c r="AP449" s="63"/>
    </row>
    <row r="450" spans="2:42">
      <c r="B450" s="58"/>
      <c r="C450" s="63"/>
      <c r="D450" s="63"/>
      <c r="E450" s="66"/>
      <c r="H450" s="63"/>
      <c r="I450" s="57"/>
      <c r="J450" s="56"/>
      <c r="K450" s="63"/>
      <c r="L450" s="63"/>
      <c r="P450" s="63"/>
      <c r="Q450" s="63"/>
      <c r="V450" s="63"/>
      <c r="W450" s="58"/>
      <c r="X450" s="63"/>
      <c r="Z450" s="63"/>
      <c r="AA450" s="63"/>
      <c r="AB450" s="63"/>
      <c r="AC450" s="63"/>
      <c r="AD450" s="63"/>
      <c r="AI450" s="63"/>
      <c r="AJ450" s="63"/>
      <c r="AK450" s="63"/>
      <c r="AO450" s="63"/>
      <c r="AP450" s="63"/>
    </row>
    <row r="451" spans="2:42">
      <c r="B451" s="58"/>
      <c r="C451" s="63"/>
      <c r="D451" s="63"/>
      <c r="E451" s="66"/>
      <c r="H451" s="63"/>
      <c r="I451" s="56"/>
      <c r="J451" s="56"/>
      <c r="K451" s="63"/>
      <c r="L451" s="63"/>
      <c r="P451" s="63"/>
      <c r="Q451" s="63"/>
      <c r="V451" s="63"/>
      <c r="W451" s="58"/>
      <c r="X451" s="63"/>
      <c r="Z451" s="63"/>
      <c r="AA451" s="63"/>
      <c r="AB451" s="63"/>
      <c r="AC451" s="63"/>
      <c r="AD451" s="63"/>
      <c r="AI451" s="63"/>
      <c r="AJ451" s="63"/>
      <c r="AK451" s="63"/>
      <c r="AO451" s="63"/>
      <c r="AP451" s="63"/>
    </row>
    <row r="452" spans="2:42">
      <c r="B452" s="58"/>
      <c r="C452" s="63"/>
      <c r="D452" s="63"/>
      <c r="E452" s="66"/>
      <c r="H452" s="63"/>
      <c r="I452" s="56"/>
      <c r="J452" s="56"/>
      <c r="K452" s="63"/>
      <c r="L452" s="63"/>
      <c r="P452" s="63"/>
      <c r="Q452" s="63"/>
      <c r="V452" s="63"/>
      <c r="W452" s="58"/>
      <c r="X452" s="63"/>
      <c r="Z452" s="63"/>
      <c r="AA452" s="63"/>
      <c r="AB452" s="63"/>
      <c r="AC452" s="63"/>
      <c r="AD452" s="63"/>
      <c r="AI452" s="63"/>
      <c r="AJ452" s="63"/>
      <c r="AK452" s="63"/>
      <c r="AO452" s="63"/>
      <c r="AP452" s="63"/>
    </row>
    <row r="453" spans="2:42">
      <c r="B453" s="58"/>
      <c r="C453" s="63"/>
      <c r="D453" s="63"/>
      <c r="E453" s="66"/>
      <c r="H453" s="63"/>
      <c r="I453" s="56"/>
      <c r="J453" s="56"/>
      <c r="K453" s="63"/>
      <c r="L453" s="63"/>
      <c r="P453" s="63"/>
      <c r="Q453" s="63"/>
      <c r="V453" s="63"/>
      <c r="W453" s="58"/>
      <c r="X453" s="63"/>
      <c r="Z453" s="63"/>
      <c r="AA453" s="63"/>
      <c r="AB453" s="63"/>
      <c r="AC453" s="63"/>
      <c r="AD453" s="63"/>
      <c r="AI453" s="63"/>
      <c r="AJ453" s="63"/>
      <c r="AK453" s="63"/>
      <c r="AO453" s="63"/>
      <c r="AP453" s="63"/>
    </row>
    <row r="454" spans="2:42">
      <c r="B454" s="58"/>
      <c r="C454" s="63"/>
      <c r="D454" s="63"/>
      <c r="E454" s="66"/>
      <c r="H454" s="63"/>
      <c r="I454" s="56"/>
      <c r="J454" s="56"/>
      <c r="K454" s="63"/>
      <c r="L454" s="63"/>
      <c r="P454" s="63"/>
      <c r="Q454" s="63"/>
      <c r="V454" s="63"/>
      <c r="W454" s="58"/>
      <c r="X454" s="63"/>
      <c r="Z454" s="63"/>
      <c r="AA454" s="63"/>
      <c r="AB454" s="63"/>
      <c r="AC454" s="63"/>
      <c r="AD454" s="63"/>
      <c r="AI454" s="63"/>
      <c r="AJ454" s="63"/>
      <c r="AK454" s="63"/>
      <c r="AO454" s="63"/>
      <c r="AP454" s="63"/>
    </row>
    <row r="455" spans="2:42">
      <c r="B455" s="58"/>
      <c r="C455" s="63"/>
      <c r="D455" s="63"/>
      <c r="E455" s="66"/>
      <c r="H455" s="63"/>
      <c r="I455" s="56"/>
      <c r="J455" s="56"/>
      <c r="K455" s="63"/>
      <c r="L455" s="63"/>
      <c r="P455" s="63"/>
      <c r="Q455" s="63"/>
      <c r="V455" s="63"/>
      <c r="W455" s="58"/>
      <c r="X455" s="63"/>
      <c r="Z455" s="63"/>
      <c r="AA455" s="63"/>
      <c r="AB455" s="63"/>
      <c r="AC455" s="63"/>
      <c r="AD455" s="63"/>
      <c r="AI455" s="63"/>
      <c r="AJ455" s="63"/>
      <c r="AK455" s="63"/>
      <c r="AO455" s="63"/>
      <c r="AP455" s="63"/>
    </row>
    <row r="456" spans="2:42">
      <c r="B456" s="58"/>
      <c r="C456" s="63"/>
      <c r="D456" s="63"/>
      <c r="E456" s="66"/>
      <c r="H456" s="63"/>
      <c r="I456" s="56"/>
      <c r="J456" s="56"/>
      <c r="K456" s="63"/>
      <c r="L456" s="63"/>
      <c r="P456" s="63"/>
      <c r="Q456" s="63"/>
      <c r="V456" s="63"/>
      <c r="W456" s="58"/>
      <c r="X456" s="63"/>
      <c r="Z456" s="63"/>
      <c r="AA456" s="63"/>
      <c r="AB456" s="63"/>
      <c r="AC456" s="63"/>
      <c r="AD456" s="63"/>
      <c r="AI456" s="63"/>
      <c r="AJ456" s="63"/>
      <c r="AK456" s="63"/>
      <c r="AO456" s="63"/>
      <c r="AP456" s="63"/>
    </row>
    <row r="457" spans="2:42">
      <c r="B457" s="58"/>
      <c r="C457" s="63"/>
      <c r="D457" s="63"/>
      <c r="E457" s="66"/>
      <c r="H457" s="63"/>
      <c r="I457" s="56"/>
      <c r="J457" s="56"/>
      <c r="K457" s="63"/>
      <c r="L457" s="63"/>
      <c r="P457" s="63"/>
      <c r="Q457" s="63"/>
      <c r="V457" s="63"/>
      <c r="W457" s="58"/>
      <c r="X457" s="63"/>
      <c r="Z457" s="63"/>
      <c r="AA457" s="63"/>
      <c r="AB457" s="63"/>
      <c r="AC457" s="63"/>
      <c r="AD457" s="63"/>
      <c r="AI457" s="63"/>
      <c r="AJ457" s="63"/>
      <c r="AK457" s="63"/>
      <c r="AO457" s="63"/>
      <c r="AP457" s="63"/>
    </row>
    <row r="458" spans="2:42">
      <c r="B458" s="58"/>
      <c r="C458" s="63"/>
      <c r="D458" s="63"/>
      <c r="E458" s="66"/>
      <c r="H458" s="63"/>
      <c r="I458" s="56"/>
      <c r="J458" s="56"/>
      <c r="K458" s="63"/>
      <c r="L458" s="63"/>
      <c r="P458" s="63"/>
      <c r="Q458" s="63"/>
      <c r="V458" s="63"/>
      <c r="W458" s="58"/>
      <c r="X458" s="63"/>
      <c r="Z458" s="63"/>
      <c r="AA458" s="63"/>
      <c r="AB458" s="63"/>
      <c r="AC458" s="63"/>
      <c r="AD458" s="63"/>
      <c r="AI458" s="63"/>
      <c r="AJ458" s="63"/>
      <c r="AK458" s="63"/>
      <c r="AO458" s="63"/>
      <c r="AP458" s="63"/>
    </row>
    <row r="459" spans="2:42">
      <c r="B459" s="63"/>
      <c r="C459" s="63"/>
      <c r="D459" s="63"/>
      <c r="E459" s="66"/>
      <c r="F459" s="63"/>
      <c r="G459" s="63"/>
      <c r="H459" s="63"/>
      <c r="I459" s="63"/>
      <c r="J459" s="56"/>
      <c r="K459" s="56"/>
      <c r="L459" s="63"/>
      <c r="M459" s="65"/>
      <c r="N459" s="63"/>
      <c r="O459" s="63"/>
      <c r="P459" s="63"/>
      <c r="Q459" s="63"/>
      <c r="R459" s="63"/>
      <c r="S459" s="63"/>
      <c r="T459" s="63"/>
      <c r="U459" s="63"/>
      <c r="V459" s="63"/>
      <c r="W459" s="63"/>
      <c r="X459" s="63"/>
      <c r="Y459" s="63"/>
      <c r="Z459" s="63"/>
      <c r="AA459" s="63"/>
      <c r="AB459" s="63"/>
      <c r="AC459" s="63"/>
      <c r="AD459" s="63"/>
      <c r="AE459" s="63"/>
      <c r="AF459" s="63"/>
      <c r="AG459" s="63"/>
      <c r="AH459" s="63"/>
      <c r="AI459" s="63"/>
      <c r="AJ459" s="63"/>
      <c r="AK459" s="63"/>
      <c r="AL459" s="63"/>
      <c r="AM459" s="63"/>
      <c r="AN459" s="63"/>
      <c r="AO459" s="63"/>
      <c r="AP459" s="63"/>
    </row>
    <row r="460" spans="2:42">
      <c r="B460" s="63"/>
      <c r="C460" s="63"/>
      <c r="D460" s="63"/>
      <c r="E460" s="66"/>
      <c r="F460" s="63"/>
      <c r="G460" s="63"/>
      <c r="H460" s="63"/>
      <c r="I460" s="63"/>
      <c r="J460" s="56"/>
      <c r="K460" s="56"/>
      <c r="L460" s="63"/>
      <c r="M460" s="65"/>
      <c r="N460" s="63"/>
      <c r="O460" s="63"/>
      <c r="P460" s="63"/>
      <c r="Q460" s="63"/>
      <c r="R460" s="63"/>
      <c r="S460" s="63"/>
      <c r="T460" s="63"/>
      <c r="U460" s="63"/>
      <c r="V460" s="63"/>
      <c r="W460" s="63"/>
      <c r="X460" s="63"/>
      <c r="Y460" s="63"/>
      <c r="Z460" s="63"/>
      <c r="AA460" s="63"/>
      <c r="AB460" s="63"/>
      <c r="AC460" s="63"/>
      <c r="AD460" s="63"/>
      <c r="AE460" s="63"/>
      <c r="AF460" s="63"/>
      <c r="AG460" s="63"/>
      <c r="AH460" s="63"/>
      <c r="AI460" s="63"/>
      <c r="AJ460" s="63"/>
      <c r="AK460" s="63"/>
      <c r="AL460" s="63"/>
      <c r="AM460" s="63"/>
      <c r="AN460" s="63"/>
      <c r="AO460" s="63"/>
      <c r="AP460" s="63"/>
    </row>
    <row r="461" spans="2:42">
      <c r="B461" s="63"/>
      <c r="C461" s="63"/>
      <c r="D461" s="63"/>
      <c r="E461" s="66"/>
      <c r="F461" s="63"/>
      <c r="G461" s="63"/>
      <c r="H461" s="63"/>
      <c r="I461" s="63"/>
      <c r="J461" s="56"/>
      <c r="K461" s="56"/>
      <c r="L461" s="63"/>
      <c r="M461" s="65"/>
      <c r="N461" s="63"/>
      <c r="O461" s="63"/>
      <c r="P461" s="63"/>
      <c r="Q461" s="63"/>
      <c r="R461" s="63"/>
      <c r="S461" s="63"/>
      <c r="T461" s="63"/>
      <c r="U461" s="63"/>
      <c r="V461" s="63"/>
      <c r="W461" s="63"/>
      <c r="X461" s="63"/>
      <c r="Y461" s="63"/>
      <c r="Z461" s="63"/>
      <c r="AA461" s="63"/>
      <c r="AB461" s="63"/>
      <c r="AC461" s="63"/>
      <c r="AD461" s="63"/>
      <c r="AE461" s="63"/>
      <c r="AF461" s="63"/>
      <c r="AG461" s="63"/>
      <c r="AH461" s="63"/>
      <c r="AI461" s="63"/>
      <c r="AJ461" s="63"/>
      <c r="AK461" s="63"/>
      <c r="AL461" s="63"/>
      <c r="AM461" s="63"/>
      <c r="AN461" s="63"/>
      <c r="AO461" s="63"/>
      <c r="AP461" s="63"/>
    </row>
    <row r="462" spans="2:42">
      <c r="B462" s="63"/>
      <c r="C462" s="63"/>
      <c r="D462" s="63"/>
      <c r="E462" s="66"/>
      <c r="F462" s="63"/>
      <c r="G462" s="63"/>
      <c r="H462" s="63"/>
      <c r="I462" s="63"/>
      <c r="J462" s="56"/>
      <c r="K462" s="56"/>
      <c r="L462" s="63"/>
      <c r="M462" s="65"/>
      <c r="N462" s="63"/>
      <c r="O462" s="63"/>
      <c r="P462" s="63"/>
      <c r="Q462" s="63"/>
      <c r="R462" s="63"/>
      <c r="S462" s="63"/>
      <c r="T462" s="63"/>
      <c r="U462" s="63"/>
      <c r="V462" s="63"/>
      <c r="W462" s="63"/>
      <c r="X462" s="63"/>
      <c r="Y462" s="63"/>
      <c r="Z462" s="63"/>
      <c r="AA462" s="63"/>
      <c r="AB462" s="63"/>
      <c r="AC462" s="63"/>
      <c r="AD462" s="63"/>
      <c r="AE462" s="63"/>
      <c r="AF462" s="63"/>
      <c r="AG462" s="63"/>
      <c r="AH462" s="63"/>
      <c r="AI462" s="63"/>
      <c r="AJ462" s="63"/>
      <c r="AK462" s="63"/>
      <c r="AL462" s="63"/>
      <c r="AM462" s="63"/>
      <c r="AN462" s="63"/>
      <c r="AO462" s="63"/>
      <c r="AP462" s="63"/>
    </row>
    <row r="463" spans="2:42">
      <c r="B463" s="63"/>
      <c r="C463" s="63"/>
      <c r="D463" s="63"/>
      <c r="E463" s="66"/>
      <c r="F463" s="63"/>
      <c r="G463" s="63"/>
      <c r="H463" s="63"/>
      <c r="I463" s="63"/>
      <c r="J463" s="56"/>
      <c r="K463" s="56"/>
      <c r="L463" s="63"/>
      <c r="M463" s="65"/>
      <c r="N463" s="63"/>
      <c r="O463" s="63"/>
      <c r="P463" s="63"/>
      <c r="Q463" s="63"/>
      <c r="R463" s="63"/>
      <c r="S463" s="63"/>
      <c r="T463" s="63"/>
      <c r="U463" s="63"/>
      <c r="V463" s="63"/>
      <c r="W463" s="63"/>
      <c r="X463" s="63"/>
      <c r="Y463" s="63"/>
      <c r="Z463" s="63"/>
      <c r="AA463" s="63"/>
      <c r="AB463" s="63"/>
      <c r="AC463" s="63"/>
      <c r="AD463" s="63"/>
      <c r="AE463" s="63"/>
      <c r="AF463" s="63"/>
      <c r="AG463" s="63"/>
      <c r="AH463" s="63"/>
      <c r="AI463" s="63"/>
      <c r="AJ463" s="63"/>
      <c r="AK463" s="63"/>
      <c r="AL463" s="63"/>
      <c r="AM463" s="63"/>
      <c r="AN463" s="63"/>
      <c r="AO463" s="63"/>
      <c r="AP463" s="63"/>
    </row>
    <row r="464" spans="2:42">
      <c r="B464" s="63"/>
      <c r="C464" s="63"/>
      <c r="D464" s="63"/>
      <c r="E464" s="66"/>
      <c r="F464" s="63"/>
      <c r="G464" s="63"/>
      <c r="H464" s="63"/>
      <c r="I464" s="63"/>
      <c r="J464" s="56"/>
      <c r="K464" s="56"/>
      <c r="L464" s="63"/>
      <c r="M464" s="65"/>
      <c r="N464" s="63"/>
      <c r="O464" s="63"/>
      <c r="P464" s="63"/>
      <c r="Q464" s="63"/>
      <c r="R464" s="63"/>
      <c r="S464" s="63"/>
      <c r="T464" s="63"/>
      <c r="U464" s="63"/>
      <c r="V464" s="63"/>
      <c r="W464" s="63"/>
      <c r="X464" s="63"/>
      <c r="Y464" s="63"/>
      <c r="Z464" s="63"/>
      <c r="AA464" s="63"/>
      <c r="AB464" s="63"/>
      <c r="AC464" s="63"/>
      <c r="AD464" s="63"/>
      <c r="AE464" s="63"/>
      <c r="AF464" s="63"/>
      <c r="AG464" s="63"/>
      <c r="AH464" s="63"/>
      <c r="AI464" s="63"/>
      <c r="AJ464" s="63"/>
      <c r="AK464" s="63"/>
      <c r="AL464" s="63"/>
      <c r="AM464" s="63"/>
      <c r="AN464" s="63"/>
      <c r="AO464" s="63"/>
      <c r="AP464" s="63"/>
    </row>
    <row r="465" spans="2:42">
      <c r="B465" s="63"/>
      <c r="C465" s="63"/>
      <c r="D465" s="63"/>
      <c r="E465" s="66"/>
      <c r="F465" s="63"/>
      <c r="G465" s="63"/>
      <c r="H465" s="63"/>
      <c r="I465" s="63"/>
      <c r="J465" s="56"/>
      <c r="K465" s="56"/>
      <c r="L465" s="63"/>
      <c r="M465" s="65"/>
      <c r="N465" s="63"/>
      <c r="O465" s="63"/>
      <c r="P465" s="63"/>
      <c r="Q465" s="63"/>
      <c r="R465" s="63"/>
      <c r="S465" s="63"/>
      <c r="T465" s="63"/>
      <c r="U465" s="63"/>
      <c r="V465" s="63"/>
      <c r="W465" s="63"/>
      <c r="X465" s="63"/>
      <c r="Y465" s="63"/>
      <c r="Z465" s="63"/>
      <c r="AA465" s="63"/>
      <c r="AB465" s="63"/>
      <c r="AC465" s="63"/>
      <c r="AD465" s="63"/>
      <c r="AE465" s="63"/>
      <c r="AF465" s="63"/>
      <c r="AG465" s="63"/>
      <c r="AH465" s="63"/>
      <c r="AI465" s="63"/>
      <c r="AJ465" s="63"/>
      <c r="AK465" s="63"/>
      <c r="AL465" s="63"/>
      <c r="AM465" s="63"/>
      <c r="AN465" s="63"/>
      <c r="AO465" s="63"/>
      <c r="AP465" s="63"/>
    </row>
    <row r="466" spans="2:42">
      <c r="B466" s="63"/>
      <c r="C466" s="63"/>
      <c r="D466" s="63"/>
      <c r="E466" s="66"/>
      <c r="H466" s="63"/>
      <c r="I466" s="56"/>
      <c r="J466" s="56"/>
      <c r="K466" s="63"/>
      <c r="L466" s="63"/>
      <c r="M466" s="75"/>
      <c r="O466" s="63"/>
      <c r="P466" s="63"/>
      <c r="Q466" s="63"/>
      <c r="W466" s="63"/>
      <c r="X466" s="63"/>
      <c r="Z466" s="63"/>
      <c r="AA466" s="63"/>
      <c r="AC466" s="63"/>
      <c r="AD466" s="63"/>
      <c r="AI466" s="63"/>
      <c r="AJ466" s="63"/>
      <c r="AK466" s="63"/>
      <c r="AO466" s="63"/>
      <c r="AP466" s="63"/>
    </row>
    <row r="467" spans="2:42">
      <c r="B467" s="63"/>
      <c r="C467" s="63"/>
      <c r="D467" s="63"/>
      <c r="E467" s="66"/>
      <c r="H467" s="63"/>
      <c r="I467" s="56"/>
      <c r="J467" s="56"/>
      <c r="K467" s="63"/>
      <c r="L467" s="63"/>
      <c r="M467" s="75"/>
      <c r="O467" s="63"/>
      <c r="P467" s="63"/>
      <c r="Q467" s="63"/>
      <c r="W467" s="63"/>
      <c r="X467" s="63"/>
      <c r="Z467" s="63"/>
      <c r="AA467" s="63"/>
      <c r="AC467" s="63"/>
      <c r="AD467" s="63"/>
      <c r="AI467" s="63"/>
      <c r="AJ467" s="63"/>
      <c r="AK467" s="63"/>
      <c r="AO467" s="63"/>
      <c r="AP467" s="63"/>
    </row>
    <row r="468" spans="2:42">
      <c r="B468" s="63"/>
      <c r="C468" s="63"/>
      <c r="D468" s="63"/>
      <c r="E468" s="66"/>
      <c r="H468" s="63"/>
      <c r="I468" s="56"/>
      <c r="J468" s="56"/>
      <c r="K468" s="63"/>
      <c r="L468" s="63"/>
      <c r="M468" s="76"/>
      <c r="O468" s="63"/>
      <c r="P468" s="63"/>
      <c r="Q468" s="63"/>
      <c r="W468" s="63"/>
      <c r="X468" s="63"/>
      <c r="Z468" s="63"/>
      <c r="AA468" s="63"/>
      <c r="AC468" s="63"/>
      <c r="AD468" s="63"/>
      <c r="AI468" s="58"/>
      <c r="AJ468" s="63"/>
      <c r="AK468" s="63"/>
      <c r="AO468" s="63"/>
      <c r="AP468" s="63"/>
    </row>
    <row r="469" spans="2:42">
      <c r="B469" s="63"/>
      <c r="C469" s="63"/>
      <c r="D469" s="63"/>
      <c r="E469" s="66"/>
      <c r="H469" s="63"/>
      <c r="I469" s="56"/>
      <c r="J469" s="56"/>
      <c r="K469" s="63"/>
      <c r="L469" s="63"/>
      <c r="M469" s="75"/>
      <c r="O469" s="63"/>
      <c r="P469" s="63"/>
      <c r="Q469" s="63"/>
      <c r="W469" s="63"/>
      <c r="X469" s="63"/>
      <c r="Z469" s="63"/>
      <c r="AA469" s="63"/>
      <c r="AC469" s="63"/>
      <c r="AD469" s="63"/>
      <c r="AI469" s="58"/>
      <c r="AJ469" s="63"/>
      <c r="AK469" s="63"/>
      <c r="AO469" s="63"/>
      <c r="AP469" s="63"/>
    </row>
    <row r="470" spans="2:42">
      <c r="B470" s="63"/>
      <c r="C470" s="63"/>
      <c r="D470" s="63"/>
      <c r="E470" s="66"/>
      <c r="H470" s="63"/>
      <c r="I470" s="56"/>
      <c r="J470" s="56"/>
      <c r="K470" s="63"/>
      <c r="L470" s="63"/>
      <c r="M470" s="75"/>
      <c r="O470" s="63"/>
      <c r="P470" s="63"/>
      <c r="Q470" s="63"/>
      <c r="W470" s="63"/>
      <c r="X470" s="63"/>
      <c r="Z470" s="63"/>
      <c r="AA470" s="63"/>
      <c r="AC470" s="63"/>
      <c r="AD470" s="63"/>
      <c r="AI470" s="63"/>
      <c r="AJ470" s="63"/>
      <c r="AK470" s="63"/>
      <c r="AO470" s="63"/>
      <c r="AP470" s="63"/>
    </row>
    <row r="471" spans="2:42">
      <c r="B471" s="63"/>
      <c r="C471" s="63"/>
      <c r="D471" s="63"/>
      <c r="E471" s="66"/>
      <c r="H471" s="63"/>
      <c r="I471" s="63"/>
      <c r="J471" s="56"/>
      <c r="K471" s="63"/>
      <c r="L471" s="63"/>
      <c r="M471" s="75"/>
      <c r="N471" s="58"/>
      <c r="O471" s="77"/>
      <c r="P471" s="63"/>
      <c r="Q471" s="63"/>
      <c r="W471" s="63"/>
      <c r="X471" s="63"/>
      <c r="Z471" s="63"/>
      <c r="AA471" s="63"/>
      <c r="AB471" s="63"/>
      <c r="AC471" s="63"/>
      <c r="AD471" s="63"/>
      <c r="AJ471" s="63"/>
      <c r="AK471" s="63"/>
      <c r="AO471" s="63"/>
      <c r="AP471" s="63"/>
    </row>
    <row r="472" spans="2:42">
      <c r="B472" s="63"/>
      <c r="C472" s="63"/>
      <c r="D472" s="63"/>
      <c r="E472" s="66"/>
      <c r="H472" s="63"/>
      <c r="I472" s="63"/>
      <c r="J472" s="56"/>
      <c r="K472" s="63"/>
      <c r="L472" s="63"/>
      <c r="M472" s="75"/>
      <c r="N472" s="58"/>
      <c r="O472" s="77"/>
      <c r="P472" s="63"/>
      <c r="Q472" s="63"/>
      <c r="W472" s="63"/>
      <c r="X472" s="63"/>
      <c r="Z472" s="63"/>
      <c r="AA472" s="63"/>
      <c r="AB472" s="63"/>
      <c r="AC472" s="63"/>
      <c r="AD472" s="63"/>
      <c r="AJ472" s="63"/>
      <c r="AK472" s="63"/>
      <c r="AO472" s="63"/>
      <c r="AP472" s="63"/>
    </row>
    <row r="473" spans="2:42">
      <c r="B473" s="63"/>
      <c r="C473" s="63"/>
      <c r="D473" s="63"/>
      <c r="E473" s="66"/>
      <c r="H473" s="63"/>
      <c r="I473" s="63"/>
      <c r="J473" s="56"/>
      <c r="K473" s="63"/>
      <c r="L473" s="63"/>
      <c r="M473" s="75"/>
      <c r="N473" s="58"/>
      <c r="O473" s="77"/>
      <c r="P473" s="63"/>
      <c r="Q473" s="63"/>
      <c r="W473" s="63"/>
      <c r="X473" s="63"/>
      <c r="Z473" s="63"/>
      <c r="AA473" s="63"/>
      <c r="AB473" s="63"/>
      <c r="AC473" s="63"/>
      <c r="AD473" s="63"/>
      <c r="AJ473" s="63"/>
      <c r="AK473" s="63"/>
      <c r="AO473" s="63"/>
      <c r="AP473" s="63"/>
    </row>
    <row r="474" spans="2:42">
      <c r="B474" s="63"/>
      <c r="C474" s="63"/>
      <c r="D474" s="63"/>
      <c r="E474" s="66"/>
      <c r="H474" s="63"/>
      <c r="I474" s="63"/>
      <c r="J474" s="56"/>
      <c r="K474" s="63"/>
      <c r="L474" s="63"/>
      <c r="M474" s="75"/>
      <c r="N474" s="58"/>
      <c r="O474" s="77"/>
      <c r="P474" s="63"/>
      <c r="Q474" s="63"/>
      <c r="W474" s="63"/>
      <c r="X474" s="63"/>
      <c r="Z474" s="63"/>
      <c r="AA474" s="63"/>
      <c r="AB474" s="63"/>
      <c r="AC474" s="63"/>
      <c r="AD474" s="63"/>
      <c r="AJ474" s="63"/>
      <c r="AK474" s="63"/>
      <c r="AO474" s="63"/>
      <c r="AP474" s="63"/>
    </row>
    <row r="475" spans="2:42">
      <c r="B475" s="63"/>
      <c r="C475" s="63"/>
      <c r="D475" s="63"/>
      <c r="E475" s="66"/>
      <c r="H475" s="63"/>
      <c r="I475" s="63"/>
      <c r="J475" s="56"/>
      <c r="K475" s="63"/>
      <c r="L475" s="63"/>
      <c r="M475" s="75"/>
      <c r="N475" s="58"/>
      <c r="O475" s="77"/>
      <c r="P475" s="63"/>
      <c r="Q475" s="63"/>
      <c r="W475" s="63"/>
      <c r="X475" s="63"/>
      <c r="Z475" s="63"/>
      <c r="AA475" s="63"/>
      <c r="AB475" s="63"/>
      <c r="AC475" s="63"/>
      <c r="AD475" s="63"/>
      <c r="AJ475" s="63"/>
      <c r="AK475" s="63"/>
      <c r="AO475" s="63"/>
      <c r="AP475" s="63"/>
    </row>
    <row r="476" spans="2:42">
      <c r="B476" s="63"/>
      <c r="C476" s="63"/>
      <c r="D476" s="63"/>
      <c r="E476" s="66"/>
      <c r="H476" s="63"/>
      <c r="I476" s="63"/>
      <c r="J476" s="56"/>
      <c r="K476" s="63"/>
      <c r="L476" s="63"/>
      <c r="M476" s="75"/>
      <c r="N476" s="58"/>
      <c r="O476" s="77"/>
      <c r="P476" s="63"/>
      <c r="Q476" s="63"/>
      <c r="W476" s="63"/>
      <c r="X476" s="63"/>
      <c r="Z476" s="63"/>
      <c r="AA476" s="63"/>
      <c r="AB476" s="63"/>
      <c r="AC476" s="63"/>
      <c r="AD476" s="63"/>
      <c r="AJ476" s="63"/>
      <c r="AK476" s="63"/>
      <c r="AO476" s="63"/>
      <c r="AP476" s="63"/>
    </row>
    <row r="477" spans="2:42">
      <c r="B477" s="63"/>
      <c r="C477" s="63"/>
      <c r="D477" s="63"/>
      <c r="E477" s="66"/>
      <c r="H477" s="63"/>
      <c r="I477" s="63"/>
      <c r="J477" s="56"/>
      <c r="K477" s="63"/>
      <c r="L477" s="63"/>
      <c r="M477" s="75"/>
      <c r="N477" s="58"/>
      <c r="O477" s="77"/>
      <c r="P477" s="63"/>
      <c r="Q477" s="63"/>
      <c r="W477" s="63"/>
      <c r="X477" s="63"/>
      <c r="Z477" s="63"/>
      <c r="AA477" s="63"/>
      <c r="AB477" s="63"/>
      <c r="AC477" s="63"/>
      <c r="AD477" s="63"/>
      <c r="AJ477" s="63"/>
      <c r="AK477" s="63"/>
      <c r="AO477" s="63"/>
      <c r="AP477" s="63"/>
    </row>
    <row r="478" spans="2:42">
      <c r="B478" s="63"/>
      <c r="C478" s="63"/>
      <c r="D478" s="63"/>
      <c r="E478" s="66"/>
      <c r="H478" s="63"/>
      <c r="I478" s="63"/>
      <c r="J478" s="56"/>
      <c r="K478" s="63"/>
      <c r="L478" s="63"/>
      <c r="M478" s="75"/>
      <c r="N478" s="58"/>
      <c r="O478" s="77"/>
      <c r="P478" s="63"/>
      <c r="Q478" s="63"/>
      <c r="W478" s="63"/>
      <c r="X478" s="63"/>
      <c r="Z478" s="63"/>
      <c r="AA478" s="63"/>
      <c r="AB478" s="63"/>
      <c r="AC478" s="63"/>
      <c r="AD478" s="63"/>
      <c r="AJ478" s="63"/>
      <c r="AK478" s="63"/>
      <c r="AO478" s="63"/>
      <c r="AP478" s="63"/>
    </row>
    <row r="479" spans="2:42">
      <c r="B479" s="63"/>
      <c r="C479" s="63"/>
      <c r="D479" s="63"/>
      <c r="E479" s="66"/>
      <c r="H479" s="63"/>
      <c r="I479" s="63"/>
      <c r="J479" s="56"/>
      <c r="K479" s="63"/>
      <c r="L479" s="63"/>
      <c r="M479" s="75"/>
      <c r="N479" s="58"/>
      <c r="O479" s="77"/>
      <c r="P479" s="63"/>
      <c r="Q479" s="63"/>
      <c r="W479" s="63"/>
      <c r="X479" s="63"/>
      <c r="Z479" s="63"/>
      <c r="AA479" s="63"/>
      <c r="AB479" s="63"/>
      <c r="AC479" s="63"/>
      <c r="AD479" s="63"/>
      <c r="AJ479" s="63"/>
      <c r="AK479" s="63"/>
      <c r="AO479" s="63"/>
      <c r="AP479" s="63"/>
    </row>
    <row r="480" spans="2:42">
      <c r="B480" s="63"/>
      <c r="C480" s="63"/>
      <c r="D480" s="63"/>
      <c r="E480" s="66"/>
      <c r="H480" s="63"/>
      <c r="I480" s="63"/>
      <c r="J480" s="56"/>
      <c r="K480" s="63"/>
      <c r="L480" s="63"/>
      <c r="M480" s="75"/>
      <c r="N480" s="58"/>
      <c r="O480" s="77"/>
      <c r="P480" s="63"/>
      <c r="Q480" s="63"/>
      <c r="W480" s="63"/>
      <c r="X480" s="63"/>
      <c r="Z480" s="63"/>
      <c r="AA480" s="63"/>
      <c r="AB480" s="63"/>
      <c r="AC480" s="63"/>
      <c r="AD480" s="63"/>
      <c r="AJ480" s="63"/>
      <c r="AK480" s="63"/>
      <c r="AO480" s="63"/>
      <c r="AP480" s="63"/>
    </row>
    <row r="481" spans="2:42">
      <c r="B481" s="63"/>
      <c r="C481" s="63"/>
      <c r="D481" s="63"/>
      <c r="E481" s="66"/>
      <c r="H481" s="63"/>
      <c r="I481" s="63"/>
      <c r="J481" s="56"/>
      <c r="K481" s="63"/>
      <c r="L481" s="63"/>
      <c r="M481" s="75"/>
      <c r="N481" s="58"/>
      <c r="O481" s="77"/>
      <c r="P481" s="63"/>
      <c r="Q481" s="63"/>
      <c r="W481" s="63"/>
      <c r="X481" s="63"/>
      <c r="Z481" s="63"/>
      <c r="AA481" s="63"/>
      <c r="AB481" s="63"/>
      <c r="AC481" s="63"/>
      <c r="AD481" s="63"/>
      <c r="AJ481" s="63"/>
      <c r="AK481" s="63"/>
      <c r="AO481" s="63"/>
      <c r="AP481" s="63"/>
    </row>
    <row r="482" spans="2:42">
      <c r="B482" s="63"/>
      <c r="C482" s="63"/>
      <c r="D482" s="63"/>
      <c r="E482" s="66"/>
      <c r="H482" s="63"/>
      <c r="I482" s="63"/>
      <c r="J482" s="56"/>
      <c r="K482" s="63"/>
      <c r="L482" s="63"/>
      <c r="M482" s="75"/>
      <c r="N482" s="58"/>
      <c r="O482" s="77"/>
      <c r="P482" s="63"/>
      <c r="Q482" s="63"/>
      <c r="W482" s="63"/>
      <c r="X482" s="63"/>
      <c r="Z482" s="63"/>
      <c r="AA482" s="63"/>
      <c r="AB482" s="63"/>
      <c r="AC482" s="63"/>
      <c r="AD482" s="63"/>
      <c r="AJ482" s="63"/>
      <c r="AK482" s="63"/>
      <c r="AO482" s="63"/>
      <c r="AP482" s="63"/>
    </row>
    <row r="483" spans="2:42">
      <c r="B483" s="63"/>
      <c r="C483" s="63"/>
      <c r="D483" s="63"/>
      <c r="E483" s="66"/>
      <c r="H483" s="63"/>
      <c r="I483" s="63"/>
      <c r="J483" s="56"/>
      <c r="K483" s="63"/>
      <c r="L483" s="63"/>
      <c r="M483" s="75"/>
      <c r="N483" s="58"/>
      <c r="O483" s="77"/>
      <c r="P483" s="63"/>
      <c r="Q483" s="63"/>
      <c r="W483" s="63"/>
      <c r="X483" s="63"/>
      <c r="Z483" s="63"/>
      <c r="AA483" s="63"/>
      <c r="AB483" s="63"/>
      <c r="AC483" s="63"/>
      <c r="AD483" s="63"/>
      <c r="AJ483" s="63"/>
      <c r="AK483" s="63"/>
      <c r="AO483" s="63"/>
      <c r="AP483" s="63"/>
    </row>
    <row r="484" spans="2:42">
      <c r="B484" s="63"/>
      <c r="C484" s="63"/>
      <c r="D484" s="63"/>
      <c r="E484" s="66"/>
      <c r="H484" s="63"/>
      <c r="I484" s="63"/>
      <c r="J484" s="56"/>
      <c r="K484" s="63"/>
      <c r="L484" s="63"/>
      <c r="M484" s="75"/>
      <c r="N484" s="58"/>
      <c r="O484" s="77"/>
      <c r="P484" s="63"/>
      <c r="Q484" s="63"/>
      <c r="W484" s="63"/>
      <c r="X484" s="63"/>
      <c r="Z484" s="63"/>
      <c r="AA484" s="63"/>
      <c r="AB484" s="63"/>
      <c r="AC484" s="63"/>
      <c r="AD484" s="63"/>
      <c r="AJ484" s="63"/>
      <c r="AK484" s="63"/>
      <c r="AO484" s="63"/>
      <c r="AP484" s="63"/>
    </row>
    <row r="485" spans="2:42">
      <c r="B485" s="63"/>
      <c r="C485" s="63"/>
      <c r="D485" s="63"/>
      <c r="E485" s="66"/>
      <c r="H485" s="63"/>
      <c r="I485" s="63"/>
      <c r="J485" s="56"/>
      <c r="K485" s="63"/>
      <c r="L485" s="63"/>
      <c r="M485" s="75"/>
      <c r="N485" s="58"/>
      <c r="O485" s="77"/>
      <c r="P485" s="63"/>
      <c r="Q485" s="63"/>
      <c r="W485" s="63"/>
      <c r="X485" s="63"/>
      <c r="Z485" s="63"/>
      <c r="AA485" s="63"/>
      <c r="AB485" s="63"/>
      <c r="AC485" s="63"/>
      <c r="AD485" s="63"/>
      <c r="AJ485" s="63"/>
      <c r="AK485" s="63"/>
      <c r="AO485" s="63"/>
      <c r="AP485" s="63"/>
    </row>
    <row r="486" spans="2:42">
      <c r="B486" s="63"/>
      <c r="C486" s="63"/>
      <c r="D486" s="63"/>
      <c r="E486" s="66"/>
      <c r="H486" s="63"/>
      <c r="I486" s="63"/>
      <c r="J486" s="56"/>
      <c r="K486" s="63"/>
      <c r="L486" s="63"/>
      <c r="M486" s="75"/>
      <c r="N486" s="58"/>
      <c r="O486" s="77"/>
      <c r="P486" s="63"/>
      <c r="Q486" s="63"/>
      <c r="W486" s="63"/>
      <c r="X486" s="63"/>
      <c r="Z486" s="63"/>
      <c r="AA486" s="63"/>
      <c r="AB486" s="63"/>
      <c r="AC486" s="63"/>
      <c r="AD486" s="63"/>
      <c r="AJ486" s="63"/>
      <c r="AK486" s="63"/>
      <c r="AO486" s="63"/>
      <c r="AP486" s="63"/>
    </row>
    <row r="487" spans="2:42">
      <c r="B487" s="63"/>
      <c r="C487" s="63"/>
      <c r="D487" s="63"/>
      <c r="E487" s="66"/>
      <c r="H487" s="63"/>
      <c r="I487" s="63"/>
      <c r="J487" s="56"/>
      <c r="K487" s="63"/>
      <c r="L487" s="63"/>
      <c r="M487" s="75"/>
      <c r="N487" s="58"/>
      <c r="O487" s="77"/>
      <c r="P487" s="63"/>
      <c r="Q487" s="63"/>
      <c r="W487" s="63"/>
      <c r="X487" s="63"/>
      <c r="Z487" s="63"/>
      <c r="AA487" s="63"/>
      <c r="AB487" s="63"/>
      <c r="AC487" s="63"/>
      <c r="AD487" s="63"/>
      <c r="AJ487" s="63"/>
      <c r="AK487" s="63"/>
      <c r="AO487" s="63"/>
      <c r="AP487" s="63"/>
    </row>
    <row r="488" spans="2:42">
      <c r="B488" s="63"/>
      <c r="C488" s="63"/>
      <c r="D488" s="63"/>
      <c r="E488" s="66"/>
      <c r="H488" s="63"/>
      <c r="I488" s="63"/>
      <c r="J488" s="56"/>
      <c r="K488" s="63"/>
      <c r="L488" s="63"/>
      <c r="M488" s="75"/>
      <c r="N488" s="58"/>
      <c r="O488" s="77"/>
      <c r="P488" s="63"/>
      <c r="Q488" s="63"/>
      <c r="W488" s="63"/>
      <c r="X488" s="63"/>
      <c r="Z488" s="63"/>
      <c r="AA488" s="63"/>
      <c r="AB488" s="63"/>
      <c r="AC488" s="63"/>
      <c r="AD488" s="63"/>
      <c r="AJ488" s="63"/>
      <c r="AK488" s="63"/>
      <c r="AO488" s="63"/>
      <c r="AP488" s="63"/>
    </row>
    <row r="489" spans="2:42">
      <c r="B489" s="63"/>
      <c r="C489" s="63"/>
      <c r="D489" s="63"/>
      <c r="E489" s="66"/>
      <c r="H489" s="63"/>
      <c r="I489" s="63"/>
      <c r="J489" s="56"/>
      <c r="K489" s="63"/>
      <c r="L489" s="63"/>
      <c r="M489" s="75"/>
      <c r="N489" s="58"/>
      <c r="O489" s="77"/>
      <c r="P489" s="63"/>
      <c r="Q489" s="63"/>
      <c r="W489" s="63"/>
      <c r="X489" s="63"/>
      <c r="Z489" s="63"/>
      <c r="AA489" s="63"/>
      <c r="AB489" s="63"/>
      <c r="AC489" s="63"/>
      <c r="AD489" s="63"/>
      <c r="AJ489" s="63"/>
      <c r="AK489" s="63"/>
      <c r="AO489" s="63"/>
      <c r="AP489" s="63"/>
    </row>
    <row r="490" spans="2:42">
      <c r="B490" s="63"/>
      <c r="C490" s="63"/>
      <c r="D490" s="63"/>
      <c r="E490" s="66"/>
      <c r="H490" s="63"/>
      <c r="I490" s="63"/>
      <c r="J490" s="56"/>
      <c r="K490" s="63"/>
      <c r="L490" s="63"/>
      <c r="M490" s="75"/>
      <c r="N490" s="58"/>
      <c r="O490" s="77"/>
      <c r="P490" s="63"/>
      <c r="Q490" s="63"/>
      <c r="W490" s="63"/>
      <c r="X490" s="63"/>
      <c r="Z490" s="63"/>
      <c r="AA490" s="63"/>
      <c r="AB490" s="63"/>
      <c r="AC490" s="63"/>
      <c r="AD490" s="63"/>
      <c r="AJ490" s="63"/>
      <c r="AK490" s="63"/>
      <c r="AO490" s="63"/>
      <c r="AP490" s="63"/>
    </row>
    <row r="491" spans="2:42">
      <c r="B491" s="63"/>
      <c r="C491" s="63"/>
      <c r="D491" s="63"/>
      <c r="E491" s="66"/>
      <c r="H491" s="63"/>
      <c r="I491" s="63"/>
      <c r="J491" s="56"/>
      <c r="K491" s="63"/>
      <c r="L491" s="63"/>
      <c r="M491" s="76"/>
      <c r="N491" s="58"/>
      <c r="O491" s="77"/>
      <c r="P491" s="63"/>
      <c r="Q491" s="63"/>
      <c r="W491" s="63"/>
      <c r="X491" s="63"/>
      <c r="Z491" s="63"/>
      <c r="AA491" s="63"/>
      <c r="AB491" s="63"/>
      <c r="AC491" s="63"/>
      <c r="AD491" s="63"/>
      <c r="AJ491" s="63"/>
      <c r="AK491" s="63"/>
      <c r="AO491" s="63"/>
      <c r="AP491" s="63"/>
    </row>
    <row r="492" spans="2:42">
      <c r="B492" s="63"/>
      <c r="C492" s="63"/>
      <c r="D492" s="63"/>
      <c r="E492" s="66"/>
      <c r="H492" s="63"/>
      <c r="I492" s="63"/>
      <c r="J492" s="56"/>
      <c r="K492" s="63"/>
      <c r="L492" s="63"/>
      <c r="M492" s="76"/>
      <c r="N492" s="58"/>
      <c r="O492" s="77"/>
      <c r="P492" s="63"/>
      <c r="Q492" s="63"/>
      <c r="W492" s="63"/>
      <c r="X492" s="63"/>
      <c r="Z492" s="63"/>
      <c r="AA492" s="63"/>
      <c r="AB492" s="63"/>
      <c r="AC492" s="63"/>
      <c r="AD492" s="63"/>
      <c r="AJ492" s="63"/>
      <c r="AK492" s="63"/>
      <c r="AO492" s="63"/>
      <c r="AP492" s="63"/>
    </row>
    <row r="493" spans="2:42">
      <c r="B493" s="63"/>
      <c r="C493" s="63"/>
      <c r="D493" s="63"/>
      <c r="E493" s="66"/>
      <c r="H493" s="63"/>
      <c r="I493" s="63"/>
      <c r="J493" s="56"/>
      <c r="K493" s="63"/>
      <c r="L493" s="63"/>
      <c r="M493" s="76"/>
      <c r="N493" s="58"/>
      <c r="O493" s="77"/>
      <c r="P493" s="63"/>
      <c r="Q493" s="63"/>
      <c r="W493" s="63"/>
      <c r="X493" s="63"/>
      <c r="Z493" s="63"/>
      <c r="AA493" s="63"/>
      <c r="AB493" s="63"/>
      <c r="AC493" s="63"/>
      <c r="AD493" s="63"/>
      <c r="AJ493" s="63"/>
      <c r="AK493" s="63"/>
      <c r="AO493" s="63"/>
      <c r="AP493" s="63"/>
    </row>
    <row r="494" spans="2:42">
      <c r="B494" s="63"/>
      <c r="C494" s="63"/>
      <c r="D494" s="63"/>
      <c r="E494" s="66"/>
      <c r="H494" s="63"/>
      <c r="I494" s="63"/>
      <c r="J494" s="56"/>
      <c r="K494" s="63"/>
      <c r="L494" s="63"/>
      <c r="M494" s="76"/>
      <c r="N494" s="58"/>
      <c r="O494" s="77"/>
      <c r="P494" s="63"/>
      <c r="Q494" s="63"/>
      <c r="W494" s="63"/>
      <c r="X494" s="63"/>
      <c r="Z494" s="63"/>
      <c r="AA494" s="63"/>
      <c r="AB494" s="63"/>
      <c r="AC494" s="63"/>
      <c r="AD494" s="63"/>
      <c r="AJ494" s="63"/>
      <c r="AK494" s="63"/>
      <c r="AO494" s="63"/>
      <c r="AP494" s="63"/>
    </row>
    <row r="495" spans="2:42">
      <c r="B495" s="63"/>
      <c r="C495" s="63"/>
      <c r="D495" s="63"/>
      <c r="E495" s="66"/>
      <c r="H495" s="63"/>
      <c r="I495" s="63"/>
      <c r="J495" s="56"/>
      <c r="K495" s="63"/>
      <c r="L495" s="63"/>
      <c r="M495" s="76"/>
      <c r="N495" s="58"/>
      <c r="O495" s="77"/>
      <c r="P495" s="63"/>
      <c r="Q495" s="63"/>
      <c r="W495" s="63"/>
      <c r="X495" s="63"/>
      <c r="Z495" s="63"/>
      <c r="AA495" s="63"/>
      <c r="AB495" s="63"/>
      <c r="AC495" s="63"/>
      <c r="AD495" s="63"/>
      <c r="AJ495" s="63"/>
      <c r="AK495" s="63"/>
      <c r="AO495" s="63"/>
      <c r="AP495" s="63"/>
    </row>
    <row r="496" spans="2:42">
      <c r="B496" s="63"/>
      <c r="C496" s="63"/>
      <c r="D496" s="63"/>
      <c r="E496" s="66"/>
      <c r="H496" s="63"/>
      <c r="I496" s="63"/>
      <c r="J496" s="56"/>
      <c r="K496" s="63"/>
      <c r="L496" s="63"/>
      <c r="M496" s="76"/>
      <c r="N496" s="58"/>
      <c r="O496" s="77"/>
      <c r="P496" s="63"/>
      <c r="Q496" s="63"/>
      <c r="W496" s="63"/>
      <c r="X496" s="63"/>
      <c r="Z496" s="63"/>
      <c r="AA496" s="63"/>
      <c r="AB496" s="63"/>
      <c r="AC496" s="63"/>
      <c r="AD496" s="63"/>
      <c r="AJ496" s="63"/>
      <c r="AK496" s="63"/>
      <c r="AO496" s="63"/>
      <c r="AP496" s="63"/>
    </row>
    <row r="497" spans="2:42">
      <c r="B497" s="63"/>
      <c r="C497" s="63"/>
      <c r="D497" s="63"/>
      <c r="E497" s="66"/>
      <c r="H497" s="63"/>
      <c r="I497" s="63"/>
      <c r="J497" s="56"/>
      <c r="K497" s="63"/>
      <c r="L497" s="63"/>
      <c r="M497" s="76"/>
      <c r="N497" s="58"/>
      <c r="O497" s="77"/>
      <c r="P497" s="63"/>
      <c r="Q497" s="63"/>
      <c r="W497" s="63"/>
      <c r="X497" s="63"/>
      <c r="Z497" s="63"/>
      <c r="AA497" s="63"/>
      <c r="AB497" s="63"/>
      <c r="AC497" s="63"/>
      <c r="AD497" s="63"/>
      <c r="AJ497" s="63"/>
      <c r="AK497" s="63"/>
      <c r="AO497" s="63"/>
      <c r="AP497" s="63"/>
    </row>
    <row r="498" spans="2:42">
      <c r="B498" s="63"/>
      <c r="C498" s="63"/>
      <c r="D498" s="63"/>
      <c r="E498" s="66"/>
      <c r="H498" s="63"/>
      <c r="I498" s="63"/>
      <c r="J498" s="56"/>
      <c r="K498" s="63"/>
      <c r="L498" s="63"/>
      <c r="M498" s="76"/>
      <c r="N498" s="58"/>
      <c r="O498" s="77"/>
      <c r="P498" s="63"/>
      <c r="Q498" s="63"/>
      <c r="W498" s="63"/>
      <c r="X498" s="63"/>
      <c r="Z498" s="63"/>
      <c r="AA498" s="63"/>
      <c r="AB498" s="63"/>
      <c r="AC498" s="63"/>
      <c r="AD498" s="63"/>
      <c r="AJ498" s="63"/>
      <c r="AK498" s="63"/>
      <c r="AO498" s="63"/>
      <c r="AP498" s="63"/>
    </row>
    <row r="499" spans="2:42">
      <c r="B499" s="63"/>
      <c r="C499" s="63"/>
      <c r="D499" s="63"/>
      <c r="E499" s="66"/>
      <c r="H499" s="63"/>
      <c r="I499" s="63"/>
      <c r="J499" s="56"/>
      <c r="K499" s="63"/>
      <c r="L499" s="63"/>
      <c r="M499" s="76"/>
      <c r="N499" s="58"/>
      <c r="O499" s="77"/>
      <c r="P499" s="63"/>
      <c r="Q499" s="63"/>
      <c r="W499" s="63"/>
      <c r="X499" s="63"/>
      <c r="Z499" s="63"/>
      <c r="AA499" s="63"/>
      <c r="AB499" s="63"/>
      <c r="AC499" s="63"/>
      <c r="AD499" s="63"/>
      <c r="AJ499" s="63"/>
      <c r="AK499" s="63"/>
      <c r="AO499" s="63"/>
      <c r="AP499" s="63"/>
    </row>
    <row r="500" spans="2:42">
      <c r="B500" s="63"/>
      <c r="C500" s="63"/>
      <c r="D500" s="63"/>
      <c r="E500" s="66"/>
      <c r="H500" s="63"/>
      <c r="I500" s="63"/>
      <c r="J500" s="56"/>
      <c r="K500" s="63"/>
      <c r="L500" s="63"/>
      <c r="M500" s="76"/>
      <c r="N500" s="58"/>
      <c r="O500" s="77"/>
      <c r="P500" s="63"/>
      <c r="Q500" s="63"/>
      <c r="W500" s="63"/>
      <c r="X500" s="63"/>
      <c r="Z500" s="63"/>
      <c r="AA500" s="63"/>
      <c r="AB500" s="63"/>
      <c r="AC500" s="63"/>
      <c r="AD500" s="63"/>
      <c r="AJ500" s="63"/>
      <c r="AK500" s="63"/>
      <c r="AO500" s="63"/>
      <c r="AP500" s="63"/>
    </row>
    <row r="501" spans="2:42">
      <c r="B501" s="63"/>
      <c r="C501" s="63"/>
      <c r="D501" s="63"/>
      <c r="E501" s="66"/>
      <c r="H501" s="63"/>
      <c r="I501" s="63"/>
      <c r="J501" s="56"/>
      <c r="K501" s="63"/>
      <c r="L501" s="63"/>
      <c r="M501" s="75"/>
      <c r="N501" s="58"/>
      <c r="O501" s="77"/>
      <c r="P501" s="63"/>
      <c r="Q501" s="63"/>
      <c r="W501" s="63"/>
      <c r="X501" s="63"/>
      <c r="Z501" s="63"/>
      <c r="AA501" s="63"/>
      <c r="AB501" s="63"/>
      <c r="AC501" s="63"/>
      <c r="AD501" s="63"/>
      <c r="AJ501" s="63"/>
      <c r="AK501" s="63"/>
      <c r="AO501" s="63"/>
      <c r="AP501" s="63"/>
    </row>
    <row r="502" spans="2:42">
      <c r="B502" s="63"/>
      <c r="C502" s="63"/>
      <c r="D502" s="63"/>
      <c r="E502" s="66"/>
      <c r="H502" s="63"/>
      <c r="I502" s="63"/>
      <c r="J502" s="56"/>
      <c r="K502" s="63"/>
      <c r="L502" s="63"/>
      <c r="M502" s="75"/>
      <c r="N502" s="58"/>
      <c r="O502" s="77"/>
      <c r="P502" s="63"/>
      <c r="Q502" s="63"/>
      <c r="W502" s="63"/>
      <c r="X502" s="63"/>
      <c r="Z502" s="63"/>
      <c r="AA502" s="63"/>
      <c r="AB502" s="63"/>
      <c r="AC502" s="63"/>
      <c r="AD502" s="63"/>
      <c r="AJ502" s="63"/>
      <c r="AK502" s="63"/>
      <c r="AO502" s="63"/>
      <c r="AP502" s="63"/>
    </row>
    <row r="503" spans="2:42">
      <c r="B503" s="63"/>
      <c r="C503" s="63"/>
      <c r="D503" s="63"/>
      <c r="E503" s="66"/>
      <c r="H503" s="63"/>
      <c r="I503" s="63"/>
      <c r="J503" s="56"/>
      <c r="K503" s="63"/>
      <c r="L503" s="63"/>
      <c r="M503" s="75"/>
      <c r="N503" s="58"/>
      <c r="O503" s="77"/>
      <c r="P503" s="63"/>
      <c r="Q503" s="63"/>
      <c r="W503" s="63"/>
      <c r="X503" s="63"/>
      <c r="Z503" s="63"/>
      <c r="AA503" s="63"/>
      <c r="AB503" s="63"/>
      <c r="AC503" s="63"/>
      <c r="AD503" s="63"/>
      <c r="AJ503" s="63"/>
      <c r="AK503" s="63"/>
      <c r="AO503" s="63"/>
      <c r="AP503" s="63"/>
    </row>
    <row r="504" spans="2:42">
      <c r="B504" s="63"/>
      <c r="C504" s="63"/>
      <c r="D504" s="63"/>
      <c r="E504" s="66"/>
      <c r="H504" s="63"/>
      <c r="I504" s="63"/>
      <c r="J504" s="56"/>
      <c r="K504" s="63"/>
      <c r="L504" s="63"/>
      <c r="M504" s="75"/>
      <c r="N504" s="58"/>
      <c r="O504" s="77"/>
      <c r="P504" s="63"/>
      <c r="Q504" s="63"/>
      <c r="W504" s="63"/>
      <c r="X504" s="63"/>
      <c r="Z504" s="63"/>
      <c r="AA504" s="63"/>
      <c r="AB504" s="63"/>
      <c r="AC504" s="63"/>
      <c r="AD504" s="63"/>
      <c r="AJ504" s="63"/>
      <c r="AK504" s="63"/>
      <c r="AO504" s="63"/>
      <c r="AP504" s="63"/>
    </row>
    <row r="505" spans="2:42">
      <c r="B505" s="63"/>
      <c r="C505" s="63"/>
      <c r="D505" s="63"/>
      <c r="E505" s="66"/>
      <c r="H505" s="63"/>
      <c r="I505" s="63"/>
      <c r="J505" s="56"/>
      <c r="K505" s="63"/>
      <c r="L505" s="63"/>
      <c r="M505" s="75"/>
      <c r="N505" s="58"/>
      <c r="O505" s="77"/>
      <c r="P505" s="63"/>
      <c r="Q505" s="63"/>
      <c r="W505" s="63"/>
      <c r="X505" s="63"/>
      <c r="Z505" s="63"/>
      <c r="AA505" s="63"/>
      <c r="AB505" s="63"/>
      <c r="AC505" s="63"/>
      <c r="AD505" s="63"/>
      <c r="AJ505" s="63"/>
      <c r="AK505" s="63"/>
      <c r="AO505" s="63"/>
      <c r="AP505" s="63"/>
    </row>
    <row r="506" spans="2:42">
      <c r="B506" s="63"/>
      <c r="C506" s="63"/>
      <c r="D506" s="63"/>
      <c r="E506" s="66"/>
      <c r="H506" s="63"/>
      <c r="I506" s="63"/>
      <c r="J506" s="56"/>
      <c r="K506" s="63"/>
      <c r="L506" s="63"/>
      <c r="M506" s="75"/>
      <c r="N506" s="58"/>
      <c r="O506" s="77"/>
      <c r="P506" s="63"/>
      <c r="Q506" s="63"/>
      <c r="W506" s="63"/>
      <c r="X506" s="63"/>
      <c r="Z506" s="63"/>
      <c r="AA506" s="63"/>
      <c r="AB506" s="63"/>
      <c r="AC506" s="63"/>
      <c r="AD506" s="63"/>
      <c r="AJ506" s="63"/>
      <c r="AK506" s="63"/>
      <c r="AO506" s="63"/>
      <c r="AP506" s="63"/>
    </row>
    <row r="507" spans="2:42">
      <c r="B507" s="63"/>
      <c r="C507" s="63"/>
      <c r="D507" s="63"/>
      <c r="E507" s="66"/>
      <c r="H507" s="63"/>
      <c r="I507" s="63"/>
      <c r="J507" s="56"/>
      <c r="K507" s="63"/>
      <c r="L507" s="63"/>
      <c r="M507" s="75"/>
      <c r="N507" s="58"/>
      <c r="O507" s="77"/>
      <c r="P507" s="63"/>
      <c r="Q507" s="63"/>
      <c r="W507" s="63"/>
      <c r="X507" s="63"/>
      <c r="Z507" s="63"/>
      <c r="AA507" s="63"/>
      <c r="AB507" s="63"/>
      <c r="AC507" s="63"/>
      <c r="AD507" s="63"/>
      <c r="AJ507" s="63"/>
      <c r="AK507" s="63"/>
      <c r="AO507" s="63"/>
      <c r="AP507" s="63"/>
    </row>
    <row r="508" spans="2:42">
      <c r="B508" s="63"/>
      <c r="C508" s="63"/>
      <c r="D508" s="63"/>
      <c r="E508" s="66"/>
      <c r="H508" s="63"/>
      <c r="I508" s="63"/>
      <c r="J508" s="56"/>
      <c r="K508" s="63"/>
      <c r="L508" s="63"/>
      <c r="M508" s="75"/>
      <c r="N508" s="58"/>
      <c r="O508" s="77"/>
      <c r="P508" s="63"/>
      <c r="Q508" s="63"/>
      <c r="W508" s="63"/>
      <c r="X508" s="63"/>
      <c r="Z508" s="63"/>
      <c r="AA508" s="63"/>
      <c r="AB508" s="63"/>
      <c r="AC508" s="63"/>
      <c r="AD508" s="63"/>
      <c r="AJ508" s="63"/>
      <c r="AK508" s="63"/>
      <c r="AO508" s="63"/>
      <c r="AP508" s="63"/>
    </row>
    <row r="509" spans="2:42">
      <c r="B509" s="63"/>
      <c r="C509" s="63"/>
      <c r="D509" s="63"/>
      <c r="E509" s="66"/>
      <c r="H509" s="63"/>
      <c r="I509" s="63"/>
      <c r="J509" s="56"/>
      <c r="K509" s="63"/>
      <c r="L509" s="63"/>
      <c r="M509" s="75"/>
      <c r="N509" s="58"/>
      <c r="O509" s="77"/>
      <c r="P509" s="63"/>
      <c r="Q509" s="63"/>
      <c r="W509" s="63"/>
      <c r="X509" s="63"/>
      <c r="Z509" s="63"/>
      <c r="AA509" s="63"/>
      <c r="AB509" s="63"/>
      <c r="AC509" s="63"/>
      <c r="AD509" s="63"/>
      <c r="AJ509" s="63"/>
      <c r="AK509" s="63"/>
      <c r="AO509" s="63"/>
      <c r="AP509" s="63"/>
    </row>
    <row r="510" spans="2:42">
      <c r="B510" s="63"/>
      <c r="C510" s="63"/>
      <c r="D510" s="63"/>
      <c r="E510" s="66"/>
      <c r="H510" s="63"/>
      <c r="I510" s="63"/>
      <c r="J510" s="56"/>
      <c r="K510" s="63"/>
      <c r="L510" s="63"/>
      <c r="M510" s="75"/>
      <c r="N510" s="58"/>
      <c r="O510" s="77"/>
      <c r="P510" s="63"/>
      <c r="Q510" s="63"/>
      <c r="W510" s="63"/>
      <c r="X510" s="63"/>
      <c r="Z510" s="63"/>
      <c r="AA510" s="63"/>
      <c r="AB510" s="63"/>
      <c r="AC510" s="63"/>
      <c r="AD510" s="63"/>
      <c r="AJ510" s="63"/>
      <c r="AK510" s="63"/>
      <c r="AO510" s="63"/>
      <c r="AP510" s="63"/>
    </row>
    <row r="511" spans="2:42">
      <c r="B511" s="63"/>
      <c r="C511" s="63"/>
      <c r="D511" s="63"/>
      <c r="E511" s="66"/>
      <c r="H511" s="63"/>
      <c r="I511" s="63"/>
      <c r="J511" s="56"/>
      <c r="K511" s="63"/>
      <c r="M511" s="75"/>
      <c r="N511" s="58"/>
      <c r="O511" s="77"/>
      <c r="P511" s="63"/>
      <c r="Q511" s="63"/>
      <c r="W511" s="63"/>
      <c r="X511" s="63"/>
      <c r="Z511" s="63"/>
      <c r="AA511" s="63"/>
      <c r="AB511" s="63"/>
      <c r="AC511" s="63"/>
      <c r="AD511" s="63"/>
      <c r="AJ511" s="63"/>
      <c r="AK511" s="63"/>
      <c r="AO511" s="63"/>
      <c r="AP511" s="63"/>
    </row>
    <row r="512" spans="2:42">
      <c r="B512" s="63"/>
      <c r="C512" s="63"/>
      <c r="D512" s="63"/>
      <c r="E512" s="66"/>
      <c r="H512" s="63"/>
      <c r="I512" s="63"/>
      <c r="J512" s="56"/>
      <c r="K512" s="63"/>
      <c r="M512" s="75"/>
      <c r="N512" s="58"/>
      <c r="O512" s="77"/>
      <c r="P512" s="63"/>
      <c r="Q512" s="63"/>
      <c r="W512" s="63"/>
      <c r="X512" s="63"/>
      <c r="Z512" s="63"/>
      <c r="AA512" s="63"/>
      <c r="AB512" s="63"/>
      <c r="AC512" s="63"/>
      <c r="AD512" s="63"/>
      <c r="AJ512" s="63"/>
      <c r="AK512" s="63"/>
      <c r="AO512" s="63"/>
      <c r="AP512" s="63"/>
    </row>
    <row r="513" spans="2:42">
      <c r="B513" s="63"/>
      <c r="C513" s="63"/>
      <c r="D513" s="63"/>
      <c r="E513" s="66"/>
      <c r="H513" s="63"/>
      <c r="I513" s="63"/>
      <c r="J513" s="56"/>
      <c r="K513" s="63"/>
      <c r="M513" s="75"/>
      <c r="N513" s="58"/>
      <c r="O513" s="77"/>
      <c r="P513" s="63"/>
      <c r="Q513" s="63"/>
      <c r="W513" s="63"/>
      <c r="X513" s="63"/>
      <c r="Z513" s="63"/>
      <c r="AA513" s="63"/>
      <c r="AB513" s="63"/>
      <c r="AC513" s="63"/>
      <c r="AD513" s="63"/>
      <c r="AJ513" s="63"/>
      <c r="AK513" s="63"/>
      <c r="AO513" s="63"/>
      <c r="AP513" s="63"/>
    </row>
    <row r="514" spans="2:42">
      <c r="B514" s="63"/>
      <c r="C514" s="63"/>
      <c r="D514" s="63"/>
      <c r="E514" s="66"/>
      <c r="H514" s="63"/>
      <c r="I514" s="63"/>
      <c r="J514" s="56"/>
      <c r="K514" s="63"/>
      <c r="M514" s="75"/>
      <c r="N514" s="58"/>
      <c r="O514" s="77"/>
      <c r="P514" s="63"/>
      <c r="Q514" s="63"/>
      <c r="W514" s="63"/>
      <c r="X514" s="63"/>
      <c r="Z514" s="63"/>
      <c r="AA514" s="63"/>
      <c r="AB514" s="63"/>
      <c r="AC514" s="63"/>
      <c r="AD514" s="63"/>
      <c r="AJ514" s="63"/>
      <c r="AK514" s="63"/>
      <c r="AO514" s="63"/>
      <c r="AP514" s="63"/>
    </row>
    <row r="515" spans="2:42">
      <c r="B515" s="63"/>
      <c r="C515" s="63"/>
      <c r="D515" s="63"/>
      <c r="E515" s="66"/>
      <c r="H515" s="63"/>
      <c r="I515" s="63"/>
      <c r="J515" s="56"/>
      <c r="K515" s="63"/>
      <c r="M515" s="75"/>
      <c r="N515" s="58"/>
      <c r="O515" s="77"/>
      <c r="P515" s="63"/>
      <c r="Q515" s="63"/>
      <c r="W515" s="63"/>
      <c r="X515" s="63"/>
      <c r="Z515" s="63"/>
      <c r="AA515" s="63"/>
      <c r="AB515" s="63"/>
      <c r="AC515" s="63"/>
      <c r="AD515" s="63"/>
      <c r="AJ515" s="63"/>
      <c r="AK515" s="63"/>
      <c r="AO515" s="63"/>
      <c r="AP515" s="63"/>
    </row>
    <row r="516" spans="2:42">
      <c r="B516" s="63"/>
      <c r="C516" s="63"/>
      <c r="D516" s="63"/>
      <c r="E516" s="66"/>
      <c r="H516" s="63"/>
      <c r="I516" s="63"/>
      <c r="J516" s="56"/>
      <c r="K516" s="63"/>
      <c r="M516" s="75"/>
      <c r="N516" s="58"/>
      <c r="O516" s="77"/>
      <c r="P516" s="63"/>
      <c r="Q516" s="63"/>
      <c r="W516" s="63"/>
      <c r="X516" s="63"/>
      <c r="Z516" s="63"/>
      <c r="AA516" s="63"/>
      <c r="AB516" s="63"/>
      <c r="AC516" s="63"/>
      <c r="AD516" s="63"/>
      <c r="AJ516" s="63"/>
      <c r="AK516" s="63"/>
      <c r="AO516" s="63"/>
      <c r="AP516" s="63"/>
    </row>
    <row r="517" spans="2:42">
      <c r="B517" s="63"/>
      <c r="C517" s="63"/>
      <c r="D517" s="63"/>
      <c r="E517" s="66"/>
      <c r="H517" s="63"/>
      <c r="I517" s="63"/>
      <c r="J517" s="56"/>
      <c r="K517" s="63"/>
      <c r="M517" s="75"/>
      <c r="N517" s="58"/>
      <c r="O517" s="77"/>
      <c r="P517" s="63"/>
      <c r="Q517" s="63"/>
      <c r="W517" s="63"/>
      <c r="X517" s="63"/>
      <c r="Z517" s="63"/>
      <c r="AA517" s="63"/>
      <c r="AB517" s="63"/>
      <c r="AC517" s="63"/>
      <c r="AD517" s="63"/>
      <c r="AJ517" s="63"/>
      <c r="AK517" s="63"/>
      <c r="AO517" s="63"/>
      <c r="AP517" s="63"/>
    </row>
    <row r="518" spans="2:42">
      <c r="B518" s="63"/>
      <c r="C518" s="63"/>
      <c r="D518" s="63"/>
      <c r="E518" s="66"/>
      <c r="H518" s="63"/>
      <c r="I518" s="63"/>
      <c r="J518" s="56"/>
      <c r="K518" s="63"/>
      <c r="M518" s="75"/>
      <c r="N518" s="58"/>
      <c r="O518" s="77"/>
      <c r="P518" s="63"/>
      <c r="Q518" s="63"/>
      <c r="W518" s="63"/>
      <c r="X518" s="63"/>
      <c r="Z518" s="63"/>
      <c r="AA518" s="63"/>
      <c r="AB518" s="63"/>
      <c r="AC518" s="63"/>
      <c r="AD518" s="63"/>
      <c r="AJ518" s="63"/>
      <c r="AK518" s="63"/>
      <c r="AO518" s="63"/>
      <c r="AP518" s="63"/>
    </row>
    <row r="519" spans="2:42">
      <c r="B519" s="63"/>
      <c r="C519" s="63"/>
      <c r="D519" s="63"/>
      <c r="E519" s="66"/>
      <c r="H519" s="63"/>
      <c r="I519" s="63"/>
      <c r="J519" s="56"/>
      <c r="K519" s="63"/>
      <c r="M519" s="75"/>
      <c r="N519" s="58"/>
      <c r="O519" s="77"/>
      <c r="P519" s="63"/>
      <c r="Q519" s="63"/>
      <c r="W519" s="63"/>
      <c r="X519" s="63"/>
      <c r="Z519" s="63"/>
      <c r="AA519" s="63"/>
      <c r="AB519" s="63"/>
      <c r="AC519" s="63"/>
      <c r="AD519" s="63"/>
      <c r="AJ519" s="63"/>
      <c r="AK519" s="63"/>
      <c r="AO519" s="63"/>
      <c r="AP519" s="63"/>
    </row>
    <row r="520" spans="2:42">
      <c r="B520" s="63"/>
      <c r="C520" s="63"/>
      <c r="D520" s="63"/>
      <c r="E520" s="66"/>
      <c r="H520" s="63"/>
      <c r="I520" s="63"/>
      <c r="J520" s="56"/>
      <c r="K520" s="63"/>
      <c r="M520" s="75"/>
      <c r="N520" s="58"/>
      <c r="O520" s="77"/>
      <c r="P520" s="63"/>
      <c r="Q520" s="63"/>
      <c r="W520" s="63"/>
      <c r="X520" s="63"/>
      <c r="Z520" s="63"/>
      <c r="AA520" s="63"/>
      <c r="AB520" s="63"/>
      <c r="AC520" s="63"/>
      <c r="AD520" s="63"/>
      <c r="AJ520" s="63"/>
      <c r="AK520" s="63"/>
      <c r="AO520" s="63"/>
      <c r="AP520" s="63"/>
    </row>
    <row r="521" spans="2:42">
      <c r="B521" s="63"/>
      <c r="C521" s="63"/>
      <c r="D521" s="63"/>
      <c r="E521" s="66"/>
      <c r="H521" s="63"/>
      <c r="I521" s="63"/>
      <c r="J521" s="56"/>
      <c r="K521" s="63"/>
      <c r="L521" s="63"/>
      <c r="M521" s="77"/>
      <c r="O521" s="62"/>
      <c r="P521" s="63"/>
      <c r="Q521" s="63"/>
      <c r="V521" s="63"/>
      <c r="W521" s="58"/>
      <c r="X521" s="63"/>
      <c r="Z521" s="63"/>
      <c r="AA521" s="63"/>
      <c r="AC521" s="63"/>
      <c r="AD521" s="63"/>
      <c r="AJ521" s="63"/>
      <c r="AK521" s="63"/>
    </row>
    <row r="522" spans="2:42">
      <c r="B522" s="63"/>
      <c r="C522" s="63"/>
      <c r="D522" s="63"/>
      <c r="E522" s="66"/>
      <c r="H522" s="63"/>
      <c r="I522" s="63"/>
      <c r="J522" s="56"/>
      <c r="K522" s="63"/>
      <c r="L522" s="63"/>
      <c r="M522" s="77"/>
      <c r="O522" s="62"/>
      <c r="P522" s="63"/>
      <c r="Q522" s="63"/>
      <c r="V522" s="63"/>
      <c r="W522" s="58"/>
      <c r="X522" s="63"/>
      <c r="Z522" s="63"/>
      <c r="AA522" s="63"/>
      <c r="AB522" s="63"/>
      <c r="AC522" s="63"/>
      <c r="AD522" s="63"/>
      <c r="AJ522" s="63"/>
      <c r="AK522" s="63"/>
    </row>
    <row r="523" spans="2:42">
      <c r="B523" s="63"/>
      <c r="C523" s="63"/>
      <c r="D523" s="63"/>
      <c r="E523" s="66"/>
      <c r="H523" s="63"/>
      <c r="I523" s="63"/>
      <c r="J523" s="56"/>
      <c r="K523" s="63"/>
      <c r="L523" s="63"/>
      <c r="M523" s="77"/>
      <c r="O523" s="62"/>
      <c r="P523" s="63"/>
      <c r="Q523" s="63"/>
      <c r="V523" s="63"/>
      <c r="W523" s="58"/>
      <c r="X523" s="63"/>
      <c r="Z523" s="63"/>
      <c r="AA523" s="63"/>
      <c r="AB523" s="63"/>
      <c r="AC523" s="63"/>
      <c r="AD523" s="63"/>
      <c r="AJ523" s="63"/>
      <c r="AK523" s="63"/>
    </row>
    <row r="524" spans="2:42">
      <c r="B524" s="63"/>
      <c r="C524" s="63"/>
      <c r="D524" s="63"/>
      <c r="E524" s="66"/>
      <c r="H524" s="63"/>
      <c r="I524" s="63"/>
      <c r="J524" s="56"/>
      <c r="K524" s="63"/>
      <c r="L524" s="63"/>
      <c r="M524" s="77"/>
      <c r="O524" s="62"/>
      <c r="P524" s="63"/>
      <c r="Q524" s="63"/>
      <c r="V524" s="63"/>
      <c r="W524" s="58"/>
      <c r="X524" s="63"/>
      <c r="Z524" s="63"/>
      <c r="AA524" s="63"/>
      <c r="AB524" s="63"/>
      <c r="AC524" s="63"/>
      <c r="AD524" s="63"/>
      <c r="AJ524" s="63"/>
      <c r="AK524" s="63"/>
    </row>
    <row r="525" spans="2:42" s="60" customFormat="1">
      <c r="B525" s="78"/>
      <c r="C525" s="78"/>
      <c r="D525" s="78"/>
      <c r="E525" s="66"/>
      <c r="H525" s="63"/>
      <c r="I525" s="78"/>
      <c r="J525" s="79"/>
      <c r="K525" s="78"/>
      <c r="L525" s="78"/>
      <c r="M525" s="80"/>
      <c r="O525" s="81"/>
      <c r="P525" s="78"/>
      <c r="Q525" s="78"/>
      <c r="V525" s="78"/>
      <c r="W525" s="82"/>
      <c r="X525" s="78"/>
      <c r="Z525" s="78"/>
      <c r="AA525" s="78"/>
      <c r="AC525" s="78"/>
      <c r="AD525" s="78"/>
      <c r="AJ525" s="78"/>
      <c r="AK525" s="78"/>
      <c r="AN525" s="82"/>
    </row>
    <row r="526" spans="2:42" s="60" customFormat="1">
      <c r="B526" s="78"/>
      <c r="C526" s="78"/>
      <c r="D526" s="78"/>
      <c r="E526" s="66"/>
      <c r="H526" s="63"/>
      <c r="I526" s="78"/>
      <c r="J526" s="79"/>
      <c r="K526" s="78"/>
      <c r="L526" s="78"/>
      <c r="M526" s="80"/>
      <c r="O526" s="81"/>
      <c r="P526" s="78"/>
      <c r="Q526" s="78"/>
      <c r="V526" s="78"/>
      <c r="W526" s="82"/>
      <c r="X526" s="78"/>
      <c r="Z526" s="78"/>
      <c r="AA526" s="78"/>
      <c r="AC526" s="78"/>
      <c r="AD526" s="78"/>
      <c r="AJ526" s="78"/>
      <c r="AK526" s="78"/>
      <c r="AN526" s="82"/>
    </row>
    <row r="527" spans="2:42" s="60" customFormat="1">
      <c r="B527" s="78"/>
      <c r="C527" s="78"/>
      <c r="D527" s="78"/>
      <c r="E527" s="66"/>
      <c r="H527" s="63"/>
      <c r="I527" s="78"/>
      <c r="J527" s="79"/>
      <c r="K527" s="78"/>
      <c r="L527" s="78"/>
      <c r="M527" s="80"/>
      <c r="O527" s="81"/>
      <c r="P527" s="78"/>
      <c r="Q527" s="78"/>
      <c r="V527" s="78"/>
      <c r="W527" s="82"/>
      <c r="X527" s="78"/>
      <c r="Z527" s="78"/>
      <c r="AA527" s="78"/>
      <c r="AC527" s="78"/>
      <c r="AD527" s="78"/>
      <c r="AJ527" s="78"/>
      <c r="AK527" s="78"/>
      <c r="AN527" s="82"/>
    </row>
    <row r="528" spans="2:42" s="60" customFormat="1">
      <c r="B528" s="78"/>
      <c r="C528" s="78"/>
      <c r="D528" s="78"/>
      <c r="E528" s="66"/>
      <c r="H528" s="63"/>
      <c r="I528" s="78"/>
      <c r="J528" s="79"/>
      <c r="K528" s="78"/>
      <c r="L528" s="78"/>
      <c r="M528" s="80"/>
      <c r="O528" s="81"/>
      <c r="P528" s="78"/>
      <c r="Q528" s="78"/>
      <c r="V528" s="78"/>
      <c r="W528" s="82"/>
      <c r="X528" s="78"/>
      <c r="Z528" s="78"/>
      <c r="AA528" s="78"/>
      <c r="AC528" s="78"/>
      <c r="AD528" s="78"/>
      <c r="AJ528" s="78"/>
      <c r="AK528" s="78"/>
      <c r="AN528" s="82"/>
    </row>
    <row r="529" spans="2:42">
      <c r="B529" s="63"/>
      <c r="C529" s="63"/>
      <c r="D529" s="63"/>
      <c r="E529" s="66"/>
      <c r="H529" s="63"/>
      <c r="I529" s="63"/>
      <c r="J529" s="56"/>
      <c r="K529" s="63"/>
      <c r="L529" s="63"/>
      <c r="M529" s="77"/>
      <c r="O529" s="62"/>
      <c r="P529" s="63"/>
      <c r="Q529" s="63"/>
      <c r="W529" s="63"/>
      <c r="X529" s="63"/>
      <c r="Z529" s="63"/>
      <c r="AA529" s="63"/>
      <c r="AC529" s="63"/>
      <c r="AD529" s="63"/>
      <c r="AJ529" s="63"/>
      <c r="AK529" s="63"/>
      <c r="AO529" s="63"/>
      <c r="AP529" s="63"/>
    </row>
    <row r="530" spans="2:42">
      <c r="B530" s="63"/>
      <c r="C530" s="63"/>
      <c r="D530" s="63"/>
      <c r="E530" s="66"/>
      <c r="H530" s="63"/>
      <c r="I530" s="63"/>
      <c r="J530" s="56"/>
      <c r="K530" s="63"/>
      <c r="L530" s="63"/>
      <c r="M530" s="77"/>
      <c r="O530" s="62"/>
      <c r="P530" s="63"/>
      <c r="Q530" s="63"/>
      <c r="W530" s="63"/>
      <c r="X530" s="63"/>
      <c r="Z530" s="63"/>
      <c r="AA530" s="63"/>
      <c r="AB530" s="63"/>
      <c r="AC530" s="63"/>
      <c r="AD530" s="63"/>
      <c r="AJ530" s="63"/>
      <c r="AK530" s="63"/>
      <c r="AO530" s="63"/>
      <c r="AP530" s="63"/>
    </row>
    <row r="531" spans="2:42">
      <c r="B531" s="63"/>
      <c r="C531" s="63"/>
      <c r="D531" s="63"/>
      <c r="E531" s="66"/>
      <c r="H531" s="63"/>
      <c r="I531" s="63"/>
      <c r="J531" s="56"/>
      <c r="K531" s="63"/>
      <c r="L531" s="63"/>
      <c r="M531" s="77"/>
      <c r="O531" s="62"/>
      <c r="P531" s="63"/>
      <c r="Q531" s="63"/>
      <c r="W531" s="63"/>
      <c r="X531" s="63"/>
      <c r="Z531" s="63"/>
      <c r="AA531" s="63"/>
      <c r="AB531" s="63"/>
      <c r="AC531" s="63"/>
      <c r="AD531" s="63"/>
      <c r="AJ531" s="63"/>
      <c r="AK531" s="63"/>
      <c r="AO531" s="63"/>
      <c r="AP531" s="63"/>
    </row>
    <row r="532" spans="2:42">
      <c r="B532" s="63"/>
      <c r="C532" s="63"/>
      <c r="D532" s="63"/>
      <c r="E532" s="66"/>
      <c r="H532" s="63"/>
      <c r="I532" s="63"/>
      <c r="J532" s="56"/>
      <c r="K532" s="63"/>
      <c r="L532" s="63"/>
      <c r="M532" s="77"/>
      <c r="O532" s="62"/>
      <c r="P532" s="63"/>
      <c r="Q532" s="63"/>
      <c r="W532" s="63"/>
      <c r="X532" s="63"/>
      <c r="Z532" s="63"/>
      <c r="AA532" s="63"/>
      <c r="AB532" s="63"/>
      <c r="AC532" s="63"/>
      <c r="AD532" s="63"/>
      <c r="AJ532" s="63"/>
      <c r="AK532" s="63"/>
      <c r="AO532" s="63"/>
      <c r="AP532" s="63"/>
    </row>
    <row r="533" spans="2:42" s="60" customFormat="1">
      <c r="B533" s="78"/>
      <c r="C533" s="78"/>
      <c r="D533" s="78"/>
      <c r="E533" s="66"/>
      <c r="H533" s="63"/>
      <c r="I533" s="78"/>
      <c r="J533" s="79"/>
      <c r="K533" s="78"/>
      <c r="L533" s="78"/>
      <c r="M533" s="80"/>
      <c r="O533" s="81"/>
      <c r="P533" s="78"/>
      <c r="Q533" s="78"/>
      <c r="W533" s="78"/>
      <c r="X533" s="78"/>
      <c r="Z533" s="78"/>
      <c r="AA533" s="78"/>
      <c r="AC533" s="78"/>
      <c r="AD533" s="78"/>
      <c r="AJ533" s="78"/>
      <c r="AK533" s="78"/>
      <c r="AN533" s="82"/>
      <c r="AO533" s="78"/>
      <c r="AP533" s="78"/>
    </row>
    <row r="534" spans="2:42" s="60" customFormat="1">
      <c r="B534" s="78"/>
      <c r="C534" s="78"/>
      <c r="D534" s="78"/>
      <c r="E534" s="66"/>
      <c r="H534" s="63"/>
      <c r="I534" s="78"/>
      <c r="J534" s="79"/>
      <c r="K534" s="78"/>
      <c r="L534" s="78"/>
      <c r="M534" s="80"/>
      <c r="O534" s="81"/>
      <c r="P534" s="78"/>
      <c r="Q534" s="78"/>
      <c r="W534" s="78"/>
      <c r="X534" s="78"/>
      <c r="Z534" s="78"/>
      <c r="AA534" s="78"/>
      <c r="AC534" s="78"/>
      <c r="AD534" s="78"/>
      <c r="AJ534" s="78"/>
      <c r="AK534" s="78"/>
      <c r="AN534" s="82"/>
      <c r="AO534" s="78"/>
      <c r="AP534" s="78"/>
    </row>
    <row r="535" spans="2:42" s="60" customFormat="1">
      <c r="B535" s="78"/>
      <c r="C535" s="78"/>
      <c r="D535" s="78"/>
      <c r="E535" s="66"/>
      <c r="H535" s="63"/>
      <c r="I535" s="78"/>
      <c r="J535" s="79"/>
      <c r="K535" s="78"/>
      <c r="L535" s="78"/>
      <c r="M535" s="80"/>
      <c r="O535" s="81"/>
      <c r="P535" s="78"/>
      <c r="Q535" s="78"/>
      <c r="W535" s="78"/>
      <c r="X535" s="78"/>
      <c r="Z535" s="78"/>
      <c r="AA535" s="78"/>
      <c r="AC535" s="78"/>
      <c r="AD535" s="78"/>
      <c r="AJ535" s="78"/>
      <c r="AK535" s="78"/>
      <c r="AN535" s="82"/>
      <c r="AO535" s="78"/>
      <c r="AP535" s="78"/>
    </row>
    <row r="536" spans="2:42" s="60" customFormat="1">
      <c r="B536" s="78"/>
      <c r="C536" s="78"/>
      <c r="D536" s="78"/>
      <c r="E536" s="66"/>
      <c r="H536" s="63"/>
      <c r="I536" s="78"/>
      <c r="J536" s="79"/>
      <c r="K536" s="78"/>
      <c r="L536" s="78"/>
      <c r="M536" s="80"/>
      <c r="O536" s="81"/>
      <c r="P536" s="78"/>
      <c r="Q536" s="78"/>
      <c r="W536" s="78"/>
      <c r="X536" s="78"/>
      <c r="Z536" s="78"/>
      <c r="AA536" s="78"/>
      <c r="AC536" s="78"/>
      <c r="AD536" s="78"/>
      <c r="AJ536" s="78"/>
      <c r="AK536" s="78"/>
      <c r="AN536" s="82"/>
      <c r="AO536" s="78"/>
      <c r="AP536" s="78"/>
    </row>
    <row r="537" spans="2:42">
      <c r="B537" s="63"/>
      <c r="C537" s="63"/>
      <c r="D537" s="63"/>
      <c r="E537" s="66"/>
      <c r="H537" s="63"/>
      <c r="I537" s="63"/>
      <c r="J537" s="56"/>
      <c r="K537" s="63"/>
      <c r="L537" s="63"/>
      <c r="M537" s="65"/>
      <c r="O537" s="63"/>
      <c r="P537" s="63"/>
      <c r="Q537" s="63"/>
      <c r="W537" s="63"/>
      <c r="X537" s="63"/>
      <c r="Z537" s="63"/>
      <c r="AA537" s="63"/>
      <c r="AC537" s="63"/>
      <c r="AD537" s="63"/>
      <c r="AI537" s="63"/>
      <c r="AJ537" s="63"/>
      <c r="AK537" s="63"/>
      <c r="AO537" s="63"/>
      <c r="AP537" s="63"/>
    </row>
    <row r="538" spans="2:42">
      <c r="B538" s="63"/>
      <c r="C538" s="63"/>
      <c r="D538" s="63"/>
      <c r="E538" s="66"/>
      <c r="H538" s="63"/>
      <c r="I538" s="63"/>
      <c r="J538" s="56"/>
      <c r="K538" s="63"/>
      <c r="L538" s="63"/>
      <c r="M538" s="65"/>
      <c r="O538" s="63"/>
      <c r="P538" s="63"/>
      <c r="Q538" s="63"/>
      <c r="W538" s="63"/>
      <c r="X538" s="63"/>
      <c r="Z538" s="63"/>
      <c r="AA538" s="63"/>
      <c r="AC538" s="63"/>
      <c r="AD538" s="63"/>
      <c r="AI538" s="63"/>
      <c r="AJ538" s="63"/>
      <c r="AK538" s="63"/>
      <c r="AO538" s="63"/>
      <c r="AP538" s="63"/>
    </row>
    <row r="539" spans="2:42">
      <c r="B539" s="63"/>
      <c r="C539" s="63"/>
      <c r="D539" s="63"/>
      <c r="E539" s="66"/>
      <c r="H539" s="63"/>
      <c r="I539" s="63"/>
      <c r="J539" s="56"/>
      <c r="K539" s="63"/>
      <c r="L539" s="63"/>
      <c r="M539" s="65"/>
      <c r="O539" s="63"/>
      <c r="P539" s="63"/>
      <c r="Q539" s="63"/>
      <c r="W539" s="63"/>
      <c r="X539" s="63"/>
      <c r="Z539" s="63"/>
      <c r="AA539" s="63"/>
      <c r="AC539" s="63"/>
      <c r="AD539" s="63"/>
      <c r="AI539" s="63"/>
      <c r="AJ539" s="63"/>
      <c r="AK539" s="63"/>
      <c r="AO539" s="63"/>
      <c r="AP539" s="63"/>
    </row>
    <row r="540" spans="2:42">
      <c r="B540" s="63"/>
      <c r="C540" s="63"/>
      <c r="D540" s="63"/>
      <c r="E540" s="66"/>
      <c r="H540" s="63"/>
      <c r="I540" s="63"/>
      <c r="J540" s="56"/>
      <c r="K540" s="63"/>
      <c r="L540" s="63"/>
      <c r="M540" s="65"/>
      <c r="O540" s="63"/>
      <c r="P540" s="63"/>
      <c r="Q540" s="63"/>
      <c r="W540" s="63"/>
      <c r="X540" s="63"/>
      <c r="Z540" s="63"/>
      <c r="AA540" s="63"/>
      <c r="AC540" s="63"/>
      <c r="AD540" s="63"/>
      <c r="AI540" s="63"/>
      <c r="AJ540" s="63"/>
      <c r="AK540" s="63"/>
      <c r="AO540" s="63"/>
      <c r="AP540" s="63"/>
    </row>
    <row r="541" spans="2:42">
      <c r="B541" s="63"/>
      <c r="C541" s="63"/>
      <c r="D541" s="63"/>
      <c r="E541" s="66"/>
      <c r="H541" s="63"/>
      <c r="I541" s="63"/>
      <c r="J541" s="56"/>
      <c r="K541" s="63"/>
      <c r="L541" s="63"/>
      <c r="M541" s="65"/>
      <c r="O541" s="63"/>
      <c r="P541" s="63"/>
      <c r="Q541" s="63"/>
      <c r="W541" s="63"/>
      <c r="X541" s="63"/>
      <c r="Z541" s="63"/>
      <c r="AA541" s="63"/>
      <c r="AC541" s="63"/>
      <c r="AD541" s="63"/>
      <c r="AI541" s="63"/>
      <c r="AJ541" s="63"/>
      <c r="AK541" s="63"/>
      <c r="AO541" s="63"/>
      <c r="AP541" s="63"/>
    </row>
    <row r="542" spans="2:42">
      <c r="B542" s="63"/>
      <c r="C542" s="63"/>
      <c r="D542" s="63"/>
      <c r="E542" s="66"/>
      <c r="H542" s="63"/>
      <c r="I542" s="63"/>
      <c r="J542" s="56"/>
      <c r="K542" s="63"/>
      <c r="L542" s="63"/>
      <c r="M542" s="65"/>
      <c r="O542" s="63"/>
      <c r="P542" s="63"/>
      <c r="Q542" s="63"/>
      <c r="W542" s="63"/>
      <c r="X542" s="63"/>
      <c r="Z542" s="63"/>
      <c r="AA542" s="63"/>
      <c r="AC542" s="63"/>
      <c r="AD542" s="63"/>
      <c r="AI542" s="63"/>
      <c r="AJ542" s="63"/>
      <c r="AK542" s="63"/>
      <c r="AO542" s="63"/>
      <c r="AP542" s="63"/>
    </row>
    <row r="543" spans="2:42">
      <c r="B543" s="63"/>
      <c r="C543" s="63"/>
      <c r="D543" s="63"/>
      <c r="E543" s="66"/>
      <c r="H543" s="63"/>
      <c r="I543" s="63"/>
      <c r="J543" s="56"/>
      <c r="K543" s="63"/>
      <c r="L543" s="63"/>
      <c r="M543" s="65"/>
      <c r="O543" s="63"/>
      <c r="P543" s="63"/>
      <c r="Q543" s="63"/>
      <c r="W543" s="63"/>
      <c r="X543" s="63"/>
      <c r="Z543" s="63"/>
      <c r="AA543" s="63"/>
      <c r="AC543" s="63"/>
      <c r="AD543" s="63"/>
      <c r="AI543" s="63"/>
      <c r="AJ543" s="63"/>
      <c r="AK543" s="63"/>
      <c r="AO543" s="63"/>
      <c r="AP543" s="63"/>
    </row>
    <row r="544" spans="2:42">
      <c r="B544" s="63"/>
      <c r="C544" s="63"/>
      <c r="D544" s="63"/>
      <c r="E544" s="66"/>
      <c r="H544" s="63"/>
      <c r="I544" s="63"/>
      <c r="J544" s="56"/>
      <c r="K544" s="63"/>
      <c r="L544" s="63"/>
      <c r="M544" s="65"/>
      <c r="O544" s="63"/>
      <c r="P544" s="63"/>
      <c r="Q544" s="63"/>
      <c r="W544" s="63"/>
      <c r="X544" s="63"/>
      <c r="Z544" s="63"/>
      <c r="AA544" s="63"/>
      <c r="AC544" s="63"/>
      <c r="AD544" s="63"/>
      <c r="AI544" s="63"/>
      <c r="AJ544" s="63"/>
      <c r="AK544" s="63"/>
      <c r="AO544" s="63"/>
      <c r="AP544" s="63"/>
    </row>
    <row r="545" spans="2:42">
      <c r="B545" s="63"/>
      <c r="C545" s="63"/>
      <c r="D545" s="63"/>
      <c r="E545" s="66"/>
      <c r="H545" s="63"/>
      <c r="I545" s="63"/>
      <c r="J545" s="56"/>
      <c r="K545" s="63"/>
      <c r="L545" s="63"/>
      <c r="M545" s="65"/>
      <c r="O545" s="63"/>
      <c r="P545" s="63"/>
      <c r="Q545" s="63"/>
      <c r="W545" s="63"/>
      <c r="X545" s="63"/>
      <c r="Z545" s="63"/>
      <c r="AA545" s="63"/>
      <c r="AC545" s="63"/>
      <c r="AD545" s="63"/>
      <c r="AI545" s="63"/>
      <c r="AJ545" s="63"/>
      <c r="AK545" s="63"/>
      <c r="AO545" s="63"/>
      <c r="AP545" s="63"/>
    </row>
    <row r="546" spans="2:42">
      <c r="B546" s="63"/>
      <c r="C546" s="63"/>
      <c r="D546" s="63"/>
      <c r="E546" s="66"/>
      <c r="H546" s="63"/>
      <c r="I546" s="63"/>
      <c r="J546" s="56"/>
      <c r="K546" s="63"/>
      <c r="L546" s="63"/>
      <c r="M546" s="65"/>
      <c r="O546" s="63"/>
      <c r="P546" s="63"/>
      <c r="Q546" s="63"/>
      <c r="W546" s="63"/>
      <c r="X546" s="63"/>
      <c r="Z546" s="63"/>
      <c r="AA546" s="63"/>
      <c r="AC546" s="63"/>
      <c r="AD546" s="63"/>
      <c r="AI546" s="63"/>
      <c r="AJ546" s="63"/>
      <c r="AK546" s="63"/>
      <c r="AO546" s="63"/>
      <c r="AP546" s="63"/>
    </row>
    <row r="547" spans="2:42">
      <c r="B547" s="63"/>
      <c r="C547" s="63"/>
      <c r="D547" s="63"/>
      <c r="E547" s="66"/>
      <c r="H547" s="63"/>
      <c r="I547" s="63"/>
      <c r="J547" s="56"/>
      <c r="K547" s="63"/>
      <c r="L547" s="63"/>
      <c r="M547" s="65"/>
      <c r="O547" s="63"/>
      <c r="P547" s="63"/>
      <c r="Q547" s="63"/>
      <c r="W547" s="63"/>
      <c r="X547" s="63"/>
      <c r="Z547" s="63"/>
      <c r="AA547" s="63"/>
      <c r="AC547" s="63"/>
      <c r="AD547" s="63"/>
      <c r="AI547" s="63"/>
      <c r="AJ547" s="63"/>
      <c r="AK547" s="63"/>
      <c r="AO547" s="63"/>
      <c r="AP547" s="63"/>
    </row>
    <row r="548" spans="2:42">
      <c r="B548" s="63"/>
      <c r="C548" s="63"/>
      <c r="D548" s="63"/>
      <c r="E548" s="66"/>
      <c r="H548" s="63"/>
      <c r="I548" s="63"/>
      <c r="J548" s="56"/>
      <c r="K548" s="63"/>
      <c r="L548" s="63"/>
      <c r="M548" s="65"/>
      <c r="O548" s="63"/>
      <c r="P548" s="63"/>
      <c r="Q548" s="63"/>
      <c r="W548" s="63"/>
      <c r="X548" s="63"/>
      <c r="Z548" s="63"/>
      <c r="AA548" s="63"/>
      <c r="AC548" s="63"/>
      <c r="AD548" s="63"/>
      <c r="AI548" s="63"/>
      <c r="AJ548" s="63"/>
      <c r="AK548" s="63"/>
      <c r="AO548" s="63"/>
      <c r="AP548" s="63"/>
    </row>
    <row r="549" spans="2:42">
      <c r="B549" s="63"/>
      <c r="C549" s="63"/>
      <c r="D549" s="63"/>
      <c r="E549" s="66"/>
      <c r="H549" s="63"/>
      <c r="I549" s="63"/>
      <c r="J549" s="56"/>
      <c r="K549" s="63"/>
      <c r="L549" s="63"/>
      <c r="M549" s="65"/>
      <c r="O549" s="63"/>
      <c r="P549" s="63"/>
      <c r="Q549" s="63"/>
      <c r="W549" s="63"/>
      <c r="X549" s="63"/>
      <c r="Z549" s="63"/>
      <c r="AA549" s="63"/>
      <c r="AC549" s="63"/>
      <c r="AD549" s="63"/>
      <c r="AI549" s="63"/>
      <c r="AJ549" s="63"/>
      <c r="AK549" s="63"/>
      <c r="AO549" s="63"/>
      <c r="AP549" s="63"/>
    </row>
    <row r="550" spans="2:42">
      <c r="B550" s="63"/>
      <c r="C550" s="63"/>
      <c r="D550" s="63"/>
      <c r="E550" s="66"/>
      <c r="H550" s="63"/>
      <c r="I550" s="63"/>
      <c r="J550" s="56"/>
      <c r="K550" s="63"/>
      <c r="L550" s="63"/>
      <c r="M550" s="65"/>
      <c r="O550" s="63"/>
      <c r="P550" s="63"/>
      <c r="Q550" s="63"/>
      <c r="W550" s="63"/>
      <c r="X550" s="63"/>
      <c r="Z550" s="63"/>
      <c r="AA550" s="63"/>
      <c r="AC550" s="63"/>
      <c r="AD550" s="63"/>
      <c r="AI550" s="63"/>
      <c r="AJ550" s="63"/>
      <c r="AK550" s="63"/>
      <c r="AO550" s="63"/>
      <c r="AP550" s="63"/>
    </row>
    <row r="551" spans="2:42">
      <c r="B551" s="56"/>
      <c r="C551" s="63"/>
      <c r="D551" s="63"/>
      <c r="E551" s="66"/>
      <c r="H551" s="63"/>
      <c r="I551" s="56"/>
      <c r="J551" s="56"/>
      <c r="K551" s="63"/>
      <c r="L551" s="63"/>
      <c r="M551" s="65"/>
      <c r="O551" s="63"/>
      <c r="P551" s="63"/>
      <c r="Q551" s="63"/>
      <c r="W551" s="63"/>
      <c r="X551" s="63"/>
      <c r="Z551" s="63"/>
      <c r="AA551" s="63"/>
      <c r="AC551" s="63"/>
      <c r="AD551" s="63"/>
      <c r="AI551" s="63"/>
      <c r="AJ551" s="63"/>
      <c r="AK551" s="63"/>
      <c r="AO551" s="63"/>
      <c r="AP551" s="63"/>
    </row>
    <row r="552" spans="2:42">
      <c r="B552" s="63"/>
      <c r="C552" s="63"/>
      <c r="D552" s="63"/>
      <c r="E552" s="66"/>
      <c r="H552" s="63"/>
      <c r="I552" s="63"/>
      <c r="J552" s="56"/>
      <c r="K552" s="63"/>
      <c r="L552" s="63"/>
      <c r="O552" s="62"/>
      <c r="P552" s="63"/>
      <c r="Q552" s="63"/>
      <c r="V552" s="63"/>
      <c r="W552" s="58"/>
      <c r="X552" s="63"/>
      <c r="Z552" s="63"/>
      <c r="AA552" s="63"/>
      <c r="AC552" s="63"/>
      <c r="AD552" s="63"/>
      <c r="AI552" s="63"/>
      <c r="AJ552" s="63"/>
      <c r="AK552" s="63"/>
      <c r="AO552" s="63"/>
      <c r="AP552" s="63"/>
    </row>
    <row r="553" spans="2:42">
      <c r="B553" s="63"/>
      <c r="C553" s="63"/>
      <c r="D553" s="63"/>
      <c r="E553" s="66"/>
      <c r="H553" s="63"/>
      <c r="I553" s="63"/>
      <c r="J553" s="56"/>
      <c r="K553" s="63"/>
      <c r="L553" s="63"/>
      <c r="P553" s="63"/>
      <c r="Q553" s="63"/>
      <c r="W553" s="63"/>
      <c r="X553" s="63"/>
      <c r="Z553" s="63"/>
      <c r="AA553" s="63"/>
      <c r="AC553" s="63"/>
      <c r="AD553" s="63"/>
      <c r="AI553" s="63"/>
      <c r="AJ553" s="63"/>
      <c r="AK553" s="63"/>
      <c r="AO553" s="63"/>
      <c r="AP553" s="63"/>
    </row>
    <row r="554" spans="2:42">
      <c r="B554" s="63"/>
      <c r="C554" s="63"/>
      <c r="D554" s="63"/>
      <c r="E554" s="66"/>
      <c r="H554" s="63"/>
      <c r="I554" s="63"/>
      <c r="J554" s="56"/>
      <c r="K554" s="63"/>
      <c r="L554" s="63"/>
      <c r="P554" s="63"/>
      <c r="Q554" s="63"/>
      <c r="W554" s="63"/>
      <c r="X554" s="63"/>
      <c r="Z554" s="63"/>
      <c r="AA554" s="63"/>
      <c r="AC554" s="63"/>
      <c r="AD554" s="63"/>
      <c r="AI554" s="63"/>
      <c r="AJ554" s="63"/>
      <c r="AK554" s="63"/>
      <c r="AO554" s="63"/>
      <c r="AP554" s="63"/>
    </row>
    <row r="555" spans="2:42">
      <c r="B555" s="63"/>
      <c r="C555" s="63"/>
      <c r="D555" s="63"/>
      <c r="E555" s="66"/>
      <c r="H555" s="63"/>
      <c r="I555" s="63"/>
      <c r="J555" s="56"/>
      <c r="K555" s="63"/>
      <c r="L555" s="63"/>
      <c r="P555" s="63"/>
      <c r="Q555" s="63"/>
      <c r="W555" s="63"/>
      <c r="X555" s="63"/>
      <c r="Z555" s="63"/>
      <c r="AA555" s="63"/>
      <c r="AC555" s="63"/>
      <c r="AD555" s="63"/>
      <c r="AI555" s="63"/>
      <c r="AJ555" s="63"/>
      <c r="AK555" s="63"/>
      <c r="AO555" s="63"/>
      <c r="AP555" s="63"/>
    </row>
    <row r="556" spans="2:42">
      <c r="B556" s="63"/>
      <c r="C556" s="63"/>
      <c r="D556" s="63"/>
      <c r="E556" s="66"/>
      <c r="H556" s="63"/>
      <c r="I556" s="63"/>
      <c r="J556" s="56"/>
      <c r="K556" s="63"/>
      <c r="L556" s="63"/>
      <c r="P556" s="63"/>
      <c r="Q556" s="63"/>
      <c r="W556" s="63"/>
      <c r="X556" s="63"/>
      <c r="Z556" s="63"/>
      <c r="AA556" s="63"/>
      <c r="AC556" s="63"/>
      <c r="AD556" s="63"/>
      <c r="AI556" s="63"/>
      <c r="AJ556" s="63"/>
      <c r="AK556" s="63"/>
      <c r="AO556" s="63"/>
      <c r="AP556" s="63"/>
    </row>
    <row r="557" spans="2:42">
      <c r="B557" s="63"/>
      <c r="C557" s="63"/>
      <c r="D557" s="63"/>
      <c r="E557" s="66"/>
      <c r="H557" s="63"/>
      <c r="I557" s="63"/>
      <c r="J557" s="56"/>
      <c r="K557" s="63"/>
      <c r="L557" s="63"/>
      <c r="P557" s="63"/>
      <c r="Q557" s="63"/>
      <c r="W557" s="63"/>
      <c r="X557" s="63"/>
      <c r="Z557" s="63"/>
      <c r="AA557" s="63"/>
      <c r="AC557" s="63"/>
      <c r="AD557" s="63"/>
      <c r="AI557" s="63"/>
      <c r="AJ557" s="63"/>
      <c r="AK557" s="63"/>
      <c r="AO557" s="63"/>
      <c r="AP557" s="63"/>
    </row>
    <row r="558" spans="2:42">
      <c r="B558" s="63"/>
      <c r="C558" s="63"/>
      <c r="D558" s="63"/>
      <c r="E558" s="66"/>
      <c r="H558" s="63"/>
      <c r="I558" s="63"/>
      <c r="J558" s="56"/>
      <c r="K558" s="63"/>
      <c r="L558" s="63"/>
      <c r="P558" s="63"/>
      <c r="Q558" s="63"/>
      <c r="W558" s="63"/>
      <c r="X558" s="63"/>
      <c r="Z558" s="63"/>
      <c r="AA558" s="63"/>
      <c r="AC558" s="63"/>
      <c r="AD558" s="63"/>
      <c r="AI558" s="63"/>
      <c r="AJ558" s="63"/>
      <c r="AK558" s="63"/>
      <c r="AO558" s="63"/>
      <c r="AP558" s="63"/>
    </row>
    <row r="559" spans="2:42">
      <c r="B559" s="63"/>
      <c r="C559" s="63"/>
      <c r="D559" s="63"/>
      <c r="E559" s="66"/>
      <c r="H559" s="63"/>
      <c r="I559" s="63"/>
      <c r="J559" s="56"/>
      <c r="K559" s="63"/>
      <c r="L559" s="63"/>
      <c r="P559" s="63"/>
      <c r="Q559" s="63"/>
      <c r="W559" s="63"/>
      <c r="X559" s="63"/>
      <c r="Z559" s="63"/>
      <c r="AA559" s="63"/>
      <c r="AC559" s="63"/>
      <c r="AD559" s="63"/>
      <c r="AI559" s="63"/>
      <c r="AJ559" s="63"/>
      <c r="AK559" s="63"/>
      <c r="AO559" s="63"/>
      <c r="AP559" s="63"/>
    </row>
    <row r="560" spans="2:42">
      <c r="B560" s="63"/>
      <c r="C560" s="63"/>
      <c r="D560" s="63"/>
      <c r="E560" s="66"/>
      <c r="H560" s="63"/>
      <c r="I560" s="63"/>
      <c r="J560" s="56"/>
      <c r="K560" s="63"/>
      <c r="L560" s="63"/>
      <c r="P560" s="63"/>
      <c r="Q560" s="63"/>
      <c r="W560" s="63"/>
      <c r="X560" s="63"/>
      <c r="Z560" s="63"/>
      <c r="AA560" s="63"/>
      <c r="AC560" s="63"/>
      <c r="AD560" s="63"/>
      <c r="AI560" s="63"/>
      <c r="AJ560" s="63"/>
      <c r="AK560" s="63"/>
      <c r="AO560" s="63"/>
      <c r="AP560" s="63"/>
    </row>
    <row r="561" spans="2:42">
      <c r="B561" s="63"/>
      <c r="C561" s="63"/>
      <c r="D561" s="63"/>
      <c r="E561" s="66"/>
      <c r="H561" s="63"/>
      <c r="I561" s="63"/>
      <c r="J561" s="56"/>
      <c r="K561" s="63"/>
      <c r="L561" s="63"/>
      <c r="P561" s="63"/>
      <c r="Q561" s="63"/>
      <c r="W561" s="63"/>
      <c r="X561" s="63"/>
      <c r="Z561" s="63"/>
      <c r="AA561" s="63"/>
      <c r="AC561" s="63"/>
      <c r="AD561" s="63"/>
      <c r="AI561" s="63"/>
      <c r="AJ561" s="63"/>
      <c r="AK561" s="63"/>
    </row>
    <row r="562" spans="2:42">
      <c r="B562" s="63"/>
      <c r="C562" s="63"/>
      <c r="D562" s="63"/>
      <c r="E562" s="66"/>
      <c r="H562" s="63"/>
      <c r="I562" s="63"/>
      <c r="J562" s="56"/>
      <c r="K562" s="63"/>
      <c r="L562" s="63"/>
      <c r="P562" s="63"/>
      <c r="Q562" s="63"/>
      <c r="R562" s="58"/>
      <c r="S562" s="58"/>
      <c r="T562" s="58"/>
      <c r="W562" s="63"/>
      <c r="X562" s="63"/>
      <c r="Z562" s="63"/>
      <c r="AA562" s="63"/>
      <c r="AC562" s="63"/>
      <c r="AD562" s="63"/>
      <c r="AI562" s="63"/>
      <c r="AJ562" s="63"/>
      <c r="AK562" s="63"/>
      <c r="AO562" s="63"/>
      <c r="AP562" s="63"/>
    </row>
    <row r="563" spans="2:42">
      <c r="B563" s="63"/>
      <c r="C563" s="63"/>
      <c r="D563" s="63"/>
      <c r="E563" s="66"/>
      <c r="H563" s="63"/>
      <c r="I563" s="63"/>
      <c r="J563" s="56"/>
      <c r="K563" s="63"/>
      <c r="L563" s="63"/>
      <c r="P563" s="63"/>
      <c r="Q563" s="63"/>
      <c r="R563" s="58"/>
      <c r="S563" s="58"/>
      <c r="T563" s="58"/>
      <c r="W563" s="63"/>
      <c r="X563" s="63"/>
      <c r="Z563" s="63"/>
      <c r="AA563" s="63"/>
      <c r="AC563" s="63"/>
      <c r="AD563" s="63"/>
      <c r="AJ563" s="63"/>
      <c r="AK563" s="63"/>
      <c r="AO563" s="63"/>
      <c r="AP563" s="63"/>
    </row>
    <row r="564" spans="2:42">
      <c r="B564" s="63"/>
      <c r="C564" s="63"/>
      <c r="D564" s="63"/>
      <c r="E564" s="66"/>
      <c r="H564" s="63"/>
      <c r="I564" s="63"/>
      <c r="J564" s="56"/>
      <c r="K564" s="63"/>
      <c r="L564" s="63"/>
      <c r="P564" s="63"/>
      <c r="Q564" s="63"/>
      <c r="R564" s="58"/>
      <c r="S564" s="58"/>
      <c r="T564" s="58"/>
      <c r="W564" s="63"/>
      <c r="X564" s="63"/>
      <c r="Z564" s="63"/>
      <c r="AA564" s="63"/>
      <c r="AC564" s="63"/>
      <c r="AD564" s="63"/>
      <c r="AJ564" s="63"/>
      <c r="AK564" s="63"/>
    </row>
    <row r="565" spans="2:42">
      <c r="B565" s="63"/>
      <c r="C565" s="63"/>
      <c r="D565" s="63"/>
      <c r="E565" s="66"/>
      <c r="H565" s="63"/>
      <c r="I565" s="63"/>
      <c r="J565" s="56"/>
      <c r="K565" s="63"/>
      <c r="L565" s="63"/>
      <c r="P565" s="63"/>
      <c r="Q565" s="63"/>
      <c r="R565" s="58"/>
      <c r="S565" s="58"/>
      <c r="T565" s="58"/>
      <c r="W565" s="63"/>
      <c r="X565" s="63"/>
      <c r="Z565" s="63"/>
      <c r="AA565" s="63"/>
      <c r="AC565" s="63"/>
      <c r="AD565" s="63"/>
      <c r="AJ565" s="63"/>
      <c r="AK565" s="63"/>
    </row>
    <row r="566" spans="2:42">
      <c r="B566" s="63"/>
      <c r="C566" s="63"/>
      <c r="D566" s="63"/>
      <c r="E566" s="66"/>
      <c r="H566" s="63"/>
      <c r="I566" s="63"/>
      <c r="J566" s="56"/>
      <c r="K566" s="63"/>
      <c r="L566" s="63"/>
      <c r="P566" s="63"/>
      <c r="Q566" s="63"/>
      <c r="R566" s="58"/>
      <c r="S566" s="58"/>
      <c r="T566" s="58"/>
      <c r="W566" s="63"/>
      <c r="X566" s="63"/>
      <c r="Z566" s="63"/>
      <c r="AA566" s="63"/>
      <c r="AC566" s="63"/>
      <c r="AD566" s="63"/>
      <c r="AJ566" s="63"/>
      <c r="AK566" s="63"/>
    </row>
    <row r="567" spans="2:42">
      <c r="B567" s="63"/>
      <c r="C567" s="63"/>
      <c r="D567" s="63"/>
      <c r="E567" s="66"/>
      <c r="H567" s="63"/>
      <c r="I567" s="63"/>
      <c r="J567" s="56"/>
      <c r="K567" s="63"/>
      <c r="L567" s="63"/>
      <c r="P567" s="63"/>
      <c r="Q567" s="63"/>
      <c r="R567" s="58"/>
      <c r="S567" s="58"/>
      <c r="T567" s="58"/>
      <c r="W567" s="63"/>
      <c r="X567" s="63"/>
      <c r="Z567" s="63"/>
      <c r="AA567" s="63"/>
      <c r="AC567" s="63"/>
      <c r="AD567" s="63"/>
      <c r="AJ567" s="63"/>
      <c r="AK567" s="63"/>
    </row>
    <row r="568" spans="2:42">
      <c r="B568" s="63"/>
      <c r="C568" s="63"/>
      <c r="D568" s="63"/>
      <c r="E568" s="66"/>
      <c r="H568" s="63"/>
      <c r="I568" s="63"/>
      <c r="J568" s="56"/>
      <c r="K568" s="63"/>
      <c r="L568" s="63"/>
      <c r="P568" s="63"/>
      <c r="Q568" s="63"/>
      <c r="R568" s="58"/>
      <c r="S568" s="58"/>
      <c r="T568" s="58"/>
      <c r="W568" s="63"/>
      <c r="X568" s="63"/>
      <c r="Z568" s="63"/>
      <c r="AA568" s="63"/>
      <c r="AC568" s="63"/>
      <c r="AD568" s="63"/>
      <c r="AJ568" s="63"/>
      <c r="AK568" s="63"/>
    </row>
    <row r="569" spans="2:42">
      <c r="B569" s="63"/>
      <c r="C569" s="63"/>
      <c r="D569" s="63"/>
      <c r="E569" s="66"/>
      <c r="H569" s="63"/>
      <c r="I569" s="63"/>
      <c r="J569" s="56"/>
      <c r="K569" s="63"/>
      <c r="L569" s="63"/>
      <c r="P569" s="63"/>
      <c r="Q569" s="63"/>
      <c r="R569" s="58"/>
      <c r="S569" s="58"/>
      <c r="T569" s="58"/>
      <c r="W569" s="63"/>
      <c r="X569" s="63"/>
      <c r="Z569" s="63"/>
      <c r="AA569" s="63"/>
      <c r="AC569" s="63"/>
      <c r="AD569" s="63"/>
      <c r="AJ569" s="63"/>
      <c r="AK569" s="63"/>
    </row>
    <row r="570" spans="2:42">
      <c r="B570" s="63"/>
      <c r="C570" s="63"/>
      <c r="D570" s="63"/>
      <c r="E570" s="66"/>
      <c r="H570" s="63"/>
      <c r="I570" s="63"/>
      <c r="J570" s="56"/>
      <c r="K570" s="63"/>
      <c r="L570" s="63"/>
      <c r="P570" s="63"/>
      <c r="Q570" s="63"/>
      <c r="R570" s="58"/>
      <c r="S570" s="58"/>
      <c r="T570" s="58"/>
      <c r="W570" s="63"/>
      <c r="X570" s="63"/>
      <c r="Z570" s="63"/>
      <c r="AA570" s="63"/>
      <c r="AC570" s="63"/>
      <c r="AD570" s="63"/>
      <c r="AJ570" s="63"/>
      <c r="AK570" s="63"/>
    </row>
    <row r="571" spans="2:42">
      <c r="B571" s="63"/>
      <c r="C571" s="63"/>
      <c r="D571" s="63"/>
      <c r="E571" s="66"/>
      <c r="H571" s="63"/>
      <c r="I571" s="62"/>
      <c r="J571" s="56"/>
      <c r="K571" s="63"/>
      <c r="M571" s="71"/>
      <c r="W571" s="63"/>
      <c r="Z571" s="63"/>
      <c r="AA571" s="63"/>
      <c r="AC571" s="63"/>
      <c r="AD571" s="63"/>
      <c r="AI571" s="63"/>
      <c r="AO571" s="63"/>
    </row>
    <row r="572" spans="2:42">
      <c r="B572" s="63"/>
      <c r="C572" s="63"/>
      <c r="D572" s="63"/>
      <c r="E572" s="66"/>
      <c r="H572" s="63"/>
      <c r="I572" s="62"/>
      <c r="J572" s="56"/>
      <c r="K572" s="63"/>
      <c r="M572" s="71"/>
      <c r="W572" s="63"/>
      <c r="Z572" s="63"/>
      <c r="AA572" s="63"/>
      <c r="AC572" s="63"/>
      <c r="AD572" s="63"/>
      <c r="AI572" s="63"/>
      <c r="AO572" s="63"/>
    </row>
    <row r="573" spans="2:42">
      <c r="B573" s="63"/>
      <c r="C573" s="63"/>
      <c r="D573" s="63"/>
      <c r="E573" s="66"/>
      <c r="H573" s="63"/>
      <c r="I573" s="62"/>
      <c r="J573" s="56"/>
      <c r="K573" s="63"/>
      <c r="M573" s="71"/>
      <c r="W573" s="63"/>
      <c r="Z573" s="63"/>
      <c r="AA573" s="63"/>
      <c r="AC573" s="63"/>
      <c r="AD573" s="63"/>
      <c r="AI573" s="63"/>
      <c r="AO573" s="63"/>
    </row>
    <row r="574" spans="2:42">
      <c r="B574" s="63"/>
      <c r="C574" s="63"/>
      <c r="D574" s="63"/>
      <c r="E574" s="66"/>
      <c r="H574" s="63"/>
      <c r="I574" s="62"/>
      <c r="J574" s="56"/>
      <c r="K574" s="63"/>
      <c r="M574" s="71"/>
      <c r="W574" s="63"/>
      <c r="Z574" s="63"/>
      <c r="AA574" s="63"/>
      <c r="AC574" s="63"/>
      <c r="AD574" s="63"/>
      <c r="AI574" s="63"/>
      <c r="AO574" s="63"/>
    </row>
    <row r="575" spans="2:42">
      <c r="B575" s="63"/>
      <c r="C575" s="63"/>
      <c r="D575" s="63"/>
      <c r="E575" s="66"/>
      <c r="H575" s="63"/>
      <c r="I575" s="62"/>
      <c r="J575" s="56"/>
      <c r="K575" s="63"/>
      <c r="M575" s="71"/>
      <c r="W575" s="63"/>
      <c r="Z575" s="63"/>
      <c r="AA575" s="63"/>
      <c r="AC575" s="63"/>
      <c r="AD575" s="63"/>
      <c r="AI575" s="63"/>
      <c r="AO575" s="63"/>
    </row>
    <row r="576" spans="2:42">
      <c r="B576" s="63"/>
      <c r="C576" s="63"/>
      <c r="D576" s="63"/>
      <c r="E576" s="66"/>
      <c r="H576" s="63"/>
      <c r="I576" s="62"/>
      <c r="J576" s="56"/>
      <c r="K576" s="63"/>
      <c r="M576" s="71"/>
      <c r="W576" s="63"/>
      <c r="Z576" s="63"/>
      <c r="AA576" s="63"/>
      <c r="AC576" s="63"/>
      <c r="AD576" s="63"/>
      <c r="AI576" s="63"/>
      <c r="AO576" s="63"/>
    </row>
    <row r="577" spans="2:41">
      <c r="B577" s="63"/>
      <c r="C577" s="63"/>
      <c r="D577" s="63"/>
      <c r="E577" s="66"/>
      <c r="H577" s="63"/>
      <c r="I577" s="62"/>
      <c r="J577" s="56"/>
      <c r="K577" s="63"/>
      <c r="M577" s="71"/>
      <c r="W577" s="63"/>
      <c r="Z577" s="63"/>
      <c r="AA577" s="63"/>
      <c r="AC577" s="63"/>
      <c r="AD577" s="63"/>
      <c r="AI577" s="63"/>
      <c r="AO577" s="63"/>
    </row>
    <row r="578" spans="2:41">
      <c r="B578" s="63"/>
      <c r="C578" s="63"/>
      <c r="D578" s="63"/>
      <c r="E578" s="66"/>
      <c r="H578" s="63"/>
      <c r="I578" s="62"/>
      <c r="J578" s="56"/>
      <c r="K578" s="63"/>
      <c r="M578" s="71"/>
      <c r="W578" s="63"/>
      <c r="Z578" s="63"/>
      <c r="AA578" s="63"/>
      <c r="AC578" s="63"/>
      <c r="AD578" s="63"/>
      <c r="AI578" s="63"/>
      <c r="AO578" s="63"/>
    </row>
    <row r="579" spans="2:41">
      <c r="B579" s="63"/>
      <c r="C579" s="63"/>
      <c r="D579" s="63"/>
      <c r="E579" s="66"/>
      <c r="H579" s="63"/>
      <c r="J579" s="56"/>
      <c r="K579" s="63"/>
    </row>
    <row r="580" spans="2:41">
      <c r="B580" s="63"/>
      <c r="C580" s="63"/>
      <c r="D580" s="63"/>
      <c r="E580" s="66"/>
      <c r="H580" s="63"/>
      <c r="J580" s="56"/>
      <c r="K580" s="58"/>
    </row>
    <row r="581" spans="2:41">
      <c r="E581" s="66"/>
      <c r="J581" s="56"/>
    </row>
    <row r="582" spans="2:41">
      <c r="E582" s="66"/>
      <c r="J582" s="56"/>
    </row>
    <row r="583" spans="2:41">
      <c r="E583" s="66"/>
      <c r="J583" s="56"/>
    </row>
    <row r="584" spans="2:41">
      <c r="E584" s="66"/>
      <c r="J584" s="56"/>
    </row>
    <row r="585" spans="2:41">
      <c r="E585" s="66"/>
      <c r="J585" s="56"/>
    </row>
    <row r="586" spans="2:41">
      <c r="E586" s="66"/>
      <c r="J586" s="56"/>
    </row>
    <row r="587" spans="2:41">
      <c r="E587" s="66"/>
      <c r="J587" s="56"/>
    </row>
    <row r="588" spans="2:41">
      <c r="E588" s="66"/>
      <c r="J588" s="56"/>
    </row>
    <row r="589" spans="2:41">
      <c r="E589" s="66"/>
      <c r="J589" s="56"/>
    </row>
    <row r="590" spans="2:41">
      <c r="E590" s="66"/>
      <c r="J590" s="56"/>
    </row>
    <row r="591" spans="2:41">
      <c r="E591" s="66"/>
      <c r="J591" s="56"/>
    </row>
    <row r="592" spans="2:41">
      <c r="E592" s="66"/>
      <c r="J592" s="56"/>
    </row>
    <row r="593" spans="5:10">
      <c r="E593" s="66"/>
      <c r="J593" s="56"/>
    </row>
    <row r="594" spans="5:10">
      <c r="E594" s="66"/>
      <c r="J594" s="56"/>
    </row>
    <row r="595" spans="5:10">
      <c r="E595" s="66"/>
      <c r="J595" s="56"/>
    </row>
    <row r="596" spans="5:10">
      <c r="E596" s="66"/>
      <c r="J596" s="56"/>
    </row>
    <row r="597" spans="5:10">
      <c r="E597" s="66"/>
      <c r="J597" s="56"/>
    </row>
    <row r="598" spans="5:10">
      <c r="E598" s="66"/>
      <c r="J598" s="56"/>
    </row>
    <row r="599" spans="5:10">
      <c r="E599" s="66"/>
      <c r="J599" s="56"/>
    </row>
    <row r="600" spans="5:10">
      <c r="E600" s="66"/>
      <c r="J600" s="56"/>
    </row>
    <row r="601" spans="5:10">
      <c r="E601" s="66"/>
      <c r="J601" s="56"/>
    </row>
    <row r="602" spans="5:10">
      <c r="E602" s="66"/>
      <c r="J602" s="56"/>
    </row>
    <row r="603" spans="5:10">
      <c r="E603" s="66"/>
      <c r="J603" s="56"/>
    </row>
    <row r="604" spans="5:10">
      <c r="E604" s="66"/>
      <c r="J604" s="56"/>
    </row>
    <row r="605" spans="5:10">
      <c r="E605" s="66"/>
      <c r="J605" s="56"/>
    </row>
    <row r="606" spans="5:10">
      <c r="E606" s="66"/>
      <c r="J606" s="56"/>
    </row>
    <row r="607" spans="5:10">
      <c r="E607" s="66"/>
      <c r="J607" s="56"/>
    </row>
    <row r="608" spans="5:10">
      <c r="E608" s="66"/>
      <c r="J608" s="56"/>
    </row>
    <row r="609" spans="5:10">
      <c r="E609" s="66"/>
      <c r="J609" s="56"/>
    </row>
    <row r="610" spans="5:10">
      <c r="E610" s="66"/>
      <c r="J610" s="56"/>
    </row>
    <row r="611" spans="5:10">
      <c r="E611" s="66"/>
      <c r="J611" s="56"/>
    </row>
    <row r="612" spans="5:10">
      <c r="E612" s="66"/>
      <c r="J612" s="56"/>
    </row>
    <row r="613" spans="5:10">
      <c r="E613" s="66"/>
      <c r="J613" s="56"/>
    </row>
    <row r="614" spans="5:10">
      <c r="E614" s="66"/>
      <c r="J614" s="56"/>
    </row>
    <row r="615" spans="5:10">
      <c r="E615" s="66"/>
      <c r="J615" s="56"/>
    </row>
    <row r="616" spans="5:10">
      <c r="E616" s="66"/>
      <c r="J616" s="56"/>
    </row>
    <row r="617" spans="5:10">
      <c r="E617" s="66"/>
      <c r="J617" s="56"/>
    </row>
    <row r="618" spans="5:10">
      <c r="E618" s="66"/>
      <c r="J618" s="56"/>
    </row>
    <row r="619" spans="5:10">
      <c r="E619" s="66"/>
    </row>
    <row r="620" spans="5:10">
      <c r="E620" s="66"/>
    </row>
  </sheetData>
  <autoFilter ref="A1:AP618"/>
  <phoneticPr fontId="15" type="noConversion"/>
  <pageMargins left="0.69930555555555596" right="0.69930555555555596" top="0.75" bottom="0.75" header="0.3" footer="0.3"/>
  <pageSetup paperSize="9" orientation="portrait" horizontalDpi="200" verticalDpi="30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251"/>
  <sheetViews>
    <sheetView zoomScaleNormal="100" workbookViewId="0">
      <pane xSplit="5" ySplit="2" topLeftCell="F72" activePane="bottomRight" state="frozen"/>
      <selection pane="topRight"/>
      <selection pane="bottomLeft"/>
      <selection pane="bottomRight" activeCell="T95" sqref="T95"/>
    </sheetView>
  </sheetViews>
  <sheetFormatPr defaultColWidth="9" defaultRowHeight="14.25"/>
  <cols>
    <col min="1" max="1" width="3.75" style="8" customWidth="1"/>
    <col min="2" max="2" width="5.125" style="8" customWidth="1"/>
    <col min="3" max="3" width="9.5" style="8" customWidth="1"/>
    <col min="4" max="4" width="6.375" style="8" customWidth="1"/>
    <col min="5" max="5" width="6.875" style="8" customWidth="1"/>
    <col min="6" max="6" width="8.125" style="9" customWidth="1"/>
    <col min="7" max="8" width="6.125" style="9" customWidth="1"/>
    <col min="9" max="9" width="6.625" style="9" customWidth="1"/>
    <col min="10" max="10" width="4.875" style="9" customWidth="1"/>
    <col min="11" max="11" width="5.125" style="9" customWidth="1"/>
    <col min="12" max="12" width="4.625" style="9" customWidth="1"/>
    <col min="13" max="13" width="5.25" style="9" customWidth="1"/>
    <col min="14" max="15" width="4.375" style="9" customWidth="1"/>
    <col min="16" max="16" width="7.5" style="25" customWidth="1"/>
    <col min="17" max="17" width="4.625" style="25" customWidth="1"/>
    <col min="18" max="18" width="6.75" style="25" customWidth="1"/>
    <col min="19" max="19" width="7.25" style="25" customWidth="1"/>
    <col min="20" max="20" width="107.5" style="110" customWidth="1"/>
    <col min="21" max="21" width="51.875" style="26" customWidth="1"/>
    <col min="22" max="22" width="8.625" style="27" customWidth="1"/>
    <col min="23" max="91" width="8.625" style="28" customWidth="1"/>
    <col min="92" max="92" width="9.625" style="7" hidden="1" customWidth="1"/>
    <col min="93" max="93" width="14.5" style="7" hidden="1" customWidth="1"/>
    <col min="94" max="94" width="12" style="7" hidden="1" customWidth="1"/>
    <col min="95" max="95" width="13.125" style="7" hidden="1" customWidth="1"/>
    <col min="96" max="98" width="15.375" style="7" hidden="1" customWidth="1"/>
    <col min="99" max="99" width="46" style="29" customWidth="1"/>
    <col min="100" max="104" width="9" style="29"/>
    <col min="105" max="105" width="32.75" style="29" customWidth="1"/>
    <col min="106" max="119" width="3.625" style="30" customWidth="1"/>
    <col min="120" max="120" width="14.875" style="30" customWidth="1"/>
    <col min="121" max="131" width="3.625" style="30" customWidth="1"/>
    <col min="132" max="132" width="5.25" style="30" customWidth="1"/>
    <col min="133" max="133" width="9" style="30" customWidth="1"/>
    <col min="134" max="146" width="3.625" style="30" customWidth="1"/>
    <col min="147" max="147" width="4" style="29" customWidth="1"/>
    <col min="148" max="175" width="3.625" style="29" customWidth="1"/>
    <col min="176" max="16384" width="9" style="29"/>
  </cols>
  <sheetData>
    <row r="1" spans="1:175">
      <c r="F1" s="123" t="s">
        <v>79</v>
      </c>
      <c r="G1" s="123"/>
      <c r="H1" s="123"/>
      <c r="I1" s="123"/>
      <c r="J1" s="123"/>
      <c r="K1" s="123"/>
      <c r="L1" s="123"/>
      <c r="M1" s="123"/>
      <c r="N1" s="123"/>
      <c r="O1" s="123"/>
      <c r="P1" s="124" t="s">
        <v>80</v>
      </c>
      <c r="Q1" s="125"/>
      <c r="R1" s="125"/>
      <c r="S1" s="126"/>
      <c r="T1" s="127" t="s">
        <v>7</v>
      </c>
      <c r="U1" s="127"/>
      <c r="V1">
        <v>1</v>
      </c>
      <c r="W1">
        <v>2</v>
      </c>
      <c r="X1">
        <v>3</v>
      </c>
      <c r="Y1">
        <v>4</v>
      </c>
      <c r="Z1">
        <v>5</v>
      </c>
      <c r="AA1">
        <v>6</v>
      </c>
      <c r="AB1">
        <v>7</v>
      </c>
      <c r="AC1">
        <v>8</v>
      </c>
      <c r="AD1">
        <v>9</v>
      </c>
      <c r="AE1">
        <v>10</v>
      </c>
      <c r="AF1">
        <v>11</v>
      </c>
      <c r="AG1">
        <v>12</v>
      </c>
      <c r="AH1">
        <v>13</v>
      </c>
      <c r="AI1">
        <v>14</v>
      </c>
      <c r="AJ1">
        <v>15</v>
      </c>
      <c r="AK1">
        <v>16</v>
      </c>
      <c r="AL1">
        <v>17</v>
      </c>
      <c r="AM1">
        <v>18</v>
      </c>
      <c r="AN1">
        <v>19</v>
      </c>
      <c r="AO1">
        <v>20</v>
      </c>
      <c r="AP1">
        <v>21</v>
      </c>
      <c r="AQ1">
        <v>22</v>
      </c>
      <c r="AR1">
        <v>23</v>
      </c>
      <c r="AS1">
        <v>24</v>
      </c>
      <c r="AT1">
        <v>25</v>
      </c>
      <c r="AU1">
        <v>26</v>
      </c>
      <c r="AV1">
        <v>27</v>
      </c>
      <c r="AW1">
        <v>28</v>
      </c>
      <c r="AX1">
        <v>29</v>
      </c>
      <c r="AY1">
        <v>30</v>
      </c>
      <c r="AZ1">
        <v>31</v>
      </c>
      <c r="BA1">
        <v>32</v>
      </c>
      <c r="BB1">
        <v>33</v>
      </c>
      <c r="BC1">
        <v>34</v>
      </c>
      <c r="BD1">
        <v>35</v>
      </c>
      <c r="BE1">
        <v>36</v>
      </c>
      <c r="BF1">
        <v>37</v>
      </c>
      <c r="BG1">
        <v>38</v>
      </c>
      <c r="BH1">
        <v>39</v>
      </c>
      <c r="BI1">
        <v>40</v>
      </c>
      <c r="BJ1">
        <v>41</v>
      </c>
      <c r="BK1">
        <v>42</v>
      </c>
      <c r="BL1">
        <v>43</v>
      </c>
      <c r="BM1">
        <v>44</v>
      </c>
      <c r="BN1">
        <v>45</v>
      </c>
      <c r="BO1">
        <v>46</v>
      </c>
      <c r="BP1">
        <v>47</v>
      </c>
      <c r="BQ1">
        <v>48</v>
      </c>
      <c r="BR1">
        <v>49</v>
      </c>
      <c r="BS1">
        <v>50</v>
      </c>
      <c r="BT1">
        <v>51</v>
      </c>
      <c r="BU1">
        <v>52</v>
      </c>
      <c r="BV1">
        <v>53</v>
      </c>
      <c r="BW1">
        <v>54</v>
      </c>
      <c r="BX1">
        <v>55</v>
      </c>
      <c r="BY1">
        <v>56</v>
      </c>
      <c r="BZ1">
        <v>57</v>
      </c>
      <c r="CA1">
        <v>58</v>
      </c>
      <c r="CB1">
        <v>59</v>
      </c>
      <c r="CC1">
        <v>60</v>
      </c>
      <c r="CD1">
        <v>61</v>
      </c>
      <c r="CE1">
        <v>62</v>
      </c>
      <c r="CF1">
        <v>63</v>
      </c>
      <c r="CG1">
        <v>64</v>
      </c>
      <c r="CH1">
        <v>65</v>
      </c>
      <c r="CI1">
        <v>66</v>
      </c>
      <c r="CJ1">
        <v>67</v>
      </c>
      <c r="CK1">
        <v>68</v>
      </c>
      <c r="CL1">
        <v>69</v>
      </c>
      <c r="CM1">
        <v>70</v>
      </c>
      <c r="CN1" s="29" t="s">
        <v>81</v>
      </c>
      <c r="CR1" s="33" t="s">
        <v>81</v>
      </c>
      <c r="CS1" s="34"/>
      <c r="CT1" s="34"/>
      <c r="DB1"/>
      <c r="DC1"/>
      <c r="DD1"/>
      <c r="DE1"/>
      <c r="DF1"/>
      <c r="DG1"/>
      <c r="DH1"/>
      <c r="DI1"/>
      <c r="DJ1" t="s">
        <v>730</v>
      </c>
      <c r="DK1" t="s">
        <v>730</v>
      </c>
      <c r="DL1" t="s">
        <v>730</v>
      </c>
      <c r="DM1" t="s">
        <v>730</v>
      </c>
      <c r="DN1" t="s">
        <v>730</v>
      </c>
      <c r="DO1" t="s">
        <v>730</v>
      </c>
      <c r="DP1" t="s">
        <v>730</v>
      </c>
      <c r="DQ1" t="s">
        <v>730</v>
      </c>
      <c r="DR1" t="s">
        <v>730</v>
      </c>
      <c r="DS1" t="s">
        <v>730</v>
      </c>
      <c r="DT1" t="s">
        <v>730</v>
      </c>
      <c r="DU1" t="s">
        <v>730</v>
      </c>
      <c r="DV1" t="s">
        <v>730</v>
      </c>
      <c r="DW1" t="s">
        <v>730</v>
      </c>
      <c r="DX1" t="s">
        <v>730</v>
      </c>
      <c r="DY1" t="s">
        <v>730</v>
      </c>
      <c r="DZ1" t="s">
        <v>730</v>
      </c>
      <c r="EA1"/>
      <c r="EB1"/>
      <c r="EC1"/>
      <c r="ED1"/>
      <c r="EE1"/>
      <c r="EF1" t="s">
        <v>730</v>
      </c>
      <c r="EG1" t="s">
        <v>730</v>
      </c>
      <c r="EH1" t="s">
        <v>730</v>
      </c>
      <c r="FJ1" s="86" t="s">
        <v>404</v>
      </c>
      <c r="FK1" s="86" t="s">
        <v>404</v>
      </c>
      <c r="FL1" s="86" t="s">
        <v>404</v>
      </c>
      <c r="FM1" s="86" t="s">
        <v>404</v>
      </c>
      <c r="FN1" s="86" t="s">
        <v>404</v>
      </c>
      <c r="FO1" s="86" t="s">
        <v>404</v>
      </c>
      <c r="FP1" s="86" t="s">
        <v>404</v>
      </c>
      <c r="FQ1" s="86" t="s">
        <v>404</v>
      </c>
      <c r="FR1" s="86" t="s">
        <v>404</v>
      </c>
    </row>
    <row r="2" spans="1:175">
      <c r="B2" s="8" t="s">
        <v>83</v>
      </c>
      <c r="D2" s="8" t="s">
        <v>82</v>
      </c>
      <c r="E2" s="8" t="s">
        <v>84</v>
      </c>
      <c r="F2" s="9" t="s">
        <v>85</v>
      </c>
      <c r="G2" s="9" t="s">
        <v>86</v>
      </c>
      <c r="H2" s="9" t="s">
        <v>850</v>
      </c>
      <c r="I2" s="9" t="s">
        <v>849</v>
      </c>
      <c r="J2" s="9" t="s">
        <v>87</v>
      </c>
      <c r="K2" s="9" t="s">
        <v>88</v>
      </c>
      <c r="L2" s="9" t="s">
        <v>89</v>
      </c>
      <c r="M2" s="9" t="s">
        <v>90</v>
      </c>
      <c r="N2" s="9" t="s">
        <v>91</v>
      </c>
      <c r="O2" s="9" t="s">
        <v>92</v>
      </c>
      <c r="P2" s="12" t="s">
        <v>85</v>
      </c>
      <c r="Q2" s="12" t="s">
        <v>86</v>
      </c>
      <c r="R2" s="12" t="s">
        <v>93</v>
      </c>
      <c r="S2" s="12" t="s">
        <v>94</v>
      </c>
      <c r="T2" s="99" t="s">
        <v>95</v>
      </c>
      <c r="U2" s="26" t="s">
        <v>96</v>
      </c>
      <c r="V2" t="s">
        <v>707</v>
      </c>
      <c r="W2" t="s">
        <v>708</v>
      </c>
      <c r="X2" t="s">
        <v>709</v>
      </c>
      <c r="Y2" t="s">
        <v>710</v>
      </c>
      <c r="Z2" t="s">
        <v>22</v>
      </c>
      <c r="AA2" t="s">
        <v>711</v>
      </c>
      <c r="AB2" t="s">
        <v>712</v>
      </c>
      <c r="AC2" t="s">
        <v>124</v>
      </c>
      <c r="AD2" t="s">
        <v>116</v>
      </c>
      <c r="AE2" t="s">
        <v>105</v>
      </c>
      <c r="AF2" t="s">
        <v>713</v>
      </c>
      <c r="AG2" t="s">
        <v>714</v>
      </c>
      <c r="AH2" t="s">
        <v>113</v>
      </c>
      <c r="AI2" t="s">
        <v>715</v>
      </c>
      <c r="AJ2" t="s">
        <v>716</v>
      </c>
      <c r="AK2" t="s">
        <v>717</v>
      </c>
      <c r="AL2" t="s">
        <v>718</v>
      </c>
      <c r="AM2" t="s">
        <v>719</v>
      </c>
      <c r="AN2" t="s">
        <v>720</v>
      </c>
      <c r="AO2" t="s">
        <v>721</v>
      </c>
      <c r="AP2" t="s">
        <v>722</v>
      </c>
      <c r="AQ2" t="s">
        <v>723</v>
      </c>
      <c r="AR2" t="s">
        <v>724</v>
      </c>
      <c r="AS2" t="s">
        <v>725</v>
      </c>
      <c r="AT2" t="s">
        <v>726</v>
      </c>
      <c r="AU2" t="s">
        <v>727</v>
      </c>
      <c r="AV2" s="1" t="s">
        <v>728</v>
      </c>
      <c r="AW2"/>
      <c r="AX2"/>
      <c r="AY2"/>
      <c r="AZ2" t="s">
        <v>729</v>
      </c>
      <c r="BA2" t="s">
        <v>707</v>
      </c>
      <c r="BB2" t="s">
        <v>708</v>
      </c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 s="7" t="s">
        <v>155</v>
      </c>
      <c r="CO2" s="7" t="s">
        <v>156</v>
      </c>
      <c r="CP2" s="7" t="s">
        <v>157</v>
      </c>
      <c r="CQ2" s="7" t="s">
        <v>158</v>
      </c>
      <c r="CR2" s="7" t="s">
        <v>159</v>
      </c>
      <c r="CS2" s="7" t="s">
        <v>160</v>
      </c>
      <c r="CT2" s="7" t="s">
        <v>161</v>
      </c>
      <c r="DB2" s="97" t="str">
        <f>V2</f>
        <v>攻击</v>
      </c>
      <c r="DC2" s="97" t="str">
        <f t="shared" ref="DC2:FN2" si="0">W2</f>
        <v>法强</v>
      </c>
      <c r="DD2" s="97" t="str">
        <f t="shared" si="0"/>
        <v>护甲</v>
      </c>
      <c r="DE2" s="97" t="str">
        <f t="shared" si="0"/>
        <v>法抗</v>
      </c>
      <c r="DF2" s="97" t="str">
        <f t="shared" si="0"/>
        <v>生命值</v>
      </c>
      <c r="DG2" s="97" t="str">
        <f t="shared" si="0"/>
        <v>魔法值</v>
      </c>
      <c r="DH2" s="97" t="str">
        <f t="shared" si="0"/>
        <v>生命回复</v>
      </c>
      <c r="DI2" s="97" t="str">
        <f t="shared" si="0"/>
        <v>魔法回复</v>
      </c>
      <c r="DJ2" s="97" t="str">
        <f t="shared" si="0"/>
        <v>攻速</v>
      </c>
      <c r="DK2" s="97" t="str">
        <f t="shared" si="0"/>
        <v>闪避</v>
      </c>
      <c r="DL2" s="97" t="str">
        <f t="shared" si="0"/>
        <v>免伤</v>
      </c>
      <c r="DM2" s="97" t="str">
        <f t="shared" si="0"/>
        <v>普攻伤害</v>
      </c>
      <c r="DN2" s="97" t="str">
        <f t="shared" si="0"/>
        <v>物理穿透</v>
      </c>
      <c r="DO2" s="97" t="str">
        <f t="shared" si="0"/>
        <v>法术穿透</v>
      </c>
      <c r="DP2" s="97" t="str">
        <f t="shared" si="0"/>
        <v>物理伤害</v>
      </c>
      <c r="DQ2" s="97" t="str">
        <f t="shared" si="0"/>
        <v>法术伤害</v>
      </c>
      <c r="DR2" s="97" t="str">
        <f t="shared" si="0"/>
        <v>伤害加成</v>
      </c>
      <c r="DS2" s="97" t="str">
        <f t="shared" si="0"/>
        <v>伤害减免</v>
      </c>
      <c r="DT2" s="97" t="str">
        <f t="shared" si="0"/>
        <v>暴击</v>
      </c>
      <c r="DU2" s="97" t="str">
        <f t="shared" si="0"/>
        <v>暴伤</v>
      </c>
      <c r="DV2" s="97" t="str">
        <f t="shared" si="0"/>
        <v>伤害吸取</v>
      </c>
      <c r="DW2" s="97" t="str">
        <f t="shared" si="0"/>
        <v>分裂</v>
      </c>
      <c r="DX2" s="97" t="str">
        <f t="shared" si="0"/>
        <v>致命概率</v>
      </c>
      <c r="DY2" s="97" t="str">
        <f t="shared" si="0"/>
        <v>致命倍率</v>
      </c>
      <c r="DZ2" s="97" t="str">
        <f t="shared" si="0"/>
        <v>冷却缩减</v>
      </c>
      <c r="EA2" s="97" t="str">
        <f t="shared" si="0"/>
        <v>冷却降低</v>
      </c>
      <c r="EB2" s="97" t="str">
        <f t="shared" si="0"/>
        <v>元神力</v>
      </c>
      <c r="EC2" s="97">
        <f t="shared" si="0"/>
        <v>0</v>
      </c>
      <c r="ED2" s="97">
        <f t="shared" si="0"/>
        <v>0</v>
      </c>
      <c r="EE2" s="97">
        <f t="shared" si="0"/>
        <v>0</v>
      </c>
      <c r="EF2" s="97" t="str">
        <f t="shared" si="0"/>
        <v>生命</v>
      </c>
      <c r="EG2" s="97" t="str">
        <f t="shared" si="0"/>
        <v>攻击</v>
      </c>
      <c r="EH2" s="97" t="str">
        <f t="shared" si="0"/>
        <v>法强</v>
      </c>
      <c r="EI2" s="97">
        <f t="shared" si="0"/>
        <v>0</v>
      </c>
      <c r="EJ2" s="97">
        <f t="shared" si="0"/>
        <v>0</v>
      </c>
      <c r="EK2" s="97">
        <f t="shared" si="0"/>
        <v>0</v>
      </c>
      <c r="EL2" s="97">
        <f t="shared" si="0"/>
        <v>0</v>
      </c>
      <c r="EM2" s="97">
        <f t="shared" si="0"/>
        <v>0</v>
      </c>
      <c r="EN2" s="97">
        <f t="shared" si="0"/>
        <v>0</v>
      </c>
      <c r="EO2" s="97">
        <f t="shared" si="0"/>
        <v>0</v>
      </c>
      <c r="EP2" s="97">
        <f t="shared" si="0"/>
        <v>0</v>
      </c>
      <c r="EQ2" s="97">
        <f t="shared" si="0"/>
        <v>0</v>
      </c>
      <c r="ER2" s="97">
        <f t="shared" si="0"/>
        <v>0</v>
      </c>
      <c r="ES2" s="97">
        <f t="shared" si="0"/>
        <v>0</v>
      </c>
      <c r="ET2" s="97">
        <f t="shared" si="0"/>
        <v>0</v>
      </c>
      <c r="EU2" s="97">
        <f t="shared" si="0"/>
        <v>0</v>
      </c>
      <c r="EV2" s="97">
        <f t="shared" si="0"/>
        <v>0</v>
      </c>
      <c r="EW2" s="97">
        <f t="shared" si="0"/>
        <v>0</v>
      </c>
      <c r="EX2" s="97">
        <f t="shared" si="0"/>
        <v>0</v>
      </c>
      <c r="EY2" s="97">
        <f t="shared" si="0"/>
        <v>0</v>
      </c>
      <c r="EZ2" s="97">
        <f t="shared" si="0"/>
        <v>0</v>
      </c>
      <c r="FA2" s="97">
        <f t="shared" si="0"/>
        <v>0</v>
      </c>
      <c r="FB2" s="97">
        <f t="shared" si="0"/>
        <v>0</v>
      </c>
      <c r="FC2" s="97">
        <f t="shared" si="0"/>
        <v>0</v>
      </c>
      <c r="FD2" s="97">
        <f t="shared" si="0"/>
        <v>0</v>
      </c>
      <c r="FE2" s="97">
        <f t="shared" si="0"/>
        <v>0</v>
      </c>
      <c r="FF2" s="97">
        <f t="shared" si="0"/>
        <v>0</v>
      </c>
      <c r="FG2" s="97">
        <f t="shared" si="0"/>
        <v>0</v>
      </c>
      <c r="FH2" s="97">
        <f t="shared" si="0"/>
        <v>0</v>
      </c>
      <c r="FI2" s="97">
        <f t="shared" si="0"/>
        <v>0</v>
      </c>
      <c r="FJ2" s="97">
        <f t="shared" si="0"/>
        <v>0</v>
      </c>
      <c r="FK2" s="97">
        <f t="shared" si="0"/>
        <v>0</v>
      </c>
      <c r="FL2" s="97">
        <f t="shared" si="0"/>
        <v>0</v>
      </c>
      <c r="FM2" s="97">
        <f t="shared" si="0"/>
        <v>0</v>
      </c>
      <c r="FN2" s="97">
        <f t="shared" si="0"/>
        <v>0</v>
      </c>
      <c r="FO2" s="97">
        <f t="shared" ref="FO2:FS2" si="1">CI2</f>
        <v>0</v>
      </c>
      <c r="FP2" s="97">
        <f t="shared" si="1"/>
        <v>0</v>
      </c>
      <c r="FQ2" s="97">
        <f t="shared" si="1"/>
        <v>0</v>
      </c>
      <c r="FR2" s="97">
        <f t="shared" si="1"/>
        <v>0</v>
      </c>
      <c r="FS2" s="97">
        <f t="shared" si="1"/>
        <v>0</v>
      </c>
    </row>
    <row r="3" spans="1:175" s="24" customFormat="1" ht="16.5">
      <c r="A3" s="5"/>
      <c r="B3" s="36" t="s">
        <v>648</v>
      </c>
      <c r="C3" s="5" t="s">
        <v>674</v>
      </c>
      <c r="D3" s="31"/>
      <c r="E3" s="39"/>
      <c r="F3" s="40">
        <v>6000</v>
      </c>
      <c r="G3" s="38"/>
      <c r="H3" s="38"/>
      <c r="I3" s="38" t="str">
        <f>B4</f>
        <v>E002</v>
      </c>
      <c r="J3" s="38"/>
      <c r="K3" s="38"/>
      <c r="L3" s="38"/>
      <c r="M3" s="38"/>
      <c r="N3" s="38"/>
      <c r="O3" s="38"/>
      <c r="P3" s="42"/>
      <c r="Q3" s="42"/>
      <c r="R3" s="42"/>
      <c r="S3" s="42"/>
      <c r="T3" s="101"/>
      <c r="U3" s="32" t="str">
        <f t="shared" ref="U3" si="2">"ReplaceableTextures\\CommandButtons\\BTN"&amp;B3&amp;".blp"</f>
        <v>ReplaceableTextures\\CommandButtons\\BTNE001.blp</v>
      </c>
      <c r="V3" s="43">
        <v>1000</v>
      </c>
      <c r="W3" s="43"/>
      <c r="X3" s="43"/>
      <c r="Y3" s="43"/>
      <c r="Z3" s="43"/>
      <c r="AA3" s="43"/>
      <c r="AB3" s="43"/>
      <c r="AC3" s="43"/>
      <c r="AD3" s="43">
        <v>13</v>
      </c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  <c r="AQ3" s="43"/>
      <c r="AR3" s="43"/>
      <c r="AS3" s="43"/>
      <c r="AT3" s="43"/>
      <c r="AU3" s="43"/>
      <c r="AV3" s="43"/>
      <c r="AW3" s="43"/>
      <c r="AX3" s="43"/>
      <c r="AY3" s="43"/>
      <c r="AZ3" s="43"/>
      <c r="BA3" s="43"/>
      <c r="BB3" s="43"/>
      <c r="BC3" s="43"/>
      <c r="BD3" s="43"/>
      <c r="BE3" s="43"/>
      <c r="BF3" s="43"/>
      <c r="BG3" s="43"/>
      <c r="BH3" s="43"/>
      <c r="BI3" s="43"/>
      <c r="BJ3" s="43"/>
      <c r="BK3" s="43"/>
      <c r="BL3" s="43"/>
      <c r="BM3" s="43"/>
      <c r="BN3" s="43"/>
      <c r="BO3" s="43"/>
      <c r="BP3" s="43"/>
      <c r="BQ3" s="43"/>
      <c r="BR3" s="43"/>
      <c r="BS3" s="43"/>
      <c r="BT3" s="43"/>
      <c r="BU3" s="43"/>
      <c r="BV3" s="43"/>
      <c r="BW3" s="43"/>
      <c r="BX3" s="43"/>
      <c r="BY3" s="43"/>
      <c r="BZ3" s="43"/>
      <c r="CA3" s="43"/>
      <c r="CB3" s="43"/>
      <c r="CC3" s="43"/>
      <c r="CD3" s="43"/>
      <c r="CE3" s="43"/>
      <c r="CF3" s="43"/>
      <c r="CG3" s="43"/>
      <c r="CH3" s="43"/>
      <c r="CI3" s="43"/>
      <c r="CJ3" s="43"/>
      <c r="CK3" s="43"/>
      <c r="CL3" s="43"/>
      <c r="CM3" s="43"/>
      <c r="CN3" s="44" t="str">
        <f t="shared" ref="CN3:CN34" si="3">"InitUnitState('"&amp;B3&amp;"',"&amp;V3&amp;","&amp;W3&amp;","&amp;X3&amp;","&amp;Y3&amp;","&amp;Z3&amp;","&amp;AA3&amp;","&amp;AB3&amp;","&amp;AC3&amp;","&amp;AD3&amp;","&amp;AE3&amp;")"</f>
        <v>InitUnitState('E001',1000,,,,,,,,13,)</v>
      </c>
      <c r="CO3" s="44" t="str">
        <f t="shared" ref="CO3:CO34" si="4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44" t="str">
        <f t="shared" ref="CP3:CP34" si="5">"InitUnitMagic('"&amp;B3&amp;"',"&amp;AP3&amp;","&amp;AQ3&amp;","&amp;AR3&amp;","&amp;AS3&amp;","&amp;AT3&amp;","&amp;AU3&amp;","&amp;AV3&amp;","&amp;AW3&amp;","&amp;BI3&amp;","&amp;BJ3&amp;")"</f>
        <v>InitUnitMagic('E001',,,,,,,,,,)</v>
      </c>
      <c r="CQ3" s="44" t="str">
        <f t="shared" ref="CQ3:CQ34" si="6">"InitUnitAdd('"&amp;B3&amp;"',"&amp;BK3&amp;","&amp;BL3&amp;","&amp;BM3&amp;","&amp;BN3&amp;","&amp;BO3&amp;","&amp;BP3&amp;","&amp;BQ3&amp;","&amp;BR3&amp;","&amp;BS3&amp;","&amp;BT3&amp;")"</f>
        <v>InitUnitAdd('E001',,,,,,,,,,)</v>
      </c>
      <c r="CR3" s="44" t="str">
        <f t="shared" ref="CR3:CR34" si="7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InitEquipData('E001',,"",,E002,6000,,'','','','','','',"ReplaceableTextures\\CommandButtons\\BTNE002.blp")</v>
      </c>
      <c r="CS3" s="44"/>
      <c r="CT3" s="44"/>
      <c r="CU3" s="45" t="str">
        <f t="shared" ref="CU3" si="8">CONCATENATE(DB3,DC3,DD3,DE3,DF3,DG3,DH3,DI3,DJ3,DK3,DL3,DM3,DN3,DO3,DP3,DQ3,DR3,DS3,DT3,DU3,DV3,DW3,DX3,DY3,DZ3,EA3,EB3,EC3,ED3,EE3,EF3,EG3,EH3,EI3,EJ3,EK3,EL3,EM3,EN3,EO3,EP3&amp;"|n")</f>
        <v>|n攻击+1000|n攻速+13%|n</v>
      </c>
      <c r="CV3" s="29" t="str">
        <f>"|cffffcc00属性：|r"&amp;CU3&amp;VLOOKUP(A3,合成公式!A:P,16,FALSE)&amp;T3</f>
        <v>|cffffcc00属性：|r|n攻击+1000|n攻速+13%|n</v>
      </c>
      <c r="DB3" s="30" t="str">
        <f t="shared" ref="DB3" si="9">IF(V3="","","|n"&amp;DB$2&amp;"+"&amp;V3&amp;DB$1)</f>
        <v>|n攻击+1000</v>
      </c>
      <c r="DC3" s="30" t="str">
        <f t="shared" ref="DC3" si="10">IF(W3="","","|n"&amp;DC$2&amp;"+"&amp;W3&amp;DC$1)</f>
        <v/>
      </c>
      <c r="DD3" s="30" t="str">
        <f t="shared" ref="DD3" si="11">IF(X3="","","|n"&amp;DD$2&amp;"+"&amp;X3&amp;DD$1)</f>
        <v/>
      </c>
      <c r="DE3" s="30" t="str">
        <f t="shared" ref="DE3" si="12">IF(Y3="","","|n"&amp;DE$2&amp;"+"&amp;Y3&amp;DE$1)</f>
        <v/>
      </c>
      <c r="DF3" s="30" t="str">
        <f t="shared" ref="DF3" si="13">IF(Z3="","","|n"&amp;DF$2&amp;"+"&amp;Z3&amp;DF$1)</f>
        <v/>
      </c>
      <c r="DG3" s="30" t="str">
        <f t="shared" ref="DG3" si="14">IF(AA3="","","|n"&amp;DG$2&amp;"+"&amp;AA3&amp;DG$1)</f>
        <v/>
      </c>
      <c r="DH3" s="30" t="str">
        <f t="shared" ref="DH3" si="15">IF(AB3="","","|n"&amp;DH$2&amp;"+"&amp;AB3&amp;DH$1)</f>
        <v/>
      </c>
      <c r="DI3" s="30" t="str">
        <f t="shared" ref="DI3" si="16">IF(AC3="","","|n"&amp;DI$2&amp;"+"&amp;AC3&amp;DI$1)</f>
        <v/>
      </c>
      <c r="DJ3" s="30" t="str">
        <f t="shared" ref="DJ3" si="17">IF(AD3="","","|n"&amp;DJ$2&amp;"+"&amp;AD3&amp;DJ$1)</f>
        <v>|n攻速+13%</v>
      </c>
      <c r="DK3" s="30" t="str">
        <f t="shared" ref="DK3" si="18">IF(AE3="","","|n"&amp;DK$2&amp;"+"&amp;AE3&amp;DK$1)</f>
        <v/>
      </c>
      <c r="DL3" s="30" t="str">
        <f t="shared" ref="DL3" si="19">IF(AF3="","","|n"&amp;DL$2&amp;"+"&amp;AF3&amp;DL$1)</f>
        <v/>
      </c>
      <c r="DM3" s="30" t="str">
        <f t="shared" ref="DM3" si="20">IF(AG3="","","|n"&amp;DM$2&amp;"+"&amp;AG3&amp;DM$1)</f>
        <v/>
      </c>
      <c r="DN3" s="30" t="str">
        <f t="shared" ref="DN3" si="21">IF(AH3="","","|n"&amp;DN$2&amp;"+"&amp;AH3&amp;DN$1)</f>
        <v/>
      </c>
      <c r="DO3" s="30" t="str">
        <f t="shared" ref="DO3" si="22">IF(AI3="","","|n"&amp;DO$2&amp;"+"&amp;AI3&amp;DO$1)</f>
        <v/>
      </c>
      <c r="DP3" s="30" t="str">
        <f t="shared" ref="DP3" si="23">IF(AJ3="","","|n"&amp;DP$2&amp;"+"&amp;AJ3&amp;DP$1)</f>
        <v/>
      </c>
      <c r="DQ3" s="30" t="str">
        <f t="shared" ref="DQ3" si="24">IF(AK3="","","|n"&amp;DQ$2&amp;"+"&amp;AK3&amp;DQ$1)</f>
        <v/>
      </c>
      <c r="DR3" s="30" t="str">
        <f t="shared" ref="DR3" si="25">IF(AL3="","","|n"&amp;DR$2&amp;"+"&amp;AL3&amp;DR$1)</f>
        <v/>
      </c>
      <c r="DS3" s="30" t="str">
        <f t="shared" ref="DS3" si="26">IF(AM3="","","|n"&amp;DS$2&amp;"+"&amp;AM3&amp;DS$1)</f>
        <v/>
      </c>
      <c r="DT3" s="30" t="str">
        <f t="shared" ref="DT3" si="27">IF(AN3="","","|n"&amp;DT$2&amp;"+"&amp;AN3&amp;DT$1)</f>
        <v/>
      </c>
      <c r="DU3" s="30" t="str">
        <f t="shared" ref="DU3" si="28">IF(AO3="","","|n"&amp;DU$2&amp;"+"&amp;AO3&amp;DU$1)</f>
        <v/>
      </c>
      <c r="DV3" s="30" t="str">
        <f t="shared" ref="DV3" si="29">IF(AP3="","","|n"&amp;DV$2&amp;"+"&amp;AP3&amp;DV$1)</f>
        <v/>
      </c>
      <c r="DW3" s="30" t="str">
        <f t="shared" ref="DW3" si="30">IF(AQ3="","","|n"&amp;DW$2&amp;"+"&amp;AQ3&amp;DW$1)</f>
        <v/>
      </c>
      <c r="DX3" s="30" t="str">
        <f t="shared" ref="DX3" si="31">IF(AR3="","","|n"&amp;DX$2&amp;"+"&amp;AR3&amp;DX$1)</f>
        <v/>
      </c>
      <c r="DY3" s="30" t="str">
        <f t="shared" ref="DY3" si="32">IF(AS3="","","|n"&amp;DY$2&amp;"+"&amp;AS3&amp;DY$1)</f>
        <v/>
      </c>
      <c r="DZ3" s="30" t="str">
        <f t="shared" ref="DZ3" si="33">IF(AT3="","","|n"&amp;DZ$2&amp;"+"&amp;AT3&amp;DZ$1)</f>
        <v/>
      </c>
      <c r="EA3" s="30" t="str">
        <f t="shared" ref="EA3" si="34">IF(AU3="","","|n"&amp;EA$2&amp;"+"&amp;AU3&amp;EA$1)</f>
        <v/>
      </c>
      <c r="EB3" s="30" t="str">
        <f t="shared" ref="EB3" si="35">IF(AV3="","","|n"&amp;EB$2&amp;"+"&amp;AV3&amp;EB$1)</f>
        <v/>
      </c>
      <c r="EC3" s="30" t="str">
        <f t="shared" ref="EC3" si="36">IF(AW3="","","|n"&amp;EC$2&amp;"+"&amp;AW3&amp;EC$1)</f>
        <v/>
      </c>
      <c r="ED3" s="30" t="str">
        <f t="shared" ref="ED3" si="37">IF(AX3="","","|n"&amp;ED$2&amp;"+"&amp;AX3&amp;ED$1)</f>
        <v/>
      </c>
      <c r="EE3" s="30" t="str">
        <f t="shared" ref="EE3" si="38">IF(AY3="","","|n"&amp;EE$2&amp;"+"&amp;AY3&amp;EE$1)</f>
        <v/>
      </c>
      <c r="EF3" s="30" t="str">
        <f t="shared" ref="EF3" si="39">IF(AZ3="","","|n"&amp;EF$2&amp;"+"&amp;AZ3&amp;EF$1)</f>
        <v/>
      </c>
      <c r="EG3" s="30" t="str">
        <f t="shared" ref="EG3" si="40">IF(BA3="","","|n"&amp;EG$2&amp;"+"&amp;BA3&amp;EG$1)</f>
        <v/>
      </c>
      <c r="EH3" s="30" t="str">
        <f t="shared" ref="EH3" si="41">IF(BB3="","","|n"&amp;EH$2&amp;"+"&amp;BB3&amp;EH$1)</f>
        <v/>
      </c>
      <c r="EI3" s="30" t="str">
        <f t="shared" ref="EI3" si="42">IF(BC3="","","|n"&amp;EI$2&amp;"+"&amp;BC3&amp;EI$1)</f>
        <v/>
      </c>
      <c r="EJ3" s="30" t="str">
        <f t="shared" ref="EJ3" si="43">IF(BD3="","","|n"&amp;EJ$2&amp;"+"&amp;BD3&amp;EJ$1)</f>
        <v/>
      </c>
      <c r="EK3" s="30" t="str">
        <f t="shared" ref="EK3" si="44">IF(BE3="","","|n"&amp;EK$2&amp;"+"&amp;BE3&amp;EK$1)</f>
        <v/>
      </c>
      <c r="EL3" s="30" t="str">
        <f t="shared" ref="EL3" si="45">IF(BF3="","","|n"&amp;EL$2&amp;"+"&amp;BF3&amp;EL$1)</f>
        <v/>
      </c>
      <c r="EM3" s="30" t="str">
        <f t="shared" ref="EM3" si="46">IF(BG3="","","|n"&amp;EM$2&amp;"+"&amp;BG3&amp;EM$1)</f>
        <v/>
      </c>
      <c r="EN3" s="30" t="str">
        <f t="shared" ref="EN3" si="47">IF(BH3="","","|n"&amp;EN$2&amp;"+"&amp;BH3&amp;EN$1)</f>
        <v/>
      </c>
      <c r="EO3" s="30" t="str">
        <f t="shared" ref="EO3" si="48">IF(BI3="","","|n"&amp;EO$2&amp;"+"&amp;BI3&amp;EO$1)</f>
        <v/>
      </c>
      <c r="EP3" s="30" t="str">
        <f t="shared" ref="EP3" si="49">IF(BJ3="","","|n"&amp;EP$2&amp;"+"&amp;BJ3&amp;EP$1)</f>
        <v/>
      </c>
      <c r="EQ3" s="30" t="str">
        <f t="shared" ref="EQ3" si="50">IF(BK3="","","|n"&amp;EQ$2&amp;"+"&amp;BK3&amp;EQ$1)</f>
        <v/>
      </c>
      <c r="ER3" s="30" t="str">
        <f t="shared" ref="ER3" si="51">IF(BL3="","","|n"&amp;ER$2&amp;"+"&amp;BL3&amp;ER$1)</f>
        <v/>
      </c>
      <c r="ES3" s="30" t="str">
        <f t="shared" ref="ES3" si="52">IF(BM3="","","|n"&amp;ES$2&amp;"+"&amp;BM3&amp;ES$1)</f>
        <v/>
      </c>
      <c r="ET3" s="30" t="str">
        <f t="shared" ref="ET3" si="53">IF(BN3="","","|n"&amp;ET$2&amp;"+"&amp;BN3&amp;ET$1)</f>
        <v/>
      </c>
      <c r="EU3" s="30" t="str">
        <f t="shared" ref="EU3" si="54">IF(BO3="","","|n"&amp;EU$2&amp;"+"&amp;BO3&amp;EU$1)</f>
        <v/>
      </c>
      <c r="EV3" s="30" t="str">
        <f t="shared" ref="EV3" si="55">IF(BP3="","","|n"&amp;EV$2&amp;"+"&amp;BP3&amp;EV$1)</f>
        <v/>
      </c>
      <c r="EW3" s="30" t="str">
        <f t="shared" ref="EW3" si="56">IF(BQ3="","","|n"&amp;EW$2&amp;"+"&amp;BQ3&amp;EW$1)</f>
        <v/>
      </c>
      <c r="EX3" s="30" t="str">
        <f t="shared" ref="EX3" si="57">IF(BR3="","","|n"&amp;EX$2&amp;"+"&amp;BR3&amp;EX$1)</f>
        <v/>
      </c>
      <c r="EY3" s="30" t="str">
        <f t="shared" ref="EY3" si="58">IF(BS3="","","|n"&amp;EY$2&amp;"+"&amp;BS3&amp;EY$1)</f>
        <v/>
      </c>
      <c r="EZ3" s="30" t="str">
        <f t="shared" ref="EZ3" si="59">IF(BT3="","","|n"&amp;EZ$2&amp;"+"&amp;BT3&amp;EZ$1)</f>
        <v/>
      </c>
      <c r="FA3" s="30" t="str">
        <f t="shared" ref="FA3" si="60">IF(BU3="","","|n"&amp;FA$2&amp;"+"&amp;BU3&amp;FA$1)</f>
        <v/>
      </c>
      <c r="FB3" s="30" t="str">
        <f t="shared" ref="FB3" si="61">IF(BV3="","","|n"&amp;FB$2&amp;"+"&amp;BV3&amp;FB$1)</f>
        <v/>
      </c>
      <c r="FC3" s="30" t="str">
        <f t="shared" ref="FC3" si="62">IF(BW3="","","|n"&amp;FC$2&amp;"+"&amp;BW3&amp;FC$1)</f>
        <v/>
      </c>
      <c r="FD3" s="30" t="str">
        <f t="shared" ref="FD3" si="63">IF(BX3="","","|n"&amp;FD$2&amp;"+"&amp;BX3&amp;FD$1)</f>
        <v/>
      </c>
      <c r="FE3" s="30" t="str">
        <f t="shared" ref="FE3" si="64">IF(BY3="","","|n"&amp;FE$2&amp;"+"&amp;BY3&amp;FE$1)</f>
        <v/>
      </c>
      <c r="FF3" s="30" t="str">
        <f t="shared" ref="FF3" si="65">IF(BZ3="","","|n"&amp;FF$2&amp;"+"&amp;BZ3&amp;FF$1)</f>
        <v/>
      </c>
      <c r="FG3" s="30" t="str">
        <f t="shared" ref="FG3" si="66">IF(CA3="","","|n"&amp;FG$2&amp;"+"&amp;CA3&amp;FG$1)</f>
        <v/>
      </c>
      <c r="FH3" s="30" t="str">
        <f t="shared" ref="FH3" si="67">IF(CB3="","","|n"&amp;FH$2&amp;"+"&amp;CB3&amp;FH$1)</f>
        <v/>
      </c>
      <c r="FI3" s="30" t="str">
        <f t="shared" ref="FI3" si="68">IF(CC3="","","|n"&amp;FI$2&amp;"+"&amp;CC3&amp;FI$1)</f>
        <v/>
      </c>
      <c r="FJ3" s="30" t="str">
        <f t="shared" ref="FJ3" si="69">IF(CD3="","","|n"&amp;FJ$2&amp;"+"&amp;CD3&amp;FJ$1)</f>
        <v/>
      </c>
      <c r="FK3" s="30" t="str">
        <f t="shared" ref="FK3" si="70">IF(CE3="","","|n"&amp;FK$2&amp;"+"&amp;CE3&amp;FK$1)</f>
        <v/>
      </c>
      <c r="FL3" s="30" t="str">
        <f t="shared" ref="FL3" si="71">IF(CF3="","","|n"&amp;FL$2&amp;"+"&amp;CF3&amp;FL$1)</f>
        <v/>
      </c>
      <c r="FM3" s="30" t="str">
        <f t="shared" ref="FM3" si="72">IF(CG3="","","|n"&amp;FM$2&amp;"+"&amp;CG3&amp;FM$1)</f>
        <v/>
      </c>
      <c r="FN3" s="30" t="str">
        <f t="shared" ref="FN3" si="73">IF(CH3="","","|n"&amp;FN$2&amp;"+"&amp;CH3&amp;FN$1)</f>
        <v/>
      </c>
      <c r="FO3" s="30" t="str">
        <f t="shared" ref="FO3" si="74">IF(CI3="","","|n"&amp;FO$2&amp;"+"&amp;CI3&amp;FO$1)</f>
        <v/>
      </c>
      <c r="FP3" s="30" t="str">
        <f t="shared" ref="FP3" si="75">IF(CJ3="","","|n"&amp;FP$2&amp;"+"&amp;CJ3&amp;FP$1)</f>
        <v/>
      </c>
      <c r="FQ3" s="30" t="str">
        <f t="shared" ref="FQ3" si="76">IF(CK3="","","|n"&amp;FQ$2&amp;"+"&amp;CK3&amp;FQ$1)</f>
        <v/>
      </c>
      <c r="FR3" s="30" t="str">
        <f t="shared" ref="FR3" si="77">IF(CL3="","","|n"&amp;FR$2&amp;"+"&amp;CL3&amp;FR$1)</f>
        <v/>
      </c>
      <c r="FS3" s="30" t="str">
        <f t="shared" ref="FS3" si="78">IF(CM3="","","|n"&amp;FS$2&amp;"+"&amp;CM3&amp;FS$1)</f>
        <v/>
      </c>
    </row>
    <row r="4" spans="1:175" s="24" customFormat="1" ht="16.5">
      <c r="A4" s="5"/>
      <c r="B4" s="36" t="s">
        <v>649</v>
      </c>
      <c r="C4" s="5" t="s">
        <v>675</v>
      </c>
      <c r="D4" s="31"/>
      <c r="E4" s="39"/>
      <c r="F4" s="40">
        <v>9000</v>
      </c>
      <c r="G4" s="38"/>
      <c r="H4" s="38"/>
      <c r="I4" s="38" t="str">
        <f t="shared" ref="I4:I26" si="79">B5</f>
        <v>E003</v>
      </c>
      <c r="J4" s="38"/>
      <c r="K4" s="38"/>
      <c r="L4" s="38"/>
      <c r="M4" s="38"/>
      <c r="N4" s="38"/>
      <c r="O4" s="38"/>
      <c r="P4" s="42"/>
      <c r="Q4" s="42"/>
      <c r="R4" s="42"/>
      <c r="S4" s="42"/>
      <c r="T4" s="101"/>
      <c r="U4" s="32" t="str">
        <f t="shared" ref="U4:U7" si="80">"ReplaceableTextures\\CommandButtons\\BTN"&amp;B4&amp;".blp"</f>
        <v>ReplaceableTextures\\CommandButtons\\BTNE002.blp</v>
      </c>
      <c r="V4" s="43">
        <v>2000</v>
      </c>
      <c r="W4" s="43"/>
      <c r="X4" s="43"/>
      <c r="Y4" s="43"/>
      <c r="Z4" s="43"/>
      <c r="AA4" s="43"/>
      <c r="AB4" s="43"/>
      <c r="AC4" s="43"/>
      <c r="AD4" s="43">
        <v>13</v>
      </c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  <c r="AQ4" s="43"/>
      <c r="AR4" s="43"/>
      <c r="AS4" s="43"/>
      <c r="AT4" s="43"/>
      <c r="AU4" s="43"/>
      <c r="AV4" s="43"/>
      <c r="AW4" s="43"/>
      <c r="AX4" s="43"/>
      <c r="AY4" s="43"/>
      <c r="AZ4" s="43"/>
      <c r="BA4" s="43"/>
      <c r="BB4" s="43"/>
      <c r="BC4" s="43"/>
      <c r="BD4" s="43"/>
      <c r="BE4" s="43"/>
      <c r="BF4" s="43"/>
      <c r="BG4" s="43"/>
      <c r="BH4" s="43"/>
      <c r="BI4" s="43"/>
      <c r="BJ4" s="43"/>
      <c r="BK4" s="43"/>
      <c r="BL4" s="43"/>
      <c r="BM4" s="43"/>
      <c r="BN4" s="43"/>
      <c r="BO4" s="43"/>
      <c r="BP4" s="43"/>
      <c r="BQ4" s="43"/>
      <c r="BR4" s="43"/>
      <c r="BS4" s="43"/>
      <c r="BT4" s="43"/>
      <c r="BU4" s="43"/>
      <c r="BV4" s="43"/>
      <c r="BW4" s="43"/>
      <c r="BX4" s="43"/>
      <c r="BY4" s="43"/>
      <c r="BZ4" s="43"/>
      <c r="CA4" s="43"/>
      <c r="CB4" s="43"/>
      <c r="CC4" s="43"/>
      <c r="CD4" s="43"/>
      <c r="CE4" s="43"/>
      <c r="CF4" s="43"/>
      <c r="CG4" s="43"/>
      <c r="CH4" s="43"/>
      <c r="CI4" s="43"/>
      <c r="CJ4" s="43"/>
      <c r="CK4" s="43"/>
      <c r="CL4" s="43"/>
      <c r="CM4" s="43"/>
      <c r="CN4" s="44" t="str">
        <f t="shared" si="3"/>
        <v>InitUnitState('E002',2000,,,,,,,,13,)</v>
      </c>
      <c r="CO4" s="44" t="str">
        <f t="shared" si="4"/>
        <v>InitUnitNormal('E002',,,,,,,,,,)</v>
      </c>
      <c r="CP4" s="44" t="str">
        <f t="shared" si="5"/>
        <v>InitUnitMagic('E002',,,,,,,,,,)</v>
      </c>
      <c r="CQ4" s="44" t="str">
        <f t="shared" si="6"/>
        <v>InitUnitAdd('E002',,,,,,,,,,)</v>
      </c>
      <c r="CR4" s="44" t="str">
        <f t="shared" si="7"/>
        <v>InitEquipData('E002',,"",,E003,9000,,'','','','','','',"ReplaceableTextures\\CommandButtons\\BTNE003.blp")</v>
      </c>
      <c r="CS4" s="44"/>
      <c r="CT4" s="44"/>
      <c r="CU4" s="45" t="str">
        <f t="shared" ref="CU4:CU7" si="81">CONCATENATE(DB4,DC4,DD4,DE4,DF4,DG4,DH4,DI4,DJ4,DK4,DL4,DM4,DN4,DO4,DP4,DQ4,DR4,DS4,DT4,DU4,DV4,DW4,DX4,DY4,DZ4,EA4,EB4,EC4,ED4,EE4,EF4,EG4,EH4,EI4,EJ4,EK4,EL4,EM4,EN4,EO4,EP4&amp;"|n")</f>
        <v>|n攻击+2000|n攻速+13%|n</v>
      </c>
      <c r="CV4" s="29" t="str">
        <f>"|cffffcc00属性：|r"&amp;CU4&amp;VLOOKUP(A4,合成公式!A:P,16,FALSE)&amp;T4</f>
        <v>|cffffcc00属性：|r|n攻击+2000|n攻速+13%|n</v>
      </c>
      <c r="DB4" s="30" t="str">
        <f t="shared" ref="DB4:DB7" si="82">IF(V4="","","|n"&amp;DB$2&amp;"+"&amp;V4&amp;DB$1)</f>
        <v>|n攻击+2000</v>
      </c>
      <c r="DC4" s="30" t="str">
        <f t="shared" ref="DC4:DC7" si="83">IF(W4="","","|n"&amp;DC$2&amp;"+"&amp;W4&amp;DC$1)</f>
        <v/>
      </c>
      <c r="DD4" s="30" t="str">
        <f t="shared" ref="DD4:DD7" si="84">IF(X4="","","|n"&amp;DD$2&amp;"+"&amp;X4&amp;DD$1)</f>
        <v/>
      </c>
      <c r="DE4" s="30" t="str">
        <f t="shared" ref="DE4:DE7" si="85">IF(Y4="","","|n"&amp;DE$2&amp;"+"&amp;Y4&amp;DE$1)</f>
        <v/>
      </c>
      <c r="DF4" s="30" t="str">
        <f t="shared" ref="DF4:DF7" si="86">IF(Z4="","","|n"&amp;DF$2&amp;"+"&amp;Z4&amp;DF$1)</f>
        <v/>
      </c>
      <c r="DG4" s="30" t="str">
        <f t="shared" ref="DG4:DG7" si="87">IF(AA4="","","|n"&amp;DG$2&amp;"+"&amp;AA4&amp;DG$1)</f>
        <v/>
      </c>
      <c r="DH4" s="30" t="str">
        <f t="shared" ref="DH4:DH7" si="88">IF(AB4="","","|n"&amp;DH$2&amp;"+"&amp;AB4&amp;DH$1)</f>
        <v/>
      </c>
      <c r="DI4" s="30" t="str">
        <f t="shared" ref="DI4:DI7" si="89">IF(AC4="","","|n"&amp;DI$2&amp;"+"&amp;AC4&amp;DI$1)</f>
        <v/>
      </c>
      <c r="DJ4" s="30" t="str">
        <f t="shared" ref="DJ4:DJ7" si="90">IF(AD4="","","|n"&amp;DJ$2&amp;"+"&amp;AD4&amp;DJ$1)</f>
        <v>|n攻速+13%</v>
      </c>
      <c r="DK4" s="30" t="str">
        <f t="shared" ref="DK4:DK7" si="91">IF(AE4="","","|n"&amp;DK$2&amp;"+"&amp;AE4&amp;DK$1)</f>
        <v/>
      </c>
      <c r="DL4" s="30" t="str">
        <f t="shared" ref="DL4:DL7" si="92">IF(AF4="","","|n"&amp;DL$2&amp;"+"&amp;AF4&amp;DL$1)</f>
        <v/>
      </c>
      <c r="DM4" s="30" t="str">
        <f t="shared" ref="DM4:DM7" si="93">IF(AG4="","","|n"&amp;DM$2&amp;"+"&amp;AG4&amp;DM$1)</f>
        <v/>
      </c>
      <c r="DN4" s="30" t="str">
        <f t="shared" ref="DN4:DN7" si="94">IF(AH4="","","|n"&amp;DN$2&amp;"+"&amp;AH4&amp;DN$1)</f>
        <v/>
      </c>
      <c r="DO4" s="30" t="str">
        <f t="shared" ref="DO4:DO7" si="95">IF(AI4="","","|n"&amp;DO$2&amp;"+"&amp;AI4&amp;DO$1)</f>
        <v/>
      </c>
      <c r="DP4" s="30" t="str">
        <f t="shared" ref="DP4:DP7" si="96">IF(AJ4="","","|n"&amp;DP$2&amp;"+"&amp;AJ4&amp;DP$1)</f>
        <v/>
      </c>
      <c r="DQ4" s="30" t="str">
        <f t="shared" ref="DQ4:DQ7" si="97">IF(AK4="","","|n"&amp;DQ$2&amp;"+"&amp;AK4&amp;DQ$1)</f>
        <v/>
      </c>
      <c r="DR4" s="30" t="str">
        <f t="shared" ref="DR4:DR7" si="98">IF(AL4="","","|n"&amp;DR$2&amp;"+"&amp;AL4&amp;DR$1)</f>
        <v/>
      </c>
      <c r="DS4" s="30" t="str">
        <f t="shared" ref="DS4:DS7" si="99">IF(AM4="","","|n"&amp;DS$2&amp;"+"&amp;AM4&amp;DS$1)</f>
        <v/>
      </c>
      <c r="DT4" s="30" t="str">
        <f t="shared" ref="DT4:DT7" si="100">IF(AN4="","","|n"&amp;DT$2&amp;"+"&amp;AN4&amp;DT$1)</f>
        <v/>
      </c>
      <c r="DU4" s="30" t="str">
        <f t="shared" ref="DU4:DU7" si="101">IF(AO4="","","|n"&amp;DU$2&amp;"+"&amp;AO4&amp;DU$1)</f>
        <v/>
      </c>
      <c r="DV4" s="30" t="str">
        <f t="shared" ref="DV4:DV7" si="102">IF(AP4="","","|n"&amp;DV$2&amp;"+"&amp;AP4&amp;DV$1)</f>
        <v/>
      </c>
      <c r="DW4" s="30" t="str">
        <f t="shared" ref="DW4:DW7" si="103">IF(AQ4="","","|n"&amp;DW$2&amp;"+"&amp;AQ4&amp;DW$1)</f>
        <v/>
      </c>
      <c r="DX4" s="30" t="str">
        <f t="shared" ref="DX4:DX7" si="104">IF(AR4="","","|n"&amp;DX$2&amp;"+"&amp;AR4&amp;DX$1)</f>
        <v/>
      </c>
      <c r="DY4" s="30" t="str">
        <f t="shared" ref="DY4:DY7" si="105">IF(AS4="","","|n"&amp;DY$2&amp;"+"&amp;AS4&amp;DY$1)</f>
        <v/>
      </c>
      <c r="DZ4" s="30" t="str">
        <f t="shared" ref="DZ4:DZ7" si="106">IF(AT4="","","|n"&amp;DZ$2&amp;"+"&amp;AT4&amp;DZ$1)</f>
        <v/>
      </c>
      <c r="EA4" s="30" t="str">
        <f t="shared" ref="EA4:EA7" si="107">IF(AU4="","","|n"&amp;EA$2&amp;"+"&amp;AU4&amp;EA$1)</f>
        <v/>
      </c>
      <c r="EB4" s="30" t="str">
        <f t="shared" ref="EB4:EB7" si="108">IF(AV4="","","|n"&amp;EB$2&amp;"+"&amp;AV4&amp;EB$1)</f>
        <v/>
      </c>
      <c r="EC4" s="30" t="str">
        <f t="shared" ref="EC4:EC7" si="109">IF(AW4="","","|n"&amp;EC$2&amp;"+"&amp;AW4&amp;EC$1)</f>
        <v/>
      </c>
      <c r="ED4" s="30" t="str">
        <f t="shared" ref="ED4:ED7" si="110">IF(AX4="","","|n"&amp;ED$2&amp;"+"&amp;AX4&amp;ED$1)</f>
        <v/>
      </c>
      <c r="EE4" s="30" t="str">
        <f t="shared" ref="EE4:EE7" si="111">IF(AY4="","","|n"&amp;EE$2&amp;"+"&amp;AY4&amp;EE$1)</f>
        <v/>
      </c>
      <c r="EF4" s="30" t="str">
        <f t="shared" ref="EF4:EF7" si="112">IF(AZ4="","","|n"&amp;EF$2&amp;"+"&amp;AZ4&amp;EF$1)</f>
        <v/>
      </c>
      <c r="EG4" s="30" t="str">
        <f t="shared" ref="EG4:EG7" si="113">IF(BA4="","","|n"&amp;EG$2&amp;"+"&amp;BA4&amp;EG$1)</f>
        <v/>
      </c>
      <c r="EH4" s="30" t="str">
        <f t="shared" ref="EH4:EH7" si="114">IF(BB4="","","|n"&amp;EH$2&amp;"+"&amp;BB4&amp;EH$1)</f>
        <v/>
      </c>
      <c r="EI4" s="30" t="str">
        <f t="shared" ref="EI4:EI7" si="115">IF(BC4="","","|n"&amp;EI$2&amp;"+"&amp;BC4&amp;EI$1)</f>
        <v/>
      </c>
      <c r="EJ4" s="30" t="str">
        <f t="shared" ref="EJ4:EJ7" si="116">IF(BD4="","","|n"&amp;EJ$2&amp;"+"&amp;BD4&amp;EJ$1)</f>
        <v/>
      </c>
      <c r="EK4" s="30" t="str">
        <f t="shared" ref="EK4:EK7" si="117">IF(BE4="","","|n"&amp;EK$2&amp;"+"&amp;BE4&amp;EK$1)</f>
        <v/>
      </c>
      <c r="EL4" s="30" t="str">
        <f t="shared" ref="EL4:EL7" si="118">IF(BF4="","","|n"&amp;EL$2&amp;"+"&amp;BF4&amp;EL$1)</f>
        <v/>
      </c>
      <c r="EM4" s="30" t="str">
        <f t="shared" ref="EM4:EM7" si="119">IF(BG4="","","|n"&amp;EM$2&amp;"+"&amp;BG4&amp;EM$1)</f>
        <v/>
      </c>
      <c r="EN4" s="30" t="str">
        <f t="shared" ref="EN4:EN7" si="120">IF(BH4="","","|n"&amp;EN$2&amp;"+"&amp;BH4&amp;EN$1)</f>
        <v/>
      </c>
      <c r="EO4" s="30" t="str">
        <f t="shared" ref="EO4:EO7" si="121">IF(BI4="","","|n"&amp;EO$2&amp;"+"&amp;BI4&amp;EO$1)</f>
        <v/>
      </c>
      <c r="EP4" s="30" t="str">
        <f t="shared" ref="EP4:EP7" si="122">IF(BJ4="","","|n"&amp;EP$2&amp;"+"&amp;BJ4&amp;EP$1)</f>
        <v/>
      </c>
      <c r="EQ4" s="30" t="str">
        <f t="shared" ref="EQ4:EQ7" si="123">IF(BK4="","","|n"&amp;EQ$2&amp;"+"&amp;BK4&amp;EQ$1)</f>
        <v/>
      </c>
      <c r="ER4" s="30" t="str">
        <f t="shared" ref="ER4:ER7" si="124">IF(BL4="","","|n"&amp;ER$2&amp;"+"&amp;BL4&amp;ER$1)</f>
        <v/>
      </c>
      <c r="ES4" s="30" t="str">
        <f t="shared" ref="ES4:ES7" si="125">IF(BM4="","","|n"&amp;ES$2&amp;"+"&amp;BM4&amp;ES$1)</f>
        <v/>
      </c>
      <c r="ET4" s="30" t="str">
        <f t="shared" ref="ET4:ET7" si="126">IF(BN4="","","|n"&amp;ET$2&amp;"+"&amp;BN4&amp;ET$1)</f>
        <v/>
      </c>
      <c r="EU4" s="30" t="str">
        <f t="shared" ref="EU4:EU7" si="127">IF(BO4="","","|n"&amp;EU$2&amp;"+"&amp;BO4&amp;EU$1)</f>
        <v/>
      </c>
      <c r="EV4" s="30" t="str">
        <f t="shared" ref="EV4:EV7" si="128">IF(BP4="","","|n"&amp;EV$2&amp;"+"&amp;BP4&amp;EV$1)</f>
        <v/>
      </c>
      <c r="EW4" s="30" t="str">
        <f t="shared" ref="EW4:EW7" si="129">IF(BQ4="","","|n"&amp;EW$2&amp;"+"&amp;BQ4&amp;EW$1)</f>
        <v/>
      </c>
      <c r="EX4" s="30" t="str">
        <f t="shared" ref="EX4:EX7" si="130">IF(BR4="","","|n"&amp;EX$2&amp;"+"&amp;BR4&amp;EX$1)</f>
        <v/>
      </c>
      <c r="EY4" s="30" t="str">
        <f t="shared" ref="EY4:EY7" si="131">IF(BS4="","","|n"&amp;EY$2&amp;"+"&amp;BS4&amp;EY$1)</f>
        <v/>
      </c>
      <c r="EZ4" s="30" t="str">
        <f t="shared" ref="EZ4:EZ7" si="132">IF(BT4="","","|n"&amp;EZ$2&amp;"+"&amp;BT4&amp;EZ$1)</f>
        <v/>
      </c>
      <c r="FA4" s="30" t="str">
        <f t="shared" ref="FA4:FA7" si="133">IF(BU4="","","|n"&amp;FA$2&amp;"+"&amp;BU4&amp;FA$1)</f>
        <v/>
      </c>
      <c r="FB4" s="30" t="str">
        <f t="shared" ref="FB4:FB7" si="134">IF(BV4="","","|n"&amp;FB$2&amp;"+"&amp;BV4&amp;FB$1)</f>
        <v/>
      </c>
      <c r="FC4" s="30" t="str">
        <f t="shared" ref="FC4:FC7" si="135">IF(BW4="","","|n"&amp;FC$2&amp;"+"&amp;BW4&amp;FC$1)</f>
        <v/>
      </c>
      <c r="FD4" s="30" t="str">
        <f t="shared" ref="FD4:FD7" si="136">IF(BX4="","","|n"&amp;FD$2&amp;"+"&amp;BX4&amp;FD$1)</f>
        <v/>
      </c>
      <c r="FE4" s="30" t="str">
        <f t="shared" ref="FE4:FE7" si="137">IF(BY4="","","|n"&amp;FE$2&amp;"+"&amp;BY4&amp;FE$1)</f>
        <v/>
      </c>
      <c r="FF4" s="30" t="str">
        <f t="shared" ref="FF4:FF7" si="138">IF(BZ4="","","|n"&amp;FF$2&amp;"+"&amp;BZ4&amp;FF$1)</f>
        <v/>
      </c>
      <c r="FG4" s="30" t="str">
        <f t="shared" ref="FG4:FG7" si="139">IF(CA4="","","|n"&amp;FG$2&amp;"+"&amp;CA4&amp;FG$1)</f>
        <v/>
      </c>
      <c r="FH4" s="30" t="str">
        <f t="shared" ref="FH4:FH7" si="140">IF(CB4="","","|n"&amp;FH$2&amp;"+"&amp;CB4&amp;FH$1)</f>
        <v/>
      </c>
      <c r="FI4" s="30" t="str">
        <f t="shared" ref="FI4:FI7" si="141">IF(CC4="","","|n"&amp;FI$2&amp;"+"&amp;CC4&amp;FI$1)</f>
        <v/>
      </c>
      <c r="FJ4" s="30" t="str">
        <f t="shared" ref="FJ4:FJ7" si="142">IF(CD4="","","|n"&amp;FJ$2&amp;"+"&amp;CD4&amp;FJ$1)</f>
        <v/>
      </c>
      <c r="FK4" s="30" t="str">
        <f t="shared" ref="FK4:FK7" si="143">IF(CE4="","","|n"&amp;FK$2&amp;"+"&amp;CE4&amp;FK$1)</f>
        <v/>
      </c>
      <c r="FL4" s="30" t="str">
        <f t="shared" ref="FL4:FL7" si="144">IF(CF4="","","|n"&amp;FL$2&amp;"+"&amp;CF4&amp;FL$1)</f>
        <v/>
      </c>
      <c r="FM4" s="30" t="str">
        <f t="shared" ref="FM4:FM7" si="145">IF(CG4="","","|n"&amp;FM$2&amp;"+"&amp;CG4&amp;FM$1)</f>
        <v/>
      </c>
      <c r="FN4" s="30" t="str">
        <f t="shared" ref="FN4:FN7" si="146">IF(CH4="","","|n"&amp;FN$2&amp;"+"&amp;CH4&amp;FN$1)</f>
        <v/>
      </c>
      <c r="FO4" s="30" t="str">
        <f t="shared" ref="FO4:FO7" si="147">IF(CI4="","","|n"&amp;FO$2&amp;"+"&amp;CI4&amp;FO$1)</f>
        <v/>
      </c>
      <c r="FP4" s="30" t="str">
        <f t="shared" ref="FP4:FP7" si="148">IF(CJ4="","","|n"&amp;FP$2&amp;"+"&amp;CJ4&amp;FP$1)</f>
        <v/>
      </c>
      <c r="FQ4" s="30" t="str">
        <f t="shared" ref="FQ4:FQ7" si="149">IF(CK4="","","|n"&amp;FQ$2&amp;"+"&amp;CK4&amp;FQ$1)</f>
        <v/>
      </c>
      <c r="FR4" s="30" t="str">
        <f t="shared" ref="FR4:FR7" si="150">IF(CL4="","","|n"&amp;FR$2&amp;"+"&amp;CL4&amp;FR$1)</f>
        <v/>
      </c>
      <c r="FS4" s="30" t="str">
        <f t="shared" ref="FS4:FS7" si="151">IF(CM4="","","|n"&amp;FS$2&amp;"+"&amp;CM4&amp;FS$1)</f>
        <v/>
      </c>
    </row>
    <row r="5" spans="1:175" s="24" customFormat="1" ht="16.5">
      <c r="A5" s="5"/>
      <c r="B5" s="36" t="s">
        <v>650</v>
      </c>
      <c r="C5" s="5" t="s">
        <v>676</v>
      </c>
      <c r="D5" s="31"/>
      <c r="E5" s="39"/>
      <c r="F5" s="40">
        <v>12000</v>
      </c>
      <c r="G5" s="38"/>
      <c r="H5" s="38"/>
      <c r="I5" s="38" t="str">
        <f t="shared" si="79"/>
        <v>E004</v>
      </c>
      <c r="J5" s="38"/>
      <c r="K5" s="38"/>
      <c r="L5" s="38"/>
      <c r="M5" s="38"/>
      <c r="N5" s="38"/>
      <c r="O5" s="38"/>
      <c r="P5" s="42"/>
      <c r="Q5" s="42"/>
      <c r="R5" s="42"/>
      <c r="S5" s="42"/>
      <c r="T5" s="101"/>
      <c r="U5" s="32" t="str">
        <f t="shared" si="80"/>
        <v>ReplaceableTextures\\CommandButtons\\BTNE003.blp</v>
      </c>
      <c r="V5" s="43">
        <v>3000</v>
      </c>
      <c r="W5" s="43"/>
      <c r="X5" s="43"/>
      <c r="Y5" s="43"/>
      <c r="Z5" s="43"/>
      <c r="AA5" s="43"/>
      <c r="AB5" s="43"/>
      <c r="AC5" s="43"/>
      <c r="AD5" s="43">
        <v>13</v>
      </c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  <c r="AQ5" s="43"/>
      <c r="AR5" s="43"/>
      <c r="AS5" s="43"/>
      <c r="AT5" s="43"/>
      <c r="AU5" s="43"/>
      <c r="AV5" s="43"/>
      <c r="AW5" s="43"/>
      <c r="AX5" s="43"/>
      <c r="AY5" s="43"/>
      <c r="AZ5" s="43"/>
      <c r="BA5" s="43"/>
      <c r="BB5" s="43"/>
      <c r="BC5" s="43"/>
      <c r="BD5" s="43"/>
      <c r="BE5" s="43"/>
      <c r="BF5" s="43"/>
      <c r="BG5" s="43"/>
      <c r="BH5" s="43"/>
      <c r="BI5" s="43"/>
      <c r="BJ5" s="43"/>
      <c r="BK5" s="43"/>
      <c r="BL5" s="43"/>
      <c r="BM5" s="43"/>
      <c r="BN5" s="43"/>
      <c r="BO5" s="43"/>
      <c r="BP5" s="43"/>
      <c r="BQ5" s="43"/>
      <c r="BR5" s="43"/>
      <c r="BS5" s="43"/>
      <c r="BT5" s="43"/>
      <c r="BU5" s="43"/>
      <c r="BV5" s="43"/>
      <c r="BW5" s="43"/>
      <c r="BX5" s="43"/>
      <c r="BY5" s="43"/>
      <c r="BZ5" s="43"/>
      <c r="CA5" s="43"/>
      <c r="CB5" s="43"/>
      <c r="CC5" s="43"/>
      <c r="CD5" s="43"/>
      <c r="CE5" s="43"/>
      <c r="CF5" s="43"/>
      <c r="CG5" s="43"/>
      <c r="CH5" s="43"/>
      <c r="CI5" s="43"/>
      <c r="CJ5" s="43"/>
      <c r="CK5" s="43"/>
      <c r="CL5" s="43"/>
      <c r="CM5" s="43"/>
      <c r="CN5" s="44" t="str">
        <f t="shared" si="3"/>
        <v>InitUnitState('E003',3000,,,,,,,,13,)</v>
      </c>
      <c r="CO5" s="44" t="str">
        <f t="shared" si="4"/>
        <v>InitUnitNormal('E003',,,,,,,,,,)</v>
      </c>
      <c r="CP5" s="44" t="str">
        <f t="shared" si="5"/>
        <v>InitUnitMagic('E003',,,,,,,,,,)</v>
      </c>
      <c r="CQ5" s="44" t="str">
        <f t="shared" si="6"/>
        <v>InitUnitAdd('E003',,,,,,,,,,)</v>
      </c>
      <c r="CR5" s="44" t="str">
        <f t="shared" si="7"/>
        <v>InitEquipData('E003',,"",,E004,12000,,'','','','','','',"ReplaceableTextures\\CommandButtons\\BTNE004.blp")</v>
      </c>
      <c r="CS5" s="44"/>
      <c r="CT5" s="44"/>
      <c r="CU5" s="45" t="str">
        <f t="shared" si="81"/>
        <v>|n攻击+3000|n攻速+13%|n</v>
      </c>
      <c r="CV5" s="29" t="str">
        <f>"|cffffcc00属性：|r"&amp;CU5&amp;VLOOKUP(A5,合成公式!A:P,16,FALSE)&amp;T5</f>
        <v>|cffffcc00属性：|r|n攻击+3000|n攻速+13%|n</v>
      </c>
      <c r="DB5" s="30" t="str">
        <f t="shared" si="82"/>
        <v>|n攻击+3000</v>
      </c>
      <c r="DC5" s="30" t="str">
        <f t="shared" si="83"/>
        <v/>
      </c>
      <c r="DD5" s="30" t="str">
        <f t="shared" si="84"/>
        <v/>
      </c>
      <c r="DE5" s="30" t="str">
        <f t="shared" si="85"/>
        <v/>
      </c>
      <c r="DF5" s="30" t="str">
        <f t="shared" si="86"/>
        <v/>
      </c>
      <c r="DG5" s="30" t="str">
        <f t="shared" si="87"/>
        <v/>
      </c>
      <c r="DH5" s="30" t="str">
        <f t="shared" si="88"/>
        <v/>
      </c>
      <c r="DI5" s="30" t="str">
        <f t="shared" si="89"/>
        <v/>
      </c>
      <c r="DJ5" s="30" t="str">
        <f t="shared" si="90"/>
        <v>|n攻速+13%</v>
      </c>
      <c r="DK5" s="30" t="str">
        <f t="shared" si="91"/>
        <v/>
      </c>
      <c r="DL5" s="30" t="str">
        <f t="shared" si="92"/>
        <v/>
      </c>
      <c r="DM5" s="30" t="str">
        <f t="shared" si="93"/>
        <v/>
      </c>
      <c r="DN5" s="30" t="str">
        <f t="shared" si="94"/>
        <v/>
      </c>
      <c r="DO5" s="30" t="str">
        <f t="shared" si="95"/>
        <v/>
      </c>
      <c r="DP5" s="30" t="str">
        <f t="shared" si="96"/>
        <v/>
      </c>
      <c r="DQ5" s="30" t="str">
        <f t="shared" si="97"/>
        <v/>
      </c>
      <c r="DR5" s="30" t="str">
        <f t="shared" si="98"/>
        <v/>
      </c>
      <c r="DS5" s="30" t="str">
        <f t="shared" si="99"/>
        <v/>
      </c>
      <c r="DT5" s="30" t="str">
        <f t="shared" si="100"/>
        <v/>
      </c>
      <c r="DU5" s="30" t="str">
        <f t="shared" si="101"/>
        <v/>
      </c>
      <c r="DV5" s="30" t="str">
        <f t="shared" si="102"/>
        <v/>
      </c>
      <c r="DW5" s="30" t="str">
        <f t="shared" si="103"/>
        <v/>
      </c>
      <c r="DX5" s="30" t="str">
        <f t="shared" si="104"/>
        <v/>
      </c>
      <c r="DY5" s="30" t="str">
        <f t="shared" si="105"/>
        <v/>
      </c>
      <c r="DZ5" s="30" t="str">
        <f t="shared" si="106"/>
        <v/>
      </c>
      <c r="EA5" s="30" t="str">
        <f t="shared" si="107"/>
        <v/>
      </c>
      <c r="EB5" s="30" t="str">
        <f t="shared" si="108"/>
        <v/>
      </c>
      <c r="EC5" s="30" t="str">
        <f t="shared" si="109"/>
        <v/>
      </c>
      <c r="ED5" s="30" t="str">
        <f t="shared" si="110"/>
        <v/>
      </c>
      <c r="EE5" s="30" t="str">
        <f t="shared" si="111"/>
        <v/>
      </c>
      <c r="EF5" s="30" t="str">
        <f t="shared" si="112"/>
        <v/>
      </c>
      <c r="EG5" s="30" t="str">
        <f t="shared" si="113"/>
        <v/>
      </c>
      <c r="EH5" s="30" t="str">
        <f t="shared" si="114"/>
        <v/>
      </c>
      <c r="EI5" s="30" t="str">
        <f t="shared" si="115"/>
        <v/>
      </c>
      <c r="EJ5" s="30" t="str">
        <f t="shared" si="116"/>
        <v/>
      </c>
      <c r="EK5" s="30" t="str">
        <f t="shared" si="117"/>
        <v/>
      </c>
      <c r="EL5" s="30" t="str">
        <f t="shared" si="118"/>
        <v/>
      </c>
      <c r="EM5" s="30" t="str">
        <f t="shared" si="119"/>
        <v/>
      </c>
      <c r="EN5" s="30" t="str">
        <f t="shared" si="120"/>
        <v/>
      </c>
      <c r="EO5" s="30" t="str">
        <f t="shared" si="121"/>
        <v/>
      </c>
      <c r="EP5" s="30" t="str">
        <f t="shared" si="122"/>
        <v/>
      </c>
      <c r="EQ5" s="30" t="str">
        <f t="shared" si="123"/>
        <v/>
      </c>
      <c r="ER5" s="30" t="str">
        <f t="shared" si="124"/>
        <v/>
      </c>
      <c r="ES5" s="30" t="str">
        <f t="shared" si="125"/>
        <v/>
      </c>
      <c r="ET5" s="30" t="str">
        <f t="shared" si="126"/>
        <v/>
      </c>
      <c r="EU5" s="30" t="str">
        <f t="shared" si="127"/>
        <v/>
      </c>
      <c r="EV5" s="30" t="str">
        <f t="shared" si="128"/>
        <v/>
      </c>
      <c r="EW5" s="30" t="str">
        <f t="shared" si="129"/>
        <v/>
      </c>
      <c r="EX5" s="30" t="str">
        <f t="shared" si="130"/>
        <v/>
      </c>
      <c r="EY5" s="30" t="str">
        <f t="shared" si="131"/>
        <v/>
      </c>
      <c r="EZ5" s="30" t="str">
        <f t="shared" si="132"/>
        <v/>
      </c>
      <c r="FA5" s="30" t="str">
        <f t="shared" si="133"/>
        <v/>
      </c>
      <c r="FB5" s="30" t="str">
        <f t="shared" si="134"/>
        <v/>
      </c>
      <c r="FC5" s="30" t="str">
        <f t="shared" si="135"/>
        <v/>
      </c>
      <c r="FD5" s="30" t="str">
        <f t="shared" si="136"/>
        <v/>
      </c>
      <c r="FE5" s="30" t="str">
        <f t="shared" si="137"/>
        <v/>
      </c>
      <c r="FF5" s="30" t="str">
        <f t="shared" si="138"/>
        <v/>
      </c>
      <c r="FG5" s="30" t="str">
        <f t="shared" si="139"/>
        <v/>
      </c>
      <c r="FH5" s="30" t="str">
        <f t="shared" si="140"/>
        <v/>
      </c>
      <c r="FI5" s="30" t="str">
        <f t="shared" si="141"/>
        <v/>
      </c>
      <c r="FJ5" s="30" t="str">
        <f t="shared" si="142"/>
        <v/>
      </c>
      <c r="FK5" s="30" t="str">
        <f t="shared" si="143"/>
        <v/>
      </c>
      <c r="FL5" s="30" t="str">
        <f t="shared" si="144"/>
        <v/>
      </c>
      <c r="FM5" s="30" t="str">
        <f t="shared" si="145"/>
        <v/>
      </c>
      <c r="FN5" s="30" t="str">
        <f t="shared" si="146"/>
        <v/>
      </c>
      <c r="FO5" s="30" t="str">
        <f t="shared" si="147"/>
        <v/>
      </c>
      <c r="FP5" s="30" t="str">
        <f t="shared" si="148"/>
        <v/>
      </c>
      <c r="FQ5" s="30" t="str">
        <f t="shared" si="149"/>
        <v/>
      </c>
      <c r="FR5" s="30" t="str">
        <f t="shared" si="150"/>
        <v/>
      </c>
      <c r="FS5" s="30" t="str">
        <f t="shared" si="151"/>
        <v/>
      </c>
    </row>
    <row r="6" spans="1:175" s="24" customFormat="1" ht="16.5">
      <c r="A6" s="5"/>
      <c r="B6" s="36" t="s">
        <v>651</v>
      </c>
      <c r="C6" s="5" t="s">
        <v>677</v>
      </c>
      <c r="D6" s="31"/>
      <c r="E6" s="39"/>
      <c r="F6" s="40">
        <v>15000</v>
      </c>
      <c r="G6" s="38"/>
      <c r="H6" s="38"/>
      <c r="I6" s="38" t="str">
        <f t="shared" si="79"/>
        <v>E005</v>
      </c>
      <c r="J6" s="38"/>
      <c r="K6" s="38"/>
      <c r="L6" s="38"/>
      <c r="M6" s="38"/>
      <c r="N6" s="38"/>
      <c r="O6" s="38"/>
      <c r="P6" s="42"/>
      <c r="Q6" s="42"/>
      <c r="R6" s="42"/>
      <c r="S6" s="42"/>
      <c r="T6" s="101"/>
      <c r="U6" s="32" t="str">
        <f t="shared" si="80"/>
        <v>ReplaceableTextures\\CommandButtons\\BTNE004.blp</v>
      </c>
      <c r="V6" s="43">
        <v>4000</v>
      </c>
      <c r="W6" s="43"/>
      <c r="X6" s="43"/>
      <c r="Y6" s="43"/>
      <c r="Z6" s="43"/>
      <c r="AA6" s="43"/>
      <c r="AB6" s="43"/>
      <c r="AC6" s="43"/>
      <c r="AD6" s="43">
        <v>13</v>
      </c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  <c r="AQ6" s="43"/>
      <c r="AR6" s="43"/>
      <c r="AS6" s="43"/>
      <c r="AT6" s="43"/>
      <c r="AU6" s="43"/>
      <c r="AV6" s="43"/>
      <c r="AW6" s="43"/>
      <c r="AX6" s="43"/>
      <c r="AY6" s="43"/>
      <c r="AZ6" s="43"/>
      <c r="BA6" s="43"/>
      <c r="BB6" s="43"/>
      <c r="BC6" s="43"/>
      <c r="BD6" s="43"/>
      <c r="BE6" s="43"/>
      <c r="BF6" s="43"/>
      <c r="BG6" s="43"/>
      <c r="BH6" s="43"/>
      <c r="BI6" s="43"/>
      <c r="BJ6" s="43"/>
      <c r="BK6" s="43"/>
      <c r="BL6" s="43"/>
      <c r="BM6" s="43"/>
      <c r="BN6" s="43"/>
      <c r="BO6" s="43"/>
      <c r="BP6" s="43"/>
      <c r="BQ6" s="43"/>
      <c r="BR6" s="43"/>
      <c r="BS6" s="43"/>
      <c r="BT6" s="43"/>
      <c r="BU6" s="43"/>
      <c r="BV6" s="43"/>
      <c r="BW6" s="43"/>
      <c r="BX6" s="43"/>
      <c r="BY6" s="43"/>
      <c r="BZ6" s="43"/>
      <c r="CA6" s="43"/>
      <c r="CB6" s="43"/>
      <c r="CC6" s="43"/>
      <c r="CD6" s="43"/>
      <c r="CE6" s="43"/>
      <c r="CF6" s="43"/>
      <c r="CG6" s="43"/>
      <c r="CH6" s="43"/>
      <c r="CI6" s="43"/>
      <c r="CJ6" s="43"/>
      <c r="CK6" s="43"/>
      <c r="CL6" s="43"/>
      <c r="CM6" s="43"/>
      <c r="CN6" s="44" t="str">
        <f t="shared" si="3"/>
        <v>InitUnitState('E004',4000,,,,,,,,13,)</v>
      </c>
      <c r="CO6" s="44" t="str">
        <f t="shared" si="4"/>
        <v>InitUnitNormal('E004',,,,,,,,,,)</v>
      </c>
      <c r="CP6" s="44" t="str">
        <f t="shared" si="5"/>
        <v>InitUnitMagic('E004',,,,,,,,,,)</v>
      </c>
      <c r="CQ6" s="44" t="str">
        <f t="shared" si="6"/>
        <v>InitUnitAdd('E004',,,,,,,,,,)</v>
      </c>
      <c r="CR6" s="44" t="str">
        <f t="shared" si="7"/>
        <v>InitEquipData('E004',,"",,E005,15000,,'','','','','','',"ReplaceableTextures\\CommandButtons\\BTNE005.blp")</v>
      </c>
      <c r="CS6" s="44"/>
      <c r="CT6" s="44"/>
      <c r="CU6" s="45" t="str">
        <f t="shared" si="81"/>
        <v>|n攻击+4000|n攻速+13%|n</v>
      </c>
      <c r="CV6" s="29" t="str">
        <f>"|cffffcc00属性：|r"&amp;CU6&amp;VLOOKUP(A6,合成公式!A:P,16,FALSE)&amp;T6</f>
        <v>|cffffcc00属性：|r|n攻击+4000|n攻速+13%|n</v>
      </c>
      <c r="DB6" s="30" t="str">
        <f t="shared" si="82"/>
        <v>|n攻击+4000</v>
      </c>
      <c r="DC6" s="30" t="str">
        <f t="shared" si="83"/>
        <v/>
      </c>
      <c r="DD6" s="30" t="str">
        <f t="shared" si="84"/>
        <v/>
      </c>
      <c r="DE6" s="30" t="str">
        <f t="shared" si="85"/>
        <v/>
      </c>
      <c r="DF6" s="30" t="str">
        <f t="shared" si="86"/>
        <v/>
      </c>
      <c r="DG6" s="30" t="str">
        <f t="shared" si="87"/>
        <v/>
      </c>
      <c r="DH6" s="30" t="str">
        <f t="shared" si="88"/>
        <v/>
      </c>
      <c r="DI6" s="30" t="str">
        <f t="shared" si="89"/>
        <v/>
      </c>
      <c r="DJ6" s="30" t="str">
        <f t="shared" si="90"/>
        <v>|n攻速+13%</v>
      </c>
      <c r="DK6" s="30" t="str">
        <f t="shared" si="91"/>
        <v/>
      </c>
      <c r="DL6" s="30" t="str">
        <f t="shared" si="92"/>
        <v/>
      </c>
      <c r="DM6" s="30" t="str">
        <f t="shared" si="93"/>
        <v/>
      </c>
      <c r="DN6" s="30" t="str">
        <f t="shared" si="94"/>
        <v/>
      </c>
      <c r="DO6" s="30" t="str">
        <f t="shared" si="95"/>
        <v/>
      </c>
      <c r="DP6" s="30" t="str">
        <f t="shared" si="96"/>
        <v/>
      </c>
      <c r="DQ6" s="30" t="str">
        <f t="shared" si="97"/>
        <v/>
      </c>
      <c r="DR6" s="30" t="str">
        <f t="shared" si="98"/>
        <v/>
      </c>
      <c r="DS6" s="30" t="str">
        <f t="shared" si="99"/>
        <v/>
      </c>
      <c r="DT6" s="30" t="str">
        <f t="shared" si="100"/>
        <v/>
      </c>
      <c r="DU6" s="30" t="str">
        <f t="shared" si="101"/>
        <v/>
      </c>
      <c r="DV6" s="30" t="str">
        <f t="shared" si="102"/>
        <v/>
      </c>
      <c r="DW6" s="30" t="str">
        <f t="shared" si="103"/>
        <v/>
      </c>
      <c r="DX6" s="30" t="str">
        <f t="shared" si="104"/>
        <v/>
      </c>
      <c r="DY6" s="30" t="str">
        <f t="shared" si="105"/>
        <v/>
      </c>
      <c r="DZ6" s="30" t="str">
        <f t="shared" si="106"/>
        <v/>
      </c>
      <c r="EA6" s="30" t="str">
        <f t="shared" si="107"/>
        <v/>
      </c>
      <c r="EB6" s="30" t="str">
        <f t="shared" si="108"/>
        <v/>
      </c>
      <c r="EC6" s="30" t="str">
        <f t="shared" si="109"/>
        <v/>
      </c>
      <c r="ED6" s="30" t="str">
        <f t="shared" si="110"/>
        <v/>
      </c>
      <c r="EE6" s="30" t="str">
        <f t="shared" si="111"/>
        <v/>
      </c>
      <c r="EF6" s="30" t="str">
        <f t="shared" si="112"/>
        <v/>
      </c>
      <c r="EG6" s="30" t="str">
        <f t="shared" si="113"/>
        <v/>
      </c>
      <c r="EH6" s="30" t="str">
        <f t="shared" si="114"/>
        <v/>
      </c>
      <c r="EI6" s="30" t="str">
        <f t="shared" si="115"/>
        <v/>
      </c>
      <c r="EJ6" s="30" t="str">
        <f t="shared" si="116"/>
        <v/>
      </c>
      <c r="EK6" s="30" t="str">
        <f t="shared" si="117"/>
        <v/>
      </c>
      <c r="EL6" s="30" t="str">
        <f t="shared" si="118"/>
        <v/>
      </c>
      <c r="EM6" s="30" t="str">
        <f t="shared" si="119"/>
        <v/>
      </c>
      <c r="EN6" s="30" t="str">
        <f t="shared" si="120"/>
        <v/>
      </c>
      <c r="EO6" s="30" t="str">
        <f t="shared" si="121"/>
        <v/>
      </c>
      <c r="EP6" s="30" t="str">
        <f t="shared" si="122"/>
        <v/>
      </c>
      <c r="EQ6" s="30" t="str">
        <f t="shared" si="123"/>
        <v/>
      </c>
      <c r="ER6" s="30" t="str">
        <f t="shared" si="124"/>
        <v/>
      </c>
      <c r="ES6" s="30" t="str">
        <f t="shared" si="125"/>
        <v/>
      </c>
      <c r="ET6" s="30" t="str">
        <f t="shared" si="126"/>
        <v/>
      </c>
      <c r="EU6" s="30" t="str">
        <f t="shared" si="127"/>
        <v/>
      </c>
      <c r="EV6" s="30" t="str">
        <f t="shared" si="128"/>
        <v/>
      </c>
      <c r="EW6" s="30" t="str">
        <f t="shared" si="129"/>
        <v/>
      </c>
      <c r="EX6" s="30" t="str">
        <f t="shared" si="130"/>
        <v/>
      </c>
      <c r="EY6" s="30" t="str">
        <f t="shared" si="131"/>
        <v/>
      </c>
      <c r="EZ6" s="30" t="str">
        <f t="shared" si="132"/>
        <v/>
      </c>
      <c r="FA6" s="30" t="str">
        <f t="shared" si="133"/>
        <v/>
      </c>
      <c r="FB6" s="30" t="str">
        <f t="shared" si="134"/>
        <v/>
      </c>
      <c r="FC6" s="30" t="str">
        <f t="shared" si="135"/>
        <v/>
      </c>
      <c r="FD6" s="30" t="str">
        <f t="shared" si="136"/>
        <v/>
      </c>
      <c r="FE6" s="30" t="str">
        <f t="shared" si="137"/>
        <v/>
      </c>
      <c r="FF6" s="30" t="str">
        <f t="shared" si="138"/>
        <v/>
      </c>
      <c r="FG6" s="30" t="str">
        <f t="shared" si="139"/>
        <v/>
      </c>
      <c r="FH6" s="30" t="str">
        <f t="shared" si="140"/>
        <v/>
      </c>
      <c r="FI6" s="30" t="str">
        <f t="shared" si="141"/>
        <v/>
      </c>
      <c r="FJ6" s="30" t="str">
        <f t="shared" si="142"/>
        <v/>
      </c>
      <c r="FK6" s="30" t="str">
        <f t="shared" si="143"/>
        <v/>
      </c>
      <c r="FL6" s="30" t="str">
        <f t="shared" si="144"/>
        <v/>
      </c>
      <c r="FM6" s="30" t="str">
        <f t="shared" si="145"/>
        <v/>
      </c>
      <c r="FN6" s="30" t="str">
        <f t="shared" si="146"/>
        <v/>
      </c>
      <c r="FO6" s="30" t="str">
        <f t="shared" si="147"/>
        <v/>
      </c>
      <c r="FP6" s="30" t="str">
        <f t="shared" si="148"/>
        <v/>
      </c>
      <c r="FQ6" s="30" t="str">
        <f t="shared" si="149"/>
        <v/>
      </c>
      <c r="FR6" s="30" t="str">
        <f t="shared" si="150"/>
        <v/>
      </c>
      <c r="FS6" s="30" t="str">
        <f t="shared" si="151"/>
        <v/>
      </c>
    </row>
    <row r="7" spans="1:175" s="24" customFormat="1" ht="16.5">
      <c r="A7" s="5"/>
      <c r="B7" s="36" t="s">
        <v>652</v>
      </c>
      <c r="C7" s="5" t="s">
        <v>678</v>
      </c>
      <c r="D7" s="31"/>
      <c r="E7" s="39"/>
      <c r="F7" s="40">
        <v>18000</v>
      </c>
      <c r="G7" s="38"/>
      <c r="H7" s="121" t="s">
        <v>928</v>
      </c>
      <c r="I7" s="38" t="str">
        <f t="shared" si="79"/>
        <v>E006</v>
      </c>
      <c r="J7" s="38"/>
      <c r="K7" s="38"/>
      <c r="L7" s="38"/>
      <c r="M7" s="38"/>
      <c r="N7" s="38"/>
      <c r="O7" s="38"/>
      <c r="P7" s="42"/>
      <c r="Q7" s="42"/>
      <c r="R7" s="42"/>
      <c r="S7" s="42"/>
      <c r="T7" s="101"/>
      <c r="U7" s="32" t="str">
        <f t="shared" si="80"/>
        <v>ReplaceableTextures\\CommandButtons\\BTNE005.blp</v>
      </c>
      <c r="V7" s="43">
        <v>5000</v>
      </c>
      <c r="W7" s="43"/>
      <c r="X7" s="43"/>
      <c r="Y7" s="43"/>
      <c r="Z7" s="43"/>
      <c r="AA7" s="43"/>
      <c r="AB7" s="43"/>
      <c r="AC7" s="43"/>
      <c r="AD7" s="43">
        <v>13</v>
      </c>
      <c r="AE7" s="43"/>
      <c r="AF7" s="43"/>
      <c r="AG7" s="43"/>
      <c r="AH7" s="43"/>
      <c r="AI7" s="43"/>
      <c r="AJ7" s="43"/>
      <c r="AK7" s="43"/>
      <c r="AL7" s="43"/>
      <c r="AM7" s="43"/>
      <c r="AN7" s="43"/>
      <c r="AO7" s="43"/>
      <c r="AP7" s="43"/>
      <c r="AQ7" s="43"/>
      <c r="AR7" s="43"/>
      <c r="AS7" s="43"/>
      <c r="AT7" s="43"/>
      <c r="AU7" s="43"/>
      <c r="AV7" s="43"/>
      <c r="AW7" s="43"/>
      <c r="AX7" s="43"/>
      <c r="AY7" s="43"/>
      <c r="AZ7" s="43"/>
      <c r="BA7" s="43"/>
      <c r="BB7" s="43"/>
      <c r="BC7" s="43"/>
      <c r="BD7" s="43"/>
      <c r="BE7" s="43"/>
      <c r="BF7" s="43"/>
      <c r="BG7" s="43"/>
      <c r="BH7" s="43"/>
      <c r="BI7" s="43"/>
      <c r="BJ7" s="43"/>
      <c r="BK7" s="43"/>
      <c r="BL7" s="43"/>
      <c r="BM7" s="43"/>
      <c r="BN7" s="43"/>
      <c r="BO7" s="43"/>
      <c r="BP7" s="43"/>
      <c r="BQ7" s="43"/>
      <c r="BR7" s="43"/>
      <c r="BS7" s="43"/>
      <c r="BT7" s="43"/>
      <c r="BU7" s="43"/>
      <c r="BV7" s="43"/>
      <c r="BW7" s="43"/>
      <c r="BX7" s="43"/>
      <c r="BY7" s="43"/>
      <c r="BZ7" s="43"/>
      <c r="CA7" s="43"/>
      <c r="CB7" s="43"/>
      <c r="CC7" s="43"/>
      <c r="CD7" s="43"/>
      <c r="CE7" s="43"/>
      <c r="CF7" s="43"/>
      <c r="CG7" s="43"/>
      <c r="CH7" s="43"/>
      <c r="CI7" s="43"/>
      <c r="CJ7" s="43"/>
      <c r="CK7" s="43"/>
      <c r="CL7" s="43"/>
      <c r="CM7" s="43"/>
      <c r="CN7" s="44" t="str">
        <f t="shared" si="3"/>
        <v>InitUnitState('E005',5000,,,,,,,,13,)</v>
      </c>
      <c r="CO7" s="44" t="str">
        <f t="shared" si="4"/>
        <v>InitUnitNormal('E005',,,,,,,,,,)</v>
      </c>
      <c r="CP7" s="44" t="str">
        <f t="shared" si="5"/>
        <v>InitUnitMagic('E005',,,,,,,,,,)</v>
      </c>
      <c r="CQ7" s="44" t="str">
        <f t="shared" si="6"/>
        <v>InitUnitAdd('E005',,,,,,,,,,)</v>
      </c>
      <c r="CR7" s="44" t="str">
        <f t="shared" si="7"/>
        <v>InitEquipData('E005',,"",,E006,18000,,'','','','','','',"ReplaceableTextures\\CommandButtons\\BTNE006.blp")</v>
      </c>
      <c r="CS7" s="44"/>
      <c r="CT7" s="44"/>
      <c r="CU7" s="45" t="str">
        <f t="shared" si="81"/>
        <v>|n攻击+5000|n攻速+13%|n</v>
      </c>
      <c r="CV7" s="29" t="str">
        <f>"|cffffcc00属性：|r"&amp;CU7&amp;VLOOKUP(A7,合成公式!A:P,16,FALSE)&amp;T7</f>
        <v>|cffffcc00属性：|r|n攻击+5000|n攻速+13%|n</v>
      </c>
      <c r="DB7" s="30" t="str">
        <f t="shared" si="82"/>
        <v>|n攻击+5000</v>
      </c>
      <c r="DC7" s="30" t="str">
        <f t="shared" si="83"/>
        <v/>
      </c>
      <c r="DD7" s="30" t="str">
        <f t="shared" si="84"/>
        <v/>
      </c>
      <c r="DE7" s="30" t="str">
        <f t="shared" si="85"/>
        <v/>
      </c>
      <c r="DF7" s="30" t="str">
        <f t="shared" si="86"/>
        <v/>
      </c>
      <c r="DG7" s="30" t="str">
        <f t="shared" si="87"/>
        <v/>
      </c>
      <c r="DH7" s="30" t="str">
        <f t="shared" si="88"/>
        <v/>
      </c>
      <c r="DI7" s="30" t="str">
        <f t="shared" si="89"/>
        <v/>
      </c>
      <c r="DJ7" s="30" t="str">
        <f t="shared" si="90"/>
        <v>|n攻速+13%</v>
      </c>
      <c r="DK7" s="30" t="str">
        <f t="shared" si="91"/>
        <v/>
      </c>
      <c r="DL7" s="30" t="str">
        <f t="shared" si="92"/>
        <v/>
      </c>
      <c r="DM7" s="30" t="str">
        <f t="shared" si="93"/>
        <v/>
      </c>
      <c r="DN7" s="30" t="str">
        <f t="shared" si="94"/>
        <v/>
      </c>
      <c r="DO7" s="30" t="str">
        <f t="shared" si="95"/>
        <v/>
      </c>
      <c r="DP7" s="30" t="str">
        <f t="shared" si="96"/>
        <v/>
      </c>
      <c r="DQ7" s="30" t="str">
        <f t="shared" si="97"/>
        <v/>
      </c>
      <c r="DR7" s="30" t="str">
        <f t="shared" si="98"/>
        <v/>
      </c>
      <c r="DS7" s="30" t="str">
        <f t="shared" si="99"/>
        <v/>
      </c>
      <c r="DT7" s="30" t="str">
        <f t="shared" si="100"/>
        <v/>
      </c>
      <c r="DU7" s="30" t="str">
        <f t="shared" si="101"/>
        <v/>
      </c>
      <c r="DV7" s="30" t="str">
        <f t="shared" si="102"/>
        <v/>
      </c>
      <c r="DW7" s="30" t="str">
        <f t="shared" si="103"/>
        <v/>
      </c>
      <c r="DX7" s="30" t="str">
        <f t="shared" si="104"/>
        <v/>
      </c>
      <c r="DY7" s="30" t="str">
        <f t="shared" si="105"/>
        <v/>
      </c>
      <c r="DZ7" s="30" t="str">
        <f t="shared" si="106"/>
        <v/>
      </c>
      <c r="EA7" s="30" t="str">
        <f t="shared" si="107"/>
        <v/>
      </c>
      <c r="EB7" s="30" t="str">
        <f t="shared" si="108"/>
        <v/>
      </c>
      <c r="EC7" s="30" t="str">
        <f t="shared" si="109"/>
        <v/>
      </c>
      <c r="ED7" s="30" t="str">
        <f t="shared" si="110"/>
        <v/>
      </c>
      <c r="EE7" s="30" t="str">
        <f t="shared" si="111"/>
        <v/>
      </c>
      <c r="EF7" s="30" t="str">
        <f t="shared" si="112"/>
        <v/>
      </c>
      <c r="EG7" s="30" t="str">
        <f t="shared" si="113"/>
        <v/>
      </c>
      <c r="EH7" s="30" t="str">
        <f t="shared" si="114"/>
        <v/>
      </c>
      <c r="EI7" s="30" t="str">
        <f t="shared" si="115"/>
        <v/>
      </c>
      <c r="EJ7" s="30" t="str">
        <f t="shared" si="116"/>
        <v/>
      </c>
      <c r="EK7" s="30" t="str">
        <f t="shared" si="117"/>
        <v/>
      </c>
      <c r="EL7" s="30" t="str">
        <f t="shared" si="118"/>
        <v/>
      </c>
      <c r="EM7" s="30" t="str">
        <f t="shared" si="119"/>
        <v/>
      </c>
      <c r="EN7" s="30" t="str">
        <f t="shared" si="120"/>
        <v/>
      </c>
      <c r="EO7" s="30" t="str">
        <f t="shared" si="121"/>
        <v/>
      </c>
      <c r="EP7" s="30" t="str">
        <f t="shared" si="122"/>
        <v/>
      </c>
      <c r="EQ7" s="30" t="str">
        <f t="shared" si="123"/>
        <v/>
      </c>
      <c r="ER7" s="30" t="str">
        <f t="shared" si="124"/>
        <v/>
      </c>
      <c r="ES7" s="30" t="str">
        <f t="shared" si="125"/>
        <v/>
      </c>
      <c r="ET7" s="30" t="str">
        <f t="shared" si="126"/>
        <v/>
      </c>
      <c r="EU7" s="30" t="str">
        <f t="shared" si="127"/>
        <v/>
      </c>
      <c r="EV7" s="30" t="str">
        <f t="shared" si="128"/>
        <v/>
      </c>
      <c r="EW7" s="30" t="str">
        <f t="shared" si="129"/>
        <v/>
      </c>
      <c r="EX7" s="30" t="str">
        <f t="shared" si="130"/>
        <v/>
      </c>
      <c r="EY7" s="30" t="str">
        <f t="shared" si="131"/>
        <v/>
      </c>
      <c r="EZ7" s="30" t="str">
        <f t="shared" si="132"/>
        <v/>
      </c>
      <c r="FA7" s="30" t="str">
        <f t="shared" si="133"/>
        <v/>
      </c>
      <c r="FB7" s="30" t="str">
        <f t="shared" si="134"/>
        <v/>
      </c>
      <c r="FC7" s="30" t="str">
        <f t="shared" si="135"/>
        <v/>
      </c>
      <c r="FD7" s="30" t="str">
        <f t="shared" si="136"/>
        <v/>
      </c>
      <c r="FE7" s="30" t="str">
        <f t="shared" si="137"/>
        <v/>
      </c>
      <c r="FF7" s="30" t="str">
        <f t="shared" si="138"/>
        <v/>
      </c>
      <c r="FG7" s="30" t="str">
        <f t="shared" si="139"/>
        <v/>
      </c>
      <c r="FH7" s="30" t="str">
        <f t="shared" si="140"/>
        <v/>
      </c>
      <c r="FI7" s="30" t="str">
        <f t="shared" si="141"/>
        <v/>
      </c>
      <c r="FJ7" s="30" t="str">
        <f t="shared" si="142"/>
        <v/>
      </c>
      <c r="FK7" s="30" t="str">
        <f t="shared" si="143"/>
        <v/>
      </c>
      <c r="FL7" s="30" t="str">
        <f t="shared" si="144"/>
        <v/>
      </c>
      <c r="FM7" s="30" t="str">
        <f t="shared" si="145"/>
        <v/>
      </c>
      <c r="FN7" s="30" t="str">
        <f t="shared" si="146"/>
        <v/>
      </c>
      <c r="FO7" s="30" t="str">
        <f t="shared" si="147"/>
        <v/>
      </c>
      <c r="FP7" s="30" t="str">
        <f t="shared" si="148"/>
        <v/>
      </c>
      <c r="FQ7" s="30" t="str">
        <f t="shared" si="149"/>
        <v/>
      </c>
      <c r="FR7" s="30" t="str">
        <f t="shared" si="150"/>
        <v/>
      </c>
      <c r="FS7" s="30" t="str">
        <f t="shared" si="151"/>
        <v/>
      </c>
    </row>
    <row r="8" spans="1:175" s="24" customFormat="1" ht="16.5">
      <c r="A8" s="5"/>
      <c r="B8" s="36" t="s">
        <v>653</v>
      </c>
      <c r="C8" s="5" t="s">
        <v>679</v>
      </c>
      <c r="D8" s="31"/>
      <c r="E8" s="39"/>
      <c r="F8" s="40">
        <v>18600</v>
      </c>
      <c r="G8" s="38"/>
      <c r="H8" s="38"/>
      <c r="I8" s="38" t="str">
        <f t="shared" si="79"/>
        <v>E007</v>
      </c>
      <c r="J8" s="38"/>
      <c r="K8" s="38"/>
      <c r="L8" s="38"/>
      <c r="M8" s="38"/>
      <c r="N8" s="38"/>
      <c r="O8" s="38"/>
      <c r="P8" s="42"/>
      <c r="Q8" s="42"/>
      <c r="R8" s="42"/>
      <c r="S8" s="42"/>
      <c r="T8" s="101"/>
      <c r="U8" s="32" t="str">
        <f t="shared" ref="U8:U18" si="152">"ReplaceableTextures\\CommandButtons\\BTN"&amp;B8&amp;".blp"</f>
        <v>ReplaceableTextures\\CommandButtons\\BTNE006.blp</v>
      </c>
      <c r="V8" s="43">
        <v>6400</v>
      </c>
      <c r="W8" s="43"/>
      <c r="X8" s="43"/>
      <c r="Y8" s="43"/>
      <c r="Z8" s="43"/>
      <c r="AA8" s="43"/>
      <c r="AB8" s="43"/>
      <c r="AC8" s="43"/>
      <c r="AD8" s="43">
        <v>26</v>
      </c>
      <c r="AE8" s="43"/>
      <c r="AF8" s="43"/>
      <c r="AG8" s="43"/>
      <c r="AH8" s="43"/>
      <c r="AI8" s="43"/>
      <c r="AJ8" s="43"/>
      <c r="AK8" s="43"/>
      <c r="AL8" s="43"/>
      <c r="AM8" s="43"/>
      <c r="AN8" s="43">
        <v>3</v>
      </c>
      <c r="AO8" s="43"/>
      <c r="AP8" s="43"/>
      <c r="AQ8" s="43"/>
      <c r="AR8" s="43"/>
      <c r="AS8" s="43"/>
      <c r="AT8" s="43"/>
      <c r="AU8" s="43"/>
      <c r="AV8" s="43"/>
      <c r="AW8" s="43"/>
      <c r="AX8" s="43"/>
      <c r="AY8" s="43"/>
      <c r="AZ8" s="43"/>
      <c r="BA8" s="43"/>
      <c r="BB8" s="43"/>
      <c r="BC8" s="43"/>
      <c r="BD8" s="43"/>
      <c r="BE8" s="43"/>
      <c r="BF8" s="43"/>
      <c r="BG8" s="43"/>
      <c r="BH8" s="43"/>
      <c r="BI8" s="43"/>
      <c r="BJ8" s="43"/>
      <c r="BK8" s="43"/>
      <c r="BL8" s="43"/>
      <c r="BM8" s="43"/>
      <c r="BN8" s="43"/>
      <c r="BO8" s="43"/>
      <c r="BP8" s="43"/>
      <c r="BQ8" s="43"/>
      <c r="BR8" s="43"/>
      <c r="BS8" s="43"/>
      <c r="BT8" s="43"/>
      <c r="BU8" s="43"/>
      <c r="BV8" s="43"/>
      <c r="BW8" s="43"/>
      <c r="BX8" s="43"/>
      <c r="BY8" s="43"/>
      <c r="BZ8" s="43"/>
      <c r="CA8" s="43"/>
      <c r="CB8" s="43"/>
      <c r="CC8" s="43"/>
      <c r="CD8" s="43"/>
      <c r="CE8" s="43"/>
      <c r="CF8" s="43"/>
      <c r="CG8" s="43"/>
      <c r="CH8" s="43"/>
      <c r="CI8" s="43"/>
      <c r="CJ8" s="43"/>
      <c r="CK8" s="43"/>
      <c r="CL8" s="43"/>
      <c r="CM8" s="43"/>
      <c r="CN8" s="44" t="str">
        <f t="shared" si="3"/>
        <v>InitUnitState('E006',6400,,,,,,,,26,)</v>
      </c>
      <c r="CO8" s="44" t="str">
        <f t="shared" si="4"/>
        <v>InitUnitNormal('E006',,,,,,,,,3,)</v>
      </c>
      <c r="CP8" s="44" t="str">
        <f t="shared" si="5"/>
        <v>InitUnitMagic('E006',,,,,,,,,,)</v>
      </c>
      <c r="CQ8" s="44" t="str">
        <f t="shared" si="6"/>
        <v>InitUnitAdd('E006',,,,,,,,,,)</v>
      </c>
      <c r="CR8" s="44" t="str">
        <f t="shared" si="7"/>
        <v>InitEquipData('E006',,"",,E007,18600,,'','','','','','',"ReplaceableTextures\\CommandButtons\\BTNE007.blp")</v>
      </c>
      <c r="CS8" s="44"/>
      <c r="CT8" s="44"/>
      <c r="CU8" s="45" t="str">
        <f t="shared" ref="CU8:CU18" si="153">CONCATENATE(DB8,DC8,DD8,DE8,DF8,DG8,DH8,DI8,DJ8,DK8,DL8,DM8,DN8,DO8,DP8,DQ8,DR8,DS8,DT8,DU8,DV8,DW8,DX8,DY8,DZ8,EA8,EB8,EC8,ED8,EE8,EF8,EG8,EH8,EI8,EJ8,EK8,EL8,EM8,EN8,EO8,EP8&amp;"|n")</f>
        <v>|n攻击+6400|n攻速+26%|n暴击+3%|n</v>
      </c>
      <c r="CV8" s="29" t="str">
        <f>"|cffffcc00属性：|r"&amp;CU8&amp;VLOOKUP(A8,合成公式!A:P,16,FALSE)&amp;T8</f>
        <v>|cffffcc00属性：|r|n攻击+6400|n攻速+26%|n暴击+3%|n</v>
      </c>
      <c r="DB8" s="30" t="str">
        <f t="shared" ref="DB8:DB18" si="154">IF(V8="","","|n"&amp;DB$2&amp;"+"&amp;V8&amp;DB$1)</f>
        <v>|n攻击+6400</v>
      </c>
      <c r="DC8" s="30" t="str">
        <f t="shared" ref="DC8:DC18" si="155">IF(W8="","","|n"&amp;DC$2&amp;"+"&amp;W8&amp;DC$1)</f>
        <v/>
      </c>
      <c r="DD8" s="30" t="str">
        <f t="shared" ref="DD8:DD18" si="156">IF(X8="","","|n"&amp;DD$2&amp;"+"&amp;X8&amp;DD$1)</f>
        <v/>
      </c>
      <c r="DE8" s="30" t="str">
        <f t="shared" ref="DE8:DE18" si="157">IF(Y8="","","|n"&amp;DE$2&amp;"+"&amp;Y8&amp;DE$1)</f>
        <v/>
      </c>
      <c r="DF8" s="30" t="str">
        <f t="shared" ref="DF8:DF18" si="158">IF(Z8="","","|n"&amp;DF$2&amp;"+"&amp;Z8&amp;DF$1)</f>
        <v/>
      </c>
      <c r="DG8" s="30" t="str">
        <f t="shared" ref="DG8:DG18" si="159">IF(AA8="","","|n"&amp;DG$2&amp;"+"&amp;AA8&amp;DG$1)</f>
        <v/>
      </c>
      <c r="DH8" s="30" t="str">
        <f t="shared" ref="DH8:DH18" si="160">IF(AB8="","","|n"&amp;DH$2&amp;"+"&amp;AB8&amp;DH$1)</f>
        <v/>
      </c>
      <c r="DI8" s="30" t="str">
        <f t="shared" ref="DI8:DI18" si="161">IF(AC8="","","|n"&amp;DI$2&amp;"+"&amp;AC8&amp;DI$1)</f>
        <v/>
      </c>
      <c r="DJ8" s="30" t="str">
        <f t="shared" ref="DJ8:DJ18" si="162">IF(AD8="","","|n"&amp;DJ$2&amp;"+"&amp;AD8&amp;DJ$1)</f>
        <v>|n攻速+26%</v>
      </c>
      <c r="DK8" s="30" t="str">
        <f t="shared" ref="DK8:DK18" si="163">IF(AE8="","","|n"&amp;DK$2&amp;"+"&amp;AE8&amp;DK$1)</f>
        <v/>
      </c>
      <c r="DL8" s="30" t="str">
        <f t="shared" ref="DL8:DL18" si="164">IF(AF8="","","|n"&amp;DL$2&amp;"+"&amp;AF8&amp;DL$1)</f>
        <v/>
      </c>
      <c r="DM8" s="30" t="str">
        <f t="shared" ref="DM8:DM18" si="165">IF(AG8="","","|n"&amp;DM$2&amp;"+"&amp;AG8&amp;DM$1)</f>
        <v/>
      </c>
      <c r="DN8" s="30" t="str">
        <f t="shared" ref="DN8:DN18" si="166">IF(AH8="","","|n"&amp;DN$2&amp;"+"&amp;AH8&amp;DN$1)</f>
        <v/>
      </c>
      <c r="DO8" s="30" t="str">
        <f t="shared" ref="DO8:DO18" si="167">IF(AI8="","","|n"&amp;DO$2&amp;"+"&amp;AI8&amp;DO$1)</f>
        <v/>
      </c>
      <c r="DP8" s="30" t="str">
        <f t="shared" ref="DP8:DP18" si="168">IF(AJ8="","","|n"&amp;DP$2&amp;"+"&amp;AJ8&amp;DP$1)</f>
        <v/>
      </c>
      <c r="DQ8" s="30" t="str">
        <f t="shared" ref="DQ8:DQ18" si="169">IF(AK8="","","|n"&amp;DQ$2&amp;"+"&amp;AK8&amp;DQ$1)</f>
        <v/>
      </c>
      <c r="DR8" s="30" t="str">
        <f t="shared" ref="DR8:DR18" si="170">IF(AL8="","","|n"&amp;DR$2&amp;"+"&amp;AL8&amp;DR$1)</f>
        <v/>
      </c>
      <c r="DS8" s="30" t="str">
        <f t="shared" ref="DS8:DS18" si="171">IF(AM8="","","|n"&amp;DS$2&amp;"+"&amp;AM8&amp;DS$1)</f>
        <v/>
      </c>
      <c r="DT8" s="30" t="str">
        <f t="shared" ref="DT8:DT18" si="172">IF(AN8="","","|n"&amp;DT$2&amp;"+"&amp;AN8&amp;DT$1)</f>
        <v>|n暴击+3%</v>
      </c>
      <c r="DU8" s="30" t="str">
        <f t="shared" ref="DU8:DU18" si="173">IF(AO8="","","|n"&amp;DU$2&amp;"+"&amp;AO8&amp;DU$1)</f>
        <v/>
      </c>
      <c r="DV8" s="30" t="str">
        <f t="shared" ref="DV8:DV18" si="174">IF(AP8="","","|n"&amp;DV$2&amp;"+"&amp;AP8&amp;DV$1)</f>
        <v/>
      </c>
      <c r="DW8" s="30" t="str">
        <f t="shared" ref="DW8:DW18" si="175">IF(AQ8="","","|n"&amp;DW$2&amp;"+"&amp;AQ8&amp;DW$1)</f>
        <v/>
      </c>
      <c r="DX8" s="30" t="str">
        <f t="shared" ref="DX8:DX18" si="176">IF(AR8="","","|n"&amp;DX$2&amp;"+"&amp;AR8&amp;DX$1)</f>
        <v/>
      </c>
      <c r="DY8" s="30" t="str">
        <f t="shared" ref="DY8:DY18" si="177">IF(AS8="","","|n"&amp;DY$2&amp;"+"&amp;AS8&amp;DY$1)</f>
        <v/>
      </c>
      <c r="DZ8" s="30" t="str">
        <f t="shared" ref="DZ8:DZ18" si="178">IF(AT8="","","|n"&amp;DZ$2&amp;"+"&amp;AT8&amp;DZ$1)</f>
        <v/>
      </c>
      <c r="EA8" s="30" t="str">
        <f t="shared" ref="EA8:EA18" si="179">IF(AU8="","","|n"&amp;EA$2&amp;"+"&amp;AU8&amp;EA$1)</f>
        <v/>
      </c>
      <c r="EB8" s="30" t="str">
        <f t="shared" ref="EB8:EB18" si="180">IF(AV8="","","|n"&amp;EB$2&amp;"+"&amp;AV8&amp;EB$1)</f>
        <v/>
      </c>
      <c r="EC8" s="30" t="str">
        <f t="shared" ref="EC8:EC18" si="181">IF(AW8="","","|n"&amp;EC$2&amp;"+"&amp;AW8&amp;EC$1)</f>
        <v/>
      </c>
      <c r="ED8" s="30" t="str">
        <f t="shared" ref="ED8:ED18" si="182">IF(AX8="","","|n"&amp;ED$2&amp;"+"&amp;AX8&amp;ED$1)</f>
        <v/>
      </c>
      <c r="EE8" s="30" t="str">
        <f t="shared" ref="EE8:EE18" si="183">IF(AY8="","","|n"&amp;EE$2&amp;"+"&amp;AY8&amp;EE$1)</f>
        <v/>
      </c>
      <c r="EF8" s="30" t="str">
        <f t="shared" ref="EF8:EF18" si="184">IF(AZ8="","","|n"&amp;EF$2&amp;"+"&amp;AZ8&amp;EF$1)</f>
        <v/>
      </c>
      <c r="EG8" s="30" t="str">
        <f t="shared" ref="EG8:EG18" si="185">IF(BA8="","","|n"&amp;EG$2&amp;"+"&amp;BA8&amp;EG$1)</f>
        <v/>
      </c>
      <c r="EH8" s="30" t="str">
        <f t="shared" ref="EH8:EH18" si="186">IF(BB8="","","|n"&amp;EH$2&amp;"+"&amp;BB8&amp;EH$1)</f>
        <v/>
      </c>
      <c r="EI8" s="30" t="str">
        <f t="shared" ref="EI8:EI18" si="187">IF(BC8="","","|n"&amp;EI$2&amp;"+"&amp;BC8&amp;EI$1)</f>
        <v/>
      </c>
      <c r="EJ8" s="30" t="str">
        <f t="shared" ref="EJ8:EJ18" si="188">IF(BD8="","","|n"&amp;EJ$2&amp;"+"&amp;BD8&amp;EJ$1)</f>
        <v/>
      </c>
      <c r="EK8" s="30" t="str">
        <f t="shared" ref="EK8:EK18" si="189">IF(BE8="","","|n"&amp;EK$2&amp;"+"&amp;BE8&amp;EK$1)</f>
        <v/>
      </c>
      <c r="EL8" s="30" t="str">
        <f t="shared" ref="EL8:EL18" si="190">IF(BF8="","","|n"&amp;EL$2&amp;"+"&amp;BF8&amp;EL$1)</f>
        <v/>
      </c>
      <c r="EM8" s="30" t="str">
        <f t="shared" ref="EM8:EM18" si="191">IF(BG8="","","|n"&amp;EM$2&amp;"+"&amp;BG8&amp;EM$1)</f>
        <v/>
      </c>
      <c r="EN8" s="30" t="str">
        <f t="shared" ref="EN8:EN18" si="192">IF(BH8="","","|n"&amp;EN$2&amp;"+"&amp;BH8&amp;EN$1)</f>
        <v/>
      </c>
      <c r="EO8" s="30" t="str">
        <f t="shared" ref="EO8:EO18" si="193">IF(BI8="","","|n"&amp;EO$2&amp;"+"&amp;BI8&amp;EO$1)</f>
        <v/>
      </c>
      <c r="EP8" s="30" t="str">
        <f t="shared" ref="EP8:EP18" si="194">IF(BJ8="","","|n"&amp;EP$2&amp;"+"&amp;BJ8&amp;EP$1)</f>
        <v/>
      </c>
      <c r="EQ8" s="30" t="str">
        <f t="shared" ref="EQ8:EQ18" si="195">IF(BK8="","","|n"&amp;EQ$2&amp;"+"&amp;BK8&amp;EQ$1)</f>
        <v/>
      </c>
      <c r="ER8" s="30" t="str">
        <f t="shared" ref="ER8:ER18" si="196">IF(BL8="","","|n"&amp;ER$2&amp;"+"&amp;BL8&amp;ER$1)</f>
        <v/>
      </c>
      <c r="ES8" s="30" t="str">
        <f t="shared" ref="ES8:ES18" si="197">IF(BM8="","","|n"&amp;ES$2&amp;"+"&amp;BM8&amp;ES$1)</f>
        <v/>
      </c>
      <c r="ET8" s="30" t="str">
        <f t="shared" ref="ET8:ET18" si="198">IF(BN8="","","|n"&amp;ET$2&amp;"+"&amp;BN8&amp;ET$1)</f>
        <v/>
      </c>
      <c r="EU8" s="30" t="str">
        <f t="shared" ref="EU8:EU18" si="199">IF(BO8="","","|n"&amp;EU$2&amp;"+"&amp;BO8&amp;EU$1)</f>
        <v/>
      </c>
      <c r="EV8" s="30" t="str">
        <f t="shared" ref="EV8:EV18" si="200">IF(BP8="","","|n"&amp;EV$2&amp;"+"&amp;BP8&amp;EV$1)</f>
        <v/>
      </c>
      <c r="EW8" s="30" t="str">
        <f t="shared" ref="EW8:EW18" si="201">IF(BQ8="","","|n"&amp;EW$2&amp;"+"&amp;BQ8&amp;EW$1)</f>
        <v/>
      </c>
      <c r="EX8" s="30" t="str">
        <f t="shared" ref="EX8:EX18" si="202">IF(BR8="","","|n"&amp;EX$2&amp;"+"&amp;BR8&amp;EX$1)</f>
        <v/>
      </c>
      <c r="EY8" s="30" t="str">
        <f t="shared" ref="EY8:EY18" si="203">IF(BS8="","","|n"&amp;EY$2&amp;"+"&amp;BS8&amp;EY$1)</f>
        <v/>
      </c>
      <c r="EZ8" s="30" t="str">
        <f t="shared" ref="EZ8:EZ18" si="204">IF(BT8="","","|n"&amp;EZ$2&amp;"+"&amp;BT8&amp;EZ$1)</f>
        <v/>
      </c>
      <c r="FA8" s="30" t="str">
        <f t="shared" ref="FA8:FA18" si="205">IF(BU8="","","|n"&amp;FA$2&amp;"+"&amp;BU8&amp;FA$1)</f>
        <v/>
      </c>
      <c r="FB8" s="30" t="str">
        <f t="shared" ref="FB8:FB18" si="206">IF(BV8="","","|n"&amp;FB$2&amp;"+"&amp;BV8&amp;FB$1)</f>
        <v/>
      </c>
      <c r="FC8" s="30" t="str">
        <f t="shared" ref="FC8:FC18" si="207">IF(BW8="","","|n"&amp;FC$2&amp;"+"&amp;BW8&amp;FC$1)</f>
        <v/>
      </c>
      <c r="FD8" s="30" t="str">
        <f t="shared" ref="FD8:FD18" si="208">IF(BX8="","","|n"&amp;FD$2&amp;"+"&amp;BX8&amp;FD$1)</f>
        <v/>
      </c>
      <c r="FE8" s="30" t="str">
        <f t="shared" ref="FE8:FE18" si="209">IF(BY8="","","|n"&amp;FE$2&amp;"+"&amp;BY8&amp;FE$1)</f>
        <v/>
      </c>
      <c r="FF8" s="30" t="str">
        <f t="shared" ref="FF8:FF18" si="210">IF(BZ8="","","|n"&amp;FF$2&amp;"+"&amp;BZ8&amp;FF$1)</f>
        <v/>
      </c>
      <c r="FG8" s="30" t="str">
        <f t="shared" ref="FG8:FG18" si="211">IF(CA8="","","|n"&amp;FG$2&amp;"+"&amp;CA8&amp;FG$1)</f>
        <v/>
      </c>
      <c r="FH8" s="30" t="str">
        <f t="shared" ref="FH8:FH18" si="212">IF(CB8="","","|n"&amp;FH$2&amp;"+"&amp;CB8&amp;FH$1)</f>
        <v/>
      </c>
      <c r="FI8" s="30" t="str">
        <f t="shared" ref="FI8:FI18" si="213">IF(CC8="","","|n"&amp;FI$2&amp;"+"&amp;CC8&amp;FI$1)</f>
        <v/>
      </c>
      <c r="FJ8" s="30" t="str">
        <f t="shared" ref="FJ8:FJ18" si="214">IF(CD8="","","|n"&amp;FJ$2&amp;"+"&amp;CD8&amp;FJ$1)</f>
        <v/>
      </c>
      <c r="FK8" s="30" t="str">
        <f t="shared" ref="FK8:FK18" si="215">IF(CE8="","","|n"&amp;FK$2&amp;"+"&amp;CE8&amp;FK$1)</f>
        <v/>
      </c>
      <c r="FL8" s="30" t="str">
        <f t="shared" ref="FL8:FL18" si="216">IF(CF8="","","|n"&amp;FL$2&amp;"+"&amp;CF8&amp;FL$1)</f>
        <v/>
      </c>
      <c r="FM8" s="30" t="str">
        <f t="shared" ref="FM8:FM18" si="217">IF(CG8="","","|n"&amp;FM$2&amp;"+"&amp;CG8&amp;FM$1)</f>
        <v/>
      </c>
      <c r="FN8" s="30" t="str">
        <f t="shared" ref="FN8:FN18" si="218">IF(CH8="","","|n"&amp;FN$2&amp;"+"&amp;CH8&amp;FN$1)</f>
        <v/>
      </c>
      <c r="FO8" s="30" t="str">
        <f t="shared" ref="FO8:FO18" si="219">IF(CI8="","","|n"&amp;FO$2&amp;"+"&amp;CI8&amp;FO$1)</f>
        <v/>
      </c>
      <c r="FP8" s="30" t="str">
        <f t="shared" ref="FP8:FP18" si="220">IF(CJ8="","","|n"&amp;FP$2&amp;"+"&amp;CJ8&amp;FP$1)</f>
        <v/>
      </c>
      <c r="FQ8" s="30" t="str">
        <f t="shared" ref="FQ8:FQ18" si="221">IF(CK8="","","|n"&amp;FQ$2&amp;"+"&amp;CK8&amp;FQ$1)</f>
        <v/>
      </c>
      <c r="FR8" s="30" t="str">
        <f t="shared" ref="FR8:FR18" si="222">IF(CL8="","","|n"&amp;FR$2&amp;"+"&amp;CL8&amp;FR$1)</f>
        <v/>
      </c>
      <c r="FS8" s="30" t="str">
        <f t="shared" ref="FS8:FS18" si="223">IF(CM8="","","|n"&amp;FS$2&amp;"+"&amp;CM8&amp;FS$1)</f>
        <v/>
      </c>
    </row>
    <row r="9" spans="1:175" s="24" customFormat="1" ht="16.5">
      <c r="A9" s="5"/>
      <c r="B9" s="36" t="s">
        <v>654</v>
      </c>
      <c r="C9" s="5" t="s">
        <v>680</v>
      </c>
      <c r="D9" s="31"/>
      <c r="E9" s="39"/>
      <c r="F9" s="40">
        <v>19200</v>
      </c>
      <c r="G9" s="38"/>
      <c r="H9" s="38"/>
      <c r="I9" s="38" t="str">
        <f t="shared" si="79"/>
        <v>E008</v>
      </c>
      <c r="J9" s="38"/>
      <c r="K9" s="38"/>
      <c r="L9" s="38"/>
      <c r="M9" s="38"/>
      <c r="N9" s="38"/>
      <c r="O9" s="38"/>
      <c r="P9" s="42"/>
      <c r="Q9" s="42"/>
      <c r="R9" s="42"/>
      <c r="S9" s="42"/>
      <c r="T9" s="101"/>
      <c r="U9" s="32" t="str">
        <f t="shared" si="152"/>
        <v>ReplaceableTextures\\CommandButtons\\BTNE007.blp</v>
      </c>
      <c r="V9" s="43">
        <v>7800</v>
      </c>
      <c r="W9" s="43"/>
      <c r="X9" s="43"/>
      <c r="Y9" s="43"/>
      <c r="Z9" s="43"/>
      <c r="AA9" s="43"/>
      <c r="AB9" s="43"/>
      <c r="AC9" s="43"/>
      <c r="AD9" s="43">
        <v>26</v>
      </c>
      <c r="AE9" s="43"/>
      <c r="AF9" s="43"/>
      <c r="AG9" s="43"/>
      <c r="AH9" s="43"/>
      <c r="AI9" s="43"/>
      <c r="AJ9" s="43"/>
      <c r="AK9" s="43"/>
      <c r="AL9" s="43"/>
      <c r="AM9" s="43"/>
      <c r="AN9" s="43">
        <v>3</v>
      </c>
      <c r="AO9" s="43"/>
      <c r="AP9" s="43"/>
      <c r="AQ9" s="43"/>
      <c r="AR9" s="43"/>
      <c r="AS9" s="43"/>
      <c r="AT9" s="43"/>
      <c r="AU9" s="43"/>
      <c r="AV9" s="43"/>
      <c r="AW9" s="43"/>
      <c r="AX9" s="43"/>
      <c r="AY9" s="43"/>
      <c r="AZ9" s="43"/>
      <c r="BA9" s="43"/>
      <c r="BB9" s="43"/>
      <c r="BC9" s="43"/>
      <c r="BD9" s="43"/>
      <c r="BE9" s="43"/>
      <c r="BF9" s="43"/>
      <c r="BG9" s="43"/>
      <c r="BH9" s="43"/>
      <c r="BI9" s="43"/>
      <c r="BJ9" s="43"/>
      <c r="BK9" s="43"/>
      <c r="BL9" s="43"/>
      <c r="BM9" s="43"/>
      <c r="BN9" s="43"/>
      <c r="BO9" s="43"/>
      <c r="BP9" s="43"/>
      <c r="BQ9" s="43"/>
      <c r="BR9" s="43"/>
      <c r="BS9" s="43"/>
      <c r="BT9" s="43"/>
      <c r="BU9" s="43"/>
      <c r="BV9" s="43"/>
      <c r="BW9" s="43"/>
      <c r="BX9" s="43"/>
      <c r="BY9" s="43"/>
      <c r="BZ9" s="43"/>
      <c r="CA9" s="43"/>
      <c r="CB9" s="43"/>
      <c r="CC9" s="43"/>
      <c r="CD9" s="43"/>
      <c r="CE9" s="43"/>
      <c r="CF9" s="43"/>
      <c r="CG9" s="43"/>
      <c r="CH9" s="43"/>
      <c r="CI9" s="43"/>
      <c r="CJ9" s="43"/>
      <c r="CK9" s="43"/>
      <c r="CL9" s="43"/>
      <c r="CM9" s="43"/>
      <c r="CN9" s="44" t="str">
        <f t="shared" si="3"/>
        <v>InitUnitState('E007',7800,,,,,,,,26,)</v>
      </c>
      <c r="CO9" s="44" t="str">
        <f t="shared" si="4"/>
        <v>InitUnitNormal('E007',,,,,,,,,3,)</v>
      </c>
      <c r="CP9" s="44" t="str">
        <f t="shared" si="5"/>
        <v>InitUnitMagic('E007',,,,,,,,,,)</v>
      </c>
      <c r="CQ9" s="44" t="str">
        <f t="shared" si="6"/>
        <v>InitUnitAdd('E007',,,,,,,,,,)</v>
      </c>
      <c r="CR9" s="44" t="str">
        <f t="shared" si="7"/>
        <v>InitEquipData('E007',,"",,E008,19200,,'','','','','','',"ReplaceableTextures\\CommandButtons\\BTNE008.blp")</v>
      </c>
      <c r="CS9" s="44"/>
      <c r="CT9" s="44"/>
      <c r="CU9" s="45" t="str">
        <f t="shared" si="153"/>
        <v>|n攻击+7800|n攻速+26%|n暴击+3%|n</v>
      </c>
      <c r="CV9" s="29" t="str">
        <f>"|cffffcc00属性：|r"&amp;CU9&amp;VLOOKUP(A9,合成公式!A:P,16,FALSE)&amp;T9</f>
        <v>|cffffcc00属性：|r|n攻击+7800|n攻速+26%|n暴击+3%|n</v>
      </c>
      <c r="DB9" s="30" t="str">
        <f t="shared" si="154"/>
        <v>|n攻击+7800</v>
      </c>
      <c r="DC9" s="30" t="str">
        <f t="shared" si="155"/>
        <v/>
      </c>
      <c r="DD9" s="30" t="str">
        <f t="shared" si="156"/>
        <v/>
      </c>
      <c r="DE9" s="30" t="str">
        <f t="shared" si="157"/>
        <v/>
      </c>
      <c r="DF9" s="30" t="str">
        <f t="shared" si="158"/>
        <v/>
      </c>
      <c r="DG9" s="30" t="str">
        <f t="shared" si="159"/>
        <v/>
      </c>
      <c r="DH9" s="30" t="str">
        <f t="shared" si="160"/>
        <v/>
      </c>
      <c r="DI9" s="30" t="str">
        <f t="shared" si="161"/>
        <v/>
      </c>
      <c r="DJ9" s="30" t="str">
        <f t="shared" si="162"/>
        <v>|n攻速+26%</v>
      </c>
      <c r="DK9" s="30" t="str">
        <f t="shared" si="163"/>
        <v/>
      </c>
      <c r="DL9" s="30" t="str">
        <f t="shared" si="164"/>
        <v/>
      </c>
      <c r="DM9" s="30" t="str">
        <f t="shared" si="165"/>
        <v/>
      </c>
      <c r="DN9" s="30" t="str">
        <f t="shared" si="166"/>
        <v/>
      </c>
      <c r="DO9" s="30" t="str">
        <f t="shared" si="167"/>
        <v/>
      </c>
      <c r="DP9" s="30" t="str">
        <f t="shared" si="168"/>
        <v/>
      </c>
      <c r="DQ9" s="30" t="str">
        <f t="shared" si="169"/>
        <v/>
      </c>
      <c r="DR9" s="30" t="str">
        <f t="shared" si="170"/>
        <v/>
      </c>
      <c r="DS9" s="30" t="str">
        <f t="shared" si="171"/>
        <v/>
      </c>
      <c r="DT9" s="30" t="str">
        <f t="shared" si="172"/>
        <v>|n暴击+3%</v>
      </c>
      <c r="DU9" s="30" t="str">
        <f t="shared" si="173"/>
        <v/>
      </c>
      <c r="DV9" s="30" t="str">
        <f t="shared" si="174"/>
        <v/>
      </c>
      <c r="DW9" s="30" t="str">
        <f t="shared" si="175"/>
        <v/>
      </c>
      <c r="DX9" s="30" t="str">
        <f t="shared" si="176"/>
        <v/>
      </c>
      <c r="DY9" s="30" t="str">
        <f t="shared" si="177"/>
        <v/>
      </c>
      <c r="DZ9" s="30" t="str">
        <f t="shared" si="178"/>
        <v/>
      </c>
      <c r="EA9" s="30" t="str">
        <f t="shared" si="179"/>
        <v/>
      </c>
      <c r="EB9" s="30" t="str">
        <f t="shared" si="180"/>
        <v/>
      </c>
      <c r="EC9" s="30" t="str">
        <f t="shared" si="181"/>
        <v/>
      </c>
      <c r="ED9" s="30" t="str">
        <f t="shared" si="182"/>
        <v/>
      </c>
      <c r="EE9" s="30" t="str">
        <f t="shared" si="183"/>
        <v/>
      </c>
      <c r="EF9" s="30" t="str">
        <f t="shared" si="184"/>
        <v/>
      </c>
      <c r="EG9" s="30" t="str">
        <f t="shared" si="185"/>
        <v/>
      </c>
      <c r="EH9" s="30" t="str">
        <f t="shared" si="186"/>
        <v/>
      </c>
      <c r="EI9" s="30" t="str">
        <f t="shared" si="187"/>
        <v/>
      </c>
      <c r="EJ9" s="30" t="str">
        <f t="shared" si="188"/>
        <v/>
      </c>
      <c r="EK9" s="30" t="str">
        <f t="shared" si="189"/>
        <v/>
      </c>
      <c r="EL9" s="30" t="str">
        <f t="shared" si="190"/>
        <v/>
      </c>
      <c r="EM9" s="30" t="str">
        <f t="shared" si="191"/>
        <v/>
      </c>
      <c r="EN9" s="30" t="str">
        <f t="shared" si="192"/>
        <v/>
      </c>
      <c r="EO9" s="30" t="str">
        <f t="shared" si="193"/>
        <v/>
      </c>
      <c r="EP9" s="30" t="str">
        <f t="shared" si="194"/>
        <v/>
      </c>
      <c r="EQ9" s="30" t="str">
        <f t="shared" si="195"/>
        <v/>
      </c>
      <c r="ER9" s="30" t="str">
        <f t="shared" si="196"/>
        <v/>
      </c>
      <c r="ES9" s="30" t="str">
        <f t="shared" si="197"/>
        <v/>
      </c>
      <c r="ET9" s="30" t="str">
        <f t="shared" si="198"/>
        <v/>
      </c>
      <c r="EU9" s="30" t="str">
        <f t="shared" si="199"/>
        <v/>
      </c>
      <c r="EV9" s="30" t="str">
        <f t="shared" si="200"/>
        <v/>
      </c>
      <c r="EW9" s="30" t="str">
        <f t="shared" si="201"/>
        <v/>
      </c>
      <c r="EX9" s="30" t="str">
        <f t="shared" si="202"/>
        <v/>
      </c>
      <c r="EY9" s="30" t="str">
        <f t="shared" si="203"/>
        <v/>
      </c>
      <c r="EZ9" s="30" t="str">
        <f t="shared" si="204"/>
        <v/>
      </c>
      <c r="FA9" s="30" t="str">
        <f t="shared" si="205"/>
        <v/>
      </c>
      <c r="FB9" s="30" t="str">
        <f t="shared" si="206"/>
        <v/>
      </c>
      <c r="FC9" s="30" t="str">
        <f t="shared" si="207"/>
        <v/>
      </c>
      <c r="FD9" s="30" t="str">
        <f t="shared" si="208"/>
        <v/>
      </c>
      <c r="FE9" s="30" t="str">
        <f t="shared" si="209"/>
        <v/>
      </c>
      <c r="FF9" s="30" t="str">
        <f t="shared" si="210"/>
        <v/>
      </c>
      <c r="FG9" s="30" t="str">
        <f t="shared" si="211"/>
        <v/>
      </c>
      <c r="FH9" s="30" t="str">
        <f t="shared" si="212"/>
        <v/>
      </c>
      <c r="FI9" s="30" t="str">
        <f t="shared" si="213"/>
        <v/>
      </c>
      <c r="FJ9" s="30" t="str">
        <f t="shared" si="214"/>
        <v/>
      </c>
      <c r="FK9" s="30" t="str">
        <f t="shared" si="215"/>
        <v/>
      </c>
      <c r="FL9" s="30" t="str">
        <f t="shared" si="216"/>
        <v/>
      </c>
      <c r="FM9" s="30" t="str">
        <f t="shared" si="217"/>
        <v/>
      </c>
      <c r="FN9" s="30" t="str">
        <f t="shared" si="218"/>
        <v/>
      </c>
      <c r="FO9" s="30" t="str">
        <f t="shared" si="219"/>
        <v/>
      </c>
      <c r="FP9" s="30" t="str">
        <f t="shared" si="220"/>
        <v/>
      </c>
      <c r="FQ9" s="30" t="str">
        <f t="shared" si="221"/>
        <v/>
      </c>
      <c r="FR9" s="30" t="str">
        <f t="shared" si="222"/>
        <v/>
      </c>
      <c r="FS9" s="30" t="str">
        <f t="shared" si="223"/>
        <v/>
      </c>
    </row>
    <row r="10" spans="1:175" s="24" customFormat="1" ht="16.5">
      <c r="A10" s="5"/>
      <c r="B10" s="36" t="s">
        <v>655</v>
      </c>
      <c r="C10" s="5" t="s">
        <v>681</v>
      </c>
      <c r="D10" s="31"/>
      <c r="E10" s="39"/>
      <c r="F10" s="40">
        <v>19800</v>
      </c>
      <c r="G10" s="38"/>
      <c r="H10" s="38"/>
      <c r="I10" s="38" t="str">
        <f t="shared" si="79"/>
        <v>E009</v>
      </c>
      <c r="J10" s="38"/>
      <c r="K10" s="38"/>
      <c r="L10" s="38"/>
      <c r="M10" s="38"/>
      <c r="N10" s="38"/>
      <c r="O10" s="38"/>
      <c r="P10" s="42"/>
      <c r="Q10" s="42"/>
      <c r="R10" s="42"/>
      <c r="S10" s="42"/>
      <c r="T10" s="101"/>
      <c r="U10" s="32" t="str">
        <f t="shared" si="152"/>
        <v>ReplaceableTextures\\CommandButtons\\BTNE008.blp</v>
      </c>
      <c r="V10" s="43">
        <v>9200</v>
      </c>
      <c r="W10" s="43"/>
      <c r="X10" s="43"/>
      <c r="Y10" s="43"/>
      <c r="Z10" s="43"/>
      <c r="AA10" s="43"/>
      <c r="AB10" s="43"/>
      <c r="AC10" s="43"/>
      <c r="AD10" s="43">
        <v>26</v>
      </c>
      <c r="AE10" s="43"/>
      <c r="AF10" s="43"/>
      <c r="AG10" s="43"/>
      <c r="AH10" s="43"/>
      <c r="AI10" s="43"/>
      <c r="AJ10" s="43"/>
      <c r="AK10" s="43"/>
      <c r="AL10" s="43"/>
      <c r="AM10" s="43"/>
      <c r="AN10" s="43">
        <v>3</v>
      </c>
      <c r="AO10" s="43"/>
      <c r="AP10" s="43"/>
      <c r="AQ10" s="43"/>
      <c r="AR10" s="43"/>
      <c r="AS10" s="43"/>
      <c r="AT10" s="43"/>
      <c r="AU10" s="43"/>
      <c r="AV10" s="43"/>
      <c r="AW10" s="43"/>
      <c r="AX10" s="43"/>
      <c r="AY10" s="43"/>
      <c r="AZ10" s="43"/>
      <c r="BA10" s="43"/>
      <c r="BB10" s="43"/>
      <c r="BC10" s="43"/>
      <c r="BD10" s="43"/>
      <c r="BE10" s="43"/>
      <c r="BF10" s="43"/>
      <c r="BG10" s="43"/>
      <c r="BH10" s="43"/>
      <c r="BI10" s="43"/>
      <c r="BJ10" s="43"/>
      <c r="BK10" s="43"/>
      <c r="BL10" s="43"/>
      <c r="BM10" s="43"/>
      <c r="BN10" s="43"/>
      <c r="BO10" s="43"/>
      <c r="BP10" s="43"/>
      <c r="BQ10" s="43"/>
      <c r="BR10" s="43"/>
      <c r="BS10" s="43"/>
      <c r="BT10" s="43"/>
      <c r="BU10" s="43"/>
      <c r="BV10" s="43"/>
      <c r="BW10" s="43"/>
      <c r="BX10" s="43"/>
      <c r="BY10" s="43"/>
      <c r="BZ10" s="43"/>
      <c r="CA10" s="43"/>
      <c r="CB10" s="43"/>
      <c r="CC10" s="43"/>
      <c r="CD10" s="43"/>
      <c r="CE10" s="43"/>
      <c r="CF10" s="43"/>
      <c r="CG10" s="43"/>
      <c r="CH10" s="43"/>
      <c r="CI10" s="43"/>
      <c r="CJ10" s="43"/>
      <c r="CK10" s="43"/>
      <c r="CL10" s="43"/>
      <c r="CM10" s="43"/>
      <c r="CN10" s="44" t="str">
        <f t="shared" si="3"/>
        <v>InitUnitState('E008',9200,,,,,,,,26,)</v>
      </c>
      <c r="CO10" s="44" t="str">
        <f t="shared" si="4"/>
        <v>InitUnitNormal('E008',,,,,,,,,3,)</v>
      </c>
      <c r="CP10" s="44" t="str">
        <f t="shared" si="5"/>
        <v>InitUnitMagic('E008',,,,,,,,,,)</v>
      </c>
      <c r="CQ10" s="44" t="str">
        <f t="shared" si="6"/>
        <v>InitUnitAdd('E008',,,,,,,,,,)</v>
      </c>
      <c r="CR10" s="44" t="str">
        <f t="shared" si="7"/>
        <v>InitEquipData('E008',,"",,E009,19800,,'','','','','','',"ReplaceableTextures\\CommandButtons\\BTNE009.blp")</v>
      </c>
      <c r="CS10" s="44"/>
      <c r="CT10" s="44"/>
      <c r="CU10" s="45" t="str">
        <f t="shared" si="153"/>
        <v>|n攻击+9200|n攻速+26%|n暴击+3%|n</v>
      </c>
      <c r="CV10" s="29" t="str">
        <f>"|cffffcc00属性：|r"&amp;CU10&amp;VLOOKUP(A10,合成公式!A:P,16,FALSE)&amp;T10</f>
        <v>|cffffcc00属性：|r|n攻击+9200|n攻速+26%|n暴击+3%|n</v>
      </c>
      <c r="DB10" s="30" t="str">
        <f t="shared" si="154"/>
        <v>|n攻击+9200</v>
      </c>
      <c r="DC10" s="30" t="str">
        <f t="shared" si="155"/>
        <v/>
      </c>
      <c r="DD10" s="30" t="str">
        <f t="shared" si="156"/>
        <v/>
      </c>
      <c r="DE10" s="30" t="str">
        <f t="shared" si="157"/>
        <v/>
      </c>
      <c r="DF10" s="30" t="str">
        <f t="shared" si="158"/>
        <v/>
      </c>
      <c r="DG10" s="30" t="str">
        <f t="shared" si="159"/>
        <v/>
      </c>
      <c r="DH10" s="30" t="str">
        <f t="shared" si="160"/>
        <v/>
      </c>
      <c r="DI10" s="30" t="str">
        <f t="shared" si="161"/>
        <v/>
      </c>
      <c r="DJ10" s="30" t="str">
        <f t="shared" si="162"/>
        <v>|n攻速+26%</v>
      </c>
      <c r="DK10" s="30" t="str">
        <f t="shared" si="163"/>
        <v/>
      </c>
      <c r="DL10" s="30" t="str">
        <f t="shared" si="164"/>
        <v/>
      </c>
      <c r="DM10" s="30" t="str">
        <f t="shared" si="165"/>
        <v/>
      </c>
      <c r="DN10" s="30" t="str">
        <f t="shared" si="166"/>
        <v/>
      </c>
      <c r="DO10" s="30" t="str">
        <f t="shared" si="167"/>
        <v/>
      </c>
      <c r="DP10" s="30" t="str">
        <f t="shared" si="168"/>
        <v/>
      </c>
      <c r="DQ10" s="30" t="str">
        <f t="shared" si="169"/>
        <v/>
      </c>
      <c r="DR10" s="30" t="str">
        <f t="shared" si="170"/>
        <v/>
      </c>
      <c r="DS10" s="30" t="str">
        <f t="shared" si="171"/>
        <v/>
      </c>
      <c r="DT10" s="30" t="str">
        <f t="shared" si="172"/>
        <v>|n暴击+3%</v>
      </c>
      <c r="DU10" s="30" t="str">
        <f t="shared" si="173"/>
        <v/>
      </c>
      <c r="DV10" s="30" t="str">
        <f t="shared" si="174"/>
        <v/>
      </c>
      <c r="DW10" s="30" t="str">
        <f t="shared" si="175"/>
        <v/>
      </c>
      <c r="DX10" s="30" t="str">
        <f t="shared" si="176"/>
        <v/>
      </c>
      <c r="DY10" s="30" t="str">
        <f t="shared" si="177"/>
        <v/>
      </c>
      <c r="DZ10" s="30" t="str">
        <f t="shared" si="178"/>
        <v/>
      </c>
      <c r="EA10" s="30" t="str">
        <f t="shared" si="179"/>
        <v/>
      </c>
      <c r="EB10" s="30" t="str">
        <f t="shared" si="180"/>
        <v/>
      </c>
      <c r="EC10" s="30" t="str">
        <f t="shared" si="181"/>
        <v/>
      </c>
      <c r="ED10" s="30" t="str">
        <f t="shared" si="182"/>
        <v/>
      </c>
      <c r="EE10" s="30" t="str">
        <f t="shared" si="183"/>
        <v/>
      </c>
      <c r="EF10" s="30" t="str">
        <f t="shared" si="184"/>
        <v/>
      </c>
      <c r="EG10" s="30" t="str">
        <f t="shared" si="185"/>
        <v/>
      </c>
      <c r="EH10" s="30" t="str">
        <f t="shared" si="186"/>
        <v/>
      </c>
      <c r="EI10" s="30" t="str">
        <f t="shared" si="187"/>
        <v/>
      </c>
      <c r="EJ10" s="30" t="str">
        <f t="shared" si="188"/>
        <v/>
      </c>
      <c r="EK10" s="30" t="str">
        <f t="shared" si="189"/>
        <v/>
      </c>
      <c r="EL10" s="30" t="str">
        <f t="shared" si="190"/>
        <v/>
      </c>
      <c r="EM10" s="30" t="str">
        <f t="shared" si="191"/>
        <v/>
      </c>
      <c r="EN10" s="30" t="str">
        <f t="shared" si="192"/>
        <v/>
      </c>
      <c r="EO10" s="30" t="str">
        <f t="shared" si="193"/>
        <v/>
      </c>
      <c r="EP10" s="30" t="str">
        <f t="shared" si="194"/>
        <v/>
      </c>
      <c r="EQ10" s="30" t="str">
        <f t="shared" si="195"/>
        <v/>
      </c>
      <c r="ER10" s="30" t="str">
        <f t="shared" si="196"/>
        <v/>
      </c>
      <c r="ES10" s="30" t="str">
        <f t="shared" si="197"/>
        <v/>
      </c>
      <c r="ET10" s="30" t="str">
        <f t="shared" si="198"/>
        <v/>
      </c>
      <c r="EU10" s="30" t="str">
        <f t="shared" si="199"/>
        <v/>
      </c>
      <c r="EV10" s="30" t="str">
        <f t="shared" si="200"/>
        <v/>
      </c>
      <c r="EW10" s="30" t="str">
        <f t="shared" si="201"/>
        <v/>
      </c>
      <c r="EX10" s="30" t="str">
        <f t="shared" si="202"/>
        <v/>
      </c>
      <c r="EY10" s="30" t="str">
        <f t="shared" si="203"/>
        <v/>
      </c>
      <c r="EZ10" s="30" t="str">
        <f t="shared" si="204"/>
        <v/>
      </c>
      <c r="FA10" s="30" t="str">
        <f t="shared" si="205"/>
        <v/>
      </c>
      <c r="FB10" s="30" t="str">
        <f t="shared" si="206"/>
        <v/>
      </c>
      <c r="FC10" s="30" t="str">
        <f t="shared" si="207"/>
        <v/>
      </c>
      <c r="FD10" s="30" t="str">
        <f t="shared" si="208"/>
        <v/>
      </c>
      <c r="FE10" s="30" t="str">
        <f t="shared" si="209"/>
        <v/>
      </c>
      <c r="FF10" s="30" t="str">
        <f t="shared" si="210"/>
        <v/>
      </c>
      <c r="FG10" s="30" t="str">
        <f t="shared" si="211"/>
        <v/>
      </c>
      <c r="FH10" s="30" t="str">
        <f t="shared" si="212"/>
        <v/>
      </c>
      <c r="FI10" s="30" t="str">
        <f t="shared" si="213"/>
        <v/>
      </c>
      <c r="FJ10" s="30" t="str">
        <f t="shared" si="214"/>
        <v/>
      </c>
      <c r="FK10" s="30" t="str">
        <f t="shared" si="215"/>
        <v/>
      </c>
      <c r="FL10" s="30" t="str">
        <f t="shared" si="216"/>
        <v/>
      </c>
      <c r="FM10" s="30" t="str">
        <f t="shared" si="217"/>
        <v/>
      </c>
      <c r="FN10" s="30" t="str">
        <f t="shared" si="218"/>
        <v/>
      </c>
      <c r="FO10" s="30" t="str">
        <f t="shared" si="219"/>
        <v/>
      </c>
      <c r="FP10" s="30" t="str">
        <f t="shared" si="220"/>
        <v/>
      </c>
      <c r="FQ10" s="30" t="str">
        <f t="shared" si="221"/>
        <v/>
      </c>
      <c r="FR10" s="30" t="str">
        <f t="shared" si="222"/>
        <v/>
      </c>
      <c r="FS10" s="30" t="str">
        <f t="shared" si="223"/>
        <v/>
      </c>
    </row>
    <row r="11" spans="1:175" s="24" customFormat="1" ht="16.5">
      <c r="A11" s="5"/>
      <c r="B11" s="36" t="s">
        <v>656</v>
      </c>
      <c r="C11" s="5" t="s">
        <v>682</v>
      </c>
      <c r="D11" s="31"/>
      <c r="E11" s="39"/>
      <c r="F11" s="40">
        <v>20400</v>
      </c>
      <c r="G11" s="38"/>
      <c r="H11" s="38"/>
      <c r="I11" s="38" t="str">
        <f t="shared" si="79"/>
        <v>E010</v>
      </c>
      <c r="J11" s="38"/>
      <c r="K11" s="38"/>
      <c r="L11" s="38"/>
      <c r="M11" s="38"/>
      <c r="N11" s="38"/>
      <c r="O11" s="38"/>
      <c r="P11" s="42"/>
      <c r="Q11" s="42"/>
      <c r="R11" s="42"/>
      <c r="S11" s="42"/>
      <c r="T11" s="101"/>
      <c r="U11" s="32" t="str">
        <f t="shared" si="152"/>
        <v>ReplaceableTextures\\CommandButtons\\BTNE009.blp</v>
      </c>
      <c r="V11" s="43">
        <v>10600</v>
      </c>
      <c r="W11" s="43"/>
      <c r="X11" s="43"/>
      <c r="Y11" s="43"/>
      <c r="Z11" s="43"/>
      <c r="AA11" s="43"/>
      <c r="AB11" s="43"/>
      <c r="AC11" s="43"/>
      <c r="AD11" s="43">
        <v>26</v>
      </c>
      <c r="AE11" s="43"/>
      <c r="AF11" s="43"/>
      <c r="AG11" s="43"/>
      <c r="AH11" s="43"/>
      <c r="AI11" s="43"/>
      <c r="AJ11" s="43"/>
      <c r="AK11" s="43"/>
      <c r="AL11" s="43"/>
      <c r="AM11" s="43"/>
      <c r="AN11" s="43">
        <v>3</v>
      </c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  <c r="BY11" s="43"/>
      <c r="BZ11" s="43"/>
      <c r="CA11" s="43"/>
      <c r="CB11" s="43"/>
      <c r="CC11" s="43"/>
      <c r="CD11" s="43"/>
      <c r="CE11" s="43"/>
      <c r="CF11" s="43"/>
      <c r="CG11" s="43"/>
      <c r="CH11" s="43"/>
      <c r="CI11" s="43"/>
      <c r="CJ11" s="43"/>
      <c r="CK11" s="43"/>
      <c r="CL11" s="43"/>
      <c r="CM11" s="43"/>
      <c r="CN11" s="44" t="str">
        <f t="shared" si="3"/>
        <v>InitUnitState('E009',10600,,,,,,,,26,)</v>
      </c>
      <c r="CO11" s="44" t="str">
        <f t="shared" si="4"/>
        <v>InitUnitNormal('E009',,,,,,,,,3,)</v>
      </c>
      <c r="CP11" s="44" t="str">
        <f t="shared" si="5"/>
        <v>InitUnitMagic('E009',,,,,,,,,,)</v>
      </c>
      <c r="CQ11" s="44" t="str">
        <f t="shared" si="6"/>
        <v>InitUnitAdd('E009',,,,,,,,,,)</v>
      </c>
      <c r="CR11" s="44" t="str">
        <f t="shared" si="7"/>
        <v>InitEquipData('E009',,"",,E010,20400,,'','','','','','',"ReplaceableTextures\\CommandButtons\\BTNE010.blp")</v>
      </c>
      <c r="CS11" s="44"/>
      <c r="CT11" s="44"/>
      <c r="CU11" s="45" t="str">
        <f t="shared" si="153"/>
        <v>|n攻击+10600|n攻速+26%|n暴击+3%|n</v>
      </c>
      <c r="CV11" s="29" t="str">
        <f>"|cffffcc00属性：|r"&amp;CU11&amp;VLOOKUP(A11,合成公式!A:P,16,FALSE)&amp;T11</f>
        <v>|cffffcc00属性：|r|n攻击+10600|n攻速+26%|n暴击+3%|n</v>
      </c>
      <c r="DB11" s="30" t="str">
        <f t="shared" si="154"/>
        <v>|n攻击+10600</v>
      </c>
      <c r="DC11" s="30" t="str">
        <f t="shared" si="155"/>
        <v/>
      </c>
      <c r="DD11" s="30" t="str">
        <f t="shared" si="156"/>
        <v/>
      </c>
      <c r="DE11" s="30" t="str">
        <f t="shared" si="157"/>
        <v/>
      </c>
      <c r="DF11" s="30" t="str">
        <f t="shared" si="158"/>
        <v/>
      </c>
      <c r="DG11" s="30" t="str">
        <f t="shared" si="159"/>
        <v/>
      </c>
      <c r="DH11" s="30" t="str">
        <f t="shared" si="160"/>
        <v/>
      </c>
      <c r="DI11" s="30" t="str">
        <f t="shared" si="161"/>
        <v/>
      </c>
      <c r="DJ11" s="30" t="str">
        <f t="shared" si="162"/>
        <v>|n攻速+26%</v>
      </c>
      <c r="DK11" s="30" t="str">
        <f t="shared" si="163"/>
        <v/>
      </c>
      <c r="DL11" s="30" t="str">
        <f t="shared" si="164"/>
        <v/>
      </c>
      <c r="DM11" s="30" t="str">
        <f t="shared" si="165"/>
        <v/>
      </c>
      <c r="DN11" s="30" t="str">
        <f t="shared" si="166"/>
        <v/>
      </c>
      <c r="DO11" s="30" t="str">
        <f t="shared" si="167"/>
        <v/>
      </c>
      <c r="DP11" s="30" t="str">
        <f t="shared" si="168"/>
        <v/>
      </c>
      <c r="DQ11" s="30" t="str">
        <f t="shared" si="169"/>
        <v/>
      </c>
      <c r="DR11" s="30" t="str">
        <f t="shared" si="170"/>
        <v/>
      </c>
      <c r="DS11" s="30" t="str">
        <f t="shared" si="171"/>
        <v/>
      </c>
      <c r="DT11" s="30" t="str">
        <f t="shared" si="172"/>
        <v>|n暴击+3%</v>
      </c>
      <c r="DU11" s="30" t="str">
        <f t="shared" si="173"/>
        <v/>
      </c>
      <c r="DV11" s="30" t="str">
        <f t="shared" si="174"/>
        <v/>
      </c>
      <c r="DW11" s="30" t="str">
        <f t="shared" si="175"/>
        <v/>
      </c>
      <c r="DX11" s="30" t="str">
        <f t="shared" si="176"/>
        <v/>
      </c>
      <c r="DY11" s="30" t="str">
        <f t="shared" si="177"/>
        <v/>
      </c>
      <c r="DZ11" s="30" t="str">
        <f t="shared" si="178"/>
        <v/>
      </c>
      <c r="EA11" s="30" t="str">
        <f t="shared" si="179"/>
        <v/>
      </c>
      <c r="EB11" s="30" t="str">
        <f t="shared" si="180"/>
        <v/>
      </c>
      <c r="EC11" s="30" t="str">
        <f t="shared" si="181"/>
        <v/>
      </c>
      <c r="ED11" s="30" t="str">
        <f t="shared" si="182"/>
        <v/>
      </c>
      <c r="EE11" s="30" t="str">
        <f t="shared" si="183"/>
        <v/>
      </c>
      <c r="EF11" s="30" t="str">
        <f t="shared" si="184"/>
        <v/>
      </c>
      <c r="EG11" s="30" t="str">
        <f t="shared" si="185"/>
        <v/>
      </c>
      <c r="EH11" s="30" t="str">
        <f t="shared" si="186"/>
        <v/>
      </c>
      <c r="EI11" s="30" t="str">
        <f t="shared" si="187"/>
        <v/>
      </c>
      <c r="EJ11" s="30" t="str">
        <f t="shared" si="188"/>
        <v/>
      </c>
      <c r="EK11" s="30" t="str">
        <f t="shared" si="189"/>
        <v/>
      </c>
      <c r="EL11" s="30" t="str">
        <f t="shared" si="190"/>
        <v/>
      </c>
      <c r="EM11" s="30" t="str">
        <f t="shared" si="191"/>
        <v/>
      </c>
      <c r="EN11" s="30" t="str">
        <f t="shared" si="192"/>
        <v/>
      </c>
      <c r="EO11" s="30" t="str">
        <f t="shared" si="193"/>
        <v/>
      </c>
      <c r="EP11" s="30" t="str">
        <f t="shared" si="194"/>
        <v/>
      </c>
      <c r="EQ11" s="30" t="str">
        <f t="shared" si="195"/>
        <v/>
      </c>
      <c r="ER11" s="30" t="str">
        <f t="shared" si="196"/>
        <v/>
      </c>
      <c r="ES11" s="30" t="str">
        <f t="shared" si="197"/>
        <v/>
      </c>
      <c r="ET11" s="30" t="str">
        <f t="shared" si="198"/>
        <v/>
      </c>
      <c r="EU11" s="30" t="str">
        <f t="shared" si="199"/>
        <v/>
      </c>
      <c r="EV11" s="30" t="str">
        <f t="shared" si="200"/>
        <v/>
      </c>
      <c r="EW11" s="30" t="str">
        <f t="shared" si="201"/>
        <v/>
      </c>
      <c r="EX11" s="30" t="str">
        <f t="shared" si="202"/>
        <v/>
      </c>
      <c r="EY11" s="30" t="str">
        <f t="shared" si="203"/>
        <v/>
      </c>
      <c r="EZ11" s="30" t="str">
        <f t="shared" si="204"/>
        <v/>
      </c>
      <c r="FA11" s="30" t="str">
        <f t="shared" si="205"/>
        <v/>
      </c>
      <c r="FB11" s="30" t="str">
        <f t="shared" si="206"/>
        <v/>
      </c>
      <c r="FC11" s="30" t="str">
        <f t="shared" si="207"/>
        <v/>
      </c>
      <c r="FD11" s="30" t="str">
        <f t="shared" si="208"/>
        <v/>
      </c>
      <c r="FE11" s="30" t="str">
        <f t="shared" si="209"/>
        <v/>
      </c>
      <c r="FF11" s="30" t="str">
        <f t="shared" si="210"/>
        <v/>
      </c>
      <c r="FG11" s="30" t="str">
        <f t="shared" si="211"/>
        <v/>
      </c>
      <c r="FH11" s="30" t="str">
        <f t="shared" si="212"/>
        <v/>
      </c>
      <c r="FI11" s="30" t="str">
        <f t="shared" si="213"/>
        <v/>
      </c>
      <c r="FJ11" s="30" t="str">
        <f t="shared" si="214"/>
        <v/>
      </c>
      <c r="FK11" s="30" t="str">
        <f t="shared" si="215"/>
        <v/>
      </c>
      <c r="FL11" s="30" t="str">
        <f t="shared" si="216"/>
        <v/>
      </c>
      <c r="FM11" s="30" t="str">
        <f t="shared" si="217"/>
        <v/>
      </c>
      <c r="FN11" s="30" t="str">
        <f t="shared" si="218"/>
        <v/>
      </c>
      <c r="FO11" s="30" t="str">
        <f t="shared" si="219"/>
        <v/>
      </c>
      <c r="FP11" s="30" t="str">
        <f t="shared" si="220"/>
        <v/>
      </c>
      <c r="FQ11" s="30" t="str">
        <f t="shared" si="221"/>
        <v/>
      </c>
      <c r="FR11" s="30" t="str">
        <f t="shared" si="222"/>
        <v/>
      </c>
      <c r="FS11" s="30" t="str">
        <f t="shared" si="223"/>
        <v/>
      </c>
    </row>
    <row r="12" spans="1:175" s="24" customFormat="1" ht="16.5">
      <c r="A12" s="5"/>
      <c r="B12" s="36" t="s">
        <v>657</v>
      </c>
      <c r="C12" s="5" t="s">
        <v>683</v>
      </c>
      <c r="D12" s="31"/>
      <c r="E12" s="39"/>
      <c r="F12" s="40">
        <v>21000</v>
      </c>
      <c r="G12" s="38"/>
      <c r="H12" s="121" t="s">
        <v>929</v>
      </c>
      <c r="I12" s="38" t="str">
        <f t="shared" si="79"/>
        <v>E011</v>
      </c>
      <c r="J12" s="38"/>
      <c r="K12" s="38"/>
      <c r="L12" s="38"/>
      <c r="M12" s="38"/>
      <c r="N12" s="38"/>
      <c r="O12" s="38"/>
      <c r="P12" s="42"/>
      <c r="Q12" s="42"/>
      <c r="R12" s="42"/>
      <c r="S12" s="42"/>
      <c r="T12" s="101"/>
      <c r="U12" s="32" t="str">
        <f t="shared" si="152"/>
        <v>ReplaceableTextures\\CommandButtons\\BTNE010.blp</v>
      </c>
      <c r="V12" s="43">
        <v>12000</v>
      </c>
      <c r="W12" s="43"/>
      <c r="X12" s="43"/>
      <c r="Y12" s="43"/>
      <c r="Z12" s="43"/>
      <c r="AA12" s="43"/>
      <c r="AB12" s="43"/>
      <c r="AC12" s="43"/>
      <c r="AD12" s="43">
        <v>26</v>
      </c>
      <c r="AE12" s="43"/>
      <c r="AF12" s="43"/>
      <c r="AG12" s="43"/>
      <c r="AH12" s="43"/>
      <c r="AI12" s="43"/>
      <c r="AJ12" s="43"/>
      <c r="AK12" s="43"/>
      <c r="AL12" s="43"/>
      <c r="AM12" s="43"/>
      <c r="AN12" s="43">
        <v>3</v>
      </c>
      <c r="AO12" s="43"/>
      <c r="AP12" s="43"/>
      <c r="AQ12" s="43"/>
      <c r="AR12" s="43"/>
      <c r="AS12" s="43"/>
      <c r="AT12" s="43"/>
      <c r="AU12" s="43"/>
      <c r="AV12" s="43"/>
      <c r="AW12" s="43"/>
      <c r="AX12" s="43"/>
      <c r="AY12" s="43"/>
      <c r="AZ12" s="43"/>
      <c r="BA12" s="43"/>
      <c r="BB12" s="43"/>
      <c r="BC12" s="43"/>
      <c r="BD12" s="43"/>
      <c r="BE12" s="43"/>
      <c r="BF12" s="43"/>
      <c r="BG12" s="43"/>
      <c r="BH12" s="43"/>
      <c r="BI12" s="43"/>
      <c r="BJ12" s="43"/>
      <c r="BK12" s="43"/>
      <c r="BL12" s="43"/>
      <c r="BM12" s="43"/>
      <c r="BN12" s="43"/>
      <c r="BO12" s="43"/>
      <c r="BP12" s="43"/>
      <c r="BQ12" s="43"/>
      <c r="BR12" s="43"/>
      <c r="BS12" s="43"/>
      <c r="BT12" s="43"/>
      <c r="BU12" s="43"/>
      <c r="BV12" s="43"/>
      <c r="BW12" s="43"/>
      <c r="BX12" s="43"/>
      <c r="BY12" s="43"/>
      <c r="BZ12" s="43"/>
      <c r="CA12" s="43"/>
      <c r="CB12" s="43"/>
      <c r="CC12" s="43"/>
      <c r="CD12" s="43"/>
      <c r="CE12" s="43"/>
      <c r="CF12" s="43"/>
      <c r="CG12" s="43"/>
      <c r="CH12" s="43"/>
      <c r="CI12" s="43"/>
      <c r="CJ12" s="43"/>
      <c r="CK12" s="43"/>
      <c r="CL12" s="43"/>
      <c r="CM12" s="43"/>
      <c r="CN12" s="44" t="str">
        <f t="shared" si="3"/>
        <v>InitUnitState('E010',12000,,,,,,,,26,)</v>
      </c>
      <c r="CO12" s="44" t="str">
        <f t="shared" si="4"/>
        <v>InitUnitNormal('E010',,,,,,,,,3,)</v>
      </c>
      <c r="CP12" s="44" t="str">
        <f t="shared" si="5"/>
        <v>InitUnitMagic('E010',,,,,,,,,,)</v>
      </c>
      <c r="CQ12" s="44" t="str">
        <f t="shared" si="6"/>
        <v>InitUnitAdd('E010',,,,,,,,,,)</v>
      </c>
      <c r="CR12" s="44" t="str">
        <f t="shared" si="7"/>
        <v>InitEquipData('E010',,"",,E011,21000,,'','','','','','',"ReplaceableTextures\\CommandButtons\\BTNE011.blp")</v>
      </c>
      <c r="CS12" s="44"/>
      <c r="CT12" s="44"/>
      <c r="CU12" s="45" t="str">
        <f t="shared" si="153"/>
        <v>|n攻击+12000|n攻速+26%|n暴击+3%|n</v>
      </c>
      <c r="CV12" s="29" t="str">
        <f>"|cffffcc00属性：|r"&amp;CU12&amp;VLOOKUP(A12,合成公式!A:P,16,FALSE)&amp;T12</f>
        <v>|cffffcc00属性：|r|n攻击+12000|n攻速+26%|n暴击+3%|n</v>
      </c>
      <c r="DB12" s="30" t="str">
        <f t="shared" si="154"/>
        <v>|n攻击+12000</v>
      </c>
      <c r="DC12" s="30" t="str">
        <f t="shared" si="155"/>
        <v/>
      </c>
      <c r="DD12" s="30" t="str">
        <f t="shared" si="156"/>
        <v/>
      </c>
      <c r="DE12" s="30" t="str">
        <f t="shared" si="157"/>
        <v/>
      </c>
      <c r="DF12" s="30" t="str">
        <f t="shared" si="158"/>
        <v/>
      </c>
      <c r="DG12" s="30" t="str">
        <f t="shared" si="159"/>
        <v/>
      </c>
      <c r="DH12" s="30" t="str">
        <f t="shared" si="160"/>
        <v/>
      </c>
      <c r="DI12" s="30" t="str">
        <f t="shared" si="161"/>
        <v/>
      </c>
      <c r="DJ12" s="30" t="str">
        <f t="shared" si="162"/>
        <v>|n攻速+26%</v>
      </c>
      <c r="DK12" s="30" t="str">
        <f t="shared" si="163"/>
        <v/>
      </c>
      <c r="DL12" s="30" t="str">
        <f t="shared" si="164"/>
        <v/>
      </c>
      <c r="DM12" s="30" t="str">
        <f t="shared" si="165"/>
        <v/>
      </c>
      <c r="DN12" s="30" t="str">
        <f t="shared" si="166"/>
        <v/>
      </c>
      <c r="DO12" s="30" t="str">
        <f t="shared" si="167"/>
        <v/>
      </c>
      <c r="DP12" s="30" t="str">
        <f t="shared" si="168"/>
        <v/>
      </c>
      <c r="DQ12" s="30" t="str">
        <f t="shared" si="169"/>
        <v/>
      </c>
      <c r="DR12" s="30" t="str">
        <f t="shared" si="170"/>
        <v/>
      </c>
      <c r="DS12" s="30" t="str">
        <f t="shared" si="171"/>
        <v/>
      </c>
      <c r="DT12" s="30" t="str">
        <f t="shared" si="172"/>
        <v>|n暴击+3%</v>
      </c>
      <c r="DU12" s="30" t="str">
        <f t="shared" si="173"/>
        <v/>
      </c>
      <c r="DV12" s="30" t="str">
        <f t="shared" si="174"/>
        <v/>
      </c>
      <c r="DW12" s="30" t="str">
        <f t="shared" si="175"/>
        <v/>
      </c>
      <c r="DX12" s="30" t="str">
        <f t="shared" si="176"/>
        <v/>
      </c>
      <c r="DY12" s="30" t="str">
        <f t="shared" si="177"/>
        <v/>
      </c>
      <c r="DZ12" s="30" t="str">
        <f t="shared" si="178"/>
        <v/>
      </c>
      <c r="EA12" s="30" t="str">
        <f t="shared" si="179"/>
        <v/>
      </c>
      <c r="EB12" s="30" t="str">
        <f t="shared" si="180"/>
        <v/>
      </c>
      <c r="EC12" s="30" t="str">
        <f t="shared" si="181"/>
        <v/>
      </c>
      <c r="ED12" s="30" t="str">
        <f t="shared" si="182"/>
        <v/>
      </c>
      <c r="EE12" s="30" t="str">
        <f t="shared" si="183"/>
        <v/>
      </c>
      <c r="EF12" s="30" t="str">
        <f t="shared" si="184"/>
        <v/>
      </c>
      <c r="EG12" s="30" t="str">
        <f t="shared" si="185"/>
        <v/>
      </c>
      <c r="EH12" s="30" t="str">
        <f t="shared" si="186"/>
        <v/>
      </c>
      <c r="EI12" s="30" t="str">
        <f t="shared" si="187"/>
        <v/>
      </c>
      <c r="EJ12" s="30" t="str">
        <f t="shared" si="188"/>
        <v/>
      </c>
      <c r="EK12" s="30" t="str">
        <f t="shared" si="189"/>
        <v/>
      </c>
      <c r="EL12" s="30" t="str">
        <f t="shared" si="190"/>
        <v/>
      </c>
      <c r="EM12" s="30" t="str">
        <f t="shared" si="191"/>
        <v/>
      </c>
      <c r="EN12" s="30" t="str">
        <f t="shared" si="192"/>
        <v/>
      </c>
      <c r="EO12" s="30" t="str">
        <f t="shared" si="193"/>
        <v/>
      </c>
      <c r="EP12" s="30" t="str">
        <f t="shared" si="194"/>
        <v/>
      </c>
      <c r="EQ12" s="30" t="str">
        <f t="shared" si="195"/>
        <v/>
      </c>
      <c r="ER12" s="30" t="str">
        <f t="shared" si="196"/>
        <v/>
      </c>
      <c r="ES12" s="30" t="str">
        <f t="shared" si="197"/>
        <v/>
      </c>
      <c r="ET12" s="30" t="str">
        <f t="shared" si="198"/>
        <v/>
      </c>
      <c r="EU12" s="30" t="str">
        <f t="shared" si="199"/>
        <v/>
      </c>
      <c r="EV12" s="30" t="str">
        <f t="shared" si="200"/>
        <v/>
      </c>
      <c r="EW12" s="30" t="str">
        <f t="shared" si="201"/>
        <v/>
      </c>
      <c r="EX12" s="30" t="str">
        <f t="shared" si="202"/>
        <v/>
      </c>
      <c r="EY12" s="30" t="str">
        <f t="shared" si="203"/>
        <v/>
      </c>
      <c r="EZ12" s="30" t="str">
        <f t="shared" si="204"/>
        <v/>
      </c>
      <c r="FA12" s="30" t="str">
        <f t="shared" si="205"/>
        <v/>
      </c>
      <c r="FB12" s="30" t="str">
        <f t="shared" si="206"/>
        <v/>
      </c>
      <c r="FC12" s="30" t="str">
        <f t="shared" si="207"/>
        <v/>
      </c>
      <c r="FD12" s="30" t="str">
        <f t="shared" si="208"/>
        <v/>
      </c>
      <c r="FE12" s="30" t="str">
        <f t="shared" si="209"/>
        <v/>
      </c>
      <c r="FF12" s="30" t="str">
        <f t="shared" si="210"/>
        <v/>
      </c>
      <c r="FG12" s="30" t="str">
        <f t="shared" si="211"/>
        <v/>
      </c>
      <c r="FH12" s="30" t="str">
        <f t="shared" si="212"/>
        <v/>
      </c>
      <c r="FI12" s="30" t="str">
        <f t="shared" si="213"/>
        <v/>
      </c>
      <c r="FJ12" s="30" t="str">
        <f t="shared" si="214"/>
        <v/>
      </c>
      <c r="FK12" s="30" t="str">
        <f t="shared" si="215"/>
        <v/>
      </c>
      <c r="FL12" s="30" t="str">
        <f t="shared" si="216"/>
        <v/>
      </c>
      <c r="FM12" s="30" t="str">
        <f t="shared" si="217"/>
        <v/>
      </c>
      <c r="FN12" s="30" t="str">
        <f t="shared" si="218"/>
        <v/>
      </c>
      <c r="FO12" s="30" t="str">
        <f t="shared" si="219"/>
        <v/>
      </c>
      <c r="FP12" s="30" t="str">
        <f t="shared" si="220"/>
        <v/>
      </c>
      <c r="FQ12" s="30" t="str">
        <f t="shared" si="221"/>
        <v/>
      </c>
      <c r="FR12" s="30" t="str">
        <f t="shared" si="222"/>
        <v/>
      </c>
      <c r="FS12" s="30" t="str">
        <f t="shared" si="223"/>
        <v/>
      </c>
    </row>
    <row r="13" spans="1:175" s="24" customFormat="1" ht="16.5">
      <c r="A13" s="5"/>
      <c r="B13" s="36" t="s">
        <v>658</v>
      </c>
      <c r="C13" s="5" t="s">
        <v>684</v>
      </c>
      <c r="D13" s="31"/>
      <c r="E13" s="39"/>
      <c r="F13" s="40">
        <v>21800</v>
      </c>
      <c r="G13" s="38"/>
      <c r="H13" s="38"/>
      <c r="I13" s="38" t="str">
        <f t="shared" si="79"/>
        <v>E012</v>
      </c>
      <c r="J13" s="38"/>
      <c r="K13" s="38"/>
      <c r="L13" s="38"/>
      <c r="M13" s="38"/>
      <c r="N13" s="38"/>
      <c r="O13" s="38"/>
      <c r="P13" s="42"/>
      <c r="Q13" s="42"/>
      <c r="R13" s="42"/>
      <c r="S13" s="42"/>
      <c r="T13" s="101"/>
      <c r="U13" s="32" t="str">
        <f t="shared" si="152"/>
        <v>ReplaceableTextures\\CommandButtons\\BTNE011.blp</v>
      </c>
      <c r="V13" s="43">
        <v>14200</v>
      </c>
      <c r="W13" s="43"/>
      <c r="X13" s="43"/>
      <c r="Y13" s="43"/>
      <c r="Z13" s="43"/>
      <c r="AA13" s="43"/>
      <c r="AB13" s="43"/>
      <c r="AC13" s="43"/>
      <c r="AD13" s="43">
        <v>40</v>
      </c>
      <c r="AE13" s="43"/>
      <c r="AF13" s="43"/>
      <c r="AG13" s="43"/>
      <c r="AH13" s="43"/>
      <c r="AI13" s="43"/>
      <c r="AJ13" s="43"/>
      <c r="AK13" s="43"/>
      <c r="AL13" s="43"/>
      <c r="AM13" s="43"/>
      <c r="AN13" s="43">
        <v>6</v>
      </c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43"/>
      <c r="BR13" s="43"/>
      <c r="BS13" s="43"/>
      <c r="BT13" s="43"/>
      <c r="BU13" s="43"/>
      <c r="BV13" s="43"/>
      <c r="BW13" s="43"/>
      <c r="BX13" s="43"/>
      <c r="BY13" s="43"/>
      <c r="BZ13" s="43"/>
      <c r="CA13" s="43"/>
      <c r="CB13" s="43"/>
      <c r="CC13" s="43"/>
      <c r="CD13" s="43"/>
      <c r="CE13" s="43"/>
      <c r="CF13" s="43"/>
      <c r="CG13" s="43"/>
      <c r="CH13" s="43"/>
      <c r="CI13" s="43"/>
      <c r="CJ13" s="43"/>
      <c r="CK13" s="43"/>
      <c r="CL13" s="43"/>
      <c r="CM13" s="43"/>
      <c r="CN13" s="44" t="str">
        <f t="shared" si="3"/>
        <v>InitUnitState('E011',14200,,,,,,,,40,)</v>
      </c>
      <c r="CO13" s="44" t="str">
        <f t="shared" si="4"/>
        <v>InitUnitNormal('E011',,,,,,,,,6,)</v>
      </c>
      <c r="CP13" s="44" t="str">
        <f t="shared" si="5"/>
        <v>InitUnitMagic('E011',,,,,,,,,,)</v>
      </c>
      <c r="CQ13" s="44" t="str">
        <f t="shared" si="6"/>
        <v>InitUnitAdd('E011',,,,,,,,,,)</v>
      </c>
      <c r="CR13" s="44" t="str">
        <f t="shared" si="7"/>
        <v>InitEquipData('E011',,"",,E012,21800,,'','','','','','',"ReplaceableTextures\\CommandButtons\\BTNE012.blp")</v>
      </c>
      <c r="CS13" s="44"/>
      <c r="CT13" s="44"/>
      <c r="CU13" s="45" t="str">
        <f t="shared" si="153"/>
        <v>|n攻击+14200|n攻速+40%|n暴击+6%|n</v>
      </c>
      <c r="CV13" s="29" t="str">
        <f>"|cffffcc00属性：|r"&amp;CU13&amp;VLOOKUP(A13,合成公式!A:P,16,FALSE)&amp;T13</f>
        <v>|cffffcc00属性：|r|n攻击+14200|n攻速+40%|n暴击+6%|n</v>
      </c>
      <c r="DB13" s="30" t="str">
        <f t="shared" si="154"/>
        <v>|n攻击+14200</v>
      </c>
      <c r="DC13" s="30" t="str">
        <f t="shared" si="155"/>
        <v/>
      </c>
      <c r="DD13" s="30" t="str">
        <f t="shared" si="156"/>
        <v/>
      </c>
      <c r="DE13" s="30" t="str">
        <f t="shared" si="157"/>
        <v/>
      </c>
      <c r="DF13" s="30" t="str">
        <f t="shared" si="158"/>
        <v/>
      </c>
      <c r="DG13" s="30" t="str">
        <f t="shared" si="159"/>
        <v/>
      </c>
      <c r="DH13" s="30" t="str">
        <f t="shared" si="160"/>
        <v/>
      </c>
      <c r="DI13" s="30" t="str">
        <f t="shared" si="161"/>
        <v/>
      </c>
      <c r="DJ13" s="30" t="str">
        <f t="shared" si="162"/>
        <v>|n攻速+40%</v>
      </c>
      <c r="DK13" s="30" t="str">
        <f t="shared" si="163"/>
        <v/>
      </c>
      <c r="DL13" s="30" t="str">
        <f t="shared" si="164"/>
        <v/>
      </c>
      <c r="DM13" s="30" t="str">
        <f t="shared" si="165"/>
        <v/>
      </c>
      <c r="DN13" s="30" t="str">
        <f t="shared" si="166"/>
        <v/>
      </c>
      <c r="DO13" s="30" t="str">
        <f t="shared" si="167"/>
        <v/>
      </c>
      <c r="DP13" s="30" t="str">
        <f t="shared" si="168"/>
        <v/>
      </c>
      <c r="DQ13" s="30" t="str">
        <f t="shared" si="169"/>
        <v/>
      </c>
      <c r="DR13" s="30" t="str">
        <f t="shared" si="170"/>
        <v/>
      </c>
      <c r="DS13" s="30" t="str">
        <f t="shared" si="171"/>
        <v/>
      </c>
      <c r="DT13" s="30" t="str">
        <f t="shared" si="172"/>
        <v>|n暴击+6%</v>
      </c>
      <c r="DU13" s="30" t="str">
        <f t="shared" si="173"/>
        <v/>
      </c>
      <c r="DV13" s="30" t="str">
        <f t="shared" si="174"/>
        <v/>
      </c>
      <c r="DW13" s="30" t="str">
        <f t="shared" si="175"/>
        <v/>
      </c>
      <c r="DX13" s="30" t="str">
        <f t="shared" si="176"/>
        <v/>
      </c>
      <c r="DY13" s="30" t="str">
        <f t="shared" si="177"/>
        <v/>
      </c>
      <c r="DZ13" s="30" t="str">
        <f t="shared" si="178"/>
        <v/>
      </c>
      <c r="EA13" s="30" t="str">
        <f t="shared" si="179"/>
        <v/>
      </c>
      <c r="EB13" s="30" t="str">
        <f t="shared" si="180"/>
        <v/>
      </c>
      <c r="EC13" s="30" t="str">
        <f t="shared" si="181"/>
        <v/>
      </c>
      <c r="ED13" s="30" t="str">
        <f t="shared" si="182"/>
        <v/>
      </c>
      <c r="EE13" s="30" t="str">
        <f t="shared" si="183"/>
        <v/>
      </c>
      <c r="EF13" s="30" t="str">
        <f t="shared" si="184"/>
        <v/>
      </c>
      <c r="EG13" s="30" t="str">
        <f t="shared" si="185"/>
        <v/>
      </c>
      <c r="EH13" s="30" t="str">
        <f t="shared" si="186"/>
        <v/>
      </c>
      <c r="EI13" s="30" t="str">
        <f t="shared" si="187"/>
        <v/>
      </c>
      <c r="EJ13" s="30" t="str">
        <f t="shared" si="188"/>
        <v/>
      </c>
      <c r="EK13" s="30" t="str">
        <f t="shared" si="189"/>
        <v/>
      </c>
      <c r="EL13" s="30" t="str">
        <f t="shared" si="190"/>
        <v/>
      </c>
      <c r="EM13" s="30" t="str">
        <f t="shared" si="191"/>
        <v/>
      </c>
      <c r="EN13" s="30" t="str">
        <f t="shared" si="192"/>
        <v/>
      </c>
      <c r="EO13" s="30" t="str">
        <f t="shared" si="193"/>
        <v/>
      </c>
      <c r="EP13" s="30" t="str">
        <f t="shared" si="194"/>
        <v/>
      </c>
      <c r="EQ13" s="30" t="str">
        <f t="shared" si="195"/>
        <v/>
      </c>
      <c r="ER13" s="30" t="str">
        <f t="shared" si="196"/>
        <v/>
      </c>
      <c r="ES13" s="30" t="str">
        <f t="shared" si="197"/>
        <v/>
      </c>
      <c r="ET13" s="30" t="str">
        <f t="shared" si="198"/>
        <v/>
      </c>
      <c r="EU13" s="30" t="str">
        <f t="shared" si="199"/>
        <v/>
      </c>
      <c r="EV13" s="30" t="str">
        <f t="shared" si="200"/>
        <v/>
      </c>
      <c r="EW13" s="30" t="str">
        <f t="shared" si="201"/>
        <v/>
      </c>
      <c r="EX13" s="30" t="str">
        <f t="shared" si="202"/>
        <v/>
      </c>
      <c r="EY13" s="30" t="str">
        <f t="shared" si="203"/>
        <v/>
      </c>
      <c r="EZ13" s="30" t="str">
        <f t="shared" si="204"/>
        <v/>
      </c>
      <c r="FA13" s="30" t="str">
        <f t="shared" si="205"/>
        <v/>
      </c>
      <c r="FB13" s="30" t="str">
        <f t="shared" si="206"/>
        <v/>
      </c>
      <c r="FC13" s="30" t="str">
        <f t="shared" si="207"/>
        <v/>
      </c>
      <c r="FD13" s="30" t="str">
        <f t="shared" si="208"/>
        <v/>
      </c>
      <c r="FE13" s="30" t="str">
        <f t="shared" si="209"/>
        <v/>
      </c>
      <c r="FF13" s="30" t="str">
        <f t="shared" si="210"/>
        <v/>
      </c>
      <c r="FG13" s="30" t="str">
        <f t="shared" si="211"/>
        <v/>
      </c>
      <c r="FH13" s="30" t="str">
        <f t="shared" si="212"/>
        <v/>
      </c>
      <c r="FI13" s="30" t="str">
        <f t="shared" si="213"/>
        <v/>
      </c>
      <c r="FJ13" s="30" t="str">
        <f t="shared" si="214"/>
        <v/>
      </c>
      <c r="FK13" s="30" t="str">
        <f t="shared" si="215"/>
        <v/>
      </c>
      <c r="FL13" s="30" t="str">
        <f t="shared" si="216"/>
        <v/>
      </c>
      <c r="FM13" s="30" t="str">
        <f t="shared" si="217"/>
        <v/>
      </c>
      <c r="FN13" s="30" t="str">
        <f t="shared" si="218"/>
        <v/>
      </c>
      <c r="FO13" s="30" t="str">
        <f t="shared" si="219"/>
        <v/>
      </c>
      <c r="FP13" s="30" t="str">
        <f t="shared" si="220"/>
        <v/>
      </c>
      <c r="FQ13" s="30" t="str">
        <f t="shared" si="221"/>
        <v/>
      </c>
      <c r="FR13" s="30" t="str">
        <f t="shared" si="222"/>
        <v/>
      </c>
      <c r="FS13" s="30" t="str">
        <f t="shared" si="223"/>
        <v/>
      </c>
    </row>
    <row r="14" spans="1:175" s="24" customFormat="1" ht="16.5">
      <c r="A14" s="5"/>
      <c r="B14" s="36" t="s">
        <v>659</v>
      </c>
      <c r="C14" s="5" t="s">
        <v>685</v>
      </c>
      <c r="D14" s="31"/>
      <c r="E14" s="39"/>
      <c r="F14" s="40">
        <v>22600</v>
      </c>
      <c r="G14" s="38"/>
      <c r="H14" s="38"/>
      <c r="I14" s="38" t="str">
        <f t="shared" si="79"/>
        <v>E013</v>
      </c>
      <c r="J14" s="38"/>
      <c r="K14" s="38"/>
      <c r="L14" s="38"/>
      <c r="M14" s="38"/>
      <c r="N14" s="38"/>
      <c r="O14" s="38"/>
      <c r="P14" s="42"/>
      <c r="Q14" s="42"/>
      <c r="R14" s="42"/>
      <c r="S14" s="42"/>
      <c r="T14" s="101"/>
      <c r="U14" s="32" t="str">
        <f t="shared" si="152"/>
        <v>ReplaceableTextures\\CommandButtons\\BTNE012.blp</v>
      </c>
      <c r="V14" s="43">
        <v>16400</v>
      </c>
      <c r="W14" s="43"/>
      <c r="X14" s="43"/>
      <c r="Y14" s="43"/>
      <c r="Z14" s="43"/>
      <c r="AA14" s="43"/>
      <c r="AB14" s="43"/>
      <c r="AC14" s="43"/>
      <c r="AD14" s="43">
        <v>40</v>
      </c>
      <c r="AE14" s="43"/>
      <c r="AF14" s="43"/>
      <c r="AG14" s="43"/>
      <c r="AH14" s="43"/>
      <c r="AI14" s="43"/>
      <c r="AJ14" s="43"/>
      <c r="AK14" s="43"/>
      <c r="AL14" s="43"/>
      <c r="AM14" s="43"/>
      <c r="AN14" s="43">
        <v>6</v>
      </c>
      <c r="AO14" s="43"/>
      <c r="AP14" s="43"/>
      <c r="AQ14" s="43"/>
      <c r="AR14" s="43"/>
      <c r="AS14" s="43"/>
      <c r="AT14" s="43"/>
      <c r="AU14" s="43"/>
      <c r="AV14" s="43"/>
      <c r="AW14" s="43"/>
      <c r="AX14" s="43"/>
      <c r="AY14" s="43"/>
      <c r="AZ14" s="43"/>
      <c r="BA14" s="43"/>
      <c r="BB14" s="43"/>
      <c r="BC14" s="43"/>
      <c r="BD14" s="43"/>
      <c r="BE14" s="43"/>
      <c r="BF14" s="43"/>
      <c r="BG14" s="43"/>
      <c r="BH14" s="43"/>
      <c r="BI14" s="43"/>
      <c r="BJ14" s="43"/>
      <c r="BK14" s="43"/>
      <c r="BL14" s="43"/>
      <c r="BM14" s="43"/>
      <c r="BN14" s="43"/>
      <c r="BO14" s="43"/>
      <c r="BP14" s="43"/>
      <c r="BQ14" s="43"/>
      <c r="BR14" s="43"/>
      <c r="BS14" s="43"/>
      <c r="BT14" s="43"/>
      <c r="BU14" s="43"/>
      <c r="BV14" s="43"/>
      <c r="BW14" s="43"/>
      <c r="BX14" s="43"/>
      <c r="BY14" s="43"/>
      <c r="BZ14" s="43"/>
      <c r="CA14" s="43"/>
      <c r="CB14" s="43"/>
      <c r="CC14" s="43"/>
      <c r="CD14" s="43"/>
      <c r="CE14" s="43"/>
      <c r="CF14" s="43"/>
      <c r="CG14" s="43"/>
      <c r="CH14" s="43"/>
      <c r="CI14" s="43"/>
      <c r="CJ14" s="43"/>
      <c r="CK14" s="43"/>
      <c r="CL14" s="43"/>
      <c r="CM14" s="43"/>
      <c r="CN14" s="44" t="str">
        <f t="shared" si="3"/>
        <v>InitUnitState('E012',16400,,,,,,,,40,)</v>
      </c>
      <c r="CO14" s="44" t="str">
        <f t="shared" si="4"/>
        <v>InitUnitNormal('E012',,,,,,,,,6,)</v>
      </c>
      <c r="CP14" s="44" t="str">
        <f t="shared" si="5"/>
        <v>InitUnitMagic('E012',,,,,,,,,,)</v>
      </c>
      <c r="CQ14" s="44" t="str">
        <f t="shared" si="6"/>
        <v>InitUnitAdd('E012',,,,,,,,,,)</v>
      </c>
      <c r="CR14" s="44" t="str">
        <f t="shared" si="7"/>
        <v>InitEquipData('E012',,"",,E013,22600,,'','','','','','',"ReplaceableTextures\\CommandButtons\\BTNE013.blp")</v>
      </c>
      <c r="CS14" s="44"/>
      <c r="CT14" s="44"/>
      <c r="CU14" s="45" t="str">
        <f t="shared" si="153"/>
        <v>|n攻击+16400|n攻速+40%|n暴击+6%|n</v>
      </c>
      <c r="CV14" s="29" t="str">
        <f>"|cffffcc00属性：|r"&amp;CU14&amp;VLOOKUP(A14,合成公式!A:P,16,FALSE)&amp;T14</f>
        <v>|cffffcc00属性：|r|n攻击+16400|n攻速+40%|n暴击+6%|n</v>
      </c>
      <c r="DB14" s="30" t="str">
        <f t="shared" si="154"/>
        <v>|n攻击+16400</v>
      </c>
      <c r="DC14" s="30" t="str">
        <f t="shared" si="155"/>
        <v/>
      </c>
      <c r="DD14" s="30" t="str">
        <f t="shared" si="156"/>
        <v/>
      </c>
      <c r="DE14" s="30" t="str">
        <f t="shared" si="157"/>
        <v/>
      </c>
      <c r="DF14" s="30" t="str">
        <f t="shared" si="158"/>
        <v/>
      </c>
      <c r="DG14" s="30" t="str">
        <f t="shared" si="159"/>
        <v/>
      </c>
      <c r="DH14" s="30" t="str">
        <f t="shared" si="160"/>
        <v/>
      </c>
      <c r="DI14" s="30" t="str">
        <f t="shared" si="161"/>
        <v/>
      </c>
      <c r="DJ14" s="30" t="str">
        <f t="shared" si="162"/>
        <v>|n攻速+40%</v>
      </c>
      <c r="DK14" s="30" t="str">
        <f t="shared" si="163"/>
        <v/>
      </c>
      <c r="DL14" s="30" t="str">
        <f t="shared" si="164"/>
        <v/>
      </c>
      <c r="DM14" s="30" t="str">
        <f t="shared" si="165"/>
        <v/>
      </c>
      <c r="DN14" s="30" t="str">
        <f t="shared" si="166"/>
        <v/>
      </c>
      <c r="DO14" s="30" t="str">
        <f t="shared" si="167"/>
        <v/>
      </c>
      <c r="DP14" s="30" t="str">
        <f t="shared" si="168"/>
        <v/>
      </c>
      <c r="DQ14" s="30" t="str">
        <f t="shared" si="169"/>
        <v/>
      </c>
      <c r="DR14" s="30" t="str">
        <f t="shared" si="170"/>
        <v/>
      </c>
      <c r="DS14" s="30" t="str">
        <f t="shared" si="171"/>
        <v/>
      </c>
      <c r="DT14" s="30" t="str">
        <f t="shared" si="172"/>
        <v>|n暴击+6%</v>
      </c>
      <c r="DU14" s="30" t="str">
        <f t="shared" si="173"/>
        <v/>
      </c>
      <c r="DV14" s="30" t="str">
        <f t="shared" si="174"/>
        <v/>
      </c>
      <c r="DW14" s="30" t="str">
        <f t="shared" si="175"/>
        <v/>
      </c>
      <c r="DX14" s="30" t="str">
        <f t="shared" si="176"/>
        <v/>
      </c>
      <c r="DY14" s="30" t="str">
        <f t="shared" si="177"/>
        <v/>
      </c>
      <c r="DZ14" s="30" t="str">
        <f t="shared" si="178"/>
        <v/>
      </c>
      <c r="EA14" s="30" t="str">
        <f t="shared" si="179"/>
        <v/>
      </c>
      <c r="EB14" s="30" t="str">
        <f t="shared" si="180"/>
        <v/>
      </c>
      <c r="EC14" s="30" t="str">
        <f t="shared" si="181"/>
        <v/>
      </c>
      <c r="ED14" s="30" t="str">
        <f t="shared" si="182"/>
        <v/>
      </c>
      <c r="EE14" s="30" t="str">
        <f t="shared" si="183"/>
        <v/>
      </c>
      <c r="EF14" s="30" t="str">
        <f t="shared" si="184"/>
        <v/>
      </c>
      <c r="EG14" s="30" t="str">
        <f t="shared" si="185"/>
        <v/>
      </c>
      <c r="EH14" s="30" t="str">
        <f t="shared" si="186"/>
        <v/>
      </c>
      <c r="EI14" s="30" t="str">
        <f t="shared" si="187"/>
        <v/>
      </c>
      <c r="EJ14" s="30" t="str">
        <f t="shared" si="188"/>
        <v/>
      </c>
      <c r="EK14" s="30" t="str">
        <f t="shared" si="189"/>
        <v/>
      </c>
      <c r="EL14" s="30" t="str">
        <f t="shared" si="190"/>
        <v/>
      </c>
      <c r="EM14" s="30" t="str">
        <f t="shared" si="191"/>
        <v/>
      </c>
      <c r="EN14" s="30" t="str">
        <f t="shared" si="192"/>
        <v/>
      </c>
      <c r="EO14" s="30" t="str">
        <f t="shared" si="193"/>
        <v/>
      </c>
      <c r="EP14" s="30" t="str">
        <f t="shared" si="194"/>
        <v/>
      </c>
      <c r="EQ14" s="30" t="str">
        <f t="shared" si="195"/>
        <v/>
      </c>
      <c r="ER14" s="30" t="str">
        <f t="shared" si="196"/>
        <v/>
      </c>
      <c r="ES14" s="30" t="str">
        <f t="shared" si="197"/>
        <v/>
      </c>
      <c r="ET14" s="30" t="str">
        <f t="shared" si="198"/>
        <v/>
      </c>
      <c r="EU14" s="30" t="str">
        <f t="shared" si="199"/>
        <v/>
      </c>
      <c r="EV14" s="30" t="str">
        <f t="shared" si="200"/>
        <v/>
      </c>
      <c r="EW14" s="30" t="str">
        <f t="shared" si="201"/>
        <v/>
      </c>
      <c r="EX14" s="30" t="str">
        <f t="shared" si="202"/>
        <v/>
      </c>
      <c r="EY14" s="30" t="str">
        <f t="shared" si="203"/>
        <v/>
      </c>
      <c r="EZ14" s="30" t="str">
        <f t="shared" si="204"/>
        <v/>
      </c>
      <c r="FA14" s="30" t="str">
        <f t="shared" si="205"/>
        <v/>
      </c>
      <c r="FB14" s="30" t="str">
        <f t="shared" si="206"/>
        <v/>
      </c>
      <c r="FC14" s="30" t="str">
        <f t="shared" si="207"/>
        <v/>
      </c>
      <c r="FD14" s="30" t="str">
        <f t="shared" si="208"/>
        <v/>
      </c>
      <c r="FE14" s="30" t="str">
        <f t="shared" si="209"/>
        <v/>
      </c>
      <c r="FF14" s="30" t="str">
        <f t="shared" si="210"/>
        <v/>
      </c>
      <c r="FG14" s="30" t="str">
        <f t="shared" si="211"/>
        <v/>
      </c>
      <c r="FH14" s="30" t="str">
        <f t="shared" si="212"/>
        <v/>
      </c>
      <c r="FI14" s="30" t="str">
        <f t="shared" si="213"/>
        <v/>
      </c>
      <c r="FJ14" s="30" t="str">
        <f t="shared" si="214"/>
        <v/>
      </c>
      <c r="FK14" s="30" t="str">
        <f t="shared" si="215"/>
        <v/>
      </c>
      <c r="FL14" s="30" t="str">
        <f t="shared" si="216"/>
        <v/>
      </c>
      <c r="FM14" s="30" t="str">
        <f t="shared" si="217"/>
        <v/>
      </c>
      <c r="FN14" s="30" t="str">
        <f t="shared" si="218"/>
        <v/>
      </c>
      <c r="FO14" s="30" t="str">
        <f t="shared" si="219"/>
        <v/>
      </c>
      <c r="FP14" s="30" t="str">
        <f t="shared" si="220"/>
        <v/>
      </c>
      <c r="FQ14" s="30" t="str">
        <f t="shared" si="221"/>
        <v/>
      </c>
      <c r="FR14" s="30" t="str">
        <f t="shared" si="222"/>
        <v/>
      </c>
      <c r="FS14" s="30" t="str">
        <f t="shared" si="223"/>
        <v/>
      </c>
    </row>
    <row r="15" spans="1:175" s="24" customFormat="1" ht="16.5">
      <c r="A15" s="5"/>
      <c r="B15" s="36" t="s">
        <v>660</v>
      </c>
      <c r="C15" s="5" t="s">
        <v>686</v>
      </c>
      <c r="D15" s="31"/>
      <c r="E15" s="39"/>
      <c r="F15" s="40">
        <v>23400</v>
      </c>
      <c r="G15" s="38"/>
      <c r="H15" s="38"/>
      <c r="I15" s="38" t="str">
        <f t="shared" si="79"/>
        <v>E014</v>
      </c>
      <c r="J15" s="38"/>
      <c r="K15" s="38"/>
      <c r="L15" s="38"/>
      <c r="M15" s="38"/>
      <c r="N15" s="38"/>
      <c r="O15" s="38"/>
      <c r="P15" s="42"/>
      <c r="Q15" s="42"/>
      <c r="R15" s="42"/>
      <c r="S15" s="42"/>
      <c r="T15" s="101"/>
      <c r="U15" s="32" t="str">
        <f t="shared" si="152"/>
        <v>ReplaceableTextures\\CommandButtons\\BTNE013.blp</v>
      </c>
      <c r="V15" s="43">
        <v>18600</v>
      </c>
      <c r="W15" s="43"/>
      <c r="X15" s="43"/>
      <c r="Y15" s="43"/>
      <c r="Z15" s="43"/>
      <c r="AA15" s="43"/>
      <c r="AB15" s="43"/>
      <c r="AC15" s="43"/>
      <c r="AD15" s="43">
        <v>40</v>
      </c>
      <c r="AE15" s="43"/>
      <c r="AF15" s="43"/>
      <c r="AG15" s="43"/>
      <c r="AH15" s="43"/>
      <c r="AI15" s="43"/>
      <c r="AJ15" s="43"/>
      <c r="AK15" s="43"/>
      <c r="AL15" s="43"/>
      <c r="AM15" s="43"/>
      <c r="AN15" s="43">
        <v>6</v>
      </c>
      <c r="AO15" s="43"/>
      <c r="AP15" s="43"/>
      <c r="AQ15" s="43"/>
      <c r="AR15" s="43"/>
      <c r="AS15" s="43"/>
      <c r="AT15" s="43"/>
      <c r="AU15" s="43"/>
      <c r="AV15" s="43"/>
      <c r="AW15" s="43"/>
      <c r="AX15" s="43"/>
      <c r="AY15" s="43"/>
      <c r="AZ15" s="43"/>
      <c r="BA15" s="43"/>
      <c r="BB15" s="43"/>
      <c r="BC15" s="43"/>
      <c r="BD15" s="43"/>
      <c r="BE15" s="43"/>
      <c r="BF15" s="43"/>
      <c r="BG15" s="43"/>
      <c r="BH15" s="43"/>
      <c r="BI15" s="43"/>
      <c r="BJ15" s="43"/>
      <c r="BK15" s="43"/>
      <c r="BL15" s="43"/>
      <c r="BM15" s="43"/>
      <c r="BN15" s="43"/>
      <c r="BO15" s="43"/>
      <c r="BP15" s="43"/>
      <c r="BQ15" s="43"/>
      <c r="BR15" s="43"/>
      <c r="BS15" s="43"/>
      <c r="BT15" s="43"/>
      <c r="BU15" s="43"/>
      <c r="BV15" s="43"/>
      <c r="BW15" s="43"/>
      <c r="BX15" s="43"/>
      <c r="BY15" s="43"/>
      <c r="BZ15" s="43"/>
      <c r="CA15" s="43"/>
      <c r="CB15" s="43"/>
      <c r="CC15" s="43"/>
      <c r="CD15" s="43"/>
      <c r="CE15" s="43"/>
      <c r="CF15" s="43"/>
      <c r="CG15" s="43"/>
      <c r="CH15" s="43"/>
      <c r="CI15" s="43"/>
      <c r="CJ15" s="43"/>
      <c r="CK15" s="43"/>
      <c r="CL15" s="43"/>
      <c r="CM15" s="43"/>
      <c r="CN15" s="44" t="str">
        <f t="shared" si="3"/>
        <v>InitUnitState('E013',18600,,,,,,,,40,)</v>
      </c>
      <c r="CO15" s="44" t="str">
        <f t="shared" si="4"/>
        <v>InitUnitNormal('E013',,,,,,,,,6,)</v>
      </c>
      <c r="CP15" s="44" t="str">
        <f t="shared" si="5"/>
        <v>InitUnitMagic('E013',,,,,,,,,,)</v>
      </c>
      <c r="CQ15" s="44" t="str">
        <f t="shared" si="6"/>
        <v>InitUnitAdd('E013',,,,,,,,,,)</v>
      </c>
      <c r="CR15" s="44" t="str">
        <f t="shared" si="7"/>
        <v>InitEquipData('E013',,"",,E014,23400,,'','','','','','',"ReplaceableTextures\\CommandButtons\\BTNE014.blp")</v>
      </c>
      <c r="CS15" s="44"/>
      <c r="CT15" s="44"/>
      <c r="CU15" s="45" t="str">
        <f t="shared" si="153"/>
        <v>|n攻击+18600|n攻速+40%|n暴击+6%|n</v>
      </c>
      <c r="CV15" s="29" t="str">
        <f>"|cffffcc00属性：|r"&amp;CU15&amp;VLOOKUP(A15,合成公式!A:P,16,FALSE)&amp;T15</f>
        <v>|cffffcc00属性：|r|n攻击+18600|n攻速+40%|n暴击+6%|n</v>
      </c>
      <c r="DB15" s="30" t="str">
        <f t="shared" si="154"/>
        <v>|n攻击+18600</v>
      </c>
      <c r="DC15" s="30" t="str">
        <f t="shared" si="155"/>
        <v/>
      </c>
      <c r="DD15" s="30" t="str">
        <f t="shared" si="156"/>
        <v/>
      </c>
      <c r="DE15" s="30" t="str">
        <f t="shared" si="157"/>
        <v/>
      </c>
      <c r="DF15" s="30" t="str">
        <f t="shared" si="158"/>
        <v/>
      </c>
      <c r="DG15" s="30" t="str">
        <f t="shared" si="159"/>
        <v/>
      </c>
      <c r="DH15" s="30" t="str">
        <f t="shared" si="160"/>
        <v/>
      </c>
      <c r="DI15" s="30" t="str">
        <f t="shared" si="161"/>
        <v/>
      </c>
      <c r="DJ15" s="30" t="str">
        <f t="shared" si="162"/>
        <v>|n攻速+40%</v>
      </c>
      <c r="DK15" s="30" t="str">
        <f t="shared" si="163"/>
        <v/>
      </c>
      <c r="DL15" s="30" t="str">
        <f t="shared" si="164"/>
        <v/>
      </c>
      <c r="DM15" s="30" t="str">
        <f t="shared" si="165"/>
        <v/>
      </c>
      <c r="DN15" s="30" t="str">
        <f t="shared" si="166"/>
        <v/>
      </c>
      <c r="DO15" s="30" t="str">
        <f t="shared" si="167"/>
        <v/>
      </c>
      <c r="DP15" s="30" t="str">
        <f t="shared" si="168"/>
        <v/>
      </c>
      <c r="DQ15" s="30" t="str">
        <f t="shared" si="169"/>
        <v/>
      </c>
      <c r="DR15" s="30" t="str">
        <f t="shared" si="170"/>
        <v/>
      </c>
      <c r="DS15" s="30" t="str">
        <f t="shared" si="171"/>
        <v/>
      </c>
      <c r="DT15" s="30" t="str">
        <f t="shared" si="172"/>
        <v>|n暴击+6%</v>
      </c>
      <c r="DU15" s="30" t="str">
        <f t="shared" si="173"/>
        <v/>
      </c>
      <c r="DV15" s="30" t="str">
        <f t="shared" si="174"/>
        <v/>
      </c>
      <c r="DW15" s="30" t="str">
        <f t="shared" si="175"/>
        <v/>
      </c>
      <c r="DX15" s="30" t="str">
        <f t="shared" si="176"/>
        <v/>
      </c>
      <c r="DY15" s="30" t="str">
        <f t="shared" si="177"/>
        <v/>
      </c>
      <c r="DZ15" s="30" t="str">
        <f t="shared" si="178"/>
        <v/>
      </c>
      <c r="EA15" s="30" t="str">
        <f t="shared" si="179"/>
        <v/>
      </c>
      <c r="EB15" s="30" t="str">
        <f t="shared" si="180"/>
        <v/>
      </c>
      <c r="EC15" s="30" t="str">
        <f t="shared" si="181"/>
        <v/>
      </c>
      <c r="ED15" s="30" t="str">
        <f t="shared" si="182"/>
        <v/>
      </c>
      <c r="EE15" s="30" t="str">
        <f t="shared" si="183"/>
        <v/>
      </c>
      <c r="EF15" s="30" t="str">
        <f t="shared" si="184"/>
        <v/>
      </c>
      <c r="EG15" s="30" t="str">
        <f t="shared" si="185"/>
        <v/>
      </c>
      <c r="EH15" s="30" t="str">
        <f t="shared" si="186"/>
        <v/>
      </c>
      <c r="EI15" s="30" t="str">
        <f t="shared" si="187"/>
        <v/>
      </c>
      <c r="EJ15" s="30" t="str">
        <f t="shared" si="188"/>
        <v/>
      </c>
      <c r="EK15" s="30" t="str">
        <f t="shared" si="189"/>
        <v/>
      </c>
      <c r="EL15" s="30" t="str">
        <f t="shared" si="190"/>
        <v/>
      </c>
      <c r="EM15" s="30" t="str">
        <f t="shared" si="191"/>
        <v/>
      </c>
      <c r="EN15" s="30" t="str">
        <f t="shared" si="192"/>
        <v/>
      </c>
      <c r="EO15" s="30" t="str">
        <f t="shared" si="193"/>
        <v/>
      </c>
      <c r="EP15" s="30" t="str">
        <f t="shared" si="194"/>
        <v/>
      </c>
      <c r="EQ15" s="30" t="str">
        <f t="shared" si="195"/>
        <v/>
      </c>
      <c r="ER15" s="30" t="str">
        <f t="shared" si="196"/>
        <v/>
      </c>
      <c r="ES15" s="30" t="str">
        <f t="shared" si="197"/>
        <v/>
      </c>
      <c r="ET15" s="30" t="str">
        <f t="shared" si="198"/>
        <v/>
      </c>
      <c r="EU15" s="30" t="str">
        <f t="shared" si="199"/>
        <v/>
      </c>
      <c r="EV15" s="30" t="str">
        <f t="shared" si="200"/>
        <v/>
      </c>
      <c r="EW15" s="30" t="str">
        <f t="shared" si="201"/>
        <v/>
      </c>
      <c r="EX15" s="30" t="str">
        <f t="shared" si="202"/>
        <v/>
      </c>
      <c r="EY15" s="30" t="str">
        <f t="shared" si="203"/>
        <v/>
      </c>
      <c r="EZ15" s="30" t="str">
        <f t="shared" si="204"/>
        <v/>
      </c>
      <c r="FA15" s="30" t="str">
        <f t="shared" si="205"/>
        <v/>
      </c>
      <c r="FB15" s="30" t="str">
        <f t="shared" si="206"/>
        <v/>
      </c>
      <c r="FC15" s="30" t="str">
        <f t="shared" si="207"/>
        <v/>
      </c>
      <c r="FD15" s="30" t="str">
        <f t="shared" si="208"/>
        <v/>
      </c>
      <c r="FE15" s="30" t="str">
        <f t="shared" si="209"/>
        <v/>
      </c>
      <c r="FF15" s="30" t="str">
        <f t="shared" si="210"/>
        <v/>
      </c>
      <c r="FG15" s="30" t="str">
        <f t="shared" si="211"/>
        <v/>
      </c>
      <c r="FH15" s="30" t="str">
        <f t="shared" si="212"/>
        <v/>
      </c>
      <c r="FI15" s="30" t="str">
        <f t="shared" si="213"/>
        <v/>
      </c>
      <c r="FJ15" s="30" t="str">
        <f t="shared" si="214"/>
        <v/>
      </c>
      <c r="FK15" s="30" t="str">
        <f t="shared" si="215"/>
        <v/>
      </c>
      <c r="FL15" s="30" t="str">
        <f t="shared" si="216"/>
        <v/>
      </c>
      <c r="FM15" s="30" t="str">
        <f t="shared" si="217"/>
        <v/>
      </c>
      <c r="FN15" s="30" t="str">
        <f t="shared" si="218"/>
        <v/>
      </c>
      <c r="FO15" s="30" t="str">
        <f t="shared" si="219"/>
        <v/>
      </c>
      <c r="FP15" s="30" t="str">
        <f t="shared" si="220"/>
        <v/>
      </c>
      <c r="FQ15" s="30" t="str">
        <f t="shared" si="221"/>
        <v/>
      </c>
      <c r="FR15" s="30" t="str">
        <f t="shared" si="222"/>
        <v/>
      </c>
      <c r="FS15" s="30" t="str">
        <f t="shared" si="223"/>
        <v/>
      </c>
    </row>
    <row r="16" spans="1:175" s="24" customFormat="1" ht="16.5">
      <c r="A16" s="5"/>
      <c r="B16" s="36" t="s">
        <v>661</v>
      </c>
      <c r="C16" s="5" t="s">
        <v>687</v>
      </c>
      <c r="D16" s="31"/>
      <c r="E16" s="39"/>
      <c r="F16" s="40">
        <v>24200</v>
      </c>
      <c r="G16" s="38"/>
      <c r="H16" s="38"/>
      <c r="I16" s="38" t="str">
        <f t="shared" si="79"/>
        <v>E015</v>
      </c>
      <c r="J16" s="38"/>
      <c r="K16" s="38"/>
      <c r="L16" s="38"/>
      <c r="M16" s="38"/>
      <c r="N16" s="38"/>
      <c r="O16" s="38"/>
      <c r="P16" s="42"/>
      <c r="Q16" s="42"/>
      <c r="R16" s="42"/>
      <c r="S16" s="42"/>
      <c r="T16" s="101"/>
      <c r="U16" s="32" t="str">
        <f t="shared" si="152"/>
        <v>ReplaceableTextures\\CommandButtons\\BTNE014.blp</v>
      </c>
      <c r="V16" s="43">
        <v>20800</v>
      </c>
      <c r="W16" s="43"/>
      <c r="X16" s="43"/>
      <c r="Y16" s="43"/>
      <c r="Z16" s="43"/>
      <c r="AA16" s="43"/>
      <c r="AB16" s="43"/>
      <c r="AC16" s="43"/>
      <c r="AD16" s="43">
        <v>40</v>
      </c>
      <c r="AE16" s="43"/>
      <c r="AF16" s="43"/>
      <c r="AG16" s="43"/>
      <c r="AH16" s="43"/>
      <c r="AI16" s="43"/>
      <c r="AJ16" s="43"/>
      <c r="AK16" s="43"/>
      <c r="AL16" s="43"/>
      <c r="AM16" s="43"/>
      <c r="AN16" s="43">
        <v>6</v>
      </c>
      <c r="AO16" s="43"/>
      <c r="AP16" s="43"/>
      <c r="AQ16" s="43"/>
      <c r="AR16" s="43"/>
      <c r="AS16" s="43"/>
      <c r="AT16" s="43"/>
      <c r="AU16" s="43"/>
      <c r="AV16" s="43"/>
      <c r="AW16" s="43"/>
      <c r="AX16" s="43"/>
      <c r="AY16" s="43"/>
      <c r="AZ16" s="43"/>
      <c r="BA16" s="43"/>
      <c r="BB16" s="43"/>
      <c r="BC16" s="43"/>
      <c r="BD16" s="43"/>
      <c r="BE16" s="43"/>
      <c r="BF16" s="43"/>
      <c r="BG16" s="43"/>
      <c r="BH16" s="43"/>
      <c r="BI16" s="43"/>
      <c r="BJ16" s="43"/>
      <c r="BK16" s="43"/>
      <c r="BL16" s="43"/>
      <c r="BM16" s="43"/>
      <c r="BN16" s="43"/>
      <c r="BO16" s="43"/>
      <c r="BP16" s="43"/>
      <c r="BQ16" s="43"/>
      <c r="BR16" s="43"/>
      <c r="BS16" s="43"/>
      <c r="BT16" s="43"/>
      <c r="BU16" s="43"/>
      <c r="BV16" s="43"/>
      <c r="BW16" s="43"/>
      <c r="BX16" s="43"/>
      <c r="BY16" s="43"/>
      <c r="BZ16" s="43"/>
      <c r="CA16" s="43"/>
      <c r="CB16" s="43"/>
      <c r="CC16" s="43"/>
      <c r="CD16" s="43"/>
      <c r="CE16" s="43"/>
      <c r="CF16" s="43"/>
      <c r="CG16" s="43"/>
      <c r="CH16" s="43"/>
      <c r="CI16" s="43"/>
      <c r="CJ16" s="43"/>
      <c r="CK16" s="43"/>
      <c r="CL16" s="43"/>
      <c r="CM16" s="43"/>
      <c r="CN16" s="44" t="str">
        <f t="shared" si="3"/>
        <v>InitUnitState('E014',20800,,,,,,,,40,)</v>
      </c>
      <c r="CO16" s="44" t="str">
        <f t="shared" si="4"/>
        <v>InitUnitNormal('E014',,,,,,,,,6,)</v>
      </c>
      <c r="CP16" s="44" t="str">
        <f t="shared" si="5"/>
        <v>InitUnitMagic('E014',,,,,,,,,,)</v>
      </c>
      <c r="CQ16" s="44" t="str">
        <f t="shared" si="6"/>
        <v>InitUnitAdd('E014',,,,,,,,,,)</v>
      </c>
      <c r="CR16" s="44" t="str">
        <f t="shared" si="7"/>
        <v>InitEquipData('E014',,"",,E015,24200,,'','','','','','',"ReplaceableTextures\\CommandButtons\\BTNE015.blp")</v>
      </c>
      <c r="CS16" s="44"/>
      <c r="CT16" s="44"/>
      <c r="CU16" s="45" t="str">
        <f t="shared" si="153"/>
        <v>|n攻击+20800|n攻速+40%|n暴击+6%|n</v>
      </c>
      <c r="CV16" s="29" t="str">
        <f>"|cffffcc00属性：|r"&amp;CU16&amp;VLOOKUP(A16,合成公式!A:P,16,FALSE)&amp;T16</f>
        <v>|cffffcc00属性：|r|n攻击+20800|n攻速+40%|n暴击+6%|n</v>
      </c>
      <c r="DB16" s="30" t="str">
        <f t="shared" si="154"/>
        <v>|n攻击+20800</v>
      </c>
      <c r="DC16" s="30" t="str">
        <f t="shared" si="155"/>
        <v/>
      </c>
      <c r="DD16" s="30" t="str">
        <f t="shared" si="156"/>
        <v/>
      </c>
      <c r="DE16" s="30" t="str">
        <f t="shared" si="157"/>
        <v/>
      </c>
      <c r="DF16" s="30" t="str">
        <f t="shared" si="158"/>
        <v/>
      </c>
      <c r="DG16" s="30" t="str">
        <f t="shared" si="159"/>
        <v/>
      </c>
      <c r="DH16" s="30" t="str">
        <f t="shared" si="160"/>
        <v/>
      </c>
      <c r="DI16" s="30" t="str">
        <f t="shared" si="161"/>
        <v/>
      </c>
      <c r="DJ16" s="30" t="str">
        <f t="shared" si="162"/>
        <v>|n攻速+40%</v>
      </c>
      <c r="DK16" s="30" t="str">
        <f t="shared" si="163"/>
        <v/>
      </c>
      <c r="DL16" s="30" t="str">
        <f t="shared" si="164"/>
        <v/>
      </c>
      <c r="DM16" s="30" t="str">
        <f t="shared" si="165"/>
        <v/>
      </c>
      <c r="DN16" s="30" t="str">
        <f t="shared" si="166"/>
        <v/>
      </c>
      <c r="DO16" s="30" t="str">
        <f t="shared" si="167"/>
        <v/>
      </c>
      <c r="DP16" s="30" t="str">
        <f t="shared" si="168"/>
        <v/>
      </c>
      <c r="DQ16" s="30" t="str">
        <f t="shared" si="169"/>
        <v/>
      </c>
      <c r="DR16" s="30" t="str">
        <f t="shared" si="170"/>
        <v/>
      </c>
      <c r="DS16" s="30" t="str">
        <f t="shared" si="171"/>
        <v/>
      </c>
      <c r="DT16" s="30" t="str">
        <f t="shared" si="172"/>
        <v>|n暴击+6%</v>
      </c>
      <c r="DU16" s="30" t="str">
        <f t="shared" si="173"/>
        <v/>
      </c>
      <c r="DV16" s="30" t="str">
        <f t="shared" si="174"/>
        <v/>
      </c>
      <c r="DW16" s="30" t="str">
        <f t="shared" si="175"/>
        <v/>
      </c>
      <c r="DX16" s="30" t="str">
        <f t="shared" si="176"/>
        <v/>
      </c>
      <c r="DY16" s="30" t="str">
        <f t="shared" si="177"/>
        <v/>
      </c>
      <c r="DZ16" s="30" t="str">
        <f t="shared" si="178"/>
        <v/>
      </c>
      <c r="EA16" s="30" t="str">
        <f t="shared" si="179"/>
        <v/>
      </c>
      <c r="EB16" s="30" t="str">
        <f t="shared" si="180"/>
        <v/>
      </c>
      <c r="EC16" s="30" t="str">
        <f t="shared" si="181"/>
        <v/>
      </c>
      <c r="ED16" s="30" t="str">
        <f t="shared" si="182"/>
        <v/>
      </c>
      <c r="EE16" s="30" t="str">
        <f t="shared" si="183"/>
        <v/>
      </c>
      <c r="EF16" s="30" t="str">
        <f t="shared" si="184"/>
        <v/>
      </c>
      <c r="EG16" s="30" t="str">
        <f t="shared" si="185"/>
        <v/>
      </c>
      <c r="EH16" s="30" t="str">
        <f t="shared" si="186"/>
        <v/>
      </c>
      <c r="EI16" s="30" t="str">
        <f t="shared" si="187"/>
        <v/>
      </c>
      <c r="EJ16" s="30" t="str">
        <f t="shared" si="188"/>
        <v/>
      </c>
      <c r="EK16" s="30" t="str">
        <f t="shared" si="189"/>
        <v/>
      </c>
      <c r="EL16" s="30" t="str">
        <f t="shared" si="190"/>
        <v/>
      </c>
      <c r="EM16" s="30" t="str">
        <f t="shared" si="191"/>
        <v/>
      </c>
      <c r="EN16" s="30" t="str">
        <f t="shared" si="192"/>
        <v/>
      </c>
      <c r="EO16" s="30" t="str">
        <f t="shared" si="193"/>
        <v/>
      </c>
      <c r="EP16" s="30" t="str">
        <f t="shared" si="194"/>
        <v/>
      </c>
      <c r="EQ16" s="30" t="str">
        <f t="shared" si="195"/>
        <v/>
      </c>
      <c r="ER16" s="30" t="str">
        <f t="shared" si="196"/>
        <v/>
      </c>
      <c r="ES16" s="30" t="str">
        <f t="shared" si="197"/>
        <v/>
      </c>
      <c r="ET16" s="30" t="str">
        <f t="shared" si="198"/>
        <v/>
      </c>
      <c r="EU16" s="30" t="str">
        <f t="shared" si="199"/>
        <v/>
      </c>
      <c r="EV16" s="30" t="str">
        <f t="shared" si="200"/>
        <v/>
      </c>
      <c r="EW16" s="30" t="str">
        <f t="shared" si="201"/>
        <v/>
      </c>
      <c r="EX16" s="30" t="str">
        <f t="shared" si="202"/>
        <v/>
      </c>
      <c r="EY16" s="30" t="str">
        <f t="shared" si="203"/>
        <v/>
      </c>
      <c r="EZ16" s="30" t="str">
        <f t="shared" si="204"/>
        <v/>
      </c>
      <c r="FA16" s="30" t="str">
        <f t="shared" si="205"/>
        <v/>
      </c>
      <c r="FB16" s="30" t="str">
        <f t="shared" si="206"/>
        <v/>
      </c>
      <c r="FC16" s="30" t="str">
        <f t="shared" si="207"/>
        <v/>
      </c>
      <c r="FD16" s="30" t="str">
        <f t="shared" si="208"/>
        <v/>
      </c>
      <c r="FE16" s="30" t="str">
        <f t="shared" si="209"/>
        <v/>
      </c>
      <c r="FF16" s="30" t="str">
        <f t="shared" si="210"/>
        <v/>
      </c>
      <c r="FG16" s="30" t="str">
        <f t="shared" si="211"/>
        <v/>
      </c>
      <c r="FH16" s="30" t="str">
        <f t="shared" si="212"/>
        <v/>
      </c>
      <c r="FI16" s="30" t="str">
        <f t="shared" si="213"/>
        <v/>
      </c>
      <c r="FJ16" s="30" t="str">
        <f t="shared" si="214"/>
        <v/>
      </c>
      <c r="FK16" s="30" t="str">
        <f t="shared" si="215"/>
        <v/>
      </c>
      <c r="FL16" s="30" t="str">
        <f t="shared" si="216"/>
        <v/>
      </c>
      <c r="FM16" s="30" t="str">
        <f t="shared" si="217"/>
        <v/>
      </c>
      <c r="FN16" s="30" t="str">
        <f t="shared" si="218"/>
        <v/>
      </c>
      <c r="FO16" s="30" t="str">
        <f t="shared" si="219"/>
        <v/>
      </c>
      <c r="FP16" s="30" t="str">
        <f t="shared" si="220"/>
        <v/>
      </c>
      <c r="FQ16" s="30" t="str">
        <f t="shared" si="221"/>
        <v/>
      </c>
      <c r="FR16" s="30" t="str">
        <f t="shared" si="222"/>
        <v/>
      </c>
      <c r="FS16" s="30" t="str">
        <f t="shared" si="223"/>
        <v/>
      </c>
    </row>
    <row r="17" spans="1:175" s="24" customFormat="1" ht="16.5">
      <c r="A17" s="5"/>
      <c r="B17" s="36" t="s">
        <v>662</v>
      </c>
      <c r="C17" s="5" t="s">
        <v>688</v>
      </c>
      <c r="D17" s="31"/>
      <c r="E17" s="39"/>
      <c r="F17" s="40">
        <v>25000</v>
      </c>
      <c r="G17" s="38"/>
      <c r="H17" s="121" t="s">
        <v>930</v>
      </c>
      <c r="I17" s="38" t="str">
        <f t="shared" si="79"/>
        <v>E016</v>
      </c>
      <c r="J17" s="38"/>
      <c r="K17" s="38"/>
      <c r="L17" s="38"/>
      <c r="M17" s="38"/>
      <c r="N17" s="38"/>
      <c r="O17" s="38"/>
      <c r="P17" s="42"/>
      <c r="Q17" s="42"/>
      <c r="R17" s="42"/>
      <c r="S17" s="42"/>
      <c r="T17" s="101"/>
      <c r="U17" s="32" t="str">
        <f t="shared" si="152"/>
        <v>ReplaceableTextures\\CommandButtons\\BTNE015.blp</v>
      </c>
      <c r="V17" s="43">
        <v>23000</v>
      </c>
      <c r="W17" s="43"/>
      <c r="X17" s="43"/>
      <c r="Y17" s="43"/>
      <c r="Z17" s="43"/>
      <c r="AA17" s="43"/>
      <c r="AB17" s="43"/>
      <c r="AC17" s="43"/>
      <c r="AD17" s="43">
        <v>40</v>
      </c>
      <c r="AE17" s="43"/>
      <c r="AF17" s="43"/>
      <c r="AG17" s="43"/>
      <c r="AH17" s="43"/>
      <c r="AI17" s="43"/>
      <c r="AJ17" s="43"/>
      <c r="AK17" s="43"/>
      <c r="AL17" s="43"/>
      <c r="AM17" s="43"/>
      <c r="AN17" s="43">
        <v>6</v>
      </c>
      <c r="AO17" s="43"/>
      <c r="AP17" s="43"/>
      <c r="AQ17" s="43"/>
      <c r="AR17" s="43"/>
      <c r="AS17" s="43"/>
      <c r="AT17" s="43"/>
      <c r="AU17" s="43"/>
      <c r="AV17" s="43"/>
      <c r="AW17" s="43"/>
      <c r="AX17" s="43"/>
      <c r="AY17" s="43"/>
      <c r="AZ17" s="43"/>
      <c r="BA17" s="43"/>
      <c r="BB17" s="43"/>
      <c r="BC17" s="43"/>
      <c r="BD17" s="43"/>
      <c r="BE17" s="43"/>
      <c r="BF17" s="43"/>
      <c r="BG17" s="43"/>
      <c r="BH17" s="43"/>
      <c r="BI17" s="43"/>
      <c r="BJ17" s="43"/>
      <c r="BK17" s="43"/>
      <c r="BL17" s="43"/>
      <c r="BM17" s="43"/>
      <c r="BN17" s="43"/>
      <c r="BO17" s="43"/>
      <c r="BP17" s="43"/>
      <c r="BQ17" s="43"/>
      <c r="BR17" s="43"/>
      <c r="BS17" s="43"/>
      <c r="BT17" s="43"/>
      <c r="BU17" s="43"/>
      <c r="BV17" s="43"/>
      <c r="BW17" s="43"/>
      <c r="BX17" s="43"/>
      <c r="BY17" s="43"/>
      <c r="BZ17" s="43"/>
      <c r="CA17" s="43"/>
      <c r="CB17" s="43"/>
      <c r="CC17" s="43"/>
      <c r="CD17" s="43"/>
      <c r="CE17" s="43"/>
      <c r="CF17" s="43"/>
      <c r="CG17" s="43"/>
      <c r="CH17" s="43"/>
      <c r="CI17" s="43"/>
      <c r="CJ17" s="43"/>
      <c r="CK17" s="43"/>
      <c r="CL17" s="43"/>
      <c r="CM17" s="43"/>
      <c r="CN17" s="44" t="str">
        <f t="shared" si="3"/>
        <v>InitUnitState('E015',23000,,,,,,,,40,)</v>
      </c>
      <c r="CO17" s="44" t="str">
        <f t="shared" si="4"/>
        <v>InitUnitNormal('E015',,,,,,,,,6,)</v>
      </c>
      <c r="CP17" s="44" t="str">
        <f t="shared" si="5"/>
        <v>InitUnitMagic('E015',,,,,,,,,,)</v>
      </c>
      <c r="CQ17" s="44" t="str">
        <f t="shared" si="6"/>
        <v>InitUnitAdd('E015',,,,,,,,,,)</v>
      </c>
      <c r="CR17" s="44" t="str">
        <f t="shared" si="7"/>
        <v>InitEquipData('E015',,"",,E016,25000,,'','','','','','',"ReplaceableTextures\\CommandButtons\\BTNE016.blp")</v>
      </c>
      <c r="CS17" s="44"/>
      <c r="CT17" s="44"/>
      <c r="CU17" s="45" t="str">
        <f t="shared" si="153"/>
        <v>|n攻击+23000|n攻速+40%|n暴击+6%|n</v>
      </c>
      <c r="CV17" s="29" t="str">
        <f>"|cffffcc00属性：|r"&amp;CU17&amp;VLOOKUP(A17,合成公式!A:P,16,FALSE)&amp;T17</f>
        <v>|cffffcc00属性：|r|n攻击+23000|n攻速+40%|n暴击+6%|n</v>
      </c>
      <c r="DB17" s="30" t="str">
        <f t="shared" si="154"/>
        <v>|n攻击+23000</v>
      </c>
      <c r="DC17" s="30" t="str">
        <f t="shared" si="155"/>
        <v/>
      </c>
      <c r="DD17" s="30" t="str">
        <f t="shared" si="156"/>
        <v/>
      </c>
      <c r="DE17" s="30" t="str">
        <f t="shared" si="157"/>
        <v/>
      </c>
      <c r="DF17" s="30" t="str">
        <f t="shared" si="158"/>
        <v/>
      </c>
      <c r="DG17" s="30" t="str">
        <f t="shared" si="159"/>
        <v/>
      </c>
      <c r="DH17" s="30" t="str">
        <f t="shared" si="160"/>
        <v/>
      </c>
      <c r="DI17" s="30" t="str">
        <f t="shared" si="161"/>
        <v/>
      </c>
      <c r="DJ17" s="30" t="str">
        <f t="shared" si="162"/>
        <v>|n攻速+40%</v>
      </c>
      <c r="DK17" s="30" t="str">
        <f t="shared" si="163"/>
        <v/>
      </c>
      <c r="DL17" s="30" t="str">
        <f t="shared" si="164"/>
        <v/>
      </c>
      <c r="DM17" s="30" t="str">
        <f t="shared" si="165"/>
        <v/>
      </c>
      <c r="DN17" s="30" t="str">
        <f t="shared" si="166"/>
        <v/>
      </c>
      <c r="DO17" s="30" t="str">
        <f t="shared" si="167"/>
        <v/>
      </c>
      <c r="DP17" s="30" t="str">
        <f t="shared" si="168"/>
        <v/>
      </c>
      <c r="DQ17" s="30" t="str">
        <f t="shared" si="169"/>
        <v/>
      </c>
      <c r="DR17" s="30" t="str">
        <f t="shared" si="170"/>
        <v/>
      </c>
      <c r="DS17" s="30" t="str">
        <f t="shared" si="171"/>
        <v/>
      </c>
      <c r="DT17" s="30" t="str">
        <f t="shared" si="172"/>
        <v>|n暴击+6%</v>
      </c>
      <c r="DU17" s="30" t="str">
        <f t="shared" si="173"/>
        <v/>
      </c>
      <c r="DV17" s="30" t="str">
        <f t="shared" si="174"/>
        <v/>
      </c>
      <c r="DW17" s="30" t="str">
        <f t="shared" si="175"/>
        <v/>
      </c>
      <c r="DX17" s="30" t="str">
        <f t="shared" si="176"/>
        <v/>
      </c>
      <c r="DY17" s="30" t="str">
        <f t="shared" si="177"/>
        <v/>
      </c>
      <c r="DZ17" s="30" t="str">
        <f t="shared" si="178"/>
        <v/>
      </c>
      <c r="EA17" s="30" t="str">
        <f t="shared" si="179"/>
        <v/>
      </c>
      <c r="EB17" s="30" t="str">
        <f t="shared" si="180"/>
        <v/>
      </c>
      <c r="EC17" s="30" t="str">
        <f t="shared" si="181"/>
        <v/>
      </c>
      <c r="ED17" s="30" t="str">
        <f t="shared" si="182"/>
        <v/>
      </c>
      <c r="EE17" s="30" t="str">
        <f t="shared" si="183"/>
        <v/>
      </c>
      <c r="EF17" s="30" t="str">
        <f t="shared" si="184"/>
        <v/>
      </c>
      <c r="EG17" s="30" t="str">
        <f t="shared" si="185"/>
        <v/>
      </c>
      <c r="EH17" s="30" t="str">
        <f t="shared" si="186"/>
        <v/>
      </c>
      <c r="EI17" s="30" t="str">
        <f t="shared" si="187"/>
        <v/>
      </c>
      <c r="EJ17" s="30" t="str">
        <f t="shared" si="188"/>
        <v/>
      </c>
      <c r="EK17" s="30" t="str">
        <f t="shared" si="189"/>
        <v/>
      </c>
      <c r="EL17" s="30" t="str">
        <f t="shared" si="190"/>
        <v/>
      </c>
      <c r="EM17" s="30" t="str">
        <f t="shared" si="191"/>
        <v/>
      </c>
      <c r="EN17" s="30" t="str">
        <f t="shared" si="192"/>
        <v/>
      </c>
      <c r="EO17" s="30" t="str">
        <f t="shared" si="193"/>
        <v/>
      </c>
      <c r="EP17" s="30" t="str">
        <f t="shared" si="194"/>
        <v/>
      </c>
      <c r="EQ17" s="30" t="str">
        <f t="shared" si="195"/>
        <v/>
      </c>
      <c r="ER17" s="30" t="str">
        <f t="shared" si="196"/>
        <v/>
      </c>
      <c r="ES17" s="30" t="str">
        <f t="shared" si="197"/>
        <v/>
      </c>
      <c r="ET17" s="30" t="str">
        <f t="shared" si="198"/>
        <v/>
      </c>
      <c r="EU17" s="30" t="str">
        <f t="shared" si="199"/>
        <v/>
      </c>
      <c r="EV17" s="30" t="str">
        <f t="shared" si="200"/>
        <v/>
      </c>
      <c r="EW17" s="30" t="str">
        <f t="shared" si="201"/>
        <v/>
      </c>
      <c r="EX17" s="30" t="str">
        <f t="shared" si="202"/>
        <v/>
      </c>
      <c r="EY17" s="30" t="str">
        <f t="shared" si="203"/>
        <v/>
      </c>
      <c r="EZ17" s="30" t="str">
        <f t="shared" si="204"/>
        <v/>
      </c>
      <c r="FA17" s="30" t="str">
        <f t="shared" si="205"/>
        <v/>
      </c>
      <c r="FB17" s="30" t="str">
        <f t="shared" si="206"/>
        <v/>
      </c>
      <c r="FC17" s="30" t="str">
        <f t="shared" si="207"/>
        <v/>
      </c>
      <c r="FD17" s="30" t="str">
        <f t="shared" si="208"/>
        <v/>
      </c>
      <c r="FE17" s="30" t="str">
        <f t="shared" si="209"/>
        <v/>
      </c>
      <c r="FF17" s="30" t="str">
        <f t="shared" si="210"/>
        <v/>
      </c>
      <c r="FG17" s="30" t="str">
        <f t="shared" si="211"/>
        <v/>
      </c>
      <c r="FH17" s="30" t="str">
        <f t="shared" si="212"/>
        <v/>
      </c>
      <c r="FI17" s="30" t="str">
        <f t="shared" si="213"/>
        <v/>
      </c>
      <c r="FJ17" s="30" t="str">
        <f t="shared" si="214"/>
        <v/>
      </c>
      <c r="FK17" s="30" t="str">
        <f t="shared" si="215"/>
        <v/>
      </c>
      <c r="FL17" s="30" t="str">
        <f t="shared" si="216"/>
        <v/>
      </c>
      <c r="FM17" s="30" t="str">
        <f t="shared" si="217"/>
        <v/>
      </c>
      <c r="FN17" s="30" t="str">
        <f t="shared" si="218"/>
        <v/>
      </c>
      <c r="FO17" s="30" t="str">
        <f t="shared" si="219"/>
        <v/>
      </c>
      <c r="FP17" s="30" t="str">
        <f t="shared" si="220"/>
        <v/>
      </c>
      <c r="FQ17" s="30" t="str">
        <f t="shared" si="221"/>
        <v/>
      </c>
      <c r="FR17" s="30" t="str">
        <f t="shared" si="222"/>
        <v/>
      </c>
      <c r="FS17" s="30" t="str">
        <f t="shared" si="223"/>
        <v/>
      </c>
    </row>
    <row r="18" spans="1:175" s="24" customFormat="1" ht="16.5">
      <c r="A18" s="5"/>
      <c r="B18" s="36" t="s">
        <v>663</v>
      </c>
      <c r="C18" s="5" t="s">
        <v>689</v>
      </c>
      <c r="D18" s="31"/>
      <c r="E18" s="39"/>
      <c r="F18" s="40">
        <v>26000</v>
      </c>
      <c r="G18" s="38"/>
      <c r="H18" s="38"/>
      <c r="I18" s="38" t="str">
        <f t="shared" si="79"/>
        <v>E017</v>
      </c>
      <c r="J18" s="38"/>
      <c r="K18" s="38"/>
      <c r="L18" s="38"/>
      <c r="M18" s="38"/>
      <c r="N18" s="38"/>
      <c r="O18" s="38"/>
      <c r="P18" s="42"/>
      <c r="Q18" s="42"/>
      <c r="R18" s="42"/>
      <c r="S18" s="42"/>
      <c r="T18" s="101"/>
      <c r="U18" s="32" t="str">
        <f t="shared" si="152"/>
        <v>ReplaceableTextures\\CommandButtons\\BTNE016.blp</v>
      </c>
      <c r="V18" s="43">
        <v>27400</v>
      </c>
      <c r="W18" s="43"/>
      <c r="X18" s="43"/>
      <c r="Y18" s="43"/>
      <c r="Z18" s="43"/>
      <c r="AA18" s="43"/>
      <c r="AB18" s="43"/>
      <c r="AC18" s="43"/>
      <c r="AD18" s="43">
        <v>53</v>
      </c>
      <c r="AE18" s="43"/>
      <c r="AF18" s="43"/>
      <c r="AG18" s="43"/>
      <c r="AH18" s="43"/>
      <c r="AI18" s="43"/>
      <c r="AJ18" s="43"/>
      <c r="AK18" s="43"/>
      <c r="AL18" s="43"/>
      <c r="AM18" s="43"/>
      <c r="AN18" s="43">
        <v>9</v>
      </c>
      <c r="AO18" s="43"/>
      <c r="AP18" s="43"/>
      <c r="AQ18" s="43"/>
      <c r="AR18" s="43"/>
      <c r="AS18" s="43"/>
      <c r="AT18" s="43"/>
      <c r="AU18" s="43"/>
      <c r="AV18" s="43"/>
      <c r="AW18" s="43"/>
      <c r="AX18" s="43"/>
      <c r="AY18" s="43"/>
      <c r="AZ18" s="43"/>
      <c r="BA18" s="43"/>
      <c r="BB18" s="43"/>
      <c r="BC18" s="43"/>
      <c r="BD18" s="43"/>
      <c r="BE18" s="43"/>
      <c r="BF18" s="43"/>
      <c r="BG18" s="43"/>
      <c r="BH18" s="43"/>
      <c r="BI18" s="43"/>
      <c r="BJ18" s="43"/>
      <c r="BK18" s="43"/>
      <c r="BL18" s="43"/>
      <c r="BM18" s="43"/>
      <c r="BN18" s="43"/>
      <c r="BO18" s="43"/>
      <c r="BP18" s="43"/>
      <c r="BQ18" s="43"/>
      <c r="BR18" s="43"/>
      <c r="BS18" s="43"/>
      <c r="BT18" s="43"/>
      <c r="BU18" s="43"/>
      <c r="BV18" s="43"/>
      <c r="BW18" s="43"/>
      <c r="BX18" s="43"/>
      <c r="BY18" s="43"/>
      <c r="BZ18" s="43"/>
      <c r="CA18" s="43"/>
      <c r="CB18" s="43"/>
      <c r="CC18" s="43"/>
      <c r="CD18" s="43"/>
      <c r="CE18" s="43"/>
      <c r="CF18" s="43"/>
      <c r="CG18" s="43"/>
      <c r="CH18" s="43"/>
      <c r="CI18" s="43"/>
      <c r="CJ18" s="43"/>
      <c r="CK18" s="43"/>
      <c r="CL18" s="43"/>
      <c r="CM18" s="43"/>
      <c r="CN18" s="44" t="str">
        <f t="shared" si="3"/>
        <v>InitUnitState('E016',27400,,,,,,,,53,)</v>
      </c>
      <c r="CO18" s="44" t="str">
        <f t="shared" si="4"/>
        <v>InitUnitNormal('E016',,,,,,,,,9,)</v>
      </c>
      <c r="CP18" s="44" t="str">
        <f t="shared" si="5"/>
        <v>InitUnitMagic('E016',,,,,,,,,,)</v>
      </c>
      <c r="CQ18" s="44" t="str">
        <f t="shared" si="6"/>
        <v>InitUnitAdd('E016',,,,,,,,,,)</v>
      </c>
      <c r="CR18" s="44" t="str">
        <f t="shared" si="7"/>
        <v>InitEquipData('E016',,"",,E017,26000,,'','','','','','',"ReplaceableTextures\\CommandButtons\\BTNE017.blp")</v>
      </c>
      <c r="CS18" s="44"/>
      <c r="CT18" s="44"/>
      <c r="CU18" s="45" t="str">
        <f t="shared" si="153"/>
        <v>|n攻击+27400|n攻速+53%|n暴击+9%|n</v>
      </c>
      <c r="CV18" s="29" t="str">
        <f>"|cffffcc00属性：|r"&amp;CU18&amp;VLOOKUP(A18,合成公式!A:P,16,FALSE)&amp;T18</f>
        <v>|cffffcc00属性：|r|n攻击+27400|n攻速+53%|n暴击+9%|n</v>
      </c>
      <c r="DB18" s="30" t="str">
        <f t="shared" si="154"/>
        <v>|n攻击+27400</v>
      </c>
      <c r="DC18" s="30" t="str">
        <f t="shared" si="155"/>
        <v/>
      </c>
      <c r="DD18" s="30" t="str">
        <f t="shared" si="156"/>
        <v/>
      </c>
      <c r="DE18" s="30" t="str">
        <f t="shared" si="157"/>
        <v/>
      </c>
      <c r="DF18" s="30" t="str">
        <f t="shared" si="158"/>
        <v/>
      </c>
      <c r="DG18" s="30" t="str">
        <f t="shared" si="159"/>
        <v/>
      </c>
      <c r="DH18" s="30" t="str">
        <f t="shared" si="160"/>
        <v/>
      </c>
      <c r="DI18" s="30" t="str">
        <f t="shared" si="161"/>
        <v/>
      </c>
      <c r="DJ18" s="30" t="str">
        <f t="shared" si="162"/>
        <v>|n攻速+53%</v>
      </c>
      <c r="DK18" s="30" t="str">
        <f t="shared" si="163"/>
        <v/>
      </c>
      <c r="DL18" s="30" t="str">
        <f t="shared" si="164"/>
        <v/>
      </c>
      <c r="DM18" s="30" t="str">
        <f t="shared" si="165"/>
        <v/>
      </c>
      <c r="DN18" s="30" t="str">
        <f t="shared" si="166"/>
        <v/>
      </c>
      <c r="DO18" s="30" t="str">
        <f t="shared" si="167"/>
        <v/>
      </c>
      <c r="DP18" s="30" t="str">
        <f t="shared" si="168"/>
        <v/>
      </c>
      <c r="DQ18" s="30" t="str">
        <f t="shared" si="169"/>
        <v/>
      </c>
      <c r="DR18" s="30" t="str">
        <f t="shared" si="170"/>
        <v/>
      </c>
      <c r="DS18" s="30" t="str">
        <f t="shared" si="171"/>
        <v/>
      </c>
      <c r="DT18" s="30" t="str">
        <f t="shared" si="172"/>
        <v>|n暴击+9%</v>
      </c>
      <c r="DU18" s="30" t="str">
        <f t="shared" si="173"/>
        <v/>
      </c>
      <c r="DV18" s="30" t="str">
        <f t="shared" si="174"/>
        <v/>
      </c>
      <c r="DW18" s="30" t="str">
        <f t="shared" si="175"/>
        <v/>
      </c>
      <c r="DX18" s="30" t="str">
        <f t="shared" si="176"/>
        <v/>
      </c>
      <c r="DY18" s="30" t="str">
        <f t="shared" si="177"/>
        <v/>
      </c>
      <c r="DZ18" s="30" t="str">
        <f t="shared" si="178"/>
        <v/>
      </c>
      <c r="EA18" s="30" t="str">
        <f t="shared" si="179"/>
        <v/>
      </c>
      <c r="EB18" s="30" t="str">
        <f t="shared" si="180"/>
        <v/>
      </c>
      <c r="EC18" s="30" t="str">
        <f t="shared" si="181"/>
        <v/>
      </c>
      <c r="ED18" s="30" t="str">
        <f t="shared" si="182"/>
        <v/>
      </c>
      <c r="EE18" s="30" t="str">
        <f t="shared" si="183"/>
        <v/>
      </c>
      <c r="EF18" s="30" t="str">
        <f t="shared" si="184"/>
        <v/>
      </c>
      <c r="EG18" s="30" t="str">
        <f t="shared" si="185"/>
        <v/>
      </c>
      <c r="EH18" s="30" t="str">
        <f t="shared" si="186"/>
        <v/>
      </c>
      <c r="EI18" s="30" t="str">
        <f t="shared" si="187"/>
        <v/>
      </c>
      <c r="EJ18" s="30" t="str">
        <f t="shared" si="188"/>
        <v/>
      </c>
      <c r="EK18" s="30" t="str">
        <f t="shared" si="189"/>
        <v/>
      </c>
      <c r="EL18" s="30" t="str">
        <f t="shared" si="190"/>
        <v/>
      </c>
      <c r="EM18" s="30" t="str">
        <f t="shared" si="191"/>
        <v/>
      </c>
      <c r="EN18" s="30" t="str">
        <f t="shared" si="192"/>
        <v/>
      </c>
      <c r="EO18" s="30" t="str">
        <f t="shared" si="193"/>
        <v/>
      </c>
      <c r="EP18" s="30" t="str">
        <f t="shared" si="194"/>
        <v/>
      </c>
      <c r="EQ18" s="30" t="str">
        <f t="shared" si="195"/>
        <v/>
      </c>
      <c r="ER18" s="30" t="str">
        <f t="shared" si="196"/>
        <v/>
      </c>
      <c r="ES18" s="30" t="str">
        <f t="shared" si="197"/>
        <v/>
      </c>
      <c r="ET18" s="30" t="str">
        <f t="shared" si="198"/>
        <v/>
      </c>
      <c r="EU18" s="30" t="str">
        <f t="shared" si="199"/>
        <v/>
      </c>
      <c r="EV18" s="30" t="str">
        <f t="shared" si="200"/>
        <v/>
      </c>
      <c r="EW18" s="30" t="str">
        <f t="shared" si="201"/>
        <v/>
      </c>
      <c r="EX18" s="30" t="str">
        <f t="shared" si="202"/>
        <v/>
      </c>
      <c r="EY18" s="30" t="str">
        <f t="shared" si="203"/>
        <v/>
      </c>
      <c r="EZ18" s="30" t="str">
        <f t="shared" si="204"/>
        <v/>
      </c>
      <c r="FA18" s="30" t="str">
        <f t="shared" si="205"/>
        <v/>
      </c>
      <c r="FB18" s="30" t="str">
        <f t="shared" si="206"/>
        <v/>
      </c>
      <c r="FC18" s="30" t="str">
        <f t="shared" si="207"/>
        <v/>
      </c>
      <c r="FD18" s="30" t="str">
        <f t="shared" si="208"/>
        <v/>
      </c>
      <c r="FE18" s="30" t="str">
        <f t="shared" si="209"/>
        <v/>
      </c>
      <c r="FF18" s="30" t="str">
        <f t="shared" si="210"/>
        <v/>
      </c>
      <c r="FG18" s="30" t="str">
        <f t="shared" si="211"/>
        <v/>
      </c>
      <c r="FH18" s="30" t="str">
        <f t="shared" si="212"/>
        <v/>
      </c>
      <c r="FI18" s="30" t="str">
        <f t="shared" si="213"/>
        <v/>
      </c>
      <c r="FJ18" s="30" t="str">
        <f t="shared" si="214"/>
        <v/>
      </c>
      <c r="FK18" s="30" t="str">
        <f t="shared" si="215"/>
        <v/>
      </c>
      <c r="FL18" s="30" t="str">
        <f t="shared" si="216"/>
        <v/>
      </c>
      <c r="FM18" s="30" t="str">
        <f t="shared" si="217"/>
        <v/>
      </c>
      <c r="FN18" s="30" t="str">
        <f t="shared" si="218"/>
        <v/>
      </c>
      <c r="FO18" s="30" t="str">
        <f t="shared" si="219"/>
        <v/>
      </c>
      <c r="FP18" s="30" t="str">
        <f t="shared" si="220"/>
        <v/>
      </c>
      <c r="FQ18" s="30" t="str">
        <f t="shared" si="221"/>
        <v/>
      </c>
      <c r="FR18" s="30" t="str">
        <f t="shared" si="222"/>
        <v/>
      </c>
      <c r="FS18" s="30" t="str">
        <f t="shared" si="223"/>
        <v/>
      </c>
    </row>
    <row r="19" spans="1:175" s="24" customFormat="1" ht="16.5">
      <c r="A19" s="5"/>
      <c r="B19" s="36" t="s">
        <v>664</v>
      </c>
      <c r="C19" s="5" t="s">
        <v>690</v>
      </c>
      <c r="D19" s="31"/>
      <c r="E19" s="39"/>
      <c r="F19" s="40">
        <v>27000</v>
      </c>
      <c r="G19" s="38"/>
      <c r="H19" s="38"/>
      <c r="I19" s="38" t="str">
        <f t="shared" si="79"/>
        <v>E018</v>
      </c>
      <c r="J19" s="38"/>
      <c r="K19" s="38"/>
      <c r="L19" s="38"/>
      <c r="M19" s="38"/>
      <c r="N19" s="38"/>
      <c r="O19" s="38"/>
      <c r="P19" s="42"/>
      <c r="Q19" s="42"/>
      <c r="R19" s="42"/>
      <c r="S19" s="42"/>
      <c r="T19" s="101"/>
      <c r="U19" s="32" t="str">
        <f t="shared" ref="U19:U35" si="224">"ReplaceableTextures\\CommandButtons\\BTN"&amp;B19&amp;".blp"</f>
        <v>ReplaceableTextures\\CommandButtons\\BTNE017.blp</v>
      </c>
      <c r="V19" s="43">
        <v>31800</v>
      </c>
      <c r="W19" s="43"/>
      <c r="X19" s="43"/>
      <c r="Y19" s="43"/>
      <c r="Z19" s="43"/>
      <c r="AA19" s="43"/>
      <c r="AB19" s="43"/>
      <c r="AC19" s="43"/>
      <c r="AD19" s="43">
        <v>53</v>
      </c>
      <c r="AE19" s="43"/>
      <c r="AF19" s="43"/>
      <c r="AG19" s="43"/>
      <c r="AH19" s="43"/>
      <c r="AI19" s="43"/>
      <c r="AJ19" s="43"/>
      <c r="AK19" s="43"/>
      <c r="AL19" s="43"/>
      <c r="AM19" s="43"/>
      <c r="AN19" s="43">
        <v>9</v>
      </c>
      <c r="AO19" s="43"/>
      <c r="AP19" s="43"/>
      <c r="AQ19" s="43"/>
      <c r="AR19" s="43"/>
      <c r="AS19" s="43"/>
      <c r="AT19" s="43"/>
      <c r="AU19" s="43"/>
      <c r="AV19" s="43"/>
      <c r="AW19" s="43"/>
      <c r="AX19" s="43"/>
      <c r="AY19" s="43"/>
      <c r="AZ19" s="43"/>
      <c r="BA19" s="43"/>
      <c r="BB19" s="43"/>
      <c r="BC19" s="43"/>
      <c r="BD19" s="43"/>
      <c r="BE19" s="43"/>
      <c r="BF19" s="43"/>
      <c r="BG19" s="43"/>
      <c r="BH19" s="43"/>
      <c r="BI19" s="43"/>
      <c r="BJ19" s="43"/>
      <c r="BK19" s="43"/>
      <c r="BL19" s="43"/>
      <c r="BM19" s="43"/>
      <c r="BN19" s="43"/>
      <c r="BO19" s="43"/>
      <c r="BP19" s="43"/>
      <c r="BQ19" s="43"/>
      <c r="BR19" s="43"/>
      <c r="BS19" s="43"/>
      <c r="BT19" s="43"/>
      <c r="BU19" s="43"/>
      <c r="BV19" s="43"/>
      <c r="BW19" s="43"/>
      <c r="BX19" s="43"/>
      <c r="BY19" s="43"/>
      <c r="BZ19" s="43"/>
      <c r="CA19" s="43"/>
      <c r="CB19" s="43"/>
      <c r="CC19" s="43"/>
      <c r="CD19" s="43"/>
      <c r="CE19" s="43"/>
      <c r="CF19" s="43"/>
      <c r="CG19" s="43"/>
      <c r="CH19" s="43"/>
      <c r="CI19" s="43"/>
      <c r="CJ19" s="43"/>
      <c r="CK19" s="43"/>
      <c r="CL19" s="43"/>
      <c r="CM19" s="43"/>
      <c r="CN19" s="44" t="str">
        <f t="shared" si="3"/>
        <v>InitUnitState('E017',31800,,,,,,,,53,)</v>
      </c>
      <c r="CO19" s="44" t="str">
        <f t="shared" si="4"/>
        <v>InitUnitNormal('E017',,,,,,,,,9,)</v>
      </c>
      <c r="CP19" s="44" t="str">
        <f t="shared" si="5"/>
        <v>InitUnitMagic('E017',,,,,,,,,,)</v>
      </c>
      <c r="CQ19" s="44" t="str">
        <f t="shared" si="6"/>
        <v>InitUnitAdd('E017',,,,,,,,,,)</v>
      </c>
      <c r="CR19" s="44" t="str">
        <f t="shared" si="7"/>
        <v>InitEquipData('E017',,"",,E018,27000,,'','','','','','',"ReplaceableTextures\\CommandButtons\\BTNE018.blp")</v>
      </c>
      <c r="CS19" s="44"/>
      <c r="CT19" s="44"/>
      <c r="CU19" s="45" t="str">
        <f t="shared" ref="CU19:CU35" si="225">CONCATENATE(DB19,DC19,DD19,DE19,DF19,DG19,DH19,DI19,DJ19,DK19,DL19,DM19,DN19,DO19,DP19,DQ19,DR19,DS19,DT19,DU19,DV19,DW19,DX19,DY19,DZ19,EA19,EB19,EC19,ED19,EE19,EF19,EG19,EH19,EI19,EJ19,EK19,EL19,EM19,EN19,EO19,EP19&amp;"|n")</f>
        <v>|n攻击+31800|n攻速+53%|n暴击+9%|n</v>
      </c>
      <c r="CV19" s="29" t="str">
        <f>"|cffffcc00属性：|r"&amp;CU19&amp;VLOOKUP(A19,合成公式!A:P,16,FALSE)&amp;T19</f>
        <v>|cffffcc00属性：|r|n攻击+31800|n攻速+53%|n暴击+9%|n</v>
      </c>
      <c r="DB19" s="30" t="str">
        <f t="shared" ref="DB19:DB35" si="226">IF(V19="","","|n"&amp;DB$2&amp;"+"&amp;V19&amp;DB$1)</f>
        <v>|n攻击+31800</v>
      </c>
      <c r="DC19" s="30" t="str">
        <f t="shared" ref="DC19:DC35" si="227">IF(W19="","","|n"&amp;DC$2&amp;"+"&amp;W19&amp;DC$1)</f>
        <v/>
      </c>
      <c r="DD19" s="30" t="str">
        <f t="shared" ref="DD19:DD35" si="228">IF(X19="","","|n"&amp;DD$2&amp;"+"&amp;X19&amp;DD$1)</f>
        <v/>
      </c>
      <c r="DE19" s="30" t="str">
        <f t="shared" ref="DE19:DE35" si="229">IF(Y19="","","|n"&amp;DE$2&amp;"+"&amp;Y19&amp;DE$1)</f>
        <v/>
      </c>
      <c r="DF19" s="30" t="str">
        <f t="shared" ref="DF19:DF35" si="230">IF(Z19="","","|n"&amp;DF$2&amp;"+"&amp;Z19&amp;DF$1)</f>
        <v/>
      </c>
      <c r="DG19" s="30" t="str">
        <f t="shared" ref="DG19:DG35" si="231">IF(AA19="","","|n"&amp;DG$2&amp;"+"&amp;AA19&amp;DG$1)</f>
        <v/>
      </c>
      <c r="DH19" s="30" t="str">
        <f t="shared" ref="DH19:DH35" si="232">IF(AB19="","","|n"&amp;DH$2&amp;"+"&amp;AB19&amp;DH$1)</f>
        <v/>
      </c>
      <c r="DI19" s="30" t="str">
        <f t="shared" ref="DI19:DI35" si="233">IF(AC19="","","|n"&amp;DI$2&amp;"+"&amp;AC19&amp;DI$1)</f>
        <v/>
      </c>
      <c r="DJ19" s="30" t="str">
        <f t="shared" ref="DJ19:DJ35" si="234">IF(AD19="","","|n"&amp;DJ$2&amp;"+"&amp;AD19&amp;DJ$1)</f>
        <v>|n攻速+53%</v>
      </c>
      <c r="DK19" s="30" t="str">
        <f t="shared" ref="DK19:DK35" si="235">IF(AE19="","","|n"&amp;DK$2&amp;"+"&amp;AE19&amp;DK$1)</f>
        <v/>
      </c>
      <c r="DL19" s="30" t="str">
        <f t="shared" ref="DL19:DL35" si="236">IF(AF19="","","|n"&amp;DL$2&amp;"+"&amp;AF19&amp;DL$1)</f>
        <v/>
      </c>
      <c r="DM19" s="30" t="str">
        <f t="shared" ref="DM19:DM35" si="237">IF(AG19="","","|n"&amp;DM$2&amp;"+"&amp;AG19&amp;DM$1)</f>
        <v/>
      </c>
      <c r="DN19" s="30" t="str">
        <f t="shared" ref="DN19:DN35" si="238">IF(AH19="","","|n"&amp;DN$2&amp;"+"&amp;AH19&amp;DN$1)</f>
        <v/>
      </c>
      <c r="DO19" s="30" t="str">
        <f t="shared" ref="DO19:DO35" si="239">IF(AI19="","","|n"&amp;DO$2&amp;"+"&amp;AI19&amp;DO$1)</f>
        <v/>
      </c>
      <c r="DP19" s="30" t="str">
        <f t="shared" ref="DP19:DP35" si="240">IF(AJ19="","","|n"&amp;DP$2&amp;"+"&amp;AJ19&amp;DP$1)</f>
        <v/>
      </c>
      <c r="DQ19" s="30" t="str">
        <f t="shared" ref="DQ19:DQ35" si="241">IF(AK19="","","|n"&amp;DQ$2&amp;"+"&amp;AK19&amp;DQ$1)</f>
        <v/>
      </c>
      <c r="DR19" s="30" t="str">
        <f t="shared" ref="DR19:DR35" si="242">IF(AL19="","","|n"&amp;DR$2&amp;"+"&amp;AL19&amp;DR$1)</f>
        <v/>
      </c>
      <c r="DS19" s="30" t="str">
        <f t="shared" ref="DS19:DS35" si="243">IF(AM19="","","|n"&amp;DS$2&amp;"+"&amp;AM19&amp;DS$1)</f>
        <v/>
      </c>
      <c r="DT19" s="30" t="str">
        <f t="shared" ref="DT19:DT35" si="244">IF(AN19="","","|n"&amp;DT$2&amp;"+"&amp;AN19&amp;DT$1)</f>
        <v>|n暴击+9%</v>
      </c>
      <c r="DU19" s="30" t="str">
        <f t="shared" ref="DU19:DU35" si="245">IF(AO19="","","|n"&amp;DU$2&amp;"+"&amp;AO19&amp;DU$1)</f>
        <v/>
      </c>
      <c r="DV19" s="30" t="str">
        <f t="shared" ref="DV19:DV35" si="246">IF(AP19="","","|n"&amp;DV$2&amp;"+"&amp;AP19&amp;DV$1)</f>
        <v/>
      </c>
      <c r="DW19" s="30" t="str">
        <f t="shared" ref="DW19:DW35" si="247">IF(AQ19="","","|n"&amp;DW$2&amp;"+"&amp;AQ19&amp;DW$1)</f>
        <v/>
      </c>
      <c r="DX19" s="30" t="str">
        <f t="shared" ref="DX19:DX35" si="248">IF(AR19="","","|n"&amp;DX$2&amp;"+"&amp;AR19&amp;DX$1)</f>
        <v/>
      </c>
      <c r="DY19" s="30" t="str">
        <f t="shared" ref="DY19:DY35" si="249">IF(AS19="","","|n"&amp;DY$2&amp;"+"&amp;AS19&amp;DY$1)</f>
        <v/>
      </c>
      <c r="DZ19" s="30" t="str">
        <f t="shared" ref="DZ19:DZ35" si="250">IF(AT19="","","|n"&amp;DZ$2&amp;"+"&amp;AT19&amp;DZ$1)</f>
        <v/>
      </c>
      <c r="EA19" s="30" t="str">
        <f t="shared" ref="EA19:EA35" si="251">IF(AU19="","","|n"&amp;EA$2&amp;"+"&amp;AU19&amp;EA$1)</f>
        <v/>
      </c>
      <c r="EB19" s="30" t="str">
        <f t="shared" ref="EB19:EB35" si="252">IF(AV19="","","|n"&amp;EB$2&amp;"+"&amp;AV19&amp;EB$1)</f>
        <v/>
      </c>
      <c r="EC19" s="30" t="str">
        <f t="shared" ref="EC19:EC35" si="253">IF(AW19="","","|n"&amp;EC$2&amp;"+"&amp;AW19&amp;EC$1)</f>
        <v/>
      </c>
      <c r="ED19" s="30" t="str">
        <f t="shared" ref="ED19:ED35" si="254">IF(AX19="","","|n"&amp;ED$2&amp;"+"&amp;AX19&amp;ED$1)</f>
        <v/>
      </c>
      <c r="EE19" s="30" t="str">
        <f t="shared" ref="EE19:EE35" si="255">IF(AY19="","","|n"&amp;EE$2&amp;"+"&amp;AY19&amp;EE$1)</f>
        <v/>
      </c>
      <c r="EF19" s="30" t="str">
        <f t="shared" ref="EF19:EF35" si="256">IF(AZ19="","","|n"&amp;EF$2&amp;"+"&amp;AZ19&amp;EF$1)</f>
        <v/>
      </c>
      <c r="EG19" s="30" t="str">
        <f t="shared" ref="EG19:EG35" si="257">IF(BA19="","","|n"&amp;EG$2&amp;"+"&amp;BA19&amp;EG$1)</f>
        <v/>
      </c>
      <c r="EH19" s="30" t="str">
        <f t="shared" ref="EH19:EH35" si="258">IF(BB19="","","|n"&amp;EH$2&amp;"+"&amp;BB19&amp;EH$1)</f>
        <v/>
      </c>
      <c r="EI19" s="30" t="str">
        <f t="shared" ref="EI19:EI35" si="259">IF(BC19="","","|n"&amp;EI$2&amp;"+"&amp;BC19&amp;EI$1)</f>
        <v/>
      </c>
      <c r="EJ19" s="30" t="str">
        <f t="shared" ref="EJ19:EJ35" si="260">IF(BD19="","","|n"&amp;EJ$2&amp;"+"&amp;BD19&amp;EJ$1)</f>
        <v/>
      </c>
      <c r="EK19" s="30" t="str">
        <f t="shared" ref="EK19:EK35" si="261">IF(BE19="","","|n"&amp;EK$2&amp;"+"&amp;BE19&amp;EK$1)</f>
        <v/>
      </c>
      <c r="EL19" s="30" t="str">
        <f t="shared" ref="EL19:EL35" si="262">IF(BF19="","","|n"&amp;EL$2&amp;"+"&amp;BF19&amp;EL$1)</f>
        <v/>
      </c>
      <c r="EM19" s="30" t="str">
        <f t="shared" ref="EM19:EM35" si="263">IF(BG19="","","|n"&amp;EM$2&amp;"+"&amp;BG19&amp;EM$1)</f>
        <v/>
      </c>
      <c r="EN19" s="30" t="str">
        <f t="shared" ref="EN19:EN35" si="264">IF(BH19="","","|n"&amp;EN$2&amp;"+"&amp;BH19&amp;EN$1)</f>
        <v/>
      </c>
      <c r="EO19" s="30" t="str">
        <f t="shared" ref="EO19:EO35" si="265">IF(BI19="","","|n"&amp;EO$2&amp;"+"&amp;BI19&amp;EO$1)</f>
        <v/>
      </c>
      <c r="EP19" s="30" t="str">
        <f t="shared" ref="EP19:EP35" si="266">IF(BJ19="","","|n"&amp;EP$2&amp;"+"&amp;BJ19&amp;EP$1)</f>
        <v/>
      </c>
      <c r="EQ19" s="30" t="str">
        <f t="shared" ref="EQ19:EQ35" si="267">IF(BK19="","","|n"&amp;EQ$2&amp;"+"&amp;BK19&amp;EQ$1)</f>
        <v/>
      </c>
      <c r="ER19" s="30" t="str">
        <f t="shared" ref="ER19:ER35" si="268">IF(BL19="","","|n"&amp;ER$2&amp;"+"&amp;BL19&amp;ER$1)</f>
        <v/>
      </c>
      <c r="ES19" s="30" t="str">
        <f t="shared" ref="ES19:ES35" si="269">IF(BM19="","","|n"&amp;ES$2&amp;"+"&amp;BM19&amp;ES$1)</f>
        <v/>
      </c>
      <c r="ET19" s="30" t="str">
        <f t="shared" ref="ET19:ET35" si="270">IF(BN19="","","|n"&amp;ET$2&amp;"+"&amp;BN19&amp;ET$1)</f>
        <v/>
      </c>
      <c r="EU19" s="30" t="str">
        <f t="shared" ref="EU19:EU35" si="271">IF(BO19="","","|n"&amp;EU$2&amp;"+"&amp;BO19&amp;EU$1)</f>
        <v/>
      </c>
      <c r="EV19" s="30" t="str">
        <f t="shared" ref="EV19:EV35" si="272">IF(BP19="","","|n"&amp;EV$2&amp;"+"&amp;BP19&amp;EV$1)</f>
        <v/>
      </c>
      <c r="EW19" s="30" t="str">
        <f t="shared" ref="EW19:EW35" si="273">IF(BQ19="","","|n"&amp;EW$2&amp;"+"&amp;BQ19&amp;EW$1)</f>
        <v/>
      </c>
      <c r="EX19" s="30" t="str">
        <f t="shared" ref="EX19:EX35" si="274">IF(BR19="","","|n"&amp;EX$2&amp;"+"&amp;BR19&amp;EX$1)</f>
        <v/>
      </c>
      <c r="EY19" s="30" t="str">
        <f t="shared" ref="EY19:EY35" si="275">IF(BS19="","","|n"&amp;EY$2&amp;"+"&amp;BS19&amp;EY$1)</f>
        <v/>
      </c>
      <c r="EZ19" s="30" t="str">
        <f t="shared" ref="EZ19:EZ35" si="276">IF(BT19="","","|n"&amp;EZ$2&amp;"+"&amp;BT19&amp;EZ$1)</f>
        <v/>
      </c>
      <c r="FA19" s="30" t="str">
        <f t="shared" ref="FA19:FA35" si="277">IF(BU19="","","|n"&amp;FA$2&amp;"+"&amp;BU19&amp;FA$1)</f>
        <v/>
      </c>
      <c r="FB19" s="30" t="str">
        <f t="shared" ref="FB19:FB35" si="278">IF(BV19="","","|n"&amp;FB$2&amp;"+"&amp;BV19&amp;FB$1)</f>
        <v/>
      </c>
      <c r="FC19" s="30" t="str">
        <f t="shared" ref="FC19:FC35" si="279">IF(BW19="","","|n"&amp;FC$2&amp;"+"&amp;BW19&amp;FC$1)</f>
        <v/>
      </c>
      <c r="FD19" s="30" t="str">
        <f t="shared" ref="FD19:FD35" si="280">IF(BX19="","","|n"&amp;FD$2&amp;"+"&amp;BX19&amp;FD$1)</f>
        <v/>
      </c>
      <c r="FE19" s="30" t="str">
        <f t="shared" ref="FE19:FE35" si="281">IF(BY19="","","|n"&amp;FE$2&amp;"+"&amp;BY19&amp;FE$1)</f>
        <v/>
      </c>
      <c r="FF19" s="30" t="str">
        <f t="shared" ref="FF19:FF35" si="282">IF(BZ19="","","|n"&amp;FF$2&amp;"+"&amp;BZ19&amp;FF$1)</f>
        <v/>
      </c>
      <c r="FG19" s="30" t="str">
        <f t="shared" ref="FG19:FG35" si="283">IF(CA19="","","|n"&amp;FG$2&amp;"+"&amp;CA19&amp;FG$1)</f>
        <v/>
      </c>
      <c r="FH19" s="30" t="str">
        <f t="shared" ref="FH19:FH35" si="284">IF(CB19="","","|n"&amp;FH$2&amp;"+"&amp;CB19&amp;FH$1)</f>
        <v/>
      </c>
      <c r="FI19" s="30" t="str">
        <f t="shared" ref="FI19:FI35" si="285">IF(CC19="","","|n"&amp;FI$2&amp;"+"&amp;CC19&amp;FI$1)</f>
        <v/>
      </c>
      <c r="FJ19" s="30" t="str">
        <f t="shared" ref="FJ19:FJ35" si="286">IF(CD19="","","|n"&amp;FJ$2&amp;"+"&amp;CD19&amp;FJ$1)</f>
        <v/>
      </c>
      <c r="FK19" s="30" t="str">
        <f t="shared" ref="FK19:FK35" si="287">IF(CE19="","","|n"&amp;FK$2&amp;"+"&amp;CE19&amp;FK$1)</f>
        <v/>
      </c>
      <c r="FL19" s="30" t="str">
        <f t="shared" ref="FL19:FL35" si="288">IF(CF19="","","|n"&amp;FL$2&amp;"+"&amp;CF19&amp;FL$1)</f>
        <v/>
      </c>
      <c r="FM19" s="30" t="str">
        <f t="shared" ref="FM19:FM35" si="289">IF(CG19="","","|n"&amp;FM$2&amp;"+"&amp;CG19&amp;FM$1)</f>
        <v/>
      </c>
      <c r="FN19" s="30" t="str">
        <f t="shared" ref="FN19:FN35" si="290">IF(CH19="","","|n"&amp;FN$2&amp;"+"&amp;CH19&amp;FN$1)</f>
        <v/>
      </c>
      <c r="FO19" s="30" t="str">
        <f t="shared" ref="FO19:FO35" si="291">IF(CI19="","","|n"&amp;FO$2&amp;"+"&amp;CI19&amp;FO$1)</f>
        <v/>
      </c>
      <c r="FP19" s="30" t="str">
        <f t="shared" ref="FP19:FP35" si="292">IF(CJ19="","","|n"&amp;FP$2&amp;"+"&amp;CJ19&amp;FP$1)</f>
        <v/>
      </c>
      <c r="FQ19" s="30" t="str">
        <f t="shared" ref="FQ19:FQ35" si="293">IF(CK19="","","|n"&amp;FQ$2&amp;"+"&amp;CK19&amp;FQ$1)</f>
        <v/>
      </c>
      <c r="FR19" s="30" t="str">
        <f t="shared" ref="FR19:FR35" si="294">IF(CL19="","","|n"&amp;FR$2&amp;"+"&amp;CL19&amp;FR$1)</f>
        <v/>
      </c>
      <c r="FS19" s="30" t="str">
        <f t="shared" ref="FS19:FS35" si="295">IF(CM19="","","|n"&amp;FS$2&amp;"+"&amp;CM19&amp;FS$1)</f>
        <v/>
      </c>
    </row>
    <row r="20" spans="1:175" s="24" customFormat="1" ht="16.5">
      <c r="A20" s="5"/>
      <c r="B20" s="36" t="s">
        <v>691</v>
      </c>
      <c r="C20" s="5" t="s">
        <v>692</v>
      </c>
      <c r="D20" s="31"/>
      <c r="E20" s="39"/>
      <c r="F20" s="40">
        <v>28000</v>
      </c>
      <c r="G20" s="38"/>
      <c r="H20" s="38"/>
      <c r="I20" s="38" t="str">
        <f t="shared" si="79"/>
        <v>E019</v>
      </c>
      <c r="J20" s="38"/>
      <c r="K20" s="38"/>
      <c r="L20" s="38"/>
      <c r="M20" s="38"/>
      <c r="N20" s="38"/>
      <c r="O20" s="38"/>
      <c r="P20" s="42"/>
      <c r="Q20" s="42"/>
      <c r="R20" s="42"/>
      <c r="S20" s="42"/>
      <c r="T20" s="101"/>
      <c r="U20" s="32" t="str">
        <f t="shared" si="224"/>
        <v>ReplaceableTextures\\CommandButtons\\BTNE018.blp</v>
      </c>
      <c r="V20" s="43">
        <v>36200</v>
      </c>
      <c r="W20" s="43"/>
      <c r="X20" s="43"/>
      <c r="Y20" s="43"/>
      <c r="Z20" s="43"/>
      <c r="AA20" s="43"/>
      <c r="AB20" s="43"/>
      <c r="AC20" s="43"/>
      <c r="AD20" s="43">
        <v>53</v>
      </c>
      <c r="AE20" s="43"/>
      <c r="AF20" s="43"/>
      <c r="AG20" s="43"/>
      <c r="AH20" s="43"/>
      <c r="AI20" s="43"/>
      <c r="AJ20" s="43"/>
      <c r="AK20" s="43"/>
      <c r="AL20" s="43"/>
      <c r="AM20" s="43"/>
      <c r="AN20" s="43">
        <v>9</v>
      </c>
      <c r="AO20" s="43"/>
      <c r="AP20" s="43"/>
      <c r="AQ20" s="43"/>
      <c r="AR20" s="43"/>
      <c r="AS20" s="43"/>
      <c r="AT20" s="43"/>
      <c r="AU20" s="43"/>
      <c r="AV20" s="43"/>
      <c r="AW20" s="43"/>
      <c r="AX20" s="43"/>
      <c r="AY20" s="43"/>
      <c r="AZ20" s="43"/>
      <c r="BA20" s="43"/>
      <c r="BB20" s="43"/>
      <c r="BC20" s="43"/>
      <c r="BD20" s="43"/>
      <c r="BE20" s="43"/>
      <c r="BF20" s="43"/>
      <c r="BG20" s="43"/>
      <c r="BH20" s="43"/>
      <c r="BI20" s="43"/>
      <c r="BJ20" s="43"/>
      <c r="BK20" s="43"/>
      <c r="BL20" s="43"/>
      <c r="BM20" s="43"/>
      <c r="BN20" s="43"/>
      <c r="BO20" s="43"/>
      <c r="BP20" s="43"/>
      <c r="BQ20" s="43"/>
      <c r="BR20" s="43"/>
      <c r="BS20" s="43"/>
      <c r="BT20" s="43"/>
      <c r="BU20" s="43"/>
      <c r="BV20" s="43"/>
      <c r="BW20" s="43"/>
      <c r="BX20" s="43"/>
      <c r="BY20" s="43"/>
      <c r="BZ20" s="43"/>
      <c r="CA20" s="43"/>
      <c r="CB20" s="43"/>
      <c r="CC20" s="43"/>
      <c r="CD20" s="43"/>
      <c r="CE20" s="43"/>
      <c r="CF20" s="43"/>
      <c r="CG20" s="43"/>
      <c r="CH20" s="43"/>
      <c r="CI20" s="43"/>
      <c r="CJ20" s="43"/>
      <c r="CK20" s="43"/>
      <c r="CL20" s="43"/>
      <c r="CM20" s="43"/>
      <c r="CN20" s="44" t="str">
        <f t="shared" si="3"/>
        <v>InitUnitState('E018',36200,,,,,,,,53,)</v>
      </c>
      <c r="CO20" s="44" t="str">
        <f t="shared" si="4"/>
        <v>InitUnitNormal('E018',,,,,,,,,9,)</v>
      </c>
      <c r="CP20" s="44" t="str">
        <f t="shared" si="5"/>
        <v>InitUnitMagic('E018',,,,,,,,,,)</v>
      </c>
      <c r="CQ20" s="44" t="str">
        <f t="shared" si="6"/>
        <v>InitUnitAdd('E018',,,,,,,,,,)</v>
      </c>
      <c r="CR20" s="44" t="str">
        <f t="shared" si="7"/>
        <v>InitEquipData('E018',,"",,E019,28000,,'','','','','','',"ReplaceableTextures\\CommandButtons\\BTNE019.blp")</v>
      </c>
      <c r="CS20" s="44"/>
      <c r="CT20" s="44"/>
      <c r="CU20" s="45" t="str">
        <f t="shared" si="225"/>
        <v>|n攻击+36200|n攻速+53%|n暴击+9%|n</v>
      </c>
      <c r="CV20" s="29" t="str">
        <f>"|cffffcc00属性：|r"&amp;CU20&amp;VLOOKUP(A20,合成公式!A:P,16,FALSE)&amp;T20</f>
        <v>|cffffcc00属性：|r|n攻击+36200|n攻速+53%|n暴击+9%|n</v>
      </c>
      <c r="DB20" s="30" t="str">
        <f t="shared" si="226"/>
        <v>|n攻击+36200</v>
      </c>
      <c r="DC20" s="30" t="str">
        <f t="shared" si="227"/>
        <v/>
      </c>
      <c r="DD20" s="30" t="str">
        <f t="shared" si="228"/>
        <v/>
      </c>
      <c r="DE20" s="30" t="str">
        <f t="shared" si="229"/>
        <v/>
      </c>
      <c r="DF20" s="30" t="str">
        <f t="shared" si="230"/>
        <v/>
      </c>
      <c r="DG20" s="30" t="str">
        <f t="shared" si="231"/>
        <v/>
      </c>
      <c r="DH20" s="30" t="str">
        <f t="shared" si="232"/>
        <v/>
      </c>
      <c r="DI20" s="30" t="str">
        <f t="shared" si="233"/>
        <v/>
      </c>
      <c r="DJ20" s="30" t="str">
        <f t="shared" si="234"/>
        <v>|n攻速+53%</v>
      </c>
      <c r="DK20" s="30" t="str">
        <f t="shared" si="235"/>
        <v/>
      </c>
      <c r="DL20" s="30" t="str">
        <f t="shared" si="236"/>
        <v/>
      </c>
      <c r="DM20" s="30" t="str">
        <f t="shared" si="237"/>
        <v/>
      </c>
      <c r="DN20" s="30" t="str">
        <f t="shared" si="238"/>
        <v/>
      </c>
      <c r="DO20" s="30" t="str">
        <f t="shared" si="239"/>
        <v/>
      </c>
      <c r="DP20" s="30" t="str">
        <f t="shared" si="240"/>
        <v/>
      </c>
      <c r="DQ20" s="30" t="str">
        <f t="shared" si="241"/>
        <v/>
      </c>
      <c r="DR20" s="30" t="str">
        <f t="shared" si="242"/>
        <v/>
      </c>
      <c r="DS20" s="30" t="str">
        <f t="shared" si="243"/>
        <v/>
      </c>
      <c r="DT20" s="30" t="str">
        <f t="shared" si="244"/>
        <v>|n暴击+9%</v>
      </c>
      <c r="DU20" s="30" t="str">
        <f t="shared" si="245"/>
        <v/>
      </c>
      <c r="DV20" s="30" t="str">
        <f t="shared" si="246"/>
        <v/>
      </c>
      <c r="DW20" s="30" t="str">
        <f t="shared" si="247"/>
        <v/>
      </c>
      <c r="DX20" s="30" t="str">
        <f t="shared" si="248"/>
        <v/>
      </c>
      <c r="DY20" s="30" t="str">
        <f t="shared" si="249"/>
        <v/>
      </c>
      <c r="DZ20" s="30" t="str">
        <f t="shared" si="250"/>
        <v/>
      </c>
      <c r="EA20" s="30" t="str">
        <f t="shared" si="251"/>
        <v/>
      </c>
      <c r="EB20" s="30" t="str">
        <f t="shared" si="252"/>
        <v/>
      </c>
      <c r="EC20" s="30" t="str">
        <f t="shared" si="253"/>
        <v/>
      </c>
      <c r="ED20" s="30" t="str">
        <f t="shared" si="254"/>
        <v/>
      </c>
      <c r="EE20" s="30" t="str">
        <f t="shared" si="255"/>
        <v/>
      </c>
      <c r="EF20" s="30" t="str">
        <f t="shared" si="256"/>
        <v/>
      </c>
      <c r="EG20" s="30" t="str">
        <f t="shared" si="257"/>
        <v/>
      </c>
      <c r="EH20" s="30" t="str">
        <f t="shared" si="258"/>
        <v/>
      </c>
      <c r="EI20" s="30" t="str">
        <f t="shared" si="259"/>
        <v/>
      </c>
      <c r="EJ20" s="30" t="str">
        <f t="shared" si="260"/>
        <v/>
      </c>
      <c r="EK20" s="30" t="str">
        <f t="shared" si="261"/>
        <v/>
      </c>
      <c r="EL20" s="30" t="str">
        <f t="shared" si="262"/>
        <v/>
      </c>
      <c r="EM20" s="30" t="str">
        <f t="shared" si="263"/>
        <v/>
      </c>
      <c r="EN20" s="30" t="str">
        <f t="shared" si="264"/>
        <v/>
      </c>
      <c r="EO20" s="30" t="str">
        <f t="shared" si="265"/>
        <v/>
      </c>
      <c r="EP20" s="30" t="str">
        <f t="shared" si="266"/>
        <v/>
      </c>
      <c r="EQ20" s="30" t="str">
        <f t="shared" si="267"/>
        <v/>
      </c>
      <c r="ER20" s="30" t="str">
        <f t="shared" si="268"/>
        <v/>
      </c>
      <c r="ES20" s="30" t="str">
        <f t="shared" si="269"/>
        <v/>
      </c>
      <c r="ET20" s="30" t="str">
        <f t="shared" si="270"/>
        <v/>
      </c>
      <c r="EU20" s="30" t="str">
        <f t="shared" si="271"/>
        <v/>
      </c>
      <c r="EV20" s="30" t="str">
        <f t="shared" si="272"/>
        <v/>
      </c>
      <c r="EW20" s="30" t="str">
        <f t="shared" si="273"/>
        <v/>
      </c>
      <c r="EX20" s="30" t="str">
        <f t="shared" si="274"/>
        <v/>
      </c>
      <c r="EY20" s="30" t="str">
        <f t="shared" si="275"/>
        <v/>
      </c>
      <c r="EZ20" s="30" t="str">
        <f t="shared" si="276"/>
        <v/>
      </c>
      <c r="FA20" s="30" t="str">
        <f t="shared" si="277"/>
        <v/>
      </c>
      <c r="FB20" s="30" t="str">
        <f t="shared" si="278"/>
        <v/>
      </c>
      <c r="FC20" s="30" t="str">
        <f t="shared" si="279"/>
        <v/>
      </c>
      <c r="FD20" s="30" t="str">
        <f t="shared" si="280"/>
        <v/>
      </c>
      <c r="FE20" s="30" t="str">
        <f t="shared" si="281"/>
        <v/>
      </c>
      <c r="FF20" s="30" t="str">
        <f t="shared" si="282"/>
        <v/>
      </c>
      <c r="FG20" s="30" t="str">
        <f t="shared" si="283"/>
        <v/>
      </c>
      <c r="FH20" s="30" t="str">
        <f t="shared" si="284"/>
        <v/>
      </c>
      <c r="FI20" s="30" t="str">
        <f t="shared" si="285"/>
        <v/>
      </c>
      <c r="FJ20" s="30" t="str">
        <f t="shared" si="286"/>
        <v/>
      </c>
      <c r="FK20" s="30" t="str">
        <f t="shared" si="287"/>
        <v/>
      </c>
      <c r="FL20" s="30" t="str">
        <f t="shared" si="288"/>
        <v/>
      </c>
      <c r="FM20" s="30" t="str">
        <f t="shared" si="289"/>
        <v/>
      </c>
      <c r="FN20" s="30" t="str">
        <f t="shared" si="290"/>
        <v/>
      </c>
      <c r="FO20" s="30" t="str">
        <f t="shared" si="291"/>
        <v/>
      </c>
      <c r="FP20" s="30" t="str">
        <f t="shared" si="292"/>
        <v/>
      </c>
      <c r="FQ20" s="30" t="str">
        <f t="shared" si="293"/>
        <v/>
      </c>
      <c r="FR20" s="30" t="str">
        <f t="shared" si="294"/>
        <v/>
      </c>
      <c r="FS20" s="30" t="str">
        <f t="shared" si="295"/>
        <v/>
      </c>
    </row>
    <row r="21" spans="1:175" s="24" customFormat="1" ht="16.5">
      <c r="A21" s="5"/>
      <c r="B21" s="36" t="s">
        <v>693</v>
      </c>
      <c r="C21" s="5" t="s">
        <v>694</v>
      </c>
      <c r="D21" s="31"/>
      <c r="E21" s="39"/>
      <c r="F21" s="40">
        <v>29000</v>
      </c>
      <c r="G21" s="38"/>
      <c r="H21" s="38"/>
      <c r="I21" s="38" t="str">
        <f t="shared" si="79"/>
        <v>E020</v>
      </c>
      <c r="J21" s="38"/>
      <c r="K21" s="38"/>
      <c r="L21" s="38"/>
      <c r="M21" s="38"/>
      <c r="N21" s="38"/>
      <c r="O21" s="38"/>
      <c r="P21" s="42"/>
      <c r="Q21" s="42"/>
      <c r="R21" s="42"/>
      <c r="S21" s="42"/>
      <c r="T21" s="101"/>
      <c r="U21" s="32" t="str">
        <f t="shared" si="224"/>
        <v>ReplaceableTextures\\CommandButtons\\BTNE019.blp</v>
      </c>
      <c r="V21" s="43">
        <v>40600</v>
      </c>
      <c r="W21" s="43"/>
      <c r="X21" s="43"/>
      <c r="Y21" s="43"/>
      <c r="Z21" s="43"/>
      <c r="AA21" s="43"/>
      <c r="AB21" s="43"/>
      <c r="AC21" s="43"/>
      <c r="AD21" s="43">
        <v>53</v>
      </c>
      <c r="AE21" s="43"/>
      <c r="AF21" s="43"/>
      <c r="AG21" s="43"/>
      <c r="AH21" s="43"/>
      <c r="AI21" s="43"/>
      <c r="AJ21" s="43"/>
      <c r="AK21" s="43"/>
      <c r="AL21" s="43"/>
      <c r="AM21" s="43"/>
      <c r="AN21" s="43">
        <v>9</v>
      </c>
      <c r="AO21" s="43"/>
      <c r="AP21" s="43"/>
      <c r="AQ21" s="43"/>
      <c r="AR21" s="43"/>
      <c r="AS21" s="43"/>
      <c r="AT21" s="43"/>
      <c r="AU21" s="43"/>
      <c r="AV21" s="43"/>
      <c r="AW21" s="43"/>
      <c r="AX21" s="43"/>
      <c r="AY21" s="43"/>
      <c r="AZ21" s="43"/>
      <c r="BA21" s="43"/>
      <c r="BB21" s="43"/>
      <c r="BC21" s="43"/>
      <c r="BD21" s="43"/>
      <c r="BE21" s="43"/>
      <c r="BF21" s="43"/>
      <c r="BG21" s="43"/>
      <c r="BH21" s="43"/>
      <c r="BI21" s="43"/>
      <c r="BJ21" s="43"/>
      <c r="BK21" s="43"/>
      <c r="BL21" s="43"/>
      <c r="BM21" s="43"/>
      <c r="BN21" s="43"/>
      <c r="BO21" s="43"/>
      <c r="BP21" s="43"/>
      <c r="BQ21" s="43"/>
      <c r="BR21" s="43"/>
      <c r="BS21" s="43"/>
      <c r="BT21" s="43"/>
      <c r="BU21" s="43"/>
      <c r="BV21" s="43"/>
      <c r="BW21" s="43"/>
      <c r="BX21" s="43"/>
      <c r="BY21" s="43"/>
      <c r="BZ21" s="43"/>
      <c r="CA21" s="43"/>
      <c r="CB21" s="43"/>
      <c r="CC21" s="43"/>
      <c r="CD21" s="43"/>
      <c r="CE21" s="43"/>
      <c r="CF21" s="43"/>
      <c r="CG21" s="43"/>
      <c r="CH21" s="43"/>
      <c r="CI21" s="43"/>
      <c r="CJ21" s="43"/>
      <c r="CK21" s="43"/>
      <c r="CL21" s="43"/>
      <c r="CM21" s="43"/>
      <c r="CN21" s="44" t="str">
        <f t="shared" si="3"/>
        <v>InitUnitState('E019',40600,,,,,,,,53,)</v>
      </c>
      <c r="CO21" s="44" t="str">
        <f t="shared" si="4"/>
        <v>InitUnitNormal('E019',,,,,,,,,9,)</v>
      </c>
      <c r="CP21" s="44" t="str">
        <f t="shared" si="5"/>
        <v>InitUnitMagic('E019',,,,,,,,,,)</v>
      </c>
      <c r="CQ21" s="44" t="str">
        <f t="shared" si="6"/>
        <v>InitUnitAdd('E019',,,,,,,,,,)</v>
      </c>
      <c r="CR21" s="44" t="str">
        <f t="shared" si="7"/>
        <v>InitEquipData('E019',,"",,E020,29000,,'','','','','','',"ReplaceableTextures\\CommandButtons\\BTNE020.blp")</v>
      </c>
      <c r="CS21" s="44"/>
      <c r="CT21" s="44"/>
      <c r="CU21" s="45" t="str">
        <f t="shared" si="225"/>
        <v>|n攻击+40600|n攻速+53%|n暴击+9%|n</v>
      </c>
      <c r="CV21" s="29" t="str">
        <f>"|cffffcc00属性：|r"&amp;CU21&amp;VLOOKUP(A21,合成公式!A:P,16,FALSE)&amp;T21</f>
        <v>|cffffcc00属性：|r|n攻击+40600|n攻速+53%|n暴击+9%|n</v>
      </c>
      <c r="DB21" s="30" t="str">
        <f t="shared" si="226"/>
        <v>|n攻击+40600</v>
      </c>
      <c r="DC21" s="30" t="str">
        <f t="shared" si="227"/>
        <v/>
      </c>
      <c r="DD21" s="30" t="str">
        <f t="shared" si="228"/>
        <v/>
      </c>
      <c r="DE21" s="30" t="str">
        <f t="shared" si="229"/>
        <v/>
      </c>
      <c r="DF21" s="30" t="str">
        <f t="shared" si="230"/>
        <v/>
      </c>
      <c r="DG21" s="30" t="str">
        <f t="shared" si="231"/>
        <v/>
      </c>
      <c r="DH21" s="30" t="str">
        <f t="shared" si="232"/>
        <v/>
      </c>
      <c r="DI21" s="30" t="str">
        <f t="shared" si="233"/>
        <v/>
      </c>
      <c r="DJ21" s="30" t="str">
        <f t="shared" si="234"/>
        <v>|n攻速+53%</v>
      </c>
      <c r="DK21" s="30" t="str">
        <f t="shared" si="235"/>
        <v/>
      </c>
      <c r="DL21" s="30" t="str">
        <f t="shared" si="236"/>
        <v/>
      </c>
      <c r="DM21" s="30" t="str">
        <f t="shared" si="237"/>
        <v/>
      </c>
      <c r="DN21" s="30" t="str">
        <f t="shared" si="238"/>
        <v/>
      </c>
      <c r="DO21" s="30" t="str">
        <f t="shared" si="239"/>
        <v/>
      </c>
      <c r="DP21" s="30" t="str">
        <f t="shared" si="240"/>
        <v/>
      </c>
      <c r="DQ21" s="30" t="str">
        <f t="shared" si="241"/>
        <v/>
      </c>
      <c r="DR21" s="30" t="str">
        <f t="shared" si="242"/>
        <v/>
      </c>
      <c r="DS21" s="30" t="str">
        <f t="shared" si="243"/>
        <v/>
      </c>
      <c r="DT21" s="30" t="str">
        <f t="shared" si="244"/>
        <v>|n暴击+9%</v>
      </c>
      <c r="DU21" s="30" t="str">
        <f t="shared" si="245"/>
        <v/>
      </c>
      <c r="DV21" s="30" t="str">
        <f t="shared" si="246"/>
        <v/>
      </c>
      <c r="DW21" s="30" t="str">
        <f t="shared" si="247"/>
        <v/>
      </c>
      <c r="DX21" s="30" t="str">
        <f t="shared" si="248"/>
        <v/>
      </c>
      <c r="DY21" s="30" t="str">
        <f t="shared" si="249"/>
        <v/>
      </c>
      <c r="DZ21" s="30" t="str">
        <f t="shared" si="250"/>
        <v/>
      </c>
      <c r="EA21" s="30" t="str">
        <f t="shared" si="251"/>
        <v/>
      </c>
      <c r="EB21" s="30" t="str">
        <f t="shared" si="252"/>
        <v/>
      </c>
      <c r="EC21" s="30" t="str">
        <f t="shared" si="253"/>
        <v/>
      </c>
      <c r="ED21" s="30" t="str">
        <f t="shared" si="254"/>
        <v/>
      </c>
      <c r="EE21" s="30" t="str">
        <f t="shared" si="255"/>
        <v/>
      </c>
      <c r="EF21" s="30" t="str">
        <f t="shared" si="256"/>
        <v/>
      </c>
      <c r="EG21" s="30" t="str">
        <f t="shared" si="257"/>
        <v/>
      </c>
      <c r="EH21" s="30" t="str">
        <f t="shared" si="258"/>
        <v/>
      </c>
      <c r="EI21" s="30" t="str">
        <f t="shared" si="259"/>
        <v/>
      </c>
      <c r="EJ21" s="30" t="str">
        <f t="shared" si="260"/>
        <v/>
      </c>
      <c r="EK21" s="30" t="str">
        <f t="shared" si="261"/>
        <v/>
      </c>
      <c r="EL21" s="30" t="str">
        <f t="shared" si="262"/>
        <v/>
      </c>
      <c r="EM21" s="30" t="str">
        <f t="shared" si="263"/>
        <v/>
      </c>
      <c r="EN21" s="30" t="str">
        <f t="shared" si="264"/>
        <v/>
      </c>
      <c r="EO21" s="30" t="str">
        <f t="shared" si="265"/>
        <v/>
      </c>
      <c r="EP21" s="30" t="str">
        <f t="shared" si="266"/>
        <v/>
      </c>
      <c r="EQ21" s="30" t="str">
        <f t="shared" si="267"/>
        <v/>
      </c>
      <c r="ER21" s="30" t="str">
        <f t="shared" si="268"/>
        <v/>
      </c>
      <c r="ES21" s="30" t="str">
        <f t="shared" si="269"/>
        <v/>
      </c>
      <c r="ET21" s="30" t="str">
        <f t="shared" si="270"/>
        <v/>
      </c>
      <c r="EU21" s="30" t="str">
        <f t="shared" si="271"/>
        <v/>
      </c>
      <c r="EV21" s="30" t="str">
        <f t="shared" si="272"/>
        <v/>
      </c>
      <c r="EW21" s="30" t="str">
        <f t="shared" si="273"/>
        <v/>
      </c>
      <c r="EX21" s="30" t="str">
        <f t="shared" si="274"/>
        <v/>
      </c>
      <c r="EY21" s="30" t="str">
        <f t="shared" si="275"/>
        <v/>
      </c>
      <c r="EZ21" s="30" t="str">
        <f t="shared" si="276"/>
        <v/>
      </c>
      <c r="FA21" s="30" t="str">
        <f t="shared" si="277"/>
        <v/>
      </c>
      <c r="FB21" s="30" t="str">
        <f t="shared" si="278"/>
        <v/>
      </c>
      <c r="FC21" s="30" t="str">
        <f t="shared" si="279"/>
        <v/>
      </c>
      <c r="FD21" s="30" t="str">
        <f t="shared" si="280"/>
        <v/>
      </c>
      <c r="FE21" s="30" t="str">
        <f t="shared" si="281"/>
        <v/>
      </c>
      <c r="FF21" s="30" t="str">
        <f t="shared" si="282"/>
        <v/>
      </c>
      <c r="FG21" s="30" t="str">
        <f t="shared" si="283"/>
        <v/>
      </c>
      <c r="FH21" s="30" t="str">
        <f t="shared" si="284"/>
        <v/>
      </c>
      <c r="FI21" s="30" t="str">
        <f t="shared" si="285"/>
        <v/>
      </c>
      <c r="FJ21" s="30" t="str">
        <f t="shared" si="286"/>
        <v/>
      </c>
      <c r="FK21" s="30" t="str">
        <f t="shared" si="287"/>
        <v/>
      </c>
      <c r="FL21" s="30" t="str">
        <f t="shared" si="288"/>
        <v/>
      </c>
      <c r="FM21" s="30" t="str">
        <f t="shared" si="289"/>
        <v/>
      </c>
      <c r="FN21" s="30" t="str">
        <f t="shared" si="290"/>
        <v/>
      </c>
      <c r="FO21" s="30" t="str">
        <f t="shared" si="291"/>
        <v/>
      </c>
      <c r="FP21" s="30" t="str">
        <f t="shared" si="292"/>
        <v/>
      </c>
      <c r="FQ21" s="30" t="str">
        <f t="shared" si="293"/>
        <v/>
      </c>
      <c r="FR21" s="30" t="str">
        <f t="shared" si="294"/>
        <v/>
      </c>
      <c r="FS21" s="30" t="str">
        <f t="shared" si="295"/>
        <v/>
      </c>
    </row>
    <row r="22" spans="1:175" s="24" customFormat="1" ht="16.5">
      <c r="A22" s="5"/>
      <c r="B22" s="36" t="s">
        <v>695</v>
      </c>
      <c r="C22" s="5" t="s">
        <v>696</v>
      </c>
      <c r="D22" s="31"/>
      <c r="E22" s="39"/>
      <c r="F22" s="40">
        <v>30000</v>
      </c>
      <c r="G22" s="38"/>
      <c r="H22" s="121" t="s">
        <v>931</v>
      </c>
      <c r="I22" s="38" t="str">
        <f t="shared" si="79"/>
        <v>E021</v>
      </c>
      <c r="J22" s="38"/>
      <c r="K22" s="38"/>
      <c r="L22" s="38"/>
      <c r="M22" s="38"/>
      <c r="N22" s="38"/>
      <c r="O22" s="38"/>
      <c r="P22" s="42"/>
      <c r="Q22" s="42"/>
      <c r="R22" s="42"/>
      <c r="S22" s="42"/>
      <c r="T22" s="101"/>
      <c r="U22" s="32" t="str">
        <f t="shared" si="224"/>
        <v>ReplaceableTextures\\CommandButtons\\BTNE020.blp</v>
      </c>
      <c r="V22" s="43">
        <v>45000</v>
      </c>
      <c r="W22" s="43"/>
      <c r="X22" s="43"/>
      <c r="Y22" s="43"/>
      <c r="Z22" s="43"/>
      <c r="AA22" s="43"/>
      <c r="AB22" s="43"/>
      <c r="AC22" s="43"/>
      <c r="AD22" s="43">
        <v>53</v>
      </c>
      <c r="AE22" s="43"/>
      <c r="AF22" s="43"/>
      <c r="AG22" s="43"/>
      <c r="AH22" s="43"/>
      <c r="AI22" s="43"/>
      <c r="AJ22" s="43"/>
      <c r="AK22" s="43"/>
      <c r="AL22" s="43"/>
      <c r="AM22" s="43"/>
      <c r="AN22" s="43">
        <v>9</v>
      </c>
      <c r="AO22" s="43"/>
      <c r="AP22" s="43"/>
      <c r="AQ22" s="43"/>
      <c r="AR22" s="43"/>
      <c r="AS22" s="43"/>
      <c r="AT22" s="43"/>
      <c r="AU22" s="43"/>
      <c r="AV22" s="43"/>
      <c r="AW22" s="43"/>
      <c r="AX22" s="43"/>
      <c r="AY22" s="43"/>
      <c r="AZ22" s="43"/>
      <c r="BA22" s="43"/>
      <c r="BB22" s="43"/>
      <c r="BC22" s="43"/>
      <c r="BD22" s="43"/>
      <c r="BE22" s="43"/>
      <c r="BF22" s="43"/>
      <c r="BG22" s="43"/>
      <c r="BH22" s="43"/>
      <c r="BI22" s="43"/>
      <c r="BJ22" s="43"/>
      <c r="BK22" s="43"/>
      <c r="BL22" s="43"/>
      <c r="BM22" s="43"/>
      <c r="BN22" s="43"/>
      <c r="BO22" s="43"/>
      <c r="BP22" s="43"/>
      <c r="BQ22" s="43"/>
      <c r="BR22" s="43"/>
      <c r="BS22" s="43"/>
      <c r="BT22" s="43"/>
      <c r="BU22" s="43"/>
      <c r="BV22" s="43"/>
      <c r="BW22" s="43"/>
      <c r="BX22" s="43"/>
      <c r="BY22" s="43"/>
      <c r="BZ22" s="43"/>
      <c r="CA22" s="43"/>
      <c r="CB22" s="43"/>
      <c r="CC22" s="43"/>
      <c r="CD22" s="43"/>
      <c r="CE22" s="43"/>
      <c r="CF22" s="43"/>
      <c r="CG22" s="43"/>
      <c r="CH22" s="43"/>
      <c r="CI22" s="43"/>
      <c r="CJ22" s="43"/>
      <c r="CK22" s="43"/>
      <c r="CL22" s="43"/>
      <c r="CM22" s="43"/>
      <c r="CN22" s="44" t="str">
        <f t="shared" si="3"/>
        <v>InitUnitState('E020',45000,,,,,,,,53,)</v>
      </c>
      <c r="CO22" s="44" t="str">
        <f t="shared" si="4"/>
        <v>InitUnitNormal('E020',,,,,,,,,9,)</v>
      </c>
      <c r="CP22" s="44" t="str">
        <f t="shared" si="5"/>
        <v>InitUnitMagic('E020',,,,,,,,,,)</v>
      </c>
      <c r="CQ22" s="44" t="str">
        <f t="shared" si="6"/>
        <v>InitUnitAdd('E020',,,,,,,,,,)</v>
      </c>
      <c r="CR22" s="44" t="str">
        <f t="shared" si="7"/>
        <v>InitEquipData('E020',,"",,E021,30000,,'','','','','','',"ReplaceableTextures\\CommandButtons\\BTNE021.blp")</v>
      </c>
      <c r="CS22" s="44"/>
      <c r="CT22" s="44"/>
      <c r="CU22" s="45" t="str">
        <f t="shared" si="225"/>
        <v>|n攻击+45000|n攻速+53%|n暴击+9%|n</v>
      </c>
      <c r="CV22" s="29" t="str">
        <f>"|cffffcc00属性：|r"&amp;CU22&amp;VLOOKUP(A22,合成公式!A:P,16,FALSE)&amp;T22</f>
        <v>|cffffcc00属性：|r|n攻击+45000|n攻速+53%|n暴击+9%|n</v>
      </c>
      <c r="DB22" s="30" t="str">
        <f t="shared" si="226"/>
        <v>|n攻击+45000</v>
      </c>
      <c r="DC22" s="30" t="str">
        <f t="shared" si="227"/>
        <v/>
      </c>
      <c r="DD22" s="30" t="str">
        <f t="shared" si="228"/>
        <v/>
      </c>
      <c r="DE22" s="30" t="str">
        <f t="shared" si="229"/>
        <v/>
      </c>
      <c r="DF22" s="30" t="str">
        <f t="shared" si="230"/>
        <v/>
      </c>
      <c r="DG22" s="30" t="str">
        <f t="shared" si="231"/>
        <v/>
      </c>
      <c r="DH22" s="30" t="str">
        <f t="shared" si="232"/>
        <v/>
      </c>
      <c r="DI22" s="30" t="str">
        <f t="shared" si="233"/>
        <v/>
      </c>
      <c r="DJ22" s="30" t="str">
        <f t="shared" si="234"/>
        <v>|n攻速+53%</v>
      </c>
      <c r="DK22" s="30" t="str">
        <f t="shared" si="235"/>
        <v/>
      </c>
      <c r="DL22" s="30" t="str">
        <f t="shared" si="236"/>
        <v/>
      </c>
      <c r="DM22" s="30" t="str">
        <f t="shared" si="237"/>
        <v/>
      </c>
      <c r="DN22" s="30" t="str">
        <f t="shared" si="238"/>
        <v/>
      </c>
      <c r="DO22" s="30" t="str">
        <f t="shared" si="239"/>
        <v/>
      </c>
      <c r="DP22" s="30" t="str">
        <f t="shared" si="240"/>
        <v/>
      </c>
      <c r="DQ22" s="30" t="str">
        <f t="shared" si="241"/>
        <v/>
      </c>
      <c r="DR22" s="30" t="str">
        <f t="shared" si="242"/>
        <v/>
      </c>
      <c r="DS22" s="30" t="str">
        <f t="shared" si="243"/>
        <v/>
      </c>
      <c r="DT22" s="30" t="str">
        <f t="shared" si="244"/>
        <v>|n暴击+9%</v>
      </c>
      <c r="DU22" s="30" t="str">
        <f t="shared" si="245"/>
        <v/>
      </c>
      <c r="DV22" s="30" t="str">
        <f t="shared" si="246"/>
        <v/>
      </c>
      <c r="DW22" s="30" t="str">
        <f t="shared" si="247"/>
        <v/>
      </c>
      <c r="DX22" s="30" t="str">
        <f t="shared" si="248"/>
        <v/>
      </c>
      <c r="DY22" s="30" t="str">
        <f t="shared" si="249"/>
        <v/>
      </c>
      <c r="DZ22" s="30" t="str">
        <f t="shared" si="250"/>
        <v/>
      </c>
      <c r="EA22" s="30" t="str">
        <f t="shared" si="251"/>
        <v/>
      </c>
      <c r="EB22" s="30" t="str">
        <f t="shared" si="252"/>
        <v/>
      </c>
      <c r="EC22" s="30" t="str">
        <f t="shared" si="253"/>
        <v/>
      </c>
      <c r="ED22" s="30" t="str">
        <f t="shared" si="254"/>
        <v/>
      </c>
      <c r="EE22" s="30" t="str">
        <f t="shared" si="255"/>
        <v/>
      </c>
      <c r="EF22" s="30" t="str">
        <f t="shared" si="256"/>
        <v/>
      </c>
      <c r="EG22" s="30" t="str">
        <f t="shared" si="257"/>
        <v/>
      </c>
      <c r="EH22" s="30" t="str">
        <f t="shared" si="258"/>
        <v/>
      </c>
      <c r="EI22" s="30" t="str">
        <f t="shared" si="259"/>
        <v/>
      </c>
      <c r="EJ22" s="30" t="str">
        <f t="shared" si="260"/>
        <v/>
      </c>
      <c r="EK22" s="30" t="str">
        <f t="shared" si="261"/>
        <v/>
      </c>
      <c r="EL22" s="30" t="str">
        <f t="shared" si="262"/>
        <v/>
      </c>
      <c r="EM22" s="30" t="str">
        <f t="shared" si="263"/>
        <v/>
      </c>
      <c r="EN22" s="30" t="str">
        <f t="shared" si="264"/>
        <v/>
      </c>
      <c r="EO22" s="30" t="str">
        <f t="shared" si="265"/>
        <v/>
      </c>
      <c r="EP22" s="30" t="str">
        <f t="shared" si="266"/>
        <v/>
      </c>
      <c r="EQ22" s="30" t="str">
        <f t="shared" si="267"/>
        <v/>
      </c>
      <c r="ER22" s="30" t="str">
        <f t="shared" si="268"/>
        <v/>
      </c>
      <c r="ES22" s="30" t="str">
        <f t="shared" si="269"/>
        <v/>
      </c>
      <c r="ET22" s="30" t="str">
        <f t="shared" si="270"/>
        <v/>
      </c>
      <c r="EU22" s="30" t="str">
        <f t="shared" si="271"/>
        <v/>
      </c>
      <c r="EV22" s="30" t="str">
        <f t="shared" si="272"/>
        <v/>
      </c>
      <c r="EW22" s="30" t="str">
        <f t="shared" si="273"/>
        <v/>
      </c>
      <c r="EX22" s="30" t="str">
        <f t="shared" si="274"/>
        <v/>
      </c>
      <c r="EY22" s="30" t="str">
        <f t="shared" si="275"/>
        <v/>
      </c>
      <c r="EZ22" s="30" t="str">
        <f t="shared" si="276"/>
        <v/>
      </c>
      <c r="FA22" s="30" t="str">
        <f t="shared" si="277"/>
        <v/>
      </c>
      <c r="FB22" s="30" t="str">
        <f t="shared" si="278"/>
        <v/>
      </c>
      <c r="FC22" s="30" t="str">
        <f t="shared" si="279"/>
        <v/>
      </c>
      <c r="FD22" s="30" t="str">
        <f t="shared" si="280"/>
        <v/>
      </c>
      <c r="FE22" s="30" t="str">
        <f t="shared" si="281"/>
        <v/>
      </c>
      <c r="FF22" s="30" t="str">
        <f t="shared" si="282"/>
        <v/>
      </c>
      <c r="FG22" s="30" t="str">
        <f t="shared" si="283"/>
        <v/>
      </c>
      <c r="FH22" s="30" t="str">
        <f t="shared" si="284"/>
        <v/>
      </c>
      <c r="FI22" s="30" t="str">
        <f t="shared" si="285"/>
        <v/>
      </c>
      <c r="FJ22" s="30" t="str">
        <f t="shared" si="286"/>
        <v/>
      </c>
      <c r="FK22" s="30" t="str">
        <f t="shared" si="287"/>
        <v/>
      </c>
      <c r="FL22" s="30" t="str">
        <f t="shared" si="288"/>
        <v/>
      </c>
      <c r="FM22" s="30" t="str">
        <f t="shared" si="289"/>
        <v/>
      </c>
      <c r="FN22" s="30" t="str">
        <f t="shared" si="290"/>
        <v/>
      </c>
      <c r="FO22" s="30" t="str">
        <f t="shared" si="291"/>
        <v/>
      </c>
      <c r="FP22" s="30" t="str">
        <f t="shared" si="292"/>
        <v/>
      </c>
      <c r="FQ22" s="30" t="str">
        <f t="shared" si="293"/>
        <v/>
      </c>
      <c r="FR22" s="30" t="str">
        <f t="shared" si="294"/>
        <v/>
      </c>
      <c r="FS22" s="30" t="str">
        <f t="shared" si="295"/>
        <v/>
      </c>
    </row>
    <row r="23" spans="1:175" s="24" customFormat="1" ht="16.5">
      <c r="A23" s="5"/>
      <c r="B23" s="36" t="s">
        <v>697</v>
      </c>
      <c r="C23" s="5" t="s">
        <v>698</v>
      </c>
      <c r="D23" s="31"/>
      <c r="E23" s="39"/>
      <c r="F23" s="40">
        <v>31200</v>
      </c>
      <c r="G23" s="38"/>
      <c r="H23" s="38"/>
      <c r="I23" s="38" t="str">
        <f t="shared" si="79"/>
        <v>E022</v>
      </c>
      <c r="J23" s="38"/>
      <c r="K23" s="38"/>
      <c r="L23" s="38"/>
      <c r="M23" s="38"/>
      <c r="N23" s="38"/>
      <c r="O23" s="38"/>
      <c r="P23" s="42"/>
      <c r="Q23" s="42"/>
      <c r="R23" s="42"/>
      <c r="S23" s="42"/>
      <c r="T23" s="101"/>
      <c r="U23" s="32" t="str">
        <f t="shared" si="224"/>
        <v>ReplaceableTextures\\CommandButtons\\BTNE021.blp</v>
      </c>
      <c r="V23" s="43">
        <v>56000</v>
      </c>
      <c r="W23" s="43"/>
      <c r="X23" s="43"/>
      <c r="Y23" s="43"/>
      <c r="Z23" s="43"/>
      <c r="AA23" s="43"/>
      <c r="AB23" s="43"/>
      <c r="AC23" s="43"/>
      <c r="AD23" s="43">
        <v>66</v>
      </c>
      <c r="AE23" s="43"/>
      <c r="AF23" s="43"/>
      <c r="AG23" s="43"/>
      <c r="AH23" s="43"/>
      <c r="AI23" s="43"/>
      <c r="AJ23" s="43"/>
      <c r="AK23" s="43"/>
      <c r="AL23" s="43"/>
      <c r="AM23" s="43"/>
      <c r="AN23" s="43">
        <v>12</v>
      </c>
      <c r="AO23" s="43"/>
      <c r="AP23" s="43"/>
      <c r="AQ23" s="43"/>
      <c r="AR23" s="43"/>
      <c r="AS23" s="43"/>
      <c r="AT23" s="43"/>
      <c r="AU23" s="43"/>
      <c r="AV23" s="43"/>
      <c r="AW23" s="43"/>
      <c r="AX23" s="43"/>
      <c r="AY23" s="43"/>
      <c r="AZ23" s="43"/>
      <c r="BA23" s="43"/>
      <c r="BB23" s="43"/>
      <c r="BC23" s="43"/>
      <c r="BD23" s="43"/>
      <c r="BE23" s="43"/>
      <c r="BF23" s="43"/>
      <c r="BG23" s="43"/>
      <c r="BH23" s="43"/>
      <c r="BI23" s="43"/>
      <c r="BJ23" s="43"/>
      <c r="BK23" s="43"/>
      <c r="BL23" s="43"/>
      <c r="BM23" s="43"/>
      <c r="BN23" s="43"/>
      <c r="BO23" s="43"/>
      <c r="BP23" s="43"/>
      <c r="BQ23" s="43"/>
      <c r="BR23" s="43"/>
      <c r="BS23" s="43"/>
      <c r="BT23" s="43"/>
      <c r="BU23" s="43"/>
      <c r="BV23" s="43"/>
      <c r="BW23" s="43"/>
      <c r="BX23" s="43"/>
      <c r="BY23" s="43"/>
      <c r="BZ23" s="43"/>
      <c r="CA23" s="43"/>
      <c r="CB23" s="43"/>
      <c r="CC23" s="43"/>
      <c r="CD23" s="43"/>
      <c r="CE23" s="43"/>
      <c r="CF23" s="43"/>
      <c r="CG23" s="43"/>
      <c r="CH23" s="43"/>
      <c r="CI23" s="43"/>
      <c r="CJ23" s="43"/>
      <c r="CK23" s="43"/>
      <c r="CL23" s="43"/>
      <c r="CM23" s="43"/>
      <c r="CN23" s="44" t="str">
        <f t="shared" si="3"/>
        <v>InitUnitState('E021',56000,,,,,,,,66,)</v>
      </c>
      <c r="CO23" s="44" t="str">
        <f t="shared" si="4"/>
        <v>InitUnitNormal('E021',,,,,,,,,12,)</v>
      </c>
      <c r="CP23" s="44" t="str">
        <f t="shared" si="5"/>
        <v>InitUnitMagic('E021',,,,,,,,,,)</v>
      </c>
      <c r="CQ23" s="44" t="str">
        <f t="shared" si="6"/>
        <v>InitUnitAdd('E021',,,,,,,,,,)</v>
      </c>
      <c r="CR23" s="44" t="str">
        <f t="shared" si="7"/>
        <v>InitEquipData('E021',,"",,E022,31200,,'','','','','','',"ReplaceableTextures\\CommandButtons\\BTNE022.blp")</v>
      </c>
      <c r="CS23" s="44"/>
      <c r="CT23" s="44"/>
      <c r="CU23" s="45" t="str">
        <f t="shared" si="225"/>
        <v>|n攻击+56000|n攻速+66%|n暴击+12%|n</v>
      </c>
      <c r="CV23" s="29" t="str">
        <f>"|cffffcc00属性：|r"&amp;CU23&amp;VLOOKUP(A23,合成公式!A:P,16,FALSE)&amp;T23</f>
        <v>|cffffcc00属性：|r|n攻击+56000|n攻速+66%|n暴击+12%|n</v>
      </c>
      <c r="DB23" s="30" t="str">
        <f t="shared" si="226"/>
        <v>|n攻击+56000</v>
      </c>
      <c r="DC23" s="30" t="str">
        <f t="shared" si="227"/>
        <v/>
      </c>
      <c r="DD23" s="30" t="str">
        <f t="shared" si="228"/>
        <v/>
      </c>
      <c r="DE23" s="30" t="str">
        <f t="shared" si="229"/>
        <v/>
      </c>
      <c r="DF23" s="30" t="str">
        <f t="shared" si="230"/>
        <v/>
      </c>
      <c r="DG23" s="30" t="str">
        <f t="shared" si="231"/>
        <v/>
      </c>
      <c r="DH23" s="30" t="str">
        <f t="shared" si="232"/>
        <v/>
      </c>
      <c r="DI23" s="30" t="str">
        <f t="shared" si="233"/>
        <v/>
      </c>
      <c r="DJ23" s="30" t="str">
        <f t="shared" si="234"/>
        <v>|n攻速+66%</v>
      </c>
      <c r="DK23" s="30" t="str">
        <f t="shared" si="235"/>
        <v/>
      </c>
      <c r="DL23" s="30" t="str">
        <f t="shared" si="236"/>
        <v/>
      </c>
      <c r="DM23" s="30" t="str">
        <f t="shared" si="237"/>
        <v/>
      </c>
      <c r="DN23" s="30" t="str">
        <f t="shared" si="238"/>
        <v/>
      </c>
      <c r="DO23" s="30" t="str">
        <f t="shared" si="239"/>
        <v/>
      </c>
      <c r="DP23" s="30" t="str">
        <f t="shared" si="240"/>
        <v/>
      </c>
      <c r="DQ23" s="30" t="str">
        <f t="shared" si="241"/>
        <v/>
      </c>
      <c r="DR23" s="30" t="str">
        <f t="shared" si="242"/>
        <v/>
      </c>
      <c r="DS23" s="30" t="str">
        <f t="shared" si="243"/>
        <v/>
      </c>
      <c r="DT23" s="30" t="str">
        <f t="shared" si="244"/>
        <v>|n暴击+12%</v>
      </c>
      <c r="DU23" s="30" t="str">
        <f t="shared" si="245"/>
        <v/>
      </c>
      <c r="DV23" s="30" t="str">
        <f t="shared" si="246"/>
        <v/>
      </c>
      <c r="DW23" s="30" t="str">
        <f t="shared" si="247"/>
        <v/>
      </c>
      <c r="DX23" s="30" t="str">
        <f t="shared" si="248"/>
        <v/>
      </c>
      <c r="DY23" s="30" t="str">
        <f t="shared" si="249"/>
        <v/>
      </c>
      <c r="DZ23" s="30" t="str">
        <f t="shared" si="250"/>
        <v/>
      </c>
      <c r="EA23" s="30" t="str">
        <f t="shared" si="251"/>
        <v/>
      </c>
      <c r="EB23" s="30" t="str">
        <f t="shared" si="252"/>
        <v/>
      </c>
      <c r="EC23" s="30" t="str">
        <f t="shared" si="253"/>
        <v/>
      </c>
      <c r="ED23" s="30" t="str">
        <f t="shared" si="254"/>
        <v/>
      </c>
      <c r="EE23" s="30" t="str">
        <f t="shared" si="255"/>
        <v/>
      </c>
      <c r="EF23" s="30" t="str">
        <f t="shared" si="256"/>
        <v/>
      </c>
      <c r="EG23" s="30" t="str">
        <f t="shared" si="257"/>
        <v/>
      </c>
      <c r="EH23" s="30" t="str">
        <f t="shared" si="258"/>
        <v/>
      </c>
      <c r="EI23" s="30" t="str">
        <f t="shared" si="259"/>
        <v/>
      </c>
      <c r="EJ23" s="30" t="str">
        <f t="shared" si="260"/>
        <v/>
      </c>
      <c r="EK23" s="30" t="str">
        <f t="shared" si="261"/>
        <v/>
      </c>
      <c r="EL23" s="30" t="str">
        <f t="shared" si="262"/>
        <v/>
      </c>
      <c r="EM23" s="30" t="str">
        <f t="shared" si="263"/>
        <v/>
      </c>
      <c r="EN23" s="30" t="str">
        <f t="shared" si="264"/>
        <v/>
      </c>
      <c r="EO23" s="30" t="str">
        <f t="shared" si="265"/>
        <v/>
      </c>
      <c r="EP23" s="30" t="str">
        <f t="shared" si="266"/>
        <v/>
      </c>
      <c r="EQ23" s="30" t="str">
        <f t="shared" si="267"/>
        <v/>
      </c>
      <c r="ER23" s="30" t="str">
        <f t="shared" si="268"/>
        <v/>
      </c>
      <c r="ES23" s="30" t="str">
        <f t="shared" si="269"/>
        <v/>
      </c>
      <c r="ET23" s="30" t="str">
        <f t="shared" si="270"/>
        <v/>
      </c>
      <c r="EU23" s="30" t="str">
        <f t="shared" si="271"/>
        <v/>
      </c>
      <c r="EV23" s="30" t="str">
        <f t="shared" si="272"/>
        <v/>
      </c>
      <c r="EW23" s="30" t="str">
        <f t="shared" si="273"/>
        <v/>
      </c>
      <c r="EX23" s="30" t="str">
        <f t="shared" si="274"/>
        <v/>
      </c>
      <c r="EY23" s="30" t="str">
        <f t="shared" si="275"/>
        <v/>
      </c>
      <c r="EZ23" s="30" t="str">
        <f t="shared" si="276"/>
        <v/>
      </c>
      <c r="FA23" s="30" t="str">
        <f t="shared" si="277"/>
        <v/>
      </c>
      <c r="FB23" s="30" t="str">
        <f t="shared" si="278"/>
        <v/>
      </c>
      <c r="FC23" s="30" t="str">
        <f t="shared" si="279"/>
        <v/>
      </c>
      <c r="FD23" s="30" t="str">
        <f t="shared" si="280"/>
        <v/>
      </c>
      <c r="FE23" s="30" t="str">
        <f t="shared" si="281"/>
        <v/>
      </c>
      <c r="FF23" s="30" t="str">
        <f t="shared" si="282"/>
        <v/>
      </c>
      <c r="FG23" s="30" t="str">
        <f t="shared" si="283"/>
        <v/>
      </c>
      <c r="FH23" s="30" t="str">
        <f t="shared" si="284"/>
        <v/>
      </c>
      <c r="FI23" s="30" t="str">
        <f t="shared" si="285"/>
        <v/>
      </c>
      <c r="FJ23" s="30" t="str">
        <f t="shared" si="286"/>
        <v/>
      </c>
      <c r="FK23" s="30" t="str">
        <f t="shared" si="287"/>
        <v/>
      </c>
      <c r="FL23" s="30" t="str">
        <f t="shared" si="288"/>
        <v/>
      </c>
      <c r="FM23" s="30" t="str">
        <f t="shared" si="289"/>
        <v/>
      </c>
      <c r="FN23" s="30" t="str">
        <f t="shared" si="290"/>
        <v/>
      </c>
      <c r="FO23" s="30" t="str">
        <f t="shared" si="291"/>
        <v/>
      </c>
      <c r="FP23" s="30" t="str">
        <f t="shared" si="292"/>
        <v/>
      </c>
      <c r="FQ23" s="30" t="str">
        <f t="shared" si="293"/>
        <v/>
      </c>
      <c r="FR23" s="30" t="str">
        <f t="shared" si="294"/>
        <v/>
      </c>
      <c r="FS23" s="30" t="str">
        <f t="shared" si="295"/>
        <v/>
      </c>
    </row>
    <row r="24" spans="1:175" s="24" customFormat="1" ht="16.5">
      <c r="A24" s="5"/>
      <c r="B24" s="36" t="s">
        <v>699</v>
      </c>
      <c r="C24" s="5" t="s">
        <v>700</v>
      </c>
      <c r="D24" s="31"/>
      <c r="E24" s="39"/>
      <c r="F24" s="40">
        <v>32400</v>
      </c>
      <c r="G24" s="38"/>
      <c r="H24" s="38"/>
      <c r="I24" s="38" t="str">
        <f t="shared" si="79"/>
        <v>E023</v>
      </c>
      <c r="J24" s="38"/>
      <c r="K24" s="38"/>
      <c r="L24" s="38"/>
      <c r="M24" s="38"/>
      <c r="N24" s="38"/>
      <c r="O24" s="38"/>
      <c r="P24" s="42"/>
      <c r="Q24" s="42"/>
      <c r="R24" s="42"/>
      <c r="S24" s="42"/>
      <c r="T24" s="101"/>
      <c r="U24" s="32" t="str">
        <f t="shared" si="224"/>
        <v>ReplaceableTextures\\CommandButtons\\BTNE022.blp</v>
      </c>
      <c r="V24" s="43">
        <v>67000</v>
      </c>
      <c r="W24" s="43"/>
      <c r="X24" s="43"/>
      <c r="Y24" s="43"/>
      <c r="Z24" s="43"/>
      <c r="AA24" s="43"/>
      <c r="AB24" s="43"/>
      <c r="AC24" s="43"/>
      <c r="AD24" s="43">
        <v>66</v>
      </c>
      <c r="AE24" s="43"/>
      <c r="AF24" s="43"/>
      <c r="AG24" s="43"/>
      <c r="AH24" s="43"/>
      <c r="AI24" s="43"/>
      <c r="AJ24" s="43"/>
      <c r="AK24" s="43"/>
      <c r="AL24" s="43"/>
      <c r="AM24" s="43"/>
      <c r="AN24" s="43">
        <v>12</v>
      </c>
      <c r="AO24" s="43"/>
      <c r="AP24" s="43"/>
      <c r="AQ24" s="43"/>
      <c r="AR24" s="43"/>
      <c r="AS24" s="43"/>
      <c r="AT24" s="43"/>
      <c r="AU24" s="43"/>
      <c r="AV24" s="43"/>
      <c r="AW24" s="43"/>
      <c r="AX24" s="43"/>
      <c r="AY24" s="43"/>
      <c r="AZ24" s="43"/>
      <c r="BA24" s="43"/>
      <c r="BB24" s="43"/>
      <c r="BC24" s="43"/>
      <c r="BD24" s="43"/>
      <c r="BE24" s="43"/>
      <c r="BF24" s="43"/>
      <c r="BG24" s="43"/>
      <c r="BH24" s="43"/>
      <c r="BI24" s="43"/>
      <c r="BJ24" s="43"/>
      <c r="BK24" s="43"/>
      <c r="BL24" s="43"/>
      <c r="BM24" s="43"/>
      <c r="BN24" s="43"/>
      <c r="BO24" s="43"/>
      <c r="BP24" s="43"/>
      <c r="BQ24" s="43"/>
      <c r="BR24" s="43"/>
      <c r="BS24" s="43"/>
      <c r="BT24" s="43"/>
      <c r="BU24" s="43"/>
      <c r="BV24" s="43"/>
      <c r="BW24" s="43"/>
      <c r="BX24" s="43"/>
      <c r="BY24" s="43"/>
      <c r="BZ24" s="43"/>
      <c r="CA24" s="43"/>
      <c r="CB24" s="43"/>
      <c r="CC24" s="43"/>
      <c r="CD24" s="43"/>
      <c r="CE24" s="43"/>
      <c r="CF24" s="43"/>
      <c r="CG24" s="43"/>
      <c r="CH24" s="43"/>
      <c r="CI24" s="43"/>
      <c r="CJ24" s="43"/>
      <c r="CK24" s="43"/>
      <c r="CL24" s="43"/>
      <c r="CM24" s="43"/>
      <c r="CN24" s="44" t="str">
        <f t="shared" si="3"/>
        <v>InitUnitState('E022',67000,,,,,,,,66,)</v>
      </c>
      <c r="CO24" s="44" t="str">
        <f t="shared" si="4"/>
        <v>InitUnitNormal('E022',,,,,,,,,12,)</v>
      </c>
      <c r="CP24" s="44" t="str">
        <f t="shared" si="5"/>
        <v>InitUnitMagic('E022',,,,,,,,,,)</v>
      </c>
      <c r="CQ24" s="44" t="str">
        <f t="shared" si="6"/>
        <v>InitUnitAdd('E022',,,,,,,,,,)</v>
      </c>
      <c r="CR24" s="44" t="str">
        <f t="shared" si="7"/>
        <v>InitEquipData('E022',,"",,E023,32400,,'','','','','','',"ReplaceableTextures\\CommandButtons\\BTNE023.blp")</v>
      </c>
      <c r="CS24" s="44"/>
      <c r="CT24" s="44"/>
      <c r="CU24" s="45" t="str">
        <f t="shared" si="225"/>
        <v>|n攻击+67000|n攻速+66%|n暴击+12%|n</v>
      </c>
      <c r="CV24" s="29" t="str">
        <f>"|cffffcc00属性：|r"&amp;CU24&amp;VLOOKUP(A24,合成公式!A:P,16,FALSE)&amp;T24</f>
        <v>|cffffcc00属性：|r|n攻击+67000|n攻速+66%|n暴击+12%|n</v>
      </c>
      <c r="DB24" s="30" t="str">
        <f t="shared" si="226"/>
        <v>|n攻击+67000</v>
      </c>
      <c r="DC24" s="30" t="str">
        <f t="shared" si="227"/>
        <v/>
      </c>
      <c r="DD24" s="30" t="str">
        <f t="shared" si="228"/>
        <v/>
      </c>
      <c r="DE24" s="30" t="str">
        <f t="shared" si="229"/>
        <v/>
      </c>
      <c r="DF24" s="30" t="str">
        <f t="shared" si="230"/>
        <v/>
      </c>
      <c r="DG24" s="30" t="str">
        <f t="shared" si="231"/>
        <v/>
      </c>
      <c r="DH24" s="30" t="str">
        <f t="shared" si="232"/>
        <v/>
      </c>
      <c r="DI24" s="30" t="str">
        <f t="shared" si="233"/>
        <v/>
      </c>
      <c r="DJ24" s="30" t="str">
        <f t="shared" si="234"/>
        <v>|n攻速+66%</v>
      </c>
      <c r="DK24" s="30" t="str">
        <f t="shared" si="235"/>
        <v/>
      </c>
      <c r="DL24" s="30" t="str">
        <f t="shared" si="236"/>
        <v/>
      </c>
      <c r="DM24" s="30" t="str">
        <f t="shared" si="237"/>
        <v/>
      </c>
      <c r="DN24" s="30" t="str">
        <f t="shared" si="238"/>
        <v/>
      </c>
      <c r="DO24" s="30" t="str">
        <f t="shared" si="239"/>
        <v/>
      </c>
      <c r="DP24" s="30" t="str">
        <f t="shared" si="240"/>
        <v/>
      </c>
      <c r="DQ24" s="30" t="str">
        <f t="shared" si="241"/>
        <v/>
      </c>
      <c r="DR24" s="30" t="str">
        <f t="shared" si="242"/>
        <v/>
      </c>
      <c r="DS24" s="30" t="str">
        <f t="shared" si="243"/>
        <v/>
      </c>
      <c r="DT24" s="30" t="str">
        <f t="shared" si="244"/>
        <v>|n暴击+12%</v>
      </c>
      <c r="DU24" s="30" t="str">
        <f t="shared" si="245"/>
        <v/>
      </c>
      <c r="DV24" s="30" t="str">
        <f t="shared" si="246"/>
        <v/>
      </c>
      <c r="DW24" s="30" t="str">
        <f t="shared" si="247"/>
        <v/>
      </c>
      <c r="DX24" s="30" t="str">
        <f t="shared" si="248"/>
        <v/>
      </c>
      <c r="DY24" s="30" t="str">
        <f t="shared" si="249"/>
        <v/>
      </c>
      <c r="DZ24" s="30" t="str">
        <f t="shared" si="250"/>
        <v/>
      </c>
      <c r="EA24" s="30" t="str">
        <f t="shared" si="251"/>
        <v/>
      </c>
      <c r="EB24" s="30" t="str">
        <f t="shared" si="252"/>
        <v/>
      </c>
      <c r="EC24" s="30" t="str">
        <f t="shared" si="253"/>
        <v/>
      </c>
      <c r="ED24" s="30" t="str">
        <f t="shared" si="254"/>
        <v/>
      </c>
      <c r="EE24" s="30" t="str">
        <f t="shared" si="255"/>
        <v/>
      </c>
      <c r="EF24" s="30" t="str">
        <f t="shared" si="256"/>
        <v/>
      </c>
      <c r="EG24" s="30" t="str">
        <f t="shared" si="257"/>
        <v/>
      </c>
      <c r="EH24" s="30" t="str">
        <f t="shared" si="258"/>
        <v/>
      </c>
      <c r="EI24" s="30" t="str">
        <f t="shared" si="259"/>
        <v/>
      </c>
      <c r="EJ24" s="30" t="str">
        <f t="shared" si="260"/>
        <v/>
      </c>
      <c r="EK24" s="30" t="str">
        <f t="shared" si="261"/>
        <v/>
      </c>
      <c r="EL24" s="30" t="str">
        <f t="shared" si="262"/>
        <v/>
      </c>
      <c r="EM24" s="30" t="str">
        <f t="shared" si="263"/>
        <v/>
      </c>
      <c r="EN24" s="30" t="str">
        <f t="shared" si="264"/>
        <v/>
      </c>
      <c r="EO24" s="30" t="str">
        <f t="shared" si="265"/>
        <v/>
      </c>
      <c r="EP24" s="30" t="str">
        <f t="shared" si="266"/>
        <v/>
      </c>
      <c r="EQ24" s="30" t="str">
        <f t="shared" si="267"/>
        <v/>
      </c>
      <c r="ER24" s="30" t="str">
        <f t="shared" si="268"/>
        <v/>
      </c>
      <c r="ES24" s="30" t="str">
        <f t="shared" si="269"/>
        <v/>
      </c>
      <c r="ET24" s="30" t="str">
        <f t="shared" si="270"/>
        <v/>
      </c>
      <c r="EU24" s="30" t="str">
        <f t="shared" si="271"/>
        <v/>
      </c>
      <c r="EV24" s="30" t="str">
        <f t="shared" si="272"/>
        <v/>
      </c>
      <c r="EW24" s="30" t="str">
        <f t="shared" si="273"/>
        <v/>
      </c>
      <c r="EX24" s="30" t="str">
        <f t="shared" si="274"/>
        <v/>
      </c>
      <c r="EY24" s="30" t="str">
        <f t="shared" si="275"/>
        <v/>
      </c>
      <c r="EZ24" s="30" t="str">
        <f t="shared" si="276"/>
        <v/>
      </c>
      <c r="FA24" s="30" t="str">
        <f t="shared" si="277"/>
        <v/>
      </c>
      <c r="FB24" s="30" t="str">
        <f t="shared" si="278"/>
        <v/>
      </c>
      <c r="FC24" s="30" t="str">
        <f t="shared" si="279"/>
        <v/>
      </c>
      <c r="FD24" s="30" t="str">
        <f t="shared" si="280"/>
        <v/>
      </c>
      <c r="FE24" s="30" t="str">
        <f t="shared" si="281"/>
        <v/>
      </c>
      <c r="FF24" s="30" t="str">
        <f t="shared" si="282"/>
        <v/>
      </c>
      <c r="FG24" s="30" t="str">
        <f t="shared" si="283"/>
        <v/>
      </c>
      <c r="FH24" s="30" t="str">
        <f t="shared" si="284"/>
        <v/>
      </c>
      <c r="FI24" s="30" t="str">
        <f t="shared" si="285"/>
        <v/>
      </c>
      <c r="FJ24" s="30" t="str">
        <f t="shared" si="286"/>
        <v/>
      </c>
      <c r="FK24" s="30" t="str">
        <f t="shared" si="287"/>
        <v/>
      </c>
      <c r="FL24" s="30" t="str">
        <f t="shared" si="288"/>
        <v/>
      </c>
      <c r="FM24" s="30" t="str">
        <f t="shared" si="289"/>
        <v/>
      </c>
      <c r="FN24" s="30" t="str">
        <f t="shared" si="290"/>
        <v/>
      </c>
      <c r="FO24" s="30" t="str">
        <f t="shared" si="291"/>
        <v/>
      </c>
      <c r="FP24" s="30" t="str">
        <f t="shared" si="292"/>
        <v/>
      </c>
      <c r="FQ24" s="30" t="str">
        <f t="shared" si="293"/>
        <v/>
      </c>
      <c r="FR24" s="30" t="str">
        <f t="shared" si="294"/>
        <v/>
      </c>
      <c r="FS24" s="30" t="str">
        <f t="shared" si="295"/>
        <v/>
      </c>
    </row>
    <row r="25" spans="1:175" s="24" customFormat="1" ht="16.5">
      <c r="A25" s="5"/>
      <c r="B25" s="36" t="s">
        <v>701</v>
      </c>
      <c r="C25" s="5" t="s">
        <v>702</v>
      </c>
      <c r="D25" s="31"/>
      <c r="E25" s="39"/>
      <c r="F25" s="40">
        <v>33600</v>
      </c>
      <c r="G25" s="38"/>
      <c r="H25" s="38"/>
      <c r="I25" s="38" t="str">
        <f t="shared" si="79"/>
        <v>E024</v>
      </c>
      <c r="J25" s="38"/>
      <c r="K25" s="38"/>
      <c r="L25" s="38"/>
      <c r="M25" s="38"/>
      <c r="N25" s="38"/>
      <c r="O25" s="38"/>
      <c r="P25" s="42"/>
      <c r="Q25" s="42"/>
      <c r="R25" s="42"/>
      <c r="S25" s="42"/>
      <c r="T25" s="101"/>
      <c r="U25" s="32" t="str">
        <f t="shared" si="224"/>
        <v>ReplaceableTextures\\CommandButtons\\BTNE023.blp</v>
      </c>
      <c r="V25" s="43">
        <v>78000</v>
      </c>
      <c r="W25" s="43"/>
      <c r="X25" s="43"/>
      <c r="Y25" s="43"/>
      <c r="Z25" s="43"/>
      <c r="AA25" s="43"/>
      <c r="AB25" s="43"/>
      <c r="AC25" s="43"/>
      <c r="AD25" s="43">
        <v>66</v>
      </c>
      <c r="AE25" s="43"/>
      <c r="AF25" s="43"/>
      <c r="AG25" s="43"/>
      <c r="AH25" s="43"/>
      <c r="AI25" s="43"/>
      <c r="AJ25" s="43"/>
      <c r="AK25" s="43"/>
      <c r="AL25" s="43"/>
      <c r="AM25" s="43"/>
      <c r="AN25" s="43">
        <v>12</v>
      </c>
      <c r="AO25" s="43"/>
      <c r="AP25" s="43"/>
      <c r="AQ25" s="43"/>
      <c r="AR25" s="43"/>
      <c r="AS25" s="43"/>
      <c r="AT25" s="43"/>
      <c r="AU25" s="43"/>
      <c r="AV25" s="43"/>
      <c r="AW25" s="43"/>
      <c r="AX25" s="43"/>
      <c r="AY25" s="43"/>
      <c r="AZ25" s="43"/>
      <c r="BA25" s="43"/>
      <c r="BB25" s="43"/>
      <c r="BC25" s="43"/>
      <c r="BD25" s="43"/>
      <c r="BE25" s="43"/>
      <c r="BF25" s="43"/>
      <c r="BG25" s="43"/>
      <c r="BH25" s="43"/>
      <c r="BI25" s="43"/>
      <c r="BJ25" s="43"/>
      <c r="BK25" s="43"/>
      <c r="BL25" s="43"/>
      <c r="BM25" s="43"/>
      <c r="BN25" s="43"/>
      <c r="BO25" s="43"/>
      <c r="BP25" s="43"/>
      <c r="BQ25" s="43"/>
      <c r="BR25" s="43"/>
      <c r="BS25" s="43"/>
      <c r="BT25" s="43"/>
      <c r="BU25" s="43"/>
      <c r="BV25" s="43"/>
      <c r="BW25" s="43"/>
      <c r="BX25" s="43"/>
      <c r="BY25" s="43"/>
      <c r="BZ25" s="43"/>
      <c r="CA25" s="43"/>
      <c r="CB25" s="43"/>
      <c r="CC25" s="43"/>
      <c r="CD25" s="43"/>
      <c r="CE25" s="43"/>
      <c r="CF25" s="43"/>
      <c r="CG25" s="43"/>
      <c r="CH25" s="43"/>
      <c r="CI25" s="43"/>
      <c r="CJ25" s="43"/>
      <c r="CK25" s="43"/>
      <c r="CL25" s="43"/>
      <c r="CM25" s="43"/>
      <c r="CN25" s="44" t="str">
        <f t="shared" si="3"/>
        <v>InitUnitState('E023',78000,,,,,,,,66,)</v>
      </c>
      <c r="CO25" s="44" t="str">
        <f t="shared" si="4"/>
        <v>InitUnitNormal('E023',,,,,,,,,12,)</v>
      </c>
      <c r="CP25" s="44" t="str">
        <f t="shared" si="5"/>
        <v>InitUnitMagic('E023',,,,,,,,,,)</v>
      </c>
      <c r="CQ25" s="44" t="str">
        <f t="shared" si="6"/>
        <v>InitUnitAdd('E023',,,,,,,,,,)</v>
      </c>
      <c r="CR25" s="44" t="str">
        <f t="shared" si="7"/>
        <v>InitEquipData('E023',,"",,E024,33600,,'','','','','','',"ReplaceableTextures\\CommandButtons\\BTNE024.blp")</v>
      </c>
      <c r="CS25" s="44"/>
      <c r="CT25" s="44"/>
      <c r="CU25" s="45" t="str">
        <f t="shared" si="225"/>
        <v>|n攻击+78000|n攻速+66%|n暴击+12%|n</v>
      </c>
      <c r="CV25" s="29" t="str">
        <f>"|cffffcc00属性：|r"&amp;CU25&amp;VLOOKUP(A25,合成公式!A:P,16,FALSE)&amp;T25</f>
        <v>|cffffcc00属性：|r|n攻击+78000|n攻速+66%|n暴击+12%|n</v>
      </c>
      <c r="DB25" s="30" t="str">
        <f t="shared" si="226"/>
        <v>|n攻击+78000</v>
      </c>
      <c r="DC25" s="30" t="str">
        <f t="shared" si="227"/>
        <v/>
      </c>
      <c r="DD25" s="30" t="str">
        <f t="shared" si="228"/>
        <v/>
      </c>
      <c r="DE25" s="30" t="str">
        <f t="shared" si="229"/>
        <v/>
      </c>
      <c r="DF25" s="30" t="str">
        <f t="shared" si="230"/>
        <v/>
      </c>
      <c r="DG25" s="30" t="str">
        <f t="shared" si="231"/>
        <v/>
      </c>
      <c r="DH25" s="30" t="str">
        <f t="shared" si="232"/>
        <v/>
      </c>
      <c r="DI25" s="30" t="str">
        <f t="shared" si="233"/>
        <v/>
      </c>
      <c r="DJ25" s="30" t="str">
        <f t="shared" si="234"/>
        <v>|n攻速+66%</v>
      </c>
      <c r="DK25" s="30" t="str">
        <f t="shared" si="235"/>
        <v/>
      </c>
      <c r="DL25" s="30" t="str">
        <f t="shared" si="236"/>
        <v/>
      </c>
      <c r="DM25" s="30" t="str">
        <f t="shared" si="237"/>
        <v/>
      </c>
      <c r="DN25" s="30" t="str">
        <f t="shared" si="238"/>
        <v/>
      </c>
      <c r="DO25" s="30" t="str">
        <f t="shared" si="239"/>
        <v/>
      </c>
      <c r="DP25" s="30" t="str">
        <f t="shared" si="240"/>
        <v/>
      </c>
      <c r="DQ25" s="30" t="str">
        <f t="shared" si="241"/>
        <v/>
      </c>
      <c r="DR25" s="30" t="str">
        <f t="shared" si="242"/>
        <v/>
      </c>
      <c r="DS25" s="30" t="str">
        <f t="shared" si="243"/>
        <v/>
      </c>
      <c r="DT25" s="30" t="str">
        <f t="shared" si="244"/>
        <v>|n暴击+12%</v>
      </c>
      <c r="DU25" s="30" t="str">
        <f t="shared" si="245"/>
        <v/>
      </c>
      <c r="DV25" s="30" t="str">
        <f t="shared" si="246"/>
        <v/>
      </c>
      <c r="DW25" s="30" t="str">
        <f t="shared" si="247"/>
        <v/>
      </c>
      <c r="DX25" s="30" t="str">
        <f t="shared" si="248"/>
        <v/>
      </c>
      <c r="DY25" s="30" t="str">
        <f t="shared" si="249"/>
        <v/>
      </c>
      <c r="DZ25" s="30" t="str">
        <f t="shared" si="250"/>
        <v/>
      </c>
      <c r="EA25" s="30" t="str">
        <f t="shared" si="251"/>
        <v/>
      </c>
      <c r="EB25" s="30" t="str">
        <f t="shared" si="252"/>
        <v/>
      </c>
      <c r="EC25" s="30" t="str">
        <f t="shared" si="253"/>
        <v/>
      </c>
      <c r="ED25" s="30" t="str">
        <f t="shared" si="254"/>
        <v/>
      </c>
      <c r="EE25" s="30" t="str">
        <f t="shared" si="255"/>
        <v/>
      </c>
      <c r="EF25" s="30" t="str">
        <f t="shared" si="256"/>
        <v/>
      </c>
      <c r="EG25" s="30" t="str">
        <f t="shared" si="257"/>
        <v/>
      </c>
      <c r="EH25" s="30" t="str">
        <f t="shared" si="258"/>
        <v/>
      </c>
      <c r="EI25" s="30" t="str">
        <f t="shared" si="259"/>
        <v/>
      </c>
      <c r="EJ25" s="30" t="str">
        <f t="shared" si="260"/>
        <v/>
      </c>
      <c r="EK25" s="30" t="str">
        <f t="shared" si="261"/>
        <v/>
      </c>
      <c r="EL25" s="30" t="str">
        <f t="shared" si="262"/>
        <v/>
      </c>
      <c r="EM25" s="30" t="str">
        <f t="shared" si="263"/>
        <v/>
      </c>
      <c r="EN25" s="30" t="str">
        <f t="shared" si="264"/>
        <v/>
      </c>
      <c r="EO25" s="30" t="str">
        <f t="shared" si="265"/>
        <v/>
      </c>
      <c r="EP25" s="30" t="str">
        <f t="shared" si="266"/>
        <v/>
      </c>
      <c r="EQ25" s="30" t="str">
        <f t="shared" si="267"/>
        <v/>
      </c>
      <c r="ER25" s="30" t="str">
        <f t="shared" si="268"/>
        <v/>
      </c>
      <c r="ES25" s="30" t="str">
        <f t="shared" si="269"/>
        <v/>
      </c>
      <c r="ET25" s="30" t="str">
        <f t="shared" si="270"/>
        <v/>
      </c>
      <c r="EU25" s="30" t="str">
        <f t="shared" si="271"/>
        <v/>
      </c>
      <c r="EV25" s="30" t="str">
        <f t="shared" si="272"/>
        <v/>
      </c>
      <c r="EW25" s="30" t="str">
        <f t="shared" si="273"/>
        <v/>
      </c>
      <c r="EX25" s="30" t="str">
        <f t="shared" si="274"/>
        <v/>
      </c>
      <c r="EY25" s="30" t="str">
        <f t="shared" si="275"/>
        <v/>
      </c>
      <c r="EZ25" s="30" t="str">
        <f t="shared" si="276"/>
        <v/>
      </c>
      <c r="FA25" s="30" t="str">
        <f t="shared" si="277"/>
        <v/>
      </c>
      <c r="FB25" s="30" t="str">
        <f t="shared" si="278"/>
        <v/>
      </c>
      <c r="FC25" s="30" t="str">
        <f t="shared" si="279"/>
        <v/>
      </c>
      <c r="FD25" s="30" t="str">
        <f t="shared" si="280"/>
        <v/>
      </c>
      <c r="FE25" s="30" t="str">
        <f t="shared" si="281"/>
        <v/>
      </c>
      <c r="FF25" s="30" t="str">
        <f t="shared" si="282"/>
        <v/>
      </c>
      <c r="FG25" s="30" t="str">
        <f t="shared" si="283"/>
        <v/>
      </c>
      <c r="FH25" s="30" t="str">
        <f t="shared" si="284"/>
        <v/>
      </c>
      <c r="FI25" s="30" t="str">
        <f t="shared" si="285"/>
        <v/>
      </c>
      <c r="FJ25" s="30" t="str">
        <f t="shared" si="286"/>
        <v/>
      </c>
      <c r="FK25" s="30" t="str">
        <f t="shared" si="287"/>
        <v/>
      </c>
      <c r="FL25" s="30" t="str">
        <f t="shared" si="288"/>
        <v/>
      </c>
      <c r="FM25" s="30" t="str">
        <f t="shared" si="289"/>
        <v/>
      </c>
      <c r="FN25" s="30" t="str">
        <f t="shared" si="290"/>
        <v/>
      </c>
      <c r="FO25" s="30" t="str">
        <f t="shared" si="291"/>
        <v/>
      </c>
      <c r="FP25" s="30" t="str">
        <f t="shared" si="292"/>
        <v/>
      </c>
      <c r="FQ25" s="30" t="str">
        <f t="shared" si="293"/>
        <v/>
      </c>
      <c r="FR25" s="30" t="str">
        <f t="shared" si="294"/>
        <v/>
      </c>
      <c r="FS25" s="30" t="str">
        <f t="shared" si="295"/>
        <v/>
      </c>
    </row>
    <row r="26" spans="1:175" s="24" customFormat="1" ht="16.5">
      <c r="A26" s="5"/>
      <c r="B26" s="36" t="s">
        <v>703</v>
      </c>
      <c r="C26" s="5" t="s">
        <v>704</v>
      </c>
      <c r="D26" s="31"/>
      <c r="E26" s="39"/>
      <c r="F26" s="40">
        <v>34800</v>
      </c>
      <c r="G26" s="38"/>
      <c r="H26" s="38"/>
      <c r="I26" s="38" t="str">
        <f t="shared" si="79"/>
        <v>E025</v>
      </c>
      <c r="J26" s="38"/>
      <c r="K26" s="38"/>
      <c r="L26" s="38"/>
      <c r="M26" s="38"/>
      <c r="N26" s="38"/>
      <c r="O26" s="38"/>
      <c r="P26" s="42"/>
      <c r="Q26" s="42"/>
      <c r="R26" s="42"/>
      <c r="S26" s="42"/>
      <c r="T26" s="101"/>
      <c r="U26" s="32" t="str">
        <f t="shared" si="224"/>
        <v>ReplaceableTextures\\CommandButtons\\BTNE024.blp</v>
      </c>
      <c r="V26" s="43">
        <v>89000</v>
      </c>
      <c r="W26" s="43"/>
      <c r="X26" s="43"/>
      <c r="Y26" s="43"/>
      <c r="Z26" s="43"/>
      <c r="AA26" s="43"/>
      <c r="AB26" s="43"/>
      <c r="AC26" s="43"/>
      <c r="AD26" s="43">
        <v>66</v>
      </c>
      <c r="AE26" s="43"/>
      <c r="AF26" s="43"/>
      <c r="AG26" s="43"/>
      <c r="AH26" s="43"/>
      <c r="AI26" s="43"/>
      <c r="AJ26" s="43"/>
      <c r="AK26" s="43"/>
      <c r="AL26" s="43"/>
      <c r="AM26" s="43"/>
      <c r="AN26" s="43">
        <v>12</v>
      </c>
      <c r="AO26" s="43"/>
      <c r="AP26" s="43"/>
      <c r="AQ26" s="43"/>
      <c r="AR26" s="43"/>
      <c r="AS26" s="43"/>
      <c r="AT26" s="43"/>
      <c r="AU26" s="43"/>
      <c r="AV26" s="43"/>
      <c r="AW26" s="43"/>
      <c r="AX26" s="43"/>
      <c r="AY26" s="43"/>
      <c r="AZ26" s="43"/>
      <c r="BA26" s="43"/>
      <c r="BB26" s="43"/>
      <c r="BC26" s="43"/>
      <c r="BD26" s="43"/>
      <c r="BE26" s="43"/>
      <c r="BF26" s="43"/>
      <c r="BG26" s="43"/>
      <c r="BH26" s="43"/>
      <c r="BI26" s="43"/>
      <c r="BJ26" s="43"/>
      <c r="BK26" s="43"/>
      <c r="BL26" s="43"/>
      <c r="BM26" s="43"/>
      <c r="BN26" s="43"/>
      <c r="BO26" s="43"/>
      <c r="BP26" s="43"/>
      <c r="BQ26" s="43"/>
      <c r="BR26" s="43"/>
      <c r="BS26" s="43"/>
      <c r="BT26" s="43"/>
      <c r="BU26" s="43"/>
      <c r="BV26" s="43"/>
      <c r="BW26" s="43"/>
      <c r="BX26" s="43"/>
      <c r="BY26" s="43"/>
      <c r="BZ26" s="43"/>
      <c r="CA26" s="43"/>
      <c r="CB26" s="43"/>
      <c r="CC26" s="43"/>
      <c r="CD26" s="43"/>
      <c r="CE26" s="43"/>
      <c r="CF26" s="43"/>
      <c r="CG26" s="43"/>
      <c r="CH26" s="43"/>
      <c r="CI26" s="43"/>
      <c r="CJ26" s="43"/>
      <c r="CK26" s="43"/>
      <c r="CL26" s="43"/>
      <c r="CM26" s="43"/>
      <c r="CN26" s="44" t="str">
        <f t="shared" si="3"/>
        <v>InitUnitState('E024',89000,,,,,,,,66,)</v>
      </c>
      <c r="CO26" s="44" t="str">
        <f t="shared" si="4"/>
        <v>InitUnitNormal('E024',,,,,,,,,12,)</v>
      </c>
      <c r="CP26" s="44" t="str">
        <f t="shared" si="5"/>
        <v>InitUnitMagic('E024',,,,,,,,,,)</v>
      </c>
      <c r="CQ26" s="44" t="str">
        <f t="shared" si="6"/>
        <v>InitUnitAdd('E024',,,,,,,,,,)</v>
      </c>
      <c r="CR26" s="44" t="str">
        <f t="shared" si="7"/>
        <v>InitEquipData('E024',,"",,E025,34800,,'','','','','','',"ReplaceableTextures\\CommandButtons\\BTNE025.blp")</v>
      </c>
      <c r="CS26" s="44"/>
      <c r="CT26" s="44"/>
      <c r="CU26" s="45" t="str">
        <f t="shared" si="225"/>
        <v>|n攻击+89000|n攻速+66%|n暴击+12%|n</v>
      </c>
      <c r="CV26" s="29" t="str">
        <f>"|cffffcc00属性：|r"&amp;CU26&amp;VLOOKUP(A26,合成公式!A:P,16,FALSE)&amp;T26</f>
        <v>|cffffcc00属性：|r|n攻击+89000|n攻速+66%|n暴击+12%|n</v>
      </c>
      <c r="DB26" s="30" t="str">
        <f t="shared" si="226"/>
        <v>|n攻击+89000</v>
      </c>
      <c r="DC26" s="30" t="str">
        <f t="shared" si="227"/>
        <v/>
      </c>
      <c r="DD26" s="30" t="str">
        <f t="shared" si="228"/>
        <v/>
      </c>
      <c r="DE26" s="30" t="str">
        <f t="shared" si="229"/>
        <v/>
      </c>
      <c r="DF26" s="30" t="str">
        <f t="shared" si="230"/>
        <v/>
      </c>
      <c r="DG26" s="30" t="str">
        <f t="shared" si="231"/>
        <v/>
      </c>
      <c r="DH26" s="30" t="str">
        <f t="shared" si="232"/>
        <v/>
      </c>
      <c r="DI26" s="30" t="str">
        <f t="shared" si="233"/>
        <v/>
      </c>
      <c r="DJ26" s="30" t="str">
        <f t="shared" si="234"/>
        <v>|n攻速+66%</v>
      </c>
      <c r="DK26" s="30" t="str">
        <f t="shared" si="235"/>
        <v/>
      </c>
      <c r="DL26" s="30" t="str">
        <f t="shared" si="236"/>
        <v/>
      </c>
      <c r="DM26" s="30" t="str">
        <f t="shared" si="237"/>
        <v/>
      </c>
      <c r="DN26" s="30" t="str">
        <f t="shared" si="238"/>
        <v/>
      </c>
      <c r="DO26" s="30" t="str">
        <f t="shared" si="239"/>
        <v/>
      </c>
      <c r="DP26" s="30" t="str">
        <f t="shared" si="240"/>
        <v/>
      </c>
      <c r="DQ26" s="30" t="str">
        <f t="shared" si="241"/>
        <v/>
      </c>
      <c r="DR26" s="30" t="str">
        <f t="shared" si="242"/>
        <v/>
      </c>
      <c r="DS26" s="30" t="str">
        <f t="shared" si="243"/>
        <v/>
      </c>
      <c r="DT26" s="30" t="str">
        <f t="shared" si="244"/>
        <v>|n暴击+12%</v>
      </c>
      <c r="DU26" s="30" t="str">
        <f t="shared" si="245"/>
        <v/>
      </c>
      <c r="DV26" s="30" t="str">
        <f t="shared" si="246"/>
        <v/>
      </c>
      <c r="DW26" s="30" t="str">
        <f t="shared" si="247"/>
        <v/>
      </c>
      <c r="DX26" s="30" t="str">
        <f t="shared" si="248"/>
        <v/>
      </c>
      <c r="DY26" s="30" t="str">
        <f t="shared" si="249"/>
        <v/>
      </c>
      <c r="DZ26" s="30" t="str">
        <f t="shared" si="250"/>
        <v/>
      </c>
      <c r="EA26" s="30" t="str">
        <f t="shared" si="251"/>
        <v/>
      </c>
      <c r="EB26" s="30" t="str">
        <f t="shared" si="252"/>
        <v/>
      </c>
      <c r="EC26" s="30" t="str">
        <f t="shared" si="253"/>
        <v/>
      </c>
      <c r="ED26" s="30" t="str">
        <f t="shared" si="254"/>
        <v/>
      </c>
      <c r="EE26" s="30" t="str">
        <f t="shared" si="255"/>
        <v/>
      </c>
      <c r="EF26" s="30" t="str">
        <f t="shared" si="256"/>
        <v/>
      </c>
      <c r="EG26" s="30" t="str">
        <f t="shared" si="257"/>
        <v/>
      </c>
      <c r="EH26" s="30" t="str">
        <f t="shared" si="258"/>
        <v/>
      </c>
      <c r="EI26" s="30" t="str">
        <f t="shared" si="259"/>
        <v/>
      </c>
      <c r="EJ26" s="30" t="str">
        <f t="shared" si="260"/>
        <v/>
      </c>
      <c r="EK26" s="30" t="str">
        <f t="shared" si="261"/>
        <v/>
      </c>
      <c r="EL26" s="30" t="str">
        <f t="shared" si="262"/>
        <v/>
      </c>
      <c r="EM26" s="30" t="str">
        <f t="shared" si="263"/>
        <v/>
      </c>
      <c r="EN26" s="30" t="str">
        <f t="shared" si="264"/>
        <v/>
      </c>
      <c r="EO26" s="30" t="str">
        <f t="shared" si="265"/>
        <v/>
      </c>
      <c r="EP26" s="30" t="str">
        <f t="shared" si="266"/>
        <v/>
      </c>
      <c r="EQ26" s="30" t="str">
        <f t="shared" si="267"/>
        <v/>
      </c>
      <c r="ER26" s="30" t="str">
        <f t="shared" si="268"/>
        <v/>
      </c>
      <c r="ES26" s="30" t="str">
        <f t="shared" si="269"/>
        <v/>
      </c>
      <c r="ET26" s="30" t="str">
        <f t="shared" si="270"/>
        <v/>
      </c>
      <c r="EU26" s="30" t="str">
        <f t="shared" si="271"/>
        <v/>
      </c>
      <c r="EV26" s="30" t="str">
        <f t="shared" si="272"/>
        <v/>
      </c>
      <c r="EW26" s="30" t="str">
        <f t="shared" si="273"/>
        <v/>
      </c>
      <c r="EX26" s="30" t="str">
        <f t="shared" si="274"/>
        <v/>
      </c>
      <c r="EY26" s="30" t="str">
        <f t="shared" si="275"/>
        <v/>
      </c>
      <c r="EZ26" s="30" t="str">
        <f t="shared" si="276"/>
        <v/>
      </c>
      <c r="FA26" s="30" t="str">
        <f t="shared" si="277"/>
        <v/>
      </c>
      <c r="FB26" s="30" t="str">
        <f t="shared" si="278"/>
        <v/>
      </c>
      <c r="FC26" s="30" t="str">
        <f t="shared" si="279"/>
        <v/>
      </c>
      <c r="FD26" s="30" t="str">
        <f t="shared" si="280"/>
        <v/>
      </c>
      <c r="FE26" s="30" t="str">
        <f t="shared" si="281"/>
        <v/>
      </c>
      <c r="FF26" s="30" t="str">
        <f t="shared" si="282"/>
        <v/>
      </c>
      <c r="FG26" s="30" t="str">
        <f t="shared" si="283"/>
        <v/>
      </c>
      <c r="FH26" s="30" t="str">
        <f t="shared" si="284"/>
        <v/>
      </c>
      <c r="FI26" s="30" t="str">
        <f t="shared" si="285"/>
        <v/>
      </c>
      <c r="FJ26" s="30" t="str">
        <f t="shared" si="286"/>
        <v/>
      </c>
      <c r="FK26" s="30" t="str">
        <f t="shared" si="287"/>
        <v/>
      </c>
      <c r="FL26" s="30" t="str">
        <f t="shared" si="288"/>
        <v/>
      </c>
      <c r="FM26" s="30" t="str">
        <f t="shared" si="289"/>
        <v/>
      </c>
      <c r="FN26" s="30" t="str">
        <f t="shared" si="290"/>
        <v/>
      </c>
      <c r="FO26" s="30" t="str">
        <f t="shared" si="291"/>
        <v/>
      </c>
      <c r="FP26" s="30" t="str">
        <f t="shared" si="292"/>
        <v/>
      </c>
      <c r="FQ26" s="30" t="str">
        <f t="shared" si="293"/>
        <v/>
      </c>
      <c r="FR26" s="30" t="str">
        <f t="shared" si="294"/>
        <v/>
      </c>
      <c r="FS26" s="30" t="str">
        <f t="shared" si="295"/>
        <v/>
      </c>
    </row>
    <row r="27" spans="1:175" s="24" customFormat="1" ht="16.5">
      <c r="A27" s="5"/>
      <c r="B27" s="36" t="s">
        <v>705</v>
      </c>
      <c r="C27" s="5" t="s">
        <v>706</v>
      </c>
      <c r="D27" s="31"/>
      <c r="E27" s="39"/>
      <c r="F27" s="40"/>
      <c r="G27" s="38"/>
      <c r="H27" s="38"/>
      <c r="I27" s="38"/>
      <c r="J27" s="38"/>
      <c r="K27" s="38"/>
      <c r="L27" s="38"/>
      <c r="M27" s="38"/>
      <c r="N27" s="38"/>
      <c r="O27" s="38"/>
      <c r="P27" s="42"/>
      <c r="Q27" s="42"/>
      <c r="R27" s="42"/>
      <c r="S27" s="42"/>
      <c r="T27" s="101"/>
      <c r="U27" s="32" t="str">
        <f t="shared" si="224"/>
        <v>ReplaceableTextures\\CommandButtons\\BTNE025.blp</v>
      </c>
      <c r="V27" s="43">
        <v>100000</v>
      </c>
      <c r="W27" s="43"/>
      <c r="X27" s="43"/>
      <c r="Y27" s="43"/>
      <c r="Z27" s="43"/>
      <c r="AA27" s="43"/>
      <c r="AB27" s="43"/>
      <c r="AC27" s="43"/>
      <c r="AD27" s="43">
        <v>66</v>
      </c>
      <c r="AE27" s="43"/>
      <c r="AF27" s="43"/>
      <c r="AG27" s="43"/>
      <c r="AH27" s="43"/>
      <c r="AI27" s="43"/>
      <c r="AJ27" s="43"/>
      <c r="AK27" s="43"/>
      <c r="AL27" s="43"/>
      <c r="AM27" s="43"/>
      <c r="AN27" s="43">
        <v>12</v>
      </c>
      <c r="AO27" s="43"/>
      <c r="AP27" s="43"/>
      <c r="AQ27" s="43"/>
      <c r="AR27" s="43"/>
      <c r="AS27" s="43"/>
      <c r="AT27" s="43"/>
      <c r="AU27" s="43"/>
      <c r="AV27" s="43"/>
      <c r="AW27" s="43"/>
      <c r="AX27" s="43"/>
      <c r="AY27" s="43"/>
      <c r="AZ27" s="43"/>
      <c r="BA27" s="43"/>
      <c r="BB27" s="43"/>
      <c r="BC27" s="43"/>
      <c r="BD27" s="43"/>
      <c r="BE27" s="43"/>
      <c r="BF27" s="43"/>
      <c r="BG27" s="43"/>
      <c r="BH27" s="43"/>
      <c r="BI27" s="43"/>
      <c r="BJ27" s="43"/>
      <c r="BK27" s="43"/>
      <c r="BL27" s="43"/>
      <c r="BM27" s="43"/>
      <c r="BN27" s="43"/>
      <c r="BO27" s="43"/>
      <c r="BP27" s="43"/>
      <c r="BQ27" s="43"/>
      <c r="BR27" s="43"/>
      <c r="BS27" s="43"/>
      <c r="BT27" s="43"/>
      <c r="BU27" s="43"/>
      <c r="BV27" s="43"/>
      <c r="BW27" s="43"/>
      <c r="BX27" s="43"/>
      <c r="BY27" s="43"/>
      <c r="BZ27" s="43"/>
      <c r="CA27" s="43"/>
      <c r="CB27" s="43"/>
      <c r="CC27" s="43"/>
      <c r="CD27" s="43"/>
      <c r="CE27" s="43"/>
      <c r="CF27" s="43"/>
      <c r="CG27" s="43"/>
      <c r="CH27" s="43"/>
      <c r="CI27" s="43"/>
      <c r="CJ27" s="43"/>
      <c r="CK27" s="43"/>
      <c r="CL27" s="43"/>
      <c r="CM27" s="43"/>
      <c r="CN27" s="44" t="str">
        <f t="shared" si="3"/>
        <v>InitUnitState('E025',100000,,,,,,,,66,)</v>
      </c>
      <c r="CO27" s="44" t="str">
        <f t="shared" si="4"/>
        <v>InitUnitNormal('E025',,,,,,,,,12,)</v>
      </c>
      <c r="CP27" s="44" t="str">
        <f t="shared" si="5"/>
        <v>InitUnitMagic('E025',,,,,,,,,,)</v>
      </c>
      <c r="CQ27" s="44" t="str">
        <f t="shared" si="6"/>
        <v>InitUnitAdd('E025',,,,,,,,,,)</v>
      </c>
      <c r="CR27" s="44" t="str">
        <f t="shared" si="7"/>
        <v>InitEquipData('E025',,"",,,,,'','','','','','',"ReplaceableTextures\\CommandButtons\\BTNE101.blp")</v>
      </c>
      <c r="CS27" s="44"/>
      <c r="CT27" s="44"/>
      <c r="CU27" s="45" t="str">
        <f t="shared" si="225"/>
        <v>|n攻击+100000|n攻速+66%|n暴击+12%|n</v>
      </c>
      <c r="CV27" s="29" t="str">
        <f>"|cffffcc00属性：|r"&amp;CU27&amp;VLOOKUP(A27,合成公式!A:P,16,FALSE)&amp;T27</f>
        <v>|cffffcc00属性：|r|n攻击+100000|n攻速+66%|n暴击+12%|n</v>
      </c>
      <c r="DB27" s="30" t="str">
        <f t="shared" si="226"/>
        <v>|n攻击+100000</v>
      </c>
      <c r="DC27" s="30" t="str">
        <f t="shared" si="227"/>
        <v/>
      </c>
      <c r="DD27" s="30" t="str">
        <f t="shared" si="228"/>
        <v/>
      </c>
      <c r="DE27" s="30" t="str">
        <f t="shared" si="229"/>
        <v/>
      </c>
      <c r="DF27" s="30" t="str">
        <f t="shared" si="230"/>
        <v/>
      </c>
      <c r="DG27" s="30" t="str">
        <f t="shared" si="231"/>
        <v/>
      </c>
      <c r="DH27" s="30" t="str">
        <f t="shared" si="232"/>
        <v/>
      </c>
      <c r="DI27" s="30" t="str">
        <f t="shared" si="233"/>
        <v/>
      </c>
      <c r="DJ27" s="30" t="str">
        <f t="shared" si="234"/>
        <v>|n攻速+66%</v>
      </c>
      <c r="DK27" s="30" t="str">
        <f t="shared" si="235"/>
        <v/>
      </c>
      <c r="DL27" s="30" t="str">
        <f t="shared" si="236"/>
        <v/>
      </c>
      <c r="DM27" s="30" t="str">
        <f t="shared" si="237"/>
        <v/>
      </c>
      <c r="DN27" s="30" t="str">
        <f t="shared" si="238"/>
        <v/>
      </c>
      <c r="DO27" s="30" t="str">
        <f t="shared" si="239"/>
        <v/>
      </c>
      <c r="DP27" s="30" t="str">
        <f t="shared" si="240"/>
        <v/>
      </c>
      <c r="DQ27" s="30" t="str">
        <f t="shared" si="241"/>
        <v/>
      </c>
      <c r="DR27" s="30" t="str">
        <f t="shared" si="242"/>
        <v/>
      </c>
      <c r="DS27" s="30" t="str">
        <f t="shared" si="243"/>
        <v/>
      </c>
      <c r="DT27" s="30" t="str">
        <f t="shared" si="244"/>
        <v>|n暴击+12%</v>
      </c>
      <c r="DU27" s="30" t="str">
        <f t="shared" si="245"/>
        <v/>
      </c>
      <c r="DV27" s="30" t="str">
        <f t="shared" si="246"/>
        <v/>
      </c>
      <c r="DW27" s="30" t="str">
        <f t="shared" si="247"/>
        <v/>
      </c>
      <c r="DX27" s="30" t="str">
        <f t="shared" si="248"/>
        <v/>
      </c>
      <c r="DY27" s="30" t="str">
        <f t="shared" si="249"/>
        <v/>
      </c>
      <c r="DZ27" s="30" t="str">
        <f t="shared" si="250"/>
        <v/>
      </c>
      <c r="EA27" s="30" t="str">
        <f t="shared" si="251"/>
        <v/>
      </c>
      <c r="EB27" s="30" t="str">
        <f t="shared" si="252"/>
        <v/>
      </c>
      <c r="EC27" s="30" t="str">
        <f t="shared" si="253"/>
        <v/>
      </c>
      <c r="ED27" s="30" t="str">
        <f t="shared" si="254"/>
        <v/>
      </c>
      <c r="EE27" s="30" t="str">
        <f t="shared" si="255"/>
        <v/>
      </c>
      <c r="EF27" s="30" t="str">
        <f t="shared" si="256"/>
        <v/>
      </c>
      <c r="EG27" s="30" t="str">
        <f t="shared" si="257"/>
        <v/>
      </c>
      <c r="EH27" s="30" t="str">
        <f t="shared" si="258"/>
        <v/>
      </c>
      <c r="EI27" s="30" t="str">
        <f t="shared" si="259"/>
        <v/>
      </c>
      <c r="EJ27" s="30" t="str">
        <f t="shared" si="260"/>
        <v/>
      </c>
      <c r="EK27" s="30" t="str">
        <f t="shared" si="261"/>
        <v/>
      </c>
      <c r="EL27" s="30" t="str">
        <f t="shared" si="262"/>
        <v/>
      </c>
      <c r="EM27" s="30" t="str">
        <f t="shared" si="263"/>
        <v/>
      </c>
      <c r="EN27" s="30" t="str">
        <f t="shared" si="264"/>
        <v/>
      </c>
      <c r="EO27" s="30" t="str">
        <f t="shared" si="265"/>
        <v/>
      </c>
      <c r="EP27" s="30" t="str">
        <f t="shared" si="266"/>
        <v/>
      </c>
      <c r="EQ27" s="30" t="str">
        <f t="shared" si="267"/>
        <v/>
      </c>
      <c r="ER27" s="30" t="str">
        <f t="shared" si="268"/>
        <v/>
      </c>
      <c r="ES27" s="30" t="str">
        <f t="shared" si="269"/>
        <v/>
      </c>
      <c r="ET27" s="30" t="str">
        <f t="shared" si="270"/>
        <v/>
      </c>
      <c r="EU27" s="30" t="str">
        <f t="shared" si="271"/>
        <v/>
      </c>
      <c r="EV27" s="30" t="str">
        <f t="shared" si="272"/>
        <v/>
      </c>
      <c r="EW27" s="30" t="str">
        <f t="shared" si="273"/>
        <v/>
      </c>
      <c r="EX27" s="30" t="str">
        <f t="shared" si="274"/>
        <v/>
      </c>
      <c r="EY27" s="30" t="str">
        <f t="shared" si="275"/>
        <v/>
      </c>
      <c r="EZ27" s="30" t="str">
        <f t="shared" si="276"/>
        <v/>
      </c>
      <c r="FA27" s="30" t="str">
        <f t="shared" si="277"/>
        <v/>
      </c>
      <c r="FB27" s="30" t="str">
        <f t="shared" si="278"/>
        <v/>
      </c>
      <c r="FC27" s="30" t="str">
        <f t="shared" si="279"/>
        <v/>
      </c>
      <c r="FD27" s="30" t="str">
        <f t="shared" si="280"/>
        <v/>
      </c>
      <c r="FE27" s="30" t="str">
        <f t="shared" si="281"/>
        <v/>
      </c>
      <c r="FF27" s="30" t="str">
        <f t="shared" si="282"/>
        <v/>
      </c>
      <c r="FG27" s="30" t="str">
        <f t="shared" si="283"/>
        <v/>
      </c>
      <c r="FH27" s="30" t="str">
        <f t="shared" si="284"/>
        <v/>
      </c>
      <c r="FI27" s="30" t="str">
        <f t="shared" si="285"/>
        <v/>
      </c>
      <c r="FJ27" s="30" t="str">
        <f t="shared" si="286"/>
        <v/>
      </c>
      <c r="FK27" s="30" t="str">
        <f t="shared" si="287"/>
        <v/>
      </c>
      <c r="FL27" s="30" t="str">
        <f t="shared" si="288"/>
        <v/>
      </c>
      <c r="FM27" s="30" t="str">
        <f t="shared" si="289"/>
        <v/>
      </c>
      <c r="FN27" s="30" t="str">
        <f t="shared" si="290"/>
        <v/>
      </c>
      <c r="FO27" s="30" t="str">
        <f t="shared" si="291"/>
        <v/>
      </c>
      <c r="FP27" s="30" t="str">
        <f t="shared" si="292"/>
        <v/>
      </c>
      <c r="FQ27" s="30" t="str">
        <f t="shared" si="293"/>
        <v/>
      </c>
      <c r="FR27" s="30" t="str">
        <f t="shared" si="294"/>
        <v/>
      </c>
      <c r="FS27" s="30" t="str">
        <f t="shared" si="295"/>
        <v/>
      </c>
    </row>
    <row r="28" spans="1:175" s="24" customFormat="1" ht="16.5">
      <c r="A28" s="5"/>
      <c r="B28" s="36" t="s">
        <v>731</v>
      </c>
      <c r="C28" s="5" t="s">
        <v>732</v>
      </c>
      <c r="D28" s="31"/>
      <c r="E28" s="39"/>
      <c r="F28" s="40">
        <v>6000</v>
      </c>
      <c r="G28" s="38"/>
      <c r="H28" s="38"/>
      <c r="I28" s="38" t="str">
        <f>B29</f>
        <v>E102</v>
      </c>
      <c r="J28" s="38"/>
      <c r="K28" s="38"/>
      <c r="L28" s="38"/>
      <c r="M28" s="38"/>
      <c r="N28" s="38"/>
      <c r="O28" s="38"/>
      <c r="P28" s="42"/>
      <c r="Q28" s="42"/>
      <c r="R28" s="42"/>
      <c r="S28" s="42"/>
      <c r="T28" s="101"/>
      <c r="U28" s="32" t="str">
        <f t="shared" si="224"/>
        <v>ReplaceableTextures\\CommandButtons\\BTNE101.blp</v>
      </c>
      <c r="V28" s="43"/>
      <c r="W28" s="43">
        <v>1000</v>
      </c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/>
      <c r="AP28" s="43"/>
      <c r="AQ28" s="43"/>
      <c r="AR28" s="43"/>
      <c r="AS28" s="43"/>
      <c r="AT28" s="43">
        <v>3</v>
      </c>
      <c r="AU28" s="43"/>
      <c r="AV28" s="43"/>
      <c r="AW28" s="43"/>
      <c r="AX28" s="43"/>
      <c r="AY28" s="43"/>
      <c r="AZ28" s="43"/>
      <c r="BA28" s="43"/>
      <c r="BB28" s="43"/>
      <c r="BC28" s="43"/>
      <c r="BD28" s="43"/>
      <c r="BE28" s="43"/>
      <c r="BF28" s="43"/>
      <c r="BG28" s="43"/>
      <c r="BH28" s="43"/>
      <c r="BI28" s="43"/>
      <c r="BJ28" s="43"/>
      <c r="BK28" s="43"/>
      <c r="BL28" s="43"/>
      <c r="BM28" s="43"/>
      <c r="BN28" s="43"/>
      <c r="BO28" s="43"/>
      <c r="BP28" s="43"/>
      <c r="BQ28" s="43"/>
      <c r="BR28" s="43"/>
      <c r="BS28" s="43"/>
      <c r="BT28" s="43"/>
      <c r="BU28" s="43"/>
      <c r="BV28" s="43"/>
      <c r="BW28" s="43"/>
      <c r="BX28" s="43"/>
      <c r="BY28" s="43"/>
      <c r="BZ28" s="43"/>
      <c r="CA28" s="43"/>
      <c r="CB28" s="43"/>
      <c r="CC28" s="43"/>
      <c r="CD28" s="43"/>
      <c r="CE28" s="43"/>
      <c r="CF28" s="43"/>
      <c r="CG28" s="43"/>
      <c r="CH28" s="43"/>
      <c r="CI28" s="43"/>
      <c r="CJ28" s="43"/>
      <c r="CK28" s="43"/>
      <c r="CL28" s="43"/>
      <c r="CM28" s="43"/>
      <c r="CN28" s="44" t="str">
        <f t="shared" si="3"/>
        <v>InitUnitState('E101',,1000,,,,,,,,)</v>
      </c>
      <c r="CO28" s="44" t="str">
        <f t="shared" si="4"/>
        <v>InitUnitNormal('E101',,,,,,,,,,)</v>
      </c>
      <c r="CP28" s="44" t="str">
        <f t="shared" si="5"/>
        <v>InitUnitMagic('E101',,,,,3,,,,,)</v>
      </c>
      <c r="CQ28" s="44" t="str">
        <f t="shared" si="6"/>
        <v>InitUnitAdd('E101',,,,,,,,,,)</v>
      </c>
      <c r="CR28" s="44" t="str">
        <f t="shared" si="7"/>
        <v>InitEquipData('E101',,"",,E102,6000,,'','','','','','',"ReplaceableTextures\\CommandButtons\\BTNE102.blp")</v>
      </c>
      <c r="CS28" s="44"/>
      <c r="CT28" s="44"/>
      <c r="CU28" s="45" t="str">
        <f t="shared" si="225"/>
        <v>|n法强+1000|n冷却缩减+3%|n</v>
      </c>
      <c r="CV28" s="29" t="str">
        <f>"|cffffcc00属性：|r"&amp;CU28&amp;VLOOKUP(A28,合成公式!A:P,16,FALSE)&amp;T28</f>
        <v>|cffffcc00属性：|r|n法强+1000|n冷却缩减+3%|n</v>
      </c>
      <c r="DB28" s="30" t="str">
        <f t="shared" si="226"/>
        <v/>
      </c>
      <c r="DC28" s="30" t="str">
        <f t="shared" si="227"/>
        <v>|n法强+1000</v>
      </c>
      <c r="DD28" s="30" t="str">
        <f t="shared" si="228"/>
        <v/>
      </c>
      <c r="DE28" s="30" t="str">
        <f t="shared" si="229"/>
        <v/>
      </c>
      <c r="DF28" s="30" t="str">
        <f t="shared" si="230"/>
        <v/>
      </c>
      <c r="DG28" s="30" t="str">
        <f t="shared" si="231"/>
        <v/>
      </c>
      <c r="DH28" s="30" t="str">
        <f t="shared" si="232"/>
        <v/>
      </c>
      <c r="DI28" s="30" t="str">
        <f t="shared" si="233"/>
        <v/>
      </c>
      <c r="DJ28" s="30" t="str">
        <f t="shared" si="234"/>
        <v/>
      </c>
      <c r="DK28" s="30" t="str">
        <f t="shared" si="235"/>
        <v/>
      </c>
      <c r="DL28" s="30" t="str">
        <f t="shared" si="236"/>
        <v/>
      </c>
      <c r="DM28" s="30" t="str">
        <f t="shared" si="237"/>
        <v/>
      </c>
      <c r="DN28" s="30" t="str">
        <f t="shared" si="238"/>
        <v/>
      </c>
      <c r="DO28" s="30" t="str">
        <f t="shared" si="239"/>
        <v/>
      </c>
      <c r="DP28" s="30" t="str">
        <f t="shared" si="240"/>
        <v/>
      </c>
      <c r="DQ28" s="30" t="str">
        <f t="shared" si="241"/>
        <v/>
      </c>
      <c r="DR28" s="30" t="str">
        <f t="shared" si="242"/>
        <v/>
      </c>
      <c r="DS28" s="30" t="str">
        <f t="shared" si="243"/>
        <v/>
      </c>
      <c r="DT28" s="30" t="str">
        <f t="shared" si="244"/>
        <v/>
      </c>
      <c r="DU28" s="30" t="str">
        <f t="shared" si="245"/>
        <v/>
      </c>
      <c r="DV28" s="30" t="str">
        <f t="shared" si="246"/>
        <v/>
      </c>
      <c r="DW28" s="30" t="str">
        <f t="shared" si="247"/>
        <v/>
      </c>
      <c r="DX28" s="30" t="str">
        <f t="shared" si="248"/>
        <v/>
      </c>
      <c r="DY28" s="30" t="str">
        <f t="shared" si="249"/>
        <v/>
      </c>
      <c r="DZ28" s="30" t="str">
        <f t="shared" si="250"/>
        <v>|n冷却缩减+3%</v>
      </c>
      <c r="EA28" s="30" t="str">
        <f t="shared" si="251"/>
        <v/>
      </c>
      <c r="EB28" s="30" t="str">
        <f t="shared" si="252"/>
        <v/>
      </c>
      <c r="EC28" s="30" t="str">
        <f t="shared" si="253"/>
        <v/>
      </c>
      <c r="ED28" s="30" t="str">
        <f t="shared" si="254"/>
        <v/>
      </c>
      <c r="EE28" s="30" t="str">
        <f t="shared" si="255"/>
        <v/>
      </c>
      <c r="EF28" s="30" t="str">
        <f t="shared" si="256"/>
        <v/>
      </c>
      <c r="EG28" s="30" t="str">
        <f t="shared" si="257"/>
        <v/>
      </c>
      <c r="EH28" s="30" t="str">
        <f t="shared" si="258"/>
        <v/>
      </c>
      <c r="EI28" s="30" t="str">
        <f t="shared" si="259"/>
        <v/>
      </c>
      <c r="EJ28" s="30" t="str">
        <f t="shared" si="260"/>
        <v/>
      </c>
      <c r="EK28" s="30" t="str">
        <f t="shared" si="261"/>
        <v/>
      </c>
      <c r="EL28" s="30" t="str">
        <f t="shared" si="262"/>
        <v/>
      </c>
      <c r="EM28" s="30" t="str">
        <f t="shared" si="263"/>
        <v/>
      </c>
      <c r="EN28" s="30" t="str">
        <f t="shared" si="264"/>
        <v/>
      </c>
      <c r="EO28" s="30" t="str">
        <f t="shared" si="265"/>
        <v/>
      </c>
      <c r="EP28" s="30" t="str">
        <f t="shared" si="266"/>
        <v/>
      </c>
      <c r="EQ28" s="30" t="str">
        <f t="shared" si="267"/>
        <v/>
      </c>
      <c r="ER28" s="30" t="str">
        <f t="shared" si="268"/>
        <v/>
      </c>
      <c r="ES28" s="30" t="str">
        <f t="shared" si="269"/>
        <v/>
      </c>
      <c r="ET28" s="30" t="str">
        <f t="shared" si="270"/>
        <v/>
      </c>
      <c r="EU28" s="30" t="str">
        <f t="shared" si="271"/>
        <v/>
      </c>
      <c r="EV28" s="30" t="str">
        <f t="shared" si="272"/>
        <v/>
      </c>
      <c r="EW28" s="30" t="str">
        <f t="shared" si="273"/>
        <v/>
      </c>
      <c r="EX28" s="30" t="str">
        <f t="shared" si="274"/>
        <v/>
      </c>
      <c r="EY28" s="30" t="str">
        <f t="shared" si="275"/>
        <v/>
      </c>
      <c r="EZ28" s="30" t="str">
        <f t="shared" si="276"/>
        <v/>
      </c>
      <c r="FA28" s="30" t="str">
        <f t="shared" si="277"/>
        <v/>
      </c>
      <c r="FB28" s="30" t="str">
        <f t="shared" si="278"/>
        <v/>
      </c>
      <c r="FC28" s="30" t="str">
        <f t="shared" si="279"/>
        <v/>
      </c>
      <c r="FD28" s="30" t="str">
        <f t="shared" si="280"/>
        <v/>
      </c>
      <c r="FE28" s="30" t="str">
        <f t="shared" si="281"/>
        <v/>
      </c>
      <c r="FF28" s="30" t="str">
        <f t="shared" si="282"/>
        <v/>
      </c>
      <c r="FG28" s="30" t="str">
        <f t="shared" si="283"/>
        <v/>
      </c>
      <c r="FH28" s="30" t="str">
        <f t="shared" si="284"/>
        <v/>
      </c>
      <c r="FI28" s="30" t="str">
        <f t="shared" si="285"/>
        <v/>
      </c>
      <c r="FJ28" s="30" t="str">
        <f t="shared" si="286"/>
        <v/>
      </c>
      <c r="FK28" s="30" t="str">
        <f t="shared" si="287"/>
        <v/>
      </c>
      <c r="FL28" s="30" t="str">
        <f t="shared" si="288"/>
        <v/>
      </c>
      <c r="FM28" s="30" t="str">
        <f t="shared" si="289"/>
        <v/>
      </c>
      <c r="FN28" s="30" t="str">
        <f t="shared" si="290"/>
        <v/>
      </c>
      <c r="FO28" s="30" t="str">
        <f t="shared" si="291"/>
        <v/>
      </c>
      <c r="FP28" s="30" t="str">
        <f t="shared" si="292"/>
        <v/>
      </c>
      <c r="FQ28" s="30" t="str">
        <f t="shared" si="293"/>
        <v/>
      </c>
      <c r="FR28" s="30" t="str">
        <f t="shared" si="294"/>
        <v/>
      </c>
      <c r="FS28" s="30" t="str">
        <f t="shared" si="295"/>
        <v/>
      </c>
    </row>
    <row r="29" spans="1:175" s="24" customFormat="1" ht="16.5">
      <c r="A29" s="5"/>
      <c r="B29" s="36" t="s">
        <v>175</v>
      </c>
      <c r="C29" s="5" t="s">
        <v>733</v>
      </c>
      <c r="D29" s="31"/>
      <c r="E29" s="39"/>
      <c r="F29" s="40">
        <v>9000</v>
      </c>
      <c r="G29" s="38"/>
      <c r="H29" s="38"/>
      <c r="I29" s="38" t="str">
        <f t="shared" ref="I29:I51" si="296">B30</f>
        <v>E103</v>
      </c>
      <c r="J29" s="38"/>
      <c r="K29" s="38"/>
      <c r="L29" s="38"/>
      <c r="M29" s="38"/>
      <c r="N29" s="38"/>
      <c r="O29" s="38"/>
      <c r="P29" s="42"/>
      <c r="Q29" s="42"/>
      <c r="R29" s="42"/>
      <c r="S29" s="42"/>
      <c r="T29" s="101"/>
      <c r="U29" s="32" t="str">
        <f t="shared" si="224"/>
        <v>ReplaceableTextures\\CommandButtons\\BTNE102.blp</v>
      </c>
      <c r="V29" s="43"/>
      <c r="W29" s="43">
        <v>2000</v>
      </c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3"/>
      <c r="AP29" s="43"/>
      <c r="AQ29" s="43"/>
      <c r="AR29" s="43"/>
      <c r="AS29" s="43"/>
      <c r="AT29" s="43">
        <v>3</v>
      </c>
      <c r="AU29" s="43"/>
      <c r="AV29" s="43"/>
      <c r="AW29" s="43"/>
      <c r="AX29" s="43"/>
      <c r="AY29" s="43"/>
      <c r="AZ29" s="43"/>
      <c r="BA29" s="43"/>
      <c r="BB29" s="43"/>
      <c r="BC29" s="43"/>
      <c r="BD29" s="43"/>
      <c r="BE29" s="43"/>
      <c r="BF29" s="43"/>
      <c r="BG29" s="43"/>
      <c r="BH29" s="43"/>
      <c r="BI29" s="43"/>
      <c r="BJ29" s="43"/>
      <c r="BK29" s="43"/>
      <c r="BL29" s="43"/>
      <c r="BM29" s="43"/>
      <c r="BN29" s="43"/>
      <c r="BO29" s="43"/>
      <c r="BP29" s="43"/>
      <c r="BQ29" s="43"/>
      <c r="BR29" s="43"/>
      <c r="BS29" s="43"/>
      <c r="BT29" s="43"/>
      <c r="BU29" s="43"/>
      <c r="BV29" s="43"/>
      <c r="BW29" s="43"/>
      <c r="BX29" s="43"/>
      <c r="BY29" s="43"/>
      <c r="BZ29" s="43"/>
      <c r="CA29" s="43"/>
      <c r="CB29" s="43"/>
      <c r="CC29" s="43"/>
      <c r="CD29" s="43"/>
      <c r="CE29" s="43"/>
      <c r="CF29" s="43"/>
      <c r="CG29" s="43"/>
      <c r="CH29" s="43"/>
      <c r="CI29" s="43"/>
      <c r="CJ29" s="43"/>
      <c r="CK29" s="43"/>
      <c r="CL29" s="43"/>
      <c r="CM29" s="43"/>
      <c r="CN29" s="44" t="str">
        <f t="shared" si="3"/>
        <v>InitUnitState('E102',,2000,,,,,,,,)</v>
      </c>
      <c r="CO29" s="44" t="str">
        <f t="shared" si="4"/>
        <v>InitUnitNormal('E102',,,,,,,,,,)</v>
      </c>
      <c r="CP29" s="44" t="str">
        <f t="shared" si="5"/>
        <v>InitUnitMagic('E102',,,,,3,,,,,)</v>
      </c>
      <c r="CQ29" s="44" t="str">
        <f t="shared" si="6"/>
        <v>InitUnitAdd('E102',,,,,,,,,,)</v>
      </c>
      <c r="CR29" s="44" t="str">
        <f t="shared" si="7"/>
        <v>InitEquipData('E102',,"",,E103,9000,,'','','','','','',"ReplaceableTextures\\CommandButtons\\BTNE103.blp")</v>
      </c>
      <c r="CS29" s="44"/>
      <c r="CT29" s="44"/>
      <c r="CU29" s="45" t="str">
        <f t="shared" si="225"/>
        <v>|n法强+2000|n冷却缩减+3%|n</v>
      </c>
      <c r="CV29" s="29" t="str">
        <f>"|cffffcc00属性：|r"&amp;CU29&amp;VLOOKUP(A29,合成公式!A:P,16,FALSE)&amp;T29</f>
        <v>|cffffcc00属性：|r|n法强+2000|n冷却缩减+3%|n</v>
      </c>
      <c r="DB29" s="30" t="str">
        <f t="shared" si="226"/>
        <v/>
      </c>
      <c r="DC29" s="30" t="str">
        <f t="shared" si="227"/>
        <v>|n法强+2000</v>
      </c>
      <c r="DD29" s="30" t="str">
        <f t="shared" si="228"/>
        <v/>
      </c>
      <c r="DE29" s="30" t="str">
        <f t="shared" si="229"/>
        <v/>
      </c>
      <c r="DF29" s="30" t="str">
        <f t="shared" si="230"/>
        <v/>
      </c>
      <c r="DG29" s="30" t="str">
        <f t="shared" si="231"/>
        <v/>
      </c>
      <c r="DH29" s="30" t="str">
        <f t="shared" si="232"/>
        <v/>
      </c>
      <c r="DI29" s="30" t="str">
        <f t="shared" si="233"/>
        <v/>
      </c>
      <c r="DJ29" s="30" t="str">
        <f t="shared" si="234"/>
        <v/>
      </c>
      <c r="DK29" s="30" t="str">
        <f t="shared" si="235"/>
        <v/>
      </c>
      <c r="DL29" s="30" t="str">
        <f t="shared" si="236"/>
        <v/>
      </c>
      <c r="DM29" s="30" t="str">
        <f t="shared" si="237"/>
        <v/>
      </c>
      <c r="DN29" s="30" t="str">
        <f t="shared" si="238"/>
        <v/>
      </c>
      <c r="DO29" s="30" t="str">
        <f t="shared" si="239"/>
        <v/>
      </c>
      <c r="DP29" s="30" t="str">
        <f t="shared" si="240"/>
        <v/>
      </c>
      <c r="DQ29" s="30" t="str">
        <f t="shared" si="241"/>
        <v/>
      </c>
      <c r="DR29" s="30" t="str">
        <f t="shared" si="242"/>
        <v/>
      </c>
      <c r="DS29" s="30" t="str">
        <f t="shared" si="243"/>
        <v/>
      </c>
      <c r="DT29" s="30" t="str">
        <f t="shared" si="244"/>
        <v/>
      </c>
      <c r="DU29" s="30" t="str">
        <f t="shared" si="245"/>
        <v/>
      </c>
      <c r="DV29" s="30" t="str">
        <f t="shared" si="246"/>
        <v/>
      </c>
      <c r="DW29" s="30" t="str">
        <f t="shared" si="247"/>
        <v/>
      </c>
      <c r="DX29" s="30" t="str">
        <f t="shared" si="248"/>
        <v/>
      </c>
      <c r="DY29" s="30" t="str">
        <f t="shared" si="249"/>
        <v/>
      </c>
      <c r="DZ29" s="30" t="str">
        <f t="shared" si="250"/>
        <v>|n冷却缩减+3%</v>
      </c>
      <c r="EA29" s="30" t="str">
        <f t="shared" si="251"/>
        <v/>
      </c>
      <c r="EB29" s="30" t="str">
        <f t="shared" si="252"/>
        <v/>
      </c>
      <c r="EC29" s="30" t="str">
        <f t="shared" si="253"/>
        <v/>
      </c>
      <c r="ED29" s="30" t="str">
        <f t="shared" si="254"/>
        <v/>
      </c>
      <c r="EE29" s="30" t="str">
        <f t="shared" si="255"/>
        <v/>
      </c>
      <c r="EF29" s="30" t="str">
        <f t="shared" si="256"/>
        <v/>
      </c>
      <c r="EG29" s="30" t="str">
        <f t="shared" si="257"/>
        <v/>
      </c>
      <c r="EH29" s="30" t="str">
        <f t="shared" si="258"/>
        <v/>
      </c>
      <c r="EI29" s="30" t="str">
        <f t="shared" si="259"/>
        <v/>
      </c>
      <c r="EJ29" s="30" t="str">
        <f t="shared" si="260"/>
        <v/>
      </c>
      <c r="EK29" s="30" t="str">
        <f t="shared" si="261"/>
        <v/>
      </c>
      <c r="EL29" s="30" t="str">
        <f t="shared" si="262"/>
        <v/>
      </c>
      <c r="EM29" s="30" t="str">
        <f t="shared" si="263"/>
        <v/>
      </c>
      <c r="EN29" s="30" t="str">
        <f t="shared" si="264"/>
        <v/>
      </c>
      <c r="EO29" s="30" t="str">
        <f t="shared" si="265"/>
        <v/>
      </c>
      <c r="EP29" s="30" t="str">
        <f t="shared" si="266"/>
        <v/>
      </c>
      <c r="EQ29" s="30" t="str">
        <f t="shared" si="267"/>
        <v/>
      </c>
      <c r="ER29" s="30" t="str">
        <f t="shared" si="268"/>
        <v/>
      </c>
      <c r="ES29" s="30" t="str">
        <f t="shared" si="269"/>
        <v/>
      </c>
      <c r="ET29" s="30" t="str">
        <f t="shared" si="270"/>
        <v/>
      </c>
      <c r="EU29" s="30" t="str">
        <f t="shared" si="271"/>
        <v/>
      </c>
      <c r="EV29" s="30" t="str">
        <f t="shared" si="272"/>
        <v/>
      </c>
      <c r="EW29" s="30" t="str">
        <f t="shared" si="273"/>
        <v/>
      </c>
      <c r="EX29" s="30" t="str">
        <f t="shared" si="274"/>
        <v/>
      </c>
      <c r="EY29" s="30" t="str">
        <f t="shared" si="275"/>
        <v/>
      </c>
      <c r="EZ29" s="30" t="str">
        <f t="shared" si="276"/>
        <v/>
      </c>
      <c r="FA29" s="30" t="str">
        <f t="shared" si="277"/>
        <v/>
      </c>
      <c r="FB29" s="30" t="str">
        <f t="shared" si="278"/>
        <v/>
      </c>
      <c r="FC29" s="30" t="str">
        <f t="shared" si="279"/>
        <v/>
      </c>
      <c r="FD29" s="30" t="str">
        <f t="shared" si="280"/>
        <v/>
      </c>
      <c r="FE29" s="30" t="str">
        <f t="shared" si="281"/>
        <v/>
      </c>
      <c r="FF29" s="30" t="str">
        <f t="shared" si="282"/>
        <v/>
      </c>
      <c r="FG29" s="30" t="str">
        <f t="shared" si="283"/>
        <v/>
      </c>
      <c r="FH29" s="30" t="str">
        <f t="shared" si="284"/>
        <v/>
      </c>
      <c r="FI29" s="30" t="str">
        <f t="shared" si="285"/>
        <v/>
      </c>
      <c r="FJ29" s="30" t="str">
        <f t="shared" si="286"/>
        <v/>
      </c>
      <c r="FK29" s="30" t="str">
        <f t="shared" si="287"/>
        <v/>
      </c>
      <c r="FL29" s="30" t="str">
        <f t="shared" si="288"/>
        <v/>
      </c>
      <c r="FM29" s="30" t="str">
        <f t="shared" si="289"/>
        <v/>
      </c>
      <c r="FN29" s="30" t="str">
        <f t="shared" si="290"/>
        <v/>
      </c>
      <c r="FO29" s="30" t="str">
        <f t="shared" si="291"/>
        <v/>
      </c>
      <c r="FP29" s="30" t="str">
        <f t="shared" si="292"/>
        <v/>
      </c>
      <c r="FQ29" s="30" t="str">
        <f t="shared" si="293"/>
        <v/>
      </c>
      <c r="FR29" s="30" t="str">
        <f t="shared" si="294"/>
        <v/>
      </c>
      <c r="FS29" s="30" t="str">
        <f t="shared" si="295"/>
        <v/>
      </c>
    </row>
    <row r="30" spans="1:175" s="24" customFormat="1" ht="16.5">
      <c r="A30" s="5"/>
      <c r="B30" s="36" t="s">
        <v>176</v>
      </c>
      <c r="C30" s="5" t="s">
        <v>734</v>
      </c>
      <c r="D30" s="31"/>
      <c r="E30" s="39"/>
      <c r="F30" s="40">
        <v>12000</v>
      </c>
      <c r="G30" s="38"/>
      <c r="H30" s="38"/>
      <c r="I30" s="38" t="str">
        <f t="shared" si="296"/>
        <v>E104</v>
      </c>
      <c r="J30" s="38"/>
      <c r="K30" s="38"/>
      <c r="L30" s="38"/>
      <c r="M30" s="38"/>
      <c r="N30" s="38"/>
      <c r="O30" s="38"/>
      <c r="P30" s="42"/>
      <c r="Q30" s="42"/>
      <c r="R30" s="42"/>
      <c r="S30" s="42"/>
      <c r="T30" s="101"/>
      <c r="U30" s="32" t="str">
        <f t="shared" si="224"/>
        <v>ReplaceableTextures\\CommandButtons\\BTNE103.blp</v>
      </c>
      <c r="V30" s="43"/>
      <c r="W30" s="43">
        <v>3000</v>
      </c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3"/>
      <c r="AT30" s="43">
        <v>3</v>
      </c>
      <c r="AU30" s="43"/>
      <c r="AV30" s="43"/>
      <c r="AW30" s="43"/>
      <c r="AX30" s="43"/>
      <c r="AY30" s="43"/>
      <c r="AZ30" s="43"/>
      <c r="BA30" s="43"/>
      <c r="BB30" s="43"/>
      <c r="BC30" s="43"/>
      <c r="BD30" s="43"/>
      <c r="BE30" s="43"/>
      <c r="BF30" s="43"/>
      <c r="BG30" s="43"/>
      <c r="BH30" s="43"/>
      <c r="BI30" s="43"/>
      <c r="BJ30" s="43"/>
      <c r="BK30" s="43"/>
      <c r="BL30" s="43"/>
      <c r="BM30" s="43"/>
      <c r="BN30" s="43"/>
      <c r="BO30" s="43"/>
      <c r="BP30" s="43"/>
      <c r="BQ30" s="43"/>
      <c r="BR30" s="43"/>
      <c r="BS30" s="43"/>
      <c r="BT30" s="43"/>
      <c r="BU30" s="43"/>
      <c r="BV30" s="43"/>
      <c r="BW30" s="43"/>
      <c r="BX30" s="43"/>
      <c r="BY30" s="43"/>
      <c r="BZ30" s="43"/>
      <c r="CA30" s="43"/>
      <c r="CB30" s="43"/>
      <c r="CC30" s="43"/>
      <c r="CD30" s="43"/>
      <c r="CE30" s="43"/>
      <c r="CF30" s="43"/>
      <c r="CG30" s="43"/>
      <c r="CH30" s="43"/>
      <c r="CI30" s="43"/>
      <c r="CJ30" s="43"/>
      <c r="CK30" s="43"/>
      <c r="CL30" s="43"/>
      <c r="CM30" s="43"/>
      <c r="CN30" s="44" t="str">
        <f t="shared" si="3"/>
        <v>InitUnitState('E103',,3000,,,,,,,,)</v>
      </c>
      <c r="CO30" s="44" t="str">
        <f t="shared" si="4"/>
        <v>InitUnitNormal('E103',,,,,,,,,,)</v>
      </c>
      <c r="CP30" s="44" t="str">
        <f t="shared" si="5"/>
        <v>InitUnitMagic('E103',,,,,3,,,,,)</v>
      </c>
      <c r="CQ30" s="44" t="str">
        <f t="shared" si="6"/>
        <v>InitUnitAdd('E103',,,,,,,,,,)</v>
      </c>
      <c r="CR30" s="44" t="str">
        <f t="shared" si="7"/>
        <v>InitEquipData('E103',,"",,E104,12000,,'','','','','','',"ReplaceableTextures\\CommandButtons\\BTNE104.blp")</v>
      </c>
      <c r="CS30" s="44"/>
      <c r="CT30" s="44"/>
      <c r="CU30" s="45" t="str">
        <f t="shared" si="225"/>
        <v>|n法强+3000|n冷却缩减+3%|n</v>
      </c>
      <c r="CV30" s="29" t="str">
        <f>"|cffffcc00属性：|r"&amp;CU30&amp;VLOOKUP(A30,合成公式!A:P,16,FALSE)&amp;T30</f>
        <v>|cffffcc00属性：|r|n法强+3000|n冷却缩减+3%|n</v>
      </c>
      <c r="DB30" s="30" t="str">
        <f t="shared" si="226"/>
        <v/>
      </c>
      <c r="DC30" s="30" t="str">
        <f t="shared" si="227"/>
        <v>|n法强+3000</v>
      </c>
      <c r="DD30" s="30" t="str">
        <f t="shared" si="228"/>
        <v/>
      </c>
      <c r="DE30" s="30" t="str">
        <f t="shared" si="229"/>
        <v/>
      </c>
      <c r="DF30" s="30" t="str">
        <f t="shared" si="230"/>
        <v/>
      </c>
      <c r="DG30" s="30" t="str">
        <f t="shared" si="231"/>
        <v/>
      </c>
      <c r="DH30" s="30" t="str">
        <f t="shared" si="232"/>
        <v/>
      </c>
      <c r="DI30" s="30" t="str">
        <f t="shared" si="233"/>
        <v/>
      </c>
      <c r="DJ30" s="30" t="str">
        <f t="shared" si="234"/>
        <v/>
      </c>
      <c r="DK30" s="30" t="str">
        <f t="shared" si="235"/>
        <v/>
      </c>
      <c r="DL30" s="30" t="str">
        <f t="shared" si="236"/>
        <v/>
      </c>
      <c r="DM30" s="30" t="str">
        <f t="shared" si="237"/>
        <v/>
      </c>
      <c r="DN30" s="30" t="str">
        <f t="shared" si="238"/>
        <v/>
      </c>
      <c r="DO30" s="30" t="str">
        <f t="shared" si="239"/>
        <v/>
      </c>
      <c r="DP30" s="30" t="str">
        <f t="shared" si="240"/>
        <v/>
      </c>
      <c r="DQ30" s="30" t="str">
        <f t="shared" si="241"/>
        <v/>
      </c>
      <c r="DR30" s="30" t="str">
        <f t="shared" si="242"/>
        <v/>
      </c>
      <c r="DS30" s="30" t="str">
        <f t="shared" si="243"/>
        <v/>
      </c>
      <c r="DT30" s="30" t="str">
        <f t="shared" si="244"/>
        <v/>
      </c>
      <c r="DU30" s="30" t="str">
        <f t="shared" si="245"/>
        <v/>
      </c>
      <c r="DV30" s="30" t="str">
        <f t="shared" si="246"/>
        <v/>
      </c>
      <c r="DW30" s="30" t="str">
        <f t="shared" si="247"/>
        <v/>
      </c>
      <c r="DX30" s="30" t="str">
        <f t="shared" si="248"/>
        <v/>
      </c>
      <c r="DY30" s="30" t="str">
        <f t="shared" si="249"/>
        <v/>
      </c>
      <c r="DZ30" s="30" t="str">
        <f t="shared" si="250"/>
        <v>|n冷却缩减+3%</v>
      </c>
      <c r="EA30" s="30" t="str">
        <f t="shared" si="251"/>
        <v/>
      </c>
      <c r="EB30" s="30" t="str">
        <f t="shared" si="252"/>
        <v/>
      </c>
      <c r="EC30" s="30" t="str">
        <f t="shared" si="253"/>
        <v/>
      </c>
      <c r="ED30" s="30" t="str">
        <f t="shared" si="254"/>
        <v/>
      </c>
      <c r="EE30" s="30" t="str">
        <f t="shared" si="255"/>
        <v/>
      </c>
      <c r="EF30" s="30" t="str">
        <f t="shared" si="256"/>
        <v/>
      </c>
      <c r="EG30" s="30" t="str">
        <f t="shared" si="257"/>
        <v/>
      </c>
      <c r="EH30" s="30" t="str">
        <f t="shared" si="258"/>
        <v/>
      </c>
      <c r="EI30" s="30" t="str">
        <f t="shared" si="259"/>
        <v/>
      </c>
      <c r="EJ30" s="30" t="str">
        <f t="shared" si="260"/>
        <v/>
      </c>
      <c r="EK30" s="30" t="str">
        <f t="shared" si="261"/>
        <v/>
      </c>
      <c r="EL30" s="30" t="str">
        <f t="shared" si="262"/>
        <v/>
      </c>
      <c r="EM30" s="30" t="str">
        <f t="shared" si="263"/>
        <v/>
      </c>
      <c r="EN30" s="30" t="str">
        <f t="shared" si="264"/>
        <v/>
      </c>
      <c r="EO30" s="30" t="str">
        <f t="shared" si="265"/>
        <v/>
      </c>
      <c r="EP30" s="30" t="str">
        <f t="shared" si="266"/>
        <v/>
      </c>
      <c r="EQ30" s="30" t="str">
        <f t="shared" si="267"/>
        <v/>
      </c>
      <c r="ER30" s="30" t="str">
        <f t="shared" si="268"/>
        <v/>
      </c>
      <c r="ES30" s="30" t="str">
        <f t="shared" si="269"/>
        <v/>
      </c>
      <c r="ET30" s="30" t="str">
        <f t="shared" si="270"/>
        <v/>
      </c>
      <c r="EU30" s="30" t="str">
        <f t="shared" si="271"/>
        <v/>
      </c>
      <c r="EV30" s="30" t="str">
        <f t="shared" si="272"/>
        <v/>
      </c>
      <c r="EW30" s="30" t="str">
        <f t="shared" si="273"/>
        <v/>
      </c>
      <c r="EX30" s="30" t="str">
        <f t="shared" si="274"/>
        <v/>
      </c>
      <c r="EY30" s="30" t="str">
        <f t="shared" si="275"/>
        <v/>
      </c>
      <c r="EZ30" s="30" t="str">
        <f t="shared" si="276"/>
        <v/>
      </c>
      <c r="FA30" s="30" t="str">
        <f t="shared" si="277"/>
        <v/>
      </c>
      <c r="FB30" s="30" t="str">
        <f t="shared" si="278"/>
        <v/>
      </c>
      <c r="FC30" s="30" t="str">
        <f t="shared" si="279"/>
        <v/>
      </c>
      <c r="FD30" s="30" t="str">
        <f t="shared" si="280"/>
        <v/>
      </c>
      <c r="FE30" s="30" t="str">
        <f t="shared" si="281"/>
        <v/>
      </c>
      <c r="FF30" s="30" t="str">
        <f t="shared" si="282"/>
        <v/>
      </c>
      <c r="FG30" s="30" t="str">
        <f t="shared" si="283"/>
        <v/>
      </c>
      <c r="FH30" s="30" t="str">
        <f t="shared" si="284"/>
        <v/>
      </c>
      <c r="FI30" s="30" t="str">
        <f t="shared" si="285"/>
        <v/>
      </c>
      <c r="FJ30" s="30" t="str">
        <f t="shared" si="286"/>
        <v/>
      </c>
      <c r="FK30" s="30" t="str">
        <f t="shared" si="287"/>
        <v/>
      </c>
      <c r="FL30" s="30" t="str">
        <f t="shared" si="288"/>
        <v/>
      </c>
      <c r="FM30" s="30" t="str">
        <f t="shared" si="289"/>
        <v/>
      </c>
      <c r="FN30" s="30" t="str">
        <f t="shared" si="290"/>
        <v/>
      </c>
      <c r="FO30" s="30" t="str">
        <f t="shared" si="291"/>
        <v/>
      </c>
      <c r="FP30" s="30" t="str">
        <f t="shared" si="292"/>
        <v/>
      </c>
      <c r="FQ30" s="30" t="str">
        <f t="shared" si="293"/>
        <v/>
      </c>
      <c r="FR30" s="30" t="str">
        <f t="shared" si="294"/>
        <v/>
      </c>
      <c r="FS30" s="30" t="str">
        <f t="shared" si="295"/>
        <v/>
      </c>
    </row>
    <row r="31" spans="1:175" s="24" customFormat="1" ht="16.5">
      <c r="A31" s="5"/>
      <c r="B31" s="36" t="s">
        <v>177</v>
      </c>
      <c r="C31" s="5" t="s">
        <v>735</v>
      </c>
      <c r="D31" s="31"/>
      <c r="E31" s="39"/>
      <c r="F31" s="40">
        <v>15000</v>
      </c>
      <c r="G31" s="38"/>
      <c r="H31" s="38"/>
      <c r="I31" s="38" t="str">
        <f t="shared" si="296"/>
        <v>E105</v>
      </c>
      <c r="J31" s="38"/>
      <c r="K31" s="38"/>
      <c r="L31" s="38"/>
      <c r="M31" s="38"/>
      <c r="N31" s="38"/>
      <c r="O31" s="38"/>
      <c r="P31" s="42"/>
      <c r="Q31" s="42"/>
      <c r="R31" s="42"/>
      <c r="S31" s="42"/>
      <c r="T31" s="101"/>
      <c r="U31" s="32" t="str">
        <f t="shared" si="224"/>
        <v>ReplaceableTextures\\CommandButtons\\BTNE104.blp</v>
      </c>
      <c r="V31" s="43"/>
      <c r="W31" s="43">
        <v>4000</v>
      </c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  <c r="AQ31" s="43"/>
      <c r="AR31" s="43"/>
      <c r="AS31" s="43"/>
      <c r="AT31" s="43">
        <v>3</v>
      </c>
      <c r="AU31" s="43"/>
      <c r="AV31" s="43"/>
      <c r="AW31" s="43"/>
      <c r="AX31" s="43"/>
      <c r="AY31" s="43"/>
      <c r="AZ31" s="43"/>
      <c r="BA31" s="43"/>
      <c r="BB31" s="43"/>
      <c r="BC31" s="43"/>
      <c r="BD31" s="43"/>
      <c r="BE31" s="43"/>
      <c r="BF31" s="43"/>
      <c r="BG31" s="43"/>
      <c r="BH31" s="43"/>
      <c r="BI31" s="43"/>
      <c r="BJ31" s="43"/>
      <c r="BK31" s="43"/>
      <c r="BL31" s="43"/>
      <c r="BM31" s="43"/>
      <c r="BN31" s="43"/>
      <c r="BO31" s="43"/>
      <c r="BP31" s="43"/>
      <c r="BQ31" s="43"/>
      <c r="BR31" s="43"/>
      <c r="BS31" s="43"/>
      <c r="BT31" s="43"/>
      <c r="BU31" s="43"/>
      <c r="BV31" s="43"/>
      <c r="BW31" s="43"/>
      <c r="BX31" s="43"/>
      <c r="BY31" s="43"/>
      <c r="BZ31" s="43"/>
      <c r="CA31" s="43"/>
      <c r="CB31" s="43"/>
      <c r="CC31" s="43"/>
      <c r="CD31" s="43"/>
      <c r="CE31" s="43"/>
      <c r="CF31" s="43"/>
      <c r="CG31" s="43"/>
      <c r="CH31" s="43"/>
      <c r="CI31" s="43"/>
      <c r="CJ31" s="43"/>
      <c r="CK31" s="43"/>
      <c r="CL31" s="43"/>
      <c r="CM31" s="43"/>
      <c r="CN31" s="44" t="str">
        <f t="shared" si="3"/>
        <v>InitUnitState('E104',,4000,,,,,,,,)</v>
      </c>
      <c r="CO31" s="44" t="str">
        <f t="shared" si="4"/>
        <v>InitUnitNormal('E104',,,,,,,,,,)</v>
      </c>
      <c r="CP31" s="44" t="str">
        <f t="shared" si="5"/>
        <v>InitUnitMagic('E104',,,,,3,,,,,)</v>
      </c>
      <c r="CQ31" s="44" t="str">
        <f t="shared" si="6"/>
        <v>InitUnitAdd('E104',,,,,,,,,,)</v>
      </c>
      <c r="CR31" s="44" t="str">
        <f t="shared" si="7"/>
        <v>InitEquipData('E104',,"",,E105,15000,,'','','','','','',"ReplaceableTextures\\CommandButtons\\BTNE105.blp")</v>
      </c>
      <c r="CS31" s="44"/>
      <c r="CT31" s="44"/>
      <c r="CU31" s="45" t="str">
        <f t="shared" si="225"/>
        <v>|n法强+4000|n冷却缩减+3%|n</v>
      </c>
      <c r="CV31" s="29" t="str">
        <f>"|cffffcc00属性：|r"&amp;CU31&amp;VLOOKUP(A31,合成公式!A:P,16,FALSE)&amp;T31</f>
        <v>|cffffcc00属性：|r|n法强+4000|n冷却缩减+3%|n</v>
      </c>
      <c r="DB31" s="30" t="str">
        <f t="shared" si="226"/>
        <v/>
      </c>
      <c r="DC31" s="30" t="str">
        <f t="shared" si="227"/>
        <v>|n法强+4000</v>
      </c>
      <c r="DD31" s="30" t="str">
        <f t="shared" si="228"/>
        <v/>
      </c>
      <c r="DE31" s="30" t="str">
        <f t="shared" si="229"/>
        <v/>
      </c>
      <c r="DF31" s="30" t="str">
        <f t="shared" si="230"/>
        <v/>
      </c>
      <c r="DG31" s="30" t="str">
        <f t="shared" si="231"/>
        <v/>
      </c>
      <c r="DH31" s="30" t="str">
        <f t="shared" si="232"/>
        <v/>
      </c>
      <c r="DI31" s="30" t="str">
        <f t="shared" si="233"/>
        <v/>
      </c>
      <c r="DJ31" s="30" t="str">
        <f t="shared" si="234"/>
        <v/>
      </c>
      <c r="DK31" s="30" t="str">
        <f t="shared" si="235"/>
        <v/>
      </c>
      <c r="DL31" s="30" t="str">
        <f t="shared" si="236"/>
        <v/>
      </c>
      <c r="DM31" s="30" t="str">
        <f t="shared" si="237"/>
        <v/>
      </c>
      <c r="DN31" s="30" t="str">
        <f t="shared" si="238"/>
        <v/>
      </c>
      <c r="DO31" s="30" t="str">
        <f t="shared" si="239"/>
        <v/>
      </c>
      <c r="DP31" s="30" t="str">
        <f t="shared" si="240"/>
        <v/>
      </c>
      <c r="DQ31" s="30" t="str">
        <f t="shared" si="241"/>
        <v/>
      </c>
      <c r="DR31" s="30" t="str">
        <f t="shared" si="242"/>
        <v/>
      </c>
      <c r="DS31" s="30" t="str">
        <f t="shared" si="243"/>
        <v/>
      </c>
      <c r="DT31" s="30" t="str">
        <f t="shared" si="244"/>
        <v/>
      </c>
      <c r="DU31" s="30" t="str">
        <f t="shared" si="245"/>
        <v/>
      </c>
      <c r="DV31" s="30" t="str">
        <f t="shared" si="246"/>
        <v/>
      </c>
      <c r="DW31" s="30" t="str">
        <f t="shared" si="247"/>
        <v/>
      </c>
      <c r="DX31" s="30" t="str">
        <f t="shared" si="248"/>
        <v/>
      </c>
      <c r="DY31" s="30" t="str">
        <f t="shared" si="249"/>
        <v/>
      </c>
      <c r="DZ31" s="30" t="str">
        <f t="shared" si="250"/>
        <v>|n冷却缩减+3%</v>
      </c>
      <c r="EA31" s="30" t="str">
        <f t="shared" si="251"/>
        <v/>
      </c>
      <c r="EB31" s="30" t="str">
        <f t="shared" si="252"/>
        <v/>
      </c>
      <c r="EC31" s="30" t="str">
        <f t="shared" si="253"/>
        <v/>
      </c>
      <c r="ED31" s="30" t="str">
        <f t="shared" si="254"/>
        <v/>
      </c>
      <c r="EE31" s="30" t="str">
        <f t="shared" si="255"/>
        <v/>
      </c>
      <c r="EF31" s="30" t="str">
        <f t="shared" si="256"/>
        <v/>
      </c>
      <c r="EG31" s="30" t="str">
        <f t="shared" si="257"/>
        <v/>
      </c>
      <c r="EH31" s="30" t="str">
        <f t="shared" si="258"/>
        <v/>
      </c>
      <c r="EI31" s="30" t="str">
        <f t="shared" si="259"/>
        <v/>
      </c>
      <c r="EJ31" s="30" t="str">
        <f t="shared" si="260"/>
        <v/>
      </c>
      <c r="EK31" s="30" t="str">
        <f t="shared" si="261"/>
        <v/>
      </c>
      <c r="EL31" s="30" t="str">
        <f t="shared" si="262"/>
        <v/>
      </c>
      <c r="EM31" s="30" t="str">
        <f t="shared" si="263"/>
        <v/>
      </c>
      <c r="EN31" s="30" t="str">
        <f t="shared" si="264"/>
        <v/>
      </c>
      <c r="EO31" s="30" t="str">
        <f t="shared" si="265"/>
        <v/>
      </c>
      <c r="EP31" s="30" t="str">
        <f t="shared" si="266"/>
        <v/>
      </c>
      <c r="EQ31" s="30" t="str">
        <f t="shared" si="267"/>
        <v/>
      </c>
      <c r="ER31" s="30" t="str">
        <f t="shared" si="268"/>
        <v/>
      </c>
      <c r="ES31" s="30" t="str">
        <f t="shared" si="269"/>
        <v/>
      </c>
      <c r="ET31" s="30" t="str">
        <f t="shared" si="270"/>
        <v/>
      </c>
      <c r="EU31" s="30" t="str">
        <f t="shared" si="271"/>
        <v/>
      </c>
      <c r="EV31" s="30" t="str">
        <f t="shared" si="272"/>
        <v/>
      </c>
      <c r="EW31" s="30" t="str">
        <f t="shared" si="273"/>
        <v/>
      </c>
      <c r="EX31" s="30" t="str">
        <f t="shared" si="274"/>
        <v/>
      </c>
      <c r="EY31" s="30" t="str">
        <f t="shared" si="275"/>
        <v/>
      </c>
      <c r="EZ31" s="30" t="str">
        <f t="shared" si="276"/>
        <v/>
      </c>
      <c r="FA31" s="30" t="str">
        <f t="shared" si="277"/>
        <v/>
      </c>
      <c r="FB31" s="30" t="str">
        <f t="shared" si="278"/>
        <v/>
      </c>
      <c r="FC31" s="30" t="str">
        <f t="shared" si="279"/>
        <v/>
      </c>
      <c r="FD31" s="30" t="str">
        <f t="shared" si="280"/>
        <v/>
      </c>
      <c r="FE31" s="30" t="str">
        <f t="shared" si="281"/>
        <v/>
      </c>
      <c r="FF31" s="30" t="str">
        <f t="shared" si="282"/>
        <v/>
      </c>
      <c r="FG31" s="30" t="str">
        <f t="shared" si="283"/>
        <v/>
      </c>
      <c r="FH31" s="30" t="str">
        <f t="shared" si="284"/>
        <v/>
      </c>
      <c r="FI31" s="30" t="str">
        <f t="shared" si="285"/>
        <v/>
      </c>
      <c r="FJ31" s="30" t="str">
        <f t="shared" si="286"/>
        <v/>
      </c>
      <c r="FK31" s="30" t="str">
        <f t="shared" si="287"/>
        <v/>
      </c>
      <c r="FL31" s="30" t="str">
        <f t="shared" si="288"/>
        <v/>
      </c>
      <c r="FM31" s="30" t="str">
        <f t="shared" si="289"/>
        <v/>
      </c>
      <c r="FN31" s="30" t="str">
        <f t="shared" si="290"/>
        <v/>
      </c>
      <c r="FO31" s="30" t="str">
        <f t="shared" si="291"/>
        <v/>
      </c>
      <c r="FP31" s="30" t="str">
        <f t="shared" si="292"/>
        <v/>
      </c>
      <c r="FQ31" s="30" t="str">
        <f t="shared" si="293"/>
        <v/>
      </c>
      <c r="FR31" s="30" t="str">
        <f t="shared" si="294"/>
        <v/>
      </c>
      <c r="FS31" s="30" t="str">
        <f t="shared" si="295"/>
        <v/>
      </c>
    </row>
    <row r="32" spans="1:175" s="24" customFormat="1" ht="16.5">
      <c r="A32" s="5"/>
      <c r="B32" s="36" t="s">
        <v>178</v>
      </c>
      <c r="C32" s="5" t="s">
        <v>736</v>
      </c>
      <c r="D32" s="31"/>
      <c r="E32" s="39"/>
      <c r="F32" s="40">
        <v>18000</v>
      </c>
      <c r="G32" s="38"/>
      <c r="H32" s="121" t="s">
        <v>932</v>
      </c>
      <c r="I32" s="38" t="str">
        <f t="shared" si="296"/>
        <v>E106</v>
      </c>
      <c r="J32" s="38"/>
      <c r="K32" s="38"/>
      <c r="L32" s="38"/>
      <c r="M32" s="38"/>
      <c r="N32" s="38"/>
      <c r="O32" s="38"/>
      <c r="P32" s="42"/>
      <c r="Q32" s="42"/>
      <c r="R32" s="42"/>
      <c r="S32" s="42"/>
      <c r="T32" s="101"/>
      <c r="U32" s="32" t="str">
        <f t="shared" si="224"/>
        <v>ReplaceableTextures\\CommandButtons\\BTNE105.blp</v>
      </c>
      <c r="V32" s="43"/>
      <c r="W32" s="43">
        <v>5000</v>
      </c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  <c r="AP32" s="43"/>
      <c r="AQ32" s="43"/>
      <c r="AR32" s="43"/>
      <c r="AS32" s="43"/>
      <c r="AT32" s="43">
        <v>3</v>
      </c>
      <c r="AU32" s="43"/>
      <c r="AV32" s="43"/>
      <c r="AW32" s="43"/>
      <c r="AX32" s="43"/>
      <c r="AY32" s="43"/>
      <c r="AZ32" s="43"/>
      <c r="BA32" s="43"/>
      <c r="BB32" s="43"/>
      <c r="BC32" s="43"/>
      <c r="BD32" s="43"/>
      <c r="BE32" s="43"/>
      <c r="BF32" s="43"/>
      <c r="BG32" s="43"/>
      <c r="BH32" s="43"/>
      <c r="BI32" s="43"/>
      <c r="BJ32" s="43"/>
      <c r="BK32" s="43"/>
      <c r="BL32" s="43"/>
      <c r="BM32" s="43"/>
      <c r="BN32" s="43"/>
      <c r="BO32" s="43"/>
      <c r="BP32" s="43"/>
      <c r="BQ32" s="43"/>
      <c r="BR32" s="43"/>
      <c r="BS32" s="43"/>
      <c r="BT32" s="43"/>
      <c r="BU32" s="43"/>
      <c r="BV32" s="43"/>
      <c r="BW32" s="43"/>
      <c r="BX32" s="43"/>
      <c r="BY32" s="43"/>
      <c r="BZ32" s="43"/>
      <c r="CA32" s="43"/>
      <c r="CB32" s="43"/>
      <c r="CC32" s="43"/>
      <c r="CD32" s="43"/>
      <c r="CE32" s="43"/>
      <c r="CF32" s="43"/>
      <c r="CG32" s="43"/>
      <c r="CH32" s="43"/>
      <c r="CI32" s="43"/>
      <c r="CJ32" s="43"/>
      <c r="CK32" s="43"/>
      <c r="CL32" s="43"/>
      <c r="CM32" s="43"/>
      <c r="CN32" s="44" t="str">
        <f t="shared" si="3"/>
        <v>InitUnitState('E105',,5000,,,,,,,,)</v>
      </c>
      <c r="CO32" s="44" t="str">
        <f t="shared" si="4"/>
        <v>InitUnitNormal('E105',,,,,,,,,,)</v>
      </c>
      <c r="CP32" s="44" t="str">
        <f t="shared" si="5"/>
        <v>InitUnitMagic('E105',,,,,3,,,,,)</v>
      </c>
      <c r="CQ32" s="44" t="str">
        <f t="shared" si="6"/>
        <v>InitUnitAdd('E105',,,,,,,,,,)</v>
      </c>
      <c r="CR32" s="44" t="str">
        <f t="shared" si="7"/>
        <v>InitEquipData('E105',,"",,E106,18000,,'','','','','','',"ReplaceableTextures\\CommandButtons\\BTNE106.blp")</v>
      </c>
      <c r="CS32" s="44"/>
      <c r="CT32" s="44"/>
      <c r="CU32" s="45" t="str">
        <f t="shared" si="225"/>
        <v>|n法强+5000|n冷却缩减+3%|n</v>
      </c>
      <c r="CV32" s="29" t="str">
        <f>"|cffffcc00属性：|r"&amp;CU32&amp;VLOOKUP(A32,合成公式!A:P,16,FALSE)&amp;T32</f>
        <v>|cffffcc00属性：|r|n法强+5000|n冷却缩减+3%|n</v>
      </c>
      <c r="DB32" s="30" t="str">
        <f t="shared" si="226"/>
        <v/>
      </c>
      <c r="DC32" s="30" t="str">
        <f t="shared" si="227"/>
        <v>|n法强+5000</v>
      </c>
      <c r="DD32" s="30" t="str">
        <f t="shared" si="228"/>
        <v/>
      </c>
      <c r="DE32" s="30" t="str">
        <f t="shared" si="229"/>
        <v/>
      </c>
      <c r="DF32" s="30" t="str">
        <f t="shared" si="230"/>
        <v/>
      </c>
      <c r="DG32" s="30" t="str">
        <f t="shared" si="231"/>
        <v/>
      </c>
      <c r="DH32" s="30" t="str">
        <f t="shared" si="232"/>
        <v/>
      </c>
      <c r="DI32" s="30" t="str">
        <f t="shared" si="233"/>
        <v/>
      </c>
      <c r="DJ32" s="30" t="str">
        <f t="shared" si="234"/>
        <v/>
      </c>
      <c r="DK32" s="30" t="str">
        <f t="shared" si="235"/>
        <v/>
      </c>
      <c r="DL32" s="30" t="str">
        <f t="shared" si="236"/>
        <v/>
      </c>
      <c r="DM32" s="30" t="str">
        <f t="shared" si="237"/>
        <v/>
      </c>
      <c r="DN32" s="30" t="str">
        <f t="shared" si="238"/>
        <v/>
      </c>
      <c r="DO32" s="30" t="str">
        <f t="shared" si="239"/>
        <v/>
      </c>
      <c r="DP32" s="30" t="str">
        <f t="shared" si="240"/>
        <v/>
      </c>
      <c r="DQ32" s="30" t="str">
        <f t="shared" si="241"/>
        <v/>
      </c>
      <c r="DR32" s="30" t="str">
        <f t="shared" si="242"/>
        <v/>
      </c>
      <c r="DS32" s="30" t="str">
        <f t="shared" si="243"/>
        <v/>
      </c>
      <c r="DT32" s="30" t="str">
        <f t="shared" si="244"/>
        <v/>
      </c>
      <c r="DU32" s="30" t="str">
        <f t="shared" si="245"/>
        <v/>
      </c>
      <c r="DV32" s="30" t="str">
        <f t="shared" si="246"/>
        <v/>
      </c>
      <c r="DW32" s="30" t="str">
        <f t="shared" si="247"/>
        <v/>
      </c>
      <c r="DX32" s="30" t="str">
        <f t="shared" si="248"/>
        <v/>
      </c>
      <c r="DY32" s="30" t="str">
        <f t="shared" si="249"/>
        <v/>
      </c>
      <c r="DZ32" s="30" t="str">
        <f t="shared" si="250"/>
        <v>|n冷却缩减+3%</v>
      </c>
      <c r="EA32" s="30" t="str">
        <f t="shared" si="251"/>
        <v/>
      </c>
      <c r="EB32" s="30" t="str">
        <f t="shared" si="252"/>
        <v/>
      </c>
      <c r="EC32" s="30" t="str">
        <f t="shared" si="253"/>
        <v/>
      </c>
      <c r="ED32" s="30" t="str">
        <f t="shared" si="254"/>
        <v/>
      </c>
      <c r="EE32" s="30" t="str">
        <f t="shared" si="255"/>
        <v/>
      </c>
      <c r="EF32" s="30" t="str">
        <f t="shared" si="256"/>
        <v/>
      </c>
      <c r="EG32" s="30" t="str">
        <f t="shared" si="257"/>
        <v/>
      </c>
      <c r="EH32" s="30" t="str">
        <f t="shared" si="258"/>
        <v/>
      </c>
      <c r="EI32" s="30" t="str">
        <f t="shared" si="259"/>
        <v/>
      </c>
      <c r="EJ32" s="30" t="str">
        <f t="shared" si="260"/>
        <v/>
      </c>
      <c r="EK32" s="30" t="str">
        <f t="shared" si="261"/>
        <v/>
      </c>
      <c r="EL32" s="30" t="str">
        <f t="shared" si="262"/>
        <v/>
      </c>
      <c r="EM32" s="30" t="str">
        <f t="shared" si="263"/>
        <v/>
      </c>
      <c r="EN32" s="30" t="str">
        <f t="shared" si="264"/>
        <v/>
      </c>
      <c r="EO32" s="30" t="str">
        <f t="shared" si="265"/>
        <v/>
      </c>
      <c r="EP32" s="30" t="str">
        <f t="shared" si="266"/>
        <v/>
      </c>
      <c r="EQ32" s="30" t="str">
        <f t="shared" si="267"/>
        <v/>
      </c>
      <c r="ER32" s="30" t="str">
        <f t="shared" si="268"/>
        <v/>
      </c>
      <c r="ES32" s="30" t="str">
        <f t="shared" si="269"/>
        <v/>
      </c>
      <c r="ET32" s="30" t="str">
        <f t="shared" si="270"/>
        <v/>
      </c>
      <c r="EU32" s="30" t="str">
        <f t="shared" si="271"/>
        <v/>
      </c>
      <c r="EV32" s="30" t="str">
        <f t="shared" si="272"/>
        <v/>
      </c>
      <c r="EW32" s="30" t="str">
        <f t="shared" si="273"/>
        <v/>
      </c>
      <c r="EX32" s="30" t="str">
        <f t="shared" si="274"/>
        <v/>
      </c>
      <c r="EY32" s="30" t="str">
        <f t="shared" si="275"/>
        <v/>
      </c>
      <c r="EZ32" s="30" t="str">
        <f t="shared" si="276"/>
        <v/>
      </c>
      <c r="FA32" s="30" t="str">
        <f t="shared" si="277"/>
        <v/>
      </c>
      <c r="FB32" s="30" t="str">
        <f t="shared" si="278"/>
        <v/>
      </c>
      <c r="FC32" s="30" t="str">
        <f t="shared" si="279"/>
        <v/>
      </c>
      <c r="FD32" s="30" t="str">
        <f t="shared" si="280"/>
        <v/>
      </c>
      <c r="FE32" s="30" t="str">
        <f t="shared" si="281"/>
        <v/>
      </c>
      <c r="FF32" s="30" t="str">
        <f t="shared" si="282"/>
        <v/>
      </c>
      <c r="FG32" s="30" t="str">
        <f t="shared" si="283"/>
        <v/>
      </c>
      <c r="FH32" s="30" t="str">
        <f t="shared" si="284"/>
        <v/>
      </c>
      <c r="FI32" s="30" t="str">
        <f t="shared" si="285"/>
        <v/>
      </c>
      <c r="FJ32" s="30" t="str">
        <f t="shared" si="286"/>
        <v/>
      </c>
      <c r="FK32" s="30" t="str">
        <f t="shared" si="287"/>
        <v/>
      </c>
      <c r="FL32" s="30" t="str">
        <f t="shared" si="288"/>
        <v/>
      </c>
      <c r="FM32" s="30" t="str">
        <f t="shared" si="289"/>
        <v/>
      </c>
      <c r="FN32" s="30" t="str">
        <f t="shared" si="290"/>
        <v/>
      </c>
      <c r="FO32" s="30" t="str">
        <f t="shared" si="291"/>
        <v/>
      </c>
      <c r="FP32" s="30" t="str">
        <f t="shared" si="292"/>
        <v/>
      </c>
      <c r="FQ32" s="30" t="str">
        <f t="shared" si="293"/>
        <v/>
      </c>
      <c r="FR32" s="30" t="str">
        <f t="shared" si="294"/>
        <v/>
      </c>
      <c r="FS32" s="30" t="str">
        <f t="shared" si="295"/>
        <v/>
      </c>
    </row>
    <row r="33" spans="1:175" s="24" customFormat="1" ht="16.5">
      <c r="A33" s="5"/>
      <c r="B33" s="36" t="s">
        <v>179</v>
      </c>
      <c r="C33" s="5" t="s">
        <v>737</v>
      </c>
      <c r="D33" s="31"/>
      <c r="E33" s="39"/>
      <c r="F33" s="40">
        <v>18600</v>
      </c>
      <c r="G33" s="38"/>
      <c r="H33" s="38"/>
      <c r="I33" s="38" t="str">
        <f t="shared" si="296"/>
        <v>E107</v>
      </c>
      <c r="J33" s="38"/>
      <c r="K33" s="38"/>
      <c r="L33" s="38"/>
      <c r="M33" s="38"/>
      <c r="N33" s="38"/>
      <c r="O33" s="38"/>
      <c r="P33" s="42"/>
      <c r="Q33" s="42"/>
      <c r="R33" s="42"/>
      <c r="S33" s="42"/>
      <c r="T33" s="101"/>
      <c r="U33" s="32" t="str">
        <f t="shared" si="224"/>
        <v>ReplaceableTextures\\CommandButtons\\BTNE106.blp</v>
      </c>
      <c r="V33" s="43"/>
      <c r="W33" s="43">
        <v>6400</v>
      </c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  <c r="AK33" s="43"/>
      <c r="AL33" s="43">
        <v>3</v>
      </c>
      <c r="AM33" s="43"/>
      <c r="AN33" s="43"/>
      <c r="AO33" s="43"/>
      <c r="AP33" s="43"/>
      <c r="AQ33" s="43"/>
      <c r="AR33" s="43"/>
      <c r="AS33" s="43"/>
      <c r="AT33" s="43">
        <v>6</v>
      </c>
      <c r="AU33" s="43"/>
      <c r="AV33" s="43"/>
      <c r="AW33" s="43"/>
      <c r="AX33" s="43"/>
      <c r="AY33" s="43"/>
      <c r="AZ33" s="43"/>
      <c r="BA33" s="43"/>
      <c r="BB33" s="43"/>
      <c r="BC33" s="43"/>
      <c r="BD33" s="43"/>
      <c r="BE33" s="43"/>
      <c r="BF33" s="43"/>
      <c r="BG33" s="43"/>
      <c r="BH33" s="43"/>
      <c r="BI33" s="43"/>
      <c r="BJ33" s="43"/>
      <c r="BK33" s="43"/>
      <c r="BL33" s="43"/>
      <c r="BM33" s="43"/>
      <c r="BN33" s="43"/>
      <c r="BO33" s="43"/>
      <c r="BP33" s="43"/>
      <c r="BQ33" s="43"/>
      <c r="BR33" s="43"/>
      <c r="BS33" s="43"/>
      <c r="BT33" s="43"/>
      <c r="BU33" s="43"/>
      <c r="BV33" s="43"/>
      <c r="BW33" s="43"/>
      <c r="BX33" s="43"/>
      <c r="BY33" s="43"/>
      <c r="BZ33" s="43"/>
      <c r="CA33" s="43"/>
      <c r="CB33" s="43"/>
      <c r="CC33" s="43"/>
      <c r="CD33" s="43"/>
      <c r="CE33" s="43"/>
      <c r="CF33" s="43"/>
      <c r="CG33" s="43"/>
      <c r="CH33" s="43"/>
      <c r="CI33" s="43"/>
      <c r="CJ33" s="43"/>
      <c r="CK33" s="43"/>
      <c r="CL33" s="43"/>
      <c r="CM33" s="43"/>
      <c r="CN33" s="44" t="str">
        <f t="shared" si="3"/>
        <v>InitUnitState('E106',,6400,,,,,,,,)</v>
      </c>
      <c r="CO33" s="44" t="str">
        <f t="shared" si="4"/>
        <v>InitUnitNormal('E106',,,,,,,3,,,)</v>
      </c>
      <c r="CP33" s="44" t="str">
        <f t="shared" si="5"/>
        <v>InitUnitMagic('E106',,,,,6,,,,,)</v>
      </c>
      <c r="CQ33" s="44" t="str">
        <f t="shared" si="6"/>
        <v>InitUnitAdd('E106',,,,,,,,,,)</v>
      </c>
      <c r="CR33" s="44" t="str">
        <f t="shared" si="7"/>
        <v>InitEquipData('E106',,"",,E107,18600,,'','','','','','',"ReplaceableTextures\\CommandButtons\\BTNE107.blp")</v>
      </c>
      <c r="CS33" s="44"/>
      <c r="CT33" s="44"/>
      <c r="CU33" s="45" t="str">
        <f t="shared" si="225"/>
        <v>|n法强+6400|n伤害加成+3%|n冷却缩减+6%|n</v>
      </c>
      <c r="CV33" s="29" t="str">
        <f>"|cffffcc00属性：|r"&amp;CU33&amp;VLOOKUP(A33,合成公式!A:P,16,FALSE)&amp;T33</f>
        <v>|cffffcc00属性：|r|n法强+6400|n伤害加成+3%|n冷却缩减+6%|n</v>
      </c>
      <c r="DB33" s="30" t="str">
        <f t="shared" si="226"/>
        <v/>
      </c>
      <c r="DC33" s="30" t="str">
        <f t="shared" si="227"/>
        <v>|n法强+6400</v>
      </c>
      <c r="DD33" s="30" t="str">
        <f t="shared" si="228"/>
        <v/>
      </c>
      <c r="DE33" s="30" t="str">
        <f t="shared" si="229"/>
        <v/>
      </c>
      <c r="DF33" s="30" t="str">
        <f t="shared" si="230"/>
        <v/>
      </c>
      <c r="DG33" s="30" t="str">
        <f t="shared" si="231"/>
        <v/>
      </c>
      <c r="DH33" s="30" t="str">
        <f t="shared" si="232"/>
        <v/>
      </c>
      <c r="DI33" s="30" t="str">
        <f t="shared" si="233"/>
        <v/>
      </c>
      <c r="DJ33" s="30" t="str">
        <f t="shared" si="234"/>
        <v/>
      </c>
      <c r="DK33" s="30" t="str">
        <f t="shared" si="235"/>
        <v/>
      </c>
      <c r="DL33" s="30" t="str">
        <f t="shared" si="236"/>
        <v/>
      </c>
      <c r="DM33" s="30" t="str">
        <f t="shared" si="237"/>
        <v/>
      </c>
      <c r="DN33" s="30" t="str">
        <f t="shared" si="238"/>
        <v/>
      </c>
      <c r="DO33" s="30" t="str">
        <f t="shared" si="239"/>
        <v/>
      </c>
      <c r="DP33" s="30" t="str">
        <f t="shared" si="240"/>
        <v/>
      </c>
      <c r="DQ33" s="30" t="str">
        <f t="shared" si="241"/>
        <v/>
      </c>
      <c r="DR33" s="30" t="str">
        <f t="shared" si="242"/>
        <v>|n伤害加成+3%</v>
      </c>
      <c r="DS33" s="30" t="str">
        <f t="shared" si="243"/>
        <v/>
      </c>
      <c r="DT33" s="30" t="str">
        <f t="shared" si="244"/>
        <v/>
      </c>
      <c r="DU33" s="30" t="str">
        <f t="shared" si="245"/>
        <v/>
      </c>
      <c r="DV33" s="30" t="str">
        <f t="shared" si="246"/>
        <v/>
      </c>
      <c r="DW33" s="30" t="str">
        <f t="shared" si="247"/>
        <v/>
      </c>
      <c r="DX33" s="30" t="str">
        <f t="shared" si="248"/>
        <v/>
      </c>
      <c r="DY33" s="30" t="str">
        <f t="shared" si="249"/>
        <v/>
      </c>
      <c r="DZ33" s="30" t="str">
        <f t="shared" si="250"/>
        <v>|n冷却缩减+6%</v>
      </c>
      <c r="EA33" s="30" t="str">
        <f t="shared" si="251"/>
        <v/>
      </c>
      <c r="EB33" s="30" t="str">
        <f t="shared" si="252"/>
        <v/>
      </c>
      <c r="EC33" s="30" t="str">
        <f t="shared" si="253"/>
        <v/>
      </c>
      <c r="ED33" s="30" t="str">
        <f t="shared" si="254"/>
        <v/>
      </c>
      <c r="EE33" s="30" t="str">
        <f t="shared" si="255"/>
        <v/>
      </c>
      <c r="EF33" s="30" t="str">
        <f t="shared" si="256"/>
        <v/>
      </c>
      <c r="EG33" s="30" t="str">
        <f t="shared" si="257"/>
        <v/>
      </c>
      <c r="EH33" s="30" t="str">
        <f t="shared" si="258"/>
        <v/>
      </c>
      <c r="EI33" s="30" t="str">
        <f t="shared" si="259"/>
        <v/>
      </c>
      <c r="EJ33" s="30" t="str">
        <f t="shared" si="260"/>
        <v/>
      </c>
      <c r="EK33" s="30" t="str">
        <f t="shared" si="261"/>
        <v/>
      </c>
      <c r="EL33" s="30" t="str">
        <f t="shared" si="262"/>
        <v/>
      </c>
      <c r="EM33" s="30" t="str">
        <f t="shared" si="263"/>
        <v/>
      </c>
      <c r="EN33" s="30" t="str">
        <f t="shared" si="264"/>
        <v/>
      </c>
      <c r="EO33" s="30" t="str">
        <f t="shared" si="265"/>
        <v/>
      </c>
      <c r="EP33" s="30" t="str">
        <f t="shared" si="266"/>
        <v/>
      </c>
      <c r="EQ33" s="30" t="str">
        <f t="shared" si="267"/>
        <v/>
      </c>
      <c r="ER33" s="30" t="str">
        <f t="shared" si="268"/>
        <v/>
      </c>
      <c r="ES33" s="30" t="str">
        <f t="shared" si="269"/>
        <v/>
      </c>
      <c r="ET33" s="30" t="str">
        <f t="shared" si="270"/>
        <v/>
      </c>
      <c r="EU33" s="30" t="str">
        <f t="shared" si="271"/>
        <v/>
      </c>
      <c r="EV33" s="30" t="str">
        <f t="shared" si="272"/>
        <v/>
      </c>
      <c r="EW33" s="30" t="str">
        <f t="shared" si="273"/>
        <v/>
      </c>
      <c r="EX33" s="30" t="str">
        <f t="shared" si="274"/>
        <v/>
      </c>
      <c r="EY33" s="30" t="str">
        <f t="shared" si="275"/>
        <v/>
      </c>
      <c r="EZ33" s="30" t="str">
        <f t="shared" si="276"/>
        <v/>
      </c>
      <c r="FA33" s="30" t="str">
        <f t="shared" si="277"/>
        <v/>
      </c>
      <c r="FB33" s="30" t="str">
        <f t="shared" si="278"/>
        <v/>
      </c>
      <c r="FC33" s="30" t="str">
        <f t="shared" si="279"/>
        <v/>
      </c>
      <c r="FD33" s="30" t="str">
        <f t="shared" si="280"/>
        <v/>
      </c>
      <c r="FE33" s="30" t="str">
        <f t="shared" si="281"/>
        <v/>
      </c>
      <c r="FF33" s="30" t="str">
        <f t="shared" si="282"/>
        <v/>
      </c>
      <c r="FG33" s="30" t="str">
        <f t="shared" si="283"/>
        <v/>
      </c>
      <c r="FH33" s="30" t="str">
        <f t="shared" si="284"/>
        <v/>
      </c>
      <c r="FI33" s="30" t="str">
        <f t="shared" si="285"/>
        <v/>
      </c>
      <c r="FJ33" s="30" t="str">
        <f t="shared" si="286"/>
        <v/>
      </c>
      <c r="FK33" s="30" t="str">
        <f t="shared" si="287"/>
        <v/>
      </c>
      <c r="FL33" s="30" t="str">
        <f t="shared" si="288"/>
        <v/>
      </c>
      <c r="FM33" s="30" t="str">
        <f t="shared" si="289"/>
        <v/>
      </c>
      <c r="FN33" s="30" t="str">
        <f t="shared" si="290"/>
        <v/>
      </c>
      <c r="FO33" s="30" t="str">
        <f t="shared" si="291"/>
        <v/>
      </c>
      <c r="FP33" s="30" t="str">
        <f t="shared" si="292"/>
        <v/>
      </c>
      <c r="FQ33" s="30" t="str">
        <f t="shared" si="293"/>
        <v/>
      </c>
      <c r="FR33" s="30" t="str">
        <f t="shared" si="294"/>
        <v/>
      </c>
      <c r="FS33" s="30" t="str">
        <f t="shared" si="295"/>
        <v/>
      </c>
    </row>
    <row r="34" spans="1:175" s="24" customFormat="1" ht="16.5">
      <c r="A34" s="5"/>
      <c r="B34" s="36" t="s">
        <v>180</v>
      </c>
      <c r="C34" s="5" t="s">
        <v>738</v>
      </c>
      <c r="D34" s="31"/>
      <c r="E34" s="39"/>
      <c r="F34" s="40">
        <v>19200</v>
      </c>
      <c r="G34" s="38"/>
      <c r="H34" s="38"/>
      <c r="I34" s="38" t="str">
        <f t="shared" si="296"/>
        <v>E108</v>
      </c>
      <c r="J34" s="38"/>
      <c r="K34" s="38"/>
      <c r="L34" s="38"/>
      <c r="M34" s="38"/>
      <c r="N34" s="38"/>
      <c r="O34" s="38"/>
      <c r="P34" s="42"/>
      <c r="Q34" s="42"/>
      <c r="R34" s="42"/>
      <c r="S34" s="42"/>
      <c r="T34" s="101"/>
      <c r="U34" s="32" t="str">
        <f t="shared" si="224"/>
        <v>ReplaceableTextures\\CommandButtons\\BTNE107.blp</v>
      </c>
      <c r="V34" s="43"/>
      <c r="W34" s="43">
        <v>7800</v>
      </c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  <c r="AK34" s="43"/>
      <c r="AL34" s="43">
        <v>3</v>
      </c>
      <c r="AM34" s="43"/>
      <c r="AN34" s="43"/>
      <c r="AO34" s="43"/>
      <c r="AP34" s="43"/>
      <c r="AQ34" s="43"/>
      <c r="AR34" s="43"/>
      <c r="AS34" s="43"/>
      <c r="AT34" s="43">
        <v>6</v>
      </c>
      <c r="AU34" s="43"/>
      <c r="AV34" s="43"/>
      <c r="AW34" s="43"/>
      <c r="AX34" s="43"/>
      <c r="AY34" s="43"/>
      <c r="AZ34" s="43"/>
      <c r="BA34" s="43"/>
      <c r="BB34" s="43"/>
      <c r="BC34" s="43"/>
      <c r="BD34" s="43"/>
      <c r="BE34" s="43"/>
      <c r="BF34" s="43"/>
      <c r="BG34" s="43"/>
      <c r="BH34" s="43"/>
      <c r="BI34" s="43"/>
      <c r="BJ34" s="43"/>
      <c r="BK34" s="43"/>
      <c r="BL34" s="43"/>
      <c r="BM34" s="43"/>
      <c r="BN34" s="43"/>
      <c r="BO34" s="43"/>
      <c r="BP34" s="43"/>
      <c r="BQ34" s="43"/>
      <c r="BR34" s="43"/>
      <c r="BS34" s="43"/>
      <c r="BT34" s="43"/>
      <c r="BU34" s="43"/>
      <c r="BV34" s="43"/>
      <c r="BW34" s="43"/>
      <c r="BX34" s="43"/>
      <c r="BY34" s="43"/>
      <c r="BZ34" s="43"/>
      <c r="CA34" s="43"/>
      <c r="CB34" s="43"/>
      <c r="CC34" s="43"/>
      <c r="CD34" s="43"/>
      <c r="CE34" s="43"/>
      <c r="CF34" s="43"/>
      <c r="CG34" s="43"/>
      <c r="CH34" s="43"/>
      <c r="CI34" s="43"/>
      <c r="CJ34" s="43"/>
      <c r="CK34" s="43"/>
      <c r="CL34" s="43"/>
      <c r="CM34" s="43"/>
      <c r="CN34" s="44" t="str">
        <f t="shared" si="3"/>
        <v>InitUnitState('E107',,7800,,,,,,,,)</v>
      </c>
      <c r="CO34" s="44" t="str">
        <f t="shared" si="4"/>
        <v>InitUnitNormal('E107',,,,,,,3,,,)</v>
      </c>
      <c r="CP34" s="44" t="str">
        <f t="shared" si="5"/>
        <v>InitUnitMagic('E107',,,,,6,,,,,)</v>
      </c>
      <c r="CQ34" s="44" t="str">
        <f t="shared" si="6"/>
        <v>InitUnitAdd('E107',,,,,,,,,,)</v>
      </c>
      <c r="CR34" s="44" t="str">
        <f t="shared" si="7"/>
        <v>InitEquipData('E107',,"",,E108,19200,,'','','','','','',"ReplaceableTextures\\CommandButtons\\BTNE108.blp")</v>
      </c>
      <c r="CS34" s="44"/>
      <c r="CT34" s="44"/>
      <c r="CU34" s="45" t="str">
        <f t="shared" si="225"/>
        <v>|n法强+7800|n伤害加成+3%|n冷却缩减+6%|n</v>
      </c>
      <c r="CV34" s="29" t="str">
        <f>"|cffffcc00属性：|r"&amp;CU34&amp;VLOOKUP(A34,合成公式!A:P,16,FALSE)&amp;T34</f>
        <v>|cffffcc00属性：|r|n法强+7800|n伤害加成+3%|n冷却缩减+6%|n</v>
      </c>
      <c r="DB34" s="30" t="str">
        <f t="shared" si="226"/>
        <v/>
      </c>
      <c r="DC34" s="30" t="str">
        <f t="shared" si="227"/>
        <v>|n法强+7800</v>
      </c>
      <c r="DD34" s="30" t="str">
        <f t="shared" si="228"/>
        <v/>
      </c>
      <c r="DE34" s="30" t="str">
        <f t="shared" si="229"/>
        <v/>
      </c>
      <c r="DF34" s="30" t="str">
        <f t="shared" si="230"/>
        <v/>
      </c>
      <c r="DG34" s="30" t="str">
        <f t="shared" si="231"/>
        <v/>
      </c>
      <c r="DH34" s="30" t="str">
        <f t="shared" si="232"/>
        <v/>
      </c>
      <c r="DI34" s="30" t="str">
        <f t="shared" si="233"/>
        <v/>
      </c>
      <c r="DJ34" s="30" t="str">
        <f t="shared" si="234"/>
        <v/>
      </c>
      <c r="DK34" s="30" t="str">
        <f t="shared" si="235"/>
        <v/>
      </c>
      <c r="DL34" s="30" t="str">
        <f t="shared" si="236"/>
        <v/>
      </c>
      <c r="DM34" s="30" t="str">
        <f t="shared" si="237"/>
        <v/>
      </c>
      <c r="DN34" s="30" t="str">
        <f t="shared" si="238"/>
        <v/>
      </c>
      <c r="DO34" s="30" t="str">
        <f t="shared" si="239"/>
        <v/>
      </c>
      <c r="DP34" s="30" t="str">
        <f t="shared" si="240"/>
        <v/>
      </c>
      <c r="DQ34" s="30" t="str">
        <f t="shared" si="241"/>
        <v/>
      </c>
      <c r="DR34" s="30" t="str">
        <f t="shared" si="242"/>
        <v>|n伤害加成+3%</v>
      </c>
      <c r="DS34" s="30" t="str">
        <f t="shared" si="243"/>
        <v/>
      </c>
      <c r="DT34" s="30" t="str">
        <f t="shared" si="244"/>
        <v/>
      </c>
      <c r="DU34" s="30" t="str">
        <f t="shared" si="245"/>
        <v/>
      </c>
      <c r="DV34" s="30" t="str">
        <f t="shared" si="246"/>
        <v/>
      </c>
      <c r="DW34" s="30" t="str">
        <f t="shared" si="247"/>
        <v/>
      </c>
      <c r="DX34" s="30" t="str">
        <f t="shared" si="248"/>
        <v/>
      </c>
      <c r="DY34" s="30" t="str">
        <f t="shared" si="249"/>
        <v/>
      </c>
      <c r="DZ34" s="30" t="str">
        <f t="shared" si="250"/>
        <v>|n冷却缩减+6%</v>
      </c>
      <c r="EA34" s="30" t="str">
        <f t="shared" si="251"/>
        <v/>
      </c>
      <c r="EB34" s="30" t="str">
        <f t="shared" si="252"/>
        <v/>
      </c>
      <c r="EC34" s="30" t="str">
        <f t="shared" si="253"/>
        <v/>
      </c>
      <c r="ED34" s="30" t="str">
        <f t="shared" si="254"/>
        <v/>
      </c>
      <c r="EE34" s="30" t="str">
        <f t="shared" si="255"/>
        <v/>
      </c>
      <c r="EF34" s="30" t="str">
        <f t="shared" si="256"/>
        <v/>
      </c>
      <c r="EG34" s="30" t="str">
        <f t="shared" si="257"/>
        <v/>
      </c>
      <c r="EH34" s="30" t="str">
        <f t="shared" si="258"/>
        <v/>
      </c>
      <c r="EI34" s="30" t="str">
        <f t="shared" si="259"/>
        <v/>
      </c>
      <c r="EJ34" s="30" t="str">
        <f t="shared" si="260"/>
        <v/>
      </c>
      <c r="EK34" s="30" t="str">
        <f t="shared" si="261"/>
        <v/>
      </c>
      <c r="EL34" s="30" t="str">
        <f t="shared" si="262"/>
        <v/>
      </c>
      <c r="EM34" s="30" t="str">
        <f t="shared" si="263"/>
        <v/>
      </c>
      <c r="EN34" s="30" t="str">
        <f t="shared" si="264"/>
        <v/>
      </c>
      <c r="EO34" s="30" t="str">
        <f t="shared" si="265"/>
        <v/>
      </c>
      <c r="EP34" s="30" t="str">
        <f t="shared" si="266"/>
        <v/>
      </c>
      <c r="EQ34" s="30" t="str">
        <f t="shared" si="267"/>
        <v/>
      </c>
      <c r="ER34" s="30" t="str">
        <f t="shared" si="268"/>
        <v/>
      </c>
      <c r="ES34" s="30" t="str">
        <f t="shared" si="269"/>
        <v/>
      </c>
      <c r="ET34" s="30" t="str">
        <f t="shared" si="270"/>
        <v/>
      </c>
      <c r="EU34" s="30" t="str">
        <f t="shared" si="271"/>
        <v/>
      </c>
      <c r="EV34" s="30" t="str">
        <f t="shared" si="272"/>
        <v/>
      </c>
      <c r="EW34" s="30" t="str">
        <f t="shared" si="273"/>
        <v/>
      </c>
      <c r="EX34" s="30" t="str">
        <f t="shared" si="274"/>
        <v/>
      </c>
      <c r="EY34" s="30" t="str">
        <f t="shared" si="275"/>
        <v/>
      </c>
      <c r="EZ34" s="30" t="str">
        <f t="shared" si="276"/>
        <v/>
      </c>
      <c r="FA34" s="30" t="str">
        <f t="shared" si="277"/>
        <v/>
      </c>
      <c r="FB34" s="30" t="str">
        <f t="shared" si="278"/>
        <v/>
      </c>
      <c r="FC34" s="30" t="str">
        <f t="shared" si="279"/>
        <v/>
      </c>
      <c r="FD34" s="30" t="str">
        <f t="shared" si="280"/>
        <v/>
      </c>
      <c r="FE34" s="30" t="str">
        <f t="shared" si="281"/>
        <v/>
      </c>
      <c r="FF34" s="30" t="str">
        <f t="shared" si="282"/>
        <v/>
      </c>
      <c r="FG34" s="30" t="str">
        <f t="shared" si="283"/>
        <v/>
      </c>
      <c r="FH34" s="30" t="str">
        <f t="shared" si="284"/>
        <v/>
      </c>
      <c r="FI34" s="30" t="str">
        <f t="shared" si="285"/>
        <v/>
      </c>
      <c r="FJ34" s="30" t="str">
        <f t="shared" si="286"/>
        <v/>
      </c>
      <c r="FK34" s="30" t="str">
        <f t="shared" si="287"/>
        <v/>
      </c>
      <c r="FL34" s="30" t="str">
        <f t="shared" si="288"/>
        <v/>
      </c>
      <c r="FM34" s="30" t="str">
        <f t="shared" si="289"/>
        <v/>
      </c>
      <c r="FN34" s="30" t="str">
        <f t="shared" si="290"/>
        <v/>
      </c>
      <c r="FO34" s="30" t="str">
        <f t="shared" si="291"/>
        <v/>
      </c>
      <c r="FP34" s="30" t="str">
        <f t="shared" si="292"/>
        <v/>
      </c>
      <c r="FQ34" s="30" t="str">
        <f t="shared" si="293"/>
        <v/>
      </c>
      <c r="FR34" s="30" t="str">
        <f t="shared" si="294"/>
        <v/>
      </c>
      <c r="FS34" s="30" t="str">
        <f t="shared" si="295"/>
        <v/>
      </c>
    </row>
    <row r="35" spans="1:175" s="24" customFormat="1" ht="16.5">
      <c r="A35" s="5"/>
      <c r="B35" s="36" t="s">
        <v>181</v>
      </c>
      <c r="C35" s="5" t="s">
        <v>739</v>
      </c>
      <c r="D35" s="31"/>
      <c r="E35" s="39"/>
      <c r="F35" s="40">
        <v>19800</v>
      </c>
      <c r="G35" s="38"/>
      <c r="H35" s="38"/>
      <c r="I35" s="38" t="str">
        <f t="shared" si="296"/>
        <v>E109</v>
      </c>
      <c r="J35" s="38"/>
      <c r="K35" s="38"/>
      <c r="L35" s="38"/>
      <c r="M35" s="38"/>
      <c r="N35" s="38"/>
      <c r="O35" s="38"/>
      <c r="P35" s="42"/>
      <c r="Q35" s="42"/>
      <c r="R35" s="42"/>
      <c r="S35" s="42"/>
      <c r="T35" s="101"/>
      <c r="U35" s="32" t="str">
        <f t="shared" si="224"/>
        <v>ReplaceableTextures\\CommandButtons\\BTNE108.blp</v>
      </c>
      <c r="V35" s="43"/>
      <c r="W35" s="43">
        <v>9200</v>
      </c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  <c r="AK35" s="43"/>
      <c r="AL35" s="43">
        <v>3</v>
      </c>
      <c r="AM35" s="43"/>
      <c r="AN35" s="43"/>
      <c r="AO35" s="43"/>
      <c r="AP35" s="43"/>
      <c r="AQ35" s="43"/>
      <c r="AR35" s="43"/>
      <c r="AS35" s="43"/>
      <c r="AT35" s="43">
        <v>6</v>
      </c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  <c r="BY35" s="43"/>
      <c r="BZ35" s="43"/>
      <c r="CA35" s="43"/>
      <c r="CB35" s="43"/>
      <c r="CC35" s="43"/>
      <c r="CD35" s="43"/>
      <c r="CE35" s="43"/>
      <c r="CF35" s="43"/>
      <c r="CG35" s="43"/>
      <c r="CH35" s="43"/>
      <c r="CI35" s="43"/>
      <c r="CJ35" s="43"/>
      <c r="CK35" s="43"/>
      <c r="CL35" s="43"/>
      <c r="CM35" s="43"/>
      <c r="CN35" s="44" t="str">
        <f t="shared" ref="CN35:CN66" si="297">"InitUnitState('"&amp;B35&amp;"',"&amp;V35&amp;","&amp;W35&amp;","&amp;X35&amp;","&amp;Y35&amp;","&amp;Z35&amp;","&amp;AA35&amp;","&amp;AB35&amp;","&amp;AC35&amp;","&amp;AD35&amp;","&amp;AE35&amp;")"</f>
        <v>InitUnitState('E108',,9200,,,,,,,,)</v>
      </c>
      <c r="CO35" s="44" t="str">
        <f t="shared" ref="CO35:CO66" si="298">"InitUnitNormal('"&amp;B35&amp;"',"&amp;AF35&amp;","&amp;AG35&amp;","&amp;AH35&amp;","&amp;AI35&amp;","&amp;AJ35&amp;","&amp;AK35&amp;","&amp;AL35&amp;","&amp;AM35&amp;","&amp;AN35&amp;","&amp;AO35&amp;")"</f>
        <v>InitUnitNormal('E108',,,,,,,3,,,)</v>
      </c>
      <c r="CP35" s="44" t="str">
        <f t="shared" ref="CP35:CP66" si="299">"InitUnitMagic('"&amp;B35&amp;"',"&amp;AP35&amp;","&amp;AQ35&amp;","&amp;AR35&amp;","&amp;AS35&amp;","&amp;AT35&amp;","&amp;AU35&amp;","&amp;AV35&amp;","&amp;AW35&amp;","&amp;BI35&amp;","&amp;BJ35&amp;")"</f>
        <v>InitUnitMagic('E108',,,,,6,,,,,)</v>
      </c>
      <c r="CQ35" s="44" t="str">
        <f t="shared" ref="CQ35:CQ66" si="300">"InitUnitAdd('"&amp;B35&amp;"',"&amp;BK35&amp;","&amp;BL35&amp;","&amp;BM35&amp;","&amp;BN35&amp;","&amp;BO35&amp;","&amp;BP35&amp;","&amp;BQ35&amp;","&amp;BR35&amp;","&amp;BS35&amp;","&amp;BT35&amp;")"</f>
        <v>InitUnitAdd('E108',,,,,,,,,,)</v>
      </c>
      <c r="CR35" s="44" t="str">
        <f t="shared" ref="CR35:CR52" si="301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InitEquipData('E108',,"",,E109,19800,,'','','','','','',"ReplaceableTextures\\CommandButtons\\BTNE109.blp")</v>
      </c>
      <c r="CS35" s="44"/>
      <c r="CT35" s="44"/>
      <c r="CU35" s="45" t="str">
        <f t="shared" si="225"/>
        <v>|n法强+9200|n伤害加成+3%|n冷却缩减+6%|n</v>
      </c>
      <c r="CV35" s="29" t="str">
        <f>"|cffffcc00属性：|r"&amp;CU35&amp;VLOOKUP(A35,合成公式!A:P,16,FALSE)&amp;T35</f>
        <v>|cffffcc00属性：|r|n法强+9200|n伤害加成+3%|n冷却缩减+6%|n</v>
      </c>
      <c r="DB35" s="30" t="str">
        <f t="shared" si="226"/>
        <v/>
      </c>
      <c r="DC35" s="30" t="str">
        <f t="shared" si="227"/>
        <v>|n法强+9200</v>
      </c>
      <c r="DD35" s="30" t="str">
        <f t="shared" si="228"/>
        <v/>
      </c>
      <c r="DE35" s="30" t="str">
        <f t="shared" si="229"/>
        <v/>
      </c>
      <c r="DF35" s="30" t="str">
        <f t="shared" si="230"/>
        <v/>
      </c>
      <c r="DG35" s="30" t="str">
        <f t="shared" si="231"/>
        <v/>
      </c>
      <c r="DH35" s="30" t="str">
        <f t="shared" si="232"/>
        <v/>
      </c>
      <c r="DI35" s="30" t="str">
        <f t="shared" si="233"/>
        <v/>
      </c>
      <c r="DJ35" s="30" t="str">
        <f t="shared" si="234"/>
        <v/>
      </c>
      <c r="DK35" s="30" t="str">
        <f t="shared" si="235"/>
        <v/>
      </c>
      <c r="DL35" s="30" t="str">
        <f t="shared" si="236"/>
        <v/>
      </c>
      <c r="DM35" s="30" t="str">
        <f t="shared" si="237"/>
        <v/>
      </c>
      <c r="DN35" s="30" t="str">
        <f t="shared" si="238"/>
        <v/>
      </c>
      <c r="DO35" s="30" t="str">
        <f t="shared" si="239"/>
        <v/>
      </c>
      <c r="DP35" s="30" t="str">
        <f t="shared" si="240"/>
        <v/>
      </c>
      <c r="DQ35" s="30" t="str">
        <f t="shared" si="241"/>
        <v/>
      </c>
      <c r="DR35" s="30" t="str">
        <f t="shared" si="242"/>
        <v>|n伤害加成+3%</v>
      </c>
      <c r="DS35" s="30" t="str">
        <f t="shared" si="243"/>
        <v/>
      </c>
      <c r="DT35" s="30" t="str">
        <f t="shared" si="244"/>
        <v/>
      </c>
      <c r="DU35" s="30" t="str">
        <f t="shared" si="245"/>
        <v/>
      </c>
      <c r="DV35" s="30" t="str">
        <f t="shared" si="246"/>
        <v/>
      </c>
      <c r="DW35" s="30" t="str">
        <f t="shared" si="247"/>
        <v/>
      </c>
      <c r="DX35" s="30" t="str">
        <f t="shared" si="248"/>
        <v/>
      </c>
      <c r="DY35" s="30" t="str">
        <f t="shared" si="249"/>
        <v/>
      </c>
      <c r="DZ35" s="30" t="str">
        <f t="shared" si="250"/>
        <v>|n冷却缩减+6%</v>
      </c>
      <c r="EA35" s="30" t="str">
        <f t="shared" si="251"/>
        <v/>
      </c>
      <c r="EB35" s="30" t="str">
        <f t="shared" si="252"/>
        <v/>
      </c>
      <c r="EC35" s="30" t="str">
        <f t="shared" si="253"/>
        <v/>
      </c>
      <c r="ED35" s="30" t="str">
        <f t="shared" si="254"/>
        <v/>
      </c>
      <c r="EE35" s="30" t="str">
        <f t="shared" si="255"/>
        <v/>
      </c>
      <c r="EF35" s="30" t="str">
        <f t="shared" si="256"/>
        <v/>
      </c>
      <c r="EG35" s="30" t="str">
        <f t="shared" si="257"/>
        <v/>
      </c>
      <c r="EH35" s="30" t="str">
        <f t="shared" si="258"/>
        <v/>
      </c>
      <c r="EI35" s="30" t="str">
        <f t="shared" si="259"/>
        <v/>
      </c>
      <c r="EJ35" s="30" t="str">
        <f t="shared" si="260"/>
        <v/>
      </c>
      <c r="EK35" s="30" t="str">
        <f t="shared" si="261"/>
        <v/>
      </c>
      <c r="EL35" s="30" t="str">
        <f t="shared" si="262"/>
        <v/>
      </c>
      <c r="EM35" s="30" t="str">
        <f t="shared" si="263"/>
        <v/>
      </c>
      <c r="EN35" s="30" t="str">
        <f t="shared" si="264"/>
        <v/>
      </c>
      <c r="EO35" s="30" t="str">
        <f t="shared" si="265"/>
        <v/>
      </c>
      <c r="EP35" s="30" t="str">
        <f t="shared" si="266"/>
        <v/>
      </c>
      <c r="EQ35" s="30" t="str">
        <f t="shared" si="267"/>
        <v/>
      </c>
      <c r="ER35" s="30" t="str">
        <f t="shared" si="268"/>
        <v/>
      </c>
      <c r="ES35" s="30" t="str">
        <f t="shared" si="269"/>
        <v/>
      </c>
      <c r="ET35" s="30" t="str">
        <f t="shared" si="270"/>
        <v/>
      </c>
      <c r="EU35" s="30" t="str">
        <f t="shared" si="271"/>
        <v/>
      </c>
      <c r="EV35" s="30" t="str">
        <f t="shared" si="272"/>
        <v/>
      </c>
      <c r="EW35" s="30" t="str">
        <f t="shared" si="273"/>
        <v/>
      </c>
      <c r="EX35" s="30" t="str">
        <f t="shared" si="274"/>
        <v/>
      </c>
      <c r="EY35" s="30" t="str">
        <f t="shared" si="275"/>
        <v/>
      </c>
      <c r="EZ35" s="30" t="str">
        <f t="shared" si="276"/>
        <v/>
      </c>
      <c r="FA35" s="30" t="str">
        <f t="shared" si="277"/>
        <v/>
      </c>
      <c r="FB35" s="30" t="str">
        <f t="shared" si="278"/>
        <v/>
      </c>
      <c r="FC35" s="30" t="str">
        <f t="shared" si="279"/>
        <v/>
      </c>
      <c r="FD35" s="30" t="str">
        <f t="shared" si="280"/>
        <v/>
      </c>
      <c r="FE35" s="30" t="str">
        <f t="shared" si="281"/>
        <v/>
      </c>
      <c r="FF35" s="30" t="str">
        <f t="shared" si="282"/>
        <v/>
      </c>
      <c r="FG35" s="30" t="str">
        <f t="shared" si="283"/>
        <v/>
      </c>
      <c r="FH35" s="30" t="str">
        <f t="shared" si="284"/>
        <v/>
      </c>
      <c r="FI35" s="30" t="str">
        <f t="shared" si="285"/>
        <v/>
      </c>
      <c r="FJ35" s="30" t="str">
        <f t="shared" si="286"/>
        <v/>
      </c>
      <c r="FK35" s="30" t="str">
        <f t="shared" si="287"/>
        <v/>
      </c>
      <c r="FL35" s="30" t="str">
        <f t="shared" si="288"/>
        <v/>
      </c>
      <c r="FM35" s="30" t="str">
        <f t="shared" si="289"/>
        <v/>
      </c>
      <c r="FN35" s="30" t="str">
        <f t="shared" si="290"/>
        <v/>
      </c>
      <c r="FO35" s="30" t="str">
        <f t="shared" si="291"/>
        <v/>
      </c>
      <c r="FP35" s="30" t="str">
        <f t="shared" si="292"/>
        <v/>
      </c>
      <c r="FQ35" s="30" t="str">
        <f t="shared" si="293"/>
        <v/>
      </c>
      <c r="FR35" s="30" t="str">
        <f t="shared" si="294"/>
        <v/>
      </c>
      <c r="FS35" s="30" t="str">
        <f t="shared" si="295"/>
        <v/>
      </c>
    </row>
    <row r="36" spans="1:175" s="24" customFormat="1" ht="16.5">
      <c r="A36" s="5"/>
      <c r="B36" s="36" t="s">
        <v>182</v>
      </c>
      <c r="C36" s="5" t="s">
        <v>740</v>
      </c>
      <c r="D36" s="31"/>
      <c r="E36" s="39"/>
      <c r="F36" s="40">
        <v>20400</v>
      </c>
      <c r="G36" s="38"/>
      <c r="H36" s="38"/>
      <c r="I36" s="38" t="str">
        <f t="shared" si="296"/>
        <v>E110</v>
      </c>
      <c r="J36" s="38"/>
      <c r="K36" s="38"/>
      <c r="L36" s="38"/>
      <c r="M36" s="38"/>
      <c r="N36" s="38"/>
      <c r="O36" s="38"/>
      <c r="P36" s="42"/>
      <c r="Q36" s="42"/>
      <c r="R36" s="42"/>
      <c r="S36" s="42"/>
      <c r="T36" s="101"/>
      <c r="U36" s="32" t="str">
        <f t="shared" ref="U36:U52" si="302">"ReplaceableTextures\\CommandButtons\\BTN"&amp;B36&amp;".blp"</f>
        <v>ReplaceableTextures\\CommandButtons\\BTNE109.blp</v>
      </c>
      <c r="V36" s="43"/>
      <c r="W36" s="43">
        <v>10600</v>
      </c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  <c r="AK36" s="43"/>
      <c r="AL36" s="43">
        <v>3</v>
      </c>
      <c r="AM36" s="43"/>
      <c r="AN36" s="43"/>
      <c r="AO36" s="43"/>
      <c r="AP36" s="43"/>
      <c r="AQ36" s="43"/>
      <c r="AR36" s="43"/>
      <c r="AS36" s="43"/>
      <c r="AT36" s="43">
        <v>6</v>
      </c>
      <c r="AU36" s="43"/>
      <c r="AV36" s="43"/>
      <c r="AW36" s="43"/>
      <c r="AX36" s="43"/>
      <c r="AY36" s="43"/>
      <c r="AZ36" s="43"/>
      <c r="BA36" s="43"/>
      <c r="BB36" s="43"/>
      <c r="BC36" s="43"/>
      <c r="BD36" s="43"/>
      <c r="BE36" s="43"/>
      <c r="BF36" s="43"/>
      <c r="BG36" s="43"/>
      <c r="BH36" s="43"/>
      <c r="BI36" s="43"/>
      <c r="BJ36" s="43"/>
      <c r="BK36" s="43"/>
      <c r="BL36" s="43"/>
      <c r="BM36" s="43"/>
      <c r="BN36" s="43"/>
      <c r="BO36" s="43"/>
      <c r="BP36" s="43"/>
      <c r="BQ36" s="43"/>
      <c r="BR36" s="43"/>
      <c r="BS36" s="43"/>
      <c r="BT36" s="43"/>
      <c r="BU36" s="43"/>
      <c r="BV36" s="43"/>
      <c r="BW36" s="43"/>
      <c r="BX36" s="43"/>
      <c r="BY36" s="43"/>
      <c r="BZ36" s="43"/>
      <c r="CA36" s="43"/>
      <c r="CB36" s="43"/>
      <c r="CC36" s="43"/>
      <c r="CD36" s="43"/>
      <c r="CE36" s="43"/>
      <c r="CF36" s="43"/>
      <c r="CG36" s="43"/>
      <c r="CH36" s="43"/>
      <c r="CI36" s="43"/>
      <c r="CJ36" s="43"/>
      <c r="CK36" s="43"/>
      <c r="CL36" s="43"/>
      <c r="CM36" s="43"/>
      <c r="CN36" s="44" t="str">
        <f t="shared" si="297"/>
        <v>InitUnitState('E109',,10600,,,,,,,,)</v>
      </c>
      <c r="CO36" s="44" t="str">
        <f t="shared" si="298"/>
        <v>InitUnitNormal('E109',,,,,,,3,,,)</v>
      </c>
      <c r="CP36" s="44" t="str">
        <f t="shared" si="299"/>
        <v>InitUnitMagic('E109',,,,,6,,,,,)</v>
      </c>
      <c r="CQ36" s="44" t="str">
        <f t="shared" si="300"/>
        <v>InitUnitAdd('E109',,,,,,,,,,)</v>
      </c>
      <c r="CR36" s="44" t="str">
        <f t="shared" si="301"/>
        <v>InitEquipData('E109',,"",,E110,20400,,'','','','','','',"ReplaceableTextures\\CommandButtons\\BTNE110.blp")</v>
      </c>
      <c r="CS36" s="44"/>
      <c r="CT36" s="44"/>
      <c r="CU36" s="45" t="str">
        <f t="shared" ref="CU36:CU52" si="303">CONCATENATE(DB36,DC36,DD36,DE36,DF36,DG36,DH36,DI36,DJ36,DK36,DL36,DM36,DN36,DO36,DP36,DQ36,DR36,DS36,DT36,DU36,DV36,DW36,DX36,DY36,DZ36,EA36,EB36,EC36,ED36,EE36,EF36,EG36,EH36,EI36,EJ36,EK36,EL36,EM36,EN36,EO36,EP36&amp;"|n")</f>
        <v>|n法强+10600|n伤害加成+3%|n冷却缩减+6%|n</v>
      </c>
      <c r="CV36" s="29" t="str">
        <f>"|cffffcc00属性：|r"&amp;CU36&amp;VLOOKUP(A36,合成公式!A:P,16,FALSE)&amp;T36</f>
        <v>|cffffcc00属性：|r|n法强+10600|n伤害加成+3%|n冷却缩减+6%|n</v>
      </c>
      <c r="DB36" s="30" t="str">
        <f t="shared" ref="DB36:DB52" si="304">IF(V36="","","|n"&amp;DB$2&amp;"+"&amp;V36&amp;DB$1)</f>
        <v/>
      </c>
      <c r="DC36" s="30" t="str">
        <f t="shared" ref="DC36:DC52" si="305">IF(W36="","","|n"&amp;DC$2&amp;"+"&amp;W36&amp;DC$1)</f>
        <v>|n法强+10600</v>
      </c>
      <c r="DD36" s="30" t="str">
        <f t="shared" ref="DD36:DD52" si="306">IF(X36="","","|n"&amp;DD$2&amp;"+"&amp;X36&amp;DD$1)</f>
        <v/>
      </c>
      <c r="DE36" s="30" t="str">
        <f t="shared" ref="DE36:DE52" si="307">IF(Y36="","","|n"&amp;DE$2&amp;"+"&amp;Y36&amp;DE$1)</f>
        <v/>
      </c>
      <c r="DF36" s="30" t="str">
        <f t="shared" ref="DF36:DF52" si="308">IF(Z36="","","|n"&amp;DF$2&amp;"+"&amp;Z36&amp;DF$1)</f>
        <v/>
      </c>
      <c r="DG36" s="30" t="str">
        <f t="shared" ref="DG36:DG52" si="309">IF(AA36="","","|n"&amp;DG$2&amp;"+"&amp;AA36&amp;DG$1)</f>
        <v/>
      </c>
      <c r="DH36" s="30" t="str">
        <f t="shared" ref="DH36:DH52" si="310">IF(AB36="","","|n"&amp;DH$2&amp;"+"&amp;AB36&amp;DH$1)</f>
        <v/>
      </c>
      <c r="DI36" s="30" t="str">
        <f t="shared" ref="DI36:DI52" si="311">IF(AC36="","","|n"&amp;DI$2&amp;"+"&amp;AC36&amp;DI$1)</f>
        <v/>
      </c>
      <c r="DJ36" s="30" t="str">
        <f t="shared" ref="DJ36:DJ52" si="312">IF(AD36="","","|n"&amp;DJ$2&amp;"+"&amp;AD36&amp;DJ$1)</f>
        <v/>
      </c>
      <c r="DK36" s="30" t="str">
        <f t="shared" ref="DK36:DK52" si="313">IF(AE36="","","|n"&amp;DK$2&amp;"+"&amp;AE36&amp;DK$1)</f>
        <v/>
      </c>
      <c r="DL36" s="30" t="str">
        <f t="shared" ref="DL36:DL52" si="314">IF(AF36="","","|n"&amp;DL$2&amp;"+"&amp;AF36&amp;DL$1)</f>
        <v/>
      </c>
      <c r="DM36" s="30" t="str">
        <f t="shared" ref="DM36:DM52" si="315">IF(AG36="","","|n"&amp;DM$2&amp;"+"&amp;AG36&amp;DM$1)</f>
        <v/>
      </c>
      <c r="DN36" s="30" t="str">
        <f t="shared" ref="DN36:DN52" si="316">IF(AH36="","","|n"&amp;DN$2&amp;"+"&amp;AH36&amp;DN$1)</f>
        <v/>
      </c>
      <c r="DO36" s="30" t="str">
        <f t="shared" ref="DO36:DO52" si="317">IF(AI36="","","|n"&amp;DO$2&amp;"+"&amp;AI36&amp;DO$1)</f>
        <v/>
      </c>
      <c r="DP36" s="30" t="str">
        <f t="shared" ref="DP36:DP52" si="318">IF(AJ36="","","|n"&amp;DP$2&amp;"+"&amp;AJ36&amp;DP$1)</f>
        <v/>
      </c>
      <c r="DQ36" s="30" t="str">
        <f t="shared" ref="DQ36:DQ52" si="319">IF(AK36="","","|n"&amp;DQ$2&amp;"+"&amp;AK36&amp;DQ$1)</f>
        <v/>
      </c>
      <c r="DR36" s="30" t="str">
        <f t="shared" ref="DR36:DR52" si="320">IF(AL36="","","|n"&amp;DR$2&amp;"+"&amp;AL36&amp;DR$1)</f>
        <v>|n伤害加成+3%</v>
      </c>
      <c r="DS36" s="30" t="str">
        <f t="shared" ref="DS36:DS52" si="321">IF(AM36="","","|n"&amp;DS$2&amp;"+"&amp;AM36&amp;DS$1)</f>
        <v/>
      </c>
      <c r="DT36" s="30" t="str">
        <f t="shared" ref="DT36:DT52" si="322">IF(AN36="","","|n"&amp;DT$2&amp;"+"&amp;AN36&amp;DT$1)</f>
        <v/>
      </c>
      <c r="DU36" s="30" t="str">
        <f t="shared" ref="DU36:DU52" si="323">IF(AO36="","","|n"&amp;DU$2&amp;"+"&amp;AO36&amp;DU$1)</f>
        <v/>
      </c>
      <c r="DV36" s="30" t="str">
        <f t="shared" ref="DV36:DV52" si="324">IF(AP36="","","|n"&amp;DV$2&amp;"+"&amp;AP36&amp;DV$1)</f>
        <v/>
      </c>
      <c r="DW36" s="30" t="str">
        <f t="shared" ref="DW36:DW52" si="325">IF(AQ36="","","|n"&amp;DW$2&amp;"+"&amp;AQ36&amp;DW$1)</f>
        <v/>
      </c>
      <c r="DX36" s="30" t="str">
        <f t="shared" ref="DX36:DX52" si="326">IF(AR36="","","|n"&amp;DX$2&amp;"+"&amp;AR36&amp;DX$1)</f>
        <v/>
      </c>
      <c r="DY36" s="30" t="str">
        <f t="shared" ref="DY36:DY52" si="327">IF(AS36="","","|n"&amp;DY$2&amp;"+"&amp;AS36&amp;DY$1)</f>
        <v/>
      </c>
      <c r="DZ36" s="30" t="str">
        <f t="shared" ref="DZ36:DZ52" si="328">IF(AT36="","","|n"&amp;DZ$2&amp;"+"&amp;AT36&amp;DZ$1)</f>
        <v>|n冷却缩减+6%</v>
      </c>
      <c r="EA36" s="30" t="str">
        <f t="shared" ref="EA36:EA52" si="329">IF(AU36="","","|n"&amp;EA$2&amp;"+"&amp;AU36&amp;EA$1)</f>
        <v/>
      </c>
      <c r="EB36" s="30" t="str">
        <f t="shared" ref="EB36:EB52" si="330">IF(AV36="","","|n"&amp;EB$2&amp;"+"&amp;AV36&amp;EB$1)</f>
        <v/>
      </c>
      <c r="EC36" s="30" t="str">
        <f t="shared" ref="EC36:EC52" si="331">IF(AW36="","","|n"&amp;EC$2&amp;"+"&amp;AW36&amp;EC$1)</f>
        <v/>
      </c>
      <c r="ED36" s="30" t="str">
        <f t="shared" ref="ED36:ED52" si="332">IF(AX36="","","|n"&amp;ED$2&amp;"+"&amp;AX36&amp;ED$1)</f>
        <v/>
      </c>
      <c r="EE36" s="30" t="str">
        <f t="shared" ref="EE36:EE52" si="333">IF(AY36="","","|n"&amp;EE$2&amp;"+"&amp;AY36&amp;EE$1)</f>
        <v/>
      </c>
      <c r="EF36" s="30" t="str">
        <f t="shared" ref="EF36:EF52" si="334">IF(AZ36="","","|n"&amp;EF$2&amp;"+"&amp;AZ36&amp;EF$1)</f>
        <v/>
      </c>
      <c r="EG36" s="30" t="str">
        <f t="shared" ref="EG36:EG52" si="335">IF(BA36="","","|n"&amp;EG$2&amp;"+"&amp;BA36&amp;EG$1)</f>
        <v/>
      </c>
      <c r="EH36" s="30" t="str">
        <f t="shared" ref="EH36:EH52" si="336">IF(BB36="","","|n"&amp;EH$2&amp;"+"&amp;BB36&amp;EH$1)</f>
        <v/>
      </c>
      <c r="EI36" s="30" t="str">
        <f t="shared" ref="EI36:EI52" si="337">IF(BC36="","","|n"&amp;EI$2&amp;"+"&amp;BC36&amp;EI$1)</f>
        <v/>
      </c>
      <c r="EJ36" s="30" t="str">
        <f t="shared" ref="EJ36:EJ52" si="338">IF(BD36="","","|n"&amp;EJ$2&amp;"+"&amp;BD36&amp;EJ$1)</f>
        <v/>
      </c>
      <c r="EK36" s="30" t="str">
        <f t="shared" ref="EK36:EK52" si="339">IF(BE36="","","|n"&amp;EK$2&amp;"+"&amp;BE36&amp;EK$1)</f>
        <v/>
      </c>
      <c r="EL36" s="30" t="str">
        <f t="shared" ref="EL36:EL52" si="340">IF(BF36="","","|n"&amp;EL$2&amp;"+"&amp;BF36&amp;EL$1)</f>
        <v/>
      </c>
      <c r="EM36" s="30" t="str">
        <f t="shared" ref="EM36:EM52" si="341">IF(BG36="","","|n"&amp;EM$2&amp;"+"&amp;BG36&amp;EM$1)</f>
        <v/>
      </c>
      <c r="EN36" s="30" t="str">
        <f t="shared" ref="EN36:EN52" si="342">IF(BH36="","","|n"&amp;EN$2&amp;"+"&amp;BH36&amp;EN$1)</f>
        <v/>
      </c>
      <c r="EO36" s="30" t="str">
        <f t="shared" ref="EO36:EO52" si="343">IF(BI36="","","|n"&amp;EO$2&amp;"+"&amp;BI36&amp;EO$1)</f>
        <v/>
      </c>
      <c r="EP36" s="30" t="str">
        <f t="shared" ref="EP36:EP52" si="344">IF(BJ36="","","|n"&amp;EP$2&amp;"+"&amp;BJ36&amp;EP$1)</f>
        <v/>
      </c>
      <c r="EQ36" s="30" t="str">
        <f t="shared" ref="EQ36:EQ52" si="345">IF(BK36="","","|n"&amp;EQ$2&amp;"+"&amp;BK36&amp;EQ$1)</f>
        <v/>
      </c>
      <c r="ER36" s="30" t="str">
        <f t="shared" ref="ER36:ER52" si="346">IF(BL36="","","|n"&amp;ER$2&amp;"+"&amp;BL36&amp;ER$1)</f>
        <v/>
      </c>
      <c r="ES36" s="30" t="str">
        <f t="shared" ref="ES36:ES52" si="347">IF(BM36="","","|n"&amp;ES$2&amp;"+"&amp;BM36&amp;ES$1)</f>
        <v/>
      </c>
      <c r="ET36" s="30" t="str">
        <f t="shared" ref="ET36:ET52" si="348">IF(BN36="","","|n"&amp;ET$2&amp;"+"&amp;BN36&amp;ET$1)</f>
        <v/>
      </c>
      <c r="EU36" s="30" t="str">
        <f t="shared" ref="EU36:EU52" si="349">IF(BO36="","","|n"&amp;EU$2&amp;"+"&amp;BO36&amp;EU$1)</f>
        <v/>
      </c>
      <c r="EV36" s="30" t="str">
        <f t="shared" ref="EV36:EV52" si="350">IF(BP36="","","|n"&amp;EV$2&amp;"+"&amp;BP36&amp;EV$1)</f>
        <v/>
      </c>
      <c r="EW36" s="30" t="str">
        <f t="shared" ref="EW36:EW52" si="351">IF(BQ36="","","|n"&amp;EW$2&amp;"+"&amp;BQ36&amp;EW$1)</f>
        <v/>
      </c>
      <c r="EX36" s="30" t="str">
        <f t="shared" ref="EX36:EX52" si="352">IF(BR36="","","|n"&amp;EX$2&amp;"+"&amp;BR36&amp;EX$1)</f>
        <v/>
      </c>
      <c r="EY36" s="30" t="str">
        <f t="shared" ref="EY36:EY52" si="353">IF(BS36="","","|n"&amp;EY$2&amp;"+"&amp;BS36&amp;EY$1)</f>
        <v/>
      </c>
      <c r="EZ36" s="30" t="str">
        <f t="shared" ref="EZ36:EZ52" si="354">IF(BT36="","","|n"&amp;EZ$2&amp;"+"&amp;BT36&amp;EZ$1)</f>
        <v/>
      </c>
      <c r="FA36" s="30" t="str">
        <f t="shared" ref="FA36:FA52" si="355">IF(BU36="","","|n"&amp;FA$2&amp;"+"&amp;BU36&amp;FA$1)</f>
        <v/>
      </c>
      <c r="FB36" s="30" t="str">
        <f t="shared" ref="FB36:FB52" si="356">IF(BV36="","","|n"&amp;FB$2&amp;"+"&amp;BV36&amp;FB$1)</f>
        <v/>
      </c>
      <c r="FC36" s="30" t="str">
        <f t="shared" ref="FC36:FC52" si="357">IF(BW36="","","|n"&amp;FC$2&amp;"+"&amp;BW36&amp;FC$1)</f>
        <v/>
      </c>
      <c r="FD36" s="30" t="str">
        <f t="shared" ref="FD36:FD52" si="358">IF(BX36="","","|n"&amp;FD$2&amp;"+"&amp;BX36&amp;FD$1)</f>
        <v/>
      </c>
      <c r="FE36" s="30" t="str">
        <f t="shared" ref="FE36:FE52" si="359">IF(BY36="","","|n"&amp;FE$2&amp;"+"&amp;BY36&amp;FE$1)</f>
        <v/>
      </c>
      <c r="FF36" s="30" t="str">
        <f t="shared" ref="FF36:FF52" si="360">IF(BZ36="","","|n"&amp;FF$2&amp;"+"&amp;BZ36&amp;FF$1)</f>
        <v/>
      </c>
      <c r="FG36" s="30" t="str">
        <f t="shared" ref="FG36:FG52" si="361">IF(CA36="","","|n"&amp;FG$2&amp;"+"&amp;CA36&amp;FG$1)</f>
        <v/>
      </c>
      <c r="FH36" s="30" t="str">
        <f t="shared" ref="FH36:FH52" si="362">IF(CB36="","","|n"&amp;FH$2&amp;"+"&amp;CB36&amp;FH$1)</f>
        <v/>
      </c>
      <c r="FI36" s="30" t="str">
        <f t="shared" ref="FI36:FI52" si="363">IF(CC36="","","|n"&amp;FI$2&amp;"+"&amp;CC36&amp;FI$1)</f>
        <v/>
      </c>
      <c r="FJ36" s="30" t="str">
        <f t="shared" ref="FJ36:FJ52" si="364">IF(CD36="","","|n"&amp;FJ$2&amp;"+"&amp;CD36&amp;FJ$1)</f>
        <v/>
      </c>
      <c r="FK36" s="30" t="str">
        <f t="shared" ref="FK36:FK52" si="365">IF(CE36="","","|n"&amp;FK$2&amp;"+"&amp;CE36&amp;FK$1)</f>
        <v/>
      </c>
      <c r="FL36" s="30" t="str">
        <f t="shared" ref="FL36:FL52" si="366">IF(CF36="","","|n"&amp;FL$2&amp;"+"&amp;CF36&amp;FL$1)</f>
        <v/>
      </c>
      <c r="FM36" s="30" t="str">
        <f t="shared" ref="FM36:FM52" si="367">IF(CG36="","","|n"&amp;FM$2&amp;"+"&amp;CG36&amp;FM$1)</f>
        <v/>
      </c>
      <c r="FN36" s="30" t="str">
        <f t="shared" ref="FN36:FN52" si="368">IF(CH36="","","|n"&amp;FN$2&amp;"+"&amp;CH36&amp;FN$1)</f>
        <v/>
      </c>
      <c r="FO36" s="30" t="str">
        <f t="shared" ref="FO36:FO52" si="369">IF(CI36="","","|n"&amp;FO$2&amp;"+"&amp;CI36&amp;FO$1)</f>
        <v/>
      </c>
      <c r="FP36" s="30" t="str">
        <f t="shared" ref="FP36:FP52" si="370">IF(CJ36="","","|n"&amp;FP$2&amp;"+"&amp;CJ36&amp;FP$1)</f>
        <v/>
      </c>
      <c r="FQ36" s="30" t="str">
        <f t="shared" ref="FQ36:FQ52" si="371">IF(CK36="","","|n"&amp;FQ$2&amp;"+"&amp;CK36&amp;FQ$1)</f>
        <v/>
      </c>
      <c r="FR36" s="30" t="str">
        <f t="shared" ref="FR36:FR52" si="372">IF(CL36="","","|n"&amp;FR$2&amp;"+"&amp;CL36&amp;FR$1)</f>
        <v/>
      </c>
      <c r="FS36" s="30" t="str">
        <f t="shared" ref="FS36:FS52" si="373">IF(CM36="","","|n"&amp;FS$2&amp;"+"&amp;CM36&amp;FS$1)</f>
        <v/>
      </c>
    </row>
    <row r="37" spans="1:175" s="24" customFormat="1" ht="16.5">
      <c r="A37" s="5"/>
      <c r="B37" s="36" t="s">
        <v>183</v>
      </c>
      <c r="C37" s="5" t="s">
        <v>741</v>
      </c>
      <c r="D37" s="31"/>
      <c r="E37" s="39"/>
      <c r="F37" s="40">
        <v>21000</v>
      </c>
      <c r="G37" s="38"/>
      <c r="H37" s="121" t="s">
        <v>933</v>
      </c>
      <c r="I37" s="38" t="str">
        <f t="shared" si="296"/>
        <v>E111</v>
      </c>
      <c r="J37" s="38"/>
      <c r="K37" s="38"/>
      <c r="L37" s="38"/>
      <c r="M37" s="38"/>
      <c r="N37" s="38"/>
      <c r="O37" s="38"/>
      <c r="P37" s="42"/>
      <c r="Q37" s="42"/>
      <c r="R37" s="42"/>
      <c r="S37" s="42"/>
      <c r="T37" s="101"/>
      <c r="U37" s="32" t="str">
        <f t="shared" si="302"/>
        <v>ReplaceableTextures\\CommandButtons\\BTNE110.blp</v>
      </c>
      <c r="V37" s="43"/>
      <c r="W37" s="43">
        <v>12000</v>
      </c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3"/>
      <c r="AK37" s="43"/>
      <c r="AL37" s="43">
        <v>3</v>
      </c>
      <c r="AM37" s="43"/>
      <c r="AN37" s="43"/>
      <c r="AO37" s="43"/>
      <c r="AP37" s="43"/>
      <c r="AQ37" s="43"/>
      <c r="AR37" s="43"/>
      <c r="AS37" s="43"/>
      <c r="AT37" s="43">
        <v>6</v>
      </c>
      <c r="AU37" s="43"/>
      <c r="AV37" s="43"/>
      <c r="AW37" s="43"/>
      <c r="AX37" s="43"/>
      <c r="AY37" s="43"/>
      <c r="AZ37" s="43"/>
      <c r="BA37" s="43"/>
      <c r="BB37" s="43"/>
      <c r="BC37" s="43"/>
      <c r="BD37" s="43"/>
      <c r="BE37" s="43"/>
      <c r="BF37" s="43"/>
      <c r="BG37" s="43"/>
      <c r="BH37" s="43"/>
      <c r="BI37" s="43"/>
      <c r="BJ37" s="43"/>
      <c r="BK37" s="43"/>
      <c r="BL37" s="43"/>
      <c r="BM37" s="43"/>
      <c r="BN37" s="43"/>
      <c r="BO37" s="43"/>
      <c r="BP37" s="43"/>
      <c r="BQ37" s="43"/>
      <c r="BR37" s="43"/>
      <c r="BS37" s="43"/>
      <c r="BT37" s="43"/>
      <c r="BU37" s="43"/>
      <c r="BV37" s="43"/>
      <c r="BW37" s="43"/>
      <c r="BX37" s="43"/>
      <c r="BY37" s="43"/>
      <c r="BZ37" s="43"/>
      <c r="CA37" s="43"/>
      <c r="CB37" s="43"/>
      <c r="CC37" s="43"/>
      <c r="CD37" s="43"/>
      <c r="CE37" s="43"/>
      <c r="CF37" s="43"/>
      <c r="CG37" s="43"/>
      <c r="CH37" s="43"/>
      <c r="CI37" s="43"/>
      <c r="CJ37" s="43"/>
      <c r="CK37" s="43"/>
      <c r="CL37" s="43"/>
      <c r="CM37" s="43"/>
      <c r="CN37" s="44" t="str">
        <f t="shared" si="297"/>
        <v>InitUnitState('E110',,12000,,,,,,,,)</v>
      </c>
      <c r="CO37" s="44" t="str">
        <f t="shared" si="298"/>
        <v>InitUnitNormal('E110',,,,,,,3,,,)</v>
      </c>
      <c r="CP37" s="44" t="str">
        <f t="shared" si="299"/>
        <v>InitUnitMagic('E110',,,,,6,,,,,)</v>
      </c>
      <c r="CQ37" s="44" t="str">
        <f t="shared" si="300"/>
        <v>InitUnitAdd('E110',,,,,,,,,,)</v>
      </c>
      <c r="CR37" s="44" t="str">
        <f t="shared" si="301"/>
        <v>InitEquipData('E110',,"",,E111,21000,,'','','','','','',"ReplaceableTextures\\CommandButtons\\BTNE111.blp")</v>
      </c>
      <c r="CS37" s="44"/>
      <c r="CT37" s="44"/>
      <c r="CU37" s="45" t="str">
        <f t="shared" si="303"/>
        <v>|n法强+12000|n伤害加成+3%|n冷却缩减+6%|n</v>
      </c>
      <c r="CV37" s="29" t="str">
        <f>"|cffffcc00属性：|r"&amp;CU37&amp;VLOOKUP(A37,合成公式!A:P,16,FALSE)&amp;T37</f>
        <v>|cffffcc00属性：|r|n法强+12000|n伤害加成+3%|n冷却缩减+6%|n</v>
      </c>
      <c r="DB37" s="30" t="str">
        <f t="shared" si="304"/>
        <v/>
      </c>
      <c r="DC37" s="30" t="str">
        <f t="shared" si="305"/>
        <v>|n法强+12000</v>
      </c>
      <c r="DD37" s="30" t="str">
        <f t="shared" si="306"/>
        <v/>
      </c>
      <c r="DE37" s="30" t="str">
        <f t="shared" si="307"/>
        <v/>
      </c>
      <c r="DF37" s="30" t="str">
        <f t="shared" si="308"/>
        <v/>
      </c>
      <c r="DG37" s="30" t="str">
        <f t="shared" si="309"/>
        <v/>
      </c>
      <c r="DH37" s="30" t="str">
        <f t="shared" si="310"/>
        <v/>
      </c>
      <c r="DI37" s="30" t="str">
        <f t="shared" si="311"/>
        <v/>
      </c>
      <c r="DJ37" s="30" t="str">
        <f t="shared" si="312"/>
        <v/>
      </c>
      <c r="DK37" s="30" t="str">
        <f t="shared" si="313"/>
        <v/>
      </c>
      <c r="DL37" s="30" t="str">
        <f t="shared" si="314"/>
        <v/>
      </c>
      <c r="DM37" s="30" t="str">
        <f t="shared" si="315"/>
        <v/>
      </c>
      <c r="DN37" s="30" t="str">
        <f t="shared" si="316"/>
        <v/>
      </c>
      <c r="DO37" s="30" t="str">
        <f t="shared" si="317"/>
        <v/>
      </c>
      <c r="DP37" s="30" t="str">
        <f t="shared" si="318"/>
        <v/>
      </c>
      <c r="DQ37" s="30" t="str">
        <f t="shared" si="319"/>
        <v/>
      </c>
      <c r="DR37" s="30" t="str">
        <f t="shared" si="320"/>
        <v>|n伤害加成+3%</v>
      </c>
      <c r="DS37" s="30" t="str">
        <f t="shared" si="321"/>
        <v/>
      </c>
      <c r="DT37" s="30" t="str">
        <f t="shared" si="322"/>
        <v/>
      </c>
      <c r="DU37" s="30" t="str">
        <f t="shared" si="323"/>
        <v/>
      </c>
      <c r="DV37" s="30" t="str">
        <f t="shared" si="324"/>
        <v/>
      </c>
      <c r="DW37" s="30" t="str">
        <f t="shared" si="325"/>
        <v/>
      </c>
      <c r="DX37" s="30" t="str">
        <f t="shared" si="326"/>
        <v/>
      </c>
      <c r="DY37" s="30" t="str">
        <f t="shared" si="327"/>
        <v/>
      </c>
      <c r="DZ37" s="30" t="str">
        <f t="shared" si="328"/>
        <v>|n冷却缩减+6%</v>
      </c>
      <c r="EA37" s="30" t="str">
        <f t="shared" si="329"/>
        <v/>
      </c>
      <c r="EB37" s="30" t="str">
        <f t="shared" si="330"/>
        <v/>
      </c>
      <c r="EC37" s="30" t="str">
        <f t="shared" si="331"/>
        <v/>
      </c>
      <c r="ED37" s="30" t="str">
        <f t="shared" si="332"/>
        <v/>
      </c>
      <c r="EE37" s="30" t="str">
        <f t="shared" si="333"/>
        <v/>
      </c>
      <c r="EF37" s="30" t="str">
        <f t="shared" si="334"/>
        <v/>
      </c>
      <c r="EG37" s="30" t="str">
        <f t="shared" si="335"/>
        <v/>
      </c>
      <c r="EH37" s="30" t="str">
        <f t="shared" si="336"/>
        <v/>
      </c>
      <c r="EI37" s="30" t="str">
        <f t="shared" si="337"/>
        <v/>
      </c>
      <c r="EJ37" s="30" t="str">
        <f t="shared" si="338"/>
        <v/>
      </c>
      <c r="EK37" s="30" t="str">
        <f t="shared" si="339"/>
        <v/>
      </c>
      <c r="EL37" s="30" t="str">
        <f t="shared" si="340"/>
        <v/>
      </c>
      <c r="EM37" s="30" t="str">
        <f t="shared" si="341"/>
        <v/>
      </c>
      <c r="EN37" s="30" t="str">
        <f t="shared" si="342"/>
        <v/>
      </c>
      <c r="EO37" s="30" t="str">
        <f t="shared" si="343"/>
        <v/>
      </c>
      <c r="EP37" s="30" t="str">
        <f t="shared" si="344"/>
        <v/>
      </c>
      <c r="EQ37" s="30" t="str">
        <f t="shared" si="345"/>
        <v/>
      </c>
      <c r="ER37" s="30" t="str">
        <f t="shared" si="346"/>
        <v/>
      </c>
      <c r="ES37" s="30" t="str">
        <f t="shared" si="347"/>
        <v/>
      </c>
      <c r="ET37" s="30" t="str">
        <f t="shared" si="348"/>
        <v/>
      </c>
      <c r="EU37" s="30" t="str">
        <f t="shared" si="349"/>
        <v/>
      </c>
      <c r="EV37" s="30" t="str">
        <f t="shared" si="350"/>
        <v/>
      </c>
      <c r="EW37" s="30" t="str">
        <f t="shared" si="351"/>
        <v/>
      </c>
      <c r="EX37" s="30" t="str">
        <f t="shared" si="352"/>
        <v/>
      </c>
      <c r="EY37" s="30" t="str">
        <f t="shared" si="353"/>
        <v/>
      </c>
      <c r="EZ37" s="30" t="str">
        <f t="shared" si="354"/>
        <v/>
      </c>
      <c r="FA37" s="30" t="str">
        <f t="shared" si="355"/>
        <v/>
      </c>
      <c r="FB37" s="30" t="str">
        <f t="shared" si="356"/>
        <v/>
      </c>
      <c r="FC37" s="30" t="str">
        <f t="shared" si="357"/>
        <v/>
      </c>
      <c r="FD37" s="30" t="str">
        <f t="shared" si="358"/>
        <v/>
      </c>
      <c r="FE37" s="30" t="str">
        <f t="shared" si="359"/>
        <v/>
      </c>
      <c r="FF37" s="30" t="str">
        <f t="shared" si="360"/>
        <v/>
      </c>
      <c r="FG37" s="30" t="str">
        <f t="shared" si="361"/>
        <v/>
      </c>
      <c r="FH37" s="30" t="str">
        <f t="shared" si="362"/>
        <v/>
      </c>
      <c r="FI37" s="30" t="str">
        <f t="shared" si="363"/>
        <v/>
      </c>
      <c r="FJ37" s="30" t="str">
        <f t="shared" si="364"/>
        <v/>
      </c>
      <c r="FK37" s="30" t="str">
        <f t="shared" si="365"/>
        <v/>
      </c>
      <c r="FL37" s="30" t="str">
        <f t="shared" si="366"/>
        <v/>
      </c>
      <c r="FM37" s="30" t="str">
        <f t="shared" si="367"/>
        <v/>
      </c>
      <c r="FN37" s="30" t="str">
        <f t="shared" si="368"/>
        <v/>
      </c>
      <c r="FO37" s="30" t="str">
        <f t="shared" si="369"/>
        <v/>
      </c>
      <c r="FP37" s="30" t="str">
        <f t="shared" si="370"/>
        <v/>
      </c>
      <c r="FQ37" s="30" t="str">
        <f t="shared" si="371"/>
        <v/>
      </c>
      <c r="FR37" s="30" t="str">
        <f t="shared" si="372"/>
        <v/>
      </c>
      <c r="FS37" s="30" t="str">
        <f t="shared" si="373"/>
        <v/>
      </c>
    </row>
    <row r="38" spans="1:175" s="24" customFormat="1" ht="16.5">
      <c r="A38" s="5"/>
      <c r="B38" s="36" t="s">
        <v>184</v>
      </c>
      <c r="C38" s="5" t="s">
        <v>742</v>
      </c>
      <c r="D38" s="31"/>
      <c r="E38" s="39"/>
      <c r="F38" s="40">
        <v>21800</v>
      </c>
      <c r="G38" s="38"/>
      <c r="H38" s="38"/>
      <c r="I38" s="38" t="str">
        <f t="shared" si="296"/>
        <v>E112</v>
      </c>
      <c r="J38" s="38"/>
      <c r="K38" s="38"/>
      <c r="L38" s="38"/>
      <c r="M38" s="38"/>
      <c r="N38" s="38"/>
      <c r="O38" s="38"/>
      <c r="P38" s="42"/>
      <c r="Q38" s="42"/>
      <c r="R38" s="42"/>
      <c r="S38" s="42"/>
      <c r="T38" s="101"/>
      <c r="U38" s="32" t="str">
        <f t="shared" si="302"/>
        <v>ReplaceableTextures\\CommandButtons\\BTNE111.blp</v>
      </c>
      <c r="V38" s="43"/>
      <c r="W38" s="43">
        <v>14200</v>
      </c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>
        <v>6</v>
      </c>
      <c r="AM38" s="43"/>
      <c r="AN38" s="43"/>
      <c r="AO38" s="43"/>
      <c r="AP38" s="43"/>
      <c r="AQ38" s="43"/>
      <c r="AR38" s="43"/>
      <c r="AS38" s="43"/>
      <c r="AT38" s="43">
        <v>9</v>
      </c>
      <c r="AU38" s="43"/>
      <c r="AV38" s="43"/>
      <c r="AW38" s="43"/>
      <c r="AX38" s="43"/>
      <c r="AY38" s="43"/>
      <c r="AZ38" s="43"/>
      <c r="BA38" s="43"/>
      <c r="BB38" s="43"/>
      <c r="BC38" s="43"/>
      <c r="BD38" s="43"/>
      <c r="BE38" s="43"/>
      <c r="BF38" s="43"/>
      <c r="BG38" s="43"/>
      <c r="BH38" s="43"/>
      <c r="BI38" s="43"/>
      <c r="BJ38" s="43"/>
      <c r="BK38" s="43"/>
      <c r="BL38" s="43"/>
      <c r="BM38" s="43"/>
      <c r="BN38" s="43"/>
      <c r="BO38" s="43"/>
      <c r="BP38" s="43"/>
      <c r="BQ38" s="43"/>
      <c r="BR38" s="43"/>
      <c r="BS38" s="43"/>
      <c r="BT38" s="43"/>
      <c r="BU38" s="43"/>
      <c r="BV38" s="43"/>
      <c r="BW38" s="43"/>
      <c r="BX38" s="43"/>
      <c r="BY38" s="43"/>
      <c r="BZ38" s="43"/>
      <c r="CA38" s="43"/>
      <c r="CB38" s="43"/>
      <c r="CC38" s="43"/>
      <c r="CD38" s="43"/>
      <c r="CE38" s="43"/>
      <c r="CF38" s="43"/>
      <c r="CG38" s="43"/>
      <c r="CH38" s="43"/>
      <c r="CI38" s="43"/>
      <c r="CJ38" s="43"/>
      <c r="CK38" s="43"/>
      <c r="CL38" s="43"/>
      <c r="CM38" s="43"/>
      <c r="CN38" s="44" t="str">
        <f t="shared" si="297"/>
        <v>InitUnitState('E111',,14200,,,,,,,,)</v>
      </c>
      <c r="CO38" s="44" t="str">
        <f t="shared" si="298"/>
        <v>InitUnitNormal('E111',,,,,,,6,,,)</v>
      </c>
      <c r="CP38" s="44" t="str">
        <f t="shared" si="299"/>
        <v>InitUnitMagic('E111',,,,,9,,,,,)</v>
      </c>
      <c r="CQ38" s="44" t="str">
        <f t="shared" si="300"/>
        <v>InitUnitAdd('E111',,,,,,,,,,)</v>
      </c>
      <c r="CR38" s="44" t="str">
        <f t="shared" si="301"/>
        <v>InitEquipData('E111',,"",,E112,21800,,'','','','','','',"ReplaceableTextures\\CommandButtons\\BTNE112.blp")</v>
      </c>
      <c r="CS38" s="44"/>
      <c r="CT38" s="44"/>
      <c r="CU38" s="45" t="str">
        <f t="shared" si="303"/>
        <v>|n法强+14200|n伤害加成+6%|n冷却缩减+9%|n</v>
      </c>
      <c r="CV38" s="29" t="str">
        <f>"|cffffcc00属性：|r"&amp;CU38&amp;VLOOKUP(A38,合成公式!A:P,16,FALSE)&amp;T38</f>
        <v>|cffffcc00属性：|r|n法强+14200|n伤害加成+6%|n冷却缩减+9%|n</v>
      </c>
      <c r="DB38" s="30" t="str">
        <f t="shared" si="304"/>
        <v/>
      </c>
      <c r="DC38" s="30" t="str">
        <f t="shared" si="305"/>
        <v>|n法强+14200</v>
      </c>
      <c r="DD38" s="30" t="str">
        <f t="shared" si="306"/>
        <v/>
      </c>
      <c r="DE38" s="30" t="str">
        <f t="shared" si="307"/>
        <v/>
      </c>
      <c r="DF38" s="30" t="str">
        <f t="shared" si="308"/>
        <v/>
      </c>
      <c r="DG38" s="30" t="str">
        <f t="shared" si="309"/>
        <v/>
      </c>
      <c r="DH38" s="30" t="str">
        <f t="shared" si="310"/>
        <v/>
      </c>
      <c r="DI38" s="30" t="str">
        <f t="shared" si="311"/>
        <v/>
      </c>
      <c r="DJ38" s="30" t="str">
        <f t="shared" si="312"/>
        <v/>
      </c>
      <c r="DK38" s="30" t="str">
        <f t="shared" si="313"/>
        <v/>
      </c>
      <c r="DL38" s="30" t="str">
        <f t="shared" si="314"/>
        <v/>
      </c>
      <c r="DM38" s="30" t="str">
        <f t="shared" si="315"/>
        <v/>
      </c>
      <c r="DN38" s="30" t="str">
        <f t="shared" si="316"/>
        <v/>
      </c>
      <c r="DO38" s="30" t="str">
        <f t="shared" si="317"/>
        <v/>
      </c>
      <c r="DP38" s="30" t="str">
        <f t="shared" si="318"/>
        <v/>
      </c>
      <c r="DQ38" s="30" t="str">
        <f t="shared" si="319"/>
        <v/>
      </c>
      <c r="DR38" s="30" t="str">
        <f t="shared" si="320"/>
        <v>|n伤害加成+6%</v>
      </c>
      <c r="DS38" s="30" t="str">
        <f t="shared" si="321"/>
        <v/>
      </c>
      <c r="DT38" s="30" t="str">
        <f t="shared" si="322"/>
        <v/>
      </c>
      <c r="DU38" s="30" t="str">
        <f t="shared" si="323"/>
        <v/>
      </c>
      <c r="DV38" s="30" t="str">
        <f t="shared" si="324"/>
        <v/>
      </c>
      <c r="DW38" s="30" t="str">
        <f t="shared" si="325"/>
        <v/>
      </c>
      <c r="DX38" s="30" t="str">
        <f t="shared" si="326"/>
        <v/>
      </c>
      <c r="DY38" s="30" t="str">
        <f t="shared" si="327"/>
        <v/>
      </c>
      <c r="DZ38" s="30" t="str">
        <f t="shared" si="328"/>
        <v>|n冷却缩减+9%</v>
      </c>
      <c r="EA38" s="30" t="str">
        <f t="shared" si="329"/>
        <v/>
      </c>
      <c r="EB38" s="30" t="str">
        <f t="shared" si="330"/>
        <v/>
      </c>
      <c r="EC38" s="30" t="str">
        <f t="shared" si="331"/>
        <v/>
      </c>
      <c r="ED38" s="30" t="str">
        <f t="shared" si="332"/>
        <v/>
      </c>
      <c r="EE38" s="30" t="str">
        <f t="shared" si="333"/>
        <v/>
      </c>
      <c r="EF38" s="30" t="str">
        <f t="shared" si="334"/>
        <v/>
      </c>
      <c r="EG38" s="30" t="str">
        <f t="shared" si="335"/>
        <v/>
      </c>
      <c r="EH38" s="30" t="str">
        <f t="shared" si="336"/>
        <v/>
      </c>
      <c r="EI38" s="30" t="str">
        <f t="shared" si="337"/>
        <v/>
      </c>
      <c r="EJ38" s="30" t="str">
        <f t="shared" si="338"/>
        <v/>
      </c>
      <c r="EK38" s="30" t="str">
        <f t="shared" si="339"/>
        <v/>
      </c>
      <c r="EL38" s="30" t="str">
        <f t="shared" si="340"/>
        <v/>
      </c>
      <c r="EM38" s="30" t="str">
        <f t="shared" si="341"/>
        <v/>
      </c>
      <c r="EN38" s="30" t="str">
        <f t="shared" si="342"/>
        <v/>
      </c>
      <c r="EO38" s="30" t="str">
        <f t="shared" si="343"/>
        <v/>
      </c>
      <c r="EP38" s="30" t="str">
        <f t="shared" si="344"/>
        <v/>
      </c>
      <c r="EQ38" s="30" t="str">
        <f t="shared" si="345"/>
        <v/>
      </c>
      <c r="ER38" s="30" t="str">
        <f t="shared" si="346"/>
        <v/>
      </c>
      <c r="ES38" s="30" t="str">
        <f t="shared" si="347"/>
        <v/>
      </c>
      <c r="ET38" s="30" t="str">
        <f t="shared" si="348"/>
        <v/>
      </c>
      <c r="EU38" s="30" t="str">
        <f t="shared" si="349"/>
        <v/>
      </c>
      <c r="EV38" s="30" t="str">
        <f t="shared" si="350"/>
        <v/>
      </c>
      <c r="EW38" s="30" t="str">
        <f t="shared" si="351"/>
        <v/>
      </c>
      <c r="EX38" s="30" t="str">
        <f t="shared" si="352"/>
        <v/>
      </c>
      <c r="EY38" s="30" t="str">
        <f t="shared" si="353"/>
        <v/>
      </c>
      <c r="EZ38" s="30" t="str">
        <f t="shared" si="354"/>
        <v/>
      </c>
      <c r="FA38" s="30" t="str">
        <f t="shared" si="355"/>
        <v/>
      </c>
      <c r="FB38" s="30" t="str">
        <f t="shared" si="356"/>
        <v/>
      </c>
      <c r="FC38" s="30" t="str">
        <f t="shared" si="357"/>
        <v/>
      </c>
      <c r="FD38" s="30" t="str">
        <f t="shared" si="358"/>
        <v/>
      </c>
      <c r="FE38" s="30" t="str">
        <f t="shared" si="359"/>
        <v/>
      </c>
      <c r="FF38" s="30" t="str">
        <f t="shared" si="360"/>
        <v/>
      </c>
      <c r="FG38" s="30" t="str">
        <f t="shared" si="361"/>
        <v/>
      </c>
      <c r="FH38" s="30" t="str">
        <f t="shared" si="362"/>
        <v/>
      </c>
      <c r="FI38" s="30" t="str">
        <f t="shared" si="363"/>
        <v/>
      </c>
      <c r="FJ38" s="30" t="str">
        <f t="shared" si="364"/>
        <v/>
      </c>
      <c r="FK38" s="30" t="str">
        <f t="shared" si="365"/>
        <v/>
      </c>
      <c r="FL38" s="30" t="str">
        <f t="shared" si="366"/>
        <v/>
      </c>
      <c r="FM38" s="30" t="str">
        <f t="shared" si="367"/>
        <v/>
      </c>
      <c r="FN38" s="30" t="str">
        <f t="shared" si="368"/>
        <v/>
      </c>
      <c r="FO38" s="30" t="str">
        <f t="shared" si="369"/>
        <v/>
      </c>
      <c r="FP38" s="30" t="str">
        <f t="shared" si="370"/>
        <v/>
      </c>
      <c r="FQ38" s="30" t="str">
        <f t="shared" si="371"/>
        <v/>
      </c>
      <c r="FR38" s="30" t="str">
        <f t="shared" si="372"/>
        <v/>
      </c>
      <c r="FS38" s="30" t="str">
        <f t="shared" si="373"/>
        <v/>
      </c>
    </row>
    <row r="39" spans="1:175" s="24" customFormat="1" ht="16.5">
      <c r="A39" s="5"/>
      <c r="B39" s="36" t="s">
        <v>185</v>
      </c>
      <c r="C39" s="5" t="s">
        <v>743</v>
      </c>
      <c r="D39" s="31"/>
      <c r="E39" s="39"/>
      <c r="F39" s="40">
        <v>22600</v>
      </c>
      <c r="G39" s="38"/>
      <c r="H39" s="38"/>
      <c r="I39" s="38" t="str">
        <f t="shared" si="296"/>
        <v>E113</v>
      </c>
      <c r="J39" s="38"/>
      <c r="K39" s="38"/>
      <c r="L39" s="38"/>
      <c r="M39" s="38"/>
      <c r="N39" s="38"/>
      <c r="O39" s="38"/>
      <c r="P39" s="42"/>
      <c r="Q39" s="42"/>
      <c r="R39" s="42"/>
      <c r="S39" s="42"/>
      <c r="T39" s="101"/>
      <c r="U39" s="32" t="str">
        <f t="shared" si="302"/>
        <v>ReplaceableTextures\\CommandButtons\\BTNE112.blp</v>
      </c>
      <c r="V39" s="43"/>
      <c r="W39" s="43">
        <v>16400</v>
      </c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  <c r="AK39" s="43"/>
      <c r="AL39" s="43">
        <v>6</v>
      </c>
      <c r="AM39" s="43"/>
      <c r="AN39" s="43"/>
      <c r="AO39" s="43"/>
      <c r="AP39" s="43"/>
      <c r="AQ39" s="43"/>
      <c r="AR39" s="43"/>
      <c r="AS39" s="43"/>
      <c r="AT39" s="43">
        <v>9</v>
      </c>
      <c r="AU39" s="43"/>
      <c r="AV39" s="43"/>
      <c r="AW39" s="43"/>
      <c r="AX39" s="43"/>
      <c r="AY39" s="43"/>
      <c r="AZ39" s="43"/>
      <c r="BA39" s="43"/>
      <c r="BB39" s="43"/>
      <c r="BC39" s="43"/>
      <c r="BD39" s="43"/>
      <c r="BE39" s="43"/>
      <c r="BF39" s="43"/>
      <c r="BG39" s="43"/>
      <c r="BH39" s="43"/>
      <c r="BI39" s="43"/>
      <c r="BJ39" s="43"/>
      <c r="BK39" s="43"/>
      <c r="BL39" s="43"/>
      <c r="BM39" s="43"/>
      <c r="BN39" s="43"/>
      <c r="BO39" s="43"/>
      <c r="BP39" s="43"/>
      <c r="BQ39" s="43"/>
      <c r="BR39" s="43"/>
      <c r="BS39" s="43"/>
      <c r="BT39" s="43"/>
      <c r="BU39" s="43"/>
      <c r="BV39" s="43"/>
      <c r="BW39" s="43"/>
      <c r="BX39" s="43"/>
      <c r="BY39" s="43"/>
      <c r="BZ39" s="43"/>
      <c r="CA39" s="43"/>
      <c r="CB39" s="43"/>
      <c r="CC39" s="43"/>
      <c r="CD39" s="43"/>
      <c r="CE39" s="43"/>
      <c r="CF39" s="43"/>
      <c r="CG39" s="43"/>
      <c r="CH39" s="43"/>
      <c r="CI39" s="43"/>
      <c r="CJ39" s="43"/>
      <c r="CK39" s="43"/>
      <c r="CL39" s="43"/>
      <c r="CM39" s="43"/>
      <c r="CN39" s="44" t="str">
        <f t="shared" si="297"/>
        <v>InitUnitState('E112',,16400,,,,,,,,)</v>
      </c>
      <c r="CO39" s="44" t="str">
        <f t="shared" si="298"/>
        <v>InitUnitNormal('E112',,,,,,,6,,,)</v>
      </c>
      <c r="CP39" s="44" t="str">
        <f t="shared" si="299"/>
        <v>InitUnitMagic('E112',,,,,9,,,,,)</v>
      </c>
      <c r="CQ39" s="44" t="str">
        <f t="shared" si="300"/>
        <v>InitUnitAdd('E112',,,,,,,,,,)</v>
      </c>
      <c r="CR39" s="44" t="str">
        <f t="shared" si="301"/>
        <v>InitEquipData('E112',,"",,E113,22600,,'','','','','','',"ReplaceableTextures\\CommandButtons\\BTNE113.blp")</v>
      </c>
      <c r="CS39" s="44"/>
      <c r="CT39" s="44"/>
      <c r="CU39" s="45" t="str">
        <f t="shared" si="303"/>
        <v>|n法强+16400|n伤害加成+6%|n冷却缩减+9%|n</v>
      </c>
      <c r="CV39" s="29" t="str">
        <f>"|cffffcc00属性：|r"&amp;CU39&amp;VLOOKUP(A39,合成公式!A:P,16,FALSE)&amp;T39</f>
        <v>|cffffcc00属性：|r|n法强+16400|n伤害加成+6%|n冷却缩减+9%|n</v>
      </c>
      <c r="DB39" s="30" t="str">
        <f t="shared" si="304"/>
        <v/>
      </c>
      <c r="DC39" s="30" t="str">
        <f t="shared" si="305"/>
        <v>|n法强+16400</v>
      </c>
      <c r="DD39" s="30" t="str">
        <f t="shared" si="306"/>
        <v/>
      </c>
      <c r="DE39" s="30" t="str">
        <f t="shared" si="307"/>
        <v/>
      </c>
      <c r="DF39" s="30" t="str">
        <f t="shared" si="308"/>
        <v/>
      </c>
      <c r="DG39" s="30" t="str">
        <f t="shared" si="309"/>
        <v/>
      </c>
      <c r="DH39" s="30" t="str">
        <f t="shared" si="310"/>
        <v/>
      </c>
      <c r="DI39" s="30" t="str">
        <f t="shared" si="311"/>
        <v/>
      </c>
      <c r="DJ39" s="30" t="str">
        <f t="shared" si="312"/>
        <v/>
      </c>
      <c r="DK39" s="30" t="str">
        <f t="shared" si="313"/>
        <v/>
      </c>
      <c r="DL39" s="30" t="str">
        <f t="shared" si="314"/>
        <v/>
      </c>
      <c r="DM39" s="30" t="str">
        <f t="shared" si="315"/>
        <v/>
      </c>
      <c r="DN39" s="30" t="str">
        <f t="shared" si="316"/>
        <v/>
      </c>
      <c r="DO39" s="30" t="str">
        <f t="shared" si="317"/>
        <v/>
      </c>
      <c r="DP39" s="30" t="str">
        <f t="shared" si="318"/>
        <v/>
      </c>
      <c r="DQ39" s="30" t="str">
        <f t="shared" si="319"/>
        <v/>
      </c>
      <c r="DR39" s="30" t="str">
        <f t="shared" si="320"/>
        <v>|n伤害加成+6%</v>
      </c>
      <c r="DS39" s="30" t="str">
        <f t="shared" si="321"/>
        <v/>
      </c>
      <c r="DT39" s="30" t="str">
        <f t="shared" si="322"/>
        <v/>
      </c>
      <c r="DU39" s="30" t="str">
        <f t="shared" si="323"/>
        <v/>
      </c>
      <c r="DV39" s="30" t="str">
        <f t="shared" si="324"/>
        <v/>
      </c>
      <c r="DW39" s="30" t="str">
        <f t="shared" si="325"/>
        <v/>
      </c>
      <c r="DX39" s="30" t="str">
        <f t="shared" si="326"/>
        <v/>
      </c>
      <c r="DY39" s="30" t="str">
        <f t="shared" si="327"/>
        <v/>
      </c>
      <c r="DZ39" s="30" t="str">
        <f t="shared" si="328"/>
        <v>|n冷却缩减+9%</v>
      </c>
      <c r="EA39" s="30" t="str">
        <f t="shared" si="329"/>
        <v/>
      </c>
      <c r="EB39" s="30" t="str">
        <f t="shared" si="330"/>
        <v/>
      </c>
      <c r="EC39" s="30" t="str">
        <f t="shared" si="331"/>
        <v/>
      </c>
      <c r="ED39" s="30" t="str">
        <f t="shared" si="332"/>
        <v/>
      </c>
      <c r="EE39" s="30" t="str">
        <f t="shared" si="333"/>
        <v/>
      </c>
      <c r="EF39" s="30" t="str">
        <f t="shared" si="334"/>
        <v/>
      </c>
      <c r="EG39" s="30" t="str">
        <f t="shared" si="335"/>
        <v/>
      </c>
      <c r="EH39" s="30" t="str">
        <f t="shared" si="336"/>
        <v/>
      </c>
      <c r="EI39" s="30" t="str">
        <f t="shared" si="337"/>
        <v/>
      </c>
      <c r="EJ39" s="30" t="str">
        <f t="shared" si="338"/>
        <v/>
      </c>
      <c r="EK39" s="30" t="str">
        <f t="shared" si="339"/>
        <v/>
      </c>
      <c r="EL39" s="30" t="str">
        <f t="shared" si="340"/>
        <v/>
      </c>
      <c r="EM39" s="30" t="str">
        <f t="shared" si="341"/>
        <v/>
      </c>
      <c r="EN39" s="30" t="str">
        <f t="shared" si="342"/>
        <v/>
      </c>
      <c r="EO39" s="30" t="str">
        <f t="shared" si="343"/>
        <v/>
      </c>
      <c r="EP39" s="30" t="str">
        <f t="shared" si="344"/>
        <v/>
      </c>
      <c r="EQ39" s="30" t="str">
        <f t="shared" si="345"/>
        <v/>
      </c>
      <c r="ER39" s="30" t="str">
        <f t="shared" si="346"/>
        <v/>
      </c>
      <c r="ES39" s="30" t="str">
        <f t="shared" si="347"/>
        <v/>
      </c>
      <c r="ET39" s="30" t="str">
        <f t="shared" si="348"/>
        <v/>
      </c>
      <c r="EU39" s="30" t="str">
        <f t="shared" si="349"/>
        <v/>
      </c>
      <c r="EV39" s="30" t="str">
        <f t="shared" si="350"/>
        <v/>
      </c>
      <c r="EW39" s="30" t="str">
        <f t="shared" si="351"/>
        <v/>
      </c>
      <c r="EX39" s="30" t="str">
        <f t="shared" si="352"/>
        <v/>
      </c>
      <c r="EY39" s="30" t="str">
        <f t="shared" si="353"/>
        <v/>
      </c>
      <c r="EZ39" s="30" t="str">
        <f t="shared" si="354"/>
        <v/>
      </c>
      <c r="FA39" s="30" t="str">
        <f t="shared" si="355"/>
        <v/>
      </c>
      <c r="FB39" s="30" t="str">
        <f t="shared" si="356"/>
        <v/>
      </c>
      <c r="FC39" s="30" t="str">
        <f t="shared" si="357"/>
        <v/>
      </c>
      <c r="FD39" s="30" t="str">
        <f t="shared" si="358"/>
        <v/>
      </c>
      <c r="FE39" s="30" t="str">
        <f t="shared" si="359"/>
        <v/>
      </c>
      <c r="FF39" s="30" t="str">
        <f t="shared" si="360"/>
        <v/>
      </c>
      <c r="FG39" s="30" t="str">
        <f t="shared" si="361"/>
        <v/>
      </c>
      <c r="FH39" s="30" t="str">
        <f t="shared" si="362"/>
        <v/>
      </c>
      <c r="FI39" s="30" t="str">
        <f t="shared" si="363"/>
        <v/>
      </c>
      <c r="FJ39" s="30" t="str">
        <f t="shared" si="364"/>
        <v/>
      </c>
      <c r="FK39" s="30" t="str">
        <f t="shared" si="365"/>
        <v/>
      </c>
      <c r="FL39" s="30" t="str">
        <f t="shared" si="366"/>
        <v/>
      </c>
      <c r="FM39" s="30" t="str">
        <f t="shared" si="367"/>
        <v/>
      </c>
      <c r="FN39" s="30" t="str">
        <f t="shared" si="368"/>
        <v/>
      </c>
      <c r="FO39" s="30" t="str">
        <f t="shared" si="369"/>
        <v/>
      </c>
      <c r="FP39" s="30" t="str">
        <f t="shared" si="370"/>
        <v/>
      </c>
      <c r="FQ39" s="30" t="str">
        <f t="shared" si="371"/>
        <v/>
      </c>
      <c r="FR39" s="30" t="str">
        <f t="shared" si="372"/>
        <v/>
      </c>
      <c r="FS39" s="30" t="str">
        <f t="shared" si="373"/>
        <v/>
      </c>
    </row>
    <row r="40" spans="1:175" s="24" customFormat="1" ht="16.5">
      <c r="A40" s="5"/>
      <c r="B40" s="36" t="s">
        <v>666</v>
      </c>
      <c r="C40" s="5" t="s">
        <v>744</v>
      </c>
      <c r="D40" s="31"/>
      <c r="E40" s="39"/>
      <c r="F40" s="40">
        <v>23400</v>
      </c>
      <c r="G40" s="38"/>
      <c r="H40" s="38"/>
      <c r="I40" s="38" t="str">
        <f t="shared" si="296"/>
        <v>E114</v>
      </c>
      <c r="J40" s="38"/>
      <c r="K40" s="38"/>
      <c r="L40" s="38"/>
      <c r="M40" s="38"/>
      <c r="N40" s="38"/>
      <c r="O40" s="38"/>
      <c r="P40" s="42"/>
      <c r="Q40" s="42"/>
      <c r="R40" s="42"/>
      <c r="S40" s="42"/>
      <c r="T40" s="101"/>
      <c r="U40" s="32" t="str">
        <f t="shared" si="302"/>
        <v>ReplaceableTextures\\CommandButtons\\BTNE113.blp</v>
      </c>
      <c r="V40" s="43"/>
      <c r="W40" s="43">
        <v>18600</v>
      </c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/>
      <c r="AI40" s="43"/>
      <c r="AJ40" s="43"/>
      <c r="AK40" s="43"/>
      <c r="AL40" s="43">
        <v>6</v>
      </c>
      <c r="AM40" s="43"/>
      <c r="AN40" s="43"/>
      <c r="AO40" s="43"/>
      <c r="AP40" s="43"/>
      <c r="AQ40" s="43"/>
      <c r="AR40" s="43"/>
      <c r="AS40" s="43"/>
      <c r="AT40" s="43">
        <v>9</v>
      </c>
      <c r="AU40" s="43"/>
      <c r="AV40" s="43"/>
      <c r="AW40" s="43"/>
      <c r="AX40" s="43"/>
      <c r="AY40" s="43"/>
      <c r="AZ40" s="43"/>
      <c r="BA40" s="43"/>
      <c r="BB40" s="43"/>
      <c r="BC40" s="43"/>
      <c r="BD40" s="43"/>
      <c r="BE40" s="43"/>
      <c r="BF40" s="43"/>
      <c r="BG40" s="43"/>
      <c r="BH40" s="43"/>
      <c r="BI40" s="43"/>
      <c r="BJ40" s="43"/>
      <c r="BK40" s="43"/>
      <c r="BL40" s="43"/>
      <c r="BM40" s="43"/>
      <c r="BN40" s="43"/>
      <c r="BO40" s="43"/>
      <c r="BP40" s="43"/>
      <c r="BQ40" s="43"/>
      <c r="BR40" s="43"/>
      <c r="BS40" s="43"/>
      <c r="BT40" s="43"/>
      <c r="BU40" s="43"/>
      <c r="BV40" s="43"/>
      <c r="BW40" s="43"/>
      <c r="BX40" s="43"/>
      <c r="BY40" s="43"/>
      <c r="BZ40" s="43"/>
      <c r="CA40" s="43"/>
      <c r="CB40" s="43"/>
      <c r="CC40" s="43"/>
      <c r="CD40" s="43"/>
      <c r="CE40" s="43"/>
      <c r="CF40" s="43"/>
      <c r="CG40" s="43"/>
      <c r="CH40" s="43"/>
      <c r="CI40" s="43"/>
      <c r="CJ40" s="43"/>
      <c r="CK40" s="43"/>
      <c r="CL40" s="43"/>
      <c r="CM40" s="43"/>
      <c r="CN40" s="44" t="str">
        <f t="shared" si="297"/>
        <v>InitUnitState('E113',,18600,,,,,,,,)</v>
      </c>
      <c r="CO40" s="44" t="str">
        <f t="shared" si="298"/>
        <v>InitUnitNormal('E113',,,,,,,6,,,)</v>
      </c>
      <c r="CP40" s="44" t="str">
        <f t="shared" si="299"/>
        <v>InitUnitMagic('E113',,,,,9,,,,,)</v>
      </c>
      <c r="CQ40" s="44" t="str">
        <f t="shared" si="300"/>
        <v>InitUnitAdd('E113',,,,,,,,,,)</v>
      </c>
      <c r="CR40" s="44" t="str">
        <f t="shared" si="301"/>
        <v>InitEquipData('E113',,"",,E114,23400,,'','','','','','',"ReplaceableTextures\\CommandButtons\\BTNE114.blp")</v>
      </c>
      <c r="CS40" s="44"/>
      <c r="CT40" s="44"/>
      <c r="CU40" s="45" t="str">
        <f t="shared" si="303"/>
        <v>|n法强+18600|n伤害加成+6%|n冷却缩减+9%|n</v>
      </c>
      <c r="CV40" s="29" t="str">
        <f>"|cffffcc00属性：|r"&amp;CU40&amp;VLOOKUP(A40,合成公式!A:P,16,FALSE)&amp;T40</f>
        <v>|cffffcc00属性：|r|n法强+18600|n伤害加成+6%|n冷却缩减+9%|n</v>
      </c>
      <c r="DB40" s="30" t="str">
        <f t="shared" si="304"/>
        <v/>
      </c>
      <c r="DC40" s="30" t="str">
        <f t="shared" si="305"/>
        <v>|n法强+18600</v>
      </c>
      <c r="DD40" s="30" t="str">
        <f t="shared" si="306"/>
        <v/>
      </c>
      <c r="DE40" s="30" t="str">
        <f t="shared" si="307"/>
        <v/>
      </c>
      <c r="DF40" s="30" t="str">
        <f t="shared" si="308"/>
        <v/>
      </c>
      <c r="DG40" s="30" t="str">
        <f t="shared" si="309"/>
        <v/>
      </c>
      <c r="DH40" s="30" t="str">
        <f t="shared" si="310"/>
        <v/>
      </c>
      <c r="DI40" s="30" t="str">
        <f t="shared" si="311"/>
        <v/>
      </c>
      <c r="DJ40" s="30" t="str">
        <f t="shared" si="312"/>
        <v/>
      </c>
      <c r="DK40" s="30" t="str">
        <f t="shared" si="313"/>
        <v/>
      </c>
      <c r="DL40" s="30" t="str">
        <f t="shared" si="314"/>
        <v/>
      </c>
      <c r="DM40" s="30" t="str">
        <f t="shared" si="315"/>
        <v/>
      </c>
      <c r="DN40" s="30" t="str">
        <f t="shared" si="316"/>
        <v/>
      </c>
      <c r="DO40" s="30" t="str">
        <f t="shared" si="317"/>
        <v/>
      </c>
      <c r="DP40" s="30" t="str">
        <f t="shared" si="318"/>
        <v/>
      </c>
      <c r="DQ40" s="30" t="str">
        <f t="shared" si="319"/>
        <v/>
      </c>
      <c r="DR40" s="30" t="str">
        <f t="shared" si="320"/>
        <v>|n伤害加成+6%</v>
      </c>
      <c r="DS40" s="30" t="str">
        <f t="shared" si="321"/>
        <v/>
      </c>
      <c r="DT40" s="30" t="str">
        <f t="shared" si="322"/>
        <v/>
      </c>
      <c r="DU40" s="30" t="str">
        <f t="shared" si="323"/>
        <v/>
      </c>
      <c r="DV40" s="30" t="str">
        <f t="shared" si="324"/>
        <v/>
      </c>
      <c r="DW40" s="30" t="str">
        <f t="shared" si="325"/>
        <v/>
      </c>
      <c r="DX40" s="30" t="str">
        <f t="shared" si="326"/>
        <v/>
      </c>
      <c r="DY40" s="30" t="str">
        <f t="shared" si="327"/>
        <v/>
      </c>
      <c r="DZ40" s="30" t="str">
        <f t="shared" si="328"/>
        <v>|n冷却缩减+9%</v>
      </c>
      <c r="EA40" s="30" t="str">
        <f t="shared" si="329"/>
        <v/>
      </c>
      <c r="EB40" s="30" t="str">
        <f t="shared" si="330"/>
        <v/>
      </c>
      <c r="EC40" s="30" t="str">
        <f t="shared" si="331"/>
        <v/>
      </c>
      <c r="ED40" s="30" t="str">
        <f t="shared" si="332"/>
        <v/>
      </c>
      <c r="EE40" s="30" t="str">
        <f t="shared" si="333"/>
        <v/>
      </c>
      <c r="EF40" s="30" t="str">
        <f t="shared" si="334"/>
        <v/>
      </c>
      <c r="EG40" s="30" t="str">
        <f t="shared" si="335"/>
        <v/>
      </c>
      <c r="EH40" s="30" t="str">
        <f t="shared" si="336"/>
        <v/>
      </c>
      <c r="EI40" s="30" t="str">
        <f t="shared" si="337"/>
        <v/>
      </c>
      <c r="EJ40" s="30" t="str">
        <f t="shared" si="338"/>
        <v/>
      </c>
      <c r="EK40" s="30" t="str">
        <f t="shared" si="339"/>
        <v/>
      </c>
      <c r="EL40" s="30" t="str">
        <f t="shared" si="340"/>
        <v/>
      </c>
      <c r="EM40" s="30" t="str">
        <f t="shared" si="341"/>
        <v/>
      </c>
      <c r="EN40" s="30" t="str">
        <f t="shared" si="342"/>
        <v/>
      </c>
      <c r="EO40" s="30" t="str">
        <f t="shared" si="343"/>
        <v/>
      </c>
      <c r="EP40" s="30" t="str">
        <f t="shared" si="344"/>
        <v/>
      </c>
      <c r="EQ40" s="30" t="str">
        <f t="shared" si="345"/>
        <v/>
      </c>
      <c r="ER40" s="30" t="str">
        <f t="shared" si="346"/>
        <v/>
      </c>
      <c r="ES40" s="30" t="str">
        <f t="shared" si="347"/>
        <v/>
      </c>
      <c r="ET40" s="30" t="str">
        <f t="shared" si="348"/>
        <v/>
      </c>
      <c r="EU40" s="30" t="str">
        <f t="shared" si="349"/>
        <v/>
      </c>
      <c r="EV40" s="30" t="str">
        <f t="shared" si="350"/>
        <v/>
      </c>
      <c r="EW40" s="30" t="str">
        <f t="shared" si="351"/>
        <v/>
      </c>
      <c r="EX40" s="30" t="str">
        <f t="shared" si="352"/>
        <v/>
      </c>
      <c r="EY40" s="30" t="str">
        <f t="shared" si="353"/>
        <v/>
      </c>
      <c r="EZ40" s="30" t="str">
        <f t="shared" si="354"/>
        <v/>
      </c>
      <c r="FA40" s="30" t="str">
        <f t="shared" si="355"/>
        <v/>
      </c>
      <c r="FB40" s="30" t="str">
        <f t="shared" si="356"/>
        <v/>
      </c>
      <c r="FC40" s="30" t="str">
        <f t="shared" si="357"/>
        <v/>
      </c>
      <c r="FD40" s="30" t="str">
        <f t="shared" si="358"/>
        <v/>
      </c>
      <c r="FE40" s="30" t="str">
        <f t="shared" si="359"/>
        <v/>
      </c>
      <c r="FF40" s="30" t="str">
        <f t="shared" si="360"/>
        <v/>
      </c>
      <c r="FG40" s="30" t="str">
        <f t="shared" si="361"/>
        <v/>
      </c>
      <c r="FH40" s="30" t="str">
        <f t="shared" si="362"/>
        <v/>
      </c>
      <c r="FI40" s="30" t="str">
        <f t="shared" si="363"/>
        <v/>
      </c>
      <c r="FJ40" s="30" t="str">
        <f t="shared" si="364"/>
        <v/>
      </c>
      <c r="FK40" s="30" t="str">
        <f t="shared" si="365"/>
        <v/>
      </c>
      <c r="FL40" s="30" t="str">
        <f t="shared" si="366"/>
        <v/>
      </c>
      <c r="FM40" s="30" t="str">
        <f t="shared" si="367"/>
        <v/>
      </c>
      <c r="FN40" s="30" t="str">
        <f t="shared" si="368"/>
        <v/>
      </c>
      <c r="FO40" s="30" t="str">
        <f t="shared" si="369"/>
        <v/>
      </c>
      <c r="FP40" s="30" t="str">
        <f t="shared" si="370"/>
        <v/>
      </c>
      <c r="FQ40" s="30" t="str">
        <f t="shared" si="371"/>
        <v/>
      </c>
      <c r="FR40" s="30" t="str">
        <f t="shared" si="372"/>
        <v/>
      </c>
      <c r="FS40" s="30" t="str">
        <f t="shared" si="373"/>
        <v/>
      </c>
    </row>
    <row r="41" spans="1:175" s="24" customFormat="1" ht="16.5">
      <c r="A41" s="5"/>
      <c r="B41" s="36" t="s">
        <v>667</v>
      </c>
      <c r="C41" s="5" t="s">
        <v>745</v>
      </c>
      <c r="D41" s="31"/>
      <c r="E41" s="39"/>
      <c r="F41" s="40">
        <v>24200</v>
      </c>
      <c r="G41" s="38"/>
      <c r="H41" s="38"/>
      <c r="I41" s="38" t="str">
        <f t="shared" si="296"/>
        <v>E115</v>
      </c>
      <c r="J41" s="38"/>
      <c r="K41" s="38"/>
      <c r="L41" s="38"/>
      <c r="M41" s="38"/>
      <c r="N41" s="38"/>
      <c r="O41" s="38"/>
      <c r="P41" s="42"/>
      <c r="Q41" s="42"/>
      <c r="R41" s="42"/>
      <c r="S41" s="42"/>
      <c r="T41" s="101"/>
      <c r="U41" s="32" t="str">
        <f t="shared" si="302"/>
        <v>ReplaceableTextures\\CommandButtons\\BTNE114.blp</v>
      </c>
      <c r="V41" s="43"/>
      <c r="W41" s="43">
        <v>20800</v>
      </c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  <c r="AK41" s="43"/>
      <c r="AL41" s="43">
        <v>6</v>
      </c>
      <c r="AM41" s="43"/>
      <c r="AN41" s="43"/>
      <c r="AO41" s="43"/>
      <c r="AP41" s="43"/>
      <c r="AQ41" s="43"/>
      <c r="AR41" s="43"/>
      <c r="AS41" s="43"/>
      <c r="AT41" s="43">
        <v>9</v>
      </c>
      <c r="AU41" s="43"/>
      <c r="AV41" s="43"/>
      <c r="AW41" s="43"/>
      <c r="AX41" s="43"/>
      <c r="AY41" s="43"/>
      <c r="AZ41" s="43"/>
      <c r="BA41" s="43"/>
      <c r="BB41" s="43"/>
      <c r="BC41" s="43"/>
      <c r="BD41" s="43"/>
      <c r="BE41" s="43"/>
      <c r="BF41" s="43"/>
      <c r="BG41" s="43"/>
      <c r="BH41" s="43"/>
      <c r="BI41" s="43"/>
      <c r="BJ41" s="43"/>
      <c r="BK41" s="43"/>
      <c r="BL41" s="43"/>
      <c r="BM41" s="43"/>
      <c r="BN41" s="43"/>
      <c r="BO41" s="43"/>
      <c r="BP41" s="43"/>
      <c r="BQ41" s="43"/>
      <c r="BR41" s="43"/>
      <c r="BS41" s="43"/>
      <c r="BT41" s="43"/>
      <c r="BU41" s="43"/>
      <c r="BV41" s="43"/>
      <c r="BW41" s="43"/>
      <c r="BX41" s="43"/>
      <c r="BY41" s="43"/>
      <c r="BZ41" s="43"/>
      <c r="CA41" s="43"/>
      <c r="CB41" s="43"/>
      <c r="CC41" s="43"/>
      <c r="CD41" s="43"/>
      <c r="CE41" s="43"/>
      <c r="CF41" s="43"/>
      <c r="CG41" s="43"/>
      <c r="CH41" s="43"/>
      <c r="CI41" s="43"/>
      <c r="CJ41" s="43"/>
      <c r="CK41" s="43"/>
      <c r="CL41" s="43"/>
      <c r="CM41" s="43"/>
      <c r="CN41" s="44" t="str">
        <f t="shared" si="297"/>
        <v>InitUnitState('E114',,20800,,,,,,,,)</v>
      </c>
      <c r="CO41" s="44" t="str">
        <f t="shared" si="298"/>
        <v>InitUnitNormal('E114',,,,,,,6,,,)</v>
      </c>
      <c r="CP41" s="44" t="str">
        <f t="shared" si="299"/>
        <v>InitUnitMagic('E114',,,,,9,,,,,)</v>
      </c>
      <c r="CQ41" s="44" t="str">
        <f t="shared" si="300"/>
        <v>InitUnitAdd('E114',,,,,,,,,,)</v>
      </c>
      <c r="CR41" s="44" t="str">
        <f t="shared" si="301"/>
        <v>InitEquipData('E114',,"",,E115,24200,,'','','','','','',"ReplaceableTextures\\CommandButtons\\BTNE115.blp")</v>
      </c>
      <c r="CS41" s="44"/>
      <c r="CT41" s="44"/>
      <c r="CU41" s="45" t="str">
        <f t="shared" si="303"/>
        <v>|n法强+20800|n伤害加成+6%|n冷却缩减+9%|n</v>
      </c>
      <c r="CV41" s="29" t="str">
        <f>"|cffffcc00属性：|r"&amp;CU41&amp;VLOOKUP(A41,合成公式!A:P,16,FALSE)&amp;T41</f>
        <v>|cffffcc00属性：|r|n法强+20800|n伤害加成+6%|n冷却缩减+9%|n</v>
      </c>
      <c r="DB41" s="30" t="str">
        <f t="shared" si="304"/>
        <v/>
      </c>
      <c r="DC41" s="30" t="str">
        <f t="shared" si="305"/>
        <v>|n法强+20800</v>
      </c>
      <c r="DD41" s="30" t="str">
        <f t="shared" si="306"/>
        <v/>
      </c>
      <c r="DE41" s="30" t="str">
        <f t="shared" si="307"/>
        <v/>
      </c>
      <c r="DF41" s="30" t="str">
        <f t="shared" si="308"/>
        <v/>
      </c>
      <c r="DG41" s="30" t="str">
        <f t="shared" si="309"/>
        <v/>
      </c>
      <c r="DH41" s="30" t="str">
        <f t="shared" si="310"/>
        <v/>
      </c>
      <c r="DI41" s="30" t="str">
        <f t="shared" si="311"/>
        <v/>
      </c>
      <c r="DJ41" s="30" t="str">
        <f t="shared" si="312"/>
        <v/>
      </c>
      <c r="DK41" s="30" t="str">
        <f t="shared" si="313"/>
        <v/>
      </c>
      <c r="DL41" s="30" t="str">
        <f t="shared" si="314"/>
        <v/>
      </c>
      <c r="DM41" s="30" t="str">
        <f t="shared" si="315"/>
        <v/>
      </c>
      <c r="DN41" s="30" t="str">
        <f t="shared" si="316"/>
        <v/>
      </c>
      <c r="DO41" s="30" t="str">
        <f t="shared" si="317"/>
        <v/>
      </c>
      <c r="DP41" s="30" t="str">
        <f t="shared" si="318"/>
        <v/>
      </c>
      <c r="DQ41" s="30" t="str">
        <f t="shared" si="319"/>
        <v/>
      </c>
      <c r="DR41" s="30" t="str">
        <f t="shared" si="320"/>
        <v>|n伤害加成+6%</v>
      </c>
      <c r="DS41" s="30" t="str">
        <f t="shared" si="321"/>
        <v/>
      </c>
      <c r="DT41" s="30" t="str">
        <f t="shared" si="322"/>
        <v/>
      </c>
      <c r="DU41" s="30" t="str">
        <f t="shared" si="323"/>
        <v/>
      </c>
      <c r="DV41" s="30" t="str">
        <f t="shared" si="324"/>
        <v/>
      </c>
      <c r="DW41" s="30" t="str">
        <f t="shared" si="325"/>
        <v/>
      </c>
      <c r="DX41" s="30" t="str">
        <f t="shared" si="326"/>
        <v/>
      </c>
      <c r="DY41" s="30" t="str">
        <f t="shared" si="327"/>
        <v/>
      </c>
      <c r="DZ41" s="30" t="str">
        <f t="shared" si="328"/>
        <v>|n冷却缩减+9%</v>
      </c>
      <c r="EA41" s="30" t="str">
        <f t="shared" si="329"/>
        <v/>
      </c>
      <c r="EB41" s="30" t="str">
        <f t="shared" si="330"/>
        <v/>
      </c>
      <c r="EC41" s="30" t="str">
        <f t="shared" si="331"/>
        <v/>
      </c>
      <c r="ED41" s="30" t="str">
        <f t="shared" si="332"/>
        <v/>
      </c>
      <c r="EE41" s="30" t="str">
        <f t="shared" si="333"/>
        <v/>
      </c>
      <c r="EF41" s="30" t="str">
        <f t="shared" si="334"/>
        <v/>
      </c>
      <c r="EG41" s="30" t="str">
        <f t="shared" si="335"/>
        <v/>
      </c>
      <c r="EH41" s="30" t="str">
        <f t="shared" si="336"/>
        <v/>
      </c>
      <c r="EI41" s="30" t="str">
        <f t="shared" si="337"/>
        <v/>
      </c>
      <c r="EJ41" s="30" t="str">
        <f t="shared" si="338"/>
        <v/>
      </c>
      <c r="EK41" s="30" t="str">
        <f t="shared" si="339"/>
        <v/>
      </c>
      <c r="EL41" s="30" t="str">
        <f t="shared" si="340"/>
        <v/>
      </c>
      <c r="EM41" s="30" t="str">
        <f t="shared" si="341"/>
        <v/>
      </c>
      <c r="EN41" s="30" t="str">
        <f t="shared" si="342"/>
        <v/>
      </c>
      <c r="EO41" s="30" t="str">
        <f t="shared" si="343"/>
        <v/>
      </c>
      <c r="EP41" s="30" t="str">
        <f t="shared" si="344"/>
        <v/>
      </c>
      <c r="EQ41" s="30" t="str">
        <f t="shared" si="345"/>
        <v/>
      </c>
      <c r="ER41" s="30" t="str">
        <f t="shared" si="346"/>
        <v/>
      </c>
      <c r="ES41" s="30" t="str">
        <f t="shared" si="347"/>
        <v/>
      </c>
      <c r="ET41" s="30" t="str">
        <f t="shared" si="348"/>
        <v/>
      </c>
      <c r="EU41" s="30" t="str">
        <f t="shared" si="349"/>
        <v/>
      </c>
      <c r="EV41" s="30" t="str">
        <f t="shared" si="350"/>
        <v/>
      </c>
      <c r="EW41" s="30" t="str">
        <f t="shared" si="351"/>
        <v/>
      </c>
      <c r="EX41" s="30" t="str">
        <f t="shared" si="352"/>
        <v/>
      </c>
      <c r="EY41" s="30" t="str">
        <f t="shared" si="353"/>
        <v/>
      </c>
      <c r="EZ41" s="30" t="str">
        <f t="shared" si="354"/>
        <v/>
      </c>
      <c r="FA41" s="30" t="str">
        <f t="shared" si="355"/>
        <v/>
      </c>
      <c r="FB41" s="30" t="str">
        <f t="shared" si="356"/>
        <v/>
      </c>
      <c r="FC41" s="30" t="str">
        <f t="shared" si="357"/>
        <v/>
      </c>
      <c r="FD41" s="30" t="str">
        <f t="shared" si="358"/>
        <v/>
      </c>
      <c r="FE41" s="30" t="str">
        <f t="shared" si="359"/>
        <v/>
      </c>
      <c r="FF41" s="30" t="str">
        <f t="shared" si="360"/>
        <v/>
      </c>
      <c r="FG41" s="30" t="str">
        <f t="shared" si="361"/>
        <v/>
      </c>
      <c r="FH41" s="30" t="str">
        <f t="shared" si="362"/>
        <v/>
      </c>
      <c r="FI41" s="30" t="str">
        <f t="shared" si="363"/>
        <v/>
      </c>
      <c r="FJ41" s="30" t="str">
        <f t="shared" si="364"/>
        <v/>
      </c>
      <c r="FK41" s="30" t="str">
        <f t="shared" si="365"/>
        <v/>
      </c>
      <c r="FL41" s="30" t="str">
        <f t="shared" si="366"/>
        <v/>
      </c>
      <c r="FM41" s="30" t="str">
        <f t="shared" si="367"/>
        <v/>
      </c>
      <c r="FN41" s="30" t="str">
        <f t="shared" si="368"/>
        <v/>
      </c>
      <c r="FO41" s="30" t="str">
        <f t="shared" si="369"/>
        <v/>
      </c>
      <c r="FP41" s="30" t="str">
        <f t="shared" si="370"/>
        <v/>
      </c>
      <c r="FQ41" s="30" t="str">
        <f t="shared" si="371"/>
        <v/>
      </c>
      <c r="FR41" s="30" t="str">
        <f t="shared" si="372"/>
        <v/>
      </c>
      <c r="FS41" s="30" t="str">
        <f t="shared" si="373"/>
        <v/>
      </c>
    </row>
    <row r="42" spans="1:175" s="24" customFormat="1" ht="16.5">
      <c r="A42" s="5"/>
      <c r="B42" s="36" t="s">
        <v>668</v>
      </c>
      <c r="C42" s="5" t="s">
        <v>746</v>
      </c>
      <c r="D42" s="31"/>
      <c r="E42" s="39"/>
      <c r="F42" s="40">
        <v>25000</v>
      </c>
      <c r="G42" s="38"/>
      <c r="H42" s="121" t="s">
        <v>934</v>
      </c>
      <c r="I42" s="38" t="str">
        <f t="shared" si="296"/>
        <v>E116</v>
      </c>
      <c r="J42" s="38"/>
      <c r="K42" s="38"/>
      <c r="L42" s="38"/>
      <c r="M42" s="38"/>
      <c r="N42" s="38"/>
      <c r="O42" s="38"/>
      <c r="P42" s="42"/>
      <c r="Q42" s="42"/>
      <c r="R42" s="42"/>
      <c r="S42" s="42"/>
      <c r="T42" s="101"/>
      <c r="U42" s="32" t="str">
        <f t="shared" si="302"/>
        <v>ReplaceableTextures\\CommandButtons\\BTNE115.blp</v>
      </c>
      <c r="V42" s="43"/>
      <c r="W42" s="43">
        <v>23000</v>
      </c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>
        <v>6</v>
      </c>
      <c r="AM42" s="43"/>
      <c r="AN42" s="43"/>
      <c r="AO42" s="43"/>
      <c r="AP42" s="43"/>
      <c r="AQ42" s="43"/>
      <c r="AR42" s="43"/>
      <c r="AS42" s="43"/>
      <c r="AT42" s="43">
        <v>9</v>
      </c>
      <c r="AU42" s="43"/>
      <c r="AV42" s="43"/>
      <c r="AW42" s="43"/>
      <c r="AX42" s="43"/>
      <c r="AY42" s="43"/>
      <c r="AZ42" s="43"/>
      <c r="BA42" s="43"/>
      <c r="BB42" s="43"/>
      <c r="BC42" s="43"/>
      <c r="BD42" s="43"/>
      <c r="BE42" s="43"/>
      <c r="BF42" s="43"/>
      <c r="BG42" s="43"/>
      <c r="BH42" s="43"/>
      <c r="BI42" s="43"/>
      <c r="BJ42" s="43"/>
      <c r="BK42" s="43"/>
      <c r="BL42" s="43"/>
      <c r="BM42" s="43"/>
      <c r="BN42" s="43"/>
      <c r="BO42" s="43"/>
      <c r="BP42" s="43"/>
      <c r="BQ42" s="43"/>
      <c r="BR42" s="43"/>
      <c r="BS42" s="43"/>
      <c r="BT42" s="43"/>
      <c r="BU42" s="43"/>
      <c r="BV42" s="43"/>
      <c r="BW42" s="43"/>
      <c r="BX42" s="43"/>
      <c r="BY42" s="43"/>
      <c r="BZ42" s="43"/>
      <c r="CA42" s="43"/>
      <c r="CB42" s="43"/>
      <c r="CC42" s="43"/>
      <c r="CD42" s="43"/>
      <c r="CE42" s="43"/>
      <c r="CF42" s="43"/>
      <c r="CG42" s="43"/>
      <c r="CH42" s="43"/>
      <c r="CI42" s="43"/>
      <c r="CJ42" s="43"/>
      <c r="CK42" s="43"/>
      <c r="CL42" s="43"/>
      <c r="CM42" s="43"/>
      <c r="CN42" s="44" t="str">
        <f t="shared" si="297"/>
        <v>InitUnitState('E115',,23000,,,,,,,,)</v>
      </c>
      <c r="CO42" s="44" t="str">
        <f t="shared" si="298"/>
        <v>InitUnitNormal('E115',,,,,,,6,,,)</v>
      </c>
      <c r="CP42" s="44" t="str">
        <f t="shared" si="299"/>
        <v>InitUnitMagic('E115',,,,,9,,,,,)</v>
      </c>
      <c r="CQ42" s="44" t="str">
        <f t="shared" si="300"/>
        <v>InitUnitAdd('E115',,,,,,,,,,)</v>
      </c>
      <c r="CR42" s="44" t="str">
        <f t="shared" si="301"/>
        <v>InitEquipData('E115',,"",,E116,25000,,'','','','','','',"ReplaceableTextures\\CommandButtons\\BTNE116.blp")</v>
      </c>
      <c r="CS42" s="44"/>
      <c r="CT42" s="44"/>
      <c r="CU42" s="45" t="str">
        <f t="shared" si="303"/>
        <v>|n法强+23000|n伤害加成+6%|n冷却缩减+9%|n</v>
      </c>
      <c r="CV42" s="29" t="str">
        <f>"|cffffcc00属性：|r"&amp;CU42&amp;VLOOKUP(A42,合成公式!A:P,16,FALSE)&amp;T42</f>
        <v>|cffffcc00属性：|r|n法强+23000|n伤害加成+6%|n冷却缩减+9%|n</v>
      </c>
      <c r="DB42" s="30" t="str">
        <f t="shared" si="304"/>
        <v/>
      </c>
      <c r="DC42" s="30" t="str">
        <f t="shared" si="305"/>
        <v>|n法强+23000</v>
      </c>
      <c r="DD42" s="30" t="str">
        <f t="shared" si="306"/>
        <v/>
      </c>
      <c r="DE42" s="30" t="str">
        <f t="shared" si="307"/>
        <v/>
      </c>
      <c r="DF42" s="30" t="str">
        <f t="shared" si="308"/>
        <v/>
      </c>
      <c r="DG42" s="30" t="str">
        <f t="shared" si="309"/>
        <v/>
      </c>
      <c r="DH42" s="30" t="str">
        <f t="shared" si="310"/>
        <v/>
      </c>
      <c r="DI42" s="30" t="str">
        <f t="shared" si="311"/>
        <v/>
      </c>
      <c r="DJ42" s="30" t="str">
        <f t="shared" si="312"/>
        <v/>
      </c>
      <c r="DK42" s="30" t="str">
        <f t="shared" si="313"/>
        <v/>
      </c>
      <c r="DL42" s="30" t="str">
        <f t="shared" si="314"/>
        <v/>
      </c>
      <c r="DM42" s="30" t="str">
        <f t="shared" si="315"/>
        <v/>
      </c>
      <c r="DN42" s="30" t="str">
        <f t="shared" si="316"/>
        <v/>
      </c>
      <c r="DO42" s="30" t="str">
        <f t="shared" si="317"/>
        <v/>
      </c>
      <c r="DP42" s="30" t="str">
        <f t="shared" si="318"/>
        <v/>
      </c>
      <c r="DQ42" s="30" t="str">
        <f t="shared" si="319"/>
        <v/>
      </c>
      <c r="DR42" s="30" t="str">
        <f t="shared" si="320"/>
        <v>|n伤害加成+6%</v>
      </c>
      <c r="DS42" s="30" t="str">
        <f t="shared" si="321"/>
        <v/>
      </c>
      <c r="DT42" s="30" t="str">
        <f t="shared" si="322"/>
        <v/>
      </c>
      <c r="DU42" s="30" t="str">
        <f t="shared" si="323"/>
        <v/>
      </c>
      <c r="DV42" s="30" t="str">
        <f t="shared" si="324"/>
        <v/>
      </c>
      <c r="DW42" s="30" t="str">
        <f t="shared" si="325"/>
        <v/>
      </c>
      <c r="DX42" s="30" t="str">
        <f t="shared" si="326"/>
        <v/>
      </c>
      <c r="DY42" s="30" t="str">
        <f t="shared" si="327"/>
        <v/>
      </c>
      <c r="DZ42" s="30" t="str">
        <f t="shared" si="328"/>
        <v>|n冷却缩减+9%</v>
      </c>
      <c r="EA42" s="30" t="str">
        <f t="shared" si="329"/>
        <v/>
      </c>
      <c r="EB42" s="30" t="str">
        <f t="shared" si="330"/>
        <v/>
      </c>
      <c r="EC42" s="30" t="str">
        <f t="shared" si="331"/>
        <v/>
      </c>
      <c r="ED42" s="30" t="str">
        <f t="shared" si="332"/>
        <v/>
      </c>
      <c r="EE42" s="30" t="str">
        <f t="shared" si="333"/>
        <v/>
      </c>
      <c r="EF42" s="30" t="str">
        <f t="shared" si="334"/>
        <v/>
      </c>
      <c r="EG42" s="30" t="str">
        <f t="shared" si="335"/>
        <v/>
      </c>
      <c r="EH42" s="30" t="str">
        <f t="shared" si="336"/>
        <v/>
      </c>
      <c r="EI42" s="30" t="str">
        <f t="shared" si="337"/>
        <v/>
      </c>
      <c r="EJ42" s="30" t="str">
        <f t="shared" si="338"/>
        <v/>
      </c>
      <c r="EK42" s="30" t="str">
        <f t="shared" si="339"/>
        <v/>
      </c>
      <c r="EL42" s="30" t="str">
        <f t="shared" si="340"/>
        <v/>
      </c>
      <c r="EM42" s="30" t="str">
        <f t="shared" si="341"/>
        <v/>
      </c>
      <c r="EN42" s="30" t="str">
        <f t="shared" si="342"/>
        <v/>
      </c>
      <c r="EO42" s="30" t="str">
        <f t="shared" si="343"/>
        <v/>
      </c>
      <c r="EP42" s="30" t="str">
        <f t="shared" si="344"/>
        <v/>
      </c>
      <c r="EQ42" s="30" t="str">
        <f t="shared" si="345"/>
        <v/>
      </c>
      <c r="ER42" s="30" t="str">
        <f t="shared" si="346"/>
        <v/>
      </c>
      <c r="ES42" s="30" t="str">
        <f t="shared" si="347"/>
        <v/>
      </c>
      <c r="ET42" s="30" t="str">
        <f t="shared" si="348"/>
        <v/>
      </c>
      <c r="EU42" s="30" t="str">
        <f t="shared" si="349"/>
        <v/>
      </c>
      <c r="EV42" s="30" t="str">
        <f t="shared" si="350"/>
        <v/>
      </c>
      <c r="EW42" s="30" t="str">
        <f t="shared" si="351"/>
        <v/>
      </c>
      <c r="EX42" s="30" t="str">
        <f t="shared" si="352"/>
        <v/>
      </c>
      <c r="EY42" s="30" t="str">
        <f t="shared" si="353"/>
        <v/>
      </c>
      <c r="EZ42" s="30" t="str">
        <f t="shared" si="354"/>
        <v/>
      </c>
      <c r="FA42" s="30" t="str">
        <f t="shared" si="355"/>
        <v/>
      </c>
      <c r="FB42" s="30" t="str">
        <f t="shared" si="356"/>
        <v/>
      </c>
      <c r="FC42" s="30" t="str">
        <f t="shared" si="357"/>
        <v/>
      </c>
      <c r="FD42" s="30" t="str">
        <f t="shared" si="358"/>
        <v/>
      </c>
      <c r="FE42" s="30" t="str">
        <f t="shared" si="359"/>
        <v/>
      </c>
      <c r="FF42" s="30" t="str">
        <f t="shared" si="360"/>
        <v/>
      </c>
      <c r="FG42" s="30" t="str">
        <f t="shared" si="361"/>
        <v/>
      </c>
      <c r="FH42" s="30" t="str">
        <f t="shared" si="362"/>
        <v/>
      </c>
      <c r="FI42" s="30" t="str">
        <f t="shared" si="363"/>
        <v/>
      </c>
      <c r="FJ42" s="30" t="str">
        <f t="shared" si="364"/>
        <v/>
      </c>
      <c r="FK42" s="30" t="str">
        <f t="shared" si="365"/>
        <v/>
      </c>
      <c r="FL42" s="30" t="str">
        <f t="shared" si="366"/>
        <v/>
      </c>
      <c r="FM42" s="30" t="str">
        <f t="shared" si="367"/>
        <v/>
      </c>
      <c r="FN42" s="30" t="str">
        <f t="shared" si="368"/>
        <v/>
      </c>
      <c r="FO42" s="30" t="str">
        <f t="shared" si="369"/>
        <v/>
      </c>
      <c r="FP42" s="30" t="str">
        <f t="shared" si="370"/>
        <v/>
      </c>
      <c r="FQ42" s="30" t="str">
        <f t="shared" si="371"/>
        <v/>
      </c>
      <c r="FR42" s="30" t="str">
        <f t="shared" si="372"/>
        <v/>
      </c>
      <c r="FS42" s="30" t="str">
        <f t="shared" si="373"/>
        <v/>
      </c>
    </row>
    <row r="43" spans="1:175" s="24" customFormat="1" ht="16.5">
      <c r="A43" s="5"/>
      <c r="B43" s="36" t="s">
        <v>669</v>
      </c>
      <c r="C43" s="5" t="s">
        <v>747</v>
      </c>
      <c r="D43" s="31"/>
      <c r="E43" s="39"/>
      <c r="F43" s="40">
        <v>26000</v>
      </c>
      <c r="G43" s="38"/>
      <c r="H43" s="38"/>
      <c r="I43" s="38" t="str">
        <f t="shared" si="296"/>
        <v>E117</v>
      </c>
      <c r="J43" s="38"/>
      <c r="K43" s="38"/>
      <c r="L43" s="38"/>
      <c r="M43" s="38"/>
      <c r="N43" s="38"/>
      <c r="O43" s="38"/>
      <c r="P43" s="42"/>
      <c r="Q43" s="42"/>
      <c r="R43" s="42"/>
      <c r="S43" s="42"/>
      <c r="T43" s="101"/>
      <c r="U43" s="32" t="str">
        <f t="shared" si="302"/>
        <v>ReplaceableTextures\\CommandButtons\\BTNE116.blp</v>
      </c>
      <c r="V43" s="43"/>
      <c r="W43" s="43">
        <v>27400</v>
      </c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  <c r="AK43" s="43"/>
      <c r="AL43" s="43">
        <v>9</v>
      </c>
      <c r="AM43" s="43"/>
      <c r="AN43" s="43"/>
      <c r="AO43" s="43"/>
      <c r="AP43" s="43"/>
      <c r="AQ43" s="43"/>
      <c r="AR43" s="43"/>
      <c r="AS43" s="43"/>
      <c r="AT43" s="43">
        <v>12</v>
      </c>
      <c r="AU43" s="43"/>
      <c r="AV43" s="43"/>
      <c r="AW43" s="43"/>
      <c r="AX43" s="43"/>
      <c r="AY43" s="43"/>
      <c r="AZ43" s="43"/>
      <c r="BA43" s="43"/>
      <c r="BB43" s="43"/>
      <c r="BC43" s="43"/>
      <c r="BD43" s="43"/>
      <c r="BE43" s="43"/>
      <c r="BF43" s="43"/>
      <c r="BG43" s="43"/>
      <c r="BH43" s="43"/>
      <c r="BI43" s="43"/>
      <c r="BJ43" s="43"/>
      <c r="BK43" s="43"/>
      <c r="BL43" s="43"/>
      <c r="BM43" s="43"/>
      <c r="BN43" s="43"/>
      <c r="BO43" s="43"/>
      <c r="BP43" s="43"/>
      <c r="BQ43" s="43"/>
      <c r="BR43" s="43"/>
      <c r="BS43" s="43"/>
      <c r="BT43" s="43"/>
      <c r="BU43" s="43"/>
      <c r="BV43" s="43"/>
      <c r="BW43" s="43"/>
      <c r="BX43" s="43"/>
      <c r="BY43" s="43"/>
      <c r="BZ43" s="43"/>
      <c r="CA43" s="43"/>
      <c r="CB43" s="43"/>
      <c r="CC43" s="43"/>
      <c r="CD43" s="43"/>
      <c r="CE43" s="43"/>
      <c r="CF43" s="43"/>
      <c r="CG43" s="43"/>
      <c r="CH43" s="43"/>
      <c r="CI43" s="43"/>
      <c r="CJ43" s="43"/>
      <c r="CK43" s="43"/>
      <c r="CL43" s="43"/>
      <c r="CM43" s="43"/>
      <c r="CN43" s="44" t="str">
        <f t="shared" si="297"/>
        <v>InitUnitState('E116',,27400,,,,,,,,)</v>
      </c>
      <c r="CO43" s="44" t="str">
        <f t="shared" si="298"/>
        <v>InitUnitNormal('E116',,,,,,,9,,,)</v>
      </c>
      <c r="CP43" s="44" t="str">
        <f t="shared" si="299"/>
        <v>InitUnitMagic('E116',,,,,12,,,,,)</v>
      </c>
      <c r="CQ43" s="44" t="str">
        <f t="shared" si="300"/>
        <v>InitUnitAdd('E116',,,,,,,,,,)</v>
      </c>
      <c r="CR43" s="44" t="str">
        <f t="shared" si="301"/>
        <v>InitEquipData('E116',,"",,E117,26000,,'','','','','','',"ReplaceableTextures\\CommandButtons\\BTNE117.blp")</v>
      </c>
      <c r="CS43" s="44"/>
      <c r="CT43" s="44"/>
      <c r="CU43" s="45" t="str">
        <f t="shared" si="303"/>
        <v>|n法强+27400|n伤害加成+9%|n冷却缩减+12%|n</v>
      </c>
      <c r="CV43" s="29" t="str">
        <f>"|cffffcc00属性：|r"&amp;CU43&amp;VLOOKUP(A43,合成公式!A:P,16,FALSE)&amp;T43</f>
        <v>|cffffcc00属性：|r|n法强+27400|n伤害加成+9%|n冷却缩减+12%|n</v>
      </c>
      <c r="DB43" s="30" t="str">
        <f t="shared" si="304"/>
        <v/>
      </c>
      <c r="DC43" s="30" t="str">
        <f t="shared" si="305"/>
        <v>|n法强+27400</v>
      </c>
      <c r="DD43" s="30" t="str">
        <f t="shared" si="306"/>
        <v/>
      </c>
      <c r="DE43" s="30" t="str">
        <f t="shared" si="307"/>
        <v/>
      </c>
      <c r="DF43" s="30" t="str">
        <f t="shared" si="308"/>
        <v/>
      </c>
      <c r="DG43" s="30" t="str">
        <f t="shared" si="309"/>
        <v/>
      </c>
      <c r="DH43" s="30" t="str">
        <f t="shared" si="310"/>
        <v/>
      </c>
      <c r="DI43" s="30" t="str">
        <f t="shared" si="311"/>
        <v/>
      </c>
      <c r="DJ43" s="30" t="str">
        <f t="shared" si="312"/>
        <v/>
      </c>
      <c r="DK43" s="30" t="str">
        <f t="shared" si="313"/>
        <v/>
      </c>
      <c r="DL43" s="30" t="str">
        <f t="shared" si="314"/>
        <v/>
      </c>
      <c r="DM43" s="30" t="str">
        <f t="shared" si="315"/>
        <v/>
      </c>
      <c r="DN43" s="30" t="str">
        <f t="shared" si="316"/>
        <v/>
      </c>
      <c r="DO43" s="30" t="str">
        <f t="shared" si="317"/>
        <v/>
      </c>
      <c r="DP43" s="30" t="str">
        <f t="shared" si="318"/>
        <v/>
      </c>
      <c r="DQ43" s="30" t="str">
        <f t="shared" si="319"/>
        <v/>
      </c>
      <c r="DR43" s="30" t="str">
        <f t="shared" si="320"/>
        <v>|n伤害加成+9%</v>
      </c>
      <c r="DS43" s="30" t="str">
        <f t="shared" si="321"/>
        <v/>
      </c>
      <c r="DT43" s="30" t="str">
        <f t="shared" si="322"/>
        <v/>
      </c>
      <c r="DU43" s="30" t="str">
        <f t="shared" si="323"/>
        <v/>
      </c>
      <c r="DV43" s="30" t="str">
        <f t="shared" si="324"/>
        <v/>
      </c>
      <c r="DW43" s="30" t="str">
        <f t="shared" si="325"/>
        <v/>
      </c>
      <c r="DX43" s="30" t="str">
        <f t="shared" si="326"/>
        <v/>
      </c>
      <c r="DY43" s="30" t="str">
        <f t="shared" si="327"/>
        <v/>
      </c>
      <c r="DZ43" s="30" t="str">
        <f t="shared" si="328"/>
        <v>|n冷却缩减+12%</v>
      </c>
      <c r="EA43" s="30" t="str">
        <f t="shared" si="329"/>
        <v/>
      </c>
      <c r="EB43" s="30" t="str">
        <f t="shared" si="330"/>
        <v/>
      </c>
      <c r="EC43" s="30" t="str">
        <f t="shared" si="331"/>
        <v/>
      </c>
      <c r="ED43" s="30" t="str">
        <f t="shared" si="332"/>
        <v/>
      </c>
      <c r="EE43" s="30" t="str">
        <f t="shared" si="333"/>
        <v/>
      </c>
      <c r="EF43" s="30" t="str">
        <f t="shared" si="334"/>
        <v/>
      </c>
      <c r="EG43" s="30" t="str">
        <f t="shared" si="335"/>
        <v/>
      </c>
      <c r="EH43" s="30" t="str">
        <f t="shared" si="336"/>
        <v/>
      </c>
      <c r="EI43" s="30" t="str">
        <f t="shared" si="337"/>
        <v/>
      </c>
      <c r="EJ43" s="30" t="str">
        <f t="shared" si="338"/>
        <v/>
      </c>
      <c r="EK43" s="30" t="str">
        <f t="shared" si="339"/>
        <v/>
      </c>
      <c r="EL43" s="30" t="str">
        <f t="shared" si="340"/>
        <v/>
      </c>
      <c r="EM43" s="30" t="str">
        <f t="shared" si="341"/>
        <v/>
      </c>
      <c r="EN43" s="30" t="str">
        <f t="shared" si="342"/>
        <v/>
      </c>
      <c r="EO43" s="30" t="str">
        <f t="shared" si="343"/>
        <v/>
      </c>
      <c r="EP43" s="30" t="str">
        <f t="shared" si="344"/>
        <v/>
      </c>
      <c r="EQ43" s="30" t="str">
        <f t="shared" si="345"/>
        <v/>
      </c>
      <c r="ER43" s="30" t="str">
        <f t="shared" si="346"/>
        <v/>
      </c>
      <c r="ES43" s="30" t="str">
        <f t="shared" si="347"/>
        <v/>
      </c>
      <c r="ET43" s="30" t="str">
        <f t="shared" si="348"/>
        <v/>
      </c>
      <c r="EU43" s="30" t="str">
        <f t="shared" si="349"/>
        <v/>
      </c>
      <c r="EV43" s="30" t="str">
        <f t="shared" si="350"/>
        <v/>
      </c>
      <c r="EW43" s="30" t="str">
        <f t="shared" si="351"/>
        <v/>
      </c>
      <c r="EX43" s="30" t="str">
        <f t="shared" si="352"/>
        <v/>
      </c>
      <c r="EY43" s="30" t="str">
        <f t="shared" si="353"/>
        <v/>
      </c>
      <c r="EZ43" s="30" t="str">
        <f t="shared" si="354"/>
        <v/>
      </c>
      <c r="FA43" s="30" t="str">
        <f t="shared" si="355"/>
        <v/>
      </c>
      <c r="FB43" s="30" t="str">
        <f t="shared" si="356"/>
        <v/>
      </c>
      <c r="FC43" s="30" t="str">
        <f t="shared" si="357"/>
        <v/>
      </c>
      <c r="FD43" s="30" t="str">
        <f t="shared" si="358"/>
        <v/>
      </c>
      <c r="FE43" s="30" t="str">
        <f t="shared" si="359"/>
        <v/>
      </c>
      <c r="FF43" s="30" t="str">
        <f t="shared" si="360"/>
        <v/>
      </c>
      <c r="FG43" s="30" t="str">
        <f t="shared" si="361"/>
        <v/>
      </c>
      <c r="FH43" s="30" t="str">
        <f t="shared" si="362"/>
        <v/>
      </c>
      <c r="FI43" s="30" t="str">
        <f t="shared" si="363"/>
        <v/>
      </c>
      <c r="FJ43" s="30" t="str">
        <f t="shared" si="364"/>
        <v/>
      </c>
      <c r="FK43" s="30" t="str">
        <f t="shared" si="365"/>
        <v/>
      </c>
      <c r="FL43" s="30" t="str">
        <f t="shared" si="366"/>
        <v/>
      </c>
      <c r="FM43" s="30" t="str">
        <f t="shared" si="367"/>
        <v/>
      </c>
      <c r="FN43" s="30" t="str">
        <f t="shared" si="368"/>
        <v/>
      </c>
      <c r="FO43" s="30" t="str">
        <f t="shared" si="369"/>
        <v/>
      </c>
      <c r="FP43" s="30" t="str">
        <f t="shared" si="370"/>
        <v/>
      </c>
      <c r="FQ43" s="30" t="str">
        <f t="shared" si="371"/>
        <v/>
      </c>
      <c r="FR43" s="30" t="str">
        <f t="shared" si="372"/>
        <v/>
      </c>
      <c r="FS43" s="30" t="str">
        <f t="shared" si="373"/>
        <v/>
      </c>
    </row>
    <row r="44" spans="1:175" s="24" customFormat="1" ht="16.5">
      <c r="A44" s="5"/>
      <c r="B44" s="36" t="s">
        <v>748</v>
      </c>
      <c r="C44" s="5" t="s">
        <v>749</v>
      </c>
      <c r="D44" s="31"/>
      <c r="E44" s="39"/>
      <c r="F44" s="40">
        <v>27000</v>
      </c>
      <c r="G44" s="38"/>
      <c r="H44" s="38"/>
      <c r="I44" s="38" t="str">
        <f t="shared" si="296"/>
        <v>E118</v>
      </c>
      <c r="J44" s="38"/>
      <c r="K44" s="38"/>
      <c r="L44" s="38"/>
      <c r="M44" s="38"/>
      <c r="N44" s="38"/>
      <c r="O44" s="38"/>
      <c r="P44" s="42"/>
      <c r="Q44" s="42"/>
      <c r="R44" s="42"/>
      <c r="S44" s="42"/>
      <c r="T44" s="101"/>
      <c r="U44" s="32" t="str">
        <f t="shared" si="302"/>
        <v>ReplaceableTextures\\CommandButtons\\BTNE117.blp</v>
      </c>
      <c r="V44" s="43"/>
      <c r="W44" s="43">
        <v>31800</v>
      </c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/>
      <c r="AI44" s="43"/>
      <c r="AJ44" s="43"/>
      <c r="AK44" s="43"/>
      <c r="AL44" s="43">
        <v>9</v>
      </c>
      <c r="AM44" s="43"/>
      <c r="AN44" s="43"/>
      <c r="AO44" s="43"/>
      <c r="AP44" s="43"/>
      <c r="AQ44" s="43"/>
      <c r="AR44" s="43"/>
      <c r="AS44" s="43"/>
      <c r="AT44" s="43">
        <v>12</v>
      </c>
      <c r="AU44" s="43"/>
      <c r="AV44" s="43"/>
      <c r="AW44" s="43"/>
      <c r="AX44" s="43"/>
      <c r="AY44" s="43"/>
      <c r="AZ44" s="43"/>
      <c r="BA44" s="43"/>
      <c r="BB44" s="43"/>
      <c r="BC44" s="43"/>
      <c r="BD44" s="43"/>
      <c r="BE44" s="43"/>
      <c r="BF44" s="43"/>
      <c r="BG44" s="43"/>
      <c r="BH44" s="43"/>
      <c r="BI44" s="43"/>
      <c r="BJ44" s="43"/>
      <c r="BK44" s="43"/>
      <c r="BL44" s="43"/>
      <c r="BM44" s="43"/>
      <c r="BN44" s="43"/>
      <c r="BO44" s="43"/>
      <c r="BP44" s="43"/>
      <c r="BQ44" s="43"/>
      <c r="BR44" s="43"/>
      <c r="BS44" s="43"/>
      <c r="BT44" s="43"/>
      <c r="BU44" s="43"/>
      <c r="BV44" s="43"/>
      <c r="BW44" s="43"/>
      <c r="BX44" s="43"/>
      <c r="BY44" s="43"/>
      <c r="BZ44" s="43"/>
      <c r="CA44" s="43"/>
      <c r="CB44" s="43"/>
      <c r="CC44" s="43"/>
      <c r="CD44" s="43"/>
      <c r="CE44" s="43"/>
      <c r="CF44" s="43"/>
      <c r="CG44" s="43"/>
      <c r="CH44" s="43"/>
      <c r="CI44" s="43"/>
      <c r="CJ44" s="43"/>
      <c r="CK44" s="43"/>
      <c r="CL44" s="43"/>
      <c r="CM44" s="43"/>
      <c r="CN44" s="44" t="str">
        <f t="shared" si="297"/>
        <v>InitUnitState('E117',,31800,,,,,,,,)</v>
      </c>
      <c r="CO44" s="44" t="str">
        <f t="shared" si="298"/>
        <v>InitUnitNormal('E117',,,,,,,9,,,)</v>
      </c>
      <c r="CP44" s="44" t="str">
        <f t="shared" si="299"/>
        <v>InitUnitMagic('E117',,,,,12,,,,,)</v>
      </c>
      <c r="CQ44" s="44" t="str">
        <f t="shared" si="300"/>
        <v>InitUnitAdd('E117',,,,,,,,,,)</v>
      </c>
      <c r="CR44" s="44" t="str">
        <f t="shared" si="301"/>
        <v>InitEquipData('E117',,"",,E118,27000,,'','','','','','',"ReplaceableTextures\\CommandButtons\\BTNE118.blp")</v>
      </c>
      <c r="CS44" s="44"/>
      <c r="CT44" s="44"/>
      <c r="CU44" s="45" t="str">
        <f t="shared" si="303"/>
        <v>|n法强+31800|n伤害加成+9%|n冷却缩减+12%|n</v>
      </c>
      <c r="CV44" s="29" t="str">
        <f>"|cffffcc00属性：|r"&amp;CU44&amp;VLOOKUP(A44,合成公式!A:P,16,FALSE)&amp;T44</f>
        <v>|cffffcc00属性：|r|n法强+31800|n伤害加成+9%|n冷却缩减+12%|n</v>
      </c>
      <c r="DB44" s="30" t="str">
        <f t="shared" si="304"/>
        <v/>
      </c>
      <c r="DC44" s="30" t="str">
        <f t="shared" si="305"/>
        <v>|n法强+31800</v>
      </c>
      <c r="DD44" s="30" t="str">
        <f t="shared" si="306"/>
        <v/>
      </c>
      <c r="DE44" s="30" t="str">
        <f t="shared" si="307"/>
        <v/>
      </c>
      <c r="DF44" s="30" t="str">
        <f t="shared" si="308"/>
        <v/>
      </c>
      <c r="DG44" s="30" t="str">
        <f t="shared" si="309"/>
        <v/>
      </c>
      <c r="DH44" s="30" t="str">
        <f t="shared" si="310"/>
        <v/>
      </c>
      <c r="DI44" s="30" t="str">
        <f t="shared" si="311"/>
        <v/>
      </c>
      <c r="DJ44" s="30" t="str">
        <f t="shared" si="312"/>
        <v/>
      </c>
      <c r="DK44" s="30" t="str">
        <f t="shared" si="313"/>
        <v/>
      </c>
      <c r="DL44" s="30" t="str">
        <f t="shared" si="314"/>
        <v/>
      </c>
      <c r="DM44" s="30" t="str">
        <f t="shared" si="315"/>
        <v/>
      </c>
      <c r="DN44" s="30" t="str">
        <f t="shared" si="316"/>
        <v/>
      </c>
      <c r="DO44" s="30" t="str">
        <f t="shared" si="317"/>
        <v/>
      </c>
      <c r="DP44" s="30" t="str">
        <f t="shared" si="318"/>
        <v/>
      </c>
      <c r="DQ44" s="30" t="str">
        <f t="shared" si="319"/>
        <v/>
      </c>
      <c r="DR44" s="30" t="str">
        <f t="shared" si="320"/>
        <v>|n伤害加成+9%</v>
      </c>
      <c r="DS44" s="30" t="str">
        <f t="shared" si="321"/>
        <v/>
      </c>
      <c r="DT44" s="30" t="str">
        <f t="shared" si="322"/>
        <v/>
      </c>
      <c r="DU44" s="30" t="str">
        <f t="shared" si="323"/>
        <v/>
      </c>
      <c r="DV44" s="30" t="str">
        <f t="shared" si="324"/>
        <v/>
      </c>
      <c r="DW44" s="30" t="str">
        <f t="shared" si="325"/>
        <v/>
      </c>
      <c r="DX44" s="30" t="str">
        <f t="shared" si="326"/>
        <v/>
      </c>
      <c r="DY44" s="30" t="str">
        <f t="shared" si="327"/>
        <v/>
      </c>
      <c r="DZ44" s="30" t="str">
        <f t="shared" si="328"/>
        <v>|n冷却缩减+12%</v>
      </c>
      <c r="EA44" s="30" t="str">
        <f t="shared" si="329"/>
        <v/>
      </c>
      <c r="EB44" s="30" t="str">
        <f t="shared" si="330"/>
        <v/>
      </c>
      <c r="EC44" s="30" t="str">
        <f t="shared" si="331"/>
        <v/>
      </c>
      <c r="ED44" s="30" t="str">
        <f t="shared" si="332"/>
        <v/>
      </c>
      <c r="EE44" s="30" t="str">
        <f t="shared" si="333"/>
        <v/>
      </c>
      <c r="EF44" s="30" t="str">
        <f t="shared" si="334"/>
        <v/>
      </c>
      <c r="EG44" s="30" t="str">
        <f t="shared" si="335"/>
        <v/>
      </c>
      <c r="EH44" s="30" t="str">
        <f t="shared" si="336"/>
        <v/>
      </c>
      <c r="EI44" s="30" t="str">
        <f t="shared" si="337"/>
        <v/>
      </c>
      <c r="EJ44" s="30" t="str">
        <f t="shared" si="338"/>
        <v/>
      </c>
      <c r="EK44" s="30" t="str">
        <f t="shared" si="339"/>
        <v/>
      </c>
      <c r="EL44" s="30" t="str">
        <f t="shared" si="340"/>
        <v/>
      </c>
      <c r="EM44" s="30" t="str">
        <f t="shared" si="341"/>
        <v/>
      </c>
      <c r="EN44" s="30" t="str">
        <f t="shared" si="342"/>
        <v/>
      </c>
      <c r="EO44" s="30" t="str">
        <f t="shared" si="343"/>
        <v/>
      </c>
      <c r="EP44" s="30" t="str">
        <f t="shared" si="344"/>
        <v/>
      </c>
      <c r="EQ44" s="30" t="str">
        <f t="shared" si="345"/>
        <v/>
      </c>
      <c r="ER44" s="30" t="str">
        <f t="shared" si="346"/>
        <v/>
      </c>
      <c r="ES44" s="30" t="str">
        <f t="shared" si="347"/>
        <v/>
      </c>
      <c r="ET44" s="30" t="str">
        <f t="shared" si="348"/>
        <v/>
      </c>
      <c r="EU44" s="30" t="str">
        <f t="shared" si="349"/>
        <v/>
      </c>
      <c r="EV44" s="30" t="str">
        <f t="shared" si="350"/>
        <v/>
      </c>
      <c r="EW44" s="30" t="str">
        <f t="shared" si="351"/>
        <v/>
      </c>
      <c r="EX44" s="30" t="str">
        <f t="shared" si="352"/>
        <v/>
      </c>
      <c r="EY44" s="30" t="str">
        <f t="shared" si="353"/>
        <v/>
      </c>
      <c r="EZ44" s="30" t="str">
        <f t="shared" si="354"/>
        <v/>
      </c>
      <c r="FA44" s="30" t="str">
        <f t="shared" si="355"/>
        <v/>
      </c>
      <c r="FB44" s="30" t="str">
        <f t="shared" si="356"/>
        <v/>
      </c>
      <c r="FC44" s="30" t="str">
        <f t="shared" si="357"/>
        <v/>
      </c>
      <c r="FD44" s="30" t="str">
        <f t="shared" si="358"/>
        <v/>
      </c>
      <c r="FE44" s="30" t="str">
        <f t="shared" si="359"/>
        <v/>
      </c>
      <c r="FF44" s="30" t="str">
        <f t="shared" si="360"/>
        <v/>
      </c>
      <c r="FG44" s="30" t="str">
        <f t="shared" si="361"/>
        <v/>
      </c>
      <c r="FH44" s="30" t="str">
        <f t="shared" si="362"/>
        <v/>
      </c>
      <c r="FI44" s="30" t="str">
        <f t="shared" si="363"/>
        <v/>
      </c>
      <c r="FJ44" s="30" t="str">
        <f t="shared" si="364"/>
        <v/>
      </c>
      <c r="FK44" s="30" t="str">
        <f t="shared" si="365"/>
        <v/>
      </c>
      <c r="FL44" s="30" t="str">
        <f t="shared" si="366"/>
        <v/>
      </c>
      <c r="FM44" s="30" t="str">
        <f t="shared" si="367"/>
        <v/>
      </c>
      <c r="FN44" s="30" t="str">
        <f t="shared" si="368"/>
        <v/>
      </c>
      <c r="FO44" s="30" t="str">
        <f t="shared" si="369"/>
        <v/>
      </c>
      <c r="FP44" s="30" t="str">
        <f t="shared" si="370"/>
        <v/>
      </c>
      <c r="FQ44" s="30" t="str">
        <f t="shared" si="371"/>
        <v/>
      </c>
      <c r="FR44" s="30" t="str">
        <f t="shared" si="372"/>
        <v/>
      </c>
      <c r="FS44" s="30" t="str">
        <f t="shared" si="373"/>
        <v/>
      </c>
    </row>
    <row r="45" spans="1:175" s="24" customFormat="1" ht="16.5">
      <c r="A45" s="5"/>
      <c r="B45" s="36" t="s">
        <v>750</v>
      </c>
      <c r="C45" s="5" t="s">
        <v>751</v>
      </c>
      <c r="D45" s="31"/>
      <c r="E45" s="39"/>
      <c r="F45" s="40">
        <v>28000</v>
      </c>
      <c r="G45" s="38"/>
      <c r="H45" s="38"/>
      <c r="I45" s="38" t="str">
        <f t="shared" si="296"/>
        <v>E119</v>
      </c>
      <c r="J45" s="38"/>
      <c r="K45" s="38"/>
      <c r="L45" s="38"/>
      <c r="M45" s="38"/>
      <c r="N45" s="38"/>
      <c r="O45" s="38"/>
      <c r="P45" s="42"/>
      <c r="Q45" s="42"/>
      <c r="R45" s="42"/>
      <c r="S45" s="42"/>
      <c r="T45" s="101"/>
      <c r="U45" s="32" t="str">
        <f t="shared" si="302"/>
        <v>ReplaceableTextures\\CommandButtons\\BTNE118.blp</v>
      </c>
      <c r="V45" s="43"/>
      <c r="W45" s="43">
        <v>36200</v>
      </c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>
        <v>9</v>
      </c>
      <c r="AM45" s="43"/>
      <c r="AN45" s="43"/>
      <c r="AO45" s="43"/>
      <c r="AP45" s="43"/>
      <c r="AQ45" s="43"/>
      <c r="AR45" s="43"/>
      <c r="AS45" s="43"/>
      <c r="AT45" s="43">
        <v>12</v>
      </c>
      <c r="AU45" s="43"/>
      <c r="AV45" s="43"/>
      <c r="AW45" s="43"/>
      <c r="AX45" s="43"/>
      <c r="AY45" s="43"/>
      <c r="AZ45" s="43"/>
      <c r="BA45" s="43"/>
      <c r="BB45" s="43"/>
      <c r="BC45" s="43"/>
      <c r="BD45" s="43"/>
      <c r="BE45" s="43"/>
      <c r="BF45" s="43"/>
      <c r="BG45" s="43"/>
      <c r="BH45" s="43"/>
      <c r="BI45" s="43"/>
      <c r="BJ45" s="43"/>
      <c r="BK45" s="43"/>
      <c r="BL45" s="43"/>
      <c r="BM45" s="43"/>
      <c r="BN45" s="43"/>
      <c r="BO45" s="43"/>
      <c r="BP45" s="43"/>
      <c r="BQ45" s="43"/>
      <c r="BR45" s="43"/>
      <c r="BS45" s="43"/>
      <c r="BT45" s="43"/>
      <c r="BU45" s="43"/>
      <c r="BV45" s="43"/>
      <c r="BW45" s="43"/>
      <c r="BX45" s="43"/>
      <c r="BY45" s="43"/>
      <c r="BZ45" s="43"/>
      <c r="CA45" s="43"/>
      <c r="CB45" s="43"/>
      <c r="CC45" s="43"/>
      <c r="CD45" s="43"/>
      <c r="CE45" s="43"/>
      <c r="CF45" s="43"/>
      <c r="CG45" s="43"/>
      <c r="CH45" s="43"/>
      <c r="CI45" s="43"/>
      <c r="CJ45" s="43"/>
      <c r="CK45" s="43"/>
      <c r="CL45" s="43"/>
      <c r="CM45" s="43"/>
      <c r="CN45" s="44" t="str">
        <f t="shared" si="297"/>
        <v>InitUnitState('E118',,36200,,,,,,,,)</v>
      </c>
      <c r="CO45" s="44" t="str">
        <f t="shared" si="298"/>
        <v>InitUnitNormal('E118',,,,,,,9,,,)</v>
      </c>
      <c r="CP45" s="44" t="str">
        <f t="shared" si="299"/>
        <v>InitUnitMagic('E118',,,,,12,,,,,)</v>
      </c>
      <c r="CQ45" s="44" t="str">
        <f t="shared" si="300"/>
        <v>InitUnitAdd('E118',,,,,,,,,,)</v>
      </c>
      <c r="CR45" s="44" t="str">
        <f t="shared" si="301"/>
        <v>InitEquipData('E118',,"",,E119,28000,,'','','','','','',"ReplaceableTextures\\CommandButtons\\BTNE119.blp")</v>
      </c>
      <c r="CS45" s="44"/>
      <c r="CT45" s="44"/>
      <c r="CU45" s="45" t="str">
        <f t="shared" si="303"/>
        <v>|n法强+36200|n伤害加成+9%|n冷却缩减+12%|n</v>
      </c>
      <c r="CV45" s="29" t="str">
        <f>"|cffffcc00属性：|r"&amp;CU45&amp;VLOOKUP(A45,合成公式!A:P,16,FALSE)&amp;T45</f>
        <v>|cffffcc00属性：|r|n法强+36200|n伤害加成+9%|n冷却缩减+12%|n</v>
      </c>
      <c r="DB45" s="30" t="str">
        <f t="shared" si="304"/>
        <v/>
      </c>
      <c r="DC45" s="30" t="str">
        <f t="shared" si="305"/>
        <v>|n法强+36200</v>
      </c>
      <c r="DD45" s="30" t="str">
        <f t="shared" si="306"/>
        <v/>
      </c>
      <c r="DE45" s="30" t="str">
        <f t="shared" si="307"/>
        <v/>
      </c>
      <c r="DF45" s="30" t="str">
        <f t="shared" si="308"/>
        <v/>
      </c>
      <c r="DG45" s="30" t="str">
        <f t="shared" si="309"/>
        <v/>
      </c>
      <c r="DH45" s="30" t="str">
        <f t="shared" si="310"/>
        <v/>
      </c>
      <c r="DI45" s="30" t="str">
        <f t="shared" si="311"/>
        <v/>
      </c>
      <c r="DJ45" s="30" t="str">
        <f t="shared" si="312"/>
        <v/>
      </c>
      <c r="DK45" s="30" t="str">
        <f t="shared" si="313"/>
        <v/>
      </c>
      <c r="DL45" s="30" t="str">
        <f t="shared" si="314"/>
        <v/>
      </c>
      <c r="DM45" s="30" t="str">
        <f t="shared" si="315"/>
        <v/>
      </c>
      <c r="DN45" s="30" t="str">
        <f t="shared" si="316"/>
        <v/>
      </c>
      <c r="DO45" s="30" t="str">
        <f t="shared" si="317"/>
        <v/>
      </c>
      <c r="DP45" s="30" t="str">
        <f t="shared" si="318"/>
        <v/>
      </c>
      <c r="DQ45" s="30" t="str">
        <f t="shared" si="319"/>
        <v/>
      </c>
      <c r="DR45" s="30" t="str">
        <f t="shared" si="320"/>
        <v>|n伤害加成+9%</v>
      </c>
      <c r="DS45" s="30" t="str">
        <f t="shared" si="321"/>
        <v/>
      </c>
      <c r="DT45" s="30" t="str">
        <f t="shared" si="322"/>
        <v/>
      </c>
      <c r="DU45" s="30" t="str">
        <f t="shared" si="323"/>
        <v/>
      </c>
      <c r="DV45" s="30" t="str">
        <f t="shared" si="324"/>
        <v/>
      </c>
      <c r="DW45" s="30" t="str">
        <f t="shared" si="325"/>
        <v/>
      </c>
      <c r="DX45" s="30" t="str">
        <f t="shared" si="326"/>
        <v/>
      </c>
      <c r="DY45" s="30" t="str">
        <f t="shared" si="327"/>
        <v/>
      </c>
      <c r="DZ45" s="30" t="str">
        <f t="shared" si="328"/>
        <v>|n冷却缩减+12%</v>
      </c>
      <c r="EA45" s="30" t="str">
        <f t="shared" si="329"/>
        <v/>
      </c>
      <c r="EB45" s="30" t="str">
        <f t="shared" si="330"/>
        <v/>
      </c>
      <c r="EC45" s="30" t="str">
        <f t="shared" si="331"/>
        <v/>
      </c>
      <c r="ED45" s="30" t="str">
        <f t="shared" si="332"/>
        <v/>
      </c>
      <c r="EE45" s="30" t="str">
        <f t="shared" si="333"/>
        <v/>
      </c>
      <c r="EF45" s="30" t="str">
        <f t="shared" si="334"/>
        <v/>
      </c>
      <c r="EG45" s="30" t="str">
        <f t="shared" si="335"/>
        <v/>
      </c>
      <c r="EH45" s="30" t="str">
        <f t="shared" si="336"/>
        <v/>
      </c>
      <c r="EI45" s="30" t="str">
        <f t="shared" si="337"/>
        <v/>
      </c>
      <c r="EJ45" s="30" t="str">
        <f t="shared" si="338"/>
        <v/>
      </c>
      <c r="EK45" s="30" t="str">
        <f t="shared" si="339"/>
        <v/>
      </c>
      <c r="EL45" s="30" t="str">
        <f t="shared" si="340"/>
        <v/>
      </c>
      <c r="EM45" s="30" t="str">
        <f t="shared" si="341"/>
        <v/>
      </c>
      <c r="EN45" s="30" t="str">
        <f t="shared" si="342"/>
        <v/>
      </c>
      <c r="EO45" s="30" t="str">
        <f t="shared" si="343"/>
        <v/>
      </c>
      <c r="EP45" s="30" t="str">
        <f t="shared" si="344"/>
        <v/>
      </c>
      <c r="EQ45" s="30" t="str">
        <f t="shared" si="345"/>
        <v/>
      </c>
      <c r="ER45" s="30" t="str">
        <f t="shared" si="346"/>
        <v/>
      </c>
      <c r="ES45" s="30" t="str">
        <f t="shared" si="347"/>
        <v/>
      </c>
      <c r="ET45" s="30" t="str">
        <f t="shared" si="348"/>
        <v/>
      </c>
      <c r="EU45" s="30" t="str">
        <f t="shared" si="349"/>
        <v/>
      </c>
      <c r="EV45" s="30" t="str">
        <f t="shared" si="350"/>
        <v/>
      </c>
      <c r="EW45" s="30" t="str">
        <f t="shared" si="351"/>
        <v/>
      </c>
      <c r="EX45" s="30" t="str">
        <f t="shared" si="352"/>
        <v/>
      </c>
      <c r="EY45" s="30" t="str">
        <f t="shared" si="353"/>
        <v/>
      </c>
      <c r="EZ45" s="30" t="str">
        <f t="shared" si="354"/>
        <v/>
      </c>
      <c r="FA45" s="30" t="str">
        <f t="shared" si="355"/>
        <v/>
      </c>
      <c r="FB45" s="30" t="str">
        <f t="shared" si="356"/>
        <v/>
      </c>
      <c r="FC45" s="30" t="str">
        <f t="shared" si="357"/>
        <v/>
      </c>
      <c r="FD45" s="30" t="str">
        <f t="shared" si="358"/>
        <v/>
      </c>
      <c r="FE45" s="30" t="str">
        <f t="shared" si="359"/>
        <v/>
      </c>
      <c r="FF45" s="30" t="str">
        <f t="shared" si="360"/>
        <v/>
      </c>
      <c r="FG45" s="30" t="str">
        <f t="shared" si="361"/>
        <v/>
      </c>
      <c r="FH45" s="30" t="str">
        <f t="shared" si="362"/>
        <v/>
      </c>
      <c r="FI45" s="30" t="str">
        <f t="shared" si="363"/>
        <v/>
      </c>
      <c r="FJ45" s="30" t="str">
        <f t="shared" si="364"/>
        <v/>
      </c>
      <c r="FK45" s="30" t="str">
        <f t="shared" si="365"/>
        <v/>
      </c>
      <c r="FL45" s="30" t="str">
        <f t="shared" si="366"/>
        <v/>
      </c>
      <c r="FM45" s="30" t="str">
        <f t="shared" si="367"/>
        <v/>
      </c>
      <c r="FN45" s="30" t="str">
        <f t="shared" si="368"/>
        <v/>
      </c>
      <c r="FO45" s="30" t="str">
        <f t="shared" si="369"/>
        <v/>
      </c>
      <c r="FP45" s="30" t="str">
        <f t="shared" si="370"/>
        <v/>
      </c>
      <c r="FQ45" s="30" t="str">
        <f t="shared" si="371"/>
        <v/>
      </c>
      <c r="FR45" s="30" t="str">
        <f t="shared" si="372"/>
        <v/>
      </c>
      <c r="FS45" s="30" t="str">
        <f t="shared" si="373"/>
        <v/>
      </c>
    </row>
    <row r="46" spans="1:175" s="24" customFormat="1" ht="16.5">
      <c r="A46" s="5"/>
      <c r="B46" s="36" t="s">
        <v>752</v>
      </c>
      <c r="C46" s="5" t="s">
        <v>753</v>
      </c>
      <c r="D46" s="31"/>
      <c r="E46" s="39"/>
      <c r="F46" s="40">
        <v>29000</v>
      </c>
      <c r="G46" s="38"/>
      <c r="H46" s="38"/>
      <c r="I46" s="38" t="str">
        <f t="shared" si="296"/>
        <v>E120</v>
      </c>
      <c r="J46" s="38"/>
      <c r="K46" s="38"/>
      <c r="L46" s="38"/>
      <c r="M46" s="38"/>
      <c r="N46" s="38"/>
      <c r="O46" s="38"/>
      <c r="P46" s="42"/>
      <c r="Q46" s="42"/>
      <c r="R46" s="42"/>
      <c r="S46" s="42"/>
      <c r="T46" s="101"/>
      <c r="U46" s="32" t="str">
        <f t="shared" si="302"/>
        <v>ReplaceableTextures\\CommandButtons\\BTNE119.blp</v>
      </c>
      <c r="V46" s="43"/>
      <c r="W46" s="43">
        <v>40600</v>
      </c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>
        <v>9</v>
      </c>
      <c r="AM46" s="43"/>
      <c r="AN46" s="43"/>
      <c r="AO46" s="43"/>
      <c r="AP46" s="43"/>
      <c r="AQ46" s="43"/>
      <c r="AR46" s="43"/>
      <c r="AS46" s="43"/>
      <c r="AT46" s="43">
        <v>12</v>
      </c>
      <c r="AU46" s="43"/>
      <c r="AV46" s="43"/>
      <c r="AW46" s="43"/>
      <c r="AX46" s="43"/>
      <c r="AY46" s="43"/>
      <c r="AZ46" s="43"/>
      <c r="BA46" s="43"/>
      <c r="BB46" s="43"/>
      <c r="BC46" s="43"/>
      <c r="BD46" s="43"/>
      <c r="BE46" s="43"/>
      <c r="BF46" s="43"/>
      <c r="BG46" s="43"/>
      <c r="BH46" s="43"/>
      <c r="BI46" s="43"/>
      <c r="BJ46" s="43"/>
      <c r="BK46" s="43"/>
      <c r="BL46" s="43"/>
      <c r="BM46" s="43"/>
      <c r="BN46" s="43"/>
      <c r="BO46" s="43"/>
      <c r="BP46" s="43"/>
      <c r="BQ46" s="43"/>
      <c r="BR46" s="43"/>
      <c r="BS46" s="43"/>
      <c r="BT46" s="43"/>
      <c r="BU46" s="43"/>
      <c r="BV46" s="43"/>
      <c r="BW46" s="43"/>
      <c r="BX46" s="43"/>
      <c r="BY46" s="43"/>
      <c r="BZ46" s="43"/>
      <c r="CA46" s="43"/>
      <c r="CB46" s="43"/>
      <c r="CC46" s="43"/>
      <c r="CD46" s="43"/>
      <c r="CE46" s="43"/>
      <c r="CF46" s="43"/>
      <c r="CG46" s="43"/>
      <c r="CH46" s="43"/>
      <c r="CI46" s="43"/>
      <c r="CJ46" s="43"/>
      <c r="CK46" s="43"/>
      <c r="CL46" s="43"/>
      <c r="CM46" s="43"/>
      <c r="CN46" s="44" t="str">
        <f t="shared" si="297"/>
        <v>InitUnitState('E119',,40600,,,,,,,,)</v>
      </c>
      <c r="CO46" s="44" t="str">
        <f t="shared" si="298"/>
        <v>InitUnitNormal('E119',,,,,,,9,,,)</v>
      </c>
      <c r="CP46" s="44" t="str">
        <f t="shared" si="299"/>
        <v>InitUnitMagic('E119',,,,,12,,,,,)</v>
      </c>
      <c r="CQ46" s="44" t="str">
        <f t="shared" si="300"/>
        <v>InitUnitAdd('E119',,,,,,,,,,)</v>
      </c>
      <c r="CR46" s="44" t="str">
        <f t="shared" si="301"/>
        <v>InitEquipData('E119',,"",,E120,29000,,'','','','','','',"ReplaceableTextures\\CommandButtons\\BTNE120.blp")</v>
      </c>
      <c r="CS46" s="44"/>
      <c r="CT46" s="44"/>
      <c r="CU46" s="45" t="str">
        <f t="shared" si="303"/>
        <v>|n法强+40600|n伤害加成+9%|n冷却缩减+12%|n</v>
      </c>
      <c r="CV46" s="29" t="str">
        <f>"|cffffcc00属性：|r"&amp;CU46&amp;VLOOKUP(A46,合成公式!A:P,16,FALSE)&amp;T46</f>
        <v>|cffffcc00属性：|r|n法强+40600|n伤害加成+9%|n冷却缩减+12%|n</v>
      </c>
      <c r="DB46" s="30" t="str">
        <f t="shared" si="304"/>
        <v/>
      </c>
      <c r="DC46" s="30" t="str">
        <f t="shared" si="305"/>
        <v>|n法强+40600</v>
      </c>
      <c r="DD46" s="30" t="str">
        <f t="shared" si="306"/>
        <v/>
      </c>
      <c r="DE46" s="30" t="str">
        <f t="shared" si="307"/>
        <v/>
      </c>
      <c r="DF46" s="30" t="str">
        <f t="shared" si="308"/>
        <v/>
      </c>
      <c r="DG46" s="30" t="str">
        <f t="shared" si="309"/>
        <v/>
      </c>
      <c r="DH46" s="30" t="str">
        <f t="shared" si="310"/>
        <v/>
      </c>
      <c r="DI46" s="30" t="str">
        <f t="shared" si="311"/>
        <v/>
      </c>
      <c r="DJ46" s="30" t="str">
        <f t="shared" si="312"/>
        <v/>
      </c>
      <c r="DK46" s="30" t="str">
        <f t="shared" si="313"/>
        <v/>
      </c>
      <c r="DL46" s="30" t="str">
        <f t="shared" si="314"/>
        <v/>
      </c>
      <c r="DM46" s="30" t="str">
        <f t="shared" si="315"/>
        <v/>
      </c>
      <c r="DN46" s="30" t="str">
        <f t="shared" si="316"/>
        <v/>
      </c>
      <c r="DO46" s="30" t="str">
        <f t="shared" si="317"/>
        <v/>
      </c>
      <c r="DP46" s="30" t="str">
        <f t="shared" si="318"/>
        <v/>
      </c>
      <c r="DQ46" s="30" t="str">
        <f t="shared" si="319"/>
        <v/>
      </c>
      <c r="DR46" s="30" t="str">
        <f t="shared" si="320"/>
        <v>|n伤害加成+9%</v>
      </c>
      <c r="DS46" s="30" t="str">
        <f t="shared" si="321"/>
        <v/>
      </c>
      <c r="DT46" s="30" t="str">
        <f t="shared" si="322"/>
        <v/>
      </c>
      <c r="DU46" s="30" t="str">
        <f t="shared" si="323"/>
        <v/>
      </c>
      <c r="DV46" s="30" t="str">
        <f t="shared" si="324"/>
        <v/>
      </c>
      <c r="DW46" s="30" t="str">
        <f t="shared" si="325"/>
        <v/>
      </c>
      <c r="DX46" s="30" t="str">
        <f t="shared" si="326"/>
        <v/>
      </c>
      <c r="DY46" s="30" t="str">
        <f t="shared" si="327"/>
        <v/>
      </c>
      <c r="DZ46" s="30" t="str">
        <f t="shared" si="328"/>
        <v>|n冷却缩减+12%</v>
      </c>
      <c r="EA46" s="30" t="str">
        <f t="shared" si="329"/>
        <v/>
      </c>
      <c r="EB46" s="30" t="str">
        <f t="shared" si="330"/>
        <v/>
      </c>
      <c r="EC46" s="30" t="str">
        <f t="shared" si="331"/>
        <v/>
      </c>
      <c r="ED46" s="30" t="str">
        <f t="shared" si="332"/>
        <v/>
      </c>
      <c r="EE46" s="30" t="str">
        <f t="shared" si="333"/>
        <v/>
      </c>
      <c r="EF46" s="30" t="str">
        <f t="shared" si="334"/>
        <v/>
      </c>
      <c r="EG46" s="30" t="str">
        <f t="shared" si="335"/>
        <v/>
      </c>
      <c r="EH46" s="30" t="str">
        <f t="shared" si="336"/>
        <v/>
      </c>
      <c r="EI46" s="30" t="str">
        <f t="shared" si="337"/>
        <v/>
      </c>
      <c r="EJ46" s="30" t="str">
        <f t="shared" si="338"/>
        <v/>
      </c>
      <c r="EK46" s="30" t="str">
        <f t="shared" si="339"/>
        <v/>
      </c>
      <c r="EL46" s="30" t="str">
        <f t="shared" si="340"/>
        <v/>
      </c>
      <c r="EM46" s="30" t="str">
        <f t="shared" si="341"/>
        <v/>
      </c>
      <c r="EN46" s="30" t="str">
        <f t="shared" si="342"/>
        <v/>
      </c>
      <c r="EO46" s="30" t="str">
        <f t="shared" si="343"/>
        <v/>
      </c>
      <c r="EP46" s="30" t="str">
        <f t="shared" si="344"/>
        <v/>
      </c>
      <c r="EQ46" s="30" t="str">
        <f t="shared" si="345"/>
        <v/>
      </c>
      <c r="ER46" s="30" t="str">
        <f t="shared" si="346"/>
        <v/>
      </c>
      <c r="ES46" s="30" t="str">
        <f t="shared" si="347"/>
        <v/>
      </c>
      <c r="ET46" s="30" t="str">
        <f t="shared" si="348"/>
        <v/>
      </c>
      <c r="EU46" s="30" t="str">
        <f t="shared" si="349"/>
        <v/>
      </c>
      <c r="EV46" s="30" t="str">
        <f t="shared" si="350"/>
        <v/>
      </c>
      <c r="EW46" s="30" t="str">
        <f t="shared" si="351"/>
        <v/>
      </c>
      <c r="EX46" s="30" t="str">
        <f t="shared" si="352"/>
        <v/>
      </c>
      <c r="EY46" s="30" t="str">
        <f t="shared" si="353"/>
        <v/>
      </c>
      <c r="EZ46" s="30" t="str">
        <f t="shared" si="354"/>
        <v/>
      </c>
      <c r="FA46" s="30" t="str">
        <f t="shared" si="355"/>
        <v/>
      </c>
      <c r="FB46" s="30" t="str">
        <f t="shared" si="356"/>
        <v/>
      </c>
      <c r="FC46" s="30" t="str">
        <f t="shared" si="357"/>
        <v/>
      </c>
      <c r="FD46" s="30" t="str">
        <f t="shared" si="358"/>
        <v/>
      </c>
      <c r="FE46" s="30" t="str">
        <f t="shared" si="359"/>
        <v/>
      </c>
      <c r="FF46" s="30" t="str">
        <f t="shared" si="360"/>
        <v/>
      </c>
      <c r="FG46" s="30" t="str">
        <f t="shared" si="361"/>
        <v/>
      </c>
      <c r="FH46" s="30" t="str">
        <f t="shared" si="362"/>
        <v/>
      </c>
      <c r="FI46" s="30" t="str">
        <f t="shared" si="363"/>
        <v/>
      </c>
      <c r="FJ46" s="30" t="str">
        <f t="shared" si="364"/>
        <v/>
      </c>
      <c r="FK46" s="30" t="str">
        <f t="shared" si="365"/>
        <v/>
      </c>
      <c r="FL46" s="30" t="str">
        <f t="shared" si="366"/>
        <v/>
      </c>
      <c r="FM46" s="30" t="str">
        <f t="shared" si="367"/>
        <v/>
      </c>
      <c r="FN46" s="30" t="str">
        <f t="shared" si="368"/>
        <v/>
      </c>
      <c r="FO46" s="30" t="str">
        <f t="shared" si="369"/>
        <v/>
      </c>
      <c r="FP46" s="30" t="str">
        <f t="shared" si="370"/>
        <v/>
      </c>
      <c r="FQ46" s="30" t="str">
        <f t="shared" si="371"/>
        <v/>
      </c>
      <c r="FR46" s="30" t="str">
        <f t="shared" si="372"/>
        <v/>
      </c>
      <c r="FS46" s="30" t="str">
        <f t="shared" si="373"/>
        <v/>
      </c>
    </row>
    <row r="47" spans="1:175" s="24" customFormat="1" ht="16.5">
      <c r="A47" s="5"/>
      <c r="B47" s="36" t="s">
        <v>754</v>
      </c>
      <c r="C47" s="5" t="s">
        <v>755</v>
      </c>
      <c r="D47" s="31"/>
      <c r="E47" s="39"/>
      <c r="F47" s="40">
        <v>30000</v>
      </c>
      <c r="G47" s="38"/>
      <c r="H47" s="121" t="s">
        <v>935</v>
      </c>
      <c r="I47" s="38" t="str">
        <f t="shared" si="296"/>
        <v>E121</v>
      </c>
      <c r="J47" s="38"/>
      <c r="K47" s="38"/>
      <c r="L47" s="38"/>
      <c r="M47" s="38"/>
      <c r="N47" s="38"/>
      <c r="O47" s="38"/>
      <c r="P47" s="42"/>
      <c r="Q47" s="42"/>
      <c r="R47" s="42"/>
      <c r="S47" s="42"/>
      <c r="T47" s="101"/>
      <c r="U47" s="32" t="str">
        <f t="shared" si="302"/>
        <v>ReplaceableTextures\\CommandButtons\\BTNE120.blp</v>
      </c>
      <c r="V47" s="43"/>
      <c r="W47" s="43">
        <v>45000</v>
      </c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>
        <v>9</v>
      </c>
      <c r="AM47" s="43"/>
      <c r="AN47" s="43"/>
      <c r="AO47" s="43"/>
      <c r="AP47" s="43"/>
      <c r="AQ47" s="43"/>
      <c r="AR47" s="43"/>
      <c r="AS47" s="43"/>
      <c r="AT47" s="43">
        <v>12</v>
      </c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  <c r="BY47" s="43"/>
      <c r="BZ47" s="43"/>
      <c r="CA47" s="43"/>
      <c r="CB47" s="43"/>
      <c r="CC47" s="43"/>
      <c r="CD47" s="43"/>
      <c r="CE47" s="43"/>
      <c r="CF47" s="43"/>
      <c r="CG47" s="43"/>
      <c r="CH47" s="43"/>
      <c r="CI47" s="43"/>
      <c r="CJ47" s="43"/>
      <c r="CK47" s="43"/>
      <c r="CL47" s="43"/>
      <c r="CM47" s="43"/>
      <c r="CN47" s="44" t="str">
        <f t="shared" si="297"/>
        <v>InitUnitState('E120',,45000,,,,,,,,)</v>
      </c>
      <c r="CO47" s="44" t="str">
        <f t="shared" si="298"/>
        <v>InitUnitNormal('E120',,,,,,,9,,,)</v>
      </c>
      <c r="CP47" s="44" t="str">
        <f t="shared" si="299"/>
        <v>InitUnitMagic('E120',,,,,12,,,,,)</v>
      </c>
      <c r="CQ47" s="44" t="str">
        <f t="shared" si="300"/>
        <v>InitUnitAdd('E120',,,,,,,,,,)</v>
      </c>
      <c r="CR47" s="44" t="str">
        <f t="shared" si="301"/>
        <v>InitEquipData('E120',,"",,E121,30000,,'','','','','','',"ReplaceableTextures\\CommandButtons\\BTNE121.blp")</v>
      </c>
      <c r="CS47" s="44"/>
      <c r="CT47" s="44"/>
      <c r="CU47" s="45" t="str">
        <f t="shared" si="303"/>
        <v>|n法强+45000|n伤害加成+9%|n冷却缩减+12%|n</v>
      </c>
      <c r="CV47" s="29" t="str">
        <f>"|cffffcc00属性：|r"&amp;CU47&amp;VLOOKUP(A47,合成公式!A:P,16,FALSE)&amp;T47</f>
        <v>|cffffcc00属性：|r|n法强+45000|n伤害加成+9%|n冷却缩减+12%|n</v>
      </c>
      <c r="DB47" s="30" t="str">
        <f t="shared" si="304"/>
        <v/>
      </c>
      <c r="DC47" s="30" t="str">
        <f t="shared" si="305"/>
        <v>|n法强+45000</v>
      </c>
      <c r="DD47" s="30" t="str">
        <f t="shared" si="306"/>
        <v/>
      </c>
      <c r="DE47" s="30" t="str">
        <f t="shared" si="307"/>
        <v/>
      </c>
      <c r="DF47" s="30" t="str">
        <f t="shared" si="308"/>
        <v/>
      </c>
      <c r="DG47" s="30" t="str">
        <f t="shared" si="309"/>
        <v/>
      </c>
      <c r="DH47" s="30" t="str">
        <f t="shared" si="310"/>
        <v/>
      </c>
      <c r="DI47" s="30" t="str">
        <f t="shared" si="311"/>
        <v/>
      </c>
      <c r="DJ47" s="30" t="str">
        <f t="shared" si="312"/>
        <v/>
      </c>
      <c r="DK47" s="30" t="str">
        <f t="shared" si="313"/>
        <v/>
      </c>
      <c r="DL47" s="30" t="str">
        <f t="shared" si="314"/>
        <v/>
      </c>
      <c r="DM47" s="30" t="str">
        <f t="shared" si="315"/>
        <v/>
      </c>
      <c r="DN47" s="30" t="str">
        <f t="shared" si="316"/>
        <v/>
      </c>
      <c r="DO47" s="30" t="str">
        <f t="shared" si="317"/>
        <v/>
      </c>
      <c r="DP47" s="30" t="str">
        <f t="shared" si="318"/>
        <v/>
      </c>
      <c r="DQ47" s="30" t="str">
        <f t="shared" si="319"/>
        <v/>
      </c>
      <c r="DR47" s="30" t="str">
        <f t="shared" si="320"/>
        <v>|n伤害加成+9%</v>
      </c>
      <c r="DS47" s="30" t="str">
        <f t="shared" si="321"/>
        <v/>
      </c>
      <c r="DT47" s="30" t="str">
        <f t="shared" si="322"/>
        <v/>
      </c>
      <c r="DU47" s="30" t="str">
        <f t="shared" si="323"/>
        <v/>
      </c>
      <c r="DV47" s="30" t="str">
        <f t="shared" si="324"/>
        <v/>
      </c>
      <c r="DW47" s="30" t="str">
        <f t="shared" si="325"/>
        <v/>
      </c>
      <c r="DX47" s="30" t="str">
        <f t="shared" si="326"/>
        <v/>
      </c>
      <c r="DY47" s="30" t="str">
        <f t="shared" si="327"/>
        <v/>
      </c>
      <c r="DZ47" s="30" t="str">
        <f t="shared" si="328"/>
        <v>|n冷却缩减+12%</v>
      </c>
      <c r="EA47" s="30" t="str">
        <f t="shared" si="329"/>
        <v/>
      </c>
      <c r="EB47" s="30" t="str">
        <f t="shared" si="330"/>
        <v/>
      </c>
      <c r="EC47" s="30" t="str">
        <f t="shared" si="331"/>
        <v/>
      </c>
      <c r="ED47" s="30" t="str">
        <f t="shared" si="332"/>
        <v/>
      </c>
      <c r="EE47" s="30" t="str">
        <f t="shared" si="333"/>
        <v/>
      </c>
      <c r="EF47" s="30" t="str">
        <f t="shared" si="334"/>
        <v/>
      </c>
      <c r="EG47" s="30" t="str">
        <f t="shared" si="335"/>
        <v/>
      </c>
      <c r="EH47" s="30" t="str">
        <f t="shared" si="336"/>
        <v/>
      </c>
      <c r="EI47" s="30" t="str">
        <f t="shared" si="337"/>
        <v/>
      </c>
      <c r="EJ47" s="30" t="str">
        <f t="shared" si="338"/>
        <v/>
      </c>
      <c r="EK47" s="30" t="str">
        <f t="shared" si="339"/>
        <v/>
      </c>
      <c r="EL47" s="30" t="str">
        <f t="shared" si="340"/>
        <v/>
      </c>
      <c r="EM47" s="30" t="str">
        <f t="shared" si="341"/>
        <v/>
      </c>
      <c r="EN47" s="30" t="str">
        <f t="shared" si="342"/>
        <v/>
      </c>
      <c r="EO47" s="30" t="str">
        <f t="shared" si="343"/>
        <v/>
      </c>
      <c r="EP47" s="30" t="str">
        <f t="shared" si="344"/>
        <v/>
      </c>
      <c r="EQ47" s="30" t="str">
        <f t="shared" si="345"/>
        <v/>
      </c>
      <c r="ER47" s="30" t="str">
        <f t="shared" si="346"/>
        <v/>
      </c>
      <c r="ES47" s="30" t="str">
        <f t="shared" si="347"/>
        <v/>
      </c>
      <c r="ET47" s="30" t="str">
        <f t="shared" si="348"/>
        <v/>
      </c>
      <c r="EU47" s="30" t="str">
        <f t="shared" si="349"/>
        <v/>
      </c>
      <c r="EV47" s="30" t="str">
        <f t="shared" si="350"/>
        <v/>
      </c>
      <c r="EW47" s="30" t="str">
        <f t="shared" si="351"/>
        <v/>
      </c>
      <c r="EX47" s="30" t="str">
        <f t="shared" si="352"/>
        <v/>
      </c>
      <c r="EY47" s="30" t="str">
        <f t="shared" si="353"/>
        <v/>
      </c>
      <c r="EZ47" s="30" t="str">
        <f t="shared" si="354"/>
        <v/>
      </c>
      <c r="FA47" s="30" t="str">
        <f t="shared" si="355"/>
        <v/>
      </c>
      <c r="FB47" s="30" t="str">
        <f t="shared" si="356"/>
        <v/>
      </c>
      <c r="FC47" s="30" t="str">
        <f t="shared" si="357"/>
        <v/>
      </c>
      <c r="FD47" s="30" t="str">
        <f t="shared" si="358"/>
        <v/>
      </c>
      <c r="FE47" s="30" t="str">
        <f t="shared" si="359"/>
        <v/>
      </c>
      <c r="FF47" s="30" t="str">
        <f t="shared" si="360"/>
        <v/>
      </c>
      <c r="FG47" s="30" t="str">
        <f t="shared" si="361"/>
        <v/>
      </c>
      <c r="FH47" s="30" t="str">
        <f t="shared" si="362"/>
        <v/>
      </c>
      <c r="FI47" s="30" t="str">
        <f t="shared" si="363"/>
        <v/>
      </c>
      <c r="FJ47" s="30" t="str">
        <f t="shared" si="364"/>
        <v/>
      </c>
      <c r="FK47" s="30" t="str">
        <f t="shared" si="365"/>
        <v/>
      </c>
      <c r="FL47" s="30" t="str">
        <f t="shared" si="366"/>
        <v/>
      </c>
      <c r="FM47" s="30" t="str">
        <f t="shared" si="367"/>
        <v/>
      </c>
      <c r="FN47" s="30" t="str">
        <f t="shared" si="368"/>
        <v/>
      </c>
      <c r="FO47" s="30" t="str">
        <f t="shared" si="369"/>
        <v/>
      </c>
      <c r="FP47" s="30" t="str">
        <f t="shared" si="370"/>
        <v/>
      </c>
      <c r="FQ47" s="30" t="str">
        <f t="shared" si="371"/>
        <v/>
      </c>
      <c r="FR47" s="30" t="str">
        <f t="shared" si="372"/>
        <v/>
      </c>
      <c r="FS47" s="30" t="str">
        <f t="shared" si="373"/>
        <v/>
      </c>
    </row>
    <row r="48" spans="1:175" s="24" customFormat="1" ht="16.5">
      <c r="A48" s="5"/>
      <c r="B48" s="36" t="s">
        <v>756</v>
      </c>
      <c r="C48" s="5" t="s">
        <v>757</v>
      </c>
      <c r="D48" s="31"/>
      <c r="E48" s="39"/>
      <c r="F48" s="40">
        <v>31200</v>
      </c>
      <c r="G48" s="38"/>
      <c r="H48" s="38"/>
      <c r="I48" s="38" t="str">
        <f t="shared" si="296"/>
        <v>E122</v>
      </c>
      <c r="J48" s="38"/>
      <c r="K48" s="38"/>
      <c r="L48" s="38"/>
      <c r="M48" s="38"/>
      <c r="N48" s="38"/>
      <c r="O48" s="38"/>
      <c r="P48" s="42"/>
      <c r="Q48" s="42"/>
      <c r="R48" s="42"/>
      <c r="S48" s="42"/>
      <c r="T48" s="101"/>
      <c r="U48" s="32" t="str">
        <f t="shared" si="302"/>
        <v>ReplaceableTextures\\CommandButtons\\BTNE121.blp</v>
      </c>
      <c r="V48" s="43"/>
      <c r="W48" s="43">
        <v>56000</v>
      </c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>
        <v>12</v>
      </c>
      <c r="AM48" s="43"/>
      <c r="AN48" s="43"/>
      <c r="AO48" s="43"/>
      <c r="AP48" s="43"/>
      <c r="AQ48" s="43"/>
      <c r="AR48" s="43"/>
      <c r="AS48" s="43"/>
      <c r="AT48" s="43">
        <v>15</v>
      </c>
      <c r="AU48" s="43"/>
      <c r="AV48" s="43"/>
      <c r="AW48" s="43"/>
      <c r="AX48" s="43"/>
      <c r="AY48" s="43"/>
      <c r="AZ48" s="43"/>
      <c r="BA48" s="43"/>
      <c r="BB48" s="43"/>
      <c r="BC48" s="43"/>
      <c r="BD48" s="43"/>
      <c r="BE48" s="43"/>
      <c r="BF48" s="43"/>
      <c r="BG48" s="43"/>
      <c r="BH48" s="43"/>
      <c r="BI48" s="43"/>
      <c r="BJ48" s="43"/>
      <c r="BK48" s="43"/>
      <c r="BL48" s="43"/>
      <c r="BM48" s="43"/>
      <c r="BN48" s="43"/>
      <c r="BO48" s="43"/>
      <c r="BP48" s="43"/>
      <c r="BQ48" s="43"/>
      <c r="BR48" s="43"/>
      <c r="BS48" s="43"/>
      <c r="BT48" s="43"/>
      <c r="BU48" s="43"/>
      <c r="BV48" s="43"/>
      <c r="BW48" s="43"/>
      <c r="BX48" s="43"/>
      <c r="BY48" s="43"/>
      <c r="BZ48" s="43"/>
      <c r="CA48" s="43"/>
      <c r="CB48" s="43"/>
      <c r="CC48" s="43"/>
      <c r="CD48" s="43"/>
      <c r="CE48" s="43"/>
      <c r="CF48" s="43"/>
      <c r="CG48" s="43"/>
      <c r="CH48" s="43"/>
      <c r="CI48" s="43"/>
      <c r="CJ48" s="43"/>
      <c r="CK48" s="43"/>
      <c r="CL48" s="43"/>
      <c r="CM48" s="43"/>
      <c r="CN48" s="44" t="str">
        <f t="shared" si="297"/>
        <v>InitUnitState('E121',,56000,,,,,,,,)</v>
      </c>
      <c r="CO48" s="44" t="str">
        <f t="shared" si="298"/>
        <v>InitUnitNormal('E121',,,,,,,12,,,)</v>
      </c>
      <c r="CP48" s="44" t="str">
        <f t="shared" si="299"/>
        <v>InitUnitMagic('E121',,,,,15,,,,,)</v>
      </c>
      <c r="CQ48" s="44" t="str">
        <f t="shared" si="300"/>
        <v>InitUnitAdd('E121',,,,,,,,,,)</v>
      </c>
      <c r="CR48" s="44" t="str">
        <f t="shared" si="301"/>
        <v>InitEquipData('E121',,"",,E122,31200,,'','','','','','',"ReplaceableTextures\\CommandButtons\\BTNE122.blp")</v>
      </c>
      <c r="CS48" s="44"/>
      <c r="CT48" s="44"/>
      <c r="CU48" s="45" t="str">
        <f t="shared" si="303"/>
        <v>|n法强+56000|n伤害加成+12%|n冷却缩减+15%|n</v>
      </c>
      <c r="CV48" s="29" t="str">
        <f>"|cffffcc00属性：|r"&amp;CU48&amp;VLOOKUP(A48,合成公式!A:P,16,FALSE)&amp;T48</f>
        <v>|cffffcc00属性：|r|n法强+56000|n伤害加成+12%|n冷却缩减+15%|n</v>
      </c>
      <c r="DB48" s="30" t="str">
        <f t="shared" si="304"/>
        <v/>
      </c>
      <c r="DC48" s="30" t="str">
        <f t="shared" si="305"/>
        <v>|n法强+56000</v>
      </c>
      <c r="DD48" s="30" t="str">
        <f t="shared" si="306"/>
        <v/>
      </c>
      <c r="DE48" s="30" t="str">
        <f t="shared" si="307"/>
        <v/>
      </c>
      <c r="DF48" s="30" t="str">
        <f t="shared" si="308"/>
        <v/>
      </c>
      <c r="DG48" s="30" t="str">
        <f t="shared" si="309"/>
        <v/>
      </c>
      <c r="DH48" s="30" t="str">
        <f t="shared" si="310"/>
        <v/>
      </c>
      <c r="DI48" s="30" t="str">
        <f t="shared" si="311"/>
        <v/>
      </c>
      <c r="DJ48" s="30" t="str">
        <f t="shared" si="312"/>
        <v/>
      </c>
      <c r="DK48" s="30" t="str">
        <f t="shared" si="313"/>
        <v/>
      </c>
      <c r="DL48" s="30" t="str">
        <f t="shared" si="314"/>
        <v/>
      </c>
      <c r="DM48" s="30" t="str">
        <f t="shared" si="315"/>
        <v/>
      </c>
      <c r="DN48" s="30" t="str">
        <f t="shared" si="316"/>
        <v/>
      </c>
      <c r="DO48" s="30" t="str">
        <f t="shared" si="317"/>
        <v/>
      </c>
      <c r="DP48" s="30" t="str">
        <f t="shared" si="318"/>
        <v/>
      </c>
      <c r="DQ48" s="30" t="str">
        <f t="shared" si="319"/>
        <v/>
      </c>
      <c r="DR48" s="30" t="str">
        <f t="shared" si="320"/>
        <v>|n伤害加成+12%</v>
      </c>
      <c r="DS48" s="30" t="str">
        <f t="shared" si="321"/>
        <v/>
      </c>
      <c r="DT48" s="30" t="str">
        <f t="shared" si="322"/>
        <v/>
      </c>
      <c r="DU48" s="30" t="str">
        <f t="shared" si="323"/>
        <v/>
      </c>
      <c r="DV48" s="30" t="str">
        <f t="shared" si="324"/>
        <v/>
      </c>
      <c r="DW48" s="30" t="str">
        <f t="shared" si="325"/>
        <v/>
      </c>
      <c r="DX48" s="30" t="str">
        <f t="shared" si="326"/>
        <v/>
      </c>
      <c r="DY48" s="30" t="str">
        <f t="shared" si="327"/>
        <v/>
      </c>
      <c r="DZ48" s="30" t="str">
        <f t="shared" si="328"/>
        <v>|n冷却缩减+15%</v>
      </c>
      <c r="EA48" s="30" t="str">
        <f t="shared" si="329"/>
        <v/>
      </c>
      <c r="EB48" s="30" t="str">
        <f t="shared" si="330"/>
        <v/>
      </c>
      <c r="EC48" s="30" t="str">
        <f t="shared" si="331"/>
        <v/>
      </c>
      <c r="ED48" s="30" t="str">
        <f t="shared" si="332"/>
        <v/>
      </c>
      <c r="EE48" s="30" t="str">
        <f t="shared" si="333"/>
        <v/>
      </c>
      <c r="EF48" s="30" t="str">
        <f t="shared" si="334"/>
        <v/>
      </c>
      <c r="EG48" s="30" t="str">
        <f t="shared" si="335"/>
        <v/>
      </c>
      <c r="EH48" s="30" t="str">
        <f t="shared" si="336"/>
        <v/>
      </c>
      <c r="EI48" s="30" t="str">
        <f t="shared" si="337"/>
        <v/>
      </c>
      <c r="EJ48" s="30" t="str">
        <f t="shared" si="338"/>
        <v/>
      </c>
      <c r="EK48" s="30" t="str">
        <f t="shared" si="339"/>
        <v/>
      </c>
      <c r="EL48" s="30" t="str">
        <f t="shared" si="340"/>
        <v/>
      </c>
      <c r="EM48" s="30" t="str">
        <f t="shared" si="341"/>
        <v/>
      </c>
      <c r="EN48" s="30" t="str">
        <f t="shared" si="342"/>
        <v/>
      </c>
      <c r="EO48" s="30" t="str">
        <f t="shared" si="343"/>
        <v/>
      </c>
      <c r="EP48" s="30" t="str">
        <f t="shared" si="344"/>
        <v/>
      </c>
      <c r="EQ48" s="30" t="str">
        <f t="shared" si="345"/>
        <v/>
      </c>
      <c r="ER48" s="30" t="str">
        <f t="shared" si="346"/>
        <v/>
      </c>
      <c r="ES48" s="30" t="str">
        <f t="shared" si="347"/>
        <v/>
      </c>
      <c r="ET48" s="30" t="str">
        <f t="shared" si="348"/>
        <v/>
      </c>
      <c r="EU48" s="30" t="str">
        <f t="shared" si="349"/>
        <v/>
      </c>
      <c r="EV48" s="30" t="str">
        <f t="shared" si="350"/>
        <v/>
      </c>
      <c r="EW48" s="30" t="str">
        <f t="shared" si="351"/>
        <v/>
      </c>
      <c r="EX48" s="30" t="str">
        <f t="shared" si="352"/>
        <v/>
      </c>
      <c r="EY48" s="30" t="str">
        <f t="shared" si="353"/>
        <v/>
      </c>
      <c r="EZ48" s="30" t="str">
        <f t="shared" si="354"/>
        <v/>
      </c>
      <c r="FA48" s="30" t="str">
        <f t="shared" si="355"/>
        <v/>
      </c>
      <c r="FB48" s="30" t="str">
        <f t="shared" si="356"/>
        <v/>
      </c>
      <c r="FC48" s="30" t="str">
        <f t="shared" si="357"/>
        <v/>
      </c>
      <c r="FD48" s="30" t="str">
        <f t="shared" si="358"/>
        <v/>
      </c>
      <c r="FE48" s="30" t="str">
        <f t="shared" si="359"/>
        <v/>
      </c>
      <c r="FF48" s="30" t="str">
        <f t="shared" si="360"/>
        <v/>
      </c>
      <c r="FG48" s="30" t="str">
        <f t="shared" si="361"/>
        <v/>
      </c>
      <c r="FH48" s="30" t="str">
        <f t="shared" si="362"/>
        <v/>
      </c>
      <c r="FI48" s="30" t="str">
        <f t="shared" si="363"/>
        <v/>
      </c>
      <c r="FJ48" s="30" t="str">
        <f t="shared" si="364"/>
        <v/>
      </c>
      <c r="FK48" s="30" t="str">
        <f t="shared" si="365"/>
        <v/>
      </c>
      <c r="FL48" s="30" t="str">
        <f t="shared" si="366"/>
        <v/>
      </c>
      <c r="FM48" s="30" t="str">
        <f t="shared" si="367"/>
        <v/>
      </c>
      <c r="FN48" s="30" t="str">
        <f t="shared" si="368"/>
        <v/>
      </c>
      <c r="FO48" s="30" t="str">
        <f t="shared" si="369"/>
        <v/>
      </c>
      <c r="FP48" s="30" t="str">
        <f t="shared" si="370"/>
        <v/>
      </c>
      <c r="FQ48" s="30" t="str">
        <f t="shared" si="371"/>
        <v/>
      </c>
      <c r="FR48" s="30" t="str">
        <f t="shared" si="372"/>
        <v/>
      </c>
      <c r="FS48" s="30" t="str">
        <f t="shared" si="373"/>
        <v/>
      </c>
    </row>
    <row r="49" spans="1:175" s="24" customFormat="1" ht="16.5">
      <c r="A49" s="5"/>
      <c r="B49" s="36" t="s">
        <v>671</v>
      </c>
      <c r="C49" s="5" t="s">
        <v>758</v>
      </c>
      <c r="D49" s="31"/>
      <c r="E49" s="39"/>
      <c r="F49" s="40">
        <v>32400</v>
      </c>
      <c r="G49" s="38"/>
      <c r="H49" s="38"/>
      <c r="I49" s="38" t="str">
        <f t="shared" si="296"/>
        <v>E123</v>
      </c>
      <c r="J49" s="38"/>
      <c r="K49" s="38"/>
      <c r="L49" s="38"/>
      <c r="M49" s="38"/>
      <c r="N49" s="38"/>
      <c r="O49" s="38"/>
      <c r="P49" s="42"/>
      <c r="Q49" s="42"/>
      <c r="R49" s="42"/>
      <c r="S49" s="42"/>
      <c r="T49" s="101"/>
      <c r="U49" s="32" t="str">
        <f t="shared" si="302"/>
        <v>ReplaceableTextures\\CommandButtons\\BTNE122.blp</v>
      </c>
      <c r="V49" s="43"/>
      <c r="W49" s="43">
        <v>67000</v>
      </c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>
        <v>12</v>
      </c>
      <c r="AM49" s="43"/>
      <c r="AN49" s="43"/>
      <c r="AO49" s="43"/>
      <c r="AP49" s="43"/>
      <c r="AQ49" s="43"/>
      <c r="AR49" s="43"/>
      <c r="AS49" s="43"/>
      <c r="AT49" s="43">
        <v>15</v>
      </c>
      <c r="AU49" s="43"/>
      <c r="AV49" s="43"/>
      <c r="AW49" s="43"/>
      <c r="AX49" s="43"/>
      <c r="AY49" s="43"/>
      <c r="AZ49" s="43"/>
      <c r="BA49" s="43"/>
      <c r="BB49" s="43"/>
      <c r="BC49" s="43"/>
      <c r="BD49" s="43"/>
      <c r="BE49" s="43"/>
      <c r="BF49" s="43"/>
      <c r="BG49" s="43"/>
      <c r="BH49" s="43"/>
      <c r="BI49" s="43"/>
      <c r="BJ49" s="43"/>
      <c r="BK49" s="43"/>
      <c r="BL49" s="43"/>
      <c r="BM49" s="43"/>
      <c r="BN49" s="43"/>
      <c r="BO49" s="43"/>
      <c r="BP49" s="43"/>
      <c r="BQ49" s="43"/>
      <c r="BR49" s="43"/>
      <c r="BS49" s="43"/>
      <c r="BT49" s="43"/>
      <c r="BU49" s="43"/>
      <c r="BV49" s="43"/>
      <c r="BW49" s="43"/>
      <c r="BX49" s="43"/>
      <c r="BY49" s="43"/>
      <c r="BZ49" s="43"/>
      <c r="CA49" s="43"/>
      <c r="CB49" s="43"/>
      <c r="CC49" s="43"/>
      <c r="CD49" s="43"/>
      <c r="CE49" s="43"/>
      <c r="CF49" s="43"/>
      <c r="CG49" s="43"/>
      <c r="CH49" s="43"/>
      <c r="CI49" s="43"/>
      <c r="CJ49" s="43"/>
      <c r="CK49" s="43"/>
      <c r="CL49" s="43"/>
      <c r="CM49" s="43"/>
      <c r="CN49" s="44" t="str">
        <f t="shared" si="297"/>
        <v>InitUnitState('E122',,67000,,,,,,,,)</v>
      </c>
      <c r="CO49" s="44" t="str">
        <f t="shared" si="298"/>
        <v>InitUnitNormal('E122',,,,,,,12,,,)</v>
      </c>
      <c r="CP49" s="44" t="str">
        <f t="shared" si="299"/>
        <v>InitUnitMagic('E122',,,,,15,,,,,)</v>
      </c>
      <c r="CQ49" s="44" t="str">
        <f t="shared" si="300"/>
        <v>InitUnitAdd('E122',,,,,,,,,,)</v>
      </c>
      <c r="CR49" s="44" t="str">
        <f t="shared" si="301"/>
        <v>InitEquipData('E122',,"",,E123,32400,,'','','','','','',"ReplaceableTextures\\CommandButtons\\BTNE123.blp")</v>
      </c>
      <c r="CS49" s="44"/>
      <c r="CT49" s="44"/>
      <c r="CU49" s="45" t="str">
        <f t="shared" si="303"/>
        <v>|n法强+67000|n伤害加成+12%|n冷却缩减+15%|n</v>
      </c>
      <c r="CV49" s="29" t="str">
        <f>"|cffffcc00属性：|r"&amp;CU49&amp;VLOOKUP(A49,合成公式!A:P,16,FALSE)&amp;T49</f>
        <v>|cffffcc00属性：|r|n法强+67000|n伤害加成+12%|n冷却缩减+15%|n</v>
      </c>
      <c r="DB49" s="30" t="str">
        <f t="shared" si="304"/>
        <v/>
      </c>
      <c r="DC49" s="30" t="str">
        <f t="shared" si="305"/>
        <v>|n法强+67000</v>
      </c>
      <c r="DD49" s="30" t="str">
        <f t="shared" si="306"/>
        <v/>
      </c>
      <c r="DE49" s="30" t="str">
        <f t="shared" si="307"/>
        <v/>
      </c>
      <c r="DF49" s="30" t="str">
        <f t="shared" si="308"/>
        <v/>
      </c>
      <c r="DG49" s="30" t="str">
        <f t="shared" si="309"/>
        <v/>
      </c>
      <c r="DH49" s="30" t="str">
        <f t="shared" si="310"/>
        <v/>
      </c>
      <c r="DI49" s="30" t="str">
        <f t="shared" si="311"/>
        <v/>
      </c>
      <c r="DJ49" s="30" t="str">
        <f t="shared" si="312"/>
        <v/>
      </c>
      <c r="DK49" s="30" t="str">
        <f t="shared" si="313"/>
        <v/>
      </c>
      <c r="DL49" s="30" t="str">
        <f t="shared" si="314"/>
        <v/>
      </c>
      <c r="DM49" s="30" t="str">
        <f t="shared" si="315"/>
        <v/>
      </c>
      <c r="DN49" s="30" t="str">
        <f t="shared" si="316"/>
        <v/>
      </c>
      <c r="DO49" s="30" t="str">
        <f t="shared" si="317"/>
        <v/>
      </c>
      <c r="DP49" s="30" t="str">
        <f t="shared" si="318"/>
        <v/>
      </c>
      <c r="DQ49" s="30" t="str">
        <f t="shared" si="319"/>
        <v/>
      </c>
      <c r="DR49" s="30" t="str">
        <f t="shared" si="320"/>
        <v>|n伤害加成+12%</v>
      </c>
      <c r="DS49" s="30" t="str">
        <f t="shared" si="321"/>
        <v/>
      </c>
      <c r="DT49" s="30" t="str">
        <f t="shared" si="322"/>
        <v/>
      </c>
      <c r="DU49" s="30" t="str">
        <f t="shared" si="323"/>
        <v/>
      </c>
      <c r="DV49" s="30" t="str">
        <f t="shared" si="324"/>
        <v/>
      </c>
      <c r="DW49" s="30" t="str">
        <f t="shared" si="325"/>
        <v/>
      </c>
      <c r="DX49" s="30" t="str">
        <f t="shared" si="326"/>
        <v/>
      </c>
      <c r="DY49" s="30" t="str">
        <f t="shared" si="327"/>
        <v/>
      </c>
      <c r="DZ49" s="30" t="str">
        <f t="shared" si="328"/>
        <v>|n冷却缩减+15%</v>
      </c>
      <c r="EA49" s="30" t="str">
        <f t="shared" si="329"/>
        <v/>
      </c>
      <c r="EB49" s="30" t="str">
        <f t="shared" si="330"/>
        <v/>
      </c>
      <c r="EC49" s="30" t="str">
        <f t="shared" si="331"/>
        <v/>
      </c>
      <c r="ED49" s="30" t="str">
        <f t="shared" si="332"/>
        <v/>
      </c>
      <c r="EE49" s="30" t="str">
        <f t="shared" si="333"/>
        <v/>
      </c>
      <c r="EF49" s="30" t="str">
        <f t="shared" si="334"/>
        <v/>
      </c>
      <c r="EG49" s="30" t="str">
        <f t="shared" si="335"/>
        <v/>
      </c>
      <c r="EH49" s="30" t="str">
        <f t="shared" si="336"/>
        <v/>
      </c>
      <c r="EI49" s="30" t="str">
        <f t="shared" si="337"/>
        <v/>
      </c>
      <c r="EJ49" s="30" t="str">
        <f t="shared" si="338"/>
        <v/>
      </c>
      <c r="EK49" s="30" t="str">
        <f t="shared" si="339"/>
        <v/>
      </c>
      <c r="EL49" s="30" t="str">
        <f t="shared" si="340"/>
        <v/>
      </c>
      <c r="EM49" s="30" t="str">
        <f t="shared" si="341"/>
        <v/>
      </c>
      <c r="EN49" s="30" t="str">
        <f t="shared" si="342"/>
        <v/>
      </c>
      <c r="EO49" s="30" t="str">
        <f t="shared" si="343"/>
        <v/>
      </c>
      <c r="EP49" s="30" t="str">
        <f t="shared" si="344"/>
        <v/>
      </c>
      <c r="EQ49" s="30" t="str">
        <f t="shared" si="345"/>
        <v/>
      </c>
      <c r="ER49" s="30" t="str">
        <f t="shared" si="346"/>
        <v/>
      </c>
      <c r="ES49" s="30" t="str">
        <f t="shared" si="347"/>
        <v/>
      </c>
      <c r="ET49" s="30" t="str">
        <f t="shared" si="348"/>
        <v/>
      </c>
      <c r="EU49" s="30" t="str">
        <f t="shared" si="349"/>
        <v/>
      </c>
      <c r="EV49" s="30" t="str">
        <f t="shared" si="350"/>
        <v/>
      </c>
      <c r="EW49" s="30" t="str">
        <f t="shared" si="351"/>
        <v/>
      </c>
      <c r="EX49" s="30" t="str">
        <f t="shared" si="352"/>
        <v/>
      </c>
      <c r="EY49" s="30" t="str">
        <f t="shared" si="353"/>
        <v/>
      </c>
      <c r="EZ49" s="30" t="str">
        <f t="shared" si="354"/>
        <v/>
      </c>
      <c r="FA49" s="30" t="str">
        <f t="shared" si="355"/>
        <v/>
      </c>
      <c r="FB49" s="30" t="str">
        <f t="shared" si="356"/>
        <v/>
      </c>
      <c r="FC49" s="30" t="str">
        <f t="shared" si="357"/>
        <v/>
      </c>
      <c r="FD49" s="30" t="str">
        <f t="shared" si="358"/>
        <v/>
      </c>
      <c r="FE49" s="30" t="str">
        <f t="shared" si="359"/>
        <v/>
      </c>
      <c r="FF49" s="30" t="str">
        <f t="shared" si="360"/>
        <v/>
      </c>
      <c r="FG49" s="30" t="str">
        <f t="shared" si="361"/>
        <v/>
      </c>
      <c r="FH49" s="30" t="str">
        <f t="shared" si="362"/>
        <v/>
      </c>
      <c r="FI49" s="30" t="str">
        <f t="shared" si="363"/>
        <v/>
      </c>
      <c r="FJ49" s="30" t="str">
        <f t="shared" si="364"/>
        <v/>
      </c>
      <c r="FK49" s="30" t="str">
        <f t="shared" si="365"/>
        <v/>
      </c>
      <c r="FL49" s="30" t="str">
        <f t="shared" si="366"/>
        <v/>
      </c>
      <c r="FM49" s="30" t="str">
        <f t="shared" si="367"/>
        <v/>
      </c>
      <c r="FN49" s="30" t="str">
        <f t="shared" si="368"/>
        <v/>
      </c>
      <c r="FO49" s="30" t="str">
        <f t="shared" si="369"/>
        <v/>
      </c>
      <c r="FP49" s="30" t="str">
        <f t="shared" si="370"/>
        <v/>
      </c>
      <c r="FQ49" s="30" t="str">
        <f t="shared" si="371"/>
        <v/>
      </c>
      <c r="FR49" s="30" t="str">
        <f t="shared" si="372"/>
        <v/>
      </c>
      <c r="FS49" s="30" t="str">
        <f t="shared" si="373"/>
        <v/>
      </c>
    </row>
    <row r="50" spans="1:175" s="24" customFormat="1" ht="16.5">
      <c r="A50" s="5"/>
      <c r="B50" s="36" t="s">
        <v>672</v>
      </c>
      <c r="C50" s="5" t="s">
        <v>759</v>
      </c>
      <c r="D50" s="31"/>
      <c r="E50" s="39"/>
      <c r="F50" s="40">
        <v>33600</v>
      </c>
      <c r="G50" s="38"/>
      <c r="H50" s="38"/>
      <c r="I50" s="38" t="str">
        <f t="shared" si="296"/>
        <v>E124</v>
      </c>
      <c r="J50" s="38"/>
      <c r="K50" s="38"/>
      <c r="L50" s="38"/>
      <c r="M50" s="38"/>
      <c r="N50" s="38"/>
      <c r="O50" s="38"/>
      <c r="P50" s="42"/>
      <c r="Q50" s="42"/>
      <c r="R50" s="42"/>
      <c r="S50" s="42"/>
      <c r="T50" s="101"/>
      <c r="U50" s="32" t="str">
        <f t="shared" si="302"/>
        <v>ReplaceableTextures\\CommandButtons\\BTNE123.blp</v>
      </c>
      <c r="V50" s="43"/>
      <c r="W50" s="43">
        <v>78000</v>
      </c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>
        <v>12</v>
      </c>
      <c r="AM50" s="43"/>
      <c r="AN50" s="43"/>
      <c r="AO50" s="43"/>
      <c r="AP50" s="43"/>
      <c r="AQ50" s="43"/>
      <c r="AR50" s="43"/>
      <c r="AS50" s="43"/>
      <c r="AT50" s="43">
        <v>15</v>
      </c>
      <c r="AU50" s="43"/>
      <c r="AV50" s="43"/>
      <c r="AW50" s="43"/>
      <c r="AX50" s="43"/>
      <c r="AY50" s="43"/>
      <c r="AZ50" s="43"/>
      <c r="BA50" s="43"/>
      <c r="BB50" s="43"/>
      <c r="BC50" s="43"/>
      <c r="BD50" s="43"/>
      <c r="BE50" s="43"/>
      <c r="BF50" s="43"/>
      <c r="BG50" s="43"/>
      <c r="BH50" s="43"/>
      <c r="BI50" s="43"/>
      <c r="BJ50" s="43"/>
      <c r="BK50" s="43"/>
      <c r="BL50" s="43"/>
      <c r="BM50" s="43"/>
      <c r="BN50" s="43"/>
      <c r="BO50" s="43"/>
      <c r="BP50" s="43"/>
      <c r="BQ50" s="43"/>
      <c r="BR50" s="43"/>
      <c r="BS50" s="43"/>
      <c r="BT50" s="43"/>
      <c r="BU50" s="43"/>
      <c r="BV50" s="43"/>
      <c r="BW50" s="43"/>
      <c r="BX50" s="43"/>
      <c r="BY50" s="43"/>
      <c r="BZ50" s="43"/>
      <c r="CA50" s="43"/>
      <c r="CB50" s="43"/>
      <c r="CC50" s="43"/>
      <c r="CD50" s="43"/>
      <c r="CE50" s="43"/>
      <c r="CF50" s="43"/>
      <c r="CG50" s="43"/>
      <c r="CH50" s="43"/>
      <c r="CI50" s="43"/>
      <c r="CJ50" s="43"/>
      <c r="CK50" s="43"/>
      <c r="CL50" s="43"/>
      <c r="CM50" s="43"/>
      <c r="CN50" s="44" t="str">
        <f t="shared" si="297"/>
        <v>InitUnitState('E123',,78000,,,,,,,,)</v>
      </c>
      <c r="CO50" s="44" t="str">
        <f t="shared" si="298"/>
        <v>InitUnitNormal('E123',,,,,,,12,,,)</v>
      </c>
      <c r="CP50" s="44" t="str">
        <f t="shared" si="299"/>
        <v>InitUnitMagic('E123',,,,,15,,,,,)</v>
      </c>
      <c r="CQ50" s="44" t="str">
        <f t="shared" si="300"/>
        <v>InitUnitAdd('E123',,,,,,,,,,)</v>
      </c>
      <c r="CR50" s="44" t="str">
        <f t="shared" si="301"/>
        <v>InitEquipData('E123',,"",,E124,33600,,'','','','','','',"ReplaceableTextures\\CommandButtons\\BTNE124.blp")</v>
      </c>
      <c r="CS50" s="44"/>
      <c r="CT50" s="44"/>
      <c r="CU50" s="45" t="str">
        <f t="shared" si="303"/>
        <v>|n法强+78000|n伤害加成+12%|n冷却缩减+15%|n</v>
      </c>
      <c r="CV50" s="29" t="str">
        <f>"|cffffcc00属性：|r"&amp;CU50&amp;VLOOKUP(A50,合成公式!A:P,16,FALSE)&amp;T50</f>
        <v>|cffffcc00属性：|r|n法强+78000|n伤害加成+12%|n冷却缩减+15%|n</v>
      </c>
      <c r="DB50" s="30" t="str">
        <f t="shared" si="304"/>
        <v/>
      </c>
      <c r="DC50" s="30" t="str">
        <f t="shared" si="305"/>
        <v>|n法强+78000</v>
      </c>
      <c r="DD50" s="30" t="str">
        <f t="shared" si="306"/>
        <v/>
      </c>
      <c r="DE50" s="30" t="str">
        <f t="shared" si="307"/>
        <v/>
      </c>
      <c r="DF50" s="30" t="str">
        <f t="shared" si="308"/>
        <v/>
      </c>
      <c r="DG50" s="30" t="str">
        <f t="shared" si="309"/>
        <v/>
      </c>
      <c r="DH50" s="30" t="str">
        <f t="shared" si="310"/>
        <v/>
      </c>
      <c r="DI50" s="30" t="str">
        <f t="shared" si="311"/>
        <v/>
      </c>
      <c r="DJ50" s="30" t="str">
        <f t="shared" si="312"/>
        <v/>
      </c>
      <c r="DK50" s="30" t="str">
        <f t="shared" si="313"/>
        <v/>
      </c>
      <c r="DL50" s="30" t="str">
        <f t="shared" si="314"/>
        <v/>
      </c>
      <c r="DM50" s="30" t="str">
        <f t="shared" si="315"/>
        <v/>
      </c>
      <c r="DN50" s="30" t="str">
        <f t="shared" si="316"/>
        <v/>
      </c>
      <c r="DO50" s="30" t="str">
        <f t="shared" si="317"/>
        <v/>
      </c>
      <c r="DP50" s="30" t="str">
        <f t="shared" si="318"/>
        <v/>
      </c>
      <c r="DQ50" s="30" t="str">
        <f t="shared" si="319"/>
        <v/>
      </c>
      <c r="DR50" s="30" t="str">
        <f t="shared" si="320"/>
        <v>|n伤害加成+12%</v>
      </c>
      <c r="DS50" s="30" t="str">
        <f t="shared" si="321"/>
        <v/>
      </c>
      <c r="DT50" s="30" t="str">
        <f t="shared" si="322"/>
        <v/>
      </c>
      <c r="DU50" s="30" t="str">
        <f t="shared" si="323"/>
        <v/>
      </c>
      <c r="DV50" s="30" t="str">
        <f t="shared" si="324"/>
        <v/>
      </c>
      <c r="DW50" s="30" t="str">
        <f t="shared" si="325"/>
        <v/>
      </c>
      <c r="DX50" s="30" t="str">
        <f t="shared" si="326"/>
        <v/>
      </c>
      <c r="DY50" s="30" t="str">
        <f t="shared" si="327"/>
        <v/>
      </c>
      <c r="DZ50" s="30" t="str">
        <f t="shared" si="328"/>
        <v>|n冷却缩减+15%</v>
      </c>
      <c r="EA50" s="30" t="str">
        <f t="shared" si="329"/>
        <v/>
      </c>
      <c r="EB50" s="30" t="str">
        <f t="shared" si="330"/>
        <v/>
      </c>
      <c r="EC50" s="30" t="str">
        <f t="shared" si="331"/>
        <v/>
      </c>
      <c r="ED50" s="30" t="str">
        <f t="shared" si="332"/>
        <v/>
      </c>
      <c r="EE50" s="30" t="str">
        <f t="shared" si="333"/>
        <v/>
      </c>
      <c r="EF50" s="30" t="str">
        <f t="shared" si="334"/>
        <v/>
      </c>
      <c r="EG50" s="30" t="str">
        <f t="shared" si="335"/>
        <v/>
      </c>
      <c r="EH50" s="30" t="str">
        <f t="shared" si="336"/>
        <v/>
      </c>
      <c r="EI50" s="30" t="str">
        <f t="shared" si="337"/>
        <v/>
      </c>
      <c r="EJ50" s="30" t="str">
        <f t="shared" si="338"/>
        <v/>
      </c>
      <c r="EK50" s="30" t="str">
        <f t="shared" si="339"/>
        <v/>
      </c>
      <c r="EL50" s="30" t="str">
        <f t="shared" si="340"/>
        <v/>
      </c>
      <c r="EM50" s="30" t="str">
        <f t="shared" si="341"/>
        <v/>
      </c>
      <c r="EN50" s="30" t="str">
        <f t="shared" si="342"/>
        <v/>
      </c>
      <c r="EO50" s="30" t="str">
        <f t="shared" si="343"/>
        <v/>
      </c>
      <c r="EP50" s="30" t="str">
        <f t="shared" si="344"/>
        <v/>
      </c>
      <c r="EQ50" s="30" t="str">
        <f t="shared" si="345"/>
        <v/>
      </c>
      <c r="ER50" s="30" t="str">
        <f t="shared" si="346"/>
        <v/>
      </c>
      <c r="ES50" s="30" t="str">
        <f t="shared" si="347"/>
        <v/>
      </c>
      <c r="ET50" s="30" t="str">
        <f t="shared" si="348"/>
        <v/>
      </c>
      <c r="EU50" s="30" t="str">
        <f t="shared" si="349"/>
        <v/>
      </c>
      <c r="EV50" s="30" t="str">
        <f t="shared" si="350"/>
        <v/>
      </c>
      <c r="EW50" s="30" t="str">
        <f t="shared" si="351"/>
        <v/>
      </c>
      <c r="EX50" s="30" t="str">
        <f t="shared" si="352"/>
        <v/>
      </c>
      <c r="EY50" s="30" t="str">
        <f t="shared" si="353"/>
        <v/>
      </c>
      <c r="EZ50" s="30" t="str">
        <f t="shared" si="354"/>
        <v/>
      </c>
      <c r="FA50" s="30" t="str">
        <f t="shared" si="355"/>
        <v/>
      </c>
      <c r="FB50" s="30" t="str">
        <f t="shared" si="356"/>
        <v/>
      </c>
      <c r="FC50" s="30" t="str">
        <f t="shared" si="357"/>
        <v/>
      </c>
      <c r="FD50" s="30" t="str">
        <f t="shared" si="358"/>
        <v/>
      </c>
      <c r="FE50" s="30" t="str">
        <f t="shared" si="359"/>
        <v/>
      </c>
      <c r="FF50" s="30" t="str">
        <f t="shared" si="360"/>
        <v/>
      </c>
      <c r="FG50" s="30" t="str">
        <f t="shared" si="361"/>
        <v/>
      </c>
      <c r="FH50" s="30" t="str">
        <f t="shared" si="362"/>
        <v/>
      </c>
      <c r="FI50" s="30" t="str">
        <f t="shared" si="363"/>
        <v/>
      </c>
      <c r="FJ50" s="30" t="str">
        <f t="shared" si="364"/>
        <v/>
      </c>
      <c r="FK50" s="30" t="str">
        <f t="shared" si="365"/>
        <v/>
      </c>
      <c r="FL50" s="30" t="str">
        <f t="shared" si="366"/>
        <v/>
      </c>
      <c r="FM50" s="30" t="str">
        <f t="shared" si="367"/>
        <v/>
      </c>
      <c r="FN50" s="30" t="str">
        <f t="shared" si="368"/>
        <v/>
      </c>
      <c r="FO50" s="30" t="str">
        <f t="shared" si="369"/>
        <v/>
      </c>
      <c r="FP50" s="30" t="str">
        <f t="shared" si="370"/>
        <v/>
      </c>
      <c r="FQ50" s="30" t="str">
        <f t="shared" si="371"/>
        <v/>
      </c>
      <c r="FR50" s="30" t="str">
        <f t="shared" si="372"/>
        <v/>
      </c>
      <c r="FS50" s="30" t="str">
        <f t="shared" si="373"/>
        <v/>
      </c>
    </row>
    <row r="51" spans="1:175" s="24" customFormat="1" ht="16.5">
      <c r="A51" s="5"/>
      <c r="B51" s="36" t="s">
        <v>673</v>
      </c>
      <c r="C51" s="5" t="s">
        <v>760</v>
      </c>
      <c r="D51" s="31"/>
      <c r="E51" s="39"/>
      <c r="F51" s="40">
        <v>34800</v>
      </c>
      <c r="G51" s="38"/>
      <c r="H51" s="38"/>
      <c r="I51" s="38" t="str">
        <f t="shared" si="296"/>
        <v>E125</v>
      </c>
      <c r="J51" s="38"/>
      <c r="K51" s="38"/>
      <c r="L51" s="38"/>
      <c r="M51" s="38"/>
      <c r="N51" s="38"/>
      <c r="O51" s="38"/>
      <c r="P51" s="42"/>
      <c r="Q51" s="42"/>
      <c r="R51" s="42"/>
      <c r="S51" s="42"/>
      <c r="T51" s="101"/>
      <c r="U51" s="32" t="str">
        <f t="shared" si="302"/>
        <v>ReplaceableTextures\\CommandButtons\\BTNE124.blp</v>
      </c>
      <c r="V51" s="43"/>
      <c r="W51" s="43">
        <v>89000</v>
      </c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>
        <v>12</v>
      </c>
      <c r="AM51" s="43"/>
      <c r="AN51" s="43"/>
      <c r="AO51" s="43"/>
      <c r="AP51" s="43"/>
      <c r="AQ51" s="43"/>
      <c r="AR51" s="43"/>
      <c r="AS51" s="43"/>
      <c r="AT51" s="43">
        <v>15</v>
      </c>
      <c r="AU51" s="43"/>
      <c r="AV51" s="43"/>
      <c r="AW51" s="43"/>
      <c r="AX51" s="43"/>
      <c r="AY51" s="43"/>
      <c r="AZ51" s="43"/>
      <c r="BA51" s="43"/>
      <c r="BB51" s="43"/>
      <c r="BC51" s="43"/>
      <c r="BD51" s="43"/>
      <c r="BE51" s="43"/>
      <c r="BF51" s="43"/>
      <c r="BG51" s="43"/>
      <c r="BH51" s="43"/>
      <c r="BI51" s="43"/>
      <c r="BJ51" s="43"/>
      <c r="BK51" s="43"/>
      <c r="BL51" s="43"/>
      <c r="BM51" s="43"/>
      <c r="BN51" s="43"/>
      <c r="BO51" s="43"/>
      <c r="BP51" s="43"/>
      <c r="BQ51" s="43"/>
      <c r="BR51" s="43"/>
      <c r="BS51" s="43"/>
      <c r="BT51" s="43"/>
      <c r="BU51" s="43"/>
      <c r="BV51" s="43"/>
      <c r="BW51" s="43"/>
      <c r="BX51" s="43"/>
      <c r="BY51" s="43"/>
      <c r="BZ51" s="43"/>
      <c r="CA51" s="43"/>
      <c r="CB51" s="43"/>
      <c r="CC51" s="43"/>
      <c r="CD51" s="43"/>
      <c r="CE51" s="43"/>
      <c r="CF51" s="43"/>
      <c r="CG51" s="43"/>
      <c r="CH51" s="43"/>
      <c r="CI51" s="43"/>
      <c r="CJ51" s="43"/>
      <c r="CK51" s="43"/>
      <c r="CL51" s="43"/>
      <c r="CM51" s="43"/>
      <c r="CN51" s="44" t="str">
        <f t="shared" si="297"/>
        <v>InitUnitState('E124',,89000,,,,,,,,)</v>
      </c>
      <c r="CO51" s="44" t="str">
        <f t="shared" si="298"/>
        <v>InitUnitNormal('E124',,,,,,,12,,,)</v>
      </c>
      <c r="CP51" s="44" t="str">
        <f t="shared" si="299"/>
        <v>InitUnitMagic('E124',,,,,15,,,,,)</v>
      </c>
      <c r="CQ51" s="44" t="str">
        <f t="shared" si="300"/>
        <v>InitUnitAdd('E124',,,,,,,,,,)</v>
      </c>
      <c r="CR51" s="44" t="str">
        <f t="shared" si="301"/>
        <v>InitEquipData('E124',,"",,E125,34800,,'','','','','','',"ReplaceableTextures\\CommandButtons\\BTNE125.blp")</v>
      </c>
      <c r="CS51" s="44"/>
      <c r="CT51" s="44"/>
      <c r="CU51" s="45" t="str">
        <f t="shared" si="303"/>
        <v>|n法强+89000|n伤害加成+12%|n冷却缩减+15%|n</v>
      </c>
      <c r="CV51" s="29" t="str">
        <f>"|cffffcc00属性：|r"&amp;CU51&amp;VLOOKUP(A51,合成公式!A:P,16,FALSE)&amp;T51</f>
        <v>|cffffcc00属性：|r|n法强+89000|n伤害加成+12%|n冷却缩减+15%|n</v>
      </c>
      <c r="DB51" s="30" t="str">
        <f t="shared" si="304"/>
        <v/>
      </c>
      <c r="DC51" s="30" t="str">
        <f t="shared" si="305"/>
        <v>|n法强+89000</v>
      </c>
      <c r="DD51" s="30" t="str">
        <f t="shared" si="306"/>
        <v/>
      </c>
      <c r="DE51" s="30" t="str">
        <f t="shared" si="307"/>
        <v/>
      </c>
      <c r="DF51" s="30" t="str">
        <f t="shared" si="308"/>
        <v/>
      </c>
      <c r="DG51" s="30" t="str">
        <f t="shared" si="309"/>
        <v/>
      </c>
      <c r="DH51" s="30" t="str">
        <f t="shared" si="310"/>
        <v/>
      </c>
      <c r="DI51" s="30" t="str">
        <f t="shared" si="311"/>
        <v/>
      </c>
      <c r="DJ51" s="30" t="str">
        <f t="shared" si="312"/>
        <v/>
      </c>
      <c r="DK51" s="30" t="str">
        <f t="shared" si="313"/>
        <v/>
      </c>
      <c r="DL51" s="30" t="str">
        <f t="shared" si="314"/>
        <v/>
      </c>
      <c r="DM51" s="30" t="str">
        <f t="shared" si="315"/>
        <v/>
      </c>
      <c r="DN51" s="30" t="str">
        <f t="shared" si="316"/>
        <v/>
      </c>
      <c r="DO51" s="30" t="str">
        <f t="shared" si="317"/>
        <v/>
      </c>
      <c r="DP51" s="30" t="str">
        <f t="shared" si="318"/>
        <v/>
      </c>
      <c r="DQ51" s="30" t="str">
        <f t="shared" si="319"/>
        <v/>
      </c>
      <c r="DR51" s="30" t="str">
        <f t="shared" si="320"/>
        <v>|n伤害加成+12%</v>
      </c>
      <c r="DS51" s="30" t="str">
        <f t="shared" si="321"/>
        <v/>
      </c>
      <c r="DT51" s="30" t="str">
        <f t="shared" si="322"/>
        <v/>
      </c>
      <c r="DU51" s="30" t="str">
        <f t="shared" si="323"/>
        <v/>
      </c>
      <c r="DV51" s="30" t="str">
        <f t="shared" si="324"/>
        <v/>
      </c>
      <c r="DW51" s="30" t="str">
        <f t="shared" si="325"/>
        <v/>
      </c>
      <c r="DX51" s="30" t="str">
        <f t="shared" si="326"/>
        <v/>
      </c>
      <c r="DY51" s="30" t="str">
        <f t="shared" si="327"/>
        <v/>
      </c>
      <c r="DZ51" s="30" t="str">
        <f t="shared" si="328"/>
        <v>|n冷却缩减+15%</v>
      </c>
      <c r="EA51" s="30" t="str">
        <f t="shared" si="329"/>
        <v/>
      </c>
      <c r="EB51" s="30" t="str">
        <f t="shared" si="330"/>
        <v/>
      </c>
      <c r="EC51" s="30" t="str">
        <f t="shared" si="331"/>
        <v/>
      </c>
      <c r="ED51" s="30" t="str">
        <f t="shared" si="332"/>
        <v/>
      </c>
      <c r="EE51" s="30" t="str">
        <f t="shared" si="333"/>
        <v/>
      </c>
      <c r="EF51" s="30" t="str">
        <f t="shared" si="334"/>
        <v/>
      </c>
      <c r="EG51" s="30" t="str">
        <f t="shared" si="335"/>
        <v/>
      </c>
      <c r="EH51" s="30" t="str">
        <f t="shared" si="336"/>
        <v/>
      </c>
      <c r="EI51" s="30" t="str">
        <f t="shared" si="337"/>
        <v/>
      </c>
      <c r="EJ51" s="30" t="str">
        <f t="shared" si="338"/>
        <v/>
      </c>
      <c r="EK51" s="30" t="str">
        <f t="shared" si="339"/>
        <v/>
      </c>
      <c r="EL51" s="30" t="str">
        <f t="shared" si="340"/>
        <v/>
      </c>
      <c r="EM51" s="30" t="str">
        <f t="shared" si="341"/>
        <v/>
      </c>
      <c r="EN51" s="30" t="str">
        <f t="shared" si="342"/>
        <v/>
      </c>
      <c r="EO51" s="30" t="str">
        <f t="shared" si="343"/>
        <v/>
      </c>
      <c r="EP51" s="30" t="str">
        <f t="shared" si="344"/>
        <v/>
      </c>
      <c r="EQ51" s="30" t="str">
        <f t="shared" si="345"/>
        <v/>
      </c>
      <c r="ER51" s="30" t="str">
        <f t="shared" si="346"/>
        <v/>
      </c>
      <c r="ES51" s="30" t="str">
        <f t="shared" si="347"/>
        <v/>
      </c>
      <c r="ET51" s="30" t="str">
        <f t="shared" si="348"/>
        <v/>
      </c>
      <c r="EU51" s="30" t="str">
        <f t="shared" si="349"/>
        <v/>
      </c>
      <c r="EV51" s="30" t="str">
        <f t="shared" si="350"/>
        <v/>
      </c>
      <c r="EW51" s="30" t="str">
        <f t="shared" si="351"/>
        <v/>
      </c>
      <c r="EX51" s="30" t="str">
        <f t="shared" si="352"/>
        <v/>
      </c>
      <c r="EY51" s="30" t="str">
        <f t="shared" si="353"/>
        <v/>
      </c>
      <c r="EZ51" s="30" t="str">
        <f t="shared" si="354"/>
        <v/>
      </c>
      <c r="FA51" s="30" t="str">
        <f t="shared" si="355"/>
        <v/>
      </c>
      <c r="FB51" s="30" t="str">
        <f t="shared" si="356"/>
        <v/>
      </c>
      <c r="FC51" s="30" t="str">
        <f t="shared" si="357"/>
        <v/>
      </c>
      <c r="FD51" s="30" t="str">
        <f t="shared" si="358"/>
        <v/>
      </c>
      <c r="FE51" s="30" t="str">
        <f t="shared" si="359"/>
        <v/>
      </c>
      <c r="FF51" s="30" t="str">
        <f t="shared" si="360"/>
        <v/>
      </c>
      <c r="FG51" s="30" t="str">
        <f t="shared" si="361"/>
        <v/>
      </c>
      <c r="FH51" s="30" t="str">
        <f t="shared" si="362"/>
        <v/>
      </c>
      <c r="FI51" s="30" t="str">
        <f t="shared" si="363"/>
        <v/>
      </c>
      <c r="FJ51" s="30" t="str">
        <f t="shared" si="364"/>
        <v/>
      </c>
      <c r="FK51" s="30" t="str">
        <f t="shared" si="365"/>
        <v/>
      </c>
      <c r="FL51" s="30" t="str">
        <f t="shared" si="366"/>
        <v/>
      </c>
      <c r="FM51" s="30" t="str">
        <f t="shared" si="367"/>
        <v/>
      </c>
      <c r="FN51" s="30" t="str">
        <f t="shared" si="368"/>
        <v/>
      </c>
      <c r="FO51" s="30" t="str">
        <f t="shared" si="369"/>
        <v/>
      </c>
      <c r="FP51" s="30" t="str">
        <f t="shared" si="370"/>
        <v/>
      </c>
      <c r="FQ51" s="30" t="str">
        <f t="shared" si="371"/>
        <v/>
      </c>
      <c r="FR51" s="30" t="str">
        <f t="shared" si="372"/>
        <v/>
      </c>
      <c r="FS51" s="30" t="str">
        <f t="shared" si="373"/>
        <v/>
      </c>
    </row>
    <row r="52" spans="1:175" s="24" customFormat="1" ht="16.5">
      <c r="A52" s="5"/>
      <c r="B52" s="36" t="s">
        <v>761</v>
      </c>
      <c r="C52" s="5" t="s">
        <v>762</v>
      </c>
      <c r="D52" s="31"/>
      <c r="E52" s="39"/>
      <c r="F52" s="40"/>
      <c r="G52" s="38"/>
      <c r="H52" s="38"/>
      <c r="I52" s="38"/>
      <c r="J52" s="38"/>
      <c r="K52" s="38"/>
      <c r="L52" s="38"/>
      <c r="M52" s="38"/>
      <c r="N52" s="38"/>
      <c r="O52" s="38"/>
      <c r="P52" s="42"/>
      <c r="Q52" s="42"/>
      <c r="R52" s="42"/>
      <c r="S52" s="42"/>
      <c r="T52" s="101"/>
      <c r="U52" s="32" t="str">
        <f t="shared" si="302"/>
        <v>ReplaceableTextures\\CommandButtons\\BTNE125.blp</v>
      </c>
      <c r="V52" s="43"/>
      <c r="W52" s="43">
        <v>100000</v>
      </c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>
        <v>12</v>
      </c>
      <c r="AM52" s="43"/>
      <c r="AN52" s="43"/>
      <c r="AO52" s="43"/>
      <c r="AP52" s="43"/>
      <c r="AQ52" s="43"/>
      <c r="AR52" s="43"/>
      <c r="AS52" s="43"/>
      <c r="AT52" s="43">
        <v>15</v>
      </c>
      <c r="AU52" s="43"/>
      <c r="AV52" s="43"/>
      <c r="AW52" s="43"/>
      <c r="AX52" s="43"/>
      <c r="AY52" s="43"/>
      <c r="AZ52" s="43"/>
      <c r="BA52" s="43"/>
      <c r="BB52" s="43"/>
      <c r="BC52" s="43"/>
      <c r="BD52" s="43"/>
      <c r="BE52" s="43"/>
      <c r="BF52" s="43"/>
      <c r="BG52" s="43"/>
      <c r="BH52" s="43"/>
      <c r="BI52" s="43"/>
      <c r="BJ52" s="43"/>
      <c r="BK52" s="43"/>
      <c r="BL52" s="43"/>
      <c r="BM52" s="43"/>
      <c r="BN52" s="43"/>
      <c r="BO52" s="43"/>
      <c r="BP52" s="43"/>
      <c r="BQ52" s="43"/>
      <c r="BR52" s="43"/>
      <c r="BS52" s="43"/>
      <c r="BT52" s="43"/>
      <c r="BU52" s="43"/>
      <c r="BV52" s="43"/>
      <c r="BW52" s="43"/>
      <c r="BX52" s="43"/>
      <c r="BY52" s="43"/>
      <c r="BZ52" s="43"/>
      <c r="CA52" s="43"/>
      <c r="CB52" s="43"/>
      <c r="CC52" s="43"/>
      <c r="CD52" s="43"/>
      <c r="CE52" s="43"/>
      <c r="CF52" s="43"/>
      <c r="CG52" s="43"/>
      <c r="CH52" s="43"/>
      <c r="CI52" s="43"/>
      <c r="CJ52" s="43"/>
      <c r="CK52" s="43"/>
      <c r="CL52" s="43"/>
      <c r="CM52" s="43"/>
      <c r="CN52" s="44" t="str">
        <f t="shared" si="297"/>
        <v>InitUnitState('E125',,100000,,,,,,,,)</v>
      </c>
      <c r="CO52" s="44" t="str">
        <f t="shared" si="298"/>
        <v>InitUnitNormal('E125',,,,,,,12,,,)</v>
      </c>
      <c r="CP52" s="44" t="str">
        <f t="shared" si="299"/>
        <v>InitUnitMagic('E125',,,,,15,,,,,)</v>
      </c>
      <c r="CQ52" s="44" t="str">
        <f t="shared" si="300"/>
        <v>InitUnitAdd('E125',,,,,,,,,,)</v>
      </c>
      <c r="CR52" s="44" t="str">
        <f t="shared" si="301"/>
        <v>InitEquipData('E125',,"",,,,,'','','','','','',"ReplaceableTextures\\CommandButtons\\BTNE201.blp")</v>
      </c>
      <c r="CS52" s="44"/>
      <c r="CT52" s="44"/>
      <c r="CU52" s="45" t="str">
        <f t="shared" si="303"/>
        <v>|n法强+100000|n伤害加成+12%|n冷却缩减+15%|n</v>
      </c>
      <c r="CV52" s="29" t="str">
        <f>"|cffffcc00属性：|r"&amp;CU52&amp;VLOOKUP(A52,合成公式!A:P,16,FALSE)&amp;T52</f>
        <v>|cffffcc00属性：|r|n法强+100000|n伤害加成+12%|n冷却缩减+15%|n</v>
      </c>
      <c r="DB52" s="30" t="str">
        <f t="shared" si="304"/>
        <v/>
      </c>
      <c r="DC52" s="30" t="str">
        <f t="shared" si="305"/>
        <v>|n法强+100000</v>
      </c>
      <c r="DD52" s="30" t="str">
        <f t="shared" si="306"/>
        <v/>
      </c>
      <c r="DE52" s="30" t="str">
        <f t="shared" si="307"/>
        <v/>
      </c>
      <c r="DF52" s="30" t="str">
        <f t="shared" si="308"/>
        <v/>
      </c>
      <c r="DG52" s="30" t="str">
        <f t="shared" si="309"/>
        <v/>
      </c>
      <c r="DH52" s="30" t="str">
        <f t="shared" si="310"/>
        <v/>
      </c>
      <c r="DI52" s="30" t="str">
        <f t="shared" si="311"/>
        <v/>
      </c>
      <c r="DJ52" s="30" t="str">
        <f t="shared" si="312"/>
        <v/>
      </c>
      <c r="DK52" s="30" t="str">
        <f t="shared" si="313"/>
        <v/>
      </c>
      <c r="DL52" s="30" t="str">
        <f t="shared" si="314"/>
        <v/>
      </c>
      <c r="DM52" s="30" t="str">
        <f t="shared" si="315"/>
        <v/>
      </c>
      <c r="DN52" s="30" t="str">
        <f t="shared" si="316"/>
        <v/>
      </c>
      <c r="DO52" s="30" t="str">
        <f t="shared" si="317"/>
        <v/>
      </c>
      <c r="DP52" s="30" t="str">
        <f t="shared" si="318"/>
        <v/>
      </c>
      <c r="DQ52" s="30" t="str">
        <f t="shared" si="319"/>
        <v/>
      </c>
      <c r="DR52" s="30" t="str">
        <f t="shared" si="320"/>
        <v>|n伤害加成+12%</v>
      </c>
      <c r="DS52" s="30" t="str">
        <f t="shared" si="321"/>
        <v/>
      </c>
      <c r="DT52" s="30" t="str">
        <f t="shared" si="322"/>
        <v/>
      </c>
      <c r="DU52" s="30" t="str">
        <f t="shared" si="323"/>
        <v/>
      </c>
      <c r="DV52" s="30" t="str">
        <f t="shared" si="324"/>
        <v/>
      </c>
      <c r="DW52" s="30" t="str">
        <f t="shared" si="325"/>
        <v/>
      </c>
      <c r="DX52" s="30" t="str">
        <f t="shared" si="326"/>
        <v/>
      </c>
      <c r="DY52" s="30" t="str">
        <f t="shared" si="327"/>
        <v/>
      </c>
      <c r="DZ52" s="30" t="str">
        <f t="shared" si="328"/>
        <v>|n冷却缩减+15%</v>
      </c>
      <c r="EA52" s="30" t="str">
        <f t="shared" si="329"/>
        <v/>
      </c>
      <c r="EB52" s="30" t="str">
        <f t="shared" si="330"/>
        <v/>
      </c>
      <c r="EC52" s="30" t="str">
        <f t="shared" si="331"/>
        <v/>
      </c>
      <c r="ED52" s="30" t="str">
        <f t="shared" si="332"/>
        <v/>
      </c>
      <c r="EE52" s="30" t="str">
        <f t="shared" si="333"/>
        <v/>
      </c>
      <c r="EF52" s="30" t="str">
        <f t="shared" si="334"/>
        <v/>
      </c>
      <c r="EG52" s="30" t="str">
        <f t="shared" si="335"/>
        <v/>
      </c>
      <c r="EH52" s="30" t="str">
        <f t="shared" si="336"/>
        <v/>
      </c>
      <c r="EI52" s="30" t="str">
        <f t="shared" si="337"/>
        <v/>
      </c>
      <c r="EJ52" s="30" t="str">
        <f t="shared" si="338"/>
        <v/>
      </c>
      <c r="EK52" s="30" t="str">
        <f t="shared" si="339"/>
        <v/>
      </c>
      <c r="EL52" s="30" t="str">
        <f t="shared" si="340"/>
        <v/>
      </c>
      <c r="EM52" s="30" t="str">
        <f t="shared" si="341"/>
        <v/>
      </c>
      <c r="EN52" s="30" t="str">
        <f t="shared" si="342"/>
        <v/>
      </c>
      <c r="EO52" s="30" t="str">
        <f t="shared" si="343"/>
        <v/>
      </c>
      <c r="EP52" s="30" t="str">
        <f t="shared" si="344"/>
        <v/>
      </c>
      <c r="EQ52" s="30" t="str">
        <f t="shared" si="345"/>
        <v/>
      </c>
      <c r="ER52" s="30" t="str">
        <f t="shared" si="346"/>
        <v/>
      </c>
      <c r="ES52" s="30" t="str">
        <f t="shared" si="347"/>
        <v/>
      </c>
      <c r="ET52" s="30" t="str">
        <f t="shared" si="348"/>
        <v/>
      </c>
      <c r="EU52" s="30" t="str">
        <f t="shared" si="349"/>
        <v/>
      </c>
      <c r="EV52" s="30" t="str">
        <f t="shared" si="350"/>
        <v/>
      </c>
      <c r="EW52" s="30" t="str">
        <f t="shared" si="351"/>
        <v/>
      </c>
      <c r="EX52" s="30" t="str">
        <f t="shared" si="352"/>
        <v/>
      </c>
      <c r="EY52" s="30" t="str">
        <f t="shared" si="353"/>
        <v/>
      </c>
      <c r="EZ52" s="30" t="str">
        <f t="shared" si="354"/>
        <v/>
      </c>
      <c r="FA52" s="30" t="str">
        <f t="shared" si="355"/>
        <v/>
      </c>
      <c r="FB52" s="30" t="str">
        <f t="shared" si="356"/>
        <v/>
      </c>
      <c r="FC52" s="30" t="str">
        <f t="shared" si="357"/>
        <v/>
      </c>
      <c r="FD52" s="30" t="str">
        <f t="shared" si="358"/>
        <v/>
      </c>
      <c r="FE52" s="30" t="str">
        <f t="shared" si="359"/>
        <v/>
      </c>
      <c r="FF52" s="30" t="str">
        <f t="shared" si="360"/>
        <v/>
      </c>
      <c r="FG52" s="30" t="str">
        <f t="shared" si="361"/>
        <v/>
      </c>
      <c r="FH52" s="30" t="str">
        <f t="shared" si="362"/>
        <v/>
      </c>
      <c r="FI52" s="30" t="str">
        <f t="shared" si="363"/>
        <v/>
      </c>
      <c r="FJ52" s="30" t="str">
        <f t="shared" si="364"/>
        <v/>
      </c>
      <c r="FK52" s="30" t="str">
        <f t="shared" si="365"/>
        <v/>
      </c>
      <c r="FL52" s="30" t="str">
        <f t="shared" si="366"/>
        <v/>
      </c>
      <c r="FM52" s="30" t="str">
        <f t="shared" si="367"/>
        <v/>
      </c>
      <c r="FN52" s="30" t="str">
        <f t="shared" si="368"/>
        <v/>
      </c>
      <c r="FO52" s="30" t="str">
        <f t="shared" si="369"/>
        <v/>
      </c>
      <c r="FP52" s="30" t="str">
        <f t="shared" si="370"/>
        <v/>
      </c>
      <c r="FQ52" s="30" t="str">
        <f t="shared" si="371"/>
        <v/>
      </c>
      <c r="FR52" s="30" t="str">
        <f t="shared" si="372"/>
        <v/>
      </c>
      <c r="FS52" s="30" t="str">
        <f t="shared" si="373"/>
        <v/>
      </c>
    </row>
    <row r="53" spans="1:175" s="24" customFormat="1" ht="16.5">
      <c r="A53" s="5"/>
      <c r="B53" s="36" t="s">
        <v>764</v>
      </c>
      <c r="C53" s="5" t="s">
        <v>763</v>
      </c>
      <c r="D53" s="31"/>
      <c r="E53" s="39"/>
      <c r="F53" s="40">
        <v>6000</v>
      </c>
      <c r="G53" s="38"/>
      <c r="H53" s="38"/>
      <c r="I53" s="38" t="str">
        <f>B54</f>
        <v>E202</v>
      </c>
      <c r="J53" s="38"/>
      <c r="K53" s="38"/>
      <c r="L53" s="38"/>
      <c r="M53" s="38"/>
      <c r="N53" s="38"/>
      <c r="O53" s="38"/>
      <c r="P53" s="42"/>
      <c r="Q53" s="42"/>
      <c r="R53" s="42"/>
      <c r="S53" s="42"/>
      <c r="T53" s="101"/>
      <c r="U53" s="32" t="str">
        <f t="shared" ref="U53:U63" si="374">"ReplaceableTextures\\CommandButtons\\BTN"&amp;B53&amp;".blp"</f>
        <v>ReplaceableTextures\\CommandButtons\\BTNE201.blp</v>
      </c>
      <c r="V53" s="43"/>
      <c r="W53" s="43"/>
      <c r="X53" s="43">
        <v>1</v>
      </c>
      <c r="Y53" s="43"/>
      <c r="Z53" s="43">
        <v>2000</v>
      </c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  <c r="AQ53" s="43"/>
      <c r="AR53" s="43"/>
      <c r="AS53" s="43"/>
      <c r="AT53" s="43"/>
      <c r="AU53" s="43"/>
      <c r="AV53" s="43"/>
      <c r="AW53" s="43"/>
      <c r="AX53" s="43"/>
      <c r="AY53" s="43"/>
      <c r="AZ53" s="43"/>
      <c r="BA53" s="43"/>
      <c r="BB53" s="43"/>
      <c r="BC53" s="43"/>
      <c r="BD53" s="43"/>
      <c r="BE53" s="43"/>
      <c r="BF53" s="43"/>
      <c r="BG53" s="43"/>
      <c r="BH53" s="43"/>
      <c r="BI53" s="43"/>
      <c r="BJ53" s="43"/>
      <c r="BK53" s="43"/>
      <c r="BL53" s="43"/>
      <c r="BM53" s="43"/>
      <c r="BN53" s="43"/>
      <c r="BO53" s="43"/>
      <c r="BP53" s="43"/>
      <c r="BQ53" s="43"/>
      <c r="BR53" s="43"/>
      <c r="BS53" s="43"/>
      <c r="BT53" s="43"/>
      <c r="BU53" s="43"/>
      <c r="BV53" s="43"/>
      <c r="BW53" s="43"/>
      <c r="BX53" s="43"/>
      <c r="BY53" s="43"/>
      <c r="BZ53" s="43"/>
      <c r="CA53" s="43"/>
      <c r="CB53" s="43"/>
      <c r="CC53" s="43"/>
      <c r="CD53" s="43"/>
      <c r="CE53" s="43"/>
      <c r="CF53" s="43"/>
      <c r="CG53" s="43"/>
      <c r="CH53" s="43"/>
      <c r="CI53" s="43"/>
      <c r="CJ53" s="43"/>
      <c r="CK53" s="43"/>
      <c r="CL53" s="43"/>
      <c r="CM53" s="43"/>
      <c r="CN53" s="44" t="str">
        <f t="shared" si="297"/>
        <v>InitUnitState('E201',,,1,,2000,,,,,)</v>
      </c>
      <c r="CO53" s="44" t="str">
        <f t="shared" si="298"/>
        <v>InitUnitNormal('E201',,,,,,,,,,)</v>
      </c>
      <c r="CP53" s="44" t="str">
        <f t="shared" si="299"/>
        <v>InitUnitMagic('E201',,,,,,,,,,)</v>
      </c>
      <c r="CQ53" s="44" t="str">
        <f t="shared" si="300"/>
        <v>InitUnitAdd('E201',,,,,,,,,,)</v>
      </c>
      <c r="CR53" s="44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InitEquipData('E201',,"",,E202,6000,,'','','','','','',"ReplaceableTextures\\CommandButtons\\BTNE211.blp")</v>
      </c>
      <c r="CS53" s="44"/>
      <c r="CT53" s="44"/>
      <c r="CU53" s="45" t="str">
        <f t="shared" ref="CU53:CU54" si="375">CONCATENATE(DB53,DC53,DD53,DE53,DF53,DG53,DH53,DI53,DJ53,DK53,DL53,DM53,DN53,DO53,DP53,DQ53,DR53,DS53,DT53,DU53,DV53,DW53,DX53,DY53,DZ53,EA53,EB53,EC53,ED53,EE53,EF53,EG53,EH53,EI53,EJ53,EK53,EL53,EM53,EN53,EO53,EP53&amp;"|n")</f>
        <v>|n护甲+1|n生命值+2000|n</v>
      </c>
      <c r="CV53" s="29" t="str">
        <f>"|cffffcc00属性：|r"&amp;CU53&amp;VLOOKUP(A53,合成公式!A:P,16,FALSE)&amp;T53</f>
        <v>|cffffcc00属性：|r|n护甲+1|n生命值+2000|n</v>
      </c>
      <c r="DB53" s="30" t="str">
        <f t="shared" ref="DB53:DB54" si="376">IF(V53="","","|n"&amp;DB$2&amp;"+"&amp;V53&amp;DB$1)</f>
        <v/>
      </c>
      <c r="DC53" s="30" t="str">
        <f t="shared" ref="DC53:DC54" si="377">IF(W53="","","|n"&amp;DC$2&amp;"+"&amp;W53&amp;DC$1)</f>
        <v/>
      </c>
      <c r="DD53" s="30" t="str">
        <f t="shared" ref="DD53:DD54" si="378">IF(X53="","","|n"&amp;DD$2&amp;"+"&amp;X53&amp;DD$1)</f>
        <v>|n护甲+1</v>
      </c>
      <c r="DE53" s="30" t="str">
        <f t="shared" ref="DE53:DE54" si="379">IF(Y53="","","|n"&amp;DE$2&amp;"+"&amp;Y53&amp;DE$1)</f>
        <v/>
      </c>
      <c r="DF53" s="30" t="str">
        <f t="shared" ref="DF53:DF54" si="380">IF(Z53="","","|n"&amp;DF$2&amp;"+"&amp;Z53&amp;DF$1)</f>
        <v>|n生命值+2000</v>
      </c>
      <c r="DG53" s="30" t="str">
        <f t="shared" ref="DG53:DG54" si="381">IF(AA53="","","|n"&amp;DG$2&amp;"+"&amp;AA53&amp;DG$1)</f>
        <v/>
      </c>
      <c r="DH53" s="30" t="str">
        <f t="shared" ref="DH53:DH54" si="382">IF(AB53="","","|n"&amp;DH$2&amp;"+"&amp;AB53&amp;DH$1)</f>
        <v/>
      </c>
      <c r="DI53" s="30" t="str">
        <f t="shared" ref="DI53:DI54" si="383">IF(AC53="","","|n"&amp;DI$2&amp;"+"&amp;AC53&amp;DI$1)</f>
        <v/>
      </c>
      <c r="DJ53" s="30" t="str">
        <f t="shared" ref="DJ53:DJ54" si="384">IF(AD53="","","|n"&amp;DJ$2&amp;"+"&amp;AD53&amp;DJ$1)</f>
        <v/>
      </c>
      <c r="DK53" s="30" t="str">
        <f t="shared" ref="DK53:DK54" si="385">IF(AE53="","","|n"&amp;DK$2&amp;"+"&amp;AE53&amp;DK$1)</f>
        <v/>
      </c>
      <c r="DL53" s="30" t="str">
        <f t="shared" ref="DL53:DL54" si="386">IF(AF53="","","|n"&amp;DL$2&amp;"+"&amp;AF53&amp;DL$1)</f>
        <v/>
      </c>
      <c r="DM53" s="30" t="str">
        <f t="shared" ref="DM53:DM54" si="387">IF(AG53="","","|n"&amp;DM$2&amp;"+"&amp;AG53&amp;DM$1)</f>
        <v/>
      </c>
      <c r="DN53" s="30" t="str">
        <f t="shared" ref="DN53:DN54" si="388">IF(AH53="","","|n"&amp;DN$2&amp;"+"&amp;AH53&amp;DN$1)</f>
        <v/>
      </c>
      <c r="DO53" s="30" t="str">
        <f t="shared" ref="DO53:DO54" si="389">IF(AI53="","","|n"&amp;DO$2&amp;"+"&amp;AI53&amp;DO$1)</f>
        <v/>
      </c>
      <c r="DP53" s="30" t="str">
        <f t="shared" ref="DP53:DP54" si="390">IF(AJ53="","","|n"&amp;DP$2&amp;"+"&amp;AJ53&amp;DP$1)</f>
        <v/>
      </c>
      <c r="DQ53" s="30" t="str">
        <f t="shared" ref="DQ53:DQ54" si="391">IF(AK53="","","|n"&amp;DQ$2&amp;"+"&amp;AK53&amp;DQ$1)</f>
        <v/>
      </c>
      <c r="DR53" s="30" t="str">
        <f t="shared" ref="DR53:DR54" si="392">IF(AL53="","","|n"&amp;DR$2&amp;"+"&amp;AL53&amp;DR$1)</f>
        <v/>
      </c>
      <c r="DS53" s="30" t="str">
        <f t="shared" ref="DS53:DS54" si="393">IF(AM53="","","|n"&amp;DS$2&amp;"+"&amp;AM53&amp;DS$1)</f>
        <v/>
      </c>
      <c r="DT53" s="30" t="str">
        <f t="shared" ref="DT53:DT54" si="394">IF(AN53="","","|n"&amp;DT$2&amp;"+"&amp;AN53&amp;DT$1)</f>
        <v/>
      </c>
      <c r="DU53" s="30" t="str">
        <f t="shared" ref="DU53:DU54" si="395">IF(AO53="","","|n"&amp;DU$2&amp;"+"&amp;AO53&amp;DU$1)</f>
        <v/>
      </c>
      <c r="DV53" s="30" t="str">
        <f t="shared" ref="DV53:DV54" si="396">IF(AP53="","","|n"&amp;DV$2&amp;"+"&amp;AP53&amp;DV$1)</f>
        <v/>
      </c>
      <c r="DW53" s="30" t="str">
        <f t="shared" ref="DW53:DW54" si="397">IF(AQ53="","","|n"&amp;DW$2&amp;"+"&amp;AQ53&amp;DW$1)</f>
        <v/>
      </c>
      <c r="DX53" s="30" t="str">
        <f t="shared" ref="DX53:DX54" si="398">IF(AR53="","","|n"&amp;DX$2&amp;"+"&amp;AR53&amp;DX$1)</f>
        <v/>
      </c>
      <c r="DY53" s="30" t="str">
        <f t="shared" ref="DY53:DY54" si="399">IF(AS53="","","|n"&amp;DY$2&amp;"+"&amp;AS53&amp;DY$1)</f>
        <v/>
      </c>
      <c r="DZ53" s="30" t="str">
        <f t="shared" ref="DZ53:DZ54" si="400">IF(AT53="","","|n"&amp;DZ$2&amp;"+"&amp;AT53&amp;DZ$1)</f>
        <v/>
      </c>
      <c r="EA53" s="30" t="str">
        <f t="shared" ref="EA53:EA54" si="401">IF(AU53="","","|n"&amp;EA$2&amp;"+"&amp;AU53&amp;EA$1)</f>
        <v/>
      </c>
      <c r="EB53" s="30" t="str">
        <f t="shared" ref="EB53:EB54" si="402">IF(AV53="","","|n"&amp;EB$2&amp;"+"&amp;AV53&amp;EB$1)</f>
        <v/>
      </c>
      <c r="EC53" s="30" t="str">
        <f t="shared" ref="EC53:EC54" si="403">IF(AW53="","","|n"&amp;EC$2&amp;"+"&amp;AW53&amp;EC$1)</f>
        <v/>
      </c>
      <c r="ED53" s="30" t="str">
        <f t="shared" ref="ED53:ED54" si="404">IF(AX53="","","|n"&amp;ED$2&amp;"+"&amp;AX53&amp;ED$1)</f>
        <v/>
      </c>
      <c r="EE53" s="30" t="str">
        <f t="shared" ref="EE53:EE54" si="405">IF(AY53="","","|n"&amp;EE$2&amp;"+"&amp;AY53&amp;EE$1)</f>
        <v/>
      </c>
      <c r="EF53" s="30" t="str">
        <f t="shared" ref="EF53:EF54" si="406">IF(AZ53="","","|n"&amp;EF$2&amp;"+"&amp;AZ53&amp;EF$1)</f>
        <v/>
      </c>
      <c r="EG53" s="30" t="str">
        <f t="shared" ref="EG53:EG54" si="407">IF(BA53="","","|n"&amp;EG$2&amp;"+"&amp;BA53&amp;EG$1)</f>
        <v/>
      </c>
      <c r="EH53" s="30" t="str">
        <f t="shared" ref="EH53:EH54" si="408">IF(BB53="","","|n"&amp;EH$2&amp;"+"&amp;BB53&amp;EH$1)</f>
        <v/>
      </c>
      <c r="EI53" s="30" t="str">
        <f t="shared" ref="EI53:EI54" si="409">IF(BC53="","","|n"&amp;EI$2&amp;"+"&amp;BC53&amp;EI$1)</f>
        <v/>
      </c>
      <c r="EJ53" s="30" t="str">
        <f t="shared" ref="EJ53:EJ54" si="410">IF(BD53="","","|n"&amp;EJ$2&amp;"+"&amp;BD53&amp;EJ$1)</f>
        <v/>
      </c>
      <c r="EK53" s="30" t="str">
        <f t="shared" ref="EK53:EK54" si="411">IF(BE53="","","|n"&amp;EK$2&amp;"+"&amp;BE53&amp;EK$1)</f>
        <v/>
      </c>
      <c r="EL53" s="30" t="str">
        <f t="shared" ref="EL53:EL54" si="412">IF(BF53="","","|n"&amp;EL$2&amp;"+"&amp;BF53&amp;EL$1)</f>
        <v/>
      </c>
      <c r="EM53" s="30" t="str">
        <f t="shared" ref="EM53:EM54" si="413">IF(BG53="","","|n"&amp;EM$2&amp;"+"&amp;BG53&amp;EM$1)</f>
        <v/>
      </c>
      <c r="EN53" s="30" t="str">
        <f t="shared" ref="EN53:EN54" si="414">IF(BH53="","","|n"&amp;EN$2&amp;"+"&amp;BH53&amp;EN$1)</f>
        <v/>
      </c>
      <c r="EO53" s="30" t="str">
        <f t="shared" ref="EO53:EO54" si="415">IF(BI53="","","|n"&amp;EO$2&amp;"+"&amp;BI53&amp;EO$1)</f>
        <v/>
      </c>
      <c r="EP53" s="30" t="str">
        <f t="shared" ref="EP53:EP54" si="416">IF(BJ53="","","|n"&amp;EP$2&amp;"+"&amp;BJ53&amp;EP$1)</f>
        <v/>
      </c>
      <c r="EQ53" s="30" t="str">
        <f t="shared" ref="EQ53:EQ54" si="417">IF(BK53="","","|n"&amp;EQ$2&amp;"+"&amp;BK53&amp;EQ$1)</f>
        <v/>
      </c>
      <c r="ER53" s="30" t="str">
        <f t="shared" ref="ER53:ER54" si="418">IF(BL53="","","|n"&amp;ER$2&amp;"+"&amp;BL53&amp;ER$1)</f>
        <v/>
      </c>
      <c r="ES53" s="30" t="str">
        <f t="shared" ref="ES53:ES54" si="419">IF(BM53="","","|n"&amp;ES$2&amp;"+"&amp;BM53&amp;ES$1)</f>
        <v/>
      </c>
      <c r="ET53" s="30" t="str">
        <f t="shared" ref="ET53:ET54" si="420">IF(BN53="","","|n"&amp;ET$2&amp;"+"&amp;BN53&amp;ET$1)</f>
        <v/>
      </c>
      <c r="EU53" s="30" t="str">
        <f t="shared" ref="EU53:EU54" si="421">IF(BO53="","","|n"&amp;EU$2&amp;"+"&amp;BO53&amp;EU$1)</f>
        <v/>
      </c>
      <c r="EV53" s="30" t="str">
        <f t="shared" ref="EV53:EV54" si="422">IF(BP53="","","|n"&amp;EV$2&amp;"+"&amp;BP53&amp;EV$1)</f>
        <v/>
      </c>
      <c r="EW53" s="30" t="str">
        <f t="shared" ref="EW53:EW54" si="423">IF(BQ53="","","|n"&amp;EW$2&amp;"+"&amp;BQ53&amp;EW$1)</f>
        <v/>
      </c>
      <c r="EX53" s="30" t="str">
        <f t="shared" ref="EX53:EX54" si="424">IF(BR53="","","|n"&amp;EX$2&amp;"+"&amp;BR53&amp;EX$1)</f>
        <v/>
      </c>
      <c r="EY53" s="30" t="str">
        <f t="shared" ref="EY53:EY54" si="425">IF(BS53="","","|n"&amp;EY$2&amp;"+"&amp;BS53&amp;EY$1)</f>
        <v/>
      </c>
      <c r="EZ53" s="30" t="str">
        <f t="shared" ref="EZ53:EZ54" si="426">IF(BT53="","","|n"&amp;EZ$2&amp;"+"&amp;BT53&amp;EZ$1)</f>
        <v/>
      </c>
      <c r="FA53" s="30" t="str">
        <f t="shared" ref="FA53:FA54" si="427">IF(BU53="","","|n"&amp;FA$2&amp;"+"&amp;BU53&amp;FA$1)</f>
        <v/>
      </c>
      <c r="FB53" s="30" t="str">
        <f t="shared" ref="FB53:FB54" si="428">IF(BV53="","","|n"&amp;FB$2&amp;"+"&amp;BV53&amp;FB$1)</f>
        <v/>
      </c>
      <c r="FC53" s="30" t="str">
        <f t="shared" ref="FC53:FC54" si="429">IF(BW53="","","|n"&amp;FC$2&amp;"+"&amp;BW53&amp;FC$1)</f>
        <v/>
      </c>
      <c r="FD53" s="30" t="str">
        <f t="shared" ref="FD53:FD54" si="430">IF(BX53="","","|n"&amp;FD$2&amp;"+"&amp;BX53&amp;FD$1)</f>
        <v/>
      </c>
      <c r="FE53" s="30" t="str">
        <f t="shared" ref="FE53:FE54" si="431">IF(BY53="","","|n"&amp;FE$2&amp;"+"&amp;BY53&amp;FE$1)</f>
        <v/>
      </c>
      <c r="FF53" s="30" t="str">
        <f t="shared" ref="FF53:FF54" si="432">IF(BZ53="","","|n"&amp;FF$2&amp;"+"&amp;BZ53&amp;FF$1)</f>
        <v/>
      </c>
      <c r="FG53" s="30" t="str">
        <f t="shared" ref="FG53:FG54" si="433">IF(CA53="","","|n"&amp;FG$2&amp;"+"&amp;CA53&amp;FG$1)</f>
        <v/>
      </c>
      <c r="FH53" s="30" t="str">
        <f t="shared" ref="FH53:FH54" si="434">IF(CB53="","","|n"&amp;FH$2&amp;"+"&amp;CB53&amp;FH$1)</f>
        <v/>
      </c>
      <c r="FI53" s="30" t="str">
        <f t="shared" ref="FI53:FI54" si="435">IF(CC53="","","|n"&amp;FI$2&amp;"+"&amp;CC53&amp;FI$1)</f>
        <v/>
      </c>
      <c r="FJ53" s="30" t="str">
        <f t="shared" ref="FJ53:FJ54" si="436">IF(CD53="","","|n"&amp;FJ$2&amp;"+"&amp;CD53&amp;FJ$1)</f>
        <v/>
      </c>
      <c r="FK53" s="30" t="str">
        <f t="shared" ref="FK53:FK54" si="437">IF(CE53="","","|n"&amp;FK$2&amp;"+"&amp;CE53&amp;FK$1)</f>
        <v/>
      </c>
      <c r="FL53" s="30" t="str">
        <f t="shared" ref="FL53:FL54" si="438">IF(CF53="","","|n"&amp;FL$2&amp;"+"&amp;CF53&amp;FL$1)</f>
        <v/>
      </c>
      <c r="FM53" s="30" t="str">
        <f t="shared" ref="FM53:FM54" si="439">IF(CG53="","","|n"&amp;FM$2&amp;"+"&amp;CG53&amp;FM$1)</f>
        <v/>
      </c>
      <c r="FN53" s="30" t="str">
        <f t="shared" ref="FN53:FN54" si="440">IF(CH53="","","|n"&amp;FN$2&amp;"+"&amp;CH53&amp;FN$1)</f>
        <v/>
      </c>
      <c r="FO53" s="30" t="str">
        <f t="shared" ref="FO53:FO54" si="441">IF(CI53="","","|n"&amp;FO$2&amp;"+"&amp;CI53&amp;FO$1)</f>
        <v/>
      </c>
      <c r="FP53" s="30" t="str">
        <f t="shared" ref="FP53:FP54" si="442">IF(CJ53="","","|n"&amp;FP$2&amp;"+"&amp;CJ53&amp;FP$1)</f>
        <v/>
      </c>
      <c r="FQ53" s="30" t="str">
        <f t="shared" ref="FQ53:FQ54" si="443">IF(CK53="","","|n"&amp;FQ$2&amp;"+"&amp;CK53&amp;FQ$1)</f>
        <v/>
      </c>
      <c r="FR53" s="30" t="str">
        <f t="shared" ref="FR53:FR54" si="444">IF(CL53="","","|n"&amp;FR$2&amp;"+"&amp;CL53&amp;FR$1)</f>
        <v/>
      </c>
      <c r="FS53" s="30" t="str">
        <f t="shared" ref="FS53:FS54" si="445">IF(CM53="","","|n"&amp;FS$2&amp;"+"&amp;CM53&amp;FS$1)</f>
        <v/>
      </c>
    </row>
    <row r="54" spans="1:175" s="24" customFormat="1" ht="16.5">
      <c r="A54" s="5"/>
      <c r="B54" s="36" t="s">
        <v>163</v>
      </c>
      <c r="C54" s="5" t="s">
        <v>765</v>
      </c>
      <c r="D54" s="31"/>
      <c r="E54" s="39"/>
      <c r="F54" s="40">
        <v>9000</v>
      </c>
      <c r="G54" s="38"/>
      <c r="H54" s="38"/>
      <c r="I54" s="38" t="str">
        <f t="shared" ref="I54:I76" si="446">B55</f>
        <v>E203</v>
      </c>
      <c r="J54" s="38"/>
      <c r="K54" s="38"/>
      <c r="L54" s="38"/>
      <c r="M54" s="38"/>
      <c r="N54" s="38"/>
      <c r="O54" s="38"/>
      <c r="P54" s="42"/>
      <c r="Q54" s="42"/>
      <c r="R54" s="42"/>
      <c r="S54" s="42"/>
      <c r="T54" s="101"/>
      <c r="U54" s="32" t="str">
        <f t="shared" si="374"/>
        <v>ReplaceableTextures\\CommandButtons\\BTNE202.blp</v>
      </c>
      <c r="V54" s="43"/>
      <c r="W54" s="43"/>
      <c r="X54" s="43">
        <v>2</v>
      </c>
      <c r="Y54" s="43"/>
      <c r="Z54" s="43">
        <v>4000</v>
      </c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  <c r="AQ54" s="43"/>
      <c r="AR54" s="43"/>
      <c r="AS54" s="43"/>
      <c r="AT54" s="43"/>
      <c r="AU54" s="43"/>
      <c r="AV54" s="43"/>
      <c r="AW54" s="43"/>
      <c r="AX54" s="43"/>
      <c r="AY54" s="43"/>
      <c r="AZ54" s="43"/>
      <c r="BA54" s="43"/>
      <c r="BB54" s="43"/>
      <c r="BC54" s="43"/>
      <c r="BD54" s="43"/>
      <c r="BE54" s="43"/>
      <c r="BF54" s="43"/>
      <c r="BG54" s="43"/>
      <c r="BH54" s="43"/>
      <c r="BI54" s="43"/>
      <c r="BJ54" s="43"/>
      <c r="BK54" s="43"/>
      <c r="BL54" s="43"/>
      <c r="BM54" s="43"/>
      <c r="BN54" s="43"/>
      <c r="BO54" s="43"/>
      <c r="BP54" s="43"/>
      <c r="BQ54" s="43"/>
      <c r="BR54" s="43"/>
      <c r="BS54" s="43"/>
      <c r="BT54" s="43"/>
      <c r="BU54" s="43"/>
      <c r="BV54" s="43"/>
      <c r="BW54" s="43"/>
      <c r="BX54" s="43"/>
      <c r="BY54" s="43"/>
      <c r="BZ54" s="43"/>
      <c r="CA54" s="43"/>
      <c r="CB54" s="43"/>
      <c r="CC54" s="43"/>
      <c r="CD54" s="43"/>
      <c r="CE54" s="43"/>
      <c r="CF54" s="43"/>
      <c r="CG54" s="43"/>
      <c r="CH54" s="43"/>
      <c r="CI54" s="43"/>
      <c r="CJ54" s="43"/>
      <c r="CK54" s="43"/>
      <c r="CL54" s="43"/>
      <c r="CM54" s="43"/>
      <c r="CN54" s="44" t="str">
        <f t="shared" si="297"/>
        <v>InitUnitState('E202',,,2,,4000,,,,,)</v>
      </c>
      <c r="CO54" s="44" t="str">
        <f t="shared" si="298"/>
        <v>InitUnitNormal('E202',,,,,,,,,,)</v>
      </c>
      <c r="CP54" s="44" t="str">
        <f t="shared" si="299"/>
        <v>InitUnitMagic('E202',,,,,,,,,,)</v>
      </c>
      <c r="CQ54" s="44" t="str">
        <f t="shared" si="300"/>
        <v>InitUnitAdd('E202',,,,,,,,,,)</v>
      </c>
      <c r="CR54" s="44" t="str">
        <f t="shared" ref="CR54:CR62" si="447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InitEquipData('E202',,"",,E203,9000,,'','','','','','',"ReplaceableTextures\\CommandButtons\\BTNE211.blp")</v>
      </c>
      <c r="CS54" s="44"/>
      <c r="CT54" s="44"/>
      <c r="CU54" s="45" t="str">
        <f t="shared" si="375"/>
        <v>|n护甲+2|n生命值+4000|n</v>
      </c>
      <c r="CV54" s="29" t="str">
        <f>"|cffffcc00属性：|r"&amp;CU54&amp;VLOOKUP(A54,合成公式!A:P,16,FALSE)&amp;T54</f>
        <v>|cffffcc00属性：|r|n护甲+2|n生命值+4000|n</v>
      </c>
      <c r="DB54" s="30" t="str">
        <f t="shared" si="376"/>
        <v/>
      </c>
      <c r="DC54" s="30" t="str">
        <f t="shared" si="377"/>
        <v/>
      </c>
      <c r="DD54" s="30" t="str">
        <f t="shared" si="378"/>
        <v>|n护甲+2</v>
      </c>
      <c r="DE54" s="30" t="str">
        <f t="shared" si="379"/>
        <v/>
      </c>
      <c r="DF54" s="30" t="str">
        <f t="shared" si="380"/>
        <v>|n生命值+4000</v>
      </c>
      <c r="DG54" s="30" t="str">
        <f t="shared" si="381"/>
        <v/>
      </c>
      <c r="DH54" s="30" t="str">
        <f t="shared" si="382"/>
        <v/>
      </c>
      <c r="DI54" s="30" t="str">
        <f t="shared" si="383"/>
        <v/>
      </c>
      <c r="DJ54" s="30" t="str">
        <f t="shared" si="384"/>
        <v/>
      </c>
      <c r="DK54" s="30" t="str">
        <f t="shared" si="385"/>
        <v/>
      </c>
      <c r="DL54" s="30" t="str">
        <f t="shared" si="386"/>
        <v/>
      </c>
      <c r="DM54" s="30" t="str">
        <f t="shared" si="387"/>
        <v/>
      </c>
      <c r="DN54" s="30" t="str">
        <f t="shared" si="388"/>
        <v/>
      </c>
      <c r="DO54" s="30" t="str">
        <f t="shared" si="389"/>
        <v/>
      </c>
      <c r="DP54" s="30" t="str">
        <f t="shared" si="390"/>
        <v/>
      </c>
      <c r="DQ54" s="30" t="str">
        <f t="shared" si="391"/>
        <v/>
      </c>
      <c r="DR54" s="30" t="str">
        <f t="shared" si="392"/>
        <v/>
      </c>
      <c r="DS54" s="30" t="str">
        <f t="shared" si="393"/>
        <v/>
      </c>
      <c r="DT54" s="30" t="str">
        <f t="shared" si="394"/>
        <v/>
      </c>
      <c r="DU54" s="30" t="str">
        <f t="shared" si="395"/>
        <v/>
      </c>
      <c r="DV54" s="30" t="str">
        <f t="shared" si="396"/>
        <v/>
      </c>
      <c r="DW54" s="30" t="str">
        <f t="shared" si="397"/>
        <v/>
      </c>
      <c r="DX54" s="30" t="str">
        <f t="shared" si="398"/>
        <v/>
      </c>
      <c r="DY54" s="30" t="str">
        <f t="shared" si="399"/>
        <v/>
      </c>
      <c r="DZ54" s="30" t="str">
        <f t="shared" si="400"/>
        <v/>
      </c>
      <c r="EA54" s="30" t="str">
        <f t="shared" si="401"/>
        <v/>
      </c>
      <c r="EB54" s="30" t="str">
        <f t="shared" si="402"/>
        <v/>
      </c>
      <c r="EC54" s="30" t="str">
        <f t="shared" si="403"/>
        <v/>
      </c>
      <c r="ED54" s="30" t="str">
        <f t="shared" si="404"/>
        <v/>
      </c>
      <c r="EE54" s="30" t="str">
        <f t="shared" si="405"/>
        <v/>
      </c>
      <c r="EF54" s="30" t="str">
        <f t="shared" si="406"/>
        <v/>
      </c>
      <c r="EG54" s="30" t="str">
        <f t="shared" si="407"/>
        <v/>
      </c>
      <c r="EH54" s="30" t="str">
        <f t="shared" si="408"/>
        <v/>
      </c>
      <c r="EI54" s="30" t="str">
        <f t="shared" si="409"/>
        <v/>
      </c>
      <c r="EJ54" s="30" t="str">
        <f t="shared" si="410"/>
        <v/>
      </c>
      <c r="EK54" s="30" t="str">
        <f t="shared" si="411"/>
        <v/>
      </c>
      <c r="EL54" s="30" t="str">
        <f t="shared" si="412"/>
        <v/>
      </c>
      <c r="EM54" s="30" t="str">
        <f t="shared" si="413"/>
        <v/>
      </c>
      <c r="EN54" s="30" t="str">
        <f t="shared" si="414"/>
        <v/>
      </c>
      <c r="EO54" s="30" t="str">
        <f t="shared" si="415"/>
        <v/>
      </c>
      <c r="EP54" s="30" t="str">
        <f t="shared" si="416"/>
        <v/>
      </c>
      <c r="EQ54" s="30" t="str">
        <f t="shared" si="417"/>
        <v/>
      </c>
      <c r="ER54" s="30" t="str">
        <f t="shared" si="418"/>
        <v/>
      </c>
      <c r="ES54" s="30" t="str">
        <f t="shared" si="419"/>
        <v/>
      </c>
      <c r="ET54" s="30" t="str">
        <f t="shared" si="420"/>
        <v/>
      </c>
      <c r="EU54" s="30" t="str">
        <f t="shared" si="421"/>
        <v/>
      </c>
      <c r="EV54" s="30" t="str">
        <f t="shared" si="422"/>
        <v/>
      </c>
      <c r="EW54" s="30" t="str">
        <f t="shared" si="423"/>
        <v/>
      </c>
      <c r="EX54" s="30" t="str">
        <f t="shared" si="424"/>
        <v/>
      </c>
      <c r="EY54" s="30" t="str">
        <f t="shared" si="425"/>
        <v/>
      </c>
      <c r="EZ54" s="30" t="str">
        <f t="shared" si="426"/>
        <v/>
      </c>
      <c r="FA54" s="30" t="str">
        <f t="shared" si="427"/>
        <v/>
      </c>
      <c r="FB54" s="30" t="str">
        <f t="shared" si="428"/>
        <v/>
      </c>
      <c r="FC54" s="30" t="str">
        <f t="shared" si="429"/>
        <v/>
      </c>
      <c r="FD54" s="30" t="str">
        <f t="shared" si="430"/>
        <v/>
      </c>
      <c r="FE54" s="30" t="str">
        <f t="shared" si="431"/>
        <v/>
      </c>
      <c r="FF54" s="30" t="str">
        <f t="shared" si="432"/>
        <v/>
      </c>
      <c r="FG54" s="30" t="str">
        <f t="shared" si="433"/>
        <v/>
      </c>
      <c r="FH54" s="30" t="str">
        <f t="shared" si="434"/>
        <v/>
      </c>
      <c r="FI54" s="30" t="str">
        <f t="shared" si="435"/>
        <v/>
      </c>
      <c r="FJ54" s="30" t="str">
        <f t="shared" si="436"/>
        <v/>
      </c>
      <c r="FK54" s="30" t="str">
        <f t="shared" si="437"/>
        <v/>
      </c>
      <c r="FL54" s="30" t="str">
        <f t="shared" si="438"/>
        <v/>
      </c>
      <c r="FM54" s="30" t="str">
        <f t="shared" si="439"/>
        <v/>
      </c>
      <c r="FN54" s="30" t="str">
        <f t="shared" si="440"/>
        <v/>
      </c>
      <c r="FO54" s="30" t="str">
        <f t="shared" si="441"/>
        <v/>
      </c>
      <c r="FP54" s="30" t="str">
        <f t="shared" si="442"/>
        <v/>
      </c>
      <c r="FQ54" s="30" t="str">
        <f t="shared" si="443"/>
        <v/>
      </c>
      <c r="FR54" s="30" t="str">
        <f t="shared" si="444"/>
        <v/>
      </c>
      <c r="FS54" s="30" t="str">
        <f t="shared" si="445"/>
        <v/>
      </c>
    </row>
    <row r="55" spans="1:175" s="24" customFormat="1" ht="16.5">
      <c r="A55" s="5"/>
      <c r="B55" s="36" t="s">
        <v>164</v>
      </c>
      <c r="C55" s="5" t="s">
        <v>766</v>
      </c>
      <c r="D55" s="31"/>
      <c r="E55" s="39"/>
      <c r="F55" s="40">
        <v>12000</v>
      </c>
      <c r="G55" s="38"/>
      <c r="H55" s="38"/>
      <c r="I55" s="38" t="str">
        <f t="shared" si="446"/>
        <v>E204</v>
      </c>
      <c r="J55" s="38"/>
      <c r="K55" s="38"/>
      <c r="L55" s="38"/>
      <c r="M55" s="38"/>
      <c r="N55" s="38"/>
      <c r="O55" s="38"/>
      <c r="P55" s="42"/>
      <c r="Q55" s="42"/>
      <c r="R55" s="42"/>
      <c r="S55" s="42"/>
      <c r="T55" s="101"/>
      <c r="U55" s="32" t="str">
        <f t="shared" ref="U55:U56" si="448">"ReplaceableTextures\\CommandButtons\\BTN"&amp;B55&amp;".blp"</f>
        <v>ReplaceableTextures\\CommandButtons\\BTNE203.blp</v>
      </c>
      <c r="V55" s="43"/>
      <c r="W55" s="43"/>
      <c r="X55" s="43">
        <v>3</v>
      </c>
      <c r="Y55" s="43"/>
      <c r="Z55" s="43">
        <v>6000</v>
      </c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3"/>
      <c r="BA55" s="43"/>
      <c r="BB55" s="43"/>
      <c r="BC55" s="43"/>
      <c r="BD55" s="43"/>
      <c r="BE55" s="43"/>
      <c r="BF55" s="43"/>
      <c r="BG55" s="43"/>
      <c r="BH55" s="43"/>
      <c r="BI55" s="43"/>
      <c r="BJ55" s="43"/>
      <c r="BK55" s="43"/>
      <c r="BL55" s="43"/>
      <c r="BM55" s="43"/>
      <c r="BN55" s="43"/>
      <c r="BO55" s="43"/>
      <c r="BP55" s="43"/>
      <c r="BQ55" s="43"/>
      <c r="BR55" s="43"/>
      <c r="BS55" s="43"/>
      <c r="BT55" s="43"/>
      <c r="BU55" s="43"/>
      <c r="BV55" s="43"/>
      <c r="BW55" s="43"/>
      <c r="BX55" s="43"/>
      <c r="BY55" s="43"/>
      <c r="BZ55" s="43"/>
      <c r="CA55" s="43"/>
      <c r="CB55" s="43"/>
      <c r="CC55" s="43"/>
      <c r="CD55" s="43"/>
      <c r="CE55" s="43"/>
      <c r="CF55" s="43"/>
      <c r="CG55" s="43"/>
      <c r="CH55" s="43"/>
      <c r="CI55" s="43"/>
      <c r="CJ55" s="43"/>
      <c r="CK55" s="43"/>
      <c r="CL55" s="43"/>
      <c r="CM55" s="43"/>
      <c r="CN55" s="44" t="str">
        <f t="shared" si="297"/>
        <v>InitUnitState('E203',,,3,,6000,,,,,)</v>
      </c>
      <c r="CO55" s="44" t="str">
        <f t="shared" si="298"/>
        <v>InitUnitNormal('E203',,,,,,,,,,)</v>
      </c>
      <c r="CP55" s="44" t="str">
        <f t="shared" si="299"/>
        <v>InitUnitMagic('E203',,,,,,,,,,)</v>
      </c>
      <c r="CQ55" s="44" t="str">
        <f t="shared" si="300"/>
        <v>InitUnitAdd('E203',,,,,,,,,,)</v>
      </c>
      <c r="CR55" s="44" t="str">
        <f t="shared" si="447"/>
        <v>InitEquipData('E203',,"",,E204,12000,,'','','','','','',"ReplaceableTextures\\CommandButtons\\BTNE212.blp")</v>
      </c>
      <c r="CS55" s="44"/>
      <c r="CT55" s="44"/>
      <c r="CU55" s="45" t="str">
        <f t="shared" ref="CU55:CU56" si="449">CONCATENATE(DB55,DC55,DD55,DE55,DF55,DG55,DH55,DI55,DJ55,DK55,DL55,DM55,DN55,DO55,DP55,DQ55,DR55,DS55,DT55,DU55,DV55,DW55,DX55,DY55,DZ55,EA55,EB55,EC55,ED55,EE55,EF55,EG55,EH55,EI55,EJ55,EK55,EL55,EM55,EN55,EO55,EP55&amp;"|n")</f>
        <v>|n护甲+3|n生命值+6000|n</v>
      </c>
      <c r="CV55" s="29" t="str">
        <f>"|cffffcc00属性：|r"&amp;CU55&amp;VLOOKUP(A55,合成公式!A:P,16,FALSE)&amp;T55</f>
        <v>|cffffcc00属性：|r|n护甲+3|n生命值+6000|n</v>
      </c>
      <c r="DB55" s="30" t="str">
        <f t="shared" ref="DB55:DB56" si="450">IF(V55="","","|n"&amp;DB$2&amp;"+"&amp;V55&amp;DB$1)</f>
        <v/>
      </c>
      <c r="DC55" s="30" t="str">
        <f t="shared" ref="DC55:DC56" si="451">IF(W55="","","|n"&amp;DC$2&amp;"+"&amp;W55&amp;DC$1)</f>
        <v/>
      </c>
      <c r="DD55" s="30" t="str">
        <f t="shared" ref="DD55:DD56" si="452">IF(X55="","","|n"&amp;DD$2&amp;"+"&amp;X55&amp;DD$1)</f>
        <v>|n护甲+3</v>
      </c>
      <c r="DE55" s="30" t="str">
        <f t="shared" ref="DE55:DE56" si="453">IF(Y55="","","|n"&amp;DE$2&amp;"+"&amp;Y55&amp;DE$1)</f>
        <v/>
      </c>
      <c r="DF55" s="30" t="str">
        <f t="shared" ref="DF55:DF56" si="454">IF(Z55="","","|n"&amp;DF$2&amp;"+"&amp;Z55&amp;DF$1)</f>
        <v>|n生命值+6000</v>
      </c>
      <c r="DG55" s="30" t="str">
        <f t="shared" ref="DG55:DG56" si="455">IF(AA55="","","|n"&amp;DG$2&amp;"+"&amp;AA55&amp;DG$1)</f>
        <v/>
      </c>
      <c r="DH55" s="30" t="str">
        <f t="shared" ref="DH55:DH56" si="456">IF(AB55="","","|n"&amp;DH$2&amp;"+"&amp;AB55&amp;DH$1)</f>
        <v/>
      </c>
      <c r="DI55" s="30" t="str">
        <f t="shared" ref="DI55:DI56" si="457">IF(AC55="","","|n"&amp;DI$2&amp;"+"&amp;AC55&amp;DI$1)</f>
        <v/>
      </c>
      <c r="DJ55" s="30" t="str">
        <f t="shared" ref="DJ55:DJ56" si="458">IF(AD55="","","|n"&amp;DJ$2&amp;"+"&amp;AD55&amp;DJ$1)</f>
        <v/>
      </c>
      <c r="DK55" s="30" t="str">
        <f t="shared" ref="DK55:DK56" si="459">IF(AE55="","","|n"&amp;DK$2&amp;"+"&amp;AE55&amp;DK$1)</f>
        <v/>
      </c>
      <c r="DL55" s="30" t="str">
        <f t="shared" ref="DL55:DL56" si="460">IF(AF55="","","|n"&amp;DL$2&amp;"+"&amp;AF55&amp;DL$1)</f>
        <v/>
      </c>
      <c r="DM55" s="30" t="str">
        <f t="shared" ref="DM55:DM56" si="461">IF(AG55="","","|n"&amp;DM$2&amp;"+"&amp;AG55&amp;DM$1)</f>
        <v/>
      </c>
      <c r="DN55" s="30" t="str">
        <f t="shared" ref="DN55:DN56" si="462">IF(AH55="","","|n"&amp;DN$2&amp;"+"&amp;AH55&amp;DN$1)</f>
        <v/>
      </c>
      <c r="DO55" s="30" t="str">
        <f t="shared" ref="DO55:DO56" si="463">IF(AI55="","","|n"&amp;DO$2&amp;"+"&amp;AI55&amp;DO$1)</f>
        <v/>
      </c>
      <c r="DP55" s="30" t="str">
        <f t="shared" ref="DP55:DP56" si="464">IF(AJ55="","","|n"&amp;DP$2&amp;"+"&amp;AJ55&amp;DP$1)</f>
        <v/>
      </c>
      <c r="DQ55" s="30" t="str">
        <f t="shared" ref="DQ55:DQ56" si="465">IF(AK55="","","|n"&amp;DQ$2&amp;"+"&amp;AK55&amp;DQ$1)</f>
        <v/>
      </c>
      <c r="DR55" s="30" t="str">
        <f t="shared" ref="DR55:DR56" si="466">IF(AL55="","","|n"&amp;DR$2&amp;"+"&amp;AL55&amp;DR$1)</f>
        <v/>
      </c>
      <c r="DS55" s="30" t="str">
        <f t="shared" ref="DS55:DS56" si="467">IF(AM55="","","|n"&amp;DS$2&amp;"+"&amp;AM55&amp;DS$1)</f>
        <v/>
      </c>
      <c r="DT55" s="30" t="str">
        <f t="shared" ref="DT55:DT56" si="468">IF(AN55="","","|n"&amp;DT$2&amp;"+"&amp;AN55&amp;DT$1)</f>
        <v/>
      </c>
      <c r="DU55" s="30" t="str">
        <f t="shared" ref="DU55:DU56" si="469">IF(AO55="","","|n"&amp;DU$2&amp;"+"&amp;AO55&amp;DU$1)</f>
        <v/>
      </c>
      <c r="DV55" s="30" t="str">
        <f t="shared" ref="DV55:DV56" si="470">IF(AP55="","","|n"&amp;DV$2&amp;"+"&amp;AP55&amp;DV$1)</f>
        <v/>
      </c>
      <c r="DW55" s="30" t="str">
        <f t="shared" ref="DW55:DW56" si="471">IF(AQ55="","","|n"&amp;DW$2&amp;"+"&amp;AQ55&amp;DW$1)</f>
        <v/>
      </c>
      <c r="DX55" s="30" t="str">
        <f t="shared" ref="DX55:DX56" si="472">IF(AR55="","","|n"&amp;DX$2&amp;"+"&amp;AR55&amp;DX$1)</f>
        <v/>
      </c>
      <c r="DY55" s="30" t="str">
        <f t="shared" ref="DY55:DY56" si="473">IF(AS55="","","|n"&amp;DY$2&amp;"+"&amp;AS55&amp;DY$1)</f>
        <v/>
      </c>
      <c r="DZ55" s="30" t="str">
        <f t="shared" ref="DZ55:DZ56" si="474">IF(AT55="","","|n"&amp;DZ$2&amp;"+"&amp;AT55&amp;DZ$1)</f>
        <v/>
      </c>
      <c r="EA55" s="30" t="str">
        <f t="shared" ref="EA55:EA56" si="475">IF(AU55="","","|n"&amp;EA$2&amp;"+"&amp;AU55&amp;EA$1)</f>
        <v/>
      </c>
      <c r="EB55" s="30" t="str">
        <f t="shared" ref="EB55:EB56" si="476">IF(AV55="","","|n"&amp;EB$2&amp;"+"&amp;AV55&amp;EB$1)</f>
        <v/>
      </c>
      <c r="EC55" s="30" t="str">
        <f t="shared" ref="EC55:EC56" si="477">IF(AW55="","","|n"&amp;EC$2&amp;"+"&amp;AW55&amp;EC$1)</f>
        <v/>
      </c>
      <c r="ED55" s="30" t="str">
        <f t="shared" ref="ED55:ED56" si="478">IF(AX55="","","|n"&amp;ED$2&amp;"+"&amp;AX55&amp;ED$1)</f>
        <v/>
      </c>
      <c r="EE55" s="30" t="str">
        <f t="shared" ref="EE55:EE56" si="479">IF(AY55="","","|n"&amp;EE$2&amp;"+"&amp;AY55&amp;EE$1)</f>
        <v/>
      </c>
      <c r="EF55" s="30" t="str">
        <f t="shared" ref="EF55:EF56" si="480">IF(AZ55="","","|n"&amp;EF$2&amp;"+"&amp;AZ55&amp;EF$1)</f>
        <v/>
      </c>
      <c r="EG55" s="30" t="str">
        <f t="shared" ref="EG55:EG56" si="481">IF(BA55="","","|n"&amp;EG$2&amp;"+"&amp;BA55&amp;EG$1)</f>
        <v/>
      </c>
      <c r="EH55" s="30" t="str">
        <f t="shared" ref="EH55:EH56" si="482">IF(BB55="","","|n"&amp;EH$2&amp;"+"&amp;BB55&amp;EH$1)</f>
        <v/>
      </c>
      <c r="EI55" s="30" t="str">
        <f t="shared" ref="EI55:EI56" si="483">IF(BC55="","","|n"&amp;EI$2&amp;"+"&amp;BC55&amp;EI$1)</f>
        <v/>
      </c>
      <c r="EJ55" s="30" t="str">
        <f t="shared" ref="EJ55:EJ56" si="484">IF(BD55="","","|n"&amp;EJ$2&amp;"+"&amp;BD55&amp;EJ$1)</f>
        <v/>
      </c>
      <c r="EK55" s="30" t="str">
        <f t="shared" ref="EK55:EK56" si="485">IF(BE55="","","|n"&amp;EK$2&amp;"+"&amp;BE55&amp;EK$1)</f>
        <v/>
      </c>
      <c r="EL55" s="30" t="str">
        <f t="shared" ref="EL55:EL56" si="486">IF(BF55="","","|n"&amp;EL$2&amp;"+"&amp;BF55&amp;EL$1)</f>
        <v/>
      </c>
      <c r="EM55" s="30" t="str">
        <f t="shared" ref="EM55:EM56" si="487">IF(BG55="","","|n"&amp;EM$2&amp;"+"&amp;BG55&amp;EM$1)</f>
        <v/>
      </c>
      <c r="EN55" s="30" t="str">
        <f t="shared" ref="EN55:EN56" si="488">IF(BH55="","","|n"&amp;EN$2&amp;"+"&amp;BH55&amp;EN$1)</f>
        <v/>
      </c>
      <c r="EO55" s="30" t="str">
        <f t="shared" ref="EO55:EO56" si="489">IF(BI55="","","|n"&amp;EO$2&amp;"+"&amp;BI55&amp;EO$1)</f>
        <v/>
      </c>
      <c r="EP55" s="30" t="str">
        <f t="shared" ref="EP55:EP56" si="490">IF(BJ55="","","|n"&amp;EP$2&amp;"+"&amp;BJ55&amp;EP$1)</f>
        <v/>
      </c>
      <c r="EQ55" s="30" t="str">
        <f t="shared" ref="EQ55:EQ56" si="491">IF(BK55="","","|n"&amp;EQ$2&amp;"+"&amp;BK55&amp;EQ$1)</f>
        <v/>
      </c>
      <c r="ER55" s="30" t="str">
        <f t="shared" ref="ER55:ER56" si="492">IF(BL55="","","|n"&amp;ER$2&amp;"+"&amp;BL55&amp;ER$1)</f>
        <v/>
      </c>
      <c r="ES55" s="30" t="str">
        <f t="shared" ref="ES55:ES56" si="493">IF(BM55="","","|n"&amp;ES$2&amp;"+"&amp;BM55&amp;ES$1)</f>
        <v/>
      </c>
      <c r="ET55" s="30" t="str">
        <f t="shared" ref="ET55:ET56" si="494">IF(BN55="","","|n"&amp;ET$2&amp;"+"&amp;BN55&amp;ET$1)</f>
        <v/>
      </c>
      <c r="EU55" s="30" t="str">
        <f t="shared" ref="EU55:EU56" si="495">IF(BO55="","","|n"&amp;EU$2&amp;"+"&amp;BO55&amp;EU$1)</f>
        <v/>
      </c>
      <c r="EV55" s="30" t="str">
        <f t="shared" ref="EV55:EV56" si="496">IF(BP55="","","|n"&amp;EV$2&amp;"+"&amp;BP55&amp;EV$1)</f>
        <v/>
      </c>
      <c r="EW55" s="30" t="str">
        <f t="shared" ref="EW55:EW56" si="497">IF(BQ55="","","|n"&amp;EW$2&amp;"+"&amp;BQ55&amp;EW$1)</f>
        <v/>
      </c>
      <c r="EX55" s="30" t="str">
        <f t="shared" ref="EX55:EX56" si="498">IF(BR55="","","|n"&amp;EX$2&amp;"+"&amp;BR55&amp;EX$1)</f>
        <v/>
      </c>
      <c r="EY55" s="30" t="str">
        <f t="shared" ref="EY55:EY56" si="499">IF(BS55="","","|n"&amp;EY$2&amp;"+"&amp;BS55&amp;EY$1)</f>
        <v/>
      </c>
      <c r="EZ55" s="30" t="str">
        <f t="shared" ref="EZ55:EZ56" si="500">IF(BT55="","","|n"&amp;EZ$2&amp;"+"&amp;BT55&amp;EZ$1)</f>
        <v/>
      </c>
      <c r="FA55" s="30" t="str">
        <f t="shared" ref="FA55:FA56" si="501">IF(BU55="","","|n"&amp;FA$2&amp;"+"&amp;BU55&amp;FA$1)</f>
        <v/>
      </c>
      <c r="FB55" s="30" t="str">
        <f t="shared" ref="FB55:FB56" si="502">IF(BV55="","","|n"&amp;FB$2&amp;"+"&amp;BV55&amp;FB$1)</f>
        <v/>
      </c>
      <c r="FC55" s="30" t="str">
        <f t="shared" ref="FC55:FC56" si="503">IF(BW55="","","|n"&amp;FC$2&amp;"+"&amp;BW55&amp;FC$1)</f>
        <v/>
      </c>
      <c r="FD55" s="30" t="str">
        <f t="shared" ref="FD55:FD56" si="504">IF(BX55="","","|n"&amp;FD$2&amp;"+"&amp;BX55&amp;FD$1)</f>
        <v/>
      </c>
      <c r="FE55" s="30" t="str">
        <f t="shared" ref="FE55:FE56" si="505">IF(BY55="","","|n"&amp;FE$2&amp;"+"&amp;BY55&amp;FE$1)</f>
        <v/>
      </c>
      <c r="FF55" s="30" t="str">
        <f t="shared" ref="FF55:FF56" si="506">IF(BZ55="","","|n"&amp;FF$2&amp;"+"&amp;BZ55&amp;FF$1)</f>
        <v/>
      </c>
      <c r="FG55" s="30" t="str">
        <f t="shared" ref="FG55:FG56" si="507">IF(CA55="","","|n"&amp;FG$2&amp;"+"&amp;CA55&amp;FG$1)</f>
        <v/>
      </c>
      <c r="FH55" s="30" t="str">
        <f t="shared" ref="FH55:FH56" si="508">IF(CB55="","","|n"&amp;FH$2&amp;"+"&amp;CB55&amp;FH$1)</f>
        <v/>
      </c>
      <c r="FI55" s="30" t="str">
        <f t="shared" ref="FI55:FI56" si="509">IF(CC55="","","|n"&amp;FI$2&amp;"+"&amp;CC55&amp;FI$1)</f>
        <v/>
      </c>
      <c r="FJ55" s="30" t="str">
        <f t="shared" ref="FJ55:FJ56" si="510">IF(CD55="","","|n"&amp;FJ$2&amp;"+"&amp;CD55&amp;FJ$1)</f>
        <v/>
      </c>
      <c r="FK55" s="30" t="str">
        <f t="shared" ref="FK55:FK56" si="511">IF(CE55="","","|n"&amp;FK$2&amp;"+"&amp;CE55&amp;FK$1)</f>
        <v/>
      </c>
      <c r="FL55" s="30" t="str">
        <f t="shared" ref="FL55:FL56" si="512">IF(CF55="","","|n"&amp;FL$2&amp;"+"&amp;CF55&amp;FL$1)</f>
        <v/>
      </c>
      <c r="FM55" s="30" t="str">
        <f t="shared" ref="FM55:FM56" si="513">IF(CG55="","","|n"&amp;FM$2&amp;"+"&amp;CG55&amp;FM$1)</f>
        <v/>
      </c>
      <c r="FN55" s="30" t="str">
        <f t="shared" ref="FN55:FN56" si="514">IF(CH55="","","|n"&amp;FN$2&amp;"+"&amp;CH55&amp;FN$1)</f>
        <v/>
      </c>
      <c r="FO55" s="30" t="str">
        <f t="shared" ref="FO55:FO56" si="515">IF(CI55="","","|n"&amp;FO$2&amp;"+"&amp;CI55&amp;FO$1)</f>
        <v/>
      </c>
      <c r="FP55" s="30" t="str">
        <f t="shared" ref="FP55:FP56" si="516">IF(CJ55="","","|n"&amp;FP$2&amp;"+"&amp;CJ55&amp;FP$1)</f>
        <v/>
      </c>
      <c r="FQ55" s="30" t="str">
        <f t="shared" ref="FQ55:FQ56" si="517">IF(CK55="","","|n"&amp;FQ$2&amp;"+"&amp;CK55&amp;FQ$1)</f>
        <v/>
      </c>
      <c r="FR55" s="30" t="str">
        <f t="shared" ref="FR55:FR56" si="518">IF(CL55="","","|n"&amp;FR$2&amp;"+"&amp;CL55&amp;FR$1)</f>
        <v/>
      </c>
      <c r="FS55" s="30" t="str">
        <f t="shared" ref="FS55:FS56" si="519">IF(CM55="","","|n"&amp;FS$2&amp;"+"&amp;CM55&amp;FS$1)</f>
        <v/>
      </c>
    </row>
    <row r="56" spans="1:175" s="24" customFormat="1" ht="16.5">
      <c r="A56" s="5"/>
      <c r="B56" s="36" t="s">
        <v>165</v>
      </c>
      <c r="C56" s="5" t="s">
        <v>767</v>
      </c>
      <c r="D56" s="31"/>
      <c r="E56" s="39"/>
      <c r="F56" s="40">
        <v>15000</v>
      </c>
      <c r="G56" s="38"/>
      <c r="H56" s="38"/>
      <c r="I56" s="38" t="str">
        <f t="shared" si="446"/>
        <v>E205</v>
      </c>
      <c r="J56" s="38"/>
      <c r="K56" s="38"/>
      <c r="L56" s="38"/>
      <c r="M56" s="38"/>
      <c r="N56" s="38"/>
      <c r="O56" s="38"/>
      <c r="P56" s="42"/>
      <c r="Q56" s="42"/>
      <c r="R56" s="42"/>
      <c r="S56" s="42"/>
      <c r="T56" s="101"/>
      <c r="U56" s="32" t="str">
        <f t="shared" si="448"/>
        <v>ReplaceableTextures\\CommandButtons\\BTNE204.blp</v>
      </c>
      <c r="V56" s="43"/>
      <c r="W56" s="43"/>
      <c r="X56" s="43">
        <v>4</v>
      </c>
      <c r="Y56" s="43"/>
      <c r="Z56" s="43">
        <v>8000</v>
      </c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  <c r="AQ56" s="43"/>
      <c r="AR56" s="43"/>
      <c r="AS56" s="43"/>
      <c r="AT56" s="43"/>
      <c r="AU56" s="43"/>
      <c r="AV56" s="43"/>
      <c r="AW56" s="43"/>
      <c r="AX56" s="43"/>
      <c r="AY56" s="43"/>
      <c r="AZ56" s="43"/>
      <c r="BA56" s="43"/>
      <c r="BB56" s="43"/>
      <c r="BC56" s="43"/>
      <c r="BD56" s="43"/>
      <c r="BE56" s="43"/>
      <c r="BF56" s="43"/>
      <c r="BG56" s="43"/>
      <c r="BH56" s="43"/>
      <c r="BI56" s="43"/>
      <c r="BJ56" s="43"/>
      <c r="BK56" s="43"/>
      <c r="BL56" s="43"/>
      <c r="BM56" s="43"/>
      <c r="BN56" s="43"/>
      <c r="BO56" s="43"/>
      <c r="BP56" s="43"/>
      <c r="BQ56" s="43"/>
      <c r="BR56" s="43"/>
      <c r="BS56" s="43"/>
      <c r="BT56" s="43"/>
      <c r="BU56" s="43"/>
      <c r="BV56" s="43"/>
      <c r="BW56" s="43"/>
      <c r="BX56" s="43"/>
      <c r="BY56" s="43"/>
      <c r="BZ56" s="43"/>
      <c r="CA56" s="43"/>
      <c r="CB56" s="43"/>
      <c r="CC56" s="43"/>
      <c r="CD56" s="43"/>
      <c r="CE56" s="43"/>
      <c r="CF56" s="43"/>
      <c r="CG56" s="43"/>
      <c r="CH56" s="43"/>
      <c r="CI56" s="43"/>
      <c r="CJ56" s="43"/>
      <c r="CK56" s="43"/>
      <c r="CL56" s="43"/>
      <c r="CM56" s="43"/>
      <c r="CN56" s="44" t="str">
        <f t="shared" si="297"/>
        <v>InitUnitState('E204',,,4,,8000,,,,,)</v>
      </c>
      <c r="CO56" s="44" t="str">
        <f t="shared" si="298"/>
        <v>InitUnitNormal('E204',,,,,,,,,,)</v>
      </c>
      <c r="CP56" s="44" t="str">
        <f t="shared" si="299"/>
        <v>InitUnitMagic('E204',,,,,,,,,,)</v>
      </c>
      <c r="CQ56" s="44" t="str">
        <f t="shared" si="300"/>
        <v>InitUnitAdd('E204',,,,,,,,,,)</v>
      </c>
      <c r="CR56" s="44" t="str">
        <f t="shared" si="447"/>
        <v>InitEquipData('E204',,"",,E205,15000,,'','','','','','',"ReplaceableTextures\\CommandButtons\\BTNE213.blp")</v>
      </c>
      <c r="CS56" s="44"/>
      <c r="CT56" s="44"/>
      <c r="CU56" s="45" t="str">
        <f t="shared" si="449"/>
        <v>|n护甲+4|n生命值+8000|n</v>
      </c>
      <c r="CV56" s="29" t="str">
        <f>"|cffffcc00属性：|r"&amp;CU56&amp;VLOOKUP(A56,合成公式!A:P,16,FALSE)&amp;T56</f>
        <v>|cffffcc00属性：|r|n护甲+4|n生命值+8000|n</v>
      </c>
      <c r="DB56" s="30" t="str">
        <f t="shared" si="450"/>
        <v/>
      </c>
      <c r="DC56" s="30" t="str">
        <f t="shared" si="451"/>
        <v/>
      </c>
      <c r="DD56" s="30" t="str">
        <f t="shared" si="452"/>
        <v>|n护甲+4</v>
      </c>
      <c r="DE56" s="30" t="str">
        <f t="shared" si="453"/>
        <v/>
      </c>
      <c r="DF56" s="30" t="str">
        <f t="shared" si="454"/>
        <v>|n生命值+8000</v>
      </c>
      <c r="DG56" s="30" t="str">
        <f t="shared" si="455"/>
        <v/>
      </c>
      <c r="DH56" s="30" t="str">
        <f t="shared" si="456"/>
        <v/>
      </c>
      <c r="DI56" s="30" t="str">
        <f t="shared" si="457"/>
        <v/>
      </c>
      <c r="DJ56" s="30" t="str">
        <f t="shared" si="458"/>
        <v/>
      </c>
      <c r="DK56" s="30" t="str">
        <f t="shared" si="459"/>
        <v/>
      </c>
      <c r="DL56" s="30" t="str">
        <f t="shared" si="460"/>
        <v/>
      </c>
      <c r="DM56" s="30" t="str">
        <f t="shared" si="461"/>
        <v/>
      </c>
      <c r="DN56" s="30" t="str">
        <f t="shared" si="462"/>
        <v/>
      </c>
      <c r="DO56" s="30" t="str">
        <f t="shared" si="463"/>
        <v/>
      </c>
      <c r="DP56" s="30" t="str">
        <f t="shared" si="464"/>
        <v/>
      </c>
      <c r="DQ56" s="30" t="str">
        <f t="shared" si="465"/>
        <v/>
      </c>
      <c r="DR56" s="30" t="str">
        <f t="shared" si="466"/>
        <v/>
      </c>
      <c r="DS56" s="30" t="str">
        <f t="shared" si="467"/>
        <v/>
      </c>
      <c r="DT56" s="30" t="str">
        <f t="shared" si="468"/>
        <v/>
      </c>
      <c r="DU56" s="30" t="str">
        <f t="shared" si="469"/>
        <v/>
      </c>
      <c r="DV56" s="30" t="str">
        <f t="shared" si="470"/>
        <v/>
      </c>
      <c r="DW56" s="30" t="str">
        <f t="shared" si="471"/>
        <v/>
      </c>
      <c r="DX56" s="30" t="str">
        <f t="shared" si="472"/>
        <v/>
      </c>
      <c r="DY56" s="30" t="str">
        <f t="shared" si="473"/>
        <v/>
      </c>
      <c r="DZ56" s="30" t="str">
        <f t="shared" si="474"/>
        <v/>
      </c>
      <c r="EA56" s="30" t="str">
        <f t="shared" si="475"/>
        <v/>
      </c>
      <c r="EB56" s="30" t="str">
        <f t="shared" si="476"/>
        <v/>
      </c>
      <c r="EC56" s="30" t="str">
        <f t="shared" si="477"/>
        <v/>
      </c>
      <c r="ED56" s="30" t="str">
        <f t="shared" si="478"/>
        <v/>
      </c>
      <c r="EE56" s="30" t="str">
        <f t="shared" si="479"/>
        <v/>
      </c>
      <c r="EF56" s="30" t="str">
        <f t="shared" si="480"/>
        <v/>
      </c>
      <c r="EG56" s="30" t="str">
        <f t="shared" si="481"/>
        <v/>
      </c>
      <c r="EH56" s="30" t="str">
        <f t="shared" si="482"/>
        <v/>
      </c>
      <c r="EI56" s="30" t="str">
        <f t="shared" si="483"/>
        <v/>
      </c>
      <c r="EJ56" s="30" t="str">
        <f t="shared" si="484"/>
        <v/>
      </c>
      <c r="EK56" s="30" t="str">
        <f t="shared" si="485"/>
        <v/>
      </c>
      <c r="EL56" s="30" t="str">
        <f t="shared" si="486"/>
        <v/>
      </c>
      <c r="EM56" s="30" t="str">
        <f t="shared" si="487"/>
        <v/>
      </c>
      <c r="EN56" s="30" t="str">
        <f t="shared" si="488"/>
        <v/>
      </c>
      <c r="EO56" s="30" t="str">
        <f t="shared" si="489"/>
        <v/>
      </c>
      <c r="EP56" s="30" t="str">
        <f t="shared" si="490"/>
        <v/>
      </c>
      <c r="EQ56" s="30" t="str">
        <f t="shared" si="491"/>
        <v/>
      </c>
      <c r="ER56" s="30" t="str">
        <f t="shared" si="492"/>
        <v/>
      </c>
      <c r="ES56" s="30" t="str">
        <f t="shared" si="493"/>
        <v/>
      </c>
      <c r="ET56" s="30" t="str">
        <f t="shared" si="494"/>
        <v/>
      </c>
      <c r="EU56" s="30" t="str">
        <f t="shared" si="495"/>
        <v/>
      </c>
      <c r="EV56" s="30" t="str">
        <f t="shared" si="496"/>
        <v/>
      </c>
      <c r="EW56" s="30" t="str">
        <f t="shared" si="497"/>
        <v/>
      </c>
      <c r="EX56" s="30" t="str">
        <f t="shared" si="498"/>
        <v/>
      </c>
      <c r="EY56" s="30" t="str">
        <f t="shared" si="499"/>
        <v/>
      </c>
      <c r="EZ56" s="30" t="str">
        <f t="shared" si="500"/>
        <v/>
      </c>
      <c r="FA56" s="30" t="str">
        <f t="shared" si="501"/>
        <v/>
      </c>
      <c r="FB56" s="30" t="str">
        <f t="shared" si="502"/>
        <v/>
      </c>
      <c r="FC56" s="30" t="str">
        <f t="shared" si="503"/>
        <v/>
      </c>
      <c r="FD56" s="30" t="str">
        <f t="shared" si="504"/>
        <v/>
      </c>
      <c r="FE56" s="30" t="str">
        <f t="shared" si="505"/>
        <v/>
      </c>
      <c r="FF56" s="30" t="str">
        <f t="shared" si="506"/>
        <v/>
      </c>
      <c r="FG56" s="30" t="str">
        <f t="shared" si="507"/>
        <v/>
      </c>
      <c r="FH56" s="30" t="str">
        <f t="shared" si="508"/>
        <v/>
      </c>
      <c r="FI56" s="30" t="str">
        <f t="shared" si="509"/>
        <v/>
      </c>
      <c r="FJ56" s="30" t="str">
        <f t="shared" si="510"/>
        <v/>
      </c>
      <c r="FK56" s="30" t="str">
        <f t="shared" si="511"/>
        <v/>
      </c>
      <c r="FL56" s="30" t="str">
        <f t="shared" si="512"/>
        <v/>
      </c>
      <c r="FM56" s="30" t="str">
        <f t="shared" si="513"/>
        <v/>
      </c>
      <c r="FN56" s="30" t="str">
        <f t="shared" si="514"/>
        <v/>
      </c>
      <c r="FO56" s="30" t="str">
        <f t="shared" si="515"/>
        <v/>
      </c>
      <c r="FP56" s="30" t="str">
        <f t="shared" si="516"/>
        <v/>
      </c>
      <c r="FQ56" s="30" t="str">
        <f t="shared" si="517"/>
        <v/>
      </c>
      <c r="FR56" s="30" t="str">
        <f t="shared" si="518"/>
        <v/>
      </c>
      <c r="FS56" s="30" t="str">
        <f t="shared" si="519"/>
        <v/>
      </c>
    </row>
    <row r="57" spans="1:175" s="24" customFormat="1" ht="16.5">
      <c r="A57" s="5"/>
      <c r="B57" s="36" t="s">
        <v>166</v>
      </c>
      <c r="C57" s="5" t="s">
        <v>768</v>
      </c>
      <c r="D57" s="31"/>
      <c r="E57" s="39"/>
      <c r="F57" s="40">
        <v>18000</v>
      </c>
      <c r="G57" s="38"/>
      <c r="H57" s="121" t="s">
        <v>936</v>
      </c>
      <c r="I57" s="38" t="str">
        <f t="shared" si="446"/>
        <v>E206</v>
      </c>
      <c r="J57" s="38"/>
      <c r="K57" s="38"/>
      <c r="L57" s="38"/>
      <c r="M57" s="38"/>
      <c r="N57" s="38"/>
      <c r="O57" s="38"/>
      <c r="P57" s="42"/>
      <c r="Q57" s="42"/>
      <c r="R57" s="42"/>
      <c r="S57" s="42"/>
      <c r="T57" s="101"/>
      <c r="U57" s="32" t="str">
        <f t="shared" ref="U57" si="520">"ReplaceableTextures\\CommandButtons\\BTN"&amp;B57&amp;".blp"</f>
        <v>ReplaceableTextures\\CommandButtons\\BTNE205.blp</v>
      </c>
      <c r="V57" s="43"/>
      <c r="W57" s="43"/>
      <c r="X57" s="43">
        <v>5</v>
      </c>
      <c r="Y57" s="43"/>
      <c r="Z57" s="43">
        <v>10000</v>
      </c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3"/>
      <c r="BA57" s="43"/>
      <c r="BB57" s="43"/>
      <c r="BC57" s="43"/>
      <c r="BD57" s="43"/>
      <c r="BE57" s="43"/>
      <c r="BF57" s="43"/>
      <c r="BG57" s="43"/>
      <c r="BH57" s="43"/>
      <c r="BI57" s="43"/>
      <c r="BJ57" s="43"/>
      <c r="BK57" s="43"/>
      <c r="BL57" s="43"/>
      <c r="BM57" s="43"/>
      <c r="BN57" s="43"/>
      <c r="BO57" s="43"/>
      <c r="BP57" s="43"/>
      <c r="BQ57" s="43"/>
      <c r="BR57" s="43"/>
      <c r="BS57" s="43"/>
      <c r="BT57" s="43"/>
      <c r="BU57" s="43"/>
      <c r="BV57" s="43"/>
      <c r="BW57" s="43"/>
      <c r="BX57" s="43"/>
      <c r="BY57" s="43"/>
      <c r="BZ57" s="43"/>
      <c r="CA57" s="43"/>
      <c r="CB57" s="43"/>
      <c r="CC57" s="43"/>
      <c r="CD57" s="43"/>
      <c r="CE57" s="43"/>
      <c r="CF57" s="43"/>
      <c r="CG57" s="43"/>
      <c r="CH57" s="43"/>
      <c r="CI57" s="43"/>
      <c r="CJ57" s="43"/>
      <c r="CK57" s="43"/>
      <c r="CL57" s="43"/>
      <c r="CM57" s="43"/>
      <c r="CN57" s="44" t="str">
        <f t="shared" si="297"/>
        <v>InitUnitState('E205',,,5,,10000,,,,,)</v>
      </c>
      <c r="CO57" s="44" t="str">
        <f t="shared" si="298"/>
        <v>InitUnitNormal('E205',,,,,,,,,,)</v>
      </c>
      <c r="CP57" s="44" t="str">
        <f t="shared" si="299"/>
        <v>InitUnitMagic('E205',,,,,,,,,,)</v>
      </c>
      <c r="CQ57" s="44" t="str">
        <f t="shared" si="300"/>
        <v>InitUnitAdd('E205',,,,,,,,,,)</v>
      </c>
      <c r="CR57" s="44" t="str">
        <f t="shared" si="447"/>
        <v>InitEquipData('E205',,"",,E206,18000,,'','','','','','',"ReplaceableTextures\\CommandButtons\\BTNE214.blp")</v>
      </c>
      <c r="CS57" s="44"/>
      <c r="CT57" s="44"/>
      <c r="CU57" s="45" t="str">
        <f t="shared" ref="CU57" si="521">CONCATENATE(DB57,DC57,DD57,DE57,DF57,DG57,DH57,DI57,DJ57,DK57,DL57,DM57,DN57,DO57,DP57,DQ57,DR57,DS57,DT57,DU57,DV57,DW57,DX57,DY57,DZ57,EA57,EB57,EC57,ED57,EE57,EF57,EG57,EH57,EI57,EJ57,EK57,EL57,EM57,EN57,EO57,EP57&amp;"|n")</f>
        <v>|n护甲+5|n生命值+10000|n</v>
      </c>
      <c r="CV57" s="29" t="str">
        <f>"|cffffcc00属性：|r"&amp;CU57&amp;VLOOKUP(A57,合成公式!A:P,16,FALSE)&amp;T57</f>
        <v>|cffffcc00属性：|r|n护甲+5|n生命值+10000|n</v>
      </c>
      <c r="DB57" s="30" t="str">
        <f t="shared" ref="DB57" si="522">IF(V57="","","|n"&amp;DB$2&amp;"+"&amp;V57&amp;DB$1)</f>
        <v/>
      </c>
      <c r="DC57" s="30" t="str">
        <f t="shared" ref="DC57" si="523">IF(W57="","","|n"&amp;DC$2&amp;"+"&amp;W57&amp;DC$1)</f>
        <v/>
      </c>
      <c r="DD57" s="30" t="str">
        <f t="shared" ref="DD57" si="524">IF(X57="","","|n"&amp;DD$2&amp;"+"&amp;X57&amp;DD$1)</f>
        <v>|n护甲+5</v>
      </c>
      <c r="DE57" s="30" t="str">
        <f t="shared" ref="DE57" si="525">IF(Y57="","","|n"&amp;DE$2&amp;"+"&amp;Y57&amp;DE$1)</f>
        <v/>
      </c>
      <c r="DF57" s="30" t="str">
        <f t="shared" ref="DF57" si="526">IF(Z57="","","|n"&amp;DF$2&amp;"+"&amp;Z57&amp;DF$1)</f>
        <v>|n生命值+10000</v>
      </c>
      <c r="DG57" s="30" t="str">
        <f t="shared" ref="DG57" si="527">IF(AA57="","","|n"&amp;DG$2&amp;"+"&amp;AA57&amp;DG$1)</f>
        <v/>
      </c>
      <c r="DH57" s="30" t="str">
        <f t="shared" ref="DH57" si="528">IF(AB57="","","|n"&amp;DH$2&amp;"+"&amp;AB57&amp;DH$1)</f>
        <v/>
      </c>
      <c r="DI57" s="30" t="str">
        <f t="shared" ref="DI57" si="529">IF(AC57="","","|n"&amp;DI$2&amp;"+"&amp;AC57&amp;DI$1)</f>
        <v/>
      </c>
      <c r="DJ57" s="30" t="str">
        <f t="shared" ref="DJ57" si="530">IF(AD57="","","|n"&amp;DJ$2&amp;"+"&amp;AD57&amp;DJ$1)</f>
        <v/>
      </c>
      <c r="DK57" s="30" t="str">
        <f t="shared" ref="DK57" si="531">IF(AE57="","","|n"&amp;DK$2&amp;"+"&amp;AE57&amp;DK$1)</f>
        <v/>
      </c>
      <c r="DL57" s="30" t="str">
        <f t="shared" ref="DL57" si="532">IF(AF57="","","|n"&amp;DL$2&amp;"+"&amp;AF57&amp;DL$1)</f>
        <v/>
      </c>
      <c r="DM57" s="30" t="str">
        <f t="shared" ref="DM57" si="533">IF(AG57="","","|n"&amp;DM$2&amp;"+"&amp;AG57&amp;DM$1)</f>
        <v/>
      </c>
      <c r="DN57" s="30" t="str">
        <f t="shared" ref="DN57" si="534">IF(AH57="","","|n"&amp;DN$2&amp;"+"&amp;AH57&amp;DN$1)</f>
        <v/>
      </c>
      <c r="DO57" s="30" t="str">
        <f t="shared" ref="DO57" si="535">IF(AI57="","","|n"&amp;DO$2&amp;"+"&amp;AI57&amp;DO$1)</f>
        <v/>
      </c>
      <c r="DP57" s="30" t="str">
        <f t="shared" ref="DP57" si="536">IF(AJ57="","","|n"&amp;DP$2&amp;"+"&amp;AJ57&amp;DP$1)</f>
        <v/>
      </c>
      <c r="DQ57" s="30" t="str">
        <f t="shared" ref="DQ57" si="537">IF(AK57="","","|n"&amp;DQ$2&amp;"+"&amp;AK57&amp;DQ$1)</f>
        <v/>
      </c>
      <c r="DR57" s="30" t="str">
        <f t="shared" ref="DR57" si="538">IF(AL57="","","|n"&amp;DR$2&amp;"+"&amp;AL57&amp;DR$1)</f>
        <v/>
      </c>
      <c r="DS57" s="30" t="str">
        <f t="shared" ref="DS57" si="539">IF(AM57="","","|n"&amp;DS$2&amp;"+"&amp;AM57&amp;DS$1)</f>
        <v/>
      </c>
      <c r="DT57" s="30" t="str">
        <f t="shared" ref="DT57" si="540">IF(AN57="","","|n"&amp;DT$2&amp;"+"&amp;AN57&amp;DT$1)</f>
        <v/>
      </c>
      <c r="DU57" s="30" t="str">
        <f t="shared" ref="DU57" si="541">IF(AO57="","","|n"&amp;DU$2&amp;"+"&amp;AO57&amp;DU$1)</f>
        <v/>
      </c>
      <c r="DV57" s="30" t="str">
        <f t="shared" ref="DV57" si="542">IF(AP57="","","|n"&amp;DV$2&amp;"+"&amp;AP57&amp;DV$1)</f>
        <v/>
      </c>
      <c r="DW57" s="30" t="str">
        <f t="shared" ref="DW57" si="543">IF(AQ57="","","|n"&amp;DW$2&amp;"+"&amp;AQ57&amp;DW$1)</f>
        <v/>
      </c>
      <c r="DX57" s="30" t="str">
        <f t="shared" ref="DX57" si="544">IF(AR57="","","|n"&amp;DX$2&amp;"+"&amp;AR57&amp;DX$1)</f>
        <v/>
      </c>
      <c r="DY57" s="30" t="str">
        <f t="shared" ref="DY57" si="545">IF(AS57="","","|n"&amp;DY$2&amp;"+"&amp;AS57&amp;DY$1)</f>
        <v/>
      </c>
      <c r="DZ57" s="30" t="str">
        <f t="shared" ref="DZ57" si="546">IF(AT57="","","|n"&amp;DZ$2&amp;"+"&amp;AT57&amp;DZ$1)</f>
        <v/>
      </c>
      <c r="EA57" s="30" t="str">
        <f t="shared" ref="EA57" si="547">IF(AU57="","","|n"&amp;EA$2&amp;"+"&amp;AU57&amp;EA$1)</f>
        <v/>
      </c>
      <c r="EB57" s="30" t="str">
        <f t="shared" ref="EB57" si="548">IF(AV57="","","|n"&amp;EB$2&amp;"+"&amp;AV57&amp;EB$1)</f>
        <v/>
      </c>
      <c r="EC57" s="30" t="str">
        <f t="shared" ref="EC57" si="549">IF(AW57="","","|n"&amp;EC$2&amp;"+"&amp;AW57&amp;EC$1)</f>
        <v/>
      </c>
      <c r="ED57" s="30" t="str">
        <f t="shared" ref="ED57" si="550">IF(AX57="","","|n"&amp;ED$2&amp;"+"&amp;AX57&amp;ED$1)</f>
        <v/>
      </c>
      <c r="EE57" s="30" t="str">
        <f t="shared" ref="EE57" si="551">IF(AY57="","","|n"&amp;EE$2&amp;"+"&amp;AY57&amp;EE$1)</f>
        <v/>
      </c>
      <c r="EF57" s="30" t="str">
        <f t="shared" ref="EF57" si="552">IF(AZ57="","","|n"&amp;EF$2&amp;"+"&amp;AZ57&amp;EF$1)</f>
        <v/>
      </c>
      <c r="EG57" s="30" t="str">
        <f t="shared" ref="EG57" si="553">IF(BA57="","","|n"&amp;EG$2&amp;"+"&amp;BA57&amp;EG$1)</f>
        <v/>
      </c>
      <c r="EH57" s="30" t="str">
        <f t="shared" ref="EH57" si="554">IF(BB57="","","|n"&amp;EH$2&amp;"+"&amp;BB57&amp;EH$1)</f>
        <v/>
      </c>
      <c r="EI57" s="30" t="str">
        <f t="shared" ref="EI57" si="555">IF(BC57="","","|n"&amp;EI$2&amp;"+"&amp;BC57&amp;EI$1)</f>
        <v/>
      </c>
      <c r="EJ57" s="30" t="str">
        <f t="shared" ref="EJ57" si="556">IF(BD57="","","|n"&amp;EJ$2&amp;"+"&amp;BD57&amp;EJ$1)</f>
        <v/>
      </c>
      <c r="EK57" s="30" t="str">
        <f t="shared" ref="EK57" si="557">IF(BE57="","","|n"&amp;EK$2&amp;"+"&amp;BE57&amp;EK$1)</f>
        <v/>
      </c>
      <c r="EL57" s="30" t="str">
        <f t="shared" ref="EL57" si="558">IF(BF57="","","|n"&amp;EL$2&amp;"+"&amp;BF57&amp;EL$1)</f>
        <v/>
      </c>
      <c r="EM57" s="30" t="str">
        <f t="shared" ref="EM57" si="559">IF(BG57="","","|n"&amp;EM$2&amp;"+"&amp;BG57&amp;EM$1)</f>
        <v/>
      </c>
      <c r="EN57" s="30" t="str">
        <f t="shared" ref="EN57" si="560">IF(BH57="","","|n"&amp;EN$2&amp;"+"&amp;BH57&amp;EN$1)</f>
        <v/>
      </c>
      <c r="EO57" s="30" t="str">
        <f t="shared" ref="EO57" si="561">IF(BI57="","","|n"&amp;EO$2&amp;"+"&amp;BI57&amp;EO$1)</f>
        <v/>
      </c>
      <c r="EP57" s="30" t="str">
        <f t="shared" ref="EP57" si="562">IF(BJ57="","","|n"&amp;EP$2&amp;"+"&amp;BJ57&amp;EP$1)</f>
        <v/>
      </c>
      <c r="EQ57" s="30" t="str">
        <f t="shared" ref="EQ57" si="563">IF(BK57="","","|n"&amp;EQ$2&amp;"+"&amp;BK57&amp;EQ$1)</f>
        <v/>
      </c>
      <c r="ER57" s="30" t="str">
        <f t="shared" ref="ER57" si="564">IF(BL57="","","|n"&amp;ER$2&amp;"+"&amp;BL57&amp;ER$1)</f>
        <v/>
      </c>
      <c r="ES57" s="30" t="str">
        <f t="shared" ref="ES57" si="565">IF(BM57="","","|n"&amp;ES$2&amp;"+"&amp;BM57&amp;ES$1)</f>
        <v/>
      </c>
      <c r="ET57" s="30" t="str">
        <f t="shared" ref="ET57" si="566">IF(BN57="","","|n"&amp;ET$2&amp;"+"&amp;BN57&amp;ET$1)</f>
        <v/>
      </c>
      <c r="EU57" s="30" t="str">
        <f t="shared" ref="EU57" si="567">IF(BO57="","","|n"&amp;EU$2&amp;"+"&amp;BO57&amp;EU$1)</f>
        <v/>
      </c>
      <c r="EV57" s="30" t="str">
        <f t="shared" ref="EV57" si="568">IF(BP57="","","|n"&amp;EV$2&amp;"+"&amp;BP57&amp;EV$1)</f>
        <v/>
      </c>
      <c r="EW57" s="30" t="str">
        <f t="shared" ref="EW57" si="569">IF(BQ57="","","|n"&amp;EW$2&amp;"+"&amp;BQ57&amp;EW$1)</f>
        <v/>
      </c>
      <c r="EX57" s="30" t="str">
        <f t="shared" ref="EX57" si="570">IF(BR57="","","|n"&amp;EX$2&amp;"+"&amp;BR57&amp;EX$1)</f>
        <v/>
      </c>
      <c r="EY57" s="30" t="str">
        <f t="shared" ref="EY57" si="571">IF(BS57="","","|n"&amp;EY$2&amp;"+"&amp;BS57&amp;EY$1)</f>
        <v/>
      </c>
      <c r="EZ57" s="30" t="str">
        <f t="shared" ref="EZ57" si="572">IF(BT57="","","|n"&amp;EZ$2&amp;"+"&amp;BT57&amp;EZ$1)</f>
        <v/>
      </c>
      <c r="FA57" s="30" t="str">
        <f t="shared" ref="FA57" si="573">IF(BU57="","","|n"&amp;FA$2&amp;"+"&amp;BU57&amp;FA$1)</f>
        <v/>
      </c>
      <c r="FB57" s="30" t="str">
        <f t="shared" ref="FB57" si="574">IF(BV57="","","|n"&amp;FB$2&amp;"+"&amp;BV57&amp;FB$1)</f>
        <v/>
      </c>
      <c r="FC57" s="30" t="str">
        <f t="shared" ref="FC57" si="575">IF(BW57="","","|n"&amp;FC$2&amp;"+"&amp;BW57&amp;FC$1)</f>
        <v/>
      </c>
      <c r="FD57" s="30" t="str">
        <f t="shared" ref="FD57" si="576">IF(BX57="","","|n"&amp;FD$2&amp;"+"&amp;BX57&amp;FD$1)</f>
        <v/>
      </c>
      <c r="FE57" s="30" t="str">
        <f t="shared" ref="FE57" si="577">IF(BY57="","","|n"&amp;FE$2&amp;"+"&amp;BY57&amp;FE$1)</f>
        <v/>
      </c>
      <c r="FF57" s="30" t="str">
        <f t="shared" ref="FF57" si="578">IF(BZ57="","","|n"&amp;FF$2&amp;"+"&amp;BZ57&amp;FF$1)</f>
        <v/>
      </c>
      <c r="FG57" s="30" t="str">
        <f t="shared" ref="FG57" si="579">IF(CA57="","","|n"&amp;FG$2&amp;"+"&amp;CA57&amp;FG$1)</f>
        <v/>
      </c>
      <c r="FH57" s="30" t="str">
        <f t="shared" ref="FH57" si="580">IF(CB57="","","|n"&amp;FH$2&amp;"+"&amp;CB57&amp;FH$1)</f>
        <v/>
      </c>
      <c r="FI57" s="30" t="str">
        <f t="shared" ref="FI57" si="581">IF(CC57="","","|n"&amp;FI$2&amp;"+"&amp;CC57&amp;FI$1)</f>
        <v/>
      </c>
      <c r="FJ57" s="30" t="str">
        <f t="shared" ref="FJ57" si="582">IF(CD57="","","|n"&amp;FJ$2&amp;"+"&amp;CD57&amp;FJ$1)</f>
        <v/>
      </c>
      <c r="FK57" s="30" t="str">
        <f t="shared" ref="FK57" si="583">IF(CE57="","","|n"&amp;FK$2&amp;"+"&amp;CE57&amp;FK$1)</f>
        <v/>
      </c>
      <c r="FL57" s="30" t="str">
        <f t="shared" ref="FL57" si="584">IF(CF57="","","|n"&amp;FL$2&amp;"+"&amp;CF57&amp;FL$1)</f>
        <v/>
      </c>
      <c r="FM57" s="30" t="str">
        <f t="shared" ref="FM57" si="585">IF(CG57="","","|n"&amp;FM$2&amp;"+"&amp;CG57&amp;FM$1)</f>
        <v/>
      </c>
      <c r="FN57" s="30" t="str">
        <f t="shared" ref="FN57" si="586">IF(CH57="","","|n"&amp;FN$2&amp;"+"&amp;CH57&amp;FN$1)</f>
        <v/>
      </c>
      <c r="FO57" s="30" t="str">
        <f t="shared" ref="FO57" si="587">IF(CI57="","","|n"&amp;FO$2&amp;"+"&amp;CI57&amp;FO$1)</f>
        <v/>
      </c>
      <c r="FP57" s="30" t="str">
        <f t="shared" ref="FP57" si="588">IF(CJ57="","","|n"&amp;FP$2&amp;"+"&amp;CJ57&amp;FP$1)</f>
        <v/>
      </c>
      <c r="FQ57" s="30" t="str">
        <f t="shared" ref="FQ57" si="589">IF(CK57="","","|n"&amp;FQ$2&amp;"+"&amp;CK57&amp;FQ$1)</f>
        <v/>
      </c>
      <c r="FR57" s="30" t="str">
        <f t="shared" ref="FR57" si="590">IF(CL57="","","|n"&amp;FR$2&amp;"+"&amp;CL57&amp;FR$1)</f>
        <v/>
      </c>
      <c r="FS57" s="30" t="str">
        <f t="shared" ref="FS57" si="591">IF(CM57="","","|n"&amp;FS$2&amp;"+"&amp;CM57&amp;FS$1)</f>
        <v/>
      </c>
    </row>
    <row r="58" spans="1:175" s="24" customFormat="1" ht="16.5">
      <c r="A58" s="5"/>
      <c r="B58" s="36" t="s">
        <v>167</v>
      </c>
      <c r="C58" s="5" t="s">
        <v>769</v>
      </c>
      <c r="D58" s="31"/>
      <c r="E58" s="39"/>
      <c r="F58" s="40">
        <v>18600</v>
      </c>
      <c r="G58" s="38"/>
      <c r="H58" s="38"/>
      <c r="I58" s="38" t="str">
        <f t="shared" si="446"/>
        <v>E207</v>
      </c>
      <c r="J58" s="38"/>
      <c r="K58" s="38"/>
      <c r="L58" s="38"/>
      <c r="M58" s="38"/>
      <c r="N58" s="38"/>
      <c r="O58" s="38"/>
      <c r="P58" s="42"/>
      <c r="Q58" s="42"/>
      <c r="R58" s="42"/>
      <c r="S58" s="42"/>
      <c r="T58" s="101"/>
      <c r="U58" s="32" t="str">
        <f t="shared" ref="U58:U62" si="592">"ReplaceableTextures\\CommandButtons\\BTN"&amp;B58&amp;".blp"</f>
        <v>ReplaceableTextures\\CommandButtons\\BTNE206.blp</v>
      </c>
      <c r="V58" s="43"/>
      <c r="W58" s="43"/>
      <c r="X58" s="43">
        <v>7</v>
      </c>
      <c r="Y58" s="43"/>
      <c r="Z58" s="43">
        <v>12800</v>
      </c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>
        <v>3</v>
      </c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  <c r="BY58" s="43"/>
      <c r="BZ58" s="43"/>
      <c r="CA58" s="43"/>
      <c r="CB58" s="43"/>
      <c r="CC58" s="43"/>
      <c r="CD58" s="43"/>
      <c r="CE58" s="43"/>
      <c r="CF58" s="43"/>
      <c r="CG58" s="43"/>
      <c r="CH58" s="43"/>
      <c r="CI58" s="43"/>
      <c r="CJ58" s="43"/>
      <c r="CK58" s="43"/>
      <c r="CL58" s="43"/>
      <c r="CM58" s="43"/>
      <c r="CN58" s="44" t="str">
        <f t="shared" si="297"/>
        <v>InitUnitState('E206',,,7,,12800,,,,,)</v>
      </c>
      <c r="CO58" s="44" t="str">
        <f t="shared" si="298"/>
        <v>InitUnitNormal('E206',,,,,,,,3,,)</v>
      </c>
      <c r="CP58" s="44" t="str">
        <f t="shared" si="299"/>
        <v>InitUnitMagic('E206',,,,,,,,,,)</v>
      </c>
      <c r="CQ58" s="44" t="str">
        <f t="shared" si="300"/>
        <v>InitUnitAdd('E206',,,,,,,,,,)</v>
      </c>
      <c r="CR58" s="44" t="str">
        <f t="shared" si="447"/>
        <v>InitEquipData('E206',,"",,E207,18600,,'','','','','','',"ReplaceableTextures\\CommandButtons\\BTNE215.blp")</v>
      </c>
      <c r="CS58" s="44"/>
      <c r="CT58" s="44"/>
      <c r="CU58" s="45" t="str">
        <f t="shared" ref="CU58:CU62" si="593">CONCATENATE(DB58,DC58,DD58,DE58,DF58,DG58,DH58,DI58,DJ58,DK58,DL58,DM58,DN58,DO58,DP58,DQ58,DR58,DS58,DT58,DU58,DV58,DW58,DX58,DY58,DZ58,EA58,EB58,EC58,ED58,EE58,EF58,EG58,EH58,EI58,EJ58,EK58,EL58,EM58,EN58,EO58,EP58&amp;"|n")</f>
        <v>|n护甲+7|n生命值+12800|n伤害减免+3%|n</v>
      </c>
      <c r="CV58" s="29" t="str">
        <f>"|cffffcc00属性：|r"&amp;CU58&amp;VLOOKUP(A58,合成公式!A:P,16,FALSE)&amp;T58</f>
        <v>|cffffcc00属性：|r|n护甲+7|n生命值+12800|n伤害减免+3%|n</v>
      </c>
      <c r="DB58" s="30" t="str">
        <f t="shared" ref="DB58:DB62" si="594">IF(V58="","","|n"&amp;DB$2&amp;"+"&amp;V58&amp;DB$1)</f>
        <v/>
      </c>
      <c r="DC58" s="30" t="str">
        <f t="shared" ref="DC58:DC62" si="595">IF(W58="","","|n"&amp;DC$2&amp;"+"&amp;W58&amp;DC$1)</f>
        <v/>
      </c>
      <c r="DD58" s="30" t="str">
        <f t="shared" ref="DD58:DD62" si="596">IF(X58="","","|n"&amp;DD$2&amp;"+"&amp;X58&amp;DD$1)</f>
        <v>|n护甲+7</v>
      </c>
      <c r="DE58" s="30" t="str">
        <f t="shared" ref="DE58:DE62" si="597">IF(Y58="","","|n"&amp;DE$2&amp;"+"&amp;Y58&amp;DE$1)</f>
        <v/>
      </c>
      <c r="DF58" s="30" t="str">
        <f t="shared" ref="DF58:DF62" si="598">IF(Z58="","","|n"&amp;DF$2&amp;"+"&amp;Z58&amp;DF$1)</f>
        <v>|n生命值+12800</v>
      </c>
      <c r="DG58" s="30" t="str">
        <f t="shared" ref="DG58:DG62" si="599">IF(AA58="","","|n"&amp;DG$2&amp;"+"&amp;AA58&amp;DG$1)</f>
        <v/>
      </c>
      <c r="DH58" s="30" t="str">
        <f t="shared" ref="DH58:DH62" si="600">IF(AB58="","","|n"&amp;DH$2&amp;"+"&amp;AB58&amp;DH$1)</f>
        <v/>
      </c>
      <c r="DI58" s="30" t="str">
        <f t="shared" ref="DI58:DI62" si="601">IF(AC58="","","|n"&amp;DI$2&amp;"+"&amp;AC58&amp;DI$1)</f>
        <v/>
      </c>
      <c r="DJ58" s="30" t="str">
        <f t="shared" ref="DJ58:DJ62" si="602">IF(AD58="","","|n"&amp;DJ$2&amp;"+"&amp;AD58&amp;DJ$1)</f>
        <v/>
      </c>
      <c r="DK58" s="30" t="str">
        <f t="shared" ref="DK58:DK62" si="603">IF(AE58="","","|n"&amp;DK$2&amp;"+"&amp;AE58&amp;DK$1)</f>
        <v/>
      </c>
      <c r="DL58" s="30" t="str">
        <f t="shared" ref="DL58:DL62" si="604">IF(AF58="","","|n"&amp;DL$2&amp;"+"&amp;AF58&amp;DL$1)</f>
        <v/>
      </c>
      <c r="DM58" s="30" t="str">
        <f t="shared" ref="DM58:DM62" si="605">IF(AG58="","","|n"&amp;DM$2&amp;"+"&amp;AG58&amp;DM$1)</f>
        <v/>
      </c>
      <c r="DN58" s="30" t="str">
        <f t="shared" ref="DN58:DN62" si="606">IF(AH58="","","|n"&amp;DN$2&amp;"+"&amp;AH58&amp;DN$1)</f>
        <v/>
      </c>
      <c r="DO58" s="30" t="str">
        <f t="shared" ref="DO58:DO62" si="607">IF(AI58="","","|n"&amp;DO$2&amp;"+"&amp;AI58&amp;DO$1)</f>
        <v/>
      </c>
      <c r="DP58" s="30" t="str">
        <f t="shared" ref="DP58:DP62" si="608">IF(AJ58="","","|n"&amp;DP$2&amp;"+"&amp;AJ58&amp;DP$1)</f>
        <v/>
      </c>
      <c r="DQ58" s="30" t="str">
        <f t="shared" ref="DQ58:DQ62" si="609">IF(AK58="","","|n"&amp;DQ$2&amp;"+"&amp;AK58&amp;DQ$1)</f>
        <v/>
      </c>
      <c r="DR58" s="30" t="str">
        <f t="shared" ref="DR58:DR62" si="610">IF(AL58="","","|n"&amp;DR$2&amp;"+"&amp;AL58&amp;DR$1)</f>
        <v/>
      </c>
      <c r="DS58" s="30" t="str">
        <f t="shared" ref="DS58:DS62" si="611">IF(AM58="","","|n"&amp;DS$2&amp;"+"&amp;AM58&amp;DS$1)</f>
        <v>|n伤害减免+3%</v>
      </c>
      <c r="DT58" s="30" t="str">
        <f t="shared" ref="DT58:DT62" si="612">IF(AN58="","","|n"&amp;DT$2&amp;"+"&amp;AN58&amp;DT$1)</f>
        <v/>
      </c>
      <c r="DU58" s="30" t="str">
        <f t="shared" ref="DU58:DU62" si="613">IF(AO58="","","|n"&amp;DU$2&amp;"+"&amp;AO58&amp;DU$1)</f>
        <v/>
      </c>
      <c r="DV58" s="30" t="str">
        <f t="shared" ref="DV58:DV62" si="614">IF(AP58="","","|n"&amp;DV$2&amp;"+"&amp;AP58&amp;DV$1)</f>
        <v/>
      </c>
      <c r="DW58" s="30" t="str">
        <f t="shared" ref="DW58:DW62" si="615">IF(AQ58="","","|n"&amp;DW$2&amp;"+"&amp;AQ58&amp;DW$1)</f>
        <v/>
      </c>
      <c r="DX58" s="30" t="str">
        <f t="shared" ref="DX58:DX62" si="616">IF(AR58="","","|n"&amp;DX$2&amp;"+"&amp;AR58&amp;DX$1)</f>
        <v/>
      </c>
      <c r="DY58" s="30" t="str">
        <f t="shared" ref="DY58:DY62" si="617">IF(AS58="","","|n"&amp;DY$2&amp;"+"&amp;AS58&amp;DY$1)</f>
        <v/>
      </c>
      <c r="DZ58" s="30" t="str">
        <f t="shared" ref="DZ58:DZ62" si="618">IF(AT58="","","|n"&amp;DZ$2&amp;"+"&amp;AT58&amp;DZ$1)</f>
        <v/>
      </c>
      <c r="EA58" s="30" t="str">
        <f t="shared" ref="EA58:EA62" si="619">IF(AU58="","","|n"&amp;EA$2&amp;"+"&amp;AU58&amp;EA$1)</f>
        <v/>
      </c>
      <c r="EB58" s="30" t="str">
        <f t="shared" ref="EB58:EB62" si="620">IF(AV58="","","|n"&amp;EB$2&amp;"+"&amp;AV58&amp;EB$1)</f>
        <v/>
      </c>
      <c r="EC58" s="30" t="str">
        <f t="shared" ref="EC58:EC62" si="621">IF(AW58="","","|n"&amp;EC$2&amp;"+"&amp;AW58&amp;EC$1)</f>
        <v/>
      </c>
      <c r="ED58" s="30" t="str">
        <f t="shared" ref="ED58:ED62" si="622">IF(AX58="","","|n"&amp;ED$2&amp;"+"&amp;AX58&amp;ED$1)</f>
        <v/>
      </c>
      <c r="EE58" s="30" t="str">
        <f t="shared" ref="EE58:EE62" si="623">IF(AY58="","","|n"&amp;EE$2&amp;"+"&amp;AY58&amp;EE$1)</f>
        <v/>
      </c>
      <c r="EF58" s="30" t="str">
        <f t="shared" ref="EF58:EF62" si="624">IF(AZ58="","","|n"&amp;EF$2&amp;"+"&amp;AZ58&amp;EF$1)</f>
        <v/>
      </c>
      <c r="EG58" s="30" t="str">
        <f t="shared" ref="EG58:EG62" si="625">IF(BA58="","","|n"&amp;EG$2&amp;"+"&amp;BA58&amp;EG$1)</f>
        <v/>
      </c>
      <c r="EH58" s="30" t="str">
        <f t="shared" ref="EH58:EH62" si="626">IF(BB58="","","|n"&amp;EH$2&amp;"+"&amp;BB58&amp;EH$1)</f>
        <v/>
      </c>
      <c r="EI58" s="30" t="str">
        <f t="shared" ref="EI58:EI62" si="627">IF(BC58="","","|n"&amp;EI$2&amp;"+"&amp;BC58&amp;EI$1)</f>
        <v/>
      </c>
      <c r="EJ58" s="30" t="str">
        <f t="shared" ref="EJ58:EJ62" si="628">IF(BD58="","","|n"&amp;EJ$2&amp;"+"&amp;BD58&amp;EJ$1)</f>
        <v/>
      </c>
      <c r="EK58" s="30" t="str">
        <f t="shared" ref="EK58:EK62" si="629">IF(BE58="","","|n"&amp;EK$2&amp;"+"&amp;BE58&amp;EK$1)</f>
        <v/>
      </c>
      <c r="EL58" s="30" t="str">
        <f t="shared" ref="EL58:EL62" si="630">IF(BF58="","","|n"&amp;EL$2&amp;"+"&amp;BF58&amp;EL$1)</f>
        <v/>
      </c>
      <c r="EM58" s="30" t="str">
        <f t="shared" ref="EM58:EM62" si="631">IF(BG58="","","|n"&amp;EM$2&amp;"+"&amp;BG58&amp;EM$1)</f>
        <v/>
      </c>
      <c r="EN58" s="30" t="str">
        <f t="shared" ref="EN58:EN62" si="632">IF(BH58="","","|n"&amp;EN$2&amp;"+"&amp;BH58&amp;EN$1)</f>
        <v/>
      </c>
      <c r="EO58" s="30" t="str">
        <f t="shared" ref="EO58:EO62" si="633">IF(BI58="","","|n"&amp;EO$2&amp;"+"&amp;BI58&amp;EO$1)</f>
        <v/>
      </c>
      <c r="EP58" s="30" t="str">
        <f t="shared" ref="EP58:EP62" si="634">IF(BJ58="","","|n"&amp;EP$2&amp;"+"&amp;BJ58&amp;EP$1)</f>
        <v/>
      </c>
      <c r="EQ58" s="30" t="str">
        <f t="shared" ref="EQ58:EQ62" si="635">IF(BK58="","","|n"&amp;EQ$2&amp;"+"&amp;BK58&amp;EQ$1)</f>
        <v/>
      </c>
      <c r="ER58" s="30" t="str">
        <f t="shared" ref="ER58:ER62" si="636">IF(BL58="","","|n"&amp;ER$2&amp;"+"&amp;BL58&amp;ER$1)</f>
        <v/>
      </c>
      <c r="ES58" s="30" t="str">
        <f t="shared" ref="ES58:ES62" si="637">IF(BM58="","","|n"&amp;ES$2&amp;"+"&amp;BM58&amp;ES$1)</f>
        <v/>
      </c>
      <c r="ET58" s="30" t="str">
        <f t="shared" ref="ET58:ET62" si="638">IF(BN58="","","|n"&amp;ET$2&amp;"+"&amp;BN58&amp;ET$1)</f>
        <v/>
      </c>
      <c r="EU58" s="30" t="str">
        <f t="shared" ref="EU58:EU62" si="639">IF(BO58="","","|n"&amp;EU$2&amp;"+"&amp;BO58&amp;EU$1)</f>
        <v/>
      </c>
      <c r="EV58" s="30" t="str">
        <f t="shared" ref="EV58:EV62" si="640">IF(BP58="","","|n"&amp;EV$2&amp;"+"&amp;BP58&amp;EV$1)</f>
        <v/>
      </c>
      <c r="EW58" s="30" t="str">
        <f t="shared" ref="EW58:EW62" si="641">IF(BQ58="","","|n"&amp;EW$2&amp;"+"&amp;BQ58&amp;EW$1)</f>
        <v/>
      </c>
      <c r="EX58" s="30" t="str">
        <f t="shared" ref="EX58:EX62" si="642">IF(BR58="","","|n"&amp;EX$2&amp;"+"&amp;BR58&amp;EX$1)</f>
        <v/>
      </c>
      <c r="EY58" s="30" t="str">
        <f t="shared" ref="EY58:EY62" si="643">IF(BS58="","","|n"&amp;EY$2&amp;"+"&amp;BS58&amp;EY$1)</f>
        <v/>
      </c>
      <c r="EZ58" s="30" t="str">
        <f t="shared" ref="EZ58:EZ62" si="644">IF(BT58="","","|n"&amp;EZ$2&amp;"+"&amp;BT58&amp;EZ$1)</f>
        <v/>
      </c>
      <c r="FA58" s="30" t="str">
        <f t="shared" ref="FA58:FA62" si="645">IF(BU58="","","|n"&amp;FA$2&amp;"+"&amp;BU58&amp;FA$1)</f>
        <v/>
      </c>
      <c r="FB58" s="30" t="str">
        <f t="shared" ref="FB58:FB62" si="646">IF(BV58="","","|n"&amp;FB$2&amp;"+"&amp;BV58&amp;FB$1)</f>
        <v/>
      </c>
      <c r="FC58" s="30" t="str">
        <f t="shared" ref="FC58:FC62" si="647">IF(BW58="","","|n"&amp;FC$2&amp;"+"&amp;BW58&amp;FC$1)</f>
        <v/>
      </c>
      <c r="FD58" s="30" t="str">
        <f t="shared" ref="FD58:FD62" si="648">IF(BX58="","","|n"&amp;FD$2&amp;"+"&amp;BX58&amp;FD$1)</f>
        <v/>
      </c>
      <c r="FE58" s="30" t="str">
        <f t="shared" ref="FE58:FE62" si="649">IF(BY58="","","|n"&amp;FE$2&amp;"+"&amp;BY58&amp;FE$1)</f>
        <v/>
      </c>
      <c r="FF58" s="30" t="str">
        <f t="shared" ref="FF58:FF62" si="650">IF(BZ58="","","|n"&amp;FF$2&amp;"+"&amp;BZ58&amp;FF$1)</f>
        <v/>
      </c>
      <c r="FG58" s="30" t="str">
        <f t="shared" ref="FG58:FG62" si="651">IF(CA58="","","|n"&amp;FG$2&amp;"+"&amp;CA58&amp;FG$1)</f>
        <v/>
      </c>
      <c r="FH58" s="30" t="str">
        <f t="shared" ref="FH58:FH62" si="652">IF(CB58="","","|n"&amp;FH$2&amp;"+"&amp;CB58&amp;FH$1)</f>
        <v/>
      </c>
      <c r="FI58" s="30" t="str">
        <f t="shared" ref="FI58:FI62" si="653">IF(CC58="","","|n"&amp;FI$2&amp;"+"&amp;CC58&amp;FI$1)</f>
        <v/>
      </c>
      <c r="FJ58" s="30" t="str">
        <f t="shared" ref="FJ58:FJ62" si="654">IF(CD58="","","|n"&amp;FJ$2&amp;"+"&amp;CD58&amp;FJ$1)</f>
        <v/>
      </c>
      <c r="FK58" s="30" t="str">
        <f t="shared" ref="FK58:FK62" si="655">IF(CE58="","","|n"&amp;FK$2&amp;"+"&amp;CE58&amp;FK$1)</f>
        <v/>
      </c>
      <c r="FL58" s="30" t="str">
        <f t="shared" ref="FL58:FL62" si="656">IF(CF58="","","|n"&amp;FL$2&amp;"+"&amp;CF58&amp;FL$1)</f>
        <v/>
      </c>
      <c r="FM58" s="30" t="str">
        <f t="shared" ref="FM58:FM62" si="657">IF(CG58="","","|n"&amp;FM$2&amp;"+"&amp;CG58&amp;FM$1)</f>
        <v/>
      </c>
      <c r="FN58" s="30" t="str">
        <f t="shared" ref="FN58:FN62" si="658">IF(CH58="","","|n"&amp;FN$2&amp;"+"&amp;CH58&amp;FN$1)</f>
        <v/>
      </c>
      <c r="FO58" s="30" t="str">
        <f t="shared" ref="FO58:FO62" si="659">IF(CI58="","","|n"&amp;FO$2&amp;"+"&amp;CI58&amp;FO$1)</f>
        <v/>
      </c>
      <c r="FP58" s="30" t="str">
        <f t="shared" ref="FP58:FP62" si="660">IF(CJ58="","","|n"&amp;FP$2&amp;"+"&amp;CJ58&amp;FP$1)</f>
        <v/>
      </c>
      <c r="FQ58" s="30" t="str">
        <f t="shared" ref="FQ58:FQ62" si="661">IF(CK58="","","|n"&amp;FQ$2&amp;"+"&amp;CK58&amp;FQ$1)</f>
        <v/>
      </c>
      <c r="FR58" s="30" t="str">
        <f t="shared" ref="FR58:FR62" si="662">IF(CL58="","","|n"&amp;FR$2&amp;"+"&amp;CL58&amp;FR$1)</f>
        <v/>
      </c>
      <c r="FS58" s="30" t="str">
        <f t="shared" ref="FS58:FS62" si="663">IF(CM58="","","|n"&amp;FS$2&amp;"+"&amp;CM58&amp;FS$1)</f>
        <v/>
      </c>
    </row>
    <row r="59" spans="1:175" s="24" customFormat="1" ht="16.5">
      <c r="A59" s="5"/>
      <c r="B59" s="36" t="s">
        <v>168</v>
      </c>
      <c r="C59" s="5" t="s">
        <v>770</v>
      </c>
      <c r="D59" s="31"/>
      <c r="E59" s="39"/>
      <c r="F59" s="40">
        <v>19200</v>
      </c>
      <c r="G59" s="38"/>
      <c r="H59" s="38"/>
      <c r="I59" s="38" t="str">
        <f t="shared" si="446"/>
        <v>E208</v>
      </c>
      <c r="J59" s="38"/>
      <c r="K59" s="38"/>
      <c r="L59" s="38"/>
      <c r="M59" s="38"/>
      <c r="N59" s="38"/>
      <c r="O59" s="38"/>
      <c r="P59" s="42"/>
      <c r="Q59" s="42"/>
      <c r="R59" s="42"/>
      <c r="S59" s="42"/>
      <c r="T59" s="101"/>
      <c r="U59" s="32" t="str">
        <f t="shared" si="592"/>
        <v>ReplaceableTextures\\CommandButtons\\BTNE207.blp</v>
      </c>
      <c r="V59" s="43"/>
      <c r="W59" s="43"/>
      <c r="X59" s="43">
        <v>9</v>
      </c>
      <c r="Y59" s="43"/>
      <c r="Z59" s="43">
        <v>15600</v>
      </c>
      <c r="AA59" s="43"/>
      <c r="AB59" s="43"/>
      <c r="AC59" s="43"/>
      <c r="AD59" s="43"/>
      <c r="AE59" s="43"/>
      <c r="AF59" s="43"/>
      <c r="AG59" s="43"/>
      <c r="AH59" s="43"/>
      <c r="AI59" s="43"/>
      <c r="AJ59" s="43"/>
      <c r="AK59" s="43"/>
      <c r="AL59" s="43"/>
      <c r="AM59" s="43">
        <v>3</v>
      </c>
      <c r="AN59" s="43"/>
      <c r="AO59" s="43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43"/>
      <c r="BA59" s="43"/>
      <c r="BB59" s="43"/>
      <c r="BC59" s="43"/>
      <c r="BD59" s="43"/>
      <c r="BE59" s="43"/>
      <c r="BF59" s="43"/>
      <c r="BG59" s="43"/>
      <c r="BH59" s="43"/>
      <c r="BI59" s="43"/>
      <c r="BJ59" s="43"/>
      <c r="BK59" s="43"/>
      <c r="BL59" s="43"/>
      <c r="BM59" s="43"/>
      <c r="BN59" s="43"/>
      <c r="BO59" s="43"/>
      <c r="BP59" s="43"/>
      <c r="BQ59" s="43"/>
      <c r="BR59" s="43"/>
      <c r="BS59" s="43"/>
      <c r="BT59" s="43"/>
      <c r="BU59" s="43"/>
      <c r="BV59" s="43"/>
      <c r="BW59" s="43"/>
      <c r="BX59" s="43"/>
      <c r="BY59" s="43"/>
      <c r="BZ59" s="43"/>
      <c r="CA59" s="43"/>
      <c r="CB59" s="43"/>
      <c r="CC59" s="43"/>
      <c r="CD59" s="43"/>
      <c r="CE59" s="43"/>
      <c r="CF59" s="43"/>
      <c r="CG59" s="43"/>
      <c r="CH59" s="43"/>
      <c r="CI59" s="43"/>
      <c r="CJ59" s="43"/>
      <c r="CK59" s="43"/>
      <c r="CL59" s="43"/>
      <c r="CM59" s="43"/>
      <c r="CN59" s="44" t="str">
        <f t="shared" si="297"/>
        <v>InitUnitState('E207',,,9,,15600,,,,,)</v>
      </c>
      <c r="CO59" s="44" t="str">
        <f t="shared" si="298"/>
        <v>InitUnitNormal('E207',,,,,,,,3,,)</v>
      </c>
      <c r="CP59" s="44" t="str">
        <f t="shared" si="299"/>
        <v>InitUnitMagic('E207',,,,,,,,,,)</v>
      </c>
      <c r="CQ59" s="44" t="str">
        <f t="shared" si="300"/>
        <v>InitUnitAdd('E207',,,,,,,,,,)</v>
      </c>
      <c r="CR59" s="44" t="str">
        <f t="shared" si="447"/>
        <v>InitEquipData('E207',,"",,E208,19200,,'','','','','','',"ReplaceableTextures\\CommandButtons\\BTNE216.blp")</v>
      </c>
      <c r="CS59" s="44"/>
      <c r="CT59" s="44"/>
      <c r="CU59" s="45" t="str">
        <f t="shared" si="593"/>
        <v>|n护甲+9|n生命值+15600|n伤害减免+3%|n</v>
      </c>
      <c r="CV59" s="29" t="str">
        <f>"|cffffcc00属性：|r"&amp;CU59&amp;VLOOKUP(A59,合成公式!A:P,16,FALSE)&amp;T59</f>
        <v>|cffffcc00属性：|r|n护甲+9|n生命值+15600|n伤害减免+3%|n</v>
      </c>
      <c r="DB59" s="30" t="str">
        <f t="shared" si="594"/>
        <v/>
      </c>
      <c r="DC59" s="30" t="str">
        <f t="shared" si="595"/>
        <v/>
      </c>
      <c r="DD59" s="30" t="str">
        <f t="shared" si="596"/>
        <v>|n护甲+9</v>
      </c>
      <c r="DE59" s="30" t="str">
        <f t="shared" si="597"/>
        <v/>
      </c>
      <c r="DF59" s="30" t="str">
        <f t="shared" si="598"/>
        <v>|n生命值+15600</v>
      </c>
      <c r="DG59" s="30" t="str">
        <f t="shared" si="599"/>
        <v/>
      </c>
      <c r="DH59" s="30" t="str">
        <f t="shared" si="600"/>
        <v/>
      </c>
      <c r="DI59" s="30" t="str">
        <f t="shared" si="601"/>
        <v/>
      </c>
      <c r="DJ59" s="30" t="str">
        <f t="shared" si="602"/>
        <v/>
      </c>
      <c r="DK59" s="30" t="str">
        <f t="shared" si="603"/>
        <v/>
      </c>
      <c r="DL59" s="30" t="str">
        <f t="shared" si="604"/>
        <v/>
      </c>
      <c r="DM59" s="30" t="str">
        <f t="shared" si="605"/>
        <v/>
      </c>
      <c r="DN59" s="30" t="str">
        <f t="shared" si="606"/>
        <v/>
      </c>
      <c r="DO59" s="30" t="str">
        <f t="shared" si="607"/>
        <v/>
      </c>
      <c r="DP59" s="30" t="str">
        <f t="shared" si="608"/>
        <v/>
      </c>
      <c r="DQ59" s="30" t="str">
        <f t="shared" si="609"/>
        <v/>
      </c>
      <c r="DR59" s="30" t="str">
        <f t="shared" si="610"/>
        <v/>
      </c>
      <c r="DS59" s="30" t="str">
        <f t="shared" si="611"/>
        <v>|n伤害减免+3%</v>
      </c>
      <c r="DT59" s="30" t="str">
        <f t="shared" si="612"/>
        <v/>
      </c>
      <c r="DU59" s="30" t="str">
        <f t="shared" si="613"/>
        <v/>
      </c>
      <c r="DV59" s="30" t="str">
        <f t="shared" si="614"/>
        <v/>
      </c>
      <c r="DW59" s="30" t="str">
        <f t="shared" si="615"/>
        <v/>
      </c>
      <c r="DX59" s="30" t="str">
        <f t="shared" si="616"/>
        <v/>
      </c>
      <c r="DY59" s="30" t="str">
        <f t="shared" si="617"/>
        <v/>
      </c>
      <c r="DZ59" s="30" t="str">
        <f t="shared" si="618"/>
        <v/>
      </c>
      <c r="EA59" s="30" t="str">
        <f t="shared" si="619"/>
        <v/>
      </c>
      <c r="EB59" s="30" t="str">
        <f t="shared" si="620"/>
        <v/>
      </c>
      <c r="EC59" s="30" t="str">
        <f t="shared" si="621"/>
        <v/>
      </c>
      <c r="ED59" s="30" t="str">
        <f t="shared" si="622"/>
        <v/>
      </c>
      <c r="EE59" s="30" t="str">
        <f t="shared" si="623"/>
        <v/>
      </c>
      <c r="EF59" s="30" t="str">
        <f t="shared" si="624"/>
        <v/>
      </c>
      <c r="EG59" s="30" t="str">
        <f t="shared" si="625"/>
        <v/>
      </c>
      <c r="EH59" s="30" t="str">
        <f t="shared" si="626"/>
        <v/>
      </c>
      <c r="EI59" s="30" t="str">
        <f t="shared" si="627"/>
        <v/>
      </c>
      <c r="EJ59" s="30" t="str">
        <f t="shared" si="628"/>
        <v/>
      </c>
      <c r="EK59" s="30" t="str">
        <f t="shared" si="629"/>
        <v/>
      </c>
      <c r="EL59" s="30" t="str">
        <f t="shared" si="630"/>
        <v/>
      </c>
      <c r="EM59" s="30" t="str">
        <f t="shared" si="631"/>
        <v/>
      </c>
      <c r="EN59" s="30" t="str">
        <f t="shared" si="632"/>
        <v/>
      </c>
      <c r="EO59" s="30" t="str">
        <f t="shared" si="633"/>
        <v/>
      </c>
      <c r="EP59" s="30" t="str">
        <f t="shared" si="634"/>
        <v/>
      </c>
      <c r="EQ59" s="30" t="str">
        <f t="shared" si="635"/>
        <v/>
      </c>
      <c r="ER59" s="30" t="str">
        <f t="shared" si="636"/>
        <v/>
      </c>
      <c r="ES59" s="30" t="str">
        <f t="shared" si="637"/>
        <v/>
      </c>
      <c r="ET59" s="30" t="str">
        <f t="shared" si="638"/>
        <v/>
      </c>
      <c r="EU59" s="30" t="str">
        <f t="shared" si="639"/>
        <v/>
      </c>
      <c r="EV59" s="30" t="str">
        <f t="shared" si="640"/>
        <v/>
      </c>
      <c r="EW59" s="30" t="str">
        <f t="shared" si="641"/>
        <v/>
      </c>
      <c r="EX59" s="30" t="str">
        <f t="shared" si="642"/>
        <v/>
      </c>
      <c r="EY59" s="30" t="str">
        <f t="shared" si="643"/>
        <v/>
      </c>
      <c r="EZ59" s="30" t="str">
        <f t="shared" si="644"/>
        <v/>
      </c>
      <c r="FA59" s="30" t="str">
        <f t="shared" si="645"/>
        <v/>
      </c>
      <c r="FB59" s="30" t="str">
        <f t="shared" si="646"/>
        <v/>
      </c>
      <c r="FC59" s="30" t="str">
        <f t="shared" si="647"/>
        <v/>
      </c>
      <c r="FD59" s="30" t="str">
        <f t="shared" si="648"/>
        <v/>
      </c>
      <c r="FE59" s="30" t="str">
        <f t="shared" si="649"/>
        <v/>
      </c>
      <c r="FF59" s="30" t="str">
        <f t="shared" si="650"/>
        <v/>
      </c>
      <c r="FG59" s="30" t="str">
        <f t="shared" si="651"/>
        <v/>
      </c>
      <c r="FH59" s="30" t="str">
        <f t="shared" si="652"/>
        <v/>
      </c>
      <c r="FI59" s="30" t="str">
        <f t="shared" si="653"/>
        <v/>
      </c>
      <c r="FJ59" s="30" t="str">
        <f t="shared" si="654"/>
        <v/>
      </c>
      <c r="FK59" s="30" t="str">
        <f t="shared" si="655"/>
        <v/>
      </c>
      <c r="FL59" s="30" t="str">
        <f t="shared" si="656"/>
        <v/>
      </c>
      <c r="FM59" s="30" t="str">
        <f t="shared" si="657"/>
        <v/>
      </c>
      <c r="FN59" s="30" t="str">
        <f t="shared" si="658"/>
        <v/>
      </c>
      <c r="FO59" s="30" t="str">
        <f t="shared" si="659"/>
        <v/>
      </c>
      <c r="FP59" s="30" t="str">
        <f t="shared" si="660"/>
        <v/>
      </c>
      <c r="FQ59" s="30" t="str">
        <f t="shared" si="661"/>
        <v/>
      </c>
      <c r="FR59" s="30" t="str">
        <f t="shared" si="662"/>
        <v/>
      </c>
      <c r="FS59" s="30" t="str">
        <f t="shared" si="663"/>
        <v/>
      </c>
    </row>
    <row r="60" spans="1:175" s="24" customFormat="1" ht="16.5">
      <c r="A60" s="5"/>
      <c r="B60" s="36" t="s">
        <v>169</v>
      </c>
      <c r="C60" s="5" t="s">
        <v>771</v>
      </c>
      <c r="D60" s="31"/>
      <c r="E60" s="39"/>
      <c r="F60" s="40">
        <v>19800</v>
      </c>
      <c r="G60" s="38"/>
      <c r="H60" s="38"/>
      <c r="I60" s="38" t="str">
        <f t="shared" si="446"/>
        <v>E209</v>
      </c>
      <c r="J60" s="38"/>
      <c r="K60" s="38"/>
      <c r="L60" s="38"/>
      <c r="M60" s="38"/>
      <c r="N60" s="38"/>
      <c r="O60" s="38"/>
      <c r="P60" s="42"/>
      <c r="Q60" s="42"/>
      <c r="R60" s="42"/>
      <c r="S60" s="42"/>
      <c r="T60" s="101"/>
      <c r="U60" s="32" t="str">
        <f t="shared" si="592"/>
        <v>ReplaceableTextures\\CommandButtons\\BTNE208.blp</v>
      </c>
      <c r="V60" s="43"/>
      <c r="W60" s="43"/>
      <c r="X60" s="43">
        <v>11</v>
      </c>
      <c r="Y60" s="43"/>
      <c r="Z60" s="43">
        <v>18400</v>
      </c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>
        <v>3</v>
      </c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  <c r="BY60" s="43"/>
      <c r="BZ60" s="43"/>
      <c r="CA60" s="43"/>
      <c r="CB60" s="43"/>
      <c r="CC60" s="43"/>
      <c r="CD60" s="43"/>
      <c r="CE60" s="43"/>
      <c r="CF60" s="43"/>
      <c r="CG60" s="43"/>
      <c r="CH60" s="43"/>
      <c r="CI60" s="43"/>
      <c r="CJ60" s="43"/>
      <c r="CK60" s="43"/>
      <c r="CL60" s="43"/>
      <c r="CM60" s="43"/>
      <c r="CN60" s="44" t="str">
        <f t="shared" si="297"/>
        <v>InitUnitState('E208',,,11,,18400,,,,,)</v>
      </c>
      <c r="CO60" s="44" t="str">
        <f t="shared" si="298"/>
        <v>InitUnitNormal('E208',,,,,,,,3,,)</v>
      </c>
      <c r="CP60" s="44" t="str">
        <f t="shared" si="299"/>
        <v>InitUnitMagic('E208',,,,,,,,,,)</v>
      </c>
      <c r="CQ60" s="44" t="str">
        <f t="shared" si="300"/>
        <v>InitUnitAdd('E208',,,,,,,,,,)</v>
      </c>
      <c r="CR60" s="44" t="str">
        <f t="shared" si="447"/>
        <v>InitEquipData('E208',,"",,E209,19800,,'','','','','','',"ReplaceableTextures\\CommandButtons\\BTNE217.blp")</v>
      </c>
      <c r="CS60" s="44"/>
      <c r="CT60" s="44"/>
      <c r="CU60" s="45" t="str">
        <f t="shared" si="593"/>
        <v>|n护甲+11|n生命值+18400|n伤害减免+3%|n</v>
      </c>
      <c r="CV60" s="29" t="str">
        <f>"|cffffcc00属性：|r"&amp;CU60&amp;VLOOKUP(A60,合成公式!A:P,16,FALSE)&amp;T60</f>
        <v>|cffffcc00属性：|r|n护甲+11|n生命值+18400|n伤害减免+3%|n</v>
      </c>
      <c r="DB60" s="30" t="str">
        <f t="shared" si="594"/>
        <v/>
      </c>
      <c r="DC60" s="30" t="str">
        <f t="shared" si="595"/>
        <v/>
      </c>
      <c r="DD60" s="30" t="str">
        <f t="shared" si="596"/>
        <v>|n护甲+11</v>
      </c>
      <c r="DE60" s="30" t="str">
        <f t="shared" si="597"/>
        <v/>
      </c>
      <c r="DF60" s="30" t="str">
        <f t="shared" si="598"/>
        <v>|n生命值+18400</v>
      </c>
      <c r="DG60" s="30" t="str">
        <f t="shared" si="599"/>
        <v/>
      </c>
      <c r="DH60" s="30" t="str">
        <f t="shared" si="600"/>
        <v/>
      </c>
      <c r="DI60" s="30" t="str">
        <f t="shared" si="601"/>
        <v/>
      </c>
      <c r="DJ60" s="30" t="str">
        <f t="shared" si="602"/>
        <v/>
      </c>
      <c r="DK60" s="30" t="str">
        <f t="shared" si="603"/>
        <v/>
      </c>
      <c r="DL60" s="30" t="str">
        <f t="shared" si="604"/>
        <v/>
      </c>
      <c r="DM60" s="30" t="str">
        <f t="shared" si="605"/>
        <v/>
      </c>
      <c r="DN60" s="30" t="str">
        <f t="shared" si="606"/>
        <v/>
      </c>
      <c r="DO60" s="30" t="str">
        <f t="shared" si="607"/>
        <v/>
      </c>
      <c r="DP60" s="30" t="str">
        <f t="shared" si="608"/>
        <v/>
      </c>
      <c r="DQ60" s="30" t="str">
        <f t="shared" si="609"/>
        <v/>
      </c>
      <c r="DR60" s="30" t="str">
        <f t="shared" si="610"/>
        <v/>
      </c>
      <c r="DS60" s="30" t="str">
        <f t="shared" si="611"/>
        <v>|n伤害减免+3%</v>
      </c>
      <c r="DT60" s="30" t="str">
        <f t="shared" si="612"/>
        <v/>
      </c>
      <c r="DU60" s="30" t="str">
        <f t="shared" si="613"/>
        <v/>
      </c>
      <c r="DV60" s="30" t="str">
        <f t="shared" si="614"/>
        <v/>
      </c>
      <c r="DW60" s="30" t="str">
        <f t="shared" si="615"/>
        <v/>
      </c>
      <c r="DX60" s="30" t="str">
        <f t="shared" si="616"/>
        <v/>
      </c>
      <c r="DY60" s="30" t="str">
        <f t="shared" si="617"/>
        <v/>
      </c>
      <c r="DZ60" s="30" t="str">
        <f t="shared" si="618"/>
        <v/>
      </c>
      <c r="EA60" s="30" t="str">
        <f t="shared" si="619"/>
        <v/>
      </c>
      <c r="EB60" s="30" t="str">
        <f t="shared" si="620"/>
        <v/>
      </c>
      <c r="EC60" s="30" t="str">
        <f t="shared" si="621"/>
        <v/>
      </c>
      <c r="ED60" s="30" t="str">
        <f t="shared" si="622"/>
        <v/>
      </c>
      <c r="EE60" s="30" t="str">
        <f t="shared" si="623"/>
        <v/>
      </c>
      <c r="EF60" s="30" t="str">
        <f t="shared" si="624"/>
        <v/>
      </c>
      <c r="EG60" s="30" t="str">
        <f t="shared" si="625"/>
        <v/>
      </c>
      <c r="EH60" s="30" t="str">
        <f t="shared" si="626"/>
        <v/>
      </c>
      <c r="EI60" s="30" t="str">
        <f t="shared" si="627"/>
        <v/>
      </c>
      <c r="EJ60" s="30" t="str">
        <f t="shared" si="628"/>
        <v/>
      </c>
      <c r="EK60" s="30" t="str">
        <f t="shared" si="629"/>
        <v/>
      </c>
      <c r="EL60" s="30" t="str">
        <f t="shared" si="630"/>
        <v/>
      </c>
      <c r="EM60" s="30" t="str">
        <f t="shared" si="631"/>
        <v/>
      </c>
      <c r="EN60" s="30" t="str">
        <f t="shared" si="632"/>
        <v/>
      </c>
      <c r="EO60" s="30" t="str">
        <f t="shared" si="633"/>
        <v/>
      </c>
      <c r="EP60" s="30" t="str">
        <f t="shared" si="634"/>
        <v/>
      </c>
      <c r="EQ60" s="30" t="str">
        <f t="shared" si="635"/>
        <v/>
      </c>
      <c r="ER60" s="30" t="str">
        <f t="shared" si="636"/>
        <v/>
      </c>
      <c r="ES60" s="30" t="str">
        <f t="shared" si="637"/>
        <v/>
      </c>
      <c r="ET60" s="30" t="str">
        <f t="shared" si="638"/>
        <v/>
      </c>
      <c r="EU60" s="30" t="str">
        <f t="shared" si="639"/>
        <v/>
      </c>
      <c r="EV60" s="30" t="str">
        <f t="shared" si="640"/>
        <v/>
      </c>
      <c r="EW60" s="30" t="str">
        <f t="shared" si="641"/>
        <v/>
      </c>
      <c r="EX60" s="30" t="str">
        <f t="shared" si="642"/>
        <v/>
      </c>
      <c r="EY60" s="30" t="str">
        <f t="shared" si="643"/>
        <v/>
      </c>
      <c r="EZ60" s="30" t="str">
        <f t="shared" si="644"/>
        <v/>
      </c>
      <c r="FA60" s="30" t="str">
        <f t="shared" si="645"/>
        <v/>
      </c>
      <c r="FB60" s="30" t="str">
        <f t="shared" si="646"/>
        <v/>
      </c>
      <c r="FC60" s="30" t="str">
        <f t="shared" si="647"/>
        <v/>
      </c>
      <c r="FD60" s="30" t="str">
        <f t="shared" si="648"/>
        <v/>
      </c>
      <c r="FE60" s="30" t="str">
        <f t="shared" si="649"/>
        <v/>
      </c>
      <c r="FF60" s="30" t="str">
        <f t="shared" si="650"/>
        <v/>
      </c>
      <c r="FG60" s="30" t="str">
        <f t="shared" si="651"/>
        <v/>
      </c>
      <c r="FH60" s="30" t="str">
        <f t="shared" si="652"/>
        <v/>
      </c>
      <c r="FI60" s="30" t="str">
        <f t="shared" si="653"/>
        <v/>
      </c>
      <c r="FJ60" s="30" t="str">
        <f t="shared" si="654"/>
        <v/>
      </c>
      <c r="FK60" s="30" t="str">
        <f t="shared" si="655"/>
        <v/>
      </c>
      <c r="FL60" s="30" t="str">
        <f t="shared" si="656"/>
        <v/>
      </c>
      <c r="FM60" s="30" t="str">
        <f t="shared" si="657"/>
        <v/>
      </c>
      <c r="FN60" s="30" t="str">
        <f t="shared" si="658"/>
        <v/>
      </c>
      <c r="FO60" s="30" t="str">
        <f t="shared" si="659"/>
        <v/>
      </c>
      <c r="FP60" s="30" t="str">
        <f t="shared" si="660"/>
        <v/>
      </c>
      <c r="FQ60" s="30" t="str">
        <f t="shared" si="661"/>
        <v/>
      </c>
      <c r="FR60" s="30" t="str">
        <f t="shared" si="662"/>
        <v/>
      </c>
      <c r="FS60" s="30" t="str">
        <f t="shared" si="663"/>
        <v/>
      </c>
    </row>
    <row r="61" spans="1:175" s="24" customFormat="1" ht="16.5">
      <c r="A61" s="5"/>
      <c r="B61" s="36" t="s">
        <v>170</v>
      </c>
      <c r="C61" s="5" t="s">
        <v>772</v>
      </c>
      <c r="D61" s="31"/>
      <c r="E61" s="39"/>
      <c r="F61" s="40">
        <v>20400</v>
      </c>
      <c r="G61" s="38"/>
      <c r="H61" s="38"/>
      <c r="I61" s="38" t="str">
        <f t="shared" si="446"/>
        <v>E210</v>
      </c>
      <c r="J61" s="38"/>
      <c r="K61" s="38"/>
      <c r="L61" s="38"/>
      <c r="M61" s="38"/>
      <c r="N61" s="38"/>
      <c r="O61" s="38"/>
      <c r="P61" s="42"/>
      <c r="Q61" s="42"/>
      <c r="R61" s="42"/>
      <c r="S61" s="42"/>
      <c r="T61" s="101"/>
      <c r="U61" s="32" t="str">
        <f t="shared" si="592"/>
        <v>ReplaceableTextures\\CommandButtons\\BTNE209.blp</v>
      </c>
      <c r="V61" s="43"/>
      <c r="W61" s="43"/>
      <c r="X61" s="43">
        <v>13</v>
      </c>
      <c r="Y61" s="43"/>
      <c r="Z61" s="43">
        <v>21200</v>
      </c>
      <c r="AA61" s="43"/>
      <c r="AB61" s="43"/>
      <c r="AC61" s="43"/>
      <c r="AD61" s="43"/>
      <c r="AE61" s="43"/>
      <c r="AF61" s="43"/>
      <c r="AG61" s="43"/>
      <c r="AH61" s="43"/>
      <c r="AI61" s="43"/>
      <c r="AJ61" s="43"/>
      <c r="AK61" s="43"/>
      <c r="AL61" s="43"/>
      <c r="AM61" s="43">
        <v>3</v>
      </c>
      <c r="AN61" s="43"/>
      <c r="AO61" s="43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3"/>
      <c r="BA61" s="43"/>
      <c r="BB61" s="43"/>
      <c r="BC61" s="43"/>
      <c r="BD61" s="43"/>
      <c r="BE61" s="43"/>
      <c r="BF61" s="43"/>
      <c r="BG61" s="43"/>
      <c r="BH61" s="43"/>
      <c r="BI61" s="43"/>
      <c r="BJ61" s="43"/>
      <c r="BK61" s="43"/>
      <c r="BL61" s="43"/>
      <c r="BM61" s="43"/>
      <c r="BN61" s="43"/>
      <c r="BO61" s="43"/>
      <c r="BP61" s="43"/>
      <c r="BQ61" s="43"/>
      <c r="BR61" s="43"/>
      <c r="BS61" s="43"/>
      <c r="BT61" s="43"/>
      <c r="BU61" s="43"/>
      <c r="BV61" s="43"/>
      <c r="BW61" s="43"/>
      <c r="BX61" s="43"/>
      <c r="BY61" s="43"/>
      <c r="BZ61" s="43"/>
      <c r="CA61" s="43"/>
      <c r="CB61" s="43"/>
      <c r="CC61" s="43"/>
      <c r="CD61" s="43"/>
      <c r="CE61" s="43"/>
      <c r="CF61" s="43"/>
      <c r="CG61" s="43"/>
      <c r="CH61" s="43"/>
      <c r="CI61" s="43"/>
      <c r="CJ61" s="43"/>
      <c r="CK61" s="43"/>
      <c r="CL61" s="43"/>
      <c r="CM61" s="43"/>
      <c r="CN61" s="44" t="str">
        <f t="shared" si="297"/>
        <v>InitUnitState('E209',,,13,,21200,,,,,)</v>
      </c>
      <c r="CO61" s="44" t="str">
        <f t="shared" si="298"/>
        <v>InitUnitNormal('E209',,,,,,,,3,,)</v>
      </c>
      <c r="CP61" s="44" t="str">
        <f t="shared" si="299"/>
        <v>InitUnitMagic('E209',,,,,,,,,,)</v>
      </c>
      <c r="CQ61" s="44" t="str">
        <f t="shared" si="300"/>
        <v>InitUnitAdd('E209',,,,,,,,,,)</v>
      </c>
      <c r="CR61" s="44" t="str">
        <f t="shared" si="447"/>
        <v>InitEquipData('E209',,"",,E210,20400,,'','','','','','',"ReplaceableTextures\\CommandButtons\\BTNE218.blp")</v>
      </c>
      <c r="CS61" s="44"/>
      <c r="CT61" s="44"/>
      <c r="CU61" s="45" t="str">
        <f t="shared" si="593"/>
        <v>|n护甲+13|n生命值+21200|n伤害减免+3%|n</v>
      </c>
      <c r="CV61" s="29" t="str">
        <f>"|cffffcc00属性：|r"&amp;CU61&amp;VLOOKUP(A61,合成公式!A:P,16,FALSE)&amp;T61</f>
        <v>|cffffcc00属性：|r|n护甲+13|n生命值+21200|n伤害减免+3%|n</v>
      </c>
      <c r="DB61" s="30" t="str">
        <f t="shared" si="594"/>
        <v/>
      </c>
      <c r="DC61" s="30" t="str">
        <f t="shared" si="595"/>
        <v/>
      </c>
      <c r="DD61" s="30" t="str">
        <f t="shared" si="596"/>
        <v>|n护甲+13</v>
      </c>
      <c r="DE61" s="30" t="str">
        <f t="shared" si="597"/>
        <v/>
      </c>
      <c r="DF61" s="30" t="str">
        <f t="shared" si="598"/>
        <v>|n生命值+21200</v>
      </c>
      <c r="DG61" s="30" t="str">
        <f t="shared" si="599"/>
        <v/>
      </c>
      <c r="DH61" s="30" t="str">
        <f t="shared" si="600"/>
        <v/>
      </c>
      <c r="DI61" s="30" t="str">
        <f t="shared" si="601"/>
        <v/>
      </c>
      <c r="DJ61" s="30" t="str">
        <f t="shared" si="602"/>
        <v/>
      </c>
      <c r="DK61" s="30" t="str">
        <f t="shared" si="603"/>
        <v/>
      </c>
      <c r="DL61" s="30" t="str">
        <f t="shared" si="604"/>
        <v/>
      </c>
      <c r="DM61" s="30" t="str">
        <f t="shared" si="605"/>
        <v/>
      </c>
      <c r="DN61" s="30" t="str">
        <f t="shared" si="606"/>
        <v/>
      </c>
      <c r="DO61" s="30" t="str">
        <f t="shared" si="607"/>
        <v/>
      </c>
      <c r="DP61" s="30" t="str">
        <f t="shared" si="608"/>
        <v/>
      </c>
      <c r="DQ61" s="30" t="str">
        <f t="shared" si="609"/>
        <v/>
      </c>
      <c r="DR61" s="30" t="str">
        <f t="shared" si="610"/>
        <v/>
      </c>
      <c r="DS61" s="30" t="str">
        <f t="shared" si="611"/>
        <v>|n伤害减免+3%</v>
      </c>
      <c r="DT61" s="30" t="str">
        <f t="shared" si="612"/>
        <v/>
      </c>
      <c r="DU61" s="30" t="str">
        <f t="shared" si="613"/>
        <v/>
      </c>
      <c r="DV61" s="30" t="str">
        <f t="shared" si="614"/>
        <v/>
      </c>
      <c r="DW61" s="30" t="str">
        <f t="shared" si="615"/>
        <v/>
      </c>
      <c r="DX61" s="30" t="str">
        <f t="shared" si="616"/>
        <v/>
      </c>
      <c r="DY61" s="30" t="str">
        <f t="shared" si="617"/>
        <v/>
      </c>
      <c r="DZ61" s="30" t="str">
        <f t="shared" si="618"/>
        <v/>
      </c>
      <c r="EA61" s="30" t="str">
        <f t="shared" si="619"/>
        <v/>
      </c>
      <c r="EB61" s="30" t="str">
        <f t="shared" si="620"/>
        <v/>
      </c>
      <c r="EC61" s="30" t="str">
        <f t="shared" si="621"/>
        <v/>
      </c>
      <c r="ED61" s="30" t="str">
        <f t="shared" si="622"/>
        <v/>
      </c>
      <c r="EE61" s="30" t="str">
        <f t="shared" si="623"/>
        <v/>
      </c>
      <c r="EF61" s="30" t="str">
        <f t="shared" si="624"/>
        <v/>
      </c>
      <c r="EG61" s="30" t="str">
        <f t="shared" si="625"/>
        <v/>
      </c>
      <c r="EH61" s="30" t="str">
        <f t="shared" si="626"/>
        <v/>
      </c>
      <c r="EI61" s="30" t="str">
        <f t="shared" si="627"/>
        <v/>
      </c>
      <c r="EJ61" s="30" t="str">
        <f t="shared" si="628"/>
        <v/>
      </c>
      <c r="EK61" s="30" t="str">
        <f t="shared" si="629"/>
        <v/>
      </c>
      <c r="EL61" s="30" t="str">
        <f t="shared" si="630"/>
        <v/>
      </c>
      <c r="EM61" s="30" t="str">
        <f t="shared" si="631"/>
        <v/>
      </c>
      <c r="EN61" s="30" t="str">
        <f t="shared" si="632"/>
        <v/>
      </c>
      <c r="EO61" s="30" t="str">
        <f t="shared" si="633"/>
        <v/>
      </c>
      <c r="EP61" s="30" t="str">
        <f t="shared" si="634"/>
        <v/>
      </c>
      <c r="EQ61" s="30" t="str">
        <f t="shared" si="635"/>
        <v/>
      </c>
      <c r="ER61" s="30" t="str">
        <f t="shared" si="636"/>
        <v/>
      </c>
      <c r="ES61" s="30" t="str">
        <f t="shared" si="637"/>
        <v/>
      </c>
      <c r="ET61" s="30" t="str">
        <f t="shared" si="638"/>
        <v/>
      </c>
      <c r="EU61" s="30" t="str">
        <f t="shared" si="639"/>
        <v/>
      </c>
      <c r="EV61" s="30" t="str">
        <f t="shared" si="640"/>
        <v/>
      </c>
      <c r="EW61" s="30" t="str">
        <f t="shared" si="641"/>
        <v/>
      </c>
      <c r="EX61" s="30" t="str">
        <f t="shared" si="642"/>
        <v/>
      </c>
      <c r="EY61" s="30" t="str">
        <f t="shared" si="643"/>
        <v/>
      </c>
      <c r="EZ61" s="30" t="str">
        <f t="shared" si="644"/>
        <v/>
      </c>
      <c r="FA61" s="30" t="str">
        <f t="shared" si="645"/>
        <v/>
      </c>
      <c r="FB61" s="30" t="str">
        <f t="shared" si="646"/>
        <v/>
      </c>
      <c r="FC61" s="30" t="str">
        <f t="shared" si="647"/>
        <v/>
      </c>
      <c r="FD61" s="30" t="str">
        <f t="shared" si="648"/>
        <v/>
      </c>
      <c r="FE61" s="30" t="str">
        <f t="shared" si="649"/>
        <v/>
      </c>
      <c r="FF61" s="30" t="str">
        <f t="shared" si="650"/>
        <v/>
      </c>
      <c r="FG61" s="30" t="str">
        <f t="shared" si="651"/>
        <v/>
      </c>
      <c r="FH61" s="30" t="str">
        <f t="shared" si="652"/>
        <v/>
      </c>
      <c r="FI61" s="30" t="str">
        <f t="shared" si="653"/>
        <v/>
      </c>
      <c r="FJ61" s="30" t="str">
        <f t="shared" si="654"/>
        <v/>
      </c>
      <c r="FK61" s="30" t="str">
        <f t="shared" si="655"/>
        <v/>
      </c>
      <c r="FL61" s="30" t="str">
        <f t="shared" si="656"/>
        <v/>
      </c>
      <c r="FM61" s="30" t="str">
        <f t="shared" si="657"/>
        <v/>
      </c>
      <c r="FN61" s="30" t="str">
        <f t="shared" si="658"/>
        <v/>
      </c>
      <c r="FO61" s="30" t="str">
        <f t="shared" si="659"/>
        <v/>
      </c>
      <c r="FP61" s="30" t="str">
        <f t="shared" si="660"/>
        <v/>
      </c>
      <c r="FQ61" s="30" t="str">
        <f t="shared" si="661"/>
        <v/>
      </c>
      <c r="FR61" s="30" t="str">
        <f t="shared" si="662"/>
        <v/>
      </c>
      <c r="FS61" s="30" t="str">
        <f t="shared" si="663"/>
        <v/>
      </c>
    </row>
    <row r="62" spans="1:175" s="24" customFormat="1" ht="16.5">
      <c r="A62" s="5"/>
      <c r="B62" s="36" t="s">
        <v>171</v>
      </c>
      <c r="C62" s="5" t="s">
        <v>773</v>
      </c>
      <c r="D62" s="31"/>
      <c r="E62" s="39"/>
      <c r="F62" s="40">
        <v>21000</v>
      </c>
      <c r="G62" s="38"/>
      <c r="H62" s="121" t="s">
        <v>937</v>
      </c>
      <c r="I62" s="38" t="str">
        <f t="shared" si="446"/>
        <v>E211</v>
      </c>
      <c r="J62" s="38"/>
      <c r="K62" s="38"/>
      <c r="L62" s="38"/>
      <c r="M62" s="38"/>
      <c r="N62" s="38"/>
      <c r="O62" s="38"/>
      <c r="P62" s="42"/>
      <c r="Q62" s="42"/>
      <c r="R62" s="42"/>
      <c r="S62" s="42"/>
      <c r="T62" s="101"/>
      <c r="U62" s="32" t="str">
        <f t="shared" si="592"/>
        <v>ReplaceableTextures\\CommandButtons\\BTNE210.blp</v>
      </c>
      <c r="V62" s="43"/>
      <c r="W62" s="43"/>
      <c r="X62" s="43">
        <v>15</v>
      </c>
      <c r="Y62" s="43"/>
      <c r="Z62" s="43">
        <v>24000</v>
      </c>
      <c r="AA62" s="43"/>
      <c r="AB62" s="43"/>
      <c r="AC62" s="43"/>
      <c r="AD62" s="43"/>
      <c r="AE62" s="43"/>
      <c r="AF62" s="43"/>
      <c r="AG62" s="43"/>
      <c r="AH62" s="43"/>
      <c r="AI62" s="43"/>
      <c r="AJ62" s="43"/>
      <c r="AK62" s="43"/>
      <c r="AL62" s="43"/>
      <c r="AM62" s="43">
        <v>3</v>
      </c>
      <c r="AN62" s="43"/>
      <c r="AO62" s="43"/>
      <c r="AP62" s="43"/>
      <c r="AQ62" s="43"/>
      <c r="AR62" s="43"/>
      <c r="AS62" s="43"/>
      <c r="AT62" s="43"/>
      <c r="AU62" s="43"/>
      <c r="AV62" s="43"/>
      <c r="AW62" s="43"/>
      <c r="AX62" s="43"/>
      <c r="AY62" s="43"/>
      <c r="AZ62" s="43"/>
      <c r="BA62" s="43"/>
      <c r="BB62" s="43"/>
      <c r="BC62" s="43"/>
      <c r="BD62" s="43"/>
      <c r="BE62" s="43"/>
      <c r="BF62" s="43"/>
      <c r="BG62" s="43"/>
      <c r="BH62" s="43"/>
      <c r="BI62" s="43"/>
      <c r="BJ62" s="43"/>
      <c r="BK62" s="43"/>
      <c r="BL62" s="43"/>
      <c r="BM62" s="43"/>
      <c r="BN62" s="43"/>
      <c r="BO62" s="43"/>
      <c r="BP62" s="43"/>
      <c r="BQ62" s="43"/>
      <c r="BR62" s="43"/>
      <c r="BS62" s="43"/>
      <c r="BT62" s="43"/>
      <c r="BU62" s="43"/>
      <c r="BV62" s="43"/>
      <c r="BW62" s="43"/>
      <c r="BX62" s="43"/>
      <c r="BY62" s="43"/>
      <c r="BZ62" s="43"/>
      <c r="CA62" s="43"/>
      <c r="CB62" s="43"/>
      <c r="CC62" s="43"/>
      <c r="CD62" s="43"/>
      <c r="CE62" s="43"/>
      <c r="CF62" s="43"/>
      <c r="CG62" s="43"/>
      <c r="CH62" s="43"/>
      <c r="CI62" s="43"/>
      <c r="CJ62" s="43"/>
      <c r="CK62" s="43"/>
      <c r="CL62" s="43"/>
      <c r="CM62" s="43"/>
      <c r="CN62" s="44" t="str">
        <f t="shared" si="297"/>
        <v>InitUnitState('E210',,,15,,24000,,,,,)</v>
      </c>
      <c r="CO62" s="44" t="str">
        <f t="shared" si="298"/>
        <v>InitUnitNormal('E210',,,,,,,,3,,)</v>
      </c>
      <c r="CP62" s="44" t="str">
        <f t="shared" si="299"/>
        <v>InitUnitMagic('E210',,,,,,,,,,)</v>
      </c>
      <c r="CQ62" s="44" t="str">
        <f t="shared" si="300"/>
        <v>InitUnitAdd('E210',,,,,,,,,,)</v>
      </c>
      <c r="CR62" s="44" t="str">
        <f t="shared" si="447"/>
        <v>InitEquipData('E210',,"",,E211,21000,,'','','','','','',"ReplaceableTextures\\CommandButtons\\BTNE219.blp")</v>
      </c>
      <c r="CS62" s="44"/>
      <c r="CT62" s="44"/>
      <c r="CU62" s="45" t="str">
        <f t="shared" si="593"/>
        <v>|n护甲+15|n生命值+24000|n伤害减免+3%|n</v>
      </c>
      <c r="CV62" s="29" t="str">
        <f>"|cffffcc00属性：|r"&amp;CU62&amp;VLOOKUP(A62,合成公式!A:P,16,FALSE)&amp;T62</f>
        <v>|cffffcc00属性：|r|n护甲+15|n生命值+24000|n伤害减免+3%|n</v>
      </c>
      <c r="DB62" s="30" t="str">
        <f t="shared" si="594"/>
        <v/>
      </c>
      <c r="DC62" s="30" t="str">
        <f t="shared" si="595"/>
        <v/>
      </c>
      <c r="DD62" s="30" t="str">
        <f t="shared" si="596"/>
        <v>|n护甲+15</v>
      </c>
      <c r="DE62" s="30" t="str">
        <f t="shared" si="597"/>
        <v/>
      </c>
      <c r="DF62" s="30" t="str">
        <f t="shared" si="598"/>
        <v>|n生命值+24000</v>
      </c>
      <c r="DG62" s="30" t="str">
        <f t="shared" si="599"/>
        <v/>
      </c>
      <c r="DH62" s="30" t="str">
        <f t="shared" si="600"/>
        <v/>
      </c>
      <c r="DI62" s="30" t="str">
        <f t="shared" si="601"/>
        <v/>
      </c>
      <c r="DJ62" s="30" t="str">
        <f t="shared" si="602"/>
        <v/>
      </c>
      <c r="DK62" s="30" t="str">
        <f t="shared" si="603"/>
        <v/>
      </c>
      <c r="DL62" s="30" t="str">
        <f t="shared" si="604"/>
        <v/>
      </c>
      <c r="DM62" s="30" t="str">
        <f t="shared" si="605"/>
        <v/>
      </c>
      <c r="DN62" s="30" t="str">
        <f t="shared" si="606"/>
        <v/>
      </c>
      <c r="DO62" s="30" t="str">
        <f t="shared" si="607"/>
        <v/>
      </c>
      <c r="DP62" s="30" t="str">
        <f t="shared" si="608"/>
        <v/>
      </c>
      <c r="DQ62" s="30" t="str">
        <f t="shared" si="609"/>
        <v/>
      </c>
      <c r="DR62" s="30" t="str">
        <f t="shared" si="610"/>
        <v/>
      </c>
      <c r="DS62" s="30" t="str">
        <f t="shared" si="611"/>
        <v>|n伤害减免+3%</v>
      </c>
      <c r="DT62" s="30" t="str">
        <f t="shared" si="612"/>
        <v/>
      </c>
      <c r="DU62" s="30" t="str">
        <f t="shared" si="613"/>
        <v/>
      </c>
      <c r="DV62" s="30" t="str">
        <f t="shared" si="614"/>
        <v/>
      </c>
      <c r="DW62" s="30" t="str">
        <f t="shared" si="615"/>
        <v/>
      </c>
      <c r="DX62" s="30" t="str">
        <f t="shared" si="616"/>
        <v/>
      </c>
      <c r="DY62" s="30" t="str">
        <f t="shared" si="617"/>
        <v/>
      </c>
      <c r="DZ62" s="30" t="str">
        <f t="shared" si="618"/>
        <v/>
      </c>
      <c r="EA62" s="30" t="str">
        <f t="shared" si="619"/>
        <v/>
      </c>
      <c r="EB62" s="30" t="str">
        <f t="shared" si="620"/>
        <v/>
      </c>
      <c r="EC62" s="30" t="str">
        <f t="shared" si="621"/>
        <v/>
      </c>
      <c r="ED62" s="30" t="str">
        <f t="shared" si="622"/>
        <v/>
      </c>
      <c r="EE62" s="30" t="str">
        <f t="shared" si="623"/>
        <v/>
      </c>
      <c r="EF62" s="30" t="str">
        <f t="shared" si="624"/>
        <v/>
      </c>
      <c r="EG62" s="30" t="str">
        <f t="shared" si="625"/>
        <v/>
      </c>
      <c r="EH62" s="30" t="str">
        <f t="shared" si="626"/>
        <v/>
      </c>
      <c r="EI62" s="30" t="str">
        <f t="shared" si="627"/>
        <v/>
      </c>
      <c r="EJ62" s="30" t="str">
        <f t="shared" si="628"/>
        <v/>
      </c>
      <c r="EK62" s="30" t="str">
        <f t="shared" si="629"/>
        <v/>
      </c>
      <c r="EL62" s="30" t="str">
        <f t="shared" si="630"/>
        <v/>
      </c>
      <c r="EM62" s="30" t="str">
        <f t="shared" si="631"/>
        <v/>
      </c>
      <c r="EN62" s="30" t="str">
        <f t="shared" si="632"/>
        <v/>
      </c>
      <c r="EO62" s="30" t="str">
        <f t="shared" si="633"/>
        <v/>
      </c>
      <c r="EP62" s="30" t="str">
        <f t="shared" si="634"/>
        <v/>
      </c>
      <c r="EQ62" s="30" t="str">
        <f t="shared" si="635"/>
        <v/>
      </c>
      <c r="ER62" s="30" t="str">
        <f t="shared" si="636"/>
        <v/>
      </c>
      <c r="ES62" s="30" t="str">
        <f t="shared" si="637"/>
        <v/>
      </c>
      <c r="ET62" s="30" t="str">
        <f t="shared" si="638"/>
        <v/>
      </c>
      <c r="EU62" s="30" t="str">
        <f t="shared" si="639"/>
        <v/>
      </c>
      <c r="EV62" s="30" t="str">
        <f t="shared" si="640"/>
        <v/>
      </c>
      <c r="EW62" s="30" t="str">
        <f t="shared" si="641"/>
        <v/>
      </c>
      <c r="EX62" s="30" t="str">
        <f t="shared" si="642"/>
        <v/>
      </c>
      <c r="EY62" s="30" t="str">
        <f t="shared" si="643"/>
        <v/>
      </c>
      <c r="EZ62" s="30" t="str">
        <f t="shared" si="644"/>
        <v/>
      </c>
      <c r="FA62" s="30" t="str">
        <f t="shared" si="645"/>
        <v/>
      </c>
      <c r="FB62" s="30" t="str">
        <f t="shared" si="646"/>
        <v/>
      </c>
      <c r="FC62" s="30" t="str">
        <f t="shared" si="647"/>
        <v/>
      </c>
      <c r="FD62" s="30" t="str">
        <f t="shared" si="648"/>
        <v/>
      </c>
      <c r="FE62" s="30" t="str">
        <f t="shared" si="649"/>
        <v/>
      </c>
      <c r="FF62" s="30" t="str">
        <f t="shared" si="650"/>
        <v/>
      </c>
      <c r="FG62" s="30" t="str">
        <f t="shared" si="651"/>
        <v/>
      </c>
      <c r="FH62" s="30" t="str">
        <f t="shared" si="652"/>
        <v/>
      </c>
      <c r="FI62" s="30" t="str">
        <f t="shared" si="653"/>
        <v/>
      </c>
      <c r="FJ62" s="30" t="str">
        <f t="shared" si="654"/>
        <v/>
      </c>
      <c r="FK62" s="30" t="str">
        <f t="shared" si="655"/>
        <v/>
      </c>
      <c r="FL62" s="30" t="str">
        <f t="shared" si="656"/>
        <v/>
      </c>
      <c r="FM62" s="30" t="str">
        <f t="shared" si="657"/>
        <v/>
      </c>
      <c r="FN62" s="30" t="str">
        <f t="shared" si="658"/>
        <v/>
      </c>
      <c r="FO62" s="30" t="str">
        <f t="shared" si="659"/>
        <v/>
      </c>
      <c r="FP62" s="30" t="str">
        <f t="shared" si="660"/>
        <v/>
      </c>
      <c r="FQ62" s="30" t="str">
        <f t="shared" si="661"/>
        <v/>
      </c>
      <c r="FR62" s="30" t="str">
        <f t="shared" si="662"/>
        <v/>
      </c>
      <c r="FS62" s="30" t="str">
        <f t="shared" si="663"/>
        <v/>
      </c>
    </row>
    <row r="63" spans="1:175" s="24" customFormat="1" ht="16.5">
      <c r="A63" s="5"/>
      <c r="B63" s="36" t="s">
        <v>172</v>
      </c>
      <c r="C63" s="5" t="s">
        <v>774</v>
      </c>
      <c r="D63" s="31"/>
      <c r="E63" s="39"/>
      <c r="F63" s="40">
        <v>21800</v>
      </c>
      <c r="G63" s="38"/>
      <c r="H63" s="38"/>
      <c r="I63" s="38" t="str">
        <f t="shared" si="446"/>
        <v>E212</v>
      </c>
      <c r="J63" s="38"/>
      <c r="K63" s="38"/>
      <c r="L63" s="38"/>
      <c r="M63" s="38"/>
      <c r="N63" s="38"/>
      <c r="O63" s="38"/>
      <c r="P63" s="50"/>
      <c r="Q63" s="50"/>
      <c r="R63" s="50"/>
      <c r="S63" s="52"/>
      <c r="T63" s="102"/>
      <c r="U63" s="32" t="str">
        <f t="shared" si="374"/>
        <v>ReplaceableTextures\\CommandButtons\\BTNE211.blp</v>
      </c>
      <c r="V63" s="43"/>
      <c r="W63" s="43"/>
      <c r="X63" s="43">
        <v>18</v>
      </c>
      <c r="Y63" s="43"/>
      <c r="Z63" s="43">
        <v>28400</v>
      </c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>
        <v>6</v>
      </c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  <c r="BY63" s="43"/>
      <c r="BZ63" s="43"/>
      <c r="CA63" s="43"/>
      <c r="CB63" s="43"/>
      <c r="CC63" s="43"/>
      <c r="CD63" s="43"/>
      <c r="CE63" s="43"/>
      <c r="CF63" s="43"/>
      <c r="CG63" s="43"/>
      <c r="CH63" s="43"/>
      <c r="CI63" s="43"/>
      <c r="CJ63" s="43"/>
      <c r="CK63" s="43"/>
      <c r="CL63" s="43"/>
      <c r="CM63" s="43"/>
      <c r="CN63" s="44" t="str">
        <f t="shared" si="297"/>
        <v>InitUnitState('E211',,,18,,28400,,,,,)</v>
      </c>
      <c r="CO63" s="44" t="str">
        <f t="shared" si="298"/>
        <v>InitUnitNormal('E211',,,,,,,,6,,)</v>
      </c>
      <c r="CP63" s="44" t="str">
        <f t="shared" si="299"/>
        <v>InitUnitMagic('E211',,,,,,,,,,)</v>
      </c>
      <c r="CQ63" s="44" t="str">
        <f t="shared" si="300"/>
        <v>InitUnitAdd('E211',,,,,,,,,,)</v>
      </c>
      <c r="CR63" s="44" t="str">
        <f t="shared" ref="CR63:CR76" si="664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InitEquipData('E211',,"",,E212,21800,,'','','','','','',"ReplaceableTextures\\CommandButtons\\BTNE212.blp")</v>
      </c>
      <c r="CS63" s="44"/>
      <c r="CT63" s="44"/>
      <c r="CU63" s="45" t="str">
        <f t="shared" ref="CU63:CU87" si="665">CONCATENATE(DB63,DC63,DD63,DE63,DF63,DG63,DH63,DI63,DJ63,DK63,DL63,DM63,DN63,DO63,DP63,DQ63,DR63,DS63,DT63,DU63,DV63,DW63,DX63,DY63,DZ63,EA63,EB63,EC63,ED63,EE63,EF63,EG63,EH63,EI63,EJ63,EK63,EL63,EM63,EN63,EO63,EP63&amp;"|n")</f>
        <v>|n护甲+18|n生命值+28400|n伤害减免+6%|n</v>
      </c>
      <c r="CV63" s="29" t="str">
        <f>"|cffffcc00属性：|r"&amp;CU63&amp;VLOOKUP(A63,合成公式!A:P,16,FALSE)&amp;T63</f>
        <v>|cffffcc00属性：|r|n护甲+18|n生命值+28400|n伤害减免+6%|n</v>
      </c>
      <c r="DB63" s="30" t="str">
        <f t="shared" ref="DB63:DB87" si="666">IF(V63="","","|n"&amp;DB$2&amp;"+"&amp;V63&amp;DB$1)</f>
        <v/>
      </c>
      <c r="DC63" s="30" t="str">
        <f t="shared" ref="DC63:DC87" si="667">IF(W63="","","|n"&amp;DC$2&amp;"+"&amp;W63&amp;DC$1)</f>
        <v/>
      </c>
      <c r="DD63" s="30" t="str">
        <f t="shared" ref="DD63:DD87" si="668">IF(X63="","","|n"&amp;DD$2&amp;"+"&amp;X63&amp;DD$1)</f>
        <v>|n护甲+18</v>
      </c>
      <c r="DE63" s="30" t="str">
        <f t="shared" ref="DE63:DE87" si="669">IF(Y63="","","|n"&amp;DE$2&amp;"+"&amp;Y63&amp;DE$1)</f>
        <v/>
      </c>
      <c r="DF63" s="30" t="str">
        <f t="shared" ref="DF63:DF87" si="670">IF(Z63="","","|n"&amp;DF$2&amp;"+"&amp;Z63&amp;DF$1)</f>
        <v>|n生命值+28400</v>
      </c>
      <c r="DG63" s="30" t="str">
        <f t="shared" ref="DG63:DG87" si="671">IF(AA63="","","|n"&amp;DG$2&amp;"+"&amp;AA63&amp;DG$1)</f>
        <v/>
      </c>
      <c r="DH63" s="30" t="str">
        <f t="shared" ref="DH63:DH87" si="672">IF(AB63="","","|n"&amp;DH$2&amp;"+"&amp;AB63&amp;DH$1)</f>
        <v/>
      </c>
      <c r="DI63" s="30" t="str">
        <f t="shared" ref="DI63:DI87" si="673">IF(AC63="","","|n"&amp;DI$2&amp;"+"&amp;AC63&amp;DI$1)</f>
        <v/>
      </c>
      <c r="DJ63" s="30" t="str">
        <f t="shared" ref="DJ63:DJ87" si="674">IF(AD63="","","|n"&amp;DJ$2&amp;"+"&amp;AD63&amp;DJ$1)</f>
        <v/>
      </c>
      <c r="DK63" s="30" t="str">
        <f t="shared" ref="DK63:DK87" si="675">IF(AE63="","","|n"&amp;DK$2&amp;"+"&amp;AE63&amp;DK$1)</f>
        <v/>
      </c>
      <c r="DL63" s="30" t="str">
        <f t="shared" ref="DL63:DL87" si="676">IF(AF63="","","|n"&amp;DL$2&amp;"+"&amp;AF63&amp;DL$1)</f>
        <v/>
      </c>
      <c r="DM63" s="30" t="str">
        <f t="shared" ref="DM63:DM87" si="677">IF(AG63="","","|n"&amp;DM$2&amp;"+"&amp;AG63&amp;DM$1)</f>
        <v/>
      </c>
      <c r="DN63" s="30" t="str">
        <f t="shared" ref="DN63:DN87" si="678">IF(AH63="","","|n"&amp;DN$2&amp;"+"&amp;AH63&amp;DN$1)</f>
        <v/>
      </c>
      <c r="DO63" s="30" t="str">
        <f t="shared" ref="DO63:DO87" si="679">IF(AI63="","","|n"&amp;DO$2&amp;"+"&amp;AI63&amp;DO$1)</f>
        <v/>
      </c>
      <c r="DP63" s="30" t="str">
        <f t="shared" ref="DP63:DP87" si="680">IF(AJ63="","","|n"&amp;DP$2&amp;"+"&amp;AJ63&amp;DP$1)</f>
        <v/>
      </c>
      <c r="DQ63" s="30" t="str">
        <f t="shared" ref="DQ63:DQ87" si="681">IF(AK63="","","|n"&amp;DQ$2&amp;"+"&amp;AK63&amp;DQ$1)</f>
        <v/>
      </c>
      <c r="DR63" s="30" t="str">
        <f t="shared" ref="DR63:DR87" si="682">IF(AL63="","","|n"&amp;DR$2&amp;"+"&amp;AL63&amp;DR$1)</f>
        <v/>
      </c>
      <c r="DS63" s="30" t="str">
        <f t="shared" ref="DS63:DS87" si="683">IF(AM63="","","|n"&amp;DS$2&amp;"+"&amp;AM63&amp;DS$1)</f>
        <v>|n伤害减免+6%</v>
      </c>
      <c r="DT63" s="30" t="str">
        <f t="shared" ref="DT63:DT87" si="684">IF(AN63="","","|n"&amp;DT$2&amp;"+"&amp;AN63&amp;DT$1)</f>
        <v/>
      </c>
      <c r="DU63" s="30" t="str">
        <f t="shared" ref="DU63:DU87" si="685">IF(AO63="","","|n"&amp;DU$2&amp;"+"&amp;AO63&amp;DU$1)</f>
        <v/>
      </c>
      <c r="DV63" s="30" t="str">
        <f t="shared" ref="DV63:DV87" si="686">IF(AP63="","","|n"&amp;DV$2&amp;"+"&amp;AP63&amp;DV$1)</f>
        <v/>
      </c>
      <c r="DW63" s="30" t="str">
        <f t="shared" ref="DW63:DW87" si="687">IF(AQ63="","","|n"&amp;DW$2&amp;"+"&amp;AQ63&amp;DW$1)</f>
        <v/>
      </c>
      <c r="DX63" s="30" t="str">
        <f t="shared" ref="DX63:DX87" si="688">IF(AR63="","","|n"&amp;DX$2&amp;"+"&amp;AR63&amp;DX$1)</f>
        <v/>
      </c>
      <c r="DY63" s="30" t="str">
        <f t="shared" ref="DY63:DY87" si="689">IF(AS63="","","|n"&amp;DY$2&amp;"+"&amp;AS63&amp;DY$1)</f>
        <v/>
      </c>
      <c r="DZ63" s="30" t="str">
        <f t="shared" ref="DZ63:DZ87" si="690">IF(AT63="","","|n"&amp;DZ$2&amp;"+"&amp;AT63&amp;DZ$1)</f>
        <v/>
      </c>
      <c r="EA63" s="30" t="str">
        <f t="shared" ref="EA63:EA87" si="691">IF(AU63="","","|n"&amp;EA$2&amp;"+"&amp;AU63&amp;EA$1)</f>
        <v/>
      </c>
      <c r="EB63" s="30" t="str">
        <f t="shared" ref="EB63:EB87" si="692">IF(AV63="","","|n"&amp;EB$2&amp;"+"&amp;AV63&amp;EB$1)</f>
        <v/>
      </c>
      <c r="EC63" s="30" t="str">
        <f t="shared" ref="EC63:EC87" si="693">IF(AW63="","","|n"&amp;EC$2&amp;"+"&amp;AW63&amp;EC$1)</f>
        <v/>
      </c>
      <c r="ED63" s="30" t="str">
        <f t="shared" ref="ED63:ED87" si="694">IF(AX63="","","|n"&amp;ED$2&amp;"+"&amp;AX63&amp;ED$1)</f>
        <v/>
      </c>
      <c r="EE63" s="30" t="str">
        <f t="shared" ref="EE63:EE87" si="695">IF(AY63="","","|n"&amp;EE$2&amp;"+"&amp;AY63&amp;EE$1)</f>
        <v/>
      </c>
      <c r="EF63" s="30" t="str">
        <f t="shared" ref="EF63:EF87" si="696">IF(AZ63="","","|n"&amp;EF$2&amp;"+"&amp;AZ63&amp;EF$1)</f>
        <v/>
      </c>
      <c r="EG63" s="30" t="str">
        <f t="shared" ref="EG63:EG87" si="697">IF(BA63="","","|n"&amp;EG$2&amp;"+"&amp;BA63&amp;EG$1)</f>
        <v/>
      </c>
      <c r="EH63" s="30" t="str">
        <f t="shared" ref="EH63:EH87" si="698">IF(BB63="","","|n"&amp;EH$2&amp;"+"&amp;BB63&amp;EH$1)</f>
        <v/>
      </c>
      <c r="EI63" s="30" t="str">
        <f t="shared" ref="EI63:EI87" si="699">IF(BC63="","","|n"&amp;EI$2&amp;"+"&amp;BC63&amp;EI$1)</f>
        <v/>
      </c>
      <c r="EJ63" s="30" t="str">
        <f t="shared" ref="EJ63:EJ87" si="700">IF(BD63="","","|n"&amp;EJ$2&amp;"+"&amp;BD63&amp;EJ$1)</f>
        <v/>
      </c>
      <c r="EK63" s="30" t="str">
        <f t="shared" ref="EK63:EK87" si="701">IF(BE63="","","|n"&amp;EK$2&amp;"+"&amp;BE63&amp;EK$1)</f>
        <v/>
      </c>
      <c r="EL63" s="30" t="str">
        <f t="shared" ref="EL63:EL87" si="702">IF(BF63="","","|n"&amp;EL$2&amp;"+"&amp;BF63&amp;EL$1)</f>
        <v/>
      </c>
      <c r="EM63" s="30" t="str">
        <f t="shared" ref="EM63:EM87" si="703">IF(BG63="","","|n"&amp;EM$2&amp;"+"&amp;BG63&amp;EM$1)</f>
        <v/>
      </c>
      <c r="EN63" s="30" t="str">
        <f t="shared" ref="EN63:EN87" si="704">IF(BH63="","","|n"&amp;EN$2&amp;"+"&amp;BH63&amp;EN$1)</f>
        <v/>
      </c>
      <c r="EO63" s="30" t="str">
        <f t="shared" ref="EO63:EO87" si="705">IF(BI63="","","|n"&amp;EO$2&amp;"+"&amp;BI63&amp;EO$1)</f>
        <v/>
      </c>
      <c r="EP63" s="30" t="str">
        <f t="shared" ref="EP63:EP87" si="706">IF(BJ63="","","|n"&amp;EP$2&amp;"+"&amp;BJ63&amp;EP$1)</f>
        <v/>
      </c>
      <c r="EQ63" s="30" t="str">
        <f t="shared" ref="EQ63:EQ87" si="707">IF(BK63="","","|n"&amp;EQ$2&amp;"+"&amp;BK63&amp;EQ$1)</f>
        <v/>
      </c>
      <c r="ER63" s="30" t="str">
        <f t="shared" ref="ER63:ER87" si="708">IF(BL63="","","|n"&amp;ER$2&amp;"+"&amp;BL63&amp;ER$1)</f>
        <v/>
      </c>
      <c r="ES63" s="30" t="str">
        <f t="shared" ref="ES63:ES87" si="709">IF(BM63="","","|n"&amp;ES$2&amp;"+"&amp;BM63&amp;ES$1)</f>
        <v/>
      </c>
      <c r="ET63" s="30" t="str">
        <f t="shared" ref="ET63:ET87" si="710">IF(BN63="","","|n"&amp;ET$2&amp;"+"&amp;BN63&amp;ET$1)</f>
        <v/>
      </c>
      <c r="EU63" s="30" t="str">
        <f t="shared" ref="EU63:EU87" si="711">IF(BO63="","","|n"&amp;EU$2&amp;"+"&amp;BO63&amp;EU$1)</f>
        <v/>
      </c>
      <c r="EV63" s="30" t="str">
        <f t="shared" ref="EV63:EV87" si="712">IF(BP63="","","|n"&amp;EV$2&amp;"+"&amp;BP63&amp;EV$1)</f>
        <v/>
      </c>
      <c r="EW63" s="30" t="str">
        <f t="shared" ref="EW63:EW87" si="713">IF(BQ63="","","|n"&amp;EW$2&amp;"+"&amp;BQ63&amp;EW$1)</f>
        <v/>
      </c>
      <c r="EX63" s="30" t="str">
        <f t="shared" ref="EX63:EX87" si="714">IF(BR63="","","|n"&amp;EX$2&amp;"+"&amp;BR63&amp;EX$1)</f>
        <v/>
      </c>
      <c r="EY63" s="30" t="str">
        <f t="shared" ref="EY63:EY87" si="715">IF(BS63="","","|n"&amp;EY$2&amp;"+"&amp;BS63&amp;EY$1)</f>
        <v/>
      </c>
      <c r="EZ63" s="30" t="str">
        <f t="shared" ref="EZ63:EZ87" si="716">IF(BT63="","","|n"&amp;EZ$2&amp;"+"&amp;BT63&amp;EZ$1)</f>
        <v/>
      </c>
      <c r="FA63" s="30" t="str">
        <f t="shared" ref="FA63:FA87" si="717">IF(BU63="","","|n"&amp;FA$2&amp;"+"&amp;BU63&amp;FA$1)</f>
        <v/>
      </c>
      <c r="FB63" s="30" t="str">
        <f t="shared" ref="FB63:FB87" si="718">IF(BV63="","","|n"&amp;FB$2&amp;"+"&amp;BV63&amp;FB$1)</f>
        <v/>
      </c>
      <c r="FC63" s="30" t="str">
        <f t="shared" ref="FC63:FC87" si="719">IF(BW63="","","|n"&amp;FC$2&amp;"+"&amp;BW63&amp;FC$1)</f>
        <v/>
      </c>
      <c r="FD63" s="30" t="str">
        <f t="shared" ref="FD63:FD87" si="720">IF(BX63="","","|n"&amp;FD$2&amp;"+"&amp;BX63&amp;FD$1)</f>
        <v/>
      </c>
      <c r="FE63" s="30" t="str">
        <f t="shared" ref="FE63:FE87" si="721">IF(BY63="","","|n"&amp;FE$2&amp;"+"&amp;BY63&amp;FE$1)</f>
        <v/>
      </c>
      <c r="FF63" s="30" t="str">
        <f t="shared" ref="FF63:FF87" si="722">IF(BZ63="","","|n"&amp;FF$2&amp;"+"&amp;BZ63&amp;FF$1)</f>
        <v/>
      </c>
      <c r="FG63" s="30" t="str">
        <f t="shared" ref="FG63:FG87" si="723">IF(CA63="","","|n"&amp;FG$2&amp;"+"&amp;CA63&amp;FG$1)</f>
        <v/>
      </c>
      <c r="FH63" s="30" t="str">
        <f t="shared" ref="FH63:FH87" si="724">IF(CB63="","","|n"&amp;FH$2&amp;"+"&amp;CB63&amp;FH$1)</f>
        <v/>
      </c>
      <c r="FI63" s="30" t="str">
        <f t="shared" ref="FI63:FI87" si="725">IF(CC63="","","|n"&amp;FI$2&amp;"+"&amp;CC63&amp;FI$1)</f>
        <v/>
      </c>
      <c r="FJ63" s="30" t="str">
        <f t="shared" ref="FJ63:FJ87" si="726">IF(CD63="","","|n"&amp;FJ$2&amp;"+"&amp;CD63&amp;FJ$1)</f>
        <v/>
      </c>
      <c r="FK63" s="30" t="str">
        <f t="shared" ref="FK63:FK87" si="727">IF(CE63="","","|n"&amp;FK$2&amp;"+"&amp;CE63&amp;FK$1)</f>
        <v/>
      </c>
      <c r="FL63" s="30" t="str">
        <f t="shared" ref="FL63:FL87" si="728">IF(CF63="","","|n"&amp;FL$2&amp;"+"&amp;CF63&amp;FL$1)</f>
        <v/>
      </c>
      <c r="FM63" s="30" t="str">
        <f t="shared" ref="FM63:FM87" si="729">IF(CG63="","","|n"&amp;FM$2&amp;"+"&amp;CG63&amp;FM$1)</f>
        <v/>
      </c>
      <c r="FN63" s="30" t="str">
        <f t="shared" ref="FN63:FN87" si="730">IF(CH63="","","|n"&amp;FN$2&amp;"+"&amp;CH63&amp;FN$1)</f>
        <v/>
      </c>
      <c r="FO63" s="30" t="str">
        <f t="shared" ref="FO63:FO87" si="731">IF(CI63="","","|n"&amp;FO$2&amp;"+"&amp;CI63&amp;FO$1)</f>
        <v/>
      </c>
      <c r="FP63" s="30" t="str">
        <f t="shared" ref="FP63:FP87" si="732">IF(CJ63="","","|n"&amp;FP$2&amp;"+"&amp;CJ63&amp;FP$1)</f>
        <v/>
      </c>
      <c r="FQ63" s="30" t="str">
        <f t="shared" ref="FQ63:FQ87" si="733">IF(CK63="","","|n"&amp;FQ$2&amp;"+"&amp;CK63&amp;FQ$1)</f>
        <v/>
      </c>
      <c r="FR63" s="30" t="str">
        <f t="shared" ref="FR63:FR87" si="734">IF(CL63="","","|n"&amp;FR$2&amp;"+"&amp;CL63&amp;FR$1)</f>
        <v/>
      </c>
      <c r="FS63" s="30" t="str">
        <f t="shared" ref="FS63:FS87" si="735">IF(CM63="","","|n"&amp;FS$2&amp;"+"&amp;CM63&amp;FS$1)</f>
        <v/>
      </c>
    </row>
    <row r="64" spans="1:175" s="24" customFormat="1" ht="16.5">
      <c r="A64" s="5"/>
      <c r="B64" s="36" t="s">
        <v>173</v>
      </c>
      <c r="C64" s="5" t="s">
        <v>775</v>
      </c>
      <c r="D64" s="31"/>
      <c r="E64" s="39"/>
      <c r="F64" s="40">
        <v>22600</v>
      </c>
      <c r="G64" s="38"/>
      <c r="H64" s="38"/>
      <c r="I64" s="38" t="str">
        <f t="shared" si="446"/>
        <v>E213</v>
      </c>
      <c r="J64" s="38"/>
      <c r="K64" s="38"/>
      <c r="L64" s="38"/>
      <c r="M64" s="38"/>
      <c r="N64" s="38"/>
      <c r="O64" s="38"/>
      <c r="P64" s="50"/>
      <c r="Q64" s="50"/>
      <c r="R64" s="50"/>
      <c r="S64" s="52"/>
      <c r="T64" s="102"/>
      <c r="U64" s="32" t="str">
        <f t="shared" ref="U64:U65" si="736">"ReplaceableTextures\\CommandButtons\\BTN"&amp;B64&amp;".blp"</f>
        <v>ReplaceableTextures\\CommandButtons\\BTNE212.blp</v>
      </c>
      <c r="V64" s="43"/>
      <c r="W64" s="43"/>
      <c r="X64" s="43">
        <v>21</v>
      </c>
      <c r="Y64" s="43"/>
      <c r="Z64" s="43">
        <v>32800</v>
      </c>
      <c r="AA64" s="43"/>
      <c r="AB64" s="43"/>
      <c r="AC64" s="43"/>
      <c r="AD64" s="43"/>
      <c r="AE64" s="43"/>
      <c r="AF64" s="43"/>
      <c r="AG64" s="43"/>
      <c r="AH64" s="43"/>
      <c r="AI64" s="43"/>
      <c r="AJ64" s="43"/>
      <c r="AK64" s="43"/>
      <c r="AL64" s="43"/>
      <c r="AM64" s="43">
        <v>6</v>
      </c>
      <c r="AN64" s="43"/>
      <c r="AO64" s="43"/>
      <c r="AP64" s="43"/>
      <c r="AQ64" s="43"/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43"/>
      <c r="BC64" s="43"/>
      <c r="BD64" s="43"/>
      <c r="BE64" s="43"/>
      <c r="BF64" s="43"/>
      <c r="BG64" s="43"/>
      <c r="BH64" s="43"/>
      <c r="BI64" s="43"/>
      <c r="BJ64" s="43"/>
      <c r="BK64" s="43"/>
      <c r="BL64" s="43"/>
      <c r="BM64" s="43"/>
      <c r="BN64" s="43"/>
      <c r="BO64" s="43"/>
      <c r="BP64" s="43"/>
      <c r="BQ64" s="43"/>
      <c r="BR64" s="43"/>
      <c r="BS64" s="43"/>
      <c r="BT64" s="43"/>
      <c r="BU64" s="43"/>
      <c r="BV64" s="43"/>
      <c r="BW64" s="43"/>
      <c r="BX64" s="43"/>
      <c r="BY64" s="43"/>
      <c r="BZ64" s="43"/>
      <c r="CA64" s="43"/>
      <c r="CB64" s="43"/>
      <c r="CC64" s="43"/>
      <c r="CD64" s="43"/>
      <c r="CE64" s="43"/>
      <c r="CF64" s="43"/>
      <c r="CG64" s="43"/>
      <c r="CH64" s="43"/>
      <c r="CI64" s="43"/>
      <c r="CJ64" s="43"/>
      <c r="CK64" s="43"/>
      <c r="CL64" s="43"/>
      <c r="CM64" s="43"/>
      <c r="CN64" s="44" t="str">
        <f t="shared" si="297"/>
        <v>InitUnitState('E212',,,21,,32800,,,,,)</v>
      </c>
      <c r="CO64" s="44" t="str">
        <f t="shared" si="298"/>
        <v>InitUnitNormal('E212',,,,,,,,6,,)</v>
      </c>
      <c r="CP64" s="44" t="str">
        <f t="shared" si="299"/>
        <v>InitUnitMagic('E212',,,,,,,,,,)</v>
      </c>
      <c r="CQ64" s="44" t="str">
        <f t="shared" si="300"/>
        <v>InitUnitAdd('E212',,,,,,,,,,)</v>
      </c>
      <c r="CR64" s="44" t="str">
        <f t="shared" si="664"/>
        <v>InitEquipData('E212',,"",,E213,22600,,'','','','','','',"ReplaceableTextures\\CommandButtons\\BTNE213.blp")</v>
      </c>
      <c r="CS64" s="44"/>
      <c r="CT64" s="44"/>
      <c r="CU64" s="45" t="str">
        <f t="shared" ref="CU64:CU65" si="737">CONCATENATE(DB64,DC64,DD64,DE64,DF64,DG64,DH64,DI64,DJ64,DK64,DL64,DM64,DN64,DO64,DP64,DQ64,DR64,DS64,DT64,DU64,DV64,DW64,DX64,DY64,DZ64,EA64,EB64,EC64,ED64,EE64,EF64,EG64,EH64,EI64,EJ64,EK64,EL64,EM64,EN64,EO64,EP64&amp;"|n")</f>
        <v>|n护甲+21|n生命值+32800|n伤害减免+6%|n</v>
      </c>
      <c r="CV64" s="29" t="str">
        <f>"|cffffcc00属性：|r"&amp;CU64&amp;VLOOKUP(A64,合成公式!A:P,16,FALSE)&amp;T64</f>
        <v>|cffffcc00属性：|r|n护甲+21|n生命值+32800|n伤害减免+6%|n</v>
      </c>
      <c r="DB64" s="30" t="str">
        <f t="shared" ref="DB64:DB65" si="738">IF(V64="","","|n"&amp;DB$2&amp;"+"&amp;V64&amp;DB$1)</f>
        <v/>
      </c>
      <c r="DC64" s="30" t="str">
        <f t="shared" ref="DC64:DC65" si="739">IF(W64="","","|n"&amp;DC$2&amp;"+"&amp;W64&amp;DC$1)</f>
        <v/>
      </c>
      <c r="DD64" s="30" t="str">
        <f t="shared" ref="DD64:DD65" si="740">IF(X64="","","|n"&amp;DD$2&amp;"+"&amp;X64&amp;DD$1)</f>
        <v>|n护甲+21</v>
      </c>
      <c r="DE64" s="30" t="str">
        <f t="shared" ref="DE64:DE65" si="741">IF(Y64="","","|n"&amp;DE$2&amp;"+"&amp;Y64&amp;DE$1)</f>
        <v/>
      </c>
      <c r="DF64" s="30" t="str">
        <f t="shared" ref="DF64:DF65" si="742">IF(Z64="","","|n"&amp;DF$2&amp;"+"&amp;Z64&amp;DF$1)</f>
        <v>|n生命值+32800</v>
      </c>
      <c r="DG64" s="30" t="str">
        <f t="shared" ref="DG64:DG65" si="743">IF(AA64="","","|n"&amp;DG$2&amp;"+"&amp;AA64&amp;DG$1)</f>
        <v/>
      </c>
      <c r="DH64" s="30" t="str">
        <f t="shared" ref="DH64:DH65" si="744">IF(AB64="","","|n"&amp;DH$2&amp;"+"&amp;AB64&amp;DH$1)</f>
        <v/>
      </c>
      <c r="DI64" s="30" t="str">
        <f t="shared" ref="DI64:DI65" si="745">IF(AC64="","","|n"&amp;DI$2&amp;"+"&amp;AC64&amp;DI$1)</f>
        <v/>
      </c>
      <c r="DJ64" s="30" t="str">
        <f t="shared" ref="DJ64:DJ65" si="746">IF(AD64="","","|n"&amp;DJ$2&amp;"+"&amp;AD64&amp;DJ$1)</f>
        <v/>
      </c>
      <c r="DK64" s="30" t="str">
        <f t="shared" ref="DK64:DK65" si="747">IF(AE64="","","|n"&amp;DK$2&amp;"+"&amp;AE64&amp;DK$1)</f>
        <v/>
      </c>
      <c r="DL64" s="30" t="str">
        <f t="shared" ref="DL64:DL65" si="748">IF(AF64="","","|n"&amp;DL$2&amp;"+"&amp;AF64&amp;DL$1)</f>
        <v/>
      </c>
      <c r="DM64" s="30" t="str">
        <f t="shared" ref="DM64:DM65" si="749">IF(AG64="","","|n"&amp;DM$2&amp;"+"&amp;AG64&amp;DM$1)</f>
        <v/>
      </c>
      <c r="DN64" s="30" t="str">
        <f t="shared" ref="DN64:DN65" si="750">IF(AH64="","","|n"&amp;DN$2&amp;"+"&amp;AH64&amp;DN$1)</f>
        <v/>
      </c>
      <c r="DO64" s="30" t="str">
        <f t="shared" ref="DO64:DO65" si="751">IF(AI64="","","|n"&amp;DO$2&amp;"+"&amp;AI64&amp;DO$1)</f>
        <v/>
      </c>
      <c r="DP64" s="30" t="str">
        <f t="shared" ref="DP64:DP65" si="752">IF(AJ64="","","|n"&amp;DP$2&amp;"+"&amp;AJ64&amp;DP$1)</f>
        <v/>
      </c>
      <c r="DQ64" s="30" t="str">
        <f t="shared" ref="DQ64:DQ65" si="753">IF(AK64="","","|n"&amp;DQ$2&amp;"+"&amp;AK64&amp;DQ$1)</f>
        <v/>
      </c>
      <c r="DR64" s="30" t="str">
        <f t="shared" ref="DR64:DR65" si="754">IF(AL64="","","|n"&amp;DR$2&amp;"+"&amp;AL64&amp;DR$1)</f>
        <v/>
      </c>
      <c r="DS64" s="30" t="str">
        <f t="shared" ref="DS64:DS65" si="755">IF(AM64="","","|n"&amp;DS$2&amp;"+"&amp;AM64&amp;DS$1)</f>
        <v>|n伤害减免+6%</v>
      </c>
      <c r="DT64" s="30" t="str">
        <f t="shared" ref="DT64:DT65" si="756">IF(AN64="","","|n"&amp;DT$2&amp;"+"&amp;AN64&amp;DT$1)</f>
        <v/>
      </c>
      <c r="DU64" s="30" t="str">
        <f t="shared" ref="DU64:DU65" si="757">IF(AO64="","","|n"&amp;DU$2&amp;"+"&amp;AO64&amp;DU$1)</f>
        <v/>
      </c>
      <c r="DV64" s="30" t="str">
        <f t="shared" ref="DV64:DV65" si="758">IF(AP64="","","|n"&amp;DV$2&amp;"+"&amp;AP64&amp;DV$1)</f>
        <v/>
      </c>
      <c r="DW64" s="30" t="str">
        <f t="shared" ref="DW64:DW65" si="759">IF(AQ64="","","|n"&amp;DW$2&amp;"+"&amp;AQ64&amp;DW$1)</f>
        <v/>
      </c>
      <c r="DX64" s="30" t="str">
        <f t="shared" ref="DX64:DX65" si="760">IF(AR64="","","|n"&amp;DX$2&amp;"+"&amp;AR64&amp;DX$1)</f>
        <v/>
      </c>
      <c r="DY64" s="30" t="str">
        <f t="shared" ref="DY64:DY65" si="761">IF(AS64="","","|n"&amp;DY$2&amp;"+"&amp;AS64&amp;DY$1)</f>
        <v/>
      </c>
      <c r="DZ64" s="30" t="str">
        <f t="shared" ref="DZ64:DZ65" si="762">IF(AT64="","","|n"&amp;DZ$2&amp;"+"&amp;AT64&amp;DZ$1)</f>
        <v/>
      </c>
      <c r="EA64" s="30" t="str">
        <f t="shared" ref="EA64:EA65" si="763">IF(AU64="","","|n"&amp;EA$2&amp;"+"&amp;AU64&amp;EA$1)</f>
        <v/>
      </c>
      <c r="EB64" s="30" t="str">
        <f t="shared" ref="EB64:EB65" si="764">IF(AV64="","","|n"&amp;EB$2&amp;"+"&amp;AV64&amp;EB$1)</f>
        <v/>
      </c>
      <c r="EC64" s="30" t="str">
        <f t="shared" ref="EC64:EC65" si="765">IF(AW64="","","|n"&amp;EC$2&amp;"+"&amp;AW64&amp;EC$1)</f>
        <v/>
      </c>
      <c r="ED64" s="30" t="str">
        <f t="shared" ref="ED64:ED65" si="766">IF(AX64="","","|n"&amp;ED$2&amp;"+"&amp;AX64&amp;ED$1)</f>
        <v/>
      </c>
      <c r="EE64" s="30" t="str">
        <f t="shared" ref="EE64:EE65" si="767">IF(AY64="","","|n"&amp;EE$2&amp;"+"&amp;AY64&amp;EE$1)</f>
        <v/>
      </c>
      <c r="EF64" s="30" t="str">
        <f t="shared" ref="EF64:EF65" si="768">IF(AZ64="","","|n"&amp;EF$2&amp;"+"&amp;AZ64&amp;EF$1)</f>
        <v/>
      </c>
      <c r="EG64" s="30" t="str">
        <f t="shared" ref="EG64:EG65" si="769">IF(BA64="","","|n"&amp;EG$2&amp;"+"&amp;BA64&amp;EG$1)</f>
        <v/>
      </c>
      <c r="EH64" s="30" t="str">
        <f t="shared" ref="EH64:EH65" si="770">IF(BB64="","","|n"&amp;EH$2&amp;"+"&amp;BB64&amp;EH$1)</f>
        <v/>
      </c>
      <c r="EI64" s="30" t="str">
        <f t="shared" ref="EI64:EI65" si="771">IF(BC64="","","|n"&amp;EI$2&amp;"+"&amp;BC64&amp;EI$1)</f>
        <v/>
      </c>
      <c r="EJ64" s="30" t="str">
        <f t="shared" ref="EJ64:EJ65" si="772">IF(BD64="","","|n"&amp;EJ$2&amp;"+"&amp;BD64&amp;EJ$1)</f>
        <v/>
      </c>
      <c r="EK64" s="30" t="str">
        <f t="shared" ref="EK64:EK65" si="773">IF(BE64="","","|n"&amp;EK$2&amp;"+"&amp;BE64&amp;EK$1)</f>
        <v/>
      </c>
      <c r="EL64" s="30" t="str">
        <f t="shared" ref="EL64:EL65" si="774">IF(BF64="","","|n"&amp;EL$2&amp;"+"&amp;BF64&amp;EL$1)</f>
        <v/>
      </c>
      <c r="EM64" s="30" t="str">
        <f t="shared" ref="EM64:EM65" si="775">IF(BG64="","","|n"&amp;EM$2&amp;"+"&amp;BG64&amp;EM$1)</f>
        <v/>
      </c>
      <c r="EN64" s="30" t="str">
        <f t="shared" ref="EN64:EN65" si="776">IF(BH64="","","|n"&amp;EN$2&amp;"+"&amp;BH64&amp;EN$1)</f>
        <v/>
      </c>
      <c r="EO64" s="30" t="str">
        <f t="shared" ref="EO64:EO65" si="777">IF(BI64="","","|n"&amp;EO$2&amp;"+"&amp;BI64&amp;EO$1)</f>
        <v/>
      </c>
      <c r="EP64" s="30" t="str">
        <f t="shared" ref="EP64:EP65" si="778">IF(BJ64="","","|n"&amp;EP$2&amp;"+"&amp;BJ64&amp;EP$1)</f>
        <v/>
      </c>
      <c r="EQ64" s="30" t="str">
        <f t="shared" ref="EQ64:EQ65" si="779">IF(BK64="","","|n"&amp;EQ$2&amp;"+"&amp;BK64&amp;EQ$1)</f>
        <v/>
      </c>
      <c r="ER64" s="30" t="str">
        <f t="shared" ref="ER64:ER65" si="780">IF(BL64="","","|n"&amp;ER$2&amp;"+"&amp;BL64&amp;ER$1)</f>
        <v/>
      </c>
      <c r="ES64" s="30" t="str">
        <f t="shared" ref="ES64:ES65" si="781">IF(BM64="","","|n"&amp;ES$2&amp;"+"&amp;BM64&amp;ES$1)</f>
        <v/>
      </c>
      <c r="ET64" s="30" t="str">
        <f t="shared" ref="ET64:ET65" si="782">IF(BN64="","","|n"&amp;ET$2&amp;"+"&amp;BN64&amp;ET$1)</f>
        <v/>
      </c>
      <c r="EU64" s="30" t="str">
        <f t="shared" ref="EU64:EU65" si="783">IF(BO64="","","|n"&amp;EU$2&amp;"+"&amp;BO64&amp;EU$1)</f>
        <v/>
      </c>
      <c r="EV64" s="30" t="str">
        <f t="shared" ref="EV64:EV65" si="784">IF(BP64="","","|n"&amp;EV$2&amp;"+"&amp;BP64&amp;EV$1)</f>
        <v/>
      </c>
      <c r="EW64" s="30" t="str">
        <f t="shared" ref="EW64:EW65" si="785">IF(BQ64="","","|n"&amp;EW$2&amp;"+"&amp;BQ64&amp;EW$1)</f>
        <v/>
      </c>
      <c r="EX64" s="30" t="str">
        <f t="shared" ref="EX64:EX65" si="786">IF(BR64="","","|n"&amp;EX$2&amp;"+"&amp;BR64&amp;EX$1)</f>
        <v/>
      </c>
      <c r="EY64" s="30" t="str">
        <f t="shared" ref="EY64:EY65" si="787">IF(BS64="","","|n"&amp;EY$2&amp;"+"&amp;BS64&amp;EY$1)</f>
        <v/>
      </c>
      <c r="EZ64" s="30" t="str">
        <f t="shared" ref="EZ64:EZ65" si="788">IF(BT64="","","|n"&amp;EZ$2&amp;"+"&amp;BT64&amp;EZ$1)</f>
        <v/>
      </c>
      <c r="FA64" s="30" t="str">
        <f t="shared" ref="FA64:FA65" si="789">IF(BU64="","","|n"&amp;FA$2&amp;"+"&amp;BU64&amp;FA$1)</f>
        <v/>
      </c>
      <c r="FB64" s="30" t="str">
        <f t="shared" ref="FB64:FB65" si="790">IF(BV64="","","|n"&amp;FB$2&amp;"+"&amp;BV64&amp;FB$1)</f>
        <v/>
      </c>
      <c r="FC64" s="30" t="str">
        <f t="shared" ref="FC64:FC65" si="791">IF(BW64="","","|n"&amp;FC$2&amp;"+"&amp;BW64&amp;FC$1)</f>
        <v/>
      </c>
      <c r="FD64" s="30" t="str">
        <f t="shared" ref="FD64:FD65" si="792">IF(BX64="","","|n"&amp;FD$2&amp;"+"&amp;BX64&amp;FD$1)</f>
        <v/>
      </c>
      <c r="FE64" s="30" t="str">
        <f t="shared" ref="FE64:FE65" si="793">IF(BY64="","","|n"&amp;FE$2&amp;"+"&amp;BY64&amp;FE$1)</f>
        <v/>
      </c>
      <c r="FF64" s="30" t="str">
        <f t="shared" ref="FF64:FF65" si="794">IF(BZ64="","","|n"&amp;FF$2&amp;"+"&amp;BZ64&amp;FF$1)</f>
        <v/>
      </c>
      <c r="FG64" s="30" t="str">
        <f t="shared" ref="FG64:FG65" si="795">IF(CA64="","","|n"&amp;FG$2&amp;"+"&amp;CA64&amp;FG$1)</f>
        <v/>
      </c>
      <c r="FH64" s="30" t="str">
        <f t="shared" ref="FH64:FH65" si="796">IF(CB64="","","|n"&amp;FH$2&amp;"+"&amp;CB64&amp;FH$1)</f>
        <v/>
      </c>
      <c r="FI64" s="30" t="str">
        <f t="shared" ref="FI64:FI65" si="797">IF(CC64="","","|n"&amp;FI$2&amp;"+"&amp;CC64&amp;FI$1)</f>
        <v/>
      </c>
      <c r="FJ64" s="30" t="str">
        <f t="shared" ref="FJ64:FJ65" si="798">IF(CD64="","","|n"&amp;FJ$2&amp;"+"&amp;CD64&amp;FJ$1)</f>
        <v/>
      </c>
      <c r="FK64" s="30" t="str">
        <f t="shared" ref="FK64:FK65" si="799">IF(CE64="","","|n"&amp;FK$2&amp;"+"&amp;CE64&amp;FK$1)</f>
        <v/>
      </c>
      <c r="FL64" s="30" t="str">
        <f t="shared" ref="FL64:FL65" si="800">IF(CF64="","","|n"&amp;FL$2&amp;"+"&amp;CF64&amp;FL$1)</f>
        <v/>
      </c>
      <c r="FM64" s="30" t="str">
        <f t="shared" ref="FM64:FM65" si="801">IF(CG64="","","|n"&amp;FM$2&amp;"+"&amp;CG64&amp;FM$1)</f>
        <v/>
      </c>
      <c r="FN64" s="30" t="str">
        <f t="shared" ref="FN64:FN65" si="802">IF(CH64="","","|n"&amp;FN$2&amp;"+"&amp;CH64&amp;FN$1)</f>
        <v/>
      </c>
      <c r="FO64" s="30" t="str">
        <f t="shared" ref="FO64:FO65" si="803">IF(CI64="","","|n"&amp;FO$2&amp;"+"&amp;CI64&amp;FO$1)</f>
        <v/>
      </c>
      <c r="FP64" s="30" t="str">
        <f t="shared" ref="FP64:FP65" si="804">IF(CJ64="","","|n"&amp;FP$2&amp;"+"&amp;CJ64&amp;FP$1)</f>
        <v/>
      </c>
      <c r="FQ64" s="30" t="str">
        <f t="shared" ref="FQ64:FQ65" si="805">IF(CK64="","","|n"&amp;FQ$2&amp;"+"&amp;CK64&amp;FQ$1)</f>
        <v/>
      </c>
      <c r="FR64" s="30" t="str">
        <f t="shared" ref="FR64:FR65" si="806">IF(CL64="","","|n"&amp;FR$2&amp;"+"&amp;CL64&amp;FR$1)</f>
        <v/>
      </c>
      <c r="FS64" s="30" t="str">
        <f t="shared" ref="FS64:FS65" si="807">IF(CM64="","","|n"&amp;FS$2&amp;"+"&amp;CM64&amp;FS$1)</f>
        <v/>
      </c>
    </row>
    <row r="65" spans="1:175" s="24" customFormat="1" ht="16.5">
      <c r="A65" s="5"/>
      <c r="B65" s="36" t="s">
        <v>776</v>
      </c>
      <c r="C65" s="5" t="s">
        <v>777</v>
      </c>
      <c r="D65" s="31"/>
      <c r="E65" s="39"/>
      <c r="F65" s="40">
        <v>23400</v>
      </c>
      <c r="G65" s="38"/>
      <c r="H65" s="38"/>
      <c r="I65" s="38" t="str">
        <f t="shared" si="446"/>
        <v>E214</v>
      </c>
      <c r="J65" s="38"/>
      <c r="K65" s="38"/>
      <c r="L65" s="38"/>
      <c r="M65" s="38"/>
      <c r="N65" s="38"/>
      <c r="O65" s="38"/>
      <c r="P65" s="50"/>
      <c r="Q65" s="50"/>
      <c r="R65" s="50"/>
      <c r="S65" s="52"/>
      <c r="T65" s="102"/>
      <c r="U65" s="32" t="str">
        <f t="shared" si="736"/>
        <v>ReplaceableTextures\\CommandButtons\\BTNE213.blp</v>
      </c>
      <c r="V65" s="43"/>
      <c r="W65" s="43"/>
      <c r="X65" s="43">
        <v>24</v>
      </c>
      <c r="Y65" s="43"/>
      <c r="Z65" s="43">
        <v>37200</v>
      </c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>
        <v>6</v>
      </c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  <c r="BY65" s="43"/>
      <c r="BZ65" s="43"/>
      <c r="CA65" s="43"/>
      <c r="CB65" s="43"/>
      <c r="CC65" s="43"/>
      <c r="CD65" s="43"/>
      <c r="CE65" s="43"/>
      <c r="CF65" s="43"/>
      <c r="CG65" s="43"/>
      <c r="CH65" s="43"/>
      <c r="CI65" s="43"/>
      <c r="CJ65" s="43"/>
      <c r="CK65" s="43"/>
      <c r="CL65" s="43"/>
      <c r="CM65" s="43"/>
      <c r="CN65" s="44" t="str">
        <f t="shared" si="297"/>
        <v>InitUnitState('E213',,,24,,37200,,,,,)</v>
      </c>
      <c r="CO65" s="44" t="str">
        <f t="shared" si="298"/>
        <v>InitUnitNormal('E213',,,,,,,,6,,)</v>
      </c>
      <c r="CP65" s="44" t="str">
        <f t="shared" si="299"/>
        <v>InitUnitMagic('E213',,,,,,,,,,)</v>
      </c>
      <c r="CQ65" s="44" t="str">
        <f t="shared" si="300"/>
        <v>InitUnitAdd('E213',,,,,,,,,,)</v>
      </c>
      <c r="CR65" s="44" t="str">
        <f t="shared" si="664"/>
        <v>InitEquipData('E213',,"",,E214,23400,,'','','','','','',"ReplaceableTextures\\CommandButtons\\BTNE214.blp")</v>
      </c>
      <c r="CS65" s="44"/>
      <c r="CT65" s="44"/>
      <c r="CU65" s="45" t="str">
        <f t="shared" si="737"/>
        <v>|n护甲+24|n生命值+37200|n伤害减免+6%|n</v>
      </c>
      <c r="CV65" s="29" t="str">
        <f>"|cffffcc00属性：|r"&amp;CU65&amp;VLOOKUP(A65,合成公式!A:P,16,FALSE)&amp;T65</f>
        <v>|cffffcc00属性：|r|n护甲+24|n生命值+37200|n伤害减免+6%|n</v>
      </c>
      <c r="DB65" s="30" t="str">
        <f t="shared" si="738"/>
        <v/>
      </c>
      <c r="DC65" s="30" t="str">
        <f t="shared" si="739"/>
        <v/>
      </c>
      <c r="DD65" s="30" t="str">
        <f t="shared" si="740"/>
        <v>|n护甲+24</v>
      </c>
      <c r="DE65" s="30" t="str">
        <f t="shared" si="741"/>
        <v/>
      </c>
      <c r="DF65" s="30" t="str">
        <f t="shared" si="742"/>
        <v>|n生命值+37200</v>
      </c>
      <c r="DG65" s="30" t="str">
        <f t="shared" si="743"/>
        <v/>
      </c>
      <c r="DH65" s="30" t="str">
        <f t="shared" si="744"/>
        <v/>
      </c>
      <c r="DI65" s="30" t="str">
        <f t="shared" si="745"/>
        <v/>
      </c>
      <c r="DJ65" s="30" t="str">
        <f t="shared" si="746"/>
        <v/>
      </c>
      <c r="DK65" s="30" t="str">
        <f t="shared" si="747"/>
        <v/>
      </c>
      <c r="DL65" s="30" t="str">
        <f t="shared" si="748"/>
        <v/>
      </c>
      <c r="DM65" s="30" t="str">
        <f t="shared" si="749"/>
        <v/>
      </c>
      <c r="DN65" s="30" t="str">
        <f t="shared" si="750"/>
        <v/>
      </c>
      <c r="DO65" s="30" t="str">
        <f t="shared" si="751"/>
        <v/>
      </c>
      <c r="DP65" s="30" t="str">
        <f t="shared" si="752"/>
        <v/>
      </c>
      <c r="DQ65" s="30" t="str">
        <f t="shared" si="753"/>
        <v/>
      </c>
      <c r="DR65" s="30" t="str">
        <f t="shared" si="754"/>
        <v/>
      </c>
      <c r="DS65" s="30" t="str">
        <f t="shared" si="755"/>
        <v>|n伤害减免+6%</v>
      </c>
      <c r="DT65" s="30" t="str">
        <f t="shared" si="756"/>
        <v/>
      </c>
      <c r="DU65" s="30" t="str">
        <f t="shared" si="757"/>
        <v/>
      </c>
      <c r="DV65" s="30" t="str">
        <f t="shared" si="758"/>
        <v/>
      </c>
      <c r="DW65" s="30" t="str">
        <f t="shared" si="759"/>
        <v/>
      </c>
      <c r="DX65" s="30" t="str">
        <f t="shared" si="760"/>
        <v/>
      </c>
      <c r="DY65" s="30" t="str">
        <f t="shared" si="761"/>
        <v/>
      </c>
      <c r="DZ65" s="30" t="str">
        <f t="shared" si="762"/>
        <v/>
      </c>
      <c r="EA65" s="30" t="str">
        <f t="shared" si="763"/>
        <v/>
      </c>
      <c r="EB65" s="30" t="str">
        <f t="shared" si="764"/>
        <v/>
      </c>
      <c r="EC65" s="30" t="str">
        <f t="shared" si="765"/>
        <v/>
      </c>
      <c r="ED65" s="30" t="str">
        <f t="shared" si="766"/>
        <v/>
      </c>
      <c r="EE65" s="30" t="str">
        <f t="shared" si="767"/>
        <v/>
      </c>
      <c r="EF65" s="30" t="str">
        <f t="shared" si="768"/>
        <v/>
      </c>
      <c r="EG65" s="30" t="str">
        <f t="shared" si="769"/>
        <v/>
      </c>
      <c r="EH65" s="30" t="str">
        <f t="shared" si="770"/>
        <v/>
      </c>
      <c r="EI65" s="30" t="str">
        <f t="shared" si="771"/>
        <v/>
      </c>
      <c r="EJ65" s="30" t="str">
        <f t="shared" si="772"/>
        <v/>
      </c>
      <c r="EK65" s="30" t="str">
        <f t="shared" si="773"/>
        <v/>
      </c>
      <c r="EL65" s="30" t="str">
        <f t="shared" si="774"/>
        <v/>
      </c>
      <c r="EM65" s="30" t="str">
        <f t="shared" si="775"/>
        <v/>
      </c>
      <c r="EN65" s="30" t="str">
        <f t="shared" si="776"/>
        <v/>
      </c>
      <c r="EO65" s="30" t="str">
        <f t="shared" si="777"/>
        <v/>
      </c>
      <c r="EP65" s="30" t="str">
        <f t="shared" si="778"/>
        <v/>
      </c>
      <c r="EQ65" s="30" t="str">
        <f t="shared" si="779"/>
        <v/>
      </c>
      <c r="ER65" s="30" t="str">
        <f t="shared" si="780"/>
        <v/>
      </c>
      <c r="ES65" s="30" t="str">
        <f t="shared" si="781"/>
        <v/>
      </c>
      <c r="ET65" s="30" t="str">
        <f t="shared" si="782"/>
        <v/>
      </c>
      <c r="EU65" s="30" t="str">
        <f t="shared" si="783"/>
        <v/>
      </c>
      <c r="EV65" s="30" t="str">
        <f t="shared" si="784"/>
        <v/>
      </c>
      <c r="EW65" s="30" t="str">
        <f t="shared" si="785"/>
        <v/>
      </c>
      <c r="EX65" s="30" t="str">
        <f t="shared" si="786"/>
        <v/>
      </c>
      <c r="EY65" s="30" t="str">
        <f t="shared" si="787"/>
        <v/>
      </c>
      <c r="EZ65" s="30" t="str">
        <f t="shared" si="788"/>
        <v/>
      </c>
      <c r="FA65" s="30" t="str">
        <f t="shared" si="789"/>
        <v/>
      </c>
      <c r="FB65" s="30" t="str">
        <f t="shared" si="790"/>
        <v/>
      </c>
      <c r="FC65" s="30" t="str">
        <f t="shared" si="791"/>
        <v/>
      </c>
      <c r="FD65" s="30" t="str">
        <f t="shared" si="792"/>
        <v/>
      </c>
      <c r="FE65" s="30" t="str">
        <f t="shared" si="793"/>
        <v/>
      </c>
      <c r="FF65" s="30" t="str">
        <f t="shared" si="794"/>
        <v/>
      </c>
      <c r="FG65" s="30" t="str">
        <f t="shared" si="795"/>
        <v/>
      </c>
      <c r="FH65" s="30" t="str">
        <f t="shared" si="796"/>
        <v/>
      </c>
      <c r="FI65" s="30" t="str">
        <f t="shared" si="797"/>
        <v/>
      </c>
      <c r="FJ65" s="30" t="str">
        <f t="shared" si="798"/>
        <v/>
      </c>
      <c r="FK65" s="30" t="str">
        <f t="shared" si="799"/>
        <v/>
      </c>
      <c r="FL65" s="30" t="str">
        <f t="shared" si="800"/>
        <v/>
      </c>
      <c r="FM65" s="30" t="str">
        <f t="shared" si="801"/>
        <v/>
      </c>
      <c r="FN65" s="30" t="str">
        <f t="shared" si="802"/>
        <v/>
      </c>
      <c r="FO65" s="30" t="str">
        <f t="shared" si="803"/>
        <v/>
      </c>
      <c r="FP65" s="30" t="str">
        <f t="shared" si="804"/>
        <v/>
      </c>
      <c r="FQ65" s="30" t="str">
        <f t="shared" si="805"/>
        <v/>
      </c>
      <c r="FR65" s="30" t="str">
        <f t="shared" si="806"/>
        <v/>
      </c>
      <c r="FS65" s="30" t="str">
        <f t="shared" si="807"/>
        <v/>
      </c>
    </row>
    <row r="66" spans="1:175" s="24" customFormat="1" ht="16.5">
      <c r="A66" s="5"/>
      <c r="B66" s="36" t="s">
        <v>778</v>
      </c>
      <c r="C66" s="5" t="s">
        <v>779</v>
      </c>
      <c r="D66" s="31"/>
      <c r="E66" s="39"/>
      <c r="F66" s="40">
        <v>24200</v>
      </c>
      <c r="G66" s="38"/>
      <c r="H66" s="38"/>
      <c r="I66" s="38" t="str">
        <f t="shared" si="446"/>
        <v>E215</v>
      </c>
      <c r="J66" s="38"/>
      <c r="K66" s="38"/>
      <c r="L66" s="38"/>
      <c r="M66" s="38"/>
      <c r="N66" s="38"/>
      <c r="O66" s="38"/>
      <c r="P66" s="50"/>
      <c r="Q66" s="50"/>
      <c r="R66" s="50"/>
      <c r="S66" s="52"/>
      <c r="T66" s="102"/>
      <c r="U66" s="32" t="str">
        <f t="shared" ref="U66:U69" si="808">"ReplaceableTextures\\CommandButtons\\BTN"&amp;B66&amp;".blp"</f>
        <v>ReplaceableTextures\\CommandButtons\\BTNE214.blp</v>
      </c>
      <c r="V66" s="43"/>
      <c r="W66" s="43"/>
      <c r="X66" s="43">
        <v>27</v>
      </c>
      <c r="Y66" s="43"/>
      <c r="Z66" s="43">
        <v>41600</v>
      </c>
      <c r="AA66" s="43"/>
      <c r="AB66" s="43"/>
      <c r="AC66" s="43"/>
      <c r="AD66" s="43"/>
      <c r="AE66" s="43"/>
      <c r="AF66" s="43"/>
      <c r="AG66" s="43"/>
      <c r="AH66" s="43"/>
      <c r="AI66" s="43"/>
      <c r="AJ66" s="43"/>
      <c r="AK66" s="43"/>
      <c r="AL66" s="43"/>
      <c r="AM66" s="43">
        <v>6</v>
      </c>
      <c r="AN66" s="43"/>
      <c r="AO66" s="43"/>
      <c r="AP66" s="43"/>
      <c r="AQ66" s="43"/>
      <c r="AR66" s="43"/>
      <c r="AS66" s="43"/>
      <c r="AT66" s="43"/>
      <c r="AU66" s="43"/>
      <c r="AV66" s="43"/>
      <c r="AW66" s="43"/>
      <c r="AX66" s="43"/>
      <c r="AY66" s="43"/>
      <c r="AZ66" s="43"/>
      <c r="BA66" s="43"/>
      <c r="BB66" s="43"/>
      <c r="BC66" s="43"/>
      <c r="BD66" s="43"/>
      <c r="BE66" s="43"/>
      <c r="BF66" s="43"/>
      <c r="BG66" s="43"/>
      <c r="BH66" s="43"/>
      <c r="BI66" s="43"/>
      <c r="BJ66" s="43"/>
      <c r="BK66" s="43"/>
      <c r="BL66" s="43"/>
      <c r="BM66" s="43"/>
      <c r="BN66" s="43"/>
      <c r="BO66" s="43"/>
      <c r="BP66" s="43"/>
      <c r="BQ66" s="43"/>
      <c r="BR66" s="43"/>
      <c r="BS66" s="43"/>
      <c r="BT66" s="43"/>
      <c r="BU66" s="43"/>
      <c r="BV66" s="43"/>
      <c r="BW66" s="43"/>
      <c r="BX66" s="43"/>
      <c r="BY66" s="43"/>
      <c r="BZ66" s="43"/>
      <c r="CA66" s="43"/>
      <c r="CB66" s="43"/>
      <c r="CC66" s="43"/>
      <c r="CD66" s="43"/>
      <c r="CE66" s="43"/>
      <c r="CF66" s="43"/>
      <c r="CG66" s="43"/>
      <c r="CH66" s="43"/>
      <c r="CI66" s="43"/>
      <c r="CJ66" s="43"/>
      <c r="CK66" s="43"/>
      <c r="CL66" s="43"/>
      <c r="CM66" s="43"/>
      <c r="CN66" s="44" t="str">
        <f t="shared" si="297"/>
        <v>InitUnitState('E214',,,27,,41600,,,,,)</v>
      </c>
      <c r="CO66" s="44" t="str">
        <f t="shared" si="298"/>
        <v>InitUnitNormal('E214',,,,,,,,6,,)</v>
      </c>
      <c r="CP66" s="44" t="str">
        <f t="shared" si="299"/>
        <v>InitUnitMagic('E214',,,,,,,,,,)</v>
      </c>
      <c r="CQ66" s="44" t="str">
        <f t="shared" si="300"/>
        <v>InitUnitAdd('E214',,,,,,,,,,)</v>
      </c>
      <c r="CR66" s="44" t="str">
        <f t="shared" si="664"/>
        <v>InitEquipData('E214',,"",,E215,24200,,'','','','','','',"ReplaceableTextures\\CommandButtons\\BTNE215.blp")</v>
      </c>
      <c r="CS66" s="44"/>
      <c r="CT66" s="44"/>
      <c r="CU66" s="45" t="str">
        <f t="shared" ref="CU66:CU69" si="809">CONCATENATE(DB66,DC66,DD66,DE66,DF66,DG66,DH66,DI66,DJ66,DK66,DL66,DM66,DN66,DO66,DP66,DQ66,DR66,DS66,DT66,DU66,DV66,DW66,DX66,DY66,DZ66,EA66,EB66,EC66,ED66,EE66,EF66,EG66,EH66,EI66,EJ66,EK66,EL66,EM66,EN66,EO66,EP66&amp;"|n")</f>
        <v>|n护甲+27|n生命值+41600|n伤害减免+6%|n</v>
      </c>
      <c r="CV66" s="29" t="str">
        <f>"|cffffcc00属性：|r"&amp;CU66&amp;VLOOKUP(A66,合成公式!A:P,16,FALSE)&amp;T66</f>
        <v>|cffffcc00属性：|r|n护甲+27|n生命值+41600|n伤害减免+6%|n</v>
      </c>
      <c r="DB66" s="30" t="str">
        <f t="shared" ref="DB66:DB69" si="810">IF(V66="","","|n"&amp;DB$2&amp;"+"&amp;V66&amp;DB$1)</f>
        <v/>
      </c>
      <c r="DC66" s="30" t="str">
        <f t="shared" ref="DC66:DC69" si="811">IF(W66="","","|n"&amp;DC$2&amp;"+"&amp;W66&amp;DC$1)</f>
        <v/>
      </c>
      <c r="DD66" s="30" t="str">
        <f t="shared" ref="DD66:DD69" si="812">IF(X66="","","|n"&amp;DD$2&amp;"+"&amp;X66&amp;DD$1)</f>
        <v>|n护甲+27</v>
      </c>
      <c r="DE66" s="30" t="str">
        <f t="shared" ref="DE66:DE69" si="813">IF(Y66="","","|n"&amp;DE$2&amp;"+"&amp;Y66&amp;DE$1)</f>
        <v/>
      </c>
      <c r="DF66" s="30" t="str">
        <f t="shared" ref="DF66:DF69" si="814">IF(Z66="","","|n"&amp;DF$2&amp;"+"&amp;Z66&amp;DF$1)</f>
        <v>|n生命值+41600</v>
      </c>
      <c r="DG66" s="30" t="str">
        <f t="shared" ref="DG66:DG69" si="815">IF(AA66="","","|n"&amp;DG$2&amp;"+"&amp;AA66&amp;DG$1)</f>
        <v/>
      </c>
      <c r="DH66" s="30" t="str">
        <f t="shared" ref="DH66:DH69" si="816">IF(AB66="","","|n"&amp;DH$2&amp;"+"&amp;AB66&amp;DH$1)</f>
        <v/>
      </c>
      <c r="DI66" s="30" t="str">
        <f t="shared" ref="DI66:DI69" si="817">IF(AC66="","","|n"&amp;DI$2&amp;"+"&amp;AC66&amp;DI$1)</f>
        <v/>
      </c>
      <c r="DJ66" s="30" t="str">
        <f t="shared" ref="DJ66:DJ69" si="818">IF(AD66="","","|n"&amp;DJ$2&amp;"+"&amp;AD66&amp;DJ$1)</f>
        <v/>
      </c>
      <c r="DK66" s="30" t="str">
        <f t="shared" ref="DK66:DK69" si="819">IF(AE66="","","|n"&amp;DK$2&amp;"+"&amp;AE66&amp;DK$1)</f>
        <v/>
      </c>
      <c r="DL66" s="30" t="str">
        <f t="shared" ref="DL66:DL69" si="820">IF(AF66="","","|n"&amp;DL$2&amp;"+"&amp;AF66&amp;DL$1)</f>
        <v/>
      </c>
      <c r="DM66" s="30" t="str">
        <f t="shared" ref="DM66:DM69" si="821">IF(AG66="","","|n"&amp;DM$2&amp;"+"&amp;AG66&amp;DM$1)</f>
        <v/>
      </c>
      <c r="DN66" s="30" t="str">
        <f t="shared" ref="DN66:DN69" si="822">IF(AH66="","","|n"&amp;DN$2&amp;"+"&amp;AH66&amp;DN$1)</f>
        <v/>
      </c>
      <c r="DO66" s="30" t="str">
        <f t="shared" ref="DO66:DO69" si="823">IF(AI66="","","|n"&amp;DO$2&amp;"+"&amp;AI66&amp;DO$1)</f>
        <v/>
      </c>
      <c r="DP66" s="30" t="str">
        <f t="shared" ref="DP66:DP69" si="824">IF(AJ66="","","|n"&amp;DP$2&amp;"+"&amp;AJ66&amp;DP$1)</f>
        <v/>
      </c>
      <c r="DQ66" s="30" t="str">
        <f t="shared" ref="DQ66:DQ69" si="825">IF(AK66="","","|n"&amp;DQ$2&amp;"+"&amp;AK66&amp;DQ$1)</f>
        <v/>
      </c>
      <c r="DR66" s="30" t="str">
        <f t="shared" ref="DR66:DR69" si="826">IF(AL66="","","|n"&amp;DR$2&amp;"+"&amp;AL66&amp;DR$1)</f>
        <v/>
      </c>
      <c r="DS66" s="30" t="str">
        <f t="shared" ref="DS66:DS69" si="827">IF(AM66="","","|n"&amp;DS$2&amp;"+"&amp;AM66&amp;DS$1)</f>
        <v>|n伤害减免+6%</v>
      </c>
      <c r="DT66" s="30" t="str">
        <f t="shared" ref="DT66:DT69" si="828">IF(AN66="","","|n"&amp;DT$2&amp;"+"&amp;AN66&amp;DT$1)</f>
        <v/>
      </c>
      <c r="DU66" s="30" t="str">
        <f t="shared" ref="DU66:DU69" si="829">IF(AO66="","","|n"&amp;DU$2&amp;"+"&amp;AO66&amp;DU$1)</f>
        <v/>
      </c>
      <c r="DV66" s="30" t="str">
        <f t="shared" ref="DV66:DV69" si="830">IF(AP66="","","|n"&amp;DV$2&amp;"+"&amp;AP66&amp;DV$1)</f>
        <v/>
      </c>
      <c r="DW66" s="30" t="str">
        <f t="shared" ref="DW66:DW69" si="831">IF(AQ66="","","|n"&amp;DW$2&amp;"+"&amp;AQ66&amp;DW$1)</f>
        <v/>
      </c>
      <c r="DX66" s="30" t="str">
        <f t="shared" ref="DX66:DX69" si="832">IF(AR66="","","|n"&amp;DX$2&amp;"+"&amp;AR66&amp;DX$1)</f>
        <v/>
      </c>
      <c r="DY66" s="30" t="str">
        <f t="shared" ref="DY66:DY69" si="833">IF(AS66="","","|n"&amp;DY$2&amp;"+"&amp;AS66&amp;DY$1)</f>
        <v/>
      </c>
      <c r="DZ66" s="30" t="str">
        <f t="shared" ref="DZ66:DZ69" si="834">IF(AT66="","","|n"&amp;DZ$2&amp;"+"&amp;AT66&amp;DZ$1)</f>
        <v/>
      </c>
      <c r="EA66" s="30" t="str">
        <f t="shared" ref="EA66:EA69" si="835">IF(AU66="","","|n"&amp;EA$2&amp;"+"&amp;AU66&amp;EA$1)</f>
        <v/>
      </c>
      <c r="EB66" s="30" t="str">
        <f t="shared" ref="EB66:EB69" si="836">IF(AV66="","","|n"&amp;EB$2&amp;"+"&amp;AV66&amp;EB$1)</f>
        <v/>
      </c>
      <c r="EC66" s="30" t="str">
        <f t="shared" ref="EC66:EC69" si="837">IF(AW66="","","|n"&amp;EC$2&amp;"+"&amp;AW66&amp;EC$1)</f>
        <v/>
      </c>
      <c r="ED66" s="30" t="str">
        <f t="shared" ref="ED66:ED69" si="838">IF(AX66="","","|n"&amp;ED$2&amp;"+"&amp;AX66&amp;ED$1)</f>
        <v/>
      </c>
      <c r="EE66" s="30" t="str">
        <f t="shared" ref="EE66:EE69" si="839">IF(AY66="","","|n"&amp;EE$2&amp;"+"&amp;AY66&amp;EE$1)</f>
        <v/>
      </c>
      <c r="EF66" s="30" t="str">
        <f t="shared" ref="EF66:EF69" si="840">IF(AZ66="","","|n"&amp;EF$2&amp;"+"&amp;AZ66&amp;EF$1)</f>
        <v/>
      </c>
      <c r="EG66" s="30" t="str">
        <f t="shared" ref="EG66:EG69" si="841">IF(BA66="","","|n"&amp;EG$2&amp;"+"&amp;BA66&amp;EG$1)</f>
        <v/>
      </c>
      <c r="EH66" s="30" t="str">
        <f t="shared" ref="EH66:EH69" si="842">IF(BB66="","","|n"&amp;EH$2&amp;"+"&amp;BB66&amp;EH$1)</f>
        <v/>
      </c>
      <c r="EI66" s="30" t="str">
        <f t="shared" ref="EI66:EI69" si="843">IF(BC66="","","|n"&amp;EI$2&amp;"+"&amp;BC66&amp;EI$1)</f>
        <v/>
      </c>
      <c r="EJ66" s="30" t="str">
        <f t="shared" ref="EJ66:EJ69" si="844">IF(BD66="","","|n"&amp;EJ$2&amp;"+"&amp;BD66&amp;EJ$1)</f>
        <v/>
      </c>
      <c r="EK66" s="30" t="str">
        <f t="shared" ref="EK66:EK69" si="845">IF(BE66="","","|n"&amp;EK$2&amp;"+"&amp;BE66&amp;EK$1)</f>
        <v/>
      </c>
      <c r="EL66" s="30" t="str">
        <f t="shared" ref="EL66:EL69" si="846">IF(BF66="","","|n"&amp;EL$2&amp;"+"&amp;BF66&amp;EL$1)</f>
        <v/>
      </c>
      <c r="EM66" s="30" t="str">
        <f t="shared" ref="EM66:EM69" si="847">IF(BG66="","","|n"&amp;EM$2&amp;"+"&amp;BG66&amp;EM$1)</f>
        <v/>
      </c>
      <c r="EN66" s="30" t="str">
        <f t="shared" ref="EN66:EN69" si="848">IF(BH66="","","|n"&amp;EN$2&amp;"+"&amp;BH66&amp;EN$1)</f>
        <v/>
      </c>
      <c r="EO66" s="30" t="str">
        <f t="shared" ref="EO66:EO69" si="849">IF(BI66="","","|n"&amp;EO$2&amp;"+"&amp;BI66&amp;EO$1)</f>
        <v/>
      </c>
      <c r="EP66" s="30" t="str">
        <f t="shared" ref="EP66:EP69" si="850">IF(BJ66="","","|n"&amp;EP$2&amp;"+"&amp;BJ66&amp;EP$1)</f>
        <v/>
      </c>
      <c r="EQ66" s="30" t="str">
        <f t="shared" ref="EQ66:EQ69" si="851">IF(BK66="","","|n"&amp;EQ$2&amp;"+"&amp;BK66&amp;EQ$1)</f>
        <v/>
      </c>
      <c r="ER66" s="30" t="str">
        <f t="shared" ref="ER66:ER69" si="852">IF(BL66="","","|n"&amp;ER$2&amp;"+"&amp;BL66&amp;ER$1)</f>
        <v/>
      </c>
      <c r="ES66" s="30" t="str">
        <f t="shared" ref="ES66:ES69" si="853">IF(BM66="","","|n"&amp;ES$2&amp;"+"&amp;BM66&amp;ES$1)</f>
        <v/>
      </c>
      <c r="ET66" s="30" t="str">
        <f t="shared" ref="ET66:ET69" si="854">IF(BN66="","","|n"&amp;ET$2&amp;"+"&amp;BN66&amp;ET$1)</f>
        <v/>
      </c>
      <c r="EU66" s="30" t="str">
        <f t="shared" ref="EU66:EU69" si="855">IF(BO66="","","|n"&amp;EU$2&amp;"+"&amp;BO66&amp;EU$1)</f>
        <v/>
      </c>
      <c r="EV66" s="30" t="str">
        <f t="shared" ref="EV66:EV69" si="856">IF(BP66="","","|n"&amp;EV$2&amp;"+"&amp;BP66&amp;EV$1)</f>
        <v/>
      </c>
      <c r="EW66" s="30" t="str">
        <f t="shared" ref="EW66:EW69" si="857">IF(BQ66="","","|n"&amp;EW$2&amp;"+"&amp;BQ66&amp;EW$1)</f>
        <v/>
      </c>
      <c r="EX66" s="30" t="str">
        <f t="shared" ref="EX66:EX69" si="858">IF(BR66="","","|n"&amp;EX$2&amp;"+"&amp;BR66&amp;EX$1)</f>
        <v/>
      </c>
      <c r="EY66" s="30" t="str">
        <f t="shared" ref="EY66:EY69" si="859">IF(BS66="","","|n"&amp;EY$2&amp;"+"&amp;BS66&amp;EY$1)</f>
        <v/>
      </c>
      <c r="EZ66" s="30" t="str">
        <f t="shared" ref="EZ66:EZ69" si="860">IF(BT66="","","|n"&amp;EZ$2&amp;"+"&amp;BT66&amp;EZ$1)</f>
        <v/>
      </c>
      <c r="FA66" s="30" t="str">
        <f t="shared" ref="FA66:FA69" si="861">IF(BU66="","","|n"&amp;FA$2&amp;"+"&amp;BU66&amp;FA$1)</f>
        <v/>
      </c>
      <c r="FB66" s="30" t="str">
        <f t="shared" ref="FB66:FB69" si="862">IF(BV66="","","|n"&amp;FB$2&amp;"+"&amp;BV66&amp;FB$1)</f>
        <v/>
      </c>
      <c r="FC66" s="30" t="str">
        <f t="shared" ref="FC66:FC69" si="863">IF(BW66="","","|n"&amp;FC$2&amp;"+"&amp;BW66&amp;FC$1)</f>
        <v/>
      </c>
      <c r="FD66" s="30" t="str">
        <f t="shared" ref="FD66:FD69" si="864">IF(BX66="","","|n"&amp;FD$2&amp;"+"&amp;BX66&amp;FD$1)</f>
        <v/>
      </c>
      <c r="FE66" s="30" t="str">
        <f t="shared" ref="FE66:FE69" si="865">IF(BY66="","","|n"&amp;FE$2&amp;"+"&amp;BY66&amp;FE$1)</f>
        <v/>
      </c>
      <c r="FF66" s="30" t="str">
        <f t="shared" ref="FF66:FF69" si="866">IF(BZ66="","","|n"&amp;FF$2&amp;"+"&amp;BZ66&amp;FF$1)</f>
        <v/>
      </c>
      <c r="FG66" s="30" t="str">
        <f t="shared" ref="FG66:FG69" si="867">IF(CA66="","","|n"&amp;FG$2&amp;"+"&amp;CA66&amp;FG$1)</f>
        <v/>
      </c>
      <c r="FH66" s="30" t="str">
        <f t="shared" ref="FH66:FH69" si="868">IF(CB66="","","|n"&amp;FH$2&amp;"+"&amp;CB66&amp;FH$1)</f>
        <v/>
      </c>
      <c r="FI66" s="30" t="str">
        <f t="shared" ref="FI66:FI69" si="869">IF(CC66="","","|n"&amp;FI$2&amp;"+"&amp;CC66&amp;FI$1)</f>
        <v/>
      </c>
      <c r="FJ66" s="30" t="str">
        <f t="shared" ref="FJ66:FJ69" si="870">IF(CD66="","","|n"&amp;FJ$2&amp;"+"&amp;CD66&amp;FJ$1)</f>
        <v/>
      </c>
      <c r="FK66" s="30" t="str">
        <f t="shared" ref="FK66:FK69" si="871">IF(CE66="","","|n"&amp;FK$2&amp;"+"&amp;CE66&amp;FK$1)</f>
        <v/>
      </c>
      <c r="FL66" s="30" t="str">
        <f t="shared" ref="FL66:FL69" si="872">IF(CF66="","","|n"&amp;FL$2&amp;"+"&amp;CF66&amp;FL$1)</f>
        <v/>
      </c>
      <c r="FM66" s="30" t="str">
        <f t="shared" ref="FM66:FM69" si="873">IF(CG66="","","|n"&amp;FM$2&amp;"+"&amp;CG66&amp;FM$1)</f>
        <v/>
      </c>
      <c r="FN66" s="30" t="str">
        <f t="shared" ref="FN66:FN69" si="874">IF(CH66="","","|n"&amp;FN$2&amp;"+"&amp;CH66&amp;FN$1)</f>
        <v/>
      </c>
      <c r="FO66" s="30" t="str">
        <f t="shared" ref="FO66:FO69" si="875">IF(CI66="","","|n"&amp;FO$2&amp;"+"&amp;CI66&amp;FO$1)</f>
        <v/>
      </c>
      <c r="FP66" s="30" t="str">
        <f t="shared" ref="FP66:FP69" si="876">IF(CJ66="","","|n"&amp;FP$2&amp;"+"&amp;CJ66&amp;FP$1)</f>
        <v/>
      </c>
      <c r="FQ66" s="30" t="str">
        <f t="shared" ref="FQ66:FQ69" si="877">IF(CK66="","","|n"&amp;FQ$2&amp;"+"&amp;CK66&amp;FQ$1)</f>
        <v/>
      </c>
      <c r="FR66" s="30" t="str">
        <f t="shared" ref="FR66:FR69" si="878">IF(CL66="","","|n"&amp;FR$2&amp;"+"&amp;CL66&amp;FR$1)</f>
        <v/>
      </c>
      <c r="FS66" s="30" t="str">
        <f t="shared" ref="FS66:FS69" si="879">IF(CM66="","","|n"&amp;FS$2&amp;"+"&amp;CM66&amp;FS$1)</f>
        <v/>
      </c>
    </row>
    <row r="67" spans="1:175" s="24" customFormat="1" ht="16.5">
      <c r="A67" s="5"/>
      <c r="B67" s="36" t="s">
        <v>780</v>
      </c>
      <c r="C67" s="5" t="s">
        <v>781</v>
      </c>
      <c r="D67" s="31"/>
      <c r="E67" s="39"/>
      <c r="F67" s="40">
        <v>25000</v>
      </c>
      <c r="G67" s="38"/>
      <c r="H67" s="121" t="s">
        <v>938</v>
      </c>
      <c r="I67" s="38" t="str">
        <f t="shared" si="446"/>
        <v>E216</v>
      </c>
      <c r="J67" s="38"/>
      <c r="K67" s="38"/>
      <c r="L67" s="38"/>
      <c r="M67" s="38"/>
      <c r="N67" s="38"/>
      <c r="O67" s="38"/>
      <c r="P67" s="50"/>
      <c r="Q67" s="50"/>
      <c r="R67" s="50"/>
      <c r="S67" s="52"/>
      <c r="T67" s="102"/>
      <c r="U67" s="32" t="str">
        <f t="shared" si="808"/>
        <v>ReplaceableTextures\\CommandButtons\\BTNE215.blp</v>
      </c>
      <c r="V67" s="43"/>
      <c r="W67" s="43"/>
      <c r="X67" s="43">
        <v>30</v>
      </c>
      <c r="Y67" s="43"/>
      <c r="Z67" s="43">
        <v>46000</v>
      </c>
      <c r="AA67" s="43"/>
      <c r="AB67" s="43"/>
      <c r="AC67" s="43"/>
      <c r="AD67" s="43"/>
      <c r="AE67" s="43"/>
      <c r="AF67" s="43"/>
      <c r="AG67" s="43"/>
      <c r="AH67" s="43"/>
      <c r="AI67" s="43"/>
      <c r="AJ67" s="43"/>
      <c r="AK67" s="43"/>
      <c r="AL67" s="43"/>
      <c r="AM67" s="43">
        <v>6</v>
      </c>
      <c r="AN67" s="43"/>
      <c r="AO67" s="43"/>
      <c r="AP67" s="43"/>
      <c r="AQ67" s="43"/>
      <c r="AR67" s="43"/>
      <c r="AS67" s="43"/>
      <c r="AT67" s="43"/>
      <c r="AU67" s="43"/>
      <c r="AV67" s="43"/>
      <c r="AW67" s="43"/>
      <c r="AX67" s="43"/>
      <c r="AY67" s="43"/>
      <c r="AZ67" s="43"/>
      <c r="BA67" s="43"/>
      <c r="BB67" s="43"/>
      <c r="BC67" s="43"/>
      <c r="BD67" s="43"/>
      <c r="BE67" s="43"/>
      <c r="BF67" s="43"/>
      <c r="BG67" s="43"/>
      <c r="BH67" s="43"/>
      <c r="BI67" s="43"/>
      <c r="BJ67" s="43"/>
      <c r="BK67" s="43"/>
      <c r="BL67" s="43"/>
      <c r="BM67" s="43"/>
      <c r="BN67" s="43"/>
      <c r="BO67" s="43"/>
      <c r="BP67" s="43"/>
      <c r="BQ67" s="43"/>
      <c r="BR67" s="43"/>
      <c r="BS67" s="43"/>
      <c r="BT67" s="43"/>
      <c r="BU67" s="43"/>
      <c r="BV67" s="43"/>
      <c r="BW67" s="43"/>
      <c r="BX67" s="43"/>
      <c r="BY67" s="43"/>
      <c r="BZ67" s="43"/>
      <c r="CA67" s="43"/>
      <c r="CB67" s="43"/>
      <c r="CC67" s="43"/>
      <c r="CD67" s="43"/>
      <c r="CE67" s="43"/>
      <c r="CF67" s="43"/>
      <c r="CG67" s="43"/>
      <c r="CH67" s="43"/>
      <c r="CI67" s="43"/>
      <c r="CJ67" s="43"/>
      <c r="CK67" s="43"/>
      <c r="CL67" s="43"/>
      <c r="CM67" s="43"/>
      <c r="CN67" s="44" t="str">
        <f t="shared" ref="CN67:CN77" si="880">"InitUnitState('"&amp;B67&amp;"',"&amp;V67&amp;","&amp;W67&amp;","&amp;X67&amp;","&amp;Y67&amp;","&amp;Z67&amp;","&amp;AA67&amp;","&amp;AB67&amp;","&amp;AC67&amp;","&amp;AD67&amp;","&amp;AE67&amp;")"</f>
        <v>InitUnitState('E215',,,30,,46000,,,,,)</v>
      </c>
      <c r="CO67" s="44" t="str">
        <f t="shared" ref="CO67:CO77" si="881">"InitUnitNormal('"&amp;B67&amp;"',"&amp;AF67&amp;","&amp;AG67&amp;","&amp;AH67&amp;","&amp;AI67&amp;","&amp;AJ67&amp;","&amp;AK67&amp;","&amp;AL67&amp;","&amp;AM67&amp;","&amp;AN67&amp;","&amp;AO67&amp;")"</f>
        <v>InitUnitNormal('E215',,,,,,,,6,,)</v>
      </c>
      <c r="CP67" s="44" t="str">
        <f t="shared" ref="CP67:CP78" si="882">"InitUnitMagic('"&amp;B67&amp;"',"&amp;AP67&amp;","&amp;AQ67&amp;","&amp;AR67&amp;","&amp;AS67&amp;","&amp;AT67&amp;","&amp;AU67&amp;","&amp;AV67&amp;","&amp;AW67&amp;","&amp;BI67&amp;","&amp;BJ67&amp;")"</f>
        <v>InitUnitMagic('E215',,,,,,,,,,)</v>
      </c>
      <c r="CQ67" s="44" t="str">
        <f t="shared" ref="CQ67:CQ78" si="883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44" t="str">
        <f t="shared" si="664"/>
        <v>InitEquipData('E215',,"",,E216,25000,,'','','','','','',"ReplaceableTextures\\CommandButtons\\BTNE216.blp")</v>
      </c>
      <c r="CS67" s="44"/>
      <c r="CT67" s="44"/>
      <c r="CU67" s="45" t="str">
        <f t="shared" si="809"/>
        <v>|n护甲+30|n生命值+46000|n伤害减免+6%|n</v>
      </c>
      <c r="CV67" s="29" t="str">
        <f>"|cffffcc00属性：|r"&amp;CU67&amp;VLOOKUP(A67,合成公式!A:P,16,FALSE)&amp;T67</f>
        <v>|cffffcc00属性：|r|n护甲+30|n生命值+46000|n伤害减免+6%|n</v>
      </c>
      <c r="DB67" s="30" t="str">
        <f t="shared" si="810"/>
        <v/>
      </c>
      <c r="DC67" s="30" t="str">
        <f t="shared" si="811"/>
        <v/>
      </c>
      <c r="DD67" s="30" t="str">
        <f t="shared" si="812"/>
        <v>|n护甲+30</v>
      </c>
      <c r="DE67" s="30" t="str">
        <f t="shared" si="813"/>
        <v/>
      </c>
      <c r="DF67" s="30" t="str">
        <f t="shared" si="814"/>
        <v>|n生命值+46000</v>
      </c>
      <c r="DG67" s="30" t="str">
        <f t="shared" si="815"/>
        <v/>
      </c>
      <c r="DH67" s="30" t="str">
        <f t="shared" si="816"/>
        <v/>
      </c>
      <c r="DI67" s="30" t="str">
        <f t="shared" si="817"/>
        <v/>
      </c>
      <c r="DJ67" s="30" t="str">
        <f t="shared" si="818"/>
        <v/>
      </c>
      <c r="DK67" s="30" t="str">
        <f t="shared" si="819"/>
        <v/>
      </c>
      <c r="DL67" s="30" t="str">
        <f t="shared" si="820"/>
        <v/>
      </c>
      <c r="DM67" s="30" t="str">
        <f t="shared" si="821"/>
        <v/>
      </c>
      <c r="DN67" s="30" t="str">
        <f t="shared" si="822"/>
        <v/>
      </c>
      <c r="DO67" s="30" t="str">
        <f t="shared" si="823"/>
        <v/>
      </c>
      <c r="DP67" s="30" t="str">
        <f t="shared" si="824"/>
        <v/>
      </c>
      <c r="DQ67" s="30" t="str">
        <f t="shared" si="825"/>
        <v/>
      </c>
      <c r="DR67" s="30" t="str">
        <f t="shared" si="826"/>
        <v/>
      </c>
      <c r="DS67" s="30" t="str">
        <f t="shared" si="827"/>
        <v>|n伤害减免+6%</v>
      </c>
      <c r="DT67" s="30" t="str">
        <f t="shared" si="828"/>
        <v/>
      </c>
      <c r="DU67" s="30" t="str">
        <f t="shared" si="829"/>
        <v/>
      </c>
      <c r="DV67" s="30" t="str">
        <f t="shared" si="830"/>
        <v/>
      </c>
      <c r="DW67" s="30" t="str">
        <f t="shared" si="831"/>
        <v/>
      </c>
      <c r="DX67" s="30" t="str">
        <f t="shared" si="832"/>
        <v/>
      </c>
      <c r="DY67" s="30" t="str">
        <f t="shared" si="833"/>
        <v/>
      </c>
      <c r="DZ67" s="30" t="str">
        <f t="shared" si="834"/>
        <v/>
      </c>
      <c r="EA67" s="30" t="str">
        <f t="shared" si="835"/>
        <v/>
      </c>
      <c r="EB67" s="30" t="str">
        <f t="shared" si="836"/>
        <v/>
      </c>
      <c r="EC67" s="30" t="str">
        <f t="shared" si="837"/>
        <v/>
      </c>
      <c r="ED67" s="30" t="str">
        <f t="shared" si="838"/>
        <v/>
      </c>
      <c r="EE67" s="30" t="str">
        <f t="shared" si="839"/>
        <v/>
      </c>
      <c r="EF67" s="30" t="str">
        <f t="shared" si="840"/>
        <v/>
      </c>
      <c r="EG67" s="30" t="str">
        <f t="shared" si="841"/>
        <v/>
      </c>
      <c r="EH67" s="30" t="str">
        <f t="shared" si="842"/>
        <v/>
      </c>
      <c r="EI67" s="30" t="str">
        <f t="shared" si="843"/>
        <v/>
      </c>
      <c r="EJ67" s="30" t="str">
        <f t="shared" si="844"/>
        <v/>
      </c>
      <c r="EK67" s="30" t="str">
        <f t="shared" si="845"/>
        <v/>
      </c>
      <c r="EL67" s="30" t="str">
        <f t="shared" si="846"/>
        <v/>
      </c>
      <c r="EM67" s="30" t="str">
        <f t="shared" si="847"/>
        <v/>
      </c>
      <c r="EN67" s="30" t="str">
        <f t="shared" si="848"/>
        <v/>
      </c>
      <c r="EO67" s="30" t="str">
        <f t="shared" si="849"/>
        <v/>
      </c>
      <c r="EP67" s="30" t="str">
        <f t="shared" si="850"/>
        <v/>
      </c>
      <c r="EQ67" s="30" t="str">
        <f t="shared" si="851"/>
        <v/>
      </c>
      <c r="ER67" s="30" t="str">
        <f t="shared" si="852"/>
        <v/>
      </c>
      <c r="ES67" s="30" t="str">
        <f t="shared" si="853"/>
        <v/>
      </c>
      <c r="ET67" s="30" t="str">
        <f t="shared" si="854"/>
        <v/>
      </c>
      <c r="EU67" s="30" t="str">
        <f t="shared" si="855"/>
        <v/>
      </c>
      <c r="EV67" s="30" t="str">
        <f t="shared" si="856"/>
        <v/>
      </c>
      <c r="EW67" s="30" t="str">
        <f t="shared" si="857"/>
        <v/>
      </c>
      <c r="EX67" s="30" t="str">
        <f t="shared" si="858"/>
        <v/>
      </c>
      <c r="EY67" s="30" t="str">
        <f t="shared" si="859"/>
        <v/>
      </c>
      <c r="EZ67" s="30" t="str">
        <f t="shared" si="860"/>
        <v/>
      </c>
      <c r="FA67" s="30" t="str">
        <f t="shared" si="861"/>
        <v/>
      </c>
      <c r="FB67" s="30" t="str">
        <f t="shared" si="862"/>
        <v/>
      </c>
      <c r="FC67" s="30" t="str">
        <f t="shared" si="863"/>
        <v/>
      </c>
      <c r="FD67" s="30" t="str">
        <f t="shared" si="864"/>
        <v/>
      </c>
      <c r="FE67" s="30" t="str">
        <f t="shared" si="865"/>
        <v/>
      </c>
      <c r="FF67" s="30" t="str">
        <f t="shared" si="866"/>
        <v/>
      </c>
      <c r="FG67" s="30" t="str">
        <f t="shared" si="867"/>
        <v/>
      </c>
      <c r="FH67" s="30" t="str">
        <f t="shared" si="868"/>
        <v/>
      </c>
      <c r="FI67" s="30" t="str">
        <f t="shared" si="869"/>
        <v/>
      </c>
      <c r="FJ67" s="30" t="str">
        <f t="shared" si="870"/>
        <v/>
      </c>
      <c r="FK67" s="30" t="str">
        <f t="shared" si="871"/>
        <v/>
      </c>
      <c r="FL67" s="30" t="str">
        <f t="shared" si="872"/>
        <v/>
      </c>
      <c r="FM67" s="30" t="str">
        <f t="shared" si="873"/>
        <v/>
      </c>
      <c r="FN67" s="30" t="str">
        <f t="shared" si="874"/>
        <v/>
      </c>
      <c r="FO67" s="30" t="str">
        <f t="shared" si="875"/>
        <v/>
      </c>
      <c r="FP67" s="30" t="str">
        <f t="shared" si="876"/>
        <v/>
      </c>
      <c r="FQ67" s="30" t="str">
        <f t="shared" si="877"/>
        <v/>
      </c>
      <c r="FR67" s="30" t="str">
        <f t="shared" si="878"/>
        <v/>
      </c>
      <c r="FS67" s="30" t="str">
        <f t="shared" si="879"/>
        <v/>
      </c>
    </row>
    <row r="68" spans="1:175" s="24" customFormat="1" ht="16.5">
      <c r="A68" s="5"/>
      <c r="B68" s="36" t="s">
        <v>782</v>
      </c>
      <c r="C68" s="5" t="s">
        <v>783</v>
      </c>
      <c r="D68" s="31"/>
      <c r="E68" s="39"/>
      <c r="F68" s="40">
        <v>26000</v>
      </c>
      <c r="G68" s="38"/>
      <c r="H68" s="38"/>
      <c r="I68" s="38" t="str">
        <f t="shared" si="446"/>
        <v>E217</v>
      </c>
      <c r="J68" s="38"/>
      <c r="K68" s="38"/>
      <c r="L68" s="38"/>
      <c r="M68" s="38"/>
      <c r="N68" s="38"/>
      <c r="O68" s="38"/>
      <c r="P68" s="50"/>
      <c r="Q68" s="50"/>
      <c r="R68" s="50"/>
      <c r="S68" s="52"/>
      <c r="T68" s="102"/>
      <c r="U68" s="32" t="str">
        <f t="shared" si="808"/>
        <v>ReplaceableTextures\\CommandButtons\\BTNE216.blp</v>
      </c>
      <c r="V68" s="43"/>
      <c r="W68" s="43"/>
      <c r="X68" s="43">
        <v>34</v>
      </c>
      <c r="Y68" s="43"/>
      <c r="Z68" s="43">
        <v>54800</v>
      </c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>
        <v>9</v>
      </c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  <c r="BY68" s="43"/>
      <c r="BZ68" s="43"/>
      <c r="CA68" s="43"/>
      <c r="CB68" s="43"/>
      <c r="CC68" s="43"/>
      <c r="CD68" s="43"/>
      <c r="CE68" s="43"/>
      <c r="CF68" s="43"/>
      <c r="CG68" s="43"/>
      <c r="CH68" s="43"/>
      <c r="CI68" s="43"/>
      <c r="CJ68" s="43"/>
      <c r="CK68" s="43"/>
      <c r="CL68" s="43"/>
      <c r="CM68" s="43"/>
      <c r="CN68" s="44" t="str">
        <f t="shared" si="880"/>
        <v>InitUnitState('E216',,,34,,54800,,,,,)</v>
      </c>
      <c r="CO68" s="44" t="str">
        <f t="shared" si="881"/>
        <v>InitUnitNormal('E216',,,,,,,,9,,)</v>
      </c>
      <c r="CP68" s="44" t="str">
        <f t="shared" si="882"/>
        <v>InitUnitMagic('E216',,,,,,,,,,)</v>
      </c>
      <c r="CQ68" s="44" t="str">
        <f t="shared" si="883"/>
        <v>InitUnitAdd('E216',,,,,,,,,,)</v>
      </c>
      <c r="CR68" s="44" t="str">
        <f t="shared" si="664"/>
        <v>InitEquipData('E216',,"",,E217,26000,,'','','','','','',"ReplaceableTextures\\CommandButtons\\BTNE217.blp")</v>
      </c>
      <c r="CS68" s="44"/>
      <c r="CT68" s="44"/>
      <c r="CU68" s="45" t="str">
        <f t="shared" si="809"/>
        <v>|n护甲+34|n生命值+54800|n伤害减免+9%|n</v>
      </c>
      <c r="CV68" s="29" t="str">
        <f>"|cffffcc00属性：|r"&amp;CU68&amp;VLOOKUP(A68,合成公式!A:P,16,FALSE)&amp;T68</f>
        <v>|cffffcc00属性：|r|n护甲+34|n生命值+54800|n伤害减免+9%|n</v>
      </c>
      <c r="DB68" s="30" t="str">
        <f t="shared" si="810"/>
        <v/>
      </c>
      <c r="DC68" s="30" t="str">
        <f t="shared" si="811"/>
        <v/>
      </c>
      <c r="DD68" s="30" t="str">
        <f t="shared" si="812"/>
        <v>|n护甲+34</v>
      </c>
      <c r="DE68" s="30" t="str">
        <f t="shared" si="813"/>
        <v/>
      </c>
      <c r="DF68" s="30" t="str">
        <f t="shared" si="814"/>
        <v>|n生命值+54800</v>
      </c>
      <c r="DG68" s="30" t="str">
        <f t="shared" si="815"/>
        <v/>
      </c>
      <c r="DH68" s="30" t="str">
        <f t="shared" si="816"/>
        <v/>
      </c>
      <c r="DI68" s="30" t="str">
        <f t="shared" si="817"/>
        <v/>
      </c>
      <c r="DJ68" s="30" t="str">
        <f t="shared" si="818"/>
        <v/>
      </c>
      <c r="DK68" s="30" t="str">
        <f t="shared" si="819"/>
        <v/>
      </c>
      <c r="DL68" s="30" t="str">
        <f t="shared" si="820"/>
        <v/>
      </c>
      <c r="DM68" s="30" t="str">
        <f t="shared" si="821"/>
        <v/>
      </c>
      <c r="DN68" s="30" t="str">
        <f t="shared" si="822"/>
        <v/>
      </c>
      <c r="DO68" s="30" t="str">
        <f t="shared" si="823"/>
        <v/>
      </c>
      <c r="DP68" s="30" t="str">
        <f t="shared" si="824"/>
        <v/>
      </c>
      <c r="DQ68" s="30" t="str">
        <f t="shared" si="825"/>
        <v/>
      </c>
      <c r="DR68" s="30" t="str">
        <f t="shared" si="826"/>
        <v/>
      </c>
      <c r="DS68" s="30" t="str">
        <f t="shared" si="827"/>
        <v>|n伤害减免+9%</v>
      </c>
      <c r="DT68" s="30" t="str">
        <f t="shared" si="828"/>
        <v/>
      </c>
      <c r="DU68" s="30" t="str">
        <f t="shared" si="829"/>
        <v/>
      </c>
      <c r="DV68" s="30" t="str">
        <f t="shared" si="830"/>
        <v/>
      </c>
      <c r="DW68" s="30" t="str">
        <f t="shared" si="831"/>
        <v/>
      </c>
      <c r="DX68" s="30" t="str">
        <f t="shared" si="832"/>
        <v/>
      </c>
      <c r="DY68" s="30" t="str">
        <f t="shared" si="833"/>
        <v/>
      </c>
      <c r="DZ68" s="30" t="str">
        <f t="shared" si="834"/>
        <v/>
      </c>
      <c r="EA68" s="30" t="str">
        <f t="shared" si="835"/>
        <v/>
      </c>
      <c r="EB68" s="30" t="str">
        <f t="shared" si="836"/>
        <v/>
      </c>
      <c r="EC68" s="30" t="str">
        <f t="shared" si="837"/>
        <v/>
      </c>
      <c r="ED68" s="30" t="str">
        <f t="shared" si="838"/>
        <v/>
      </c>
      <c r="EE68" s="30" t="str">
        <f t="shared" si="839"/>
        <v/>
      </c>
      <c r="EF68" s="30" t="str">
        <f t="shared" si="840"/>
        <v/>
      </c>
      <c r="EG68" s="30" t="str">
        <f t="shared" si="841"/>
        <v/>
      </c>
      <c r="EH68" s="30" t="str">
        <f t="shared" si="842"/>
        <v/>
      </c>
      <c r="EI68" s="30" t="str">
        <f t="shared" si="843"/>
        <v/>
      </c>
      <c r="EJ68" s="30" t="str">
        <f t="shared" si="844"/>
        <v/>
      </c>
      <c r="EK68" s="30" t="str">
        <f t="shared" si="845"/>
        <v/>
      </c>
      <c r="EL68" s="30" t="str">
        <f t="shared" si="846"/>
        <v/>
      </c>
      <c r="EM68" s="30" t="str">
        <f t="shared" si="847"/>
        <v/>
      </c>
      <c r="EN68" s="30" t="str">
        <f t="shared" si="848"/>
        <v/>
      </c>
      <c r="EO68" s="30" t="str">
        <f t="shared" si="849"/>
        <v/>
      </c>
      <c r="EP68" s="30" t="str">
        <f t="shared" si="850"/>
        <v/>
      </c>
      <c r="EQ68" s="30" t="str">
        <f t="shared" si="851"/>
        <v/>
      </c>
      <c r="ER68" s="30" t="str">
        <f t="shared" si="852"/>
        <v/>
      </c>
      <c r="ES68" s="30" t="str">
        <f t="shared" si="853"/>
        <v/>
      </c>
      <c r="ET68" s="30" t="str">
        <f t="shared" si="854"/>
        <v/>
      </c>
      <c r="EU68" s="30" t="str">
        <f t="shared" si="855"/>
        <v/>
      </c>
      <c r="EV68" s="30" t="str">
        <f t="shared" si="856"/>
        <v/>
      </c>
      <c r="EW68" s="30" t="str">
        <f t="shared" si="857"/>
        <v/>
      </c>
      <c r="EX68" s="30" t="str">
        <f t="shared" si="858"/>
        <v/>
      </c>
      <c r="EY68" s="30" t="str">
        <f t="shared" si="859"/>
        <v/>
      </c>
      <c r="EZ68" s="30" t="str">
        <f t="shared" si="860"/>
        <v/>
      </c>
      <c r="FA68" s="30" t="str">
        <f t="shared" si="861"/>
        <v/>
      </c>
      <c r="FB68" s="30" t="str">
        <f t="shared" si="862"/>
        <v/>
      </c>
      <c r="FC68" s="30" t="str">
        <f t="shared" si="863"/>
        <v/>
      </c>
      <c r="FD68" s="30" t="str">
        <f t="shared" si="864"/>
        <v/>
      </c>
      <c r="FE68" s="30" t="str">
        <f t="shared" si="865"/>
        <v/>
      </c>
      <c r="FF68" s="30" t="str">
        <f t="shared" si="866"/>
        <v/>
      </c>
      <c r="FG68" s="30" t="str">
        <f t="shared" si="867"/>
        <v/>
      </c>
      <c r="FH68" s="30" t="str">
        <f t="shared" si="868"/>
        <v/>
      </c>
      <c r="FI68" s="30" t="str">
        <f t="shared" si="869"/>
        <v/>
      </c>
      <c r="FJ68" s="30" t="str">
        <f t="shared" si="870"/>
        <v/>
      </c>
      <c r="FK68" s="30" t="str">
        <f t="shared" si="871"/>
        <v/>
      </c>
      <c r="FL68" s="30" t="str">
        <f t="shared" si="872"/>
        <v/>
      </c>
      <c r="FM68" s="30" t="str">
        <f t="shared" si="873"/>
        <v/>
      </c>
      <c r="FN68" s="30" t="str">
        <f t="shared" si="874"/>
        <v/>
      </c>
      <c r="FO68" s="30" t="str">
        <f t="shared" si="875"/>
        <v/>
      </c>
      <c r="FP68" s="30" t="str">
        <f t="shared" si="876"/>
        <v/>
      </c>
      <c r="FQ68" s="30" t="str">
        <f t="shared" si="877"/>
        <v/>
      </c>
      <c r="FR68" s="30" t="str">
        <f t="shared" si="878"/>
        <v/>
      </c>
      <c r="FS68" s="30" t="str">
        <f t="shared" si="879"/>
        <v/>
      </c>
    </row>
    <row r="69" spans="1:175" s="24" customFormat="1" ht="16.5">
      <c r="A69" s="5"/>
      <c r="B69" s="36" t="s">
        <v>784</v>
      </c>
      <c r="C69" s="5" t="s">
        <v>785</v>
      </c>
      <c r="D69" s="31"/>
      <c r="E69" s="39"/>
      <c r="F69" s="40">
        <v>27000</v>
      </c>
      <c r="G69" s="38"/>
      <c r="H69" s="38"/>
      <c r="I69" s="38" t="str">
        <f t="shared" si="446"/>
        <v>E218</v>
      </c>
      <c r="J69" s="38"/>
      <c r="K69" s="38"/>
      <c r="L69" s="38"/>
      <c r="M69" s="38"/>
      <c r="N69" s="38"/>
      <c r="O69" s="38"/>
      <c r="P69" s="50"/>
      <c r="Q69" s="50"/>
      <c r="R69" s="50"/>
      <c r="S69" s="52"/>
      <c r="T69" s="102"/>
      <c r="U69" s="32" t="str">
        <f t="shared" si="808"/>
        <v>ReplaceableTextures\\CommandButtons\\BTNE217.blp</v>
      </c>
      <c r="V69" s="43"/>
      <c r="W69" s="43"/>
      <c r="X69" s="43">
        <v>38</v>
      </c>
      <c r="Y69" s="43"/>
      <c r="Z69" s="43">
        <v>63600</v>
      </c>
      <c r="AA69" s="43"/>
      <c r="AB69" s="43"/>
      <c r="AC69" s="43"/>
      <c r="AD69" s="43"/>
      <c r="AE69" s="43"/>
      <c r="AF69" s="43"/>
      <c r="AG69" s="43"/>
      <c r="AH69" s="43"/>
      <c r="AI69" s="43"/>
      <c r="AJ69" s="43"/>
      <c r="AK69" s="43"/>
      <c r="AL69" s="43"/>
      <c r="AM69" s="43">
        <v>9</v>
      </c>
      <c r="AN69" s="43"/>
      <c r="AO69" s="43"/>
      <c r="AP69" s="43"/>
      <c r="AQ69" s="43"/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43"/>
      <c r="BC69" s="43"/>
      <c r="BD69" s="43"/>
      <c r="BE69" s="43"/>
      <c r="BF69" s="43"/>
      <c r="BG69" s="43"/>
      <c r="BH69" s="43"/>
      <c r="BI69" s="43"/>
      <c r="BJ69" s="43"/>
      <c r="BK69" s="43"/>
      <c r="BL69" s="43"/>
      <c r="BM69" s="43"/>
      <c r="BN69" s="43"/>
      <c r="BO69" s="43"/>
      <c r="BP69" s="43"/>
      <c r="BQ69" s="43"/>
      <c r="BR69" s="43"/>
      <c r="BS69" s="43"/>
      <c r="BT69" s="43"/>
      <c r="BU69" s="43"/>
      <c r="BV69" s="43"/>
      <c r="BW69" s="43"/>
      <c r="BX69" s="43"/>
      <c r="BY69" s="43"/>
      <c r="BZ69" s="43"/>
      <c r="CA69" s="43"/>
      <c r="CB69" s="43"/>
      <c r="CC69" s="43"/>
      <c r="CD69" s="43"/>
      <c r="CE69" s="43"/>
      <c r="CF69" s="43"/>
      <c r="CG69" s="43"/>
      <c r="CH69" s="43"/>
      <c r="CI69" s="43"/>
      <c r="CJ69" s="43"/>
      <c r="CK69" s="43"/>
      <c r="CL69" s="43"/>
      <c r="CM69" s="43"/>
      <c r="CN69" s="44" t="str">
        <f t="shared" si="880"/>
        <v>InitUnitState('E217',,,38,,63600,,,,,)</v>
      </c>
      <c r="CO69" s="44" t="str">
        <f t="shared" si="881"/>
        <v>InitUnitNormal('E217',,,,,,,,9,,)</v>
      </c>
      <c r="CP69" s="44" t="str">
        <f t="shared" si="882"/>
        <v>InitUnitMagic('E217',,,,,,,,,,)</v>
      </c>
      <c r="CQ69" s="44" t="str">
        <f t="shared" si="883"/>
        <v>InitUnitAdd('E217',,,,,,,,,,)</v>
      </c>
      <c r="CR69" s="44" t="str">
        <f t="shared" si="664"/>
        <v>InitEquipData('E217',,"",,E218,27000,,'','','','','','',"ReplaceableTextures\\CommandButtons\\BTNE218.blp")</v>
      </c>
      <c r="CS69" s="44"/>
      <c r="CT69" s="44"/>
      <c r="CU69" s="45" t="str">
        <f t="shared" si="809"/>
        <v>|n护甲+38|n生命值+63600|n伤害减免+9%|n</v>
      </c>
      <c r="CV69" s="29" t="str">
        <f>"|cffffcc00属性：|r"&amp;CU69&amp;VLOOKUP(A69,合成公式!A:P,16,FALSE)&amp;T69</f>
        <v>|cffffcc00属性：|r|n护甲+38|n生命值+63600|n伤害减免+9%|n</v>
      </c>
      <c r="DB69" s="30" t="str">
        <f t="shared" si="810"/>
        <v/>
      </c>
      <c r="DC69" s="30" t="str">
        <f t="shared" si="811"/>
        <v/>
      </c>
      <c r="DD69" s="30" t="str">
        <f t="shared" si="812"/>
        <v>|n护甲+38</v>
      </c>
      <c r="DE69" s="30" t="str">
        <f t="shared" si="813"/>
        <v/>
      </c>
      <c r="DF69" s="30" t="str">
        <f t="shared" si="814"/>
        <v>|n生命值+63600</v>
      </c>
      <c r="DG69" s="30" t="str">
        <f t="shared" si="815"/>
        <v/>
      </c>
      <c r="DH69" s="30" t="str">
        <f t="shared" si="816"/>
        <v/>
      </c>
      <c r="DI69" s="30" t="str">
        <f t="shared" si="817"/>
        <v/>
      </c>
      <c r="DJ69" s="30" t="str">
        <f t="shared" si="818"/>
        <v/>
      </c>
      <c r="DK69" s="30" t="str">
        <f t="shared" si="819"/>
        <v/>
      </c>
      <c r="DL69" s="30" t="str">
        <f t="shared" si="820"/>
        <v/>
      </c>
      <c r="DM69" s="30" t="str">
        <f t="shared" si="821"/>
        <v/>
      </c>
      <c r="DN69" s="30" t="str">
        <f t="shared" si="822"/>
        <v/>
      </c>
      <c r="DO69" s="30" t="str">
        <f t="shared" si="823"/>
        <v/>
      </c>
      <c r="DP69" s="30" t="str">
        <f t="shared" si="824"/>
        <v/>
      </c>
      <c r="DQ69" s="30" t="str">
        <f t="shared" si="825"/>
        <v/>
      </c>
      <c r="DR69" s="30" t="str">
        <f t="shared" si="826"/>
        <v/>
      </c>
      <c r="DS69" s="30" t="str">
        <f t="shared" si="827"/>
        <v>|n伤害减免+9%</v>
      </c>
      <c r="DT69" s="30" t="str">
        <f t="shared" si="828"/>
        <v/>
      </c>
      <c r="DU69" s="30" t="str">
        <f t="shared" si="829"/>
        <v/>
      </c>
      <c r="DV69" s="30" t="str">
        <f t="shared" si="830"/>
        <v/>
      </c>
      <c r="DW69" s="30" t="str">
        <f t="shared" si="831"/>
        <v/>
      </c>
      <c r="DX69" s="30" t="str">
        <f t="shared" si="832"/>
        <v/>
      </c>
      <c r="DY69" s="30" t="str">
        <f t="shared" si="833"/>
        <v/>
      </c>
      <c r="DZ69" s="30" t="str">
        <f t="shared" si="834"/>
        <v/>
      </c>
      <c r="EA69" s="30" t="str">
        <f t="shared" si="835"/>
        <v/>
      </c>
      <c r="EB69" s="30" t="str">
        <f t="shared" si="836"/>
        <v/>
      </c>
      <c r="EC69" s="30" t="str">
        <f t="shared" si="837"/>
        <v/>
      </c>
      <c r="ED69" s="30" t="str">
        <f t="shared" si="838"/>
        <v/>
      </c>
      <c r="EE69" s="30" t="str">
        <f t="shared" si="839"/>
        <v/>
      </c>
      <c r="EF69" s="30" t="str">
        <f t="shared" si="840"/>
        <v/>
      </c>
      <c r="EG69" s="30" t="str">
        <f t="shared" si="841"/>
        <v/>
      </c>
      <c r="EH69" s="30" t="str">
        <f t="shared" si="842"/>
        <v/>
      </c>
      <c r="EI69" s="30" t="str">
        <f t="shared" si="843"/>
        <v/>
      </c>
      <c r="EJ69" s="30" t="str">
        <f t="shared" si="844"/>
        <v/>
      </c>
      <c r="EK69" s="30" t="str">
        <f t="shared" si="845"/>
        <v/>
      </c>
      <c r="EL69" s="30" t="str">
        <f t="shared" si="846"/>
        <v/>
      </c>
      <c r="EM69" s="30" t="str">
        <f t="shared" si="847"/>
        <v/>
      </c>
      <c r="EN69" s="30" t="str">
        <f t="shared" si="848"/>
        <v/>
      </c>
      <c r="EO69" s="30" t="str">
        <f t="shared" si="849"/>
        <v/>
      </c>
      <c r="EP69" s="30" t="str">
        <f t="shared" si="850"/>
        <v/>
      </c>
      <c r="EQ69" s="30" t="str">
        <f t="shared" si="851"/>
        <v/>
      </c>
      <c r="ER69" s="30" t="str">
        <f t="shared" si="852"/>
        <v/>
      </c>
      <c r="ES69" s="30" t="str">
        <f t="shared" si="853"/>
        <v/>
      </c>
      <c r="ET69" s="30" t="str">
        <f t="shared" si="854"/>
        <v/>
      </c>
      <c r="EU69" s="30" t="str">
        <f t="shared" si="855"/>
        <v/>
      </c>
      <c r="EV69" s="30" t="str">
        <f t="shared" si="856"/>
        <v/>
      </c>
      <c r="EW69" s="30" t="str">
        <f t="shared" si="857"/>
        <v/>
      </c>
      <c r="EX69" s="30" t="str">
        <f t="shared" si="858"/>
        <v/>
      </c>
      <c r="EY69" s="30" t="str">
        <f t="shared" si="859"/>
        <v/>
      </c>
      <c r="EZ69" s="30" t="str">
        <f t="shared" si="860"/>
        <v/>
      </c>
      <c r="FA69" s="30" t="str">
        <f t="shared" si="861"/>
        <v/>
      </c>
      <c r="FB69" s="30" t="str">
        <f t="shared" si="862"/>
        <v/>
      </c>
      <c r="FC69" s="30" t="str">
        <f t="shared" si="863"/>
        <v/>
      </c>
      <c r="FD69" s="30" t="str">
        <f t="shared" si="864"/>
        <v/>
      </c>
      <c r="FE69" s="30" t="str">
        <f t="shared" si="865"/>
        <v/>
      </c>
      <c r="FF69" s="30" t="str">
        <f t="shared" si="866"/>
        <v/>
      </c>
      <c r="FG69" s="30" t="str">
        <f t="shared" si="867"/>
        <v/>
      </c>
      <c r="FH69" s="30" t="str">
        <f t="shared" si="868"/>
        <v/>
      </c>
      <c r="FI69" s="30" t="str">
        <f t="shared" si="869"/>
        <v/>
      </c>
      <c r="FJ69" s="30" t="str">
        <f t="shared" si="870"/>
        <v/>
      </c>
      <c r="FK69" s="30" t="str">
        <f t="shared" si="871"/>
        <v/>
      </c>
      <c r="FL69" s="30" t="str">
        <f t="shared" si="872"/>
        <v/>
      </c>
      <c r="FM69" s="30" t="str">
        <f t="shared" si="873"/>
        <v/>
      </c>
      <c r="FN69" s="30" t="str">
        <f t="shared" si="874"/>
        <v/>
      </c>
      <c r="FO69" s="30" t="str">
        <f t="shared" si="875"/>
        <v/>
      </c>
      <c r="FP69" s="30" t="str">
        <f t="shared" si="876"/>
        <v/>
      </c>
      <c r="FQ69" s="30" t="str">
        <f t="shared" si="877"/>
        <v/>
      </c>
      <c r="FR69" s="30" t="str">
        <f t="shared" si="878"/>
        <v/>
      </c>
      <c r="FS69" s="30" t="str">
        <f t="shared" si="879"/>
        <v/>
      </c>
    </row>
    <row r="70" spans="1:175" s="24" customFormat="1" ht="16.5">
      <c r="A70" s="5"/>
      <c r="B70" s="36" t="s">
        <v>786</v>
      </c>
      <c r="C70" s="5" t="s">
        <v>787</v>
      </c>
      <c r="D70" s="31"/>
      <c r="E70" s="39"/>
      <c r="F70" s="40">
        <v>28000</v>
      </c>
      <c r="G70" s="38"/>
      <c r="H70" s="38"/>
      <c r="I70" s="38" t="str">
        <f t="shared" si="446"/>
        <v>E219</v>
      </c>
      <c r="J70" s="38"/>
      <c r="K70" s="38"/>
      <c r="L70" s="38"/>
      <c r="M70" s="38"/>
      <c r="N70" s="38"/>
      <c r="O70" s="38"/>
      <c r="P70" s="50"/>
      <c r="Q70" s="50"/>
      <c r="R70" s="50"/>
      <c r="S70" s="52"/>
      <c r="T70" s="102"/>
      <c r="U70" s="32" t="str">
        <f t="shared" ref="U70:U77" si="884">"ReplaceableTextures\\CommandButtons\\BTN"&amp;B70&amp;".blp"</f>
        <v>ReplaceableTextures\\CommandButtons\\BTNE218.blp</v>
      </c>
      <c r="V70" s="43"/>
      <c r="W70" s="43"/>
      <c r="X70" s="43">
        <v>42</v>
      </c>
      <c r="Y70" s="43"/>
      <c r="Z70" s="43">
        <v>72400</v>
      </c>
      <c r="AA70" s="43"/>
      <c r="AB70" s="43"/>
      <c r="AC70" s="43"/>
      <c r="AD70" s="43"/>
      <c r="AE70" s="43"/>
      <c r="AF70" s="43"/>
      <c r="AG70" s="43"/>
      <c r="AH70" s="43"/>
      <c r="AI70" s="43"/>
      <c r="AJ70" s="43"/>
      <c r="AK70" s="43"/>
      <c r="AL70" s="43"/>
      <c r="AM70" s="43">
        <v>9</v>
      </c>
      <c r="AN70" s="43"/>
      <c r="AO70" s="43"/>
      <c r="AP70" s="43"/>
      <c r="AQ70" s="43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  <c r="BY70" s="43"/>
      <c r="BZ70" s="43"/>
      <c r="CA70" s="43"/>
      <c r="CB70" s="43"/>
      <c r="CC70" s="43"/>
      <c r="CD70" s="43"/>
      <c r="CE70" s="43"/>
      <c r="CF70" s="43"/>
      <c r="CG70" s="43"/>
      <c r="CH70" s="43"/>
      <c r="CI70" s="43"/>
      <c r="CJ70" s="43"/>
      <c r="CK70" s="43"/>
      <c r="CL70" s="43"/>
      <c r="CM70" s="43"/>
      <c r="CN70" s="44" t="str">
        <f t="shared" si="880"/>
        <v>InitUnitState('E218',,,42,,72400,,,,,)</v>
      </c>
      <c r="CO70" s="44" t="str">
        <f t="shared" si="881"/>
        <v>InitUnitNormal('E218',,,,,,,,9,,)</v>
      </c>
      <c r="CP70" s="44" t="str">
        <f t="shared" si="882"/>
        <v>InitUnitMagic('E218',,,,,,,,,,)</v>
      </c>
      <c r="CQ70" s="44" t="str">
        <f t="shared" si="883"/>
        <v>InitUnitAdd('E218',,,,,,,,,,)</v>
      </c>
      <c r="CR70" s="44" t="str">
        <f t="shared" si="664"/>
        <v>InitEquipData('E218',,"",,E219,28000,,'','','','','','',"ReplaceableTextures\\CommandButtons\\BTNE219.blp")</v>
      </c>
      <c r="CS70" s="44"/>
      <c r="CT70" s="44"/>
      <c r="CU70" s="45" t="str">
        <f t="shared" ref="CU70:CU77" si="885">CONCATENATE(DB70,DC70,DD70,DE70,DF70,DG70,DH70,DI70,DJ70,DK70,DL70,DM70,DN70,DO70,DP70,DQ70,DR70,DS70,DT70,DU70,DV70,DW70,DX70,DY70,DZ70,EA70,EB70,EC70,ED70,EE70,EF70,EG70,EH70,EI70,EJ70,EK70,EL70,EM70,EN70,EO70,EP70&amp;"|n")</f>
        <v>|n护甲+42|n生命值+72400|n伤害减免+9%|n</v>
      </c>
      <c r="CV70" s="29" t="str">
        <f>"|cffffcc00属性：|r"&amp;CU70&amp;VLOOKUP(A70,合成公式!A:P,16,FALSE)&amp;T70</f>
        <v>|cffffcc00属性：|r|n护甲+42|n生命值+72400|n伤害减免+9%|n</v>
      </c>
      <c r="DB70" s="30" t="str">
        <f t="shared" ref="DB70:DB77" si="886">IF(V70="","","|n"&amp;DB$2&amp;"+"&amp;V70&amp;DB$1)</f>
        <v/>
      </c>
      <c r="DC70" s="30" t="str">
        <f t="shared" ref="DC70:DC77" si="887">IF(W70="","","|n"&amp;DC$2&amp;"+"&amp;W70&amp;DC$1)</f>
        <v/>
      </c>
      <c r="DD70" s="30" t="str">
        <f t="shared" ref="DD70:DD77" si="888">IF(X70="","","|n"&amp;DD$2&amp;"+"&amp;X70&amp;DD$1)</f>
        <v>|n护甲+42</v>
      </c>
      <c r="DE70" s="30" t="str">
        <f t="shared" ref="DE70:DE77" si="889">IF(Y70="","","|n"&amp;DE$2&amp;"+"&amp;Y70&amp;DE$1)</f>
        <v/>
      </c>
      <c r="DF70" s="30" t="str">
        <f t="shared" ref="DF70:DF77" si="890">IF(Z70="","","|n"&amp;DF$2&amp;"+"&amp;Z70&amp;DF$1)</f>
        <v>|n生命值+72400</v>
      </c>
      <c r="DG70" s="30" t="str">
        <f t="shared" ref="DG70:DG77" si="891">IF(AA70="","","|n"&amp;DG$2&amp;"+"&amp;AA70&amp;DG$1)</f>
        <v/>
      </c>
      <c r="DH70" s="30" t="str">
        <f t="shared" ref="DH70:DH77" si="892">IF(AB70="","","|n"&amp;DH$2&amp;"+"&amp;AB70&amp;DH$1)</f>
        <v/>
      </c>
      <c r="DI70" s="30" t="str">
        <f t="shared" ref="DI70:DI77" si="893">IF(AC70="","","|n"&amp;DI$2&amp;"+"&amp;AC70&amp;DI$1)</f>
        <v/>
      </c>
      <c r="DJ70" s="30" t="str">
        <f t="shared" ref="DJ70:DJ77" si="894">IF(AD70="","","|n"&amp;DJ$2&amp;"+"&amp;AD70&amp;DJ$1)</f>
        <v/>
      </c>
      <c r="DK70" s="30" t="str">
        <f t="shared" ref="DK70:DK77" si="895">IF(AE70="","","|n"&amp;DK$2&amp;"+"&amp;AE70&amp;DK$1)</f>
        <v/>
      </c>
      <c r="DL70" s="30" t="str">
        <f t="shared" ref="DL70:DL77" si="896">IF(AF70="","","|n"&amp;DL$2&amp;"+"&amp;AF70&amp;DL$1)</f>
        <v/>
      </c>
      <c r="DM70" s="30" t="str">
        <f t="shared" ref="DM70:DM77" si="897">IF(AG70="","","|n"&amp;DM$2&amp;"+"&amp;AG70&amp;DM$1)</f>
        <v/>
      </c>
      <c r="DN70" s="30" t="str">
        <f t="shared" ref="DN70:DN77" si="898">IF(AH70="","","|n"&amp;DN$2&amp;"+"&amp;AH70&amp;DN$1)</f>
        <v/>
      </c>
      <c r="DO70" s="30" t="str">
        <f t="shared" ref="DO70:DO77" si="899">IF(AI70="","","|n"&amp;DO$2&amp;"+"&amp;AI70&amp;DO$1)</f>
        <v/>
      </c>
      <c r="DP70" s="30" t="str">
        <f t="shared" ref="DP70:DP77" si="900">IF(AJ70="","","|n"&amp;DP$2&amp;"+"&amp;AJ70&amp;DP$1)</f>
        <v/>
      </c>
      <c r="DQ70" s="30" t="str">
        <f t="shared" ref="DQ70:DQ77" si="901">IF(AK70="","","|n"&amp;DQ$2&amp;"+"&amp;AK70&amp;DQ$1)</f>
        <v/>
      </c>
      <c r="DR70" s="30" t="str">
        <f t="shared" ref="DR70:DR77" si="902">IF(AL70="","","|n"&amp;DR$2&amp;"+"&amp;AL70&amp;DR$1)</f>
        <v/>
      </c>
      <c r="DS70" s="30" t="str">
        <f t="shared" ref="DS70:DS77" si="903">IF(AM70="","","|n"&amp;DS$2&amp;"+"&amp;AM70&amp;DS$1)</f>
        <v>|n伤害减免+9%</v>
      </c>
      <c r="DT70" s="30" t="str">
        <f t="shared" ref="DT70:DT77" si="904">IF(AN70="","","|n"&amp;DT$2&amp;"+"&amp;AN70&amp;DT$1)</f>
        <v/>
      </c>
      <c r="DU70" s="30" t="str">
        <f t="shared" ref="DU70:DU77" si="905">IF(AO70="","","|n"&amp;DU$2&amp;"+"&amp;AO70&amp;DU$1)</f>
        <v/>
      </c>
      <c r="DV70" s="30" t="str">
        <f t="shared" ref="DV70:DV77" si="906">IF(AP70="","","|n"&amp;DV$2&amp;"+"&amp;AP70&amp;DV$1)</f>
        <v/>
      </c>
      <c r="DW70" s="30" t="str">
        <f t="shared" ref="DW70:DW77" si="907">IF(AQ70="","","|n"&amp;DW$2&amp;"+"&amp;AQ70&amp;DW$1)</f>
        <v/>
      </c>
      <c r="DX70" s="30" t="str">
        <f t="shared" ref="DX70:DX77" si="908">IF(AR70="","","|n"&amp;DX$2&amp;"+"&amp;AR70&amp;DX$1)</f>
        <v/>
      </c>
      <c r="DY70" s="30" t="str">
        <f t="shared" ref="DY70:DY77" si="909">IF(AS70="","","|n"&amp;DY$2&amp;"+"&amp;AS70&amp;DY$1)</f>
        <v/>
      </c>
      <c r="DZ70" s="30" t="str">
        <f t="shared" ref="DZ70:DZ77" si="910">IF(AT70="","","|n"&amp;DZ$2&amp;"+"&amp;AT70&amp;DZ$1)</f>
        <v/>
      </c>
      <c r="EA70" s="30" t="str">
        <f t="shared" ref="EA70:EA77" si="911">IF(AU70="","","|n"&amp;EA$2&amp;"+"&amp;AU70&amp;EA$1)</f>
        <v/>
      </c>
      <c r="EB70" s="30" t="str">
        <f t="shared" ref="EB70:EB77" si="912">IF(AV70="","","|n"&amp;EB$2&amp;"+"&amp;AV70&amp;EB$1)</f>
        <v/>
      </c>
      <c r="EC70" s="30" t="str">
        <f t="shared" ref="EC70:EC77" si="913">IF(AW70="","","|n"&amp;EC$2&amp;"+"&amp;AW70&amp;EC$1)</f>
        <v/>
      </c>
      <c r="ED70" s="30" t="str">
        <f t="shared" ref="ED70:ED77" si="914">IF(AX70="","","|n"&amp;ED$2&amp;"+"&amp;AX70&amp;ED$1)</f>
        <v/>
      </c>
      <c r="EE70" s="30" t="str">
        <f t="shared" ref="EE70:EE77" si="915">IF(AY70="","","|n"&amp;EE$2&amp;"+"&amp;AY70&amp;EE$1)</f>
        <v/>
      </c>
      <c r="EF70" s="30" t="str">
        <f t="shared" ref="EF70:EF77" si="916">IF(AZ70="","","|n"&amp;EF$2&amp;"+"&amp;AZ70&amp;EF$1)</f>
        <v/>
      </c>
      <c r="EG70" s="30" t="str">
        <f t="shared" ref="EG70:EG77" si="917">IF(BA70="","","|n"&amp;EG$2&amp;"+"&amp;BA70&amp;EG$1)</f>
        <v/>
      </c>
      <c r="EH70" s="30" t="str">
        <f t="shared" ref="EH70:EH77" si="918">IF(BB70="","","|n"&amp;EH$2&amp;"+"&amp;BB70&amp;EH$1)</f>
        <v/>
      </c>
      <c r="EI70" s="30" t="str">
        <f t="shared" ref="EI70:EI77" si="919">IF(BC70="","","|n"&amp;EI$2&amp;"+"&amp;BC70&amp;EI$1)</f>
        <v/>
      </c>
      <c r="EJ70" s="30" t="str">
        <f t="shared" ref="EJ70:EJ77" si="920">IF(BD70="","","|n"&amp;EJ$2&amp;"+"&amp;BD70&amp;EJ$1)</f>
        <v/>
      </c>
      <c r="EK70" s="30" t="str">
        <f t="shared" ref="EK70:EK77" si="921">IF(BE70="","","|n"&amp;EK$2&amp;"+"&amp;BE70&amp;EK$1)</f>
        <v/>
      </c>
      <c r="EL70" s="30" t="str">
        <f t="shared" ref="EL70:EL77" si="922">IF(BF70="","","|n"&amp;EL$2&amp;"+"&amp;BF70&amp;EL$1)</f>
        <v/>
      </c>
      <c r="EM70" s="30" t="str">
        <f t="shared" ref="EM70:EM77" si="923">IF(BG70="","","|n"&amp;EM$2&amp;"+"&amp;BG70&amp;EM$1)</f>
        <v/>
      </c>
      <c r="EN70" s="30" t="str">
        <f t="shared" ref="EN70:EN77" si="924">IF(BH70="","","|n"&amp;EN$2&amp;"+"&amp;BH70&amp;EN$1)</f>
        <v/>
      </c>
      <c r="EO70" s="30" t="str">
        <f t="shared" ref="EO70:EO77" si="925">IF(BI70="","","|n"&amp;EO$2&amp;"+"&amp;BI70&amp;EO$1)</f>
        <v/>
      </c>
      <c r="EP70" s="30" t="str">
        <f t="shared" ref="EP70:EP77" si="926">IF(BJ70="","","|n"&amp;EP$2&amp;"+"&amp;BJ70&amp;EP$1)</f>
        <v/>
      </c>
      <c r="EQ70" s="30" t="str">
        <f t="shared" ref="EQ70:EQ77" si="927">IF(BK70="","","|n"&amp;EQ$2&amp;"+"&amp;BK70&amp;EQ$1)</f>
        <v/>
      </c>
      <c r="ER70" s="30" t="str">
        <f t="shared" ref="ER70:ER77" si="928">IF(BL70="","","|n"&amp;ER$2&amp;"+"&amp;BL70&amp;ER$1)</f>
        <v/>
      </c>
      <c r="ES70" s="30" t="str">
        <f t="shared" ref="ES70:ES77" si="929">IF(BM70="","","|n"&amp;ES$2&amp;"+"&amp;BM70&amp;ES$1)</f>
        <v/>
      </c>
      <c r="ET70" s="30" t="str">
        <f t="shared" ref="ET70:ET77" si="930">IF(BN70="","","|n"&amp;ET$2&amp;"+"&amp;BN70&amp;ET$1)</f>
        <v/>
      </c>
      <c r="EU70" s="30" t="str">
        <f t="shared" ref="EU70:EU77" si="931">IF(BO70="","","|n"&amp;EU$2&amp;"+"&amp;BO70&amp;EU$1)</f>
        <v/>
      </c>
      <c r="EV70" s="30" t="str">
        <f t="shared" ref="EV70:EV77" si="932">IF(BP70="","","|n"&amp;EV$2&amp;"+"&amp;BP70&amp;EV$1)</f>
        <v/>
      </c>
      <c r="EW70" s="30" t="str">
        <f t="shared" ref="EW70:EW77" si="933">IF(BQ70="","","|n"&amp;EW$2&amp;"+"&amp;BQ70&amp;EW$1)</f>
        <v/>
      </c>
      <c r="EX70" s="30" t="str">
        <f t="shared" ref="EX70:EX77" si="934">IF(BR70="","","|n"&amp;EX$2&amp;"+"&amp;BR70&amp;EX$1)</f>
        <v/>
      </c>
      <c r="EY70" s="30" t="str">
        <f t="shared" ref="EY70:EY77" si="935">IF(BS70="","","|n"&amp;EY$2&amp;"+"&amp;BS70&amp;EY$1)</f>
        <v/>
      </c>
      <c r="EZ70" s="30" t="str">
        <f t="shared" ref="EZ70:EZ77" si="936">IF(BT70="","","|n"&amp;EZ$2&amp;"+"&amp;BT70&amp;EZ$1)</f>
        <v/>
      </c>
      <c r="FA70" s="30" t="str">
        <f t="shared" ref="FA70:FA77" si="937">IF(BU70="","","|n"&amp;FA$2&amp;"+"&amp;BU70&amp;FA$1)</f>
        <v/>
      </c>
      <c r="FB70" s="30" t="str">
        <f t="shared" ref="FB70:FB77" si="938">IF(BV70="","","|n"&amp;FB$2&amp;"+"&amp;BV70&amp;FB$1)</f>
        <v/>
      </c>
      <c r="FC70" s="30" t="str">
        <f t="shared" ref="FC70:FC77" si="939">IF(BW70="","","|n"&amp;FC$2&amp;"+"&amp;BW70&amp;FC$1)</f>
        <v/>
      </c>
      <c r="FD70" s="30" t="str">
        <f t="shared" ref="FD70:FD77" si="940">IF(BX70="","","|n"&amp;FD$2&amp;"+"&amp;BX70&amp;FD$1)</f>
        <v/>
      </c>
      <c r="FE70" s="30" t="str">
        <f t="shared" ref="FE70:FE77" si="941">IF(BY70="","","|n"&amp;FE$2&amp;"+"&amp;BY70&amp;FE$1)</f>
        <v/>
      </c>
      <c r="FF70" s="30" t="str">
        <f t="shared" ref="FF70:FF77" si="942">IF(BZ70="","","|n"&amp;FF$2&amp;"+"&amp;BZ70&amp;FF$1)</f>
        <v/>
      </c>
      <c r="FG70" s="30" t="str">
        <f t="shared" ref="FG70:FG77" si="943">IF(CA70="","","|n"&amp;FG$2&amp;"+"&amp;CA70&amp;FG$1)</f>
        <v/>
      </c>
      <c r="FH70" s="30" t="str">
        <f t="shared" ref="FH70:FH77" si="944">IF(CB70="","","|n"&amp;FH$2&amp;"+"&amp;CB70&amp;FH$1)</f>
        <v/>
      </c>
      <c r="FI70" s="30" t="str">
        <f t="shared" ref="FI70:FI77" si="945">IF(CC70="","","|n"&amp;FI$2&amp;"+"&amp;CC70&amp;FI$1)</f>
        <v/>
      </c>
      <c r="FJ70" s="30" t="str">
        <f t="shared" ref="FJ70:FJ77" si="946">IF(CD70="","","|n"&amp;FJ$2&amp;"+"&amp;CD70&amp;FJ$1)</f>
        <v/>
      </c>
      <c r="FK70" s="30" t="str">
        <f t="shared" ref="FK70:FK77" si="947">IF(CE70="","","|n"&amp;FK$2&amp;"+"&amp;CE70&amp;FK$1)</f>
        <v/>
      </c>
      <c r="FL70" s="30" t="str">
        <f t="shared" ref="FL70:FL77" si="948">IF(CF70="","","|n"&amp;FL$2&amp;"+"&amp;CF70&amp;FL$1)</f>
        <v/>
      </c>
      <c r="FM70" s="30" t="str">
        <f t="shared" ref="FM70:FM77" si="949">IF(CG70="","","|n"&amp;FM$2&amp;"+"&amp;CG70&amp;FM$1)</f>
        <v/>
      </c>
      <c r="FN70" s="30" t="str">
        <f t="shared" ref="FN70:FN77" si="950">IF(CH70="","","|n"&amp;FN$2&amp;"+"&amp;CH70&amp;FN$1)</f>
        <v/>
      </c>
      <c r="FO70" s="30" t="str">
        <f t="shared" ref="FO70:FO77" si="951">IF(CI70="","","|n"&amp;FO$2&amp;"+"&amp;CI70&amp;FO$1)</f>
        <v/>
      </c>
      <c r="FP70" s="30" t="str">
        <f t="shared" ref="FP70:FP77" si="952">IF(CJ70="","","|n"&amp;FP$2&amp;"+"&amp;CJ70&amp;FP$1)</f>
        <v/>
      </c>
      <c r="FQ70" s="30" t="str">
        <f t="shared" ref="FQ70:FQ77" si="953">IF(CK70="","","|n"&amp;FQ$2&amp;"+"&amp;CK70&amp;FQ$1)</f>
        <v/>
      </c>
      <c r="FR70" s="30" t="str">
        <f t="shared" ref="FR70:FR77" si="954">IF(CL70="","","|n"&amp;FR$2&amp;"+"&amp;CL70&amp;FR$1)</f>
        <v/>
      </c>
      <c r="FS70" s="30" t="str">
        <f t="shared" ref="FS70:FS77" si="955">IF(CM70="","","|n"&amp;FS$2&amp;"+"&amp;CM70&amp;FS$1)</f>
        <v/>
      </c>
    </row>
    <row r="71" spans="1:175" s="24" customFormat="1" ht="16.5">
      <c r="A71" s="5"/>
      <c r="B71" s="36" t="s">
        <v>788</v>
      </c>
      <c r="C71" s="5" t="s">
        <v>789</v>
      </c>
      <c r="D71" s="31"/>
      <c r="E71" s="39"/>
      <c r="F71" s="40">
        <v>29000</v>
      </c>
      <c r="G71" s="38"/>
      <c r="H71" s="38"/>
      <c r="I71" s="38" t="str">
        <f t="shared" si="446"/>
        <v>E220</v>
      </c>
      <c r="J71" s="38"/>
      <c r="K71" s="38"/>
      <c r="L71" s="38"/>
      <c r="M71" s="38"/>
      <c r="N71" s="38"/>
      <c r="O71" s="38"/>
      <c r="P71" s="50"/>
      <c r="Q71" s="50"/>
      <c r="R71" s="50"/>
      <c r="S71" s="52"/>
      <c r="T71" s="102"/>
      <c r="U71" s="32" t="str">
        <f t="shared" si="884"/>
        <v>ReplaceableTextures\\CommandButtons\\BTNE219.blp</v>
      </c>
      <c r="V71" s="43"/>
      <c r="W71" s="43"/>
      <c r="X71" s="43">
        <v>46</v>
      </c>
      <c r="Y71" s="43"/>
      <c r="Z71" s="43">
        <v>81200</v>
      </c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>
        <v>9</v>
      </c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  <c r="BY71" s="43"/>
      <c r="BZ71" s="43"/>
      <c r="CA71" s="43"/>
      <c r="CB71" s="43"/>
      <c r="CC71" s="43"/>
      <c r="CD71" s="43"/>
      <c r="CE71" s="43"/>
      <c r="CF71" s="43"/>
      <c r="CG71" s="43"/>
      <c r="CH71" s="43"/>
      <c r="CI71" s="43"/>
      <c r="CJ71" s="43"/>
      <c r="CK71" s="43"/>
      <c r="CL71" s="43"/>
      <c r="CM71" s="43"/>
      <c r="CN71" s="44" t="str">
        <f t="shared" si="880"/>
        <v>InitUnitState('E219',,,46,,81200,,,,,)</v>
      </c>
      <c r="CO71" s="44" t="str">
        <f t="shared" si="881"/>
        <v>InitUnitNormal('E219',,,,,,,,9,,)</v>
      </c>
      <c r="CP71" s="44" t="str">
        <f t="shared" si="882"/>
        <v>InitUnitMagic('E219',,,,,,,,,,)</v>
      </c>
      <c r="CQ71" s="44" t="str">
        <f t="shared" si="883"/>
        <v>InitUnitAdd('E219',,,,,,,,,,)</v>
      </c>
      <c r="CR71" s="44" t="str">
        <f t="shared" si="664"/>
        <v>InitEquipData('E219',,"",,E220,29000,,'','','','','','',"ReplaceableTextures\\CommandButtons\\BTNE220.blp")</v>
      </c>
      <c r="CS71" s="44"/>
      <c r="CT71" s="44"/>
      <c r="CU71" s="45" t="str">
        <f t="shared" si="885"/>
        <v>|n护甲+46|n生命值+81200|n伤害减免+9%|n</v>
      </c>
      <c r="CV71" s="29" t="str">
        <f>"|cffffcc00属性：|r"&amp;CU71&amp;VLOOKUP(A71,合成公式!A:P,16,FALSE)&amp;T71</f>
        <v>|cffffcc00属性：|r|n护甲+46|n生命值+81200|n伤害减免+9%|n</v>
      </c>
      <c r="DB71" s="30" t="str">
        <f t="shared" si="886"/>
        <v/>
      </c>
      <c r="DC71" s="30" t="str">
        <f t="shared" si="887"/>
        <v/>
      </c>
      <c r="DD71" s="30" t="str">
        <f t="shared" si="888"/>
        <v>|n护甲+46</v>
      </c>
      <c r="DE71" s="30" t="str">
        <f t="shared" si="889"/>
        <v/>
      </c>
      <c r="DF71" s="30" t="str">
        <f t="shared" si="890"/>
        <v>|n生命值+81200</v>
      </c>
      <c r="DG71" s="30" t="str">
        <f t="shared" si="891"/>
        <v/>
      </c>
      <c r="DH71" s="30" t="str">
        <f t="shared" si="892"/>
        <v/>
      </c>
      <c r="DI71" s="30" t="str">
        <f t="shared" si="893"/>
        <v/>
      </c>
      <c r="DJ71" s="30" t="str">
        <f t="shared" si="894"/>
        <v/>
      </c>
      <c r="DK71" s="30" t="str">
        <f t="shared" si="895"/>
        <v/>
      </c>
      <c r="DL71" s="30" t="str">
        <f t="shared" si="896"/>
        <v/>
      </c>
      <c r="DM71" s="30" t="str">
        <f t="shared" si="897"/>
        <v/>
      </c>
      <c r="DN71" s="30" t="str">
        <f t="shared" si="898"/>
        <v/>
      </c>
      <c r="DO71" s="30" t="str">
        <f t="shared" si="899"/>
        <v/>
      </c>
      <c r="DP71" s="30" t="str">
        <f t="shared" si="900"/>
        <v/>
      </c>
      <c r="DQ71" s="30" t="str">
        <f t="shared" si="901"/>
        <v/>
      </c>
      <c r="DR71" s="30" t="str">
        <f t="shared" si="902"/>
        <v/>
      </c>
      <c r="DS71" s="30" t="str">
        <f t="shared" si="903"/>
        <v>|n伤害减免+9%</v>
      </c>
      <c r="DT71" s="30" t="str">
        <f t="shared" si="904"/>
        <v/>
      </c>
      <c r="DU71" s="30" t="str">
        <f t="shared" si="905"/>
        <v/>
      </c>
      <c r="DV71" s="30" t="str">
        <f t="shared" si="906"/>
        <v/>
      </c>
      <c r="DW71" s="30" t="str">
        <f t="shared" si="907"/>
        <v/>
      </c>
      <c r="DX71" s="30" t="str">
        <f t="shared" si="908"/>
        <v/>
      </c>
      <c r="DY71" s="30" t="str">
        <f t="shared" si="909"/>
        <v/>
      </c>
      <c r="DZ71" s="30" t="str">
        <f t="shared" si="910"/>
        <v/>
      </c>
      <c r="EA71" s="30" t="str">
        <f t="shared" si="911"/>
        <v/>
      </c>
      <c r="EB71" s="30" t="str">
        <f t="shared" si="912"/>
        <v/>
      </c>
      <c r="EC71" s="30" t="str">
        <f t="shared" si="913"/>
        <v/>
      </c>
      <c r="ED71" s="30" t="str">
        <f t="shared" si="914"/>
        <v/>
      </c>
      <c r="EE71" s="30" t="str">
        <f t="shared" si="915"/>
        <v/>
      </c>
      <c r="EF71" s="30" t="str">
        <f t="shared" si="916"/>
        <v/>
      </c>
      <c r="EG71" s="30" t="str">
        <f t="shared" si="917"/>
        <v/>
      </c>
      <c r="EH71" s="30" t="str">
        <f t="shared" si="918"/>
        <v/>
      </c>
      <c r="EI71" s="30" t="str">
        <f t="shared" si="919"/>
        <v/>
      </c>
      <c r="EJ71" s="30" t="str">
        <f t="shared" si="920"/>
        <v/>
      </c>
      <c r="EK71" s="30" t="str">
        <f t="shared" si="921"/>
        <v/>
      </c>
      <c r="EL71" s="30" t="str">
        <f t="shared" si="922"/>
        <v/>
      </c>
      <c r="EM71" s="30" t="str">
        <f t="shared" si="923"/>
        <v/>
      </c>
      <c r="EN71" s="30" t="str">
        <f t="shared" si="924"/>
        <v/>
      </c>
      <c r="EO71" s="30" t="str">
        <f t="shared" si="925"/>
        <v/>
      </c>
      <c r="EP71" s="30" t="str">
        <f t="shared" si="926"/>
        <v/>
      </c>
      <c r="EQ71" s="30" t="str">
        <f t="shared" si="927"/>
        <v/>
      </c>
      <c r="ER71" s="30" t="str">
        <f t="shared" si="928"/>
        <v/>
      </c>
      <c r="ES71" s="30" t="str">
        <f t="shared" si="929"/>
        <v/>
      </c>
      <c r="ET71" s="30" t="str">
        <f t="shared" si="930"/>
        <v/>
      </c>
      <c r="EU71" s="30" t="str">
        <f t="shared" si="931"/>
        <v/>
      </c>
      <c r="EV71" s="30" t="str">
        <f t="shared" si="932"/>
        <v/>
      </c>
      <c r="EW71" s="30" t="str">
        <f t="shared" si="933"/>
        <v/>
      </c>
      <c r="EX71" s="30" t="str">
        <f t="shared" si="934"/>
        <v/>
      </c>
      <c r="EY71" s="30" t="str">
        <f t="shared" si="935"/>
        <v/>
      </c>
      <c r="EZ71" s="30" t="str">
        <f t="shared" si="936"/>
        <v/>
      </c>
      <c r="FA71" s="30" t="str">
        <f t="shared" si="937"/>
        <v/>
      </c>
      <c r="FB71" s="30" t="str">
        <f t="shared" si="938"/>
        <v/>
      </c>
      <c r="FC71" s="30" t="str">
        <f t="shared" si="939"/>
        <v/>
      </c>
      <c r="FD71" s="30" t="str">
        <f t="shared" si="940"/>
        <v/>
      </c>
      <c r="FE71" s="30" t="str">
        <f t="shared" si="941"/>
        <v/>
      </c>
      <c r="FF71" s="30" t="str">
        <f t="shared" si="942"/>
        <v/>
      </c>
      <c r="FG71" s="30" t="str">
        <f t="shared" si="943"/>
        <v/>
      </c>
      <c r="FH71" s="30" t="str">
        <f t="shared" si="944"/>
        <v/>
      </c>
      <c r="FI71" s="30" t="str">
        <f t="shared" si="945"/>
        <v/>
      </c>
      <c r="FJ71" s="30" t="str">
        <f t="shared" si="946"/>
        <v/>
      </c>
      <c r="FK71" s="30" t="str">
        <f t="shared" si="947"/>
        <v/>
      </c>
      <c r="FL71" s="30" t="str">
        <f t="shared" si="948"/>
        <v/>
      </c>
      <c r="FM71" s="30" t="str">
        <f t="shared" si="949"/>
        <v/>
      </c>
      <c r="FN71" s="30" t="str">
        <f t="shared" si="950"/>
        <v/>
      </c>
      <c r="FO71" s="30" t="str">
        <f t="shared" si="951"/>
        <v/>
      </c>
      <c r="FP71" s="30" t="str">
        <f t="shared" si="952"/>
        <v/>
      </c>
      <c r="FQ71" s="30" t="str">
        <f t="shared" si="953"/>
        <v/>
      </c>
      <c r="FR71" s="30" t="str">
        <f t="shared" si="954"/>
        <v/>
      </c>
      <c r="FS71" s="30" t="str">
        <f t="shared" si="955"/>
        <v/>
      </c>
    </row>
    <row r="72" spans="1:175" s="24" customFormat="1" ht="16.5">
      <c r="A72" s="5"/>
      <c r="B72" s="36" t="s">
        <v>790</v>
      </c>
      <c r="C72" s="5" t="s">
        <v>791</v>
      </c>
      <c r="D72" s="31"/>
      <c r="E72" s="39"/>
      <c r="F72" s="40">
        <v>30000</v>
      </c>
      <c r="G72" s="38"/>
      <c r="H72" s="121" t="s">
        <v>939</v>
      </c>
      <c r="I72" s="38" t="str">
        <f t="shared" si="446"/>
        <v>E221</v>
      </c>
      <c r="J72" s="38"/>
      <c r="K72" s="38"/>
      <c r="L72" s="38"/>
      <c r="M72" s="38"/>
      <c r="N72" s="38"/>
      <c r="O72" s="38"/>
      <c r="P72" s="50"/>
      <c r="Q72" s="50"/>
      <c r="R72" s="50"/>
      <c r="S72" s="52"/>
      <c r="T72" s="102"/>
      <c r="U72" s="32" t="str">
        <f t="shared" si="884"/>
        <v>ReplaceableTextures\\CommandButtons\\BTNE220.blp</v>
      </c>
      <c r="V72" s="43"/>
      <c r="W72" s="43"/>
      <c r="X72" s="43">
        <v>50</v>
      </c>
      <c r="Y72" s="43"/>
      <c r="Z72" s="43">
        <v>90000</v>
      </c>
      <c r="AA72" s="43"/>
      <c r="AB72" s="43"/>
      <c r="AC72" s="43"/>
      <c r="AD72" s="43"/>
      <c r="AE72" s="43"/>
      <c r="AF72" s="43"/>
      <c r="AG72" s="43"/>
      <c r="AH72" s="43"/>
      <c r="AI72" s="43"/>
      <c r="AJ72" s="43"/>
      <c r="AK72" s="43"/>
      <c r="AL72" s="43"/>
      <c r="AM72" s="43">
        <v>9</v>
      </c>
      <c r="AN72" s="43"/>
      <c r="AO72" s="43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  <c r="BY72" s="43"/>
      <c r="BZ72" s="43"/>
      <c r="CA72" s="43"/>
      <c r="CB72" s="43"/>
      <c r="CC72" s="43"/>
      <c r="CD72" s="43"/>
      <c r="CE72" s="43"/>
      <c r="CF72" s="43"/>
      <c r="CG72" s="43"/>
      <c r="CH72" s="43"/>
      <c r="CI72" s="43"/>
      <c r="CJ72" s="43"/>
      <c r="CK72" s="43"/>
      <c r="CL72" s="43"/>
      <c r="CM72" s="43"/>
      <c r="CN72" s="44" t="str">
        <f t="shared" si="880"/>
        <v>InitUnitState('E220',,,50,,90000,,,,,)</v>
      </c>
      <c r="CO72" s="44" t="str">
        <f t="shared" si="881"/>
        <v>InitUnitNormal('E220',,,,,,,,9,,)</v>
      </c>
      <c r="CP72" s="44" t="str">
        <f t="shared" si="882"/>
        <v>InitUnitMagic('E220',,,,,,,,,,)</v>
      </c>
      <c r="CQ72" s="44" t="str">
        <f t="shared" si="883"/>
        <v>InitUnitAdd('E220',,,,,,,,,,)</v>
      </c>
      <c r="CR72" s="44" t="str">
        <f t="shared" si="664"/>
        <v>InitEquipData('E220',,"",,E221,30000,,'','','','','','',"ReplaceableTextures\\CommandButtons\\BTNE221.blp")</v>
      </c>
      <c r="CS72" s="44"/>
      <c r="CT72" s="44"/>
      <c r="CU72" s="45" t="str">
        <f t="shared" si="885"/>
        <v>|n护甲+50|n生命值+90000|n伤害减免+9%|n</v>
      </c>
      <c r="CV72" s="29" t="str">
        <f>"|cffffcc00属性：|r"&amp;CU72&amp;VLOOKUP(A72,合成公式!A:P,16,FALSE)&amp;T72</f>
        <v>|cffffcc00属性：|r|n护甲+50|n生命值+90000|n伤害减免+9%|n</v>
      </c>
      <c r="DB72" s="30" t="str">
        <f t="shared" si="886"/>
        <v/>
      </c>
      <c r="DC72" s="30" t="str">
        <f t="shared" si="887"/>
        <v/>
      </c>
      <c r="DD72" s="30" t="str">
        <f t="shared" si="888"/>
        <v>|n护甲+50</v>
      </c>
      <c r="DE72" s="30" t="str">
        <f t="shared" si="889"/>
        <v/>
      </c>
      <c r="DF72" s="30" t="str">
        <f t="shared" si="890"/>
        <v>|n生命值+90000</v>
      </c>
      <c r="DG72" s="30" t="str">
        <f t="shared" si="891"/>
        <v/>
      </c>
      <c r="DH72" s="30" t="str">
        <f t="shared" si="892"/>
        <v/>
      </c>
      <c r="DI72" s="30" t="str">
        <f t="shared" si="893"/>
        <v/>
      </c>
      <c r="DJ72" s="30" t="str">
        <f t="shared" si="894"/>
        <v/>
      </c>
      <c r="DK72" s="30" t="str">
        <f t="shared" si="895"/>
        <v/>
      </c>
      <c r="DL72" s="30" t="str">
        <f t="shared" si="896"/>
        <v/>
      </c>
      <c r="DM72" s="30" t="str">
        <f t="shared" si="897"/>
        <v/>
      </c>
      <c r="DN72" s="30" t="str">
        <f t="shared" si="898"/>
        <v/>
      </c>
      <c r="DO72" s="30" t="str">
        <f t="shared" si="899"/>
        <v/>
      </c>
      <c r="DP72" s="30" t="str">
        <f t="shared" si="900"/>
        <v/>
      </c>
      <c r="DQ72" s="30" t="str">
        <f t="shared" si="901"/>
        <v/>
      </c>
      <c r="DR72" s="30" t="str">
        <f t="shared" si="902"/>
        <v/>
      </c>
      <c r="DS72" s="30" t="str">
        <f t="shared" si="903"/>
        <v>|n伤害减免+9%</v>
      </c>
      <c r="DT72" s="30" t="str">
        <f t="shared" si="904"/>
        <v/>
      </c>
      <c r="DU72" s="30" t="str">
        <f t="shared" si="905"/>
        <v/>
      </c>
      <c r="DV72" s="30" t="str">
        <f t="shared" si="906"/>
        <v/>
      </c>
      <c r="DW72" s="30" t="str">
        <f t="shared" si="907"/>
        <v/>
      </c>
      <c r="DX72" s="30" t="str">
        <f t="shared" si="908"/>
        <v/>
      </c>
      <c r="DY72" s="30" t="str">
        <f t="shared" si="909"/>
        <v/>
      </c>
      <c r="DZ72" s="30" t="str">
        <f t="shared" si="910"/>
        <v/>
      </c>
      <c r="EA72" s="30" t="str">
        <f t="shared" si="911"/>
        <v/>
      </c>
      <c r="EB72" s="30" t="str">
        <f t="shared" si="912"/>
        <v/>
      </c>
      <c r="EC72" s="30" t="str">
        <f t="shared" si="913"/>
        <v/>
      </c>
      <c r="ED72" s="30" t="str">
        <f t="shared" si="914"/>
        <v/>
      </c>
      <c r="EE72" s="30" t="str">
        <f t="shared" si="915"/>
        <v/>
      </c>
      <c r="EF72" s="30" t="str">
        <f t="shared" si="916"/>
        <v/>
      </c>
      <c r="EG72" s="30" t="str">
        <f t="shared" si="917"/>
        <v/>
      </c>
      <c r="EH72" s="30" t="str">
        <f t="shared" si="918"/>
        <v/>
      </c>
      <c r="EI72" s="30" t="str">
        <f t="shared" si="919"/>
        <v/>
      </c>
      <c r="EJ72" s="30" t="str">
        <f t="shared" si="920"/>
        <v/>
      </c>
      <c r="EK72" s="30" t="str">
        <f t="shared" si="921"/>
        <v/>
      </c>
      <c r="EL72" s="30" t="str">
        <f t="shared" si="922"/>
        <v/>
      </c>
      <c r="EM72" s="30" t="str">
        <f t="shared" si="923"/>
        <v/>
      </c>
      <c r="EN72" s="30" t="str">
        <f t="shared" si="924"/>
        <v/>
      </c>
      <c r="EO72" s="30" t="str">
        <f t="shared" si="925"/>
        <v/>
      </c>
      <c r="EP72" s="30" t="str">
        <f t="shared" si="926"/>
        <v/>
      </c>
      <c r="EQ72" s="30" t="str">
        <f t="shared" si="927"/>
        <v/>
      </c>
      <c r="ER72" s="30" t="str">
        <f t="shared" si="928"/>
        <v/>
      </c>
      <c r="ES72" s="30" t="str">
        <f t="shared" si="929"/>
        <v/>
      </c>
      <c r="ET72" s="30" t="str">
        <f t="shared" si="930"/>
        <v/>
      </c>
      <c r="EU72" s="30" t="str">
        <f t="shared" si="931"/>
        <v/>
      </c>
      <c r="EV72" s="30" t="str">
        <f t="shared" si="932"/>
        <v/>
      </c>
      <c r="EW72" s="30" t="str">
        <f t="shared" si="933"/>
        <v/>
      </c>
      <c r="EX72" s="30" t="str">
        <f t="shared" si="934"/>
        <v/>
      </c>
      <c r="EY72" s="30" t="str">
        <f t="shared" si="935"/>
        <v/>
      </c>
      <c r="EZ72" s="30" t="str">
        <f t="shared" si="936"/>
        <v/>
      </c>
      <c r="FA72" s="30" t="str">
        <f t="shared" si="937"/>
        <v/>
      </c>
      <c r="FB72" s="30" t="str">
        <f t="shared" si="938"/>
        <v/>
      </c>
      <c r="FC72" s="30" t="str">
        <f t="shared" si="939"/>
        <v/>
      </c>
      <c r="FD72" s="30" t="str">
        <f t="shared" si="940"/>
        <v/>
      </c>
      <c r="FE72" s="30" t="str">
        <f t="shared" si="941"/>
        <v/>
      </c>
      <c r="FF72" s="30" t="str">
        <f t="shared" si="942"/>
        <v/>
      </c>
      <c r="FG72" s="30" t="str">
        <f t="shared" si="943"/>
        <v/>
      </c>
      <c r="FH72" s="30" t="str">
        <f t="shared" si="944"/>
        <v/>
      </c>
      <c r="FI72" s="30" t="str">
        <f t="shared" si="945"/>
        <v/>
      </c>
      <c r="FJ72" s="30" t="str">
        <f t="shared" si="946"/>
        <v/>
      </c>
      <c r="FK72" s="30" t="str">
        <f t="shared" si="947"/>
        <v/>
      </c>
      <c r="FL72" s="30" t="str">
        <f t="shared" si="948"/>
        <v/>
      </c>
      <c r="FM72" s="30" t="str">
        <f t="shared" si="949"/>
        <v/>
      </c>
      <c r="FN72" s="30" t="str">
        <f t="shared" si="950"/>
        <v/>
      </c>
      <c r="FO72" s="30" t="str">
        <f t="shared" si="951"/>
        <v/>
      </c>
      <c r="FP72" s="30" t="str">
        <f t="shared" si="952"/>
        <v/>
      </c>
      <c r="FQ72" s="30" t="str">
        <f t="shared" si="953"/>
        <v/>
      </c>
      <c r="FR72" s="30" t="str">
        <f t="shared" si="954"/>
        <v/>
      </c>
      <c r="FS72" s="30" t="str">
        <f t="shared" si="955"/>
        <v/>
      </c>
    </row>
    <row r="73" spans="1:175" s="24" customFormat="1" ht="16.5">
      <c r="A73" s="5"/>
      <c r="B73" s="36" t="s">
        <v>792</v>
      </c>
      <c r="C73" s="5" t="s">
        <v>793</v>
      </c>
      <c r="D73" s="31"/>
      <c r="E73" s="39"/>
      <c r="F73" s="40">
        <v>31200</v>
      </c>
      <c r="G73" s="38"/>
      <c r="H73" s="38"/>
      <c r="I73" s="38" t="str">
        <f t="shared" si="446"/>
        <v>E222</v>
      </c>
      <c r="J73" s="38"/>
      <c r="K73" s="38"/>
      <c r="L73" s="38"/>
      <c r="M73" s="38"/>
      <c r="N73" s="38"/>
      <c r="O73" s="38"/>
      <c r="P73" s="50"/>
      <c r="Q73" s="50"/>
      <c r="R73" s="50"/>
      <c r="S73" s="52"/>
      <c r="T73" s="102"/>
      <c r="U73" s="32" t="str">
        <f t="shared" si="884"/>
        <v>ReplaceableTextures\\CommandButtons\\BTNE221.blp</v>
      </c>
      <c r="V73" s="43"/>
      <c r="W73" s="43"/>
      <c r="X73" s="43">
        <v>55</v>
      </c>
      <c r="Y73" s="43"/>
      <c r="Z73" s="43">
        <v>112000</v>
      </c>
      <c r="AA73" s="43"/>
      <c r="AB73" s="43"/>
      <c r="AC73" s="43"/>
      <c r="AD73" s="43"/>
      <c r="AE73" s="43"/>
      <c r="AF73" s="43"/>
      <c r="AG73" s="43"/>
      <c r="AH73" s="43"/>
      <c r="AI73" s="43"/>
      <c r="AJ73" s="43"/>
      <c r="AK73" s="43"/>
      <c r="AL73" s="43"/>
      <c r="AM73" s="43">
        <v>12</v>
      </c>
      <c r="AN73" s="43"/>
      <c r="AO73" s="43"/>
      <c r="AP73" s="43"/>
      <c r="AQ73" s="43"/>
      <c r="AR73" s="43"/>
      <c r="AS73" s="43"/>
      <c r="AT73" s="43"/>
      <c r="AU73" s="43"/>
      <c r="AV73" s="43"/>
      <c r="AW73" s="43"/>
      <c r="AX73" s="43"/>
      <c r="AY73" s="43"/>
      <c r="AZ73" s="43"/>
      <c r="BA73" s="43"/>
      <c r="BB73" s="43"/>
      <c r="BC73" s="43"/>
      <c r="BD73" s="43"/>
      <c r="BE73" s="43"/>
      <c r="BF73" s="43"/>
      <c r="BG73" s="43"/>
      <c r="BH73" s="43"/>
      <c r="BI73" s="43"/>
      <c r="BJ73" s="43"/>
      <c r="BK73" s="43"/>
      <c r="BL73" s="43"/>
      <c r="BM73" s="43"/>
      <c r="BN73" s="43"/>
      <c r="BO73" s="43"/>
      <c r="BP73" s="43"/>
      <c r="BQ73" s="43"/>
      <c r="BR73" s="43"/>
      <c r="BS73" s="43"/>
      <c r="BT73" s="43"/>
      <c r="BU73" s="43"/>
      <c r="BV73" s="43"/>
      <c r="BW73" s="43"/>
      <c r="BX73" s="43"/>
      <c r="BY73" s="43"/>
      <c r="BZ73" s="43"/>
      <c r="CA73" s="43"/>
      <c r="CB73" s="43"/>
      <c r="CC73" s="43"/>
      <c r="CD73" s="43"/>
      <c r="CE73" s="43"/>
      <c r="CF73" s="43"/>
      <c r="CG73" s="43"/>
      <c r="CH73" s="43"/>
      <c r="CI73" s="43"/>
      <c r="CJ73" s="43"/>
      <c r="CK73" s="43"/>
      <c r="CL73" s="43"/>
      <c r="CM73" s="43"/>
      <c r="CN73" s="44" t="str">
        <f t="shared" si="880"/>
        <v>InitUnitState('E221',,,55,,112000,,,,,)</v>
      </c>
      <c r="CO73" s="44" t="str">
        <f t="shared" si="881"/>
        <v>InitUnitNormal('E221',,,,,,,,12,,)</v>
      </c>
      <c r="CP73" s="44" t="str">
        <f t="shared" si="882"/>
        <v>InitUnitMagic('E221',,,,,,,,,,)</v>
      </c>
      <c r="CQ73" s="44" t="str">
        <f t="shared" si="883"/>
        <v>InitUnitAdd('E221',,,,,,,,,,)</v>
      </c>
      <c r="CR73" s="44" t="str">
        <f t="shared" si="664"/>
        <v>InitEquipData('E221',,"",,E222,31200,,'','','','','','',"ReplaceableTextures\\CommandButtons\\BTNE222.blp")</v>
      </c>
      <c r="CS73" s="44"/>
      <c r="CT73" s="44"/>
      <c r="CU73" s="45" t="str">
        <f t="shared" si="885"/>
        <v>|n护甲+55|n生命值+112000|n伤害减免+12%|n</v>
      </c>
      <c r="CV73" s="29" t="str">
        <f>"|cffffcc00属性：|r"&amp;CU73&amp;VLOOKUP(A73,合成公式!A:P,16,FALSE)&amp;T73</f>
        <v>|cffffcc00属性：|r|n护甲+55|n生命值+112000|n伤害减免+12%|n</v>
      </c>
      <c r="DB73" s="30" t="str">
        <f t="shared" si="886"/>
        <v/>
      </c>
      <c r="DC73" s="30" t="str">
        <f t="shared" si="887"/>
        <v/>
      </c>
      <c r="DD73" s="30" t="str">
        <f t="shared" si="888"/>
        <v>|n护甲+55</v>
      </c>
      <c r="DE73" s="30" t="str">
        <f t="shared" si="889"/>
        <v/>
      </c>
      <c r="DF73" s="30" t="str">
        <f t="shared" si="890"/>
        <v>|n生命值+112000</v>
      </c>
      <c r="DG73" s="30" t="str">
        <f t="shared" si="891"/>
        <v/>
      </c>
      <c r="DH73" s="30" t="str">
        <f t="shared" si="892"/>
        <v/>
      </c>
      <c r="DI73" s="30" t="str">
        <f t="shared" si="893"/>
        <v/>
      </c>
      <c r="DJ73" s="30" t="str">
        <f t="shared" si="894"/>
        <v/>
      </c>
      <c r="DK73" s="30" t="str">
        <f t="shared" si="895"/>
        <v/>
      </c>
      <c r="DL73" s="30" t="str">
        <f t="shared" si="896"/>
        <v/>
      </c>
      <c r="DM73" s="30" t="str">
        <f t="shared" si="897"/>
        <v/>
      </c>
      <c r="DN73" s="30" t="str">
        <f t="shared" si="898"/>
        <v/>
      </c>
      <c r="DO73" s="30" t="str">
        <f t="shared" si="899"/>
        <v/>
      </c>
      <c r="DP73" s="30" t="str">
        <f t="shared" si="900"/>
        <v/>
      </c>
      <c r="DQ73" s="30" t="str">
        <f t="shared" si="901"/>
        <v/>
      </c>
      <c r="DR73" s="30" t="str">
        <f t="shared" si="902"/>
        <v/>
      </c>
      <c r="DS73" s="30" t="str">
        <f t="shared" si="903"/>
        <v>|n伤害减免+12%</v>
      </c>
      <c r="DT73" s="30" t="str">
        <f t="shared" si="904"/>
        <v/>
      </c>
      <c r="DU73" s="30" t="str">
        <f t="shared" si="905"/>
        <v/>
      </c>
      <c r="DV73" s="30" t="str">
        <f t="shared" si="906"/>
        <v/>
      </c>
      <c r="DW73" s="30" t="str">
        <f t="shared" si="907"/>
        <v/>
      </c>
      <c r="DX73" s="30" t="str">
        <f t="shared" si="908"/>
        <v/>
      </c>
      <c r="DY73" s="30" t="str">
        <f t="shared" si="909"/>
        <v/>
      </c>
      <c r="DZ73" s="30" t="str">
        <f t="shared" si="910"/>
        <v/>
      </c>
      <c r="EA73" s="30" t="str">
        <f t="shared" si="911"/>
        <v/>
      </c>
      <c r="EB73" s="30" t="str">
        <f t="shared" si="912"/>
        <v/>
      </c>
      <c r="EC73" s="30" t="str">
        <f t="shared" si="913"/>
        <v/>
      </c>
      <c r="ED73" s="30" t="str">
        <f t="shared" si="914"/>
        <v/>
      </c>
      <c r="EE73" s="30" t="str">
        <f t="shared" si="915"/>
        <v/>
      </c>
      <c r="EF73" s="30" t="str">
        <f t="shared" si="916"/>
        <v/>
      </c>
      <c r="EG73" s="30" t="str">
        <f t="shared" si="917"/>
        <v/>
      </c>
      <c r="EH73" s="30" t="str">
        <f t="shared" si="918"/>
        <v/>
      </c>
      <c r="EI73" s="30" t="str">
        <f t="shared" si="919"/>
        <v/>
      </c>
      <c r="EJ73" s="30" t="str">
        <f t="shared" si="920"/>
        <v/>
      </c>
      <c r="EK73" s="30" t="str">
        <f t="shared" si="921"/>
        <v/>
      </c>
      <c r="EL73" s="30" t="str">
        <f t="shared" si="922"/>
        <v/>
      </c>
      <c r="EM73" s="30" t="str">
        <f t="shared" si="923"/>
        <v/>
      </c>
      <c r="EN73" s="30" t="str">
        <f t="shared" si="924"/>
        <v/>
      </c>
      <c r="EO73" s="30" t="str">
        <f t="shared" si="925"/>
        <v/>
      </c>
      <c r="EP73" s="30" t="str">
        <f t="shared" si="926"/>
        <v/>
      </c>
      <c r="EQ73" s="30" t="str">
        <f t="shared" si="927"/>
        <v/>
      </c>
      <c r="ER73" s="30" t="str">
        <f t="shared" si="928"/>
        <v/>
      </c>
      <c r="ES73" s="30" t="str">
        <f t="shared" si="929"/>
        <v/>
      </c>
      <c r="ET73" s="30" t="str">
        <f t="shared" si="930"/>
        <v/>
      </c>
      <c r="EU73" s="30" t="str">
        <f t="shared" si="931"/>
        <v/>
      </c>
      <c r="EV73" s="30" t="str">
        <f t="shared" si="932"/>
        <v/>
      </c>
      <c r="EW73" s="30" t="str">
        <f t="shared" si="933"/>
        <v/>
      </c>
      <c r="EX73" s="30" t="str">
        <f t="shared" si="934"/>
        <v/>
      </c>
      <c r="EY73" s="30" t="str">
        <f t="shared" si="935"/>
        <v/>
      </c>
      <c r="EZ73" s="30" t="str">
        <f t="shared" si="936"/>
        <v/>
      </c>
      <c r="FA73" s="30" t="str">
        <f t="shared" si="937"/>
        <v/>
      </c>
      <c r="FB73" s="30" t="str">
        <f t="shared" si="938"/>
        <v/>
      </c>
      <c r="FC73" s="30" t="str">
        <f t="shared" si="939"/>
        <v/>
      </c>
      <c r="FD73" s="30" t="str">
        <f t="shared" si="940"/>
        <v/>
      </c>
      <c r="FE73" s="30" t="str">
        <f t="shared" si="941"/>
        <v/>
      </c>
      <c r="FF73" s="30" t="str">
        <f t="shared" si="942"/>
        <v/>
      </c>
      <c r="FG73" s="30" t="str">
        <f t="shared" si="943"/>
        <v/>
      </c>
      <c r="FH73" s="30" t="str">
        <f t="shared" si="944"/>
        <v/>
      </c>
      <c r="FI73" s="30" t="str">
        <f t="shared" si="945"/>
        <v/>
      </c>
      <c r="FJ73" s="30" t="str">
        <f t="shared" si="946"/>
        <v/>
      </c>
      <c r="FK73" s="30" t="str">
        <f t="shared" si="947"/>
        <v/>
      </c>
      <c r="FL73" s="30" t="str">
        <f t="shared" si="948"/>
        <v/>
      </c>
      <c r="FM73" s="30" t="str">
        <f t="shared" si="949"/>
        <v/>
      </c>
      <c r="FN73" s="30" t="str">
        <f t="shared" si="950"/>
        <v/>
      </c>
      <c r="FO73" s="30" t="str">
        <f t="shared" si="951"/>
        <v/>
      </c>
      <c r="FP73" s="30" t="str">
        <f t="shared" si="952"/>
        <v/>
      </c>
      <c r="FQ73" s="30" t="str">
        <f t="shared" si="953"/>
        <v/>
      </c>
      <c r="FR73" s="30" t="str">
        <f t="shared" si="954"/>
        <v/>
      </c>
      <c r="FS73" s="30" t="str">
        <f t="shared" si="955"/>
        <v/>
      </c>
    </row>
    <row r="74" spans="1:175" s="24" customFormat="1" ht="16.5">
      <c r="A74" s="5"/>
      <c r="B74" s="36" t="s">
        <v>794</v>
      </c>
      <c r="C74" s="5" t="s">
        <v>795</v>
      </c>
      <c r="D74" s="31"/>
      <c r="E74" s="39"/>
      <c r="F74" s="40">
        <v>32400</v>
      </c>
      <c r="G74" s="38"/>
      <c r="H74" s="38"/>
      <c r="I74" s="38" t="str">
        <f t="shared" si="446"/>
        <v>E223</v>
      </c>
      <c r="J74" s="38"/>
      <c r="K74" s="38"/>
      <c r="L74" s="38"/>
      <c r="M74" s="38"/>
      <c r="N74" s="38"/>
      <c r="O74" s="38"/>
      <c r="P74" s="50"/>
      <c r="Q74" s="50"/>
      <c r="R74" s="50"/>
      <c r="S74" s="52"/>
      <c r="T74" s="102"/>
      <c r="U74" s="32" t="str">
        <f t="shared" si="884"/>
        <v>ReplaceableTextures\\CommandButtons\\BTNE222.blp</v>
      </c>
      <c r="V74" s="43"/>
      <c r="W74" s="43"/>
      <c r="X74" s="43">
        <v>60</v>
      </c>
      <c r="Y74" s="43"/>
      <c r="Z74" s="43">
        <v>134000</v>
      </c>
      <c r="AA74" s="43"/>
      <c r="AB74" s="43"/>
      <c r="AC74" s="43"/>
      <c r="AD74" s="43"/>
      <c r="AE74" s="43"/>
      <c r="AF74" s="43"/>
      <c r="AG74" s="43"/>
      <c r="AH74" s="43"/>
      <c r="AI74" s="43"/>
      <c r="AJ74" s="43"/>
      <c r="AK74" s="43"/>
      <c r="AL74" s="43"/>
      <c r="AM74" s="43">
        <v>12</v>
      </c>
      <c r="AN74" s="43"/>
      <c r="AO74" s="43"/>
      <c r="AP74" s="43"/>
      <c r="AQ74" s="43"/>
      <c r="AR74" s="43"/>
      <c r="AS74" s="43"/>
      <c r="AT74" s="43"/>
      <c r="AU74" s="43"/>
      <c r="AV74" s="43"/>
      <c r="AW74" s="43"/>
      <c r="AX74" s="43"/>
      <c r="AY74" s="43"/>
      <c r="AZ74" s="43"/>
      <c r="BA74" s="43"/>
      <c r="BB74" s="43"/>
      <c r="BC74" s="43"/>
      <c r="BD74" s="43"/>
      <c r="BE74" s="43"/>
      <c r="BF74" s="43"/>
      <c r="BG74" s="43"/>
      <c r="BH74" s="43"/>
      <c r="BI74" s="43"/>
      <c r="BJ74" s="43"/>
      <c r="BK74" s="43"/>
      <c r="BL74" s="43"/>
      <c r="BM74" s="43"/>
      <c r="BN74" s="43"/>
      <c r="BO74" s="43"/>
      <c r="BP74" s="43"/>
      <c r="BQ74" s="43"/>
      <c r="BR74" s="43"/>
      <c r="BS74" s="43"/>
      <c r="BT74" s="43"/>
      <c r="BU74" s="43"/>
      <c r="BV74" s="43"/>
      <c r="BW74" s="43"/>
      <c r="BX74" s="43"/>
      <c r="BY74" s="43"/>
      <c r="BZ74" s="43"/>
      <c r="CA74" s="43"/>
      <c r="CB74" s="43"/>
      <c r="CC74" s="43"/>
      <c r="CD74" s="43"/>
      <c r="CE74" s="43"/>
      <c r="CF74" s="43"/>
      <c r="CG74" s="43"/>
      <c r="CH74" s="43"/>
      <c r="CI74" s="43"/>
      <c r="CJ74" s="43"/>
      <c r="CK74" s="43"/>
      <c r="CL74" s="43"/>
      <c r="CM74" s="43"/>
      <c r="CN74" s="44" t="str">
        <f t="shared" si="880"/>
        <v>InitUnitState('E222',,,60,,134000,,,,,)</v>
      </c>
      <c r="CO74" s="44" t="str">
        <f t="shared" si="881"/>
        <v>InitUnitNormal('E222',,,,,,,,12,,)</v>
      </c>
      <c r="CP74" s="44" t="str">
        <f t="shared" si="882"/>
        <v>InitUnitMagic('E222',,,,,,,,,,)</v>
      </c>
      <c r="CQ74" s="44" t="str">
        <f t="shared" si="883"/>
        <v>InitUnitAdd('E222',,,,,,,,,,)</v>
      </c>
      <c r="CR74" s="44" t="str">
        <f t="shared" si="664"/>
        <v>InitEquipData('E222',,"",,E223,32400,,'','','','','','',"ReplaceableTextures\\CommandButtons\\BTNE223.blp")</v>
      </c>
      <c r="CS74" s="44"/>
      <c r="CT74" s="44"/>
      <c r="CU74" s="45" t="str">
        <f t="shared" si="885"/>
        <v>|n护甲+60|n生命值+134000|n伤害减免+12%|n</v>
      </c>
      <c r="CV74" s="29" t="str">
        <f>"|cffffcc00属性：|r"&amp;CU74&amp;VLOOKUP(A74,合成公式!A:P,16,FALSE)&amp;T74</f>
        <v>|cffffcc00属性：|r|n护甲+60|n生命值+134000|n伤害减免+12%|n</v>
      </c>
      <c r="DB74" s="30" t="str">
        <f t="shared" si="886"/>
        <v/>
      </c>
      <c r="DC74" s="30" t="str">
        <f t="shared" si="887"/>
        <v/>
      </c>
      <c r="DD74" s="30" t="str">
        <f t="shared" si="888"/>
        <v>|n护甲+60</v>
      </c>
      <c r="DE74" s="30" t="str">
        <f t="shared" si="889"/>
        <v/>
      </c>
      <c r="DF74" s="30" t="str">
        <f t="shared" si="890"/>
        <v>|n生命值+134000</v>
      </c>
      <c r="DG74" s="30" t="str">
        <f t="shared" si="891"/>
        <v/>
      </c>
      <c r="DH74" s="30" t="str">
        <f t="shared" si="892"/>
        <v/>
      </c>
      <c r="DI74" s="30" t="str">
        <f t="shared" si="893"/>
        <v/>
      </c>
      <c r="DJ74" s="30" t="str">
        <f t="shared" si="894"/>
        <v/>
      </c>
      <c r="DK74" s="30" t="str">
        <f t="shared" si="895"/>
        <v/>
      </c>
      <c r="DL74" s="30" t="str">
        <f t="shared" si="896"/>
        <v/>
      </c>
      <c r="DM74" s="30" t="str">
        <f t="shared" si="897"/>
        <v/>
      </c>
      <c r="DN74" s="30" t="str">
        <f t="shared" si="898"/>
        <v/>
      </c>
      <c r="DO74" s="30" t="str">
        <f t="shared" si="899"/>
        <v/>
      </c>
      <c r="DP74" s="30" t="str">
        <f t="shared" si="900"/>
        <v/>
      </c>
      <c r="DQ74" s="30" t="str">
        <f t="shared" si="901"/>
        <v/>
      </c>
      <c r="DR74" s="30" t="str">
        <f t="shared" si="902"/>
        <v/>
      </c>
      <c r="DS74" s="30" t="str">
        <f t="shared" si="903"/>
        <v>|n伤害减免+12%</v>
      </c>
      <c r="DT74" s="30" t="str">
        <f t="shared" si="904"/>
        <v/>
      </c>
      <c r="DU74" s="30" t="str">
        <f t="shared" si="905"/>
        <v/>
      </c>
      <c r="DV74" s="30" t="str">
        <f t="shared" si="906"/>
        <v/>
      </c>
      <c r="DW74" s="30" t="str">
        <f t="shared" si="907"/>
        <v/>
      </c>
      <c r="DX74" s="30" t="str">
        <f t="shared" si="908"/>
        <v/>
      </c>
      <c r="DY74" s="30" t="str">
        <f t="shared" si="909"/>
        <v/>
      </c>
      <c r="DZ74" s="30" t="str">
        <f t="shared" si="910"/>
        <v/>
      </c>
      <c r="EA74" s="30" t="str">
        <f t="shared" si="911"/>
        <v/>
      </c>
      <c r="EB74" s="30" t="str">
        <f t="shared" si="912"/>
        <v/>
      </c>
      <c r="EC74" s="30" t="str">
        <f t="shared" si="913"/>
        <v/>
      </c>
      <c r="ED74" s="30" t="str">
        <f t="shared" si="914"/>
        <v/>
      </c>
      <c r="EE74" s="30" t="str">
        <f t="shared" si="915"/>
        <v/>
      </c>
      <c r="EF74" s="30" t="str">
        <f t="shared" si="916"/>
        <v/>
      </c>
      <c r="EG74" s="30" t="str">
        <f t="shared" si="917"/>
        <v/>
      </c>
      <c r="EH74" s="30" t="str">
        <f t="shared" si="918"/>
        <v/>
      </c>
      <c r="EI74" s="30" t="str">
        <f t="shared" si="919"/>
        <v/>
      </c>
      <c r="EJ74" s="30" t="str">
        <f t="shared" si="920"/>
        <v/>
      </c>
      <c r="EK74" s="30" t="str">
        <f t="shared" si="921"/>
        <v/>
      </c>
      <c r="EL74" s="30" t="str">
        <f t="shared" si="922"/>
        <v/>
      </c>
      <c r="EM74" s="30" t="str">
        <f t="shared" si="923"/>
        <v/>
      </c>
      <c r="EN74" s="30" t="str">
        <f t="shared" si="924"/>
        <v/>
      </c>
      <c r="EO74" s="30" t="str">
        <f t="shared" si="925"/>
        <v/>
      </c>
      <c r="EP74" s="30" t="str">
        <f t="shared" si="926"/>
        <v/>
      </c>
      <c r="EQ74" s="30" t="str">
        <f t="shared" si="927"/>
        <v/>
      </c>
      <c r="ER74" s="30" t="str">
        <f t="shared" si="928"/>
        <v/>
      </c>
      <c r="ES74" s="30" t="str">
        <f t="shared" si="929"/>
        <v/>
      </c>
      <c r="ET74" s="30" t="str">
        <f t="shared" si="930"/>
        <v/>
      </c>
      <c r="EU74" s="30" t="str">
        <f t="shared" si="931"/>
        <v/>
      </c>
      <c r="EV74" s="30" t="str">
        <f t="shared" si="932"/>
        <v/>
      </c>
      <c r="EW74" s="30" t="str">
        <f t="shared" si="933"/>
        <v/>
      </c>
      <c r="EX74" s="30" t="str">
        <f t="shared" si="934"/>
        <v/>
      </c>
      <c r="EY74" s="30" t="str">
        <f t="shared" si="935"/>
        <v/>
      </c>
      <c r="EZ74" s="30" t="str">
        <f t="shared" si="936"/>
        <v/>
      </c>
      <c r="FA74" s="30" t="str">
        <f t="shared" si="937"/>
        <v/>
      </c>
      <c r="FB74" s="30" t="str">
        <f t="shared" si="938"/>
        <v/>
      </c>
      <c r="FC74" s="30" t="str">
        <f t="shared" si="939"/>
        <v/>
      </c>
      <c r="FD74" s="30" t="str">
        <f t="shared" si="940"/>
        <v/>
      </c>
      <c r="FE74" s="30" t="str">
        <f t="shared" si="941"/>
        <v/>
      </c>
      <c r="FF74" s="30" t="str">
        <f t="shared" si="942"/>
        <v/>
      </c>
      <c r="FG74" s="30" t="str">
        <f t="shared" si="943"/>
        <v/>
      </c>
      <c r="FH74" s="30" t="str">
        <f t="shared" si="944"/>
        <v/>
      </c>
      <c r="FI74" s="30" t="str">
        <f t="shared" si="945"/>
        <v/>
      </c>
      <c r="FJ74" s="30" t="str">
        <f t="shared" si="946"/>
        <v/>
      </c>
      <c r="FK74" s="30" t="str">
        <f t="shared" si="947"/>
        <v/>
      </c>
      <c r="FL74" s="30" t="str">
        <f t="shared" si="948"/>
        <v/>
      </c>
      <c r="FM74" s="30" t="str">
        <f t="shared" si="949"/>
        <v/>
      </c>
      <c r="FN74" s="30" t="str">
        <f t="shared" si="950"/>
        <v/>
      </c>
      <c r="FO74" s="30" t="str">
        <f t="shared" si="951"/>
        <v/>
      </c>
      <c r="FP74" s="30" t="str">
        <f t="shared" si="952"/>
        <v/>
      </c>
      <c r="FQ74" s="30" t="str">
        <f t="shared" si="953"/>
        <v/>
      </c>
      <c r="FR74" s="30" t="str">
        <f t="shared" si="954"/>
        <v/>
      </c>
      <c r="FS74" s="30" t="str">
        <f t="shared" si="955"/>
        <v/>
      </c>
    </row>
    <row r="75" spans="1:175" s="24" customFormat="1" ht="16.5">
      <c r="A75" s="5"/>
      <c r="B75" s="36" t="s">
        <v>796</v>
      </c>
      <c r="C75" s="5" t="s">
        <v>797</v>
      </c>
      <c r="D75" s="31"/>
      <c r="E75" s="39"/>
      <c r="F75" s="40">
        <v>33600</v>
      </c>
      <c r="G75" s="38"/>
      <c r="H75" s="38"/>
      <c r="I75" s="38" t="str">
        <f t="shared" si="446"/>
        <v>E224</v>
      </c>
      <c r="J75" s="38"/>
      <c r="K75" s="38"/>
      <c r="L75" s="38"/>
      <c r="M75" s="38"/>
      <c r="N75" s="38"/>
      <c r="O75" s="38"/>
      <c r="P75" s="50"/>
      <c r="Q75" s="50"/>
      <c r="R75" s="50"/>
      <c r="S75" s="52"/>
      <c r="T75" s="102"/>
      <c r="U75" s="32" t="str">
        <f t="shared" si="884"/>
        <v>ReplaceableTextures\\CommandButtons\\BTNE223.blp</v>
      </c>
      <c r="V75" s="43"/>
      <c r="W75" s="43"/>
      <c r="X75" s="43">
        <v>65</v>
      </c>
      <c r="Y75" s="43"/>
      <c r="Z75" s="43">
        <v>156000</v>
      </c>
      <c r="AA75" s="43"/>
      <c r="AB75" s="43"/>
      <c r="AC75" s="43"/>
      <c r="AD75" s="43"/>
      <c r="AE75" s="43"/>
      <c r="AF75" s="43"/>
      <c r="AG75" s="43"/>
      <c r="AH75" s="43"/>
      <c r="AI75" s="43"/>
      <c r="AJ75" s="43"/>
      <c r="AK75" s="43"/>
      <c r="AL75" s="43"/>
      <c r="AM75" s="43">
        <v>12</v>
      </c>
      <c r="AN75" s="43"/>
      <c r="AO75" s="43"/>
      <c r="AP75" s="43"/>
      <c r="AQ75" s="43"/>
      <c r="AR75" s="43"/>
      <c r="AS75" s="43"/>
      <c r="AT75" s="43"/>
      <c r="AU75" s="43"/>
      <c r="AV75" s="43"/>
      <c r="AW75" s="43"/>
      <c r="AX75" s="43"/>
      <c r="AY75" s="43"/>
      <c r="AZ75" s="43"/>
      <c r="BA75" s="43"/>
      <c r="BB75" s="43"/>
      <c r="BC75" s="43"/>
      <c r="BD75" s="43"/>
      <c r="BE75" s="43"/>
      <c r="BF75" s="43"/>
      <c r="BG75" s="43"/>
      <c r="BH75" s="43"/>
      <c r="BI75" s="43"/>
      <c r="BJ75" s="43"/>
      <c r="BK75" s="43"/>
      <c r="BL75" s="43"/>
      <c r="BM75" s="43"/>
      <c r="BN75" s="43"/>
      <c r="BO75" s="43"/>
      <c r="BP75" s="43"/>
      <c r="BQ75" s="43"/>
      <c r="BR75" s="43"/>
      <c r="BS75" s="43"/>
      <c r="BT75" s="43"/>
      <c r="BU75" s="43"/>
      <c r="BV75" s="43"/>
      <c r="BW75" s="43"/>
      <c r="BX75" s="43"/>
      <c r="BY75" s="43"/>
      <c r="BZ75" s="43"/>
      <c r="CA75" s="43"/>
      <c r="CB75" s="43"/>
      <c r="CC75" s="43"/>
      <c r="CD75" s="43"/>
      <c r="CE75" s="43"/>
      <c r="CF75" s="43"/>
      <c r="CG75" s="43"/>
      <c r="CH75" s="43"/>
      <c r="CI75" s="43"/>
      <c r="CJ75" s="43"/>
      <c r="CK75" s="43"/>
      <c r="CL75" s="43"/>
      <c r="CM75" s="43"/>
      <c r="CN75" s="44" t="str">
        <f t="shared" si="880"/>
        <v>InitUnitState('E223',,,65,,156000,,,,,)</v>
      </c>
      <c r="CO75" s="44" t="str">
        <f t="shared" si="881"/>
        <v>InitUnitNormal('E223',,,,,,,,12,,)</v>
      </c>
      <c r="CP75" s="44" t="str">
        <f t="shared" si="882"/>
        <v>InitUnitMagic('E223',,,,,,,,,,)</v>
      </c>
      <c r="CQ75" s="44" t="str">
        <f t="shared" si="883"/>
        <v>InitUnitAdd('E223',,,,,,,,,,)</v>
      </c>
      <c r="CR75" s="44" t="str">
        <f t="shared" si="664"/>
        <v>InitEquipData('E223',,"",,E224,33600,,'','','','','','',"ReplaceableTextures\\CommandButtons\\BTNE224.blp")</v>
      </c>
      <c r="CS75" s="44"/>
      <c r="CT75" s="44"/>
      <c r="CU75" s="45" t="str">
        <f t="shared" si="885"/>
        <v>|n护甲+65|n生命值+156000|n伤害减免+12%|n</v>
      </c>
      <c r="CV75" s="29" t="str">
        <f>"|cffffcc00属性：|r"&amp;CU75&amp;VLOOKUP(A75,合成公式!A:P,16,FALSE)&amp;T75</f>
        <v>|cffffcc00属性：|r|n护甲+65|n生命值+156000|n伤害减免+12%|n</v>
      </c>
      <c r="DB75" s="30" t="str">
        <f t="shared" si="886"/>
        <v/>
      </c>
      <c r="DC75" s="30" t="str">
        <f t="shared" si="887"/>
        <v/>
      </c>
      <c r="DD75" s="30" t="str">
        <f t="shared" si="888"/>
        <v>|n护甲+65</v>
      </c>
      <c r="DE75" s="30" t="str">
        <f t="shared" si="889"/>
        <v/>
      </c>
      <c r="DF75" s="30" t="str">
        <f t="shared" si="890"/>
        <v>|n生命值+156000</v>
      </c>
      <c r="DG75" s="30" t="str">
        <f t="shared" si="891"/>
        <v/>
      </c>
      <c r="DH75" s="30" t="str">
        <f t="shared" si="892"/>
        <v/>
      </c>
      <c r="DI75" s="30" t="str">
        <f t="shared" si="893"/>
        <v/>
      </c>
      <c r="DJ75" s="30" t="str">
        <f t="shared" si="894"/>
        <v/>
      </c>
      <c r="DK75" s="30" t="str">
        <f t="shared" si="895"/>
        <v/>
      </c>
      <c r="DL75" s="30" t="str">
        <f t="shared" si="896"/>
        <v/>
      </c>
      <c r="DM75" s="30" t="str">
        <f t="shared" si="897"/>
        <v/>
      </c>
      <c r="DN75" s="30" t="str">
        <f t="shared" si="898"/>
        <v/>
      </c>
      <c r="DO75" s="30" t="str">
        <f t="shared" si="899"/>
        <v/>
      </c>
      <c r="DP75" s="30" t="str">
        <f t="shared" si="900"/>
        <v/>
      </c>
      <c r="DQ75" s="30" t="str">
        <f t="shared" si="901"/>
        <v/>
      </c>
      <c r="DR75" s="30" t="str">
        <f t="shared" si="902"/>
        <v/>
      </c>
      <c r="DS75" s="30" t="str">
        <f t="shared" si="903"/>
        <v>|n伤害减免+12%</v>
      </c>
      <c r="DT75" s="30" t="str">
        <f t="shared" si="904"/>
        <v/>
      </c>
      <c r="DU75" s="30" t="str">
        <f t="shared" si="905"/>
        <v/>
      </c>
      <c r="DV75" s="30" t="str">
        <f t="shared" si="906"/>
        <v/>
      </c>
      <c r="DW75" s="30" t="str">
        <f t="shared" si="907"/>
        <v/>
      </c>
      <c r="DX75" s="30" t="str">
        <f t="shared" si="908"/>
        <v/>
      </c>
      <c r="DY75" s="30" t="str">
        <f t="shared" si="909"/>
        <v/>
      </c>
      <c r="DZ75" s="30" t="str">
        <f t="shared" si="910"/>
        <v/>
      </c>
      <c r="EA75" s="30" t="str">
        <f t="shared" si="911"/>
        <v/>
      </c>
      <c r="EB75" s="30" t="str">
        <f t="shared" si="912"/>
        <v/>
      </c>
      <c r="EC75" s="30" t="str">
        <f t="shared" si="913"/>
        <v/>
      </c>
      <c r="ED75" s="30" t="str">
        <f t="shared" si="914"/>
        <v/>
      </c>
      <c r="EE75" s="30" t="str">
        <f t="shared" si="915"/>
        <v/>
      </c>
      <c r="EF75" s="30" t="str">
        <f t="shared" si="916"/>
        <v/>
      </c>
      <c r="EG75" s="30" t="str">
        <f t="shared" si="917"/>
        <v/>
      </c>
      <c r="EH75" s="30" t="str">
        <f t="shared" si="918"/>
        <v/>
      </c>
      <c r="EI75" s="30" t="str">
        <f t="shared" si="919"/>
        <v/>
      </c>
      <c r="EJ75" s="30" t="str">
        <f t="shared" si="920"/>
        <v/>
      </c>
      <c r="EK75" s="30" t="str">
        <f t="shared" si="921"/>
        <v/>
      </c>
      <c r="EL75" s="30" t="str">
        <f t="shared" si="922"/>
        <v/>
      </c>
      <c r="EM75" s="30" t="str">
        <f t="shared" si="923"/>
        <v/>
      </c>
      <c r="EN75" s="30" t="str">
        <f t="shared" si="924"/>
        <v/>
      </c>
      <c r="EO75" s="30" t="str">
        <f t="shared" si="925"/>
        <v/>
      </c>
      <c r="EP75" s="30" t="str">
        <f t="shared" si="926"/>
        <v/>
      </c>
      <c r="EQ75" s="30" t="str">
        <f t="shared" si="927"/>
        <v/>
      </c>
      <c r="ER75" s="30" t="str">
        <f t="shared" si="928"/>
        <v/>
      </c>
      <c r="ES75" s="30" t="str">
        <f t="shared" si="929"/>
        <v/>
      </c>
      <c r="ET75" s="30" t="str">
        <f t="shared" si="930"/>
        <v/>
      </c>
      <c r="EU75" s="30" t="str">
        <f t="shared" si="931"/>
        <v/>
      </c>
      <c r="EV75" s="30" t="str">
        <f t="shared" si="932"/>
        <v/>
      </c>
      <c r="EW75" s="30" t="str">
        <f t="shared" si="933"/>
        <v/>
      </c>
      <c r="EX75" s="30" t="str">
        <f t="shared" si="934"/>
        <v/>
      </c>
      <c r="EY75" s="30" t="str">
        <f t="shared" si="935"/>
        <v/>
      </c>
      <c r="EZ75" s="30" t="str">
        <f t="shared" si="936"/>
        <v/>
      </c>
      <c r="FA75" s="30" t="str">
        <f t="shared" si="937"/>
        <v/>
      </c>
      <c r="FB75" s="30" t="str">
        <f t="shared" si="938"/>
        <v/>
      </c>
      <c r="FC75" s="30" t="str">
        <f t="shared" si="939"/>
        <v/>
      </c>
      <c r="FD75" s="30" t="str">
        <f t="shared" si="940"/>
        <v/>
      </c>
      <c r="FE75" s="30" t="str">
        <f t="shared" si="941"/>
        <v/>
      </c>
      <c r="FF75" s="30" t="str">
        <f t="shared" si="942"/>
        <v/>
      </c>
      <c r="FG75" s="30" t="str">
        <f t="shared" si="943"/>
        <v/>
      </c>
      <c r="FH75" s="30" t="str">
        <f t="shared" si="944"/>
        <v/>
      </c>
      <c r="FI75" s="30" t="str">
        <f t="shared" si="945"/>
        <v/>
      </c>
      <c r="FJ75" s="30" t="str">
        <f t="shared" si="946"/>
        <v/>
      </c>
      <c r="FK75" s="30" t="str">
        <f t="shared" si="947"/>
        <v/>
      </c>
      <c r="FL75" s="30" t="str">
        <f t="shared" si="948"/>
        <v/>
      </c>
      <c r="FM75" s="30" t="str">
        <f t="shared" si="949"/>
        <v/>
      </c>
      <c r="FN75" s="30" t="str">
        <f t="shared" si="950"/>
        <v/>
      </c>
      <c r="FO75" s="30" t="str">
        <f t="shared" si="951"/>
        <v/>
      </c>
      <c r="FP75" s="30" t="str">
        <f t="shared" si="952"/>
        <v/>
      </c>
      <c r="FQ75" s="30" t="str">
        <f t="shared" si="953"/>
        <v/>
      </c>
      <c r="FR75" s="30" t="str">
        <f t="shared" si="954"/>
        <v/>
      </c>
      <c r="FS75" s="30" t="str">
        <f t="shared" si="955"/>
        <v/>
      </c>
    </row>
    <row r="76" spans="1:175" s="24" customFormat="1" ht="16.5">
      <c r="A76" s="5"/>
      <c r="B76" s="36" t="s">
        <v>798</v>
      </c>
      <c r="C76" s="5" t="s">
        <v>799</v>
      </c>
      <c r="D76" s="31"/>
      <c r="E76" s="39"/>
      <c r="F76" s="40">
        <v>34800</v>
      </c>
      <c r="G76" s="38"/>
      <c r="H76" s="38"/>
      <c r="I76" s="38" t="str">
        <f t="shared" si="446"/>
        <v>E225</v>
      </c>
      <c r="J76" s="38"/>
      <c r="K76" s="38"/>
      <c r="L76" s="38"/>
      <c r="M76" s="38"/>
      <c r="N76" s="38"/>
      <c r="O76" s="38"/>
      <c r="P76" s="50"/>
      <c r="Q76" s="50"/>
      <c r="R76" s="50"/>
      <c r="S76" s="52"/>
      <c r="T76" s="102"/>
      <c r="U76" s="32" t="str">
        <f t="shared" si="884"/>
        <v>ReplaceableTextures\\CommandButtons\\BTNE224.blp</v>
      </c>
      <c r="V76" s="43"/>
      <c r="W76" s="43"/>
      <c r="X76" s="43">
        <v>70</v>
      </c>
      <c r="Y76" s="43"/>
      <c r="Z76" s="43">
        <v>178000</v>
      </c>
      <c r="AA76" s="43"/>
      <c r="AB76" s="43"/>
      <c r="AC76" s="43"/>
      <c r="AD76" s="43"/>
      <c r="AE76" s="43"/>
      <c r="AF76" s="43"/>
      <c r="AG76" s="43"/>
      <c r="AH76" s="43"/>
      <c r="AI76" s="43"/>
      <c r="AJ76" s="43"/>
      <c r="AK76" s="43"/>
      <c r="AL76" s="43"/>
      <c r="AM76" s="43">
        <v>12</v>
      </c>
      <c r="AN76" s="43"/>
      <c r="AO76" s="43"/>
      <c r="AP76" s="43"/>
      <c r="AQ76" s="43"/>
      <c r="AR76" s="43"/>
      <c r="AS76" s="43"/>
      <c r="AT76" s="43"/>
      <c r="AU76" s="43"/>
      <c r="AV76" s="43"/>
      <c r="AW76" s="43"/>
      <c r="AX76" s="43"/>
      <c r="AY76" s="43"/>
      <c r="AZ76" s="43"/>
      <c r="BA76" s="43"/>
      <c r="BB76" s="43"/>
      <c r="BC76" s="43"/>
      <c r="BD76" s="43"/>
      <c r="BE76" s="43"/>
      <c r="BF76" s="43"/>
      <c r="BG76" s="43"/>
      <c r="BH76" s="43"/>
      <c r="BI76" s="43"/>
      <c r="BJ76" s="43"/>
      <c r="BK76" s="43"/>
      <c r="BL76" s="43"/>
      <c r="BM76" s="43"/>
      <c r="BN76" s="43"/>
      <c r="BO76" s="43"/>
      <c r="BP76" s="43"/>
      <c r="BQ76" s="43"/>
      <c r="BR76" s="43"/>
      <c r="BS76" s="43"/>
      <c r="BT76" s="43"/>
      <c r="BU76" s="43"/>
      <c r="BV76" s="43"/>
      <c r="BW76" s="43"/>
      <c r="BX76" s="43"/>
      <c r="BY76" s="43"/>
      <c r="BZ76" s="43"/>
      <c r="CA76" s="43"/>
      <c r="CB76" s="43"/>
      <c r="CC76" s="43"/>
      <c r="CD76" s="43"/>
      <c r="CE76" s="43"/>
      <c r="CF76" s="43"/>
      <c r="CG76" s="43"/>
      <c r="CH76" s="43"/>
      <c r="CI76" s="43"/>
      <c r="CJ76" s="43"/>
      <c r="CK76" s="43"/>
      <c r="CL76" s="43"/>
      <c r="CM76" s="43"/>
      <c r="CN76" s="44" t="str">
        <f t="shared" si="880"/>
        <v>InitUnitState('E224',,,70,,178000,,,,,)</v>
      </c>
      <c r="CO76" s="44" t="str">
        <f t="shared" si="881"/>
        <v>InitUnitNormal('E224',,,,,,,,12,,)</v>
      </c>
      <c r="CP76" s="44" t="str">
        <f t="shared" si="882"/>
        <v>InitUnitMagic('E224',,,,,,,,,,)</v>
      </c>
      <c r="CQ76" s="44" t="str">
        <f t="shared" si="883"/>
        <v>InitUnitAdd('E224',,,,,,,,,,)</v>
      </c>
      <c r="CR76" s="44" t="str">
        <f t="shared" si="664"/>
        <v>InitEquipData('E224',,"",,E225,34800,,'','','','','','',"ReplaceableTextures\\CommandButtons\\BTNE225.blp")</v>
      </c>
      <c r="CS76" s="44"/>
      <c r="CT76" s="44"/>
      <c r="CU76" s="45" t="str">
        <f t="shared" si="885"/>
        <v>|n护甲+70|n生命值+178000|n伤害减免+12%|n</v>
      </c>
      <c r="CV76" s="29" t="str">
        <f>"|cffffcc00属性：|r"&amp;CU76&amp;VLOOKUP(A76,合成公式!A:P,16,FALSE)&amp;T76</f>
        <v>|cffffcc00属性：|r|n护甲+70|n生命值+178000|n伤害减免+12%|n</v>
      </c>
      <c r="DB76" s="30" t="str">
        <f t="shared" si="886"/>
        <v/>
      </c>
      <c r="DC76" s="30" t="str">
        <f t="shared" si="887"/>
        <v/>
      </c>
      <c r="DD76" s="30" t="str">
        <f t="shared" si="888"/>
        <v>|n护甲+70</v>
      </c>
      <c r="DE76" s="30" t="str">
        <f t="shared" si="889"/>
        <v/>
      </c>
      <c r="DF76" s="30" t="str">
        <f t="shared" si="890"/>
        <v>|n生命值+178000</v>
      </c>
      <c r="DG76" s="30" t="str">
        <f t="shared" si="891"/>
        <v/>
      </c>
      <c r="DH76" s="30" t="str">
        <f t="shared" si="892"/>
        <v/>
      </c>
      <c r="DI76" s="30" t="str">
        <f t="shared" si="893"/>
        <v/>
      </c>
      <c r="DJ76" s="30" t="str">
        <f t="shared" si="894"/>
        <v/>
      </c>
      <c r="DK76" s="30" t="str">
        <f t="shared" si="895"/>
        <v/>
      </c>
      <c r="DL76" s="30" t="str">
        <f t="shared" si="896"/>
        <v/>
      </c>
      <c r="DM76" s="30" t="str">
        <f t="shared" si="897"/>
        <v/>
      </c>
      <c r="DN76" s="30" t="str">
        <f t="shared" si="898"/>
        <v/>
      </c>
      <c r="DO76" s="30" t="str">
        <f t="shared" si="899"/>
        <v/>
      </c>
      <c r="DP76" s="30" t="str">
        <f t="shared" si="900"/>
        <v/>
      </c>
      <c r="DQ76" s="30" t="str">
        <f t="shared" si="901"/>
        <v/>
      </c>
      <c r="DR76" s="30" t="str">
        <f t="shared" si="902"/>
        <v/>
      </c>
      <c r="DS76" s="30" t="str">
        <f t="shared" si="903"/>
        <v>|n伤害减免+12%</v>
      </c>
      <c r="DT76" s="30" t="str">
        <f t="shared" si="904"/>
        <v/>
      </c>
      <c r="DU76" s="30" t="str">
        <f t="shared" si="905"/>
        <v/>
      </c>
      <c r="DV76" s="30" t="str">
        <f t="shared" si="906"/>
        <v/>
      </c>
      <c r="DW76" s="30" t="str">
        <f t="shared" si="907"/>
        <v/>
      </c>
      <c r="DX76" s="30" t="str">
        <f t="shared" si="908"/>
        <v/>
      </c>
      <c r="DY76" s="30" t="str">
        <f t="shared" si="909"/>
        <v/>
      </c>
      <c r="DZ76" s="30" t="str">
        <f t="shared" si="910"/>
        <v/>
      </c>
      <c r="EA76" s="30" t="str">
        <f t="shared" si="911"/>
        <v/>
      </c>
      <c r="EB76" s="30" t="str">
        <f t="shared" si="912"/>
        <v/>
      </c>
      <c r="EC76" s="30" t="str">
        <f t="shared" si="913"/>
        <v/>
      </c>
      <c r="ED76" s="30" t="str">
        <f t="shared" si="914"/>
        <v/>
      </c>
      <c r="EE76" s="30" t="str">
        <f t="shared" si="915"/>
        <v/>
      </c>
      <c r="EF76" s="30" t="str">
        <f t="shared" si="916"/>
        <v/>
      </c>
      <c r="EG76" s="30" t="str">
        <f t="shared" si="917"/>
        <v/>
      </c>
      <c r="EH76" s="30" t="str">
        <f t="shared" si="918"/>
        <v/>
      </c>
      <c r="EI76" s="30" t="str">
        <f t="shared" si="919"/>
        <v/>
      </c>
      <c r="EJ76" s="30" t="str">
        <f t="shared" si="920"/>
        <v/>
      </c>
      <c r="EK76" s="30" t="str">
        <f t="shared" si="921"/>
        <v/>
      </c>
      <c r="EL76" s="30" t="str">
        <f t="shared" si="922"/>
        <v/>
      </c>
      <c r="EM76" s="30" t="str">
        <f t="shared" si="923"/>
        <v/>
      </c>
      <c r="EN76" s="30" t="str">
        <f t="shared" si="924"/>
        <v/>
      </c>
      <c r="EO76" s="30" t="str">
        <f t="shared" si="925"/>
        <v/>
      </c>
      <c r="EP76" s="30" t="str">
        <f t="shared" si="926"/>
        <v/>
      </c>
      <c r="EQ76" s="30" t="str">
        <f t="shared" si="927"/>
        <v/>
      </c>
      <c r="ER76" s="30" t="str">
        <f t="shared" si="928"/>
        <v/>
      </c>
      <c r="ES76" s="30" t="str">
        <f t="shared" si="929"/>
        <v/>
      </c>
      <c r="ET76" s="30" t="str">
        <f t="shared" si="930"/>
        <v/>
      </c>
      <c r="EU76" s="30" t="str">
        <f t="shared" si="931"/>
        <v/>
      </c>
      <c r="EV76" s="30" t="str">
        <f t="shared" si="932"/>
        <v/>
      </c>
      <c r="EW76" s="30" t="str">
        <f t="shared" si="933"/>
        <v/>
      </c>
      <c r="EX76" s="30" t="str">
        <f t="shared" si="934"/>
        <v/>
      </c>
      <c r="EY76" s="30" t="str">
        <f t="shared" si="935"/>
        <v/>
      </c>
      <c r="EZ76" s="30" t="str">
        <f t="shared" si="936"/>
        <v/>
      </c>
      <c r="FA76" s="30" t="str">
        <f t="shared" si="937"/>
        <v/>
      </c>
      <c r="FB76" s="30" t="str">
        <f t="shared" si="938"/>
        <v/>
      </c>
      <c r="FC76" s="30" t="str">
        <f t="shared" si="939"/>
        <v/>
      </c>
      <c r="FD76" s="30" t="str">
        <f t="shared" si="940"/>
        <v/>
      </c>
      <c r="FE76" s="30" t="str">
        <f t="shared" si="941"/>
        <v/>
      </c>
      <c r="FF76" s="30" t="str">
        <f t="shared" si="942"/>
        <v/>
      </c>
      <c r="FG76" s="30" t="str">
        <f t="shared" si="943"/>
        <v/>
      </c>
      <c r="FH76" s="30" t="str">
        <f t="shared" si="944"/>
        <v/>
      </c>
      <c r="FI76" s="30" t="str">
        <f t="shared" si="945"/>
        <v/>
      </c>
      <c r="FJ76" s="30" t="str">
        <f t="shared" si="946"/>
        <v/>
      </c>
      <c r="FK76" s="30" t="str">
        <f t="shared" si="947"/>
        <v/>
      </c>
      <c r="FL76" s="30" t="str">
        <f t="shared" si="948"/>
        <v/>
      </c>
      <c r="FM76" s="30" t="str">
        <f t="shared" si="949"/>
        <v/>
      </c>
      <c r="FN76" s="30" t="str">
        <f t="shared" si="950"/>
        <v/>
      </c>
      <c r="FO76" s="30" t="str">
        <f t="shared" si="951"/>
        <v/>
      </c>
      <c r="FP76" s="30" t="str">
        <f t="shared" si="952"/>
        <v/>
      </c>
      <c r="FQ76" s="30" t="str">
        <f t="shared" si="953"/>
        <v/>
      </c>
      <c r="FR76" s="30" t="str">
        <f t="shared" si="954"/>
        <v/>
      </c>
      <c r="FS76" s="30" t="str">
        <f t="shared" si="955"/>
        <v/>
      </c>
    </row>
    <row r="77" spans="1:175" s="24" customFormat="1" ht="16.5">
      <c r="A77" s="5"/>
      <c r="B77" s="36" t="s">
        <v>800</v>
      </c>
      <c r="C77" s="5" t="s">
        <v>801</v>
      </c>
      <c r="D77" s="31"/>
      <c r="E77" s="39"/>
      <c r="F77" s="40"/>
      <c r="G77" s="38"/>
      <c r="H77" s="38"/>
      <c r="I77" s="38"/>
      <c r="J77" s="38"/>
      <c r="K77" s="38"/>
      <c r="L77" s="38"/>
      <c r="M77" s="38"/>
      <c r="N77" s="38"/>
      <c r="O77" s="38"/>
      <c r="P77" s="50"/>
      <c r="Q77" s="50"/>
      <c r="R77" s="50"/>
      <c r="S77" s="52"/>
      <c r="T77" s="102"/>
      <c r="U77" s="32" t="str">
        <f t="shared" si="884"/>
        <v>ReplaceableTextures\\CommandButtons\\BTNE225.blp</v>
      </c>
      <c r="V77" s="43"/>
      <c r="W77" s="43"/>
      <c r="X77" s="43">
        <v>75</v>
      </c>
      <c r="Y77" s="43"/>
      <c r="Z77" s="43">
        <v>200000</v>
      </c>
      <c r="AA77" s="43"/>
      <c r="AB77" s="43"/>
      <c r="AC77" s="43"/>
      <c r="AD77" s="43"/>
      <c r="AE77" s="43"/>
      <c r="AF77" s="43"/>
      <c r="AG77" s="43"/>
      <c r="AH77" s="43"/>
      <c r="AI77" s="43"/>
      <c r="AJ77" s="43"/>
      <c r="AK77" s="43"/>
      <c r="AL77" s="43"/>
      <c r="AM77" s="43">
        <v>12</v>
      </c>
      <c r="AN77" s="43"/>
      <c r="AO77" s="43"/>
      <c r="AP77" s="43"/>
      <c r="AQ77" s="43"/>
      <c r="AR77" s="43"/>
      <c r="AS77" s="43"/>
      <c r="AT77" s="43"/>
      <c r="AU77" s="43"/>
      <c r="AV77" s="43"/>
      <c r="AW77" s="43"/>
      <c r="AX77" s="43"/>
      <c r="AY77" s="43"/>
      <c r="AZ77" s="43"/>
      <c r="BA77" s="43"/>
      <c r="BB77" s="43"/>
      <c r="BC77" s="43"/>
      <c r="BD77" s="43"/>
      <c r="BE77" s="43"/>
      <c r="BF77" s="43"/>
      <c r="BG77" s="43"/>
      <c r="BH77" s="43"/>
      <c r="BI77" s="43"/>
      <c r="BJ77" s="43"/>
      <c r="BK77" s="43"/>
      <c r="BL77" s="43"/>
      <c r="BM77" s="43"/>
      <c r="BN77" s="43"/>
      <c r="BO77" s="43"/>
      <c r="BP77" s="43"/>
      <c r="BQ77" s="43"/>
      <c r="BR77" s="43"/>
      <c r="BS77" s="43"/>
      <c r="BT77" s="43"/>
      <c r="BU77" s="43"/>
      <c r="BV77" s="43"/>
      <c r="BW77" s="43"/>
      <c r="BX77" s="43"/>
      <c r="BY77" s="43"/>
      <c r="BZ77" s="43"/>
      <c r="CA77" s="43"/>
      <c r="CB77" s="43"/>
      <c r="CC77" s="43"/>
      <c r="CD77" s="43"/>
      <c r="CE77" s="43"/>
      <c r="CF77" s="43"/>
      <c r="CG77" s="43"/>
      <c r="CH77" s="43"/>
      <c r="CI77" s="43"/>
      <c r="CJ77" s="43"/>
      <c r="CK77" s="43"/>
      <c r="CL77" s="43"/>
      <c r="CM77" s="43"/>
      <c r="CN77" s="44" t="str">
        <f t="shared" si="880"/>
        <v>InitUnitState('E225',,,75,,200000,,,,,)</v>
      </c>
      <c r="CO77" s="44" t="str">
        <f t="shared" si="881"/>
        <v>InitUnitNormal('E225',,,,,,,,12,,)</v>
      </c>
      <c r="CP77" s="44" t="str">
        <f t="shared" si="882"/>
        <v>InitUnitMagic('E225',,,,,,,,,,)</v>
      </c>
      <c r="CQ77" s="44" t="str">
        <f t="shared" si="883"/>
        <v>InitUnitAdd('E225',,,,,,,,,,)</v>
      </c>
      <c r="CR77" s="44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44"/>
      <c r="CT77" s="44"/>
      <c r="CU77" s="45" t="str">
        <f t="shared" si="885"/>
        <v>|n护甲+75|n生命值+200000|n伤害减免+12%|n</v>
      </c>
      <c r="CV77" s="29" t="str">
        <f>"|cffffcc00属性：|r"&amp;CU77&amp;VLOOKUP(A77,合成公式!A:P,16,FALSE)&amp;T77</f>
        <v>|cffffcc00属性：|r|n护甲+75|n生命值+200000|n伤害减免+12%|n</v>
      </c>
      <c r="DB77" s="30" t="str">
        <f t="shared" si="886"/>
        <v/>
      </c>
      <c r="DC77" s="30" t="str">
        <f t="shared" si="887"/>
        <v/>
      </c>
      <c r="DD77" s="30" t="str">
        <f t="shared" si="888"/>
        <v>|n护甲+75</v>
      </c>
      <c r="DE77" s="30" t="str">
        <f t="shared" si="889"/>
        <v/>
      </c>
      <c r="DF77" s="30" t="str">
        <f t="shared" si="890"/>
        <v>|n生命值+200000</v>
      </c>
      <c r="DG77" s="30" t="str">
        <f t="shared" si="891"/>
        <v/>
      </c>
      <c r="DH77" s="30" t="str">
        <f t="shared" si="892"/>
        <v/>
      </c>
      <c r="DI77" s="30" t="str">
        <f t="shared" si="893"/>
        <v/>
      </c>
      <c r="DJ77" s="30" t="str">
        <f t="shared" si="894"/>
        <v/>
      </c>
      <c r="DK77" s="30" t="str">
        <f t="shared" si="895"/>
        <v/>
      </c>
      <c r="DL77" s="30" t="str">
        <f t="shared" si="896"/>
        <v/>
      </c>
      <c r="DM77" s="30" t="str">
        <f t="shared" si="897"/>
        <v/>
      </c>
      <c r="DN77" s="30" t="str">
        <f t="shared" si="898"/>
        <v/>
      </c>
      <c r="DO77" s="30" t="str">
        <f t="shared" si="899"/>
        <v/>
      </c>
      <c r="DP77" s="30" t="str">
        <f t="shared" si="900"/>
        <v/>
      </c>
      <c r="DQ77" s="30" t="str">
        <f t="shared" si="901"/>
        <v/>
      </c>
      <c r="DR77" s="30" t="str">
        <f t="shared" si="902"/>
        <v/>
      </c>
      <c r="DS77" s="30" t="str">
        <f t="shared" si="903"/>
        <v>|n伤害减免+12%</v>
      </c>
      <c r="DT77" s="30" t="str">
        <f t="shared" si="904"/>
        <v/>
      </c>
      <c r="DU77" s="30" t="str">
        <f t="shared" si="905"/>
        <v/>
      </c>
      <c r="DV77" s="30" t="str">
        <f t="shared" si="906"/>
        <v/>
      </c>
      <c r="DW77" s="30" t="str">
        <f t="shared" si="907"/>
        <v/>
      </c>
      <c r="DX77" s="30" t="str">
        <f t="shared" si="908"/>
        <v/>
      </c>
      <c r="DY77" s="30" t="str">
        <f t="shared" si="909"/>
        <v/>
      </c>
      <c r="DZ77" s="30" t="str">
        <f t="shared" si="910"/>
        <v/>
      </c>
      <c r="EA77" s="30" t="str">
        <f t="shared" si="911"/>
        <v/>
      </c>
      <c r="EB77" s="30" t="str">
        <f t="shared" si="912"/>
        <v/>
      </c>
      <c r="EC77" s="30" t="str">
        <f t="shared" si="913"/>
        <v/>
      </c>
      <c r="ED77" s="30" t="str">
        <f t="shared" si="914"/>
        <v/>
      </c>
      <c r="EE77" s="30" t="str">
        <f t="shared" si="915"/>
        <v/>
      </c>
      <c r="EF77" s="30" t="str">
        <f t="shared" si="916"/>
        <v/>
      </c>
      <c r="EG77" s="30" t="str">
        <f t="shared" si="917"/>
        <v/>
      </c>
      <c r="EH77" s="30" t="str">
        <f t="shared" si="918"/>
        <v/>
      </c>
      <c r="EI77" s="30" t="str">
        <f t="shared" si="919"/>
        <v/>
      </c>
      <c r="EJ77" s="30" t="str">
        <f t="shared" si="920"/>
        <v/>
      </c>
      <c r="EK77" s="30" t="str">
        <f t="shared" si="921"/>
        <v/>
      </c>
      <c r="EL77" s="30" t="str">
        <f t="shared" si="922"/>
        <v/>
      </c>
      <c r="EM77" s="30" t="str">
        <f t="shared" si="923"/>
        <v/>
      </c>
      <c r="EN77" s="30" t="str">
        <f t="shared" si="924"/>
        <v/>
      </c>
      <c r="EO77" s="30" t="str">
        <f t="shared" si="925"/>
        <v/>
      </c>
      <c r="EP77" s="30" t="str">
        <f t="shared" si="926"/>
        <v/>
      </c>
      <c r="EQ77" s="30" t="str">
        <f t="shared" si="927"/>
        <v/>
      </c>
      <c r="ER77" s="30" t="str">
        <f t="shared" si="928"/>
        <v/>
      </c>
      <c r="ES77" s="30" t="str">
        <f t="shared" si="929"/>
        <v/>
      </c>
      <c r="ET77" s="30" t="str">
        <f t="shared" si="930"/>
        <v/>
      </c>
      <c r="EU77" s="30" t="str">
        <f t="shared" si="931"/>
        <v/>
      </c>
      <c r="EV77" s="30" t="str">
        <f t="shared" si="932"/>
        <v/>
      </c>
      <c r="EW77" s="30" t="str">
        <f t="shared" si="933"/>
        <v/>
      </c>
      <c r="EX77" s="30" t="str">
        <f t="shared" si="934"/>
        <v/>
      </c>
      <c r="EY77" s="30" t="str">
        <f t="shared" si="935"/>
        <v/>
      </c>
      <c r="EZ77" s="30" t="str">
        <f t="shared" si="936"/>
        <v/>
      </c>
      <c r="FA77" s="30" t="str">
        <f t="shared" si="937"/>
        <v/>
      </c>
      <c r="FB77" s="30" t="str">
        <f t="shared" si="938"/>
        <v/>
      </c>
      <c r="FC77" s="30" t="str">
        <f t="shared" si="939"/>
        <v/>
      </c>
      <c r="FD77" s="30" t="str">
        <f t="shared" si="940"/>
        <v/>
      </c>
      <c r="FE77" s="30" t="str">
        <f t="shared" si="941"/>
        <v/>
      </c>
      <c r="FF77" s="30" t="str">
        <f t="shared" si="942"/>
        <v/>
      </c>
      <c r="FG77" s="30" t="str">
        <f t="shared" si="943"/>
        <v/>
      </c>
      <c r="FH77" s="30" t="str">
        <f t="shared" si="944"/>
        <v/>
      </c>
      <c r="FI77" s="30" t="str">
        <f t="shared" si="945"/>
        <v/>
      </c>
      <c r="FJ77" s="30" t="str">
        <f t="shared" si="946"/>
        <v/>
      </c>
      <c r="FK77" s="30" t="str">
        <f t="shared" si="947"/>
        <v/>
      </c>
      <c r="FL77" s="30" t="str">
        <f t="shared" si="948"/>
        <v/>
      </c>
      <c r="FM77" s="30" t="str">
        <f t="shared" si="949"/>
        <v/>
      </c>
      <c r="FN77" s="30" t="str">
        <f t="shared" si="950"/>
        <v/>
      </c>
      <c r="FO77" s="30" t="str">
        <f t="shared" si="951"/>
        <v/>
      </c>
      <c r="FP77" s="30" t="str">
        <f t="shared" si="952"/>
        <v/>
      </c>
      <c r="FQ77" s="30" t="str">
        <f t="shared" si="953"/>
        <v/>
      </c>
      <c r="FR77" s="30" t="str">
        <f t="shared" si="954"/>
        <v/>
      </c>
      <c r="FS77" s="30" t="str">
        <f t="shared" si="955"/>
        <v/>
      </c>
    </row>
    <row r="78" spans="1:175" ht="16.5">
      <c r="A78" s="49"/>
      <c r="B78" s="36" t="s">
        <v>812</v>
      </c>
      <c r="C78" s="49" t="s">
        <v>802</v>
      </c>
      <c r="E78" s="48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51"/>
      <c r="Q78" s="51"/>
      <c r="R78" s="51"/>
      <c r="S78" s="51"/>
      <c r="T78" s="120"/>
      <c r="U78" s="37" t="s">
        <v>854</v>
      </c>
      <c r="V78" s="28">
        <v>878</v>
      </c>
      <c r="W78" s="28">
        <v>878</v>
      </c>
      <c r="Z78" s="28">
        <v>1756</v>
      </c>
      <c r="CP78" s="7" t="str">
        <f t="shared" si="882"/>
        <v>InitUnitMagic('IJ01',,,,,,,,,,)</v>
      </c>
      <c r="CQ78" s="7" t="str">
        <f t="shared" si="883"/>
        <v>InitUnitAdd('IJ01',,,,,,,,,,)</v>
      </c>
      <c r="CR78" s="7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45" t="str">
        <f t="shared" si="665"/>
        <v>|n攻击+878|n法强+878|n生命值+1756|n</v>
      </c>
      <c r="CV78" s="29" t="str">
        <f>"|cffffcc00属性：|r"&amp;CU78&amp;VLOOKUP(A78,合成公式!A:P,16,FALSE)&amp;T78</f>
        <v>|cffffcc00属性：|r|n攻击+878|n法强+878|n生命值+1756|n</v>
      </c>
      <c r="CW78" s="24"/>
      <c r="CX78" s="24"/>
      <c r="CY78" s="24"/>
      <c r="CZ78" s="24"/>
      <c r="DA78" s="24"/>
      <c r="DB78" s="30" t="str">
        <f t="shared" si="666"/>
        <v>|n攻击+878</v>
      </c>
      <c r="DC78" s="30" t="str">
        <f t="shared" si="667"/>
        <v>|n法强+878</v>
      </c>
      <c r="DD78" s="30" t="str">
        <f t="shared" si="668"/>
        <v/>
      </c>
      <c r="DE78" s="30" t="str">
        <f t="shared" si="669"/>
        <v/>
      </c>
      <c r="DF78" s="30" t="str">
        <f t="shared" si="670"/>
        <v>|n生命值+1756</v>
      </c>
      <c r="DG78" s="30" t="str">
        <f t="shared" si="671"/>
        <v/>
      </c>
      <c r="DH78" s="30" t="str">
        <f t="shared" si="672"/>
        <v/>
      </c>
      <c r="DI78" s="30" t="str">
        <f t="shared" si="673"/>
        <v/>
      </c>
      <c r="DJ78" s="30" t="str">
        <f t="shared" si="674"/>
        <v/>
      </c>
      <c r="DK78" s="30" t="str">
        <f t="shared" si="675"/>
        <v/>
      </c>
      <c r="DL78" s="30" t="str">
        <f t="shared" si="676"/>
        <v/>
      </c>
      <c r="DM78" s="30" t="str">
        <f t="shared" si="677"/>
        <v/>
      </c>
      <c r="DN78" s="30" t="str">
        <f t="shared" si="678"/>
        <v/>
      </c>
      <c r="DO78" s="30" t="str">
        <f t="shared" si="679"/>
        <v/>
      </c>
      <c r="DP78" s="30" t="str">
        <f t="shared" si="680"/>
        <v/>
      </c>
      <c r="DQ78" s="30" t="str">
        <f t="shared" si="681"/>
        <v/>
      </c>
      <c r="DR78" s="30" t="str">
        <f t="shared" si="682"/>
        <v/>
      </c>
      <c r="DS78" s="30" t="str">
        <f t="shared" si="683"/>
        <v/>
      </c>
      <c r="DT78" s="30" t="str">
        <f t="shared" si="684"/>
        <v/>
      </c>
      <c r="DU78" s="30" t="str">
        <f t="shared" si="685"/>
        <v/>
      </c>
      <c r="DV78" s="30" t="str">
        <f t="shared" si="686"/>
        <v/>
      </c>
      <c r="DW78" s="30" t="str">
        <f t="shared" si="687"/>
        <v/>
      </c>
      <c r="DX78" s="30" t="str">
        <f t="shared" si="688"/>
        <v/>
      </c>
      <c r="DY78" s="30" t="str">
        <f t="shared" si="689"/>
        <v/>
      </c>
      <c r="DZ78" s="30" t="str">
        <f t="shared" si="690"/>
        <v/>
      </c>
      <c r="EA78" s="30" t="str">
        <f t="shared" si="691"/>
        <v/>
      </c>
      <c r="EB78" s="30" t="str">
        <f t="shared" si="692"/>
        <v/>
      </c>
      <c r="EC78" s="30" t="str">
        <f t="shared" si="693"/>
        <v/>
      </c>
      <c r="ED78" s="30" t="str">
        <f t="shared" si="694"/>
        <v/>
      </c>
      <c r="EE78" s="30" t="str">
        <f t="shared" si="695"/>
        <v/>
      </c>
      <c r="EF78" s="30" t="str">
        <f t="shared" si="696"/>
        <v/>
      </c>
      <c r="EG78" s="30" t="str">
        <f t="shared" si="697"/>
        <v/>
      </c>
      <c r="EH78" s="30" t="str">
        <f t="shared" si="698"/>
        <v/>
      </c>
      <c r="EI78" s="30" t="str">
        <f t="shared" si="699"/>
        <v/>
      </c>
      <c r="EJ78" s="30" t="str">
        <f t="shared" si="700"/>
        <v/>
      </c>
      <c r="EK78" s="30" t="str">
        <f t="shared" si="701"/>
        <v/>
      </c>
      <c r="EL78" s="30" t="str">
        <f t="shared" si="702"/>
        <v/>
      </c>
      <c r="EM78" s="30" t="str">
        <f t="shared" si="703"/>
        <v/>
      </c>
      <c r="EN78" s="30" t="str">
        <f t="shared" si="704"/>
        <v/>
      </c>
      <c r="EO78" s="30" t="str">
        <f t="shared" si="705"/>
        <v/>
      </c>
      <c r="EP78" s="30" t="str">
        <f t="shared" si="706"/>
        <v/>
      </c>
      <c r="EQ78" s="30" t="str">
        <f t="shared" si="707"/>
        <v/>
      </c>
      <c r="ER78" s="30" t="str">
        <f t="shared" si="708"/>
        <v/>
      </c>
      <c r="ES78" s="30" t="str">
        <f t="shared" si="709"/>
        <v/>
      </c>
      <c r="ET78" s="30" t="str">
        <f t="shared" si="710"/>
        <v/>
      </c>
      <c r="EU78" s="30" t="str">
        <f t="shared" si="711"/>
        <v/>
      </c>
      <c r="EV78" s="30" t="str">
        <f t="shared" si="712"/>
        <v/>
      </c>
      <c r="EW78" s="30" t="str">
        <f t="shared" si="713"/>
        <v/>
      </c>
      <c r="EX78" s="30" t="str">
        <f t="shared" si="714"/>
        <v/>
      </c>
      <c r="EY78" s="30" t="str">
        <f t="shared" si="715"/>
        <v/>
      </c>
      <c r="EZ78" s="30" t="str">
        <f t="shared" si="716"/>
        <v/>
      </c>
      <c r="FA78" s="30" t="str">
        <f t="shared" si="717"/>
        <v/>
      </c>
      <c r="FB78" s="30" t="str">
        <f t="shared" si="718"/>
        <v/>
      </c>
      <c r="FC78" s="30" t="str">
        <f t="shared" si="719"/>
        <v/>
      </c>
      <c r="FD78" s="30" t="str">
        <f t="shared" si="720"/>
        <v/>
      </c>
      <c r="FE78" s="30" t="str">
        <f t="shared" si="721"/>
        <v/>
      </c>
      <c r="FF78" s="30" t="str">
        <f t="shared" si="722"/>
        <v/>
      </c>
      <c r="FG78" s="30" t="str">
        <f t="shared" si="723"/>
        <v/>
      </c>
      <c r="FH78" s="30" t="str">
        <f t="shared" si="724"/>
        <v/>
      </c>
      <c r="FI78" s="30" t="str">
        <f t="shared" si="725"/>
        <v/>
      </c>
      <c r="FJ78" s="30" t="str">
        <f t="shared" si="726"/>
        <v/>
      </c>
      <c r="FK78" s="30" t="str">
        <f t="shared" si="727"/>
        <v/>
      </c>
      <c r="FL78" s="30" t="str">
        <f t="shared" si="728"/>
        <v/>
      </c>
      <c r="FM78" s="30" t="str">
        <f t="shared" si="729"/>
        <v/>
      </c>
      <c r="FN78" s="30" t="str">
        <f t="shared" si="730"/>
        <v/>
      </c>
      <c r="FO78" s="30" t="str">
        <f t="shared" si="731"/>
        <v/>
      </c>
      <c r="FP78" s="30" t="str">
        <f t="shared" si="732"/>
        <v/>
      </c>
      <c r="FQ78" s="30" t="str">
        <f t="shared" si="733"/>
        <v/>
      </c>
      <c r="FR78" s="30" t="str">
        <f t="shared" si="734"/>
        <v/>
      </c>
      <c r="FS78" s="30" t="str">
        <f t="shared" si="735"/>
        <v/>
      </c>
    </row>
    <row r="79" spans="1:175" ht="16.5">
      <c r="A79" s="49"/>
      <c r="B79" s="36" t="s">
        <v>813</v>
      </c>
      <c r="C79" s="49" t="s">
        <v>803</v>
      </c>
      <c r="E79" s="48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51"/>
      <c r="Q79" s="51"/>
      <c r="R79" s="51"/>
      <c r="S79" s="51"/>
      <c r="T79" s="120"/>
      <c r="U79" s="37" t="s">
        <v>855</v>
      </c>
      <c r="V79" s="28">
        <v>1316</v>
      </c>
      <c r="W79" s="28">
        <v>1316</v>
      </c>
      <c r="Z79" s="28">
        <v>2634</v>
      </c>
      <c r="CU79" s="45" t="str">
        <f t="shared" si="665"/>
        <v>|n攻击+1316|n法强+1316|n生命值+2634|n</v>
      </c>
      <c r="CV79" s="29" t="str">
        <f>"|cffffcc00属性：|r"&amp;CU79&amp;VLOOKUP(A79,合成公式!A:P,16,FALSE)&amp;T79</f>
        <v>|cffffcc00属性：|r|n攻击+1316|n法强+1316|n生命值+2634|n</v>
      </c>
      <c r="CW79" s="24"/>
      <c r="CX79" s="24"/>
      <c r="CY79" s="24"/>
      <c r="CZ79" s="24"/>
      <c r="DA79" s="24"/>
      <c r="DB79" s="30" t="str">
        <f t="shared" si="666"/>
        <v>|n攻击+1316</v>
      </c>
      <c r="DC79" s="30" t="str">
        <f t="shared" si="667"/>
        <v>|n法强+1316</v>
      </c>
      <c r="DD79" s="30" t="str">
        <f t="shared" si="668"/>
        <v/>
      </c>
      <c r="DE79" s="30" t="str">
        <f t="shared" si="669"/>
        <v/>
      </c>
      <c r="DF79" s="30" t="str">
        <f t="shared" si="670"/>
        <v>|n生命值+2634</v>
      </c>
      <c r="DG79" s="30" t="str">
        <f t="shared" si="671"/>
        <v/>
      </c>
      <c r="DH79" s="30" t="str">
        <f t="shared" si="672"/>
        <v/>
      </c>
      <c r="DI79" s="30" t="str">
        <f t="shared" si="673"/>
        <v/>
      </c>
      <c r="DJ79" s="30" t="str">
        <f t="shared" si="674"/>
        <v/>
      </c>
      <c r="DK79" s="30" t="str">
        <f t="shared" si="675"/>
        <v/>
      </c>
      <c r="DL79" s="30" t="str">
        <f t="shared" si="676"/>
        <v/>
      </c>
      <c r="DM79" s="30" t="str">
        <f t="shared" si="677"/>
        <v/>
      </c>
      <c r="DN79" s="30" t="str">
        <f t="shared" si="678"/>
        <v/>
      </c>
      <c r="DO79" s="30" t="str">
        <f t="shared" si="679"/>
        <v/>
      </c>
      <c r="DP79" s="30" t="str">
        <f t="shared" si="680"/>
        <v/>
      </c>
      <c r="DQ79" s="30" t="str">
        <f t="shared" si="681"/>
        <v/>
      </c>
      <c r="DR79" s="30" t="str">
        <f t="shared" si="682"/>
        <v/>
      </c>
      <c r="DS79" s="30" t="str">
        <f t="shared" si="683"/>
        <v/>
      </c>
      <c r="DT79" s="30" t="str">
        <f t="shared" si="684"/>
        <v/>
      </c>
      <c r="DU79" s="30" t="str">
        <f t="shared" si="685"/>
        <v/>
      </c>
      <c r="DV79" s="30" t="str">
        <f t="shared" si="686"/>
        <v/>
      </c>
      <c r="DW79" s="30" t="str">
        <f t="shared" si="687"/>
        <v/>
      </c>
      <c r="DX79" s="30" t="str">
        <f t="shared" si="688"/>
        <v/>
      </c>
      <c r="DY79" s="30" t="str">
        <f t="shared" si="689"/>
        <v/>
      </c>
      <c r="DZ79" s="30" t="str">
        <f t="shared" si="690"/>
        <v/>
      </c>
      <c r="EA79" s="30" t="str">
        <f t="shared" si="691"/>
        <v/>
      </c>
      <c r="EB79" s="30" t="str">
        <f t="shared" si="692"/>
        <v/>
      </c>
      <c r="EC79" s="30" t="str">
        <f t="shared" si="693"/>
        <v/>
      </c>
      <c r="ED79" s="30" t="str">
        <f t="shared" si="694"/>
        <v/>
      </c>
      <c r="EE79" s="30" t="str">
        <f t="shared" si="695"/>
        <v/>
      </c>
      <c r="EF79" s="30" t="str">
        <f t="shared" si="696"/>
        <v/>
      </c>
      <c r="EG79" s="30" t="str">
        <f t="shared" si="697"/>
        <v/>
      </c>
      <c r="EH79" s="30" t="str">
        <f t="shared" si="698"/>
        <v/>
      </c>
      <c r="EI79" s="30" t="str">
        <f t="shared" si="699"/>
        <v/>
      </c>
      <c r="EJ79" s="30" t="str">
        <f t="shared" si="700"/>
        <v/>
      </c>
      <c r="EK79" s="30" t="str">
        <f t="shared" si="701"/>
        <v/>
      </c>
      <c r="EL79" s="30" t="str">
        <f t="shared" si="702"/>
        <v/>
      </c>
      <c r="EM79" s="30" t="str">
        <f t="shared" si="703"/>
        <v/>
      </c>
      <c r="EN79" s="30" t="str">
        <f t="shared" si="704"/>
        <v/>
      </c>
      <c r="EO79" s="30" t="str">
        <f t="shared" si="705"/>
        <v/>
      </c>
      <c r="EP79" s="30" t="str">
        <f t="shared" si="706"/>
        <v/>
      </c>
      <c r="EQ79" s="30" t="str">
        <f t="shared" si="707"/>
        <v/>
      </c>
      <c r="ER79" s="30" t="str">
        <f t="shared" si="708"/>
        <v/>
      </c>
      <c r="ES79" s="30" t="str">
        <f t="shared" si="709"/>
        <v/>
      </c>
      <c r="ET79" s="30" t="str">
        <f t="shared" si="710"/>
        <v/>
      </c>
      <c r="EU79" s="30" t="str">
        <f t="shared" si="711"/>
        <v/>
      </c>
      <c r="EV79" s="30" t="str">
        <f t="shared" si="712"/>
        <v/>
      </c>
      <c r="EW79" s="30" t="str">
        <f t="shared" si="713"/>
        <v/>
      </c>
      <c r="EX79" s="30" t="str">
        <f t="shared" si="714"/>
        <v/>
      </c>
      <c r="EY79" s="30" t="str">
        <f t="shared" si="715"/>
        <v/>
      </c>
      <c r="EZ79" s="30" t="str">
        <f t="shared" si="716"/>
        <v/>
      </c>
      <c r="FA79" s="30" t="str">
        <f t="shared" si="717"/>
        <v/>
      </c>
      <c r="FB79" s="30" t="str">
        <f t="shared" si="718"/>
        <v/>
      </c>
      <c r="FC79" s="30" t="str">
        <f t="shared" si="719"/>
        <v/>
      </c>
      <c r="FD79" s="30" t="str">
        <f t="shared" si="720"/>
        <v/>
      </c>
      <c r="FE79" s="30" t="str">
        <f t="shared" si="721"/>
        <v/>
      </c>
      <c r="FF79" s="30" t="str">
        <f t="shared" si="722"/>
        <v/>
      </c>
      <c r="FG79" s="30" t="str">
        <f t="shared" si="723"/>
        <v/>
      </c>
      <c r="FH79" s="30" t="str">
        <f t="shared" si="724"/>
        <v/>
      </c>
      <c r="FI79" s="30" t="str">
        <f t="shared" si="725"/>
        <v/>
      </c>
      <c r="FJ79" s="30" t="str">
        <f t="shared" si="726"/>
        <v/>
      </c>
      <c r="FK79" s="30" t="str">
        <f t="shared" si="727"/>
        <v/>
      </c>
      <c r="FL79" s="30" t="str">
        <f t="shared" si="728"/>
        <v/>
      </c>
      <c r="FM79" s="30" t="str">
        <f t="shared" si="729"/>
        <v/>
      </c>
      <c r="FN79" s="30" t="str">
        <f t="shared" si="730"/>
        <v/>
      </c>
      <c r="FO79" s="30" t="str">
        <f t="shared" si="731"/>
        <v/>
      </c>
      <c r="FP79" s="30" t="str">
        <f t="shared" si="732"/>
        <v/>
      </c>
      <c r="FQ79" s="30" t="str">
        <f t="shared" si="733"/>
        <v/>
      </c>
      <c r="FR79" s="30" t="str">
        <f t="shared" si="734"/>
        <v/>
      </c>
      <c r="FS79" s="30" t="str">
        <f t="shared" si="735"/>
        <v/>
      </c>
    </row>
    <row r="80" spans="1:175" ht="16.5">
      <c r="A80" s="4"/>
      <c r="B80" s="36" t="s">
        <v>814</v>
      </c>
      <c r="C80" s="4" t="s">
        <v>804</v>
      </c>
      <c r="E80" s="48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51"/>
      <c r="Q80" s="51"/>
      <c r="R80" s="51"/>
      <c r="S80" s="55"/>
      <c r="T80" s="101"/>
      <c r="U80" s="37" t="s">
        <v>856</v>
      </c>
      <c r="V80" s="28">
        <v>1975</v>
      </c>
      <c r="W80" s="28">
        <v>1975</v>
      </c>
      <c r="Z80" s="28">
        <v>3950</v>
      </c>
      <c r="CU80" s="45" t="str">
        <f t="shared" si="665"/>
        <v>|n攻击+1975|n法强+1975|n生命值+3950|n</v>
      </c>
      <c r="CV80" s="29" t="str">
        <f>"|cffffcc00属性：|r"&amp;CU80&amp;VLOOKUP(A80,合成公式!A:P,16,FALSE)&amp;T80</f>
        <v>|cffffcc00属性：|r|n攻击+1975|n法强+1975|n生命值+3950|n</v>
      </c>
      <c r="CW80" s="24"/>
      <c r="CX80" s="24"/>
      <c r="CY80" s="24"/>
      <c r="CZ80" s="24"/>
      <c r="DA80" s="24"/>
      <c r="DB80" s="30" t="str">
        <f t="shared" si="666"/>
        <v>|n攻击+1975</v>
      </c>
      <c r="DC80" s="30" t="str">
        <f t="shared" si="667"/>
        <v>|n法强+1975</v>
      </c>
      <c r="DD80" s="30" t="str">
        <f t="shared" si="668"/>
        <v/>
      </c>
      <c r="DE80" s="30" t="str">
        <f t="shared" si="669"/>
        <v/>
      </c>
      <c r="DF80" s="30" t="str">
        <f t="shared" si="670"/>
        <v>|n生命值+3950</v>
      </c>
      <c r="DG80" s="30" t="str">
        <f t="shared" si="671"/>
        <v/>
      </c>
      <c r="DH80" s="30" t="str">
        <f t="shared" si="672"/>
        <v/>
      </c>
      <c r="DI80" s="30" t="str">
        <f t="shared" si="673"/>
        <v/>
      </c>
      <c r="DJ80" s="30" t="str">
        <f t="shared" si="674"/>
        <v/>
      </c>
      <c r="DK80" s="30" t="str">
        <f t="shared" si="675"/>
        <v/>
      </c>
      <c r="DL80" s="30" t="str">
        <f t="shared" si="676"/>
        <v/>
      </c>
      <c r="DM80" s="30" t="str">
        <f t="shared" si="677"/>
        <v/>
      </c>
      <c r="DN80" s="30" t="str">
        <f t="shared" si="678"/>
        <v/>
      </c>
      <c r="DO80" s="30" t="str">
        <f t="shared" si="679"/>
        <v/>
      </c>
      <c r="DP80" s="30" t="str">
        <f t="shared" si="680"/>
        <v/>
      </c>
      <c r="DQ80" s="30" t="str">
        <f t="shared" si="681"/>
        <v/>
      </c>
      <c r="DR80" s="30" t="str">
        <f t="shared" si="682"/>
        <v/>
      </c>
      <c r="DS80" s="30" t="str">
        <f t="shared" si="683"/>
        <v/>
      </c>
      <c r="DT80" s="30" t="str">
        <f t="shared" si="684"/>
        <v/>
      </c>
      <c r="DU80" s="30" t="str">
        <f t="shared" si="685"/>
        <v/>
      </c>
      <c r="DV80" s="30" t="str">
        <f t="shared" si="686"/>
        <v/>
      </c>
      <c r="DW80" s="30" t="str">
        <f t="shared" si="687"/>
        <v/>
      </c>
      <c r="DX80" s="30" t="str">
        <f t="shared" si="688"/>
        <v/>
      </c>
      <c r="DY80" s="30" t="str">
        <f t="shared" si="689"/>
        <v/>
      </c>
      <c r="DZ80" s="30" t="str">
        <f t="shared" si="690"/>
        <v/>
      </c>
      <c r="EA80" s="30" t="str">
        <f t="shared" si="691"/>
        <v/>
      </c>
      <c r="EB80" s="30" t="str">
        <f t="shared" si="692"/>
        <v/>
      </c>
      <c r="EC80" s="30" t="str">
        <f t="shared" si="693"/>
        <v/>
      </c>
      <c r="ED80" s="30" t="str">
        <f t="shared" si="694"/>
        <v/>
      </c>
      <c r="EE80" s="30" t="str">
        <f t="shared" si="695"/>
        <v/>
      </c>
      <c r="EF80" s="30" t="str">
        <f t="shared" si="696"/>
        <v/>
      </c>
      <c r="EG80" s="30" t="str">
        <f t="shared" si="697"/>
        <v/>
      </c>
      <c r="EH80" s="30" t="str">
        <f t="shared" si="698"/>
        <v/>
      </c>
      <c r="EI80" s="30" t="str">
        <f t="shared" si="699"/>
        <v/>
      </c>
      <c r="EJ80" s="30" t="str">
        <f t="shared" si="700"/>
        <v/>
      </c>
      <c r="EK80" s="30" t="str">
        <f t="shared" si="701"/>
        <v/>
      </c>
      <c r="EL80" s="30" t="str">
        <f t="shared" si="702"/>
        <v/>
      </c>
      <c r="EM80" s="30" t="str">
        <f t="shared" si="703"/>
        <v/>
      </c>
      <c r="EN80" s="30" t="str">
        <f t="shared" si="704"/>
        <v/>
      </c>
      <c r="EO80" s="30" t="str">
        <f t="shared" si="705"/>
        <v/>
      </c>
      <c r="EP80" s="30" t="str">
        <f t="shared" si="706"/>
        <v/>
      </c>
      <c r="EQ80" s="30" t="str">
        <f t="shared" si="707"/>
        <v/>
      </c>
      <c r="ER80" s="30" t="str">
        <f t="shared" si="708"/>
        <v/>
      </c>
      <c r="ES80" s="30" t="str">
        <f t="shared" si="709"/>
        <v/>
      </c>
      <c r="ET80" s="30" t="str">
        <f t="shared" si="710"/>
        <v/>
      </c>
      <c r="EU80" s="30" t="str">
        <f t="shared" si="711"/>
        <v/>
      </c>
      <c r="EV80" s="30" t="str">
        <f t="shared" si="712"/>
        <v/>
      </c>
      <c r="EW80" s="30" t="str">
        <f t="shared" si="713"/>
        <v/>
      </c>
      <c r="EX80" s="30" t="str">
        <f t="shared" si="714"/>
        <v/>
      </c>
      <c r="EY80" s="30" t="str">
        <f t="shared" si="715"/>
        <v/>
      </c>
      <c r="EZ80" s="30" t="str">
        <f t="shared" si="716"/>
        <v/>
      </c>
      <c r="FA80" s="30" t="str">
        <f t="shared" si="717"/>
        <v/>
      </c>
      <c r="FB80" s="30" t="str">
        <f t="shared" si="718"/>
        <v/>
      </c>
      <c r="FC80" s="30" t="str">
        <f t="shared" si="719"/>
        <v/>
      </c>
      <c r="FD80" s="30" t="str">
        <f t="shared" si="720"/>
        <v/>
      </c>
      <c r="FE80" s="30" t="str">
        <f t="shared" si="721"/>
        <v/>
      </c>
      <c r="FF80" s="30" t="str">
        <f t="shared" si="722"/>
        <v/>
      </c>
      <c r="FG80" s="30" t="str">
        <f t="shared" si="723"/>
        <v/>
      </c>
      <c r="FH80" s="30" t="str">
        <f t="shared" si="724"/>
        <v/>
      </c>
      <c r="FI80" s="30" t="str">
        <f t="shared" si="725"/>
        <v/>
      </c>
      <c r="FJ80" s="30" t="str">
        <f t="shared" si="726"/>
        <v/>
      </c>
      <c r="FK80" s="30" t="str">
        <f t="shared" si="727"/>
        <v/>
      </c>
      <c r="FL80" s="30" t="str">
        <f t="shared" si="728"/>
        <v/>
      </c>
      <c r="FM80" s="30" t="str">
        <f t="shared" si="729"/>
        <v/>
      </c>
      <c r="FN80" s="30" t="str">
        <f t="shared" si="730"/>
        <v/>
      </c>
      <c r="FO80" s="30" t="str">
        <f t="shared" si="731"/>
        <v/>
      </c>
      <c r="FP80" s="30" t="str">
        <f t="shared" si="732"/>
        <v/>
      </c>
      <c r="FQ80" s="30" t="str">
        <f t="shared" si="733"/>
        <v/>
      </c>
      <c r="FR80" s="30" t="str">
        <f t="shared" si="734"/>
        <v/>
      </c>
      <c r="FS80" s="30" t="str">
        <f t="shared" si="735"/>
        <v/>
      </c>
    </row>
    <row r="81" spans="1:175" ht="16.5">
      <c r="A81" s="4"/>
      <c r="B81" s="36" t="s">
        <v>815</v>
      </c>
      <c r="C81" s="4" t="s">
        <v>805</v>
      </c>
      <c r="E81" s="48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51"/>
      <c r="Q81" s="51"/>
      <c r="R81" s="51"/>
      <c r="S81" s="55"/>
      <c r="T81" s="101"/>
      <c r="U81" s="37" t="s">
        <v>857</v>
      </c>
      <c r="V81" s="28">
        <v>2963</v>
      </c>
      <c r="W81" s="28">
        <v>2963</v>
      </c>
      <c r="Z81" s="28">
        <v>5925</v>
      </c>
      <c r="CU81" s="45" t="str">
        <f t="shared" si="665"/>
        <v>|n攻击+2963|n法强+2963|n生命值+5925|n</v>
      </c>
      <c r="CV81" s="29" t="str">
        <f>"|cffffcc00属性：|r"&amp;CU81&amp;VLOOKUP(A81,合成公式!A:P,16,FALSE)&amp;T81</f>
        <v>|cffffcc00属性：|r|n攻击+2963|n法强+2963|n生命值+5925|n</v>
      </c>
      <c r="CW81" s="24"/>
      <c r="CX81" s="24"/>
      <c r="CY81" s="24"/>
      <c r="CZ81" s="24"/>
      <c r="DA81" s="24"/>
      <c r="DB81" s="30" t="str">
        <f t="shared" si="666"/>
        <v>|n攻击+2963</v>
      </c>
      <c r="DC81" s="30" t="str">
        <f t="shared" si="667"/>
        <v>|n法强+2963</v>
      </c>
      <c r="DD81" s="30" t="str">
        <f t="shared" si="668"/>
        <v/>
      </c>
      <c r="DE81" s="30" t="str">
        <f t="shared" si="669"/>
        <v/>
      </c>
      <c r="DF81" s="30" t="str">
        <f t="shared" si="670"/>
        <v>|n生命值+5925</v>
      </c>
      <c r="DG81" s="30" t="str">
        <f t="shared" si="671"/>
        <v/>
      </c>
      <c r="DH81" s="30" t="str">
        <f t="shared" si="672"/>
        <v/>
      </c>
      <c r="DI81" s="30" t="str">
        <f t="shared" si="673"/>
        <v/>
      </c>
      <c r="DJ81" s="30" t="str">
        <f t="shared" si="674"/>
        <v/>
      </c>
      <c r="DK81" s="30" t="str">
        <f t="shared" si="675"/>
        <v/>
      </c>
      <c r="DL81" s="30" t="str">
        <f t="shared" si="676"/>
        <v/>
      </c>
      <c r="DM81" s="30" t="str">
        <f t="shared" si="677"/>
        <v/>
      </c>
      <c r="DN81" s="30" t="str">
        <f t="shared" si="678"/>
        <v/>
      </c>
      <c r="DO81" s="30" t="str">
        <f t="shared" si="679"/>
        <v/>
      </c>
      <c r="DP81" s="30" t="str">
        <f t="shared" si="680"/>
        <v/>
      </c>
      <c r="DQ81" s="30" t="str">
        <f t="shared" si="681"/>
        <v/>
      </c>
      <c r="DR81" s="30" t="str">
        <f t="shared" si="682"/>
        <v/>
      </c>
      <c r="DS81" s="30" t="str">
        <f t="shared" si="683"/>
        <v/>
      </c>
      <c r="DT81" s="30" t="str">
        <f t="shared" si="684"/>
        <v/>
      </c>
      <c r="DU81" s="30" t="str">
        <f t="shared" si="685"/>
        <v/>
      </c>
      <c r="DV81" s="30" t="str">
        <f t="shared" si="686"/>
        <v/>
      </c>
      <c r="DW81" s="30" t="str">
        <f t="shared" si="687"/>
        <v/>
      </c>
      <c r="DX81" s="30" t="str">
        <f t="shared" si="688"/>
        <v/>
      </c>
      <c r="DY81" s="30" t="str">
        <f t="shared" si="689"/>
        <v/>
      </c>
      <c r="DZ81" s="30" t="str">
        <f t="shared" si="690"/>
        <v/>
      </c>
      <c r="EA81" s="30" t="str">
        <f t="shared" si="691"/>
        <v/>
      </c>
      <c r="EB81" s="30" t="str">
        <f t="shared" si="692"/>
        <v/>
      </c>
      <c r="EC81" s="30" t="str">
        <f t="shared" si="693"/>
        <v/>
      </c>
      <c r="ED81" s="30" t="str">
        <f t="shared" si="694"/>
        <v/>
      </c>
      <c r="EE81" s="30" t="str">
        <f t="shared" si="695"/>
        <v/>
      </c>
      <c r="EF81" s="30" t="str">
        <f t="shared" si="696"/>
        <v/>
      </c>
      <c r="EG81" s="30" t="str">
        <f t="shared" si="697"/>
        <v/>
      </c>
      <c r="EH81" s="30" t="str">
        <f t="shared" si="698"/>
        <v/>
      </c>
      <c r="EI81" s="30" t="str">
        <f t="shared" si="699"/>
        <v/>
      </c>
      <c r="EJ81" s="30" t="str">
        <f t="shared" si="700"/>
        <v/>
      </c>
      <c r="EK81" s="30" t="str">
        <f t="shared" si="701"/>
        <v/>
      </c>
      <c r="EL81" s="30" t="str">
        <f t="shared" si="702"/>
        <v/>
      </c>
      <c r="EM81" s="30" t="str">
        <f t="shared" si="703"/>
        <v/>
      </c>
      <c r="EN81" s="30" t="str">
        <f t="shared" si="704"/>
        <v/>
      </c>
      <c r="EO81" s="30" t="str">
        <f t="shared" si="705"/>
        <v/>
      </c>
      <c r="EP81" s="30" t="str">
        <f t="shared" si="706"/>
        <v/>
      </c>
      <c r="EQ81" s="30" t="str">
        <f t="shared" si="707"/>
        <v/>
      </c>
      <c r="ER81" s="30" t="str">
        <f t="shared" si="708"/>
        <v/>
      </c>
      <c r="ES81" s="30" t="str">
        <f t="shared" si="709"/>
        <v/>
      </c>
      <c r="ET81" s="30" t="str">
        <f t="shared" si="710"/>
        <v/>
      </c>
      <c r="EU81" s="30" t="str">
        <f t="shared" si="711"/>
        <v/>
      </c>
      <c r="EV81" s="30" t="str">
        <f t="shared" si="712"/>
        <v/>
      </c>
      <c r="EW81" s="30" t="str">
        <f t="shared" si="713"/>
        <v/>
      </c>
      <c r="EX81" s="30" t="str">
        <f t="shared" si="714"/>
        <v/>
      </c>
      <c r="EY81" s="30" t="str">
        <f t="shared" si="715"/>
        <v/>
      </c>
      <c r="EZ81" s="30" t="str">
        <f t="shared" si="716"/>
        <v/>
      </c>
      <c r="FA81" s="30" t="str">
        <f t="shared" si="717"/>
        <v/>
      </c>
      <c r="FB81" s="30" t="str">
        <f t="shared" si="718"/>
        <v/>
      </c>
      <c r="FC81" s="30" t="str">
        <f t="shared" si="719"/>
        <v/>
      </c>
      <c r="FD81" s="30" t="str">
        <f t="shared" si="720"/>
        <v/>
      </c>
      <c r="FE81" s="30" t="str">
        <f t="shared" si="721"/>
        <v/>
      </c>
      <c r="FF81" s="30" t="str">
        <f t="shared" si="722"/>
        <v/>
      </c>
      <c r="FG81" s="30" t="str">
        <f t="shared" si="723"/>
        <v/>
      </c>
      <c r="FH81" s="30" t="str">
        <f t="shared" si="724"/>
        <v/>
      </c>
      <c r="FI81" s="30" t="str">
        <f t="shared" si="725"/>
        <v/>
      </c>
      <c r="FJ81" s="30" t="str">
        <f t="shared" si="726"/>
        <v/>
      </c>
      <c r="FK81" s="30" t="str">
        <f t="shared" si="727"/>
        <v/>
      </c>
      <c r="FL81" s="30" t="str">
        <f t="shared" si="728"/>
        <v/>
      </c>
      <c r="FM81" s="30" t="str">
        <f t="shared" si="729"/>
        <v/>
      </c>
      <c r="FN81" s="30" t="str">
        <f t="shared" si="730"/>
        <v/>
      </c>
      <c r="FO81" s="30" t="str">
        <f t="shared" si="731"/>
        <v/>
      </c>
      <c r="FP81" s="30" t="str">
        <f t="shared" si="732"/>
        <v/>
      </c>
      <c r="FQ81" s="30" t="str">
        <f t="shared" si="733"/>
        <v/>
      </c>
      <c r="FR81" s="30" t="str">
        <f t="shared" si="734"/>
        <v/>
      </c>
      <c r="FS81" s="30" t="str">
        <f t="shared" si="735"/>
        <v/>
      </c>
    </row>
    <row r="82" spans="1:175" ht="16.5">
      <c r="A82" s="4"/>
      <c r="B82" s="36" t="s">
        <v>816</v>
      </c>
      <c r="C82" s="4" t="s">
        <v>806</v>
      </c>
      <c r="E82" s="48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51"/>
      <c r="Q82" s="51"/>
      <c r="R82" s="51"/>
      <c r="S82" s="55"/>
      <c r="T82" s="101"/>
      <c r="U82" s="37" t="s">
        <v>858</v>
      </c>
      <c r="V82" s="28">
        <v>4444</v>
      </c>
      <c r="W82" s="28">
        <v>4444</v>
      </c>
      <c r="Z82" s="28">
        <v>8888</v>
      </c>
      <c r="CU82" s="45" t="str">
        <f t="shared" si="665"/>
        <v>|n攻击+4444|n法强+4444|n生命值+8888|n</v>
      </c>
      <c r="CV82" s="29" t="str">
        <f>"|cffffcc00属性：|r"&amp;CU82&amp;VLOOKUP(A82,合成公式!A:P,16,FALSE)&amp;T82</f>
        <v>|cffffcc00属性：|r|n攻击+4444|n法强+4444|n生命值+8888|n</v>
      </c>
      <c r="CW82" s="24"/>
      <c r="CX82" s="24"/>
      <c r="CY82" s="24"/>
      <c r="CZ82" s="24"/>
      <c r="DA82" s="24"/>
      <c r="DB82" s="30" t="str">
        <f t="shared" si="666"/>
        <v>|n攻击+4444</v>
      </c>
      <c r="DC82" s="30" t="str">
        <f t="shared" si="667"/>
        <v>|n法强+4444</v>
      </c>
      <c r="DD82" s="30" t="str">
        <f t="shared" si="668"/>
        <v/>
      </c>
      <c r="DE82" s="30" t="str">
        <f t="shared" si="669"/>
        <v/>
      </c>
      <c r="DF82" s="30" t="str">
        <f t="shared" si="670"/>
        <v>|n生命值+8888</v>
      </c>
      <c r="DG82" s="30" t="str">
        <f t="shared" si="671"/>
        <v/>
      </c>
      <c r="DH82" s="30" t="str">
        <f t="shared" si="672"/>
        <v/>
      </c>
      <c r="DI82" s="30" t="str">
        <f t="shared" si="673"/>
        <v/>
      </c>
      <c r="DJ82" s="30" t="str">
        <f t="shared" si="674"/>
        <v/>
      </c>
      <c r="DK82" s="30" t="str">
        <f t="shared" si="675"/>
        <v/>
      </c>
      <c r="DL82" s="30" t="str">
        <f t="shared" si="676"/>
        <v/>
      </c>
      <c r="DM82" s="30" t="str">
        <f t="shared" si="677"/>
        <v/>
      </c>
      <c r="DN82" s="30" t="str">
        <f t="shared" si="678"/>
        <v/>
      </c>
      <c r="DO82" s="30" t="str">
        <f t="shared" si="679"/>
        <v/>
      </c>
      <c r="DP82" s="30" t="str">
        <f t="shared" si="680"/>
        <v/>
      </c>
      <c r="DQ82" s="30" t="str">
        <f t="shared" si="681"/>
        <v/>
      </c>
      <c r="DR82" s="30" t="str">
        <f t="shared" si="682"/>
        <v/>
      </c>
      <c r="DS82" s="30" t="str">
        <f t="shared" si="683"/>
        <v/>
      </c>
      <c r="DT82" s="30" t="str">
        <f t="shared" si="684"/>
        <v/>
      </c>
      <c r="DU82" s="30" t="str">
        <f t="shared" si="685"/>
        <v/>
      </c>
      <c r="DV82" s="30" t="str">
        <f t="shared" si="686"/>
        <v/>
      </c>
      <c r="DW82" s="30" t="str">
        <f t="shared" si="687"/>
        <v/>
      </c>
      <c r="DX82" s="30" t="str">
        <f t="shared" si="688"/>
        <v/>
      </c>
      <c r="DY82" s="30" t="str">
        <f t="shared" si="689"/>
        <v/>
      </c>
      <c r="DZ82" s="30" t="str">
        <f t="shared" si="690"/>
        <v/>
      </c>
      <c r="EA82" s="30" t="str">
        <f t="shared" si="691"/>
        <v/>
      </c>
      <c r="EB82" s="30" t="str">
        <f t="shared" si="692"/>
        <v/>
      </c>
      <c r="EC82" s="30" t="str">
        <f t="shared" si="693"/>
        <v/>
      </c>
      <c r="ED82" s="30" t="str">
        <f t="shared" si="694"/>
        <v/>
      </c>
      <c r="EE82" s="30" t="str">
        <f t="shared" si="695"/>
        <v/>
      </c>
      <c r="EF82" s="30" t="str">
        <f t="shared" si="696"/>
        <v/>
      </c>
      <c r="EG82" s="30" t="str">
        <f t="shared" si="697"/>
        <v/>
      </c>
      <c r="EH82" s="30" t="str">
        <f t="shared" si="698"/>
        <v/>
      </c>
      <c r="EI82" s="30" t="str">
        <f t="shared" si="699"/>
        <v/>
      </c>
      <c r="EJ82" s="30" t="str">
        <f t="shared" si="700"/>
        <v/>
      </c>
      <c r="EK82" s="30" t="str">
        <f t="shared" si="701"/>
        <v/>
      </c>
      <c r="EL82" s="30" t="str">
        <f t="shared" si="702"/>
        <v/>
      </c>
      <c r="EM82" s="30" t="str">
        <f t="shared" si="703"/>
        <v/>
      </c>
      <c r="EN82" s="30" t="str">
        <f t="shared" si="704"/>
        <v/>
      </c>
      <c r="EO82" s="30" t="str">
        <f t="shared" si="705"/>
        <v/>
      </c>
      <c r="EP82" s="30" t="str">
        <f t="shared" si="706"/>
        <v/>
      </c>
      <c r="EQ82" s="30" t="str">
        <f t="shared" si="707"/>
        <v/>
      </c>
      <c r="ER82" s="30" t="str">
        <f t="shared" si="708"/>
        <v/>
      </c>
      <c r="ES82" s="30" t="str">
        <f t="shared" si="709"/>
        <v/>
      </c>
      <c r="ET82" s="30" t="str">
        <f t="shared" si="710"/>
        <v/>
      </c>
      <c r="EU82" s="30" t="str">
        <f t="shared" si="711"/>
        <v/>
      </c>
      <c r="EV82" s="30" t="str">
        <f t="shared" si="712"/>
        <v/>
      </c>
      <c r="EW82" s="30" t="str">
        <f t="shared" si="713"/>
        <v/>
      </c>
      <c r="EX82" s="30" t="str">
        <f t="shared" si="714"/>
        <v/>
      </c>
      <c r="EY82" s="30" t="str">
        <f t="shared" si="715"/>
        <v/>
      </c>
      <c r="EZ82" s="30" t="str">
        <f t="shared" si="716"/>
        <v/>
      </c>
      <c r="FA82" s="30" t="str">
        <f t="shared" si="717"/>
        <v/>
      </c>
      <c r="FB82" s="30" t="str">
        <f t="shared" si="718"/>
        <v/>
      </c>
      <c r="FC82" s="30" t="str">
        <f t="shared" si="719"/>
        <v/>
      </c>
      <c r="FD82" s="30" t="str">
        <f t="shared" si="720"/>
        <v/>
      </c>
      <c r="FE82" s="30" t="str">
        <f t="shared" si="721"/>
        <v/>
      </c>
      <c r="FF82" s="30" t="str">
        <f t="shared" si="722"/>
        <v/>
      </c>
      <c r="FG82" s="30" t="str">
        <f t="shared" si="723"/>
        <v/>
      </c>
      <c r="FH82" s="30" t="str">
        <f t="shared" si="724"/>
        <v/>
      </c>
      <c r="FI82" s="30" t="str">
        <f t="shared" si="725"/>
        <v/>
      </c>
      <c r="FJ82" s="30" t="str">
        <f t="shared" si="726"/>
        <v/>
      </c>
      <c r="FK82" s="30" t="str">
        <f t="shared" si="727"/>
        <v/>
      </c>
      <c r="FL82" s="30" t="str">
        <f t="shared" si="728"/>
        <v/>
      </c>
      <c r="FM82" s="30" t="str">
        <f t="shared" si="729"/>
        <v/>
      </c>
      <c r="FN82" s="30" t="str">
        <f t="shared" si="730"/>
        <v/>
      </c>
      <c r="FO82" s="30" t="str">
        <f t="shared" si="731"/>
        <v/>
      </c>
      <c r="FP82" s="30" t="str">
        <f t="shared" si="732"/>
        <v/>
      </c>
      <c r="FQ82" s="30" t="str">
        <f t="shared" si="733"/>
        <v/>
      </c>
      <c r="FR82" s="30" t="str">
        <f t="shared" si="734"/>
        <v/>
      </c>
      <c r="FS82" s="30" t="str">
        <f t="shared" si="735"/>
        <v/>
      </c>
    </row>
    <row r="83" spans="1:175" ht="16.5">
      <c r="A83" s="5"/>
      <c r="B83" s="36" t="s">
        <v>817</v>
      </c>
      <c r="C83" s="5" t="s">
        <v>807</v>
      </c>
      <c r="E83" s="48"/>
      <c r="F83" s="11"/>
      <c r="G83" s="10"/>
      <c r="H83" s="10"/>
      <c r="I83" s="10"/>
      <c r="J83" s="10"/>
      <c r="K83" s="10"/>
      <c r="L83" s="10"/>
      <c r="M83" s="10"/>
      <c r="N83" s="10"/>
      <c r="O83" s="10"/>
      <c r="P83" s="51"/>
      <c r="Q83" s="51"/>
      <c r="R83" s="51"/>
      <c r="S83" s="55"/>
      <c r="T83" s="101"/>
      <c r="U83" s="37" t="s">
        <v>859</v>
      </c>
      <c r="V83" s="28">
        <v>6666</v>
      </c>
      <c r="W83" s="28">
        <v>6666</v>
      </c>
      <c r="Z83" s="28">
        <v>13333</v>
      </c>
      <c r="CU83" s="45" t="str">
        <f t="shared" si="665"/>
        <v>|n攻击+6666|n法强+6666|n生命值+13333|n</v>
      </c>
      <c r="CV83" s="29" t="str">
        <f>"|cffffcc00属性：|r"&amp;CU83&amp;VLOOKUP(A83,合成公式!A:P,16,FALSE)&amp;T83</f>
        <v>|cffffcc00属性：|r|n攻击+6666|n法强+6666|n生命值+13333|n</v>
      </c>
      <c r="CW83" s="24"/>
      <c r="CX83" s="24"/>
      <c r="CY83" s="24"/>
      <c r="CZ83" s="24"/>
      <c r="DA83" s="24"/>
      <c r="DB83" s="30" t="str">
        <f t="shared" si="666"/>
        <v>|n攻击+6666</v>
      </c>
      <c r="DC83" s="30" t="str">
        <f t="shared" si="667"/>
        <v>|n法强+6666</v>
      </c>
      <c r="DD83" s="30" t="str">
        <f t="shared" si="668"/>
        <v/>
      </c>
      <c r="DE83" s="30" t="str">
        <f t="shared" si="669"/>
        <v/>
      </c>
      <c r="DF83" s="30" t="str">
        <f t="shared" si="670"/>
        <v>|n生命值+13333</v>
      </c>
      <c r="DG83" s="30" t="str">
        <f t="shared" si="671"/>
        <v/>
      </c>
      <c r="DH83" s="30" t="str">
        <f t="shared" si="672"/>
        <v/>
      </c>
      <c r="DI83" s="30" t="str">
        <f t="shared" si="673"/>
        <v/>
      </c>
      <c r="DJ83" s="30" t="str">
        <f t="shared" si="674"/>
        <v/>
      </c>
      <c r="DK83" s="30" t="str">
        <f t="shared" si="675"/>
        <v/>
      </c>
      <c r="DL83" s="30" t="str">
        <f t="shared" si="676"/>
        <v/>
      </c>
      <c r="DM83" s="30" t="str">
        <f t="shared" si="677"/>
        <v/>
      </c>
      <c r="DN83" s="30" t="str">
        <f t="shared" si="678"/>
        <v/>
      </c>
      <c r="DO83" s="30" t="str">
        <f t="shared" si="679"/>
        <v/>
      </c>
      <c r="DP83" s="30" t="str">
        <f t="shared" si="680"/>
        <v/>
      </c>
      <c r="DQ83" s="30" t="str">
        <f t="shared" si="681"/>
        <v/>
      </c>
      <c r="DR83" s="30" t="str">
        <f t="shared" si="682"/>
        <v/>
      </c>
      <c r="DS83" s="30" t="str">
        <f t="shared" si="683"/>
        <v/>
      </c>
      <c r="DT83" s="30" t="str">
        <f t="shared" si="684"/>
        <v/>
      </c>
      <c r="DU83" s="30" t="str">
        <f t="shared" si="685"/>
        <v/>
      </c>
      <c r="DV83" s="30" t="str">
        <f t="shared" si="686"/>
        <v/>
      </c>
      <c r="DW83" s="30" t="str">
        <f t="shared" si="687"/>
        <v/>
      </c>
      <c r="DX83" s="30" t="str">
        <f t="shared" si="688"/>
        <v/>
      </c>
      <c r="DY83" s="30" t="str">
        <f t="shared" si="689"/>
        <v/>
      </c>
      <c r="DZ83" s="30" t="str">
        <f t="shared" si="690"/>
        <v/>
      </c>
      <c r="EA83" s="30" t="str">
        <f t="shared" si="691"/>
        <v/>
      </c>
      <c r="EB83" s="30" t="str">
        <f t="shared" si="692"/>
        <v/>
      </c>
      <c r="EC83" s="30" t="str">
        <f t="shared" si="693"/>
        <v/>
      </c>
      <c r="ED83" s="30" t="str">
        <f t="shared" si="694"/>
        <v/>
      </c>
      <c r="EE83" s="30" t="str">
        <f t="shared" si="695"/>
        <v/>
      </c>
      <c r="EF83" s="30" t="str">
        <f t="shared" si="696"/>
        <v/>
      </c>
      <c r="EG83" s="30" t="str">
        <f t="shared" si="697"/>
        <v/>
      </c>
      <c r="EH83" s="30" t="str">
        <f t="shared" si="698"/>
        <v/>
      </c>
      <c r="EI83" s="30" t="str">
        <f t="shared" si="699"/>
        <v/>
      </c>
      <c r="EJ83" s="30" t="str">
        <f t="shared" si="700"/>
        <v/>
      </c>
      <c r="EK83" s="30" t="str">
        <f t="shared" si="701"/>
        <v/>
      </c>
      <c r="EL83" s="30" t="str">
        <f t="shared" si="702"/>
        <v/>
      </c>
      <c r="EM83" s="30" t="str">
        <f t="shared" si="703"/>
        <v/>
      </c>
      <c r="EN83" s="30" t="str">
        <f t="shared" si="704"/>
        <v/>
      </c>
      <c r="EO83" s="30" t="str">
        <f t="shared" si="705"/>
        <v/>
      </c>
      <c r="EP83" s="30" t="str">
        <f t="shared" si="706"/>
        <v/>
      </c>
      <c r="EQ83" s="30" t="str">
        <f t="shared" si="707"/>
        <v/>
      </c>
      <c r="ER83" s="30" t="str">
        <f t="shared" si="708"/>
        <v/>
      </c>
      <c r="ES83" s="30" t="str">
        <f t="shared" si="709"/>
        <v/>
      </c>
      <c r="ET83" s="30" t="str">
        <f t="shared" si="710"/>
        <v/>
      </c>
      <c r="EU83" s="30" t="str">
        <f t="shared" si="711"/>
        <v/>
      </c>
      <c r="EV83" s="30" t="str">
        <f t="shared" si="712"/>
        <v/>
      </c>
      <c r="EW83" s="30" t="str">
        <f t="shared" si="713"/>
        <v/>
      </c>
      <c r="EX83" s="30" t="str">
        <f t="shared" si="714"/>
        <v/>
      </c>
      <c r="EY83" s="30" t="str">
        <f t="shared" si="715"/>
        <v/>
      </c>
      <c r="EZ83" s="30" t="str">
        <f t="shared" si="716"/>
        <v/>
      </c>
      <c r="FA83" s="30" t="str">
        <f t="shared" si="717"/>
        <v/>
      </c>
      <c r="FB83" s="30" t="str">
        <f t="shared" si="718"/>
        <v/>
      </c>
      <c r="FC83" s="30" t="str">
        <f t="shared" si="719"/>
        <v/>
      </c>
      <c r="FD83" s="30" t="str">
        <f t="shared" si="720"/>
        <v/>
      </c>
      <c r="FE83" s="30" t="str">
        <f t="shared" si="721"/>
        <v/>
      </c>
      <c r="FF83" s="30" t="str">
        <f t="shared" si="722"/>
        <v/>
      </c>
      <c r="FG83" s="30" t="str">
        <f t="shared" si="723"/>
        <v/>
      </c>
      <c r="FH83" s="30" t="str">
        <f t="shared" si="724"/>
        <v/>
      </c>
      <c r="FI83" s="30" t="str">
        <f t="shared" si="725"/>
        <v/>
      </c>
      <c r="FJ83" s="30" t="str">
        <f t="shared" si="726"/>
        <v/>
      </c>
      <c r="FK83" s="30" t="str">
        <f t="shared" si="727"/>
        <v/>
      </c>
      <c r="FL83" s="30" t="str">
        <f t="shared" si="728"/>
        <v/>
      </c>
      <c r="FM83" s="30" t="str">
        <f t="shared" si="729"/>
        <v/>
      </c>
      <c r="FN83" s="30" t="str">
        <f t="shared" si="730"/>
        <v/>
      </c>
      <c r="FO83" s="30" t="str">
        <f t="shared" si="731"/>
        <v/>
      </c>
      <c r="FP83" s="30" t="str">
        <f t="shared" si="732"/>
        <v/>
      </c>
      <c r="FQ83" s="30" t="str">
        <f t="shared" si="733"/>
        <v/>
      </c>
      <c r="FR83" s="30" t="str">
        <f t="shared" si="734"/>
        <v/>
      </c>
      <c r="FS83" s="30" t="str">
        <f t="shared" si="735"/>
        <v/>
      </c>
    </row>
    <row r="84" spans="1:175" ht="16.5">
      <c r="A84" s="5"/>
      <c r="B84" s="36" t="s">
        <v>818</v>
      </c>
      <c r="C84" s="5" t="s">
        <v>808</v>
      </c>
      <c r="E84" s="48"/>
      <c r="F84" s="11"/>
      <c r="G84" s="10"/>
      <c r="H84" s="10"/>
      <c r="I84" s="10"/>
      <c r="J84" s="10"/>
      <c r="K84" s="10"/>
      <c r="L84" s="10"/>
      <c r="M84" s="10"/>
      <c r="N84" s="10"/>
      <c r="O84" s="10"/>
      <c r="P84" s="51"/>
      <c r="Q84" s="51"/>
      <c r="R84" s="51"/>
      <c r="S84" s="55"/>
      <c r="T84" s="102"/>
      <c r="U84" s="37" t="s">
        <v>860</v>
      </c>
      <c r="V84" s="28">
        <v>10000</v>
      </c>
      <c r="W84" s="28">
        <v>10000</v>
      </c>
      <c r="Z84" s="28">
        <v>20000</v>
      </c>
      <c r="CU84" s="45" t="str">
        <f t="shared" si="665"/>
        <v>|n攻击+10000|n法强+10000|n生命值+20000|n</v>
      </c>
      <c r="CV84" s="29" t="str">
        <f>"|cffffcc00属性：|r"&amp;CU84&amp;VLOOKUP(A84,合成公式!A:P,16,FALSE)&amp;T84</f>
        <v>|cffffcc00属性：|r|n攻击+10000|n法强+10000|n生命值+20000|n</v>
      </c>
      <c r="CW84" s="24"/>
      <c r="CX84" s="24"/>
      <c r="CY84" s="24"/>
      <c r="CZ84" s="24"/>
      <c r="DA84" s="24"/>
      <c r="DB84" s="30" t="str">
        <f t="shared" si="666"/>
        <v>|n攻击+10000</v>
      </c>
      <c r="DC84" s="30" t="str">
        <f t="shared" si="667"/>
        <v>|n法强+10000</v>
      </c>
      <c r="DD84" s="30" t="str">
        <f t="shared" si="668"/>
        <v/>
      </c>
      <c r="DE84" s="30" t="str">
        <f t="shared" si="669"/>
        <v/>
      </c>
      <c r="DF84" s="30" t="str">
        <f t="shared" si="670"/>
        <v>|n生命值+20000</v>
      </c>
      <c r="DG84" s="30" t="str">
        <f t="shared" si="671"/>
        <v/>
      </c>
      <c r="DH84" s="30" t="str">
        <f t="shared" si="672"/>
        <v/>
      </c>
      <c r="DI84" s="30" t="str">
        <f t="shared" si="673"/>
        <v/>
      </c>
      <c r="DJ84" s="30" t="str">
        <f t="shared" si="674"/>
        <v/>
      </c>
      <c r="DK84" s="30" t="str">
        <f t="shared" si="675"/>
        <v/>
      </c>
      <c r="DL84" s="30" t="str">
        <f t="shared" si="676"/>
        <v/>
      </c>
      <c r="DM84" s="30" t="str">
        <f t="shared" si="677"/>
        <v/>
      </c>
      <c r="DN84" s="30" t="str">
        <f t="shared" si="678"/>
        <v/>
      </c>
      <c r="DO84" s="30" t="str">
        <f t="shared" si="679"/>
        <v/>
      </c>
      <c r="DP84" s="30" t="str">
        <f t="shared" si="680"/>
        <v/>
      </c>
      <c r="DQ84" s="30" t="str">
        <f t="shared" si="681"/>
        <v/>
      </c>
      <c r="DR84" s="30" t="str">
        <f t="shared" si="682"/>
        <v/>
      </c>
      <c r="DS84" s="30" t="str">
        <f t="shared" si="683"/>
        <v/>
      </c>
      <c r="DT84" s="30" t="str">
        <f t="shared" si="684"/>
        <v/>
      </c>
      <c r="DU84" s="30" t="str">
        <f t="shared" si="685"/>
        <v/>
      </c>
      <c r="DV84" s="30" t="str">
        <f t="shared" si="686"/>
        <v/>
      </c>
      <c r="DW84" s="30" t="str">
        <f t="shared" si="687"/>
        <v/>
      </c>
      <c r="DX84" s="30" t="str">
        <f t="shared" si="688"/>
        <v/>
      </c>
      <c r="DY84" s="30" t="str">
        <f t="shared" si="689"/>
        <v/>
      </c>
      <c r="DZ84" s="30" t="str">
        <f t="shared" si="690"/>
        <v/>
      </c>
      <c r="EA84" s="30" t="str">
        <f t="shared" si="691"/>
        <v/>
      </c>
      <c r="EB84" s="30" t="str">
        <f t="shared" si="692"/>
        <v/>
      </c>
      <c r="EC84" s="30" t="str">
        <f t="shared" si="693"/>
        <v/>
      </c>
      <c r="ED84" s="30" t="str">
        <f t="shared" si="694"/>
        <v/>
      </c>
      <c r="EE84" s="30" t="str">
        <f t="shared" si="695"/>
        <v/>
      </c>
      <c r="EF84" s="30" t="str">
        <f t="shared" si="696"/>
        <v/>
      </c>
      <c r="EG84" s="30" t="str">
        <f t="shared" si="697"/>
        <v/>
      </c>
      <c r="EH84" s="30" t="str">
        <f t="shared" si="698"/>
        <v/>
      </c>
      <c r="EI84" s="30" t="str">
        <f t="shared" si="699"/>
        <v/>
      </c>
      <c r="EJ84" s="30" t="str">
        <f t="shared" si="700"/>
        <v/>
      </c>
      <c r="EK84" s="30" t="str">
        <f t="shared" si="701"/>
        <v/>
      </c>
      <c r="EL84" s="30" t="str">
        <f t="shared" si="702"/>
        <v/>
      </c>
      <c r="EM84" s="30" t="str">
        <f t="shared" si="703"/>
        <v/>
      </c>
      <c r="EN84" s="30" t="str">
        <f t="shared" si="704"/>
        <v/>
      </c>
      <c r="EO84" s="30" t="str">
        <f t="shared" si="705"/>
        <v/>
      </c>
      <c r="EP84" s="30" t="str">
        <f t="shared" si="706"/>
        <v/>
      </c>
      <c r="EQ84" s="30" t="str">
        <f t="shared" si="707"/>
        <v/>
      </c>
      <c r="ER84" s="30" t="str">
        <f t="shared" si="708"/>
        <v/>
      </c>
      <c r="ES84" s="30" t="str">
        <f t="shared" si="709"/>
        <v/>
      </c>
      <c r="ET84" s="30" t="str">
        <f t="shared" si="710"/>
        <v/>
      </c>
      <c r="EU84" s="30" t="str">
        <f t="shared" si="711"/>
        <v/>
      </c>
      <c r="EV84" s="30" t="str">
        <f t="shared" si="712"/>
        <v/>
      </c>
      <c r="EW84" s="30" t="str">
        <f t="shared" si="713"/>
        <v/>
      </c>
      <c r="EX84" s="30" t="str">
        <f t="shared" si="714"/>
        <v/>
      </c>
      <c r="EY84" s="30" t="str">
        <f t="shared" si="715"/>
        <v/>
      </c>
      <c r="EZ84" s="30" t="str">
        <f t="shared" si="716"/>
        <v/>
      </c>
      <c r="FA84" s="30" t="str">
        <f t="shared" si="717"/>
        <v/>
      </c>
      <c r="FB84" s="30" t="str">
        <f t="shared" si="718"/>
        <v/>
      </c>
      <c r="FC84" s="30" t="str">
        <f t="shared" si="719"/>
        <v/>
      </c>
      <c r="FD84" s="30" t="str">
        <f t="shared" si="720"/>
        <v/>
      </c>
      <c r="FE84" s="30" t="str">
        <f t="shared" si="721"/>
        <v/>
      </c>
      <c r="FF84" s="30" t="str">
        <f t="shared" si="722"/>
        <v/>
      </c>
      <c r="FG84" s="30" t="str">
        <f t="shared" si="723"/>
        <v/>
      </c>
      <c r="FH84" s="30" t="str">
        <f t="shared" si="724"/>
        <v/>
      </c>
      <c r="FI84" s="30" t="str">
        <f t="shared" si="725"/>
        <v/>
      </c>
      <c r="FJ84" s="30" t="str">
        <f t="shared" si="726"/>
        <v/>
      </c>
      <c r="FK84" s="30" t="str">
        <f t="shared" si="727"/>
        <v/>
      </c>
      <c r="FL84" s="30" t="str">
        <f t="shared" si="728"/>
        <v/>
      </c>
      <c r="FM84" s="30" t="str">
        <f t="shared" si="729"/>
        <v/>
      </c>
      <c r="FN84" s="30" t="str">
        <f t="shared" si="730"/>
        <v/>
      </c>
      <c r="FO84" s="30" t="str">
        <f t="shared" si="731"/>
        <v/>
      </c>
      <c r="FP84" s="30" t="str">
        <f t="shared" si="732"/>
        <v/>
      </c>
      <c r="FQ84" s="30" t="str">
        <f t="shared" si="733"/>
        <v/>
      </c>
      <c r="FR84" s="30" t="str">
        <f t="shared" si="734"/>
        <v/>
      </c>
      <c r="FS84" s="30" t="str">
        <f t="shared" si="735"/>
        <v/>
      </c>
    </row>
    <row r="85" spans="1:175" ht="16.5">
      <c r="A85" s="5"/>
      <c r="B85" s="36" t="s">
        <v>819</v>
      </c>
      <c r="C85" s="5" t="s">
        <v>809</v>
      </c>
      <c r="E85" s="53"/>
      <c r="F85" s="11"/>
      <c r="G85" s="10"/>
      <c r="H85" s="10"/>
      <c r="I85" s="10"/>
      <c r="J85" s="10"/>
      <c r="K85" s="10"/>
      <c r="L85" s="10"/>
      <c r="M85" s="10"/>
      <c r="N85" s="10"/>
      <c r="O85" s="10"/>
      <c r="P85" s="51"/>
      <c r="Q85" s="51"/>
      <c r="R85" s="51"/>
      <c r="S85" s="55"/>
      <c r="T85" s="101"/>
      <c r="U85" s="37" t="s">
        <v>861</v>
      </c>
      <c r="V85" s="28">
        <v>15000</v>
      </c>
      <c r="W85" s="28">
        <v>15000</v>
      </c>
      <c r="Z85" s="28">
        <v>30000</v>
      </c>
      <c r="CU85" s="45" t="str">
        <f t="shared" si="665"/>
        <v>|n攻击+15000|n法强+15000|n生命值+30000|n</v>
      </c>
      <c r="CV85" s="29" t="str">
        <f>"|cffffcc00属性：|r"&amp;CU85&amp;VLOOKUP(A85,合成公式!A:P,16,FALSE)&amp;T85</f>
        <v>|cffffcc00属性：|r|n攻击+15000|n法强+15000|n生命值+30000|n</v>
      </c>
      <c r="CW85" s="24"/>
      <c r="CX85" s="24"/>
      <c r="CY85" s="24"/>
      <c r="CZ85" s="24"/>
      <c r="DA85" s="24"/>
      <c r="DB85" s="30" t="str">
        <f t="shared" si="666"/>
        <v>|n攻击+15000</v>
      </c>
      <c r="DC85" s="30" t="str">
        <f t="shared" si="667"/>
        <v>|n法强+15000</v>
      </c>
      <c r="DD85" s="30" t="str">
        <f t="shared" si="668"/>
        <v/>
      </c>
      <c r="DE85" s="30" t="str">
        <f t="shared" si="669"/>
        <v/>
      </c>
      <c r="DF85" s="30" t="str">
        <f t="shared" si="670"/>
        <v>|n生命值+30000</v>
      </c>
      <c r="DG85" s="30" t="str">
        <f t="shared" si="671"/>
        <v/>
      </c>
      <c r="DH85" s="30" t="str">
        <f t="shared" si="672"/>
        <v/>
      </c>
      <c r="DI85" s="30" t="str">
        <f t="shared" si="673"/>
        <v/>
      </c>
      <c r="DJ85" s="30" t="str">
        <f t="shared" si="674"/>
        <v/>
      </c>
      <c r="DK85" s="30" t="str">
        <f t="shared" si="675"/>
        <v/>
      </c>
      <c r="DL85" s="30" t="str">
        <f t="shared" si="676"/>
        <v/>
      </c>
      <c r="DM85" s="30" t="str">
        <f t="shared" si="677"/>
        <v/>
      </c>
      <c r="DN85" s="30" t="str">
        <f t="shared" si="678"/>
        <v/>
      </c>
      <c r="DO85" s="30" t="str">
        <f t="shared" si="679"/>
        <v/>
      </c>
      <c r="DP85" s="30" t="str">
        <f t="shared" si="680"/>
        <v/>
      </c>
      <c r="DQ85" s="30" t="str">
        <f t="shared" si="681"/>
        <v/>
      </c>
      <c r="DR85" s="30" t="str">
        <f t="shared" si="682"/>
        <v/>
      </c>
      <c r="DS85" s="30" t="str">
        <f t="shared" si="683"/>
        <v/>
      </c>
      <c r="DT85" s="30" t="str">
        <f t="shared" si="684"/>
        <v/>
      </c>
      <c r="DU85" s="30" t="str">
        <f t="shared" si="685"/>
        <v/>
      </c>
      <c r="DV85" s="30" t="str">
        <f t="shared" si="686"/>
        <v/>
      </c>
      <c r="DW85" s="30" t="str">
        <f t="shared" si="687"/>
        <v/>
      </c>
      <c r="DX85" s="30" t="str">
        <f t="shared" si="688"/>
        <v/>
      </c>
      <c r="DY85" s="30" t="str">
        <f t="shared" si="689"/>
        <v/>
      </c>
      <c r="DZ85" s="30" t="str">
        <f t="shared" si="690"/>
        <v/>
      </c>
      <c r="EA85" s="30" t="str">
        <f t="shared" si="691"/>
        <v/>
      </c>
      <c r="EB85" s="30" t="str">
        <f t="shared" si="692"/>
        <v/>
      </c>
      <c r="EC85" s="30" t="str">
        <f t="shared" si="693"/>
        <v/>
      </c>
      <c r="ED85" s="30" t="str">
        <f t="shared" si="694"/>
        <v/>
      </c>
      <c r="EE85" s="30" t="str">
        <f t="shared" si="695"/>
        <v/>
      </c>
      <c r="EF85" s="30" t="str">
        <f t="shared" si="696"/>
        <v/>
      </c>
      <c r="EG85" s="30" t="str">
        <f t="shared" si="697"/>
        <v/>
      </c>
      <c r="EH85" s="30" t="str">
        <f t="shared" si="698"/>
        <v/>
      </c>
      <c r="EI85" s="30" t="str">
        <f t="shared" si="699"/>
        <v/>
      </c>
      <c r="EJ85" s="30" t="str">
        <f t="shared" si="700"/>
        <v/>
      </c>
      <c r="EK85" s="30" t="str">
        <f t="shared" si="701"/>
        <v/>
      </c>
      <c r="EL85" s="30" t="str">
        <f t="shared" si="702"/>
        <v/>
      </c>
      <c r="EM85" s="30" t="str">
        <f t="shared" si="703"/>
        <v/>
      </c>
      <c r="EN85" s="30" t="str">
        <f t="shared" si="704"/>
        <v/>
      </c>
      <c r="EO85" s="30" t="str">
        <f t="shared" si="705"/>
        <v/>
      </c>
      <c r="EP85" s="30" t="str">
        <f t="shared" si="706"/>
        <v/>
      </c>
      <c r="EQ85" s="30" t="str">
        <f t="shared" si="707"/>
        <v/>
      </c>
      <c r="ER85" s="30" t="str">
        <f t="shared" si="708"/>
        <v/>
      </c>
      <c r="ES85" s="30" t="str">
        <f t="shared" si="709"/>
        <v/>
      </c>
      <c r="ET85" s="30" t="str">
        <f t="shared" si="710"/>
        <v/>
      </c>
      <c r="EU85" s="30" t="str">
        <f t="shared" si="711"/>
        <v/>
      </c>
      <c r="EV85" s="30" t="str">
        <f t="shared" si="712"/>
        <v/>
      </c>
      <c r="EW85" s="30" t="str">
        <f t="shared" si="713"/>
        <v/>
      </c>
      <c r="EX85" s="30" t="str">
        <f t="shared" si="714"/>
        <v/>
      </c>
      <c r="EY85" s="30" t="str">
        <f t="shared" si="715"/>
        <v/>
      </c>
      <c r="EZ85" s="30" t="str">
        <f t="shared" si="716"/>
        <v/>
      </c>
      <c r="FA85" s="30" t="str">
        <f t="shared" si="717"/>
        <v/>
      </c>
      <c r="FB85" s="30" t="str">
        <f t="shared" si="718"/>
        <v/>
      </c>
      <c r="FC85" s="30" t="str">
        <f t="shared" si="719"/>
        <v/>
      </c>
      <c r="FD85" s="30" t="str">
        <f t="shared" si="720"/>
        <v/>
      </c>
      <c r="FE85" s="30" t="str">
        <f t="shared" si="721"/>
        <v/>
      </c>
      <c r="FF85" s="30" t="str">
        <f t="shared" si="722"/>
        <v/>
      </c>
      <c r="FG85" s="30" t="str">
        <f t="shared" si="723"/>
        <v/>
      </c>
      <c r="FH85" s="30" t="str">
        <f t="shared" si="724"/>
        <v/>
      </c>
      <c r="FI85" s="30" t="str">
        <f t="shared" si="725"/>
        <v/>
      </c>
      <c r="FJ85" s="30" t="str">
        <f t="shared" si="726"/>
        <v/>
      </c>
      <c r="FK85" s="30" t="str">
        <f t="shared" si="727"/>
        <v/>
      </c>
      <c r="FL85" s="30" t="str">
        <f t="shared" si="728"/>
        <v/>
      </c>
      <c r="FM85" s="30" t="str">
        <f t="shared" si="729"/>
        <v/>
      </c>
      <c r="FN85" s="30" t="str">
        <f t="shared" si="730"/>
        <v/>
      </c>
      <c r="FO85" s="30" t="str">
        <f t="shared" si="731"/>
        <v/>
      </c>
      <c r="FP85" s="30" t="str">
        <f t="shared" si="732"/>
        <v/>
      </c>
      <c r="FQ85" s="30" t="str">
        <f t="shared" si="733"/>
        <v/>
      </c>
      <c r="FR85" s="30" t="str">
        <f t="shared" si="734"/>
        <v/>
      </c>
      <c r="FS85" s="30" t="str">
        <f t="shared" si="735"/>
        <v/>
      </c>
    </row>
    <row r="86" spans="1:175" ht="16.5">
      <c r="A86" s="5"/>
      <c r="B86" s="36" t="s">
        <v>820</v>
      </c>
      <c r="C86" s="5" t="s">
        <v>810</v>
      </c>
      <c r="E86" s="53"/>
      <c r="F86" s="11"/>
      <c r="G86" s="10"/>
      <c r="H86" s="10"/>
      <c r="I86" s="10"/>
      <c r="J86" s="10"/>
      <c r="K86" s="10"/>
      <c r="L86" s="10"/>
      <c r="M86" s="10"/>
      <c r="N86" s="10"/>
      <c r="O86" s="10"/>
      <c r="P86" s="51"/>
      <c r="Q86" s="51"/>
      <c r="R86" s="51"/>
      <c r="S86" s="55"/>
      <c r="T86" s="101"/>
      <c r="U86" s="37" t="s">
        <v>862</v>
      </c>
      <c r="V86" s="28">
        <v>22500</v>
      </c>
      <c r="W86" s="28">
        <v>22500</v>
      </c>
      <c r="Z86" s="28">
        <v>45000</v>
      </c>
      <c r="CU86" s="45" t="str">
        <f t="shared" si="665"/>
        <v>|n攻击+22500|n法强+22500|n生命值+45000|n</v>
      </c>
      <c r="CV86" s="29" t="str">
        <f>"|cffffcc00属性：|r"&amp;CU86&amp;VLOOKUP(A86,合成公式!A:P,16,FALSE)&amp;T86</f>
        <v>|cffffcc00属性：|r|n攻击+22500|n法强+22500|n生命值+45000|n</v>
      </c>
      <c r="CW86" s="24"/>
      <c r="CX86" s="24"/>
      <c r="CY86" s="24"/>
      <c r="CZ86" s="24"/>
      <c r="DA86" s="24"/>
      <c r="DB86" s="30" t="str">
        <f t="shared" si="666"/>
        <v>|n攻击+22500</v>
      </c>
      <c r="DC86" s="30" t="str">
        <f t="shared" si="667"/>
        <v>|n法强+22500</v>
      </c>
      <c r="DD86" s="30" t="str">
        <f t="shared" si="668"/>
        <v/>
      </c>
      <c r="DE86" s="30" t="str">
        <f t="shared" si="669"/>
        <v/>
      </c>
      <c r="DF86" s="30" t="str">
        <f t="shared" si="670"/>
        <v>|n生命值+45000</v>
      </c>
      <c r="DG86" s="30" t="str">
        <f t="shared" si="671"/>
        <v/>
      </c>
      <c r="DH86" s="30" t="str">
        <f t="shared" si="672"/>
        <v/>
      </c>
      <c r="DI86" s="30" t="str">
        <f t="shared" si="673"/>
        <v/>
      </c>
      <c r="DJ86" s="30" t="str">
        <f t="shared" si="674"/>
        <v/>
      </c>
      <c r="DK86" s="30" t="str">
        <f t="shared" si="675"/>
        <v/>
      </c>
      <c r="DL86" s="30" t="str">
        <f t="shared" si="676"/>
        <v/>
      </c>
      <c r="DM86" s="30" t="str">
        <f t="shared" si="677"/>
        <v/>
      </c>
      <c r="DN86" s="30" t="str">
        <f t="shared" si="678"/>
        <v/>
      </c>
      <c r="DO86" s="30" t="str">
        <f t="shared" si="679"/>
        <v/>
      </c>
      <c r="DP86" s="30" t="str">
        <f t="shared" si="680"/>
        <v/>
      </c>
      <c r="DQ86" s="30" t="str">
        <f t="shared" si="681"/>
        <v/>
      </c>
      <c r="DR86" s="30" t="str">
        <f t="shared" si="682"/>
        <v/>
      </c>
      <c r="DS86" s="30" t="str">
        <f t="shared" si="683"/>
        <v/>
      </c>
      <c r="DT86" s="30" t="str">
        <f t="shared" si="684"/>
        <v/>
      </c>
      <c r="DU86" s="30" t="str">
        <f t="shared" si="685"/>
        <v/>
      </c>
      <c r="DV86" s="30" t="str">
        <f t="shared" si="686"/>
        <v/>
      </c>
      <c r="DW86" s="30" t="str">
        <f t="shared" si="687"/>
        <v/>
      </c>
      <c r="DX86" s="30" t="str">
        <f t="shared" si="688"/>
        <v/>
      </c>
      <c r="DY86" s="30" t="str">
        <f t="shared" si="689"/>
        <v/>
      </c>
      <c r="DZ86" s="30" t="str">
        <f t="shared" si="690"/>
        <v/>
      </c>
      <c r="EA86" s="30" t="str">
        <f t="shared" si="691"/>
        <v/>
      </c>
      <c r="EB86" s="30" t="str">
        <f t="shared" si="692"/>
        <v/>
      </c>
      <c r="EC86" s="30" t="str">
        <f t="shared" si="693"/>
        <v/>
      </c>
      <c r="ED86" s="30" t="str">
        <f t="shared" si="694"/>
        <v/>
      </c>
      <c r="EE86" s="30" t="str">
        <f t="shared" si="695"/>
        <v/>
      </c>
      <c r="EF86" s="30" t="str">
        <f t="shared" si="696"/>
        <v/>
      </c>
      <c r="EG86" s="30" t="str">
        <f t="shared" si="697"/>
        <v/>
      </c>
      <c r="EH86" s="30" t="str">
        <f t="shared" si="698"/>
        <v/>
      </c>
      <c r="EI86" s="30" t="str">
        <f t="shared" si="699"/>
        <v/>
      </c>
      <c r="EJ86" s="30" t="str">
        <f t="shared" si="700"/>
        <v/>
      </c>
      <c r="EK86" s="30" t="str">
        <f t="shared" si="701"/>
        <v/>
      </c>
      <c r="EL86" s="30" t="str">
        <f t="shared" si="702"/>
        <v/>
      </c>
      <c r="EM86" s="30" t="str">
        <f t="shared" si="703"/>
        <v/>
      </c>
      <c r="EN86" s="30" t="str">
        <f t="shared" si="704"/>
        <v/>
      </c>
      <c r="EO86" s="30" t="str">
        <f t="shared" si="705"/>
        <v/>
      </c>
      <c r="EP86" s="30" t="str">
        <f t="shared" si="706"/>
        <v/>
      </c>
      <c r="EQ86" s="30" t="str">
        <f t="shared" si="707"/>
        <v/>
      </c>
      <c r="ER86" s="30" t="str">
        <f t="shared" si="708"/>
        <v/>
      </c>
      <c r="ES86" s="30" t="str">
        <f t="shared" si="709"/>
        <v/>
      </c>
      <c r="ET86" s="30" t="str">
        <f t="shared" si="710"/>
        <v/>
      </c>
      <c r="EU86" s="30" t="str">
        <f t="shared" si="711"/>
        <v/>
      </c>
      <c r="EV86" s="30" t="str">
        <f t="shared" si="712"/>
        <v/>
      </c>
      <c r="EW86" s="30" t="str">
        <f t="shared" si="713"/>
        <v/>
      </c>
      <c r="EX86" s="30" t="str">
        <f t="shared" si="714"/>
        <v/>
      </c>
      <c r="EY86" s="30" t="str">
        <f t="shared" si="715"/>
        <v/>
      </c>
      <c r="EZ86" s="30" t="str">
        <f t="shared" si="716"/>
        <v/>
      </c>
      <c r="FA86" s="30" t="str">
        <f t="shared" si="717"/>
        <v/>
      </c>
      <c r="FB86" s="30" t="str">
        <f t="shared" si="718"/>
        <v/>
      </c>
      <c r="FC86" s="30" t="str">
        <f t="shared" si="719"/>
        <v/>
      </c>
      <c r="FD86" s="30" t="str">
        <f t="shared" si="720"/>
        <v/>
      </c>
      <c r="FE86" s="30" t="str">
        <f t="shared" si="721"/>
        <v/>
      </c>
      <c r="FF86" s="30" t="str">
        <f t="shared" si="722"/>
        <v/>
      </c>
      <c r="FG86" s="30" t="str">
        <f t="shared" si="723"/>
        <v/>
      </c>
      <c r="FH86" s="30" t="str">
        <f t="shared" si="724"/>
        <v/>
      </c>
      <c r="FI86" s="30" t="str">
        <f t="shared" si="725"/>
        <v/>
      </c>
      <c r="FJ86" s="30" t="str">
        <f t="shared" si="726"/>
        <v/>
      </c>
      <c r="FK86" s="30" t="str">
        <f t="shared" si="727"/>
        <v/>
      </c>
      <c r="FL86" s="30" t="str">
        <f t="shared" si="728"/>
        <v/>
      </c>
      <c r="FM86" s="30" t="str">
        <f t="shared" si="729"/>
        <v/>
      </c>
      <c r="FN86" s="30" t="str">
        <f t="shared" si="730"/>
        <v/>
      </c>
      <c r="FO86" s="30" t="str">
        <f t="shared" si="731"/>
        <v/>
      </c>
      <c r="FP86" s="30" t="str">
        <f t="shared" si="732"/>
        <v/>
      </c>
      <c r="FQ86" s="30" t="str">
        <f t="shared" si="733"/>
        <v/>
      </c>
      <c r="FR86" s="30" t="str">
        <f t="shared" si="734"/>
        <v/>
      </c>
      <c r="FS86" s="30" t="str">
        <f t="shared" si="735"/>
        <v/>
      </c>
    </row>
    <row r="87" spans="1:175" ht="16.5">
      <c r="A87" s="5"/>
      <c r="B87" s="36" t="s">
        <v>821</v>
      </c>
      <c r="C87" s="5" t="s">
        <v>811</v>
      </c>
      <c r="E87" s="53"/>
      <c r="F87" s="11"/>
      <c r="G87" s="10"/>
      <c r="H87" s="10"/>
      <c r="I87" s="10"/>
      <c r="J87" s="10"/>
      <c r="K87" s="10"/>
      <c r="L87" s="10"/>
      <c r="M87" s="10"/>
      <c r="N87" s="10"/>
      <c r="O87" s="10"/>
      <c r="P87" s="51"/>
      <c r="Q87" s="51"/>
      <c r="R87" s="51"/>
      <c r="S87" s="55"/>
      <c r="T87" s="101"/>
      <c r="U87" s="37" t="s">
        <v>824</v>
      </c>
      <c r="V87" s="28">
        <v>45000</v>
      </c>
      <c r="W87" s="28">
        <v>45000</v>
      </c>
      <c r="Z87" s="28">
        <v>90000</v>
      </c>
      <c r="CU87" s="45" t="str">
        <f t="shared" si="665"/>
        <v>|n攻击+45000|n法强+45000|n生命值+90000|n</v>
      </c>
      <c r="CV87" s="29" t="str">
        <f>"|cffffcc00属性：|r"&amp;CU87&amp;VLOOKUP(A87,合成公式!A:P,16,FALSE)&amp;T87</f>
        <v>|cffffcc00属性：|r|n攻击+45000|n法强+45000|n生命值+90000|n</v>
      </c>
      <c r="CW87" s="24"/>
      <c r="CX87" s="24"/>
      <c r="CY87" s="24"/>
      <c r="CZ87" s="24"/>
      <c r="DA87" s="24"/>
      <c r="DB87" s="30" t="str">
        <f t="shared" si="666"/>
        <v>|n攻击+45000</v>
      </c>
      <c r="DC87" s="30" t="str">
        <f t="shared" si="667"/>
        <v>|n法强+45000</v>
      </c>
      <c r="DD87" s="30" t="str">
        <f t="shared" si="668"/>
        <v/>
      </c>
      <c r="DE87" s="30" t="str">
        <f t="shared" si="669"/>
        <v/>
      </c>
      <c r="DF87" s="30" t="str">
        <f t="shared" si="670"/>
        <v>|n生命值+90000</v>
      </c>
      <c r="DG87" s="30" t="str">
        <f t="shared" si="671"/>
        <v/>
      </c>
      <c r="DH87" s="30" t="str">
        <f t="shared" si="672"/>
        <v/>
      </c>
      <c r="DI87" s="30" t="str">
        <f t="shared" si="673"/>
        <v/>
      </c>
      <c r="DJ87" s="30" t="str">
        <f t="shared" si="674"/>
        <v/>
      </c>
      <c r="DK87" s="30" t="str">
        <f t="shared" si="675"/>
        <v/>
      </c>
      <c r="DL87" s="30" t="str">
        <f t="shared" si="676"/>
        <v/>
      </c>
      <c r="DM87" s="30" t="str">
        <f t="shared" si="677"/>
        <v/>
      </c>
      <c r="DN87" s="30" t="str">
        <f t="shared" si="678"/>
        <v/>
      </c>
      <c r="DO87" s="30" t="str">
        <f t="shared" si="679"/>
        <v/>
      </c>
      <c r="DP87" s="30" t="str">
        <f t="shared" si="680"/>
        <v/>
      </c>
      <c r="DQ87" s="30" t="str">
        <f t="shared" si="681"/>
        <v/>
      </c>
      <c r="DR87" s="30" t="str">
        <f t="shared" si="682"/>
        <v/>
      </c>
      <c r="DS87" s="30" t="str">
        <f t="shared" si="683"/>
        <v/>
      </c>
      <c r="DT87" s="30" t="str">
        <f t="shared" si="684"/>
        <v/>
      </c>
      <c r="DU87" s="30" t="str">
        <f t="shared" si="685"/>
        <v/>
      </c>
      <c r="DV87" s="30" t="str">
        <f t="shared" si="686"/>
        <v/>
      </c>
      <c r="DW87" s="30" t="str">
        <f t="shared" si="687"/>
        <v/>
      </c>
      <c r="DX87" s="30" t="str">
        <f t="shared" si="688"/>
        <v/>
      </c>
      <c r="DY87" s="30" t="str">
        <f t="shared" si="689"/>
        <v/>
      </c>
      <c r="DZ87" s="30" t="str">
        <f t="shared" si="690"/>
        <v/>
      </c>
      <c r="EA87" s="30" t="str">
        <f t="shared" si="691"/>
        <v/>
      </c>
      <c r="EB87" s="30" t="str">
        <f t="shared" si="692"/>
        <v/>
      </c>
      <c r="EC87" s="30" t="str">
        <f t="shared" si="693"/>
        <v/>
      </c>
      <c r="ED87" s="30" t="str">
        <f t="shared" si="694"/>
        <v/>
      </c>
      <c r="EE87" s="30" t="str">
        <f t="shared" si="695"/>
        <v/>
      </c>
      <c r="EF87" s="30" t="str">
        <f t="shared" si="696"/>
        <v/>
      </c>
      <c r="EG87" s="30" t="str">
        <f t="shared" si="697"/>
        <v/>
      </c>
      <c r="EH87" s="30" t="str">
        <f t="shared" si="698"/>
        <v/>
      </c>
      <c r="EI87" s="30" t="str">
        <f t="shared" si="699"/>
        <v/>
      </c>
      <c r="EJ87" s="30" t="str">
        <f t="shared" si="700"/>
        <v/>
      </c>
      <c r="EK87" s="30" t="str">
        <f t="shared" si="701"/>
        <v/>
      </c>
      <c r="EL87" s="30" t="str">
        <f t="shared" si="702"/>
        <v/>
      </c>
      <c r="EM87" s="30" t="str">
        <f t="shared" si="703"/>
        <v/>
      </c>
      <c r="EN87" s="30" t="str">
        <f t="shared" si="704"/>
        <v/>
      </c>
      <c r="EO87" s="30" t="str">
        <f t="shared" si="705"/>
        <v/>
      </c>
      <c r="EP87" s="30" t="str">
        <f t="shared" si="706"/>
        <v/>
      </c>
      <c r="EQ87" s="30" t="str">
        <f t="shared" si="707"/>
        <v/>
      </c>
      <c r="ER87" s="30" t="str">
        <f t="shared" si="708"/>
        <v/>
      </c>
      <c r="ES87" s="30" t="str">
        <f t="shared" si="709"/>
        <v/>
      </c>
      <c r="ET87" s="30" t="str">
        <f t="shared" si="710"/>
        <v/>
      </c>
      <c r="EU87" s="30" t="str">
        <f t="shared" si="711"/>
        <v/>
      </c>
      <c r="EV87" s="30" t="str">
        <f t="shared" si="712"/>
        <v/>
      </c>
      <c r="EW87" s="30" t="str">
        <f t="shared" si="713"/>
        <v/>
      </c>
      <c r="EX87" s="30" t="str">
        <f t="shared" si="714"/>
        <v/>
      </c>
      <c r="EY87" s="30" t="str">
        <f t="shared" si="715"/>
        <v/>
      </c>
      <c r="EZ87" s="30" t="str">
        <f t="shared" si="716"/>
        <v/>
      </c>
      <c r="FA87" s="30" t="str">
        <f t="shared" si="717"/>
        <v/>
      </c>
      <c r="FB87" s="30" t="str">
        <f t="shared" si="718"/>
        <v/>
      </c>
      <c r="FC87" s="30" t="str">
        <f t="shared" si="719"/>
        <v/>
      </c>
      <c r="FD87" s="30" t="str">
        <f t="shared" si="720"/>
        <v/>
      </c>
      <c r="FE87" s="30" t="str">
        <f t="shared" si="721"/>
        <v/>
      </c>
      <c r="FF87" s="30" t="str">
        <f t="shared" si="722"/>
        <v/>
      </c>
      <c r="FG87" s="30" t="str">
        <f t="shared" si="723"/>
        <v/>
      </c>
      <c r="FH87" s="30" t="str">
        <f t="shared" si="724"/>
        <v/>
      </c>
      <c r="FI87" s="30" t="str">
        <f t="shared" si="725"/>
        <v/>
      </c>
      <c r="FJ87" s="30" t="str">
        <f t="shared" si="726"/>
        <v/>
      </c>
      <c r="FK87" s="30" t="str">
        <f t="shared" si="727"/>
        <v/>
      </c>
      <c r="FL87" s="30" t="str">
        <f t="shared" si="728"/>
        <v/>
      </c>
      <c r="FM87" s="30" t="str">
        <f t="shared" si="729"/>
        <v/>
      </c>
      <c r="FN87" s="30" t="str">
        <f t="shared" si="730"/>
        <v/>
      </c>
      <c r="FO87" s="30" t="str">
        <f t="shared" si="731"/>
        <v/>
      </c>
      <c r="FP87" s="30" t="str">
        <f t="shared" si="732"/>
        <v/>
      </c>
      <c r="FQ87" s="30" t="str">
        <f t="shared" si="733"/>
        <v/>
      </c>
      <c r="FR87" s="30" t="str">
        <f t="shared" si="734"/>
        <v/>
      </c>
      <c r="FS87" s="30" t="str">
        <f t="shared" si="735"/>
        <v/>
      </c>
    </row>
    <row r="88" spans="1:175" ht="16.5">
      <c r="A88" s="111"/>
      <c r="B88" s="111" t="s">
        <v>825</v>
      </c>
      <c r="C88" s="111" t="s">
        <v>826</v>
      </c>
      <c r="T88" s="114" t="s">
        <v>827</v>
      </c>
      <c r="U88" s="37" t="s">
        <v>822</v>
      </c>
      <c r="CN88" s="7" t="str">
        <f t="shared" ref="CN88:CN101" si="956">"InitUnitState('"&amp;B88&amp;"',"&amp;V88&amp;","&amp;W88&amp;","&amp;X88&amp;","&amp;Y88&amp;","&amp;Z88&amp;","&amp;AA88&amp;","&amp;AB88&amp;","&amp;AC88&amp;","&amp;AD88&amp;","&amp;AE88&amp;")"</f>
        <v>InitUnitState('CS01',,,,,,,,,,)</v>
      </c>
      <c r="CO88" s="7" t="str">
        <f t="shared" ref="CO88:CO101" si="957">"InitUnitNormal('"&amp;B88&amp;"',"&amp;AF88&amp;","&amp;AG88&amp;","&amp;AH88&amp;","&amp;AI88&amp;","&amp;AJ88&amp;","&amp;AK88&amp;","&amp;AL88&amp;","&amp;AM88&amp;","&amp;AN88&amp;","&amp;AO88&amp;")"</f>
        <v>InitUnitNormal('CS01',,,,,,,,,,)</v>
      </c>
      <c r="CP88" s="7" t="str">
        <f t="shared" ref="CP88:CP101" si="958">"InitUnitMagic('"&amp;B88&amp;"',"&amp;AP88&amp;","&amp;AQ88&amp;","&amp;AR88&amp;","&amp;AS88&amp;","&amp;AT88&amp;","&amp;AU88&amp;","&amp;AV88&amp;","&amp;AW88&amp;","&amp;BI88&amp;","&amp;BJ88&amp;")"</f>
        <v>InitUnitMagic('CS01',,,,,,,,,,)</v>
      </c>
      <c r="CQ88" s="7" t="str">
        <f t="shared" ref="CQ88:CQ101" si="959">"InitUnitAdd('"&amp;B88&amp;"',"&amp;BK88&amp;","&amp;BL88&amp;","&amp;BM88&amp;","&amp;BN88&amp;","&amp;BO88&amp;","&amp;BP88&amp;","&amp;BQ88&amp;","&amp;BR88&amp;","&amp;BS88&amp;","&amp;BT88&amp;")"</f>
        <v>InitUnitAdd('CS01',,,,,,,,,,)</v>
      </c>
      <c r="CR88" s="7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InitEquipData('CS01',,"",,,,,'','','','','','',"ReplaceableTextures\\CommandButtons\\BTNTome.blp")</v>
      </c>
      <c r="CU88" s="45" t="str">
        <f t="shared" ref="CU88" si="960">CONCATENATE(DB88,DC88,DD88,DE88,DF88,DG88,DH88,DI88,DJ88,DK88,DL88,DM88,DN88,DO88,DP88,DQ88,DR88,DS88,DT88,DU88,DV88,DW88,DX88,DY88,DZ88,EA88,EB88,EC88,ED88,EE88,EF88,EG88,EH88,EI88,EJ88,EK88,EL88,EM88,EN88,EO88,EP88&amp;"|n")</f>
        <v>|n</v>
      </c>
      <c r="CV88" s="29" t="str">
        <f t="shared" ref="CV88" si="961">T88</f>
        <v>随机技能</v>
      </c>
      <c r="CW88" s="24"/>
      <c r="CX88" s="24"/>
      <c r="CY88" s="24"/>
      <c r="CZ88" s="24"/>
      <c r="DA88" s="24"/>
      <c r="DB88" s="30" t="str">
        <f t="shared" ref="DB88" si="962">IF(V88="","","|n"&amp;DB$2&amp;"+"&amp;V88&amp;DB$1)</f>
        <v/>
      </c>
      <c r="DC88" s="30" t="str">
        <f t="shared" ref="DC88" si="963">IF(W88="","","|n"&amp;DC$2&amp;"+"&amp;W88&amp;DC$1)</f>
        <v/>
      </c>
      <c r="DD88" s="30" t="str">
        <f t="shared" ref="DD88" si="964">IF(X88="","","|n"&amp;DD$2&amp;"+"&amp;X88&amp;DD$1)</f>
        <v/>
      </c>
      <c r="DE88" s="30" t="str">
        <f t="shared" ref="DE88" si="965">IF(Y88="","","|n"&amp;DE$2&amp;"+"&amp;Y88&amp;DE$1)</f>
        <v/>
      </c>
      <c r="DF88" s="30" t="str">
        <f t="shared" ref="DF88" si="966">IF(Z88="","","|n"&amp;DF$2&amp;"+"&amp;Z88&amp;DF$1)</f>
        <v/>
      </c>
      <c r="DG88" s="30" t="str">
        <f t="shared" ref="DG88" si="967">IF(AA88="","","|n"&amp;DG$2&amp;"+"&amp;AA88&amp;DG$1)</f>
        <v/>
      </c>
      <c r="DH88" s="30" t="str">
        <f t="shared" ref="DH88" si="968">IF(AB88="","","|n"&amp;DH$2&amp;"+"&amp;AB88&amp;DH$1)</f>
        <v/>
      </c>
      <c r="DI88" s="30" t="str">
        <f t="shared" ref="DI88" si="969">IF(AC88="","","|n"&amp;DI$2&amp;"+"&amp;AC88&amp;DI$1)</f>
        <v/>
      </c>
      <c r="DJ88" s="30" t="str">
        <f t="shared" ref="DJ88" si="970">IF(AD88="","","|n"&amp;DJ$2&amp;"+"&amp;AD88&amp;DJ$1)</f>
        <v/>
      </c>
      <c r="DK88" s="30" t="str">
        <f t="shared" ref="DK88" si="971">IF(AE88="","","|n"&amp;DK$2&amp;"+"&amp;AE88&amp;DK$1)</f>
        <v/>
      </c>
      <c r="DL88" s="30" t="str">
        <f t="shared" ref="DL88" si="972">IF(AF88="","","|n"&amp;DL$2&amp;"+"&amp;AF88&amp;DL$1)</f>
        <v/>
      </c>
      <c r="DM88" s="30" t="str">
        <f t="shared" ref="DM88" si="973">IF(AG88="","","|n"&amp;DM$2&amp;"+"&amp;AG88&amp;DM$1)</f>
        <v/>
      </c>
      <c r="DN88" s="30" t="str">
        <f t="shared" ref="DN88" si="974">IF(AH88="","","|n"&amp;DN$2&amp;"+"&amp;AH88&amp;DN$1)</f>
        <v/>
      </c>
      <c r="DO88" s="30" t="str">
        <f t="shared" ref="DO88" si="975">IF(AI88="","","|n"&amp;DO$2&amp;"+"&amp;AI88&amp;DO$1)</f>
        <v/>
      </c>
      <c r="DP88" s="30" t="str">
        <f t="shared" ref="DP88" si="976">IF(AJ88="","","|n"&amp;DP$2&amp;"+"&amp;AJ88&amp;DP$1)</f>
        <v/>
      </c>
      <c r="DQ88" s="30" t="str">
        <f t="shared" ref="DQ88" si="977">IF(AK88="","","|n"&amp;DQ$2&amp;"+"&amp;AK88&amp;DQ$1)</f>
        <v/>
      </c>
      <c r="DR88" s="30" t="str">
        <f t="shared" ref="DR88" si="978">IF(AL88="","","|n"&amp;DR$2&amp;"+"&amp;AL88&amp;DR$1)</f>
        <v/>
      </c>
      <c r="DS88" s="30" t="str">
        <f t="shared" ref="DS88" si="979">IF(AM88="","","|n"&amp;DS$2&amp;"+"&amp;AM88&amp;DS$1)</f>
        <v/>
      </c>
      <c r="DT88" s="30" t="str">
        <f t="shared" ref="DT88" si="980">IF(AN88="","","|n"&amp;DT$2&amp;"+"&amp;AN88&amp;DT$1)</f>
        <v/>
      </c>
      <c r="DU88" s="30" t="str">
        <f t="shared" ref="DU88" si="981">IF(AO88="","","|n"&amp;DU$2&amp;"+"&amp;AO88&amp;DU$1)</f>
        <v/>
      </c>
      <c r="DV88" s="30" t="str">
        <f t="shared" ref="DV88" si="982">IF(AP88="","","|n"&amp;DV$2&amp;"+"&amp;AP88&amp;DV$1)</f>
        <v/>
      </c>
      <c r="DW88" s="30" t="str">
        <f t="shared" ref="DW88" si="983">IF(AQ88="","","|n"&amp;DW$2&amp;"+"&amp;AQ88&amp;DW$1)</f>
        <v/>
      </c>
      <c r="DX88" s="30" t="str">
        <f t="shared" ref="DX88" si="984">IF(AR88="","","|n"&amp;DX$2&amp;"+"&amp;AR88&amp;DX$1)</f>
        <v/>
      </c>
      <c r="DY88" s="30" t="str">
        <f t="shared" ref="DY88" si="985">IF(AS88="","","|n"&amp;DY$2&amp;"+"&amp;AS88&amp;DY$1)</f>
        <v/>
      </c>
      <c r="DZ88" s="30" t="str">
        <f t="shared" ref="DZ88" si="986">IF(AT88="","","|n"&amp;DZ$2&amp;"+"&amp;AT88&amp;DZ$1)</f>
        <v/>
      </c>
      <c r="EA88" s="30" t="str">
        <f t="shared" ref="EA88" si="987">IF(AU88="","","|n"&amp;EA$2&amp;"+"&amp;AU88&amp;EA$1)</f>
        <v/>
      </c>
      <c r="EB88" s="30" t="str">
        <f t="shared" ref="EB88" si="988">IF(AV88="","","|n"&amp;EB$2&amp;"+"&amp;AV88&amp;EB$1)</f>
        <v/>
      </c>
      <c r="EC88" s="30" t="str">
        <f t="shared" ref="EC88" si="989">IF(AW88="","","|n"&amp;EC$2&amp;"+"&amp;AW88&amp;EC$1)</f>
        <v/>
      </c>
      <c r="ED88" s="30" t="str">
        <f t="shared" ref="ED88" si="990">IF(AX88="","","|n"&amp;ED$2&amp;"+"&amp;AX88&amp;ED$1)</f>
        <v/>
      </c>
      <c r="EE88" s="30" t="str">
        <f t="shared" ref="EE88" si="991">IF(AY88="","","|n"&amp;EE$2&amp;"+"&amp;AY88&amp;EE$1)</f>
        <v/>
      </c>
      <c r="EF88" s="30" t="str">
        <f t="shared" ref="EF88" si="992">IF(AZ88="","","|n"&amp;EF$2&amp;"+"&amp;AZ88&amp;EF$1)</f>
        <v/>
      </c>
      <c r="EG88" s="30" t="str">
        <f t="shared" ref="EG88" si="993">IF(BA88="","","|n"&amp;EG$2&amp;"+"&amp;BA88&amp;EG$1)</f>
        <v/>
      </c>
      <c r="EH88" s="30" t="str">
        <f t="shared" ref="EH88" si="994">IF(BB88="","","|n"&amp;EH$2&amp;"+"&amp;BB88&amp;EH$1)</f>
        <v/>
      </c>
      <c r="EI88" s="30" t="str">
        <f t="shared" ref="EI88" si="995">IF(BC88="","","|n"&amp;EI$2&amp;"+"&amp;BC88&amp;EI$1)</f>
        <v/>
      </c>
      <c r="EJ88" s="30" t="str">
        <f t="shared" ref="EJ88" si="996">IF(BD88="","","|n"&amp;EJ$2&amp;"+"&amp;BD88&amp;EJ$1)</f>
        <v/>
      </c>
      <c r="EK88" s="30" t="str">
        <f t="shared" ref="EK88" si="997">IF(BE88="","","|n"&amp;EK$2&amp;"+"&amp;BE88&amp;EK$1)</f>
        <v/>
      </c>
      <c r="EL88" s="30" t="str">
        <f t="shared" ref="EL88" si="998">IF(BF88="","","|n"&amp;EL$2&amp;"+"&amp;BF88&amp;EL$1)</f>
        <v/>
      </c>
      <c r="EM88" s="30" t="str">
        <f t="shared" ref="EM88" si="999">IF(BG88="","","|n"&amp;EM$2&amp;"+"&amp;BG88&amp;EM$1)</f>
        <v/>
      </c>
      <c r="EN88" s="30" t="str">
        <f t="shared" ref="EN88" si="1000">IF(BH88="","","|n"&amp;EN$2&amp;"+"&amp;BH88&amp;EN$1)</f>
        <v/>
      </c>
      <c r="EO88" s="30" t="str">
        <f t="shared" ref="EO88" si="1001">IF(BI88="","","|n"&amp;EO$2&amp;"+"&amp;BI88&amp;EO$1)</f>
        <v/>
      </c>
      <c r="EP88" s="30" t="str">
        <f t="shared" ref="EP88" si="1002">IF(BJ88="","","|n"&amp;EP$2&amp;"+"&amp;BJ88&amp;EP$1)</f>
        <v/>
      </c>
      <c r="EQ88" s="30" t="str">
        <f t="shared" ref="EQ88" si="1003">IF(BK88="","","|n"&amp;EQ$2&amp;"+"&amp;BK88&amp;EQ$1)</f>
        <v/>
      </c>
      <c r="ER88" s="30" t="str">
        <f t="shared" ref="ER88" si="1004">IF(BL88="","","|n"&amp;ER$2&amp;"+"&amp;BL88&amp;ER$1)</f>
        <v/>
      </c>
      <c r="ES88" s="30" t="str">
        <f t="shared" ref="ES88" si="1005">IF(BM88="","","|n"&amp;ES$2&amp;"+"&amp;BM88&amp;ES$1)</f>
        <v/>
      </c>
      <c r="ET88" s="30" t="str">
        <f t="shared" ref="ET88" si="1006">IF(BN88="","","|n"&amp;ET$2&amp;"+"&amp;BN88&amp;ET$1)</f>
        <v/>
      </c>
      <c r="EU88" s="30" t="str">
        <f t="shared" ref="EU88" si="1007">IF(BO88="","","|n"&amp;EU$2&amp;"+"&amp;BO88&amp;EU$1)</f>
        <v/>
      </c>
      <c r="EV88" s="30" t="str">
        <f t="shared" ref="EV88" si="1008">IF(BP88="","","|n"&amp;EV$2&amp;"+"&amp;BP88&amp;EV$1)</f>
        <v/>
      </c>
      <c r="EW88" s="30" t="str">
        <f t="shared" ref="EW88" si="1009">IF(BQ88="","","|n"&amp;EW$2&amp;"+"&amp;BQ88&amp;EW$1)</f>
        <v/>
      </c>
      <c r="EX88" s="30" t="str">
        <f t="shared" ref="EX88" si="1010">IF(BR88="","","|n"&amp;EX$2&amp;"+"&amp;BR88&amp;EX$1)</f>
        <v/>
      </c>
      <c r="EY88" s="30" t="str">
        <f t="shared" ref="EY88" si="1011">IF(BS88="","","|n"&amp;EY$2&amp;"+"&amp;BS88&amp;EY$1)</f>
        <v/>
      </c>
      <c r="EZ88" s="30" t="str">
        <f t="shared" ref="EZ88" si="1012">IF(BT88="","","|n"&amp;EZ$2&amp;"+"&amp;BT88&amp;EZ$1)</f>
        <v/>
      </c>
      <c r="FA88" s="30" t="str">
        <f t="shared" ref="FA88" si="1013">IF(BU88="","","|n"&amp;FA$2&amp;"+"&amp;BU88&amp;FA$1)</f>
        <v/>
      </c>
      <c r="FB88" s="30" t="str">
        <f t="shared" ref="FB88" si="1014">IF(BV88="","","|n"&amp;FB$2&amp;"+"&amp;BV88&amp;FB$1)</f>
        <v/>
      </c>
      <c r="FC88" s="30" t="str">
        <f t="shared" ref="FC88" si="1015">IF(BW88="","","|n"&amp;FC$2&amp;"+"&amp;BW88&amp;FC$1)</f>
        <v/>
      </c>
      <c r="FD88" s="30" t="str">
        <f t="shared" ref="FD88" si="1016">IF(BX88="","","|n"&amp;FD$2&amp;"+"&amp;BX88&amp;FD$1)</f>
        <v/>
      </c>
      <c r="FE88" s="30" t="str">
        <f t="shared" ref="FE88" si="1017">IF(BY88="","","|n"&amp;FE$2&amp;"+"&amp;BY88&amp;FE$1)</f>
        <v/>
      </c>
      <c r="FF88" s="30" t="str">
        <f t="shared" ref="FF88" si="1018">IF(BZ88="","","|n"&amp;FF$2&amp;"+"&amp;BZ88&amp;FF$1)</f>
        <v/>
      </c>
      <c r="FG88" s="30" t="str">
        <f t="shared" ref="FG88" si="1019">IF(CA88="","","|n"&amp;FG$2&amp;"+"&amp;CA88&amp;FG$1)</f>
        <v/>
      </c>
      <c r="FH88" s="30" t="str">
        <f t="shared" ref="FH88" si="1020">IF(CB88="","","|n"&amp;FH$2&amp;"+"&amp;CB88&amp;FH$1)</f>
        <v/>
      </c>
      <c r="FI88" s="30" t="str">
        <f t="shared" ref="FI88" si="1021">IF(CC88="","","|n"&amp;FI$2&amp;"+"&amp;CC88&amp;FI$1)</f>
        <v/>
      </c>
      <c r="FJ88" s="30" t="str">
        <f t="shared" ref="FJ88" si="1022">IF(CD88="","","|n"&amp;FJ$2&amp;"+"&amp;CD88&amp;FJ$1)</f>
        <v/>
      </c>
      <c r="FK88" s="30" t="str">
        <f t="shared" ref="FK88" si="1023">IF(CE88="","","|n"&amp;FK$2&amp;"+"&amp;CE88&amp;FK$1)</f>
        <v/>
      </c>
      <c r="FL88" s="30" t="str">
        <f t="shared" ref="FL88" si="1024">IF(CF88="","","|n"&amp;FL$2&amp;"+"&amp;CF88&amp;FL$1)</f>
        <v/>
      </c>
      <c r="FM88" s="30" t="str">
        <f t="shared" ref="FM88" si="1025">IF(CG88="","","|n"&amp;FM$2&amp;"+"&amp;CG88&amp;FM$1)</f>
        <v/>
      </c>
      <c r="FN88" s="30" t="str">
        <f t="shared" ref="FN88" si="1026">IF(CH88="","","|n"&amp;FN$2&amp;"+"&amp;CH88&amp;FN$1)</f>
        <v/>
      </c>
      <c r="FO88" s="30" t="str">
        <f t="shared" ref="FO88" si="1027">IF(CI88="","","|n"&amp;FO$2&amp;"+"&amp;CI88&amp;FO$1)</f>
        <v/>
      </c>
      <c r="FP88" s="30" t="str">
        <f t="shared" ref="FP88" si="1028">IF(CJ88="","","|n"&amp;FP$2&amp;"+"&amp;CJ88&amp;FP$1)</f>
        <v/>
      </c>
      <c r="FQ88" s="30" t="str">
        <f t="shared" ref="FQ88" si="1029">IF(CK88="","","|n"&amp;FQ$2&amp;"+"&amp;CK88&amp;FQ$1)</f>
        <v/>
      </c>
      <c r="FR88" s="30" t="str">
        <f t="shared" ref="FR88" si="1030">IF(CL88="","","|n"&amp;FR$2&amp;"+"&amp;CL88&amp;FR$1)</f>
        <v/>
      </c>
      <c r="FS88" s="30" t="str">
        <f t="shared" ref="FS88" si="1031">IF(CM88="","","|n"&amp;FS$2&amp;"+"&amp;CM88&amp;FS$1)</f>
        <v/>
      </c>
    </row>
    <row r="89" spans="1:175" ht="16.5">
      <c r="A89" s="111"/>
      <c r="B89" s="111" t="s">
        <v>828</v>
      </c>
      <c r="C89" s="111" t="s">
        <v>830</v>
      </c>
      <c r="T89" s="114" t="s">
        <v>827</v>
      </c>
      <c r="U89" s="37" t="s">
        <v>822</v>
      </c>
      <c r="CN89" s="7" t="str">
        <f t="shared" si="956"/>
        <v>InitUnitState('CS02',,,,,,,,,,)</v>
      </c>
      <c r="CO89" s="7" t="str">
        <f t="shared" si="957"/>
        <v>InitUnitNormal('CS02',,,,,,,,,,)</v>
      </c>
      <c r="CP89" s="7" t="str">
        <f t="shared" si="958"/>
        <v>InitUnitMagic('CS02',,,,,,,,,,)</v>
      </c>
      <c r="CQ89" s="7" t="str">
        <f t="shared" si="959"/>
        <v>InitUnitAdd('CS02',,,,,,,,,,)</v>
      </c>
      <c r="CR89" s="7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InitEquipData('CS02',,"",,,,,'','','','','','',"ReplaceableTextures\\CommandButtons\\BTNTome.blp")</v>
      </c>
      <c r="CU89" s="45" t="str">
        <f t="shared" ref="CU89:CU90" si="1032">CONCATENATE(DB89,DC89,DD89,DE89,DF89,DG89,DH89,DI89,DJ89,DK89,DL89,DM89,DN89,DO89,DP89,DQ89,DR89,DS89,DT89,DU89,DV89,DW89,DX89,DY89,DZ89,EA89,EB89,EC89,ED89,EE89,EF89,EG89,EH89,EI89,EJ89,EK89,EL89,EM89,EN89,EO89,EP89&amp;"|n")</f>
        <v>|n</v>
      </c>
      <c r="CV89" s="29" t="str">
        <f t="shared" ref="CV89:CV90" si="1033">T89</f>
        <v>随机技能</v>
      </c>
      <c r="CW89" s="24"/>
      <c r="CX89" s="24"/>
      <c r="CY89" s="24"/>
      <c r="CZ89" s="24"/>
      <c r="DA89" s="24"/>
      <c r="DB89" s="30" t="str">
        <f t="shared" ref="DB89:DB90" si="1034">IF(V89="","","|n"&amp;DB$2&amp;"+"&amp;V89&amp;DB$1)</f>
        <v/>
      </c>
      <c r="DC89" s="30" t="str">
        <f t="shared" ref="DC89:DC90" si="1035">IF(W89="","","|n"&amp;DC$2&amp;"+"&amp;W89&amp;DC$1)</f>
        <v/>
      </c>
      <c r="DD89" s="30" t="str">
        <f t="shared" ref="DD89:DD90" si="1036">IF(X89="","","|n"&amp;DD$2&amp;"+"&amp;X89&amp;DD$1)</f>
        <v/>
      </c>
      <c r="DE89" s="30" t="str">
        <f t="shared" ref="DE89:DE90" si="1037">IF(Y89="","","|n"&amp;DE$2&amp;"+"&amp;Y89&amp;DE$1)</f>
        <v/>
      </c>
      <c r="DF89" s="30" t="str">
        <f t="shared" ref="DF89:DF90" si="1038">IF(Z89="","","|n"&amp;DF$2&amp;"+"&amp;Z89&amp;DF$1)</f>
        <v/>
      </c>
      <c r="DG89" s="30" t="str">
        <f t="shared" ref="DG89:DG90" si="1039">IF(AA89="","","|n"&amp;DG$2&amp;"+"&amp;AA89&amp;DG$1)</f>
        <v/>
      </c>
      <c r="DH89" s="30" t="str">
        <f t="shared" ref="DH89:DH90" si="1040">IF(AB89="","","|n"&amp;DH$2&amp;"+"&amp;AB89&amp;DH$1)</f>
        <v/>
      </c>
      <c r="DI89" s="30" t="str">
        <f t="shared" ref="DI89:DI90" si="1041">IF(AC89="","","|n"&amp;DI$2&amp;"+"&amp;AC89&amp;DI$1)</f>
        <v/>
      </c>
      <c r="DJ89" s="30" t="str">
        <f t="shared" ref="DJ89:DJ90" si="1042">IF(AD89="","","|n"&amp;DJ$2&amp;"+"&amp;AD89&amp;DJ$1)</f>
        <v/>
      </c>
      <c r="DK89" s="30" t="str">
        <f t="shared" ref="DK89:DK90" si="1043">IF(AE89="","","|n"&amp;DK$2&amp;"+"&amp;AE89&amp;DK$1)</f>
        <v/>
      </c>
      <c r="DL89" s="30" t="str">
        <f t="shared" ref="DL89:DL90" si="1044">IF(AF89="","","|n"&amp;DL$2&amp;"+"&amp;AF89&amp;DL$1)</f>
        <v/>
      </c>
      <c r="DM89" s="30" t="str">
        <f t="shared" ref="DM89:DM90" si="1045">IF(AG89="","","|n"&amp;DM$2&amp;"+"&amp;AG89&amp;DM$1)</f>
        <v/>
      </c>
      <c r="DN89" s="30" t="str">
        <f t="shared" ref="DN89:DN90" si="1046">IF(AH89="","","|n"&amp;DN$2&amp;"+"&amp;AH89&amp;DN$1)</f>
        <v/>
      </c>
      <c r="DO89" s="30" t="str">
        <f t="shared" ref="DO89:DO90" si="1047">IF(AI89="","","|n"&amp;DO$2&amp;"+"&amp;AI89&amp;DO$1)</f>
        <v/>
      </c>
      <c r="DP89" s="30" t="str">
        <f t="shared" ref="DP89:DP90" si="1048">IF(AJ89="","","|n"&amp;DP$2&amp;"+"&amp;AJ89&amp;DP$1)</f>
        <v/>
      </c>
      <c r="DQ89" s="30" t="str">
        <f t="shared" ref="DQ89:DQ90" si="1049">IF(AK89="","","|n"&amp;DQ$2&amp;"+"&amp;AK89&amp;DQ$1)</f>
        <v/>
      </c>
      <c r="DR89" s="30" t="str">
        <f t="shared" ref="DR89:DR90" si="1050">IF(AL89="","","|n"&amp;DR$2&amp;"+"&amp;AL89&amp;DR$1)</f>
        <v/>
      </c>
      <c r="DS89" s="30" t="str">
        <f t="shared" ref="DS89:DS90" si="1051">IF(AM89="","","|n"&amp;DS$2&amp;"+"&amp;AM89&amp;DS$1)</f>
        <v/>
      </c>
      <c r="DT89" s="30" t="str">
        <f t="shared" ref="DT89:DT90" si="1052">IF(AN89="","","|n"&amp;DT$2&amp;"+"&amp;AN89&amp;DT$1)</f>
        <v/>
      </c>
      <c r="DU89" s="30" t="str">
        <f t="shared" ref="DU89:DU90" si="1053">IF(AO89="","","|n"&amp;DU$2&amp;"+"&amp;AO89&amp;DU$1)</f>
        <v/>
      </c>
      <c r="DV89" s="30" t="str">
        <f t="shared" ref="DV89:DV90" si="1054">IF(AP89="","","|n"&amp;DV$2&amp;"+"&amp;AP89&amp;DV$1)</f>
        <v/>
      </c>
      <c r="DW89" s="30" t="str">
        <f t="shared" ref="DW89:DW90" si="1055">IF(AQ89="","","|n"&amp;DW$2&amp;"+"&amp;AQ89&amp;DW$1)</f>
        <v/>
      </c>
      <c r="DX89" s="30" t="str">
        <f t="shared" ref="DX89:DX90" si="1056">IF(AR89="","","|n"&amp;DX$2&amp;"+"&amp;AR89&amp;DX$1)</f>
        <v/>
      </c>
      <c r="DY89" s="30" t="str">
        <f t="shared" ref="DY89:DY90" si="1057">IF(AS89="","","|n"&amp;DY$2&amp;"+"&amp;AS89&amp;DY$1)</f>
        <v/>
      </c>
      <c r="DZ89" s="30" t="str">
        <f t="shared" ref="DZ89:DZ90" si="1058">IF(AT89="","","|n"&amp;DZ$2&amp;"+"&amp;AT89&amp;DZ$1)</f>
        <v/>
      </c>
      <c r="EA89" s="30" t="str">
        <f t="shared" ref="EA89:EA90" si="1059">IF(AU89="","","|n"&amp;EA$2&amp;"+"&amp;AU89&amp;EA$1)</f>
        <v/>
      </c>
      <c r="EB89" s="30" t="str">
        <f t="shared" ref="EB89:EB90" si="1060">IF(AV89="","","|n"&amp;EB$2&amp;"+"&amp;AV89&amp;EB$1)</f>
        <v/>
      </c>
      <c r="EC89" s="30" t="str">
        <f t="shared" ref="EC89:EC90" si="1061">IF(AW89="","","|n"&amp;EC$2&amp;"+"&amp;AW89&amp;EC$1)</f>
        <v/>
      </c>
      <c r="ED89" s="30" t="str">
        <f t="shared" ref="ED89:ED90" si="1062">IF(AX89="","","|n"&amp;ED$2&amp;"+"&amp;AX89&amp;ED$1)</f>
        <v/>
      </c>
      <c r="EE89" s="30" t="str">
        <f t="shared" ref="EE89:EE90" si="1063">IF(AY89="","","|n"&amp;EE$2&amp;"+"&amp;AY89&amp;EE$1)</f>
        <v/>
      </c>
      <c r="EF89" s="30" t="str">
        <f t="shared" ref="EF89:EF90" si="1064">IF(AZ89="","","|n"&amp;EF$2&amp;"+"&amp;AZ89&amp;EF$1)</f>
        <v/>
      </c>
      <c r="EG89" s="30" t="str">
        <f t="shared" ref="EG89:EG90" si="1065">IF(BA89="","","|n"&amp;EG$2&amp;"+"&amp;BA89&amp;EG$1)</f>
        <v/>
      </c>
      <c r="EH89" s="30" t="str">
        <f t="shared" ref="EH89:EH90" si="1066">IF(BB89="","","|n"&amp;EH$2&amp;"+"&amp;BB89&amp;EH$1)</f>
        <v/>
      </c>
      <c r="EI89" s="30" t="str">
        <f t="shared" ref="EI89:EI90" si="1067">IF(BC89="","","|n"&amp;EI$2&amp;"+"&amp;BC89&amp;EI$1)</f>
        <v/>
      </c>
      <c r="EJ89" s="30" t="str">
        <f t="shared" ref="EJ89:EJ90" si="1068">IF(BD89="","","|n"&amp;EJ$2&amp;"+"&amp;BD89&amp;EJ$1)</f>
        <v/>
      </c>
      <c r="EK89" s="30" t="str">
        <f t="shared" ref="EK89:EK90" si="1069">IF(BE89="","","|n"&amp;EK$2&amp;"+"&amp;BE89&amp;EK$1)</f>
        <v/>
      </c>
      <c r="EL89" s="30" t="str">
        <f t="shared" ref="EL89:EL90" si="1070">IF(BF89="","","|n"&amp;EL$2&amp;"+"&amp;BF89&amp;EL$1)</f>
        <v/>
      </c>
      <c r="EM89" s="30" t="str">
        <f t="shared" ref="EM89:EM90" si="1071">IF(BG89="","","|n"&amp;EM$2&amp;"+"&amp;BG89&amp;EM$1)</f>
        <v/>
      </c>
      <c r="EN89" s="30" t="str">
        <f t="shared" ref="EN89:EN90" si="1072">IF(BH89="","","|n"&amp;EN$2&amp;"+"&amp;BH89&amp;EN$1)</f>
        <v/>
      </c>
      <c r="EO89" s="30" t="str">
        <f t="shared" ref="EO89:EO90" si="1073">IF(BI89="","","|n"&amp;EO$2&amp;"+"&amp;BI89&amp;EO$1)</f>
        <v/>
      </c>
      <c r="EP89" s="30" t="str">
        <f t="shared" ref="EP89:EP90" si="1074">IF(BJ89="","","|n"&amp;EP$2&amp;"+"&amp;BJ89&amp;EP$1)</f>
        <v/>
      </c>
      <c r="EQ89" s="30" t="str">
        <f t="shared" ref="EQ89:EQ90" si="1075">IF(BK89="","","|n"&amp;EQ$2&amp;"+"&amp;BK89&amp;EQ$1)</f>
        <v/>
      </c>
      <c r="ER89" s="30" t="str">
        <f t="shared" ref="ER89:ER90" si="1076">IF(BL89="","","|n"&amp;ER$2&amp;"+"&amp;BL89&amp;ER$1)</f>
        <v/>
      </c>
      <c r="ES89" s="30" t="str">
        <f t="shared" ref="ES89:ES90" si="1077">IF(BM89="","","|n"&amp;ES$2&amp;"+"&amp;BM89&amp;ES$1)</f>
        <v/>
      </c>
      <c r="ET89" s="30" t="str">
        <f t="shared" ref="ET89:ET90" si="1078">IF(BN89="","","|n"&amp;ET$2&amp;"+"&amp;BN89&amp;ET$1)</f>
        <v/>
      </c>
      <c r="EU89" s="30" t="str">
        <f t="shared" ref="EU89:EU90" si="1079">IF(BO89="","","|n"&amp;EU$2&amp;"+"&amp;BO89&amp;EU$1)</f>
        <v/>
      </c>
      <c r="EV89" s="30" t="str">
        <f t="shared" ref="EV89:EV90" si="1080">IF(BP89="","","|n"&amp;EV$2&amp;"+"&amp;BP89&amp;EV$1)</f>
        <v/>
      </c>
      <c r="EW89" s="30" t="str">
        <f t="shared" ref="EW89:EW90" si="1081">IF(BQ89="","","|n"&amp;EW$2&amp;"+"&amp;BQ89&amp;EW$1)</f>
        <v/>
      </c>
      <c r="EX89" s="30" t="str">
        <f t="shared" ref="EX89:EX90" si="1082">IF(BR89="","","|n"&amp;EX$2&amp;"+"&amp;BR89&amp;EX$1)</f>
        <v/>
      </c>
      <c r="EY89" s="30" t="str">
        <f t="shared" ref="EY89:EY90" si="1083">IF(BS89="","","|n"&amp;EY$2&amp;"+"&amp;BS89&amp;EY$1)</f>
        <v/>
      </c>
      <c r="EZ89" s="30" t="str">
        <f t="shared" ref="EZ89:EZ90" si="1084">IF(BT89="","","|n"&amp;EZ$2&amp;"+"&amp;BT89&amp;EZ$1)</f>
        <v/>
      </c>
      <c r="FA89" s="30" t="str">
        <f t="shared" ref="FA89:FA90" si="1085">IF(BU89="","","|n"&amp;FA$2&amp;"+"&amp;BU89&amp;FA$1)</f>
        <v/>
      </c>
      <c r="FB89" s="30" t="str">
        <f t="shared" ref="FB89:FB90" si="1086">IF(BV89="","","|n"&amp;FB$2&amp;"+"&amp;BV89&amp;FB$1)</f>
        <v/>
      </c>
      <c r="FC89" s="30" t="str">
        <f t="shared" ref="FC89:FC90" si="1087">IF(BW89="","","|n"&amp;FC$2&amp;"+"&amp;BW89&amp;FC$1)</f>
        <v/>
      </c>
      <c r="FD89" s="30" t="str">
        <f t="shared" ref="FD89:FD90" si="1088">IF(BX89="","","|n"&amp;FD$2&amp;"+"&amp;BX89&amp;FD$1)</f>
        <v/>
      </c>
      <c r="FE89" s="30" t="str">
        <f t="shared" ref="FE89:FE90" si="1089">IF(BY89="","","|n"&amp;FE$2&amp;"+"&amp;BY89&amp;FE$1)</f>
        <v/>
      </c>
      <c r="FF89" s="30" t="str">
        <f t="shared" ref="FF89:FF90" si="1090">IF(BZ89="","","|n"&amp;FF$2&amp;"+"&amp;BZ89&amp;FF$1)</f>
        <v/>
      </c>
      <c r="FG89" s="30" t="str">
        <f t="shared" ref="FG89:FG90" si="1091">IF(CA89="","","|n"&amp;FG$2&amp;"+"&amp;CA89&amp;FG$1)</f>
        <v/>
      </c>
      <c r="FH89" s="30" t="str">
        <f t="shared" ref="FH89:FH90" si="1092">IF(CB89="","","|n"&amp;FH$2&amp;"+"&amp;CB89&amp;FH$1)</f>
        <v/>
      </c>
      <c r="FI89" s="30" t="str">
        <f t="shared" ref="FI89:FI90" si="1093">IF(CC89="","","|n"&amp;FI$2&amp;"+"&amp;CC89&amp;FI$1)</f>
        <v/>
      </c>
      <c r="FJ89" s="30" t="str">
        <f t="shared" ref="FJ89:FJ90" si="1094">IF(CD89="","","|n"&amp;FJ$2&amp;"+"&amp;CD89&amp;FJ$1)</f>
        <v/>
      </c>
      <c r="FK89" s="30" t="str">
        <f t="shared" ref="FK89:FK90" si="1095">IF(CE89="","","|n"&amp;FK$2&amp;"+"&amp;CE89&amp;FK$1)</f>
        <v/>
      </c>
      <c r="FL89" s="30" t="str">
        <f t="shared" ref="FL89:FL90" si="1096">IF(CF89="","","|n"&amp;FL$2&amp;"+"&amp;CF89&amp;FL$1)</f>
        <v/>
      </c>
      <c r="FM89" s="30" t="str">
        <f t="shared" ref="FM89:FM90" si="1097">IF(CG89="","","|n"&amp;FM$2&amp;"+"&amp;CG89&amp;FM$1)</f>
        <v/>
      </c>
      <c r="FN89" s="30" t="str">
        <f t="shared" ref="FN89:FN90" si="1098">IF(CH89="","","|n"&amp;FN$2&amp;"+"&amp;CH89&amp;FN$1)</f>
        <v/>
      </c>
      <c r="FO89" s="30" t="str">
        <f t="shared" ref="FO89:FO90" si="1099">IF(CI89="","","|n"&amp;FO$2&amp;"+"&amp;CI89&amp;FO$1)</f>
        <v/>
      </c>
      <c r="FP89" s="30" t="str">
        <f t="shared" ref="FP89:FP90" si="1100">IF(CJ89="","","|n"&amp;FP$2&amp;"+"&amp;CJ89&amp;FP$1)</f>
        <v/>
      </c>
      <c r="FQ89" s="30" t="str">
        <f t="shared" ref="FQ89:FQ90" si="1101">IF(CK89="","","|n"&amp;FQ$2&amp;"+"&amp;CK89&amp;FQ$1)</f>
        <v/>
      </c>
      <c r="FR89" s="30" t="str">
        <f t="shared" ref="FR89:FR90" si="1102">IF(CL89="","","|n"&amp;FR$2&amp;"+"&amp;CL89&amp;FR$1)</f>
        <v/>
      </c>
      <c r="FS89" s="30" t="str">
        <f t="shared" ref="FS89:FS90" si="1103">IF(CM89="","","|n"&amp;FS$2&amp;"+"&amp;CM89&amp;FS$1)</f>
        <v/>
      </c>
    </row>
    <row r="90" spans="1:175" ht="16.5">
      <c r="A90" s="111"/>
      <c r="B90" s="111" t="s">
        <v>829</v>
      </c>
      <c r="C90" s="111" t="s">
        <v>831</v>
      </c>
      <c r="T90" s="114" t="s">
        <v>827</v>
      </c>
      <c r="U90" s="37" t="s">
        <v>822</v>
      </c>
      <c r="CN90" s="7" t="str">
        <f t="shared" si="956"/>
        <v>InitUnitState('CS03',,,,,,,,,,)</v>
      </c>
      <c r="CO90" s="7" t="str">
        <f t="shared" si="957"/>
        <v>InitUnitNormal('CS03',,,,,,,,,,)</v>
      </c>
      <c r="CP90" s="7" t="str">
        <f t="shared" si="958"/>
        <v>InitUnitMagic('CS03',,,,,,,,,,)</v>
      </c>
      <c r="CQ90" s="7" t="str">
        <f t="shared" si="959"/>
        <v>InitUnitAdd('CS03',,,,,,,,,,)</v>
      </c>
      <c r="CR90" s="7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99&amp;CR$1&amp;")"</f>
        <v>InitEquipData('CS03',,"",,,,,'','','','','','',"ReplaceableTextures\\CommandButtons\\BTNTome.blp")</v>
      </c>
      <c r="CU90" s="45" t="str">
        <f t="shared" si="1032"/>
        <v>|n</v>
      </c>
      <c r="CV90" s="29" t="str">
        <f t="shared" si="1033"/>
        <v>随机技能</v>
      </c>
      <c r="CW90" s="24"/>
      <c r="CX90" s="24"/>
      <c r="CY90" s="24"/>
      <c r="CZ90" s="24"/>
      <c r="DA90" s="24"/>
      <c r="DB90" s="30" t="str">
        <f t="shared" si="1034"/>
        <v/>
      </c>
      <c r="DC90" s="30" t="str">
        <f t="shared" si="1035"/>
        <v/>
      </c>
      <c r="DD90" s="30" t="str">
        <f t="shared" si="1036"/>
        <v/>
      </c>
      <c r="DE90" s="30" t="str">
        <f t="shared" si="1037"/>
        <v/>
      </c>
      <c r="DF90" s="30" t="str">
        <f t="shared" si="1038"/>
        <v/>
      </c>
      <c r="DG90" s="30" t="str">
        <f t="shared" si="1039"/>
        <v/>
      </c>
      <c r="DH90" s="30" t="str">
        <f t="shared" si="1040"/>
        <v/>
      </c>
      <c r="DI90" s="30" t="str">
        <f t="shared" si="1041"/>
        <v/>
      </c>
      <c r="DJ90" s="30" t="str">
        <f t="shared" si="1042"/>
        <v/>
      </c>
      <c r="DK90" s="30" t="str">
        <f t="shared" si="1043"/>
        <v/>
      </c>
      <c r="DL90" s="30" t="str">
        <f t="shared" si="1044"/>
        <v/>
      </c>
      <c r="DM90" s="30" t="str">
        <f t="shared" si="1045"/>
        <v/>
      </c>
      <c r="DN90" s="30" t="str">
        <f t="shared" si="1046"/>
        <v/>
      </c>
      <c r="DO90" s="30" t="str">
        <f t="shared" si="1047"/>
        <v/>
      </c>
      <c r="DP90" s="30" t="str">
        <f t="shared" si="1048"/>
        <v/>
      </c>
      <c r="DQ90" s="30" t="str">
        <f t="shared" si="1049"/>
        <v/>
      </c>
      <c r="DR90" s="30" t="str">
        <f t="shared" si="1050"/>
        <v/>
      </c>
      <c r="DS90" s="30" t="str">
        <f t="shared" si="1051"/>
        <v/>
      </c>
      <c r="DT90" s="30" t="str">
        <f t="shared" si="1052"/>
        <v/>
      </c>
      <c r="DU90" s="30" t="str">
        <f t="shared" si="1053"/>
        <v/>
      </c>
      <c r="DV90" s="30" t="str">
        <f t="shared" si="1054"/>
        <v/>
      </c>
      <c r="DW90" s="30" t="str">
        <f t="shared" si="1055"/>
        <v/>
      </c>
      <c r="DX90" s="30" t="str">
        <f t="shared" si="1056"/>
        <v/>
      </c>
      <c r="DY90" s="30" t="str">
        <f t="shared" si="1057"/>
        <v/>
      </c>
      <c r="DZ90" s="30" t="str">
        <f t="shared" si="1058"/>
        <v/>
      </c>
      <c r="EA90" s="30" t="str">
        <f t="shared" si="1059"/>
        <v/>
      </c>
      <c r="EB90" s="30" t="str">
        <f t="shared" si="1060"/>
        <v/>
      </c>
      <c r="EC90" s="30" t="str">
        <f t="shared" si="1061"/>
        <v/>
      </c>
      <c r="ED90" s="30" t="str">
        <f t="shared" si="1062"/>
        <v/>
      </c>
      <c r="EE90" s="30" t="str">
        <f t="shared" si="1063"/>
        <v/>
      </c>
      <c r="EF90" s="30" t="str">
        <f t="shared" si="1064"/>
        <v/>
      </c>
      <c r="EG90" s="30" t="str">
        <f t="shared" si="1065"/>
        <v/>
      </c>
      <c r="EH90" s="30" t="str">
        <f t="shared" si="1066"/>
        <v/>
      </c>
      <c r="EI90" s="30" t="str">
        <f t="shared" si="1067"/>
        <v/>
      </c>
      <c r="EJ90" s="30" t="str">
        <f t="shared" si="1068"/>
        <v/>
      </c>
      <c r="EK90" s="30" t="str">
        <f t="shared" si="1069"/>
        <v/>
      </c>
      <c r="EL90" s="30" t="str">
        <f t="shared" si="1070"/>
        <v/>
      </c>
      <c r="EM90" s="30" t="str">
        <f t="shared" si="1071"/>
        <v/>
      </c>
      <c r="EN90" s="30" t="str">
        <f t="shared" si="1072"/>
        <v/>
      </c>
      <c r="EO90" s="30" t="str">
        <f t="shared" si="1073"/>
        <v/>
      </c>
      <c r="EP90" s="30" t="str">
        <f t="shared" si="1074"/>
        <v/>
      </c>
      <c r="EQ90" s="30" t="str">
        <f t="shared" si="1075"/>
        <v/>
      </c>
      <c r="ER90" s="30" t="str">
        <f t="shared" si="1076"/>
        <v/>
      </c>
      <c r="ES90" s="30" t="str">
        <f t="shared" si="1077"/>
        <v/>
      </c>
      <c r="ET90" s="30" t="str">
        <f t="shared" si="1078"/>
        <v/>
      </c>
      <c r="EU90" s="30" t="str">
        <f t="shared" si="1079"/>
        <v/>
      </c>
      <c r="EV90" s="30" t="str">
        <f t="shared" si="1080"/>
        <v/>
      </c>
      <c r="EW90" s="30" t="str">
        <f t="shared" si="1081"/>
        <v/>
      </c>
      <c r="EX90" s="30" t="str">
        <f t="shared" si="1082"/>
        <v/>
      </c>
      <c r="EY90" s="30" t="str">
        <f t="shared" si="1083"/>
        <v/>
      </c>
      <c r="EZ90" s="30" t="str">
        <f t="shared" si="1084"/>
        <v/>
      </c>
      <c r="FA90" s="30" t="str">
        <f t="shared" si="1085"/>
        <v/>
      </c>
      <c r="FB90" s="30" t="str">
        <f t="shared" si="1086"/>
        <v/>
      </c>
      <c r="FC90" s="30" t="str">
        <f t="shared" si="1087"/>
        <v/>
      </c>
      <c r="FD90" s="30" t="str">
        <f t="shared" si="1088"/>
        <v/>
      </c>
      <c r="FE90" s="30" t="str">
        <f t="shared" si="1089"/>
        <v/>
      </c>
      <c r="FF90" s="30" t="str">
        <f t="shared" si="1090"/>
        <v/>
      </c>
      <c r="FG90" s="30" t="str">
        <f t="shared" si="1091"/>
        <v/>
      </c>
      <c r="FH90" s="30" t="str">
        <f t="shared" si="1092"/>
        <v/>
      </c>
      <c r="FI90" s="30" t="str">
        <f t="shared" si="1093"/>
        <v/>
      </c>
      <c r="FJ90" s="30" t="str">
        <f t="shared" si="1094"/>
        <v/>
      </c>
      <c r="FK90" s="30" t="str">
        <f t="shared" si="1095"/>
        <v/>
      </c>
      <c r="FL90" s="30" t="str">
        <f t="shared" si="1096"/>
        <v/>
      </c>
      <c r="FM90" s="30" t="str">
        <f t="shared" si="1097"/>
        <v/>
      </c>
      <c r="FN90" s="30" t="str">
        <f t="shared" si="1098"/>
        <v/>
      </c>
      <c r="FO90" s="30" t="str">
        <f t="shared" si="1099"/>
        <v/>
      </c>
      <c r="FP90" s="30" t="str">
        <f t="shared" si="1100"/>
        <v/>
      </c>
      <c r="FQ90" s="30" t="str">
        <f t="shared" si="1101"/>
        <v/>
      </c>
      <c r="FR90" s="30" t="str">
        <f t="shared" si="1102"/>
        <v/>
      </c>
      <c r="FS90" s="30" t="str">
        <f t="shared" si="1103"/>
        <v/>
      </c>
    </row>
    <row r="91" spans="1:175" ht="16.5">
      <c r="A91" s="111"/>
      <c r="B91" s="111" t="s">
        <v>845</v>
      </c>
      <c r="C91" s="111" t="s">
        <v>844</v>
      </c>
      <c r="T91" s="114" t="s">
        <v>827</v>
      </c>
      <c r="U91" s="37" t="s">
        <v>822</v>
      </c>
      <c r="CN91" s="7" t="str">
        <f t="shared" si="956"/>
        <v>InitUnitState('CS04',,,,,,,,,,)</v>
      </c>
      <c r="CO91" s="7" t="str">
        <f t="shared" si="957"/>
        <v>InitUnitNormal('CS04',,,,,,,,,,)</v>
      </c>
      <c r="CP91" s="7" t="str">
        <f t="shared" si="958"/>
        <v>InitUnitMagic('CS04',,,,,,,,,,)</v>
      </c>
      <c r="CQ91" s="7" t="str">
        <f t="shared" si="959"/>
        <v>InitUnitAdd('CS04',,,,,,,,,,)</v>
      </c>
      <c r="CR91" s="7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100&amp;CR$1&amp;")"</f>
        <v>InitEquipData('CS04',,"",,,,,'','','','','','',"ReplaceableTextures\\CommandButtons\\BTNTome.blp")</v>
      </c>
      <c r="CU91" s="45" t="str">
        <f t="shared" ref="CU91:CU93" si="1104">CONCATENATE(DB91,DC91,DD91,DE91,DF91,DG91,DH91,DI91,DJ91,DK91,DL91,DM91,DN91,DO91,DP91,DQ91,DR91,DS91,DT91,DU91,DV91,DW91,DX91,DY91,DZ91,EA91,EB91,EC91,ED91,EE91,EF91,EG91,EH91,EI91,EJ91,EK91,EL91,EM91,EN91,EO91,EP91&amp;"|n")</f>
        <v>|n</v>
      </c>
      <c r="CV91" s="29" t="str">
        <f t="shared" ref="CV91:CV93" si="1105">T91</f>
        <v>随机技能</v>
      </c>
      <c r="CW91" s="24"/>
      <c r="CX91" s="24"/>
      <c r="CY91" s="24"/>
      <c r="CZ91" s="24"/>
      <c r="DA91" s="24"/>
      <c r="DB91" s="30" t="str">
        <f t="shared" ref="DB91:DB93" si="1106">IF(V91="","","|n"&amp;DB$2&amp;"+"&amp;V91&amp;DB$1)</f>
        <v/>
      </c>
      <c r="DC91" s="30" t="str">
        <f t="shared" ref="DC91:DC93" si="1107">IF(W91="","","|n"&amp;DC$2&amp;"+"&amp;W91&amp;DC$1)</f>
        <v/>
      </c>
      <c r="DD91" s="30" t="str">
        <f t="shared" ref="DD91:DD93" si="1108">IF(X91="","","|n"&amp;DD$2&amp;"+"&amp;X91&amp;DD$1)</f>
        <v/>
      </c>
      <c r="DE91" s="30" t="str">
        <f t="shared" ref="DE91:DE93" si="1109">IF(Y91="","","|n"&amp;DE$2&amp;"+"&amp;Y91&amp;DE$1)</f>
        <v/>
      </c>
      <c r="DF91" s="30" t="str">
        <f t="shared" ref="DF91:DF93" si="1110">IF(Z91="","","|n"&amp;DF$2&amp;"+"&amp;Z91&amp;DF$1)</f>
        <v/>
      </c>
      <c r="DG91" s="30" t="str">
        <f t="shared" ref="DG91:DG93" si="1111">IF(AA91="","","|n"&amp;DG$2&amp;"+"&amp;AA91&amp;DG$1)</f>
        <v/>
      </c>
      <c r="DH91" s="30" t="str">
        <f t="shared" ref="DH91:DH93" si="1112">IF(AB91="","","|n"&amp;DH$2&amp;"+"&amp;AB91&amp;DH$1)</f>
        <v/>
      </c>
      <c r="DI91" s="30" t="str">
        <f t="shared" ref="DI91:DI93" si="1113">IF(AC91="","","|n"&amp;DI$2&amp;"+"&amp;AC91&amp;DI$1)</f>
        <v/>
      </c>
      <c r="DJ91" s="30" t="str">
        <f t="shared" ref="DJ91:DJ93" si="1114">IF(AD91="","","|n"&amp;DJ$2&amp;"+"&amp;AD91&amp;DJ$1)</f>
        <v/>
      </c>
      <c r="DK91" s="30" t="str">
        <f t="shared" ref="DK91:DK93" si="1115">IF(AE91="","","|n"&amp;DK$2&amp;"+"&amp;AE91&amp;DK$1)</f>
        <v/>
      </c>
      <c r="DL91" s="30" t="str">
        <f t="shared" ref="DL91:DL93" si="1116">IF(AF91="","","|n"&amp;DL$2&amp;"+"&amp;AF91&amp;DL$1)</f>
        <v/>
      </c>
      <c r="DM91" s="30" t="str">
        <f t="shared" ref="DM91:DM93" si="1117">IF(AG91="","","|n"&amp;DM$2&amp;"+"&amp;AG91&amp;DM$1)</f>
        <v/>
      </c>
      <c r="DN91" s="30" t="str">
        <f t="shared" ref="DN91:DN93" si="1118">IF(AH91="","","|n"&amp;DN$2&amp;"+"&amp;AH91&amp;DN$1)</f>
        <v/>
      </c>
      <c r="DO91" s="30" t="str">
        <f t="shared" ref="DO91:DO93" si="1119">IF(AI91="","","|n"&amp;DO$2&amp;"+"&amp;AI91&amp;DO$1)</f>
        <v/>
      </c>
      <c r="DP91" s="30" t="str">
        <f t="shared" ref="DP91:DP93" si="1120">IF(AJ91="","","|n"&amp;DP$2&amp;"+"&amp;AJ91&amp;DP$1)</f>
        <v/>
      </c>
      <c r="DQ91" s="30" t="str">
        <f t="shared" ref="DQ91:DQ93" si="1121">IF(AK91="","","|n"&amp;DQ$2&amp;"+"&amp;AK91&amp;DQ$1)</f>
        <v/>
      </c>
      <c r="DR91" s="30" t="str">
        <f t="shared" ref="DR91:DR93" si="1122">IF(AL91="","","|n"&amp;DR$2&amp;"+"&amp;AL91&amp;DR$1)</f>
        <v/>
      </c>
      <c r="DS91" s="30" t="str">
        <f t="shared" ref="DS91:DS93" si="1123">IF(AM91="","","|n"&amp;DS$2&amp;"+"&amp;AM91&amp;DS$1)</f>
        <v/>
      </c>
      <c r="DT91" s="30" t="str">
        <f t="shared" ref="DT91:DT93" si="1124">IF(AN91="","","|n"&amp;DT$2&amp;"+"&amp;AN91&amp;DT$1)</f>
        <v/>
      </c>
      <c r="DU91" s="30" t="str">
        <f t="shared" ref="DU91:DU93" si="1125">IF(AO91="","","|n"&amp;DU$2&amp;"+"&amp;AO91&amp;DU$1)</f>
        <v/>
      </c>
      <c r="DV91" s="30" t="str">
        <f t="shared" ref="DV91:DV93" si="1126">IF(AP91="","","|n"&amp;DV$2&amp;"+"&amp;AP91&amp;DV$1)</f>
        <v/>
      </c>
      <c r="DW91" s="30" t="str">
        <f t="shared" ref="DW91:DW93" si="1127">IF(AQ91="","","|n"&amp;DW$2&amp;"+"&amp;AQ91&amp;DW$1)</f>
        <v/>
      </c>
      <c r="DX91" s="30" t="str">
        <f t="shared" ref="DX91:DX93" si="1128">IF(AR91="","","|n"&amp;DX$2&amp;"+"&amp;AR91&amp;DX$1)</f>
        <v/>
      </c>
      <c r="DY91" s="30" t="str">
        <f t="shared" ref="DY91:DY93" si="1129">IF(AS91="","","|n"&amp;DY$2&amp;"+"&amp;AS91&amp;DY$1)</f>
        <v/>
      </c>
      <c r="DZ91" s="30" t="str">
        <f t="shared" ref="DZ91:DZ93" si="1130">IF(AT91="","","|n"&amp;DZ$2&amp;"+"&amp;AT91&amp;DZ$1)</f>
        <v/>
      </c>
      <c r="EA91" s="30" t="str">
        <f t="shared" ref="EA91:EA93" si="1131">IF(AU91="","","|n"&amp;EA$2&amp;"+"&amp;AU91&amp;EA$1)</f>
        <v/>
      </c>
      <c r="EB91" s="30" t="str">
        <f t="shared" ref="EB91:EB93" si="1132">IF(AV91="","","|n"&amp;EB$2&amp;"+"&amp;AV91&amp;EB$1)</f>
        <v/>
      </c>
      <c r="EC91" s="30" t="str">
        <f t="shared" ref="EC91:EC93" si="1133">IF(AW91="","","|n"&amp;EC$2&amp;"+"&amp;AW91&amp;EC$1)</f>
        <v/>
      </c>
      <c r="ED91" s="30" t="str">
        <f t="shared" ref="ED91:ED93" si="1134">IF(AX91="","","|n"&amp;ED$2&amp;"+"&amp;AX91&amp;ED$1)</f>
        <v/>
      </c>
      <c r="EE91" s="30" t="str">
        <f t="shared" ref="EE91:EE93" si="1135">IF(AY91="","","|n"&amp;EE$2&amp;"+"&amp;AY91&amp;EE$1)</f>
        <v/>
      </c>
      <c r="EF91" s="30" t="str">
        <f t="shared" ref="EF91:EF93" si="1136">IF(AZ91="","","|n"&amp;EF$2&amp;"+"&amp;AZ91&amp;EF$1)</f>
        <v/>
      </c>
      <c r="EG91" s="30" t="str">
        <f t="shared" ref="EG91:EG93" si="1137">IF(BA91="","","|n"&amp;EG$2&amp;"+"&amp;BA91&amp;EG$1)</f>
        <v/>
      </c>
      <c r="EH91" s="30" t="str">
        <f t="shared" ref="EH91:EH93" si="1138">IF(BB91="","","|n"&amp;EH$2&amp;"+"&amp;BB91&amp;EH$1)</f>
        <v/>
      </c>
      <c r="EI91" s="30" t="str">
        <f t="shared" ref="EI91:EI93" si="1139">IF(BC91="","","|n"&amp;EI$2&amp;"+"&amp;BC91&amp;EI$1)</f>
        <v/>
      </c>
      <c r="EJ91" s="30" t="str">
        <f t="shared" ref="EJ91:EJ93" si="1140">IF(BD91="","","|n"&amp;EJ$2&amp;"+"&amp;BD91&amp;EJ$1)</f>
        <v/>
      </c>
      <c r="EK91" s="30" t="str">
        <f t="shared" ref="EK91:EK93" si="1141">IF(BE91="","","|n"&amp;EK$2&amp;"+"&amp;BE91&amp;EK$1)</f>
        <v/>
      </c>
      <c r="EL91" s="30" t="str">
        <f t="shared" ref="EL91:EL93" si="1142">IF(BF91="","","|n"&amp;EL$2&amp;"+"&amp;BF91&amp;EL$1)</f>
        <v/>
      </c>
      <c r="EM91" s="30" t="str">
        <f t="shared" ref="EM91:EM93" si="1143">IF(BG91="","","|n"&amp;EM$2&amp;"+"&amp;BG91&amp;EM$1)</f>
        <v/>
      </c>
      <c r="EN91" s="30" t="str">
        <f t="shared" ref="EN91:EN93" si="1144">IF(BH91="","","|n"&amp;EN$2&amp;"+"&amp;BH91&amp;EN$1)</f>
        <v/>
      </c>
      <c r="EO91" s="30" t="str">
        <f t="shared" ref="EO91:EO93" si="1145">IF(BI91="","","|n"&amp;EO$2&amp;"+"&amp;BI91&amp;EO$1)</f>
        <v/>
      </c>
      <c r="EP91" s="30" t="str">
        <f t="shared" ref="EP91:EP93" si="1146">IF(BJ91="","","|n"&amp;EP$2&amp;"+"&amp;BJ91&amp;EP$1)</f>
        <v/>
      </c>
      <c r="EQ91" s="30" t="str">
        <f t="shared" ref="EQ91:EQ93" si="1147">IF(BK91="","","|n"&amp;EQ$2&amp;"+"&amp;BK91&amp;EQ$1)</f>
        <v/>
      </c>
      <c r="ER91" s="30" t="str">
        <f t="shared" ref="ER91:ER93" si="1148">IF(BL91="","","|n"&amp;ER$2&amp;"+"&amp;BL91&amp;ER$1)</f>
        <v/>
      </c>
      <c r="ES91" s="30" t="str">
        <f t="shared" ref="ES91:ES93" si="1149">IF(BM91="","","|n"&amp;ES$2&amp;"+"&amp;BM91&amp;ES$1)</f>
        <v/>
      </c>
      <c r="ET91" s="30" t="str">
        <f t="shared" ref="ET91:ET93" si="1150">IF(BN91="","","|n"&amp;ET$2&amp;"+"&amp;BN91&amp;ET$1)</f>
        <v/>
      </c>
      <c r="EU91" s="30" t="str">
        <f t="shared" ref="EU91:EU93" si="1151">IF(BO91="","","|n"&amp;EU$2&amp;"+"&amp;BO91&amp;EU$1)</f>
        <v/>
      </c>
      <c r="EV91" s="30" t="str">
        <f t="shared" ref="EV91:EV93" si="1152">IF(BP91="","","|n"&amp;EV$2&amp;"+"&amp;BP91&amp;EV$1)</f>
        <v/>
      </c>
      <c r="EW91" s="30" t="str">
        <f t="shared" ref="EW91:EW93" si="1153">IF(BQ91="","","|n"&amp;EW$2&amp;"+"&amp;BQ91&amp;EW$1)</f>
        <v/>
      </c>
      <c r="EX91" s="30" t="str">
        <f t="shared" ref="EX91:EX93" si="1154">IF(BR91="","","|n"&amp;EX$2&amp;"+"&amp;BR91&amp;EX$1)</f>
        <v/>
      </c>
      <c r="EY91" s="30" t="str">
        <f t="shared" ref="EY91:EY93" si="1155">IF(BS91="","","|n"&amp;EY$2&amp;"+"&amp;BS91&amp;EY$1)</f>
        <v/>
      </c>
      <c r="EZ91" s="30" t="str">
        <f t="shared" ref="EZ91:EZ93" si="1156">IF(BT91="","","|n"&amp;EZ$2&amp;"+"&amp;BT91&amp;EZ$1)</f>
        <v/>
      </c>
      <c r="FA91" s="30" t="str">
        <f t="shared" ref="FA91:FA93" si="1157">IF(BU91="","","|n"&amp;FA$2&amp;"+"&amp;BU91&amp;FA$1)</f>
        <v/>
      </c>
      <c r="FB91" s="30" t="str">
        <f t="shared" ref="FB91:FB93" si="1158">IF(BV91="","","|n"&amp;FB$2&amp;"+"&amp;BV91&amp;FB$1)</f>
        <v/>
      </c>
      <c r="FC91" s="30" t="str">
        <f t="shared" ref="FC91:FC93" si="1159">IF(BW91="","","|n"&amp;FC$2&amp;"+"&amp;BW91&amp;FC$1)</f>
        <v/>
      </c>
      <c r="FD91" s="30" t="str">
        <f t="shared" ref="FD91:FD93" si="1160">IF(BX91="","","|n"&amp;FD$2&amp;"+"&amp;BX91&amp;FD$1)</f>
        <v/>
      </c>
      <c r="FE91" s="30" t="str">
        <f t="shared" ref="FE91:FE93" si="1161">IF(BY91="","","|n"&amp;FE$2&amp;"+"&amp;BY91&amp;FE$1)</f>
        <v/>
      </c>
      <c r="FF91" s="30" t="str">
        <f t="shared" ref="FF91:FF93" si="1162">IF(BZ91="","","|n"&amp;FF$2&amp;"+"&amp;BZ91&amp;FF$1)</f>
        <v/>
      </c>
      <c r="FG91" s="30" t="str">
        <f t="shared" ref="FG91:FG93" si="1163">IF(CA91="","","|n"&amp;FG$2&amp;"+"&amp;CA91&amp;FG$1)</f>
        <v/>
      </c>
      <c r="FH91" s="30" t="str">
        <f t="shared" ref="FH91:FH93" si="1164">IF(CB91="","","|n"&amp;FH$2&amp;"+"&amp;CB91&amp;FH$1)</f>
        <v/>
      </c>
      <c r="FI91" s="30" t="str">
        <f t="shared" ref="FI91:FI93" si="1165">IF(CC91="","","|n"&amp;FI$2&amp;"+"&amp;CC91&amp;FI$1)</f>
        <v/>
      </c>
      <c r="FJ91" s="30" t="str">
        <f t="shared" ref="FJ91:FJ93" si="1166">IF(CD91="","","|n"&amp;FJ$2&amp;"+"&amp;CD91&amp;FJ$1)</f>
        <v/>
      </c>
      <c r="FK91" s="30" t="str">
        <f t="shared" ref="FK91:FK93" si="1167">IF(CE91="","","|n"&amp;FK$2&amp;"+"&amp;CE91&amp;FK$1)</f>
        <v/>
      </c>
      <c r="FL91" s="30" t="str">
        <f t="shared" ref="FL91:FL93" si="1168">IF(CF91="","","|n"&amp;FL$2&amp;"+"&amp;CF91&amp;FL$1)</f>
        <v/>
      </c>
      <c r="FM91" s="30" t="str">
        <f t="shared" ref="FM91:FM93" si="1169">IF(CG91="","","|n"&amp;FM$2&amp;"+"&amp;CG91&amp;FM$1)</f>
        <v/>
      </c>
      <c r="FN91" s="30" t="str">
        <f t="shared" ref="FN91:FN93" si="1170">IF(CH91="","","|n"&amp;FN$2&amp;"+"&amp;CH91&amp;FN$1)</f>
        <v/>
      </c>
      <c r="FO91" s="30" t="str">
        <f t="shared" ref="FO91:FO93" si="1171">IF(CI91="","","|n"&amp;FO$2&amp;"+"&amp;CI91&amp;FO$1)</f>
        <v/>
      </c>
      <c r="FP91" s="30" t="str">
        <f t="shared" ref="FP91:FP93" si="1172">IF(CJ91="","","|n"&amp;FP$2&amp;"+"&amp;CJ91&amp;FP$1)</f>
        <v/>
      </c>
      <c r="FQ91" s="30" t="str">
        <f t="shared" ref="FQ91:FQ93" si="1173">IF(CK91="","","|n"&amp;FQ$2&amp;"+"&amp;CK91&amp;FQ$1)</f>
        <v/>
      </c>
      <c r="FR91" s="30" t="str">
        <f t="shared" ref="FR91:FR93" si="1174">IF(CL91="","","|n"&amp;FR$2&amp;"+"&amp;CL91&amp;FR$1)</f>
        <v/>
      </c>
      <c r="FS91" s="30" t="str">
        <f t="shared" ref="FS91:FS93" si="1175">IF(CM91="","","|n"&amp;FS$2&amp;"+"&amp;CM91&amp;FS$1)</f>
        <v/>
      </c>
    </row>
    <row r="92" spans="1:175" ht="16.5">
      <c r="A92" s="119"/>
      <c r="B92" s="111" t="s">
        <v>846</v>
      </c>
      <c r="C92" s="119" t="s">
        <v>847</v>
      </c>
      <c r="T92" s="114" t="s">
        <v>848</v>
      </c>
      <c r="U92" s="37" t="s">
        <v>822</v>
      </c>
      <c r="CN92" s="7" t="str">
        <f t="shared" si="956"/>
        <v>InitUnitState('CF01',,,,,,,,,,)</v>
      </c>
      <c r="CO92" s="7" t="str">
        <f t="shared" si="957"/>
        <v>InitUnitNormal('CF01',,,,,,,,,,)</v>
      </c>
      <c r="CP92" s="7" t="str">
        <f t="shared" si="958"/>
        <v>InitUnitMagic('CF01',,,,,,,,,,)</v>
      </c>
      <c r="CQ92" s="7" t="str">
        <f t="shared" si="959"/>
        <v>InitUnitAdd('CF01',,,,,,,,,,)</v>
      </c>
      <c r="CR92" s="7" t="e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#REF!&amp;CR$1&amp;")"</f>
        <v>#REF!</v>
      </c>
      <c r="CU92" s="45" t="str">
        <f t="shared" si="1104"/>
        <v>|n</v>
      </c>
      <c r="CV92" s="29" t="str">
        <f t="shared" si="1105"/>
        <v>随机法宝</v>
      </c>
      <c r="CW92" s="24"/>
      <c r="CX92" s="24"/>
      <c r="CY92" s="24"/>
      <c r="CZ92" s="24"/>
      <c r="DA92" s="24"/>
      <c r="DB92" s="30" t="str">
        <f t="shared" si="1106"/>
        <v/>
      </c>
      <c r="DC92" s="30" t="str">
        <f t="shared" si="1107"/>
        <v/>
      </c>
      <c r="DD92" s="30" t="str">
        <f t="shared" si="1108"/>
        <v/>
      </c>
      <c r="DE92" s="30" t="str">
        <f t="shared" si="1109"/>
        <v/>
      </c>
      <c r="DF92" s="30" t="str">
        <f t="shared" si="1110"/>
        <v/>
      </c>
      <c r="DG92" s="30" t="str">
        <f t="shared" si="1111"/>
        <v/>
      </c>
      <c r="DH92" s="30" t="str">
        <f t="shared" si="1112"/>
        <v/>
      </c>
      <c r="DI92" s="30" t="str">
        <f t="shared" si="1113"/>
        <v/>
      </c>
      <c r="DJ92" s="30" t="str">
        <f t="shared" si="1114"/>
        <v/>
      </c>
      <c r="DK92" s="30" t="str">
        <f t="shared" si="1115"/>
        <v/>
      </c>
      <c r="DL92" s="30" t="str">
        <f t="shared" si="1116"/>
        <v/>
      </c>
      <c r="DM92" s="30" t="str">
        <f t="shared" si="1117"/>
        <v/>
      </c>
      <c r="DN92" s="30" t="str">
        <f t="shared" si="1118"/>
        <v/>
      </c>
      <c r="DO92" s="30" t="str">
        <f t="shared" si="1119"/>
        <v/>
      </c>
      <c r="DP92" s="30" t="str">
        <f t="shared" si="1120"/>
        <v/>
      </c>
      <c r="DQ92" s="30" t="str">
        <f t="shared" si="1121"/>
        <v/>
      </c>
      <c r="DR92" s="30" t="str">
        <f t="shared" si="1122"/>
        <v/>
      </c>
      <c r="DS92" s="30" t="str">
        <f t="shared" si="1123"/>
        <v/>
      </c>
      <c r="DT92" s="30" t="str">
        <f t="shared" si="1124"/>
        <v/>
      </c>
      <c r="DU92" s="30" t="str">
        <f t="shared" si="1125"/>
        <v/>
      </c>
      <c r="DV92" s="30" t="str">
        <f t="shared" si="1126"/>
        <v/>
      </c>
      <c r="DW92" s="30" t="str">
        <f t="shared" si="1127"/>
        <v/>
      </c>
      <c r="DX92" s="30" t="str">
        <f t="shared" si="1128"/>
        <v/>
      </c>
      <c r="DY92" s="30" t="str">
        <f t="shared" si="1129"/>
        <v/>
      </c>
      <c r="DZ92" s="30" t="str">
        <f t="shared" si="1130"/>
        <v/>
      </c>
      <c r="EA92" s="30" t="str">
        <f t="shared" si="1131"/>
        <v/>
      </c>
      <c r="EB92" s="30" t="str">
        <f t="shared" si="1132"/>
        <v/>
      </c>
      <c r="EC92" s="30" t="str">
        <f t="shared" si="1133"/>
        <v/>
      </c>
      <c r="ED92" s="30" t="str">
        <f t="shared" si="1134"/>
        <v/>
      </c>
      <c r="EE92" s="30" t="str">
        <f t="shared" si="1135"/>
        <v/>
      </c>
      <c r="EF92" s="30" t="str">
        <f t="shared" si="1136"/>
        <v/>
      </c>
      <c r="EG92" s="30" t="str">
        <f t="shared" si="1137"/>
        <v/>
      </c>
      <c r="EH92" s="30" t="str">
        <f t="shared" si="1138"/>
        <v/>
      </c>
      <c r="EI92" s="30" t="str">
        <f t="shared" si="1139"/>
        <v/>
      </c>
      <c r="EJ92" s="30" t="str">
        <f t="shared" si="1140"/>
        <v/>
      </c>
      <c r="EK92" s="30" t="str">
        <f t="shared" si="1141"/>
        <v/>
      </c>
      <c r="EL92" s="30" t="str">
        <f t="shared" si="1142"/>
        <v/>
      </c>
      <c r="EM92" s="30" t="str">
        <f t="shared" si="1143"/>
        <v/>
      </c>
      <c r="EN92" s="30" t="str">
        <f t="shared" si="1144"/>
        <v/>
      </c>
      <c r="EO92" s="30" t="str">
        <f t="shared" si="1145"/>
        <v/>
      </c>
      <c r="EP92" s="30" t="str">
        <f t="shared" si="1146"/>
        <v/>
      </c>
      <c r="EQ92" s="30" t="str">
        <f t="shared" si="1147"/>
        <v/>
      </c>
      <c r="ER92" s="30" t="str">
        <f t="shared" si="1148"/>
        <v/>
      </c>
      <c r="ES92" s="30" t="str">
        <f t="shared" si="1149"/>
        <v/>
      </c>
      <c r="ET92" s="30" t="str">
        <f t="shared" si="1150"/>
        <v/>
      </c>
      <c r="EU92" s="30" t="str">
        <f t="shared" si="1151"/>
        <v/>
      </c>
      <c r="EV92" s="30" t="str">
        <f t="shared" si="1152"/>
        <v/>
      </c>
      <c r="EW92" s="30" t="str">
        <f t="shared" si="1153"/>
        <v/>
      </c>
      <c r="EX92" s="30" t="str">
        <f t="shared" si="1154"/>
        <v/>
      </c>
      <c r="EY92" s="30" t="str">
        <f t="shared" si="1155"/>
        <v/>
      </c>
      <c r="EZ92" s="30" t="str">
        <f t="shared" si="1156"/>
        <v/>
      </c>
      <c r="FA92" s="30" t="str">
        <f t="shared" si="1157"/>
        <v/>
      </c>
      <c r="FB92" s="30" t="str">
        <f t="shared" si="1158"/>
        <v/>
      </c>
      <c r="FC92" s="30" t="str">
        <f t="shared" si="1159"/>
        <v/>
      </c>
      <c r="FD92" s="30" t="str">
        <f t="shared" si="1160"/>
        <v/>
      </c>
      <c r="FE92" s="30" t="str">
        <f t="shared" si="1161"/>
        <v/>
      </c>
      <c r="FF92" s="30" t="str">
        <f t="shared" si="1162"/>
        <v/>
      </c>
      <c r="FG92" s="30" t="str">
        <f t="shared" si="1163"/>
        <v/>
      </c>
      <c r="FH92" s="30" t="str">
        <f t="shared" si="1164"/>
        <v/>
      </c>
      <c r="FI92" s="30" t="str">
        <f t="shared" si="1165"/>
        <v/>
      </c>
      <c r="FJ92" s="30" t="str">
        <f t="shared" si="1166"/>
        <v/>
      </c>
      <c r="FK92" s="30" t="str">
        <f t="shared" si="1167"/>
        <v/>
      </c>
      <c r="FL92" s="30" t="str">
        <f t="shared" si="1168"/>
        <v/>
      </c>
      <c r="FM92" s="30" t="str">
        <f t="shared" si="1169"/>
        <v/>
      </c>
      <c r="FN92" s="30" t="str">
        <f t="shared" si="1170"/>
        <v/>
      </c>
      <c r="FO92" s="30" t="str">
        <f t="shared" si="1171"/>
        <v/>
      </c>
      <c r="FP92" s="30" t="str">
        <f t="shared" si="1172"/>
        <v/>
      </c>
      <c r="FQ92" s="30" t="str">
        <f t="shared" si="1173"/>
        <v/>
      </c>
      <c r="FR92" s="30" t="str">
        <f t="shared" si="1174"/>
        <v/>
      </c>
      <c r="FS92" s="30" t="str">
        <f t="shared" si="1175"/>
        <v/>
      </c>
    </row>
    <row r="93" spans="1:175" ht="16.5">
      <c r="A93" s="111"/>
      <c r="B93" s="111" t="s">
        <v>943</v>
      </c>
      <c r="C93" s="111" t="s">
        <v>949</v>
      </c>
      <c r="T93" s="122" t="s">
        <v>955</v>
      </c>
      <c r="U93" s="37" t="s">
        <v>822</v>
      </c>
      <c r="CN93" s="7" t="str">
        <f t="shared" ref="CN93" si="1176">"InitUnitState('"&amp;B93&amp;"',"&amp;V93&amp;","&amp;W93&amp;","&amp;X93&amp;","&amp;Y93&amp;","&amp;Z93&amp;","&amp;AA93&amp;","&amp;AB93&amp;","&amp;AC93&amp;","&amp;AD93&amp;","&amp;AE93&amp;")"</f>
        <v>InitUnitState('I001',,,,,,,,,,)</v>
      </c>
      <c r="CO93" s="7" t="str">
        <f t="shared" ref="CO93" si="1177">"InitUnitNormal('"&amp;B93&amp;"',"&amp;AF93&amp;","&amp;AG93&amp;","&amp;AH93&amp;","&amp;AI93&amp;","&amp;AJ93&amp;","&amp;AK93&amp;","&amp;AL93&amp;","&amp;AM93&amp;","&amp;AN93&amp;","&amp;AO93&amp;")"</f>
        <v>InitUnitNormal('I001',,,,,,,,,,)</v>
      </c>
      <c r="CP93" s="7" t="str">
        <f t="shared" ref="CP93" si="1178">"InitUnitMagic('"&amp;B93&amp;"',"&amp;AP93&amp;","&amp;AQ93&amp;","&amp;AR93&amp;","&amp;AS93&amp;","&amp;AT93&amp;","&amp;AU93&amp;","&amp;AV93&amp;","&amp;AW93&amp;","&amp;BI93&amp;","&amp;BJ93&amp;")"</f>
        <v>InitUnitMagic('I001',,,,,,,,,,)</v>
      </c>
      <c r="CQ93" s="7" t="str">
        <f t="shared" ref="CQ93" si="1179">"InitUnitAdd('"&amp;B93&amp;"',"&amp;BK93&amp;","&amp;BL93&amp;","&amp;BM93&amp;","&amp;BN93&amp;","&amp;BO93&amp;","&amp;BP93&amp;","&amp;BQ93&amp;","&amp;BR93&amp;","&amp;BS93&amp;","&amp;BT93&amp;")"</f>
        <v>InitUnitAdd('I001',,,,,,,,,,)</v>
      </c>
      <c r="CR93" s="7" t="str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U99&amp;CR$1&amp;")"</f>
        <v>InitEquipData('I001',,"",,,,,'','','','','','',"ReplaceableTextures\\CommandButtons\\BTNTome.blp")</v>
      </c>
      <c r="CU93" s="45" t="str">
        <f t="shared" si="1104"/>
        <v>|n</v>
      </c>
      <c r="CV93" s="29" t="str">
        <f t="shared" si="1105"/>
        <v>回复80%生命，解除异常状态</v>
      </c>
      <c r="CW93" s="24"/>
      <c r="CX93" s="24"/>
      <c r="CY93" s="24"/>
      <c r="CZ93" s="24"/>
      <c r="DA93" s="24"/>
      <c r="DB93" s="30" t="str">
        <f t="shared" si="1106"/>
        <v/>
      </c>
      <c r="DC93" s="30" t="str">
        <f t="shared" si="1107"/>
        <v/>
      </c>
      <c r="DD93" s="30" t="str">
        <f t="shared" si="1108"/>
        <v/>
      </c>
      <c r="DE93" s="30" t="str">
        <f t="shared" si="1109"/>
        <v/>
      </c>
      <c r="DF93" s="30" t="str">
        <f t="shared" si="1110"/>
        <v/>
      </c>
      <c r="DG93" s="30" t="str">
        <f t="shared" si="1111"/>
        <v/>
      </c>
      <c r="DH93" s="30" t="str">
        <f t="shared" si="1112"/>
        <v/>
      </c>
      <c r="DI93" s="30" t="str">
        <f t="shared" si="1113"/>
        <v/>
      </c>
      <c r="DJ93" s="30" t="str">
        <f t="shared" si="1114"/>
        <v/>
      </c>
      <c r="DK93" s="30" t="str">
        <f t="shared" si="1115"/>
        <v/>
      </c>
      <c r="DL93" s="30" t="str">
        <f t="shared" si="1116"/>
        <v/>
      </c>
      <c r="DM93" s="30" t="str">
        <f t="shared" si="1117"/>
        <v/>
      </c>
      <c r="DN93" s="30" t="str">
        <f t="shared" si="1118"/>
        <v/>
      </c>
      <c r="DO93" s="30" t="str">
        <f t="shared" si="1119"/>
        <v/>
      </c>
      <c r="DP93" s="30" t="str">
        <f t="shared" si="1120"/>
        <v/>
      </c>
      <c r="DQ93" s="30" t="str">
        <f t="shared" si="1121"/>
        <v/>
      </c>
      <c r="DR93" s="30" t="str">
        <f t="shared" si="1122"/>
        <v/>
      </c>
      <c r="DS93" s="30" t="str">
        <f t="shared" si="1123"/>
        <v/>
      </c>
      <c r="DT93" s="30" t="str">
        <f t="shared" si="1124"/>
        <v/>
      </c>
      <c r="DU93" s="30" t="str">
        <f t="shared" si="1125"/>
        <v/>
      </c>
      <c r="DV93" s="30" t="str">
        <f t="shared" si="1126"/>
        <v/>
      </c>
      <c r="DW93" s="30" t="str">
        <f t="shared" si="1127"/>
        <v/>
      </c>
      <c r="DX93" s="30" t="str">
        <f t="shared" si="1128"/>
        <v/>
      </c>
      <c r="DY93" s="30" t="str">
        <f t="shared" si="1129"/>
        <v/>
      </c>
      <c r="DZ93" s="30" t="str">
        <f t="shared" si="1130"/>
        <v/>
      </c>
      <c r="EA93" s="30" t="str">
        <f t="shared" si="1131"/>
        <v/>
      </c>
      <c r="EB93" s="30" t="str">
        <f t="shared" si="1132"/>
        <v/>
      </c>
      <c r="EC93" s="30" t="str">
        <f t="shared" si="1133"/>
        <v/>
      </c>
      <c r="ED93" s="30" t="str">
        <f t="shared" si="1134"/>
        <v/>
      </c>
      <c r="EE93" s="30" t="str">
        <f t="shared" si="1135"/>
        <v/>
      </c>
      <c r="EF93" s="30" t="str">
        <f t="shared" si="1136"/>
        <v/>
      </c>
      <c r="EG93" s="30" t="str">
        <f t="shared" si="1137"/>
        <v/>
      </c>
      <c r="EH93" s="30" t="str">
        <f t="shared" si="1138"/>
        <v/>
      </c>
      <c r="EI93" s="30" t="str">
        <f t="shared" si="1139"/>
        <v/>
      </c>
      <c r="EJ93" s="30" t="str">
        <f t="shared" si="1140"/>
        <v/>
      </c>
      <c r="EK93" s="30" t="str">
        <f t="shared" si="1141"/>
        <v/>
      </c>
      <c r="EL93" s="30" t="str">
        <f t="shared" si="1142"/>
        <v/>
      </c>
      <c r="EM93" s="30" t="str">
        <f t="shared" si="1143"/>
        <v/>
      </c>
      <c r="EN93" s="30" t="str">
        <f t="shared" si="1144"/>
        <v/>
      </c>
      <c r="EO93" s="30" t="str">
        <f t="shared" si="1145"/>
        <v/>
      </c>
      <c r="EP93" s="30" t="str">
        <f t="shared" si="1146"/>
        <v/>
      </c>
      <c r="EQ93" s="30" t="str">
        <f t="shared" si="1147"/>
        <v/>
      </c>
      <c r="ER93" s="30" t="str">
        <f t="shared" si="1148"/>
        <v/>
      </c>
      <c r="ES93" s="30" t="str">
        <f t="shared" si="1149"/>
        <v/>
      </c>
      <c r="ET93" s="30" t="str">
        <f t="shared" si="1150"/>
        <v/>
      </c>
      <c r="EU93" s="30" t="str">
        <f t="shared" si="1151"/>
        <v/>
      </c>
      <c r="EV93" s="30" t="str">
        <f t="shared" si="1152"/>
        <v/>
      </c>
      <c r="EW93" s="30" t="str">
        <f t="shared" si="1153"/>
        <v/>
      </c>
      <c r="EX93" s="30" t="str">
        <f t="shared" si="1154"/>
        <v/>
      </c>
      <c r="EY93" s="30" t="str">
        <f t="shared" si="1155"/>
        <v/>
      </c>
      <c r="EZ93" s="30" t="str">
        <f t="shared" si="1156"/>
        <v/>
      </c>
      <c r="FA93" s="30" t="str">
        <f t="shared" si="1157"/>
        <v/>
      </c>
      <c r="FB93" s="30" t="str">
        <f t="shared" si="1158"/>
        <v/>
      </c>
      <c r="FC93" s="30" t="str">
        <f t="shared" si="1159"/>
        <v/>
      </c>
      <c r="FD93" s="30" t="str">
        <f t="shared" si="1160"/>
        <v/>
      </c>
      <c r="FE93" s="30" t="str">
        <f t="shared" si="1161"/>
        <v/>
      </c>
      <c r="FF93" s="30" t="str">
        <f t="shared" si="1162"/>
        <v/>
      </c>
      <c r="FG93" s="30" t="str">
        <f t="shared" si="1163"/>
        <v/>
      </c>
      <c r="FH93" s="30" t="str">
        <f t="shared" si="1164"/>
        <v/>
      </c>
      <c r="FI93" s="30" t="str">
        <f t="shared" si="1165"/>
        <v/>
      </c>
      <c r="FJ93" s="30" t="str">
        <f t="shared" si="1166"/>
        <v/>
      </c>
      <c r="FK93" s="30" t="str">
        <f t="shared" si="1167"/>
        <v/>
      </c>
      <c r="FL93" s="30" t="str">
        <f t="shared" si="1168"/>
        <v/>
      </c>
      <c r="FM93" s="30" t="str">
        <f t="shared" si="1169"/>
        <v/>
      </c>
      <c r="FN93" s="30" t="str">
        <f t="shared" si="1170"/>
        <v/>
      </c>
      <c r="FO93" s="30" t="str">
        <f t="shared" si="1171"/>
        <v/>
      </c>
      <c r="FP93" s="30" t="str">
        <f t="shared" si="1172"/>
        <v/>
      </c>
      <c r="FQ93" s="30" t="str">
        <f t="shared" si="1173"/>
        <v/>
      </c>
      <c r="FR93" s="30" t="str">
        <f t="shared" si="1174"/>
        <v/>
      </c>
      <c r="FS93" s="30" t="str">
        <f t="shared" si="1175"/>
        <v/>
      </c>
    </row>
    <row r="94" spans="1:175" ht="16.5">
      <c r="A94" s="111"/>
      <c r="B94" s="111" t="s">
        <v>945</v>
      </c>
      <c r="C94" s="111" t="s">
        <v>950</v>
      </c>
      <c r="T94" s="122" t="s">
        <v>956</v>
      </c>
      <c r="U94" s="37" t="s">
        <v>822</v>
      </c>
      <c r="CN94" s="7" t="str">
        <f t="shared" ref="CN94:CN95" si="1180">"InitUnitState('"&amp;B94&amp;"',"&amp;V94&amp;","&amp;W94&amp;","&amp;X94&amp;","&amp;Y94&amp;","&amp;Z94&amp;","&amp;AA94&amp;","&amp;AB94&amp;","&amp;AC94&amp;","&amp;AD94&amp;","&amp;AE94&amp;")"</f>
        <v>InitUnitState('I002',,,,,,,,,,)</v>
      </c>
      <c r="CO94" s="7" t="str">
        <f t="shared" ref="CO94:CO95" si="1181">"InitUnitNormal('"&amp;B94&amp;"',"&amp;AF94&amp;","&amp;AG94&amp;","&amp;AH94&amp;","&amp;AI94&amp;","&amp;AJ94&amp;","&amp;AK94&amp;","&amp;AL94&amp;","&amp;AM94&amp;","&amp;AN94&amp;","&amp;AO94&amp;")"</f>
        <v>InitUnitNormal('I002',,,,,,,,,,)</v>
      </c>
      <c r="CP94" s="7" t="str">
        <f t="shared" ref="CP94:CP95" si="1182">"InitUnitMagic('"&amp;B94&amp;"',"&amp;AP94&amp;","&amp;AQ94&amp;","&amp;AR94&amp;","&amp;AS94&amp;","&amp;AT94&amp;","&amp;AU94&amp;","&amp;AV94&amp;","&amp;AW94&amp;","&amp;BI94&amp;","&amp;BJ94&amp;")"</f>
        <v>InitUnitMagic('I002',,,,,,,,,,)</v>
      </c>
      <c r="CQ94" s="7" t="str">
        <f t="shared" ref="CQ94:CQ95" si="1183">"InitUnitAdd('"&amp;B94&amp;"',"&amp;BK94&amp;","&amp;BL94&amp;","&amp;BM94&amp;","&amp;BN94&amp;","&amp;BO94&amp;","&amp;BP94&amp;","&amp;BQ94&amp;","&amp;BR94&amp;","&amp;BS94&amp;","&amp;BT94&amp;")"</f>
        <v>InitUnitAdd('I002',,,,,,,,,,)</v>
      </c>
      <c r="CR94" s="7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100&amp;CR$1&amp;")"</f>
        <v>InitEquipData('I002',,"",,,,,'','','','','','',"ReplaceableTextures\\CommandButtons\\BTNTome.blp")</v>
      </c>
      <c r="CU94" s="45" t="str">
        <f t="shared" ref="CU94:CU95" si="1184">CONCATENATE(DB94,DC94,DD94,DE94,DF94,DG94,DH94,DI94,DJ94,DK94,DL94,DM94,DN94,DO94,DP94,DQ94,DR94,DS94,DT94,DU94,DV94,DW94,DX94,DY94,DZ94,EA94,EB94,EC94,ED94,EE94,EF94,EG94,EH94,EI94,EJ94,EK94,EL94,EM94,EN94,EO94,EP94&amp;"|n")</f>
        <v>|n</v>
      </c>
      <c r="CV94" s="29" t="str">
        <f t="shared" ref="CV94:CV95" si="1185">T94</f>
        <v>回复70%蓝量</v>
      </c>
      <c r="CW94" s="24"/>
      <c r="CX94" s="24"/>
      <c r="CY94" s="24"/>
      <c r="CZ94" s="24"/>
      <c r="DA94" s="24"/>
      <c r="DB94" s="30" t="str">
        <f t="shared" ref="DB94:DB95" si="1186">IF(V94="","","|n"&amp;DB$2&amp;"+"&amp;V94&amp;DB$1)</f>
        <v/>
      </c>
      <c r="DC94" s="30" t="str">
        <f t="shared" ref="DC94:DC95" si="1187">IF(W94="","","|n"&amp;DC$2&amp;"+"&amp;W94&amp;DC$1)</f>
        <v/>
      </c>
      <c r="DD94" s="30" t="str">
        <f t="shared" ref="DD94:DD95" si="1188">IF(X94="","","|n"&amp;DD$2&amp;"+"&amp;X94&amp;DD$1)</f>
        <v/>
      </c>
      <c r="DE94" s="30" t="str">
        <f t="shared" ref="DE94:DE95" si="1189">IF(Y94="","","|n"&amp;DE$2&amp;"+"&amp;Y94&amp;DE$1)</f>
        <v/>
      </c>
      <c r="DF94" s="30" t="str">
        <f t="shared" ref="DF94:DF95" si="1190">IF(Z94="","","|n"&amp;DF$2&amp;"+"&amp;Z94&amp;DF$1)</f>
        <v/>
      </c>
      <c r="DG94" s="30" t="str">
        <f t="shared" ref="DG94:DG95" si="1191">IF(AA94="","","|n"&amp;DG$2&amp;"+"&amp;AA94&amp;DG$1)</f>
        <v/>
      </c>
      <c r="DH94" s="30" t="str">
        <f t="shared" ref="DH94:DH95" si="1192">IF(AB94="","","|n"&amp;DH$2&amp;"+"&amp;AB94&amp;DH$1)</f>
        <v/>
      </c>
      <c r="DI94" s="30" t="str">
        <f t="shared" ref="DI94:DI95" si="1193">IF(AC94="","","|n"&amp;DI$2&amp;"+"&amp;AC94&amp;DI$1)</f>
        <v/>
      </c>
      <c r="DJ94" s="30" t="str">
        <f t="shared" ref="DJ94:DJ95" si="1194">IF(AD94="","","|n"&amp;DJ$2&amp;"+"&amp;AD94&amp;DJ$1)</f>
        <v/>
      </c>
      <c r="DK94" s="30" t="str">
        <f t="shared" ref="DK94:DK95" si="1195">IF(AE94="","","|n"&amp;DK$2&amp;"+"&amp;AE94&amp;DK$1)</f>
        <v/>
      </c>
      <c r="DL94" s="30" t="str">
        <f t="shared" ref="DL94:DL95" si="1196">IF(AF94="","","|n"&amp;DL$2&amp;"+"&amp;AF94&amp;DL$1)</f>
        <v/>
      </c>
      <c r="DM94" s="30" t="str">
        <f t="shared" ref="DM94:DM95" si="1197">IF(AG94="","","|n"&amp;DM$2&amp;"+"&amp;AG94&amp;DM$1)</f>
        <v/>
      </c>
      <c r="DN94" s="30" t="str">
        <f t="shared" ref="DN94:DN95" si="1198">IF(AH94="","","|n"&amp;DN$2&amp;"+"&amp;AH94&amp;DN$1)</f>
        <v/>
      </c>
      <c r="DO94" s="30" t="str">
        <f t="shared" ref="DO94:DO95" si="1199">IF(AI94="","","|n"&amp;DO$2&amp;"+"&amp;AI94&amp;DO$1)</f>
        <v/>
      </c>
      <c r="DP94" s="30" t="str">
        <f t="shared" ref="DP94:DP95" si="1200">IF(AJ94="","","|n"&amp;DP$2&amp;"+"&amp;AJ94&amp;DP$1)</f>
        <v/>
      </c>
      <c r="DQ94" s="30" t="str">
        <f t="shared" ref="DQ94:DQ95" si="1201">IF(AK94="","","|n"&amp;DQ$2&amp;"+"&amp;AK94&amp;DQ$1)</f>
        <v/>
      </c>
      <c r="DR94" s="30" t="str">
        <f t="shared" ref="DR94:DR95" si="1202">IF(AL94="","","|n"&amp;DR$2&amp;"+"&amp;AL94&amp;DR$1)</f>
        <v/>
      </c>
      <c r="DS94" s="30" t="str">
        <f t="shared" ref="DS94:DS95" si="1203">IF(AM94="","","|n"&amp;DS$2&amp;"+"&amp;AM94&amp;DS$1)</f>
        <v/>
      </c>
      <c r="DT94" s="30" t="str">
        <f t="shared" ref="DT94:DT95" si="1204">IF(AN94="","","|n"&amp;DT$2&amp;"+"&amp;AN94&amp;DT$1)</f>
        <v/>
      </c>
      <c r="DU94" s="30" t="str">
        <f t="shared" ref="DU94:DU95" si="1205">IF(AO94="","","|n"&amp;DU$2&amp;"+"&amp;AO94&amp;DU$1)</f>
        <v/>
      </c>
      <c r="DV94" s="30" t="str">
        <f t="shared" ref="DV94:DV95" si="1206">IF(AP94="","","|n"&amp;DV$2&amp;"+"&amp;AP94&amp;DV$1)</f>
        <v/>
      </c>
      <c r="DW94" s="30" t="str">
        <f t="shared" ref="DW94:DW95" si="1207">IF(AQ94="","","|n"&amp;DW$2&amp;"+"&amp;AQ94&amp;DW$1)</f>
        <v/>
      </c>
      <c r="DX94" s="30" t="str">
        <f t="shared" ref="DX94:DX95" si="1208">IF(AR94="","","|n"&amp;DX$2&amp;"+"&amp;AR94&amp;DX$1)</f>
        <v/>
      </c>
      <c r="DY94" s="30" t="str">
        <f t="shared" ref="DY94:DY95" si="1209">IF(AS94="","","|n"&amp;DY$2&amp;"+"&amp;AS94&amp;DY$1)</f>
        <v/>
      </c>
      <c r="DZ94" s="30" t="str">
        <f t="shared" ref="DZ94:DZ95" si="1210">IF(AT94="","","|n"&amp;DZ$2&amp;"+"&amp;AT94&amp;DZ$1)</f>
        <v/>
      </c>
      <c r="EA94" s="30" t="str">
        <f t="shared" ref="EA94:EA95" si="1211">IF(AU94="","","|n"&amp;EA$2&amp;"+"&amp;AU94&amp;EA$1)</f>
        <v/>
      </c>
      <c r="EB94" s="30" t="str">
        <f t="shared" ref="EB94:EB95" si="1212">IF(AV94="","","|n"&amp;EB$2&amp;"+"&amp;AV94&amp;EB$1)</f>
        <v/>
      </c>
      <c r="EC94" s="30" t="str">
        <f t="shared" ref="EC94:EC95" si="1213">IF(AW94="","","|n"&amp;EC$2&amp;"+"&amp;AW94&amp;EC$1)</f>
        <v/>
      </c>
      <c r="ED94" s="30" t="str">
        <f t="shared" ref="ED94:ED95" si="1214">IF(AX94="","","|n"&amp;ED$2&amp;"+"&amp;AX94&amp;ED$1)</f>
        <v/>
      </c>
      <c r="EE94" s="30" t="str">
        <f t="shared" ref="EE94:EE95" si="1215">IF(AY94="","","|n"&amp;EE$2&amp;"+"&amp;AY94&amp;EE$1)</f>
        <v/>
      </c>
      <c r="EF94" s="30" t="str">
        <f t="shared" ref="EF94:EF95" si="1216">IF(AZ94="","","|n"&amp;EF$2&amp;"+"&amp;AZ94&amp;EF$1)</f>
        <v/>
      </c>
      <c r="EG94" s="30" t="str">
        <f t="shared" ref="EG94:EG95" si="1217">IF(BA94="","","|n"&amp;EG$2&amp;"+"&amp;BA94&amp;EG$1)</f>
        <v/>
      </c>
      <c r="EH94" s="30" t="str">
        <f t="shared" ref="EH94:EH95" si="1218">IF(BB94="","","|n"&amp;EH$2&amp;"+"&amp;BB94&amp;EH$1)</f>
        <v/>
      </c>
      <c r="EI94" s="30" t="str">
        <f t="shared" ref="EI94:EI95" si="1219">IF(BC94="","","|n"&amp;EI$2&amp;"+"&amp;BC94&amp;EI$1)</f>
        <v/>
      </c>
      <c r="EJ94" s="30" t="str">
        <f t="shared" ref="EJ94:EJ95" si="1220">IF(BD94="","","|n"&amp;EJ$2&amp;"+"&amp;BD94&amp;EJ$1)</f>
        <v/>
      </c>
      <c r="EK94" s="30" t="str">
        <f t="shared" ref="EK94:EK95" si="1221">IF(BE94="","","|n"&amp;EK$2&amp;"+"&amp;BE94&amp;EK$1)</f>
        <v/>
      </c>
      <c r="EL94" s="30" t="str">
        <f t="shared" ref="EL94:EL95" si="1222">IF(BF94="","","|n"&amp;EL$2&amp;"+"&amp;BF94&amp;EL$1)</f>
        <v/>
      </c>
      <c r="EM94" s="30" t="str">
        <f t="shared" ref="EM94:EM95" si="1223">IF(BG94="","","|n"&amp;EM$2&amp;"+"&amp;BG94&amp;EM$1)</f>
        <v/>
      </c>
      <c r="EN94" s="30" t="str">
        <f t="shared" ref="EN94:EN95" si="1224">IF(BH94="","","|n"&amp;EN$2&amp;"+"&amp;BH94&amp;EN$1)</f>
        <v/>
      </c>
      <c r="EO94" s="30" t="str">
        <f t="shared" ref="EO94:EO95" si="1225">IF(BI94="","","|n"&amp;EO$2&amp;"+"&amp;BI94&amp;EO$1)</f>
        <v/>
      </c>
      <c r="EP94" s="30" t="str">
        <f t="shared" ref="EP94:EP95" si="1226">IF(BJ94="","","|n"&amp;EP$2&amp;"+"&amp;BJ94&amp;EP$1)</f>
        <v/>
      </c>
      <c r="EQ94" s="30" t="str">
        <f t="shared" ref="EQ94:EQ95" si="1227">IF(BK94="","","|n"&amp;EQ$2&amp;"+"&amp;BK94&amp;EQ$1)</f>
        <v/>
      </c>
      <c r="ER94" s="30" t="str">
        <f t="shared" ref="ER94:ER95" si="1228">IF(BL94="","","|n"&amp;ER$2&amp;"+"&amp;BL94&amp;ER$1)</f>
        <v/>
      </c>
      <c r="ES94" s="30" t="str">
        <f t="shared" ref="ES94:ES95" si="1229">IF(BM94="","","|n"&amp;ES$2&amp;"+"&amp;BM94&amp;ES$1)</f>
        <v/>
      </c>
      <c r="ET94" s="30" t="str">
        <f t="shared" ref="ET94:ET95" si="1230">IF(BN94="","","|n"&amp;ET$2&amp;"+"&amp;BN94&amp;ET$1)</f>
        <v/>
      </c>
      <c r="EU94" s="30" t="str">
        <f t="shared" ref="EU94:EU95" si="1231">IF(BO94="","","|n"&amp;EU$2&amp;"+"&amp;BO94&amp;EU$1)</f>
        <v/>
      </c>
      <c r="EV94" s="30" t="str">
        <f t="shared" ref="EV94:EV95" si="1232">IF(BP94="","","|n"&amp;EV$2&amp;"+"&amp;BP94&amp;EV$1)</f>
        <v/>
      </c>
      <c r="EW94" s="30" t="str">
        <f t="shared" ref="EW94:EW95" si="1233">IF(BQ94="","","|n"&amp;EW$2&amp;"+"&amp;BQ94&amp;EW$1)</f>
        <v/>
      </c>
      <c r="EX94" s="30" t="str">
        <f t="shared" ref="EX94:EX95" si="1234">IF(BR94="","","|n"&amp;EX$2&amp;"+"&amp;BR94&amp;EX$1)</f>
        <v/>
      </c>
      <c r="EY94" s="30" t="str">
        <f t="shared" ref="EY94:EY95" si="1235">IF(BS94="","","|n"&amp;EY$2&amp;"+"&amp;BS94&amp;EY$1)</f>
        <v/>
      </c>
      <c r="EZ94" s="30" t="str">
        <f t="shared" ref="EZ94:EZ95" si="1236">IF(BT94="","","|n"&amp;EZ$2&amp;"+"&amp;BT94&amp;EZ$1)</f>
        <v/>
      </c>
      <c r="FA94" s="30" t="str">
        <f t="shared" ref="FA94:FA95" si="1237">IF(BU94="","","|n"&amp;FA$2&amp;"+"&amp;BU94&amp;FA$1)</f>
        <v/>
      </c>
      <c r="FB94" s="30" t="str">
        <f t="shared" ref="FB94:FB95" si="1238">IF(BV94="","","|n"&amp;FB$2&amp;"+"&amp;BV94&amp;FB$1)</f>
        <v/>
      </c>
      <c r="FC94" s="30" t="str">
        <f t="shared" ref="FC94:FC95" si="1239">IF(BW94="","","|n"&amp;FC$2&amp;"+"&amp;BW94&amp;FC$1)</f>
        <v/>
      </c>
      <c r="FD94" s="30" t="str">
        <f t="shared" ref="FD94:FD95" si="1240">IF(BX94="","","|n"&amp;FD$2&amp;"+"&amp;BX94&amp;FD$1)</f>
        <v/>
      </c>
      <c r="FE94" s="30" t="str">
        <f t="shared" ref="FE94:FE95" si="1241">IF(BY94="","","|n"&amp;FE$2&amp;"+"&amp;BY94&amp;FE$1)</f>
        <v/>
      </c>
      <c r="FF94" s="30" t="str">
        <f t="shared" ref="FF94:FF95" si="1242">IF(BZ94="","","|n"&amp;FF$2&amp;"+"&amp;BZ94&amp;FF$1)</f>
        <v/>
      </c>
      <c r="FG94" s="30" t="str">
        <f t="shared" ref="FG94:FG95" si="1243">IF(CA94="","","|n"&amp;FG$2&amp;"+"&amp;CA94&amp;FG$1)</f>
        <v/>
      </c>
      <c r="FH94" s="30" t="str">
        <f t="shared" ref="FH94:FH95" si="1244">IF(CB94="","","|n"&amp;FH$2&amp;"+"&amp;CB94&amp;FH$1)</f>
        <v/>
      </c>
      <c r="FI94" s="30" t="str">
        <f t="shared" ref="FI94:FI95" si="1245">IF(CC94="","","|n"&amp;FI$2&amp;"+"&amp;CC94&amp;FI$1)</f>
        <v/>
      </c>
      <c r="FJ94" s="30" t="str">
        <f t="shared" ref="FJ94:FJ95" si="1246">IF(CD94="","","|n"&amp;FJ$2&amp;"+"&amp;CD94&amp;FJ$1)</f>
        <v/>
      </c>
      <c r="FK94" s="30" t="str">
        <f t="shared" ref="FK94:FK95" si="1247">IF(CE94="","","|n"&amp;FK$2&amp;"+"&amp;CE94&amp;FK$1)</f>
        <v/>
      </c>
      <c r="FL94" s="30" t="str">
        <f t="shared" ref="FL94:FL95" si="1248">IF(CF94="","","|n"&amp;FL$2&amp;"+"&amp;CF94&amp;FL$1)</f>
        <v/>
      </c>
      <c r="FM94" s="30" t="str">
        <f t="shared" ref="FM94:FM95" si="1249">IF(CG94="","","|n"&amp;FM$2&amp;"+"&amp;CG94&amp;FM$1)</f>
        <v/>
      </c>
      <c r="FN94" s="30" t="str">
        <f t="shared" ref="FN94:FN95" si="1250">IF(CH94="","","|n"&amp;FN$2&amp;"+"&amp;CH94&amp;FN$1)</f>
        <v/>
      </c>
      <c r="FO94" s="30" t="str">
        <f t="shared" ref="FO94:FO95" si="1251">IF(CI94="","","|n"&amp;FO$2&amp;"+"&amp;CI94&amp;FO$1)</f>
        <v/>
      </c>
      <c r="FP94" s="30" t="str">
        <f t="shared" ref="FP94:FP95" si="1252">IF(CJ94="","","|n"&amp;FP$2&amp;"+"&amp;CJ94&amp;FP$1)</f>
        <v/>
      </c>
      <c r="FQ94" s="30" t="str">
        <f t="shared" ref="FQ94:FQ95" si="1253">IF(CK94="","","|n"&amp;FQ$2&amp;"+"&amp;CK94&amp;FQ$1)</f>
        <v/>
      </c>
      <c r="FR94" s="30" t="str">
        <f t="shared" ref="FR94:FR95" si="1254">IF(CL94="","","|n"&amp;FR$2&amp;"+"&amp;CL94&amp;FR$1)</f>
        <v/>
      </c>
      <c r="FS94" s="30" t="str">
        <f t="shared" ref="FS94:FS95" si="1255">IF(CM94="","","|n"&amp;FS$2&amp;"+"&amp;CM94&amp;FS$1)</f>
        <v/>
      </c>
    </row>
    <row r="95" spans="1:175" ht="16.5">
      <c r="A95" s="111"/>
      <c r="B95" s="111" t="s">
        <v>946</v>
      </c>
      <c r="C95" s="111" t="s">
        <v>957</v>
      </c>
      <c r="T95" s="122" t="s">
        <v>958</v>
      </c>
      <c r="U95" s="37" t="s">
        <v>822</v>
      </c>
      <c r="CN95" s="7" t="str">
        <f t="shared" si="1180"/>
        <v>InitUnitState('I003',,,,,,,,,,)</v>
      </c>
      <c r="CO95" s="7" t="str">
        <f t="shared" si="1181"/>
        <v>InitUnitNormal('I003',,,,,,,,,,)</v>
      </c>
      <c r="CP95" s="7" t="str">
        <f t="shared" si="1182"/>
        <v>InitUnitMagic('I003',,,,,,,,,,)</v>
      </c>
      <c r="CQ95" s="7" t="str">
        <f t="shared" si="1183"/>
        <v>InitUnitAdd('I003',,,,,,,,,,)</v>
      </c>
      <c r="CR95" s="7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101&amp;CR$1&amp;")"</f>
        <v>InitEquipData('I003',,"",,,,,'','','','','','',"ReplaceableTextures\\CommandButtons\\BTNTome.blp")</v>
      </c>
      <c r="CU95" s="45" t="str">
        <f t="shared" si="1184"/>
        <v>|n</v>
      </c>
      <c r="CV95" s="29" t="str">
        <f t="shared" si="1185"/>
        <v>攻击速度+60%，持续15秒。</v>
      </c>
      <c r="CW95" s="24"/>
      <c r="CX95" s="24"/>
      <c r="CY95" s="24"/>
      <c r="CZ95" s="24"/>
      <c r="DA95" s="24"/>
      <c r="DB95" s="30" t="str">
        <f t="shared" si="1186"/>
        <v/>
      </c>
      <c r="DC95" s="30" t="str">
        <f t="shared" si="1187"/>
        <v/>
      </c>
      <c r="DD95" s="30" t="str">
        <f t="shared" si="1188"/>
        <v/>
      </c>
      <c r="DE95" s="30" t="str">
        <f t="shared" si="1189"/>
        <v/>
      </c>
      <c r="DF95" s="30" t="str">
        <f t="shared" si="1190"/>
        <v/>
      </c>
      <c r="DG95" s="30" t="str">
        <f t="shared" si="1191"/>
        <v/>
      </c>
      <c r="DH95" s="30" t="str">
        <f t="shared" si="1192"/>
        <v/>
      </c>
      <c r="DI95" s="30" t="str">
        <f t="shared" si="1193"/>
        <v/>
      </c>
      <c r="DJ95" s="30" t="str">
        <f t="shared" si="1194"/>
        <v/>
      </c>
      <c r="DK95" s="30" t="str">
        <f t="shared" si="1195"/>
        <v/>
      </c>
      <c r="DL95" s="30" t="str">
        <f t="shared" si="1196"/>
        <v/>
      </c>
      <c r="DM95" s="30" t="str">
        <f t="shared" si="1197"/>
        <v/>
      </c>
      <c r="DN95" s="30" t="str">
        <f t="shared" si="1198"/>
        <v/>
      </c>
      <c r="DO95" s="30" t="str">
        <f t="shared" si="1199"/>
        <v/>
      </c>
      <c r="DP95" s="30" t="str">
        <f t="shared" si="1200"/>
        <v/>
      </c>
      <c r="DQ95" s="30" t="str">
        <f t="shared" si="1201"/>
        <v/>
      </c>
      <c r="DR95" s="30" t="str">
        <f t="shared" si="1202"/>
        <v/>
      </c>
      <c r="DS95" s="30" t="str">
        <f t="shared" si="1203"/>
        <v/>
      </c>
      <c r="DT95" s="30" t="str">
        <f t="shared" si="1204"/>
        <v/>
      </c>
      <c r="DU95" s="30" t="str">
        <f t="shared" si="1205"/>
        <v/>
      </c>
      <c r="DV95" s="30" t="str">
        <f t="shared" si="1206"/>
        <v/>
      </c>
      <c r="DW95" s="30" t="str">
        <f t="shared" si="1207"/>
        <v/>
      </c>
      <c r="DX95" s="30" t="str">
        <f t="shared" si="1208"/>
        <v/>
      </c>
      <c r="DY95" s="30" t="str">
        <f t="shared" si="1209"/>
        <v/>
      </c>
      <c r="DZ95" s="30" t="str">
        <f t="shared" si="1210"/>
        <v/>
      </c>
      <c r="EA95" s="30" t="str">
        <f t="shared" si="1211"/>
        <v/>
      </c>
      <c r="EB95" s="30" t="str">
        <f t="shared" si="1212"/>
        <v/>
      </c>
      <c r="EC95" s="30" t="str">
        <f t="shared" si="1213"/>
        <v/>
      </c>
      <c r="ED95" s="30" t="str">
        <f t="shared" si="1214"/>
        <v/>
      </c>
      <c r="EE95" s="30" t="str">
        <f t="shared" si="1215"/>
        <v/>
      </c>
      <c r="EF95" s="30" t="str">
        <f t="shared" si="1216"/>
        <v/>
      </c>
      <c r="EG95" s="30" t="str">
        <f t="shared" si="1217"/>
        <v/>
      </c>
      <c r="EH95" s="30" t="str">
        <f t="shared" si="1218"/>
        <v/>
      </c>
      <c r="EI95" s="30" t="str">
        <f t="shared" si="1219"/>
        <v/>
      </c>
      <c r="EJ95" s="30" t="str">
        <f t="shared" si="1220"/>
        <v/>
      </c>
      <c r="EK95" s="30" t="str">
        <f t="shared" si="1221"/>
        <v/>
      </c>
      <c r="EL95" s="30" t="str">
        <f t="shared" si="1222"/>
        <v/>
      </c>
      <c r="EM95" s="30" t="str">
        <f t="shared" si="1223"/>
        <v/>
      </c>
      <c r="EN95" s="30" t="str">
        <f t="shared" si="1224"/>
        <v/>
      </c>
      <c r="EO95" s="30" t="str">
        <f t="shared" si="1225"/>
        <v/>
      </c>
      <c r="EP95" s="30" t="str">
        <f t="shared" si="1226"/>
        <v/>
      </c>
      <c r="EQ95" s="30" t="str">
        <f t="shared" si="1227"/>
        <v/>
      </c>
      <c r="ER95" s="30" t="str">
        <f t="shared" si="1228"/>
        <v/>
      </c>
      <c r="ES95" s="30" t="str">
        <f t="shared" si="1229"/>
        <v/>
      </c>
      <c r="ET95" s="30" t="str">
        <f t="shared" si="1230"/>
        <v/>
      </c>
      <c r="EU95" s="30" t="str">
        <f t="shared" si="1231"/>
        <v/>
      </c>
      <c r="EV95" s="30" t="str">
        <f t="shared" si="1232"/>
        <v/>
      </c>
      <c r="EW95" s="30" t="str">
        <f t="shared" si="1233"/>
        <v/>
      </c>
      <c r="EX95" s="30" t="str">
        <f t="shared" si="1234"/>
        <v/>
      </c>
      <c r="EY95" s="30" t="str">
        <f t="shared" si="1235"/>
        <v/>
      </c>
      <c r="EZ95" s="30" t="str">
        <f t="shared" si="1236"/>
        <v/>
      </c>
      <c r="FA95" s="30" t="str">
        <f t="shared" si="1237"/>
        <v/>
      </c>
      <c r="FB95" s="30" t="str">
        <f t="shared" si="1238"/>
        <v/>
      </c>
      <c r="FC95" s="30" t="str">
        <f t="shared" si="1239"/>
        <v/>
      </c>
      <c r="FD95" s="30" t="str">
        <f t="shared" si="1240"/>
        <v/>
      </c>
      <c r="FE95" s="30" t="str">
        <f t="shared" si="1241"/>
        <v/>
      </c>
      <c r="FF95" s="30" t="str">
        <f t="shared" si="1242"/>
        <v/>
      </c>
      <c r="FG95" s="30" t="str">
        <f t="shared" si="1243"/>
        <v/>
      </c>
      <c r="FH95" s="30" t="str">
        <f t="shared" si="1244"/>
        <v/>
      </c>
      <c r="FI95" s="30" t="str">
        <f t="shared" si="1245"/>
        <v/>
      </c>
      <c r="FJ95" s="30" t="str">
        <f t="shared" si="1246"/>
        <v/>
      </c>
      <c r="FK95" s="30" t="str">
        <f t="shared" si="1247"/>
        <v/>
      </c>
      <c r="FL95" s="30" t="str">
        <f t="shared" si="1248"/>
        <v/>
      </c>
      <c r="FM95" s="30" t="str">
        <f t="shared" si="1249"/>
        <v/>
      </c>
      <c r="FN95" s="30" t="str">
        <f t="shared" si="1250"/>
        <v/>
      </c>
      <c r="FO95" s="30" t="str">
        <f t="shared" si="1251"/>
        <v/>
      </c>
      <c r="FP95" s="30" t="str">
        <f t="shared" si="1252"/>
        <v/>
      </c>
      <c r="FQ95" s="30" t="str">
        <f t="shared" si="1253"/>
        <v/>
      </c>
      <c r="FR95" s="30" t="str">
        <f t="shared" si="1254"/>
        <v/>
      </c>
      <c r="FS95" s="30" t="str">
        <f t="shared" si="1255"/>
        <v/>
      </c>
    </row>
    <row r="96" spans="1:175" ht="16.5">
      <c r="A96" s="111"/>
      <c r="B96" s="111" t="s">
        <v>947</v>
      </c>
      <c r="C96" s="111" t="s">
        <v>951</v>
      </c>
      <c r="T96" s="122" t="s">
        <v>959</v>
      </c>
      <c r="U96" s="37" t="s">
        <v>822</v>
      </c>
      <c r="CN96" s="7" t="str">
        <f t="shared" ref="CN96:CN98" si="1256">"InitUnitState('"&amp;B96&amp;"',"&amp;V96&amp;","&amp;W96&amp;","&amp;X96&amp;","&amp;Y96&amp;","&amp;Z96&amp;","&amp;AA96&amp;","&amp;AB96&amp;","&amp;AC96&amp;","&amp;AD96&amp;","&amp;AE96&amp;")"</f>
        <v>InitUnitState('I004',,,,,,,,,,)</v>
      </c>
      <c r="CO96" s="7" t="str">
        <f t="shared" ref="CO96:CO98" si="1257">"InitUnitNormal('"&amp;B96&amp;"',"&amp;AF96&amp;","&amp;AG96&amp;","&amp;AH96&amp;","&amp;AI96&amp;","&amp;AJ96&amp;","&amp;AK96&amp;","&amp;AL96&amp;","&amp;AM96&amp;","&amp;AN96&amp;","&amp;AO96&amp;")"</f>
        <v>InitUnitNormal('I004',,,,,,,,,,)</v>
      </c>
      <c r="CP96" s="7" t="str">
        <f t="shared" ref="CP96:CP98" si="1258">"InitUnitMagic('"&amp;B96&amp;"',"&amp;AP96&amp;","&amp;AQ96&amp;","&amp;AR96&amp;","&amp;AS96&amp;","&amp;AT96&amp;","&amp;AU96&amp;","&amp;AV96&amp;","&amp;AW96&amp;","&amp;BI96&amp;","&amp;BJ96&amp;")"</f>
        <v>InitUnitMagic('I004',,,,,,,,,,)</v>
      </c>
      <c r="CQ96" s="7" t="str">
        <f t="shared" ref="CQ96:CQ98" si="1259">"InitUnitAdd('"&amp;B96&amp;"',"&amp;BK96&amp;","&amp;BL96&amp;","&amp;BM96&amp;","&amp;BN96&amp;","&amp;BO96&amp;","&amp;BP96&amp;","&amp;BQ96&amp;","&amp;BR96&amp;","&amp;BS96&amp;","&amp;BT96&amp;")"</f>
        <v>InitUnitAdd('I004',,,,,,,,,,)</v>
      </c>
      <c r="CR96" s="7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102&amp;CR$1&amp;")"</f>
        <v>InitEquipData('I004',,"",,,,,'','','','','','',"ReplaceableTextures\\CommandButtons\\BTNTome.blp")</v>
      </c>
      <c r="CU96" s="45" t="str">
        <f t="shared" ref="CU96:CU98" si="1260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29" t="str">
        <f t="shared" ref="CV96:CV98" si="1261">T96</f>
        <v>法术伤害提高40%，持续15秒。</v>
      </c>
      <c r="CW96" s="24"/>
      <c r="CX96" s="24"/>
      <c r="CY96" s="24"/>
      <c r="CZ96" s="24"/>
      <c r="DA96" s="24"/>
      <c r="DB96" s="30" t="str">
        <f t="shared" ref="DB96:DB98" si="1262">IF(V96="","","|n"&amp;DB$2&amp;"+"&amp;V96&amp;DB$1)</f>
        <v/>
      </c>
      <c r="DC96" s="30" t="str">
        <f t="shared" ref="DC96:DC98" si="1263">IF(W96="","","|n"&amp;DC$2&amp;"+"&amp;W96&amp;DC$1)</f>
        <v/>
      </c>
      <c r="DD96" s="30" t="str">
        <f t="shared" ref="DD96:DD98" si="1264">IF(X96="","","|n"&amp;DD$2&amp;"+"&amp;X96&amp;DD$1)</f>
        <v/>
      </c>
      <c r="DE96" s="30" t="str">
        <f t="shared" ref="DE96:DE98" si="1265">IF(Y96="","","|n"&amp;DE$2&amp;"+"&amp;Y96&amp;DE$1)</f>
        <v/>
      </c>
      <c r="DF96" s="30" t="str">
        <f t="shared" ref="DF96:DF98" si="1266">IF(Z96="","","|n"&amp;DF$2&amp;"+"&amp;Z96&amp;DF$1)</f>
        <v/>
      </c>
      <c r="DG96" s="30" t="str">
        <f t="shared" ref="DG96:DG98" si="1267">IF(AA96="","","|n"&amp;DG$2&amp;"+"&amp;AA96&amp;DG$1)</f>
        <v/>
      </c>
      <c r="DH96" s="30" t="str">
        <f t="shared" ref="DH96:DH98" si="1268">IF(AB96="","","|n"&amp;DH$2&amp;"+"&amp;AB96&amp;DH$1)</f>
        <v/>
      </c>
      <c r="DI96" s="30" t="str">
        <f t="shared" ref="DI96:DI98" si="1269">IF(AC96="","","|n"&amp;DI$2&amp;"+"&amp;AC96&amp;DI$1)</f>
        <v/>
      </c>
      <c r="DJ96" s="30" t="str">
        <f t="shared" ref="DJ96:DJ98" si="1270">IF(AD96="","","|n"&amp;DJ$2&amp;"+"&amp;AD96&amp;DJ$1)</f>
        <v/>
      </c>
      <c r="DK96" s="30" t="str">
        <f t="shared" ref="DK96:DK98" si="1271">IF(AE96="","","|n"&amp;DK$2&amp;"+"&amp;AE96&amp;DK$1)</f>
        <v/>
      </c>
      <c r="DL96" s="30" t="str">
        <f t="shared" ref="DL96:DL98" si="1272">IF(AF96="","","|n"&amp;DL$2&amp;"+"&amp;AF96&amp;DL$1)</f>
        <v/>
      </c>
      <c r="DM96" s="30" t="str">
        <f t="shared" ref="DM96:DM98" si="1273">IF(AG96="","","|n"&amp;DM$2&amp;"+"&amp;AG96&amp;DM$1)</f>
        <v/>
      </c>
      <c r="DN96" s="30" t="str">
        <f t="shared" ref="DN96:DN98" si="1274">IF(AH96="","","|n"&amp;DN$2&amp;"+"&amp;AH96&amp;DN$1)</f>
        <v/>
      </c>
      <c r="DO96" s="30" t="str">
        <f t="shared" ref="DO96:DO98" si="1275">IF(AI96="","","|n"&amp;DO$2&amp;"+"&amp;AI96&amp;DO$1)</f>
        <v/>
      </c>
      <c r="DP96" s="30" t="str">
        <f t="shared" ref="DP96:DP98" si="1276">IF(AJ96="","","|n"&amp;DP$2&amp;"+"&amp;AJ96&amp;DP$1)</f>
        <v/>
      </c>
      <c r="DQ96" s="30" t="str">
        <f t="shared" ref="DQ96:DQ98" si="1277">IF(AK96="","","|n"&amp;DQ$2&amp;"+"&amp;AK96&amp;DQ$1)</f>
        <v/>
      </c>
      <c r="DR96" s="30" t="str">
        <f t="shared" ref="DR96:DR98" si="1278">IF(AL96="","","|n"&amp;DR$2&amp;"+"&amp;AL96&amp;DR$1)</f>
        <v/>
      </c>
      <c r="DS96" s="30" t="str">
        <f t="shared" ref="DS96:DS98" si="1279">IF(AM96="","","|n"&amp;DS$2&amp;"+"&amp;AM96&amp;DS$1)</f>
        <v/>
      </c>
      <c r="DT96" s="30" t="str">
        <f t="shared" ref="DT96:DT98" si="1280">IF(AN96="","","|n"&amp;DT$2&amp;"+"&amp;AN96&amp;DT$1)</f>
        <v/>
      </c>
      <c r="DU96" s="30" t="str">
        <f t="shared" ref="DU96:DU98" si="1281">IF(AO96="","","|n"&amp;DU$2&amp;"+"&amp;AO96&amp;DU$1)</f>
        <v/>
      </c>
      <c r="DV96" s="30" t="str">
        <f t="shared" ref="DV96:DV98" si="1282">IF(AP96="","","|n"&amp;DV$2&amp;"+"&amp;AP96&amp;DV$1)</f>
        <v/>
      </c>
      <c r="DW96" s="30" t="str">
        <f t="shared" ref="DW96:DW98" si="1283">IF(AQ96="","","|n"&amp;DW$2&amp;"+"&amp;AQ96&amp;DW$1)</f>
        <v/>
      </c>
      <c r="DX96" s="30" t="str">
        <f t="shared" ref="DX96:DX98" si="1284">IF(AR96="","","|n"&amp;DX$2&amp;"+"&amp;AR96&amp;DX$1)</f>
        <v/>
      </c>
      <c r="DY96" s="30" t="str">
        <f t="shared" ref="DY96:DY98" si="1285">IF(AS96="","","|n"&amp;DY$2&amp;"+"&amp;AS96&amp;DY$1)</f>
        <v/>
      </c>
      <c r="DZ96" s="30" t="str">
        <f t="shared" ref="DZ96:DZ98" si="1286">IF(AT96="","","|n"&amp;DZ$2&amp;"+"&amp;AT96&amp;DZ$1)</f>
        <v/>
      </c>
      <c r="EA96" s="30" t="str">
        <f t="shared" ref="EA96:EA98" si="1287">IF(AU96="","","|n"&amp;EA$2&amp;"+"&amp;AU96&amp;EA$1)</f>
        <v/>
      </c>
      <c r="EB96" s="30" t="str">
        <f t="shared" ref="EB96:EB98" si="1288">IF(AV96="","","|n"&amp;EB$2&amp;"+"&amp;AV96&amp;EB$1)</f>
        <v/>
      </c>
      <c r="EC96" s="30" t="str">
        <f t="shared" ref="EC96:EC98" si="1289">IF(AW96="","","|n"&amp;EC$2&amp;"+"&amp;AW96&amp;EC$1)</f>
        <v/>
      </c>
      <c r="ED96" s="30" t="str">
        <f t="shared" ref="ED96:ED98" si="1290">IF(AX96="","","|n"&amp;ED$2&amp;"+"&amp;AX96&amp;ED$1)</f>
        <v/>
      </c>
      <c r="EE96" s="30" t="str">
        <f t="shared" ref="EE96:EE98" si="1291">IF(AY96="","","|n"&amp;EE$2&amp;"+"&amp;AY96&amp;EE$1)</f>
        <v/>
      </c>
      <c r="EF96" s="30" t="str">
        <f t="shared" ref="EF96:EF98" si="1292">IF(AZ96="","","|n"&amp;EF$2&amp;"+"&amp;AZ96&amp;EF$1)</f>
        <v/>
      </c>
      <c r="EG96" s="30" t="str">
        <f t="shared" ref="EG96:EG98" si="1293">IF(BA96="","","|n"&amp;EG$2&amp;"+"&amp;BA96&amp;EG$1)</f>
        <v/>
      </c>
      <c r="EH96" s="30" t="str">
        <f t="shared" ref="EH96:EH98" si="1294">IF(BB96="","","|n"&amp;EH$2&amp;"+"&amp;BB96&amp;EH$1)</f>
        <v/>
      </c>
      <c r="EI96" s="30" t="str">
        <f t="shared" ref="EI96:EI98" si="1295">IF(BC96="","","|n"&amp;EI$2&amp;"+"&amp;BC96&amp;EI$1)</f>
        <v/>
      </c>
      <c r="EJ96" s="30" t="str">
        <f t="shared" ref="EJ96:EJ98" si="1296">IF(BD96="","","|n"&amp;EJ$2&amp;"+"&amp;BD96&amp;EJ$1)</f>
        <v/>
      </c>
      <c r="EK96" s="30" t="str">
        <f t="shared" ref="EK96:EK98" si="1297">IF(BE96="","","|n"&amp;EK$2&amp;"+"&amp;BE96&amp;EK$1)</f>
        <v/>
      </c>
      <c r="EL96" s="30" t="str">
        <f t="shared" ref="EL96:EL98" si="1298">IF(BF96="","","|n"&amp;EL$2&amp;"+"&amp;BF96&amp;EL$1)</f>
        <v/>
      </c>
      <c r="EM96" s="30" t="str">
        <f t="shared" ref="EM96:EM98" si="1299">IF(BG96="","","|n"&amp;EM$2&amp;"+"&amp;BG96&amp;EM$1)</f>
        <v/>
      </c>
      <c r="EN96" s="30" t="str">
        <f t="shared" ref="EN96:EN98" si="1300">IF(BH96="","","|n"&amp;EN$2&amp;"+"&amp;BH96&amp;EN$1)</f>
        <v/>
      </c>
      <c r="EO96" s="30" t="str">
        <f t="shared" ref="EO96:EO98" si="1301">IF(BI96="","","|n"&amp;EO$2&amp;"+"&amp;BI96&amp;EO$1)</f>
        <v/>
      </c>
      <c r="EP96" s="30" t="str">
        <f t="shared" ref="EP96:EP98" si="1302">IF(BJ96="","","|n"&amp;EP$2&amp;"+"&amp;BJ96&amp;EP$1)</f>
        <v/>
      </c>
      <c r="EQ96" s="30" t="str">
        <f t="shared" ref="EQ96:EQ98" si="1303">IF(BK96="","","|n"&amp;EQ$2&amp;"+"&amp;BK96&amp;EQ$1)</f>
        <v/>
      </c>
      <c r="ER96" s="30" t="str">
        <f t="shared" ref="ER96:ER98" si="1304">IF(BL96="","","|n"&amp;ER$2&amp;"+"&amp;BL96&amp;ER$1)</f>
        <v/>
      </c>
      <c r="ES96" s="30" t="str">
        <f t="shared" ref="ES96:ES98" si="1305">IF(BM96="","","|n"&amp;ES$2&amp;"+"&amp;BM96&amp;ES$1)</f>
        <v/>
      </c>
      <c r="ET96" s="30" t="str">
        <f t="shared" ref="ET96:ET98" si="1306">IF(BN96="","","|n"&amp;ET$2&amp;"+"&amp;BN96&amp;ET$1)</f>
        <v/>
      </c>
      <c r="EU96" s="30" t="str">
        <f t="shared" ref="EU96:EU98" si="1307">IF(BO96="","","|n"&amp;EU$2&amp;"+"&amp;BO96&amp;EU$1)</f>
        <v/>
      </c>
      <c r="EV96" s="30" t="str">
        <f t="shared" ref="EV96:EV98" si="1308">IF(BP96="","","|n"&amp;EV$2&amp;"+"&amp;BP96&amp;EV$1)</f>
        <v/>
      </c>
      <c r="EW96" s="30" t="str">
        <f t="shared" ref="EW96:EW98" si="1309">IF(BQ96="","","|n"&amp;EW$2&amp;"+"&amp;BQ96&amp;EW$1)</f>
        <v/>
      </c>
      <c r="EX96" s="30" t="str">
        <f t="shared" ref="EX96:EX98" si="1310">IF(BR96="","","|n"&amp;EX$2&amp;"+"&amp;BR96&amp;EX$1)</f>
        <v/>
      </c>
      <c r="EY96" s="30" t="str">
        <f t="shared" ref="EY96:EY98" si="1311">IF(BS96="","","|n"&amp;EY$2&amp;"+"&amp;BS96&amp;EY$1)</f>
        <v/>
      </c>
      <c r="EZ96" s="30" t="str">
        <f t="shared" ref="EZ96:EZ98" si="1312">IF(BT96="","","|n"&amp;EZ$2&amp;"+"&amp;BT96&amp;EZ$1)</f>
        <v/>
      </c>
      <c r="FA96" s="30" t="str">
        <f t="shared" ref="FA96:FA98" si="1313">IF(BU96="","","|n"&amp;FA$2&amp;"+"&amp;BU96&amp;FA$1)</f>
        <v/>
      </c>
      <c r="FB96" s="30" t="str">
        <f t="shared" ref="FB96:FB98" si="1314">IF(BV96="","","|n"&amp;FB$2&amp;"+"&amp;BV96&amp;FB$1)</f>
        <v/>
      </c>
      <c r="FC96" s="30" t="str">
        <f t="shared" ref="FC96:FC98" si="1315">IF(BW96="","","|n"&amp;FC$2&amp;"+"&amp;BW96&amp;FC$1)</f>
        <v/>
      </c>
      <c r="FD96" s="30" t="str">
        <f t="shared" ref="FD96:FD98" si="1316">IF(BX96="","","|n"&amp;FD$2&amp;"+"&amp;BX96&amp;FD$1)</f>
        <v/>
      </c>
      <c r="FE96" s="30" t="str">
        <f t="shared" ref="FE96:FE98" si="1317">IF(BY96="","","|n"&amp;FE$2&amp;"+"&amp;BY96&amp;FE$1)</f>
        <v/>
      </c>
      <c r="FF96" s="30" t="str">
        <f t="shared" ref="FF96:FF98" si="1318">IF(BZ96="","","|n"&amp;FF$2&amp;"+"&amp;BZ96&amp;FF$1)</f>
        <v/>
      </c>
      <c r="FG96" s="30" t="str">
        <f t="shared" ref="FG96:FG98" si="1319">IF(CA96="","","|n"&amp;FG$2&amp;"+"&amp;CA96&amp;FG$1)</f>
        <v/>
      </c>
      <c r="FH96" s="30" t="str">
        <f t="shared" ref="FH96:FH98" si="1320">IF(CB96="","","|n"&amp;FH$2&amp;"+"&amp;CB96&amp;FH$1)</f>
        <v/>
      </c>
      <c r="FI96" s="30" t="str">
        <f t="shared" ref="FI96:FI98" si="1321">IF(CC96="","","|n"&amp;FI$2&amp;"+"&amp;CC96&amp;FI$1)</f>
        <v/>
      </c>
      <c r="FJ96" s="30" t="str">
        <f t="shared" ref="FJ96:FJ98" si="1322">IF(CD96="","","|n"&amp;FJ$2&amp;"+"&amp;CD96&amp;FJ$1)</f>
        <v/>
      </c>
      <c r="FK96" s="30" t="str">
        <f t="shared" ref="FK96:FK98" si="1323">IF(CE96="","","|n"&amp;FK$2&amp;"+"&amp;CE96&amp;FK$1)</f>
        <v/>
      </c>
      <c r="FL96" s="30" t="str">
        <f t="shared" ref="FL96:FL98" si="1324">IF(CF96="","","|n"&amp;FL$2&amp;"+"&amp;CF96&amp;FL$1)</f>
        <v/>
      </c>
      <c r="FM96" s="30" t="str">
        <f t="shared" ref="FM96:FM98" si="1325">IF(CG96="","","|n"&amp;FM$2&amp;"+"&amp;CG96&amp;FM$1)</f>
        <v/>
      </c>
      <c r="FN96" s="30" t="str">
        <f t="shared" ref="FN96:FN98" si="1326">IF(CH96="","","|n"&amp;FN$2&amp;"+"&amp;CH96&amp;FN$1)</f>
        <v/>
      </c>
      <c r="FO96" s="30" t="str">
        <f t="shared" ref="FO96:FO98" si="1327">IF(CI96="","","|n"&amp;FO$2&amp;"+"&amp;CI96&amp;FO$1)</f>
        <v/>
      </c>
      <c r="FP96" s="30" t="str">
        <f t="shared" ref="FP96:FP98" si="1328">IF(CJ96="","","|n"&amp;FP$2&amp;"+"&amp;CJ96&amp;FP$1)</f>
        <v/>
      </c>
      <c r="FQ96" s="30" t="str">
        <f t="shared" ref="FQ96:FQ98" si="1329">IF(CK96="","","|n"&amp;FQ$2&amp;"+"&amp;CK96&amp;FQ$1)</f>
        <v/>
      </c>
      <c r="FR96" s="30" t="str">
        <f t="shared" ref="FR96:FR98" si="1330">IF(CL96="","","|n"&amp;FR$2&amp;"+"&amp;CL96&amp;FR$1)</f>
        <v/>
      </c>
      <c r="FS96" s="30" t="str">
        <f t="shared" ref="FS96:FS98" si="1331">IF(CM96="","","|n"&amp;FS$2&amp;"+"&amp;CM96&amp;FS$1)</f>
        <v/>
      </c>
    </row>
    <row r="97" spans="1:175" ht="16.5">
      <c r="A97" s="111"/>
      <c r="B97" s="111" t="s">
        <v>948</v>
      </c>
      <c r="C97" s="111" t="s">
        <v>952</v>
      </c>
      <c r="T97" s="122" t="s">
        <v>960</v>
      </c>
      <c r="U97" s="37" t="s">
        <v>822</v>
      </c>
      <c r="CN97" s="7" t="str">
        <f t="shared" ref="CN97" si="1332">"InitUnitState('"&amp;B97&amp;"',"&amp;V97&amp;","&amp;W97&amp;","&amp;X97&amp;","&amp;Y97&amp;","&amp;Z97&amp;","&amp;AA97&amp;","&amp;AB97&amp;","&amp;AC97&amp;","&amp;AD97&amp;","&amp;AE97&amp;")"</f>
        <v>InitUnitState('I005',,,,,,,,,,)</v>
      </c>
      <c r="CO97" s="7" t="str">
        <f t="shared" ref="CO97" si="1333">"InitUnitNormal('"&amp;B97&amp;"',"&amp;AF97&amp;","&amp;AG97&amp;","&amp;AH97&amp;","&amp;AI97&amp;","&amp;AJ97&amp;","&amp;AK97&amp;","&amp;AL97&amp;","&amp;AM97&amp;","&amp;AN97&amp;","&amp;AO97&amp;")"</f>
        <v>InitUnitNormal('I005',,,,,,,,,,)</v>
      </c>
      <c r="CP97" s="7" t="str">
        <f t="shared" ref="CP97" si="1334">"InitUnitMagic('"&amp;B97&amp;"',"&amp;AP97&amp;","&amp;AQ97&amp;","&amp;AR97&amp;","&amp;AS97&amp;","&amp;AT97&amp;","&amp;AU97&amp;","&amp;AV97&amp;","&amp;AW97&amp;","&amp;BI97&amp;","&amp;BJ97&amp;")"</f>
        <v>InitUnitMagic('I005',,,,,,,,,,)</v>
      </c>
      <c r="CQ97" s="7" t="str">
        <f t="shared" ref="CQ97" si="1335">"InitUnitAdd('"&amp;B97&amp;"',"&amp;BK97&amp;","&amp;BL97&amp;","&amp;BM97&amp;","&amp;BN97&amp;","&amp;BO97&amp;","&amp;BP97&amp;","&amp;BQ97&amp;","&amp;BR97&amp;","&amp;BS97&amp;","&amp;BT97&amp;")"</f>
        <v>InitUnitAdd('I005',,,,,,,,,,)</v>
      </c>
      <c r="CR97" s="7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103&amp;CR$1&amp;")"</f>
        <v>InitEquipData('I005',,"",,,,,'','','','','','',"ReplaceableTextures\\CommandButtons\\BTNTome.blp")</v>
      </c>
      <c r="CU97" s="45" t="str">
        <f t="shared" ref="CU97" si="1336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29" t="str">
        <f t="shared" ref="CV97" si="1337">T97</f>
        <v>物理伤害提高40%，持续15秒。</v>
      </c>
      <c r="CW97" s="24"/>
      <c r="CX97" s="24"/>
      <c r="CY97" s="24"/>
      <c r="CZ97" s="24"/>
      <c r="DA97" s="24"/>
      <c r="DB97" s="30" t="str">
        <f t="shared" ref="DB97" si="1338">IF(V97="","","|n"&amp;DB$2&amp;"+"&amp;V97&amp;DB$1)</f>
        <v/>
      </c>
      <c r="DC97" s="30" t="str">
        <f t="shared" ref="DC97" si="1339">IF(W97="","","|n"&amp;DC$2&amp;"+"&amp;W97&amp;DC$1)</f>
        <v/>
      </c>
      <c r="DD97" s="30" t="str">
        <f t="shared" ref="DD97" si="1340">IF(X97="","","|n"&amp;DD$2&amp;"+"&amp;X97&amp;DD$1)</f>
        <v/>
      </c>
      <c r="DE97" s="30" t="str">
        <f t="shared" ref="DE97" si="1341">IF(Y97="","","|n"&amp;DE$2&amp;"+"&amp;Y97&amp;DE$1)</f>
        <v/>
      </c>
      <c r="DF97" s="30" t="str">
        <f t="shared" ref="DF97" si="1342">IF(Z97="","","|n"&amp;DF$2&amp;"+"&amp;Z97&amp;DF$1)</f>
        <v/>
      </c>
      <c r="DG97" s="30" t="str">
        <f t="shared" ref="DG97" si="1343">IF(AA97="","","|n"&amp;DG$2&amp;"+"&amp;AA97&amp;DG$1)</f>
        <v/>
      </c>
      <c r="DH97" s="30" t="str">
        <f t="shared" ref="DH97" si="1344">IF(AB97="","","|n"&amp;DH$2&amp;"+"&amp;AB97&amp;DH$1)</f>
        <v/>
      </c>
      <c r="DI97" s="30" t="str">
        <f t="shared" ref="DI97" si="1345">IF(AC97="","","|n"&amp;DI$2&amp;"+"&amp;AC97&amp;DI$1)</f>
        <v/>
      </c>
      <c r="DJ97" s="30" t="str">
        <f t="shared" ref="DJ97" si="1346">IF(AD97="","","|n"&amp;DJ$2&amp;"+"&amp;AD97&amp;DJ$1)</f>
        <v/>
      </c>
      <c r="DK97" s="30" t="str">
        <f t="shared" ref="DK97" si="1347">IF(AE97="","","|n"&amp;DK$2&amp;"+"&amp;AE97&amp;DK$1)</f>
        <v/>
      </c>
      <c r="DL97" s="30" t="str">
        <f t="shared" ref="DL97" si="1348">IF(AF97="","","|n"&amp;DL$2&amp;"+"&amp;AF97&amp;DL$1)</f>
        <v/>
      </c>
      <c r="DM97" s="30" t="str">
        <f t="shared" ref="DM97" si="1349">IF(AG97="","","|n"&amp;DM$2&amp;"+"&amp;AG97&amp;DM$1)</f>
        <v/>
      </c>
      <c r="DN97" s="30" t="str">
        <f t="shared" ref="DN97" si="1350">IF(AH97="","","|n"&amp;DN$2&amp;"+"&amp;AH97&amp;DN$1)</f>
        <v/>
      </c>
      <c r="DO97" s="30" t="str">
        <f t="shared" ref="DO97" si="1351">IF(AI97="","","|n"&amp;DO$2&amp;"+"&amp;AI97&amp;DO$1)</f>
        <v/>
      </c>
      <c r="DP97" s="30" t="str">
        <f t="shared" ref="DP97" si="1352">IF(AJ97="","","|n"&amp;DP$2&amp;"+"&amp;AJ97&amp;DP$1)</f>
        <v/>
      </c>
      <c r="DQ97" s="30" t="str">
        <f t="shared" ref="DQ97" si="1353">IF(AK97="","","|n"&amp;DQ$2&amp;"+"&amp;AK97&amp;DQ$1)</f>
        <v/>
      </c>
      <c r="DR97" s="30" t="str">
        <f t="shared" ref="DR97" si="1354">IF(AL97="","","|n"&amp;DR$2&amp;"+"&amp;AL97&amp;DR$1)</f>
        <v/>
      </c>
      <c r="DS97" s="30" t="str">
        <f t="shared" ref="DS97" si="1355">IF(AM97="","","|n"&amp;DS$2&amp;"+"&amp;AM97&amp;DS$1)</f>
        <v/>
      </c>
      <c r="DT97" s="30" t="str">
        <f t="shared" ref="DT97" si="1356">IF(AN97="","","|n"&amp;DT$2&amp;"+"&amp;AN97&amp;DT$1)</f>
        <v/>
      </c>
      <c r="DU97" s="30" t="str">
        <f t="shared" ref="DU97" si="1357">IF(AO97="","","|n"&amp;DU$2&amp;"+"&amp;AO97&amp;DU$1)</f>
        <v/>
      </c>
      <c r="DV97" s="30" t="str">
        <f t="shared" ref="DV97" si="1358">IF(AP97="","","|n"&amp;DV$2&amp;"+"&amp;AP97&amp;DV$1)</f>
        <v/>
      </c>
      <c r="DW97" s="30" t="str">
        <f t="shared" ref="DW97" si="1359">IF(AQ97="","","|n"&amp;DW$2&amp;"+"&amp;AQ97&amp;DW$1)</f>
        <v/>
      </c>
      <c r="DX97" s="30" t="str">
        <f t="shared" ref="DX97" si="1360">IF(AR97="","","|n"&amp;DX$2&amp;"+"&amp;AR97&amp;DX$1)</f>
        <v/>
      </c>
      <c r="DY97" s="30" t="str">
        <f t="shared" ref="DY97" si="1361">IF(AS97="","","|n"&amp;DY$2&amp;"+"&amp;AS97&amp;DY$1)</f>
        <v/>
      </c>
      <c r="DZ97" s="30" t="str">
        <f t="shared" ref="DZ97" si="1362">IF(AT97="","","|n"&amp;DZ$2&amp;"+"&amp;AT97&amp;DZ$1)</f>
        <v/>
      </c>
      <c r="EA97" s="30" t="str">
        <f t="shared" ref="EA97" si="1363">IF(AU97="","","|n"&amp;EA$2&amp;"+"&amp;AU97&amp;EA$1)</f>
        <v/>
      </c>
      <c r="EB97" s="30" t="str">
        <f t="shared" ref="EB97" si="1364">IF(AV97="","","|n"&amp;EB$2&amp;"+"&amp;AV97&amp;EB$1)</f>
        <v/>
      </c>
      <c r="EC97" s="30" t="str">
        <f t="shared" ref="EC97" si="1365">IF(AW97="","","|n"&amp;EC$2&amp;"+"&amp;AW97&amp;EC$1)</f>
        <v/>
      </c>
      <c r="ED97" s="30" t="str">
        <f t="shared" ref="ED97" si="1366">IF(AX97="","","|n"&amp;ED$2&amp;"+"&amp;AX97&amp;ED$1)</f>
        <v/>
      </c>
      <c r="EE97" s="30" t="str">
        <f t="shared" ref="EE97" si="1367">IF(AY97="","","|n"&amp;EE$2&amp;"+"&amp;AY97&amp;EE$1)</f>
        <v/>
      </c>
      <c r="EF97" s="30" t="str">
        <f t="shared" ref="EF97" si="1368">IF(AZ97="","","|n"&amp;EF$2&amp;"+"&amp;AZ97&amp;EF$1)</f>
        <v/>
      </c>
      <c r="EG97" s="30" t="str">
        <f t="shared" ref="EG97" si="1369">IF(BA97="","","|n"&amp;EG$2&amp;"+"&amp;BA97&amp;EG$1)</f>
        <v/>
      </c>
      <c r="EH97" s="30" t="str">
        <f t="shared" ref="EH97" si="1370">IF(BB97="","","|n"&amp;EH$2&amp;"+"&amp;BB97&amp;EH$1)</f>
        <v/>
      </c>
      <c r="EI97" s="30" t="str">
        <f t="shared" ref="EI97" si="1371">IF(BC97="","","|n"&amp;EI$2&amp;"+"&amp;BC97&amp;EI$1)</f>
        <v/>
      </c>
      <c r="EJ97" s="30" t="str">
        <f t="shared" ref="EJ97" si="1372">IF(BD97="","","|n"&amp;EJ$2&amp;"+"&amp;BD97&amp;EJ$1)</f>
        <v/>
      </c>
      <c r="EK97" s="30" t="str">
        <f t="shared" ref="EK97" si="1373">IF(BE97="","","|n"&amp;EK$2&amp;"+"&amp;BE97&amp;EK$1)</f>
        <v/>
      </c>
      <c r="EL97" s="30" t="str">
        <f t="shared" ref="EL97" si="1374">IF(BF97="","","|n"&amp;EL$2&amp;"+"&amp;BF97&amp;EL$1)</f>
        <v/>
      </c>
      <c r="EM97" s="30" t="str">
        <f t="shared" ref="EM97" si="1375">IF(BG97="","","|n"&amp;EM$2&amp;"+"&amp;BG97&amp;EM$1)</f>
        <v/>
      </c>
      <c r="EN97" s="30" t="str">
        <f t="shared" ref="EN97" si="1376">IF(BH97="","","|n"&amp;EN$2&amp;"+"&amp;BH97&amp;EN$1)</f>
        <v/>
      </c>
      <c r="EO97" s="30" t="str">
        <f t="shared" ref="EO97" si="1377">IF(BI97="","","|n"&amp;EO$2&amp;"+"&amp;BI97&amp;EO$1)</f>
        <v/>
      </c>
      <c r="EP97" s="30" t="str">
        <f t="shared" ref="EP97" si="1378">IF(BJ97="","","|n"&amp;EP$2&amp;"+"&amp;BJ97&amp;EP$1)</f>
        <v/>
      </c>
      <c r="EQ97" s="30" t="str">
        <f t="shared" ref="EQ97" si="1379">IF(BK97="","","|n"&amp;EQ$2&amp;"+"&amp;BK97&amp;EQ$1)</f>
        <v/>
      </c>
      <c r="ER97" s="30" t="str">
        <f t="shared" ref="ER97" si="1380">IF(BL97="","","|n"&amp;ER$2&amp;"+"&amp;BL97&amp;ER$1)</f>
        <v/>
      </c>
      <c r="ES97" s="30" t="str">
        <f t="shared" ref="ES97" si="1381">IF(BM97="","","|n"&amp;ES$2&amp;"+"&amp;BM97&amp;ES$1)</f>
        <v/>
      </c>
      <c r="ET97" s="30" t="str">
        <f t="shared" ref="ET97" si="1382">IF(BN97="","","|n"&amp;ET$2&amp;"+"&amp;BN97&amp;ET$1)</f>
        <v/>
      </c>
      <c r="EU97" s="30" t="str">
        <f t="shared" ref="EU97" si="1383">IF(BO97="","","|n"&amp;EU$2&amp;"+"&amp;BO97&amp;EU$1)</f>
        <v/>
      </c>
      <c r="EV97" s="30" t="str">
        <f t="shared" ref="EV97" si="1384">IF(BP97="","","|n"&amp;EV$2&amp;"+"&amp;BP97&amp;EV$1)</f>
        <v/>
      </c>
      <c r="EW97" s="30" t="str">
        <f t="shared" ref="EW97" si="1385">IF(BQ97="","","|n"&amp;EW$2&amp;"+"&amp;BQ97&amp;EW$1)</f>
        <v/>
      </c>
      <c r="EX97" s="30" t="str">
        <f t="shared" ref="EX97" si="1386">IF(BR97="","","|n"&amp;EX$2&amp;"+"&amp;BR97&amp;EX$1)</f>
        <v/>
      </c>
      <c r="EY97" s="30" t="str">
        <f t="shared" ref="EY97" si="1387">IF(BS97="","","|n"&amp;EY$2&amp;"+"&amp;BS97&amp;EY$1)</f>
        <v/>
      </c>
      <c r="EZ97" s="30" t="str">
        <f t="shared" ref="EZ97" si="1388">IF(BT97="","","|n"&amp;EZ$2&amp;"+"&amp;BT97&amp;EZ$1)</f>
        <v/>
      </c>
      <c r="FA97" s="30" t="str">
        <f t="shared" ref="FA97" si="1389">IF(BU97="","","|n"&amp;FA$2&amp;"+"&amp;BU97&amp;FA$1)</f>
        <v/>
      </c>
      <c r="FB97" s="30" t="str">
        <f t="shared" ref="FB97" si="1390">IF(BV97="","","|n"&amp;FB$2&amp;"+"&amp;BV97&amp;FB$1)</f>
        <v/>
      </c>
      <c r="FC97" s="30" t="str">
        <f t="shared" ref="FC97" si="1391">IF(BW97="","","|n"&amp;FC$2&amp;"+"&amp;BW97&amp;FC$1)</f>
        <v/>
      </c>
      <c r="FD97" s="30" t="str">
        <f t="shared" ref="FD97" si="1392">IF(BX97="","","|n"&amp;FD$2&amp;"+"&amp;BX97&amp;FD$1)</f>
        <v/>
      </c>
      <c r="FE97" s="30" t="str">
        <f t="shared" ref="FE97" si="1393">IF(BY97="","","|n"&amp;FE$2&amp;"+"&amp;BY97&amp;FE$1)</f>
        <v/>
      </c>
      <c r="FF97" s="30" t="str">
        <f t="shared" ref="FF97" si="1394">IF(BZ97="","","|n"&amp;FF$2&amp;"+"&amp;BZ97&amp;FF$1)</f>
        <v/>
      </c>
      <c r="FG97" s="30" t="str">
        <f t="shared" ref="FG97" si="1395">IF(CA97="","","|n"&amp;FG$2&amp;"+"&amp;CA97&amp;FG$1)</f>
        <v/>
      </c>
      <c r="FH97" s="30" t="str">
        <f t="shared" ref="FH97" si="1396">IF(CB97="","","|n"&amp;FH$2&amp;"+"&amp;CB97&amp;FH$1)</f>
        <v/>
      </c>
      <c r="FI97" s="30" t="str">
        <f t="shared" ref="FI97" si="1397">IF(CC97="","","|n"&amp;FI$2&amp;"+"&amp;CC97&amp;FI$1)</f>
        <v/>
      </c>
      <c r="FJ97" s="30" t="str">
        <f t="shared" ref="FJ97" si="1398">IF(CD97="","","|n"&amp;FJ$2&amp;"+"&amp;CD97&amp;FJ$1)</f>
        <v/>
      </c>
      <c r="FK97" s="30" t="str">
        <f t="shared" ref="FK97" si="1399">IF(CE97="","","|n"&amp;FK$2&amp;"+"&amp;CE97&amp;FK$1)</f>
        <v/>
      </c>
      <c r="FL97" s="30" t="str">
        <f t="shared" ref="FL97" si="1400">IF(CF97="","","|n"&amp;FL$2&amp;"+"&amp;CF97&amp;FL$1)</f>
        <v/>
      </c>
      <c r="FM97" s="30" t="str">
        <f t="shared" ref="FM97" si="1401">IF(CG97="","","|n"&amp;FM$2&amp;"+"&amp;CG97&amp;FM$1)</f>
        <v/>
      </c>
      <c r="FN97" s="30" t="str">
        <f t="shared" ref="FN97" si="1402">IF(CH97="","","|n"&amp;FN$2&amp;"+"&amp;CH97&amp;FN$1)</f>
        <v/>
      </c>
      <c r="FO97" s="30" t="str">
        <f t="shared" ref="FO97" si="1403">IF(CI97="","","|n"&amp;FO$2&amp;"+"&amp;CI97&amp;FO$1)</f>
        <v/>
      </c>
      <c r="FP97" s="30" t="str">
        <f t="shared" ref="FP97" si="1404">IF(CJ97="","","|n"&amp;FP$2&amp;"+"&amp;CJ97&amp;FP$1)</f>
        <v/>
      </c>
      <c r="FQ97" s="30" t="str">
        <f t="shared" ref="FQ97" si="1405">IF(CK97="","","|n"&amp;FQ$2&amp;"+"&amp;CK97&amp;FQ$1)</f>
        <v/>
      </c>
      <c r="FR97" s="30" t="str">
        <f t="shared" ref="FR97" si="1406">IF(CL97="","","|n"&amp;FR$2&amp;"+"&amp;CL97&amp;FR$1)</f>
        <v/>
      </c>
      <c r="FS97" s="30" t="str">
        <f t="shared" ref="FS97" si="1407">IF(CM97="","","|n"&amp;FS$2&amp;"+"&amp;CM97&amp;FS$1)</f>
        <v/>
      </c>
    </row>
    <row r="98" spans="1:175" ht="16.5">
      <c r="A98" s="111"/>
      <c r="B98" s="111" t="s">
        <v>953</v>
      </c>
      <c r="C98" s="111" t="s">
        <v>944</v>
      </c>
      <c r="T98" s="114" t="s">
        <v>954</v>
      </c>
      <c r="U98" s="37" t="s">
        <v>822</v>
      </c>
      <c r="CN98" s="7" t="str">
        <f t="shared" si="1256"/>
        <v>InitUnitState('I010',,,,,,,,,,)</v>
      </c>
      <c r="CO98" s="7" t="str">
        <f t="shared" si="1257"/>
        <v>InitUnitNormal('I010',,,,,,,,,,)</v>
      </c>
      <c r="CP98" s="7" t="str">
        <f t="shared" si="1258"/>
        <v>InitUnitMagic('I010',,,,,,,,,,)</v>
      </c>
      <c r="CQ98" s="7" t="str">
        <f t="shared" si="1259"/>
        <v>InitUnitAdd('I010',,,,,,,,,,)</v>
      </c>
      <c r="CR98" s="7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103&amp;CR$1&amp;")"</f>
        <v>InitEquipData('I010',,"",,,,,'','','','','','',"ReplaceableTextures\\CommandButtons\\BTNTome.blp")</v>
      </c>
      <c r="CU98" s="45" t="str">
        <f t="shared" si="1260"/>
        <v>|n</v>
      </c>
      <c r="CV98" s="29" t="str">
        <f t="shared" si="1261"/>
        <v>聚宝盆</v>
      </c>
      <c r="CW98" s="24"/>
      <c r="CX98" s="24"/>
      <c r="CY98" s="24"/>
      <c r="CZ98" s="24"/>
      <c r="DA98" s="24"/>
      <c r="DB98" s="30" t="str">
        <f t="shared" si="1262"/>
        <v/>
      </c>
      <c r="DC98" s="30" t="str">
        <f t="shared" si="1263"/>
        <v/>
      </c>
      <c r="DD98" s="30" t="str">
        <f t="shared" si="1264"/>
        <v/>
      </c>
      <c r="DE98" s="30" t="str">
        <f t="shared" si="1265"/>
        <v/>
      </c>
      <c r="DF98" s="30" t="str">
        <f t="shared" si="1266"/>
        <v/>
      </c>
      <c r="DG98" s="30" t="str">
        <f t="shared" si="1267"/>
        <v/>
      </c>
      <c r="DH98" s="30" t="str">
        <f t="shared" si="1268"/>
        <v/>
      </c>
      <c r="DI98" s="30" t="str">
        <f t="shared" si="1269"/>
        <v/>
      </c>
      <c r="DJ98" s="30" t="str">
        <f t="shared" si="1270"/>
        <v/>
      </c>
      <c r="DK98" s="30" t="str">
        <f t="shared" si="1271"/>
        <v/>
      </c>
      <c r="DL98" s="30" t="str">
        <f t="shared" si="1272"/>
        <v/>
      </c>
      <c r="DM98" s="30" t="str">
        <f t="shared" si="1273"/>
        <v/>
      </c>
      <c r="DN98" s="30" t="str">
        <f t="shared" si="1274"/>
        <v/>
      </c>
      <c r="DO98" s="30" t="str">
        <f t="shared" si="1275"/>
        <v/>
      </c>
      <c r="DP98" s="30" t="str">
        <f t="shared" si="1276"/>
        <v/>
      </c>
      <c r="DQ98" s="30" t="str">
        <f t="shared" si="1277"/>
        <v/>
      </c>
      <c r="DR98" s="30" t="str">
        <f t="shared" si="1278"/>
        <v/>
      </c>
      <c r="DS98" s="30" t="str">
        <f t="shared" si="1279"/>
        <v/>
      </c>
      <c r="DT98" s="30" t="str">
        <f t="shared" si="1280"/>
        <v/>
      </c>
      <c r="DU98" s="30" t="str">
        <f t="shared" si="1281"/>
        <v/>
      </c>
      <c r="DV98" s="30" t="str">
        <f t="shared" si="1282"/>
        <v/>
      </c>
      <c r="DW98" s="30" t="str">
        <f t="shared" si="1283"/>
        <v/>
      </c>
      <c r="DX98" s="30" t="str">
        <f t="shared" si="1284"/>
        <v/>
      </c>
      <c r="DY98" s="30" t="str">
        <f t="shared" si="1285"/>
        <v/>
      </c>
      <c r="DZ98" s="30" t="str">
        <f t="shared" si="1286"/>
        <v/>
      </c>
      <c r="EA98" s="30" t="str">
        <f t="shared" si="1287"/>
        <v/>
      </c>
      <c r="EB98" s="30" t="str">
        <f t="shared" si="1288"/>
        <v/>
      </c>
      <c r="EC98" s="30" t="str">
        <f t="shared" si="1289"/>
        <v/>
      </c>
      <c r="ED98" s="30" t="str">
        <f t="shared" si="1290"/>
        <v/>
      </c>
      <c r="EE98" s="30" t="str">
        <f t="shared" si="1291"/>
        <v/>
      </c>
      <c r="EF98" s="30" t="str">
        <f t="shared" si="1292"/>
        <v/>
      </c>
      <c r="EG98" s="30" t="str">
        <f t="shared" si="1293"/>
        <v/>
      </c>
      <c r="EH98" s="30" t="str">
        <f t="shared" si="1294"/>
        <v/>
      </c>
      <c r="EI98" s="30" t="str">
        <f t="shared" si="1295"/>
        <v/>
      </c>
      <c r="EJ98" s="30" t="str">
        <f t="shared" si="1296"/>
        <v/>
      </c>
      <c r="EK98" s="30" t="str">
        <f t="shared" si="1297"/>
        <v/>
      </c>
      <c r="EL98" s="30" t="str">
        <f t="shared" si="1298"/>
        <v/>
      </c>
      <c r="EM98" s="30" t="str">
        <f t="shared" si="1299"/>
        <v/>
      </c>
      <c r="EN98" s="30" t="str">
        <f t="shared" si="1300"/>
        <v/>
      </c>
      <c r="EO98" s="30" t="str">
        <f t="shared" si="1301"/>
        <v/>
      </c>
      <c r="EP98" s="30" t="str">
        <f t="shared" si="1302"/>
        <v/>
      </c>
      <c r="EQ98" s="30" t="str">
        <f t="shared" si="1303"/>
        <v/>
      </c>
      <c r="ER98" s="30" t="str">
        <f t="shared" si="1304"/>
        <v/>
      </c>
      <c r="ES98" s="30" t="str">
        <f t="shared" si="1305"/>
        <v/>
      </c>
      <c r="ET98" s="30" t="str">
        <f t="shared" si="1306"/>
        <v/>
      </c>
      <c r="EU98" s="30" t="str">
        <f t="shared" si="1307"/>
        <v/>
      </c>
      <c r="EV98" s="30" t="str">
        <f t="shared" si="1308"/>
        <v/>
      </c>
      <c r="EW98" s="30" t="str">
        <f t="shared" si="1309"/>
        <v/>
      </c>
      <c r="EX98" s="30" t="str">
        <f t="shared" si="1310"/>
        <v/>
      </c>
      <c r="EY98" s="30" t="str">
        <f t="shared" si="1311"/>
        <v/>
      </c>
      <c r="EZ98" s="30" t="str">
        <f t="shared" si="1312"/>
        <v/>
      </c>
      <c r="FA98" s="30" t="str">
        <f t="shared" si="1313"/>
        <v/>
      </c>
      <c r="FB98" s="30" t="str">
        <f t="shared" si="1314"/>
        <v/>
      </c>
      <c r="FC98" s="30" t="str">
        <f t="shared" si="1315"/>
        <v/>
      </c>
      <c r="FD98" s="30" t="str">
        <f t="shared" si="1316"/>
        <v/>
      </c>
      <c r="FE98" s="30" t="str">
        <f t="shared" si="1317"/>
        <v/>
      </c>
      <c r="FF98" s="30" t="str">
        <f t="shared" si="1318"/>
        <v/>
      </c>
      <c r="FG98" s="30" t="str">
        <f t="shared" si="1319"/>
        <v/>
      </c>
      <c r="FH98" s="30" t="str">
        <f t="shared" si="1320"/>
        <v/>
      </c>
      <c r="FI98" s="30" t="str">
        <f t="shared" si="1321"/>
        <v/>
      </c>
      <c r="FJ98" s="30" t="str">
        <f t="shared" si="1322"/>
        <v/>
      </c>
      <c r="FK98" s="30" t="str">
        <f t="shared" si="1323"/>
        <v/>
      </c>
      <c r="FL98" s="30" t="str">
        <f t="shared" si="1324"/>
        <v/>
      </c>
      <c r="FM98" s="30" t="str">
        <f t="shared" si="1325"/>
        <v/>
      </c>
      <c r="FN98" s="30" t="str">
        <f t="shared" si="1326"/>
        <v/>
      </c>
      <c r="FO98" s="30" t="str">
        <f t="shared" si="1327"/>
        <v/>
      </c>
      <c r="FP98" s="30" t="str">
        <f t="shared" si="1328"/>
        <v/>
      </c>
      <c r="FQ98" s="30" t="str">
        <f t="shared" si="1329"/>
        <v/>
      </c>
      <c r="FR98" s="30" t="str">
        <f t="shared" si="1330"/>
        <v/>
      </c>
      <c r="FS98" s="30" t="str">
        <f t="shared" si="1331"/>
        <v/>
      </c>
    </row>
    <row r="99" spans="1:175" ht="16.5">
      <c r="A99" s="111"/>
      <c r="B99" s="111" t="s">
        <v>832</v>
      </c>
      <c r="C99" s="111" t="s">
        <v>833</v>
      </c>
      <c r="T99" s="116" t="s">
        <v>834</v>
      </c>
      <c r="U99" s="37" t="s">
        <v>822</v>
      </c>
      <c r="CN99" s="7" t="str">
        <f t="shared" si="956"/>
        <v>InitUnitState('IP01',,,,,,,,,,)</v>
      </c>
      <c r="CO99" s="7" t="str">
        <f t="shared" si="957"/>
        <v>InitUnitNormal('IP01',,,,,,,,,,)</v>
      </c>
      <c r="CP99" s="7" t="str">
        <f t="shared" si="958"/>
        <v>InitUnitMagic('IP01',,,,,,,,,,)</v>
      </c>
      <c r="CQ99" s="7" t="str">
        <f t="shared" si="959"/>
        <v>InitUnitAdd('IP01',,,,,,,,,,)</v>
      </c>
      <c r="CR99" s="7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100&amp;CR$1&amp;")"</f>
        <v>InitEquipData('IP01',,"",,,,,'','','','','','',"ReplaceableTextures\\CommandButtons\\BTNTome.blp")</v>
      </c>
      <c r="CU99" s="45" t="str">
        <f t="shared" ref="CU99" si="1408">CONCATENATE(DB99,DC99,DD99,DE99,DF99,DG99,DH99,DI99,DJ99,DK99,DL99,DM99,DN99,DO99,DP99,DQ99,DR99,DS99,DT99,DU99,DV99,DW99,DX99,DY99,DZ99,EA99,EB99,EC99,ED99,EE99,EF99,EG99,EH99,EI99,EJ99,EK99,EL99,EM99,EN99,EO99,EP99&amp;"|n")</f>
        <v>|n</v>
      </c>
      <c r="CV99" s="29" t="str">
        <f t="shared" ref="CV99" si="1409">T99</f>
        <v>进入时渊副本消耗时渊碎片</v>
      </c>
      <c r="CW99" s="24"/>
      <c r="CX99" s="24"/>
      <c r="CY99" s="24"/>
      <c r="CZ99" s="24"/>
      <c r="DA99" s="24"/>
      <c r="DB99" s="30" t="str">
        <f t="shared" ref="DB99" si="1410">IF(V99="","","|n"&amp;DB$2&amp;"+"&amp;V99&amp;DB$1)</f>
        <v/>
      </c>
      <c r="DC99" s="30" t="str">
        <f t="shared" ref="DC99" si="1411">IF(W99="","","|n"&amp;DC$2&amp;"+"&amp;W99&amp;DC$1)</f>
        <v/>
      </c>
      <c r="DD99" s="30" t="str">
        <f t="shared" ref="DD99" si="1412">IF(X99="","","|n"&amp;DD$2&amp;"+"&amp;X99&amp;DD$1)</f>
        <v/>
      </c>
      <c r="DE99" s="30" t="str">
        <f t="shared" ref="DE99" si="1413">IF(Y99="","","|n"&amp;DE$2&amp;"+"&amp;Y99&amp;DE$1)</f>
        <v/>
      </c>
      <c r="DF99" s="30" t="str">
        <f t="shared" ref="DF99" si="1414">IF(Z99="","","|n"&amp;DF$2&amp;"+"&amp;Z99&amp;DF$1)</f>
        <v/>
      </c>
      <c r="DG99" s="30" t="str">
        <f t="shared" ref="DG99" si="1415">IF(AA99="","","|n"&amp;DG$2&amp;"+"&amp;AA99&amp;DG$1)</f>
        <v/>
      </c>
      <c r="DH99" s="30" t="str">
        <f t="shared" ref="DH99" si="1416">IF(AB99="","","|n"&amp;DH$2&amp;"+"&amp;AB99&amp;DH$1)</f>
        <v/>
      </c>
      <c r="DI99" s="30" t="str">
        <f t="shared" ref="DI99" si="1417">IF(AC99="","","|n"&amp;DI$2&amp;"+"&amp;AC99&amp;DI$1)</f>
        <v/>
      </c>
      <c r="DJ99" s="30" t="str">
        <f t="shared" ref="DJ99" si="1418">IF(AD99="","","|n"&amp;DJ$2&amp;"+"&amp;AD99&amp;DJ$1)</f>
        <v/>
      </c>
      <c r="DK99" s="30" t="str">
        <f t="shared" ref="DK99" si="1419">IF(AE99="","","|n"&amp;DK$2&amp;"+"&amp;AE99&amp;DK$1)</f>
        <v/>
      </c>
      <c r="DL99" s="30" t="str">
        <f t="shared" ref="DL99" si="1420">IF(AF99="","","|n"&amp;DL$2&amp;"+"&amp;AF99&amp;DL$1)</f>
        <v/>
      </c>
      <c r="DM99" s="30" t="str">
        <f t="shared" ref="DM99" si="1421">IF(AG99="","","|n"&amp;DM$2&amp;"+"&amp;AG99&amp;DM$1)</f>
        <v/>
      </c>
      <c r="DN99" s="30" t="str">
        <f t="shared" ref="DN99" si="1422">IF(AH99="","","|n"&amp;DN$2&amp;"+"&amp;AH99&amp;DN$1)</f>
        <v/>
      </c>
      <c r="DO99" s="30" t="str">
        <f t="shared" ref="DO99" si="1423">IF(AI99="","","|n"&amp;DO$2&amp;"+"&amp;AI99&amp;DO$1)</f>
        <v/>
      </c>
      <c r="DP99" s="30" t="str">
        <f t="shared" ref="DP99" si="1424">IF(AJ99="","","|n"&amp;DP$2&amp;"+"&amp;AJ99&amp;DP$1)</f>
        <v/>
      </c>
      <c r="DQ99" s="30" t="str">
        <f t="shared" ref="DQ99" si="1425">IF(AK99="","","|n"&amp;DQ$2&amp;"+"&amp;AK99&amp;DQ$1)</f>
        <v/>
      </c>
      <c r="DR99" s="30" t="str">
        <f t="shared" ref="DR99" si="1426">IF(AL99="","","|n"&amp;DR$2&amp;"+"&amp;AL99&amp;DR$1)</f>
        <v/>
      </c>
      <c r="DS99" s="30" t="str">
        <f t="shared" ref="DS99" si="1427">IF(AM99="","","|n"&amp;DS$2&amp;"+"&amp;AM99&amp;DS$1)</f>
        <v/>
      </c>
      <c r="DT99" s="30" t="str">
        <f t="shared" ref="DT99" si="1428">IF(AN99="","","|n"&amp;DT$2&amp;"+"&amp;AN99&amp;DT$1)</f>
        <v/>
      </c>
      <c r="DU99" s="30" t="str">
        <f t="shared" ref="DU99" si="1429">IF(AO99="","","|n"&amp;DU$2&amp;"+"&amp;AO99&amp;DU$1)</f>
        <v/>
      </c>
      <c r="DV99" s="30" t="str">
        <f t="shared" ref="DV99" si="1430">IF(AP99="","","|n"&amp;DV$2&amp;"+"&amp;AP99&amp;DV$1)</f>
        <v/>
      </c>
      <c r="DW99" s="30" t="str">
        <f t="shared" ref="DW99" si="1431">IF(AQ99="","","|n"&amp;DW$2&amp;"+"&amp;AQ99&amp;DW$1)</f>
        <v/>
      </c>
      <c r="DX99" s="30" t="str">
        <f t="shared" ref="DX99" si="1432">IF(AR99="","","|n"&amp;DX$2&amp;"+"&amp;AR99&amp;DX$1)</f>
        <v/>
      </c>
      <c r="DY99" s="30" t="str">
        <f t="shared" ref="DY99" si="1433">IF(AS99="","","|n"&amp;DY$2&amp;"+"&amp;AS99&amp;DY$1)</f>
        <v/>
      </c>
      <c r="DZ99" s="30" t="str">
        <f t="shared" ref="DZ99" si="1434">IF(AT99="","","|n"&amp;DZ$2&amp;"+"&amp;AT99&amp;DZ$1)</f>
        <v/>
      </c>
      <c r="EA99" s="30" t="str">
        <f t="shared" ref="EA99" si="1435">IF(AU99="","","|n"&amp;EA$2&amp;"+"&amp;AU99&amp;EA$1)</f>
        <v/>
      </c>
      <c r="EB99" s="30" t="str">
        <f t="shared" ref="EB99" si="1436">IF(AV99="","","|n"&amp;EB$2&amp;"+"&amp;AV99&amp;EB$1)</f>
        <v/>
      </c>
      <c r="EC99" s="30" t="str">
        <f t="shared" ref="EC99" si="1437">IF(AW99="","","|n"&amp;EC$2&amp;"+"&amp;AW99&amp;EC$1)</f>
        <v/>
      </c>
      <c r="ED99" s="30" t="str">
        <f t="shared" ref="ED99" si="1438">IF(AX99="","","|n"&amp;ED$2&amp;"+"&amp;AX99&amp;ED$1)</f>
        <v/>
      </c>
      <c r="EE99" s="30" t="str">
        <f t="shared" ref="EE99" si="1439">IF(AY99="","","|n"&amp;EE$2&amp;"+"&amp;AY99&amp;EE$1)</f>
        <v/>
      </c>
      <c r="EF99" s="30" t="str">
        <f t="shared" ref="EF99" si="1440">IF(AZ99="","","|n"&amp;EF$2&amp;"+"&amp;AZ99&amp;EF$1)</f>
        <v/>
      </c>
      <c r="EG99" s="30" t="str">
        <f t="shared" ref="EG99" si="1441">IF(BA99="","","|n"&amp;EG$2&amp;"+"&amp;BA99&amp;EG$1)</f>
        <v/>
      </c>
      <c r="EH99" s="30" t="str">
        <f t="shared" ref="EH99" si="1442">IF(BB99="","","|n"&amp;EH$2&amp;"+"&amp;BB99&amp;EH$1)</f>
        <v/>
      </c>
      <c r="EI99" s="30" t="str">
        <f t="shared" ref="EI99" si="1443">IF(BC99="","","|n"&amp;EI$2&amp;"+"&amp;BC99&amp;EI$1)</f>
        <v/>
      </c>
      <c r="EJ99" s="30" t="str">
        <f t="shared" ref="EJ99" si="1444">IF(BD99="","","|n"&amp;EJ$2&amp;"+"&amp;BD99&amp;EJ$1)</f>
        <v/>
      </c>
      <c r="EK99" s="30" t="str">
        <f t="shared" ref="EK99" si="1445">IF(BE99="","","|n"&amp;EK$2&amp;"+"&amp;BE99&amp;EK$1)</f>
        <v/>
      </c>
      <c r="EL99" s="30" t="str">
        <f t="shared" ref="EL99" si="1446">IF(BF99="","","|n"&amp;EL$2&amp;"+"&amp;BF99&amp;EL$1)</f>
        <v/>
      </c>
      <c r="EM99" s="30" t="str">
        <f t="shared" ref="EM99" si="1447">IF(BG99="","","|n"&amp;EM$2&amp;"+"&amp;BG99&amp;EM$1)</f>
        <v/>
      </c>
      <c r="EN99" s="30" t="str">
        <f t="shared" ref="EN99" si="1448">IF(BH99="","","|n"&amp;EN$2&amp;"+"&amp;BH99&amp;EN$1)</f>
        <v/>
      </c>
      <c r="EO99" s="30" t="str">
        <f t="shared" ref="EO99" si="1449">IF(BI99="","","|n"&amp;EO$2&amp;"+"&amp;BI99&amp;EO$1)</f>
        <v/>
      </c>
      <c r="EP99" s="30" t="str">
        <f t="shared" ref="EP99" si="1450">IF(BJ99="","","|n"&amp;EP$2&amp;"+"&amp;BJ99&amp;EP$1)</f>
        <v/>
      </c>
      <c r="EQ99" s="30" t="str">
        <f t="shared" ref="EQ99" si="1451">IF(BK99="","","|n"&amp;EQ$2&amp;"+"&amp;BK99&amp;EQ$1)</f>
        <v/>
      </c>
      <c r="ER99" s="30" t="str">
        <f t="shared" ref="ER99" si="1452">IF(BL99="","","|n"&amp;ER$2&amp;"+"&amp;BL99&amp;ER$1)</f>
        <v/>
      </c>
      <c r="ES99" s="30" t="str">
        <f t="shared" ref="ES99" si="1453">IF(BM99="","","|n"&amp;ES$2&amp;"+"&amp;BM99&amp;ES$1)</f>
        <v/>
      </c>
      <c r="ET99" s="30" t="str">
        <f t="shared" ref="ET99" si="1454">IF(BN99="","","|n"&amp;ET$2&amp;"+"&amp;BN99&amp;ET$1)</f>
        <v/>
      </c>
      <c r="EU99" s="30" t="str">
        <f t="shared" ref="EU99" si="1455">IF(BO99="","","|n"&amp;EU$2&amp;"+"&amp;BO99&amp;EU$1)</f>
        <v/>
      </c>
      <c r="EV99" s="30" t="str">
        <f t="shared" ref="EV99" si="1456">IF(BP99="","","|n"&amp;EV$2&amp;"+"&amp;BP99&amp;EV$1)</f>
        <v/>
      </c>
      <c r="EW99" s="30" t="str">
        <f t="shared" ref="EW99" si="1457">IF(BQ99="","","|n"&amp;EW$2&amp;"+"&amp;BQ99&amp;EW$1)</f>
        <v/>
      </c>
      <c r="EX99" s="30" t="str">
        <f t="shared" ref="EX99" si="1458">IF(BR99="","","|n"&amp;EX$2&amp;"+"&amp;BR99&amp;EX$1)</f>
        <v/>
      </c>
      <c r="EY99" s="30" t="str">
        <f t="shared" ref="EY99" si="1459">IF(BS99="","","|n"&amp;EY$2&amp;"+"&amp;BS99&amp;EY$1)</f>
        <v/>
      </c>
      <c r="EZ99" s="30" t="str">
        <f t="shared" ref="EZ99" si="1460">IF(BT99="","","|n"&amp;EZ$2&amp;"+"&amp;BT99&amp;EZ$1)</f>
        <v/>
      </c>
      <c r="FA99" s="30" t="str">
        <f t="shared" ref="FA99" si="1461">IF(BU99="","","|n"&amp;FA$2&amp;"+"&amp;BU99&amp;FA$1)</f>
        <v/>
      </c>
      <c r="FB99" s="30" t="str">
        <f t="shared" ref="FB99" si="1462">IF(BV99="","","|n"&amp;FB$2&amp;"+"&amp;BV99&amp;FB$1)</f>
        <v/>
      </c>
      <c r="FC99" s="30" t="str">
        <f t="shared" ref="FC99" si="1463">IF(BW99="","","|n"&amp;FC$2&amp;"+"&amp;BW99&amp;FC$1)</f>
        <v/>
      </c>
      <c r="FD99" s="30" t="str">
        <f t="shared" ref="FD99" si="1464">IF(BX99="","","|n"&amp;FD$2&amp;"+"&amp;BX99&amp;FD$1)</f>
        <v/>
      </c>
      <c r="FE99" s="30" t="str">
        <f t="shared" ref="FE99" si="1465">IF(BY99="","","|n"&amp;FE$2&amp;"+"&amp;BY99&amp;FE$1)</f>
        <v/>
      </c>
      <c r="FF99" s="30" t="str">
        <f t="shared" ref="FF99" si="1466">IF(BZ99="","","|n"&amp;FF$2&amp;"+"&amp;BZ99&amp;FF$1)</f>
        <v/>
      </c>
      <c r="FG99" s="30" t="str">
        <f t="shared" ref="FG99" si="1467">IF(CA99="","","|n"&amp;FG$2&amp;"+"&amp;CA99&amp;FG$1)</f>
        <v/>
      </c>
      <c r="FH99" s="30" t="str">
        <f t="shared" ref="FH99" si="1468">IF(CB99="","","|n"&amp;FH$2&amp;"+"&amp;CB99&amp;FH$1)</f>
        <v/>
      </c>
      <c r="FI99" s="30" t="str">
        <f t="shared" ref="FI99" si="1469">IF(CC99="","","|n"&amp;FI$2&amp;"+"&amp;CC99&amp;FI$1)</f>
        <v/>
      </c>
      <c r="FJ99" s="30" t="str">
        <f t="shared" ref="FJ99" si="1470">IF(CD99="","","|n"&amp;FJ$2&amp;"+"&amp;CD99&amp;FJ$1)</f>
        <v/>
      </c>
      <c r="FK99" s="30" t="str">
        <f t="shared" ref="FK99" si="1471">IF(CE99="","","|n"&amp;FK$2&amp;"+"&amp;CE99&amp;FK$1)</f>
        <v/>
      </c>
      <c r="FL99" s="30" t="str">
        <f t="shared" ref="FL99" si="1472">IF(CF99="","","|n"&amp;FL$2&amp;"+"&amp;CF99&amp;FL$1)</f>
        <v/>
      </c>
      <c r="FM99" s="30" t="str">
        <f t="shared" ref="FM99" si="1473">IF(CG99="","","|n"&amp;FM$2&amp;"+"&amp;CG99&amp;FM$1)</f>
        <v/>
      </c>
      <c r="FN99" s="30" t="str">
        <f t="shared" ref="FN99" si="1474">IF(CH99="","","|n"&amp;FN$2&amp;"+"&amp;CH99&amp;FN$1)</f>
        <v/>
      </c>
      <c r="FO99" s="30" t="str">
        <f t="shared" ref="FO99" si="1475">IF(CI99="","","|n"&amp;FO$2&amp;"+"&amp;CI99&amp;FO$1)</f>
        <v/>
      </c>
      <c r="FP99" s="30" t="str">
        <f t="shared" ref="FP99" si="1476">IF(CJ99="","","|n"&amp;FP$2&amp;"+"&amp;CJ99&amp;FP$1)</f>
        <v/>
      </c>
      <c r="FQ99" s="30" t="str">
        <f t="shared" ref="FQ99" si="1477">IF(CK99="","","|n"&amp;FQ$2&amp;"+"&amp;CK99&amp;FQ$1)</f>
        <v/>
      </c>
      <c r="FR99" s="30" t="str">
        <f t="shared" ref="FR99" si="1478">IF(CL99="","","|n"&amp;FR$2&amp;"+"&amp;CL99&amp;FR$1)</f>
        <v/>
      </c>
      <c r="FS99" s="30" t="str">
        <f t="shared" ref="FS99" si="1479">IF(CM99="","","|n"&amp;FS$2&amp;"+"&amp;CM99&amp;FS$1)</f>
        <v/>
      </c>
    </row>
    <row r="100" spans="1:175" ht="16.5">
      <c r="A100" s="117"/>
      <c r="B100" s="111" t="s">
        <v>837</v>
      </c>
      <c r="C100" s="117" t="s">
        <v>839</v>
      </c>
      <c r="T100" s="118" t="s">
        <v>841</v>
      </c>
      <c r="U100" s="37" t="s">
        <v>822</v>
      </c>
      <c r="CN100" s="7" t="str">
        <f t="shared" si="956"/>
        <v>InitUnitState('IP02',,,,,,,,,,)</v>
      </c>
      <c r="CO100" s="7" t="str">
        <f t="shared" si="957"/>
        <v>InitUnitNormal('IP02',,,,,,,,,,)</v>
      </c>
      <c r="CP100" s="7" t="str">
        <f t="shared" si="958"/>
        <v>InitUnitMagic('IP02',,,,,,,,,,)</v>
      </c>
      <c r="CQ100" s="7" t="str">
        <f t="shared" si="959"/>
        <v>InitUnitAdd('IP02',,,,,,,,,,)</v>
      </c>
      <c r="CR100" s="7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101&amp;CR$1&amp;")"</f>
        <v>InitEquipData('IP02',,"",,,,,'','','','','','',"ReplaceableTextures\\CommandButtons\\BTNTome.blp")</v>
      </c>
      <c r="CU100" s="45" t="str">
        <f t="shared" ref="CU100:CU101" si="1480">CONCATENATE(DB100,DC100,DD100,DE100,DF100,DG100,DH100,DI100,DJ100,DK100,DL100,DM100,DN100,DO100,DP100,DQ100,DR100,DS100,DT100,DU100,DV100,DW100,DX100,DY100,DZ100,EA100,EB100,EC100,ED100,EE100,EF100,EG100,EH100,EI100,EJ100,EK100,EL100,EM100,EN100,EO100,EP100&amp;"|n")</f>
        <v>|n</v>
      </c>
      <c r="CV100" s="29" t="str">
        <f t="shared" ref="CV100:CV101" si="1481">T100</f>
        <v>消耗补天石，可重铸指定法宝</v>
      </c>
      <c r="CW100" s="24"/>
      <c r="CX100" s="24"/>
      <c r="CY100" s="24"/>
      <c r="CZ100" s="24"/>
      <c r="DA100" s="24"/>
      <c r="DB100" s="30" t="str">
        <f t="shared" ref="DB100:DB101" si="1482">IF(V100="","","|n"&amp;DB$2&amp;"+"&amp;V100&amp;DB$1)</f>
        <v/>
      </c>
      <c r="DC100" s="30" t="str">
        <f t="shared" ref="DC100:DC101" si="1483">IF(W100="","","|n"&amp;DC$2&amp;"+"&amp;W100&amp;DC$1)</f>
        <v/>
      </c>
      <c r="DD100" s="30" t="str">
        <f t="shared" ref="DD100:DD101" si="1484">IF(X100="","","|n"&amp;DD$2&amp;"+"&amp;X100&amp;DD$1)</f>
        <v/>
      </c>
      <c r="DE100" s="30" t="str">
        <f t="shared" ref="DE100:DE101" si="1485">IF(Y100="","","|n"&amp;DE$2&amp;"+"&amp;Y100&amp;DE$1)</f>
        <v/>
      </c>
      <c r="DF100" s="30" t="str">
        <f t="shared" ref="DF100:DF101" si="1486">IF(Z100="","","|n"&amp;DF$2&amp;"+"&amp;Z100&amp;DF$1)</f>
        <v/>
      </c>
      <c r="DG100" s="30" t="str">
        <f t="shared" ref="DG100:DG101" si="1487">IF(AA100="","","|n"&amp;DG$2&amp;"+"&amp;AA100&amp;DG$1)</f>
        <v/>
      </c>
      <c r="DH100" s="30" t="str">
        <f t="shared" ref="DH100:DH101" si="1488">IF(AB100="","","|n"&amp;DH$2&amp;"+"&amp;AB100&amp;DH$1)</f>
        <v/>
      </c>
      <c r="DI100" s="30" t="str">
        <f t="shared" ref="DI100:DI101" si="1489">IF(AC100="","","|n"&amp;DI$2&amp;"+"&amp;AC100&amp;DI$1)</f>
        <v/>
      </c>
      <c r="DJ100" s="30" t="str">
        <f t="shared" ref="DJ100:DJ101" si="1490">IF(AD100="","","|n"&amp;DJ$2&amp;"+"&amp;AD100&amp;DJ$1)</f>
        <v/>
      </c>
      <c r="DK100" s="30" t="str">
        <f t="shared" ref="DK100:DK101" si="1491">IF(AE100="","","|n"&amp;DK$2&amp;"+"&amp;AE100&amp;DK$1)</f>
        <v/>
      </c>
      <c r="DL100" s="30" t="str">
        <f t="shared" ref="DL100:DL101" si="1492">IF(AF100="","","|n"&amp;DL$2&amp;"+"&amp;AF100&amp;DL$1)</f>
        <v/>
      </c>
      <c r="DM100" s="30" t="str">
        <f t="shared" ref="DM100:DM101" si="1493">IF(AG100="","","|n"&amp;DM$2&amp;"+"&amp;AG100&amp;DM$1)</f>
        <v/>
      </c>
      <c r="DN100" s="30" t="str">
        <f t="shared" ref="DN100:DN101" si="1494">IF(AH100="","","|n"&amp;DN$2&amp;"+"&amp;AH100&amp;DN$1)</f>
        <v/>
      </c>
      <c r="DO100" s="30" t="str">
        <f t="shared" ref="DO100:DO101" si="1495">IF(AI100="","","|n"&amp;DO$2&amp;"+"&amp;AI100&amp;DO$1)</f>
        <v/>
      </c>
      <c r="DP100" s="30" t="str">
        <f t="shared" ref="DP100:DP101" si="1496">IF(AJ100="","","|n"&amp;DP$2&amp;"+"&amp;AJ100&amp;DP$1)</f>
        <v/>
      </c>
      <c r="DQ100" s="30" t="str">
        <f t="shared" ref="DQ100:DQ101" si="1497">IF(AK100="","","|n"&amp;DQ$2&amp;"+"&amp;AK100&amp;DQ$1)</f>
        <v/>
      </c>
      <c r="DR100" s="30" t="str">
        <f t="shared" ref="DR100:DR101" si="1498">IF(AL100="","","|n"&amp;DR$2&amp;"+"&amp;AL100&amp;DR$1)</f>
        <v/>
      </c>
      <c r="DS100" s="30" t="str">
        <f t="shared" ref="DS100:DS101" si="1499">IF(AM100="","","|n"&amp;DS$2&amp;"+"&amp;AM100&amp;DS$1)</f>
        <v/>
      </c>
      <c r="DT100" s="30" t="str">
        <f t="shared" ref="DT100:DT101" si="1500">IF(AN100="","","|n"&amp;DT$2&amp;"+"&amp;AN100&amp;DT$1)</f>
        <v/>
      </c>
      <c r="DU100" s="30" t="str">
        <f t="shared" ref="DU100:DU101" si="1501">IF(AO100="","","|n"&amp;DU$2&amp;"+"&amp;AO100&amp;DU$1)</f>
        <v/>
      </c>
      <c r="DV100" s="30" t="str">
        <f t="shared" ref="DV100:DV101" si="1502">IF(AP100="","","|n"&amp;DV$2&amp;"+"&amp;AP100&amp;DV$1)</f>
        <v/>
      </c>
      <c r="DW100" s="30" t="str">
        <f t="shared" ref="DW100:DW101" si="1503">IF(AQ100="","","|n"&amp;DW$2&amp;"+"&amp;AQ100&amp;DW$1)</f>
        <v/>
      </c>
      <c r="DX100" s="30" t="str">
        <f t="shared" ref="DX100:DX101" si="1504">IF(AR100="","","|n"&amp;DX$2&amp;"+"&amp;AR100&amp;DX$1)</f>
        <v/>
      </c>
      <c r="DY100" s="30" t="str">
        <f t="shared" ref="DY100:DY101" si="1505">IF(AS100="","","|n"&amp;DY$2&amp;"+"&amp;AS100&amp;DY$1)</f>
        <v/>
      </c>
      <c r="DZ100" s="30" t="str">
        <f t="shared" ref="DZ100:DZ101" si="1506">IF(AT100="","","|n"&amp;DZ$2&amp;"+"&amp;AT100&amp;DZ$1)</f>
        <v/>
      </c>
      <c r="EA100" s="30" t="str">
        <f t="shared" ref="EA100:EA101" si="1507">IF(AU100="","","|n"&amp;EA$2&amp;"+"&amp;AU100&amp;EA$1)</f>
        <v/>
      </c>
      <c r="EB100" s="30" t="str">
        <f t="shared" ref="EB100:EB101" si="1508">IF(AV100="","","|n"&amp;EB$2&amp;"+"&amp;AV100&amp;EB$1)</f>
        <v/>
      </c>
      <c r="EC100" s="30" t="str">
        <f t="shared" ref="EC100:EC101" si="1509">IF(AW100="","","|n"&amp;EC$2&amp;"+"&amp;AW100&amp;EC$1)</f>
        <v/>
      </c>
      <c r="ED100" s="30" t="str">
        <f t="shared" ref="ED100:ED101" si="1510">IF(AX100="","","|n"&amp;ED$2&amp;"+"&amp;AX100&amp;ED$1)</f>
        <v/>
      </c>
      <c r="EE100" s="30" t="str">
        <f t="shared" ref="EE100:EE101" si="1511">IF(AY100="","","|n"&amp;EE$2&amp;"+"&amp;AY100&amp;EE$1)</f>
        <v/>
      </c>
      <c r="EF100" s="30" t="str">
        <f t="shared" ref="EF100:EF101" si="1512">IF(AZ100="","","|n"&amp;EF$2&amp;"+"&amp;AZ100&amp;EF$1)</f>
        <v/>
      </c>
      <c r="EG100" s="30" t="str">
        <f t="shared" ref="EG100:EG101" si="1513">IF(BA100="","","|n"&amp;EG$2&amp;"+"&amp;BA100&amp;EG$1)</f>
        <v/>
      </c>
      <c r="EH100" s="30" t="str">
        <f t="shared" ref="EH100:EH101" si="1514">IF(BB100="","","|n"&amp;EH$2&amp;"+"&amp;BB100&amp;EH$1)</f>
        <v/>
      </c>
      <c r="EI100" s="30" t="str">
        <f t="shared" ref="EI100:EI101" si="1515">IF(BC100="","","|n"&amp;EI$2&amp;"+"&amp;BC100&amp;EI$1)</f>
        <v/>
      </c>
      <c r="EJ100" s="30" t="str">
        <f t="shared" ref="EJ100:EJ101" si="1516">IF(BD100="","","|n"&amp;EJ$2&amp;"+"&amp;BD100&amp;EJ$1)</f>
        <v/>
      </c>
      <c r="EK100" s="30" t="str">
        <f t="shared" ref="EK100:EK101" si="1517">IF(BE100="","","|n"&amp;EK$2&amp;"+"&amp;BE100&amp;EK$1)</f>
        <v/>
      </c>
      <c r="EL100" s="30" t="str">
        <f t="shared" ref="EL100:EL101" si="1518">IF(BF100="","","|n"&amp;EL$2&amp;"+"&amp;BF100&amp;EL$1)</f>
        <v/>
      </c>
      <c r="EM100" s="30" t="str">
        <f t="shared" ref="EM100:EM101" si="1519">IF(BG100="","","|n"&amp;EM$2&amp;"+"&amp;BG100&amp;EM$1)</f>
        <v/>
      </c>
      <c r="EN100" s="30" t="str">
        <f t="shared" ref="EN100:EN101" si="1520">IF(BH100="","","|n"&amp;EN$2&amp;"+"&amp;BH100&amp;EN$1)</f>
        <v/>
      </c>
      <c r="EO100" s="30" t="str">
        <f t="shared" ref="EO100:EO101" si="1521">IF(BI100="","","|n"&amp;EO$2&amp;"+"&amp;BI100&amp;EO$1)</f>
        <v/>
      </c>
      <c r="EP100" s="30" t="str">
        <f t="shared" ref="EP100:EP101" si="1522">IF(BJ100="","","|n"&amp;EP$2&amp;"+"&amp;BJ100&amp;EP$1)</f>
        <v/>
      </c>
      <c r="EQ100" s="30" t="str">
        <f t="shared" ref="EQ100:EQ101" si="1523">IF(BK100="","","|n"&amp;EQ$2&amp;"+"&amp;BK100&amp;EQ$1)</f>
        <v/>
      </c>
      <c r="ER100" s="30" t="str">
        <f t="shared" ref="ER100:ER101" si="1524">IF(BL100="","","|n"&amp;ER$2&amp;"+"&amp;BL100&amp;ER$1)</f>
        <v/>
      </c>
      <c r="ES100" s="30" t="str">
        <f t="shared" ref="ES100:ES101" si="1525">IF(BM100="","","|n"&amp;ES$2&amp;"+"&amp;BM100&amp;ES$1)</f>
        <v/>
      </c>
      <c r="ET100" s="30" t="str">
        <f t="shared" ref="ET100:ET101" si="1526">IF(BN100="","","|n"&amp;ET$2&amp;"+"&amp;BN100&amp;ET$1)</f>
        <v/>
      </c>
      <c r="EU100" s="30" t="str">
        <f t="shared" ref="EU100:EU101" si="1527">IF(BO100="","","|n"&amp;EU$2&amp;"+"&amp;BO100&amp;EU$1)</f>
        <v/>
      </c>
      <c r="EV100" s="30" t="str">
        <f t="shared" ref="EV100:EV101" si="1528">IF(BP100="","","|n"&amp;EV$2&amp;"+"&amp;BP100&amp;EV$1)</f>
        <v/>
      </c>
      <c r="EW100" s="30" t="str">
        <f t="shared" ref="EW100:EW101" si="1529">IF(BQ100="","","|n"&amp;EW$2&amp;"+"&amp;BQ100&amp;EW$1)</f>
        <v/>
      </c>
      <c r="EX100" s="30" t="str">
        <f t="shared" ref="EX100:EX101" si="1530">IF(BR100="","","|n"&amp;EX$2&amp;"+"&amp;BR100&amp;EX$1)</f>
        <v/>
      </c>
      <c r="EY100" s="30" t="str">
        <f t="shared" ref="EY100:EY101" si="1531">IF(BS100="","","|n"&amp;EY$2&amp;"+"&amp;BS100&amp;EY$1)</f>
        <v/>
      </c>
      <c r="EZ100" s="30" t="str">
        <f t="shared" ref="EZ100:EZ101" si="1532">IF(BT100="","","|n"&amp;EZ$2&amp;"+"&amp;BT100&amp;EZ$1)</f>
        <v/>
      </c>
      <c r="FA100" s="30" t="str">
        <f t="shared" ref="FA100:FA101" si="1533">IF(BU100="","","|n"&amp;FA$2&amp;"+"&amp;BU100&amp;FA$1)</f>
        <v/>
      </c>
      <c r="FB100" s="30" t="str">
        <f t="shared" ref="FB100:FB101" si="1534">IF(BV100="","","|n"&amp;FB$2&amp;"+"&amp;BV100&amp;FB$1)</f>
        <v/>
      </c>
      <c r="FC100" s="30" t="str">
        <f t="shared" ref="FC100:FC101" si="1535">IF(BW100="","","|n"&amp;FC$2&amp;"+"&amp;BW100&amp;FC$1)</f>
        <v/>
      </c>
      <c r="FD100" s="30" t="str">
        <f t="shared" ref="FD100:FD101" si="1536">IF(BX100="","","|n"&amp;FD$2&amp;"+"&amp;BX100&amp;FD$1)</f>
        <v/>
      </c>
      <c r="FE100" s="30" t="str">
        <f t="shared" ref="FE100:FE101" si="1537">IF(BY100="","","|n"&amp;FE$2&amp;"+"&amp;BY100&amp;FE$1)</f>
        <v/>
      </c>
      <c r="FF100" s="30" t="str">
        <f t="shared" ref="FF100:FF101" si="1538">IF(BZ100="","","|n"&amp;FF$2&amp;"+"&amp;BZ100&amp;FF$1)</f>
        <v/>
      </c>
      <c r="FG100" s="30" t="str">
        <f t="shared" ref="FG100:FG101" si="1539">IF(CA100="","","|n"&amp;FG$2&amp;"+"&amp;CA100&amp;FG$1)</f>
        <v/>
      </c>
      <c r="FH100" s="30" t="str">
        <f t="shared" ref="FH100:FH101" si="1540">IF(CB100="","","|n"&amp;FH$2&amp;"+"&amp;CB100&amp;FH$1)</f>
        <v/>
      </c>
      <c r="FI100" s="30" t="str">
        <f t="shared" ref="FI100:FI101" si="1541">IF(CC100="","","|n"&amp;FI$2&amp;"+"&amp;CC100&amp;FI$1)</f>
        <v/>
      </c>
      <c r="FJ100" s="30" t="str">
        <f t="shared" ref="FJ100:FJ101" si="1542">IF(CD100="","","|n"&amp;FJ$2&amp;"+"&amp;CD100&amp;FJ$1)</f>
        <v/>
      </c>
      <c r="FK100" s="30" t="str">
        <f t="shared" ref="FK100:FK101" si="1543">IF(CE100="","","|n"&amp;FK$2&amp;"+"&amp;CE100&amp;FK$1)</f>
        <v/>
      </c>
      <c r="FL100" s="30" t="str">
        <f t="shared" ref="FL100:FL101" si="1544">IF(CF100="","","|n"&amp;FL$2&amp;"+"&amp;CF100&amp;FL$1)</f>
        <v/>
      </c>
      <c r="FM100" s="30" t="str">
        <f t="shared" ref="FM100:FM101" si="1545">IF(CG100="","","|n"&amp;FM$2&amp;"+"&amp;CG100&amp;FM$1)</f>
        <v/>
      </c>
      <c r="FN100" s="30" t="str">
        <f t="shared" ref="FN100:FN101" si="1546">IF(CH100="","","|n"&amp;FN$2&amp;"+"&amp;CH100&amp;FN$1)</f>
        <v/>
      </c>
      <c r="FO100" s="30" t="str">
        <f t="shared" ref="FO100:FO101" si="1547">IF(CI100="","","|n"&amp;FO$2&amp;"+"&amp;CI100&amp;FO$1)</f>
        <v/>
      </c>
      <c r="FP100" s="30" t="str">
        <f t="shared" ref="FP100:FP101" si="1548">IF(CJ100="","","|n"&amp;FP$2&amp;"+"&amp;CJ100&amp;FP$1)</f>
        <v/>
      </c>
      <c r="FQ100" s="30" t="str">
        <f t="shared" ref="FQ100:FQ101" si="1549">IF(CK100="","","|n"&amp;FQ$2&amp;"+"&amp;CK100&amp;FQ$1)</f>
        <v/>
      </c>
      <c r="FR100" s="30" t="str">
        <f t="shared" ref="FR100:FR101" si="1550">IF(CL100="","","|n"&amp;FR$2&amp;"+"&amp;CL100&amp;FR$1)</f>
        <v/>
      </c>
      <c r="FS100" s="30" t="str">
        <f t="shared" ref="FS100:FS101" si="1551">IF(CM100="","","|n"&amp;FS$2&amp;"+"&amp;CM100&amp;FS$1)</f>
        <v/>
      </c>
    </row>
    <row r="101" spans="1:175" ht="16.5">
      <c r="A101" s="117"/>
      <c r="B101" s="111" t="s">
        <v>838</v>
      </c>
      <c r="C101" s="117" t="s">
        <v>840</v>
      </c>
      <c r="T101" s="117" t="s">
        <v>842</v>
      </c>
      <c r="U101" s="37" t="s">
        <v>822</v>
      </c>
      <c r="CN101" s="7" t="str">
        <f t="shared" si="956"/>
        <v>InitUnitState('IP03',,,,,,,,,,)</v>
      </c>
      <c r="CO101" s="7" t="str">
        <f t="shared" si="957"/>
        <v>InitUnitNormal('IP03',,,,,,,,,,)</v>
      </c>
      <c r="CP101" s="7" t="str">
        <f t="shared" si="958"/>
        <v>InitUnitMagic('IP03',,,,,,,,,,)</v>
      </c>
      <c r="CQ101" s="7" t="str">
        <f t="shared" si="959"/>
        <v>InitUnitAdd('IP03',,,,,,,,,,)</v>
      </c>
      <c r="CR101" s="7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102&amp;CR$1&amp;")"</f>
        <v>InitEquipData('IP03',,"",,,,,'','','','','','',"ReplaceableTextures\\CommandButtons\\BTNTome.blp")</v>
      </c>
      <c r="CU101" s="45" t="str">
        <f t="shared" si="1480"/>
        <v>|n</v>
      </c>
      <c r="CV101" s="29" t="str">
        <f t="shared" si="1481"/>
        <v>消耗鸿蒙结晶，可将指定法宝锻造为高一品阶的随机法宝。</v>
      </c>
      <c r="CW101" s="24"/>
      <c r="CX101" s="24"/>
      <c r="CY101" s="24"/>
      <c r="CZ101" s="24"/>
      <c r="DA101" s="24"/>
      <c r="DB101" s="30" t="str">
        <f t="shared" si="1482"/>
        <v/>
      </c>
      <c r="DC101" s="30" t="str">
        <f t="shared" si="1483"/>
        <v/>
      </c>
      <c r="DD101" s="30" t="str">
        <f t="shared" si="1484"/>
        <v/>
      </c>
      <c r="DE101" s="30" t="str">
        <f t="shared" si="1485"/>
        <v/>
      </c>
      <c r="DF101" s="30" t="str">
        <f t="shared" si="1486"/>
        <v/>
      </c>
      <c r="DG101" s="30" t="str">
        <f t="shared" si="1487"/>
        <v/>
      </c>
      <c r="DH101" s="30" t="str">
        <f t="shared" si="1488"/>
        <v/>
      </c>
      <c r="DI101" s="30" t="str">
        <f t="shared" si="1489"/>
        <v/>
      </c>
      <c r="DJ101" s="30" t="str">
        <f t="shared" si="1490"/>
        <v/>
      </c>
      <c r="DK101" s="30" t="str">
        <f t="shared" si="1491"/>
        <v/>
      </c>
      <c r="DL101" s="30" t="str">
        <f t="shared" si="1492"/>
        <v/>
      </c>
      <c r="DM101" s="30" t="str">
        <f t="shared" si="1493"/>
        <v/>
      </c>
      <c r="DN101" s="30" t="str">
        <f t="shared" si="1494"/>
        <v/>
      </c>
      <c r="DO101" s="30" t="str">
        <f t="shared" si="1495"/>
        <v/>
      </c>
      <c r="DP101" s="30" t="str">
        <f t="shared" si="1496"/>
        <v/>
      </c>
      <c r="DQ101" s="30" t="str">
        <f t="shared" si="1497"/>
        <v/>
      </c>
      <c r="DR101" s="30" t="str">
        <f t="shared" si="1498"/>
        <v/>
      </c>
      <c r="DS101" s="30" t="str">
        <f t="shared" si="1499"/>
        <v/>
      </c>
      <c r="DT101" s="30" t="str">
        <f t="shared" si="1500"/>
        <v/>
      </c>
      <c r="DU101" s="30" t="str">
        <f t="shared" si="1501"/>
        <v/>
      </c>
      <c r="DV101" s="30" t="str">
        <f t="shared" si="1502"/>
        <v/>
      </c>
      <c r="DW101" s="30" t="str">
        <f t="shared" si="1503"/>
        <v/>
      </c>
      <c r="DX101" s="30" t="str">
        <f t="shared" si="1504"/>
        <v/>
      </c>
      <c r="DY101" s="30" t="str">
        <f t="shared" si="1505"/>
        <v/>
      </c>
      <c r="DZ101" s="30" t="str">
        <f t="shared" si="1506"/>
        <v/>
      </c>
      <c r="EA101" s="30" t="str">
        <f t="shared" si="1507"/>
        <v/>
      </c>
      <c r="EB101" s="30" t="str">
        <f t="shared" si="1508"/>
        <v/>
      </c>
      <c r="EC101" s="30" t="str">
        <f t="shared" si="1509"/>
        <v/>
      </c>
      <c r="ED101" s="30" t="str">
        <f t="shared" si="1510"/>
        <v/>
      </c>
      <c r="EE101" s="30" t="str">
        <f t="shared" si="1511"/>
        <v/>
      </c>
      <c r="EF101" s="30" t="str">
        <f t="shared" si="1512"/>
        <v/>
      </c>
      <c r="EG101" s="30" t="str">
        <f t="shared" si="1513"/>
        <v/>
      </c>
      <c r="EH101" s="30" t="str">
        <f t="shared" si="1514"/>
        <v/>
      </c>
      <c r="EI101" s="30" t="str">
        <f t="shared" si="1515"/>
        <v/>
      </c>
      <c r="EJ101" s="30" t="str">
        <f t="shared" si="1516"/>
        <v/>
      </c>
      <c r="EK101" s="30" t="str">
        <f t="shared" si="1517"/>
        <v/>
      </c>
      <c r="EL101" s="30" t="str">
        <f t="shared" si="1518"/>
        <v/>
      </c>
      <c r="EM101" s="30" t="str">
        <f t="shared" si="1519"/>
        <v/>
      </c>
      <c r="EN101" s="30" t="str">
        <f t="shared" si="1520"/>
        <v/>
      </c>
      <c r="EO101" s="30" t="str">
        <f t="shared" si="1521"/>
        <v/>
      </c>
      <c r="EP101" s="30" t="str">
        <f t="shared" si="1522"/>
        <v/>
      </c>
      <c r="EQ101" s="30" t="str">
        <f t="shared" si="1523"/>
        <v/>
      </c>
      <c r="ER101" s="30" t="str">
        <f t="shared" si="1524"/>
        <v/>
      </c>
      <c r="ES101" s="30" t="str">
        <f t="shared" si="1525"/>
        <v/>
      </c>
      <c r="ET101" s="30" t="str">
        <f t="shared" si="1526"/>
        <v/>
      </c>
      <c r="EU101" s="30" t="str">
        <f t="shared" si="1527"/>
        <v/>
      </c>
      <c r="EV101" s="30" t="str">
        <f t="shared" si="1528"/>
        <v/>
      </c>
      <c r="EW101" s="30" t="str">
        <f t="shared" si="1529"/>
        <v/>
      </c>
      <c r="EX101" s="30" t="str">
        <f t="shared" si="1530"/>
        <v/>
      </c>
      <c r="EY101" s="30" t="str">
        <f t="shared" si="1531"/>
        <v/>
      </c>
      <c r="EZ101" s="30" t="str">
        <f t="shared" si="1532"/>
        <v/>
      </c>
      <c r="FA101" s="30" t="str">
        <f t="shared" si="1533"/>
        <v/>
      </c>
      <c r="FB101" s="30" t="str">
        <f t="shared" si="1534"/>
        <v/>
      </c>
      <c r="FC101" s="30" t="str">
        <f t="shared" si="1535"/>
        <v/>
      </c>
      <c r="FD101" s="30" t="str">
        <f t="shared" si="1536"/>
        <v/>
      </c>
      <c r="FE101" s="30" t="str">
        <f t="shared" si="1537"/>
        <v/>
      </c>
      <c r="FF101" s="30" t="str">
        <f t="shared" si="1538"/>
        <v/>
      </c>
      <c r="FG101" s="30" t="str">
        <f t="shared" si="1539"/>
        <v/>
      </c>
      <c r="FH101" s="30" t="str">
        <f t="shared" si="1540"/>
        <v/>
      </c>
      <c r="FI101" s="30" t="str">
        <f t="shared" si="1541"/>
        <v/>
      </c>
      <c r="FJ101" s="30" t="str">
        <f t="shared" si="1542"/>
        <v/>
      </c>
      <c r="FK101" s="30" t="str">
        <f t="shared" si="1543"/>
        <v/>
      </c>
      <c r="FL101" s="30" t="str">
        <f t="shared" si="1544"/>
        <v/>
      </c>
      <c r="FM101" s="30" t="str">
        <f t="shared" si="1545"/>
        <v/>
      </c>
      <c r="FN101" s="30" t="str">
        <f t="shared" si="1546"/>
        <v/>
      </c>
      <c r="FO101" s="30" t="str">
        <f t="shared" si="1547"/>
        <v/>
      </c>
      <c r="FP101" s="30" t="str">
        <f t="shared" si="1548"/>
        <v/>
      </c>
      <c r="FQ101" s="30" t="str">
        <f t="shared" si="1549"/>
        <v/>
      </c>
      <c r="FR101" s="30" t="str">
        <f t="shared" si="1550"/>
        <v/>
      </c>
      <c r="FS101" s="30" t="str">
        <f t="shared" si="1551"/>
        <v/>
      </c>
    </row>
    <row r="102" spans="1:175" ht="16.5">
      <c r="A102" s="117"/>
      <c r="B102" s="111" t="s">
        <v>863</v>
      </c>
      <c r="C102" s="117" t="s">
        <v>864</v>
      </c>
      <c r="R102" s="25">
        <v>-7657</v>
      </c>
      <c r="S102" s="25">
        <v>-4635</v>
      </c>
      <c r="T102" s="117" t="s">
        <v>864</v>
      </c>
      <c r="U102" s="37" t="s">
        <v>822</v>
      </c>
      <c r="CN102" s="7" t="str">
        <f t="shared" ref="CN102" si="1552">"InitUnitState('"&amp;B102&amp;"',"&amp;V102&amp;","&amp;W102&amp;","&amp;X102&amp;","&amp;Y102&amp;","&amp;Z102&amp;","&amp;AA102&amp;","&amp;AB102&amp;","&amp;AC102&amp;","&amp;AD102&amp;","&amp;AE102&amp;")"</f>
        <v>InitUnitState('IT01',,,,,,,,,,)</v>
      </c>
      <c r="CO102" s="7" t="str">
        <f t="shared" ref="CO102" si="1553">"InitUnitNormal('"&amp;B102&amp;"',"&amp;AF102&amp;","&amp;AG102&amp;","&amp;AH102&amp;","&amp;AI102&amp;","&amp;AJ102&amp;","&amp;AK102&amp;","&amp;AL102&amp;","&amp;AM102&amp;","&amp;AN102&amp;","&amp;AO102&amp;")"</f>
        <v>InitUnitNormal('IT01',,,,,,,,,,)</v>
      </c>
      <c r="CP102" s="7" t="str">
        <f t="shared" ref="CP102" si="1554">"InitUnitMagic('"&amp;B102&amp;"',"&amp;AP102&amp;","&amp;AQ102&amp;","&amp;AR102&amp;","&amp;AS102&amp;","&amp;AT102&amp;","&amp;AU102&amp;","&amp;AV102&amp;","&amp;AW102&amp;","&amp;BI102&amp;","&amp;BJ102&amp;")"</f>
        <v>InitUnitMagic('IT01',,,,,,,,,,)</v>
      </c>
      <c r="CQ102" s="7" t="str">
        <f t="shared" ref="CQ102" si="1555">"InitUnitAdd('"&amp;B102&amp;"',"&amp;BK102&amp;","&amp;BL102&amp;","&amp;BM102&amp;","&amp;BN102&amp;","&amp;BO102&amp;","&amp;BP102&amp;","&amp;BQ102&amp;","&amp;BR102&amp;","&amp;BS102&amp;","&amp;BT102&amp;")"</f>
        <v>InitUnitAdd('IT01',,,,,,,,,,)</v>
      </c>
      <c r="CR102" s="7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103&amp;CR$1&amp;")"</f>
        <v>InitEquipData('IT01',,"",,,,,'','','','','','',"ReplaceableTextures\\CommandButtons\\BTNTome.blp")</v>
      </c>
      <c r="CU102" s="45" t="str">
        <f t="shared" ref="CU102" si="1556">CONCATENATE(DB102,DC102,DD102,DE102,DF102,DG102,DH102,DI102,DJ102,DK102,DL102,DM102,DN102,DO102,DP102,DQ102,DR102,DS102,DT102,DU102,DV102,DW102,DX102,DY102,DZ102,EA102,EB102,EC102,ED102,EE102,EF102,EG102,EH102,EI102,EJ102,EK102,EL102,EM102,EN102,EO102,EP102&amp;"|n")</f>
        <v>|n</v>
      </c>
      <c r="CV102" s="29" t="str">
        <f t="shared" ref="CV102" si="1557">T102</f>
        <v>境界挑战1</v>
      </c>
      <c r="CW102" s="24"/>
      <c r="CX102" s="24"/>
      <c r="CY102" s="24"/>
      <c r="CZ102" s="24"/>
      <c r="DA102" s="24"/>
      <c r="DB102" s="30" t="str">
        <f t="shared" ref="DB102" si="1558">IF(V102="","","|n"&amp;DB$2&amp;"+"&amp;V102&amp;DB$1)</f>
        <v/>
      </c>
      <c r="DC102" s="30" t="str">
        <f t="shared" ref="DC102" si="1559">IF(W102="","","|n"&amp;DC$2&amp;"+"&amp;W102&amp;DC$1)</f>
        <v/>
      </c>
      <c r="DD102" s="30" t="str">
        <f t="shared" ref="DD102" si="1560">IF(X102="","","|n"&amp;DD$2&amp;"+"&amp;X102&amp;DD$1)</f>
        <v/>
      </c>
      <c r="DE102" s="30" t="str">
        <f t="shared" ref="DE102" si="1561">IF(Y102="","","|n"&amp;DE$2&amp;"+"&amp;Y102&amp;DE$1)</f>
        <v/>
      </c>
      <c r="DF102" s="30" t="str">
        <f t="shared" ref="DF102" si="1562">IF(Z102="","","|n"&amp;DF$2&amp;"+"&amp;Z102&amp;DF$1)</f>
        <v/>
      </c>
      <c r="DG102" s="30" t="str">
        <f t="shared" ref="DG102" si="1563">IF(AA102="","","|n"&amp;DG$2&amp;"+"&amp;AA102&amp;DG$1)</f>
        <v/>
      </c>
      <c r="DH102" s="30" t="str">
        <f t="shared" ref="DH102" si="1564">IF(AB102="","","|n"&amp;DH$2&amp;"+"&amp;AB102&amp;DH$1)</f>
        <v/>
      </c>
      <c r="DI102" s="30" t="str">
        <f t="shared" ref="DI102" si="1565">IF(AC102="","","|n"&amp;DI$2&amp;"+"&amp;AC102&amp;DI$1)</f>
        <v/>
      </c>
      <c r="DJ102" s="30" t="str">
        <f t="shared" ref="DJ102" si="1566">IF(AD102="","","|n"&amp;DJ$2&amp;"+"&amp;AD102&amp;DJ$1)</f>
        <v/>
      </c>
      <c r="DK102" s="30" t="str">
        <f t="shared" ref="DK102" si="1567">IF(AE102="","","|n"&amp;DK$2&amp;"+"&amp;AE102&amp;DK$1)</f>
        <v/>
      </c>
      <c r="DL102" s="30" t="str">
        <f t="shared" ref="DL102" si="1568">IF(AF102="","","|n"&amp;DL$2&amp;"+"&amp;AF102&amp;DL$1)</f>
        <v/>
      </c>
      <c r="DM102" s="30" t="str">
        <f t="shared" ref="DM102" si="1569">IF(AG102="","","|n"&amp;DM$2&amp;"+"&amp;AG102&amp;DM$1)</f>
        <v/>
      </c>
      <c r="DN102" s="30" t="str">
        <f t="shared" ref="DN102" si="1570">IF(AH102="","","|n"&amp;DN$2&amp;"+"&amp;AH102&amp;DN$1)</f>
        <v/>
      </c>
      <c r="DO102" s="30" t="str">
        <f t="shared" ref="DO102" si="1571">IF(AI102="","","|n"&amp;DO$2&amp;"+"&amp;AI102&amp;DO$1)</f>
        <v/>
      </c>
      <c r="DP102" s="30" t="str">
        <f t="shared" ref="DP102" si="1572">IF(AJ102="","","|n"&amp;DP$2&amp;"+"&amp;AJ102&amp;DP$1)</f>
        <v/>
      </c>
      <c r="DQ102" s="30" t="str">
        <f t="shared" ref="DQ102" si="1573">IF(AK102="","","|n"&amp;DQ$2&amp;"+"&amp;AK102&amp;DQ$1)</f>
        <v/>
      </c>
      <c r="DR102" s="30" t="str">
        <f t="shared" ref="DR102" si="1574">IF(AL102="","","|n"&amp;DR$2&amp;"+"&amp;AL102&amp;DR$1)</f>
        <v/>
      </c>
      <c r="DS102" s="30" t="str">
        <f t="shared" ref="DS102" si="1575">IF(AM102="","","|n"&amp;DS$2&amp;"+"&amp;AM102&amp;DS$1)</f>
        <v/>
      </c>
      <c r="DT102" s="30" t="str">
        <f t="shared" ref="DT102" si="1576">IF(AN102="","","|n"&amp;DT$2&amp;"+"&amp;AN102&amp;DT$1)</f>
        <v/>
      </c>
      <c r="DU102" s="30" t="str">
        <f t="shared" ref="DU102" si="1577">IF(AO102="","","|n"&amp;DU$2&amp;"+"&amp;AO102&amp;DU$1)</f>
        <v/>
      </c>
      <c r="DV102" s="30" t="str">
        <f t="shared" ref="DV102" si="1578">IF(AP102="","","|n"&amp;DV$2&amp;"+"&amp;AP102&amp;DV$1)</f>
        <v/>
      </c>
      <c r="DW102" s="30" t="str">
        <f t="shared" ref="DW102" si="1579">IF(AQ102="","","|n"&amp;DW$2&amp;"+"&amp;AQ102&amp;DW$1)</f>
        <v/>
      </c>
      <c r="DX102" s="30" t="str">
        <f t="shared" ref="DX102" si="1580">IF(AR102="","","|n"&amp;DX$2&amp;"+"&amp;AR102&amp;DX$1)</f>
        <v/>
      </c>
      <c r="DY102" s="30" t="str">
        <f t="shared" ref="DY102" si="1581">IF(AS102="","","|n"&amp;DY$2&amp;"+"&amp;AS102&amp;DY$1)</f>
        <v/>
      </c>
      <c r="DZ102" s="30" t="str">
        <f t="shared" ref="DZ102" si="1582">IF(AT102="","","|n"&amp;DZ$2&amp;"+"&amp;AT102&amp;DZ$1)</f>
        <v/>
      </c>
      <c r="EA102" s="30" t="str">
        <f t="shared" ref="EA102" si="1583">IF(AU102="","","|n"&amp;EA$2&amp;"+"&amp;AU102&amp;EA$1)</f>
        <v/>
      </c>
      <c r="EB102" s="30" t="str">
        <f t="shared" ref="EB102" si="1584">IF(AV102="","","|n"&amp;EB$2&amp;"+"&amp;AV102&amp;EB$1)</f>
        <v/>
      </c>
      <c r="EC102" s="30" t="str">
        <f t="shared" ref="EC102" si="1585">IF(AW102="","","|n"&amp;EC$2&amp;"+"&amp;AW102&amp;EC$1)</f>
        <v/>
      </c>
      <c r="ED102" s="30" t="str">
        <f t="shared" ref="ED102" si="1586">IF(AX102="","","|n"&amp;ED$2&amp;"+"&amp;AX102&amp;ED$1)</f>
        <v/>
      </c>
      <c r="EE102" s="30" t="str">
        <f t="shared" ref="EE102" si="1587">IF(AY102="","","|n"&amp;EE$2&amp;"+"&amp;AY102&amp;EE$1)</f>
        <v/>
      </c>
      <c r="EF102" s="30" t="str">
        <f t="shared" ref="EF102" si="1588">IF(AZ102="","","|n"&amp;EF$2&amp;"+"&amp;AZ102&amp;EF$1)</f>
        <v/>
      </c>
      <c r="EG102" s="30" t="str">
        <f t="shared" ref="EG102" si="1589">IF(BA102="","","|n"&amp;EG$2&amp;"+"&amp;BA102&amp;EG$1)</f>
        <v/>
      </c>
      <c r="EH102" s="30" t="str">
        <f t="shared" ref="EH102" si="1590">IF(BB102="","","|n"&amp;EH$2&amp;"+"&amp;BB102&amp;EH$1)</f>
        <v/>
      </c>
      <c r="EI102" s="30" t="str">
        <f t="shared" ref="EI102" si="1591">IF(BC102="","","|n"&amp;EI$2&amp;"+"&amp;BC102&amp;EI$1)</f>
        <v/>
      </c>
      <c r="EJ102" s="30" t="str">
        <f t="shared" ref="EJ102" si="1592">IF(BD102="","","|n"&amp;EJ$2&amp;"+"&amp;BD102&amp;EJ$1)</f>
        <v/>
      </c>
      <c r="EK102" s="30" t="str">
        <f t="shared" ref="EK102" si="1593">IF(BE102="","","|n"&amp;EK$2&amp;"+"&amp;BE102&amp;EK$1)</f>
        <v/>
      </c>
      <c r="EL102" s="30" t="str">
        <f t="shared" ref="EL102" si="1594">IF(BF102="","","|n"&amp;EL$2&amp;"+"&amp;BF102&amp;EL$1)</f>
        <v/>
      </c>
      <c r="EM102" s="30" t="str">
        <f t="shared" ref="EM102" si="1595">IF(BG102="","","|n"&amp;EM$2&amp;"+"&amp;BG102&amp;EM$1)</f>
        <v/>
      </c>
      <c r="EN102" s="30" t="str">
        <f t="shared" ref="EN102" si="1596">IF(BH102="","","|n"&amp;EN$2&amp;"+"&amp;BH102&amp;EN$1)</f>
        <v/>
      </c>
      <c r="EO102" s="30" t="str">
        <f t="shared" ref="EO102" si="1597">IF(BI102="","","|n"&amp;EO$2&amp;"+"&amp;BI102&amp;EO$1)</f>
        <v/>
      </c>
      <c r="EP102" s="30" t="str">
        <f t="shared" ref="EP102" si="1598">IF(BJ102="","","|n"&amp;EP$2&amp;"+"&amp;BJ102&amp;EP$1)</f>
        <v/>
      </c>
      <c r="EQ102" s="30" t="str">
        <f t="shared" ref="EQ102" si="1599">IF(BK102="","","|n"&amp;EQ$2&amp;"+"&amp;BK102&amp;EQ$1)</f>
        <v/>
      </c>
      <c r="ER102" s="30" t="str">
        <f t="shared" ref="ER102" si="1600">IF(BL102="","","|n"&amp;ER$2&amp;"+"&amp;BL102&amp;ER$1)</f>
        <v/>
      </c>
      <c r="ES102" s="30" t="str">
        <f t="shared" ref="ES102" si="1601">IF(BM102="","","|n"&amp;ES$2&amp;"+"&amp;BM102&amp;ES$1)</f>
        <v/>
      </c>
      <c r="ET102" s="30" t="str">
        <f t="shared" ref="ET102" si="1602">IF(BN102="","","|n"&amp;ET$2&amp;"+"&amp;BN102&amp;ET$1)</f>
        <v/>
      </c>
      <c r="EU102" s="30" t="str">
        <f t="shared" ref="EU102" si="1603">IF(BO102="","","|n"&amp;EU$2&amp;"+"&amp;BO102&amp;EU$1)</f>
        <v/>
      </c>
      <c r="EV102" s="30" t="str">
        <f t="shared" ref="EV102" si="1604">IF(BP102="","","|n"&amp;EV$2&amp;"+"&amp;BP102&amp;EV$1)</f>
        <v/>
      </c>
      <c r="EW102" s="30" t="str">
        <f t="shared" ref="EW102" si="1605">IF(BQ102="","","|n"&amp;EW$2&amp;"+"&amp;BQ102&amp;EW$1)</f>
        <v/>
      </c>
      <c r="EX102" s="30" t="str">
        <f t="shared" ref="EX102" si="1606">IF(BR102="","","|n"&amp;EX$2&amp;"+"&amp;BR102&amp;EX$1)</f>
        <v/>
      </c>
      <c r="EY102" s="30" t="str">
        <f t="shared" ref="EY102" si="1607">IF(BS102="","","|n"&amp;EY$2&amp;"+"&amp;BS102&amp;EY$1)</f>
        <v/>
      </c>
      <c r="EZ102" s="30" t="str">
        <f t="shared" ref="EZ102" si="1608">IF(BT102="","","|n"&amp;EZ$2&amp;"+"&amp;BT102&amp;EZ$1)</f>
        <v/>
      </c>
      <c r="FA102" s="30" t="str">
        <f t="shared" ref="FA102" si="1609">IF(BU102="","","|n"&amp;FA$2&amp;"+"&amp;BU102&amp;FA$1)</f>
        <v/>
      </c>
      <c r="FB102" s="30" t="str">
        <f t="shared" ref="FB102" si="1610">IF(BV102="","","|n"&amp;FB$2&amp;"+"&amp;BV102&amp;FB$1)</f>
        <v/>
      </c>
      <c r="FC102" s="30" t="str">
        <f t="shared" ref="FC102" si="1611">IF(BW102="","","|n"&amp;FC$2&amp;"+"&amp;BW102&amp;FC$1)</f>
        <v/>
      </c>
      <c r="FD102" s="30" t="str">
        <f t="shared" ref="FD102" si="1612">IF(BX102="","","|n"&amp;FD$2&amp;"+"&amp;BX102&amp;FD$1)</f>
        <v/>
      </c>
      <c r="FE102" s="30" t="str">
        <f t="shared" ref="FE102" si="1613">IF(BY102="","","|n"&amp;FE$2&amp;"+"&amp;BY102&amp;FE$1)</f>
        <v/>
      </c>
      <c r="FF102" s="30" t="str">
        <f t="shared" ref="FF102" si="1614">IF(BZ102="","","|n"&amp;FF$2&amp;"+"&amp;BZ102&amp;FF$1)</f>
        <v/>
      </c>
      <c r="FG102" s="30" t="str">
        <f t="shared" ref="FG102" si="1615">IF(CA102="","","|n"&amp;FG$2&amp;"+"&amp;CA102&amp;FG$1)</f>
        <v/>
      </c>
      <c r="FH102" s="30" t="str">
        <f t="shared" ref="FH102" si="1616">IF(CB102="","","|n"&amp;FH$2&amp;"+"&amp;CB102&amp;FH$1)</f>
        <v/>
      </c>
      <c r="FI102" s="30" t="str">
        <f t="shared" ref="FI102" si="1617">IF(CC102="","","|n"&amp;FI$2&amp;"+"&amp;CC102&amp;FI$1)</f>
        <v/>
      </c>
      <c r="FJ102" s="30" t="str">
        <f t="shared" ref="FJ102" si="1618">IF(CD102="","","|n"&amp;FJ$2&amp;"+"&amp;CD102&amp;FJ$1)</f>
        <v/>
      </c>
      <c r="FK102" s="30" t="str">
        <f t="shared" ref="FK102" si="1619">IF(CE102="","","|n"&amp;FK$2&amp;"+"&amp;CE102&amp;FK$1)</f>
        <v/>
      </c>
      <c r="FL102" s="30" t="str">
        <f t="shared" ref="FL102" si="1620">IF(CF102="","","|n"&amp;FL$2&amp;"+"&amp;CF102&amp;FL$1)</f>
        <v/>
      </c>
      <c r="FM102" s="30" t="str">
        <f t="shared" ref="FM102" si="1621">IF(CG102="","","|n"&amp;FM$2&amp;"+"&amp;CG102&amp;FM$1)</f>
        <v/>
      </c>
      <c r="FN102" s="30" t="str">
        <f t="shared" ref="FN102" si="1622">IF(CH102="","","|n"&amp;FN$2&amp;"+"&amp;CH102&amp;FN$1)</f>
        <v/>
      </c>
      <c r="FO102" s="30" t="str">
        <f t="shared" ref="FO102" si="1623">IF(CI102="","","|n"&amp;FO$2&amp;"+"&amp;CI102&amp;FO$1)</f>
        <v/>
      </c>
      <c r="FP102" s="30" t="str">
        <f t="shared" ref="FP102" si="1624">IF(CJ102="","","|n"&amp;FP$2&amp;"+"&amp;CJ102&amp;FP$1)</f>
        <v/>
      </c>
      <c r="FQ102" s="30" t="str">
        <f t="shared" ref="FQ102" si="1625">IF(CK102="","","|n"&amp;FQ$2&amp;"+"&amp;CK102&amp;FQ$1)</f>
        <v/>
      </c>
      <c r="FR102" s="30" t="str">
        <f t="shared" ref="FR102" si="1626">IF(CL102="","","|n"&amp;FR$2&amp;"+"&amp;CL102&amp;FR$1)</f>
        <v/>
      </c>
      <c r="FS102" s="30" t="str">
        <f t="shared" ref="FS102" si="1627">IF(CM102="","","|n"&amp;FS$2&amp;"+"&amp;CM102&amp;FS$1)</f>
        <v/>
      </c>
    </row>
    <row r="103" spans="1:175" ht="16.5">
      <c r="A103" s="117"/>
      <c r="B103" s="111" t="s">
        <v>865</v>
      </c>
      <c r="C103" s="117" t="s">
        <v>866</v>
      </c>
      <c r="R103" s="25">
        <v>-7872</v>
      </c>
      <c r="S103" s="25">
        <v>-2816</v>
      </c>
      <c r="T103" s="117" t="s">
        <v>866</v>
      </c>
      <c r="U103" s="37" t="s">
        <v>822</v>
      </c>
      <c r="CN103" s="7" t="str">
        <f t="shared" ref="CN103:CN116" si="1628">"InitUnitState('"&amp;B103&amp;"',"&amp;V103&amp;","&amp;W103&amp;","&amp;X103&amp;","&amp;Y103&amp;","&amp;Z103&amp;","&amp;AA103&amp;","&amp;AB103&amp;","&amp;AC103&amp;","&amp;AD103&amp;","&amp;AE103&amp;")"</f>
        <v>InitUnitState('IT02',,,,,,,,,,)</v>
      </c>
      <c r="CO103" s="7" t="str">
        <f t="shared" ref="CO103:CO116" si="1629">"InitUnitNormal('"&amp;B103&amp;"',"&amp;AF103&amp;","&amp;AG103&amp;","&amp;AH103&amp;","&amp;AI103&amp;","&amp;AJ103&amp;","&amp;AK103&amp;","&amp;AL103&amp;","&amp;AM103&amp;","&amp;AN103&amp;","&amp;AO103&amp;")"</f>
        <v>InitUnitNormal('IT02',,,,,,,,,,)</v>
      </c>
      <c r="CP103" s="7" t="str">
        <f t="shared" ref="CP103:CP116" si="1630">"InitUnitMagic('"&amp;B103&amp;"',"&amp;AP103&amp;","&amp;AQ103&amp;","&amp;AR103&amp;","&amp;AS103&amp;","&amp;AT103&amp;","&amp;AU103&amp;","&amp;AV103&amp;","&amp;AW103&amp;","&amp;BI103&amp;","&amp;BJ103&amp;")"</f>
        <v>InitUnitMagic('IT02',,,,,,,,,,)</v>
      </c>
      <c r="CQ103" s="7" t="str">
        <f t="shared" ref="CQ103:CQ116" si="1631">"InitUnitAdd('"&amp;B103&amp;"',"&amp;BK103&amp;","&amp;BL103&amp;","&amp;BM103&amp;","&amp;BN103&amp;","&amp;BO103&amp;","&amp;BP103&amp;","&amp;BQ103&amp;","&amp;BR103&amp;","&amp;BS103&amp;","&amp;BT103&amp;")"</f>
        <v>InitUnitAdd('IT02',,,,,,,,,,)</v>
      </c>
      <c r="CR103" s="7" t="str">
        <f t="shared" ref="CR103:CR110" si="1632"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InitEquipData('IT02',,"",,,,,'','','','','','',"ReplaceableTextures\\CommandButtons\\BTNTome.blp")</v>
      </c>
      <c r="CU103" s="45" t="str">
        <f t="shared" ref="CU103:CU116" si="1633">CONCATENATE(DB103,DC103,DD103,DE103,DF103,DG103,DH103,DI103,DJ103,DK103,DL103,DM103,DN103,DO103,DP103,DQ103,DR103,DS103,DT103,DU103,DV103,DW103,DX103,DY103,DZ103,EA103,EB103,EC103,ED103,EE103,EF103,EG103,EH103,EI103,EJ103,EK103,EL103,EM103,EN103,EO103,EP103&amp;"|n")</f>
        <v>|n</v>
      </c>
      <c r="CV103" s="29" t="str">
        <f t="shared" ref="CV103:CV116" si="1634">T103</f>
        <v>境界挑战2</v>
      </c>
      <c r="CW103" s="24"/>
      <c r="CX103" s="24"/>
      <c r="CY103" s="24"/>
      <c r="CZ103" s="24"/>
      <c r="DA103" s="24"/>
      <c r="DB103" s="30" t="str">
        <f t="shared" ref="DB103:DB116" si="1635">IF(V103="","","|n"&amp;DB$2&amp;"+"&amp;V103&amp;DB$1)</f>
        <v/>
      </c>
      <c r="DC103" s="30" t="str">
        <f t="shared" ref="DC103:DC116" si="1636">IF(W103="","","|n"&amp;DC$2&amp;"+"&amp;W103&amp;DC$1)</f>
        <v/>
      </c>
      <c r="DD103" s="30" t="str">
        <f t="shared" ref="DD103:DD116" si="1637">IF(X103="","","|n"&amp;DD$2&amp;"+"&amp;X103&amp;DD$1)</f>
        <v/>
      </c>
      <c r="DE103" s="30" t="str">
        <f t="shared" ref="DE103:DE116" si="1638">IF(Y103="","","|n"&amp;DE$2&amp;"+"&amp;Y103&amp;DE$1)</f>
        <v/>
      </c>
      <c r="DF103" s="30" t="str">
        <f t="shared" ref="DF103:DF116" si="1639">IF(Z103="","","|n"&amp;DF$2&amp;"+"&amp;Z103&amp;DF$1)</f>
        <v/>
      </c>
      <c r="DG103" s="30" t="str">
        <f t="shared" ref="DG103:DG116" si="1640">IF(AA103="","","|n"&amp;DG$2&amp;"+"&amp;AA103&amp;DG$1)</f>
        <v/>
      </c>
      <c r="DH103" s="30" t="str">
        <f t="shared" ref="DH103:DH116" si="1641">IF(AB103="","","|n"&amp;DH$2&amp;"+"&amp;AB103&amp;DH$1)</f>
        <v/>
      </c>
      <c r="DI103" s="30" t="str">
        <f t="shared" ref="DI103:DI116" si="1642">IF(AC103="","","|n"&amp;DI$2&amp;"+"&amp;AC103&amp;DI$1)</f>
        <v/>
      </c>
      <c r="DJ103" s="30" t="str">
        <f t="shared" ref="DJ103:DJ116" si="1643">IF(AD103="","","|n"&amp;DJ$2&amp;"+"&amp;AD103&amp;DJ$1)</f>
        <v/>
      </c>
      <c r="DK103" s="30" t="str">
        <f t="shared" ref="DK103:DK116" si="1644">IF(AE103="","","|n"&amp;DK$2&amp;"+"&amp;AE103&amp;DK$1)</f>
        <v/>
      </c>
      <c r="DL103" s="30" t="str">
        <f t="shared" ref="DL103:DL116" si="1645">IF(AF103="","","|n"&amp;DL$2&amp;"+"&amp;AF103&amp;DL$1)</f>
        <v/>
      </c>
      <c r="DM103" s="30" t="str">
        <f t="shared" ref="DM103:DM116" si="1646">IF(AG103="","","|n"&amp;DM$2&amp;"+"&amp;AG103&amp;DM$1)</f>
        <v/>
      </c>
      <c r="DN103" s="30" t="str">
        <f t="shared" ref="DN103:DN116" si="1647">IF(AH103="","","|n"&amp;DN$2&amp;"+"&amp;AH103&amp;DN$1)</f>
        <v/>
      </c>
      <c r="DO103" s="30" t="str">
        <f t="shared" ref="DO103:DO116" si="1648">IF(AI103="","","|n"&amp;DO$2&amp;"+"&amp;AI103&amp;DO$1)</f>
        <v/>
      </c>
      <c r="DP103" s="30" t="str">
        <f t="shared" ref="DP103:DP116" si="1649">IF(AJ103="","","|n"&amp;DP$2&amp;"+"&amp;AJ103&amp;DP$1)</f>
        <v/>
      </c>
      <c r="DQ103" s="30" t="str">
        <f t="shared" ref="DQ103:DQ116" si="1650">IF(AK103="","","|n"&amp;DQ$2&amp;"+"&amp;AK103&amp;DQ$1)</f>
        <v/>
      </c>
      <c r="DR103" s="30" t="str">
        <f t="shared" ref="DR103:DR116" si="1651">IF(AL103="","","|n"&amp;DR$2&amp;"+"&amp;AL103&amp;DR$1)</f>
        <v/>
      </c>
      <c r="DS103" s="30" t="str">
        <f t="shared" ref="DS103:DS116" si="1652">IF(AM103="","","|n"&amp;DS$2&amp;"+"&amp;AM103&amp;DS$1)</f>
        <v/>
      </c>
      <c r="DT103" s="30" t="str">
        <f t="shared" ref="DT103:DT116" si="1653">IF(AN103="","","|n"&amp;DT$2&amp;"+"&amp;AN103&amp;DT$1)</f>
        <v/>
      </c>
      <c r="DU103" s="30" t="str">
        <f t="shared" ref="DU103:DU116" si="1654">IF(AO103="","","|n"&amp;DU$2&amp;"+"&amp;AO103&amp;DU$1)</f>
        <v/>
      </c>
      <c r="DV103" s="30" t="str">
        <f t="shared" ref="DV103:DV116" si="1655">IF(AP103="","","|n"&amp;DV$2&amp;"+"&amp;AP103&amp;DV$1)</f>
        <v/>
      </c>
      <c r="DW103" s="30" t="str">
        <f t="shared" ref="DW103:DW116" si="1656">IF(AQ103="","","|n"&amp;DW$2&amp;"+"&amp;AQ103&amp;DW$1)</f>
        <v/>
      </c>
      <c r="DX103" s="30" t="str">
        <f t="shared" ref="DX103:DX116" si="1657">IF(AR103="","","|n"&amp;DX$2&amp;"+"&amp;AR103&amp;DX$1)</f>
        <v/>
      </c>
      <c r="DY103" s="30" t="str">
        <f t="shared" ref="DY103:DY116" si="1658">IF(AS103="","","|n"&amp;DY$2&amp;"+"&amp;AS103&amp;DY$1)</f>
        <v/>
      </c>
      <c r="DZ103" s="30" t="str">
        <f t="shared" ref="DZ103:DZ116" si="1659">IF(AT103="","","|n"&amp;DZ$2&amp;"+"&amp;AT103&amp;DZ$1)</f>
        <v/>
      </c>
      <c r="EA103" s="30" t="str">
        <f t="shared" ref="EA103:EA116" si="1660">IF(AU103="","","|n"&amp;EA$2&amp;"+"&amp;AU103&amp;EA$1)</f>
        <v/>
      </c>
      <c r="EB103" s="30" t="str">
        <f t="shared" ref="EB103:EB116" si="1661">IF(AV103="","","|n"&amp;EB$2&amp;"+"&amp;AV103&amp;EB$1)</f>
        <v/>
      </c>
      <c r="EC103" s="30" t="str">
        <f t="shared" ref="EC103:EC116" si="1662">IF(AW103="","","|n"&amp;EC$2&amp;"+"&amp;AW103&amp;EC$1)</f>
        <v/>
      </c>
      <c r="ED103" s="30" t="str">
        <f t="shared" ref="ED103:ED116" si="1663">IF(AX103="","","|n"&amp;ED$2&amp;"+"&amp;AX103&amp;ED$1)</f>
        <v/>
      </c>
      <c r="EE103" s="30" t="str">
        <f t="shared" ref="EE103:EE116" si="1664">IF(AY103="","","|n"&amp;EE$2&amp;"+"&amp;AY103&amp;EE$1)</f>
        <v/>
      </c>
      <c r="EF103" s="30" t="str">
        <f t="shared" ref="EF103:EF116" si="1665">IF(AZ103="","","|n"&amp;EF$2&amp;"+"&amp;AZ103&amp;EF$1)</f>
        <v/>
      </c>
      <c r="EG103" s="30" t="str">
        <f t="shared" ref="EG103:EG116" si="1666">IF(BA103="","","|n"&amp;EG$2&amp;"+"&amp;BA103&amp;EG$1)</f>
        <v/>
      </c>
      <c r="EH103" s="30" t="str">
        <f t="shared" ref="EH103:EH116" si="1667">IF(BB103="","","|n"&amp;EH$2&amp;"+"&amp;BB103&amp;EH$1)</f>
        <v/>
      </c>
      <c r="EI103" s="30" t="str">
        <f t="shared" ref="EI103:EI116" si="1668">IF(BC103="","","|n"&amp;EI$2&amp;"+"&amp;BC103&amp;EI$1)</f>
        <v/>
      </c>
      <c r="EJ103" s="30" t="str">
        <f t="shared" ref="EJ103:EJ116" si="1669">IF(BD103="","","|n"&amp;EJ$2&amp;"+"&amp;BD103&amp;EJ$1)</f>
        <v/>
      </c>
      <c r="EK103" s="30" t="str">
        <f t="shared" ref="EK103:EK116" si="1670">IF(BE103="","","|n"&amp;EK$2&amp;"+"&amp;BE103&amp;EK$1)</f>
        <v/>
      </c>
      <c r="EL103" s="30" t="str">
        <f t="shared" ref="EL103:EL116" si="1671">IF(BF103="","","|n"&amp;EL$2&amp;"+"&amp;BF103&amp;EL$1)</f>
        <v/>
      </c>
      <c r="EM103" s="30" t="str">
        <f t="shared" ref="EM103:EM116" si="1672">IF(BG103="","","|n"&amp;EM$2&amp;"+"&amp;BG103&amp;EM$1)</f>
        <v/>
      </c>
      <c r="EN103" s="30" t="str">
        <f t="shared" ref="EN103:EN116" si="1673">IF(BH103="","","|n"&amp;EN$2&amp;"+"&amp;BH103&amp;EN$1)</f>
        <v/>
      </c>
      <c r="EO103" s="30" t="str">
        <f t="shared" ref="EO103:EO116" si="1674">IF(BI103="","","|n"&amp;EO$2&amp;"+"&amp;BI103&amp;EO$1)</f>
        <v/>
      </c>
      <c r="EP103" s="30" t="str">
        <f t="shared" ref="EP103:EP116" si="1675">IF(BJ103="","","|n"&amp;EP$2&amp;"+"&amp;BJ103&amp;EP$1)</f>
        <v/>
      </c>
      <c r="EQ103" s="30" t="str">
        <f t="shared" ref="EQ103:EQ116" si="1676">IF(BK103="","","|n"&amp;EQ$2&amp;"+"&amp;BK103&amp;EQ$1)</f>
        <v/>
      </c>
      <c r="ER103" s="30" t="str">
        <f t="shared" ref="ER103:ER116" si="1677">IF(BL103="","","|n"&amp;ER$2&amp;"+"&amp;BL103&amp;ER$1)</f>
        <v/>
      </c>
      <c r="ES103" s="30" t="str">
        <f t="shared" ref="ES103:ES116" si="1678">IF(BM103="","","|n"&amp;ES$2&amp;"+"&amp;BM103&amp;ES$1)</f>
        <v/>
      </c>
      <c r="ET103" s="30" t="str">
        <f t="shared" ref="ET103:ET116" si="1679">IF(BN103="","","|n"&amp;ET$2&amp;"+"&amp;BN103&amp;ET$1)</f>
        <v/>
      </c>
      <c r="EU103" s="30" t="str">
        <f t="shared" ref="EU103:EU116" si="1680">IF(BO103="","","|n"&amp;EU$2&amp;"+"&amp;BO103&amp;EU$1)</f>
        <v/>
      </c>
      <c r="EV103" s="30" t="str">
        <f t="shared" ref="EV103:EV116" si="1681">IF(BP103="","","|n"&amp;EV$2&amp;"+"&amp;BP103&amp;EV$1)</f>
        <v/>
      </c>
      <c r="EW103" s="30" t="str">
        <f t="shared" ref="EW103:EW116" si="1682">IF(BQ103="","","|n"&amp;EW$2&amp;"+"&amp;BQ103&amp;EW$1)</f>
        <v/>
      </c>
      <c r="EX103" s="30" t="str">
        <f t="shared" ref="EX103:EX116" si="1683">IF(BR103="","","|n"&amp;EX$2&amp;"+"&amp;BR103&amp;EX$1)</f>
        <v/>
      </c>
      <c r="EY103" s="30" t="str">
        <f t="shared" ref="EY103:EY116" si="1684">IF(BS103="","","|n"&amp;EY$2&amp;"+"&amp;BS103&amp;EY$1)</f>
        <v/>
      </c>
      <c r="EZ103" s="30" t="str">
        <f t="shared" ref="EZ103:EZ116" si="1685">IF(BT103="","","|n"&amp;EZ$2&amp;"+"&amp;BT103&amp;EZ$1)</f>
        <v/>
      </c>
      <c r="FA103" s="30" t="str">
        <f t="shared" ref="FA103:FA116" si="1686">IF(BU103="","","|n"&amp;FA$2&amp;"+"&amp;BU103&amp;FA$1)</f>
        <v/>
      </c>
      <c r="FB103" s="30" t="str">
        <f t="shared" ref="FB103:FB116" si="1687">IF(BV103="","","|n"&amp;FB$2&amp;"+"&amp;BV103&amp;FB$1)</f>
        <v/>
      </c>
      <c r="FC103" s="30" t="str">
        <f t="shared" ref="FC103:FC116" si="1688">IF(BW103="","","|n"&amp;FC$2&amp;"+"&amp;BW103&amp;FC$1)</f>
        <v/>
      </c>
      <c r="FD103" s="30" t="str">
        <f t="shared" ref="FD103:FD116" si="1689">IF(BX103="","","|n"&amp;FD$2&amp;"+"&amp;BX103&amp;FD$1)</f>
        <v/>
      </c>
      <c r="FE103" s="30" t="str">
        <f t="shared" ref="FE103:FE116" si="1690">IF(BY103="","","|n"&amp;FE$2&amp;"+"&amp;BY103&amp;FE$1)</f>
        <v/>
      </c>
      <c r="FF103" s="30" t="str">
        <f t="shared" ref="FF103:FF116" si="1691">IF(BZ103="","","|n"&amp;FF$2&amp;"+"&amp;BZ103&amp;FF$1)</f>
        <v/>
      </c>
      <c r="FG103" s="30" t="str">
        <f t="shared" ref="FG103:FG116" si="1692">IF(CA103="","","|n"&amp;FG$2&amp;"+"&amp;CA103&amp;FG$1)</f>
        <v/>
      </c>
      <c r="FH103" s="30" t="str">
        <f t="shared" ref="FH103:FH116" si="1693">IF(CB103="","","|n"&amp;FH$2&amp;"+"&amp;CB103&amp;FH$1)</f>
        <v/>
      </c>
      <c r="FI103" s="30" t="str">
        <f t="shared" ref="FI103:FI116" si="1694">IF(CC103="","","|n"&amp;FI$2&amp;"+"&amp;CC103&amp;FI$1)</f>
        <v/>
      </c>
      <c r="FJ103" s="30" t="str">
        <f t="shared" ref="FJ103:FJ116" si="1695">IF(CD103="","","|n"&amp;FJ$2&amp;"+"&amp;CD103&amp;FJ$1)</f>
        <v/>
      </c>
      <c r="FK103" s="30" t="str">
        <f t="shared" ref="FK103:FK116" si="1696">IF(CE103="","","|n"&amp;FK$2&amp;"+"&amp;CE103&amp;FK$1)</f>
        <v/>
      </c>
      <c r="FL103" s="30" t="str">
        <f t="shared" ref="FL103:FL116" si="1697">IF(CF103="","","|n"&amp;FL$2&amp;"+"&amp;CF103&amp;FL$1)</f>
        <v/>
      </c>
      <c r="FM103" s="30" t="str">
        <f t="shared" ref="FM103:FM116" si="1698">IF(CG103="","","|n"&amp;FM$2&amp;"+"&amp;CG103&amp;FM$1)</f>
        <v/>
      </c>
      <c r="FN103" s="30" t="str">
        <f t="shared" ref="FN103:FN116" si="1699">IF(CH103="","","|n"&amp;FN$2&amp;"+"&amp;CH103&amp;FN$1)</f>
        <v/>
      </c>
      <c r="FO103" s="30" t="str">
        <f t="shared" ref="FO103:FO116" si="1700">IF(CI103="","","|n"&amp;FO$2&amp;"+"&amp;CI103&amp;FO$1)</f>
        <v/>
      </c>
      <c r="FP103" s="30" t="str">
        <f t="shared" ref="FP103:FP116" si="1701">IF(CJ103="","","|n"&amp;FP$2&amp;"+"&amp;CJ103&amp;FP$1)</f>
        <v/>
      </c>
      <c r="FQ103" s="30" t="str">
        <f t="shared" ref="FQ103:FQ116" si="1702">IF(CK103="","","|n"&amp;FQ$2&amp;"+"&amp;CK103&amp;FQ$1)</f>
        <v/>
      </c>
      <c r="FR103" s="30" t="str">
        <f t="shared" ref="FR103:FR116" si="1703">IF(CL103="","","|n"&amp;FR$2&amp;"+"&amp;CL103&amp;FR$1)</f>
        <v/>
      </c>
      <c r="FS103" s="30" t="str">
        <f t="shared" ref="FS103:FS116" si="1704">IF(CM103="","","|n"&amp;FS$2&amp;"+"&amp;CM103&amp;FS$1)</f>
        <v/>
      </c>
    </row>
    <row r="104" spans="1:175" ht="16.5">
      <c r="A104" s="117"/>
      <c r="B104" s="111" t="s">
        <v>867</v>
      </c>
      <c r="C104" s="117" t="s">
        <v>868</v>
      </c>
      <c r="R104" s="25">
        <v>-8048</v>
      </c>
      <c r="S104" s="25">
        <v>-1563</v>
      </c>
      <c r="T104" s="117" t="s">
        <v>868</v>
      </c>
      <c r="U104" s="37" t="s">
        <v>822</v>
      </c>
      <c r="CN104" s="7" t="str">
        <f t="shared" si="1628"/>
        <v>InitUnitState('IT03',,,,,,,,,,)</v>
      </c>
      <c r="CO104" s="7" t="str">
        <f t="shared" si="1629"/>
        <v>InitUnitNormal('IT03',,,,,,,,,,)</v>
      </c>
      <c r="CP104" s="7" t="str">
        <f t="shared" si="1630"/>
        <v>InitUnitMagic('IT03',,,,,,,,,,)</v>
      </c>
      <c r="CQ104" s="7" t="str">
        <f t="shared" si="1631"/>
        <v>InitUnitAdd('IT03',,,,,,,,,,)</v>
      </c>
      <c r="CR104" s="7" t="str">
        <f t="shared" si="1632"/>
        <v>InitEquipData('IT03',,"",,,,,'','','','','','',"ReplaceableTextures\\CommandButtons\\BTNTome.blp")</v>
      </c>
      <c r="CU104" s="45" t="str">
        <f t="shared" si="1633"/>
        <v>|n</v>
      </c>
      <c r="CV104" s="29" t="str">
        <f t="shared" si="1634"/>
        <v>境界挑战3</v>
      </c>
      <c r="CW104" s="24"/>
      <c r="CX104" s="24"/>
      <c r="CY104" s="24"/>
      <c r="CZ104" s="24"/>
      <c r="DA104" s="24"/>
      <c r="DB104" s="30" t="str">
        <f t="shared" si="1635"/>
        <v/>
      </c>
      <c r="DC104" s="30" t="str">
        <f t="shared" si="1636"/>
        <v/>
      </c>
      <c r="DD104" s="30" t="str">
        <f t="shared" si="1637"/>
        <v/>
      </c>
      <c r="DE104" s="30" t="str">
        <f t="shared" si="1638"/>
        <v/>
      </c>
      <c r="DF104" s="30" t="str">
        <f t="shared" si="1639"/>
        <v/>
      </c>
      <c r="DG104" s="30" t="str">
        <f t="shared" si="1640"/>
        <v/>
      </c>
      <c r="DH104" s="30" t="str">
        <f t="shared" si="1641"/>
        <v/>
      </c>
      <c r="DI104" s="30" t="str">
        <f t="shared" si="1642"/>
        <v/>
      </c>
      <c r="DJ104" s="30" t="str">
        <f t="shared" si="1643"/>
        <v/>
      </c>
      <c r="DK104" s="30" t="str">
        <f t="shared" si="1644"/>
        <v/>
      </c>
      <c r="DL104" s="30" t="str">
        <f t="shared" si="1645"/>
        <v/>
      </c>
      <c r="DM104" s="30" t="str">
        <f t="shared" si="1646"/>
        <v/>
      </c>
      <c r="DN104" s="30" t="str">
        <f t="shared" si="1647"/>
        <v/>
      </c>
      <c r="DO104" s="30" t="str">
        <f t="shared" si="1648"/>
        <v/>
      </c>
      <c r="DP104" s="30" t="str">
        <f t="shared" si="1649"/>
        <v/>
      </c>
      <c r="DQ104" s="30" t="str">
        <f t="shared" si="1650"/>
        <v/>
      </c>
      <c r="DR104" s="30" t="str">
        <f t="shared" si="1651"/>
        <v/>
      </c>
      <c r="DS104" s="30" t="str">
        <f t="shared" si="1652"/>
        <v/>
      </c>
      <c r="DT104" s="30" t="str">
        <f t="shared" si="1653"/>
        <v/>
      </c>
      <c r="DU104" s="30" t="str">
        <f t="shared" si="1654"/>
        <v/>
      </c>
      <c r="DV104" s="30" t="str">
        <f t="shared" si="1655"/>
        <v/>
      </c>
      <c r="DW104" s="30" t="str">
        <f t="shared" si="1656"/>
        <v/>
      </c>
      <c r="DX104" s="30" t="str">
        <f t="shared" si="1657"/>
        <v/>
      </c>
      <c r="DY104" s="30" t="str">
        <f t="shared" si="1658"/>
        <v/>
      </c>
      <c r="DZ104" s="30" t="str">
        <f t="shared" si="1659"/>
        <v/>
      </c>
      <c r="EA104" s="30" t="str">
        <f t="shared" si="1660"/>
        <v/>
      </c>
      <c r="EB104" s="30" t="str">
        <f t="shared" si="1661"/>
        <v/>
      </c>
      <c r="EC104" s="30" t="str">
        <f t="shared" si="1662"/>
        <v/>
      </c>
      <c r="ED104" s="30" t="str">
        <f t="shared" si="1663"/>
        <v/>
      </c>
      <c r="EE104" s="30" t="str">
        <f t="shared" si="1664"/>
        <v/>
      </c>
      <c r="EF104" s="30" t="str">
        <f t="shared" si="1665"/>
        <v/>
      </c>
      <c r="EG104" s="30" t="str">
        <f t="shared" si="1666"/>
        <v/>
      </c>
      <c r="EH104" s="30" t="str">
        <f t="shared" si="1667"/>
        <v/>
      </c>
      <c r="EI104" s="30" t="str">
        <f t="shared" si="1668"/>
        <v/>
      </c>
      <c r="EJ104" s="30" t="str">
        <f t="shared" si="1669"/>
        <v/>
      </c>
      <c r="EK104" s="30" t="str">
        <f t="shared" si="1670"/>
        <v/>
      </c>
      <c r="EL104" s="30" t="str">
        <f t="shared" si="1671"/>
        <v/>
      </c>
      <c r="EM104" s="30" t="str">
        <f t="shared" si="1672"/>
        <v/>
      </c>
      <c r="EN104" s="30" t="str">
        <f t="shared" si="1673"/>
        <v/>
      </c>
      <c r="EO104" s="30" t="str">
        <f t="shared" si="1674"/>
        <v/>
      </c>
      <c r="EP104" s="30" t="str">
        <f t="shared" si="1675"/>
        <v/>
      </c>
      <c r="EQ104" s="30" t="str">
        <f t="shared" si="1676"/>
        <v/>
      </c>
      <c r="ER104" s="30" t="str">
        <f t="shared" si="1677"/>
        <v/>
      </c>
      <c r="ES104" s="30" t="str">
        <f t="shared" si="1678"/>
        <v/>
      </c>
      <c r="ET104" s="30" t="str">
        <f t="shared" si="1679"/>
        <v/>
      </c>
      <c r="EU104" s="30" t="str">
        <f t="shared" si="1680"/>
        <v/>
      </c>
      <c r="EV104" s="30" t="str">
        <f t="shared" si="1681"/>
        <v/>
      </c>
      <c r="EW104" s="30" t="str">
        <f t="shared" si="1682"/>
        <v/>
      </c>
      <c r="EX104" s="30" t="str">
        <f t="shared" si="1683"/>
        <v/>
      </c>
      <c r="EY104" s="30" t="str">
        <f t="shared" si="1684"/>
        <v/>
      </c>
      <c r="EZ104" s="30" t="str">
        <f t="shared" si="1685"/>
        <v/>
      </c>
      <c r="FA104" s="30" t="str">
        <f t="shared" si="1686"/>
        <v/>
      </c>
      <c r="FB104" s="30" t="str">
        <f t="shared" si="1687"/>
        <v/>
      </c>
      <c r="FC104" s="30" t="str">
        <f t="shared" si="1688"/>
        <v/>
      </c>
      <c r="FD104" s="30" t="str">
        <f t="shared" si="1689"/>
        <v/>
      </c>
      <c r="FE104" s="30" t="str">
        <f t="shared" si="1690"/>
        <v/>
      </c>
      <c r="FF104" s="30" t="str">
        <f t="shared" si="1691"/>
        <v/>
      </c>
      <c r="FG104" s="30" t="str">
        <f t="shared" si="1692"/>
        <v/>
      </c>
      <c r="FH104" s="30" t="str">
        <f t="shared" si="1693"/>
        <v/>
      </c>
      <c r="FI104" s="30" t="str">
        <f t="shared" si="1694"/>
        <v/>
      </c>
      <c r="FJ104" s="30" t="str">
        <f t="shared" si="1695"/>
        <v/>
      </c>
      <c r="FK104" s="30" t="str">
        <f t="shared" si="1696"/>
        <v/>
      </c>
      <c r="FL104" s="30" t="str">
        <f t="shared" si="1697"/>
        <v/>
      </c>
      <c r="FM104" s="30" t="str">
        <f t="shared" si="1698"/>
        <v/>
      </c>
      <c r="FN104" s="30" t="str">
        <f t="shared" si="1699"/>
        <v/>
      </c>
      <c r="FO104" s="30" t="str">
        <f t="shared" si="1700"/>
        <v/>
      </c>
      <c r="FP104" s="30" t="str">
        <f t="shared" si="1701"/>
        <v/>
      </c>
      <c r="FQ104" s="30" t="str">
        <f t="shared" si="1702"/>
        <v/>
      </c>
      <c r="FR104" s="30" t="str">
        <f t="shared" si="1703"/>
        <v/>
      </c>
      <c r="FS104" s="30" t="str">
        <f t="shared" si="1704"/>
        <v/>
      </c>
    </row>
    <row r="105" spans="1:175" ht="16.5">
      <c r="A105" s="117"/>
      <c r="B105" s="111" t="s">
        <v>869</v>
      </c>
      <c r="C105" s="117" t="s">
        <v>870</v>
      </c>
      <c r="R105" s="25">
        <v>-7794</v>
      </c>
      <c r="S105" s="25">
        <v>195</v>
      </c>
      <c r="T105" s="117" t="s">
        <v>870</v>
      </c>
      <c r="U105" s="37" t="s">
        <v>822</v>
      </c>
      <c r="CN105" s="7" t="str">
        <f t="shared" si="1628"/>
        <v>InitUnitState('IT04',,,,,,,,,,)</v>
      </c>
      <c r="CO105" s="7" t="str">
        <f t="shared" si="1629"/>
        <v>InitUnitNormal('IT04',,,,,,,,,,)</v>
      </c>
      <c r="CP105" s="7" t="str">
        <f t="shared" si="1630"/>
        <v>InitUnitMagic('IT04',,,,,,,,,,)</v>
      </c>
      <c r="CQ105" s="7" t="str">
        <f t="shared" si="1631"/>
        <v>InitUnitAdd('IT04',,,,,,,,,,)</v>
      </c>
      <c r="CR105" s="7" t="str">
        <f t="shared" si="1632"/>
        <v>InitEquipData('IT04',,"",,,,,'','','','','','',"ReplaceableTextures\\CommandButtons\\BTNTome.blp")</v>
      </c>
      <c r="CU105" s="45" t="str">
        <f t="shared" si="1633"/>
        <v>|n</v>
      </c>
      <c r="CV105" s="29" t="str">
        <f t="shared" si="1634"/>
        <v>境界挑战4</v>
      </c>
      <c r="CW105" s="24"/>
      <c r="CX105" s="24"/>
      <c r="CY105" s="24"/>
      <c r="CZ105" s="24"/>
      <c r="DA105" s="24"/>
      <c r="DB105" s="30" t="str">
        <f t="shared" si="1635"/>
        <v/>
      </c>
      <c r="DC105" s="30" t="str">
        <f t="shared" si="1636"/>
        <v/>
      </c>
      <c r="DD105" s="30" t="str">
        <f t="shared" si="1637"/>
        <v/>
      </c>
      <c r="DE105" s="30" t="str">
        <f t="shared" si="1638"/>
        <v/>
      </c>
      <c r="DF105" s="30" t="str">
        <f t="shared" si="1639"/>
        <v/>
      </c>
      <c r="DG105" s="30" t="str">
        <f t="shared" si="1640"/>
        <v/>
      </c>
      <c r="DH105" s="30" t="str">
        <f t="shared" si="1641"/>
        <v/>
      </c>
      <c r="DI105" s="30" t="str">
        <f t="shared" si="1642"/>
        <v/>
      </c>
      <c r="DJ105" s="30" t="str">
        <f t="shared" si="1643"/>
        <v/>
      </c>
      <c r="DK105" s="30" t="str">
        <f t="shared" si="1644"/>
        <v/>
      </c>
      <c r="DL105" s="30" t="str">
        <f t="shared" si="1645"/>
        <v/>
      </c>
      <c r="DM105" s="30" t="str">
        <f t="shared" si="1646"/>
        <v/>
      </c>
      <c r="DN105" s="30" t="str">
        <f t="shared" si="1647"/>
        <v/>
      </c>
      <c r="DO105" s="30" t="str">
        <f t="shared" si="1648"/>
        <v/>
      </c>
      <c r="DP105" s="30" t="str">
        <f t="shared" si="1649"/>
        <v/>
      </c>
      <c r="DQ105" s="30" t="str">
        <f t="shared" si="1650"/>
        <v/>
      </c>
      <c r="DR105" s="30" t="str">
        <f t="shared" si="1651"/>
        <v/>
      </c>
      <c r="DS105" s="30" t="str">
        <f t="shared" si="1652"/>
        <v/>
      </c>
      <c r="DT105" s="30" t="str">
        <f t="shared" si="1653"/>
        <v/>
      </c>
      <c r="DU105" s="30" t="str">
        <f t="shared" si="1654"/>
        <v/>
      </c>
      <c r="DV105" s="30" t="str">
        <f t="shared" si="1655"/>
        <v/>
      </c>
      <c r="DW105" s="30" t="str">
        <f t="shared" si="1656"/>
        <v/>
      </c>
      <c r="DX105" s="30" t="str">
        <f t="shared" si="1657"/>
        <v/>
      </c>
      <c r="DY105" s="30" t="str">
        <f t="shared" si="1658"/>
        <v/>
      </c>
      <c r="DZ105" s="30" t="str">
        <f t="shared" si="1659"/>
        <v/>
      </c>
      <c r="EA105" s="30" t="str">
        <f t="shared" si="1660"/>
        <v/>
      </c>
      <c r="EB105" s="30" t="str">
        <f t="shared" si="1661"/>
        <v/>
      </c>
      <c r="EC105" s="30" t="str">
        <f t="shared" si="1662"/>
        <v/>
      </c>
      <c r="ED105" s="30" t="str">
        <f t="shared" si="1663"/>
        <v/>
      </c>
      <c r="EE105" s="30" t="str">
        <f t="shared" si="1664"/>
        <v/>
      </c>
      <c r="EF105" s="30" t="str">
        <f t="shared" si="1665"/>
        <v/>
      </c>
      <c r="EG105" s="30" t="str">
        <f t="shared" si="1666"/>
        <v/>
      </c>
      <c r="EH105" s="30" t="str">
        <f t="shared" si="1667"/>
        <v/>
      </c>
      <c r="EI105" s="30" t="str">
        <f t="shared" si="1668"/>
        <v/>
      </c>
      <c r="EJ105" s="30" t="str">
        <f t="shared" si="1669"/>
        <v/>
      </c>
      <c r="EK105" s="30" t="str">
        <f t="shared" si="1670"/>
        <v/>
      </c>
      <c r="EL105" s="30" t="str">
        <f t="shared" si="1671"/>
        <v/>
      </c>
      <c r="EM105" s="30" t="str">
        <f t="shared" si="1672"/>
        <v/>
      </c>
      <c r="EN105" s="30" t="str">
        <f t="shared" si="1673"/>
        <v/>
      </c>
      <c r="EO105" s="30" t="str">
        <f t="shared" si="1674"/>
        <v/>
      </c>
      <c r="EP105" s="30" t="str">
        <f t="shared" si="1675"/>
        <v/>
      </c>
      <c r="EQ105" s="30" t="str">
        <f t="shared" si="1676"/>
        <v/>
      </c>
      <c r="ER105" s="30" t="str">
        <f t="shared" si="1677"/>
        <v/>
      </c>
      <c r="ES105" s="30" t="str">
        <f t="shared" si="1678"/>
        <v/>
      </c>
      <c r="ET105" s="30" t="str">
        <f t="shared" si="1679"/>
        <v/>
      </c>
      <c r="EU105" s="30" t="str">
        <f t="shared" si="1680"/>
        <v/>
      </c>
      <c r="EV105" s="30" t="str">
        <f t="shared" si="1681"/>
        <v/>
      </c>
      <c r="EW105" s="30" t="str">
        <f t="shared" si="1682"/>
        <v/>
      </c>
      <c r="EX105" s="30" t="str">
        <f t="shared" si="1683"/>
        <v/>
      </c>
      <c r="EY105" s="30" t="str">
        <f t="shared" si="1684"/>
        <v/>
      </c>
      <c r="EZ105" s="30" t="str">
        <f t="shared" si="1685"/>
        <v/>
      </c>
      <c r="FA105" s="30" t="str">
        <f t="shared" si="1686"/>
        <v/>
      </c>
      <c r="FB105" s="30" t="str">
        <f t="shared" si="1687"/>
        <v/>
      </c>
      <c r="FC105" s="30" t="str">
        <f t="shared" si="1688"/>
        <v/>
      </c>
      <c r="FD105" s="30" t="str">
        <f t="shared" si="1689"/>
        <v/>
      </c>
      <c r="FE105" s="30" t="str">
        <f t="shared" si="1690"/>
        <v/>
      </c>
      <c r="FF105" s="30" t="str">
        <f t="shared" si="1691"/>
        <v/>
      </c>
      <c r="FG105" s="30" t="str">
        <f t="shared" si="1692"/>
        <v/>
      </c>
      <c r="FH105" s="30" t="str">
        <f t="shared" si="1693"/>
        <v/>
      </c>
      <c r="FI105" s="30" t="str">
        <f t="shared" si="1694"/>
        <v/>
      </c>
      <c r="FJ105" s="30" t="str">
        <f t="shared" si="1695"/>
        <v/>
      </c>
      <c r="FK105" s="30" t="str">
        <f t="shared" si="1696"/>
        <v/>
      </c>
      <c r="FL105" s="30" t="str">
        <f t="shared" si="1697"/>
        <v/>
      </c>
      <c r="FM105" s="30" t="str">
        <f t="shared" si="1698"/>
        <v/>
      </c>
      <c r="FN105" s="30" t="str">
        <f t="shared" si="1699"/>
        <v/>
      </c>
      <c r="FO105" s="30" t="str">
        <f t="shared" si="1700"/>
        <v/>
      </c>
      <c r="FP105" s="30" t="str">
        <f t="shared" si="1701"/>
        <v/>
      </c>
      <c r="FQ105" s="30" t="str">
        <f t="shared" si="1702"/>
        <v/>
      </c>
      <c r="FR105" s="30" t="str">
        <f t="shared" si="1703"/>
        <v/>
      </c>
      <c r="FS105" s="30" t="str">
        <f t="shared" si="1704"/>
        <v/>
      </c>
    </row>
    <row r="106" spans="1:175" ht="16.5">
      <c r="A106" s="117"/>
      <c r="B106" s="111" t="s">
        <v>871</v>
      </c>
      <c r="C106" s="117" t="s">
        <v>872</v>
      </c>
      <c r="R106" s="25">
        <v>-8110</v>
      </c>
      <c r="S106" s="25">
        <v>1810</v>
      </c>
      <c r="T106" s="117" t="s">
        <v>872</v>
      </c>
      <c r="U106" s="37" t="s">
        <v>822</v>
      </c>
      <c r="CN106" s="7" t="str">
        <f t="shared" si="1628"/>
        <v>InitUnitState('IT05',,,,,,,,,,)</v>
      </c>
      <c r="CO106" s="7" t="str">
        <f t="shared" si="1629"/>
        <v>InitUnitNormal('IT05',,,,,,,,,,)</v>
      </c>
      <c r="CP106" s="7" t="str">
        <f t="shared" si="1630"/>
        <v>InitUnitMagic('IT05',,,,,,,,,,)</v>
      </c>
      <c r="CQ106" s="7" t="str">
        <f t="shared" si="1631"/>
        <v>InitUnitAdd('IT05',,,,,,,,,,)</v>
      </c>
      <c r="CR106" s="7" t="str">
        <f t="shared" si="1632"/>
        <v>InitEquipData('IT05',,"",,,,,'','','','','','',"ReplaceableTextures\\CommandButtons\\BTNTome.blp")</v>
      </c>
      <c r="CU106" s="45" t="str">
        <f t="shared" si="1633"/>
        <v>|n</v>
      </c>
      <c r="CV106" s="29" t="str">
        <f t="shared" si="1634"/>
        <v>境界挑战5</v>
      </c>
      <c r="CW106" s="24"/>
      <c r="CX106" s="24"/>
      <c r="CY106" s="24"/>
      <c r="CZ106" s="24"/>
      <c r="DA106" s="24"/>
      <c r="DB106" s="30" t="str">
        <f t="shared" si="1635"/>
        <v/>
      </c>
      <c r="DC106" s="30" t="str">
        <f t="shared" si="1636"/>
        <v/>
      </c>
      <c r="DD106" s="30" t="str">
        <f t="shared" si="1637"/>
        <v/>
      </c>
      <c r="DE106" s="30" t="str">
        <f t="shared" si="1638"/>
        <v/>
      </c>
      <c r="DF106" s="30" t="str">
        <f t="shared" si="1639"/>
        <v/>
      </c>
      <c r="DG106" s="30" t="str">
        <f t="shared" si="1640"/>
        <v/>
      </c>
      <c r="DH106" s="30" t="str">
        <f t="shared" si="1641"/>
        <v/>
      </c>
      <c r="DI106" s="30" t="str">
        <f t="shared" si="1642"/>
        <v/>
      </c>
      <c r="DJ106" s="30" t="str">
        <f t="shared" si="1643"/>
        <v/>
      </c>
      <c r="DK106" s="30" t="str">
        <f t="shared" si="1644"/>
        <v/>
      </c>
      <c r="DL106" s="30" t="str">
        <f t="shared" si="1645"/>
        <v/>
      </c>
      <c r="DM106" s="30" t="str">
        <f t="shared" si="1646"/>
        <v/>
      </c>
      <c r="DN106" s="30" t="str">
        <f t="shared" si="1647"/>
        <v/>
      </c>
      <c r="DO106" s="30" t="str">
        <f t="shared" si="1648"/>
        <v/>
      </c>
      <c r="DP106" s="30" t="str">
        <f t="shared" si="1649"/>
        <v/>
      </c>
      <c r="DQ106" s="30" t="str">
        <f t="shared" si="1650"/>
        <v/>
      </c>
      <c r="DR106" s="30" t="str">
        <f t="shared" si="1651"/>
        <v/>
      </c>
      <c r="DS106" s="30" t="str">
        <f t="shared" si="1652"/>
        <v/>
      </c>
      <c r="DT106" s="30" t="str">
        <f t="shared" si="1653"/>
        <v/>
      </c>
      <c r="DU106" s="30" t="str">
        <f t="shared" si="1654"/>
        <v/>
      </c>
      <c r="DV106" s="30" t="str">
        <f t="shared" si="1655"/>
        <v/>
      </c>
      <c r="DW106" s="30" t="str">
        <f t="shared" si="1656"/>
        <v/>
      </c>
      <c r="DX106" s="30" t="str">
        <f t="shared" si="1657"/>
        <v/>
      </c>
      <c r="DY106" s="30" t="str">
        <f t="shared" si="1658"/>
        <v/>
      </c>
      <c r="DZ106" s="30" t="str">
        <f t="shared" si="1659"/>
        <v/>
      </c>
      <c r="EA106" s="30" t="str">
        <f t="shared" si="1660"/>
        <v/>
      </c>
      <c r="EB106" s="30" t="str">
        <f t="shared" si="1661"/>
        <v/>
      </c>
      <c r="EC106" s="30" t="str">
        <f t="shared" si="1662"/>
        <v/>
      </c>
      <c r="ED106" s="30" t="str">
        <f t="shared" si="1663"/>
        <v/>
      </c>
      <c r="EE106" s="30" t="str">
        <f t="shared" si="1664"/>
        <v/>
      </c>
      <c r="EF106" s="30" t="str">
        <f t="shared" si="1665"/>
        <v/>
      </c>
      <c r="EG106" s="30" t="str">
        <f t="shared" si="1666"/>
        <v/>
      </c>
      <c r="EH106" s="30" t="str">
        <f t="shared" si="1667"/>
        <v/>
      </c>
      <c r="EI106" s="30" t="str">
        <f t="shared" si="1668"/>
        <v/>
      </c>
      <c r="EJ106" s="30" t="str">
        <f t="shared" si="1669"/>
        <v/>
      </c>
      <c r="EK106" s="30" t="str">
        <f t="shared" si="1670"/>
        <v/>
      </c>
      <c r="EL106" s="30" t="str">
        <f t="shared" si="1671"/>
        <v/>
      </c>
      <c r="EM106" s="30" t="str">
        <f t="shared" si="1672"/>
        <v/>
      </c>
      <c r="EN106" s="30" t="str">
        <f t="shared" si="1673"/>
        <v/>
      </c>
      <c r="EO106" s="30" t="str">
        <f t="shared" si="1674"/>
        <v/>
      </c>
      <c r="EP106" s="30" t="str">
        <f t="shared" si="1675"/>
        <v/>
      </c>
      <c r="EQ106" s="30" t="str">
        <f t="shared" si="1676"/>
        <v/>
      </c>
      <c r="ER106" s="30" t="str">
        <f t="shared" si="1677"/>
        <v/>
      </c>
      <c r="ES106" s="30" t="str">
        <f t="shared" si="1678"/>
        <v/>
      </c>
      <c r="ET106" s="30" t="str">
        <f t="shared" si="1679"/>
        <v/>
      </c>
      <c r="EU106" s="30" t="str">
        <f t="shared" si="1680"/>
        <v/>
      </c>
      <c r="EV106" s="30" t="str">
        <f t="shared" si="1681"/>
        <v/>
      </c>
      <c r="EW106" s="30" t="str">
        <f t="shared" si="1682"/>
        <v/>
      </c>
      <c r="EX106" s="30" t="str">
        <f t="shared" si="1683"/>
        <v/>
      </c>
      <c r="EY106" s="30" t="str">
        <f t="shared" si="1684"/>
        <v/>
      </c>
      <c r="EZ106" s="30" t="str">
        <f t="shared" si="1685"/>
        <v/>
      </c>
      <c r="FA106" s="30" t="str">
        <f t="shared" si="1686"/>
        <v/>
      </c>
      <c r="FB106" s="30" t="str">
        <f t="shared" si="1687"/>
        <v/>
      </c>
      <c r="FC106" s="30" t="str">
        <f t="shared" si="1688"/>
        <v/>
      </c>
      <c r="FD106" s="30" t="str">
        <f t="shared" si="1689"/>
        <v/>
      </c>
      <c r="FE106" s="30" t="str">
        <f t="shared" si="1690"/>
        <v/>
      </c>
      <c r="FF106" s="30" t="str">
        <f t="shared" si="1691"/>
        <v/>
      </c>
      <c r="FG106" s="30" t="str">
        <f t="shared" si="1692"/>
        <v/>
      </c>
      <c r="FH106" s="30" t="str">
        <f t="shared" si="1693"/>
        <v/>
      </c>
      <c r="FI106" s="30" t="str">
        <f t="shared" si="1694"/>
        <v/>
      </c>
      <c r="FJ106" s="30" t="str">
        <f t="shared" si="1695"/>
        <v/>
      </c>
      <c r="FK106" s="30" t="str">
        <f t="shared" si="1696"/>
        <v/>
      </c>
      <c r="FL106" s="30" t="str">
        <f t="shared" si="1697"/>
        <v/>
      </c>
      <c r="FM106" s="30" t="str">
        <f t="shared" si="1698"/>
        <v/>
      </c>
      <c r="FN106" s="30" t="str">
        <f t="shared" si="1699"/>
        <v/>
      </c>
      <c r="FO106" s="30" t="str">
        <f t="shared" si="1700"/>
        <v/>
      </c>
      <c r="FP106" s="30" t="str">
        <f t="shared" si="1701"/>
        <v/>
      </c>
      <c r="FQ106" s="30" t="str">
        <f t="shared" si="1702"/>
        <v/>
      </c>
      <c r="FR106" s="30" t="str">
        <f t="shared" si="1703"/>
        <v/>
      </c>
      <c r="FS106" s="30" t="str">
        <f t="shared" si="1704"/>
        <v/>
      </c>
    </row>
    <row r="107" spans="1:175" ht="16.5">
      <c r="A107" s="117"/>
      <c r="B107" s="111" t="s">
        <v>873</v>
      </c>
      <c r="C107" s="117" t="s">
        <v>874</v>
      </c>
      <c r="R107" s="25">
        <v>-7896</v>
      </c>
      <c r="S107" s="25">
        <v>3839</v>
      </c>
      <c r="T107" s="117" t="s">
        <v>874</v>
      </c>
      <c r="U107" s="37" t="s">
        <v>822</v>
      </c>
      <c r="CN107" s="7" t="str">
        <f t="shared" si="1628"/>
        <v>InitUnitState('IT06',,,,,,,,,,)</v>
      </c>
      <c r="CO107" s="7" t="str">
        <f t="shared" si="1629"/>
        <v>InitUnitNormal('IT06',,,,,,,,,,)</v>
      </c>
      <c r="CP107" s="7" t="str">
        <f t="shared" si="1630"/>
        <v>InitUnitMagic('IT06',,,,,,,,,,)</v>
      </c>
      <c r="CQ107" s="7" t="str">
        <f t="shared" si="1631"/>
        <v>InitUnitAdd('IT06',,,,,,,,,,)</v>
      </c>
      <c r="CR107" s="7" t="str">
        <f t="shared" si="1632"/>
        <v>InitEquipData('IT06',,"",,,,,'','','','','','',"ReplaceableTextures\\CommandButtons\\BTNTome.blp")</v>
      </c>
      <c r="CU107" s="45" t="str">
        <f t="shared" si="1633"/>
        <v>|n</v>
      </c>
      <c r="CV107" s="29" t="str">
        <f t="shared" si="1634"/>
        <v>境界挑战6</v>
      </c>
      <c r="CW107" s="24"/>
      <c r="CX107" s="24"/>
      <c r="CY107" s="24"/>
      <c r="CZ107" s="24"/>
      <c r="DA107" s="24"/>
      <c r="DB107" s="30" t="str">
        <f t="shared" si="1635"/>
        <v/>
      </c>
      <c r="DC107" s="30" t="str">
        <f t="shared" si="1636"/>
        <v/>
      </c>
      <c r="DD107" s="30" t="str">
        <f t="shared" si="1637"/>
        <v/>
      </c>
      <c r="DE107" s="30" t="str">
        <f t="shared" si="1638"/>
        <v/>
      </c>
      <c r="DF107" s="30" t="str">
        <f t="shared" si="1639"/>
        <v/>
      </c>
      <c r="DG107" s="30" t="str">
        <f t="shared" si="1640"/>
        <v/>
      </c>
      <c r="DH107" s="30" t="str">
        <f t="shared" si="1641"/>
        <v/>
      </c>
      <c r="DI107" s="30" t="str">
        <f t="shared" si="1642"/>
        <v/>
      </c>
      <c r="DJ107" s="30" t="str">
        <f t="shared" si="1643"/>
        <v/>
      </c>
      <c r="DK107" s="30" t="str">
        <f t="shared" si="1644"/>
        <v/>
      </c>
      <c r="DL107" s="30" t="str">
        <f t="shared" si="1645"/>
        <v/>
      </c>
      <c r="DM107" s="30" t="str">
        <f t="shared" si="1646"/>
        <v/>
      </c>
      <c r="DN107" s="30" t="str">
        <f t="shared" si="1647"/>
        <v/>
      </c>
      <c r="DO107" s="30" t="str">
        <f t="shared" si="1648"/>
        <v/>
      </c>
      <c r="DP107" s="30" t="str">
        <f t="shared" si="1649"/>
        <v/>
      </c>
      <c r="DQ107" s="30" t="str">
        <f t="shared" si="1650"/>
        <v/>
      </c>
      <c r="DR107" s="30" t="str">
        <f t="shared" si="1651"/>
        <v/>
      </c>
      <c r="DS107" s="30" t="str">
        <f t="shared" si="1652"/>
        <v/>
      </c>
      <c r="DT107" s="30" t="str">
        <f t="shared" si="1653"/>
        <v/>
      </c>
      <c r="DU107" s="30" t="str">
        <f t="shared" si="1654"/>
        <v/>
      </c>
      <c r="DV107" s="30" t="str">
        <f t="shared" si="1655"/>
        <v/>
      </c>
      <c r="DW107" s="30" t="str">
        <f t="shared" si="1656"/>
        <v/>
      </c>
      <c r="DX107" s="30" t="str">
        <f t="shared" si="1657"/>
        <v/>
      </c>
      <c r="DY107" s="30" t="str">
        <f t="shared" si="1658"/>
        <v/>
      </c>
      <c r="DZ107" s="30" t="str">
        <f t="shared" si="1659"/>
        <v/>
      </c>
      <c r="EA107" s="30" t="str">
        <f t="shared" si="1660"/>
        <v/>
      </c>
      <c r="EB107" s="30" t="str">
        <f t="shared" si="1661"/>
        <v/>
      </c>
      <c r="EC107" s="30" t="str">
        <f t="shared" si="1662"/>
        <v/>
      </c>
      <c r="ED107" s="30" t="str">
        <f t="shared" si="1663"/>
        <v/>
      </c>
      <c r="EE107" s="30" t="str">
        <f t="shared" si="1664"/>
        <v/>
      </c>
      <c r="EF107" s="30" t="str">
        <f t="shared" si="1665"/>
        <v/>
      </c>
      <c r="EG107" s="30" t="str">
        <f t="shared" si="1666"/>
        <v/>
      </c>
      <c r="EH107" s="30" t="str">
        <f t="shared" si="1667"/>
        <v/>
      </c>
      <c r="EI107" s="30" t="str">
        <f t="shared" si="1668"/>
        <v/>
      </c>
      <c r="EJ107" s="30" t="str">
        <f t="shared" si="1669"/>
        <v/>
      </c>
      <c r="EK107" s="30" t="str">
        <f t="shared" si="1670"/>
        <v/>
      </c>
      <c r="EL107" s="30" t="str">
        <f t="shared" si="1671"/>
        <v/>
      </c>
      <c r="EM107" s="30" t="str">
        <f t="shared" si="1672"/>
        <v/>
      </c>
      <c r="EN107" s="30" t="str">
        <f t="shared" si="1673"/>
        <v/>
      </c>
      <c r="EO107" s="30" t="str">
        <f t="shared" si="1674"/>
        <v/>
      </c>
      <c r="EP107" s="30" t="str">
        <f t="shared" si="1675"/>
        <v/>
      </c>
      <c r="EQ107" s="30" t="str">
        <f t="shared" si="1676"/>
        <v/>
      </c>
      <c r="ER107" s="30" t="str">
        <f t="shared" si="1677"/>
        <v/>
      </c>
      <c r="ES107" s="30" t="str">
        <f t="shared" si="1678"/>
        <v/>
      </c>
      <c r="ET107" s="30" t="str">
        <f t="shared" si="1679"/>
        <v/>
      </c>
      <c r="EU107" s="30" t="str">
        <f t="shared" si="1680"/>
        <v/>
      </c>
      <c r="EV107" s="30" t="str">
        <f t="shared" si="1681"/>
        <v/>
      </c>
      <c r="EW107" s="30" t="str">
        <f t="shared" si="1682"/>
        <v/>
      </c>
      <c r="EX107" s="30" t="str">
        <f t="shared" si="1683"/>
        <v/>
      </c>
      <c r="EY107" s="30" t="str">
        <f t="shared" si="1684"/>
        <v/>
      </c>
      <c r="EZ107" s="30" t="str">
        <f t="shared" si="1685"/>
        <v/>
      </c>
      <c r="FA107" s="30" t="str">
        <f t="shared" si="1686"/>
        <v/>
      </c>
      <c r="FB107" s="30" t="str">
        <f t="shared" si="1687"/>
        <v/>
      </c>
      <c r="FC107" s="30" t="str">
        <f t="shared" si="1688"/>
        <v/>
      </c>
      <c r="FD107" s="30" t="str">
        <f t="shared" si="1689"/>
        <v/>
      </c>
      <c r="FE107" s="30" t="str">
        <f t="shared" si="1690"/>
        <v/>
      </c>
      <c r="FF107" s="30" t="str">
        <f t="shared" si="1691"/>
        <v/>
      </c>
      <c r="FG107" s="30" t="str">
        <f t="shared" si="1692"/>
        <v/>
      </c>
      <c r="FH107" s="30" t="str">
        <f t="shared" si="1693"/>
        <v/>
      </c>
      <c r="FI107" s="30" t="str">
        <f t="shared" si="1694"/>
        <v/>
      </c>
      <c r="FJ107" s="30" t="str">
        <f t="shared" si="1695"/>
        <v/>
      </c>
      <c r="FK107" s="30" t="str">
        <f t="shared" si="1696"/>
        <v/>
      </c>
      <c r="FL107" s="30" t="str">
        <f t="shared" si="1697"/>
        <v/>
      </c>
      <c r="FM107" s="30" t="str">
        <f t="shared" si="1698"/>
        <v/>
      </c>
      <c r="FN107" s="30" t="str">
        <f t="shared" si="1699"/>
        <v/>
      </c>
      <c r="FO107" s="30" t="str">
        <f t="shared" si="1700"/>
        <v/>
      </c>
      <c r="FP107" s="30" t="str">
        <f t="shared" si="1701"/>
        <v/>
      </c>
      <c r="FQ107" s="30" t="str">
        <f t="shared" si="1702"/>
        <v/>
      </c>
      <c r="FR107" s="30" t="str">
        <f t="shared" si="1703"/>
        <v/>
      </c>
      <c r="FS107" s="30" t="str">
        <f t="shared" si="1704"/>
        <v/>
      </c>
    </row>
    <row r="108" spans="1:175" ht="16.5">
      <c r="A108" s="117"/>
      <c r="B108" s="111" t="s">
        <v>875</v>
      </c>
      <c r="C108" s="117" t="s">
        <v>876</v>
      </c>
      <c r="R108" s="25">
        <v>-7896</v>
      </c>
      <c r="S108" s="25">
        <v>5906</v>
      </c>
      <c r="T108" s="117" t="s">
        <v>876</v>
      </c>
      <c r="U108" s="37" t="s">
        <v>822</v>
      </c>
      <c r="CN108" s="7" t="str">
        <f t="shared" si="1628"/>
        <v>InitUnitState('IT07',,,,,,,,,,)</v>
      </c>
      <c r="CO108" s="7" t="str">
        <f t="shared" si="1629"/>
        <v>InitUnitNormal('IT07',,,,,,,,,,)</v>
      </c>
      <c r="CP108" s="7" t="str">
        <f t="shared" si="1630"/>
        <v>InitUnitMagic('IT07',,,,,,,,,,)</v>
      </c>
      <c r="CQ108" s="7" t="str">
        <f t="shared" si="1631"/>
        <v>InitUnitAdd('IT07',,,,,,,,,,)</v>
      </c>
      <c r="CR108" s="7" t="str">
        <f t="shared" si="1632"/>
        <v>InitEquipData('IT07',,"",,,,,'','','','','','',"ReplaceableTextures\\CommandButtons\\BTNTome.blp")</v>
      </c>
      <c r="CU108" s="45" t="str">
        <f t="shared" si="1633"/>
        <v>|n</v>
      </c>
      <c r="CV108" s="29" t="str">
        <f t="shared" si="1634"/>
        <v>境界挑战7</v>
      </c>
      <c r="CW108" s="24"/>
      <c r="CX108" s="24"/>
      <c r="CY108" s="24"/>
      <c r="CZ108" s="24"/>
      <c r="DA108" s="24"/>
      <c r="DB108" s="30" t="str">
        <f t="shared" si="1635"/>
        <v/>
      </c>
      <c r="DC108" s="30" t="str">
        <f t="shared" si="1636"/>
        <v/>
      </c>
      <c r="DD108" s="30" t="str">
        <f t="shared" si="1637"/>
        <v/>
      </c>
      <c r="DE108" s="30" t="str">
        <f t="shared" si="1638"/>
        <v/>
      </c>
      <c r="DF108" s="30" t="str">
        <f t="shared" si="1639"/>
        <v/>
      </c>
      <c r="DG108" s="30" t="str">
        <f t="shared" si="1640"/>
        <v/>
      </c>
      <c r="DH108" s="30" t="str">
        <f t="shared" si="1641"/>
        <v/>
      </c>
      <c r="DI108" s="30" t="str">
        <f t="shared" si="1642"/>
        <v/>
      </c>
      <c r="DJ108" s="30" t="str">
        <f t="shared" si="1643"/>
        <v/>
      </c>
      <c r="DK108" s="30" t="str">
        <f t="shared" si="1644"/>
        <v/>
      </c>
      <c r="DL108" s="30" t="str">
        <f t="shared" si="1645"/>
        <v/>
      </c>
      <c r="DM108" s="30" t="str">
        <f t="shared" si="1646"/>
        <v/>
      </c>
      <c r="DN108" s="30" t="str">
        <f t="shared" si="1647"/>
        <v/>
      </c>
      <c r="DO108" s="30" t="str">
        <f t="shared" si="1648"/>
        <v/>
      </c>
      <c r="DP108" s="30" t="str">
        <f t="shared" si="1649"/>
        <v/>
      </c>
      <c r="DQ108" s="30" t="str">
        <f t="shared" si="1650"/>
        <v/>
      </c>
      <c r="DR108" s="30" t="str">
        <f t="shared" si="1651"/>
        <v/>
      </c>
      <c r="DS108" s="30" t="str">
        <f t="shared" si="1652"/>
        <v/>
      </c>
      <c r="DT108" s="30" t="str">
        <f t="shared" si="1653"/>
        <v/>
      </c>
      <c r="DU108" s="30" t="str">
        <f t="shared" si="1654"/>
        <v/>
      </c>
      <c r="DV108" s="30" t="str">
        <f t="shared" si="1655"/>
        <v/>
      </c>
      <c r="DW108" s="30" t="str">
        <f t="shared" si="1656"/>
        <v/>
      </c>
      <c r="DX108" s="30" t="str">
        <f t="shared" si="1657"/>
        <v/>
      </c>
      <c r="DY108" s="30" t="str">
        <f t="shared" si="1658"/>
        <v/>
      </c>
      <c r="DZ108" s="30" t="str">
        <f t="shared" si="1659"/>
        <v/>
      </c>
      <c r="EA108" s="30" t="str">
        <f t="shared" si="1660"/>
        <v/>
      </c>
      <c r="EB108" s="30" t="str">
        <f t="shared" si="1661"/>
        <v/>
      </c>
      <c r="EC108" s="30" t="str">
        <f t="shared" si="1662"/>
        <v/>
      </c>
      <c r="ED108" s="30" t="str">
        <f t="shared" si="1663"/>
        <v/>
      </c>
      <c r="EE108" s="30" t="str">
        <f t="shared" si="1664"/>
        <v/>
      </c>
      <c r="EF108" s="30" t="str">
        <f t="shared" si="1665"/>
        <v/>
      </c>
      <c r="EG108" s="30" t="str">
        <f t="shared" si="1666"/>
        <v/>
      </c>
      <c r="EH108" s="30" t="str">
        <f t="shared" si="1667"/>
        <v/>
      </c>
      <c r="EI108" s="30" t="str">
        <f t="shared" si="1668"/>
        <v/>
      </c>
      <c r="EJ108" s="30" t="str">
        <f t="shared" si="1669"/>
        <v/>
      </c>
      <c r="EK108" s="30" t="str">
        <f t="shared" si="1670"/>
        <v/>
      </c>
      <c r="EL108" s="30" t="str">
        <f t="shared" si="1671"/>
        <v/>
      </c>
      <c r="EM108" s="30" t="str">
        <f t="shared" si="1672"/>
        <v/>
      </c>
      <c r="EN108" s="30" t="str">
        <f t="shared" si="1673"/>
        <v/>
      </c>
      <c r="EO108" s="30" t="str">
        <f t="shared" si="1674"/>
        <v/>
      </c>
      <c r="EP108" s="30" t="str">
        <f t="shared" si="1675"/>
        <v/>
      </c>
      <c r="EQ108" s="30" t="str">
        <f t="shared" si="1676"/>
        <v/>
      </c>
      <c r="ER108" s="30" t="str">
        <f t="shared" si="1677"/>
        <v/>
      </c>
      <c r="ES108" s="30" t="str">
        <f t="shared" si="1678"/>
        <v/>
      </c>
      <c r="ET108" s="30" t="str">
        <f t="shared" si="1679"/>
        <v/>
      </c>
      <c r="EU108" s="30" t="str">
        <f t="shared" si="1680"/>
        <v/>
      </c>
      <c r="EV108" s="30" t="str">
        <f t="shared" si="1681"/>
        <v/>
      </c>
      <c r="EW108" s="30" t="str">
        <f t="shared" si="1682"/>
        <v/>
      </c>
      <c r="EX108" s="30" t="str">
        <f t="shared" si="1683"/>
        <v/>
      </c>
      <c r="EY108" s="30" t="str">
        <f t="shared" si="1684"/>
        <v/>
      </c>
      <c r="EZ108" s="30" t="str">
        <f t="shared" si="1685"/>
        <v/>
      </c>
      <c r="FA108" s="30" t="str">
        <f t="shared" si="1686"/>
        <v/>
      </c>
      <c r="FB108" s="30" t="str">
        <f t="shared" si="1687"/>
        <v/>
      </c>
      <c r="FC108" s="30" t="str">
        <f t="shared" si="1688"/>
        <v/>
      </c>
      <c r="FD108" s="30" t="str">
        <f t="shared" si="1689"/>
        <v/>
      </c>
      <c r="FE108" s="30" t="str">
        <f t="shared" si="1690"/>
        <v/>
      </c>
      <c r="FF108" s="30" t="str">
        <f t="shared" si="1691"/>
        <v/>
      </c>
      <c r="FG108" s="30" t="str">
        <f t="shared" si="1692"/>
        <v/>
      </c>
      <c r="FH108" s="30" t="str">
        <f t="shared" si="1693"/>
        <v/>
      </c>
      <c r="FI108" s="30" t="str">
        <f t="shared" si="1694"/>
        <v/>
      </c>
      <c r="FJ108" s="30" t="str">
        <f t="shared" si="1695"/>
        <v/>
      </c>
      <c r="FK108" s="30" t="str">
        <f t="shared" si="1696"/>
        <v/>
      </c>
      <c r="FL108" s="30" t="str">
        <f t="shared" si="1697"/>
        <v/>
      </c>
      <c r="FM108" s="30" t="str">
        <f t="shared" si="1698"/>
        <v/>
      </c>
      <c r="FN108" s="30" t="str">
        <f t="shared" si="1699"/>
        <v/>
      </c>
      <c r="FO108" s="30" t="str">
        <f t="shared" si="1700"/>
        <v/>
      </c>
      <c r="FP108" s="30" t="str">
        <f t="shared" si="1701"/>
        <v/>
      </c>
      <c r="FQ108" s="30" t="str">
        <f t="shared" si="1702"/>
        <v/>
      </c>
      <c r="FR108" s="30" t="str">
        <f t="shared" si="1703"/>
        <v/>
      </c>
      <c r="FS108" s="30" t="str">
        <f t="shared" si="1704"/>
        <v/>
      </c>
    </row>
    <row r="109" spans="1:175" ht="16.5">
      <c r="A109" s="117" t="s">
        <v>919</v>
      </c>
      <c r="B109" s="111" t="s">
        <v>877</v>
      </c>
      <c r="C109" s="117" t="s">
        <v>878</v>
      </c>
      <c r="R109" s="25">
        <v>-7970</v>
      </c>
      <c r="S109" s="25">
        <v>7965</v>
      </c>
      <c r="T109" s="117" t="s">
        <v>878</v>
      </c>
      <c r="U109" s="37" t="s">
        <v>822</v>
      </c>
      <c r="CN109" s="7" t="str">
        <f t="shared" si="1628"/>
        <v>InitUnitState('IT08',,,,,,,,,,)</v>
      </c>
      <c r="CO109" s="7" t="str">
        <f t="shared" si="1629"/>
        <v>InitUnitNormal('IT08',,,,,,,,,,)</v>
      </c>
      <c r="CP109" s="7" t="str">
        <f t="shared" si="1630"/>
        <v>InitUnitMagic('IT08',,,,,,,,,,)</v>
      </c>
      <c r="CQ109" s="7" t="str">
        <f t="shared" si="1631"/>
        <v>InitUnitAdd('IT08',,,,,,,,,,)</v>
      </c>
      <c r="CR109" s="7" t="str">
        <f t="shared" si="1632"/>
        <v>InitEquipData('IT08',,".",,,,,'','','','','','',"ReplaceableTextures\\CommandButtons\\BTNTome.blp")</v>
      </c>
      <c r="CU109" s="45" t="str">
        <f t="shared" si="1633"/>
        <v>|n</v>
      </c>
      <c r="CV109" s="29" t="str">
        <f t="shared" si="1634"/>
        <v>境界挑战8</v>
      </c>
      <c r="CW109" s="24"/>
      <c r="CX109" s="24"/>
      <c r="CY109" s="24"/>
      <c r="CZ109" s="24"/>
      <c r="DA109" s="24"/>
      <c r="DB109" s="30" t="str">
        <f t="shared" si="1635"/>
        <v/>
      </c>
      <c r="DC109" s="30" t="str">
        <f t="shared" si="1636"/>
        <v/>
      </c>
      <c r="DD109" s="30" t="str">
        <f t="shared" si="1637"/>
        <v/>
      </c>
      <c r="DE109" s="30" t="str">
        <f t="shared" si="1638"/>
        <v/>
      </c>
      <c r="DF109" s="30" t="str">
        <f t="shared" si="1639"/>
        <v/>
      </c>
      <c r="DG109" s="30" t="str">
        <f t="shared" si="1640"/>
        <v/>
      </c>
      <c r="DH109" s="30" t="str">
        <f t="shared" si="1641"/>
        <v/>
      </c>
      <c r="DI109" s="30" t="str">
        <f t="shared" si="1642"/>
        <v/>
      </c>
      <c r="DJ109" s="30" t="str">
        <f t="shared" si="1643"/>
        <v/>
      </c>
      <c r="DK109" s="30" t="str">
        <f t="shared" si="1644"/>
        <v/>
      </c>
      <c r="DL109" s="30" t="str">
        <f t="shared" si="1645"/>
        <v/>
      </c>
      <c r="DM109" s="30" t="str">
        <f t="shared" si="1646"/>
        <v/>
      </c>
      <c r="DN109" s="30" t="str">
        <f t="shared" si="1647"/>
        <v/>
      </c>
      <c r="DO109" s="30" t="str">
        <f t="shared" si="1648"/>
        <v/>
      </c>
      <c r="DP109" s="30" t="str">
        <f t="shared" si="1649"/>
        <v/>
      </c>
      <c r="DQ109" s="30" t="str">
        <f t="shared" si="1650"/>
        <v/>
      </c>
      <c r="DR109" s="30" t="str">
        <f t="shared" si="1651"/>
        <v/>
      </c>
      <c r="DS109" s="30" t="str">
        <f t="shared" si="1652"/>
        <v/>
      </c>
      <c r="DT109" s="30" t="str">
        <f t="shared" si="1653"/>
        <v/>
      </c>
      <c r="DU109" s="30" t="str">
        <f t="shared" si="1654"/>
        <v/>
      </c>
      <c r="DV109" s="30" t="str">
        <f t="shared" si="1655"/>
        <v/>
      </c>
      <c r="DW109" s="30" t="str">
        <f t="shared" si="1656"/>
        <v/>
      </c>
      <c r="DX109" s="30" t="str">
        <f t="shared" si="1657"/>
        <v/>
      </c>
      <c r="DY109" s="30" t="str">
        <f t="shared" si="1658"/>
        <v/>
      </c>
      <c r="DZ109" s="30" t="str">
        <f t="shared" si="1659"/>
        <v/>
      </c>
      <c r="EA109" s="30" t="str">
        <f t="shared" si="1660"/>
        <v/>
      </c>
      <c r="EB109" s="30" t="str">
        <f t="shared" si="1661"/>
        <v/>
      </c>
      <c r="EC109" s="30" t="str">
        <f t="shared" si="1662"/>
        <v/>
      </c>
      <c r="ED109" s="30" t="str">
        <f t="shared" si="1663"/>
        <v/>
      </c>
      <c r="EE109" s="30" t="str">
        <f t="shared" si="1664"/>
        <v/>
      </c>
      <c r="EF109" s="30" t="str">
        <f t="shared" si="1665"/>
        <v/>
      </c>
      <c r="EG109" s="30" t="str">
        <f t="shared" si="1666"/>
        <v/>
      </c>
      <c r="EH109" s="30" t="str">
        <f t="shared" si="1667"/>
        <v/>
      </c>
      <c r="EI109" s="30" t="str">
        <f t="shared" si="1668"/>
        <v/>
      </c>
      <c r="EJ109" s="30" t="str">
        <f t="shared" si="1669"/>
        <v/>
      </c>
      <c r="EK109" s="30" t="str">
        <f t="shared" si="1670"/>
        <v/>
      </c>
      <c r="EL109" s="30" t="str">
        <f t="shared" si="1671"/>
        <v/>
      </c>
      <c r="EM109" s="30" t="str">
        <f t="shared" si="1672"/>
        <v/>
      </c>
      <c r="EN109" s="30" t="str">
        <f t="shared" si="1673"/>
        <v/>
      </c>
      <c r="EO109" s="30" t="str">
        <f t="shared" si="1674"/>
        <v/>
      </c>
      <c r="EP109" s="30" t="str">
        <f t="shared" si="1675"/>
        <v/>
      </c>
      <c r="EQ109" s="30" t="str">
        <f t="shared" si="1676"/>
        <v/>
      </c>
      <c r="ER109" s="30" t="str">
        <f t="shared" si="1677"/>
        <v/>
      </c>
      <c r="ES109" s="30" t="str">
        <f t="shared" si="1678"/>
        <v/>
      </c>
      <c r="ET109" s="30" t="str">
        <f t="shared" si="1679"/>
        <v/>
      </c>
      <c r="EU109" s="30" t="str">
        <f t="shared" si="1680"/>
        <v/>
      </c>
      <c r="EV109" s="30" t="str">
        <f t="shared" si="1681"/>
        <v/>
      </c>
      <c r="EW109" s="30" t="str">
        <f t="shared" si="1682"/>
        <v/>
      </c>
      <c r="EX109" s="30" t="str">
        <f t="shared" si="1683"/>
        <v/>
      </c>
      <c r="EY109" s="30" t="str">
        <f t="shared" si="1684"/>
        <v/>
      </c>
      <c r="EZ109" s="30" t="str">
        <f t="shared" si="1685"/>
        <v/>
      </c>
      <c r="FA109" s="30" t="str">
        <f t="shared" si="1686"/>
        <v/>
      </c>
      <c r="FB109" s="30" t="str">
        <f t="shared" si="1687"/>
        <v/>
      </c>
      <c r="FC109" s="30" t="str">
        <f t="shared" si="1688"/>
        <v/>
      </c>
      <c r="FD109" s="30" t="str">
        <f t="shared" si="1689"/>
        <v/>
      </c>
      <c r="FE109" s="30" t="str">
        <f t="shared" si="1690"/>
        <v/>
      </c>
      <c r="FF109" s="30" t="str">
        <f t="shared" si="1691"/>
        <v/>
      </c>
      <c r="FG109" s="30" t="str">
        <f t="shared" si="1692"/>
        <v/>
      </c>
      <c r="FH109" s="30" t="str">
        <f t="shared" si="1693"/>
        <v/>
      </c>
      <c r="FI109" s="30" t="str">
        <f t="shared" si="1694"/>
        <v/>
      </c>
      <c r="FJ109" s="30" t="str">
        <f t="shared" si="1695"/>
        <v/>
      </c>
      <c r="FK109" s="30" t="str">
        <f t="shared" si="1696"/>
        <v/>
      </c>
      <c r="FL109" s="30" t="str">
        <f t="shared" si="1697"/>
        <v/>
      </c>
      <c r="FM109" s="30" t="str">
        <f t="shared" si="1698"/>
        <v/>
      </c>
      <c r="FN109" s="30" t="str">
        <f t="shared" si="1699"/>
        <v/>
      </c>
      <c r="FO109" s="30" t="str">
        <f t="shared" si="1700"/>
        <v/>
      </c>
      <c r="FP109" s="30" t="str">
        <f t="shared" si="1701"/>
        <v/>
      </c>
      <c r="FQ109" s="30" t="str">
        <f t="shared" si="1702"/>
        <v/>
      </c>
      <c r="FR109" s="30" t="str">
        <f t="shared" si="1703"/>
        <v/>
      </c>
      <c r="FS109" s="30" t="str">
        <f t="shared" si="1704"/>
        <v/>
      </c>
    </row>
    <row r="110" spans="1:175" ht="16.5">
      <c r="A110" s="117"/>
      <c r="B110" s="111" t="s">
        <v>879</v>
      </c>
      <c r="C110" s="117" t="s">
        <v>880</v>
      </c>
      <c r="R110" s="25">
        <v>1891</v>
      </c>
      <c r="S110" s="25">
        <v>-8026</v>
      </c>
      <c r="T110" s="117" t="s">
        <v>880</v>
      </c>
      <c r="U110" s="37" t="s">
        <v>822</v>
      </c>
      <c r="CN110" s="7" t="str">
        <f t="shared" si="1628"/>
        <v>InitUnitState('IT09',,,,,,,,,,)</v>
      </c>
      <c r="CO110" s="7" t="str">
        <f t="shared" si="1629"/>
        <v>InitUnitNormal('IT09',,,,,,,,,,)</v>
      </c>
      <c r="CP110" s="7" t="str">
        <f t="shared" si="1630"/>
        <v>InitUnitMagic('IT09',,,,,,,,,,)</v>
      </c>
      <c r="CQ110" s="7" t="str">
        <f t="shared" si="1631"/>
        <v>InitUnitAdd('IT09',,,,,,,,,,)</v>
      </c>
      <c r="CR110" s="7" t="str">
        <f t="shared" si="1632"/>
        <v>InitEquipData('IT09',,"",,,,,'','','','','','',"ReplaceableTextures\\CommandButtons\\BTNTome.blp")</v>
      </c>
      <c r="CU110" s="45" t="str">
        <f t="shared" si="1633"/>
        <v>|n</v>
      </c>
      <c r="CV110" s="29" t="str">
        <f t="shared" si="1634"/>
        <v>境界挑战9</v>
      </c>
      <c r="CW110" s="24"/>
      <c r="CX110" s="24"/>
      <c r="CY110" s="24"/>
      <c r="CZ110" s="24"/>
      <c r="DA110" s="24"/>
      <c r="DB110" s="30" t="str">
        <f t="shared" si="1635"/>
        <v/>
      </c>
      <c r="DC110" s="30" t="str">
        <f t="shared" si="1636"/>
        <v/>
      </c>
      <c r="DD110" s="30" t="str">
        <f t="shared" si="1637"/>
        <v/>
      </c>
      <c r="DE110" s="30" t="str">
        <f t="shared" si="1638"/>
        <v/>
      </c>
      <c r="DF110" s="30" t="str">
        <f t="shared" si="1639"/>
        <v/>
      </c>
      <c r="DG110" s="30" t="str">
        <f t="shared" si="1640"/>
        <v/>
      </c>
      <c r="DH110" s="30" t="str">
        <f t="shared" si="1641"/>
        <v/>
      </c>
      <c r="DI110" s="30" t="str">
        <f t="shared" si="1642"/>
        <v/>
      </c>
      <c r="DJ110" s="30" t="str">
        <f t="shared" si="1643"/>
        <v/>
      </c>
      <c r="DK110" s="30" t="str">
        <f t="shared" si="1644"/>
        <v/>
      </c>
      <c r="DL110" s="30" t="str">
        <f t="shared" si="1645"/>
        <v/>
      </c>
      <c r="DM110" s="30" t="str">
        <f t="shared" si="1646"/>
        <v/>
      </c>
      <c r="DN110" s="30" t="str">
        <f t="shared" si="1647"/>
        <v/>
      </c>
      <c r="DO110" s="30" t="str">
        <f t="shared" si="1648"/>
        <v/>
      </c>
      <c r="DP110" s="30" t="str">
        <f t="shared" si="1649"/>
        <v/>
      </c>
      <c r="DQ110" s="30" t="str">
        <f t="shared" si="1650"/>
        <v/>
      </c>
      <c r="DR110" s="30" t="str">
        <f t="shared" si="1651"/>
        <v/>
      </c>
      <c r="DS110" s="30" t="str">
        <f t="shared" si="1652"/>
        <v/>
      </c>
      <c r="DT110" s="30" t="str">
        <f t="shared" si="1653"/>
        <v/>
      </c>
      <c r="DU110" s="30" t="str">
        <f t="shared" si="1654"/>
        <v/>
      </c>
      <c r="DV110" s="30" t="str">
        <f t="shared" si="1655"/>
        <v/>
      </c>
      <c r="DW110" s="30" t="str">
        <f t="shared" si="1656"/>
        <v/>
      </c>
      <c r="DX110" s="30" t="str">
        <f t="shared" si="1657"/>
        <v/>
      </c>
      <c r="DY110" s="30" t="str">
        <f t="shared" si="1658"/>
        <v/>
      </c>
      <c r="DZ110" s="30" t="str">
        <f t="shared" si="1659"/>
        <v/>
      </c>
      <c r="EA110" s="30" t="str">
        <f t="shared" si="1660"/>
        <v/>
      </c>
      <c r="EB110" s="30" t="str">
        <f t="shared" si="1661"/>
        <v/>
      </c>
      <c r="EC110" s="30" t="str">
        <f t="shared" si="1662"/>
        <v/>
      </c>
      <c r="ED110" s="30" t="str">
        <f t="shared" si="1663"/>
        <v/>
      </c>
      <c r="EE110" s="30" t="str">
        <f t="shared" si="1664"/>
        <v/>
      </c>
      <c r="EF110" s="30" t="str">
        <f t="shared" si="1665"/>
        <v/>
      </c>
      <c r="EG110" s="30" t="str">
        <f t="shared" si="1666"/>
        <v/>
      </c>
      <c r="EH110" s="30" t="str">
        <f t="shared" si="1667"/>
        <v/>
      </c>
      <c r="EI110" s="30" t="str">
        <f t="shared" si="1668"/>
        <v/>
      </c>
      <c r="EJ110" s="30" t="str">
        <f t="shared" si="1669"/>
        <v/>
      </c>
      <c r="EK110" s="30" t="str">
        <f t="shared" si="1670"/>
        <v/>
      </c>
      <c r="EL110" s="30" t="str">
        <f t="shared" si="1671"/>
        <v/>
      </c>
      <c r="EM110" s="30" t="str">
        <f t="shared" si="1672"/>
        <v/>
      </c>
      <c r="EN110" s="30" t="str">
        <f t="shared" si="1673"/>
        <v/>
      </c>
      <c r="EO110" s="30" t="str">
        <f t="shared" si="1674"/>
        <v/>
      </c>
      <c r="EP110" s="30" t="str">
        <f t="shared" si="1675"/>
        <v/>
      </c>
      <c r="EQ110" s="30" t="str">
        <f t="shared" si="1676"/>
        <v/>
      </c>
      <c r="ER110" s="30" t="str">
        <f t="shared" si="1677"/>
        <v/>
      </c>
      <c r="ES110" s="30" t="str">
        <f t="shared" si="1678"/>
        <v/>
      </c>
      <c r="ET110" s="30" t="str">
        <f t="shared" si="1679"/>
        <v/>
      </c>
      <c r="EU110" s="30" t="str">
        <f t="shared" si="1680"/>
        <v/>
      </c>
      <c r="EV110" s="30" t="str">
        <f t="shared" si="1681"/>
        <v/>
      </c>
      <c r="EW110" s="30" t="str">
        <f t="shared" si="1682"/>
        <v/>
      </c>
      <c r="EX110" s="30" t="str">
        <f t="shared" si="1683"/>
        <v/>
      </c>
      <c r="EY110" s="30" t="str">
        <f t="shared" si="1684"/>
        <v/>
      </c>
      <c r="EZ110" s="30" t="str">
        <f t="shared" si="1685"/>
        <v/>
      </c>
      <c r="FA110" s="30" t="str">
        <f t="shared" si="1686"/>
        <v/>
      </c>
      <c r="FB110" s="30" t="str">
        <f t="shared" si="1687"/>
        <v/>
      </c>
      <c r="FC110" s="30" t="str">
        <f t="shared" si="1688"/>
        <v/>
      </c>
      <c r="FD110" s="30" t="str">
        <f t="shared" si="1689"/>
        <v/>
      </c>
      <c r="FE110" s="30" t="str">
        <f t="shared" si="1690"/>
        <v/>
      </c>
      <c r="FF110" s="30" t="str">
        <f t="shared" si="1691"/>
        <v/>
      </c>
      <c r="FG110" s="30" t="str">
        <f t="shared" si="1692"/>
        <v/>
      </c>
      <c r="FH110" s="30" t="str">
        <f t="shared" si="1693"/>
        <v/>
      </c>
      <c r="FI110" s="30" t="str">
        <f t="shared" si="1694"/>
        <v/>
      </c>
      <c r="FJ110" s="30" t="str">
        <f t="shared" si="1695"/>
        <v/>
      </c>
      <c r="FK110" s="30" t="str">
        <f t="shared" si="1696"/>
        <v/>
      </c>
      <c r="FL110" s="30" t="str">
        <f t="shared" si="1697"/>
        <v/>
      </c>
      <c r="FM110" s="30" t="str">
        <f t="shared" si="1698"/>
        <v/>
      </c>
      <c r="FN110" s="30" t="str">
        <f t="shared" si="1699"/>
        <v/>
      </c>
      <c r="FO110" s="30" t="str">
        <f t="shared" si="1700"/>
        <v/>
      </c>
      <c r="FP110" s="30" t="str">
        <f t="shared" si="1701"/>
        <v/>
      </c>
      <c r="FQ110" s="30" t="str">
        <f t="shared" si="1702"/>
        <v/>
      </c>
      <c r="FR110" s="30" t="str">
        <f t="shared" si="1703"/>
        <v/>
      </c>
      <c r="FS110" s="30" t="str">
        <f t="shared" si="1704"/>
        <v/>
      </c>
    </row>
    <row r="111" spans="1:175" ht="16.5">
      <c r="A111" s="117"/>
      <c r="B111" s="111" t="s">
        <v>881</v>
      </c>
      <c r="C111" s="117" t="s">
        <v>882</v>
      </c>
      <c r="R111" s="25">
        <v>4814</v>
      </c>
      <c r="S111" s="25">
        <v>-8830</v>
      </c>
      <c r="T111" s="117" t="s">
        <v>882</v>
      </c>
      <c r="U111" s="37" t="s">
        <v>822</v>
      </c>
      <c r="CN111" s="7" t="str">
        <f t="shared" si="1628"/>
        <v>InitUnitState('IT10',,,,,,,,,,)</v>
      </c>
      <c r="CO111" s="7" t="str">
        <f t="shared" si="1629"/>
        <v>InitUnitNormal('IT10',,,,,,,,,,)</v>
      </c>
      <c r="CP111" s="7" t="str">
        <f t="shared" si="1630"/>
        <v>InitUnitMagic('IT10',,,,,,,,,,)</v>
      </c>
      <c r="CQ111" s="7" t="str">
        <f t="shared" si="1631"/>
        <v>InitUnitAdd('IT10',,,,,,,,,,)</v>
      </c>
      <c r="CR111" s="7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116&amp;CR$1&amp;")"</f>
        <v>InitEquipData('IT10',,"",,,,,'','','','','','',"ReplaceableTextures\\CommandButtons\\BTNTome.blp")</v>
      </c>
      <c r="CU111" s="45" t="str">
        <f t="shared" si="1633"/>
        <v>|n</v>
      </c>
      <c r="CV111" s="29" t="str">
        <f t="shared" si="1634"/>
        <v>境界挑战10</v>
      </c>
      <c r="CW111" s="24"/>
      <c r="CX111" s="24"/>
      <c r="CY111" s="24"/>
      <c r="CZ111" s="24"/>
      <c r="DA111" s="24"/>
      <c r="DB111" s="30" t="str">
        <f t="shared" si="1635"/>
        <v/>
      </c>
      <c r="DC111" s="30" t="str">
        <f t="shared" si="1636"/>
        <v/>
      </c>
      <c r="DD111" s="30" t="str">
        <f t="shared" si="1637"/>
        <v/>
      </c>
      <c r="DE111" s="30" t="str">
        <f t="shared" si="1638"/>
        <v/>
      </c>
      <c r="DF111" s="30" t="str">
        <f t="shared" si="1639"/>
        <v/>
      </c>
      <c r="DG111" s="30" t="str">
        <f t="shared" si="1640"/>
        <v/>
      </c>
      <c r="DH111" s="30" t="str">
        <f t="shared" si="1641"/>
        <v/>
      </c>
      <c r="DI111" s="30" t="str">
        <f t="shared" si="1642"/>
        <v/>
      </c>
      <c r="DJ111" s="30" t="str">
        <f t="shared" si="1643"/>
        <v/>
      </c>
      <c r="DK111" s="30" t="str">
        <f t="shared" si="1644"/>
        <v/>
      </c>
      <c r="DL111" s="30" t="str">
        <f t="shared" si="1645"/>
        <v/>
      </c>
      <c r="DM111" s="30" t="str">
        <f t="shared" si="1646"/>
        <v/>
      </c>
      <c r="DN111" s="30" t="str">
        <f t="shared" si="1647"/>
        <v/>
      </c>
      <c r="DO111" s="30" t="str">
        <f t="shared" si="1648"/>
        <v/>
      </c>
      <c r="DP111" s="30" t="str">
        <f t="shared" si="1649"/>
        <v/>
      </c>
      <c r="DQ111" s="30" t="str">
        <f t="shared" si="1650"/>
        <v/>
      </c>
      <c r="DR111" s="30" t="str">
        <f t="shared" si="1651"/>
        <v/>
      </c>
      <c r="DS111" s="30" t="str">
        <f t="shared" si="1652"/>
        <v/>
      </c>
      <c r="DT111" s="30" t="str">
        <f t="shared" si="1653"/>
        <v/>
      </c>
      <c r="DU111" s="30" t="str">
        <f t="shared" si="1654"/>
        <v/>
      </c>
      <c r="DV111" s="30" t="str">
        <f t="shared" si="1655"/>
        <v/>
      </c>
      <c r="DW111" s="30" t="str">
        <f t="shared" si="1656"/>
        <v/>
      </c>
      <c r="DX111" s="30" t="str">
        <f t="shared" si="1657"/>
        <v/>
      </c>
      <c r="DY111" s="30" t="str">
        <f t="shared" si="1658"/>
        <v/>
      </c>
      <c r="DZ111" s="30" t="str">
        <f t="shared" si="1659"/>
        <v/>
      </c>
      <c r="EA111" s="30" t="str">
        <f t="shared" si="1660"/>
        <v/>
      </c>
      <c r="EB111" s="30" t="str">
        <f t="shared" si="1661"/>
        <v/>
      </c>
      <c r="EC111" s="30" t="str">
        <f t="shared" si="1662"/>
        <v/>
      </c>
      <c r="ED111" s="30" t="str">
        <f t="shared" si="1663"/>
        <v/>
      </c>
      <c r="EE111" s="30" t="str">
        <f t="shared" si="1664"/>
        <v/>
      </c>
      <c r="EF111" s="30" t="str">
        <f t="shared" si="1665"/>
        <v/>
      </c>
      <c r="EG111" s="30" t="str">
        <f t="shared" si="1666"/>
        <v/>
      </c>
      <c r="EH111" s="30" t="str">
        <f t="shared" si="1667"/>
        <v/>
      </c>
      <c r="EI111" s="30" t="str">
        <f t="shared" si="1668"/>
        <v/>
      </c>
      <c r="EJ111" s="30" t="str">
        <f t="shared" si="1669"/>
        <v/>
      </c>
      <c r="EK111" s="30" t="str">
        <f t="shared" si="1670"/>
        <v/>
      </c>
      <c r="EL111" s="30" t="str">
        <f t="shared" si="1671"/>
        <v/>
      </c>
      <c r="EM111" s="30" t="str">
        <f t="shared" si="1672"/>
        <v/>
      </c>
      <c r="EN111" s="30" t="str">
        <f t="shared" si="1673"/>
        <v/>
      </c>
      <c r="EO111" s="30" t="str">
        <f t="shared" si="1674"/>
        <v/>
      </c>
      <c r="EP111" s="30" t="str">
        <f t="shared" si="1675"/>
        <v/>
      </c>
      <c r="EQ111" s="30" t="str">
        <f t="shared" si="1676"/>
        <v/>
      </c>
      <c r="ER111" s="30" t="str">
        <f t="shared" si="1677"/>
        <v/>
      </c>
      <c r="ES111" s="30" t="str">
        <f t="shared" si="1678"/>
        <v/>
      </c>
      <c r="ET111" s="30" t="str">
        <f t="shared" si="1679"/>
        <v/>
      </c>
      <c r="EU111" s="30" t="str">
        <f t="shared" si="1680"/>
        <v/>
      </c>
      <c r="EV111" s="30" t="str">
        <f t="shared" si="1681"/>
        <v/>
      </c>
      <c r="EW111" s="30" t="str">
        <f t="shared" si="1682"/>
        <v/>
      </c>
      <c r="EX111" s="30" t="str">
        <f t="shared" si="1683"/>
        <v/>
      </c>
      <c r="EY111" s="30" t="str">
        <f t="shared" si="1684"/>
        <v/>
      </c>
      <c r="EZ111" s="30" t="str">
        <f t="shared" si="1685"/>
        <v/>
      </c>
      <c r="FA111" s="30" t="str">
        <f t="shared" si="1686"/>
        <v/>
      </c>
      <c r="FB111" s="30" t="str">
        <f t="shared" si="1687"/>
        <v/>
      </c>
      <c r="FC111" s="30" t="str">
        <f t="shared" si="1688"/>
        <v/>
      </c>
      <c r="FD111" s="30" t="str">
        <f t="shared" si="1689"/>
        <v/>
      </c>
      <c r="FE111" s="30" t="str">
        <f t="shared" si="1690"/>
        <v/>
      </c>
      <c r="FF111" s="30" t="str">
        <f t="shared" si="1691"/>
        <v/>
      </c>
      <c r="FG111" s="30" t="str">
        <f t="shared" si="1692"/>
        <v/>
      </c>
      <c r="FH111" s="30" t="str">
        <f t="shared" si="1693"/>
        <v/>
      </c>
      <c r="FI111" s="30" t="str">
        <f t="shared" si="1694"/>
        <v/>
      </c>
      <c r="FJ111" s="30" t="str">
        <f t="shared" si="1695"/>
        <v/>
      </c>
      <c r="FK111" s="30" t="str">
        <f t="shared" si="1696"/>
        <v/>
      </c>
      <c r="FL111" s="30" t="str">
        <f t="shared" si="1697"/>
        <v/>
      </c>
      <c r="FM111" s="30" t="str">
        <f t="shared" si="1698"/>
        <v/>
      </c>
      <c r="FN111" s="30" t="str">
        <f t="shared" si="1699"/>
        <v/>
      </c>
      <c r="FO111" s="30" t="str">
        <f t="shared" si="1700"/>
        <v/>
      </c>
      <c r="FP111" s="30" t="str">
        <f t="shared" si="1701"/>
        <v/>
      </c>
      <c r="FQ111" s="30" t="str">
        <f t="shared" si="1702"/>
        <v/>
      </c>
      <c r="FR111" s="30" t="str">
        <f t="shared" si="1703"/>
        <v/>
      </c>
      <c r="FS111" s="30" t="str">
        <f t="shared" si="1704"/>
        <v/>
      </c>
    </row>
    <row r="112" spans="1:175" ht="16.5">
      <c r="A112" s="117" t="s">
        <v>919</v>
      </c>
      <c r="B112" s="111" t="s">
        <v>920</v>
      </c>
      <c r="C112" s="117" t="s">
        <v>924</v>
      </c>
      <c r="R112" s="25">
        <v>7429</v>
      </c>
      <c r="S112" s="25">
        <v>-8773</v>
      </c>
      <c r="T112" s="117" t="s">
        <v>924</v>
      </c>
      <c r="U112" s="37" t="s">
        <v>822</v>
      </c>
      <c r="CN112" s="7" t="str">
        <f t="shared" ref="CN112:CN114" si="1705">"InitUnitState('"&amp;B112&amp;"',"&amp;V112&amp;","&amp;W112&amp;","&amp;X112&amp;","&amp;Y112&amp;","&amp;Z112&amp;","&amp;AA112&amp;","&amp;AB112&amp;","&amp;AC112&amp;","&amp;AD112&amp;","&amp;AE112&amp;")"</f>
        <v>InitUnitState('IT11',,,,,,,,,,)</v>
      </c>
      <c r="CO112" s="7" t="str">
        <f t="shared" ref="CO112:CO114" si="1706">"InitUnitNormal('"&amp;B112&amp;"',"&amp;AF112&amp;","&amp;AG112&amp;","&amp;AH112&amp;","&amp;AI112&amp;","&amp;AJ112&amp;","&amp;AK112&amp;","&amp;AL112&amp;","&amp;AM112&amp;","&amp;AN112&amp;","&amp;AO112&amp;")"</f>
        <v>InitUnitNormal('IT11',,,,,,,,,,)</v>
      </c>
      <c r="CP112" s="7" t="str">
        <f t="shared" ref="CP112:CP114" si="1707">"InitUnitMagic('"&amp;B112&amp;"',"&amp;AP112&amp;","&amp;AQ112&amp;","&amp;AR112&amp;","&amp;AS112&amp;","&amp;AT112&amp;","&amp;AU112&amp;","&amp;AV112&amp;","&amp;AW112&amp;","&amp;BI112&amp;","&amp;BJ112&amp;")"</f>
        <v>InitUnitMagic('IT11',,,,,,,,,,)</v>
      </c>
      <c r="CQ112" s="7" t="str">
        <f t="shared" ref="CQ112:CQ114" si="1708">"InitUnitAdd('"&amp;B112&amp;"',"&amp;BK112&amp;","&amp;BL112&amp;","&amp;BM112&amp;","&amp;BN112&amp;","&amp;BO112&amp;","&amp;BP112&amp;","&amp;BQ112&amp;","&amp;BR112&amp;","&amp;BS112&amp;","&amp;BT112&amp;")"</f>
        <v>InitUnitAdd('IT11',,,,,,,,,,)</v>
      </c>
      <c r="CR112" s="7" t="str">
        <f t="shared" ref="CR112:CR113" si="1709"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113&amp;CR$1&amp;")"</f>
        <v>InitEquipData('IT11',,".",,,,,'','','','','','',"ReplaceableTextures\\CommandButtons\\BTNTome.blp")</v>
      </c>
      <c r="CU112" s="45" t="str">
        <f t="shared" ref="CU112:CU114" si="1710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29" t="str">
        <f t="shared" ref="CV112:CV114" si="1711">T112</f>
        <v>境界挑战11</v>
      </c>
      <c r="CW112" s="24"/>
      <c r="CX112" s="24"/>
      <c r="CY112" s="24"/>
      <c r="CZ112" s="24"/>
      <c r="DA112" s="24"/>
      <c r="DB112" s="30" t="str">
        <f t="shared" ref="DB112:DB114" si="1712">IF(V112="","","|n"&amp;DB$2&amp;"+"&amp;V112&amp;DB$1)</f>
        <v/>
      </c>
      <c r="DC112" s="30" t="str">
        <f t="shared" ref="DC112:DC114" si="1713">IF(W112="","","|n"&amp;DC$2&amp;"+"&amp;W112&amp;DC$1)</f>
        <v/>
      </c>
      <c r="DD112" s="30" t="str">
        <f t="shared" ref="DD112:DD114" si="1714">IF(X112="","","|n"&amp;DD$2&amp;"+"&amp;X112&amp;DD$1)</f>
        <v/>
      </c>
      <c r="DE112" s="30" t="str">
        <f t="shared" ref="DE112:DE114" si="1715">IF(Y112="","","|n"&amp;DE$2&amp;"+"&amp;Y112&amp;DE$1)</f>
        <v/>
      </c>
      <c r="DF112" s="30" t="str">
        <f t="shared" ref="DF112:DF114" si="1716">IF(Z112="","","|n"&amp;DF$2&amp;"+"&amp;Z112&amp;DF$1)</f>
        <v/>
      </c>
      <c r="DG112" s="30" t="str">
        <f t="shared" ref="DG112:DG114" si="1717">IF(AA112="","","|n"&amp;DG$2&amp;"+"&amp;AA112&amp;DG$1)</f>
        <v/>
      </c>
      <c r="DH112" s="30" t="str">
        <f t="shared" ref="DH112:DH114" si="1718">IF(AB112="","","|n"&amp;DH$2&amp;"+"&amp;AB112&amp;DH$1)</f>
        <v/>
      </c>
      <c r="DI112" s="30" t="str">
        <f t="shared" ref="DI112:DI114" si="1719">IF(AC112="","","|n"&amp;DI$2&amp;"+"&amp;AC112&amp;DI$1)</f>
        <v/>
      </c>
      <c r="DJ112" s="30" t="str">
        <f t="shared" ref="DJ112:DJ114" si="1720">IF(AD112="","","|n"&amp;DJ$2&amp;"+"&amp;AD112&amp;DJ$1)</f>
        <v/>
      </c>
      <c r="DK112" s="30" t="str">
        <f t="shared" ref="DK112:DK114" si="1721">IF(AE112="","","|n"&amp;DK$2&amp;"+"&amp;AE112&amp;DK$1)</f>
        <v/>
      </c>
      <c r="DL112" s="30" t="str">
        <f t="shared" ref="DL112:DL114" si="1722">IF(AF112="","","|n"&amp;DL$2&amp;"+"&amp;AF112&amp;DL$1)</f>
        <v/>
      </c>
      <c r="DM112" s="30" t="str">
        <f t="shared" ref="DM112:DM114" si="1723">IF(AG112="","","|n"&amp;DM$2&amp;"+"&amp;AG112&amp;DM$1)</f>
        <v/>
      </c>
      <c r="DN112" s="30" t="str">
        <f t="shared" ref="DN112:DN114" si="1724">IF(AH112="","","|n"&amp;DN$2&amp;"+"&amp;AH112&amp;DN$1)</f>
        <v/>
      </c>
      <c r="DO112" s="30" t="str">
        <f t="shared" ref="DO112:DO114" si="1725">IF(AI112="","","|n"&amp;DO$2&amp;"+"&amp;AI112&amp;DO$1)</f>
        <v/>
      </c>
      <c r="DP112" s="30" t="str">
        <f t="shared" ref="DP112:DP114" si="1726">IF(AJ112="","","|n"&amp;DP$2&amp;"+"&amp;AJ112&amp;DP$1)</f>
        <v/>
      </c>
      <c r="DQ112" s="30" t="str">
        <f t="shared" ref="DQ112:DQ114" si="1727">IF(AK112="","","|n"&amp;DQ$2&amp;"+"&amp;AK112&amp;DQ$1)</f>
        <v/>
      </c>
      <c r="DR112" s="30" t="str">
        <f t="shared" ref="DR112:DR114" si="1728">IF(AL112="","","|n"&amp;DR$2&amp;"+"&amp;AL112&amp;DR$1)</f>
        <v/>
      </c>
      <c r="DS112" s="30" t="str">
        <f t="shared" ref="DS112:DS114" si="1729">IF(AM112="","","|n"&amp;DS$2&amp;"+"&amp;AM112&amp;DS$1)</f>
        <v/>
      </c>
      <c r="DT112" s="30" t="str">
        <f t="shared" ref="DT112:DT114" si="1730">IF(AN112="","","|n"&amp;DT$2&amp;"+"&amp;AN112&amp;DT$1)</f>
        <v/>
      </c>
      <c r="DU112" s="30" t="str">
        <f t="shared" ref="DU112:DU114" si="1731">IF(AO112="","","|n"&amp;DU$2&amp;"+"&amp;AO112&amp;DU$1)</f>
        <v/>
      </c>
      <c r="DV112" s="30" t="str">
        <f t="shared" ref="DV112:DV114" si="1732">IF(AP112="","","|n"&amp;DV$2&amp;"+"&amp;AP112&amp;DV$1)</f>
        <v/>
      </c>
      <c r="DW112" s="30" t="str">
        <f t="shared" ref="DW112:DW114" si="1733">IF(AQ112="","","|n"&amp;DW$2&amp;"+"&amp;AQ112&amp;DW$1)</f>
        <v/>
      </c>
      <c r="DX112" s="30" t="str">
        <f t="shared" ref="DX112:DX114" si="1734">IF(AR112="","","|n"&amp;DX$2&amp;"+"&amp;AR112&amp;DX$1)</f>
        <v/>
      </c>
      <c r="DY112" s="30" t="str">
        <f t="shared" ref="DY112:DY114" si="1735">IF(AS112="","","|n"&amp;DY$2&amp;"+"&amp;AS112&amp;DY$1)</f>
        <v/>
      </c>
      <c r="DZ112" s="30" t="str">
        <f t="shared" ref="DZ112:DZ114" si="1736">IF(AT112="","","|n"&amp;DZ$2&amp;"+"&amp;AT112&amp;DZ$1)</f>
        <v/>
      </c>
      <c r="EA112" s="30" t="str">
        <f t="shared" ref="EA112:EA114" si="1737">IF(AU112="","","|n"&amp;EA$2&amp;"+"&amp;AU112&amp;EA$1)</f>
        <v/>
      </c>
      <c r="EB112" s="30" t="str">
        <f t="shared" ref="EB112:EB114" si="1738">IF(AV112="","","|n"&amp;EB$2&amp;"+"&amp;AV112&amp;EB$1)</f>
        <v/>
      </c>
      <c r="EC112" s="30" t="str">
        <f t="shared" ref="EC112:EC114" si="1739">IF(AW112="","","|n"&amp;EC$2&amp;"+"&amp;AW112&amp;EC$1)</f>
        <v/>
      </c>
      <c r="ED112" s="30" t="str">
        <f t="shared" ref="ED112:ED114" si="1740">IF(AX112="","","|n"&amp;ED$2&amp;"+"&amp;AX112&amp;ED$1)</f>
        <v/>
      </c>
      <c r="EE112" s="30" t="str">
        <f t="shared" ref="EE112:EE114" si="1741">IF(AY112="","","|n"&amp;EE$2&amp;"+"&amp;AY112&amp;EE$1)</f>
        <v/>
      </c>
      <c r="EF112" s="30" t="str">
        <f t="shared" ref="EF112:EF114" si="1742">IF(AZ112="","","|n"&amp;EF$2&amp;"+"&amp;AZ112&amp;EF$1)</f>
        <v/>
      </c>
      <c r="EG112" s="30" t="str">
        <f t="shared" ref="EG112:EG114" si="1743">IF(BA112="","","|n"&amp;EG$2&amp;"+"&amp;BA112&amp;EG$1)</f>
        <v/>
      </c>
      <c r="EH112" s="30" t="str">
        <f t="shared" ref="EH112:EH114" si="1744">IF(BB112="","","|n"&amp;EH$2&amp;"+"&amp;BB112&amp;EH$1)</f>
        <v/>
      </c>
      <c r="EI112" s="30" t="str">
        <f t="shared" ref="EI112:EI114" si="1745">IF(BC112="","","|n"&amp;EI$2&amp;"+"&amp;BC112&amp;EI$1)</f>
        <v/>
      </c>
      <c r="EJ112" s="30" t="str">
        <f t="shared" ref="EJ112:EJ114" si="1746">IF(BD112="","","|n"&amp;EJ$2&amp;"+"&amp;BD112&amp;EJ$1)</f>
        <v/>
      </c>
      <c r="EK112" s="30" t="str">
        <f t="shared" ref="EK112:EK114" si="1747">IF(BE112="","","|n"&amp;EK$2&amp;"+"&amp;BE112&amp;EK$1)</f>
        <v/>
      </c>
      <c r="EL112" s="30" t="str">
        <f t="shared" ref="EL112:EL114" si="1748">IF(BF112="","","|n"&amp;EL$2&amp;"+"&amp;BF112&amp;EL$1)</f>
        <v/>
      </c>
      <c r="EM112" s="30" t="str">
        <f t="shared" ref="EM112:EM114" si="1749">IF(BG112="","","|n"&amp;EM$2&amp;"+"&amp;BG112&amp;EM$1)</f>
        <v/>
      </c>
      <c r="EN112" s="30" t="str">
        <f t="shared" ref="EN112:EN114" si="1750">IF(BH112="","","|n"&amp;EN$2&amp;"+"&amp;BH112&amp;EN$1)</f>
        <v/>
      </c>
      <c r="EO112" s="30" t="str">
        <f t="shared" ref="EO112:EO114" si="1751">IF(BI112="","","|n"&amp;EO$2&amp;"+"&amp;BI112&amp;EO$1)</f>
        <v/>
      </c>
      <c r="EP112" s="30" t="str">
        <f t="shared" ref="EP112:EP114" si="1752">IF(BJ112="","","|n"&amp;EP$2&amp;"+"&amp;BJ112&amp;EP$1)</f>
        <v/>
      </c>
      <c r="EQ112" s="30" t="str">
        <f t="shared" ref="EQ112:EQ114" si="1753">IF(BK112="","","|n"&amp;EQ$2&amp;"+"&amp;BK112&amp;EQ$1)</f>
        <v/>
      </c>
      <c r="ER112" s="30" t="str">
        <f t="shared" ref="ER112:ER114" si="1754">IF(BL112="","","|n"&amp;ER$2&amp;"+"&amp;BL112&amp;ER$1)</f>
        <v/>
      </c>
      <c r="ES112" s="30" t="str">
        <f t="shared" ref="ES112:ES114" si="1755">IF(BM112="","","|n"&amp;ES$2&amp;"+"&amp;BM112&amp;ES$1)</f>
        <v/>
      </c>
      <c r="ET112" s="30" t="str">
        <f t="shared" ref="ET112:ET114" si="1756">IF(BN112="","","|n"&amp;ET$2&amp;"+"&amp;BN112&amp;ET$1)</f>
        <v/>
      </c>
      <c r="EU112" s="30" t="str">
        <f t="shared" ref="EU112:EU114" si="1757">IF(BO112="","","|n"&amp;EU$2&amp;"+"&amp;BO112&amp;EU$1)</f>
        <v/>
      </c>
      <c r="EV112" s="30" t="str">
        <f t="shared" ref="EV112:EV114" si="1758">IF(BP112="","","|n"&amp;EV$2&amp;"+"&amp;BP112&amp;EV$1)</f>
        <v/>
      </c>
      <c r="EW112" s="30" t="str">
        <f t="shared" ref="EW112:EW114" si="1759">IF(BQ112="","","|n"&amp;EW$2&amp;"+"&amp;BQ112&amp;EW$1)</f>
        <v/>
      </c>
      <c r="EX112" s="30" t="str">
        <f t="shared" ref="EX112:EX114" si="1760">IF(BR112="","","|n"&amp;EX$2&amp;"+"&amp;BR112&amp;EX$1)</f>
        <v/>
      </c>
      <c r="EY112" s="30" t="str">
        <f t="shared" ref="EY112:EY114" si="1761">IF(BS112="","","|n"&amp;EY$2&amp;"+"&amp;BS112&amp;EY$1)</f>
        <v/>
      </c>
      <c r="EZ112" s="30" t="str">
        <f t="shared" ref="EZ112:EZ114" si="1762">IF(BT112="","","|n"&amp;EZ$2&amp;"+"&amp;BT112&amp;EZ$1)</f>
        <v/>
      </c>
      <c r="FA112" s="30" t="str">
        <f t="shared" ref="FA112:FA114" si="1763">IF(BU112="","","|n"&amp;FA$2&amp;"+"&amp;BU112&amp;FA$1)</f>
        <v/>
      </c>
      <c r="FB112" s="30" t="str">
        <f t="shared" ref="FB112:FB114" si="1764">IF(BV112="","","|n"&amp;FB$2&amp;"+"&amp;BV112&amp;FB$1)</f>
        <v/>
      </c>
      <c r="FC112" s="30" t="str">
        <f t="shared" ref="FC112:FC114" si="1765">IF(BW112="","","|n"&amp;FC$2&amp;"+"&amp;BW112&amp;FC$1)</f>
        <v/>
      </c>
      <c r="FD112" s="30" t="str">
        <f t="shared" ref="FD112:FD114" si="1766">IF(BX112="","","|n"&amp;FD$2&amp;"+"&amp;BX112&amp;FD$1)</f>
        <v/>
      </c>
      <c r="FE112" s="30" t="str">
        <f t="shared" ref="FE112:FE114" si="1767">IF(BY112="","","|n"&amp;FE$2&amp;"+"&amp;BY112&amp;FE$1)</f>
        <v/>
      </c>
      <c r="FF112" s="30" t="str">
        <f t="shared" ref="FF112:FF114" si="1768">IF(BZ112="","","|n"&amp;FF$2&amp;"+"&amp;BZ112&amp;FF$1)</f>
        <v/>
      </c>
      <c r="FG112" s="30" t="str">
        <f t="shared" ref="FG112:FG114" si="1769">IF(CA112="","","|n"&amp;FG$2&amp;"+"&amp;CA112&amp;FG$1)</f>
        <v/>
      </c>
      <c r="FH112" s="30" t="str">
        <f t="shared" ref="FH112:FH114" si="1770">IF(CB112="","","|n"&amp;FH$2&amp;"+"&amp;CB112&amp;FH$1)</f>
        <v/>
      </c>
      <c r="FI112" s="30" t="str">
        <f t="shared" ref="FI112:FI114" si="1771">IF(CC112="","","|n"&amp;FI$2&amp;"+"&amp;CC112&amp;FI$1)</f>
        <v/>
      </c>
      <c r="FJ112" s="30" t="str">
        <f t="shared" ref="FJ112:FJ114" si="1772">IF(CD112="","","|n"&amp;FJ$2&amp;"+"&amp;CD112&amp;FJ$1)</f>
        <v/>
      </c>
      <c r="FK112" s="30" t="str">
        <f t="shared" ref="FK112:FK114" si="1773">IF(CE112="","","|n"&amp;FK$2&amp;"+"&amp;CE112&amp;FK$1)</f>
        <v/>
      </c>
      <c r="FL112" s="30" t="str">
        <f t="shared" ref="FL112:FL114" si="1774">IF(CF112="","","|n"&amp;FL$2&amp;"+"&amp;CF112&amp;FL$1)</f>
        <v/>
      </c>
      <c r="FM112" s="30" t="str">
        <f t="shared" ref="FM112:FM114" si="1775">IF(CG112="","","|n"&amp;FM$2&amp;"+"&amp;CG112&amp;FM$1)</f>
        <v/>
      </c>
      <c r="FN112" s="30" t="str">
        <f t="shared" ref="FN112:FN114" si="1776">IF(CH112="","","|n"&amp;FN$2&amp;"+"&amp;CH112&amp;FN$1)</f>
        <v/>
      </c>
      <c r="FO112" s="30" t="str">
        <f t="shared" ref="FO112:FO114" si="1777">IF(CI112="","","|n"&amp;FO$2&amp;"+"&amp;CI112&amp;FO$1)</f>
        <v/>
      </c>
      <c r="FP112" s="30" t="str">
        <f t="shared" ref="FP112:FP114" si="1778">IF(CJ112="","","|n"&amp;FP$2&amp;"+"&amp;CJ112&amp;FP$1)</f>
        <v/>
      </c>
      <c r="FQ112" s="30" t="str">
        <f t="shared" ref="FQ112:FQ114" si="1779">IF(CK112="","","|n"&amp;FQ$2&amp;"+"&amp;CK112&amp;FQ$1)</f>
        <v/>
      </c>
      <c r="FR112" s="30" t="str">
        <f t="shared" ref="FR112:FR114" si="1780">IF(CL112="","","|n"&amp;FR$2&amp;"+"&amp;CL112&amp;FR$1)</f>
        <v/>
      </c>
      <c r="FS112" s="30" t="str">
        <f t="shared" ref="FS112:FS114" si="1781">IF(CM112="","","|n"&amp;FS$2&amp;"+"&amp;CM112&amp;FS$1)</f>
        <v/>
      </c>
    </row>
    <row r="113" spans="1:175" ht="16.5">
      <c r="A113" s="117"/>
      <c r="B113" s="111" t="s">
        <v>921</v>
      </c>
      <c r="C113" s="117" t="s">
        <v>925</v>
      </c>
      <c r="R113" s="25">
        <v>1840</v>
      </c>
      <c r="S113" s="25">
        <v>-5224</v>
      </c>
      <c r="T113" s="117" t="s">
        <v>925</v>
      </c>
      <c r="U113" s="37" t="s">
        <v>822</v>
      </c>
      <c r="CN113" s="7" t="str">
        <f t="shared" si="1705"/>
        <v>InitUnitState('IT12',,,,,,,,,,)</v>
      </c>
      <c r="CO113" s="7" t="str">
        <f t="shared" si="1706"/>
        <v>InitUnitNormal('IT12',,,,,,,,,,)</v>
      </c>
      <c r="CP113" s="7" t="str">
        <f t="shared" si="1707"/>
        <v>InitUnitMagic('IT12',,,,,,,,,,)</v>
      </c>
      <c r="CQ113" s="7" t="str">
        <f t="shared" si="1708"/>
        <v>InitUnitAdd('IT12',,,,,,,,,,)</v>
      </c>
      <c r="CR113" s="7" t="str">
        <f t="shared" si="1709"/>
        <v>InitEquipData('IT12',,"",,,,,'','','','','','',"ReplaceableTextures\\CommandButtons\\BTNTome.blp")</v>
      </c>
      <c r="CU113" s="45" t="str">
        <f t="shared" si="1710"/>
        <v>|n</v>
      </c>
      <c r="CV113" s="29" t="str">
        <f t="shared" si="1711"/>
        <v>境界挑战12</v>
      </c>
      <c r="CW113" s="24"/>
      <c r="CX113" s="24"/>
      <c r="CY113" s="24"/>
      <c r="CZ113" s="24"/>
      <c r="DA113" s="24"/>
      <c r="DB113" s="30" t="str">
        <f t="shared" si="1712"/>
        <v/>
      </c>
      <c r="DC113" s="30" t="str">
        <f t="shared" si="1713"/>
        <v/>
      </c>
      <c r="DD113" s="30" t="str">
        <f t="shared" si="1714"/>
        <v/>
      </c>
      <c r="DE113" s="30" t="str">
        <f t="shared" si="1715"/>
        <v/>
      </c>
      <c r="DF113" s="30" t="str">
        <f t="shared" si="1716"/>
        <v/>
      </c>
      <c r="DG113" s="30" t="str">
        <f t="shared" si="1717"/>
        <v/>
      </c>
      <c r="DH113" s="30" t="str">
        <f t="shared" si="1718"/>
        <v/>
      </c>
      <c r="DI113" s="30" t="str">
        <f t="shared" si="1719"/>
        <v/>
      </c>
      <c r="DJ113" s="30" t="str">
        <f t="shared" si="1720"/>
        <v/>
      </c>
      <c r="DK113" s="30" t="str">
        <f t="shared" si="1721"/>
        <v/>
      </c>
      <c r="DL113" s="30" t="str">
        <f t="shared" si="1722"/>
        <v/>
      </c>
      <c r="DM113" s="30" t="str">
        <f t="shared" si="1723"/>
        <v/>
      </c>
      <c r="DN113" s="30" t="str">
        <f t="shared" si="1724"/>
        <v/>
      </c>
      <c r="DO113" s="30" t="str">
        <f t="shared" si="1725"/>
        <v/>
      </c>
      <c r="DP113" s="30" t="str">
        <f t="shared" si="1726"/>
        <v/>
      </c>
      <c r="DQ113" s="30" t="str">
        <f t="shared" si="1727"/>
        <v/>
      </c>
      <c r="DR113" s="30" t="str">
        <f t="shared" si="1728"/>
        <v/>
      </c>
      <c r="DS113" s="30" t="str">
        <f t="shared" si="1729"/>
        <v/>
      </c>
      <c r="DT113" s="30" t="str">
        <f t="shared" si="1730"/>
        <v/>
      </c>
      <c r="DU113" s="30" t="str">
        <f t="shared" si="1731"/>
        <v/>
      </c>
      <c r="DV113" s="30" t="str">
        <f t="shared" si="1732"/>
        <v/>
      </c>
      <c r="DW113" s="30" t="str">
        <f t="shared" si="1733"/>
        <v/>
      </c>
      <c r="DX113" s="30" t="str">
        <f t="shared" si="1734"/>
        <v/>
      </c>
      <c r="DY113" s="30" t="str">
        <f t="shared" si="1735"/>
        <v/>
      </c>
      <c r="DZ113" s="30" t="str">
        <f t="shared" si="1736"/>
        <v/>
      </c>
      <c r="EA113" s="30" t="str">
        <f t="shared" si="1737"/>
        <v/>
      </c>
      <c r="EB113" s="30" t="str">
        <f t="shared" si="1738"/>
        <v/>
      </c>
      <c r="EC113" s="30" t="str">
        <f t="shared" si="1739"/>
        <v/>
      </c>
      <c r="ED113" s="30" t="str">
        <f t="shared" si="1740"/>
        <v/>
      </c>
      <c r="EE113" s="30" t="str">
        <f t="shared" si="1741"/>
        <v/>
      </c>
      <c r="EF113" s="30" t="str">
        <f t="shared" si="1742"/>
        <v/>
      </c>
      <c r="EG113" s="30" t="str">
        <f t="shared" si="1743"/>
        <v/>
      </c>
      <c r="EH113" s="30" t="str">
        <f t="shared" si="1744"/>
        <v/>
      </c>
      <c r="EI113" s="30" t="str">
        <f t="shared" si="1745"/>
        <v/>
      </c>
      <c r="EJ113" s="30" t="str">
        <f t="shared" si="1746"/>
        <v/>
      </c>
      <c r="EK113" s="30" t="str">
        <f t="shared" si="1747"/>
        <v/>
      </c>
      <c r="EL113" s="30" t="str">
        <f t="shared" si="1748"/>
        <v/>
      </c>
      <c r="EM113" s="30" t="str">
        <f t="shared" si="1749"/>
        <v/>
      </c>
      <c r="EN113" s="30" t="str">
        <f t="shared" si="1750"/>
        <v/>
      </c>
      <c r="EO113" s="30" t="str">
        <f t="shared" si="1751"/>
        <v/>
      </c>
      <c r="EP113" s="30" t="str">
        <f t="shared" si="1752"/>
        <v/>
      </c>
      <c r="EQ113" s="30" t="str">
        <f t="shared" si="1753"/>
        <v/>
      </c>
      <c r="ER113" s="30" t="str">
        <f t="shared" si="1754"/>
        <v/>
      </c>
      <c r="ES113" s="30" t="str">
        <f t="shared" si="1755"/>
        <v/>
      </c>
      <c r="ET113" s="30" t="str">
        <f t="shared" si="1756"/>
        <v/>
      </c>
      <c r="EU113" s="30" t="str">
        <f t="shared" si="1757"/>
        <v/>
      </c>
      <c r="EV113" s="30" t="str">
        <f t="shared" si="1758"/>
        <v/>
      </c>
      <c r="EW113" s="30" t="str">
        <f t="shared" si="1759"/>
        <v/>
      </c>
      <c r="EX113" s="30" t="str">
        <f t="shared" si="1760"/>
        <v/>
      </c>
      <c r="EY113" s="30" t="str">
        <f t="shared" si="1761"/>
        <v/>
      </c>
      <c r="EZ113" s="30" t="str">
        <f t="shared" si="1762"/>
        <v/>
      </c>
      <c r="FA113" s="30" t="str">
        <f t="shared" si="1763"/>
        <v/>
      </c>
      <c r="FB113" s="30" t="str">
        <f t="shared" si="1764"/>
        <v/>
      </c>
      <c r="FC113" s="30" t="str">
        <f t="shared" si="1765"/>
        <v/>
      </c>
      <c r="FD113" s="30" t="str">
        <f t="shared" si="1766"/>
        <v/>
      </c>
      <c r="FE113" s="30" t="str">
        <f t="shared" si="1767"/>
        <v/>
      </c>
      <c r="FF113" s="30" t="str">
        <f t="shared" si="1768"/>
        <v/>
      </c>
      <c r="FG113" s="30" t="str">
        <f t="shared" si="1769"/>
        <v/>
      </c>
      <c r="FH113" s="30" t="str">
        <f t="shared" si="1770"/>
        <v/>
      </c>
      <c r="FI113" s="30" t="str">
        <f t="shared" si="1771"/>
        <v/>
      </c>
      <c r="FJ113" s="30" t="str">
        <f t="shared" si="1772"/>
        <v/>
      </c>
      <c r="FK113" s="30" t="str">
        <f t="shared" si="1773"/>
        <v/>
      </c>
      <c r="FL113" s="30" t="str">
        <f t="shared" si="1774"/>
        <v/>
      </c>
      <c r="FM113" s="30" t="str">
        <f t="shared" si="1775"/>
        <v/>
      </c>
      <c r="FN113" s="30" t="str">
        <f t="shared" si="1776"/>
        <v/>
      </c>
      <c r="FO113" s="30" t="str">
        <f t="shared" si="1777"/>
        <v/>
      </c>
      <c r="FP113" s="30" t="str">
        <f t="shared" si="1778"/>
        <v/>
      </c>
      <c r="FQ113" s="30" t="str">
        <f t="shared" si="1779"/>
        <v/>
      </c>
      <c r="FR113" s="30" t="str">
        <f t="shared" si="1780"/>
        <v/>
      </c>
      <c r="FS113" s="30" t="str">
        <f t="shared" si="1781"/>
        <v/>
      </c>
    </row>
    <row r="114" spans="1:175" ht="16.5">
      <c r="A114" s="117"/>
      <c r="B114" s="111" t="s">
        <v>922</v>
      </c>
      <c r="C114" s="117" t="s">
        <v>926</v>
      </c>
      <c r="R114" s="25">
        <v>4398</v>
      </c>
      <c r="S114" s="25">
        <v>-5206</v>
      </c>
      <c r="T114" s="117" t="s">
        <v>926</v>
      </c>
      <c r="U114" s="37" t="s">
        <v>822</v>
      </c>
      <c r="CN114" s="7" t="str">
        <f t="shared" si="1705"/>
        <v>InitUnitState('IT13',,,,,,,,,,)</v>
      </c>
      <c r="CO114" s="7" t="str">
        <f t="shared" si="1706"/>
        <v>InitUnitNormal('IT13',,,,,,,,,,)</v>
      </c>
      <c r="CP114" s="7" t="str">
        <f t="shared" si="1707"/>
        <v>InitUnitMagic('IT13',,,,,,,,,,)</v>
      </c>
      <c r="CQ114" s="7" t="str">
        <f t="shared" si="1708"/>
        <v>InitUnitAdd('IT13',,,,,,,,,,)</v>
      </c>
      <c r="CR114" s="7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119&amp;CR$1&amp;")"</f>
        <v>InitEquipData('IT13',,"",,,,,'','','','','','',"ReplaceableTextures\\CommandButtons\\BTNTome.blp")</v>
      </c>
      <c r="CU114" s="45" t="str">
        <f t="shared" si="1710"/>
        <v>|n</v>
      </c>
      <c r="CV114" s="29" t="str">
        <f t="shared" si="1711"/>
        <v>境界挑战13</v>
      </c>
      <c r="CW114" s="24"/>
      <c r="CX114" s="24"/>
      <c r="CY114" s="24"/>
      <c r="CZ114" s="24"/>
      <c r="DA114" s="24"/>
      <c r="DB114" s="30" t="str">
        <f t="shared" si="1712"/>
        <v/>
      </c>
      <c r="DC114" s="30" t="str">
        <f t="shared" si="1713"/>
        <v/>
      </c>
      <c r="DD114" s="30" t="str">
        <f t="shared" si="1714"/>
        <v/>
      </c>
      <c r="DE114" s="30" t="str">
        <f t="shared" si="1715"/>
        <v/>
      </c>
      <c r="DF114" s="30" t="str">
        <f t="shared" si="1716"/>
        <v/>
      </c>
      <c r="DG114" s="30" t="str">
        <f t="shared" si="1717"/>
        <v/>
      </c>
      <c r="DH114" s="30" t="str">
        <f t="shared" si="1718"/>
        <v/>
      </c>
      <c r="DI114" s="30" t="str">
        <f t="shared" si="1719"/>
        <v/>
      </c>
      <c r="DJ114" s="30" t="str">
        <f t="shared" si="1720"/>
        <v/>
      </c>
      <c r="DK114" s="30" t="str">
        <f t="shared" si="1721"/>
        <v/>
      </c>
      <c r="DL114" s="30" t="str">
        <f t="shared" si="1722"/>
        <v/>
      </c>
      <c r="DM114" s="30" t="str">
        <f t="shared" si="1723"/>
        <v/>
      </c>
      <c r="DN114" s="30" t="str">
        <f t="shared" si="1724"/>
        <v/>
      </c>
      <c r="DO114" s="30" t="str">
        <f t="shared" si="1725"/>
        <v/>
      </c>
      <c r="DP114" s="30" t="str">
        <f t="shared" si="1726"/>
        <v/>
      </c>
      <c r="DQ114" s="30" t="str">
        <f t="shared" si="1727"/>
        <v/>
      </c>
      <c r="DR114" s="30" t="str">
        <f t="shared" si="1728"/>
        <v/>
      </c>
      <c r="DS114" s="30" t="str">
        <f t="shared" si="1729"/>
        <v/>
      </c>
      <c r="DT114" s="30" t="str">
        <f t="shared" si="1730"/>
        <v/>
      </c>
      <c r="DU114" s="30" t="str">
        <f t="shared" si="1731"/>
        <v/>
      </c>
      <c r="DV114" s="30" t="str">
        <f t="shared" si="1732"/>
        <v/>
      </c>
      <c r="DW114" s="30" t="str">
        <f t="shared" si="1733"/>
        <v/>
      </c>
      <c r="DX114" s="30" t="str">
        <f t="shared" si="1734"/>
        <v/>
      </c>
      <c r="DY114" s="30" t="str">
        <f t="shared" si="1735"/>
        <v/>
      </c>
      <c r="DZ114" s="30" t="str">
        <f t="shared" si="1736"/>
        <v/>
      </c>
      <c r="EA114" s="30" t="str">
        <f t="shared" si="1737"/>
        <v/>
      </c>
      <c r="EB114" s="30" t="str">
        <f t="shared" si="1738"/>
        <v/>
      </c>
      <c r="EC114" s="30" t="str">
        <f t="shared" si="1739"/>
        <v/>
      </c>
      <c r="ED114" s="30" t="str">
        <f t="shared" si="1740"/>
        <v/>
      </c>
      <c r="EE114" s="30" t="str">
        <f t="shared" si="1741"/>
        <v/>
      </c>
      <c r="EF114" s="30" t="str">
        <f t="shared" si="1742"/>
        <v/>
      </c>
      <c r="EG114" s="30" t="str">
        <f t="shared" si="1743"/>
        <v/>
      </c>
      <c r="EH114" s="30" t="str">
        <f t="shared" si="1744"/>
        <v/>
      </c>
      <c r="EI114" s="30" t="str">
        <f t="shared" si="1745"/>
        <v/>
      </c>
      <c r="EJ114" s="30" t="str">
        <f t="shared" si="1746"/>
        <v/>
      </c>
      <c r="EK114" s="30" t="str">
        <f t="shared" si="1747"/>
        <v/>
      </c>
      <c r="EL114" s="30" t="str">
        <f t="shared" si="1748"/>
        <v/>
      </c>
      <c r="EM114" s="30" t="str">
        <f t="shared" si="1749"/>
        <v/>
      </c>
      <c r="EN114" s="30" t="str">
        <f t="shared" si="1750"/>
        <v/>
      </c>
      <c r="EO114" s="30" t="str">
        <f t="shared" si="1751"/>
        <v/>
      </c>
      <c r="EP114" s="30" t="str">
        <f t="shared" si="1752"/>
        <v/>
      </c>
      <c r="EQ114" s="30" t="str">
        <f t="shared" si="1753"/>
        <v/>
      </c>
      <c r="ER114" s="30" t="str">
        <f t="shared" si="1754"/>
        <v/>
      </c>
      <c r="ES114" s="30" t="str">
        <f t="shared" si="1755"/>
        <v/>
      </c>
      <c r="ET114" s="30" t="str">
        <f t="shared" si="1756"/>
        <v/>
      </c>
      <c r="EU114" s="30" t="str">
        <f t="shared" si="1757"/>
        <v/>
      </c>
      <c r="EV114" s="30" t="str">
        <f t="shared" si="1758"/>
        <v/>
      </c>
      <c r="EW114" s="30" t="str">
        <f t="shared" si="1759"/>
        <v/>
      </c>
      <c r="EX114" s="30" t="str">
        <f t="shared" si="1760"/>
        <v/>
      </c>
      <c r="EY114" s="30" t="str">
        <f t="shared" si="1761"/>
        <v/>
      </c>
      <c r="EZ114" s="30" t="str">
        <f t="shared" si="1762"/>
        <v/>
      </c>
      <c r="FA114" s="30" t="str">
        <f t="shared" si="1763"/>
        <v/>
      </c>
      <c r="FB114" s="30" t="str">
        <f t="shared" si="1764"/>
        <v/>
      </c>
      <c r="FC114" s="30" t="str">
        <f t="shared" si="1765"/>
        <v/>
      </c>
      <c r="FD114" s="30" t="str">
        <f t="shared" si="1766"/>
        <v/>
      </c>
      <c r="FE114" s="30" t="str">
        <f t="shared" si="1767"/>
        <v/>
      </c>
      <c r="FF114" s="30" t="str">
        <f t="shared" si="1768"/>
        <v/>
      </c>
      <c r="FG114" s="30" t="str">
        <f t="shared" si="1769"/>
        <v/>
      </c>
      <c r="FH114" s="30" t="str">
        <f t="shared" si="1770"/>
        <v/>
      </c>
      <c r="FI114" s="30" t="str">
        <f t="shared" si="1771"/>
        <v/>
      </c>
      <c r="FJ114" s="30" t="str">
        <f t="shared" si="1772"/>
        <v/>
      </c>
      <c r="FK114" s="30" t="str">
        <f t="shared" si="1773"/>
        <v/>
      </c>
      <c r="FL114" s="30" t="str">
        <f t="shared" si="1774"/>
        <v/>
      </c>
      <c r="FM114" s="30" t="str">
        <f t="shared" si="1775"/>
        <v/>
      </c>
      <c r="FN114" s="30" t="str">
        <f t="shared" si="1776"/>
        <v/>
      </c>
      <c r="FO114" s="30" t="str">
        <f t="shared" si="1777"/>
        <v/>
      </c>
      <c r="FP114" s="30" t="str">
        <f t="shared" si="1778"/>
        <v/>
      </c>
      <c r="FQ114" s="30" t="str">
        <f t="shared" si="1779"/>
        <v/>
      </c>
      <c r="FR114" s="30" t="str">
        <f t="shared" si="1780"/>
        <v/>
      </c>
      <c r="FS114" s="30" t="str">
        <f t="shared" si="1781"/>
        <v/>
      </c>
    </row>
    <row r="115" spans="1:175" ht="16.5">
      <c r="A115" s="117"/>
      <c r="B115" s="111" t="s">
        <v>923</v>
      </c>
      <c r="C115" s="117" t="s">
        <v>927</v>
      </c>
      <c r="R115" s="25">
        <v>7548</v>
      </c>
      <c r="S115" s="25">
        <v>-6605</v>
      </c>
      <c r="T115" s="117" t="s">
        <v>927</v>
      </c>
      <c r="U115" s="37" t="s">
        <v>822</v>
      </c>
      <c r="CN115" s="7" t="str">
        <f t="shared" ref="CN115" si="1782">"InitUnitState('"&amp;B115&amp;"',"&amp;V115&amp;","&amp;W115&amp;","&amp;X115&amp;","&amp;Y115&amp;","&amp;Z115&amp;","&amp;AA115&amp;","&amp;AB115&amp;","&amp;AC115&amp;","&amp;AD115&amp;","&amp;AE115&amp;")"</f>
        <v>InitUnitState('IT14',,,,,,,,,,)</v>
      </c>
      <c r="CO115" s="7" t="str">
        <f t="shared" ref="CO115" si="1783">"InitUnitNormal('"&amp;B115&amp;"',"&amp;AF115&amp;","&amp;AG115&amp;","&amp;AH115&amp;","&amp;AI115&amp;","&amp;AJ115&amp;","&amp;AK115&amp;","&amp;AL115&amp;","&amp;AM115&amp;","&amp;AN115&amp;","&amp;AO115&amp;")"</f>
        <v>InitUnitNormal('IT14',,,,,,,,,,)</v>
      </c>
      <c r="CP115" s="7" t="str">
        <f t="shared" ref="CP115" si="1784">"InitUnitMagic('"&amp;B115&amp;"',"&amp;AP115&amp;","&amp;AQ115&amp;","&amp;AR115&amp;","&amp;AS115&amp;","&amp;AT115&amp;","&amp;AU115&amp;","&amp;AV115&amp;","&amp;AW115&amp;","&amp;BI115&amp;","&amp;BJ115&amp;")"</f>
        <v>InitUnitMagic('IT14',,,,,,,,,,)</v>
      </c>
      <c r="CQ115" s="7" t="str">
        <f t="shared" ref="CQ115" si="1785">"InitUnitAdd('"&amp;B115&amp;"',"&amp;BK115&amp;","&amp;BL115&amp;","&amp;BM115&amp;","&amp;BN115&amp;","&amp;BO115&amp;","&amp;BP115&amp;","&amp;BQ115&amp;","&amp;BR115&amp;","&amp;BS115&amp;","&amp;BT115&amp;")"</f>
        <v>InitUnitAdd('IT14',,,,,,,,,,)</v>
      </c>
      <c r="CR115" s="7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121&amp;CR$1&amp;")"</f>
        <v>InitEquipData('IT14',,"",,,,,'','','','','','',"ReplaceableTextures\\CommandButtons\\BTNTome.blp")</v>
      </c>
      <c r="CU115" s="45" t="str">
        <f t="shared" ref="CU115" si="1786">CONCATENATE(DB115,DC115,DD115,DE115,DF115,DG115,DH115,DI115,DJ115,DK115,DL115,DM115,DN115,DO115,DP115,DQ115,DR115,DS115,DT115,DU115,DV115,DW115,DX115,DY115,DZ115,EA115,EB115,EC115,ED115,EE115,EF115,EG115,EH115,EI115,EJ115,EK115,EL115,EM115,EN115,EO115,EP115&amp;"|n")</f>
        <v>|n</v>
      </c>
      <c r="CV115" s="29" t="str">
        <f t="shared" ref="CV115" si="1787">T115</f>
        <v>境界挑战14</v>
      </c>
      <c r="CW115" s="24"/>
      <c r="CX115" s="24"/>
      <c r="CY115" s="24"/>
      <c r="CZ115" s="24"/>
      <c r="DA115" s="24"/>
      <c r="DB115" s="30" t="str">
        <f t="shared" ref="DB115" si="1788">IF(V115="","","|n"&amp;DB$2&amp;"+"&amp;V115&amp;DB$1)</f>
        <v/>
      </c>
      <c r="DC115" s="30" t="str">
        <f t="shared" ref="DC115" si="1789">IF(W115="","","|n"&amp;DC$2&amp;"+"&amp;W115&amp;DC$1)</f>
        <v/>
      </c>
      <c r="DD115" s="30" t="str">
        <f t="shared" ref="DD115" si="1790">IF(X115="","","|n"&amp;DD$2&amp;"+"&amp;X115&amp;DD$1)</f>
        <v/>
      </c>
      <c r="DE115" s="30" t="str">
        <f t="shared" ref="DE115" si="1791">IF(Y115="","","|n"&amp;DE$2&amp;"+"&amp;Y115&amp;DE$1)</f>
        <v/>
      </c>
      <c r="DF115" s="30" t="str">
        <f t="shared" ref="DF115" si="1792">IF(Z115="","","|n"&amp;DF$2&amp;"+"&amp;Z115&amp;DF$1)</f>
        <v/>
      </c>
      <c r="DG115" s="30" t="str">
        <f t="shared" ref="DG115" si="1793">IF(AA115="","","|n"&amp;DG$2&amp;"+"&amp;AA115&amp;DG$1)</f>
        <v/>
      </c>
      <c r="DH115" s="30" t="str">
        <f t="shared" ref="DH115" si="1794">IF(AB115="","","|n"&amp;DH$2&amp;"+"&amp;AB115&amp;DH$1)</f>
        <v/>
      </c>
      <c r="DI115" s="30" t="str">
        <f t="shared" ref="DI115" si="1795">IF(AC115="","","|n"&amp;DI$2&amp;"+"&amp;AC115&amp;DI$1)</f>
        <v/>
      </c>
      <c r="DJ115" s="30" t="str">
        <f t="shared" ref="DJ115" si="1796">IF(AD115="","","|n"&amp;DJ$2&amp;"+"&amp;AD115&amp;DJ$1)</f>
        <v/>
      </c>
      <c r="DK115" s="30" t="str">
        <f t="shared" ref="DK115" si="1797">IF(AE115="","","|n"&amp;DK$2&amp;"+"&amp;AE115&amp;DK$1)</f>
        <v/>
      </c>
      <c r="DL115" s="30" t="str">
        <f t="shared" ref="DL115" si="1798">IF(AF115="","","|n"&amp;DL$2&amp;"+"&amp;AF115&amp;DL$1)</f>
        <v/>
      </c>
      <c r="DM115" s="30" t="str">
        <f t="shared" ref="DM115" si="1799">IF(AG115="","","|n"&amp;DM$2&amp;"+"&amp;AG115&amp;DM$1)</f>
        <v/>
      </c>
      <c r="DN115" s="30" t="str">
        <f t="shared" ref="DN115" si="1800">IF(AH115="","","|n"&amp;DN$2&amp;"+"&amp;AH115&amp;DN$1)</f>
        <v/>
      </c>
      <c r="DO115" s="30" t="str">
        <f t="shared" ref="DO115" si="1801">IF(AI115="","","|n"&amp;DO$2&amp;"+"&amp;AI115&amp;DO$1)</f>
        <v/>
      </c>
      <c r="DP115" s="30" t="str">
        <f t="shared" ref="DP115" si="1802">IF(AJ115="","","|n"&amp;DP$2&amp;"+"&amp;AJ115&amp;DP$1)</f>
        <v/>
      </c>
      <c r="DQ115" s="30" t="str">
        <f t="shared" ref="DQ115" si="1803">IF(AK115="","","|n"&amp;DQ$2&amp;"+"&amp;AK115&amp;DQ$1)</f>
        <v/>
      </c>
      <c r="DR115" s="30" t="str">
        <f t="shared" ref="DR115" si="1804">IF(AL115="","","|n"&amp;DR$2&amp;"+"&amp;AL115&amp;DR$1)</f>
        <v/>
      </c>
      <c r="DS115" s="30" t="str">
        <f t="shared" ref="DS115" si="1805">IF(AM115="","","|n"&amp;DS$2&amp;"+"&amp;AM115&amp;DS$1)</f>
        <v/>
      </c>
      <c r="DT115" s="30" t="str">
        <f t="shared" ref="DT115" si="1806">IF(AN115="","","|n"&amp;DT$2&amp;"+"&amp;AN115&amp;DT$1)</f>
        <v/>
      </c>
      <c r="DU115" s="30" t="str">
        <f t="shared" ref="DU115" si="1807">IF(AO115="","","|n"&amp;DU$2&amp;"+"&amp;AO115&amp;DU$1)</f>
        <v/>
      </c>
      <c r="DV115" s="30" t="str">
        <f t="shared" ref="DV115" si="1808">IF(AP115="","","|n"&amp;DV$2&amp;"+"&amp;AP115&amp;DV$1)</f>
        <v/>
      </c>
      <c r="DW115" s="30" t="str">
        <f t="shared" ref="DW115" si="1809">IF(AQ115="","","|n"&amp;DW$2&amp;"+"&amp;AQ115&amp;DW$1)</f>
        <v/>
      </c>
      <c r="DX115" s="30" t="str">
        <f t="shared" ref="DX115" si="1810">IF(AR115="","","|n"&amp;DX$2&amp;"+"&amp;AR115&amp;DX$1)</f>
        <v/>
      </c>
      <c r="DY115" s="30" t="str">
        <f t="shared" ref="DY115" si="1811">IF(AS115="","","|n"&amp;DY$2&amp;"+"&amp;AS115&amp;DY$1)</f>
        <v/>
      </c>
      <c r="DZ115" s="30" t="str">
        <f t="shared" ref="DZ115" si="1812">IF(AT115="","","|n"&amp;DZ$2&amp;"+"&amp;AT115&amp;DZ$1)</f>
        <v/>
      </c>
      <c r="EA115" s="30" t="str">
        <f t="shared" ref="EA115" si="1813">IF(AU115="","","|n"&amp;EA$2&amp;"+"&amp;AU115&amp;EA$1)</f>
        <v/>
      </c>
      <c r="EB115" s="30" t="str">
        <f t="shared" ref="EB115" si="1814">IF(AV115="","","|n"&amp;EB$2&amp;"+"&amp;AV115&amp;EB$1)</f>
        <v/>
      </c>
      <c r="EC115" s="30" t="str">
        <f t="shared" ref="EC115" si="1815">IF(AW115="","","|n"&amp;EC$2&amp;"+"&amp;AW115&amp;EC$1)</f>
        <v/>
      </c>
      <c r="ED115" s="30" t="str">
        <f t="shared" ref="ED115" si="1816">IF(AX115="","","|n"&amp;ED$2&amp;"+"&amp;AX115&amp;ED$1)</f>
        <v/>
      </c>
      <c r="EE115" s="30" t="str">
        <f t="shared" ref="EE115" si="1817">IF(AY115="","","|n"&amp;EE$2&amp;"+"&amp;AY115&amp;EE$1)</f>
        <v/>
      </c>
      <c r="EF115" s="30" t="str">
        <f t="shared" ref="EF115" si="1818">IF(AZ115="","","|n"&amp;EF$2&amp;"+"&amp;AZ115&amp;EF$1)</f>
        <v/>
      </c>
      <c r="EG115" s="30" t="str">
        <f t="shared" ref="EG115" si="1819">IF(BA115="","","|n"&amp;EG$2&amp;"+"&amp;BA115&amp;EG$1)</f>
        <v/>
      </c>
      <c r="EH115" s="30" t="str">
        <f t="shared" ref="EH115" si="1820">IF(BB115="","","|n"&amp;EH$2&amp;"+"&amp;BB115&amp;EH$1)</f>
        <v/>
      </c>
      <c r="EI115" s="30" t="str">
        <f t="shared" ref="EI115" si="1821">IF(BC115="","","|n"&amp;EI$2&amp;"+"&amp;BC115&amp;EI$1)</f>
        <v/>
      </c>
      <c r="EJ115" s="30" t="str">
        <f t="shared" ref="EJ115" si="1822">IF(BD115="","","|n"&amp;EJ$2&amp;"+"&amp;BD115&amp;EJ$1)</f>
        <v/>
      </c>
      <c r="EK115" s="30" t="str">
        <f t="shared" ref="EK115" si="1823">IF(BE115="","","|n"&amp;EK$2&amp;"+"&amp;BE115&amp;EK$1)</f>
        <v/>
      </c>
      <c r="EL115" s="30" t="str">
        <f t="shared" ref="EL115" si="1824">IF(BF115="","","|n"&amp;EL$2&amp;"+"&amp;BF115&amp;EL$1)</f>
        <v/>
      </c>
      <c r="EM115" s="30" t="str">
        <f t="shared" ref="EM115" si="1825">IF(BG115="","","|n"&amp;EM$2&amp;"+"&amp;BG115&amp;EM$1)</f>
        <v/>
      </c>
      <c r="EN115" s="30" t="str">
        <f t="shared" ref="EN115" si="1826">IF(BH115="","","|n"&amp;EN$2&amp;"+"&amp;BH115&amp;EN$1)</f>
        <v/>
      </c>
      <c r="EO115" s="30" t="str">
        <f t="shared" ref="EO115" si="1827">IF(BI115="","","|n"&amp;EO$2&amp;"+"&amp;BI115&amp;EO$1)</f>
        <v/>
      </c>
      <c r="EP115" s="30" t="str">
        <f t="shared" ref="EP115" si="1828">IF(BJ115="","","|n"&amp;EP$2&amp;"+"&amp;BJ115&amp;EP$1)</f>
        <v/>
      </c>
      <c r="EQ115" s="30" t="str">
        <f t="shared" ref="EQ115" si="1829">IF(BK115="","","|n"&amp;EQ$2&amp;"+"&amp;BK115&amp;EQ$1)</f>
        <v/>
      </c>
      <c r="ER115" s="30" t="str">
        <f t="shared" ref="ER115" si="1830">IF(BL115="","","|n"&amp;ER$2&amp;"+"&amp;BL115&amp;ER$1)</f>
        <v/>
      </c>
      <c r="ES115" s="30" t="str">
        <f t="shared" ref="ES115" si="1831">IF(BM115="","","|n"&amp;ES$2&amp;"+"&amp;BM115&amp;ES$1)</f>
        <v/>
      </c>
      <c r="ET115" s="30" t="str">
        <f t="shared" ref="ET115" si="1832">IF(BN115="","","|n"&amp;ET$2&amp;"+"&amp;BN115&amp;ET$1)</f>
        <v/>
      </c>
      <c r="EU115" s="30" t="str">
        <f t="shared" ref="EU115" si="1833">IF(BO115="","","|n"&amp;EU$2&amp;"+"&amp;BO115&amp;EU$1)</f>
        <v/>
      </c>
      <c r="EV115" s="30" t="str">
        <f t="shared" ref="EV115" si="1834">IF(BP115="","","|n"&amp;EV$2&amp;"+"&amp;BP115&amp;EV$1)</f>
        <v/>
      </c>
      <c r="EW115" s="30" t="str">
        <f t="shared" ref="EW115" si="1835">IF(BQ115="","","|n"&amp;EW$2&amp;"+"&amp;BQ115&amp;EW$1)</f>
        <v/>
      </c>
      <c r="EX115" s="30" t="str">
        <f t="shared" ref="EX115" si="1836">IF(BR115="","","|n"&amp;EX$2&amp;"+"&amp;BR115&amp;EX$1)</f>
        <v/>
      </c>
      <c r="EY115" s="30" t="str">
        <f t="shared" ref="EY115" si="1837">IF(BS115="","","|n"&amp;EY$2&amp;"+"&amp;BS115&amp;EY$1)</f>
        <v/>
      </c>
      <c r="EZ115" s="30" t="str">
        <f t="shared" ref="EZ115" si="1838">IF(BT115="","","|n"&amp;EZ$2&amp;"+"&amp;BT115&amp;EZ$1)</f>
        <v/>
      </c>
      <c r="FA115" s="30" t="str">
        <f t="shared" ref="FA115" si="1839">IF(BU115="","","|n"&amp;FA$2&amp;"+"&amp;BU115&amp;FA$1)</f>
        <v/>
      </c>
      <c r="FB115" s="30" t="str">
        <f t="shared" ref="FB115" si="1840">IF(BV115="","","|n"&amp;FB$2&amp;"+"&amp;BV115&amp;FB$1)</f>
        <v/>
      </c>
      <c r="FC115" s="30" t="str">
        <f t="shared" ref="FC115" si="1841">IF(BW115="","","|n"&amp;FC$2&amp;"+"&amp;BW115&amp;FC$1)</f>
        <v/>
      </c>
      <c r="FD115" s="30" t="str">
        <f t="shared" ref="FD115" si="1842">IF(BX115="","","|n"&amp;FD$2&amp;"+"&amp;BX115&amp;FD$1)</f>
        <v/>
      </c>
      <c r="FE115" s="30" t="str">
        <f t="shared" ref="FE115" si="1843">IF(BY115="","","|n"&amp;FE$2&amp;"+"&amp;BY115&amp;FE$1)</f>
        <v/>
      </c>
      <c r="FF115" s="30" t="str">
        <f t="shared" ref="FF115" si="1844">IF(BZ115="","","|n"&amp;FF$2&amp;"+"&amp;BZ115&amp;FF$1)</f>
        <v/>
      </c>
      <c r="FG115" s="30" t="str">
        <f t="shared" ref="FG115" si="1845">IF(CA115="","","|n"&amp;FG$2&amp;"+"&amp;CA115&amp;FG$1)</f>
        <v/>
      </c>
      <c r="FH115" s="30" t="str">
        <f t="shared" ref="FH115" si="1846">IF(CB115="","","|n"&amp;FH$2&amp;"+"&amp;CB115&amp;FH$1)</f>
        <v/>
      </c>
      <c r="FI115" s="30" t="str">
        <f t="shared" ref="FI115" si="1847">IF(CC115="","","|n"&amp;FI$2&amp;"+"&amp;CC115&amp;FI$1)</f>
        <v/>
      </c>
      <c r="FJ115" s="30" t="str">
        <f t="shared" ref="FJ115" si="1848">IF(CD115="","","|n"&amp;FJ$2&amp;"+"&amp;CD115&amp;FJ$1)</f>
        <v/>
      </c>
      <c r="FK115" s="30" t="str">
        <f t="shared" ref="FK115" si="1849">IF(CE115="","","|n"&amp;FK$2&amp;"+"&amp;CE115&amp;FK$1)</f>
        <v/>
      </c>
      <c r="FL115" s="30" t="str">
        <f t="shared" ref="FL115" si="1850">IF(CF115="","","|n"&amp;FL$2&amp;"+"&amp;CF115&amp;FL$1)</f>
        <v/>
      </c>
      <c r="FM115" s="30" t="str">
        <f t="shared" ref="FM115" si="1851">IF(CG115="","","|n"&amp;FM$2&amp;"+"&amp;CG115&amp;FM$1)</f>
        <v/>
      </c>
      <c r="FN115" s="30" t="str">
        <f t="shared" ref="FN115" si="1852">IF(CH115="","","|n"&amp;FN$2&amp;"+"&amp;CH115&amp;FN$1)</f>
        <v/>
      </c>
      <c r="FO115" s="30" t="str">
        <f t="shared" ref="FO115" si="1853">IF(CI115="","","|n"&amp;FO$2&amp;"+"&amp;CI115&amp;FO$1)</f>
        <v/>
      </c>
      <c r="FP115" s="30" t="str">
        <f t="shared" ref="FP115" si="1854">IF(CJ115="","","|n"&amp;FP$2&amp;"+"&amp;CJ115&amp;FP$1)</f>
        <v/>
      </c>
      <c r="FQ115" s="30" t="str">
        <f t="shared" ref="FQ115" si="1855">IF(CK115="","","|n"&amp;FQ$2&amp;"+"&amp;CK115&amp;FQ$1)</f>
        <v/>
      </c>
      <c r="FR115" s="30" t="str">
        <f t="shared" ref="FR115" si="1856">IF(CL115="","","|n"&amp;FR$2&amp;"+"&amp;CL115&amp;FR$1)</f>
        <v/>
      </c>
      <c r="FS115" s="30" t="str">
        <f t="shared" ref="FS115" si="1857">IF(CM115="","","|n"&amp;FS$2&amp;"+"&amp;CM115&amp;FS$1)</f>
        <v/>
      </c>
    </row>
    <row r="116" spans="1:175" ht="16.5">
      <c r="A116" s="117"/>
      <c r="B116" s="111" t="s">
        <v>883</v>
      </c>
      <c r="C116" s="117" t="s">
        <v>887</v>
      </c>
      <c r="T116" s="117" t="s">
        <v>887</v>
      </c>
      <c r="U116" s="37" t="s">
        <v>822</v>
      </c>
      <c r="CN116" s="7" t="str">
        <f t="shared" si="1628"/>
        <v>InitUnitState('IS01',,,,,,,,,,)</v>
      </c>
      <c r="CO116" s="7" t="str">
        <f t="shared" si="1629"/>
        <v>InitUnitNormal('IS01',,,,,,,,,,)</v>
      </c>
      <c r="CP116" s="7" t="str">
        <f t="shared" si="1630"/>
        <v>InitUnitMagic('IS01',,,,,,,,,,)</v>
      </c>
      <c r="CQ116" s="7" t="str">
        <f t="shared" si="1631"/>
        <v>InitUnitAdd('IS01',,,,,,,,,,)</v>
      </c>
      <c r="CR116" s="7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117&amp;CR$1&amp;")"</f>
        <v>InitEquipData('IS01',,"",,,,,'','','','','','',"ReplaceableTextures\\CommandButtons\\BTNTome.blp")</v>
      </c>
      <c r="CU116" s="45" t="str">
        <f t="shared" si="1633"/>
        <v>|n</v>
      </c>
      <c r="CV116" s="29" t="str">
        <f t="shared" si="1634"/>
        <v>抽技能DC</v>
      </c>
      <c r="CW116" s="24"/>
      <c r="CX116" s="24"/>
      <c r="CY116" s="24"/>
      <c r="CZ116" s="24"/>
      <c r="DA116" s="24"/>
      <c r="DB116" s="30" t="str">
        <f t="shared" si="1635"/>
        <v/>
      </c>
      <c r="DC116" s="30" t="str">
        <f t="shared" si="1636"/>
        <v/>
      </c>
      <c r="DD116" s="30" t="str">
        <f t="shared" si="1637"/>
        <v/>
      </c>
      <c r="DE116" s="30" t="str">
        <f t="shared" si="1638"/>
        <v/>
      </c>
      <c r="DF116" s="30" t="str">
        <f t="shared" si="1639"/>
        <v/>
      </c>
      <c r="DG116" s="30" t="str">
        <f t="shared" si="1640"/>
        <v/>
      </c>
      <c r="DH116" s="30" t="str">
        <f t="shared" si="1641"/>
        <v/>
      </c>
      <c r="DI116" s="30" t="str">
        <f t="shared" si="1642"/>
        <v/>
      </c>
      <c r="DJ116" s="30" t="str">
        <f t="shared" si="1643"/>
        <v/>
      </c>
      <c r="DK116" s="30" t="str">
        <f t="shared" si="1644"/>
        <v/>
      </c>
      <c r="DL116" s="30" t="str">
        <f t="shared" si="1645"/>
        <v/>
      </c>
      <c r="DM116" s="30" t="str">
        <f t="shared" si="1646"/>
        <v/>
      </c>
      <c r="DN116" s="30" t="str">
        <f t="shared" si="1647"/>
        <v/>
      </c>
      <c r="DO116" s="30" t="str">
        <f t="shared" si="1648"/>
        <v/>
      </c>
      <c r="DP116" s="30" t="str">
        <f t="shared" si="1649"/>
        <v/>
      </c>
      <c r="DQ116" s="30" t="str">
        <f t="shared" si="1650"/>
        <v/>
      </c>
      <c r="DR116" s="30" t="str">
        <f t="shared" si="1651"/>
        <v/>
      </c>
      <c r="DS116" s="30" t="str">
        <f t="shared" si="1652"/>
        <v/>
      </c>
      <c r="DT116" s="30" t="str">
        <f t="shared" si="1653"/>
        <v/>
      </c>
      <c r="DU116" s="30" t="str">
        <f t="shared" si="1654"/>
        <v/>
      </c>
      <c r="DV116" s="30" t="str">
        <f t="shared" si="1655"/>
        <v/>
      </c>
      <c r="DW116" s="30" t="str">
        <f t="shared" si="1656"/>
        <v/>
      </c>
      <c r="DX116" s="30" t="str">
        <f t="shared" si="1657"/>
        <v/>
      </c>
      <c r="DY116" s="30" t="str">
        <f t="shared" si="1658"/>
        <v/>
      </c>
      <c r="DZ116" s="30" t="str">
        <f t="shared" si="1659"/>
        <v/>
      </c>
      <c r="EA116" s="30" t="str">
        <f t="shared" si="1660"/>
        <v/>
      </c>
      <c r="EB116" s="30" t="str">
        <f t="shared" si="1661"/>
        <v/>
      </c>
      <c r="EC116" s="30" t="str">
        <f t="shared" si="1662"/>
        <v/>
      </c>
      <c r="ED116" s="30" t="str">
        <f t="shared" si="1663"/>
        <v/>
      </c>
      <c r="EE116" s="30" t="str">
        <f t="shared" si="1664"/>
        <v/>
      </c>
      <c r="EF116" s="30" t="str">
        <f t="shared" si="1665"/>
        <v/>
      </c>
      <c r="EG116" s="30" t="str">
        <f t="shared" si="1666"/>
        <v/>
      </c>
      <c r="EH116" s="30" t="str">
        <f t="shared" si="1667"/>
        <v/>
      </c>
      <c r="EI116" s="30" t="str">
        <f t="shared" si="1668"/>
        <v/>
      </c>
      <c r="EJ116" s="30" t="str">
        <f t="shared" si="1669"/>
        <v/>
      </c>
      <c r="EK116" s="30" t="str">
        <f t="shared" si="1670"/>
        <v/>
      </c>
      <c r="EL116" s="30" t="str">
        <f t="shared" si="1671"/>
        <v/>
      </c>
      <c r="EM116" s="30" t="str">
        <f t="shared" si="1672"/>
        <v/>
      </c>
      <c r="EN116" s="30" t="str">
        <f t="shared" si="1673"/>
        <v/>
      </c>
      <c r="EO116" s="30" t="str">
        <f t="shared" si="1674"/>
        <v/>
      </c>
      <c r="EP116" s="30" t="str">
        <f t="shared" si="1675"/>
        <v/>
      </c>
      <c r="EQ116" s="30" t="str">
        <f t="shared" si="1676"/>
        <v/>
      </c>
      <c r="ER116" s="30" t="str">
        <f t="shared" si="1677"/>
        <v/>
      </c>
      <c r="ES116" s="30" t="str">
        <f t="shared" si="1678"/>
        <v/>
      </c>
      <c r="ET116" s="30" t="str">
        <f t="shared" si="1679"/>
        <v/>
      </c>
      <c r="EU116" s="30" t="str">
        <f t="shared" si="1680"/>
        <v/>
      </c>
      <c r="EV116" s="30" t="str">
        <f t="shared" si="1681"/>
        <v/>
      </c>
      <c r="EW116" s="30" t="str">
        <f t="shared" si="1682"/>
        <v/>
      </c>
      <c r="EX116" s="30" t="str">
        <f t="shared" si="1683"/>
        <v/>
      </c>
      <c r="EY116" s="30" t="str">
        <f t="shared" si="1684"/>
        <v/>
      </c>
      <c r="EZ116" s="30" t="str">
        <f t="shared" si="1685"/>
        <v/>
      </c>
      <c r="FA116" s="30" t="str">
        <f t="shared" si="1686"/>
        <v/>
      </c>
      <c r="FB116" s="30" t="str">
        <f t="shared" si="1687"/>
        <v/>
      </c>
      <c r="FC116" s="30" t="str">
        <f t="shared" si="1688"/>
        <v/>
      </c>
      <c r="FD116" s="30" t="str">
        <f t="shared" si="1689"/>
        <v/>
      </c>
      <c r="FE116" s="30" t="str">
        <f t="shared" si="1690"/>
        <v/>
      </c>
      <c r="FF116" s="30" t="str">
        <f t="shared" si="1691"/>
        <v/>
      </c>
      <c r="FG116" s="30" t="str">
        <f t="shared" si="1692"/>
        <v/>
      </c>
      <c r="FH116" s="30" t="str">
        <f t="shared" si="1693"/>
        <v/>
      </c>
      <c r="FI116" s="30" t="str">
        <f t="shared" si="1694"/>
        <v/>
      </c>
      <c r="FJ116" s="30" t="str">
        <f t="shared" si="1695"/>
        <v/>
      </c>
      <c r="FK116" s="30" t="str">
        <f t="shared" si="1696"/>
        <v/>
      </c>
      <c r="FL116" s="30" t="str">
        <f t="shared" si="1697"/>
        <v/>
      </c>
      <c r="FM116" s="30" t="str">
        <f t="shared" si="1698"/>
        <v/>
      </c>
      <c r="FN116" s="30" t="str">
        <f t="shared" si="1699"/>
        <v/>
      </c>
      <c r="FO116" s="30" t="str">
        <f t="shared" si="1700"/>
        <v/>
      </c>
      <c r="FP116" s="30" t="str">
        <f t="shared" si="1701"/>
        <v/>
      </c>
      <c r="FQ116" s="30" t="str">
        <f t="shared" si="1702"/>
        <v/>
      </c>
      <c r="FR116" s="30" t="str">
        <f t="shared" si="1703"/>
        <v/>
      </c>
      <c r="FS116" s="30" t="str">
        <f t="shared" si="1704"/>
        <v/>
      </c>
    </row>
    <row r="117" spans="1:175" ht="16.5">
      <c r="A117" s="117"/>
      <c r="B117" s="111" t="s">
        <v>884</v>
      </c>
      <c r="C117" s="117" t="s">
        <v>888</v>
      </c>
      <c r="T117" s="117" t="s">
        <v>888</v>
      </c>
      <c r="U117" s="37" t="s">
        <v>822</v>
      </c>
      <c r="CN117" s="7" t="str">
        <f t="shared" ref="CN117:CN121" si="1858">"InitUnitState('"&amp;B117&amp;"',"&amp;V117&amp;","&amp;W117&amp;","&amp;X117&amp;","&amp;Y117&amp;","&amp;Z117&amp;","&amp;AA117&amp;","&amp;AB117&amp;","&amp;AC117&amp;","&amp;AD117&amp;","&amp;AE117&amp;")"</f>
        <v>InitUnitState('IS02',,,,,,,,,,)</v>
      </c>
      <c r="CO117" s="7" t="str">
        <f t="shared" ref="CO117:CO121" si="1859">"InitUnitNormal('"&amp;B117&amp;"',"&amp;AF117&amp;","&amp;AG117&amp;","&amp;AH117&amp;","&amp;AI117&amp;","&amp;AJ117&amp;","&amp;AK117&amp;","&amp;AL117&amp;","&amp;AM117&amp;","&amp;AN117&amp;","&amp;AO117&amp;")"</f>
        <v>InitUnitNormal('IS02',,,,,,,,,,)</v>
      </c>
      <c r="CP117" s="7" t="str">
        <f t="shared" ref="CP117:CP121" si="1860">"InitUnitMagic('"&amp;B117&amp;"',"&amp;AP117&amp;","&amp;AQ117&amp;","&amp;AR117&amp;","&amp;AS117&amp;","&amp;AT117&amp;","&amp;AU117&amp;","&amp;AV117&amp;","&amp;AW117&amp;","&amp;BI117&amp;","&amp;BJ117&amp;")"</f>
        <v>InitUnitMagic('IS02',,,,,,,,,,)</v>
      </c>
      <c r="CQ117" s="7" t="str">
        <f t="shared" ref="CQ117:CQ121" si="1861">"InitUnitAdd('"&amp;B117&amp;"',"&amp;BK117&amp;","&amp;BL117&amp;","&amp;BM117&amp;","&amp;BN117&amp;","&amp;BO117&amp;","&amp;BP117&amp;","&amp;BQ117&amp;","&amp;BR117&amp;","&amp;BS117&amp;","&amp;BT117&amp;")"</f>
        <v>InitUnitAdd('IS02',,,,,,,,,,)</v>
      </c>
      <c r="CR117" s="7" t="str">
        <f t="shared" ref="CR117:CR118" si="1862"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118&amp;CR$1&amp;")"</f>
        <v>InitEquipData('IS02',,"",,,,,'','','','','','',"ReplaceableTextures\\CommandButtons\\BTNTome.blp")</v>
      </c>
      <c r="CU117" s="45" t="str">
        <f t="shared" ref="CU117:CU121" si="1863">CONCATENATE(DB117,DC117,DD117,DE117,DF117,DG117,DH117,DI117,DJ117,DK117,DL117,DM117,DN117,DO117,DP117,DQ117,DR117,DS117,DT117,DU117,DV117,DW117,DX117,DY117,DZ117,EA117,EB117,EC117,ED117,EE117,EF117,EG117,EH117,EI117,EJ117,EK117,EL117,EM117,EN117,EO117,EP117&amp;"|n")</f>
        <v>|n</v>
      </c>
      <c r="CV117" s="29" t="str">
        <f t="shared" ref="CV117:CV121" si="1864">T117</f>
        <v>抽技能B</v>
      </c>
      <c r="CW117" s="24"/>
      <c r="CX117" s="24"/>
      <c r="CY117" s="24"/>
      <c r="CZ117" s="24"/>
      <c r="DA117" s="24"/>
      <c r="DB117" s="30" t="str">
        <f t="shared" ref="DB117:DB121" si="1865">IF(V117="","","|n"&amp;DB$2&amp;"+"&amp;V117&amp;DB$1)</f>
        <v/>
      </c>
      <c r="DC117" s="30" t="str">
        <f t="shared" ref="DC117:DC121" si="1866">IF(W117="","","|n"&amp;DC$2&amp;"+"&amp;W117&amp;DC$1)</f>
        <v/>
      </c>
      <c r="DD117" s="30" t="str">
        <f t="shared" ref="DD117:DD121" si="1867">IF(X117="","","|n"&amp;DD$2&amp;"+"&amp;X117&amp;DD$1)</f>
        <v/>
      </c>
      <c r="DE117" s="30" t="str">
        <f t="shared" ref="DE117:DE121" si="1868">IF(Y117="","","|n"&amp;DE$2&amp;"+"&amp;Y117&amp;DE$1)</f>
        <v/>
      </c>
      <c r="DF117" s="30" t="str">
        <f t="shared" ref="DF117:DF121" si="1869">IF(Z117="","","|n"&amp;DF$2&amp;"+"&amp;Z117&amp;DF$1)</f>
        <v/>
      </c>
      <c r="DG117" s="30" t="str">
        <f t="shared" ref="DG117:DG121" si="1870">IF(AA117="","","|n"&amp;DG$2&amp;"+"&amp;AA117&amp;DG$1)</f>
        <v/>
      </c>
      <c r="DH117" s="30" t="str">
        <f t="shared" ref="DH117:DH121" si="1871">IF(AB117="","","|n"&amp;DH$2&amp;"+"&amp;AB117&amp;DH$1)</f>
        <v/>
      </c>
      <c r="DI117" s="30" t="str">
        <f t="shared" ref="DI117:DI121" si="1872">IF(AC117="","","|n"&amp;DI$2&amp;"+"&amp;AC117&amp;DI$1)</f>
        <v/>
      </c>
      <c r="DJ117" s="30" t="str">
        <f t="shared" ref="DJ117:DJ121" si="1873">IF(AD117="","","|n"&amp;DJ$2&amp;"+"&amp;AD117&amp;DJ$1)</f>
        <v/>
      </c>
      <c r="DK117" s="30" t="str">
        <f t="shared" ref="DK117:DK121" si="1874">IF(AE117="","","|n"&amp;DK$2&amp;"+"&amp;AE117&amp;DK$1)</f>
        <v/>
      </c>
      <c r="DL117" s="30" t="str">
        <f t="shared" ref="DL117:DL121" si="1875">IF(AF117="","","|n"&amp;DL$2&amp;"+"&amp;AF117&amp;DL$1)</f>
        <v/>
      </c>
      <c r="DM117" s="30" t="str">
        <f t="shared" ref="DM117:DM121" si="1876">IF(AG117="","","|n"&amp;DM$2&amp;"+"&amp;AG117&amp;DM$1)</f>
        <v/>
      </c>
      <c r="DN117" s="30" t="str">
        <f t="shared" ref="DN117:DN121" si="1877">IF(AH117="","","|n"&amp;DN$2&amp;"+"&amp;AH117&amp;DN$1)</f>
        <v/>
      </c>
      <c r="DO117" s="30" t="str">
        <f t="shared" ref="DO117:DO121" si="1878">IF(AI117="","","|n"&amp;DO$2&amp;"+"&amp;AI117&amp;DO$1)</f>
        <v/>
      </c>
      <c r="DP117" s="30" t="str">
        <f t="shared" ref="DP117:DP121" si="1879">IF(AJ117="","","|n"&amp;DP$2&amp;"+"&amp;AJ117&amp;DP$1)</f>
        <v/>
      </c>
      <c r="DQ117" s="30" t="str">
        <f t="shared" ref="DQ117:DQ121" si="1880">IF(AK117="","","|n"&amp;DQ$2&amp;"+"&amp;AK117&amp;DQ$1)</f>
        <v/>
      </c>
      <c r="DR117" s="30" t="str">
        <f t="shared" ref="DR117:DR121" si="1881">IF(AL117="","","|n"&amp;DR$2&amp;"+"&amp;AL117&amp;DR$1)</f>
        <v/>
      </c>
      <c r="DS117" s="30" t="str">
        <f t="shared" ref="DS117:DS121" si="1882">IF(AM117="","","|n"&amp;DS$2&amp;"+"&amp;AM117&amp;DS$1)</f>
        <v/>
      </c>
      <c r="DT117" s="30" t="str">
        <f t="shared" ref="DT117:DT121" si="1883">IF(AN117="","","|n"&amp;DT$2&amp;"+"&amp;AN117&amp;DT$1)</f>
        <v/>
      </c>
      <c r="DU117" s="30" t="str">
        <f t="shared" ref="DU117:DU121" si="1884">IF(AO117="","","|n"&amp;DU$2&amp;"+"&amp;AO117&amp;DU$1)</f>
        <v/>
      </c>
      <c r="DV117" s="30" t="str">
        <f t="shared" ref="DV117:DV121" si="1885">IF(AP117="","","|n"&amp;DV$2&amp;"+"&amp;AP117&amp;DV$1)</f>
        <v/>
      </c>
      <c r="DW117" s="30" t="str">
        <f t="shared" ref="DW117:DW121" si="1886">IF(AQ117="","","|n"&amp;DW$2&amp;"+"&amp;AQ117&amp;DW$1)</f>
        <v/>
      </c>
      <c r="DX117" s="30" t="str">
        <f t="shared" ref="DX117:DX121" si="1887">IF(AR117="","","|n"&amp;DX$2&amp;"+"&amp;AR117&amp;DX$1)</f>
        <v/>
      </c>
      <c r="DY117" s="30" t="str">
        <f t="shared" ref="DY117:DY121" si="1888">IF(AS117="","","|n"&amp;DY$2&amp;"+"&amp;AS117&amp;DY$1)</f>
        <v/>
      </c>
      <c r="DZ117" s="30" t="str">
        <f t="shared" ref="DZ117:DZ121" si="1889">IF(AT117="","","|n"&amp;DZ$2&amp;"+"&amp;AT117&amp;DZ$1)</f>
        <v/>
      </c>
      <c r="EA117" s="30" t="str">
        <f t="shared" ref="EA117:EA121" si="1890">IF(AU117="","","|n"&amp;EA$2&amp;"+"&amp;AU117&amp;EA$1)</f>
        <v/>
      </c>
      <c r="EB117" s="30" t="str">
        <f t="shared" ref="EB117:EB121" si="1891">IF(AV117="","","|n"&amp;EB$2&amp;"+"&amp;AV117&amp;EB$1)</f>
        <v/>
      </c>
      <c r="EC117" s="30" t="str">
        <f t="shared" ref="EC117:EC121" si="1892">IF(AW117="","","|n"&amp;EC$2&amp;"+"&amp;AW117&amp;EC$1)</f>
        <v/>
      </c>
      <c r="ED117" s="30" t="str">
        <f t="shared" ref="ED117:ED121" si="1893">IF(AX117="","","|n"&amp;ED$2&amp;"+"&amp;AX117&amp;ED$1)</f>
        <v/>
      </c>
      <c r="EE117" s="30" t="str">
        <f t="shared" ref="EE117:EE121" si="1894">IF(AY117="","","|n"&amp;EE$2&amp;"+"&amp;AY117&amp;EE$1)</f>
        <v/>
      </c>
      <c r="EF117" s="30" t="str">
        <f t="shared" ref="EF117:EF121" si="1895">IF(AZ117="","","|n"&amp;EF$2&amp;"+"&amp;AZ117&amp;EF$1)</f>
        <v/>
      </c>
      <c r="EG117" s="30" t="str">
        <f t="shared" ref="EG117:EG121" si="1896">IF(BA117="","","|n"&amp;EG$2&amp;"+"&amp;BA117&amp;EG$1)</f>
        <v/>
      </c>
      <c r="EH117" s="30" t="str">
        <f t="shared" ref="EH117:EH121" si="1897">IF(BB117="","","|n"&amp;EH$2&amp;"+"&amp;BB117&amp;EH$1)</f>
        <v/>
      </c>
      <c r="EI117" s="30" t="str">
        <f t="shared" ref="EI117:EI121" si="1898">IF(BC117="","","|n"&amp;EI$2&amp;"+"&amp;BC117&amp;EI$1)</f>
        <v/>
      </c>
      <c r="EJ117" s="30" t="str">
        <f t="shared" ref="EJ117:EJ121" si="1899">IF(BD117="","","|n"&amp;EJ$2&amp;"+"&amp;BD117&amp;EJ$1)</f>
        <v/>
      </c>
      <c r="EK117" s="30" t="str">
        <f t="shared" ref="EK117:EK121" si="1900">IF(BE117="","","|n"&amp;EK$2&amp;"+"&amp;BE117&amp;EK$1)</f>
        <v/>
      </c>
      <c r="EL117" s="30" t="str">
        <f t="shared" ref="EL117:EL121" si="1901">IF(BF117="","","|n"&amp;EL$2&amp;"+"&amp;BF117&amp;EL$1)</f>
        <v/>
      </c>
      <c r="EM117" s="30" t="str">
        <f t="shared" ref="EM117:EM121" si="1902">IF(BG117="","","|n"&amp;EM$2&amp;"+"&amp;BG117&amp;EM$1)</f>
        <v/>
      </c>
      <c r="EN117" s="30" t="str">
        <f t="shared" ref="EN117:EN121" si="1903">IF(BH117="","","|n"&amp;EN$2&amp;"+"&amp;BH117&amp;EN$1)</f>
        <v/>
      </c>
      <c r="EO117" s="30" t="str">
        <f t="shared" ref="EO117:EO121" si="1904">IF(BI117="","","|n"&amp;EO$2&amp;"+"&amp;BI117&amp;EO$1)</f>
        <v/>
      </c>
      <c r="EP117" s="30" t="str">
        <f t="shared" ref="EP117:EP121" si="1905">IF(BJ117="","","|n"&amp;EP$2&amp;"+"&amp;BJ117&amp;EP$1)</f>
        <v/>
      </c>
      <c r="EQ117" s="30" t="str">
        <f t="shared" ref="EQ117:EQ121" si="1906">IF(BK117="","","|n"&amp;EQ$2&amp;"+"&amp;BK117&amp;EQ$1)</f>
        <v/>
      </c>
      <c r="ER117" s="30" t="str">
        <f t="shared" ref="ER117:ER121" si="1907">IF(BL117="","","|n"&amp;ER$2&amp;"+"&amp;BL117&amp;ER$1)</f>
        <v/>
      </c>
      <c r="ES117" s="30" t="str">
        <f t="shared" ref="ES117:ES121" si="1908">IF(BM117="","","|n"&amp;ES$2&amp;"+"&amp;BM117&amp;ES$1)</f>
        <v/>
      </c>
      <c r="ET117" s="30" t="str">
        <f t="shared" ref="ET117:ET121" si="1909">IF(BN117="","","|n"&amp;ET$2&amp;"+"&amp;BN117&amp;ET$1)</f>
        <v/>
      </c>
      <c r="EU117" s="30" t="str">
        <f t="shared" ref="EU117:EU121" si="1910">IF(BO117="","","|n"&amp;EU$2&amp;"+"&amp;BO117&amp;EU$1)</f>
        <v/>
      </c>
      <c r="EV117" s="30" t="str">
        <f t="shared" ref="EV117:EV121" si="1911">IF(BP117="","","|n"&amp;EV$2&amp;"+"&amp;BP117&amp;EV$1)</f>
        <v/>
      </c>
      <c r="EW117" s="30" t="str">
        <f t="shared" ref="EW117:EW121" si="1912">IF(BQ117="","","|n"&amp;EW$2&amp;"+"&amp;BQ117&amp;EW$1)</f>
        <v/>
      </c>
      <c r="EX117" s="30" t="str">
        <f t="shared" ref="EX117:EX121" si="1913">IF(BR117="","","|n"&amp;EX$2&amp;"+"&amp;BR117&amp;EX$1)</f>
        <v/>
      </c>
      <c r="EY117" s="30" t="str">
        <f t="shared" ref="EY117:EY121" si="1914">IF(BS117="","","|n"&amp;EY$2&amp;"+"&amp;BS117&amp;EY$1)</f>
        <v/>
      </c>
      <c r="EZ117" s="30" t="str">
        <f t="shared" ref="EZ117:EZ121" si="1915">IF(BT117="","","|n"&amp;EZ$2&amp;"+"&amp;BT117&amp;EZ$1)</f>
        <v/>
      </c>
      <c r="FA117" s="30" t="str">
        <f t="shared" ref="FA117:FA121" si="1916">IF(BU117="","","|n"&amp;FA$2&amp;"+"&amp;BU117&amp;FA$1)</f>
        <v/>
      </c>
      <c r="FB117" s="30" t="str">
        <f t="shared" ref="FB117:FB121" si="1917">IF(BV117="","","|n"&amp;FB$2&amp;"+"&amp;BV117&amp;FB$1)</f>
        <v/>
      </c>
      <c r="FC117" s="30" t="str">
        <f t="shared" ref="FC117:FC121" si="1918">IF(BW117="","","|n"&amp;FC$2&amp;"+"&amp;BW117&amp;FC$1)</f>
        <v/>
      </c>
      <c r="FD117" s="30" t="str">
        <f t="shared" ref="FD117:FD121" si="1919">IF(BX117="","","|n"&amp;FD$2&amp;"+"&amp;BX117&amp;FD$1)</f>
        <v/>
      </c>
      <c r="FE117" s="30" t="str">
        <f t="shared" ref="FE117:FE121" si="1920">IF(BY117="","","|n"&amp;FE$2&amp;"+"&amp;BY117&amp;FE$1)</f>
        <v/>
      </c>
      <c r="FF117" s="30" t="str">
        <f t="shared" ref="FF117:FF121" si="1921">IF(BZ117="","","|n"&amp;FF$2&amp;"+"&amp;BZ117&amp;FF$1)</f>
        <v/>
      </c>
      <c r="FG117" s="30" t="str">
        <f t="shared" ref="FG117:FG121" si="1922">IF(CA117="","","|n"&amp;FG$2&amp;"+"&amp;CA117&amp;FG$1)</f>
        <v/>
      </c>
      <c r="FH117" s="30" t="str">
        <f t="shared" ref="FH117:FH121" si="1923">IF(CB117="","","|n"&amp;FH$2&amp;"+"&amp;CB117&amp;FH$1)</f>
        <v/>
      </c>
      <c r="FI117" s="30" t="str">
        <f t="shared" ref="FI117:FI121" si="1924">IF(CC117="","","|n"&amp;FI$2&amp;"+"&amp;CC117&amp;FI$1)</f>
        <v/>
      </c>
      <c r="FJ117" s="30" t="str">
        <f t="shared" ref="FJ117:FJ121" si="1925">IF(CD117="","","|n"&amp;FJ$2&amp;"+"&amp;CD117&amp;FJ$1)</f>
        <v/>
      </c>
      <c r="FK117" s="30" t="str">
        <f t="shared" ref="FK117:FK121" si="1926">IF(CE117="","","|n"&amp;FK$2&amp;"+"&amp;CE117&amp;FK$1)</f>
        <v/>
      </c>
      <c r="FL117" s="30" t="str">
        <f t="shared" ref="FL117:FL121" si="1927">IF(CF117="","","|n"&amp;FL$2&amp;"+"&amp;CF117&amp;FL$1)</f>
        <v/>
      </c>
      <c r="FM117" s="30" t="str">
        <f t="shared" ref="FM117:FM121" si="1928">IF(CG117="","","|n"&amp;FM$2&amp;"+"&amp;CG117&amp;FM$1)</f>
        <v/>
      </c>
      <c r="FN117" s="30" t="str">
        <f t="shared" ref="FN117:FN121" si="1929">IF(CH117="","","|n"&amp;FN$2&amp;"+"&amp;CH117&amp;FN$1)</f>
        <v/>
      </c>
      <c r="FO117" s="30" t="str">
        <f t="shared" ref="FO117:FO121" si="1930">IF(CI117="","","|n"&amp;FO$2&amp;"+"&amp;CI117&amp;FO$1)</f>
        <v/>
      </c>
      <c r="FP117" s="30" t="str">
        <f t="shared" ref="FP117:FP121" si="1931">IF(CJ117="","","|n"&amp;FP$2&amp;"+"&amp;CJ117&amp;FP$1)</f>
        <v/>
      </c>
      <c r="FQ117" s="30" t="str">
        <f t="shared" ref="FQ117:FQ121" si="1932">IF(CK117="","","|n"&amp;FQ$2&amp;"+"&amp;CK117&amp;FQ$1)</f>
        <v/>
      </c>
      <c r="FR117" s="30" t="str">
        <f t="shared" ref="FR117:FR121" si="1933">IF(CL117="","","|n"&amp;FR$2&amp;"+"&amp;CL117&amp;FR$1)</f>
        <v/>
      </c>
      <c r="FS117" s="30" t="str">
        <f t="shared" ref="FS117:FS121" si="1934">IF(CM117="","","|n"&amp;FS$2&amp;"+"&amp;CM117&amp;FS$1)</f>
        <v/>
      </c>
    </row>
    <row r="118" spans="1:175" ht="16.5">
      <c r="A118" s="117"/>
      <c r="B118" s="111" t="s">
        <v>885</v>
      </c>
      <c r="C118" s="117" t="s">
        <v>889</v>
      </c>
      <c r="T118" s="117" t="s">
        <v>889</v>
      </c>
      <c r="U118" s="37" t="s">
        <v>822</v>
      </c>
      <c r="CN118" s="7" t="str">
        <f t="shared" si="1858"/>
        <v>InitUnitState('IS03',,,,,,,,,,)</v>
      </c>
      <c r="CO118" s="7" t="str">
        <f t="shared" si="1859"/>
        <v>InitUnitNormal('IS03',,,,,,,,,,)</v>
      </c>
      <c r="CP118" s="7" t="str">
        <f t="shared" si="1860"/>
        <v>InitUnitMagic('IS03',,,,,,,,,,)</v>
      </c>
      <c r="CQ118" s="7" t="str">
        <f t="shared" si="1861"/>
        <v>InitUnitAdd('IS03',,,,,,,,,,)</v>
      </c>
      <c r="CR118" s="7" t="str">
        <f t="shared" si="1862"/>
        <v>InitEquipData('IS03',,"",,,,,'','','','','','',"ReplaceableTextures\\CommandButtons\\BTNTome.blp")</v>
      </c>
      <c r="CU118" s="45" t="str">
        <f t="shared" si="1863"/>
        <v>|n</v>
      </c>
      <c r="CV118" s="29" t="str">
        <f t="shared" si="1864"/>
        <v>抽技能A</v>
      </c>
      <c r="CW118" s="24"/>
      <c r="CX118" s="24"/>
      <c r="CY118" s="24"/>
      <c r="CZ118" s="24"/>
      <c r="DA118" s="24"/>
      <c r="DB118" s="30" t="str">
        <f t="shared" si="1865"/>
        <v/>
      </c>
      <c r="DC118" s="30" t="str">
        <f t="shared" si="1866"/>
        <v/>
      </c>
      <c r="DD118" s="30" t="str">
        <f t="shared" si="1867"/>
        <v/>
      </c>
      <c r="DE118" s="30" t="str">
        <f t="shared" si="1868"/>
        <v/>
      </c>
      <c r="DF118" s="30" t="str">
        <f t="shared" si="1869"/>
        <v/>
      </c>
      <c r="DG118" s="30" t="str">
        <f t="shared" si="1870"/>
        <v/>
      </c>
      <c r="DH118" s="30" t="str">
        <f t="shared" si="1871"/>
        <v/>
      </c>
      <c r="DI118" s="30" t="str">
        <f t="shared" si="1872"/>
        <v/>
      </c>
      <c r="DJ118" s="30" t="str">
        <f t="shared" si="1873"/>
        <v/>
      </c>
      <c r="DK118" s="30" t="str">
        <f t="shared" si="1874"/>
        <v/>
      </c>
      <c r="DL118" s="30" t="str">
        <f t="shared" si="1875"/>
        <v/>
      </c>
      <c r="DM118" s="30" t="str">
        <f t="shared" si="1876"/>
        <v/>
      </c>
      <c r="DN118" s="30" t="str">
        <f t="shared" si="1877"/>
        <v/>
      </c>
      <c r="DO118" s="30" t="str">
        <f t="shared" si="1878"/>
        <v/>
      </c>
      <c r="DP118" s="30" t="str">
        <f t="shared" si="1879"/>
        <v/>
      </c>
      <c r="DQ118" s="30" t="str">
        <f t="shared" si="1880"/>
        <v/>
      </c>
      <c r="DR118" s="30" t="str">
        <f t="shared" si="1881"/>
        <v/>
      </c>
      <c r="DS118" s="30" t="str">
        <f t="shared" si="1882"/>
        <v/>
      </c>
      <c r="DT118" s="30" t="str">
        <f t="shared" si="1883"/>
        <v/>
      </c>
      <c r="DU118" s="30" t="str">
        <f t="shared" si="1884"/>
        <v/>
      </c>
      <c r="DV118" s="30" t="str">
        <f t="shared" si="1885"/>
        <v/>
      </c>
      <c r="DW118" s="30" t="str">
        <f t="shared" si="1886"/>
        <v/>
      </c>
      <c r="DX118" s="30" t="str">
        <f t="shared" si="1887"/>
        <v/>
      </c>
      <c r="DY118" s="30" t="str">
        <f t="shared" si="1888"/>
        <v/>
      </c>
      <c r="DZ118" s="30" t="str">
        <f t="shared" si="1889"/>
        <v/>
      </c>
      <c r="EA118" s="30" t="str">
        <f t="shared" si="1890"/>
        <v/>
      </c>
      <c r="EB118" s="30" t="str">
        <f t="shared" si="1891"/>
        <v/>
      </c>
      <c r="EC118" s="30" t="str">
        <f t="shared" si="1892"/>
        <v/>
      </c>
      <c r="ED118" s="30" t="str">
        <f t="shared" si="1893"/>
        <v/>
      </c>
      <c r="EE118" s="30" t="str">
        <f t="shared" si="1894"/>
        <v/>
      </c>
      <c r="EF118" s="30" t="str">
        <f t="shared" si="1895"/>
        <v/>
      </c>
      <c r="EG118" s="30" t="str">
        <f t="shared" si="1896"/>
        <v/>
      </c>
      <c r="EH118" s="30" t="str">
        <f t="shared" si="1897"/>
        <v/>
      </c>
      <c r="EI118" s="30" t="str">
        <f t="shared" si="1898"/>
        <v/>
      </c>
      <c r="EJ118" s="30" t="str">
        <f t="shared" si="1899"/>
        <v/>
      </c>
      <c r="EK118" s="30" t="str">
        <f t="shared" si="1900"/>
        <v/>
      </c>
      <c r="EL118" s="30" t="str">
        <f t="shared" si="1901"/>
        <v/>
      </c>
      <c r="EM118" s="30" t="str">
        <f t="shared" si="1902"/>
        <v/>
      </c>
      <c r="EN118" s="30" t="str">
        <f t="shared" si="1903"/>
        <v/>
      </c>
      <c r="EO118" s="30" t="str">
        <f t="shared" si="1904"/>
        <v/>
      </c>
      <c r="EP118" s="30" t="str">
        <f t="shared" si="1905"/>
        <v/>
      </c>
      <c r="EQ118" s="30" t="str">
        <f t="shared" si="1906"/>
        <v/>
      </c>
      <c r="ER118" s="30" t="str">
        <f t="shared" si="1907"/>
        <v/>
      </c>
      <c r="ES118" s="30" t="str">
        <f t="shared" si="1908"/>
        <v/>
      </c>
      <c r="ET118" s="30" t="str">
        <f t="shared" si="1909"/>
        <v/>
      </c>
      <c r="EU118" s="30" t="str">
        <f t="shared" si="1910"/>
        <v/>
      </c>
      <c r="EV118" s="30" t="str">
        <f t="shared" si="1911"/>
        <v/>
      </c>
      <c r="EW118" s="30" t="str">
        <f t="shared" si="1912"/>
        <v/>
      </c>
      <c r="EX118" s="30" t="str">
        <f t="shared" si="1913"/>
        <v/>
      </c>
      <c r="EY118" s="30" t="str">
        <f t="shared" si="1914"/>
        <v/>
      </c>
      <c r="EZ118" s="30" t="str">
        <f t="shared" si="1915"/>
        <v/>
      </c>
      <c r="FA118" s="30" t="str">
        <f t="shared" si="1916"/>
        <v/>
      </c>
      <c r="FB118" s="30" t="str">
        <f t="shared" si="1917"/>
        <v/>
      </c>
      <c r="FC118" s="30" t="str">
        <f t="shared" si="1918"/>
        <v/>
      </c>
      <c r="FD118" s="30" t="str">
        <f t="shared" si="1919"/>
        <v/>
      </c>
      <c r="FE118" s="30" t="str">
        <f t="shared" si="1920"/>
        <v/>
      </c>
      <c r="FF118" s="30" t="str">
        <f t="shared" si="1921"/>
        <v/>
      </c>
      <c r="FG118" s="30" t="str">
        <f t="shared" si="1922"/>
        <v/>
      </c>
      <c r="FH118" s="30" t="str">
        <f t="shared" si="1923"/>
        <v/>
      </c>
      <c r="FI118" s="30" t="str">
        <f t="shared" si="1924"/>
        <v/>
      </c>
      <c r="FJ118" s="30" t="str">
        <f t="shared" si="1925"/>
        <v/>
      </c>
      <c r="FK118" s="30" t="str">
        <f t="shared" si="1926"/>
        <v/>
      </c>
      <c r="FL118" s="30" t="str">
        <f t="shared" si="1927"/>
        <v/>
      </c>
      <c r="FM118" s="30" t="str">
        <f t="shared" si="1928"/>
        <v/>
      </c>
      <c r="FN118" s="30" t="str">
        <f t="shared" si="1929"/>
        <v/>
      </c>
      <c r="FO118" s="30" t="str">
        <f t="shared" si="1930"/>
        <v/>
      </c>
      <c r="FP118" s="30" t="str">
        <f t="shared" si="1931"/>
        <v/>
      </c>
      <c r="FQ118" s="30" t="str">
        <f t="shared" si="1932"/>
        <v/>
      </c>
      <c r="FR118" s="30" t="str">
        <f t="shared" si="1933"/>
        <v/>
      </c>
      <c r="FS118" s="30" t="str">
        <f t="shared" si="1934"/>
        <v/>
      </c>
    </row>
    <row r="119" spans="1:175" ht="16.5">
      <c r="A119" s="117"/>
      <c r="B119" s="111" t="s">
        <v>886</v>
      </c>
      <c r="C119" s="117" t="s">
        <v>890</v>
      </c>
      <c r="T119" s="117" t="s">
        <v>890</v>
      </c>
      <c r="U119" s="37" t="s">
        <v>822</v>
      </c>
      <c r="CN119" s="7" t="str">
        <f t="shared" si="1858"/>
        <v>InitUnitState('IS04',,,,,,,,,,)</v>
      </c>
      <c r="CO119" s="7" t="str">
        <f t="shared" si="1859"/>
        <v>InitUnitNormal('IS04',,,,,,,,,,)</v>
      </c>
      <c r="CP119" s="7" t="str">
        <f t="shared" si="1860"/>
        <v>InitUnitMagic('IS04',,,,,,,,,,)</v>
      </c>
      <c r="CQ119" s="7" t="str">
        <f t="shared" si="1861"/>
        <v>InitUnitAdd('IS04',,,,,,,,,,)</v>
      </c>
      <c r="CR119" s="7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121&amp;CR$1&amp;")"</f>
        <v>InitEquipData('IS04',,"",,,,,'','','','','','',"ReplaceableTextures\\CommandButtons\\BTNTome.blp")</v>
      </c>
      <c r="CU119" s="45" t="str">
        <f t="shared" si="1863"/>
        <v>|n</v>
      </c>
      <c r="CV119" s="29" t="str">
        <f t="shared" si="1864"/>
        <v>抽技能S</v>
      </c>
      <c r="CW119" s="24"/>
      <c r="CX119" s="24"/>
      <c r="CY119" s="24"/>
      <c r="CZ119" s="24"/>
      <c r="DA119" s="24"/>
      <c r="DB119" s="30" t="str">
        <f t="shared" si="1865"/>
        <v/>
      </c>
      <c r="DC119" s="30" t="str">
        <f t="shared" si="1866"/>
        <v/>
      </c>
      <c r="DD119" s="30" t="str">
        <f t="shared" si="1867"/>
        <v/>
      </c>
      <c r="DE119" s="30" t="str">
        <f t="shared" si="1868"/>
        <v/>
      </c>
      <c r="DF119" s="30" t="str">
        <f t="shared" si="1869"/>
        <v/>
      </c>
      <c r="DG119" s="30" t="str">
        <f t="shared" si="1870"/>
        <v/>
      </c>
      <c r="DH119" s="30" t="str">
        <f t="shared" si="1871"/>
        <v/>
      </c>
      <c r="DI119" s="30" t="str">
        <f t="shared" si="1872"/>
        <v/>
      </c>
      <c r="DJ119" s="30" t="str">
        <f t="shared" si="1873"/>
        <v/>
      </c>
      <c r="DK119" s="30" t="str">
        <f t="shared" si="1874"/>
        <v/>
      </c>
      <c r="DL119" s="30" t="str">
        <f t="shared" si="1875"/>
        <v/>
      </c>
      <c r="DM119" s="30" t="str">
        <f t="shared" si="1876"/>
        <v/>
      </c>
      <c r="DN119" s="30" t="str">
        <f t="shared" si="1877"/>
        <v/>
      </c>
      <c r="DO119" s="30" t="str">
        <f t="shared" si="1878"/>
        <v/>
      </c>
      <c r="DP119" s="30" t="str">
        <f t="shared" si="1879"/>
        <v/>
      </c>
      <c r="DQ119" s="30" t="str">
        <f t="shared" si="1880"/>
        <v/>
      </c>
      <c r="DR119" s="30" t="str">
        <f t="shared" si="1881"/>
        <v/>
      </c>
      <c r="DS119" s="30" t="str">
        <f t="shared" si="1882"/>
        <v/>
      </c>
      <c r="DT119" s="30" t="str">
        <f t="shared" si="1883"/>
        <v/>
      </c>
      <c r="DU119" s="30" t="str">
        <f t="shared" si="1884"/>
        <v/>
      </c>
      <c r="DV119" s="30" t="str">
        <f t="shared" si="1885"/>
        <v/>
      </c>
      <c r="DW119" s="30" t="str">
        <f t="shared" si="1886"/>
        <v/>
      </c>
      <c r="DX119" s="30" t="str">
        <f t="shared" si="1887"/>
        <v/>
      </c>
      <c r="DY119" s="30" t="str">
        <f t="shared" si="1888"/>
        <v/>
      </c>
      <c r="DZ119" s="30" t="str">
        <f t="shared" si="1889"/>
        <v/>
      </c>
      <c r="EA119" s="30" t="str">
        <f t="shared" si="1890"/>
        <v/>
      </c>
      <c r="EB119" s="30" t="str">
        <f t="shared" si="1891"/>
        <v/>
      </c>
      <c r="EC119" s="30" t="str">
        <f t="shared" si="1892"/>
        <v/>
      </c>
      <c r="ED119" s="30" t="str">
        <f t="shared" si="1893"/>
        <v/>
      </c>
      <c r="EE119" s="30" t="str">
        <f t="shared" si="1894"/>
        <v/>
      </c>
      <c r="EF119" s="30" t="str">
        <f t="shared" si="1895"/>
        <v/>
      </c>
      <c r="EG119" s="30" t="str">
        <f t="shared" si="1896"/>
        <v/>
      </c>
      <c r="EH119" s="30" t="str">
        <f t="shared" si="1897"/>
        <v/>
      </c>
      <c r="EI119" s="30" t="str">
        <f t="shared" si="1898"/>
        <v/>
      </c>
      <c r="EJ119" s="30" t="str">
        <f t="shared" si="1899"/>
        <v/>
      </c>
      <c r="EK119" s="30" t="str">
        <f t="shared" si="1900"/>
        <v/>
      </c>
      <c r="EL119" s="30" t="str">
        <f t="shared" si="1901"/>
        <v/>
      </c>
      <c r="EM119" s="30" t="str">
        <f t="shared" si="1902"/>
        <v/>
      </c>
      <c r="EN119" s="30" t="str">
        <f t="shared" si="1903"/>
        <v/>
      </c>
      <c r="EO119" s="30" t="str">
        <f t="shared" si="1904"/>
        <v/>
      </c>
      <c r="EP119" s="30" t="str">
        <f t="shared" si="1905"/>
        <v/>
      </c>
      <c r="EQ119" s="30" t="str">
        <f t="shared" si="1906"/>
        <v/>
      </c>
      <c r="ER119" s="30" t="str">
        <f t="shared" si="1907"/>
        <v/>
      </c>
      <c r="ES119" s="30" t="str">
        <f t="shared" si="1908"/>
        <v/>
      </c>
      <c r="ET119" s="30" t="str">
        <f t="shared" si="1909"/>
        <v/>
      </c>
      <c r="EU119" s="30" t="str">
        <f t="shared" si="1910"/>
        <v/>
      </c>
      <c r="EV119" s="30" t="str">
        <f t="shared" si="1911"/>
        <v/>
      </c>
      <c r="EW119" s="30" t="str">
        <f t="shared" si="1912"/>
        <v/>
      </c>
      <c r="EX119" s="30" t="str">
        <f t="shared" si="1913"/>
        <v/>
      </c>
      <c r="EY119" s="30" t="str">
        <f t="shared" si="1914"/>
        <v/>
      </c>
      <c r="EZ119" s="30" t="str">
        <f t="shared" si="1915"/>
        <v/>
      </c>
      <c r="FA119" s="30" t="str">
        <f t="shared" si="1916"/>
        <v/>
      </c>
      <c r="FB119" s="30" t="str">
        <f t="shared" si="1917"/>
        <v/>
      </c>
      <c r="FC119" s="30" t="str">
        <f t="shared" si="1918"/>
        <v/>
      </c>
      <c r="FD119" s="30" t="str">
        <f t="shared" si="1919"/>
        <v/>
      </c>
      <c r="FE119" s="30" t="str">
        <f t="shared" si="1920"/>
        <v/>
      </c>
      <c r="FF119" s="30" t="str">
        <f t="shared" si="1921"/>
        <v/>
      </c>
      <c r="FG119" s="30" t="str">
        <f t="shared" si="1922"/>
        <v/>
      </c>
      <c r="FH119" s="30" t="str">
        <f t="shared" si="1923"/>
        <v/>
      </c>
      <c r="FI119" s="30" t="str">
        <f t="shared" si="1924"/>
        <v/>
      </c>
      <c r="FJ119" s="30" t="str">
        <f t="shared" si="1925"/>
        <v/>
      </c>
      <c r="FK119" s="30" t="str">
        <f t="shared" si="1926"/>
        <v/>
      </c>
      <c r="FL119" s="30" t="str">
        <f t="shared" si="1927"/>
        <v/>
      </c>
      <c r="FM119" s="30" t="str">
        <f t="shared" si="1928"/>
        <v/>
      </c>
      <c r="FN119" s="30" t="str">
        <f t="shared" si="1929"/>
        <v/>
      </c>
      <c r="FO119" s="30" t="str">
        <f t="shared" si="1930"/>
        <v/>
      </c>
      <c r="FP119" s="30" t="str">
        <f t="shared" si="1931"/>
        <v/>
      </c>
      <c r="FQ119" s="30" t="str">
        <f t="shared" si="1932"/>
        <v/>
      </c>
      <c r="FR119" s="30" t="str">
        <f t="shared" si="1933"/>
        <v/>
      </c>
      <c r="FS119" s="30" t="str">
        <f t="shared" si="1934"/>
        <v/>
      </c>
    </row>
    <row r="120" spans="1:175" ht="16.5">
      <c r="A120" s="117"/>
      <c r="B120" s="111" t="s">
        <v>940</v>
      </c>
      <c r="C120" s="117" t="s">
        <v>941</v>
      </c>
      <c r="T120" s="117" t="s">
        <v>942</v>
      </c>
      <c r="U120" s="37" t="s">
        <v>822</v>
      </c>
      <c r="CN120" s="7" t="str">
        <f t="shared" ref="CN120" si="1935">"InitUnitState('"&amp;B120&amp;"',"&amp;V120&amp;","&amp;W120&amp;","&amp;X120&amp;","&amp;Y120&amp;","&amp;Z120&amp;","&amp;AA120&amp;","&amp;AB120&amp;","&amp;AC120&amp;","&amp;AD120&amp;","&amp;AE120&amp;")"</f>
        <v>InitUnitState('IS11',,,,,,,,,,)</v>
      </c>
      <c r="CO120" s="7" t="str">
        <f t="shared" ref="CO120" si="1936">"InitUnitNormal('"&amp;B120&amp;"',"&amp;AF120&amp;","&amp;AG120&amp;","&amp;AH120&amp;","&amp;AI120&amp;","&amp;AJ120&amp;","&amp;AK120&amp;","&amp;AL120&amp;","&amp;AM120&amp;","&amp;AN120&amp;","&amp;AO120&amp;")"</f>
        <v>InitUnitNormal('IS11',,,,,,,,,,)</v>
      </c>
      <c r="CP120" s="7" t="str">
        <f t="shared" ref="CP120" si="1937">"InitUnitMagic('"&amp;B120&amp;"',"&amp;AP120&amp;","&amp;AQ120&amp;","&amp;AR120&amp;","&amp;AS120&amp;","&amp;AT120&amp;","&amp;AU120&amp;","&amp;AV120&amp;","&amp;AW120&amp;","&amp;BI120&amp;","&amp;BJ120&amp;")"</f>
        <v>InitUnitMagic('IS11',,,,,,,,,,)</v>
      </c>
      <c r="CQ120" s="7" t="str">
        <f t="shared" ref="CQ120" si="1938">"InitUnitAdd('"&amp;B120&amp;"',"&amp;BK120&amp;","&amp;BL120&amp;","&amp;BM120&amp;","&amp;BN120&amp;","&amp;BO120&amp;","&amp;BP120&amp;","&amp;BQ120&amp;","&amp;BR120&amp;","&amp;BS120&amp;","&amp;BT120&amp;")"</f>
        <v>InitUnitAdd('IS11',,,,,,,,,,)</v>
      </c>
      <c r="CR120" s="7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122&amp;CR$1&amp;")"</f>
        <v>InitEquipData('IS11',,"",,,,,'','','','','','',"ReplaceableTextures\\CommandButtons\\BTNTome.blp")</v>
      </c>
      <c r="CU120" s="45" t="str">
        <f t="shared" ref="CU120" si="1939">CONCATENATE(DB120,DC120,DD120,DE120,DF120,DG120,DH120,DI120,DJ120,DK120,DL120,DM120,DN120,DO120,DP120,DQ120,DR120,DS120,DT120,DU120,DV120,DW120,DX120,DY120,DZ120,EA120,EB120,EC120,ED120,EE120,EF120,EG120,EH120,EI120,EJ120,EK120,EL120,EM120,EN120,EO120,EP120&amp;"|n")</f>
        <v>|n</v>
      </c>
      <c r="CV120" s="29" t="str">
        <f t="shared" ref="CV120" si="1940">T120</f>
        <v>每次占星触发以下随机事件：\n\n山精怪潮：击杀获得一定量金币；每个存活20秒\nBoss1：击杀掉落聚宝盆；限时20秒\nBoss2：造成伤害到一定量级掉落金币。限时20秒\nBoss3：获得击杀时间和境界相关的金币。保底40%\nBoss4：击杀获得随机量金币。</v>
      </c>
      <c r="CW120" s="24"/>
      <c r="CX120" s="24"/>
      <c r="CY120" s="24"/>
      <c r="CZ120" s="24"/>
      <c r="DA120" s="24"/>
      <c r="DB120" s="30" t="str">
        <f t="shared" ref="DB120" si="1941">IF(V120="","","|n"&amp;DB$2&amp;"+"&amp;V120&amp;DB$1)</f>
        <v/>
      </c>
      <c r="DC120" s="30" t="str">
        <f t="shared" ref="DC120" si="1942">IF(W120="","","|n"&amp;DC$2&amp;"+"&amp;W120&amp;DC$1)</f>
        <v/>
      </c>
      <c r="DD120" s="30" t="str">
        <f t="shared" ref="DD120" si="1943">IF(X120="","","|n"&amp;DD$2&amp;"+"&amp;X120&amp;DD$1)</f>
        <v/>
      </c>
      <c r="DE120" s="30" t="str">
        <f t="shared" ref="DE120" si="1944">IF(Y120="","","|n"&amp;DE$2&amp;"+"&amp;Y120&amp;DE$1)</f>
        <v/>
      </c>
      <c r="DF120" s="30" t="str">
        <f t="shared" ref="DF120" si="1945">IF(Z120="","","|n"&amp;DF$2&amp;"+"&amp;Z120&amp;DF$1)</f>
        <v/>
      </c>
      <c r="DG120" s="30" t="str">
        <f t="shared" ref="DG120" si="1946">IF(AA120="","","|n"&amp;DG$2&amp;"+"&amp;AA120&amp;DG$1)</f>
        <v/>
      </c>
      <c r="DH120" s="30" t="str">
        <f t="shared" ref="DH120" si="1947">IF(AB120="","","|n"&amp;DH$2&amp;"+"&amp;AB120&amp;DH$1)</f>
        <v/>
      </c>
      <c r="DI120" s="30" t="str">
        <f t="shared" ref="DI120" si="1948">IF(AC120="","","|n"&amp;DI$2&amp;"+"&amp;AC120&amp;DI$1)</f>
        <v/>
      </c>
      <c r="DJ120" s="30" t="str">
        <f t="shared" ref="DJ120" si="1949">IF(AD120="","","|n"&amp;DJ$2&amp;"+"&amp;AD120&amp;DJ$1)</f>
        <v/>
      </c>
      <c r="DK120" s="30" t="str">
        <f t="shared" ref="DK120" si="1950">IF(AE120="","","|n"&amp;DK$2&amp;"+"&amp;AE120&amp;DK$1)</f>
        <v/>
      </c>
      <c r="DL120" s="30" t="str">
        <f t="shared" ref="DL120" si="1951">IF(AF120="","","|n"&amp;DL$2&amp;"+"&amp;AF120&amp;DL$1)</f>
        <v/>
      </c>
      <c r="DM120" s="30" t="str">
        <f t="shared" ref="DM120" si="1952">IF(AG120="","","|n"&amp;DM$2&amp;"+"&amp;AG120&amp;DM$1)</f>
        <v/>
      </c>
      <c r="DN120" s="30" t="str">
        <f t="shared" ref="DN120" si="1953">IF(AH120="","","|n"&amp;DN$2&amp;"+"&amp;AH120&amp;DN$1)</f>
        <v/>
      </c>
      <c r="DO120" s="30" t="str">
        <f t="shared" ref="DO120" si="1954">IF(AI120="","","|n"&amp;DO$2&amp;"+"&amp;AI120&amp;DO$1)</f>
        <v/>
      </c>
      <c r="DP120" s="30" t="str">
        <f t="shared" ref="DP120" si="1955">IF(AJ120="","","|n"&amp;DP$2&amp;"+"&amp;AJ120&amp;DP$1)</f>
        <v/>
      </c>
      <c r="DQ120" s="30" t="str">
        <f t="shared" ref="DQ120" si="1956">IF(AK120="","","|n"&amp;DQ$2&amp;"+"&amp;AK120&amp;DQ$1)</f>
        <v/>
      </c>
      <c r="DR120" s="30" t="str">
        <f t="shared" ref="DR120" si="1957">IF(AL120="","","|n"&amp;DR$2&amp;"+"&amp;AL120&amp;DR$1)</f>
        <v/>
      </c>
      <c r="DS120" s="30" t="str">
        <f t="shared" ref="DS120" si="1958">IF(AM120="","","|n"&amp;DS$2&amp;"+"&amp;AM120&amp;DS$1)</f>
        <v/>
      </c>
      <c r="DT120" s="30" t="str">
        <f t="shared" ref="DT120" si="1959">IF(AN120="","","|n"&amp;DT$2&amp;"+"&amp;AN120&amp;DT$1)</f>
        <v/>
      </c>
      <c r="DU120" s="30" t="str">
        <f t="shared" ref="DU120" si="1960">IF(AO120="","","|n"&amp;DU$2&amp;"+"&amp;AO120&amp;DU$1)</f>
        <v/>
      </c>
      <c r="DV120" s="30" t="str">
        <f t="shared" ref="DV120" si="1961">IF(AP120="","","|n"&amp;DV$2&amp;"+"&amp;AP120&amp;DV$1)</f>
        <v/>
      </c>
      <c r="DW120" s="30" t="str">
        <f t="shared" ref="DW120" si="1962">IF(AQ120="","","|n"&amp;DW$2&amp;"+"&amp;AQ120&amp;DW$1)</f>
        <v/>
      </c>
      <c r="DX120" s="30" t="str">
        <f t="shared" ref="DX120" si="1963">IF(AR120="","","|n"&amp;DX$2&amp;"+"&amp;AR120&amp;DX$1)</f>
        <v/>
      </c>
      <c r="DY120" s="30" t="str">
        <f t="shared" ref="DY120" si="1964">IF(AS120="","","|n"&amp;DY$2&amp;"+"&amp;AS120&amp;DY$1)</f>
        <v/>
      </c>
      <c r="DZ120" s="30" t="str">
        <f t="shared" ref="DZ120" si="1965">IF(AT120="","","|n"&amp;DZ$2&amp;"+"&amp;AT120&amp;DZ$1)</f>
        <v/>
      </c>
      <c r="EA120" s="30" t="str">
        <f t="shared" ref="EA120" si="1966">IF(AU120="","","|n"&amp;EA$2&amp;"+"&amp;AU120&amp;EA$1)</f>
        <v/>
      </c>
      <c r="EB120" s="30" t="str">
        <f t="shared" ref="EB120" si="1967">IF(AV120="","","|n"&amp;EB$2&amp;"+"&amp;AV120&amp;EB$1)</f>
        <v/>
      </c>
      <c r="EC120" s="30" t="str">
        <f t="shared" ref="EC120" si="1968">IF(AW120="","","|n"&amp;EC$2&amp;"+"&amp;AW120&amp;EC$1)</f>
        <v/>
      </c>
      <c r="ED120" s="30" t="str">
        <f t="shared" ref="ED120" si="1969">IF(AX120="","","|n"&amp;ED$2&amp;"+"&amp;AX120&amp;ED$1)</f>
        <v/>
      </c>
      <c r="EE120" s="30" t="str">
        <f t="shared" ref="EE120" si="1970">IF(AY120="","","|n"&amp;EE$2&amp;"+"&amp;AY120&amp;EE$1)</f>
        <v/>
      </c>
      <c r="EF120" s="30" t="str">
        <f t="shared" ref="EF120" si="1971">IF(AZ120="","","|n"&amp;EF$2&amp;"+"&amp;AZ120&amp;EF$1)</f>
        <v/>
      </c>
      <c r="EG120" s="30" t="str">
        <f t="shared" ref="EG120" si="1972">IF(BA120="","","|n"&amp;EG$2&amp;"+"&amp;BA120&amp;EG$1)</f>
        <v/>
      </c>
      <c r="EH120" s="30" t="str">
        <f t="shared" ref="EH120" si="1973">IF(BB120="","","|n"&amp;EH$2&amp;"+"&amp;BB120&amp;EH$1)</f>
        <v/>
      </c>
      <c r="EI120" s="30" t="str">
        <f t="shared" ref="EI120" si="1974">IF(BC120="","","|n"&amp;EI$2&amp;"+"&amp;BC120&amp;EI$1)</f>
        <v/>
      </c>
      <c r="EJ120" s="30" t="str">
        <f t="shared" ref="EJ120" si="1975">IF(BD120="","","|n"&amp;EJ$2&amp;"+"&amp;BD120&amp;EJ$1)</f>
        <v/>
      </c>
      <c r="EK120" s="30" t="str">
        <f t="shared" ref="EK120" si="1976">IF(BE120="","","|n"&amp;EK$2&amp;"+"&amp;BE120&amp;EK$1)</f>
        <v/>
      </c>
      <c r="EL120" s="30" t="str">
        <f t="shared" ref="EL120" si="1977">IF(BF120="","","|n"&amp;EL$2&amp;"+"&amp;BF120&amp;EL$1)</f>
        <v/>
      </c>
      <c r="EM120" s="30" t="str">
        <f t="shared" ref="EM120" si="1978">IF(BG120="","","|n"&amp;EM$2&amp;"+"&amp;BG120&amp;EM$1)</f>
        <v/>
      </c>
      <c r="EN120" s="30" t="str">
        <f t="shared" ref="EN120" si="1979">IF(BH120="","","|n"&amp;EN$2&amp;"+"&amp;BH120&amp;EN$1)</f>
        <v/>
      </c>
      <c r="EO120" s="30" t="str">
        <f t="shared" ref="EO120" si="1980">IF(BI120="","","|n"&amp;EO$2&amp;"+"&amp;BI120&amp;EO$1)</f>
        <v/>
      </c>
      <c r="EP120" s="30" t="str">
        <f t="shared" ref="EP120" si="1981">IF(BJ120="","","|n"&amp;EP$2&amp;"+"&amp;BJ120&amp;EP$1)</f>
        <v/>
      </c>
      <c r="EQ120" s="30" t="str">
        <f t="shared" ref="EQ120" si="1982">IF(BK120="","","|n"&amp;EQ$2&amp;"+"&amp;BK120&amp;EQ$1)</f>
        <v/>
      </c>
      <c r="ER120" s="30" t="str">
        <f t="shared" ref="ER120" si="1983">IF(BL120="","","|n"&amp;ER$2&amp;"+"&amp;BL120&amp;ER$1)</f>
        <v/>
      </c>
      <c r="ES120" s="30" t="str">
        <f t="shared" ref="ES120" si="1984">IF(BM120="","","|n"&amp;ES$2&amp;"+"&amp;BM120&amp;ES$1)</f>
        <v/>
      </c>
      <c r="ET120" s="30" t="str">
        <f t="shared" ref="ET120" si="1985">IF(BN120="","","|n"&amp;ET$2&amp;"+"&amp;BN120&amp;ET$1)</f>
        <v/>
      </c>
      <c r="EU120" s="30" t="str">
        <f t="shared" ref="EU120" si="1986">IF(BO120="","","|n"&amp;EU$2&amp;"+"&amp;BO120&amp;EU$1)</f>
        <v/>
      </c>
      <c r="EV120" s="30" t="str">
        <f t="shared" ref="EV120" si="1987">IF(BP120="","","|n"&amp;EV$2&amp;"+"&amp;BP120&amp;EV$1)</f>
        <v/>
      </c>
      <c r="EW120" s="30" t="str">
        <f t="shared" ref="EW120" si="1988">IF(BQ120="","","|n"&amp;EW$2&amp;"+"&amp;BQ120&amp;EW$1)</f>
        <v/>
      </c>
      <c r="EX120" s="30" t="str">
        <f t="shared" ref="EX120" si="1989">IF(BR120="","","|n"&amp;EX$2&amp;"+"&amp;BR120&amp;EX$1)</f>
        <v/>
      </c>
      <c r="EY120" s="30" t="str">
        <f t="shared" ref="EY120" si="1990">IF(BS120="","","|n"&amp;EY$2&amp;"+"&amp;BS120&amp;EY$1)</f>
        <v/>
      </c>
      <c r="EZ120" s="30" t="str">
        <f t="shared" ref="EZ120" si="1991">IF(BT120="","","|n"&amp;EZ$2&amp;"+"&amp;BT120&amp;EZ$1)</f>
        <v/>
      </c>
      <c r="FA120" s="30" t="str">
        <f t="shared" ref="FA120" si="1992">IF(BU120="","","|n"&amp;FA$2&amp;"+"&amp;BU120&amp;FA$1)</f>
        <v/>
      </c>
      <c r="FB120" s="30" t="str">
        <f t="shared" ref="FB120" si="1993">IF(BV120="","","|n"&amp;FB$2&amp;"+"&amp;BV120&amp;FB$1)</f>
        <v/>
      </c>
      <c r="FC120" s="30" t="str">
        <f t="shared" ref="FC120" si="1994">IF(BW120="","","|n"&amp;FC$2&amp;"+"&amp;BW120&amp;FC$1)</f>
        <v/>
      </c>
      <c r="FD120" s="30" t="str">
        <f t="shared" ref="FD120" si="1995">IF(BX120="","","|n"&amp;FD$2&amp;"+"&amp;BX120&amp;FD$1)</f>
        <v/>
      </c>
      <c r="FE120" s="30" t="str">
        <f t="shared" ref="FE120" si="1996">IF(BY120="","","|n"&amp;FE$2&amp;"+"&amp;BY120&amp;FE$1)</f>
        <v/>
      </c>
      <c r="FF120" s="30" t="str">
        <f t="shared" ref="FF120" si="1997">IF(BZ120="","","|n"&amp;FF$2&amp;"+"&amp;BZ120&amp;FF$1)</f>
        <v/>
      </c>
      <c r="FG120" s="30" t="str">
        <f t="shared" ref="FG120" si="1998">IF(CA120="","","|n"&amp;FG$2&amp;"+"&amp;CA120&amp;FG$1)</f>
        <v/>
      </c>
      <c r="FH120" s="30" t="str">
        <f t="shared" ref="FH120" si="1999">IF(CB120="","","|n"&amp;FH$2&amp;"+"&amp;CB120&amp;FH$1)</f>
        <v/>
      </c>
      <c r="FI120" s="30" t="str">
        <f t="shared" ref="FI120" si="2000">IF(CC120="","","|n"&amp;FI$2&amp;"+"&amp;CC120&amp;FI$1)</f>
        <v/>
      </c>
      <c r="FJ120" s="30" t="str">
        <f t="shared" ref="FJ120" si="2001">IF(CD120="","","|n"&amp;FJ$2&amp;"+"&amp;CD120&amp;FJ$1)</f>
        <v/>
      </c>
      <c r="FK120" s="30" t="str">
        <f t="shared" ref="FK120" si="2002">IF(CE120="","","|n"&amp;FK$2&amp;"+"&amp;CE120&amp;FK$1)</f>
        <v/>
      </c>
      <c r="FL120" s="30" t="str">
        <f t="shared" ref="FL120" si="2003">IF(CF120="","","|n"&amp;FL$2&amp;"+"&amp;CF120&amp;FL$1)</f>
        <v/>
      </c>
      <c r="FM120" s="30" t="str">
        <f t="shared" ref="FM120" si="2004">IF(CG120="","","|n"&amp;FM$2&amp;"+"&amp;CG120&amp;FM$1)</f>
        <v/>
      </c>
      <c r="FN120" s="30" t="str">
        <f t="shared" ref="FN120" si="2005">IF(CH120="","","|n"&amp;FN$2&amp;"+"&amp;CH120&amp;FN$1)</f>
        <v/>
      </c>
      <c r="FO120" s="30" t="str">
        <f t="shared" ref="FO120" si="2006">IF(CI120="","","|n"&amp;FO$2&amp;"+"&amp;CI120&amp;FO$1)</f>
        <v/>
      </c>
      <c r="FP120" s="30" t="str">
        <f t="shared" ref="FP120" si="2007">IF(CJ120="","","|n"&amp;FP$2&amp;"+"&amp;CJ120&amp;FP$1)</f>
        <v/>
      </c>
      <c r="FQ120" s="30" t="str">
        <f t="shared" ref="FQ120" si="2008">IF(CK120="","","|n"&amp;FQ$2&amp;"+"&amp;CK120&amp;FQ$1)</f>
        <v/>
      </c>
      <c r="FR120" s="30" t="str">
        <f t="shared" ref="FR120" si="2009">IF(CL120="","","|n"&amp;FR$2&amp;"+"&amp;CL120&amp;FR$1)</f>
        <v/>
      </c>
      <c r="FS120" s="30" t="str">
        <f t="shared" ref="FS120" si="2010">IF(CM120="","","|n"&amp;FS$2&amp;"+"&amp;CM120&amp;FS$1)</f>
        <v/>
      </c>
    </row>
    <row r="121" spans="1:175" ht="16.5">
      <c r="A121" s="117"/>
      <c r="B121" s="111" t="s">
        <v>891</v>
      </c>
      <c r="C121" s="117" t="s">
        <v>892</v>
      </c>
      <c r="T121" s="117" t="s">
        <v>892</v>
      </c>
      <c r="U121" s="37" t="s">
        <v>822</v>
      </c>
      <c r="CN121" s="7" t="str">
        <f t="shared" si="1858"/>
        <v>InitUnitState('IH00',,,,,,,,,,)</v>
      </c>
      <c r="CO121" s="7" t="str">
        <f t="shared" si="1859"/>
        <v>InitUnitNormal('IH00',,,,,,,,,,)</v>
      </c>
      <c r="CP121" s="7" t="str">
        <f t="shared" si="1860"/>
        <v>InitUnitMagic('IH00',,,,,,,,,,)</v>
      </c>
      <c r="CQ121" s="7" t="str">
        <f t="shared" si="1861"/>
        <v>InitUnitAdd('IH00',,,,,,,,,,)</v>
      </c>
      <c r="CR121" s="7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122&amp;CR$1&amp;")"</f>
        <v>InitEquipData('IH00',,"",,,,,'','','','','','',"ReplaceableTextures\\CommandButtons\\BTNTome.blp")</v>
      </c>
      <c r="CU121" s="45" t="str">
        <f t="shared" si="1863"/>
        <v>|n</v>
      </c>
      <c r="CV121" s="29" t="str">
        <f t="shared" si="1864"/>
        <v>觉醒兽魂</v>
      </c>
      <c r="CW121" s="24"/>
      <c r="CX121" s="24"/>
      <c r="CY121" s="24"/>
      <c r="CZ121" s="24"/>
      <c r="DA121" s="24"/>
      <c r="DB121" s="30" t="str">
        <f t="shared" si="1865"/>
        <v/>
      </c>
      <c r="DC121" s="30" t="str">
        <f t="shared" si="1866"/>
        <v/>
      </c>
      <c r="DD121" s="30" t="str">
        <f t="shared" si="1867"/>
        <v/>
      </c>
      <c r="DE121" s="30" t="str">
        <f t="shared" si="1868"/>
        <v/>
      </c>
      <c r="DF121" s="30" t="str">
        <f t="shared" si="1869"/>
        <v/>
      </c>
      <c r="DG121" s="30" t="str">
        <f t="shared" si="1870"/>
        <v/>
      </c>
      <c r="DH121" s="30" t="str">
        <f t="shared" si="1871"/>
        <v/>
      </c>
      <c r="DI121" s="30" t="str">
        <f t="shared" si="1872"/>
        <v/>
      </c>
      <c r="DJ121" s="30" t="str">
        <f t="shared" si="1873"/>
        <v/>
      </c>
      <c r="DK121" s="30" t="str">
        <f t="shared" si="1874"/>
        <v/>
      </c>
      <c r="DL121" s="30" t="str">
        <f t="shared" si="1875"/>
        <v/>
      </c>
      <c r="DM121" s="30" t="str">
        <f t="shared" si="1876"/>
        <v/>
      </c>
      <c r="DN121" s="30" t="str">
        <f t="shared" si="1877"/>
        <v/>
      </c>
      <c r="DO121" s="30" t="str">
        <f t="shared" si="1878"/>
        <v/>
      </c>
      <c r="DP121" s="30" t="str">
        <f t="shared" si="1879"/>
        <v/>
      </c>
      <c r="DQ121" s="30" t="str">
        <f t="shared" si="1880"/>
        <v/>
      </c>
      <c r="DR121" s="30" t="str">
        <f t="shared" si="1881"/>
        <v/>
      </c>
      <c r="DS121" s="30" t="str">
        <f t="shared" si="1882"/>
        <v/>
      </c>
      <c r="DT121" s="30" t="str">
        <f t="shared" si="1883"/>
        <v/>
      </c>
      <c r="DU121" s="30" t="str">
        <f t="shared" si="1884"/>
        <v/>
      </c>
      <c r="DV121" s="30" t="str">
        <f t="shared" si="1885"/>
        <v/>
      </c>
      <c r="DW121" s="30" t="str">
        <f t="shared" si="1886"/>
        <v/>
      </c>
      <c r="DX121" s="30" t="str">
        <f t="shared" si="1887"/>
        <v/>
      </c>
      <c r="DY121" s="30" t="str">
        <f t="shared" si="1888"/>
        <v/>
      </c>
      <c r="DZ121" s="30" t="str">
        <f t="shared" si="1889"/>
        <v/>
      </c>
      <c r="EA121" s="30" t="str">
        <f t="shared" si="1890"/>
        <v/>
      </c>
      <c r="EB121" s="30" t="str">
        <f t="shared" si="1891"/>
        <v/>
      </c>
      <c r="EC121" s="30" t="str">
        <f t="shared" si="1892"/>
        <v/>
      </c>
      <c r="ED121" s="30" t="str">
        <f t="shared" si="1893"/>
        <v/>
      </c>
      <c r="EE121" s="30" t="str">
        <f t="shared" si="1894"/>
        <v/>
      </c>
      <c r="EF121" s="30" t="str">
        <f t="shared" si="1895"/>
        <v/>
      </c>
      <c r="EG121" s="30" t="str">
        <f t="shared" si="1896"/>
        <v/>
      </c>
      <c r="EH121" s="30" t="str">
        <f t="shared" si="1897"/>
        <v/>
      </c>
      <c r="EI121" s="30" t="str">
        <f t="shared" si="1898"/>
        <v/>
      </c>
      <c r="EJ121" s="30" t="str">
        <f t="shared" si="1899"/>
        <v/>
      </c>
      <c r="EK121" s="30" t="str">
        <f t="shared" si="1900"/>
        <v/>
      </c>
      <c r="EL121" s="30" t="str">
        <f t="shared" si="1901"/>
        <v/>
      </c>
      <c r="EM121" s="30" t="str">
        <f t="shared" si="1902"/>
        <v/>
      </c>
      <c r="EN121" s="30" t="str">
        <f t="shared" si="1903"/>
        <v/>
      </c>
      <c r="EO121" s="30" t="str">
        <f t="shared" si="1904"/>
        <v/>
      </c>
      <c r="EP121" s="30" t="str">
        <f t="shared" si="1905"/>
        <v/>
      </c>
      <c r="EQ121" s="30" t="str">
        <f t="shared" si="1906"/>
        <v/>
      </c>
      <c r="ER121" s="30" t="str">
        <f t="shared" si="1907"/>
        <v/>
      </c>
      <c r="ES121" s="30" t="str">
        <f t="shared" si="1908"/>
        <v/>
      </c>
      <c r="ET121" s="30" t="str">
        <f t="shared" si="1909"/>
        <v/>
      </c>
      <c r="EU121" s="30" t="str">
        <f t="shared" si="1910"/>
        <v/>
      </c>
      <c r="EV121" s="30" t="str">
        <f t="shared" si="1911"/>
        <v/>
      </c>
      <c r="EW121" s="30" t="str">
        <f t="shared" si="1912"/>
        <v/>
      </c>
      <c r="EX121" s="30" t="str">
        <f t="shared" si="1913"/>
        <v/>
      </c>
      <c r="EY121" s="30" t="str">
        <f t="shared" si="1914"/>
        <v/>
      </c>
      <c r="EZ121" s="30" t="str">
        <f t="shared" si="1915"/>
        <v/>
      </c>
      <c r="FA121" s="30" t="str">
        <f t="shared" si="1916"/>
        <v/>
      </c>
      <c r="FB121" s="30" t="str">
        <f t="shared" si="1917"/>
        <v/>
      </c>
      <c r="FC121" s="30" t="str">
        <f t="shared" si="1918"/>
        <v/>
      </c>
      <c r="FD121" s="30" t="str">
        <f t="shared" si="1919"/>
        <v/>
      </c>
      <c r="FE121" s="30" t="str">
        <f t="shared" si="1920"/>
        <v/>
      </c>
      <c r="FF121" s="30" t="str">
        <f t="shared" si="1921"/>
        <v/>
      </c>
      <c r="FG121" s="30" t="str">
        <f t="shared" si="1922"/>
        <v/>
      </c>
      <c r="FH121" s="30" t="str">
        <f t="shared" si="1923"/>
        <v/>
      </c>
      <c r="FI121" s="30" t="str">
        <f t="shared" si="1924"/>
        <v/>
      </c>
      <c r="FJ121" s="30" t="str">
        <f t="shared" si="1925"/>
        <v/>
      </c>
      <c r="FK121" s="30" t="str">
        <f t="shared" si="1926"/>
        <v/>
      </c>
      <c r="FL121" s="30" t="str">
        <f t="shared" si="1927"/>
        <v/>
      </c>
      <c r="FM121" s="30" t="str">
        <f t="shared" si="1928"/>
        <v/>
      </c>
      <c r="FN121" s="30" t="str">
        <f t="shared" si="1929"/>
        <v/>
      </c>
      <c r="FO121" s="30" t="str">
        <f t="shared" si="1930"/>
        <v/>
      </c>
      <c r="FP121" s="30" t="str">
        <f t="shared" si="1931"/>
        <v/>
      </c>
      <c r="FQ121" s="30" t="str">
        <f t="shared" si="1932"/>
        <v/>
      </c>
      <c r="FR121" s="30" t="str">
        <f t="shared" si="1933"/>
        <v/>
      </c>
      <c r="FS121" s="30" t="str">
        <f t="shared" si="1934"/>
        <v/>
      </c>
    </row>
    <row r="122" spans="1:175" ht="16.5">
      <c r="A122" s="117"/>
      <c r="B122" s="111" t="s">
        <v>893</v>
      </c>
      <c r="C122" s="117" t="s">
        <v>894</v>
      </c>
      <c r="T122" s="117" t="s">
        <v>892</v>
      </c>
      <c r="U122" s="37" t="s">
        <v>822</v>
      </c>
      <c r="CN122" s="7" t="str">
        <f t="shared" ref="CN122" si="2011">"InitUnitState('"&amp;B122&amp;"',"&amp;V122&amp;","&amp;W122&amp;","&amp;X122&amp;","&amp;Y122&amp;","&amp;Z122&amp;","&amp;AA122&amp;","&amp;AB122&amp;","&amp;AC122&amp;","&amp;AD122&amp;","&amp;AE122&amp;")"</f>
        <v>InitUnitState('IH01',,,,,,,,,,)</v>
      </c>
      <c r="CO122" s="7" t="str">
        <f t="shared" ref="CO122" si="2012">"InitUnitNormal('"&amp;B122&amp;"',"&amp;AF122&amp;","&amp;AG122&amp;","&amp;AH122&amp;","&amp;AI122&amp;","&amp;AJ122&amp;","&amp;AK122&amp;","&amp;AL122&amp;","&amp;AM122&amp;","&amp;AN122&amp;","&amp;AO122&amp;")"</f>
        <v>InitUnitNormal('IH01',,,,,,,,,,)</v>
      </c>
      <c r="CP122" s="7" t="str">
        <f t="shared" ref="CP122" si="2013">"InitUnitMagic('"&amp;B122&amp;"',"&amp;AP122&amp;","&amp;AQ122&amp;","&amp;AR122&amp;","&amp;AS122&amp;","&amp;AT122&amp;","&amp;AU122&amp;","&amp;AV122&amp;","&amp;AW122&amp;","&amp;BI122&amp;","&amp;BJ122&amp;")"</f>
        <v>InitUnitMagic('IH01',,,,,,,,,,)</v>
      </c>
      <c r="CQ122" s="7" t="str">
        <f t="shared" ref="CQ122" si="2014">"InitUnitAdd('"&amp;B122&amp;"',"&amp;BK122&amp;","&amp;BL122&amp;","&amp;BM122&amp;","&amp;BN122&amp;","&amp;BO122&amp;","&amp;BP122&amp;","&amp;BQ122&amp;","&amp;BR122&amp;","&amp;BS122&amp;","&amp;BT122&amp;")"</f>
        <v>InitUnitAdd('IH01',,,,,,,,,,)</v>
      </c>
      <c r="CR122" s="7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123&amp;CR$1&amp;")"</f>
        <v>InitEquipData('IH01',,"",,,,,'','','','','','',"ReplaceableTextures\\CommandButtons\\BTNTome.blp")</v>
      </c>
      <c r="CU122" s="45" t="str">
        <f t="shared" ref="CU122" si="2015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29" t="str">
        <f t="shared" ref="CV122" si="2016">T122</f>
        <v>觉醒兽魂</v>
      </c>
      <c r="CW122" s="24"/>
      <c r="CX122" s="24"/>
      <c r="CY122" s="24"/>
      <c r="CZ122" s="24"/>
      <c r="DA122" s="24"/>
      <c r="DB122" s="30" t="str">
        <f t="shared" ref="DB122" si="2017">IF(V122="","","|n"&amp;DB$2&amp;"+"&amp;V122&amp;DB$1)</f>
        <v/>
      </c>
      <c r="DC122" s="30" t="str">
        <f t="shared" ref="DC122" si="2018">IF(W122="","","|n"&amp;DC$2&amp;"+"&amp;W122&amp;DC$1)</f>
        <v/>
      </c>
      <c r="DD122" s="30" t="str">
        <f t="shared" ref="DD122" si="2019">IF(X122="","","|n"&amp;DD$2&amp;"+"&amp;X122&amp;DD$1)</f>
        <v/>
      </c>
      <c r="DE122" s="30" t="str">
        <f t="shared" ref="DE122" si="2020">IF(Y122="","","|n"&amp;DE$2&amp;"+"&amp;Y122&amp;DE$1)</f>
        <v/>
      </c>
      <c r="DF122" s="30" t="str">
        <f t="shared" ref="DF122" si="2021">IF(Z122="","","|n"&amp;DF$2&amp;"+"&amp;Z122&amp;DF$1)</f>
        <v/>
      </c>
      <c r="DG122" s="30" t="str">
        <f t="shared" ref="DG122" si="2022">IF(AA122="","","|n"&amp;DG$2&amp;"+"&amp;AA122&amp;DG$1)</f>
        <v/>
      </c>
      <c r="DH122" s="30" t="str">
        <f t="shared" ref="DH122" si="2023">IF(AB122="","","|n"&amp;DH$2&amp;"+"&amp;AB122&amp;DH$1)</f>
        <v/>
      </c>
      <c r="DI122" s="30" t="str">
        <f t="shared" ref="DI122" si="2024">IF(AC122="","","|n"&amp;DI$2&amp;"+"&amp;AC122&amp;DI$1)</f>
        <v/>
      </c>
      <c r="DJ122" s="30" t="str">
        <f t="shared" ref="DJ122" si="2025">IF(AD122="","","|n"&amp;DJ$2&amp;"+"&amp;AD122&amp;DJ$1)</f>
        <v/>
      </c>
      <c r="DK122" s="30" t="str">
        <f t="shared" ref="DK122" si="2026">IF(AE122="","","|n"&amp;DK$2&amp;"+"&amp;AE122&amp;DK$1)</f>
        <v/>
      </c>
      <c r="DL122" s="30" t="str">
        <f t="shared" ref="DL122" si="2027">IF(AF122="","","|n"&amp;DL$2&amp;"+"&amp;AF122&amp;DL$1)</f>
        <v/>
      </c>
      <c r="DM122" s="30" t="str">
        <f t="shared" ref="DM122" si="2028">IF(AG122="","","|n"&amp;DM$2&amp;"+"&amp;AG122&amp;DM$1)</f>
        <v/>
      </c>
      <c r="DN122" s="30" t="str">
        <f t="shared" ref="DN122" si="2029">IF(AH122="","","|n"&amp;DN$2&amp;"+"&amp;AH122&amp;DN$1)</f>
        <v/>
      </c>
      <c r="DO122" s="30" t="str">
        <f t="shared" ref="DO122" si="2030">IF(AI122="","","|n"&amp;DO$2&amp;"+"&amp;AI122&amp;DO$1)</f>
        <v/>
      </c>
      <c r="DP122" s="30" t="str">
        <f t="shared" ref="DP122" si="2031">IF(AJ122="","","|n"&amp;DP$2&amp;"+"&amp;AJ122&amp;DP$1)</f>
        <v/>
      </c>
      <c r="DQ122" s="30" t="str">
        <f t="shared" ref="DQ122" si="2032">IF(AK122="","","|n"&amp;DQ$2&amp;"+"&amp;AK122&amp;DQ$1)</f>
        <v/>
      </c>
      <c r="DR122" s="30" t="str">
        <f t="shared" ref="DR122" si="2033">IF(AL122="","","|n"&amp;DR$2&amp;"+"&amp;AL122&amp;DR$1)</f>
        <v/>
      </c>
      <c r="DS122" s="30" t="str">
        <f t="shared" ref="DS122" si="2034">IF(AM122="","","|n"&amp;DS$2&amp;"+"&amp;AM122&amp;DS$1)</f>
        <v/>
      </c>
      <c r="DT122" s="30" t="str">
        <f t="shared" ref="DT122" si="2035">IF(AN122="","","|n"&amp;DT$2&amp;"+"&amp;AN122&amp;DT$1)</f>
        <v/>
      </c>
      <c r="DU122" s="30" t="str">
        <f t="shared" ref="DU122" si="2036">IF(AO122="","","|n"&amp;DU$2&amp;"+"&amp;AO122&amp;DU$1)</f>
        <v/>
      </c>
      <c r="DV122" s="30" t="str">
        <f t="shared" ref="DV122" si="2037">IF(AP122="","","|n"&amp;DV$2&amp;"+"&amp;AP122&amp;DV$1)</f>
        <v/>
      </c>
      <c r="DW122" s="30" t="str">
        <f t="shared" ref="DW122" si="2038">IF(AQ122="","","|n"&amp;DW$2&amp;"+"&amp;AQ122&amp;DW$1)</f>
        <v/>
      </c>
      <c r="DX122" s="30" t="str">
        <f t="shared" ref="DX122" si="2039">IF(AR122="","","|n"&amp;DX$2&amp;"+"&amp;AR122&amp;DX$1)</f>
        <v/>
      </c>
      <c r="DY122" s="30" t="str">
        <f t="shared" ref="DY122" si="2040">IF(AS122="","","|n"&amp;DY$2&amp;"+"&amp;AS122&amp;DY$1)</f>
        <v/>
      </c>
      <c r="DZ122" s="30" t="str">
        <f t="shared" ref="DZ122" si="2041">IF(AT122="","","|n"&amp;DZ$2&amp;"+"&amp;AT122&amp;DZ$1)</f>
        <v/>
      </c>
      <c r="EA122" s="30" t="str">
        <f t="shared" ref="EA122" si="2042">IF(AU122="","","|n"&amp;EA$2&amp;"+"&amp;AU122&amp;EA$1)</f>
        <v/>
      </c>
      <c r="EB122" s="30" t="str">
        <f t="shared" ref="EB122" si="2043">IF(AV122="","","|n"&amp;EB$2&amp;"+"&amp;AV122&amp;EB$1)</f>
        <v/>
      </c>
      <c r="EC122" s="30" t="str">
        <f t="shared" ref="EC122" si="2044">IF(AW122="","","|n"&amp;EC$2&amp;"+"&amp;AW122&amp;EC$1)</f>
        <v/>
      </c>
      <c r="ED122" s="30" t="str">
        <f t="shared" ref="ED122" si="2045">IF(AX122="","","|n"&amp;ED$2&amp;"+"&amp;AX122&amp;ED$1)</f>
        <v/>
      </c>
      <c r="EE122" s="30" t="str">
        <f t="shared" ref="EE122" si="2046">IF(AY122="","","|n"&amp;EE$2&amp;"+"&amp;AY122&amp;EE$1)</f>
        <v/>
      </c>
      <c r="EF122" s="30" t="str">
        <f t="shared" ref="EF122" si="2047">IF(AZ122="","","|n"&amp;EF$2&amp;"+"&amp;AZ122&amp;EF$1)</f>
        <v/>
      </c>
      <c r="EG122" s="30" t="str">
        <f t="shared" ref="EG122" si="2048">IF(BA122="","","|n"&amp;EG$2&amp;"+"&amp;BA122&amp;EG$1)</f>
        <v/>
      </c>
      <c r="EH122" s="30" t="str">
        <f t="shared" ref="EH122" si="2049">IF(BB122="","","|n"&amp;EH$2&amp;"+"&amp;BB122&amp;EH$1)</f>
        <v/>
      </c>
      <c r="EI122" s="30" t="str">
        <f t="shared" ref="EI122" si="2050">IF(BC122="","","|n"&amp;EI$2&amp;"+"&amp;BC122&amp;EI$1)</f>
        <v/>
      </c>
      <c r="EJ122" s="30" t="str">
        <f t="shared" ref="EJ122" si="2051">IF(BD122="","","|n"&amp;EJ$2&amp;"+"&amp;BD122&amp;EJ$1)</f>
        <v/>
      </c>
      <c r="EK122" s="30" t="str">
        <f t="shared" ref="EK122" si="2052">IF(BE122="","","|n"&amp;EK$2&amp;"+"&amp;BE122&amp;EK$1)</f>
        <v/>
      </c>
      <c r="EL122" s="30" t="str">
        <f t="shared" ref="EL122" si="2053">IF(BF122="","","|n"&amp;EL$2&amp;"+"&amp;BF122&amp;EL$1)</f>
        <v/>
      </c>
      <c r="EM122" s="30" t="str">
        <f t="shared" ref="EM122" si="2054">IF(BG122="","","|n"&amp;EM$2&amp;"+"&amp;BG122&amp;EM$1)</f>
        <v/>
      </c>
      <c r="EN122" s="30" t="str">
        <f t="shared" ref="EN122" si="2055">IF(BH122="","","|n"&amp;EN$2&amp;"+"&amp;BH122&amp;EN$1)</f>
        <v/>
      </c>
      <c r="EO122" s="30" t="str">
        <f t="shared" ref="EO122" si="2056">IF(BI122="","","|n"&amp;EO$2&amp;"+"&amp;BI122&amp;EO$1)</f>
        <v/>
      </c>
      <c r="EP122" s="30" t="str">
        <f t="shared" ref="EP122" si="2057">IF(BJ122="","","|n"&amp;EP$2&amp;"+"&amp;BJ122&amp;EP$1)</f>
        <v/>
      </c>
      <c r="EQ122" s="30" t="str">
        <f t="shared" ref="EQ122" si="2058">IF(BK122="","","|n"&amp;EQ$2&amp;"+"&amp;BK122&amp;EQ$1)</f>
        <v/>
      </c>
      <c r="ER122" s="30" t="str">
        <f t="shared" ref="ER122" si="2059">IF(BL122="","","|n"&amp;ER$2&amp;"+"&amp;BL122&amp;ER$1)</f>
        <v/>
      </c>
      <c r="ES122" s="30" t="str">
        <f t="shared" ref="ES122" si="2060">IF(BM122="","","|n"&amp;ES$2&amp;"+"&amp;BM122&amp;ES$1)</f>
        <v/>
      </c>
      <c r="ET122" s="30" t="str">
        <f t="shared" ref="ET122" si="2061">IF(BN122="","","|n"&amp;ET$2&amp;"+"&amp;BN122&amp;ET$1)</f>
        <v/>
      </c>
      <c r="EU122" s="30" t="str">
        <f t="shared" ref="EU122" si="2062">IF(BO122="","","|n"&amp;EU$2&amp;"+"&amp;BO122&amp;EU$1)</f>
        <v/>
      </c>
      <c r="EV122" s="30" t="str">
        <f t="shared" ref="EV122" si="2063">IF(BP122="","","|n"&amp;EV$2&amp;"+"&amp;BP122&amp;EV$1)</f>
        <v/>
      </c>
      <c r="EW122" s="30" t="str">
        <f t="shared" ref="EW122" si="2064">IF(BQ122="","","|n"&amp;EW$2&amp;"+"&amp;BQ122&amp;EW$1)</f>
        <v/>
      </c>
      <c r="EX122" s="30" t="str">
        <f t="shared" ref="EX122" si="2065">IF(BR122="","","|n"&amp;EX$2&amp;"+"&amp;BR122&amp;EX$1)</f>
        <v/>
      </c>
      <c r="EY122" s="30" t="str">
        <f t="shared" ref="EY122" si="2066">IF(BS122="","","|n"&amp;EY$2&amp;"+"&amp;BS122&amp;EY$1)</f>
        <v/>
      </c>
      <c r="EZ122" s="30" t="str">
        <f t="shared" ref="EZ122" si="2067">IF(BT122="","","|n"&amp;EZ$2&amp;"+"&amp;BT122&amp;EZ$1)</f>
        <v/>
      </c>
      <c r="FA122" s="30" t="str">
        <f t="shared" ref="FA122" si="2068">IF(BU122="","","|n"&amp;FA$2&amp;"+"&amp;BU122&amp;FA$1)</f>
        <v/>
      </c>
      <c r="FB122" s="30" t="str">
        <f t="shared" ref="FB122" si="2069">IF(BV122="","","|n"&amp;FB$2&amp;"+"&amp;BV122&amp;FB$1)</f>
        <v/>
      </c>
      <c r="FC122" s="30" t="str">
        <f t="shared" ref="FC122" si="2070">IF(BW122="","","|n"&amp;FC$2&amp;"+"&amp;BW122&amp;FC$1)</f>
        <v/>
      </c>
      <c r="FD122" s="30" t="str">
        <f t="shared" ref="FD122" si="2071">IF(BX122="","","|n"&amp;FD$2&amp;"+"&amp;BX122&amp;FD$1)</f>
        <v/>
      </c>
      <c r="FE122" s="30" t="str">
        <f t="shared" ref="FE122" si="2072">IF(BY122="","","|n"&amp;FE$2&amp;"+"&amp;BY122&amp;FE$1)</f>
        <v/>
      </c>
      <c r="FF122" s="30" t="str">
        <f t="shared" ref="FF122" si="2073">IF(BZ122="","","|n"&amp;FF$2&amp;"+"&amp;BZ122&amp;FF$1)</f>
        <v/>
      </c>
      <c r="FG122" s="30" t="str">
        <f t="shared" ref="FG122" si="2074">IF(CA122="","","|n"&amp;FG$2&amp;"+"&amp;CA122&amp;FG$1)</f>
        <v/>
      </c>
      <c r="FH122" s="30" t="str">
        <f t="shared" ref="FH122" si="2075">IF(CB122="","","|n"&amp;FH$2&amp;"+"&amp;CB122&amp;FH$1)</f>
        <v/>
      </c>
      <c r="FI122" s="30" t="str">
        <f t="shared" ref="FI122" si="2076">IF(CC122="","","|n"&amp;FI$2&amp;"+"&amp;CC122&amp;FI$1)</f>
        <v/>
      </c>
      <c r="FJ122" s="30" t="str">
        <f t="shared" ref="FJ122" si="2077">IF(CD122="","","|n"&amp;FJ$2&amp;"+"&amp;CD122&amp;FJ$1)</f>
        <v/>
      </c>
      <c r="FK122" s="30" t="str">
        <f t="shared" ref="FK122" si="2078">IF(CE122="","","|n"&amp;FK$2&amp;"+"&amp;CE122&amp;FK$1)</f>
        <v/>
      </c>
      <c r="FL122" s="30" t="str">
        <f t="shared" ref="FL122" si="2079">IF(CF122="","","|n"&amp;FL$2&amp;"+"&amp;CF122&amp;FL$1)</f>
        <v/>
      </c>
      <c r="FM122" s="30" t="str">
        <f t="shared" ref="FM122" si="2080">IF(CG122="","","|n"&amp;FM$2&amp;"+"&amp;CG122&amp;FM$1)</f>
        <v/>
      </c>
      <c r="FN122" s="30" t="str">
        <f t="shared" ref="FN122" si="2081">IF(CH122="","","|n"&amp;FN$2&amp;"+"&amp;CH122&amp;FN$1)</f>
        <v/>
      </c>
      <c r="FO122" s="30" t="str">
        <f t="shared" ref="FO122" si="2082">IF(CI122="","","|n"&amp;FO$2&amp;"+"&amp;CI122&amp;FO$1)</f>
        <v/>
      </c>
      <c r="FP122" s="30" t="str">
        <f t="shared" ref="FP122" si="2083">IF(CJ122="","","|n"&amp;FP$2&amp;"+"&amp;CJ122&amp;FP$1)</f>
        <v/>
      </c>
      <c r="FQ122" s="30" t="str">
        <f t="shared" ref="FQ122" si="2084">IF(CK122="","","|n"&amp;FQ$2&amp;"+"&amp;CK122&amp;FQ$1)</f>
        <v/>
      </c>
      <c r="FR122" s="30" t="str">
        <f t="shared" ref="FR122" si="2085">IF(CL122="","","|n"&amp;FR$2&amp;"+"&amp;CL122&amp;FR$1)</f>
        <v/>
      </c>
      <c r="FS122" s="30" t="str">
        <f t="shared" ref="FS122" si="2086">IF(CM122="","","|n"&amp;FS$2&amp;"+"&amp;CM122&amp;FS$1)</f>
        <v/>
      </c>
    </row>
    <row r="123" spans="1:175" ht="16.5">
      <c r="A123" s="117"/>
      <c r="B123" s="111" t="s">
        <v>895</v>
      </c>
      <c r="C123" s="117" t="s">
        <v>896</v>
      </c>
      <c r="T123" s="117" t="s">
        <v>892</v>
      </c>
      <c r="U123" s="37" t="s">
        <v>822</v>
      </c>
      <c r="CN123" s="7" t="str">
        <f t="shared" ref="CN123:CN129" si="2087">"InitUnitState('"&amp;B123&amp;"',"&amp;V123&amp;","&amp;W123&amp;","&amp;X123&amp;","&amp;Y123&amp;","&amp;Z123&amp;","&amp;AA123&amp;","&amp;AB123&amp;","&amp;AC123&amp;","&amp;AD123&amp;","&amp;AE123&amp;")"</f>
        <v>InitUnitState('IH02',,,,,,,,,,)</v>
      </c>
      <c r="CO123" s="7" t="str">
        <f t="shared" ref="CO123:CO129" si="2088">"InitUnitNormal('"&amp;B123&amp;"',"&amp;AF123&amp;","&amp;AG123&amp;","&amp;AH123&amp;","&amp;AI123&amp;","&amp;AJ123&amp;","&amp;AK123&amp;","&amp;AL123&amp;","&amp;AM123&amp;","&amp;AN123&amp;","&amp;AO123&amp;")"</f>
        <v>InitUnitNormal('IH02',,,,,,,,,,)</v>
      </c>
      <c r="CP123" s="7" t="str">
        <f t="shared" ref="CP123:CP129" si="2089">"InitUnitMagic('"&amp;B123&amp;"',"&amp;AP123&amp;","&amp;AQ123&amp;","&amp;AR123&amp;","&amp;AS123&amp;","&amp;AT123&amp;","&amp;AU123&amp;","&amp;AV123&amp;","&amp;AW123&amp;","&amp;BI123&amp;","&amp;BJ123&amp;")"</f>
        <v>InitUnitMagic('IH02',,,,,,,,,,)</v>
      </c>
      <c r="CQ123" s="7" t="str">
        <f t="shared" ref="CQ123:CQ129" si="2090">"InitUnitAdd('"&amp;B123&amp;"',"&amp;BK123&amp;","&amp;BL123&amp;","&amp;BM123&amp;","&amp;BN123&amp;","&amp;BO123&amp;","&amp;BP123&amp;","&amp;BQ123&amp;","&amp;BR123&amp;","&amp;BS123&amp;","&amp;BT123&amp;")"</f>
        <v>InitUnitAdd('IH02',,,,,,,,,,)</v>
      </c>
      <c r="CR123" s="7" t="str">
        <f t="shared" ref="CR123:CR128" si="2091"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124&amp;CR$1&amp;")"</f>
        <v>InitEquipData('IH02',,"",,,,,'','','','','','',"ReplaceableTextures\\CommandButtons\\BTNTome.blp")</v>
      </c>
      <c r="CU123" s="45" t="str">
        <f t="shared" ref="CU123:CU129" si="2092">CONCATENATE(DB123,DC123,DD123,DE123,DF123,DG123,DH123,DI123,DJ123,DK123,DL123,DM123,DN123,DO123,DP123,DQ123,DR123,DS123,DT123,DU123,DV123,DW123,DX123,DY123,DZ123,EA123,EB123,EC123,ED123,EE123,EF123,EG123,EH123,EI123,EJ123,EK123,EL123,EM123,EN123,EO123,EP123&amp;"|n")</f>
        <v>|n</v>
      </c>
      <c r="CV123" s="29" t="str">
        <f t="shared" ref="CV123:CV129" si="2093">T123</f>
        <v>觉醒兽魂</v>
      </c>
      <c r="CW123" s="24"/>
      <c r="CX123" s="24"/>
      <c r="CY123" s="24"/>
      <c r="CZ123" s="24"/>
      <c r="DA123" s="24"/>
      <c r="DB123" s="30" t="str">
        <f t="shared" ref="DB123:DB129" si="2094">IF(V123="","","|n"&amp;DB$2&amp;"+"&amp;V123&amp;DB$1)</f>
        <v/>
      </c>
      <c r="DC123" s="30" t="str">
        <f t="shared" ref="DC123:DC129" si="2095">IF(W123="","","|n"&amp;DC$2&amp;"+"&amp;W123&amp;DC$1)</f>
        <v/>
      </c>
      <c r="DD123" s="30" t="str">
        <f t="shared" ref="DD123:DD129" si="2096">IF(X123="","","|n"&amp;DD$2&amp;"+"&amp;X123&amp;DD$1)</f>
        <v/>
      </c>
      <c r="DE123" s="30" t="str">
        <f t="shared" ref="DE123:DE129" si="2097">IF(Y123="","","|n"&amp;DE$2&amp;"+"&amp;Y123&amp;DE$1)</f>
        <v/>
      </c>
      <c r="DF123" s="30" t="str">
        <f t="shared" ref="DF123:DF129" si="2098">IF(Z123="","","|n"&amp;DF$2&amp;"+"&amp;Z123&amp;DF$1)</f>
        <v/>
      </c>
      <c r="DG123" s="30" t="str">
        <f t="shared" ref="DG123:DG129" si="2099">IF(AA123="","","|n"&amp;DG$2&amp;"+"&amp;AA123&amp;DG$1)</f>
        <v/>
      </c>
      <c r="DH123" s="30" t="str">
        <f t="shared" ref="DH123:DH129" si="2100">IF(AB123="","","|n"&amp;DH$2&amp;"+"&amp;AB123&amp;DH$1)</f>
        <v/>
      </c>
      <c r="DI123" s="30" t="str">
        <f t="shared" ref="DI123:DI129" si="2101">IF(AC123="","","|n"&amp;DI$2&amp;"+"&amp;AC123&amp;DI$1)</f>
        <v/>
      </c>
      <c r="DJ123" s="30" t="str">
        <f t="shared" ref="DJ123:DJ129" si="2102">IF(AD123="","","|n"&amp;DJ$2&amp;"+"&amp;AD123&amp;DJ$1)</f>
        <v/>
      </c>
      <c r="DK123" s="30" t="str">
        <f t="shared" ref="DK123:DK129" si="2103">IF(AE123="","","|n"&amp;DK$2&amp;"+"&amp;AE123&amp;DK$1)</f>
        <v/>
      </c>
      <c r="DL123" s="30" t="str">
        <f t="shared" ref="DL123:DL129" si="2104">IF(AF123="","","|n"&amp;DL$2&amp;"+"&amp;AF123&amp;DL$1)</f>
        <v/>
      </c>
      <c r="DM123" s="30" t="str">
        <f t="shared" ref="DM123:DM129" si="2105">IF(AG123="","","|n"&amp;DM$2&amp;"+"&amp;AG123&amp;DM$1)</f>
        <v/>
      </c>
      <c r="DN123" s="30" t="str">
        <f t="shared" ref="DN123:DN129" si="2106">IF(AH123="","","|n"&amp;DN$2&amp;"+"&amp;AH123&amp;DN$1)</f>
        <v/>
      </c>
      <c r="DO123" s="30" t="str">
        <f t="shared" ref="DO123:DO129" si="2107">IF(AI123="","","|n"&amp;DO$2&amp;"+"&amp;AI123&amp;DO$1)</f>
        <v/>
      </c>
      <c r="DP123" s="30" t="str">
        <f t="shared" ref="DP123:DP129" si="2108">IF(AJ123="","","|n"&amp;DP$2&amp;"+"&amp;AJ123&amp;DP$1)</f>
        <v/>
      </c>
      <c r="DQ123" s="30" t="str">
        <f t="shared" ref="DQ123:DQ129" si="2109">IF(AK123="","","|n"&amp;DQ$2&amp;"+"&amp;AK123&amp;DQ$1)</f>
        <v/>
      </c>
      <c r="DR123" s="30" t="str">
        <f t="shared" ref="DR123:DR129" si="2110">IF(AL123="","","|n"&amp;DR$2&amp;"+"&amp;AL123&amp;DR$1)</f>
        <v/>
      </c>
      <c r="DS123" s="30" t="str">
        <f t="shared" ref="DS123:DS129" si="2111">IF(AM123="","","|n"&amp;DS$2&amp;"+"&amp;AM123&amp;DS$1)</f>
        <v/>
      </c>
      <c r="DT123" s="30" t="str">
        <f t="shared" ref="DT123:DT129" si="2112">IF(AN123="","","|n"&amp;DT$2&amp;"+"&amp;AN123&amp;DT$1)</f>
        <v/>
      </c>
      <c r="DU123" s="30" t="str">
        <f t="shared" ref="DU123:DU129" si="2113">IF(AO123="","","|n"&amp;DU$2&amp;"+"&amp;AO123&amp;DU$1)</f>
        <v/>
      </c>
      <c r="DV123" s="30" t="str">
        <f t="shared" ref="DV123:DV129" si="2114">IF(AP123="","","|n"&amp;DV$2&amp;"+"&amp;AP123&amp;DV$1)</f>
        <v/>
      </c>
      <c r="DW123" s="30" t="str">
        <f t="shared" ref="DW123:DW129" si="2115">IF(AQ123="","","|n"&amp;DW$2&amp;"+"&amp;AQ123&amp;DW$1)</f>
        <v/>
      </c>
      <c r="DX123" s="30" t="str">
        <f t="shared" ref="DX123:DX129" si="2116">IF(AR123="","","|n"&amp;DX$2&amp;"+"&amp;AR123&amp;DX$1)</f>
        <v/>
      </c>
      <c r="DY123" s="30" t="str">
        <f t="shared" ref="DY123:DY129" si="2117">IF(AS123="","","|n"&amp;DY$2&amp;"+"&amp;AS123&amp;DY$1)</f>
        <v/>
      </c>
      <c r="DZ123" s="30" t="str">
        <f t="shared" ref="DZ123:DZ129" si="2118">IF(AT123="","","|n"&amp;DZ$2&amp;"+"&amp;AT123&amp;DZ$1)</f>
        <v/>
      </c>
      <c r="EA123" s="30" t="str">
        <f t="shared" ref="EA123:EA129" si="2119">IF(AU123="","","|n"&amp;EA$2&amp;"+"&amp;AU123&amp;EA$1)</f>
        <v/>
      </c>
      <c r="EB123" s="30" t="str">
        <f t="shared" ref="EB123:EB129" si="2120">IF(AV123="","","|n"&amp;EB$2&amp;"+"&amp;AV123&amp;EB$1)</f>
        <v/>
      </c>
      <c r="EC123" s="30" t="str">
        <f t="shared" ref="EC123:EC129" si="2121">IF(AW123="","","|n"&amp;EC$2&amp;"+"&amp;AW123&amp;EC$1)</f>
        <v/>
      </c>
      <c r="ED123" s="30" t="str">
        <f t="shared" ref="ED123:ED129" si="2122">IF(AX123="","","|n"&amp;ED$2&amp;"+"&amp;AX123&amp;ED$1)</f>
        <v/>
      </c>
      <c r="EE123" s="30" t="str">
        <f t="shared" ref="EE123:EE129" si="2123">IF(AY123="","","|n"&amp;EE$2&amp;"+"&amp;AY123&amp;EE$1)</f>
        <v/>
      </c>
      <c r="EF123" s="30" t="str">
        <f t="shared" ref="EF123:EF129" si="2124">IF(AZ123="","","|n"&amp;EF$2&amp;"+"&amp;AZ123&amp;EF$1)</f>
        <v/>
      </c>
      <c r="EG123" s="30" t="str">
        <f t="shared" ref="EG123:EG129" si="2125">IF(BA123="","","|n"&amp;EG$2&amp;"+"&amp;BA123&amp;EG$1)</f>
        <v/>
      </c>
      <c r="EH123" s="30" t="str">
        <f t="shared" ref="EH123:EH129" si="2126">IF(BB123="","","|n"&amp;EH$2&amp;"+"&amp;BB123&amp;EH$1)</f>
        <v/>
      </c>
      <c r="EI123" s="30" t="str">
        <f t="shared" ref="EI123:EI129" si="2127">IF(BC123="","","|n"&amp;EI$2&amp;"+"&amp;BC123&amp;EI$1)</f>
        <v/>
      </c>
      <c r="EJ123" s="30" t="str">
        <f t="shared" ref="EJ123:EJ129" si="2128">IF(BD123="","","|n"&amp;EJ$2&amp;"+"&amp;BD123&amp;EJ$1)</f>
        <v/>
      </c>
      <c r="EK123" s="30" t="str">
        <f t="shared" ref="EK123:EK129" si="2129">IF(BE123="","","|n"&amp;EK$2&amp;"+"&amp;BE123&amp;EK$1)</f>
        <v/>
      </c>
      <c r="EL123" s="30" t="str">
        <f t="shared" ref="EL123:EL129" si="2130">IF(BF123="","","|n"&amp;EL$2&amp;"+"&amp;BF123&amp;EL$1)</f>
        <v/>
      </c>
      <c r="EM123" s="30" t="str">
        <f t="shared" ref="EM123:EM129" si="2131">IF(BG123="","","|n"&amp;EM$2&amp;"+"&amp;BG123&amp;EM$1)</f>
        <v/>
      </c>
      <c r="EN123" s="30" t="str">
        <f t="shared" ref="EN123:EN129" si="2132">IF(BH123="","","|n"&amp;EN$2&amp;"+"&amp;BH123&amp;EN$1)</f>
        <v/>
      </c>
      <c r="EO123" s="30" t="str">
        <f t="shared" ref="EO123:EO129" si="2133">IF(BI123="","","|n"&amp;EO$2&amp;"+"&amp;BI123&amp;EO$1)</f>
        <v/>
      </c>
      <c r="EP123" s="30" t="str">
        <f t="shared" ref="EP123:EP129" si="2134">IF(BJ123="","","|n"&amp;EP$2&amp;"+"&amp;BJ123&amp;EP$1)</f>
        <v/>
      </c>
      <c r="EQ123" s="30" t="str">
        <f t="shared" ref="EQ123:EQ129" si="2135">IF(BK123="","","|n"&amp;EQ$2&amp;"+"&amp;BK123&amp;EQ$1)</f>
        <v/>
      </c>
      <c r="ER123" s="30" t="str">
        <f t="shared" ref="ER123:ER129" si="2136">IF(BL123="","","|n"&amp;ER$2&amp;"+"&amp;BL123&amp;ER$1)</f>
        <v/>
      </c>
      <c r="ES123" s="30" t="str">
        <f t="shared" ref="ES123:ES129" si="2137">IF(BM123="","","|n"&amp;ES$2&amp;"+"&amp;BM123&amp;ES$1)</f>
        <v/>
      </c>
      <c r="ET123" s="30" t="str">
        <f t="shared" ref="ET123:ET129" si="2138">IF(BN123="","","|n"&amp;ET$2&amp;"+"&amp;BN123&amp;ET$1)</f>
        <v/>
      </c>
      <c r="EU123" s="30" t="str">
        <f t="shared" ref="EU123:EU129" si="2139">IF(BO123="","","|n"&amp;EU$2&amp;"+"&amp;BO123&amp;EU$1)</f>
        <v/>
      </c>
      <c r="EV123" s="30" t="str">
        <f t="shared" ref="EV123:EV129" si="2140">IF(BP123="","","|n"&amp;EV$2&amp;"+"&amp;BP123&amp;EV$1)</f>
        <v/>
      </c>
      <c r="EW123" s="30" t="str">
        <f t="shared" ref="EW123:EW129" si="2141">IF(BQ123="","","|n"&amp;EW$2&amp;"+"&amp;BQ123&amp;EW$1)</f>
        <v/>
      </c>
      <c r="EX123" s="30" t="str">
        <f t="shared" ref="EX123:EX129" si="2142">IF(BR123="","","|n"&amp;EX$2&amp;"+"&amp;BR123&amp;EX$1)</f>
        <v/>
      </c>
      <c r="EY123" s="30" t="str">
        <f t="shared" ref="EY123:EY129" si="2143">IF(BS123="","","|n"&amp;EY$2&amp;"+"&amp;BS123&amp;EY$1)</f>
        <v/>
      </c>
      <c r="EZ123" s="30" t="str">
        <f t="shared" ref="EZ123:EZ129" si="2144">IF(BT123="","","|n"&amp;EZ$2&amp;"+"&amp;BT123&amp;EZ$1)</f>
        <v/>
      </c>
      <c r="FA123" s="30" t="str">
        <f t="shared" ref="FA123:FA129" si="2145">IF(BU123="","","|n"&amp;FA$2&amp;"+"&amp;BU123&amp;FA$1)</f>
        <v/>
      </c>
      <c r="FB123" s="30" t="str">
        <f t="shared" ref="FB123:FB129" si="2146">IF(BV123="","","|n"&amp;FB$2&amp;"+"&amp;BV123&amp;FB$1)</f>
        <v/>
      </c>
      <c r="FC123" s="30" t="str">
        <f t="shared" ref="FC123:FC129" si="2147">IF(BW123="","","|n"&amp;FC$2&amp;"+"&amp;BW123&amp;FC$1)</f>
        <v/>
      </c>
      <c r="FD123" s="30" t="str">
        <f t="shared" ref="FD123:FD129" si="2148">IF(BX123="","","|n"&amp;FD$2&amp;"+"&amp;BX123&amp;FD$1)</f>
        <v/>
      </c>
      <c r="FE123" s="30" t="str">
        <f t="shared" ref="FE123:FE129" si="2149">IF(BY123="","","|n"&amp;FE$2&amp;"+"&amp;BY123&amp;FE$1)</f>
        <v/>
      </c>
      <c r="FF123" s="30" t="str">
        <f t="shared" ref="FF123:FF129" si="2150">IF(BZ123="","","|n"&amp;FF$2&amp;"+"&amp;BZ123&amp;FF$1)</f>
        <v/>
      </c>
      <c r="FG123" s="30" t="str">
        <f t="shared" ref="FG123:FG129" si="2151">IF(CA123="","","|n"&amp;FG$2&amp;"+"&amp;CA123&amp;FG$1)</f>
        <v/>
      </c>
      <c r="FH123" s="30" t="str">
        <f t="shared" ref="FH123:FH129" si="2152">IF(CB123="","","|n"&amp;FH$2&amp;"+"&amp;CB123&amp;FH$1)</f>
        <v/>
      </c>
      <c r="FI123" s="30" t="str">
        <f t="shared" ref="FI123:FI129" si="2153">IF(CC123="","","|n"&amp;FI$2&amp;"+"&amp;CC123&amp;FI$1)</f>
        <v/>
      </c>
      <c r="FJ123" s="30" t="str">
        <f t="shared" ref="FJ123:FJ129" si="2154">IF(CD123="","","|n"&amp;FJ$2&amp;"+"&amp;CD123&amp;FJ$1)</f>
        <v/>
      </c>
      <c r="FK123" s="30" t="str">
        <f t="shared" ref="FK123:FK129" si="2155">IF(CE123="","","|n"&amp;FK$2&amp;"+"&amp;CE123&amp;FK$1)</f>
        <v/>
      </c>
      <c r="FL123" s="30" t="str">
        <f t="shared" ref="FL123:FL129" si="2156">IF(CF123="","","|n"&amp;FL$2&amp;"+"&amp;CF123&amp;FL$1)</f>
        <v/>
      </c>
      <c r="FM123" s="30" t="str">
        <f t="shared" ref="FM123:FM129" si="2157">IF(CG123="","","|n"&amp;FM$2&amp;"+"&amp;CG123&amp;FM$1)</f>
        <v/>
      </c>
      <c r="FN123" s="30" t="str">
        <f t="shared" ref="FN123:FN129" si="2158">IF(CH123="","","|n"&amp;FN$2&amp;"+"&amp;CH123&amp;FN$1)</f>
        <v/>
      </c>
      <c r="FO123" s="30" t="str">
        <f t="shared" ref="FO123:FO129" si="2159">IF(CI123="","","|n"&amp;FO$2&amp;"+"&amp;CI123&amp;FO$1)</f>
        <v/>
      </c>
      <c r="FP123" s="30" t="str">
        <f t="shared" ref="FP123:FP129" si="2160">IF(CJ123="","","|n"&amp;FP$2&amp;"+"&amp;CJ123&amp;FP$1)</f>
        <v/>
      </c>
      <c r="FQ123" s="30" t="str">
        <f t="shared" ref="FQ123:FQ129" si="2161">IF(CK123="","","|n"&amp;FQ$2&amp;"+"&amp;CK123&amp;FQ$1)</f>
        <v/>
      </c>
      <c r="FR123" s="30" t="str">
        <f t="shared" ref="FR123:FR129" si="2162">IF(CL123="","","|n"&amp;FR$2&amp;"+"&amp;CL123&amp;FR$1)</f>
        <v/>
      </c>
      <c r="FS123" s="30" t="str">
        <f t="shared" ref="FS123:FS129" si="2163">IF(CM123="","","|n"&amp;FS$2&amp;"+"&amp;CM123&amp;FS$1)</f>
        <v/>
      </c>
    </row>
    <row r="124" spans="1:175" ht="16.5">
      <c r="A124" s="117"/>
      <c r="B124" s="111" t="s">
        <v>897</v>
      </c>
      <c r="C124" s="117" t="s">
        <v>898</v>
      </c>
      <c r="T124" s="117" t="s">
        <v>892</v>
      </c>
      <c r="U124" s="37" t="s">
        <v>822</v>
      </c>
      <c r="CN124" s="7" t="str">
        <f t="shared" si="2087"/>
        <v>InitUnitState('IH03',,,,,,,,,,)</v>
      </c>
      <c r="CO124" s="7" t="str">
        <f t="shared" si="2088"/>
        <v>InitUnitNormal('IH03',,,,,,,,,,)</v>
      </c>
      <c r="CP124" s="7" t="str">
        <f t="shared" si="2089"/>
        <v>InitUnitMagic('IH03',,,,,,,,,,)</v>
      </c>
      <c r="CQ124" s="7" t="str">
        <f t="shared" si="2090"/>
        <v>InitUnitAdd('IH03',,,,,,,,,,)</v>
      </c>
      <c r="CR124" s="7" t="str">
        <f t="shared" si="2091"/>
        <v>InitEquipData('IH03',,"",,,,,'','','','','','',"ReplaceableTextures\\CommandButtons\\BTNTome.blp")</v>
      </c>
      <c r="CU124" s="45" t="str">
        <f t="shared" si="2092"/>
        <v>|n</v>
      </c>
      <c r="CV124" s="29" t="str">
        <f t="shared" si="2093"/>
        <v>觉醒兽魂</v>
      </c>
      <c r="CW124" s="24"/>
      <c r="CX124" s="24"/>
      <c r="CY124" s="24"/>
      <c r="CZ124" s="24"/>
      <c r="DA124" s="24"/>
      <c r="DB124" s="30" t="str">
        <f t="shared" si="2094"/>
        <v/>
      </c>
      <c r="DC124" s="30" t="str">
        <f t="shared" si="2095"/>
        <v/>
      </c>
      <c r="DD124" s="30" t="str">
        <f t="shared" si="2096"/>
        <v/>
      </c>
      <c r="DE124" s="30" t="str">
        <f t="shared" si="2097"/>
        <v/>
      </c>
      <c r="DF124" s="30" t="str">
        <f t="shared" si="2098"/>
        <v/>
      </c>
      <c r="DG124" s="30" t="str">
        <f t="shared" si="2099"/>
        <v/>
      </c>
      <c r="DH124" s="30" t="str">
        <f t="shared" si="2100"/>
        <v/>
      </c>
      <c r="DI124" s="30" t="str">
        <f t="shared" si="2101"/>
        <v/>
      </c>
      <c r="DJ124" s="30" t="str">
        <f t="shared" si="2102"/>
        <v/>
      </c>
      <c r="DK124" s="30" t="str">
        <f t="shared" si="2103"/>
        <v/>
      </c>
      <c r="DL124" s="30" t="str">
        <f t="shared" si="2104"/>
        <v/>
      </c>
      <c r="DM124" s="30" t="str">
        <f t="shared" si="2105"/>
        <v/>
      </c>
      <c r="DN124" s="30" t="str">
        <f t="shared" si="2106"/>
        <v/>
      </c>
      <c r="DO124" s="30" t="str">
        <f t="shared" si="2107"/>
        <v/>
      </c>
      <c r="DP124" s="30" t="str">
        <f t="shared" si="2108"/>
        <v/>
      </c>
      <c r="DQ124" s="30" t="str">
        <f t="shared" si="2109"/>
        <v/>
      </c>
      <c r="DR124" s="30" t="str">
        <f t="shared" si="2110"/>
        <v/>
      </c>
      <c r="DS124" s="30" t="str">
        <f t="shared" si="2111"/>
        <v/>
      </c>
      <c r="DT124" s="30" t="str">
        <f t="shared" si="2112"/>
        <v/>
      </c>
      <c r="DU124" s="30" t="str">
        <f t="shared" si="2113"/>
        <v/>
      </c>
      <c r="DV124" s="30" t="str">
        <f t="shared" si="2114"/>
        <v/>
      </c>
      <c r="DW124" s="30" t="str">
        <f t="shared" si="2115"/>
        <v/>
      </c>
      <c r="DX124" s="30" t="str">
        <f t="shared" si="2116"/>
        <v/>
      </c>
      <c r="DY124" s="30" t="str">
        <f t="shared" si="2117"/>
        <v/>
      </c>
      <c r="DZ124" s="30" t="str">
        <f t="shared" si="2118"/>
        <v/>
      </c>
      <c r="EA124" s="30" t="str">
        <f t="shared" si="2119"/>
        <v/>
      </c>
      <c r="EB124" s="30" t="str">
        <f t="shared" si="2120"/>
        <v/>
      </c>
      <c r="EC124" s="30" t="str">
        <f t="shared" si="2121"/>
        <v/>
      </c>
      <c r="ED124" s="30" t="str">
        <f t="shared" si="2122"/>
        <v/>
      </c>
      <c r="EE124" s="30" t="str">
        <f t="shared" si="2123"/>
        <v/>
      </c>
      <c r="EF124" s="30" t="str">
        <f t="shared" si="2124"/>
        <v/>
      </c>
      <c r="EG124" s="30" t="str">
        <f t="shared" si="2125"/>
        <v/>
      </c>
      <c r="EH124" s="30" t="str">
        <f t="shared" si="2126"/>
        <v/>
      </c>
      <c r="EI124" s="30" t="str">
        <f t="shared" si="2127"/>
        <v/>
      </c>
      <c r="EJ124" s="30" t="str">
        <f t="shared" si="2128"/>
        <v/>
      </c>
      <c r="EK124" s="30" t="str">
        <f t="shared" si="2129"/>
        <v/>
      </c>
      <c r="EL124" s="30" t="str">
        <f t="shared" si="2130"/>
        <v/>
      </c>
      <c r="EM124" s="30" t="str">
        <f t="shared" si="2131"/>
        <v/>
      </c>
      <c r="EN124" s="30" t="str">
        <f t="shared" si="2132"/>
        <v/>
      </c>
      <c r="EO124" s="30" t="str">
        <f t="shared" si="2133"/>
        <v/>
      </c>
      <c r="EP124" s="30" t="str">
        <f t="shared" si="2134"/>
        <v/>
      </c>
      <c r="EQ124" s="30" t="str">
        <f t="shared" si="2135"/>
        <v/>
      </c>
      <c r="ER124" s="30" t="str">
        <f t="shared" si="2136"/>
        <v/>
      </c>
      <c r="ES124" s="30" t="str">
        <f t="shared" si="2137"/>
        <v/>
      </c>
      <c r="ET124" s="30" t="str">
        <f t="shared" si="2138"/>
        <v/>
      </c>
      <c r="EU124" s="30" t="str">
        <f t="shared" si="2139"/>
        <v/>
      </c>
      <c r="EV124" s="30" t="str">
        <f t="shared" si="2140"/>
        <v/>
      </c>
      <c r="EW124" s="30" t="str">
        <f t="shared" si="2141"/>
        <v/>
      </c>
      <c r="EX124" s="30" t="str">
        <f t="shared" si="2142"/>
        <v/>
      </c>
      <c r="EY124" s="30" t="str">
        <f t="shared" si="2143"/>
        <v/>
      </c>
      <c r="EZ124" s="30" t="str">
        <f t="shared" si="2144"/>
        <v/>
      </c>
      <c r="FA124" s="30" t="str">
        <f t="shared" si="2145"/>
        <v/>
      </c>
      <c r="FB124" s="30" t="str">
        <f t="shared" si="2146"/>
        <v/>
      </c>
      <c r="FC124" s="30" t="str">
        <f t="shared" si="2147"/>
        <v/>
      </c>
      <c r="FD124" s="30" t="str">
        <f t="shared" si="2148"/>
        <v/>
      </c>
      <c r="FE124" s="30" t="str">
        <f t="shared" si="2149"/>
        <v/>
      </c>
      <c r="FF124" s="30" t="str">
        <f t="shared" si="2150"/>
        <v/>
      </c>
      <c r="FG124" s="30" t="str">
        <f t="shared" si="2151"/>
        <v/>
      </c>
      <c r="FH124" s="30" t="str">
        <f t="shared" si="2152"/>
        <v/>
      </c>
      <c r="FI124" s="30" t="str">
        <f t="shared" si="2153"/>
        <v/>
      </c>
      <c r="FJ124" s="30" t="str">
        <f t="shared" si="2154"/>
        <v/>
      </c>
      <c r="FK124" s="30" t="str">
        <f t="shared" si="2155"/>
        <v/>
      </c>
      <c r="FL124" s="30" t="str">
        <f t="shared" si="2156"/>
        <v/>
      </c>
      <c r="FM124" s="30" t="str">
        <f t="shared" si="2157"/>
        <v/>
      </c>
      <c r="FN124" s="30" t="str">
        <f t="shared" si="2158"/>
        <v/>
      </c>
      <c r="FO124" s="30" t="str">
        <f t="shared" si="2159"/>
        <v/>
      </c>
      <c r="FP124" s="30" t="str">
        <f t="shared" si="2160"/>
        <v/>
      </c>
      <c r="FQ124" s="30" t="str">
        <f t="shared" si="2161"/>
        <v/>
      </c>
      <c r="FR124" s="30" t="str">
        <f t="shared" si="2162"/>
        <v/>
      </c>
      <c r="FS124" s="30" t="str">
        <f t="shared" si="2163"/>
        <v/>
      </c>
    </row>
    <row r="125" spans="1:175" ht="16.5">
      <c r="A125" s="117"/>
      <c r="B125" s="111" t="s">
        <v>899</v>
      </c>
      <c r="C125" s="117" t="s">
        <v>900</v>
      </c>
      <c r="T125" s="117" t="s">
        <v>892</v>
      </c>
      <c r="U125" s="37" t="s">
        <v>822</v>
      </c>
      <c r="CN125" s="7" t="str">
        <f t="shared" si="2087"/>
        <v>InitUnitState('IH04',,,,,,,,,,)</v>
      </c>
      <c r="CO125" s="7" t="str">
        <f t="shared" si="2088"/>
        <v>InitUnitNormal('IH04',,,,,,,,,,)</v>
      </c>
      <c r="CP125" s="7" t="str">
        <f t="shared" si="2089"/>
        <v>InitUnitMagic('IH04',,,,,,,,,,)</v>
      </c>
      <c r="CQ125" s="7" t="str">
        <f t="shared" si="2090"/>
        <v>InitUnitAdd('IH04',,,,,,,,,,)</v>
      </c>
      <c r="CR125" s="7" t="str">
        <f t="shared" si="2091"/>
        <v>InitEquipData('IH04',,"",,,,,'','','','','','',"ReplaceableTextures\\CommandButtons\\BTNTome.blp")</v>
      </c>
      <c r="CU125" s="45" t="str">
        <f t="shared" si="2092"/>
        <v>|n</v>
      </c>
      <c r="CV125" s="29" t="str">
        <f t="shared" si="2093"/>
        <v>觉醒兽魂</v>
      </c>
      <c r="CW125" s="24"/>
      <c r="CX125" s="24"/>
      <c r="CY125" s="24"/>
      <c r="CZ125" s="24"/>
      <c r="DA125" s="24"/>
      <c r="DB125" s="30" t="str">
        <f t="shared" si="2094"/>
        <v/>
      </c>
      <c r="DC125" s="30" t="str">
        <f t="shared" si="2095"/>
        <v/>
      </c>
      <c r="DD125" s="30" t="str">
        <f t="shared" si="2096"/>
        <v/>
      </c>
      <c r="DE125" s="30" t="str">
        <f t="shared" si="2097"/>
        <v/>
      </c>
      <c r="DF125" s="30" t="str">
        <f t="shared" si="2098"/>
        <v/>
      </c>
      <c r="DG125" s="30" t="str">
        <f t="shared" si="2099"/>
        <v/>
      </c>
      <c r="DH125" s="30" t="str">
        <f t="shared" si="2100"/>
        <v/>
      </c>
      <c r="DI125" s="30" t="str">
        <f t="shared" si="2101"/>
        <v/>
      </c>
      <c r="DJ125" s="30" t="str">
        <f t="shared" si="2102"/>
        <v/>
      </c>
      <c r="DK125" s="30" t="str">
        <f t="shared" si="2103"/>
        <v/>
      </c>
      <c r="DL125" s="30" t="str">
        <f t="shared" si="2104"/>
        <v/>
      </c>
      <c r="DM125" s="30" t="str">
        <f t="shared" si="2105"/>
        <v/>
      </c>
      <c r="DN125" s="30" t="str">
        <f t="shared" si="2106"/>
        <v/>
      </c>
      <c r="DO125" s="30" t="str">
        <f t="shared" si="2107"/>
        <v/>
      </c>
      <c r="DP125" s="30" t="str">
        <f t="shared" si="2108"/>
        <v/>
      </c>
      <c r="DQ125" s="30" t="str">
        <f t="shared" si="2109"/>
        <v/>
      </c>
      <c r="DR125" s="30" t="str">
        <f t="shared" si="2110"/>
        <v/>
      </c>
      <c r="DS125" s="30" t="str">
        <f t="shared" si="2111"/>
        <v/>
      </c>
      <c r="DT125" s="30" t="str">
        <f t="shared" si="2112"/>
        <v/>
      </c>
      <c r="DU125" s="30" t="str">
        <f t="shared" si="2113"/>
        <v/>
      </c>
      <c r="DV125" s="30" t="str">
        <f t="shared" si="2114"/>
        <v/>
      </c>
      <c r="DW125" s="30" t="str">
        <f t="shared" si="2115"/>
        <v/>
      </c>
      <c r="DX125" s="30" t="str">
        <f t="shared" si="2116"/>
        <v/>
      </c>
      <c r="DY125" s="30" t="str">
        <f t="shared" si="2117"/>
        <v/>
      </c>
      <c r="DZ125" s="30" t="str">
        <f t="shared" si="2118"/>
        <v/>
      </c>
      <c r="EA125" s="30" t="str">
        <f t="shared" si="2119"/>
        <v/>
      </c>
      <c r="EB125" s="30" t="str">
        <f t="shared" si="2120"/>
        <v/>
      </c>
      <c r="EC125" s="30" t="str">
        <f t="shared" si="2121"/>
        <v/>
      </c>
      <c r="ED125" s="30" t="str">
        <f t="shared" si="2122"/>
        <v/>
      </c>
      <c r="EE125" s="30" t="str">
        <f t="shared" si="2123"/>
        <v/>
      </c>
      <c r="EF125" s="30" t="str">
        <f t="shared" si="2124"/>
        <v/>
      </c>
      <c r="EG125" s="30" t="str">
        <f t="shared" si="2125"/>
        <v/>
      </c>
      <c r="EH125" s="30" t="str">
        <f t="shared" si="2126"/>
        <v/>
      </c>
      <c r="EI125" s="30" t="str">
        <f t="shared" si="2127"/>
        <v/>
      </c>
      <c r="EJ125" s="30" t="str">
        <f t="shared" si="2128"/>
        <v/>
      </c>
      <c r="EK125" s="30" t="str">
        <f t="shared" si="2129"/>
        <v/>
      </c>
      <c r="EL125" s="30" t="str">
        <f t="shared" si="2130"/>
        <v/>
      </c>
      <c r="EM125" s="30" t="str">
        <f t="shared" si="2131"/>
        <v/>
      </c>
      <c r="EN125" s="30" t="str">
        <f t="shared" si="2132"/>
        <v/>
      </c>
      <c r="EO125" s="30" t="str">
        <f t="shared" si="2133"/>
        <v/>
      </c>
      <c r="EP125" s="30" t="str">
        <f t="shared" si="2134"/>
        <v/>
      </c>
      <c r="EQ125" s="30" t="str">
        <f t="shared" si="2135"/>
        <v/>
      </c>
      <c r="ER125" s="30" t="str">
        <f t="shared" si="2136"/>
        <v/>
      </c>
      <c r="ES125" s="30" t="str">
        <f t="shared" si="2137"/>
        <v/>
      </c>
      <c r="ET125" s="30" t="str">
        <f t="shared" si="2138"/>
        <v/>
      </c>
      <c r="EU125" s="30" t="str">
        <f t="shared" si="2139"/>
        <v/>
      </c>
      <c r="EV125" s="30" t="str">
        <f t="shared" si="2140"/>
        <v/>
      </c>
      <c r="EW125" s="30" t="str">
        <f t="shared" si="2141"/>
        <v/>
      </c>
      <c r="EX125" s="30" t="str">
        <f t="shared" si="2142"/>
        <v/>
      </c>
      <c r="EY125" s="30" t="str">
        <f t="shared" si="2143"/>
        <v/>
      </c>
      <c r="EZ125" s="30" t="str">
        <f t="shared" si="2144"/>
        <v/>
      </c>
      <c r="FA125" s="30" t="str">
        <f t="shared" si="2145"/>
        <v/>
      </c>
      <c r="FB125" s="30" t="str">
        <f t="shared" si="2146"/>
        <v/>
      </c>
      <c r="FC125" s="30" t="str">
        <f t="shared" si="2147"/>
        <v/>
      </c>
      <c r="FD125" s="30" t="str">
        <f t="shared" si="2148"/>
        <v/>
      </c>
      <c r="FE125" s="30" t="str">
        <f t="shared" si="2149"/>
        <v/>
      </c>
      <c r="FF125" s="30" t="str">
        <f t="shared" si="2150"/>
        <v/>
      </c>
      <c r="FG125" s="30" t="str">
        <f t="shared" si="2151"/>
        <v/>
      </c>
      <c r="FH125" s="30" t="str">
        <f t="shared" si="2152"/>
        <v/>
      </c>
      <c r="FI125" s="30" t="str">
        <f t="shared" si="2153"/>
        <v/>
      </c>
      <c r="FJ125" s="30" t="str">
        <f t="shared" si="2154"/>
        <v/>
      </c>
      <c r="FK125" s="30" t="str">
        <f t="shared" si="2155"/>
        <v/>
      </c>
      <c r="FL125" s="30" t="str">
        <f t="shared" si="2156"/>
        <v/>
      </c>
      <c r="FM125" s="30" t="str">
        <f t="shared" si="2157"/>
        <v/>
      </c>
      <c r="FN125" s="30" t="str">
        <f t="shared" si="2158"/>
        <v/>
      </c>
      <c r="FO125" s="30" t="str">
        <f t="shared" si="2159"/>
        <v/>
      </c>
      <c r="FP125" s="30" t="str">
        <f t="shared" si="2160"/>
        <v/>
      </c>
      <c r="FQ125" s="30" t="str">
        <f t="shared" si="2161"/>
        <v/>
      </c>
      <c r="FR125" s="30" t="str">
        <f t="shared" si="2162"/>
        <v/>
      </c>
      <c r="FS125" s="30" t="str">
        <f t="shared" si="2163"/>
        <v/>
      </c>
    </row>
    <row r="126" spans="1:175" ht="16.5">
      <c r="A126" s="117"/>
      <c r="B126" s="111" t="s">
        <v>901</v>
      </c>
      <c r="C126" s="117" t="s">
        <v>902</v>
      </c>
      <c r="T126" s="117" t="s">
        <v>892</v>
      </c>
      <c r="U126" s="37" t="s">
        <v>822</v>
      </c>
      <c r="CN126" s="7" t="str">
        <f t="shared" si="2087"/>
        <v>InitUnitState('IH05',,,,,,,,,,)</v>
      </c>
      <c r="CO126" s="7" t="str">
        <f t="shared" si="2088"/>
        <v>InitUnitNormal('IH05',,,,,,,,,,)</v>
      </c>
      <c r="CP126" s="7" t="str">
        <f t="shared" si="2089"/>
        <v>InitUnitMagic('IH05',,,,,,,,,,)</v>
      </c>
      <c r="CQ126" s="7" t="str">
        <f t="shared" si="2090"/>
        <v>InitUnitAdd('IH05',,,,,,,,,,)</v>
      </c>
      <c r="CR126" s="7" t="str">
        <f t="shared" si="2091"/>
        <v>InitEquipData('IH05',,"",,,,,'','','','','','',"ReplaceableTextures\\CommandButtons\\BTNTome.blp")</v>
      </c>
      <c r="CU126" s="45" t="str">
        <f t="shared" si="2092"/>
        <v>|n</v>
      </c>
      <c r="CV126" s="29" t="str">
        <f t="shared" si="2093"/>
        <v>觉醒兽魂</v>
      </c>
      <c r="CW126" s="24"/>
      <c r="CX126" s="24"/>
      <c r="CY126" s="24"/>
      <c r="CZ126" s="24"/>
      <c r="DA126" s="24"/>
      <c r="DB126" s="30" t="str">
        <f t="shared" si="2094"/>
        <v/>
      </c>
      <c r="DC126" s="30" t="str">
        <f t="shared" si="2095"/>
        <v/>
      </c>
      <c r="DD126" s="30" t="str">
        <f t="shared" si="2096"/>
        <v/>
      </c>
      <c r="DE126" s="30" t="str">
        <f t="shared" si="2097"/>
        <v/>
      </c>
      <c r="DF126" s="30" t="str">
        <f t="shared" si="2098"/>
        <v/>
      </c>
      <c r="DG126" s="30" t="str">
        <f t="shared" si="2099"/>
        <v/>
      </c>
      <c r="DH126" s="30" t="str">
        <f t="shared" si="2100"/>
        <v/>
      </c>
      <c r="DI126" s="30" t="str">
        <f t="shared" si="2101"/>
        <v/>
      </c>
      <c r="DJ126" s="30" t="str">
        <f t="shared" si="2102"/>
        <v/>
      </c>
      <c r="DK126" s="30" t="str">
        <f t="shared" si="2103"/>
        <v/>
      </c>
      <c r="DL126" s="30" t="str">
        <f t="shared" si="2104"/>
        <v/>
      </c>
      <c r="DM126" s="30" t="str">
        <f t="shared" si="2105"/>
        <v/>
      </c>
      <c r="DN126" s="30" t="str">
        <f t="shared" si="2106"/>
        <v/>
      </c>
      <c r="DO126" s="30" t="str">
        <f t="shared" si="2107"/>
        <v/>
      </c>
      <c r="DP126" s="30" t="str">
        <f t="shared" si="2108"/>
        <v/>
      </c>
      <c r="DQ126" s="30" t="str">
        <f t="shared" si="2109"/>
        <v/>
      </c>
      <c r="DR126" s="30" t="str">
        <f t="shared" si="2110"/>
        <v/>
      </c>
      <c r="DS126" s="30" t="str">
        <f t="shared" si="2111"/>
        <v/>
      </c>
      <c r="DT126" s="30" t="str">
        <f t="shared" si="2112"/>
        <v/>
      </c>
      <c r="DU126" s="30" t="str">
        <f t="shared" si="2113"/>
        <v/>
      </c>
      <c r="DV126" s="30" t="str">
        <f t="shared" si="2114"/>
        <v/>
      </c>
      <c r="DW126" s="30" t="str">
        <f t="shared" si="2115"/>
        <v/>
      </c>
      <c r="DX126" s="30" t="str">
        <f t="shared" si="2116"/>
        <v/>
      </c>
      <c r="DY126" s="30" t="str">
        <f t="shared" si="2117"/>
        <v/>
      </c>
      <c r="DZ126" s="30" t="str">
        <f t="shared" si="2118"/>
        <v/>
      </c>
      <c r="EA126" s="30" t="str">
        <f t="shared" si="2119"/>
        <v/>
      </c>
      <c r="EB126" s="30" t="str">
        <f t="shared" si="2120"/>
        <v/>
      </c>
      <c r="EC126" s="30" t="str">
        <f t="shared" si="2121"/>
        <v/>
      </c>
      <c r="ED126" s="30" t="str">
        <f t="shared" si="2122"/>
        <v/>
      </c>
      <c r="EE126" s="30" t="str">
        <f t="shared" si="2123"/>
        <v/>
      </c>
      <c r="EF126" s="30" t="str">
        <f t="shared" si="2124"/>
        <v/>
      </c>
      <c r="EG126" s="30" t="str">
        <f t="shared" si="2125"/>
        <v/>
      </c>
      <c r="EH126" s="30" t="str">
        <f t="shared" si="2126"/>
        <v/>
      </c>
      <c r="EI126" s="30" t="str">
        <f t="shared" si="2127"/>
        <v/>
      </c>
      <c r="EJ126" s="30" t="str">
        <f t="shared" si="2128"/>
        <v/>
      </c>
      <c r="EK126" s="30" t="str">
        <f t="shared" si="2129"/>
        <v/>
      </c>
      <c r="EL126" s="30" t="str">
        <f t="shared" si="2130"/>
        <v/>
      </c>
      <c r="EM126" s="30" t="str">
        <f t="shared" si="2131"/>
        <v/>
      </c>
      <c r="EN126" s="30" t="str">
        <f t="shared" si="2132"/>
        <v/>
      </c>
      <c r="EO126" s="30" t="str">
        <f t="shared" si="2133"/>
        <v/>
      </c>
      <c r="EP126" s="30" t="str">
        <f t="shared" si="2134"/>
        <v/>
      </c>
      <c r="EQ126" s="30" t="str">
        <f t="shared" si="2135"/>
        <v/>
      </c>
      <c r="ER126" s="30" t="str">
        <f t="shared" si="2136"/>
        <v/>
      </c>
      <c r="ES126" s="30" t="str">
        <f t="shared" si="2137"/>
        <v/>
      </c>
      <c r="ET126" s="30" t="str">
        <f t="shared" si="2138"/>
        <v/>
      </c>
      <c r="EU126" s="30" t="str">
        <f t="shared" si="2139"/>
        <v/>
      </c>
      <c r="EV126" s="30" t="str">
        <f t="shared" si="2140"/>
        <v/>
      </c>
      <c r="EW126" s="30" t="str">
        <f t="shared" si="2141"/>
        <v/>
      </c>
      <c r="EX126" s="30" t="str">
        <f t="shared" si="2142"/>
        <v/>
      </c>
      <c r="EY126" s="30" t="str">
        <f t="shared" si="2143"/>
        <v/>
      </c>
      <c r="EZ126" s="30" t="str">
        <f t="shared" si="2144"/>
        <v/>
      </c>
      <c r="FA126" s="30" t="str">
        <f t="shared" si="2145"/>
        <v/>
      </c>
      <c r="FB126" s="30" t="str">
        <f t="shared" si="2146"/>
        <v/>
      </c>
      <c r="FC126" s="30" t="str">
        <f t="shared" si="2147"/>
        <v/>
      </c>
      <c r="FD126" s="30" t="str">
        <f t="shared" si="2148"/>
        <v/>
      </c>
      <c r="FE126" s="30" t="str">
        <f t="shared" si="2149"/>
        <v/>
      </c>
      <c r="FF126" s="30" t="str">
        <f t="shared" si="2150"/>
        <v/>
      </c>
      <c r="FG126" s="30" t="str">
        <f t="shared" si="2151"/>
        <v/>
      </c>
      <c r="FH126" s="30" t="str">
        <f t="shared" si="2152"/>
        <v/>
      </c>
      <c r="FI126" s="30" t="str">
        <f t="shared" si="2153"/>
        <v/>
      </c>
      <c r="FJ126" s="30" t="str">
        <f t="shared" si="2154"/>
        <v/>
      </c>
      <c r="FK126" s="30" t="str">
        <f t="shared" si="2155"/>
        <v/>
      </c>
      <c r="FL126" s="30" t="str">
        <f t="shared" si="2156"/>
        <v/>
      </c>
      <c r="FM126" s="30" t="str">
        <f t="shared" si="2157"/>
        <v/>
      </c>
      <c r="FN126" s="30" t="str">
        <f t="shared" si="2158"/>
        <v/>
      </c>
      <c r="FO126" s="30" t="str">
        <f t="shared" si="2159"/>
        <v/>
      </c>
      <c r="FP126" s="30" t="str">
        <f t="shared" si="2160"/>
        <v/>
      </c>
      <c r="FQ126" s="30" t="str">
        <f t="shared" si="2161"/>
        <v/>
      </c>
      <c r="FR126" s="30" t="str">
        <f t="shared" si="2162"/>
        <v/>
      </c>
      <c r="FS126" s="30" t="str">
        <f t="shared" si="2163"/>
        <v/>
      </c>
    </row>
    <row r="127" spans="1:175" ht="16.5">
      <c r="A127" s="117"/>
      <c r="B127" s="111" t="s">
        <v>903</v>
      </c>
      <c r="C127" s="117" t="s">
        <v>904</v>
      </c>
      <c r="T127" s="117" t="s">
        <v>892</v>
      </c>
      <c r="U127" s="37" t="s">
        <v>822</v>
      </c>
      <c r="CN127" s="7" t="str">
        <f t="shared" si="2087"/>
        <v>InitUnitState('IH06',,,,,,,,,,)</v>
      </c>
      <c r="CO127" s="7" t="str">
        <f t="shared" si="2088"/>
        <v>InitUnitNormal('IH06',,,,,,,,,,)</v>
      </c>
      <c r="CP127" s="7" t="str">
        <f t="shared" si="2089"/>
        <v>InitUnitMagic('IH06',,,,,,,,,,)</v>
      </c>
      <c r="CQ127" s="7" t="str">
        <f t="shared" si="2090"/>
        <v>InitUnitAdd('IH06',,,,,,,,,,)</v>
      </c>
      <c r="CR127" s="7" t="str">
        <f t="shared" si="2091"/>
        <v>InitEquipData('IH06',,"",,,,,'','','','','','',"ReplaceableTextures\\CommandButtons\\BTNTome.blp")</v>
      </c>
      <c r="CU127" s="45" t="str">
        <f t="shared" si="2092"/>
        <v>|n</v>
      </c>
      <c r="CV127" s="29" t="str">
        <f t="shared" si="2093"/>
        <v>觉醒兽魂</v>
      </c>
      <c r="CW127" s="24"/>
      <c r="CX127" s="24"/>
      <c r="CY127" s="24"/>
      <c r="CZ127" s="24"/>
      <c r="DA127" s="24"/>
      <c r="DB127" s="30" t="str">
        <f t="shared" si="2094"/>
        <v/>
      </c>
      <c r="DC127" s="30" t="str">
        <f t="shared" si="2095"/>
        <v/>
      </c>
      <c r="DD127" s="30" t="str">
        <f t="shared" si="2096"/>
        <v/>
      </c>
      <c r="DE127" s="30" t="str">
        <f t="shared" si="2097"/>
        <v/>
      </c>
      <c r="DF127" s="30" t="str">
        <f t="shared" si="2098"/>
        <v/>
      </c>
      <c r="DG127" s="30" t="str">
        <f t="shared" si="2099"/>
        <v/>
      </c>
      <c r="DH127" s="30" t="str">
        <f t="shared" si="2100"/>
        <v/>
      </c>
      <c r="DI127" s="30" t="str">
        <f t="shared" si="2101"/>
        <v/>
      </c>
      <c r="DJ127" s="30" t="str">
        <f t="shared" si="2102"/>
        <v/>
      </c>
      <c r="DK127" s="30" t="str">
        <f t="shared" si="2103"/>
        <v/>
      </c>
      <c r="DL127" s="30" t="str">
        <f t="shared" si="2104"/>
        <v/>
      </c>
      <c r="DM127" s="30" t="str">
        <f t="shared" si="2105"/>
        <v/>
      </c>
      <c r="DN127" s="30" t="str">
        <f t="shared" si="2106"/>
        <v/>
      </c>
      <c r="DO127" s="30" t="str">
        <f t="shared" si="2107"/>
        <v/>
      </c>
      <c r="DP127" s="30" t="str">
        <f t="shared" si="2108"/>
        <v/>
      </c>
      <c r="DQ127" s="30" t="str">
        <f t="shared" si="2109"/>
        <v/>
      </c>
      <c r="DR127" s="30" t="str">
        <f t="shared" si="2110"/>
        <v/>
      </c>
      <c r="DS127" s="30" t="str">
        <f t="shared" si="2111"/>
        <v/>
      </c>
      <c r="DT127" s="30" t="str">
        <f t="shared" si="2112"/>
        <v/>
      </c>
      <c r="DU127" s="30" t="str">
        <f t="shared" si="2113"/>
        <v/>
      </c>
      <c r="DV127" s="30" t="str">
        <f t="shared" si="2114"/>
        <v/>
      </c>
      <c r="DW127" s="30" t="str">
        <f t="shared" si="2115"/>
        <v/>
      </c>
      <c r="DX127" s="30" t="str">
        <f t="shared" si="2116"/>
        <v/>
      </c>
      <c r="DY127" s="30" t="str">
        <f t="shared" si="2117"/>
        <v/>
      </c>
      <c r="DZ127" s="30" t="str">
        <f t="shared" si="2118"/>
        <v/>
      </c>
      <c r="EA127" s="30" t="str">
        <f t="shared" si="2119"/>
        <v/>
      </c>
      <c r="EB127" s="30" t="str">
        <f t="shared" si="2120"/>
        <v/>
      </c>
      <c r="EC127" s="30" t="str">
        <f t="shared" si="2121"/>
        <v/>
      </c>
      <c r="ED127" s="30" t="str">
        <f t="shared" si="2122"/>
        <v/>
      </c>
      <c r="EE127" s="30" t="str">
        <f t="shared" si="2123"/>
        <v/>
      </c>
      <c r="EF127" s="30" t="str">
        <f t="shared" si="2124"/>
        <v/>
      </c>
      <c r="EG127" s="30" t="str">
        <f t="shared" si="2125"/>
        <v/>
      </c>
      <c r="EH127" s="30" t="str">
        <f t="shared" si="2126"/>
        <v/>
      </c>
      <c r="EI127" s="30" t="str">
        <f t="shared" si="2127"/>
        <v/>
      </c>
      <c r="EJ127" s="30" t="str">
        <f t="shared" si="2128"/>
        <v/>
      </c>
      <c r="EK127" s="30" t="str">
        <f t="shared" si="2129"/>
        <v/>
      </c>
      <c r="EL127" s="30" t="str">
        <f t="shared" si="2130"/>
        <v/>
      </c>
      <c r="EM127" s="30" t="str">
        <f t="shared" si="2131"/>
        <v/>
      </c>
      <c r="EN127" s="30" t="str">
        <f t="shared" si="2132"/>
        <v/>
      </c>
      <c r="EO127" s="30" t="str">
        <f t="shared" si="2133"/>
        <v/>
      </c>
      <c r="EP127" s="30" t="str">
        <f t="shared" si="2134"/>
        <v/>
      </c>
      <c r="EQ127" s="30" t="str">
        <f t="shared" si="2135"/>
        <v/>
      </c>
      <c r="ER127" s="30" t="str">
        <f t="shared" si="2136"/>
        <v/>
      </c>
      <c r="ES127" s="30" t="str">
        <f t="shared" si="2137"/>
        <v/>
      </c>
      <c r="ET127" s="30" t="str">
        <f t="shared" si="2138"/>
        <v/>
      </c>
      <c r="EU127" s="30" t="str">
        <f t="shared" si="2139"/>
        <v/>
      </c>
      <c r="EV127" s="30" t="str">
        <f t="shared" si="2140"/>
        <v/>
      </c>
      <c r="EW127" s="30" t="str">
        <f t="shared" si="2141"/>
        <v/>
      </c>
      <c r="EX127" s="30" t="str">
        <f t="shared" si="2142"/>
        <v/>
      </c>
      <c r="EY127" s="30" t="str">
        <f t="shared" si="2143"/>
        <v/>
      </c>
      <c r="EZ127" s="30" t="str">
        <f t="shared" si="2144"/>
        <v/>
      </c>
      <c r="FA127" s="30" t="str">
        <f t="shared" si="2145"/>
        <v/>
      </c>
      <c r="FB127" s="30" t="str">
        <f t="shared" si="2146"/>
        <v/>
      </c>
      <c r="FC127" s="30" t="str">
        <f t="shared" si="2147"/>
        <v/>
      </c>
      <c r="FD127" s="30" t="str">
        <f t="shared" si="2148"/>
        <v/>
      </c>
      <c r="FE127" s="30" t="str">
        <f t="shared" si="2149"/>
        <v/>
      </c>
      <c r="FF127" s="30" t="str">
        <f t="shared" si="2150"/>
        <v/>
      </c>
      <c r="FG127" s="30" t="str">
        <f t="shared" si="2151"/>
        <v/>
      </c>
      <c r="FH127" s="30" t="str">
        <f t="shared" si="2152"/>
        <v/>
      </c>
      <c r="FI127" s="30" t="str">
        <f t="shared" si="2153"/>
        <v/>
      </c>
      <c r="FJ127" s="30" t="str">
        <f t="shared" si="2154"/>
        <v/>
      </c>
      <c r="FK127" s="30" t="str">
        <f t="shared" si="2155"/>
        <v/>
      </c>
      <c r="FL127" s="30" t="str">
        <f t="shared" si="2156"/>
        <v/>
      </c>
      <c r="FM127" s="30" t="str">
        <f t="shared" si="2157"/>
        <v/>
      </c>
      <c r="FN127" s="30" t="str">
        <f t="shared" si="2158"/>
        <v/>
      </c>
      <c r="FO127" s="30" t="str">
        <f t="shared" si="2159"/>
        <v/>
      </c>
      <c r="FP127" s="30" t="str">
        <f t="shared" si="2160"/>
        <v/>
      </c>
      <c r="FQ127" s="30" t="str">
        <f t="shared" si="2161"/>
        <v/>
      </c>
      <c r="FR127" s="30" t="str">
        <f t="shared" si="2162"/>
        <v/>
      </c>
      <c r="FS127" s="30" t="str">
        <f t="shared" si="2163"/>
        <v/>
      </c>
    </row>
    <row r="128" spans="1:175" ht="16.5">
      <c r="A128" s="117"/>
      <c r="B128" s="111" t="s">
        <v>905</v>
      </c>
      <c r="C128" s="117" t="s">
        <v>906</v>
      </c>
      <c r="T128" s="117" t="s">
        <v>892</v>
      </c>
      <c r="U128" s="37" t="s">
        <v>822</v>
      </c>
      <c r="CN128" s="7" t="str">
        <f t="shared" si="2087"/>
        <v>InitUnitState('IH07',,,,,,,,,,)</v>
      </c>
      <c r="CO128" s="7" t="str">
        <f t="shared" si="2088"/>
        <v>InitUnitNormal('IH07',,,,,,,,,,)</v>
      </c>
      <c r="CP128" s="7" t="str">
        <f t="shared" si="2089"/>
        <v>InitUnitMagic('IH07',,,,,,,,,,)</v>
      </c>
      <c r="CQ128" s="7" t="str">
        <f t="shared" si="2090"/>
        <v>InitUnitAdd('IH07',,,,,,,,,,)</v>
      </c>
      <c r="CR128" s="7" t="str">
        <f t="shared" si="2091"/>
        <v>InitEquipData('IH07',,"",,,,,'','','','','','',"ReplaceableTextures\\CommandButtons\\BTNTome.blp")</v>
      </c>
      <c r="CU128" s="45" t="str">
        <f t="shared" si="2092"/>
        <v>|n</v>
      </c>
      <c r="CV128" s="29" t="str">
        <f t="shared" si="2093"/>
        <v>觉醒兽魂</v>
      </c>
      <c r="CW128" s="24"/>
      <c r="CX128" s="24"/>
      <c r="CY128" s="24"/>
      <c r="CZ128" s="24"/>
      <c r="DA128" s="24"/>
      <c r="DB128" s="30" t="str">
        <f t="shared" si="2094"/>
        <v/>
      </c>
      <c r="DC128" s="30" t="str">
        <f t="shared" si="2095"/>
        <v/>
      </c>
      <c r="DD128" s="30" t="str">
        <f t="shared" si="2096"/>
        <v/>
      </c>
      <c r="DE128" s="30" t="str">
        <f t="shared" si="2097"/>
        <v/>
      </c>
      <c r="DF128" s="30" t="str">
        <f t="shared" si="2098"/>
        <v/>
      </c>
      <c r="DG128" s="30" t="str">
        <f t="shared" si="2099"/>
        <v/>
      </c>
      <c r="DH128" s="30" t="str">
        <f t="shared" si="2100"/>
        <v/>
      </c>
      <c r="DI128" s="30" t="str">
        <f t="shared" si="2101"/>
        <v/>
      </c>
      <c r="DJ128" s="30" t="str">
        <f t="shared" si="2102"/>
        <v/>
      </c>
      <c r="DK128" s="30" t="str">
        <f t="shared" si="2103"/>
        <v/>
      </c>
      <c r="DL128" s="30" t="str">
        <f t="shared" si="2104"/>
        <v/>
      </c>
      <c r="DM128" s="30" t="str">
        <f t="shared" si="2105"/>
        <v/>
      </c>
      <c r="DN128" s="30" t="str">
        <f t="shared" si="2106"/>
        <v/>
      </c>
      <c r="DO128" s="30" t="str">
        <f t="shared" si="2107"/>
        <v/>
      </c>
      <c r="DP128" s="30" t="str">
        <f t="shared" si="2108"/>
        <v/>
      </c>
      <c r="DQ128" s="30" t="str">
        <f t="shared" si="2109"/>
        <v/>
      </c>
      <c r="DR128" s="30" t="str">
        <f t="shared" si="2110"/>
        <v/>
      </c>
      <c r="DS128" s="30" t="str">
        <f t="shared" si="2111"/>
        <v/>
      </c>
      <c r="DT128" s="30" t="str">
        <f t="shared" si="2112"/>
        <v/>
      </c>
      <c r="DU128" s="30" t="str">
        <f t="shared" si="2113"/>
        <v/>
      </c>
      <c r="DV128" s="30" t="str">
        <f t="shared" si="2114"/>
        <v/>
      </c>
      <c r="DW128" s="30" t="str">
        <f t="shared" si="2115"/>
        <v/>
      </c>
      <c r="DX128" s="30" t="str">
        <f t="shared" si="2116"/>
        <v/>
      </c>
      <c r="DY128" s="30" t="str">
        <f t="shared" si="2117"/>
        <v/>
      </c>
      <c r="DZ128" s="30" t="str">
        <f t="shared" si="2118"/>
        <v/>
      </c>
      <c r="EA128" s="30" t="str">
        <f t="shared" si="2119"/>
        <v/>
      </c>
      <c r="EB128" s="30" t="str">
        <f t="shared" si="2120"/>
        <v/>
      </c>
      <c r="EC128" s="30" t="str">
        <f t="shared" si="2121"/>
        <v/>
      </c>
      <c r="ED128" s="30" t="str">
        <f t="shared" si="2122"/>
        <v/>
      </c>
      <c r="EE128" s="30" t="str">
        <f t="shared" si="2123"/>
        <v/>
      </c>
      <c r="EF128" s="30" t="str">
        <f t="shared" si="2124"/>
        <v/>
      </c>
      <c r="EG128" s="30" t="str">
        <f t="shared" si="2125"/>
        <v/>
      </c>
      <c r="EH128" s="30" t="str">
        <f t="shared" si="2126"/>
        <v/>
      </c>
      <c r="EI128" s="30" t="str">
        <f t="shared" si="2127"/>
        <v/>
      </c>
      <c r="EJ128" s="30" t="str">
        <f t="shared" si="2128"/>
        <v/>
      </c>
      <c r="EK128" s="30" t="str">
        <f t="shared" si="2129"/>
        <v/>
      </c>
      <c r="EL128" s="30" t="str">
        <f t="shared" si="2130"/>
        <v/>
      </c>
      <c r="EM128" s="30" t="str">
        <f t="shared" si="2131"/>
        <v/>
      </c>
      <c r="EN128" s="30" t="str">
        <f t="shared" si="2132"/>
        <v/>
      </c>
      <c r="EO128" s="30" t="str">
        <f t="shared" si="2133"/>
        <v/>
      </c>
      <c r="EP128" s="30" t="str">
        <f t="shared" si="2134"/>
        <v/>
      </c>
      <c r="EQ128" s="30" t="str">
        <f t="shared" si="2135"/>
        <v/>
      </c>
      <c r="ER128" s="30" t="str">
        <f t="shared" si="2136"/>
        <v/>
      </c>
      <c r="ES128" s="30" t="str">
        <f t="shared" si="2137"/>
        <v/>
      </c>
      <c r="ET128" s="30" t="str">
        <f t="shared" si="2138"/>
        <v/>
      </c>
      <c r="EU128" s="30" t="str">
        <f t="shared" si="2139"/>
        <v/>
      </c>
      <c r="EV128" s="30" t="str">
        <f t="shared" si="2140"/>
        <v/>
      </c>
      <c r="EW128" s="30" t="str">
        <f t="shared" si="2141"/>
        <v/>
      </c>
      <c r="EX128" s="30" t="str">
        <f t="shared" si="2142"/>
        <v/>
      </c>
      <c r="EY128" s="30" t="str">
        <f t="shared" si="2143"/>
        <v/>
      </c>
      <c r="EZ128" s="30" t="str">
        <f t="shared" si="2144"/>
        <v/>
      </c>
      <c r="FA128" s="30" t="str">
        <f t="shared" si="2145"/>
        <v/>
      </c>
      <c r="FB128" s="30" t="str">
        <f t="shared" si="2146"/>
        <v/>
      </c>
      <c r="FC128" s="30" t="str">
        <f t="shared" si="2147"/>
        <v/>
      </c>
      <c r="FD128" s="30" t="str">
        <f t="shared" si="2148"/>
        <v/>
      </c>
      <c r="FE128" s="30" t="str">
        <f t="shared" si="2149"/>
        <v/>
      </c>
      <c r="FF128" s="30" t="str">
        <f t="shared" si="2150"/>
        <v/>
      </c>
      <c r="FG128" s="30" t="str">
        <f t="shared" si="2151"/>
        <v/>
      </c>
      <c r="FH128" s="30" t="str">
        <f t="shared" si="2152"/>
        <v/>
      </c>
      <c r="FI128" s="30" t="str">
        <f t="shared" si="2153"/>
        <v/>
      </c>
      <c r="FJ128" s="30" t="str">
        <f t="shared" si="2154"/>
        <v/>
      </c>
      <c r="FK128" s="30" t="str">
        <f t="shared" si="2155"/>
        <v/>
      </c>
      <c r="FL128" s="30" t="str">
        <f t="shared" si="2156"/>
        <v/>
      </c>
      <c r="FM128" s="30" t="str">
        <f t="shared" si="2157"/>
        <v/>
      </c>
      <c r="FN128" s="30" t="str">
        <f t="shared" si="2158"/>
        <v/>
      </c>
      <c r="FO128" s="30" t="str">
        <f t="shared" si="2159"/>
        <v/>
      </c>
      <c r="FP128" s="30" t="str">
        <f t="shared" si="2160"/>
        <v/>
      </c>
      <c r="FQ128" s="30" t="str">
        <f t="shared" si="2161"/>
        <v/>
      </c>
      <c r="FR128" s="30" t="str">
        <f t="shared" si="2162"/>
        <v/>
      </c>
      <c r="FS128" s="30" t="str">
        <f t="shared" si="2163"/>
        <v/>
      </c>
    </row>
    <row r="129" spans="1:175" ht="16.5">
      <c r="A129" s="117"/>
      <c r="B129" s="111" t="s">
        <v>907</v>
      </c>
      <c r="C129" s="117" t="s">
        <v>908</v>
      </c>
      <c r="T129" s="117" t="s">
        <v>892</v>
      </c>
      <c r="U129" s="37" t="s">
        <v>822</v>
      </c>
      <c r="CN129" s="7" t="str">
        <f t="shared" si="2087"/>
        <v>InitUnitState('IH08',,,,,,,,,,)</v>
      </c>
      <c r="CO129" s="7" t="str">
        <f t="shared" si="2088"/>
        <v>InitUnitNormal('IH08',,,,,,,,,,)</v>
      </c>
      <c r="CP129" s="7" t="str">
        <f t="shared" si="2089"/>
        <v>InitUnitMagic('IH08',,,,,,,,,,)</v>
      </c>
      <c r="CQ129" s="7" t="str">
        <f t="shared" si="2090"/>
        <v>InitUnitAdd('IH08',,,,,,,,,,)</v>
      </c>
      <c r="CR129" s="7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135&amp;CR$1&amp;")"</f>
        <v>InitEquipData('IH08',,"",,,,,'','','','','','',"")</v>
      </c>
      <c r="CU129" s="45" t="str">
        <f t="shared" si="2092"/>
        <v>|n</v>
      </c>
      <c r="CV129" s="29" t="str">
        <f t="shared" si="2093"/>
        <v>觉醒兽魂</v>
      </c>
      <c r="CW129" s="24"/>
      <c r="CX129" s="24"/>
      <c r="CY129" s="24"/>
      <c r="CZ129" s="24"/>
      <c r="DA129" s="24"/>
      <c r="DB129" s="30" t="str">
        <f t="shared" si="2094"/>
        <v/>
      </c>
      <c r="DC129" s="30" t="str">
        <f t="shared" si="2095"/>
        <v/>
      </c>
      <c r="DD129" s="30" t="str">
        <f t="shared" si="2096"/>
        <v/>
      </c>
      <c r="DE129" s="30" t="str">
        <f t="shared" si="2097"/>
        <v/>
      </c>
      <c r="DF129" s="30" t="str">
        <f t="shared" si="2098"/>
        <v/>
      </c>
      <c r="DG129" s="30" t="str">
        <f t="shared" si="2099"/>
        <v/>
      </c>
      <c r="DH129" s="30" t="str">
        <f t="shared" si="2100"/>
        <v/>
      </c>
      <c r="DI129" s="30" t="str">
        <f t="shared" si="2101"/>
        <v/>
      </c>
      <c r="DJ129" s="30" t="str">
        <f t="shared" si="2102"/>
        <v/>
      </c>
      <c r="DK129" s="30" t="str">
        <f t="shared" si="2103"/>
        <v/>
      </c>
      <c r="DL129" s="30" t="str">
        <f t="shared" si="2104"/>
        <v/>
      </c>
      <c r="DM129" s="30" t="str">
        <f t="shared" si="2105"/>
        <v/>
      </c>
      <c r="DN129" s="30" t="str">
        <f t="shared" si="2106"/>
        <v/>
      </c>
      <c r="DO129" s="30" t="str">
        <f t="shared" si="2107"/>
        <v/>
      </c>
      <c r="DP129" s="30" t="str">
        <f t="shared" si="2108"/>
        <v/>
      </c>
      <c r="DQ129" s="30" t="str">
        <f t="shared" si="2109"/>
        <v/>
      </c>
      <c r="DR129" s="30" t="str">
        <f t="shared" si="2110"/>
        <v/>
      </c>
      <c r="DS129" s="30" t="str">
        <f t="shared" si="2111"/>
        <v/>
      </c>
      <c r="DT129" s="30" t="str">
        <f t="shared" si="2112"/>
        <v/>
      </c>
      <c r="DU129" s="30" t="str">
        <f t="shared" si="2113"/>
        <v/>
      </c>
      <c r="DV129" s="30" t="str">
        <f t="shared" si="2114"/>
        <v/>
      </c>
      <c r="DW129" s="30" t="str">
        <f t="shared" si="2115"/>
        <v/>
      </c>
      <c r="DX129" s="30" t="str">
        <f t="shared" si="2116"/>
        <v/>
      </c>
      <c r="DY129" s="30" t="str">
        <f t="shared" si="2117"/>
        <v/>
      </c>
      <c r="DZ129" s="30" t="str">
        <f t="shared" si="2118"/>
        <v/>
      </c>
      <c r="EA129" s="30" t="str">
        <f t="shared" si="2119"/>
        <v/>
      </c>
      <c r="EB129" s="30" t="str">
        <f t="shared" si="2120"/>
        <v/>
      </c>
      <c r="EC129" s="30" t="str">
        <f t="shared" si="2121"/>
        <v/>
      </c>
      <c r="ED129" s="30" t="str">
        <f t="shared" si="2122"/>
        <v/>
      </c>
      <c r="EE129" s="30" t="str">
        <f t="shared" si="2123"/>
        <v/>
      </c>
      <c r="EF129" s="30" t="str">
        <f t="shared" si="2124"/>
        <v/>
      </c>
      <c r="EG129" s="30" t="str">
        <f t="shared" si="2125"/>
        <v/>
      </c>
      <c r="EH129" s="30" t="str">
        <f t="shared" si="2126"/>
        <v/>
      </c>
      <c r="EI129" s="30" t="str">
        <f t="shared" si="2127"/>
        <v/>
      </c>
      <c r="EJ129" s="30" t="str">
        <f t="shared" si="2128"/>
        <v/>
      </c>
      <c r="EK129" s="30" t="str">
        <f t="shared" si="2129"/>
        <v/>
      </c>
      <c r="EL129" s="30" t="str">
        <f t="shared" si="2130"/>
        <v/>
      </c>
      <c r="EM129" s="30" t="str">
        <f t="shared" si="2131"/>
        <v/>
      </c>
      <c r="EN129" s="30" t="str">
        <f t="shared" si="2132"/>
        <v/>
      </c>
      <c r="EO129" s="30" t="str">
        <f t="shared" si="2133"/>
        <v/>
      </c>
      <c r="EP129" s="30" t="str">
        <f t="shared" si="2134"/>
        <v/>
      </c>
      <c r="EQ129" s="30" t="str">
        <f t="shared" si="2135"/>
        <v/>
      </c>
      <c r="ER129" s="30" t="str">
        <f t="shared" si="2136"/>
        <v/>
      </c>
      <c r="ES129" s="30" t="str">
        <f t="shared" si="2137"/>
        <v/>
      </c>
      <c r="ET129" s="30" t="str">
        <f t="shared" si="2138"/>
        <v/>
      </c>
      <c r="EU129" s="30" t="str">
        <f t="shared" si="2139"/>
        <v/>
      </c>
      <c r="EV129" s="30" t="str">
        <f t="shared" si="2140"/>
        <v/>
      </c>
      <c r="EW129" s="30" t="str">
        <f t="shared" si="2141"/>
        <v/>
      </c>
      <c r="EX129" s="30" t="str">
        <f t="shared" si="2142"/>
        <v/>
      </c>
      <c r="EY129" s="30" t="str">
        <f t="shared" si="2143"/>
        <v/>
      </c>
      <c r="EZ129" s="30" t="str">
        <f t="shared" si="2144"/>
        <v/>
      </c>
      <c r="FA129" s="30" t="str">
        <f t="shared" si="2145"/>
        <v/>
      </c>
      <c r="FB129" s="30" t="str">
        <f t="shared" si="2146"/>
        <v/>
      </c>
      <c r="FC129" s="30" t="str">
        <f t="shared" si="2147"/>
        <v/>
      </c>
      <c r="FD129" s="30" t="str">
        <f t="shared" si="2148"/>
        <v/>
      </c>
      <c r="FE129" s="30" t="str">
        <f t="shared" si="2149"/>
        <v/>
      </c>
      <c r="FF129" s="30" t="str">
        <f t="shared" si="2150"/>
        <v/>
      </c>
      <c r="FG129" s="30" t="str">
        <f t="shared" si="2151"/>
        <v/>
      </c>
      <c r="FH129" s="30" t="str">
        <f t="shared" si="2152"/>
        <v/>
      </c>
      <c r="FI129" s="30" t="str">
        <f t="shared" si="2153"/>
        <v/>
      </c>
      <c r="FJ129" s="30" t="str">
        <f t="shared" si="2154"/>
        <v/>
      </c>
      <c r="FK129" s="30" t="str">
        <f t="shared" si="2155"/>
        <v/>
      </c>
      <c r="FL129" s="30" t="str">
        <f t="shared" si="2156"/>
        <v/>
      </c>
      <c r="FM129" s="30" t="str">
        <f t="shared" si="2157"/>
        <v/>
      </c>
      <c r="FN129" s="30" t="str">
        <f t="shared" si="2158"/>
        <v/>
      </c>
      <c r="FO129" s="30" t="str">
        <f t="shared" si="2159"/>
        <v/>
      </c>
      <c r="FP129" s="30" t="str">
        <f t="shared" si="2160"/>
        <v/>
      </c>
      <c r="FQ129" s="30" t="str">
        <f t="shared" si="2161"/>
        <v/>
      </c>
      <c r="FR129" s="30" t="str">
        <f t="shared" si="2162"/>
        <v/>
      </c>
      <c r="FS129" s="30" t="str">
        <f t="shared" si="2163"/>
        <v/>
      </c>
    </row>
    <row r="130" spans="1:175" ht="16.5">
      <c r="A130" s="117"/>
      <c r="B130" s="66" t="s">
        <v>909</v>
      </c>
      <c r="C130" s="88" t="s">
        <v>910</v>
      </c>
      <c r="T130" s="88" t="s">
        <v>910</v>
      </c>
      <c r="U130" s="37" t="s">
        <v>822</v>
      </c>
      <c r="CN130" s="7" t="str">
        <f t="shared" ref="CN130:CN134" si="2164">"InitUnitState('"&amp;B130&amp;"',"&amp;V130&amp;","&amp;W130&amp;","&amp;X130&amp;","&amp;Y130&amp;","&amp;Z130&amp;","&amp;AA130&amp;","&amp;AB130&amp;","&amp;AC130&amp;","&amp;AD130&amp;","&amp;AE130&amp;")"</f>
        <v>InitUnitState('IB01',,,,,,,,,,)</v>
      </c>
      <c r="CO130" s="7" t="str">
        <f t="shared" ref="CO130:CO134" si="2165">"InitUnitNormal('"&amp;B130&amp;"',"&amp;AF130&amp;","&amp;AG130&amp;","&amp;AH130&amp;","&amp;AI130&amp;","&amp;AJ130&amp;","&amp;AK130&amp;","&amp;AL130&amp;","&amp;AM130&amp;","&amp;AN130&amp;","&amp;AO130&amp;")"</f>
        <v>InitUnitNormal('IB01',,,,,,,,,,)</v>
      </c>
      <c r="CP130" s="7" t="str">
        <f t="shared" ref="CP130:CP134" si="2166">"InitUnitMagic('"&amp;B130&amp;"',"&amp;AP130&amp;","&amp;AQ130&amp;","&amp;AR130&amp;","&amp;AS130&amp;","&amp;AT130&amp;","&amp;AU130&amp;","&amp;AV130&amp;","&amp;AW130&amp;","&amp;BI130&amp;","&amp;BJ130&amp;")"</f>
        <v>InitUnitMagic('IB01',,,,,,,,,,)</v>
      </c>
      <c r="CQ130" s="7" t="str">
        <f t="shared" ref="CQ130:CQ134" si="2167">"InitUnitAdd('"&amp;B130&amp;"',"&amp;BK130&amp;","&amp;BL130&amp;","&amp;BM130&amp;","&amp;BN130&amp;","&amp;BO130&amp;","&amp;BP130&amp;","&amp;BQ130&amp;","&amp;BR130&amp;","&amp;BS130&amp;","&amp;BT130&amp;")"</f>
        <v>InitUnitAdd('IB01',,,,,,,,,,)</v>
      </c>
      <c r="CR130" s="7" t="str">
        <f t="shared" ref="CR130:CR133" si="2168"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131&amp;CR$1&amp;")"</f>
        <v>InitEquipData('IB01',,"",,,,,'','','','','','',"ReplaceableTextures\\CommandButtons\\BTNTome.blp")</v>
      </c>
      <c r="CU130" s="45" t="str">
        <f t="shared" ref="CU130:CU134" si="2169">CONCATENATE(DB130,DC130,DD130,DE130,DF130,DG130,DH130,DI130,DJ130,DK130,DL130,DM130,DN130,DO130,DP130,DQ130,DR130,DS130,DT130,DU130,DV130,DW130,DX130,DY130,DZ130,EA130,EB130,EC130,ED130,EE130,EF130,EG130,EH130,EI130,EJ130,EK130,EL130,EM130,EN130,EO130,EP130&amp;"|n")</f>
        <v>|n</v>
      </c>
      <c r="CV130" s="29" t="str">
        <f t="shared" ref="CV130:CV134" si="2170">T130</f>
        <v>入群礼包</v>
      </c>
      <c r="CW130" s="24"/>
      <c r="CX130" s="24"/>
      <c r="CY130" s="24"/>
      <c r="CZ130" s="24"/>
      <c r="DA130" s="24"/>
      <c r="DB130" s="30" t="str">
        <f t="shared" ref="DB130:DB134" si="2171">IF(V130="","","|n"&amp;DB$2&amp;"+"&amp;V130&amp;DB$1)</f>
        <v/>
      </c>
      <c r="DC130" s="30" t="str">
        <f t="shared" ref="DC130:DC134" si="2172">IF(W130="","","|n"&amp;DC$2&amp;"+"&amp;W130&amp;DC$1)</f>
        <v/>
      </c>
      <c r="DD130" s="30" t="str">
        <f t="shared" ref="DD130:DD134" si="2173">IF(X130="","","|n"&amp;DD$2&amp;"+"&amp;X130&amp;DD$1)</f>
        <v/>
      </c>
      <c r="DE130" s="30" t="str">
        <f t="shared" ref="DE130:DE134" si="2174">IF(Y130="","","|n"&amp;DE$2&amp;"+"&amp;Y130&amp;DE$1)</f>
        <v/>
      </c>
      <c r="DF130" s="30" t="str">
        <f t="shared" ref="DF130:DF134" si="2175">IF(Z130="","","|n"&amp;DF$2&amp;"+"&amp;Z130&amp;DF$1)</f>
        <v/>
      </c>
      <c r="DG130" s="30" t="str">
        <f t="shared" ref="DG130:DG134" si="2176">IF(AA130="","","|n"&amp;DG$2&amp;"+"&amp;AA130&amp;DG$1)</f>
        <v/>
      </c>
      <c r="DH130" s="30" t="str">
        <f t="shared" ref="DH130:DH134" si="2177">IF(AB130="","","|n"&amp;DH$2&amp;"+"&amp;AB130&amp;DH$1)</f>
        <v/>
      </c>
      <c r="DI130" s="30" t="str">
        <f t="shared" ref="DI130:DI134" si="2178">IF(AC130="","","|n"&amp;DI$2&amp;"+"&amp;AC130&amp;DI$1)</f>
        <v/>
      </c>
      <c r="DJ130" s="30" t="str">
        <f t="shared" ref="DJ130:DJ134" si="2179">IF(AD130="","","|n"&amp;DJ$2&amp;"+"&amp;AD130&amp;DJ$1)</f>
        <v/>
      </c>
      <c r="DK130" s="30" t="str">
        <f t="shared" ref="DK130:DK134" si="2180">IF(AE130="","","|n"&amp;DK$2&amp;"+"&amp;AE130&amp;DK$1)</f>
        <v/>
      </c>
      <c r="DL130" s="30" t="str">
        <f t="shared" ref="DL130:DL134" si="2181">IF(AF130="","","|n"&amp;DL$2&amp;"+"&amp;AF130&amp;DL$1)</f>
        <v/>
      </c>
      <c r="DM130" s="30" t="str">
        <f t="shared" ref="DM130:DM134" si="2182">IF(AG130="","","|n"&amp;DM$2&amp;"+"&amp;AG130&amp;DM$1)</f>
        <v/>
      </c>
      <c r="DN130" s="30" t="str">
        <f t="shared" ref="DN130:DN134" si="2183">IF(AH130="","","|n"&amp;DN$2&amp;"+"&amp;AH130&amp;DN$1)</f>
        <v/>
      </c>
      <c r="DO130" s="30" t="str">
        <f t="shared" ref="DO130:DO134" si="2184">IF(AI130="","","|n"&amp;DO$2&amp;"+"&amp;AI130&amp;DO$1)</f>
        <v/>
      </c>
      <c r="DP130" s="30" t="str">
        <f t="shared" ref="DP130:DP134" si="2185">IF(AJ130="","","|n"&amp;DP$2&amp;"+"&amp;AJ130&amp;DP$1)</f>
        <v/>
      </c>
      <c r="DQ130" s="30" t="str">
        <f t="shared" ref="DQ130:DQ134" si="2186">IF(AK130="","","|n"&amp;DQ$2&amp;"+"&amp;AK130&amp;DQ$1)</f>
        <v/>
      </c>
      <c r="DR130" s="30" t="str">
        <f t="shared" ref="DR130:DR134" si="2187">IF(AL130="","","|n"&amp;DR$2&amp;"+"&amp;AL130&amp;DR$1)</f>
        <v/>
      </c>
      <c r="DS130" s="30" t="str">
        <f t="shared" ref="DS130:DS134" si="2188">IF(AM130="","","|n"&amp;DS$2&amp;"+"&amp;AM130&amp;DS$1)</f>
        <v/>
      </c>
      <c r="DT130" s="30" t="str">
        <f t="shared" ref="DT130:DT134" si="2189">IF(AN130="","","|n"&amp;DT$2&amp;"+"&amp;AN130&amp;DT$1)</f>
        <v/>
      </c>
      <c r="DU130" s="30" t="str">
        <f t="shared" ref="DU130:DU134" si="2190">IF(AO130="","","|n"&amp;DU$2&amp;"+"&amp;AO130&amp;DU$1)</f>
        <v/>
      </c>
      <c r="DV130" s="30" t="str">
        <f t="shared" ref="DV130:DV134" si="2191">IF(AP130="","","|n"&amp;DV$2&amp;"+"&amp;AP130&amp;DV$1)</f>
        <v/>
      </c>
      <c r="DW130" s="30" t="str">
        <f t="shared" ref="DW130:DW134" si="2192">IF(AQ130="","","|n"&amp;DW$2&amp;"+"&amp;AQ130&amp;DW$1)</f>
        <v/>
      </c>
      <c r="DX130" s="30" t="str">
        <f t="shared" ref="DX130:DX134" si="2193">IF(AR130="","","|n"&amp;DX$2&amp;"+"&amp;AR130&amp;DX$1)</f>
        <v/>
      </c>
      <c r="DY130" s="30" t="str">
        <f t="shared" ref="DY130:DY134" si="2194">IF(AS130="","","|n"&amp;DY$2&amp;"+"&amp;AS130&amp;DY$1)</f>
        <v/>
      </c>
      <c r="DZ130" s="30" t="str">
        <f t="shared" ref="DZ130:DZ134" si="2195">IF(AT130="","","|n"&amp;DZ$2&amp;"+"&amp;AT130&amp;DZ$1)</f>
        <v/>
      </c>
      <c r="EA130" s="30" t="str">
        <f t="shared" ref="EA130:EA134" si="2196">IF(AU130="","","|n"&amp;EA$2&amp;"+"&amp;AU130&amp;EA$1)</f>
        <v/>
      </c>
      <c r="EB130" s="30" t="str">
        <f t="shared" ref="EB130:EB134" si="2197">IF(AV130="","","|n"&amp;EB$2&amp;"+"&amp;AV130&amp;EB$1)</f>
        <v/>
      </c>
      <c r="EC130" s="30" t="str">
        <f t="shared" ref="EC130:EC134" si="2198">IF(AW130="","","|n"&amp;EC$2&amp;"+"&amp;AW130&amp;EC$1)</f>
        <v/>
      </c>
      <c r="ED130" s="30" t="str">
        <f t="shared" ref="ED130:ED134" si="2199">IF(AX130="","","|n"&amp;ED$2&amp;"+"&amp;AX130&amp;ED$1)</f>
        <v/>
      </c>
      <c r="EE130" s="30" t="str">
        <f t="shared" ref="EE130:EE134" si="2200">IF(AY130="","","|n"&amp;EE$2&amp;"+"&amp;AY130&amp;EE$1)</f>
        <v/>
      </c>
      <c r="EF130" s="30" t="str">
        <f t="shared" ref="EF130:EF134" si="2201">IF(AZ130="","","|n"&amp;EF$2&amp;"+"&amp;AZ130&amp;EF$1)</f>
        <v/>
      </c>
      <c r="EG130" s="30" t="str">
        <f t="shared" ref="EG130:EG134" si="2202">IF(BA130="","","|n"&amp;EG$2&amp;"+"&amp;BA130&amp;EG$1)</f>
        <v/>
      </c>
      <c r="EH130" s="30" t="str">
        <f t="shared" ref="EH130:EH134" si="2203">IF(BB130="","","|n"&amp;EH$2&amp;"+"&amp;BB130&amp;EH$1)</f>
        <v/>
      </c>
      <c r="EI130" s="30" t="str">
        <f t="shared" ref="EI130:EI134" si="2204">IF(BC130="","","|n"&amp;EI$2&amp;"+"&amp;BC130&amp;EI$1)</f>
        <v/>
      </c>
      <c r="EJ130" s="30" t="str">
        <f t="shared" ref="EJ130:EJ134" si="2205">IF(BD130="","","|n"&amp;EJ$2&amp;"+"&amp;BD130&amp;EJ$1)</f>
        <v/>
      </c>
      <c r="EK130" s="30" t="str">
        <f t="shared" ref="EK130:EK134" si="2206">IF(BE130="","","|n"&amp;EK$2&amp;"+"&amp;BE130&amp;EK$1)</f>
        <v/>
      </c>
      <c r="EL130" s="30" t="str">
        <f t="shared" ref="EL130:EL134" si="2207">IF(BF130="","","|n"&amp;EL$2&amp;"+"&amp;BF130&amp;EL$1)</f>
        <v/>
      </c>
      <c r="EM130" s="30" t="str">
        <f t="shared" ref="EM130:EM134" si="2208">IF(BG130="","","|n"&amp;EM$2&amp;"+"&amp;BG130&amp;EM$1)</f>
        <v/>
      </c>
      <c r="EN130" s="30" t="str">
        <f t="shared" ref="EN130:EN134" si="2209">IF(BH130="","","|n"&amp;EN$2&amp;"+"&amp;BH130&amp;EN$1)</f>
        <v/>
      </c>
      <c r="EO130" s="30" t="str">
        <f t="shared" ref="EO130:EO134" si="2210">IF(BI130="","","|n"&amp;EO$2&amp;"+"&amp;BI130&amp;EO$1)</f>
        <v/>
      </c>
      <c r="EP130" s="30" t="str">
        <f t="shared" ref="EP130:EP134" si="2211">IF(BJ130="","","|n"&amp;EP$2&amp;"+"&amp;BJ130&amp;EP$1)</f>
        <v/>
      </c>
      <c r="EQ130" s="30" t="str">
        <f t="shared" ref="EQ130:EQ134" si="2212">IF(BK130="","","|n"&amp;EQ$2&amp;"+"&amp;BK130&amp;EQ$1)</f>
        <v/>
      </c>
      <c r="ER130" s="30" t="str">
        <f t="shared" ref="ER130:ER134" si="2213">IF(BL130="","","|n"&amp;ER$2&amp;"+"&amp;BL130&amp;ER$1)</f>
        <v/>
      </c>
      <c r="ES130" s="30" t="str">
        <f t="shared" ref="ES130:ES134" si="2214">IF(BM130="","","|n"&amp;ES$2&amp;"+"&amp;BM130&amp;ES$1)</f>
        <v/>
      </c>
      <c r="ET130" s="30" t="str">
        <f t="shared" ref="ET130:ET134" si="2215">IF(BN130="","","|n"&amp;ET$2&amp;"+"&amp;BN130&amp;ET$1)</f>
        <v/>
      </c>
      <c r="EU130" s="30" t="str">
        <f t="shared" ref="EU130:EU134" si="2216">IF(BO130="","","|n"&amp;EU$2&amp;"+"&amp;BO130&amp;EU$1)</f>
        <v/>
      </c>
      <c r="EV130" s="30" t="str">
        <f t="shared" ref="EV130:EV134" si="2217">IF(BP130="","","|n"&amp;EV$2&amp;"+"&amp;BP130&amp;EV$1)</f>
        <v/>
      </c>
      <c r="EW130" s="30" t="str">
        <f t="shared" ref="EW130:EW134" si="2218">IF(BQ130="","","|n"&amp;EW$2&amp;"+"&amp;BQ130&amp;EW$1)</f>
        <v/>
      </c>
      <c r="EX130" s="30" t="str">
        <f t="shared" ref="EX130:EX134" si="2219">IF(BR130="","","|n"&amp;EX$2&amp;"+"&amp;BR130&amp;EX$1)</f>
        <v/>
      </c>
      <c r="EY130" s="30" t="str">
        <f t="shared" ref="EY130:EY134" si="2220">IF(BS130="","","|n"&amp;EY$2&amp;"+"&amp;BS130&amp;EY$1)</f>
        <v/>
      </c>
      <c r="EZ130" s="30" t="str">
        <f t="shared" ref="EZ130:EZ134" si="2221">IF(BT130="","","|n"&amp;EZ$2&amp;"+"&amp;BT130&amp;EZ$1)</f>
        <v/>
      </c>
      <c r="FA130" s="30" t="str">
        <f t="shared" ref="FA130:FA134" si="2222">IF(BU130="","","|n"&amp;FA$2&amp;"+"&amp;BU130&amp;FA$1)</f>
        <v/>
      </c>
      <c r="FB130" s="30" t="str">
        <f t="shared" ref="FB130:FB134" si="2223">IF(BV130="","","|n"&amp;FB$2&amp;"+"&amp;BV130&amp;FB$1)</f>
        <v/>
      </c>
      <c r="FC130" s="30" t="str">
        <f t="shared" ref="FC130:FC134" si="2224">IF(BW130="","","|n"&amp;FC$2&amp;"+"&amp;BW130&amp;FC$1)</f>
        <v/>
      </c>
      <c r="FD130" s="30" t="str">
        <f t="shared" ref="FD130:FD134" si="2225">IF(BX130="","","|n"&amp;FD$2&amp;"+"&amp;BX130&amp;FD$1)</f>
        <v/>
      </c>
      <c r="FE130" s="30" t="str">
        <f t="shared" ref="FE130:FE134" si="2226">IF(BY130="","","|n"&amp;FE$2&amp;"+"&amp;BY130&amp;FE$1)</f>
        <v/>
      </c>
      <c r="FF130" s="30" t="str">
        <f t="shared" ref="FF130:FF134" si="2227">IF(BZ130="","","|n"&amp;FF$2&amp;"+"&amp;BZ130&amp;FF$1)</f>
        <v/>
      </c>
      <c r="FG130" s="30" t="str">
        <f t="shared" ref="FG130:FG134" si="2228">IF(CA130="","","|n"&amp;FG$2&amp;"+"&amp;CA130&amp;FG$1)</f>
        <v/>
      </c>
      <c r="FH130" s="30" t="str">
        <f t="shared" ref="FH130:FH134" si="2229">IF(CB130="","","|n"&amp;FH$2&amp;"+"&amp;CB130&amp;FH$1)</f>
        <v/>
      </c>
      <c r="FI130" s="30" t="str">
        <f t="shared" ref="FI130:FI134" si="2230">IF(CC130="","","|n"&amp;FI$2&amp;"+"&amp;CC130&amp;FI$1)</f>
        <v/>
      </c>
      <c r="FJ130" s="30" t="str">
        <f t="shared" ref="FJ130:FJ134" si="2231">IF(CD130="","","|n"&amp;FJ$2&amp;"+"&amp;CD130&amp;FJ$1)</f>
        <v/>
      </c>
      <c r="FK130" s="30" t="str">
        <f t="shared" ref="FK130:FK134" si="2232">IF(CE130="","","|n"&amp;FK$2&amp;"+"&amp;CE130&amp;FK$1)</f>
        <v/>
      </c>
      <c r="FL130" s="30" t="str">
        <f t="shared" ref="FL130:FL134" si="2233">IF(CF130="","","|n"&amp;FL$2&amp;"+"&amp;CF130&amp;FL$1)</f>
        <v/>
      </c>
      <c r="FM130" s="30" t="str">
        <f t="shared" ref="FM130:FM134" si="2234">IF(CG130="","","|n"&amp;FM$2&amp;"+"&amp;CG130&amp;FM$1)</f>
        <v/>
      </c>
      <c r="FN130" s="30" t="str">
        <f t="shared" ref="FN130:FN134" si="2235">IF(CH130="","","|n"&amp;FN$2&amp;"+"&amp;CH130&amp;FN$1)</f>
        <v/>
      </c>
      <c r="FO130" s="30" t="str">
        <f t="shared" ref="FO130:FO134" si="2236">IF(CI130="","","|n"&amp;FO$2&amp;"+"&amp;CI130&amp;FO$1)</f>
        <v/>
      </c>
      <c r="FP130" s="30" t="str">
        <f t="shared" ref="FP130:FP134" si="2237">IF(CJ130="","","|n"&amp;FP$2&amp;"+"&amp;CJ130&amp;FP$1)</f>
        <v/>
      </c>
      <c r="FQ130" s="30" t="str">
        <f t="shared" ref="FQ130:FQ134" si="2238">IF(CK130="","","|n"&amp;FQ$2&amp;"+"&amp;CK130&amp;FQ$1)</f>
        <v/>
      </c>
      <c r="FR130" s="30" t="str">
        <f t="shared" ref="FR130:FR134" si="2239">IF(CL130="","","|n"&amp;FR$2&amp;"+"&amp;CL130&amp;FR$1)</f>
        <v/>
      </c>
      <c r="FS130" s="30" t="str">
        <f t="shared" ref="FS130:FS134" si="2240">IF(CM130="","","|n"&amp;FS$2&amp;"+"&amp;CM130&amp;FS$1)</f>
        <v/>
      </c>
    </row>
    <row r="131" spans="1:175" ht="16.5">
      <c r="A131" s="117"/>
      <c r="B131" s="66" t="s">
        <v>915</v>
      </c>
      <c r="C131" s="88" t="s">
        <v>911</v>
      </c>
      <c r="T131" s="88" t="s">
        <v>911</v>
      </c>
      <c r="U131" s="37" t="s">
        <v>822</v>
      </c>
      <c r="CN131" s="7" t="str">
        <f t="shared" si="2164"/>
        <v>InitUnitState('IB02',,,,,,,,,,)</v>
      </c>
      <c r="CO131" s="7" t="str">
        <f t="shared" si="2165"/>
        <v>InitUnitNormal('IB02',,,,,,,,,,)</v>
      </c>
      <c r="CP131" s="7" t="str">
        <f t="shared" si="2166"/>
        <v>InitUnitMagic('IB02',,,,,,,,,,)</v>
      </c>
      <c r="CQ131" s="7" t="str">
        <f t="shared" si="2167"/>
        <v>InitUnitAdd('IB02',,,,,,,,,,)</v>
      </c>
      <c r="CR131" s="7" t="str">
        <f t="shared" si="2168"/>
        <v>InitEquipData('IB02',,"",,,,,'','','','','','',"ReplaceableTextures\\CommandButtons\\BTNTome.blp")</v>
      </c>
      <c r="CU131" s="45" t="str">
        <f t="shared" si="2169"/>
        <v>|n</v>
      </c>
      <c r="CV131" s="29" t="str">
        <f t="shared" si="2170"/>
        <v>公众号礼包</v>
      </c>
      <c r="CW131" s="24"/>
      <c r="CX131" s="24"/>
      <c r="CY131" s="24"/>
      <c r="CZ131" s="24"/>
      <c r="DA131" s="24"/>
      <c r="DB131" s="30" t="str">
        <f t="shared" si="2171"/>
        <v/>
      </c>
      <c r="DC131" s="30" t="str">
        <f t="shared" si="2172"/>
        <v/>
      </c>
      <c r="DD131" s="30" t="str">
        <f t="shared" si="2173"/>
        <v/>
      </c>
      <c r="DE131" s="30" t="str">
        <f t="shared" si="2174"/>
        <v/>
      </c>
      <c r="DF131" s="30" t="str">
        <f t="shared" si="2175"/>
        <v/>
      </c>
      <c r="DG131" s="30" t="str">
        <f t="shared" si="2176"/>
        <v/>
      </c>
      <c r="DH131" s="30" t="str">
        <f t="shared" si="2177"/>
        <v/>
      </c>
      <c r="DI131" s="30" t="str">
        <f t="shared" si="2178"/>
        <v/>
      </c>
      <c r="DJ131" s="30" t="str">
        <f t="shared" si="2179"/>
        <v/>
      </c>
      <c r="DK131" s="30" t="str">
        <f t="shared" si="2180"/>
        <v/>
      </c>
      <c r="DL131" s="30" t="str">
        <f t="shared" si="2181"/>
        <v/>
      </c>
      <c r="DM131" s="30" t="str">
        <f t="shared" si="2182"/>
        <v/>
      </c>
      <c r="DN131" s="30" t="str">
        <f t="shared" si="2183"/>
        <v/>
      </c>
      <c r="DO131" s="30" t="str">
        <f t="shared" si="2184"/>
        <v/>
      </c>
      <c r="DP131" s="30" t="str">
        <f t="shared" si="2185"/>
        <v/>
      </c>
      <c r="DQ131" s="30" t="str">
        <f t="shared" si="2186"/>
        <v/>
      </c>
      <c r="DR131" s="30" t="str">
        <f t="shared" si="2187"/>
        <v/>
      </c>
      <c r="DS131" s="30" t="str">
        <f t="shared" si="2188"/>
        <v/>
      </c>
      <c r="DT131" s="30" t="str">
        <f t="shared" si="2189"/>
        <v/>
      </c>
      <c r="DU131" s="30" t="str">
        <f t="shared" si="2190"/>
        <v/>
      </c>
      <c r="DV131" s="30" t="str">
        <f t="shared" si="2191"/>
        <v/>
      </c>
      <c r="DW131" s="30" t="str">
        <f t="shared" si="2192"/>
        <v/>
      </c>
      <c r="DX131" s="30" t="str">
        <f t="shared" si="2193"/>
        <v/>
      </c>
      <c r="DY131" s="30" t="str">
        <f t="shared" si="2194"/>
        <v/>
      </c>
      <c r="DZ131" s="30" t="str">
        <f t="shared" si="2195"/>
        <v/>
      </c>
      <c r="EA131" s="30" t="str">
        <f t="shared" si="2196"/>
        <v/>
      </c>
      <c r="EB131" s="30" t="str">
        <f t="shared" si="2197"/>
        <v/>
      </c>
      <c r="EC131" s="30" t="str">
        <f t="shared" si="2198"/>
        <v/>
      </c>
      <c r="ED131" s="30" t="str">
        <f t="shared" si="2199"/>
        <v/>
      </c>
      <c r="EE131" s="30" t="str">
        <f t="shared" si="2200"/>
        <v/>
      </c>
      <c r="EF131" s="30" t="str">
        <f t="shared" si="2201"/>
        <v/>
      </c>
      <c r="EG131" s="30" t="str">
        <f t="shared" si="2202"/>
        <v/>
      </c>
      <c r="EH131" s="30" t="str">
        <f t="shared" si="2203"/>
        <v/>
      </c>
      <c r="EI131" s="30" t="str">
        <f t="shared" si="2204"/>
        <v/>
      </c>
      <c r="EJ131" s="30" t="str">
        <f t="shared" si="2205"/>
        <v/>
      </c>
      <c r="EK131" s="30" t="str">
        <f t="shared" si="2206"/>
        <v/>
      </c>
      <c r="EL131" s="30" t="str">
        <f t="shared" si="2207"/>
        <v/>
      </c>
      <c r="EM131" s="30" t="str">
        <f t="shared" si="2208"/>
        <v/>
      </c>
      <c r="EN131" s="30" t="str">
        <f t="shared" si="2209"/>
        <v/>
      </c>
      <c r="EO131" s="30" t="str">
        <f t="shared" si="2210"/>
        <v/>
      </c>
      <c r="EP131" s="30" t="str">
        <f t="shared" si="2211"/>
        <v/>
      </c>
      <c r="EQ131" s="30" t="str">
        <f t="shared" si="2212"/>
        <v/>
      </c>
      <c r="ER131" s="30" t="str">
        <f t="shared" si="2213"/>
        <v/>
      </c>
      <c r="ES131" s="30" t="str">
        <f t="shared" si="2214"/>
        <v/>
      </c>
      <c r="ET131" s="30" t="str">
        <f t="shared" si="2215"/>
        <v/>
      </c>
      <c r="EU131" s="30" t="str">
        <f t="shared" si="2216"/>
        <v/>
      </c>
      <c r="EV131" s="30" t="str">
        <f t="shared" si="2217"/>
        <v/>
      </c>
      <c r="EW131" s="30" t="str">
        <f t="shared" si="2218"/>
        <v/>
      </c>
      <c r="EX131" s="30" t="str">
        <f t="shared" si="2219"/>
        <v/>
      </c>
      <c r="EY131" s="30" t="str">
        <f t="shared" si="2220"/>
        <v/>
      </c>
      <c r="EZ131" s="30" t="str">
        <f t="shared" si="2221"/>
        <v/>
      </c>
      <c r="FA131" s="30" t="str">
        <f t="shared" si="2222"/>
        <v/>
      </c>
      <c r="FB131" s="30" t="str">
        <f t="shared" si="2223"/>
        <v/>
      </c>
      <c r="FC131" s="30" t="str">
        <f t="shared" si="2224"/>
        <v/>
      </c>
      <c r="FD131" s="30" t="str">
        <f t="shared" si="2225"/>
        <v/>
      </c>
      <c r="FE131" s="30" t="str">
        <f t="shared" si="2226"/>
        <v/>
      </c>
      <c r="FF131" s="30" t="str">
        <f t="shared" si="2227"/>
        <v/>
      </c>
      <c r="FG131" s="30" t="str">
        <f t="shared" si="2228"/>
        <v/>
      </c>
      <c r="FH131" s="30" t="str">
        <f t="shared" si="2229"/>
        <v/>
      </c>
      <c r="FI131" s="30" t="str">
        <f t="shared" si="2230"/>
        <v/>
      </c>
      <c r="FJ131" s="30" t="str">
        <f t="shared" si="2231"/>
        <v/>
      </c>
      <c r="FK131" s="30" t="str">
        <f t="shared" si="2232"/>
        <v/>
      </c>
      <c r="FL131" s="30" t="str">
        <f t="shared" si="2233"/>
        <v/>
      </c>
      <c r="FM131" s="30" t="str">
        <f t="shared" si="2234"/>
        <v/>
      </c>
      <c r="FN131" s="30" t="str">
        <f t="shared" si="2235"/>
        <v/>
      </c>
      <c r="FO131" s="30" t="str">
        <f t="shared" si="2236"/>
        <v/>
      </c>
      <c r="FP131" s="30" t="str">
        <f t="shared" si="2237"/>
        <v/>
      </c>
      <c r="FQ131" s="30" t="str">
        <f t="shared" si="2238"/>
        <v/>
      </c>
      <c r="FR131" s="30" t="str">
        <f t="shared" si="2239"/>
        <v/>
      </c>
      <c r="FS131" s="30" t="str">
        <f t="shared" si="2240"/>
        <v/>
      </c>
    </row>
    <row r="132" spans="1:175" ht="16.5">
      <c r="A132" s="117"/>
      <c r="B132" s="66" t="s">
        <v>916</v>
      </c>
      <c r="C132" s="87" t="s">
        <v>912</v>
      </c>
      <c r="T132" s="87" t="s">
        <v>912</v>
      </c>
      <c r="U132" s="37" t="s">
        <v>822</v>
      </c>
      <c r="CN132" s="7" t="str">
        <f t="shared" si="2164"/>
        <v>InitUnitState('IB03',,,,,,,,,,)</v>
      </c>
      <c r="CO132" s="7" t="str">
        <f t="shared" si="2165"/>
        <v>InitUnitNormal('IB03',,,,,,,,,,)</v>
      </c>
      <c r="CP132" s="7" t="str">
        <f t="shared" si="2166"/>
        <v>InitUnitMagic('IB03',,,,,,,,,,)</v>
      </c>
      <c r="CQ132" s="7" t="str">
        <f t="shared" si="2167"/>
        <v>InitUnitAdd('IB03',,,,,,,,,,)</v>
      </c>
      <c r="CR132" s="7" t="str">
        <f t="shared" si="2168"/>
        <v>InitEquipData('IB03',,"",,,,,'','','','','','',"ReplaceableTextures\\CommandButtons\\BTNTome.blp")</v>
      </c>
      <c r="CU132" s="45" t="str">
        <f t="shared" si="2169"/>
        <v>|n</v>
      </c>
      <c r="CV132" s="29" t="str">
        <f t="shared" si="2170"/>
        <v>好评礼包</v>
      </c>
      <c r="CW132" s="24"/>
      <c r="CX132" s="24"/>
      <c r="CY132" s="24"/>
      <c r="CZ132" s="24"/>
      <c r="DA132" s="24"/>
      <c r="DB132" s="30" t="str">
        <f t="shared" si="2171"/>
        <v/>
      </c>
      <c r="DC132" s="30" t="str">
        <f t="shared" si="2172"/>
        <v/>
      </c>
      <c r="DD132" s="30" t="str">
        <f t="shared" si="2173"/>
        <v/>
      </c>
      <c r="DE132" s="30" t="str">
        <f t="shared" si="2174"/>
        <v/>
      </c>
      <c r="DF132" s="30" t="str">
        <f t="shared" si="2175"/>
        <v/>
      </c>
      <c r="DG132" s="30" t="str">
        <f t="shared" si="2176"/>
        <v/>
      </c>
      <c r="DH132" s="30" t="str">
        <f t="shared" si="2177"/>
        <v/>
      </c>
      <c r="DI132" s="30" t="str">
        <f t="shared" si="2178"/>
        <v/>
      </c>
      <c r="DJ132" s="30" t="str">
        <f t="shared" si="2179"/>
        <v/>
      </c>
      <c r="DK132" s="30" t="str">
        <f t="shared" si="2180"/>
        <v/>
      </c>
      <c r="DL132" s="30" t="str">
        <f t="shared" si="2181"/>
        <v/>
      </c>
      <c r="DM132" s="30" t="str">
        <f t="shared" si="2182"/>
        <v/>
      </c>
      <c r="DN132" s="30" t="str">
        <f t="shared" si="2183"/>
        <v/>
      </c>
      <c r="DO132" s="30" t="str">
        <f t="shared" si="2184"/>
        <v/>
      </c>
      <c r="DP132" s="30" t="str">
        <f t="shared" si="2185"/>
        <v/>
      </c>
      <c r="DQ132" s="30" t="str">
        <f t="shared" si="2186"/>
        <v/>
      </c>
      <c r="DR132" s="30" t="str">
        <f t="shared" si="2187"/>
        <v/>
      </c>
      <c r="DS132" s="30" t="str">
        <f t="shared" si="2188"/>
        <v/>
      </c>
      <c r="DT132" s="30" t="str">
        <f t="shared" si="2189"/>
        <v/>
      </c>
      <c r="DU132" s="30" t="str">
        <f t="shared" si="2190"/>
        <v/>
      </c>
      <c r="DV132" s="30" t="str">
        <f t="shared" si="2191"/>
        <v/>
      </c>
      <c r="DW132" s="30" t="str">
        <f t="shared" si="2192"/>
        <v/>
      </c>
      <c r="DX132" s="30" t="str">
        <f t="shared" si="2193"/>
        <v/>
      </c>
      <c r="DY132" s="30" t="str">
        <f t="shared" si="2194"/>
        <v/>
      </c>
      <c r="DZ132" s="30" t="str">
        <f t="shared" si="2195"/>
        <v/>
      </c>
      <c r="EA132" s="30" t="str">
        <f t="shared" si="2196"/>
        <v/>
      </c>
      <c r="EB132" s="30" t="str">
        <f t="shared" si="2197"/>
        <v/>
      </c>
      <c r="EC132" s="30" t="str">
        <f t="shared" si="2198"/>
        <v/>
      </c>
      <c r="ED132" s="30" t="str">
        <f t="shared" si="2199"/>
        <v/>
      </c>
      <c r="EE132" s="30" t="str">
        <f t="shared" si="2200"/>
        <v/>
      </c>
      <c r="EF132" s="30" t="str">
        <f t="shared" si="2201"/>
        <v/>
      </c>
      <c r="EG132" s="30" t="str">
        <f t="shared" si="2202"/>
        <v/>
      </c>
      <c r="EH132" s="30" t="str">
        <f t="shared" si="2203"/>
        <v/>
      </c>
      <c r="EI132" s="30" t="str">
        <f t="shared" si="2204"/>
        <v/>
      </c>
      <c r="EJ132" s="30" t="str">
        <f t="shared" si="2205"/>
        <v/>
      </c>
      <c r="EK132" s="30" t="str">
        <f t="shared" si="2206"/>
        <v/>
      </c>
      <c r="EL132" s="30" t="str">
        <f t="shared" si="2207"/>
        <v/>
      </c>
      <c r="EM132" s="30" t="str">
        <f t="shared" si="2208"/>
        <v/>
      </c>
      <c r="EN132" s="30" t="str">
        <f t="shared" si="2209"/>
        <v/>
      </c>
      <c r="EO132" s="30" t="str">
        <f t="shared" si="2210"/>
        <v/>
      </c>
      <c r="EP132" s="30" t="str">
        <f t="shared" si="2211"/>
        <v/>
      </c>
      <c r="EQ132" s="30" t="str">
        <f t="shared" si="2212"/>
        <v/>
      </c>
      <c r="ER132" s="30" t="str">
        <f t="shared" si="2213"/>
        <v/>
      </c>
      <c r="ES132" s="30" t="str">
        <f t="shared" si="2214"/>
        <v/>
      </c>
      <c r="ET132" s="30" t="str">
        <f t="shared" si="2215"/>
        <v/>
      </c>
      <c r="EU132" s="30" t="str">
        <f t="shared" si="2216"/>
        <v/>
      </c>
      <c r="EV132" s="30" t="str">
        <f t="shared" si="2217"/>
        <v/>
      </c>
      <c r="EW132" s="30" t="str">
        <f t="shared" si="2218"/>
        <v/>
      </c>
      <c r="EX132" s="30" t="str">
        <f t="shared" si="2219"/>
        <v/>
      </c>
      <c r="EY132" s="30" t="str">
        <f t="shared" si="2220"/>
        <v/>
      </c>
      <c r="EZ132" s="30" t="str">
        <f t="shared" si="2221"/>
        <v/>
      </c>
      <c r="FA132" s="30" t="str">
        <f t="shared" si="2222"/>
        <v/>
      </c>
      <c r="FB132" s="30" t="str">
        <f t="shared" si="2223"/>
        <v/>
      </c>
      <c r="FC132" s="30" t="str">
        <f t="shared" si="2224"/>
        <v/>
      </c>
      <c r="FD132" s="30" t="str">
        <f t="shared" si="2225"/>
        <v/>
      </c>
      <c r="FE132" s="30" t="str">
        <f t="shared" si="2226"/>
        <v/>
      </c>
      <c r="FF132" s="30" t="str">
        <f t="shared" si="2227"/>
        <v/>
      </c>
      <c r="FG132" s="30" t="str">
        <f t="shared" si="2228"/>
        <v/>
      </c>
      <c r="FH132" s="30" t="str">
        <f t="shared" si="2229"/>
        <v/>
      </c>
      <c r="FI132" s="30" t="str">
        <f t="shared" si="2230"/>
        <v/>
      </c>
      <c r="FJ132" s="30" t="str">
        <f t="shared" si="2231"/>
        <v/>
      </c>
      <c r="FK132" s="30" t="str">
        <f t="shared" si="2232"/>
        <v/>
      </c>
      <c r="FL132" s="30" t="str">
        <f t="shared" si="2233"/>
        <v/>
      </c>
      <c r="FM132" s="30" t="str">
        <f t="shared" si="2234"/>
        <v/>
      </c>
      <c r="FN132" s="30" t="str">
        <f t="shared" si="2235"/>
        <v/>
      </c>
      <c r="FO132" s="30" t="str">
        <f t="shared" si="2236"/>
        <v/>
      </c>
      <c r="FP132" s="30" t="str">
        <f t="shared" si="2237"/>
        <v/>
      </c>
      <c r="FQ132" s="30" t="str">
        <f t="shared" si="2238"/>
        <v/>
      </c>
      <c r="FR132" s="30" t="str">
        <f t="shared" si="2239"/>
        <v/>
      </c>
      <c r="FS132" s="30" t="str">
        <f t="shared" si="2240"/>
        <v/>
      </c>
    </row>
    <row r="133" spans="1:175" ht="16.5">
      <c r="A133" s="117"/>
      <c r="B133" s="66" t="s">
        <v>917</v>
      </c>
      <c r="C133" s="87" t="s">
        <v>913</v>
      </c>
      <c r="T133" s="87" t="s">
        <v>913</v>
      </c>
      <c r="U133" s="37" t="s">
        <v>822</v>
      </c>
      <c r="CN133" s="7" t="str">
        <f t="shared" si="2164"/>
        <v>InitUnitState('IB04',,,,,,,,,,)</v>
      </c>
      <c r="CO133" s="7" t="str">
        <f t="shared" si="2165"/>
        <v>InitUnitNormal('IB04',,,,,,,,,,)</v>
      </c>
      <c r="CP133" s="7" t="str">
        <f t="shared" si="2166"/>
        <v>InitUnitMagic('IB04',,,,,,,,,,)</v>
      </c>
      <c r="CQ133" s="7" t="str">
        <f t="shared" si="2167"/>
        <v>InitUnitAdd('IB04',,,,,,,,,,)</v>
      </c>
      <c r="CR133" s="7" t="str">
        <f t="shared" si="2168"/>
        <v>InitEquipData('IB04',,"",,,,,'','','','','','',"ReplaceableTextures\\CommandButtons\\BTNTome.blp")</v>
      </c>
      <c r="CU133" s="45" t="str">
        <f t="shared" si="2169"/>
        <v>|n</v>
      </c>
      <c r="CV133" s="29" t="str">
        <f t="shared" si="2170"/>
        <v>老铁礼包</v>
      </c>
      <c r="CW133" s="24"/>
      <c r="CX133" s="24"/>
      <c r="CY133" s="24"/>
      <c r="CZ133" s="24"/>
      <c r="DA133" s="24"/>
      <c r="DB133" s="30" t="str">
        <f t="shared" si="2171"/>
        <v/>
      </c>
      <c r="DC133" s="30" t="str">
        <f t="shared" si="2172"/>
        <v/>
      </c>
      <c r="DD133" s="30" t="str">
        <f t="shared" si="2173"/>
        <v/>
      </c>
      <c r="DE133" s="30" t="str">
        <f t="shared" si="2174"/>
        <v/>
      </c>
      <c r="DF133" s="30" t="str">
        <f t="shared" si="2175"/>
        <v/>
      </c>
      <c r="DG133" s="30" t="str">
        <f t="shared" si="2176"/>
        <v/>
      </c>
      <c r="DH133" s="30" t="str">
        <f t="shared" si="2177"/>
        <v/>
      </c>
      <c r="DI133" s="30" t="str">
        <f t="shared" si="2178"/>
        <v/>
      </c>
      <c r="DJ133" s="30" t="str">
        <f t="shared" si="2179"/>
        <v/>
      </c>
      <c r="DK133" s="30" t="str">
        <f t="shared" si="2180"/>
        <v/>
      </c>
      <c r="DL133" s="30" t="str">
        <f t="shared" si="2181"/>
        <v/>
      </c>
      <c r="DM133" s="30" t="str">
        <f t="shared" si="2182"/>
        <v/>
      </c>
      <c r="DN133" s="30" t="str">
        <f t="shared" si="2183"/>
        <v/>
      </c>
      <c r="DO133" s="30" t="str">
        <f t="shared" si="2184"/>
        <v/>
      </c>
      <c r="DP133" s="30" t="str">
        <f t="shared" si="2185"/>
        <v/>
      </c>
      <c r="DQ133" s="30" t="str">
        <f t="shared" si="2186"/>
        <v/>
      </c>
      <c r="DR133" s="30" t="str">
        <f t="shared" si="2187"/>
        <v/>
      </c>
      <c r="DS133" s="30" t="str">
        <f t="shared" si="2188"/>
        <v/>
      </c>
      <c r="DT133" s="30" t="str">
        <f t="shared" si="2189"/>
        <v/>
      </c>
      <c r="DU133" s="30" t="str">
        <f t="shared" si="2190"/>
        <v/>
      </c>
      <c r="DV133" s="30" t="str">
        <f t="shared" si="2191"/>
        <v/>
      </c>
      <c r="DW133" s="30" t="str">
        <f t="shared" si="2192"/>
        <v/>
      </c>
      <c r="DX133" s="30" t="str">
        <f t="shared" si="2193"/>
        <v/>
      </c>
      <c r="DY133" s="30" t="str">
        <f t="shared" si="2194"/>
        <v/>
      </c>
      <c r="DZ133" s="30" t="str">
        <f t="shared" si="2195"/>
        <v/>
      </c>
      <c r="EA133" s="30" t="str">
        <f t="shared" si="2196"/>
        <v/>
      </c>
      <c r="EB133" s="30" t="str">
        <f t="shared" si="2197"/>
        <v/>
      </c>
      <c r="EC133" s="30" t="str">
        <f t="shared" si="2198"/>
        <v/>
      </c>
      <c r="ED133" s="30" t="str">
        <f t="shared" si="2199"/>
        <v/>
      </c>
      <c r="EE133" s="30" t="str">
        <f t="shared" si="2200"/>
        <v/>
      </c>
      <c r="EF133" s="30" t="str">
        <f t="shared" si="2201"/>
        <v/>
      </c>
      <c r="EG133" s="30" t="str">
        <f t="shared" si="2202"/>
        <v/>
      </c>
      <c r="EH133" s="30" t="str">
        <f t="shared" si="2203"/>
        <v/>
      </c>
      <c r="EI133" s="30" t="str">
        <f t="shared" si="2204"/>
        <v/>
      </c>
      <c r="EJ133" s="30" t="str">
        <f t="shared" si="2205"/>
        <v/>
      </c>
      <c r="EK133" s="30" t="str">
        <f t="shared" si="2206"/>
        <v/>
      </c>
      <c r="EL133" s="30" t="str">
        <f t="shared" si="2207"/>
        <v/>
      </c>
      <c r="EM133" s="30" t="str">
        <f t="shared" si="2208"/>
        <v/>
      </c>
      <c r="EN133" s="30" t="str">
        <f t="shared" si="2209"/>
        <v/>
      </c>
      <c r="EO133" s="30" t="str">
        <f t="shared" si="2210"/>
        <v/>
      </c>
      <c r="EP133" s="30" t="str">
        <f t="shared" si="2211"/>
        <v/>
      </c>
      <c r="EQ133" s="30" t="str">
        <f t="shared" si="2212"/>
        <v/>
      </c>
      <c r="ER133" s="30" t="str">
        <f t="shared" si="2213"/>
        <v/>
      </c>
      <c r="ES133" s="30" t="str">
        <f t="shared" si="2214"/>
        <v/>
      </c>
      <c r="ET133" s="30" t="str">
        <f t="shared" si="2215"/>
        <v/>
      </c>
      <c r="EU133" s="30" t="str">
        <f t="shared" si="2216"/>
        <v/>
      </c>
      <c r="EV133" s="30" t="str">
        <f t="shared" si="2217"/>
        <v/>
      </c>
      <c r="EW133" s="30" t="str">
        <f t="shared" si="2218"/>
        <v/>
      </c>
      <c r="EX133" s="30" t="str">
        <f t="shared" si="2219"/>
        <v/>
      </c>
      <c r="EY133" s="30" t="str">
        <f t="shared" si="2220"/>
        <v/>
      </c>
      <c r="EZ133" s="30" t="str">
        <f t="shared" si="2221"/>
        <v/>
      </c>
      <c r="FA133" s="30" t="str">
        <f t="shared" si="2222"/>
        <v/>
      </c>
      <c r="FB133" s="30" t="str">
        <f t="shared" si="2223"/>
        <v/>
      </c>
      <c r="FC133" s="30" t="str">
        <f t="shared" si="2224"/>
        <v/>
      </c>
      <c r="FD133" s="30" t="str">
        <f t="shared" si="2225"/>
        <v/>
      </c>
      <c r="FE133" s="30" t="str">
        <f t="shared" si="2226"/>
        <v/>
      </c>
      <c r="FF133" s="30" t="str">
        <f t="shared" si="2227"/>
        <v/>
      </c>
      <c r="FG133" s="30" t="str">
        <f t="shared" si="2228"/>
        <v/>
      </c>
      <c r="FH133" s="30" t="str">
        <f t="shared" si="2229"/>
        <v/>
      </c>
      <c r="FI133" s="30" t="str">
        <f t="shared" si="2230"/>
        <v/>
      </c>
      <c r="FJ133" s="30" t="str">
        <f t="shared" si="2231"/>
        <v/>
      </c>
      <c r="FK133" s="30" t="str">
        <f t="shared" si="2232"/>
        <v/>
      </c>
      <c r="FL133" s="30" t="str">
        <f t="shared" si="2233"/>
        <v/>
      </c>
      <c r="FM133" s="30" t="str">
        <f t="shared" si="2234"/>
        <v/>
      </c>
      <c r="FN133" s="30" t="str">
        <f t="shared" si="2235"/>
        <v/>
      </c>
      <c r="FO133" s="30" t="str">
        <f t="shared" si="2236"/>
        <v/>
      </c>
      <c r="FP133" s="30" t="str">
        <f t="shared" si="2237"/>
        <v/>
      </c>
      <c r="FQ133" s="30" t="str">
        <f t="shared" si="2238"/>
        <v/>
      </c>
      <c r="FR133" s="30" t="str">
        <f t="shared" si="2239"/>
        <v/>
      </c>
      <c r="FS133" s="30" t="str">
        <f t="shared" si="2240"/>
        <v/>
      </c>
    </row>
    <row r="134" spans="1:175" ht="16.5">
      <c r="A134" s="117"/>
      <c r="B134" s="66" t="s">
        <v>918</v>
      </c>
      <c r="C134" s="87" t="s">
        <v>914</v>
      </c>
      <c r="T134" s="87" t="s">
        <v>914</v>
      </c>
      <c r="U134" s="37" t="s">
        <v>822</v>
      </c>
      <c r="CN134" s="7" t="str">
        <f t="shared" si="2164"/>
        <v>InitUnitState('IB05',,,,,,,,,,)</v>
      </c>
      <c r="CO134" s="7" t="str">
        <f t="shared" si="2165"/>
        <v>InitUnitNormal('IB05',,,,,,,,,,)</v>
      </c>
      <c r="CP134" s="7" t="str">
        <f t="shared" si="2166"/>
        <v>InitUnitMagic('IB05',,,,,,,,,,)</v>
      </c>
      <c r="CQ134" s="7" t="str">
        <f t="shared" si="2167"/>
        <v>InitUnitAdd('IB05',,,,,,,,,,)</v>
      </c>
      <c r="CR134" s="7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140&amp;CR$1&amp;")"</f>
        <v>InitEquipData('IB05',,"",,,,,'','','','','','',"")</v>
      </c>
      <c r="CU134" s="45" t="str">
        <f t="shared" si="2169"/>
        <v>|n</v>
      </c>
      <c r="CV134" s="29" t="str">
        <f t="shared" si="2170"/>
        <v>工会礼包</v>
      </c>
      <c r="CW134" s="24"/>
      <c r="CX134" s="24"/>
      <c r="CY134" s="24"/>
      <c r="CZ134" s="24"/>
      <c r="DA134" s="24"/>
      <c r="DB134" s="30" t="str">
        <f t="shared" si="2171"/>
        <v/>
      </c>
      <c r="DC134" s="30" t="str">
        <f t="shared" si="2172"/>
        <v/>
      </c>
      <c r="DD134" s="30" t="str">
        <f t="shared" si="2173"/>
        <v/>
      </c>
      <c r="DE134" s="30" t="str">
        <f t="shared" si="2174"/>
        <v/>
      </c>
      <c r="DF134" s="30" t="str">
        <f t="shared" si="2175"/>
        <v/>
      </c>
      <c r="DG134" s="30" t="str">
        <f t="shared" si="2176"/>
        <v/>
      </c>
      <c r="DH134" s="30" t="str">
        <f t="shared" si="2177"/>
        <v/>
      </c>
      <c r="DI134" s="30" t="str">
        <f t="shared" si="2178"/>
        <v/>
      </c>
      <c r="DJ134" s="30" t="str">
        <f t="shared" si="2179"/>
        <v/>
      </c>
      <c r="DK134" s="30" t="str">
        <f t="shared" si="2180"/>
        <v/>
      </c>
      <c r="DL134" s="30" t="str">
        <f t="shared" si="2181"/>
        <v/>
      </c>
      <c r="DM134" s="30" t="str">
        <f t="shared" si="2182"/>
        <v/>
      </c>
      <c r="DN134" s="30" t="str">
        <f t="shared" si="2183"/>
        <v/>
      </c>
      <c r="DO134" s="30" t="str">
        <f t="shared" si="2184"/>
        <v/>
      </c>
      <c r="DP134" s="30" t="str">
        <f t="shared" si="2185"/>
        <v/>
      </c>
      <c r="DQ134" s="30" t="str">
        <f t="shared" si="2186"/>
        <v/>
      </c>
      <c r="DR134" s="30" t="str">
        <f t="shared" si="2187"/>
        <v/>
      </c>
      <c r="DS134" s="30" t="str">
        <f t="shared" si="2188"/>
        <v/>
      </c>
      <c r="DT134" s="30" t="str">
        <f t="shared" si="2189"/>
        <v/>
      </c>
      <c r="DU134" s="30" t="str">
        <f t="shared" si="2190"/>
        <v/>
      </c>
      <c r="DV134" s="30" t="str">
        <f t="shared" si="2191"/>
        <v/>
      </c>
      <c r="DW134" s="30" t="str">
        <f t="shared" si="2192"/>
        <v/>
      </c>
      <c r="DX134" s="30" t="str">
        <f t="shared" si="2193"/>
        <v/>
      </c>
      <c r="DY134" s="30" t="str">
        <f t="shared" si="2194"/>
        <v/>
      </c>
      <c r="DZ134" s="30" t="str">
        <f t="shared" si="2195"/>
        <v/>
      </c>
      <c r="EA134" s="30" t="str">
        <f t="shared" si="2196"/>
        <v/>
      </c>
      <c r="EB134" s="30" t="str">
        <f t="shared" si="2197"/>
        <v/>
      </c>
      <c r="EC134" s="30" t="str">
        <f t="shared" si="2198"/>
        <v/>
      </c>
      <c r="ED134" s="30" t="str">
        <f t="shared" si="2199"/>
        <v/>
      </c>
      <c r="EE134" s="30" t="str">
        <f t="shared" si="2200"/>
        <v/>
      </c>
      <c r="EF134" s="30" t="str">
        <f t="shared" si="2201"/>
        <v/>
      </c>
      <c r="EG134" s="30" t="str">
        <f t="shared" si="2202"/>
        <v/>
      </c>
      <c r="EH134" s="30" t="str">
        <f t="shared" si="2203"/>
        <v/>
      </c>
      <c r="EI134" s="30" t="str">
        <f t="shared" si="2204"/>
        <v/>
      </c>
      <c r="EJ134" s="30" t="str">
        <f t="shared" si="2205"/>
        <v/>
      </c>
      <c r="EK134" s="30" t="str">
        <f t="shared" si="2206"/>
        <v/>
      </c>
      <c r="EL134" s="30" t="str">
        <f t="shared" si="2207"/>
        <v/>
      </c>
      <c r="EM134" s="30" t="str">
        <f t="shared" si="2208"/>
        <v/>
      </c>
      <c r="EN134" s="30" t="str">
        <f t="shared" si="2209"/>
        <v/>
      </c>
      <c r="EO134" s="30" t="str">
        <f t="shared" si="2210"/>
        <v/>
      </c>
      <c r="EP134" s="30" t="str">
        <f t="shared" si="2211"/>
        <v/>
      </c>
      <c r="EQ134" s="30" t="str">
        <f t="shared" si="2212"/>
        <v/>
      </c>
      <c r="ER134" s="30" t="str">
        <f t="shared" si="2213"/>
        <v/>
      </c>
      <c r="ES134" s="30" t="str">
        <f t="shared" si="2214"/>
        <v/>
      </c>
      <c r="ET134" s="30" t="str">
        <f t="shared" si="2215"/>
        <v/>
      </c>
      <c r="EU134" s="30" t="str">
        <f t="shared" si="2216"/>
        <v/>
      </c>
      <c r="EV134" s="30" t="str">
        <f t="shared" si="2217"/>
        <v/>
      </c>
      <c r="EW134" s="30" t="str">
        <f t="shared" si="2218"/>
        <v/>
      </c>
      <c r="EX134" s="30" t="str">
        <f t="shared" si="2219"/>
        <v/>
      </c>
      <c r="EY134" s="30" t="str">
        <f t="shared" si="2220"/>
        <v/>
      </c>
      <c r="EZ134" s="30" t="str">
        <f t="shared" si="2221"/>
        <v/>
      </c>
      <c r="FA134" s="30" t="str">
        <f t="shared" si="2222"/>
        <v/>
      </c>
      <c r="FB134" s="30" t="str">
        <f t="shared" si="2223"/>
        <v/>
      </c>
      <c r="FC134" s="30" t="str">
        <f t="shared" si="2224"/>
        <v/>
      </c>
      <c r="FD134" s="30" t="str">
        <f t="shared" si="2225"/>
        <v/>
      </c>
      <c r="FE134" s="30" t="str">
        <f t="shared" si="2226"/>
        <v/>
      </c>
      <c r="FF134" s="30" t="str">
        <f t="shared" si="2227"/>
        <v/>
      </c>
      <c r="FG134" s="30" t="str">
        <f t="shared" si="2228"/>
        <v/>
      </c>
      <c r="FH134" s="30" t="str">
        <f t="shared" si="2229"/>
        <v/>
      </c>
      <c r="FI134" s="30" t="str">
        <f t="shared" si="2230"/>
        <v/>
      </c>
      <c r="FJ134" s="30" t="str">
        <f t="shared" si="2231"/>
        <v/>
      </c>
      <c r="FK134" s="30" t="str">
        <f t="shared" si="2232"/>
        <v/>
      </c>
      <c r="FL134" s="30" t="str">
        <f t="shared" si="2233"/>
        <v/>
      </c>
      <c r="FM134" s="30" t="str">
        <f t="shared" si="2234"/>
        <v/>
      </c>
      <c r="FN134" s="30" t="str">
        <f t="shared" si="2235"/>
        <v/>
      </c>
      <c r="FO134" s="30" t="str">
        <f t="shared" si="2236"/>
        <v/>
      </c>
      <c r="FP134" s="30" t="str">
        <f t="shared" si="2237"/>
        <v/>
      </c>
      <c r="FQ134" s="30" t="str">
        <f t="shared" si="2238"/>
        <v/>
      </c>
      <c r="FR134" s="30" t="str">
        <f t="shared" si="2239"/>
        <v/>
      </c>
      <c r="FS134" s="30" t="str">
        <f t="shared" si="2240"/>
        <v/>
      </c>
    </row>
    <row r="135" spans="1:175" ht="16.5">
      <c r="A135" s="88"/>
      <c r="B135" s="66"/>
      <c r="C135" s="87"/>
      <c r="T135" s="107"/>
      <c r="U135" s="32"/>
      <c r="CN135" s="7" t="str">
        <f t="shared" ref="CN135:CN151" si="2241">"InitUnitState('"&amp;B135&amp;"',"&amp;V135&amp;","&amp;W135&amp;","&amp;X135&amp;","&amp;Y135&amp;","&amp;Z135&amp;","&amp;AA135&amp;","&amp;AB135&amp;","&amp;AC135&amp;","&amp;AD135&amp;","&amp;AE135&amp;")"</f>
        <v>InitUnitState('',,,,,,,,,,)</v>
      </c>
      <c r="CO135" s="7" t="str">
        <f t="shared" ref="CO135:CO151" si="2242">"InitUnitNormal('"&amp;B135&amp;"',"&amp;AF135&amp;","&amp;AG135&amp;","&amp;AH135&amp;","&amp;AI135&amp;","&amp;AJ135&amp;","&amp;AK135&amp;","&amp;AL135&amp;","&amp;AM135&amp;","&amp;AN135&amp;","&amp;AO135&amp;")"</f>
        <v>InitUnitNormal('',,,,,,,,,,)</v>
      </c>
      <c r="CP135" s="7" t="str">
        <f t="shared" ref="CP135:CP151" si="2243">"InitUnitMagic('"&amp;B135&amp;"',"&amp;AP135&amp;","&amp;AQ135&amp;","&amp;AR135&amp;","&amp;AS135&amp;","&amp;AT135&amp;","&amp;AU135&amp;","&amp;AV135&amp;","&amp;AW135&amp;","&amp;BI135&amp;","&amp;BJ135&amp;")"</f>
        <v>InitUnitMagic('',,,,,,,,,,)</v>
      </c>
      <c r="CQ135" s="7" t="str">
        <f t="shared" ref="CQ135:CQ151" si="2244">"InitUnitAdd('"&amp;B135&amp;"',"&amp;BK135&amp;","&amp;BL135&amp;","&amp;BM135&amp;","&amp;BN135&amp;","&amp;BO135&amp;","&amp;BP135&amp;","&amp;BQ135&amp;","&amp;BR135&amp;","&amp;BS135&amp;","&amp;BT135&amp;")"</f>
        <v>InitUnitAdd('',,,,,,,,,,)</v>
      </c>
      <c r="CR135" s="7" t="str">
        <f t="shared" ref="CR135:CR151" si="2245"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136&amp;CR$1&amp;")"</f>
        <v>InitEquipData('',,"",,,,,'','','','','','',"")</v>
      </c>
      <c r="CU135" s="45" t="str">
        <f t="shared" ref="CU135:CU157" si="2246">CONCATENATE(DB135,DC135,DD135,DE135,DF135,DG135,DH135,DI135,DJ135,DK135,DL135,DM135,DN135,DO135,DP135,DQ135,DR135,DS135,DT135,DU135,DV135,DW135,DX135,DY135,DZ135,EA135,EB135,EC135,ED135,EE135,EF135,EG135,EH135,EI135,EJ135,EK135,EL135,EM135,EN135,EO135,EP135&amp;"|n")</f>
        <v>|n</v>
      </c>
      <c r="CW135" s="24"/>
      <c r="CX135" s="24"/>
      <c r="CY135" s="24"/>
      <c r="CZ135" s="24"/>
      <c r="DA135" s="24"/>
      <c r="DB135" s="30" t="str">
        <f t="shared" ref="DB135:DB157" si="2247">IF(V135="","","|n"&amp;DB$2&amp;"+"&amp;V135&amp;DB$1)</f>
        <v/>
      </c>
      <c r="DC135" s="30" t="str">
        <f t="shared" ref="DC135:DC157" si="2248">IF(W135="","","|n"&amp;DC$2&amp;"+"&amp;W135&amp;DC$1)</f>
        <v/>
      </c>
      <c r="DD135" s="30" t="str">
        <f t="shared" ref="DD135:DD157" si="2249">IF(X135="","","|n"&amp;DD$2&amp;"+"&amp;X135&amp;DD$1)</f>
        <v/>
      </c>
      <c r="DE135" s="30" t="str">
        <f t="shared" ref="DE135:DE157" si="2250">IF(Y135="","","|n"&amp;DE$2&amp;"+"&amp;Y135&amp;DE$1)</f>
        <v/>
      </c>
      <c r="DF135" s="30" t="str">
        <f t="shared" ref="DF135:DF157" si="2251">IF(Z135="","","|n"&amp;DF$2&amp;"+"&amp;Z135&amp;DF$1)</f>
        <v/>
      </c>
      <c r="DG135" s="30" t="str">
        <f t="shared" ref="DG135:DG157" si="2252">IF(AA135="","","|n"&amp;DG$2&amp;"+"&amp;AA135&amp;DG$1)</f>
        <v/>
      </c>
      <c r="DH135" s="30" t="str">
        <f t="shared" ref="DH135:DH157" si="2253">IF(AB135="","","|n"&amp;DH$2&amp;"+"&amp;AB135&amp;DH$1)</f>
        <v/>
      </c>
      <c r="DI135" s="30" t="str">
        <f t="shared" ref="DI135:DI157" si="2254">IF(AC135="","","|n"&amp;DI$2&amp;"+"&amp;AC135&amp;DI$1)</f>
        <v/>
      </c>
      <c r="DJ135" s="30" t="str">
        <f t="shared" ref="DJ135:DJ157" si="2255">IF(AD135="","","|n"&amp;DJ$2&amp;"+"&amp;AD135&amp;DJ$1)</f>
        <v/>
      </c>
      <c r="DK135" s="30" t="str">
        <f t="shared" ref="DK135:DK157" si="2256">IF(AE135="","","|n"&amp;DK$2&amp;"+"&amp;AE135&amp;DK$1)</f>
        <v/>
      </c>
      <c r="DL135" s="30" t="str">
        <f t="shared" ref="DL135:DL157" si="2257">IF(AF135="","","|n"&amp;DL$2&amp;"+"&amp;AF135&amp;DL$1)</f>
        <v/>
      </c>
      <c r="DM135" s="30" t="str">
        <f t="shared" ref="DM135:DM157" si="2258">IF(AG135="","","|n"&amp;DM$2&amp;"+"&amp;AG135&amp;DM$1)</f>
        <v/>
      </c>
      <c r="DN135" s="30" t="str">
        <f t="shared" ref="DN135:DN157" si="2259">IF(AH135="","","|n"&amp;DN$2&amp;"+"&amp;AH135&amp;DN$1)</f>
        <v/>
      </c>
      <c r="DO135" s="30" t="str">
        <f t="shared" ref="DO135:DO157" si="2260">IF(AI135="","","|n"&amp;DO$2&amp;"+"&amp;AI135&amp;DO$1)</f>
        <v/>
      </c>
      <c r="DP135" s="30" t="str">
        <f t="shared" ref="DP135:DP157" si="2261">IF(AJ135="","","|n"&amp;DP$2&amp;"+"&amp;AJ135&amp;DP$1)</f>
        <v/>
      </c>
      <c r="DQ135" s="30" t="str">
        <f t="shared" ref="DQ135:DQ157" si="2262">IF(AK135="","","|n"&amp;DQ$2&amp;"+"&amp;AK135&amp;DQ$1)</f>
        <v/>
      </c>
      <c r="DR135" s="30" t="str">
        <f t="shared" ref="DR135:DR157" si="2263">IF(AL135="","","|n"&amp;DR$2&amp;"+"&amp;AL135&amp;DR$1)</f>
        <v/>
      </c>
      <c r="DS135" s="30" t="str">
        <f t="shared" ref="DS135:DS157" si="2264">IF(AM135="","","|n"&amp;DS$2&amp;"+"&amp;AM135&amp;DS$1)</f>
        <v/>
      </c>
      <c r="DT135" s="30" t="str">
        <f t="shared" ref="DT135:DT157" si="2265">IF(AN135="","","|n"&amp;DT$2&amp;"+"&amp;AN135&amp;DT$1)</f>
        <v/>
      </c>
      <c r="DU135" s="30" t="str">
        <f t="shared" ref="DU135:DU157" si="2266">IF(AO135="","","|n"&amp;DU$2&amp;"+"&amp;AO135&amp;DU$1)</f>
        <v/>
      </c>
      <c r="DV135" s="30" t="str">
        <f t="shared" ref="DV135:DV157" si="2267">IF(AP135="","","|n"&amp;DV$2&amp;"+"&amp;AP135&amp;DV$1)</f>
        <v/>
      </c>
      <c r="DW135" s="30" t="str">
        <f t="shared" ref="DW135:DW157" si="2268">IF(AQ135="","","|n"&amp;DW$2&amp;"+"&amp;AQ135&amp;DW$1)</f>
        <v/>
      </c>
      <c r="DX135" s="30" t="str">
        <f t="shared" ref="DX135:DX157" si="2269">IF(AR135="","","|n"&amp;DX$2&amp;"+"&amp;AR135&amp;DX$1)</f>
        <v/>
      </c>
      <c r="DY135" s="30" t="str">
        <f t="shared" ref="DY135:DY157" si="2270">IF(AS135="","","|n"&amp;DY$2&amp;"+"&amp;AS135&amp;DY$1)</f>
        <v/>
      </c>
      <c r="DZ135" s="30" t="str">
        <f t="shared" ref="DZ135:DZ157" si="2271">IF(AT135="","","|n"&amp;DZ$2&amp;"+"&amp;AT135&amp;DZ$1)</f>
        <v/>
      </c>
      <c r="EA135" s="30" t="str">
        <f t="shared" ref="EA135:EA157" si="2272">IF(AU135="","","|n"&amp;EA$2&amp;"+"&amp;AU135&amp;EA$1)</f>
        <v/>
      </c>
      <c r="EB135" s="30" t="str">
        <f t="shared" ref="EB135:EB157" si="2273">IF(AV135="","","|n"&amp;EB$2&amp;"+"&amp;AV135&amp;EB$1)</f>
        <v/>
      </c>
      <c r="EC135" s="30" t="str">
        <f t="shared" ref="EC135:EC157" si="2274">IF(AW135="","","|n"&amp;EC$2&amp;"+"&amp;AW135&amp;EC$1)</f>
        <v/>
      </c>
      <c r="ED135" s="30" t="str">
        <f t="shared" ref="ED135:ED157" si="2275">IF(AX135="","","|n"&amp;ED$2&amp;"+"&amp;AX135&amp;ED$1)</f>
        <v/>
      </c>
      <c r="EE135" s="30" t="str">
        <f t="shared" ref="EE135:EE157" si="2276">IF(AY135="","","|n"&amp;EE$2&amp;"+"&amp;AY135&amp;EE$1)</f>
        <v/>
      </c>
      <c r="EF135" s="30" t="str">
        <f t="shared" ref="EF135:EF157" si="2277">IF(AZ135="","","|n"&amp;EF$2&amp;"+"&amp;AZ135&amp;EF$1)</f>
        <v/>
      </c>
      <c r="EG135" s="30" t="str">
        <f t="shared" ref="EG135:EG157" si="2278">IF(BA135="","","|n"&amp;EG$2&amp;"+"&amp;BA135&amp;EG$1)</f>
        <v/>
      </c>
      <c r="EH135" s="30" t="str">
        <f t="shared" ref="EH135:EH157" si="2279">IF(BB135="","","|n"&amp;EH$2&amp;"+"&amp;BB135&amp;EH$1)</f>
        <v/>
      </c>
      <c r="EI135" s="30" t="str">
        <f t="shared" ref="EI135:EI157" si="2280">IF(BC135="","","|n"&amp;EI$2&amp;"+"&amp;BC135&amp;EI$1)</f>
        <v/>
      </c>
      <c r="EJ135" s="30" t="str">
        <f t="shared" ref="EJ135:EJ157" si="2281">IF(BD135="","","|n"&amp;EJ$2&amp;"+"&amp;BD135&amp;EJ$1)</f>
        <v/>
      </c>
      <c r="EK135" s="30" t="str">
        <f t="shared" ref="EK135:EK157" si="2282">IF(BE135="","","|n"&amp;EK$2&amp;"+"&amp;BE135&amp;EK$1)</f>
        <v/>
      </c>
      <c r="EL135" s="30" t="str">
        <f t="shared" ref="EL135:EL157" si="2283">IF(BF135="","","|n"&amp;EL$2&amp;"+"&amp;BF135&amp;EL$1)</f>
        <v/>
      </c>
      <c r="EM135" s="30" t="str">
        <f t="shared" ref="EM135:EM157" si="2284">IF(BG135="","","|n"&amp;EM$2&amp;"+"&amp;BG135&amp;EM$1)</f>
        <v/>
      </c>
      <c r="EN135" s="30" t="str">
        <f t="shared" ref="EN135:EN157" si="2285">IF(BH135="","","|n"&amp;EN$2&amp;"+"&amp;BH135&amp;EN$1)</f>
        <v/>
      </c>
      <c r="EO135" s="30" t="str">
        <f t="shared" ref="EO135:EO157" si="2286">IF(BI135="","","|n"&amp;EO$2&amp;"+"&amp;BI135&amp;EO$1)</f>
        <v/>
      </c>
      <c r="EP135" s="30" t="str">
        <f t="shared" ref="EP135:EP157" si="2287">IF(BJ135="","","|n"&amp;EP$2&amp;"+"&amp;BJ135&amp;EP$1)</f>
        <v/>
      </c>
      <c r="EQ135" s="30" t="str">
        <f t="shared" ref="EQ135:EQ157" si="2288">IF(BK135="","","|n"&amp;EQ$2&amp;"+"&amp;BK135&amp;EQ$1)</f>
        <v/>
      </c>
      <c r="ER135" s="30" t="str">
        <f t="shared" ref="ER135:ER157" si="2289">IF(BL135="","","|n"&amp;ER$2&amp;"+"&amp;BL135&amp;ER$1)</f>
        <v/>
      </c>
      <c r="ES135" s="30" t="str">
        <f t="shared" ref="ES135:ES157" si="2290">IF(BM135="","","|n"&amp;ES$2&amp;"+"&amp;BM135&amp;ES$1)</f>
        <v/>
      </c>
      <c r="ET135" s="30" t="str">
        <f t="shared" ref="ET135:ET157" si="2291">IF(BN135="","","|n"&amp;ET$2&amp;"+"&amp;BN135&amp;ET$1)</f>
        <v/>
      </c>
      <c r="EU135" s="30" t="str">
        <f t="shared" ref="EU135:EU157" si="2292">IF(BO135="","","|n"&amp;EU$2&amp;"+"&amp;BO135&amp;EU$1)</f>
        <v/>
      </c>
      <c r="EV135" s="30" t="str">
        <f t="shared" ref="EV135:EV157" si="2293">IF(BP135="","","|n"&amp;EV$2&amp;"+"&amp;BP135&amp;EV$1)</f>
        <v/>
      </c>
      <c r="EW135" s="30" t="str">
        <f t="shared" ref="EW135:EW157" si="2294">IF(BQ135="","","|n"&amp;EW$2&amp;"+"&amp;BQ135&amp;EW$1)</f>
        <v/>
      </c>
      <c r="EX135" s="30" t="str">
        <f t="shared" ref="EX135:EX157" si="2295">IF(BR135="","","|n"&amp;EX$2&amp;"+"&amp;BR135&amp;EX$1)</f>
        <v/>
      </c>
      <c r="EY135" s="30" t="str">
        <f t="shared" ref="EY135:EY157" si="2296">IF(BS135="","","|n"&amp;EY$2&amp;"+"&amp;BS135&amp;EY$1)</f>
        <v/>
      </c>
      <c r="EZ135" s="30" t="str">
        <f t="shared" ref="EZ135:EZ157" si="2297">IF(BT135="","","|n"&amp;EZ$2&amp;"+"&amp;BT135&amp;EZ$1)</f>
        <v/>
      </c>
      <c r="FA135" s="30" t="str">
        <f t="shared" ref="FA135:FA157" si="2298">IF(BU135="","","|n"&amp;FA$2&amp;"+"&amp;BU135&amp;FA$1)</f>
        <v/>
      </c>
      <c r="FB135" s="30" t="str">
        <f t="shared" ref="FB135:FB157" si="2299">IF(BV135="","","|n"&amp;FB$2&amp;"+"&amp;BV135&amp;FB$1)</f>
        <v/>
      </c>
      <c r="FC135" s="30" t="str">
        <f t="shared" ref="FC135:FC157" si="2300">IF(BW135="","","|n"&amp;FC$2&amp;"+"&amp;BW135&amp;FC$1)</f>
        <v/>
      </c>
      <c r="FD135" s="30" t="str">
        <f t="shared" ref="FD135:FD157" si="2301">IF(BX135="","","|n"&amp;FD$2&amp;"+"&amp;BX135&amp;FD$1)</f>
        <v/>
      </c>
      <c r="FE135" s="30" t="str">
        <f t="shared" ref="FE135:FE157" si="2302">IF(BY135="","","|n"&amp;FE$2&amp;"+"&amp;BY135&amp;FE$1)</f>
        <v/>
      </c>
      <c r="FF135" s="30" t="str">
        <f t="shared" ref="FF135:FF157" si="2303">IF(BZ135="","","|n"&amp;FF$2&amp;"+"&amp;BZ135&amp;FF$1)</f>
        <v/>
      </c>
      <c r="FG135" s="30" t="str">
        <f t="shared" ref="FG135:FG157" si="2304">IF(CA135="","","|n"&amp;FG$2&amp;"+"&amp;CA135&amp;FG$1)</f>
        <v/>
      </c>
      <c r="FH135" s="30" t="str">
        <f t="shared" ref="FH135:FH157" si="2305">IF(CB135="","","|n"&amp;FH$2&amp;"+"&amp;CB135&amp;FH$1)</f>
        <v/>
      </c>
      <c r="FI135" s="30" t="str">
        <f t="shared" ref="FI135:FI157" si="2306">IF(CC135="","","|n"&amp;FI$2&amp;"+"&amp;CC135&amp;FI$1)</f>
        <v/>
      </c>
      <c r="FJ135" s="30" t="str">
        <f t="shared" ref="FJ135:FJ157" si="2307">IF(CD135="","","|n"&amp;FJ$2&amp;"+"&amp;CD135&amp;FJ$1)</f>
        <v/>
      </c>
      <c r="FK135" s="30" t="str">
        <f t="shared" ref="FK135:FK157" si="2308">IF(CE135="","","|n"&amp;FK$2&amp;"+"&amp;CE135&amp;FK$1)</f>
        <v/>
      </c>
      <c r="FL135" s="30" t="str">
        <f t="shared" ref="FL135:FL157" si="2309">IF(CF135="","","|n"&amp;FL$2&amp;"+"&amp;CF135&amp;FL$1)</f>
        <v/>
      </c>
      <c r="FM135" s="30" t="str">
        <f t="shared" ref="FM135:FM157" si="2310">IF(CG135="","","|n"&amp;FM$2&amp;"+"&amp;CG135&amp;FM$1)</f>
        <v/>
      </c>
      <c r="FN135" s="30" t="str">
        <f t="shared" ref="FN135:FN157" si="2311">IF(CH135="","","|n"&amp;FN$2&amp;"+"&amp;CH135&amp;FN$1)</f>
        <v/>
      </c>
      <c r="FO135" s="30" t="str">
        <f t="shared" ref="FO135:FO157" si="2312">IF(CI135="","","|n"&amp;FO$2&amp;"+"&amp;CI135&amp;FO$1)</f>
        <v/>
      </c>
      <c r="FP135" s="30" t="str">
        <f t="shared" ref="FP135:FP157" si="2313">IF(CJ135="","","|n"&amp;FP$2&amp;"+"&amp;CJ135&amp;FP$1)</f>
        <v/>
      </c>
      <c r="FQ135" s="30" t="str">
        <f t="shared" ref="FQ135:FQ157" si="2314">IF(CK135="","","|n"&amp;FQ$2&amp;"+"&amp;CK135&amp;FQ$1)</f>
        <v/>
      </c>
      <c r="FR135" s="30" t="str">
        <f t="shared" ref="FR135:FR157" si="2315">IF(CL135="","","|n"&amp;FR$2&amp;"+"&amp;CL135&amp;FR$1)</f>
        <v/>
      </c>
      <c r="FS135" s="30" t="str">
        <f t="shared" ref="FS135:FS157" si="2316">IF(CM135="","","|n"&amp;FS$2&amp;"+"&amp;CM135&amp;FS$1)</f>
        <v/>
      </c>
    </row>
    <row r="136" spans="1:175" ht="16.5">
      <c r="A136" s="88"/>
      <c r="B136" s="66"/>
      <c r="C136" s="87"/>
      <c r="T136" s="107"/>
      <c r="U136" s="32"/>
      <c r="CN136" s="7" t="str">
        <f t="shared" si="2241"/>
        <v>InitUnitState('',,,,,,,,,,)</v>
      </c>
      <c r="CO136" s="7" t="str">
        <f t="shared" si="2242"/>
        <v>InitUnitNormal('',,,,,,,,,,)</v>
      </c>
      <c r="CP136" s="7" t="str">
        <f t="shared" si="2243"/>
        <v>InitUnitMagic('',,,,,,,,,,)</v>
      </c>
      <c r="CQ136" s="7" t="str">
        <f t="shared" si="2244"/>
        <v>InitUnitAdd('',,,,,,,,,,)</v>
      </c>
      <c r="CR136" s="7" t="str">
        <f t="shared" si="2245"/>
        <v>InitEquipData('',,"",,,,,'','','','','','',"")</v>
      </c>
      <c r="CU136" s="45" t="str">
        <f t="shared" si="2246"/>
        <v>|n</v>
      </c>
      <c r="CW136" s="24"/>
      <c r="CX136" s="24"/>
      <c r="CY136" s="24"/>
      <c r="CZ136" s="24"/>
      <c r="DA136" s="24"/>
      <c r="DB136" s="30" t="str">
        <f t="shared" si="2247"/>
        <v/>
      </c>
      <c r="DC136" s="30" t="str">
        <f t="shared" si="2248"/>
        <v/>
      </c>
      <c r="DD136" s="30" t="str">
        <f t="shared" si="2249"/>
        <v/>
      </c>
      <c r="DE136" s="30" t="str">
        <f t="shared" si="2250"/>
        <v/>
      </c>
      <c r="DF136" s="30" t="str">
        <f t="shared" si="2251"/>
        <v/>
      </c>
      <c r="DG136" s="30" t="str">
        <f t="shared" si="2252"/>
        <v/>
      </c>
      <c r="DH136" s="30" t="str">
        <f t="shared" si="2253"/>
        <v/>
      </c>
      <c r="DI136" s="30" t="str">
        <f t="shared" si="2254"/>
        <v/>
      </c>
      <c r="DJ136" s="30" t="str">
        <f t="shared" si="2255"/>
        <v/>
      </c>
      <c r="DK136" s="30" t="str">
        <f t="shared" si="2256"/>
        <v/>
      </c>
      <c r="DL136" s="30" t="str">
        <f t="shared" si="2257"/>
        <v/>
      </c>
      <c r="DM136" s="30" t="str">
        <f t="shared" si="2258"/>
        <v/>
      </c>
      <c r="DN136" s="30" t="str">
        <f t="shared" si="2259"/>
        <v/>
      </c>
      <c r="DO136" s="30" t="str">
        <f t="shared" si="2260"/>
        <v/>
      </c>
      <c r="DP136" s="30" t="str">
        <f t="shared" si="2261"/>
        <v/>
      </c>
      <c r="DQ136" s="30" t="str">
        <f t="shared" si="2262"/>
        <v/>
      </c>
      <c r="DR136" s="30" t="str">
        <f t="shared" si="2263"/>
        <v/>
      </c>
      <c r="DS136" s="30" t="str">
        <f t="shared" si="2264"/>
        <v/>
      </c>
      <c r="DT136" s="30" t="str">
        <f t="shared" si="2265"/>
        <v/>
      </c>
      <c r="DU136" s="30" t="str">
        <f t="shared" si="2266"/>
        <v/>
      </c>
      <c r="DV136" s="30" t="str">
        <f t="shared" si="2267"/>
        <v/>
      </c>
      <c r="DW136" s="30" t="str">
        <f t="shared" si="2268"/>
        <v/>
      </c>
      <c r="DX136" s="30" t="str">
        <f t="shared" si="2269"/>
        <v/>
      </c>
      <c r="DY136" s="30" t="str">
        <f t="shared" si="2270"/>
        <v/>
      </c>
      <c r="DZ136" s="30" t="str">
        <f t="shared" si="2271"/>
        <v/>
      </c>
      <c r="EA136" s="30" t="str">
        <f t="shared" si="2272"/>
        <v/>
      </c>
      <c r="EB136" s="30" t="str">
        <f t="shared" si="2273"/>
        <v/>
      </c>
      <c r="EC136" s="30" t="str">
        <f t="shared" si="2274"/>
        <v/>
      </c>
      <c r="ED136" s="30" t="str">
        <f t="shared" si="2275"/>
        <v/>
      </c>
      <c r="EE136" s="30" t="str">
        <f t="shared" si="2276"/>
        <v/>
      </c>
      <c r="EF136" s="30" t="str">
        <f t="shared" si="2277"/>
        <v/>
      </c>
      <c r="EG136" s="30" t="str">
        <f t="shared" si="2278"/>
        <v/>
      </c>
      <c r="EH136" s="30" t="str">
        <f t="shared" si="2279"/>
        <v/>
      </c>
      <c r="EI136" s="30" t="str">
        <f t="shared" si="2280"/>
        <v/>
      </c>
      <c r="EJ136" s="30" t="str">
        <f t="shared" si="2281"/>
        <v/>
      </c>
      <c r="EK136" s="30" t="str">
        <f t="shared" si="2282"/>
        <v/>
      </c>
      <c r="EL136" s="30" t="str">
        <f t="shared" si="2283"/>
        <v/>
      </c>
      <c r="EM136" s="30" t="str">
        <f t="shared" si="2284"/>
        <v/>
      </c>
      <c r="EN136" s="30" t="str">
        <f t="shared" si="2285"/>
        <v/>
      </c>
      <c r="EO136" s="30" t="str">
        <f t="shared" si="2286"/>
        <v/>
      </c>
      <c r="EP136" s="30" t="str">
        <f t="shared" si="2287"/>
        <v/>
      </c>
      <c r="EQ136" s="30" t="str">
        <f t="shared" si="2288"/>
        <v/>
      </c>
      <c r="ER136" s="30" t="str">
        <f t="shared" si="2289"/>
        <v/>
      </c>
      <c r="ES136" s="30" t="str">
        <f t="shared" si="2290"/>
        <v/>
      </c>
      <c r="ET136" s="30" t="str">
        <f t="shared" si="2291"/>
        <v/>
      </c>
      <c r="EU136" s="30" t="str">
        <f t="shared" si="2292"/>
        <v/>
      </c>
      <c r="EV136" s="30" t="str">
        <f t="shared" si="2293"/>
        <v/>
      </c>
      <c r="EW136" s="30" t="str">
        <f t="shared" si="2294"/>
        <v/>
      </c>
      <c r="EX136" s="30" t="str">
        <f t="shared" si="2295"/>
        <v/>
      </c>
      <c r="EY136" s="30" t="str">
        <f t="shared" si="2296"/>
        <v/>
      </c>
      <c r="EZ136" s="30" t="str">
        <f t="shared" si="2297"/>
        <v/>
      </c>
      <c r="FA136" s="30" t="str">
        <f t="shared" si="2298"/>
        <v/>
      </c>
      <c r="FB136" s="30" t="str">
        <f t="shared" si="2299"/>
        <v/>
      </c>
      <c r="FC136" s="30" t="str">
        <f t="shared" si="2300"/>
        <v/>
      </c>
      <c r="FD136" s="30" t="str">
        <f t="shared" si="2301"/>
        <v/>
      </c>
      <c r="FE136" s="30" t="str">
        <f t="shared" si="2302"/>
        <v/>
      </c>
      <c r="FF136" s="30" t="str">
        <f t="shared" si="2303"/>
        <v/>
      </c>
      <c r="FG136" s="30" t="str">
        <f t="shared" si="2304"/>
        <v/>
      </c>
      <c r="FH136" s="30" t="str">
        <f t="shared" si="2305"/>
        <v/>
      </c>
      <c r="FI136" s="30" t="str">
        <f t="shared" si="2306"/>
        <v/>
      </c>
      <c r="FJ136" s="30" t="str">
        <f t="shared" si="2307"/>
        <v/>
      </c>
      <c r="FK136" s="30" t="str">
        <f t="shared" si="2308"/>
        <v/>
      </c>
      <c r="FL136" s="30" t="str">
        <f t="shared" si="2309"/>
        <v/>
      </c>
      <c r="FM136" s="30" t="str">
        <f t="shared" si="2310"/>
        <v/>
      </c>
      <c r="FN136" s="30" t="str">
        <f t="shared" si="2311"/>
        <v/>
      </c>
      <c r="FO136" s="30" t="str">
        <f t="shared" si="2312"/>
        <v/>
      </c>
      <c r="FP136" s="30" t="str">
        <f t="shared" si="2313"/>
        <v/>
      </c>
      <c r="FQ136" s="30" t="str">
        <f t="shared" si="2314"/>
        <v/>
      </c>
      <c r="FR136" s="30" t="str">
        <f t="shared" si="2315"/>
        <v/>
      </c>
      <c r="FS136" s="30" t="str">
        <f t="shared" si="2316"/>
        <v/>
      </c>
    </row>
    <row r="137" spans="1:175" ht="16.5">
      <c r="A137" s="87"/>
      <c r="B137" s="66"/>
      <c r="C137" s="87"/>
      <c r="T137" s="106"/>
      <c r="U137" s="32"/>
      <c r="CN137" s="7" t="str">
        <f t="shared" si="2241"/>
        <v>InitUnitState('',,,,,,,,,,)</v>
      </c>
      <c r="CO137" s="7" t="str">
        <f t="shared" si="2242"/>
        <v>InitUnitNormal('',,,,,,,,,,)</v>
      </c>
      <c r="CP137" s="7" t="str">
        <f t="shared" si="2243"/>
        <v>InitUnitMagic('',,,,,,,,,,)</v>
      </c>
      <c r="CQ137" s="7" t="str">
        <f t="shared" si="2244"/>
        <v>InitUnitAdd('',,,,,,,,,,)</v>
      </c>
      <c r="CR137" s="7" t="str">
        <f t="shared" si="2245"/>
        <v>InitEquipData('',,"",,,,,'','','','','','',"")</v>
      </c>
      <c r="CU137" s="45" t="str">
        <f t="shared" si="2246"/>
        <v>|n</v>
      </c>
      <c r="CW137" s="24"/>
      <c r="CX137" s="24"/>
      <c r="CY137" s="24"/>
      <c r="CZ137" s="24"/>
      <c r="DA137" s="24"/>
      <c r="DB137" s="30" t="str">
        <f t="shared" si="2247"/>
        <v/>
      </c>
      <c r="DC137" s="30" t="str">
        <f t="shared" si="2248"/>
        <v/>
      </c>
      <c r="DD137" s="30" t="str">
        <f t="shared" si="2249"/>
        <v/>
      </c>
      <c r="DE137" s="30" t="str">
        <f t="shared" si="2250"/>
        <v/>
      </c>
      <c r="DF137" s="30" t="str">
        <f t="shared" si="2251"/>
        <v/>
      </c>
      <c r="DG137" s="30" t="str">
        <f t="shared" si="2252"/>
        <v/>
      </c>
      <c r="DH137" s="30" t="str">
        <f t="shared" si="2253"/>
        <v/>
      </c>
      <c r="DI137" s="30" t="str">
        <f t="shared" si="2254"/>
        <v/>
      </c>
      <c r="DJ137" s="30" t="str">
        <f t="shared" si="2255"/>
        <v/>
      </c>
      <c r="DK137" s="30" t="str">
        <f t="shared" si="2256"/>
        <v/>
      </c>
      <c r="DL137" s="30" t="str">
        <f t="shared" si="2257"/>
        <v/>
      </c>
      <c r="DM137" s="30" t="str">
        <f t="shared" si="2258"/>
        <v/>
      </c>
      <c r="DN137" s="30" t="str">
        <f t="shared" si="2259"/>
        <v/>
      </c>
      <c r="DO137" s="30" t="str">
        <f t="shared" si="2260"/>
        <v/>
      </c>
      <c r="DP137" s="30" t="str">
        <f t="shared" si="2261"/>
        <v/>
      </c>
      <c r="DQ137" s="30" t="str">
        <f t="shared" si="2262"/>
        <v/>
      </c>
      <c r="DR137" s="30" t="str">
        <f t="shared" si="2263"/>
        <v/>
      </c>
      <c r="DS137" s="30" t="str">
        <f t="shared" si="2264"/>
        <v/>
      </c>
      <c r="DT137" s="30" t="str">
        <f t="shared" si="2265"/>
        <v/>
      </c>
      <c r="DU137" s="30" t="str">
        <f t="shared" si="2266"/>
        <v/>
      </c>
      <c r="DV137" s="30" t="str">
        <f t="shared" si="2267"/>
        <v/>
      </c>
      <c r="DW137" s="30" t="str">
        <f t="shared" si="2268"/>
        <v/>
      </c>
      <c r="DX137" s="30" t="str">
        <f t="shared" si="2269"/>
        <v/>
      </c>
      <c r="DY137" s="30" t="str">
        <f t="shared" si="2270"/>
        <v/>
      </c>
      <c r="DZ137" s="30" t="str">
        <f t="shared" si="2271"/>
        <v/>
      </c>
      <c r="EA137" s="30" t="str">
        <f t="shared" si="2272"/>
        <v/>
      </c>
      <c r="EB137" s="30" t="str">
        <f t="shared" si="2273"/>
        <v/>
      </c>
      <c r="EC137" s="30" t="str">
        <f t="shared" si="2274"/>
        <v/>
      </c>
      <c r="ED137" s="30" t="str">
        <f t="shared" si="2275"/>
        <v/>
      </c>
      <c r="EE137" s="30" t="str">
        <f t="shared" si="2276"/>
        <v/>
      </c>
      <c r="EF137" s="30" t="str">
        <f t="shared" si="2277"/>
        <v/>
      </c>
      <c r="EG137" s="30" t="str">
        <f t="shared" si="2278"/>
        <v/>
      </c>
      <c r="EH137" s="30" t="str">
        <f t="shared" si="2279"/>
        <v/>
      </c>
      <c r="EI137" s="30" t="str">
        <f t="shared" si="2280"/>
        <v/>
      </c>
      <c r="EJ137" s="30" t="str">
        <f t="shared" si="2281"/>
        <v/>
      </c>
      <c r="EK137" s="30" t="str">
        <f t="shared" si="2282"/>
        <v/>
      </c>
      <c r="EL137" s="30" t="str">
        <f t="shared" si="2283"/>
        <v/>
      </c>
      <c r="EM137" s="30" t="str">
        <f t="shared" si="2284"/>
        <v/>
      </c>
      <c r="EN137" s="30" t="str">
        <f t="shared" si="2285"/>
        <v/>
      </c>
      <c r="EO137" s="30" t="str">
        <f t="shared" si="2286"/>
        <v/>
      </c>
      <c r="EP137" s="30" t="str">
        <f t="shared" si="2287"/>
        <v/>
      </c>
      <c r="EQ137" s="30" t="str">
        <f t="shared" si="2288"/>
        <v/>
      </c>
      <c r="ER137" s="30" t="str">
        <f t="shared" si="2289"/>
        <v/>
      </c>
      <c r="ES137" s="30" t="str">
        <f t="shared" si="2290"/>
        <v/>
      </c>
      <c r="ET137" s="30" t="str">
        <f t="shared" si="2291"/>
        <v/>
      </c>
      <c r="EU137" s="30" t="str">
        <f t="shared" si="2292"/>
        <v/>
      </c>
      <c r="EV137" s="30" t="str">
        <f t="shared" si="2293"/>
        <v/>
      </c>
      <c r="EW137" s="30" t="str">
        <f t="shared" si="2294"/>
        <v/>
      </c>
      <c r="EX137" s="30" t="str">
        <f t="shared" si="2295"/>
        <v/>
      </c>
      <c r="EY137" s="30" t="str">
        <f t="shared" si="2296"/>
        <v/>
      </c>
      <c r="EZ137" s="30" t="str">
        <f t="shared" si="2297"/>
        <v/>
      </c>
      <c r="FA137" s="30" t="str">
        <f t="shared" si="2298"/>
        <v/>
      </c>
      <c r="FB137" s="30" t="str">
        <f t="shared" si="2299"/>
        <v/>
      </c>
      <c r="FC137" s="30" t="str">
        <f t="shared" si="2300"/>
        <v/>
      </c>
      <c r="FD137" s="30" t="str">
        <f t="shared" si="2301"/>
        <v/>
      </c>
      <c r="FE137" s="30" t="str">
        <f t="shared" si="2302"/>
        <v/>
      </c>
      <c r="FF137" s="30" t="str">
        <f t="shared" si="2303"/>
        <v/>
      </c>
      <c r="FG137" s="30" t="str">
        <f t="shared" si="2304"/>
        <v/>
      </c>
      <c r="FH137" s="30" t="str">
        <f t="shared" si="2305"/>
        <v/>
      </c>
      <c r="FI137" s="30" t="str">
        <f t="shared" si="2306"/>
        <v/>
      </c>
      <c r="FJ137" s="30" t="str">
        <f t="shared" si="2307"/>
        <v/>
      </c>
      <c r="FK137" s="30" t="str">
        <f t="shared" si="2308"/>
        <v/>
      </c>
      <c r="FL137" s="30" t="str">
        <f t="shared" si="2309"/>
        <v/>
      </c>
      <c r="FM137" s="30" t="str">
        <f t="shared" si="2310"/>
        <v/>
      </c>
      <c r="FN137" s="30" t="str">
        <f t="shared" si="2311"/>
        <v/>
      </c>
      <c r="FO137" s="30" t="str">
        <f t="shared" si="2312"/>
        <v/>
      </c>
      <c r="FP137" s="30" t="str">
        <f t="shared" si="2313"/>
        <v/>
      </c>
      <c r="FQ137" s="30" t="str">
        <f t="shared" si="2314"/>
        <v/>
      </c>
      <c r="FR137" s="30" t="str">
        <f t="shared" si="2315"/>
        <v/>
      </c>
      <c r="FS137" s="30" t="str">
        <f t="shared" si="2316"/>
        <v/>
      </c>
    </row>
    <row r="138" spans="1:175" ht="16.5">
      <c r="A138" s="87"/>
      <c r="B138" s="66"/>
      <c r="C138" s="87"/>
      <c r="T138" s="106"/>
      <c r="U138" s="32"/>
      <c r="CN138" s="7" t="str">
        <f t="shared" si="2241"/>
        <v>InitUnitState('',,,,,,,,,,)</v>
      </c>
      <c r="CO138" s="7" t="str">
        <f t="shared" si="2242"/>
        <v>InitUnitNormal('',,,,,,,,,,)</v>
      </c>
      <c r="CP138" s="7" t="str">
        <f t="shared" si="2243"/>
        <v>InitUnitMagic('',,,,,,,,,,)</v>
      </c>
      <c r="CQ138" s="7" t="str">
        <f t="shared" si="2244"/>
        <v>InitUnitAdd('',,,,,,,,,,)</v>
      </c>
      <c r="CR138" s="7" t="str">
        <f t="shared" si="2245"/>
        <v>InitEquipData('',,"",,,,,'','','','','','',"")</v>
      </c>
      <c r="CU138" s="45" t="str">
        <f t="shared" si="2246"/>
        <v>|n</v>
      </c>
      <c r="CW138" s="24"/>
      <c r="CX138" s="24"/>
      <c r="CY138" s="24"/>
      <c r="CZ138" s="24"/>
      <c r="DA138" s="24"/>
      <c r="DB138" s="30" t="str">
        <f t="shared" si="2247"/>
        <v/>
      </c>
      <c r="DC138" s="30" t="str">
        <f t="shared" si="2248"/>
        <v/>
      </c>
      <c r="DD138" s="30" t="str">
        <f t="shared" si="2249"/>
        <v/>
      </c>
      <c r="DE138" s="30" t="str">
        <f t="shared" si="2250"/>
        <v/>
      </c>
      <c r="DF138" s="30" t="str">
        <f t="shared" si="2251"/>
        <v/>
      </c>
      <c r="DG138" s="30" t="str">
        <f t="shared" si="2252"/>
        <v/>
      </c>
      <c r="DH138" s="30" t="str">
        <f t="shared" si="2253"/>
        <v/>
      </c>
      <c r="DI138" s="30" t="str">
        <f t="shared" si="2254"/>
        <v/>
      </c>
      <c r="DJ138" s="30" t="str">
        <f t="shared" si="2255"/>
        <v/>
      </c>
      <c r="DK138" s="30" t="str">
        <f t="shared" si="2256"/>
        <v/>
      </c>
      <c r="DL138" s="30" t="str">
        <f t="shared" si="2257"/>
        <v/>
      </c>
      <c r="DM138" s="30" t="str">
        <f t="shared" si="2258"/>
        <v/>
      </c>
      <c r="DN138" s="30" t="str">
        <f t="shared" si="2259"/>
        <v/>
      </c>
      <c r="DO138" s="30" t="str">
        <f t="shared" si="2260"/>
        <v/>
      </c>
      <c r="DP138" s="30" t="str">
        <f t="shared" si="2261"/>
        <v/>
      </c>
      <c r="DQ138" s="30" t="str">
        <f t="shared" si="2262"/>
        <v/>
      </c>
      <c r="DR138" s="30" t="str">
        <f t="shared" si="2263"/>
        <v/>
      </c>
      <c r="DS138" s="30" t="str">
        <f t="shared" si="2264"/>
        <v/>
      </c>
      <c r="DT138" s="30" t="str">
        <f t="shared" si="2265"/>
        <v/>
      </c>
      <c r="DU138" s="30" t="str">
        <f t="shared" si="2266"/>
        <v/>
      </c>
      <c r="DV138" s="30" t="str">
        <f t="shared" si="2267"/>
        <v/>
      </c>
      <c r="DW138" s="30" t="str">
        <f t="shared" si="2268"/>
        <v/>
      </c>
      <c r="DX138" s="30" t="str">
        <f t="shared" si="2269"/>
        <v/>
      </c>
      <c r="DY138" s="30" t="str">
        <f t="shared" si="2270"/>
        <v/>
      </c>
      <c r="DZ138" s="30" t="str">
        <f t="shared" si="2271"/>
        <v/>
      </c>
      <c r="EA138" s="30" t="str">
        <f t="shared" si="2272"/>
        <v/>
      </c>
      <c r="EB138" s="30" t="str">
        <f t="shared" si="2273"/>
        <v/>
      </c>
      <c r="EC138" s="30" t="str">
        <f t="shared" si="2274"/>
        <v/>
      </c>
      <c r="ED138" s="30" t="str">
        <f t="shared" si="2275"/>
        <v/>
      </c>
      <c r="EE138" s="30" t="str">
        <f t="shared" si="2276"/>
        <v/>
      </c>
      <c r="EF138" s="30" t="str">
        <f t="shared" si="2277"/>
        <v/>
      </c>
      <c r="EG138" s="30" t="str">
        <f t="shared" si="2278"/>
        <v/>
      </c>
      <c r="EH138" s="30" t="str">
        <f t="shared" si="2279"/>
        <v/>
      </c>
      <c r="EI138" s="30" t="str">
        <f t="shared" si="2280"/>
        <v/>
      </c>
      <c r="EJ138" s="30" t="str">
        <f t="shared" si="2281"/>
        <v/>
      </c>
      <c r="EK138" s="30" t="str">
        <f t="shared" si="2282"/>
        <v/>
      </c>
      <c r="EL138" s="30" t="str">
        <f t="shared" si="2283"/>
        <v/>
      </c>
      <c r="EM138" s="30" t="str">
        <f t="shared" si="2284"/>
        <v/>
      </c>
      <c r="EN138" s="30" t="str">
        <f t="shared" si="2285"/>
        <v/>
      </c>
      <c r="EO138" s="30" t="str">
        <f t="shared" si="2286"/>
        <v/>
      </c>
      <c r="EP138" s="30" t="str">
        <f t="shared" si="2287"/>
        <v/>
      </c>
      <c r="EQ138" s="30" t="str">
        <f t="shared" si="2288"/>
        <v/>
      </c>
      <c r="ER138" s="30" t="str">
        <f t="shared" si="2289"/>
        <v/>
      </c>
      <c r="ES138" s="30" t="str">
        <f t="shared" si="2290"/>
        <v/>
      </c>
      <c r="ET138" s="30" t="str">
        <f t="shared" si="2291"/>
        <v/>
      </c>
      <c r="EU138" s="30" t="str">
        <f t="shared" si="2292"/>
        <v/>
      </c>
      <c r="EV138" s="30" t="str">
        <f t="shared" si="2293"/>
        <v/>
      </c>
      <c r="EW138" s="30" t="str">
        <f t="shared" si="2294"/>
        <v/>
      </c>
      <c r="EX138" s="30" t="str">
        <f t="shared" si="2295"/>
        <v/>
      </c>
      <c r="EY138" s="30" t="str">
        <f t="shared" si="2296"/>
        <v/>
      </c>
      <c r="EZ138" s="30" t="str">
        <f t="shared" si="2297"/>
        <v/>
      </c>
      <c r="FA138" s="30" t="str">
        <f t="shared" si="2298"/>
        <v/>
      </c>
      <c r="FB138" s="30" t="str">
        <f t="shared" si="2299"/>
        <v/>
      </c>
      <c r="FC138" s="30" t="str">
        <f t="shared" si="2300"/>
        <v/>
      </c>
      <c r="FD138" s="30" t="str">
        <f t="shared" si="2301"/>
        <v/>
      </c>
      <c r="FE138" s="30" t="str">
        <f t="shared" si="2302"/>
        <v/>
      </c>
      <c r="FF138" s="30" t="str">
        <f t="shared" si="2303"/>
        <v/>
      </c>
      <c r="FG138" s="30" t="str">
        <f t="shared" si="2304"/>
        <v/>
      </c>
      <c r="FH138" s="30" t="str">
        <f t="shared" si="2305"/>
        <v/>
      </c>
      <c r="FI138" s="30" t="str">
        <f t="shared" si="2306"/>
        <v/>
      </c>
      <c r="FJ138" s="30" t="str">
        <f t="shared" si="2307"/>
        <v/>
      </c>
      <c r="FK138" s="30" t="str">
        <f t="shared" si="2308"/>
        <v/>
      </c>
      <c r="FL138" s="30" t="str">
        <f t="shared" si="2309"/>
        <v/>
      </c>
      <c r="FM138" s="30" t="str">
        <f t="shared" si="2310"/>
        <v/>
      </c>
      <c r="FN138" s="30" t="str">
        <f t="shared" si="2311"/>
        <v/>
      </c>
      <c r="FO138" s="30" t="str">
        <f t="shared" si="2312"/>
        <v/>
      </c>
      <c r="FP138" s="30" t="str">
        <f t="shared" si="2313"/>
        <v/>
      </c>
      <c r="FQ138" s="30" t="str">
        <f t="shared" si="2314"/>
        <v/>
      </c>
      <c r="FR138" s="30" t="str">
        <f t="shared" si="2315"/>
        <v/>
      </c>
      <c r="FS138" s="30" t="str">
        <f t="shared" si="2316"/>
        <v/>
      </c>
    </row>
    <row r="139" spans="1:175" ht="16.5">
      <c r="A139" s="87"/>
      <c r="B139" s="66"/>
      <c r="C139" s="87"/>
      <c r="T139" s="106"/>
      <c r="U139" s="32"/>
      <c r="CN139" s="7" t="str">
        <f t="shared" si="2241"/>
        <v>InitUnitState('',,,,,,,,,,)</v>
      </c>
      <c r="CO139" s="7" t="str">
        <f t="shared" si="2242"/>
        <v>InitUnitNormal('',,,,,,,,,,)</v>
      </c>
      <c r="CP139" s="7" t="str">
        <f t="shared" si="2243"/>
        <v>InitUnitMagic('',,,,,,,,,,)</v>
      </c>
      <c r="CQ139" s="7" t="str">
        <f t="shared" si="2244"/>
        <v>InitUnitAdd('',,,,,,,,,,)</v>
      </c>
      <c r="CR139" s="7" t="str">
        <f t="shared" si="2245"/>
        <v>InitEquipData('',,"",,,,,'','','','','','',"")</v>
      </c>
      <c r="CU139" s="45" t="str">
        <f t="shared" si="2246"/>
        <v>|n</v>
      </c>
      <c r="CW139" s="24"/>
      <c r="CX139" s="24"/>
      <c r="CY139" s="24"/>
      <c r="CZ139" s="24"/>
      <c r="DA139" s="24"/>
      <c r="DB139" s="30" t="str">
        <f t="shared" si="2247"/>
        <v/>
      </c>
      <c r="DC139" s="30" t="str">
        <f t="shared" si="2248"/>
        <v/>
      </c>
      <c r="DD139" s="30" t="str">
        <f t="shared" si="2249"/>
        <v/>
      </c>
      <c r="DE139" s="30" t="str">
        <f t="shared" si="2250"/>
        <v/>
      </c>
      <c r="DF139" s="30" t="str">
        <f t="shared" si="2251"/>
        <v/>
      </c>
      <c r="DG139" s="30" t="str">
        <f t="shared" si="2252"/>
        <v/>
      </c>
      <c r="DH139" s="30" t="str">
        <f t="shared" si="2253"/>
        <v/>
      </c>
      <c r="DI139" s="30" t="str">
        <f t="shared" si="2254"/>
        <v/>
      </c>
      <c r="DJ139" s="30" t="str">
        <f t="shared" si="2255"/>
        <v/>
      </c>
      <c r="DK139" s="30" t="str">
        <f t="shared" si="2256"/>
        <v/>
      </c>
      <c r="DL139" s="30" t="str">
        <f t="shared" si="2257"/>
        <v/>
      </c>
      <c r="DM139" s="30" t="str">
        <f t="shared" si="2258"/>
        <v/>
      </c>
      <c r="DN139" s="30" t="str">
        <f t="shared" si="2259"/>
        <v/>
      </c>
      <c r="DO139" s="30" t="str">
        <f t="shared" si="2260"/>
        <v/>
      </c>
      <c r="DP139" s="30" t="str">
        <f t="shared" si="2261"/>
        <v/>
      </c>
      <c r="DQ139" s="30" t="str">
        <f t="shared" si="2262"/>
        <v/>
      </c>
      <c r="DR139" s="30" t="str">
        <f t="shared" si="2263"/>
        <v/>
      </c>
      <c r="DS139" s="30" t="str">
        <f t="shared" si="2264"/>
        <v/>
      </c>
      <c r="DT139" s="30" t="str">
        <f t="shared" si="2265"/>
        <v/>
      </c>
      <c r="DU139" s="30" t="str">
        <f t="shared" si="2266"/>
        <v/>
      </c>
      <c r="DV139" s="30" t="str">
        <f t="shared" si="2267"/>
        <v/>
      </c>
      <c r="DW139" s="30" t="str">
        <f t="shared" si="2268"/>
        <v/>
      </c>
      <c r="DX139" s="30" t="str">
        <f t="shared" si="2269"/>
        <v/>
      </c>
      <c r="DY139" s="30" t="str">
        <f t="shared" si="2270"/>
        <v/>
      </c>
      <c r="DZ139" s="30" t="str">
        <f t="shared" si="2271"/>
        <v/>
      </c>
      <c r="EA139" s="30" t="str">
        <f t="shared" si="2272"/>
        <v/>
      </c>
      <c r="EB139" s="30" t="str">
        <f t="shared" si="2273"/>
        <v/>
      </c>
      <c r="EC139" s="30" t="str">
        <f t="shared" si="2274"/>
        <v/>
      </c>
      <c r="ED139" s="30" t="str">
        <f t="shared" si="2275"/>
        <v/>
      </c>
      <c r="EE139" s="30" t="str">
        <f t="shared" si="2276"/>
        <v/>
      </c>
      <c r="EF139" s="30" t="str">
        <f t="shared" si="2277"/>
        <v/>
      </c>
      <c r="EG139" s="30" t="str">
        <f t="shared" si="2278"/>
        <v/>
      </c>
      <c r="EH139" s="30" t="str">
        <f t="shared" si="2279"/>
        <v/>
      </c>
      <c r="EI139" s="30" t="str">
        <f t="shared" si="2280"/>
        <v/>
      </c>
      <c r="EJ139" s="30" t="str">
        <f t="shared" si="2281"/>
        <v/>
      </c>
      <c r="EK139" s="30" t="str">
        <f t="shared" si="2282"/>
        <v/>
      </c>
      <c r="EL139" s="30" t="str">
        <f t="shared" si="2283"/>
        <v/>
      </c>
      <c r="EM139" s="30" t="str">
        <f t="shared" si="2284"/>
        <v/>
      </c>
      <c r="EN139" s="30" t="str">
        <f t="shared" si="2285"/>
        <v/>
      </c>
      <c r="EO139" s="30" t="str">
        <f t="shared" si="2286"/>
        <v/>
      </c>
      <c r="EP139" s="30" t="str">
        <f t="shared" si="2287"/>
        <v/>
      </c>
      <c r="EQ139" s="30" t="str">
        <f t="shared" si="2288"/>
        <v/>
      </c>
      <c r="ER139" s="30" t="str">
        <f t="shared" si="2289"/>
        <v/>
      </c>
      <c r="ES139" s="30" t="str">
        <f t="shared" si="2290"/>
        <v/>
      </c>
      <c r="ET139" s="30" t="str">
        <f t="shared" si="2291"/>
        <v/>
      </c>
      <c r="EU139" s="30" t="str">
        <f t="shared" si="2292"/>
        <v/>
      </c>
      <c r="EV139" s="30" t="str">
        <f t="shared" si="2293"/>
        <v/>
      </c>
      <c r="EW139" s="30" t="str">
        <f t="shared" si="2294"/>
        <v/>
      </c>
      <c r="EX139" s="30" t="str">
        <f t="shared" si="2295"/>
        <v/>
      </c>
      <c r="EY139" s="30" t="str">
        <f t="shared" si="2296"/>
        <v/>
      </c>
      <c r="EZ139" s="30" t="str">
        <f t="shared" si="2297"/>
        <v/>
      </c>
      <c r="FA139" s="30" t="str">
        <f t="shared" si="2298"/>
        <v/>
      </c>
      <c r="FB139" s="30" t="str">
        <f t="shared" si="2299"/>
        <v/>
      </c>
      <c r="FC139" s="30" t="str">
        <f t="shared" si="2300"/>
        <v/>
      </c>
      <c r="FD139" s="30" t="str">
        <f t="shared" si="2301"/>
        <v/>
      </c>
      <c r="FE139" s="30" t="str">
        <f t="shared" si="2302"/>
        <v/>
      </c>
      <c r="FF139" s="30" t="str">
        <f t="shared" si="2303"/>
        <v/>
      </c>
      <c r="FG139" s="30" t="str">
        <f t="shared" si="2304"/>
        <v/>
      </c>
      <c r="FH139" s="30" t="str">
        <f t="shared" si="2305"/>
        <v/>
      </c>
      <c r="FI139" s="30" t="str">
        <f t="shared" si="2306"/>
        <v/>
      </c>
      <c r="FJ139" s="30" t="str">
        <f t="shared" si="2307"/>
        <v/>
      </c>
      <c r="FK139" s="30" t="str">
        <f t="shared" si="2308"/>
        <v/>
      </c>
      <c r="FL139" s="30" t="str">
        <f t="shared" si="2309"/>
        <v/>
      </c>
      <c r="FM139" s="30" t="str">
        <f t="shared" si="2310"/>
        <v/>
      </c>
      <c r="FN139" s="30" t="str">
        <f t="shared" si="2311"/>
        <v/>
      </c>
      <c r="FO139" s="30" t="str">
        <f t="shared" si="2312"/>
        <v/>
      </c>
      <c r="FP139" s="30" t="str">
        <f t="shared" si="2313"/>
        <v/>
      </c>
      <c r="FQ139" s="30" t="str">
        <f t="shared" si="2314"/>
        <v/>
      </c>
      <c r="FR139" s="30" t="str">
        <f t="shared" si="2315"/>
        <v/>
      </c>
      <c r="FS139" s="30" t="str">
        <f t="shared" si="2316"/>
        <v/>
      </c>
    </row>
    <row r="140" spans="1:175" ht="16.5">
      <c r="A140" s="87"/>
      <c r="B140" s="66"/>
      <c r="C140" s="87"/>
      <c r="T140" s="106"/>
      <c r="U140" s="32"/>
      <c r="CN140" s="7" t="str">
        <f t="shared" si="2241"/>
        <v>InitUnitState('',,,,,,,,,,)</v>
      </c>
      <c r="CO140" s="7" t="str">
        <f t="shared" si="2242"/>
        <v>InitUnitNormal('',,,,,,,,,,)</v>
      </c>
      <c r="CP140" s="7" t="str">
        <f t="shared" si="2243"/>
        <v>InitUnitMagic('',,,,,,,,,,)</v>
      </c>
      <c r="CQ140" s="7" t="str">
        <f t="shared" si="2244"/>
        <v>InitUnitAdd('',,,,,,,,,,)</v>
      </c>
      <c r="CR140" s="7" t="str">
        <f t="shared" si="2245"/>
        <v>InitEquipData('',,"",,,,,'','','','','','',"")</v>
      </c>
      <c r="CU140" s="45" t="str">
        <f t="shared" si="2246"/>
        <v>|n</v>
      </c>
      <c r="CW140" s="24"/>
      <c r="CX140" s="24"/>
      <c r="CY140" s="24"/>
      <c r="CZ140" s="24"/>
      <c r="DA140" s="24"/>
      <c r="DB140" s="30" t="str">
        <f t="shared" si="2247"/>
        <v/>
      </c>
      <c r="DC140" s="30" t="str">
        <f t="shared" si="2248"/>
        <v/>
      </c>
      <c r="DD140" s="30" t="str">
        <f t="shared" si="2249"/>
        <v/>
      </c>
      <c r="DE140" s="30" t="str">
        <f t="shared" si="2250"/>
        <v/>
      </c>
      <c r="DF140" s="30" t="str">
        <f t="shared" si="2251"/>
        <v/>
      </c>
      <c r="DG140" s="30" t="str">
        <f t="shared" si="2252"/>
        <v/>
      </c>
      <c r="DH140" s="30" t="str">
        <f t="shared" si="2253"/>
        <v/>
      </c>
      <c r="DI140" s="30" t="str">
        <f t="shared" si="2254"/>
        <v/>
      </c>
      <c r="DJ140" s="30" t="str">
        <f t="shared" si="2255"/>
        <v/>
      </c>
      <c r="DK140" s="30" t="str">
        <f t="shared" si="2256"/>
        <v/>
      </c>
      <c r="DL140" s="30" t="str">
        <f t="shared" si="2257"/>
        <v/>
      </c>
      <c r="DM140" s="30" t="str">
        <f t="shared" si="2258"/>
        <v/>
      </c>
      <c r="DN140" s="30" t="str">
        <f t="shared" si="2259"/>
        <v/>
      </c>
      <c r="DO140" s="30" t="str">
        <f t="shared" si="2260"/>
        <v/>
      </c>
      <c r="DP140" s="30" t="str">
        <f t="shared" si="2261"/>
        <v/>
      </c>
      <c r="DQ140" s="30" t="str">
        <f t="shared" si="2262"/>
        <v/>
      </c>
      <c r="DR140" s="30" t="str">
        <f t="shared" si="2263"/>
        <v/>
      </c>
      <c r="DS140" s="30" t="str">
        <f t="shared" si="2264"/>
        <v/>
      </c>
      <c r="DT140" s="30" t="str">
        <f t="shared" si="2265"/>
        <v/>
      </c>
      <c r="DU140" s="30" t="str">
        <f t="shared" si="2266"/>
        <v/>
      </c>
      <c r="DV140" s="30" t="str">
        <f t="shared" si="2267"/>
        <v/>
      </c>
      <c r="DW140" s="30" t="str">
        <f t="shared" si="2268"/>
        <v/>
      </c>
      <c r="DX140" s="30" t="str">
        <f t="shared" si="2269"/>
        <v/>
      </c>
      <c r="DY140" s="30" t="str">
        <f t="shared" si="2270"/>
        <v/>
      </c>
      <c r="DZ140" s="30" t="str">
        <f t="shared" si="2271"/>
        <v/>
      </c>
      <c r="EA140" s="30" t="str">
        <f t="shared" si="2272"/>
        <v/>
      </c>
      <c r="EB140" s="30" t="str">
        <f t="shared" si="2273"/>
        <v/>
      </c>
      <c r="EC140" s="30" t="str">
        <f t="shared" si="2274"/>
        <v/>
      </c>
      <c r="ED140" s="30" t="str">
        <f t="shared" si="2275"/>
        <v/>
      </c>
      <c r="EE140" s="30" t="str">
        <f t="shared" si="2276"/>
        <v/>
      </c>
      <c r="EF140" s="30" t="str">
        <f t="shared" si="2277"/>
        <v/>
      </c>
      <c r="EG140" s="30" t="str">
        <f t="shared" si="2278"/>
        <v/>
      </c>
      <c r="EH140" s="30" t="str">
        <f t="shared" si="2279"/>
        <v/>
      </c>
      <c r="EI140" s="30" t="str">
        <f t="shared" si="2280"/>
        <v/>
      </c>
      <c r="EJ140" s="30" t="str">
        <f t="shared" si="2281"/>
        <v/>
      </c>
      <c r="EK140" s="30" t="str">
        <f t="shared" si="2282"/>
        <v/>
      </c>
      <c r="EL140" s="30" t="str">
        <f t="shared" si="2283"/>
        <v/>
      </c>
      <c r="EM140" s="30" t="str">
        <f t="shared" si="2284"/>
        <v/>
      </c>
      <c r="EN140" s="30" t="str">
        <f t="shared" si="2285"/>
        <v/>
      </c>
      <c r="EO140" s="30" t="str">
        <f t="shared" si="2286"/>
        <v/>
      </c>
      <c r="EP140" s="30" t="str">
        <f t="shared" si="2287"/>
        <v/>
      </c>
      <c r="EQ140" s="30" t="str">
        <f t="shared" si="2288"/>
        <v/>
      </c>
      <c r="ER140" s="30" t="str">
        <f t="shared" si="2289"/>
        <v/>
      </c>
      <c r="ES140" s="30" t="str">
        <f t="shared" si="2290"/>
        <v/>
      </c>
      <c r="ET140" s="30" t="str">
        <f t="shared" si="2291"/>
        <v/>
      </c>
      <c r="EU140" s="30" t="str">
        <f t="shared" si="2292"/>
        <v/>
      </c>
      <c r="EV140" s="30" t="str">
        <f t="shared" si="2293"/>
        <v/>
      </c>
      <c r="EW140" s="30" t="str">
        <f t="shared" si="2294"/>
        <v/>
      </c>
      <c r="EX140" s="30" t="str">
        <f t="shared" si="2295"/>
        <v/>
      </c>
      <c r="EY140" s="30" t="str">
        <f t="shared" si="2296"/>
        <v/>
      </c>
      <c r="EZ140" s="30" t="str">
        <f t="shared" si="2297"/>
        <v/>
      </c>
      <c r="FA140" s="30" t="str">
        <f t="shared" si="2298"/>
        <v/>
      </c>
      <c r="FB140" s="30" t="str">
        <f t="shared" si="2299"/>
        <v/>
      </c>
      <c r="FC140" s="30" t="str">
        <f t="shared" si="2300"/>
        <v/>
      </c>
      <c r="FD140" s="30" t="str">
        <f t="shared" si="2301"/>
        <v/>
      </c>
      <c r="FE140" s="30" t="str">
        <f t="shared" si="2302"/>
        <v/>
      </c>
      <c r="FF140" s="30" t="str">
        <f t="shared" si="2303"/>
        <v/>
      </c>
      <c r="FG140" s="30" t="str">
        <f t="shared" si="2304"/>
        <v/>
      </c>
      <c r="FH140" s="30" t="str">
        <f t="shared" si="2305"/>
        <v/>
      </c>
      <c r="FI140" s="30" t="str">
        <f t="shared" si="2306"/>
        <v/>
      </c>
      <c r="FJ140" s="30" t="str">
        <f t="shared" si="2307"/>
        <v/>
      </c>
      <c r="FK140" s="30" t="str">
        <f t="shared" si="2308"/>
        <v/>
      </c>
      <c r="FL140" s="30" t="str">
        <f t="shared" si="2309"/>
        <v/>
      </c>
      <c r="FM140" s="30" t="str">
        <f t="shared" si="2310"/>
        <v/>
      </c>
      <c r="FN140" s="30" t="str">
        <f t="shared" si="2311"/>
        <v/>
      </c>
      <c r="FO140" s="30" t="str">
        <f t="shared" si="2312"/>
        <v/>
      </c>
      <c r="FP140" s="30" t="str">
        <f t="shared" si="2313"/>
        <v/>
      </c>
      <c r="FQ140" s="30" t="str">
        <f t="shared" si="2314"/>
        <v/>
      </c>
      <c r="FR140" s="30" t="str">
        <f t="shared" si="2315"/>
        <v/>
      </c>
      <c r="FS140" s="30" t="str">
        <f t="shared" si="2316"/>
        <v/>
      </c>
    </row>
    <row r="141" spans="1:175" ht="16.5">
      <c r="A141" s="87"/>
      <c r="B141" s="66"/>
      <c r="C141" s="87"/>
      <c r="T141" s="106"/>
      <c r="U141" s="32"/>
      <c r="CN141" s="7" t="str">
        <f t="shared" si="2241"/>
        <v>InitUnitState('',,,,,,,,,,)</v>
      </c>
      <c r="CO141" s="7" t="str">
        <f t="shared" si="2242"/>
        <v>InitUnitNormal('',,,,,,,,,,)</v>
      </c>
      <c r="CP141" s="7" t="str">
        <f t="shared" si="2243"/>
        <v>InitUnitMagic('',,,,,,,,,,)</v>
      </c>
      <c r="CQ141" s="7" t="str">
        <f t="shared" si="2244"/>
        <v>InitUnitAdd('',,,,,,,,,,)</v>
      </c>
      <c r="CR141" s="7" t="str">
        <f t="shared" si="2245"/>
        <v>InitEquipData('',,"",,,,,'','','','','','',"")</v>
      </c>
      <c r="CU141" s="45" t="str">
        <f t="shared" si="2246"/>
        <v>|n</v>
      </c>
      <c r="CW141" s="24"/>
      <c r="CX141" s="24"/>
      <c r="CY141" s="24"/>
      <c r="CZ141" s="24"/>
      <c r="DA141" s="24"/>
      <c r="DB141" s="30" t="str">
        <f t="shared" si="2247"/>
        <v/>
      </c>
      <c r="DC141" s="30" t="str">
        <f t="shared" si="2248"/>
        <v/>
      </c>
      <c r="DD141" s="30" t="str">
        <f t="shared" si="2249"/>
        <v/>
      </c>
      <c r="DE141" s="30" t="str">
        <f t="shared" si="2250"/>
        <v/>
      </c>
      <c r="DF141" s="30" t="str">
        <f t="shared" si="2251"/>
        <v/>
      </c>
      <c r="DG141" s="30" t="str">
        <f t="shared" si="2252"/>
        <v/>
      </c>
      <c r="DH141" s="30" t="str">
        <f t="shared" si="2253"/>
        <v/>
      </c>
      <c r="DI141" s="30" t="str">
        <f t="shared" si="2254"/>
        <v/>
      </c>
      <c r="DJ141" s="30" t="str">
        <f t="shared" si="2255"/>
        <v/>
      </c>
      <c r="DK141" s="30" t="str">
        <f t="shared" si="2256"/>
        <v/>
      </c>
      <c r="DL141" s="30" t="str">
        <f t="shared" si="2257"/>
        <v/>
      </c>
      <c r="DM141" s="30" t="str">
        <f t="shared" si="2258"/>
        <v/>
      </c>
      <c r="DN141" s="30" t="str">
        <f t="shared" si="2259"/>
        <v/>
      </c>
      <c r="DO141" s="30" t="str">
        <f t="shared" si="2260"/>
        <v/>
      </c>
      <c r="DP141" s="30" t="str">
        <f t="shared" si="2261"/>
        <v/>
      </c>
      <c r="DQ141" s="30" t="str">
        <f t="shared" si="2262"/>
        <v/>
      </c>
      <c r="DR141" s="30" t="str">
        <f t="shared" si="2263"/>
        <v/>
      </c>
      <c r="DS141" s="30" t="str">
        <f t="shared" si="2264"/>
        <v/>
      </c>
      <c r="DT141" s="30" t="str">
        <f t="shared" si="2265"/>
        <v/>
      </c>
      <c r="DU141" s="30" t="str">
        <f t="shared" si="2266"/>
        <v/>
      </c>
      <c r="DV141" s="30" t="str">
        <f t="shared" si="2267"/>
        <v/>
      </c>
      <c r="DW141" s="30" t="str">
        <f t="shared" si="2268"/>
        <v/>
      </c>
      <c r="DX141" s="30" t="str">
        <f t="shared" si="2269"/>
        <v/>
      </c>
      <c r="DY141" s="30" t="str">
        <f t="shared" si="2270"/>
        <v/>
      </c>
      <c r="DZ141" s="30" t="str">
        <f t="shared" si="2271"/>
        <v/>
      </c>
      <c r="EA141" s="30" t="str">
        <f t="shared" si="2272"/>
        <v/>
      </c>
      <c r="EB141" s="30" t="str">
        <f t="shared" si="2273"/>
        <v/>
      </c>
      <c r="EC141" s="30" t="str">
        <f t="shared" si="2274"/>
        <v/>
      </c>
      <c r="ED141" s="30" t="str">
        <f t="shared" si="2275"/>
        <v/>
      </c>
      <c r="EE141" s="30" t="str">
        <f t="shared" si="2276"/>
        <v/>
      </c>
      <c r="EF141" s="30" t="str">
        <f t="shared" si="2277"/>
        <v/>
      </c>
      <c r="EG141" s="30" t="str">
        <f t="shared" si="2278"/>
        <v/>
      </c>
      <c r="EH141" s="30" t="str">
        <f t="shared" si="2279"/>
        <v/>
      </c>
      <c r="EI141" s="30" t="str">
        <f t="shared" si="2280"/>
        <v/>
      </c>
      <c r="EJ141" s="30" t="str">
        <f t="shared" si="2281"/>
        <v/>
      </c>
      <c r="EK141" s="30" t="str">
        <f t="shared" si="2282"/>
        <v/>
      </c>
      <c r="EL141" s="30" t="str">
        <f t="shared" si="2283"/>
        <v/>
      </c>
      <c r="EM141" s="30" t="str">
        <f t="shared" si="2284"/>
        <v/>
      </c>
      <c r="EN141" s="30" t="str">
        <f t="shared" si="2285"/>
        <v/>
      </c>
      <c r="EO141" s="30" t="str">
        <f t="shared" si="2286"/>
        <v/>
      </c>
      <c r="EP141" s="30" t="str">
        <f t="shared" si="2287"/>
        <v/>
      </c>
      <c r="EQ141" s="30" t="str">
        <f t="shared" si="2288"/>
        <v/>
      </c>
      <c r="ER141" s="30" t="str">
        <f t="shared" si="2289"/>
        <v/>
      </c>
      <c r="ES141" s="30" t="str">
        <f t="shared" si="2290"/>
        <v/>
      </c>
      <c r="ET141" s="30" t="str">
        <f t="shared" si="2291"/>
        <v/>
      </c>
      <c r="EU141" s="30" t="str">
        <f t="shared" si="2292"/>
        <v/>
      </c>
      <c r="EV141" s="30" t="str">
        <f t="shared" si="2293"/>
        <v/>
      </c>
      <c r="EW141" s="30" t="str">
        <f t="shared" si="2294"/>
        <v/>
      </c>
      <c r="EX141" s="30" t="str">
        <f t="shared" si="2295"/>
        <v/>
      </c>
      <c r="EY141" s="30" t="str">
        <f t="shared" si="2296"/>
        <v/>
      </c>
      <c r="EZ141" s="30" t="str">
        <f t="shared" si="2297"/>
        <v/>
      </c>
      <c r="FA141" s="30" t="str">
        <f t="shared" si="2298"/>
        <v/>
      </c>
      <c r="FB141" s="30" t="str">
        <f t="shared" si="2299"/>
        <v/>
      </c>
      <c r="FC141" s="30" t="str">
        <f t="shared" si="2300"/>
        <v/>
      </c>
      <c r="FD141" s="30" t="str">
        <f t="shared" si="2301"/>
        <v/>
      </c>
      <c r="FE141" s="30" t="str">
        <f t="shared" si="2302"/>
        <v/>
      </c>
      <c r="FF141" s="30" t="str">
        <f t="shared" si="2303"/>
        <v/>
      </c>
      <c r="FG141" s="30" t="str">
        <f t="shared" si="2304"/>
        <v/>
      </c>
      <c r="FH141" s="30" t="str">
        <f t="shared" si="2305"/>
        <v/>
      </c>
      <c r="FI141" s="30" t="str">
        <f t="shared" si="2306"/>
        <v/>
      </c>
      <c r="FJ141" s="30" t="str">
        <f t="shared" si="2307"/>
        <v/>
      </c>
      <c r="FK141" s="30" t="str">
        <f t="shared" si="2308"/>
        <v/>
      </c>
      <c r="FL141" s="30" t="str">
        <f t="shared" si="2309"/>
        <v/>
      </c>
      <c r="FM141" s="30" t="str">
        <f t="shared" si="2310"/>
        <v/>
      </c>
      <c r="FN141" s="30" t="str">
        <f t="shared" si="2311"/>
        <v/>
      </c>
      <c r="FO141" s="30" t="str">
        <f t="shared" si="2312"/>
        <v/>
      </c>
      <c r="FP141" s="30" t="str">
        <f t="shared" si="2313"/>
        <v/>
      </c>
      <c r="FQ141" s="30" t="str">
        <f t="shared" si="2314"/>
        <v/>
      </c>
      <c r="FR141" s="30" t="str">
        <f t="shared" si="2315"/>
        <v/>
      </c>
      <c r="FS141" s="30" t="str">
        <f t="shared" si="2316"/>
        <v/>
      </c>
    </row>
    <row r="142" spans="1:175" ht="16.5">
      <c r="A142" s="87"/>
      <c r="B142" s="66"/>
      <c r="C142" s="87"/>
      <c r="T142" s="106"/>
      <c r="U142" s="32"/>
      <c r="CN142" s="7" t="str">
        <f t="shared" si="2241"/>
        <v>InitUnitState('',,,,,,,,,,)</v>
      </c>
      <c r="CO142" s="7" t="str">
        <f t="shared" si="2242"/>
        <v>InitUnitNormal('',,,,,,,,,,)</v>
      </c>
      <c r="CP142" s="7" t="str">
        <f t="shared" si="2243"/>
        <v>InitUnitMagic('',,,,,,,,,,)</v>
      </c>
      <c r="CQ142" s="7" t="str">
        <f t="shared" si="2244"/>
        <v>InitUnitAdd('',,,,,,,,,,)</v>
      </c>
      <c r="CR142" s="7" t="str">
        <f t="shared" si="2245"/>
        <v>InitEquipData('',,"",,,,,'','','','','','',"")</v>
      </c>
      <c r="CU142" s="45" t="str">
        <f t="shared" si="2246"/>
        <v>|n</v>
      </c>
      <c r="CW142" s="24"/>
      <c r="CX142" s="24"/>
      <c r="CY142" s="24"/>
      <c r="CZ142" s="24"/>
      <c r="DA142" s="24"/>
      <c r="DB142" s="30" t="str">
        <f t="shared" si="2247"/>
        <v/>
      </c>
      <c r="DC142" s="30" t="str">
        <f t="shared" si="2248"/>
        <v/>
      </c>
      <c r="DD142" s="30" t="str">
        <f t="shared" si="2249"/>
        <v/>
      </c>
      <c r="DE142" s="30" t="str">
        <f t="shared" si="2250"/>
        <v/>
      </c>
      <c r="DF142" s="30" t="str">
        <f t="shared" si="2251"/>
        <v/>
      </c>
      <c r="DG142" s="30" t="str">
        <f t="shared" si="2252"/>
        <v/>
      </c>
      <c r="DH142" s="30" t="str">
        <f t="shared" si="2253"/>
        <v/>
      </c>
      <c r="DI142" s="30" t="str">
        <f t="shared" si="2254"/>
        <v/>
      </c>
      <c r="DJ142" s="30" t="str">
        <f t="shared" si="2255"/>
        <v/>
      </c>
      <c r="DK142" s="30" t="str">
        <f t="shared" si="2256"/>
        <v/>
      </c>
      <c r="DL142" s="30" t="str">
        <f t="shared" si="2257"/>
        <v/>
      </c>
      <c r="DM142" s="30" t="str">
        <f t="shared" si="2258"/>
        <v/>
      </c>
      <c r="DN142" s="30" t="str">
        <f t="shared" si="2259"/>
        <v/>
      </c>
      <c r="DO142" s="30" t="str">
        <f t="shared" si="2260"/>
        <v/>
      </c>
      <c r="DP142" s="30" t="str">
        <f t="shared" si="2261"/>
        <v/>
      </c>
      <c r="DQ142" s="30" t="str">
        <f t="shared" si="2262"/>
        <v/>
      </c>
      <c r="DR142" s="30" t="str">
        <f t="shared" si="2263"/>
        <v/>
      </c>
      <c r="DS142" s="30" t="str">
        <f t="shared" si="2264"/>
        <v/>
      </c>
      <c r="DT142" s="30" t="str">
        <f t="shared" si="2265"/>
        <v/>
      </c>
      <c r="DU142" s="30" t="str">
        <f t="shared" si="2266"/>
        <v/>
      </c>
      <c r="DV142" s="30" t="str">
        <f t="shared" si="2267"/>
        <v/>
      </c>
      <c r="DW142" s="30" t="str">
        <f t="shared" si="2268"/>
        <v/>
      </c>
      <c r="DX142" s="30" t="str">
        <f t="shared" si="2269"/>
        <v/>
      </c>
      <c r="DY142" s="30" t="str">
        <f t="shared" si="2270"/>
        <v/>
      </c>
      <c r="DZ142" s="30" t="str">
        <f t="shared" si="2271"/>
        <v/>
      </c>
      <c r="EA142" s="30" t="str">
        <f t="shared" si="2272"/>
        <v/>
      </c>
      <c r="EB142" s="30" t="str">
        <f t="shared" si="2273"/>
        <v/>
      </c>
      <c r="EC142" s="30" t="str">
        <f t="shared" si="2274"/>
        <v/>
      </c>
      <c r="ED142" s="30" t="str">
        <f t="shared" si="2275"/>
        <v/>
      </c>
      <c r="EE142" s="30" t="str">
        <f t="shared" si="2276"/>
        <v/>
      </c>
      <c r="EF142" s="30" t="str">
        <f t="shared" si="2277"/>
        <v/>
      </c>
      <c r="EG142" s="30" t="str">
        <f t="shared" si="2278"/>
        <v/>
      </c>
      <c r="EH142" s="30" t="str">
        <f t="shared" si="2279"/>
        <v/>
      </c>
      <c r="EI142" s="30" t="str">
        <f t="shared" si="2280"/>
        <v/>
      </c>
      <c r="EJ142" s="30" t="str">
        <f t="shared" si="2281"/>
        <v/>
      </c>
      <c r="EK142" s="30" t="str">
        <f t="shared" si="2282"/>
        <v/>
      </c>
      <c r="EL142" s="30" t="str">
        <f t="shared" si="2283"/>
        <v/>
      </c>
      <c r="EM142" s="30" t="str">
        <f t="shared" si="2284"/>
        <v/>
      </c>
      <c r="EN142" s="30" t="str">
        <f t="shared" si="2285"/>
        <v/>
      </c>
      <c r="EO142" s="30" t="str">
        <f t="shared" si="2286"/>
        <v/>
      </c>
      <c r="EP142" s="30" t="str">
        <f t="shared" si="2287"/>
        <v/>
      </c>
      <c r="EQ142" s="30" t="str">
        <f t="shared" si="2288"/>
        <v/>
      </c>
      <c r="ER142" s="30" t="str">
        <f t="shared" si="2289"/>
        <v/>
      </c>
      <c r="ES142" s="30" t="str">
        <f t="shared" si="2290"/>
        <v/>
      </c>
      <c r="ET142" s="30" t="str">
        <f t="shared" si="2291"/>
        <v/>
      </c>
      <c r="EU142" s="30" t="str">
        <f t="shared" si="2292"/>
        <v/>
      </c>
      <c r="EV142" s="30" t="str">
        <f t="shared" si="2293"/>
        <v/>
      </c>
      <c r="EW142" s="30" t="str">
        <f t="shared" si="2294"/>
        <v/>
      </c>
      <c r="EX142" s="30" t="str">
        <f t="shared" si="2295"/>
        <v/>
      </c>
      <c r="EY142" s="30" t="str">
        <f t="shared" si="2296"/>
        <v/>
      </c>
      <c r="EZ142" s="30" t="str">
        <f t="shared" si="2297"/>
        <v/>
      </c>
      <c r="FA142" s="30" t="str">
        <f t="shared" si="2298"/>
        <v/>
      </c>
      <c r="FB142" s="30" t="str">
        <f t="shared" si="2299"/>
        <v/>
      </c>
      <c r="FC142" s="30" t="str">
        <f t="shared" si="2300"/>
        <v/>
      </c>
      <c r="FD142" s="30" t="str">
        <f t="shared" si="2301"/>
        <v/>
      </c>
      <c r="FE142" s="30" t="str">
        <f t="shared" si="2302"/>
        <v/>
      </c>
      <c r="FF142" s="30" t="str">
        <f t="shared" si="2303"/>
        <v/>
      </c>
      <c r="FG142" s="30" t="str">
        <f t="shared" si="2304"/>
        <v/>
      </c>
      <c r="FH142" s="30" t="str">
        <f t="shared" si="2305"/>
        <v/>
      </c>
      <c r="FI142" s="30" t="str">
        <f t="shared" si="2306"/>
        <v/>
      </c>
      <c r="FJ142" s="30" t="str">
        <f t="shared" si="2307"/>
        <v/>
      </c>
      <c r="FK142" s="30" t="str">
        <f t="shared" si="2308"/>
        <v/>
      </c>
      <c r="FL142" s="30" t="str">
        <f t="shared" si="2309"/>
        <v/>
      </c>
      <c r="FM142" s="30" t="str">
        <f t="shared" si="2310"/>
        <v/>
      </c>
      <c r="FN142" s="30" t="str">
        <f t="shared" si="2311"/>
        <v/>
      </c>
      <c r="FO142" s="30" t="str">
        <f t="shared" si="2312"/>
        <v/>
      </c>
      <c r="FP142" s="30" t="str">
        <f t="shared" si="2313"/>
        <v/>
      </c>
      <c r="FQ142" s="30" t="str">
        <f t="shared" si="2314"/>
        <v/>
      </c>
      <c r="FR142" s="30" t="str">
        <f t="shared" si="2315"/>
        <v/>
      </c>
      <c r="FS142" s="30" t="str">
        <f t="shared" si="2316"/>
        <v/>
      </c>
    </row>
    <row r="143" spans="1:175" ht="16.5">
      <c r="A143" s="87"/>
      <c r="B143" s="66"/>
      <c r="C143" s="87"/>
      <c r="T143" s="106"/>
      <c r="U143" s="32"/>
      <c r="CN143" s="7" t="str">
        <f t="shared" si="2241"/>
        <v>InitUnitState('',,,,,,,,,,)</v>
      </c>
      <c r="CO143" s="7" t="str">
        <f t="shared" si="2242"/>
        <v>InitUnitNormal('',,,,,,,,,,)</v>
      </c>
      <c r="CP143" s="7" t="str">
        <f t="shared" si="2243"/>
        <v>InitUnitMagic('',,,,,,,,,,)</v>
      </c>
      <c r="CQ143" s="7" t="str">
        <f t="shared" si="2244"/>
        <v>InitUnitAdd('',,,,,,,,,,)</v>
      </c>
      <c r="CR143" s="7" t="str">
        <f t="shared" si="2245"/>
        <v>InitEquipData('',,"",,,,,'','','','','','',"")</v>
      </c>
      <c r="CU143" s="45" t="str">
        <f t="shared" si="2246"/>
        <v>|n</v>
      </c>
      <c r="CW143" s="24"/>
      <c r="CX143" s="24"/>
      <c r="CY143" s="24"/>
      <c r="CZ143" s="24"/>
      <c r="DA143" s="24"/>
      <c r="DB143" s="30" t="str">
        <f t="shared" si="2247"/>
        <v/>
      </c>
      <c r="DC143" s="30" t="str">
        <f t="shared" si="2248"/>
        <v/>
      </c>
      <c r="DD143" s="30" t="str">
        <f t="shared" si="2249"/>
        <v/>
      </c>
      <c r="DE143" s="30" t="str">
        <f t="shared" si="2250"/>
        <v/>
      </c>
      <c r="DF143" s="30" t="str">
        <f t="shared" si="2251"/>
        <v/>
      </c>
      <c r="DG143" s="30" t="str">
        <f t="shared" si="2252"/>
        <v/>
      </c>
      <c r="DH143" s="30" t="str">
        <f t="shared" si="2253"/>
        <v/>
      </c>
      <c r="DI143" s="30" t="str">
        <f t="shared" si="2254"/>
        <v/>
      </c>
      <c r="DJ143" s="30" t="str">
        <f t="shared" si="2255"/>
        <v/>
      </c>
      <c r="DK143" s="30" t="str">
        <f t="shared" si="2256"/>
        <v/>
      </c>
      <c r="DL143" s="30" t="str">
        <f t="shared" si="2257"/>
        <v/>
      </c>
      <c r="DM143" s="30" t="str">
        <f t="shared" si="2258"/>
        <v/>
      </c>
      <c r="DN143" s="30" t="str">
        <f t="shared" si="2259"/>
        <v/>
      </c>
      <c r="DO143" s="30" t="str">
        <f t="shared" si="2260"/>
        <v/>
      </c>
      <c r="DP143" s="30" t="str">
        <f t="shared" si="2261"/>
        <v/>
      </c>
      <c r="DQ143" s="30" t="str">
        <f t="shared" si="2262"/>
        <v/>
      </c>
      <c r="DR143" s="30" t="str">
        <f t="shared" si="2263"/>
        <v/>
      </c>
      <c r="DS143" s="30" t="str">
        <f t="shared" si="2264"/>
        <v/>
      </c>
      <c r="DT143" s="30" t="str">
        <f t="shared" si="2265"/>
        <v/>
      </c>
      <c r="DU143" s="30" t="str">
        <f t="shared" si="2266"/>
        <v/>
      </c>
      <c r="DV143" s="30" t="str">
        <f t="shared" si="2267"/>
        <v/>
      </c>
      <c r="DW143" s="30" t="str">
        <f t="shared" si="2268"/>
        <v/>
      </c>
      <c r="DX143" s="30" t="str">
        <f t="shared" si="2269"/>
        <v/>
      </c>
      <c r="DY143" s="30" t="str">
        <f t="shared" si="2270"/>
        <v/>
      </c>
      <c r="DZ143" s="30" t="str">
        <f t="shared" si="2271"/>
        <v/>
      </c>
      <c r="EA143" s="30" t="str">
        <f t="shared" si="2272"/>
        <v/>
      </c>
      <c r="EB143" s="30" t="str">
        <f t="shared" si="2273"/>
        <v/>
      </c>
      <c r="EC143" s="30" t="str">
        <f t="shared" si="2274"/>
        <v/>
      </c>
      <c r="ED143" s="30" t="str">
        <f t="shared" si="2275"/>
        <v/>
      </c>
      <c r="EE143" s="30" t="str">
        <f t="shared" si="2276"/>
        <v/>
      </c>
      <c r="EF143" s="30" t="str">
        <f t="shared" si="2277"/>
        <v/>
      </c>
      <c r="EG143" s="30" t="str">
        <f t="shared" si="2278"/>
        <v/>
      </c>
      <c r="EH143" s="30" t="str">
        <f t="shared" si="2279"/>
        <v/>
      </c>
      <c r="EI143" s="30" t="str">
        <f t="shared" si="2280"/>
        <v/>
      </c>
      <c r="EJ143" s="30" t="str">
        <f t="shared" si="2281"/>
        <v/>
      </c>
      <c r="EK143" s="30" t="str">
        <f t="shared" si="2282"/>
        <v/>
      </c>
      <c r="EL143" s="30" t="str">
        <f t="shared" si="2283"/>
        <v/>
      </c>
      <c r="EM143" s="30" t="str">
        <f t="shared" si="2284"/>
        <v/>
      </c>
      <c r="EN143" s="30" t="str">
        <f t="shared" si="2285"/>
        <v/>
      </c>
      <c r="EO143" s="30" t="str">
        <f t="shared" si="2286"/>
        <v/>
      </c>
      <c r="EP143" s="30" t="str">
        <f t="shared" si="2287"/>
        <v/>
      </c>
      <c r="EQ143" s="30" t="str">
        <f t="shared" si="2288"/>
        <v/>
      </c>
      <c r="ER143" s="30" t="str">
        <f t="shared" si="2289"/>
        <v/>
      </c>
      <c r="ES143" s="30" t="str">
        <f t="shared" si="2290"/>
        <v/>
      </c>
      <c r="ET143" s="30" t="str">
        <f t="shared" si="2291"/>
        <v/>
      </c>
      <c r="EU143" s="30" t="str">
        <f t="shared" si="2292"/>
        <v/>
      </c>
      <c r="EV143" s="30" t="str">
        <f t="shared" si="2293"/>
        <v/>
      </c>
      <c r="EW143" s="30" t="str">
        <f t="shared" si="2294"/>
        <v/>
      </c>
      <c r="EX143" s="30" t="str">
        <f t="shared" si="2295"/>
        <v/>
      </c>
      <c r="EY143" s="30" t="str">
        <f t="shared" si="2296"/>
        <v/>
      </c>
      <c r="EZ143" s="30" t="str">
        <f t="shared" si="2297"/>
        <v/>
      </c>
      <c r="FA143" s="30" t="str">
        <f t="shared" si="2298"/>
        <v/>
      </c>
      <c r="FB143" s="30" t="str">
        <f t="shared" si="2299"/>
        <v/>
      </c>
      <c r="FC143" s="30" t="str">
        <f t="shared" si="2300"/>
        <v/>
      </c>
      <c r="FD143" s="30" t="str">
        <f t="shared" si="2301"/>
        <v/>
      </c>
      <c r="FE143" s="30" t="str">
        <f t="shared" si="2302"/>
        <v/>
      </c>
      <c r="FF143" s="30" t="str">
        <f t="shared" si="2303"/>
        <v/>
      </c>
      <c r="FG143" s="30" t="str">
        <f t="shared" si="2304"/>
        <v/>
      </c>
      <c r="FH143" s="30" t="str">
        <f t="shared" si="2305"/>
        <v/>
      </c>
      <c r="FI143" s="30" t="str">
        <f t="shared" si="2306"/>
        <v/>
      </c>
      <c r="FJ143" s="30" t="str">
        <f t="shared" si="2307"/>
        <v/>
      </c>
      <c r="FK143" s="30" t="str">
        <f t="shared" si="2308"/>
        <v/>
      </c>
      <c r="FL143" s="30" t="str">
        <f t="shared" si="2309"/>
        <v/>
      </c>
      <c r="FM143" s="30" t="str">
        <f t="shared" si="2310"/>
        <v/>
      </c>
      <c r="FN143" s="30" t="str">
        <f t="shared" si="2311"/>
        <v/>
      </c>
      <c r="FO143" s="30" t="str">
        <f t="shared" si="2312"/>
        <v/>
      </c>
      <c r="FP143" s="30" t="str">
        <f t="shared" si="2313"/>
        <v/>
      </c>
      <c r="FQ143" s="30" t="str">
        <f t="shared" si="2314"/>
        <v/>
      </c>
      <c r="FR143" s="30" t="str">
        <f t="shared" si="2315"/>
        <v/>
      </c>
      <c r="FS143" s="30" t="str">
        <f t="shared" si="2316"/>
        <v/>
      </c>
    </row>
    <row r="144" spans="1:175" ht="16.5">
      <c r="A144" s="87"/>
      <c r="B144" s="66"/>
      <c r="C144" s="87"/>
      <c r="T144" s="106"/>
      <c r="U144" s="32"/>
      <c r="CN144" s="7" t="str">
        <f t="shared" si="2241"/>
        <v>InitUnitState('',,,,,,,,,,)</v>
      </c>
      <c r="CO144" s="7" t="str">
        <f t="shared" si="2242"/>
        <v>InitUnitNormal('',,,,,,,,,,)</v>
      </c>
      <c r="CP144" s="7" t="str">
        <f t="shared" si="2243"/>
        <v>InitUnitMagic('',,,,,,,,,,)</v>
      </c>
      <c r="CQ144" s="7" t="str">
        <f t="shared" si="2244"/>
        <v>InitUnitAdd('',,,,,,,,,,)</v>
      </c>
      <c r="CR144" s="7" t="str">
        <f t="shared" si="2245"/>
        <v>InitEquipData('',,"",,,,,'','','','','','',"")</v>
      </c>
      <c r="CU144" s="45" t="str">
        <f t="shared" si="2246"/>
        <v>|n</v>
      </c>
      <c r="CW144" s="24"/>
      <c r="CX144" s="24"/>
      <c r="CY144" s="24"/>
      <c r="CZ144" s="24"/>
      <c r="DA144" s="24"/>
      <c r="DB144" s="30" t="str">
        <f t="shared" si="2247"/>
        <v/>
      </c>
      <c r="DC144" s="30" t="str">
        <f t="shared" si="2248"/>
        <v/>
      </c>
      <c r="DD144" s="30" t="str">
        <f t="shared" si="2249"/>
        <v/>
      </c>
      <c r="DE144" s="30" t="str">
        <f t="shared" si="2250"/>
        <v/>
      </c>
      <c r="DF144" s="30" t="str">
        <f t="shared" si="2251"/>
        <v/>
      </c>
      <c r="DG144" s="30" t="str">
        <f t="shared" si="2252"/>
        <v/>
      </c>
      <c r="DH144" s="30" t="str">
        <f t="shared" si="2253"/>
        <v/>
      </c>
      <c r="DI144" s="30" t="str">
        <f t="shared" si="2254"/>
        <v/>
      </c>
      <c r="DJ144" s="30" t="str">
        <f t="shared" si="2255"/>
        <v/>
      </c>
      <c r="DK144" s="30" t="str">
        <f t="shared" si="2256"/>
        <v/>
      </c>
      <c r="DL144" s="30" t="str">
        <f t="shared" si="2257"/>
        <v/>
      </c>
      <c r="DM144" s="30" t="str">
        <f t="shared" si="2258"/>
        <v/>
      </c>
      <c r="DN144" s="30" t="str">
        <f t="shared" si="2259"/>
        <v/>
      </c>
      <c r="DO144" s="30" t="str">
        <f t="shared" si="2260"/>
        <v/>
      </c>
      <c r="DP144" s="30" t="str">
        <f t="shared" si="2261"/>
        <v/>
      </c>
      <c r="DQ144" s="30" t="str">
        <f t="shared" si="2262"/>
        <v/>
      </c>
      <c r="DR144" s="30" t="str">
        <f t="shared" si="2263"/>
        <v/>
      </c>
      <c r="DS144" s="30" t="str">
        <f t="shared" si="2264"/>
        <v/>
      </c>
      <c r="DT144" s="30" t="str">
        <f t="shared" si="2265"/>
        <v/>
      </c>
      <c r="DU144" s="30" t="str">
        <f t="shared" si="2266"/>
        <v/>
      </c>
      <c r="DV144" s="30" t="str">
        <f t="shared" si="2267"/>
        <v/>
      </c>
      <c r="DW144" s="30" t="str">
        <f t="shared" si="2268"/>
        <v/>
      </c>
      <c r="DX144" s="30" t="str">
        <f t="shared" si="2269"/>
        <v/>
      </c>
      <c r="DY144" s="30" t="str">
        <f t="shared" si="2270"/>
        <v/>
      </c>
      <c r="DZ144" s="30" t="str">
        <f t="shared" si="2271"/>
        <v/>
      </c>
      <c r="EA144" s="30" t="str">
        <f t="shared" si="2272"/>
        <v/>
      </c>
      <c r="EB144" s="30" t="str">
        <f t="shared" si="2273"/>
        <v/>
      </c>
      <c r="EC144" s="30" t="str">
        <f t="shared" si="2274"/>
        <v/>
      </c>
      <c r="ED144" s="30" t="str">
        <f t="shared" si="2275"/>
        <v/>
      </c>
      <c r="EE144" s="30" t="str">
        <f t="shared" si="2276"/>
        <v/>
      </c>
      <c r="EF144" s="30" t="str">
        <f t="shared" si="2277"/>
        <v/>
      </c>
      <c r="EG144" s="30" t="str">
        <f t="shared" si="2278"/>
        <v/>
      </c>
      <c r="EH144" s="30" t="str">
        <f t="shared" si="2279"/>
        <v/>
      </c>
      <c r="EI144" s="30" t="str">
        <f t="shared" si="2280"/>
        <v/>
      </c>
      <c r="EJ144" s="30" t="str">
        <f t="shared" si="2281"/>
        <v/>
      </c>
      <c r="EK144" s="30" t="str">
        <f t="shared" si="2282"/>
        <v/>
      </c>
      <c r="EL144" s="30" t="str">
        <f t="shared" si="2283"/>
        <v/>
      </c>
      <c r="EM144" s="30" t="str">
        <f t="shared" si="2284"/>
        <v/>
      </c>
      <c r="EN144" s="30" t="str">
        <f t="shared" si="2285"/>
        <v/>
      </c>
      <c r="EO144" s="30" t="str">
        <f t="shared" si="2286"/>
        <v/>
      </c>
      <c r="EP144" s="30" t="str">
        <f t="shared" si="2287"/>
        <v/>
      </c>
      <c r="EQ144" s="30" t="str">
        <f t="shared" si="2288"/>
        <v/>
      </c>
      <c r="ER144" s="30" t="str">
        <f t="shared" si="2289"/>
        <v/>
      </c>
      <c r="ES144" s="30" t="str">
        <f t="shared" si="2290"/>
        <v/>
      </c>
      <c r="ET144" s="30" t="str">
        <f t="shared" si="2291"/>
        <v/>
      </c>
      <c r="EU144" s="30" t="str">
        <f t="shared" si="2292"/>
        <v/>
      </c>
      <c r="EV144" s="30" t="str">
        <f t="shared" si="2293"/>
        <v/>
      </c>
      <c r="EW144" s="30" t="str">
        <f t="shared" si="2294"/>
        <v/>
      </c>
      <c r="EX144" s="30" t="str">
        <f t="shared" si="2295"/>
        <v/>
      </c>
      <c r="EY144" s="30" t="str">
        <f t="shared" si="2296"/>
        <v/>
      </c>
      <c r="EZ144" s="30" t="str">
        <f t="shared" si="2297"/>
        <v/>
      </c>
      <c r="FA144" s="30" t="str">
        <f t="shared" si="2298"/>
        <v/>
      </c>
      <c r="FB144" s="30" t="str">
        <f t="shared" si="2299"/>
        <v/>
      </c>
      <c r="FC144" s="30" t="str">
        <f t="shared" si="2300"/>
        <v/>
      </c>
      <c r="FD144" s="30" t="str">
        <f t="shared" si="2301"/>
        <v/>
      </c>
      <c r="FE144" s="30" t="str">
        <f t="shared" si="2302"/>
        <v/>
      </c>
      <c r="FF144" s="30" t="str">
        <f t="shared" si="2303"/>
        <v/>
      </c>
      <c r="FG144" s="30" t="str">
        <f t="shared" si="2304"/>
        <v/>
      </c>
      <c r="FH144" s="30" t="str">
        <f t="shared" si="2305"/>
        <v/>
      </c>
      <c r="FI144" s="30" t="str">
        <f t="shared" si="2306"/>
        <v/>
      </c>
      <c r="FJ144" s="30" t="str">
        <f t="shared" si="2307"/>
        <v/>
      </c>
      <c r="FK144" s="30" t="str">
        <f t="shared" si="2308"/>
        <v/>
      </c>
      <c r="FL144" s="30" t="str">
        <f t="shared" si="2309"/>
        <v/>
      </c>
      <c r="FM144" s="30" t="str">
        <f t="shared" si="2310"/>
        <v/>
      </c>
      <c r="FN144" s="30" t="str">
        <f t="shared" si="2311"/>
        <v/>
      </c>
      <c r="FO144" s="30" t="str">
        <f t="shared" si="2312"/>
        <v/>
      </c>
      <c r="FP144" s="30" t="str">
        <f t="shared" si="2313"/>
        <v/>
      </c>
      <c r="FQ144" s="30" t="str">
        <f t="shared" si="2314"/>
        <v/>
      </c>
      <c r="FR144" s="30" t="str">
        <f t="shared" si="2315"/>
        <v/>
      </c>
      <c r="FS144" s="30" t="str">
        <f t="shared" si="2316"/>
        <v/>
      </c>
    </row>
    <row r="145" spans="1:175" ht="16.5">
      <c r="A145" s="87"/>
      <c r="B145" s="66"/>
      <c r="C145" s="87"/>
      <c r="T145" s="106"/>
      <c r="U145" s="32"/>
      <c r="CN145" s="7" t="str">
        <f t="shared" si="2241"/>
        <v>InitUnitState('',,,,,,,,,,)</v>
      </c>
      <c r="CO145" s="7" t="str">
        <f t="shared" si="2242"/>
        <v>InitUnitNormal('',,,,,,,,,,)</v>
      </c>
      <c r="CP145" s="7" t="str">
        <f t="shared" si="2243"/>
        <v>InitUnitMagic('',,,,,,,,,,)</v>
      </c>
      <c r="CQ145" s="7" t="str">
        <f t="shared" si="2244"/>
        <v>InitUnitAdd('',,,,,,,,,,)</v>
      </c>
      <c r="CR145" s="7" t="str">
        <f t="shared" si="2245"/>
        <v>InitEquipData('',,"",,,,,'','','','','','',"")</v>
      </c>
      <c r="CU145" s="45" t="str">
        <f t="shared" si="2246"/>
        <v>|n</v>
      </c>
      <c r="CW145" s="24"/>
      <c r="CX145" s="24"/>
      <c r="CY145" s="24"/>
      <c r="CZ145" s="24"/>
      <c r="DA145" s="24"/>
      <c r="DB145" s="30" t="str">
        <f t="shared" si="2247"/>
        <v/>
      </c>
      <c r="DC145" s="30" t="str">
        <f t="shared" si="2248"/>
        <v/>
      </c>
      <c r="DD145" s="30" t="str">
        <f t="shared" si="2249"/>
        <v/>
      </c>
      <c r="DE145" s="30" t="str">
        <f t="shared" si="2250"/>
        <v/>
      </c>
      <c r="DF145" s="30" t="str">
        <f t="shared" si="2251"/>
        <v/>
      </c>
      <c r="DG145" s="30" t="str">
        <f t="shared" si="2252"/>
        <v/>
      </c>
      <c r="DH145" s="30" t="str">
        <f t="shared" si="2253"/>
        <v/>
      </c>
      <c r="DI145" s="30" t="str">
        <f t="shared" si="2254"/>
        <v/>
      </c>
      <c r="DJ145" s="30" t="str">
        <f t="shared" si="2255"/>
        <v/>
      </c>
      <c r="DK145" s="30" t="str">
        <f t="shared" si="2256"/>
        <v/>
      </c>
      <c r="DL145" s="30" t="str">
        <f t="shared" si="2257"/>
        <v/>
      </c>
      <c r="DM145" s="30" t="str">
        <f t="shared" si="2258"/>
        <v/>
      </c>
      <c r="DN145" s="30" t="str">
        <f t="shared" si="2259"/>
        <v/>
      </c>
      <c r="DO145" s="30" t="str">
        <f t="shared" si="2260"/>
        <v/>
      </c>
      <c r="DP145" s="30" t="str">
        <f t="shared" si="2261"/>
        <v/>
      </c>
      <c r="DQ145" s="30" t="str">
        <f t="shared" si="2262"/>
        <v/>
      </c>
      <c r="DR145" s="30" t="str">
        <f t="shared" si="2263"/>
        <v/>
      </c>
      <c r="DS145" s="30" t="str">
        <f t="shared" si="2264"/>
        <v/>
      </c>
      <c r="DT145" s="30" t="str">
        <f t="shared" si="2265"/>
        <v/>
      </c>
      <c r="DU145" s="30" t="str">
        <f t="shared" si="2266"/>
        <v/>
      </c>
      <c r="DV145" s="30" t="str">
        <f t="shared" si="2267"/>
        <v/>
      </c>
      <c r="DW145" s="30" t="str">
        <f t="shared" si="2268"/>
        <v/>
      </c>
      <c r="DX145" s="30" t="str">
        <f t="shared" si="2269"/>
        <v/>
      </c>
      <c r="DY145" s="30" t="str">
        <f t="shared" si="2270"/>
        <v/>
      </c>
      <c r="DZ145" s="30" t="str">
        <f t="shared" si="2271"/>
        <v/>
      </c>
      <c r="EA145" s="30" t="str">
        <f t="shared" si="2272"/>
        <v/>
      </c>
      <c r="EB145" s="30" t="str">
        <f t="shared" si="2273"/>
        <v/>
      </c>
      <c r="EC145" s="30" t="str">
        <f t="shared" si="2274"/>
        <v/>
      </c>
      <c r="ED145" s="30" t="str">
        <f t="shared" si="2275"/>
        <v/>
      </c>
      <c r="EE145" s="30" t="str">
        <f t="shared" si="2276"/>
        <v/>
      </c>
      <c r="EF145" s="30" t="str">
        <f t="shared" si="2277"/>
        <v/>
      </c>
      <c r="EG145" s="30" t="str">
        <f t="shared" si="2278"/>
        <v/>
      </c>
      <c r="EH145" s="30" t="str">
        <f t="shared" si="2279"/>
        <v/>
      </c>
      <c r="EI145" s="30" t="str">
        <f t="shared" si="2280"/>
        <v/>
      </c>
      <c r="EJ145" s="30" t="str">
        <f t="shared" si="2281"/>
        <v/>
      </c>
      <c r="EK145" s="30" t="str">
        <f t="shared" si="2282"/>
        <v/>
      </c>
      <c r="EL145" s="30" t="str">
        <f t="shared" si="2283"/>
        <v/>
      </c>
      <c r="EM145" s="30" t="str">
        <f t="shared" si="2284"/>
        <v/>
      </c>
      <c r="EN145" s="30" t="str">
        <f t="shared" si="2285"/>
        <v/>
      </c>
      <c r="EO145" s="30" t="str">
        <f t="shared" si="2286"/>
        <v/>
      </c>
      <c r="EP145" s="30" t="str">
        <f t="shared" si="2287"/>
        <v/>
      </c>
      <c r="EQ145" s="30" t="str">
        <f t="shared" si="2288"/>
        <v/>
      </c>
      <c r="ER145" s="30" t="str">
        <f t="shared" si="2289"/>
        <v/>
      </c>
      <c r="ES145" s="30" t="str">
        <f t="shared" si="2290"/>
        <v/>
      </c>
      <c r="ET145" s="30" t="str">
        <f t="shared" si="2291"/>
        <v/>
      </c>
      <c r="EU145" s="30" t="str">
        <f t="shared" si="2292"/>
        <v/>
      </c>
      <c r="EV145" s="30" t="str">
        <f t="shared" si="2293"/>
        <v/>
      </c>
      <c r="EW145" s="30" t="str">
        <f t="shared" si="2294"/>
        <v/>
      </c>
      <c r="EX145" s="30" t="str">
        <f t="shared" si="2295"/>
        <v/>
      </c>
      <c r="EY145" s="30" t="str">
        <f t="shared" si="2296"/>
        <v/>
      </c>
      <c r="EZ145" s="30" t="str">
        <f t="shared" si="2297"/>
        <v/>
      </c>
      <c r="FA145" s="30" t="str">
        <f t="shared" si="2298"/>
        <v/>
      </c>
      <c r="FB145" s="30" t="str">
        <f t="shared" si="2299"/>
        <v/>
      </c>
      <c r="FC145" s="30" t="str">
        <f t="shared" si="2300"/>
        <v/>
      </c>
      <c r="FD145" s="30" t="str">
        <f t="shared" si="2301"/>
        <v/>
      </c>
      <c r="FE145" s="30" t="str">
        <f t="shared" si="2302"/>
        <v/>
      </c>
      <c r="FF145" s="30" t="str">
        <f t="shared" si="2303"/>
        <v/>
      </c>
      <c r="FG145" s="30" t="str">
        <f t="shared" si="2304"/>
        <v/>
      </c>
      <c r="FH145" s="30" t="str">
        <f t="shared" si="2305"/>
        <v/>
      </c>
      <c r="FI145" s="30" t="str">
        <f t="shared" si="2306"/>
        <v/>
      </c>
      <c r="FJ145" s="30" t="str">
        <f t="shared" si="2307"/>
        <v/>
      </c>
      <c r="FK145" s="30" t="str">
        <f t="shared" si="2308"/>
        <v/>
      </c>
      <c r="FL145" s="30" t="str">
        <f t="shared" si="2309"/>
        <v/>
      </c>
      <c r="FM145" s="30" t="str">
        <f t="shared" si="2310"/>
        <v/>
      </c>
      <c r="FN145" s="30" t="str">
        <f t="shared" si="2311"/>
        <v/>
      </c>
      <c r="FO145" s="30" t="str">
        <f t="shared" si="2312"/>
        <v/>
      </c>
      <c r="FP145" s="30" t="str">
        <f t="shared" si="2313"/>
        <v/>
      </c>
      <c r="FQ145" s="30" t="str">
        <f t="shared" si="2314"/>
        <v/>
      </c>
      <c r="FR145" s="30" t="str">
        <f t="shared" si="2315"/>
        <v/>
      </c>
      <c r="FS145" s="30" t="str">
        <f t="shared" si="2316"/>
        <v/>
      </c>
    </row>
    <row r="146" spans="1:175" ht="16.5">
      <c r="A146" s="88"/>
      <c r="B146" s="66"/>
      <c r="C146" s="88"/>
      <c r="T146" s="108"/>
      <c r="U146" s="32"/>
      <c r="CN146" s="7" t="str">
        <f t="shared" si="2241"/>
        <v>InitUnitState('',,,,,,,,,,)</v>
      </c>
      <c r="CO146" s="7" t="str">
        <f t="shared" si="2242"/>
        <v>InitUnitNormal('',,,,,,,,,,)</v>
      </c>
      <c r="CP146" s="7" t="str">
        <f t="shared" si="2243"/>
        <v>InitUnitMagic('',,,,,,,,,,)</v>
      </c>
      <c r="CQ146" s="7" t="str">
        <f t="shared" si="2244"/>
        <v>InitUnitAdd('',,,,,,,,,,)</v>
      </c>
      <c r="CR146" s="7" t="str">
        <f t="shared" si="2245"/>
        <v>InitEquipData('',,"",,,,,'','','','','','',"")</v>
      </c>
      <c r="CU146" s="45" t="str">
        <f t="shared" si="2246"/>
        <v>|n</v>
      </c>
      <c r="CW146" s="24"/>
      <c r="CX146" s="24"/>
      <c r="CY146" s="24"/>
      <c r="CZ146" s="24"/>
      <c r="DA146" s="24"/>
      <c r="DB146" s="30" t="str">
        <f t="shared" si="2247"/>
        <v/>
      </c>
      <c r="DC146" s="30" t="str">
        <f t="shared" si="2248"/>
        <v/>
      </c>
      <c r="DD146" s="30" t="str">
        <f t="shared" si="2249"/>
        <v/>
      </c>
      <c r="DE146" s="30" t="str">
        <f t="shared" si="2250"/>
        <v/>
      </c>
      <c r="DF146" s="30" t="str">
        <f t="shared" si="2251"/>
        <v/>
      </c>
      <c r="DG146" s="30" t="str">
        <f t="shared" si="2252"/>
        <v/>
      </c>
      <c r="DH146" s="30" t="str">
        <f t="shared" si="2253"/>
        <v/>
      </c>
      <c r="DI146" s="30" t="str">
        <f t="shared" si="2254"/>
        <v/>
      </c>
      <c r="DJ146" s="30" t="str">
        <f t="shared" si="2255"/>
        <v/>
      </c>
      <c r="DK146" s="30" t="str">
        <f t="shared" si="2256"/>
        <v/>
      </c>
      <c r="DL146" s="30" t="str">
        <f t="shared" si="2257"/>
        <v/>
      </c>
      <c r="DM146" s="30" t="str">
        <f t="shared" si="2258"/>
        <v/>
      </c>
      <c r="DN146" s="30" t="str">
        <f t="shared" si="2259"/>
        <v/>
      </c>
      <c r="DO146" s="30" t="str">
        <f t="shared" si="2260"/>
        <v/>
      </c>
      <c r="DP146" s="30" t="str">
        <f t="shared" si="2261"/>
        <v/>
      </c>
      <c r="DQ146" s="30" t="str">
        <f t="shared" si="2262"/>
        <v/>
      </c>
      <c r="DR146" s="30" t="str">
        <f t="shared" si="2263"/>
        <v/>
      </c>
      <c r="DS146" s="30" t="str">
        <f t="shared" si="2264"/>
        <v/>
      </c>
      <c r="DT146" s="30" t="str">
        <f t="shared" si="2265"/>
        <v/>
      </c>
      <c r="DU146" s="30" t="str">
        <f t="shared" si="2266"/>
        <v/>
      </c>
      <c r="DV146" s="30" t="str">
        <f t="shared" si="2267"/>
        <v/>
      </c>
      <c r="DW146" s="30" t="str">
        <f t="shared" si="2268"/>
        <v/>
      </c>
      <c r="DX146" s="30" t="str">
        <f t="shared" si="2269"/>
        <v/>
      </c>
      <c r="DY146" s="30" t="str">
        <f t="shared" si="2270"/>
        <v/>
      </c>
      <c r="DZ146" s="30" t="str">
        <f t="shared" si="2271"/>
        <v/>
      </c>
      <c r="EA146" s="30" t="str">
        <f t="shared" si="2272"/>
        <v/>
      </c>
      <c r="EB146" s="30" t="str">
        <f t="shared" si="2273"/>
        <v/>
      </c>
      <c r="EC146" s="30" t="str">
        <f t="shared" si="2274"/>
        <v/>
      </c>
      <c r="ED146" s="30" t="str">
        <f t="shared" si="2275"/>
        <v/>
      </c>
      <c r="EE146" s="30" t="str">
        <f t="shared" si="2276"/>
        <v/>
      </c>
      <c r="EF146" s="30" t="str">
        <f t="shared" si="2277"/>
        <v/>
      </c>
      <c r="EG146" s="30" t="str">
        <f t="shared" si="2278"/>
        <v/>
      </c>
      <c r="EH146" s="30" t="str">
        <f t="shared" si="2279"/>
        <v/>
      </c>
      <c r="EI146" s="30" t="str">
        <f t="shared" si="2280"/>
        <v/>
      </c>
      <c r="EJ146" s="30" t="str">
        <f t="shared" si="2281"/>
        <v/>
      </c>
      <c r="EK146" s="30" t="str">
        <f t="shared" si="2282"/>
        <v/>
      </c>
      <c r="EL146" s="30" t="str">
        <f t="shared" si="2283"/>
        <v/>
      </c>
      <c r="EM146" s="30" t="str">
        <f t="shared" si="2284"/>
        <v/>
      </c>
      <c r="EN146" s="30" t="str">
        <f t="shared" si="2285"/>
        <v/>
      </c>
      <c r="EO146" s="30" t="str">
        <f t="shared" si="2286"/>
        <v/>
      </c>
      <c r="EP146" s="30" t="str">
        <f t="shared" si="2287"/>
        <v/>
      </c>
      <c r="EQ146" s="30" t="str">
        <f t="shared" si="2288"/>
        <v/>
      </c>
      <c r="ER146" s="30" t="str">
        <f t="shared" si="2289"/>
        <v/>
      </c>
      <c r="ES146" s="30" t="str">
        <f t="shared" si="2290"/>
        <v/>
      </c>
      <c r="ET146" s="30" t="str">
        <f t="shared" si="2291"/>
        <v/>
      </c>
      <c r="EU146" s="30" t="str">
        <f t="shared" si="2292"/>
        <v/>
      </c>
      <c r="EV146" s="30" t="str">
        <f t="shared" si="2293"/>
        <v/>
      </c>
      <c r="EW146" s="30" t="str">
        <f t="shared" si="2294"/>
        <v/>
      </c>
      <c r="EX146" s="30" t="str">
        <f t="shared" si="2295"/>
        <v/>
      </c>
      <c r="EY146" s="30" t="str">
        <f t="shared" si="2296"/>
        <v/>
      </c>
      <c r="EZ146" s="30" t="str">
        <f t="shared" si="2297"/>
        <v/>
      </c>
      <c r="FA146" s="30" t="str">
        <f t="shared" si="2298"/>
        <v/>
      </c>
      <c r="FB146" s="30" t="str">
        <f t="shared" si="2299"/>
        <v/>
      </c>
      <c r="FC146" s="30" t="str">
        <f t="shared" si="2300"/>
        <v/>
      </c>
      <c r="FD146" s="30" t="str">
        <f t="shared" si="2301"/>
        <v/>
      </c>
      <c r="FE146" s="30" t="str">
        <f t="shared" si="2302"/>
        <v/>
      </c>
      <c r="FF146" s="30" t="str">
        <f t="shared" si="2303"/>
        <v/>
      </c>
      <c r="FG146" s="30" t="str">
        <f t="shared" si="2304"/>
        <v/>
      </c>
      <c r="FH146" s="30" t="str">
        <f t="shared" si="2305"/>
        <v/>
      </c>
      <c r="FI146" s="30" t="str">
        <f t="shared" si="2306"/>
        <v/>
      </c>
      <c r="FJ146" s="30" t="str">
        <f t="shared" si="2307"/>
        <v/>
      </c>
      <c r="FK146" s="30" t="str">
        <f t="shared" si="2308"/>
        <v/>
      </c>
      <c r="FL146" s="30" t="str">
        <f t="shared" si="2309"/>
        <v/>
      </c>
      <c r="FM146" s="30" t="str">
        <f t="shared" si="2310"/>
        <v/>
      </c>
      <c r="FN146" s="30" t="str">
        <f t="shared" si="2311"/>
        <v/>
      </c>
      <c r="FO146" s="30" t="str">
        <f t="shared" si="2312"/>
        <v/>
      </c>
      <c r="FP146" s="30" t="str">
        <f t="shared" si="2313"/>
        <v/>
      </c>
      <c r="FQ146" s="30" t="str">
        <f t="shared" si="2314"/>
        <v/>
      </c>
      <c r="FR146" s="30" t="str">
        <f t="shared" si="2315"/>
        <v/>
      </c>
      <c r="FS146" s="30" t="str">
        <f t="shared" si="2316"/>
        <v/>
      </c>
    </row>
    <row r="147" spans="1:175" ht="16.5">
      <c r="A147" s="88"/>
      <c r="B147" s="66"/>
      <c r="C147" s="88"/>
      <c r="T147" s="108"/>
      <c r="U147" s="32"/>
      <c r="CN147" s="7" t="str">
        <f t="shared" si="2241"/>
        <v>InitUnitState('',,,,,,,,,,)</v>
      </c>
      <c r="CO147" s="7" t="str">
        <f t="shared" si="2242"/>
        <v>InitUnitNormal('',,,,,,,,,,)</v>
      </c>
      <c r="CP147" s="7" t="str">
        <f t="shared" si="2243"/>
        <v>InitUnitMagic('',,,,,,,,,,)</v>
      </c>
      <c r="CQ147" s="7" t="str">
        <f t="shared" si="2244"/>
        <v>InitUnitAdd('',,,,,,,,,,)</v>
      </c>
      <c r="CR147" s="7" t="str">
        <f t="shared" si="2245"/>
        <v>InitEquipData('',,"",,,,,'','','','','','',"")</v>
      </c>
      <c r="CU147" s="45" t="str">
        <f t="shared" si="2246"/>
        <v>|n</v>
      </c>
      <c r="CW147" s="24"/>
      <c r="CX147" s="24"/>
      <c r="CY147" s="24"/>
      <c r="CZ147" s="24"/>
      <c r="DA147" s="24"/>
      <c r="DB147" s="30" t="str">
        <f t="shared" si="2247"/>
        <v/>
      </c>
      <c r="DC147" s="30" t="str">
        <f t="shared" si="2248"/>
        <v/>
      </c>
      <c r="DD147" s="30" t="str">
        <f t="shared" si="2249"/>
        <v/>
      </c>
      <c r="DE147" s="30" t="str">
        <f t="shared" si="2250"/>
        <v/>
      </c>
      <c r="DF147" s="30" t="str">
        <f t="shared" si="2251"/>
        <v/>
      </c>
      <c r="DG147" s="30" t="str">
        <f t="shared" si="2252"/>
        <v/>
      </c>
      <c r="DH147" s="30" t="str">
        <f t="shared" si="2253"/>
        <v/>
      </c>
      <c r="DI147" s="30" t="str">
        <f t="shared" si="2254"/>
        <v/>
      </c>
      <c r="DJ147" s="30" t="str">
        <f t="shared" si="2255"/>
        <v/>
      </c>
      <c r="DK147" s="30" t="str">
        <f t="shared" si="2256"/>
        <v/>
      </c>
      <c r="DL147" s="30" t="str">
        <f t="shared" si="2257"/>
        <v/>
      </c>
      <c r="DM147" s="30" t="str">
        <f t="shared" si="2258"/>
        <v/>
      </c>
      <c r="DN147" s="30" t="str">
        <f t="shared" si="2259"/>
        <v/>
      </c>
      <c r="DO147" s="30" t="str">
        <f t="shared" si="2260"/>
        <v/>
      </c>
      <c r="DP147" s="30" t="str">
        <f t="shared" si="2261"/>
        <v/>
      </c>
      <c r="DQ147" s="30" t="str">
        <f t="shared" si="2262"/>
        <v/>
      </c>
      <c r="DR147" s="30" t="str">
        <f t="shared" si="2263"/>
        <v/>
      </c>
      <c r="DS147" s="30" t="str">
        <f t="shared" si="2264"/>
        <v/>
      </c>
      <c r="DT147" s="30" t="str">
        <f t="shared" si="2265"/>
        <v/>
      </c>
      <c r="DU147" s="30" t="str">
        <f t="shared" si="2266"/>
        <v/>
      </c>
      <c r="DV147" s="30" t="str">
        <f t="shared" si="2267"/>
        <v/>
      </c>
      <c r="DW147" s="30" t="str">
        <f t="shared" si="2268"/>
        <v/>
      </c>
      <c r="DX147" s="30" t="str">
        <f t="shared" si="2269"/>
        <v/>
      </c>
      <c r="DY147" s="30" t="str">
        <f t="shared" si="2270"/>
        <v/>
      </c>
      <c r="DZ147" s="30" t="str">
        <f t="shared" si="2271"/>
        <v/>
      </c>
      <c r="EA147" s="30" t="str">
        <f t="shared" si="2272"/>
        <v/>
      </c>
      <c r="EB147" s="30" t="str">
        <f t="shared" si="2273"/>
        <v/>
      </c>
      <c r="EC147" s="30" t="str">
        <f t="shared" si="2274"/>
        <v/>
      </c>
      <c r="ED147" s="30" t="str">
        <f t="shared" si="2275"/>
        <v/>
      </c>
      <c r="EE147" s="30" t="str">
        <f t="shared" si="2276"/>
        <v/>
      </c>
      <c r="EF147" s="30" t="str">
        <f t="shared" si="2277"/>
        <v/>
      </c>
      <c r="EG147" s="30" t="str">
        <f t="shared" si="2278"/>
        <v/>
      </c>
      <c r="EH147" s="30" t="str">
        <f t="shared" si="2279"/>
        <v/>
      </c>
      <c r="EI147" s="30" t="str">
        <f t="shared" si="2280"/>
        <v/>
      </c>
      <c r="EJ147" s="30" t="str">
        <f t="shared" si="2281"/>
        <v/>
      </c>
      <c r="EK147" s="30" t="str">
        <f t="shared" si="2282"/>
        <v/>
      </c>
      <c r="EL147" s="30" t="str">
        <f t="shared" si="2283"/>
        <v/>
      </c>
      <c r="EM147" s="30" t="str">
        <f t="shared" si="2284"/>
        <v/>
      </c>
      <c r="EN147" s="30" t="str">
        <f t="shared" si="2285"/>
        <v/>
      </c>
      <c r="EO147" s="30" t="str">
        <f t="shared" si="2286"/>
        <v/>
      </c>
      <c r="EP147" s="30" t="str">
        <f t="shared" si="2287"/>
        <v/>
      </c>
      <c r="EQ147" s="30" t="str">
        <f t="shared" si="2288"/>
        <v/>
      </c>
      <c r="ER147" s="30" t="str">
        <f t="shared" si="2289"/>
        <v/>
      </c>
      <c r="ES147" s="30" t="str">
        <f t="shared" si="2290"/>
        <v/>
      </c>
      <c r="ET147" s="30" t="str">
        <f t="shared" si="2291"/>
        <v/>
      </c>
      <c r="EU147" s="30" t="str">
        <f t="shared" si="2292"/>
        <v/>
      </c>
      <c r="EV147" s="30" t="str">
        <f t="shared" si="2293"/>
        <v/>
      </c>
      <c r="EW147" s="30" t="str">
        <f t="shared" si="2294"/>
        <v/>
      </c>
      <c r="EX147" s="30" t="str">
        <f t="shared" si="2295"/>
        <v/>
      </c>
      <c r="EY147" s="30" t="str">
        <f t="shared" si="2296"/>
        <v/>
      </c>
      <c r="EZ147" s="30" t="str">
        <f t="shared" si="2297"/>
        <v/>
      </c>
      <c r="FA147" s="30" t="str">
        <f t="shared" si="2298"/>
        <v/>
      </c>
      <c r="FB147" s="30" t="str">
        <f t="shared" si="2299"/>
        <v/>
      </c>
      <c r="FC147" s="30" t="str">
        <f t="shared" si="2300"/>
        <v/>
      </c>
      <c r="FD147" s="30" t="str">
        <f t="shared" si="2301"/>
        <v/>
      </c>
      <c r="FE147" s="30" t="str">
        <f t="shared" si="2302"/>
        <v/>
      </c>
      <c r="FF147" s="30" t="str">
        <f t="shared" si="2303"/>
        <v/>
      </c>
      <c r="FG147" s="30" t="str">
        <f t="shared" si="2304"/>
        <v/>
      </c>
      <c r="FH147" s="30" t="str">
        <f t="shared" si="2305"/>
        <v/>
      </c>
      <c r="FI147" s="30" t="str">
        <f t="shared" si="2306"/>
        <v/>
      </c>
      <c r="FJ147" s="30" t="str">
        <f t="shared" si="2307"/>
        <v/>
      </c>
      <c r="FK147" s="30" t="str">
        <f t="shared" si="2308"/>
        <v/>
      </c>
      <c r="FL147" s="30" t="str">
        <f t="shared" si="2309"/>
        <v/>
      </c>
      <c r="FM147" s="30" t="str">
        <f t="shared" si="2310"/>
        <v/>
      </c>
      <c r="FN147" s="30" t="str">
        <f t="shared" si="2311"/>
        <v/>
      </c>
      <c r="FO147" s="30" t="str">
        <f t="shared" si="2312"/>
        <v/>
      </c>
      <c r="FP147" s="30" t="str">
        <f t="shared" si="2313"/>
        <v/>
      </c>
      <c r="FQ147" s="30" t="str">
        <f t="shared" si="2314"/>
        <v/>
      </c>
      <c r="FR147" s="30" t="str">
        <f t="shared" si="2315"/>
        <v/>
      </c>
      <c r="FS147" s="30" t="str">
        <f t="shared" si="2316"/>
        <v/>
      </c>
    </row>
    <row r="148" spans="1:175" ht="16.5">
      <c r="A148" s="88"/>
      <c r="B148" s="66"/>
      <c r="C148" s="88"/>
      <c r="T148" s="108"/>
      <c r="U148" s="32"/>
      <c r="CN148" s="7" t="str">
        <f t="shared" si="2241"/>
        <v>InitUnitState('',,,,,,,,,,)</v>
      </c>
      <c r="CO148" s="7" t="str">
        <f t="shared" si="2242"/>
        <v>InitUnitNormal('',,,,,,,,,,)</v>
      </c>
      <c r="CP148" s="7" t="str">
        <f t="shared" si="2243"/>
        <v>InitUnitMagic('',,,,,,,,,,)</v>
      </c>
      <c r="CQ148" s="7" t="str">
        <f t="shared" si="2244"/>
        <v>InitUnitAdd('',,,,,,,,,,)</v>
      </c>
      <c r="CR148" s="7" t="str">
        <f t="shared" si="2245"/>
        <v>InitEquipData('',,"",,,,,'','','','','','',"")</v>
      </c>
      <c r="CU148" s="45" t="str">
        <f t="shared" si="2246"/>
        <v>|n</v>
      </c>
      <c r="CW148" s="24"/>
      <c r="CX148" s="24"/>
      <c r="CY148" s="24"/>
      <c r="CZ148" s="24"/>
      <c r="DA148" s="24"/>
      <c r="DB148" s="30" t="str">
        <f t="shared" si="2247"/>
        <v/>
      </c>
      <c r="DC148" s="30" t="str">
        <f t="shared" si="2248"/>
        <v/>
      </c>
      <c r="DD148" s="30" t="str">
        <f t="shared" si="2249"/>
        <v/>
      </c>
      <c r="DE148" s="30" t="str">
        <f t="shared" si="2250"/>
        <v/>
      </c>
      <c r="DF148" s="30" t="str">
        <f t="shared" si="2251"/>
        <v/>
      </c>
      <c r="DG148" s="30" t="str">
        <f t="shared" si="2252"/>
        <v/>
      </c>
      <c r="DH148" s="30" t="str">
        <f t="shared" si="2253"/>
        <v/>
      </c>
      <c r="DI148" s="30" t="str">
        <f t="shared" si="2254"/>
        <v/>
      </c>
      <c r="DJ148" s="30" t="str">
        <f t="shared" si="2255"/>
        <v/>
      </c>
      <c r="DK148" s="30" t="str">
        <f t="shared" si="2256"/>
        <v/>
      </c>
      <c r="DL148" s="30" t="str">
        <f t="shared" si="2257"/>
        <v/>
      </c>
      <c r="DM148" s="30" t="str">
        <f t="shared" si="2258"/>
        <v/>
      </c>
      <c r="DN148" s="30" t="str">
        <f t="shared" si="2259"/>
        <v/>
      </c>
      <c r="DO148" s="30" t="str">
        <f t="shared" si="2260"/>
        <v/>
      </c>
      <c r="DP148" s="30" t="str">
        <f t="shared" si="2261"/>
        <v/>
      </c>
      <c r="DQ148" s="30" t="str">
        <f t="shared" si="2262"/>
        <v/>
      </c>
      <c r="DR148" s="30" t="str">
        <f t="shared" si="2263"/>
        <v/>
      </c>
      <c r="DS148" s="30" t="str">
        <f t="shared" si="2264"/>
        <v/>
      </c>
      <c r="DT148" s="30" t="str">
        <f t="shared" si="2265"/>
        <v/>
      </c>
      <c r="DU148" s="30" t="str">
        <f t="shared" si="2266"/>
        <v/>
      </c>
      <c r="DV148" s="30" t="str">
        <f t="shared" si="2267"/>
        <v/>
      </c>
      <c r="DW148" s="30" t="str">
        <f t="shared" si="2268"/>
        <v/>
      </c>
      <c r="DX148" s="30" t="str">
        <f t="shared" si="2269"/>
        <v/>
      </c>
      <c r="DY148" s="30" t="str">
        <f t="shared" si="2270"/>
        <v/>
      </c>
      <c r="DZ148" s="30" t="str">
        <f t="shared" si="2271"/>
        <v/>
      </c>
      <c r="EA148" s="30" t="str">
        <f t="shared" si="2272"/>
        <v/>
      </c>
      <c r="EB148" s="30" t="str">
        <f t="shared" si="2273"/>
        <v/>
      </c>
      <c r="EC148" s="30" t="str">
        <f t="shared" si="2274"/>
        <v/>
      </c>
      <c r="ED148" s="30" t="str">
        <f t="shared" si="2275"/>
        <v/>
      </c>
      <c r="EE148" s="30" t="str">
        <f t="shared" si="2276"/>
        <v/>
      </c>
      <c r="EF148" s="30" t="str">
        <f t="shared" si="2277"/>
        <v/>
      </c>
      <c r="EG148" s="30" t="str">
        <f t="shared" si="2278"/>
        <v/>
      </c>
      <c r="EH148" s="30" t="str">
        <f t="shared" si="2279"/>
        <v/>
      </c>
      <c r="EI148" s="30" t="str">
        <f t="shared" si="2280"/>
        <v/>
      </c>
      <c r="EJ148" s="30" t="str">
        <f t="shared" si="2281"/>
        <v/>
      </c>
      <c r="EK148" s="30" t="str">
        <f t="shared" si="2282"/>
        <v/>
      </c>
      <c r="EL148" s="30" t="str">
        <f t="shared" si="2283"/>
        <v/>
      </c>
      <c r="EM148" s="30" t="str">
        <f t="shared" si="2284"/>
        <v/>
      </c>
      <c r="EN148" s="30" t="str">
        <f t="shared" si="2285"/>
        <v/>
      </c>
      <c r="EO148" s="30" t="str">
        <f t="shared" si="2286"/>
        <v/>
      </c>
      <c r="EP148" s="30" t="str">
        <f t="shared" si="2287"/>
        <v/>
      </c>
      <c r="EQ148" s="30" t="str">
        <f t="shared" si="2288"/>
        <v/>
      </c>
      <c r="ER148" s="30" t="str">
        <f t="shared" si="2289"/>
        <v/>
      </c>
      <c r="ES148" s="30" t="str">
        <f t="shared" si="2290"/>
        <v/>
      </c>
      <c r="ET148" s="30" t="str">
        <f t="shared" si="2291"/>
        <v/>
      </c>
      <c r="EU148" s="30" t="str">
        <f t="shared" si="2292"/>
        <v/>
      </c>
      <c r="EV148" s="30" t="str">
        <f t="shared" si="2293"/>
        <v/>
      </c>
      <c r="EW148" s="30" t="str">
        <f t="shared" si="2294"/>
        <v/>
      </c>
      <c r="EX148" s="30" t="str">
        <f t="shared" si="2295"/>
        <v/>
      </c>
      <c r="EY148" s="30" t="str">
        <f t="shared" si="2296"/>
        <v/>
      </c>
      <c r="EZ148" s="30" t="str">
        <f t="shared" si="2297"/>
        <v/>
      </c>
      <c r="FA148" s="30" t="str">
        <f t="shared" si="2298"/>
        <v/>
      </c>
      <c r="FB148" s="30" t="str">
        <f t="shared" si="2299"/>
        <v/>
      </c>
      <c r="FC148" s="30" t="str">
        <f t="shared" si="2300"/>
        <v/>
      </c>
      <c r="FD148" s="30" t="str">
        <f t="shared" si="2301"/>
        <v/>
      </c>
      <c r="FE148" s="30" t="str">
        <f t="shared" si="2302"/>
        <v/>
      </c>
      <c r="FF148" s="30" t="str">
        <f t="shared" si="2303"/>
        <v/>
      </c>
      <c r="FG148" s="30" t="str">
        <f t="shared" si="2304"/>
        <v/>
      </c>
      <c r="FH148" s="30" t="str">
        <f t="shared" si="2305"/>
        <v/>
      </c>
      <c r="FI148" s="30" t="str">
        <f t="shared" si="2306"/>
        <v/>
      </c>
      <c r="FJ148" s="30" t="str">
        <f t="shared" si="2307"/>
        <v/>
      </c>
      <c r="FK148" s="30" t="str">
        <f t="shared" si="2308"/>
        <v/>
      </c>
      <c r="FL148" s="30" t="str">
        <f t="shared" si="2309"/>
        <v/>
      </c>
      <c r="FM148" s="30" t="str">
        <f t="shared" si="2310"/>
        <v/>
      </c>
      <c r="FN148" s="30" t="str">
        <f t="shared" si="2311"/>
        <v/>
      </c>
      <c r="FO148" s="30" t="str">
        <f t="shared" si="2312"/>
        <v/>
      </c>
      <c r="FP148" s="30" t="str">
        <f t="shared" si="2313"/>
        <v/>
      </c>
      <c r="FQ148" s="30" t="str">
        <f t="shared" si="2314"/>
        <v/>
      </c>
      <c r="FR148" s="30" t="str">
        <f t="shared" si="2315"/>
        <v/>
      </c>
      <c r="FS148" s="30" t="str">
        <f t="shared" si="2316"/>
        <v/>
      </c>
    </row>
    <row r="149" spans="1:175" ht="16.5">
      <c r="A149" s="88"/>
      <c r="B149" s="66"/>
      <c r="C149" s="88"/>
      <c r="T149" s="108"/>
      <c r="U149" s="32"/>
      <c r="CN149" s="7" t="str">
        <f t="shared" si="2241"/>
        <v>InitUnitState('',,,,,,,,,,)</v>
      </c>
      <c r="CO149" s="7" t="str">
        <f t="shared" si="2242"/>
        <v>InitUnitNormal('',,,,,,,,,,)</v>
      </c>
      <c r="CP149" s="7" t="str">
        <f t="shared" si="2243"/>
        <v>InitUnitMagic('',,,,,,,,,,)</v>
      </c>
      <c r="CQ149" s="7" t="str">
        <f t="shared" si="2244"/>
        <v>InitUnitAdd('',,,,,,,,,,)</v>
      </c>
      <c r="CR149" s="7" t="str">
        <f t="shared" si="2245"/>
        <v>InitEquipData('',,"",,,,,'','','','','','',"")</v>
      </c>
      <c r="CU149" s="45" t="str">
        <f t="shared" si="2246"/>
        <v>|n</v>
      </c>
      <c r="CW149" s="24"/>
      <c r="CX149" s="24"/>
      <c r="CY149" s="24"/>
      <c r="CZ149" s="24"/>
      <c r="DA149" s="24"/>
      <c r="DB149" s="30" t="str">
        <f t="shared" si="2247"/>
        <v/>
      </c>
      <c r="DC149" s="30" t="str">
        <f t="shared" si="2248"/>
        <v/>
      </c>
      <c r="DD149" s="30" t="str">
        <f t="shared" si="2249"/>
        <v/>
      </c>
      <c r="DE149" s="30" t="str">
        <f t="shared" si="2250"/>
        <v/>
      </c>
      <c r="DF149" s="30" t="str">
        <f t="shared" si="2251"/>
        <v/>
      </c>
      <c r="DG149" s="30" t="str">
        <f t="shared" si="2252"/>
        <v/>
      </c>
      <c r="DH149" s="30" t="str">
        <f t="shared" si="2253"/>
        <v/>
      </c>
      <c r="DI149" s="30" t="str">
        <f t="shared" si="2254"/>
        <v/>
      </c>
      <c r="DJ149" s="30" t="str">
        <f t="shared" si="2255"/>
        <v/>
      </c>
      <c r="DK149" s="30" t="str">
        <f t="shared" si="2256"/>
        <v/>
      </c>
      <c r="DL149" s="30" t="str">
        <f t="shared" si="2257"/>
        <v/>
      </c>
      <c r="DM149" s="30" t="str">
        <f t="shared" si="2258"/>
        <v/>
      </c>
      <c r="DN149" s="30" t="str">
        <f t="shared" si="2259"/>
        <v/>
      </c>
      <c r="DO149" s="30" t="str">
        <f t="shared" si="2260"/>
        <v/>
      </c>
      <c r="DP149" s="30" t="str">
        <f t="shared" si="2261"/>
        <v/>
      </c>
      <c r="DQ149" s="30" t="str">
        <f t="shared" si="2262"/>
        <v/>
      </c>
      <c r="DR149" s="30" t="str">
        <f t="shared" si="2263"/>
        <v/>
      </c>
      <c r="DS149" s="30" t="str">
        <f t="shared" si="2264"/>
        <v/>
      </c>
      <c r="DT149" s="30" t="str">
        <f t="shared" si="2265"/>
        <v/>
      </c>
      <c r="DU149" s="30" t="str">
        <f t="shared" si="2266"/>
        <v/>
      </c>
      <c r="DV149" s="30" t="str">
        <f t="shared" si="2267"/>
        <v/>
      </c>
      <c r="DW149" s="30" t="str">
        <f t="shared" si="2268"/>
        <v/>
      </c>
      <c r="DX149" s="30" t="str">
        <f t="shared" si="2269"/>
        <v/>
      </c>
      <c r="DY149" s="30" t="str">
        <f t="shared" si="2270"/>
        <v/>
      </c>
      <c r="DZ149" s="30" t="str">
        <f t="shared" si="2271"/>
        <v/>
      </c>
      <c r="EA149" s="30" t="str">
        <f t="shared" si="2272"/>
        <v/>
      </c>
      <c r="EB149" s="30" t="str">
        <f t="shared" si="2273"/>
        <v/>
      </c>
      <c r="EC149" s="30" t="str">
        <f t="shared" si="2274"/>
        <v/>
      </c>
      <c r="ED149" s="30" t="str">
        <f t="shared" si="2275"/>
        <v/>
      </c>
      <c r="EE149" s="30" t="str">
        <f t="shared" si="2276"/>
        <v/>
      </c>
      <c r="EF149" s="30" t="str">
        <f t="shared" si="2277"/>
        <v/>
      </c>
      <c r="EG149" s="30" t="str">
        <f t="shared" si="2278"/>
        <v/>
      </c>
      <c r="EH149" s="30" t="str">
        <f t="shared" si="2279"/>
        <v/>
      </c>
      <c r="EI149" s="30" t="str">
        <f t="shared" si="2280"/>
        <v/>
      </c>
      <c r="EJ149" s="30" t="str">
        <f t="shared" si="2281"/>
        <v/>
      </c>
      <c r="EK149" s="30" t="str">
        <f t="shared" si="2282"/>
        <v/>
      </c>
      <c r="EL149" s="30" t="str">
        <f t="shared" si="2283"/>
        <v/>
      </c>
      <c r="EM149" s="30" t="str">
        <f t="shared" si="2284"/>
        <v/>
      </c>
      <c r="EN149" s="30" t="str">
        <f t="shared" si="2285"/>
        <v/>
      </c>
      <c r="EO149" s="30" t="str">
        <f t="shared" si="2286"/>
        <v/>
      </c>
      <c r="EP149" s="30" t="str">
        <f t="shared" si="2287"/>
        <v/>
      </c>
      <c r="EQ149" s="30" t="str">
        <f t="shared" si="2288"/>
        <v/>
      </c>
      <c r="ER149" s="30" t="str">
        <f t="shared" si="2289"/>
        <v/>
      </c>
      <c r="ES149" s="30" t="str">
        <f t="shared" si="2290"/>
        <v/>
      </c>
      <c r="ET149" s="30" t="str">
        <f t="shared" si="2291"/>
        <v/>
      </c>
      <c r="EU149" s="30" t="str">
        <f t="shared" si="2292"/>
        <v/>
      </c>
      <c r="EV149" s="30" t="str">
        <f t="shared" si="2293"/>
        <v/>
      </c>
      <c r="EW149" s="30" t="str">
        <f t="shared" si="2294"/>
        <v/>
      </c>
      <c r="EX149" s="30" t="str">
        <f t="shared" si="2295"/>
        <v/>
      </c>
      <c r="EY149" s="30" t="str">
        <f t="shared" si="2296"/>
        <v/>
      </c>
      <c r="EZ149" s="30" t="str">
        <f t="shared" si="2297"/>
        <v/>
      </c>
      <c r="FA149" s="30" t="str">
        <f t="shared" si="2298"/>
        <v/>
      </c>
      <c r="FB149" s="30" t="str">
        <f t="shared" si="2299"/>
        <v/>
      </c>
      <c r="FC149" s="30" t="str">
        <f t="shared" si="2300"/>
        <v/>
      </c>
      <c r="FD149" s="30" t="str">
        <f t="shared" si="2301"/>
        <v/>
      </c>
      <c r="FE149" s="30" t="str">
        <f t="shared" si="2302"/>
        <v/>
      </c>
      <c r="FF149" s="30" t="str">
        <f t="shared" si="2303"/>
        <v/>
      </c>
      <c r="FG149" s="30" t="str">
        <f t="shared" si="2304"/>
        <v/>
      </c>
      <c r="FH149" s="30" t="str">
        <f t="shared" si="2305"/>
        <v/>
      </c>
      <c r="FI149" s="30" t="str">
        <f t="shared" si="2306"/>
        <v/>
      </c>
      <c r="FJ149" s="30" t="str">
        <f t="shared" si="2307"/>
        <v/>
      </c>
      <c r="FK149" s="30" t="str">
        <f t="shared" si="2308"/>
        <v/>
      </c>
      <c r="FL149" s="30" t="str">
        <f t="shared" si="2309"/>
        <v/>
      </c>
      <c r="FM149" s="30" t="str">
        <f t="shared" si="2310"/>
        <v/>
      </c>
      <c r="FN149" s="30" t="str">
        <f t="shared" si="2311"/>
        <v/>
      </c>
      <c r="FO149" s="30" t="str">
        <f t="shared" si="2312"/>
        <v/>
      </c>
      <c r="FP149" s="30" t="str">
        <f t="shared" si="2313"/>
        <v/>
      </c>
      <c r="FQ149" s="30" t="str">
        <f t="shared" si="2314"/>
        <v/>
      </c>
      <c r="FR149" s="30" t="str">
        <f t="shared" si="2315"/>
        <v/>
      </c>
      <c r="FS149" s="30" t="str">
        <f t="shared" si="2316"/>
        <v/>
      </c>
    </row>
    <row r="150" spans="1:175" ht="16.5">
      <c r="A150" s="88"/>
      <c r="B150" s="66"/>
      <c r="C150" s="88"/>
      <c r="T150" s="108"/>
      <c r="U150" s="32"/>
      <c r="CN150" s="7" t="str">
        <f t="shared" si="2241"/>
        <v>InitUnitState('',,,,,,,,,,)</v>
      </c>
      <c r="CO150" s="7" t="str">
        <f t="shared" si="2242"/>
        <v>InitUnitNormal('',,,,,,,,,,)</v>
      </c>
      <c r="CP150" s="7" t="str">
        <f t="shared" si="2243"/>
        <v>InitUnitMagic('',,,,,,,,,,)</v>
      </c>
      <c r="CQ150" s="7" t="str">
        <f t="shared" si="2244"/>
        <v>InitUnitAdd('',,,,,,,,,,)</v>
      </c>
      <c r="CR150" s="7" t="str">
        <f t="shared" si="2245"/>
        <v>InitEquipData('',,"",,,,,'','','','','','',"")</v>
      </c>
      <c r="CU150" s="45" t="str">
        <f t="shared" si="2246"/>
        <v>|n</v>
      </c>
      <c r="CW150" s="24"/>
      <c r="CX150" s="24"/>
      <c r="CY150" s="24"/>
      <c r="CZ150" s="24"/>
      <c r="DA150" s="24"/>
      <c r="DB150" s="30" t="str">
        <f t="shared" si="2247"/>
        <v/>
      </c>
      <c r="DC150" s="30" t="str">
        <f t="shared" si="2248"/>
        <v/>
      </c>
      <c r="DD150" s="30" t="str">
        <f t="shared" si="2249"/>
        <v/>
      </c>
      <c r="DE150" s="30" t="str">
        <f t="shared" si="2250"/>
        <v/>
      </c>
      <c r="DF150" s="30" t="str">
        <f t="shared" si="2251"/>
        <v/>
      </c>
      <c r="DG150" s="30" t="str">
        <f t="shared" si="2252"/>
        <v/>
      </c>
      <c r="DH150" s="30" t="str">
        <f t="shared" si="2253"/>
        <v/>
      </c>
      <c r="DI150" s="30" t="str">
        <f t="shared" si="2254"/>
        <v/>
      </c>
      <c r="DJ150" s="30" t="str">
        <f t="shared" si="2255"/>
        <v/>
      </c>
      <c r="DK150" s="30" t="str">
        <f t="shared" si="2256"/>
        <v/>
      </c>
      <c r="DL150" s="30" t="str">
        <f t="shared" si="2257"/>
        <v/>
      </c>
      <c r="DM150" s="30" t="str">
        <f t="shared" si="2258"/>
        <v/>
      </c>
      <c r="DN150" s="30" t="str">
        <f t="shared" si="2259"/>
        <v/>
      </c>
      <c r="DO150" s="30" t="str">
        <f t="shared" si="2260"/>
        <v/>
      </c>
      <c r="DP150" s="30" t="str">
        <f t="shared" si="2261"/>
        <v/>
      </c>
      <c r="DQ150" s="30" t="str">
        <f t="shared" si="2262"/>
        <v/>
      </c>
      <c r="DR150" s="30" t="str">
        <f t="shared" si="2263"/>
        <v/>
      </c>
      <c r="DS150" s="30" t="str">
        <f t="shared" si="2264"/>
        <v/>
      </c>
      <c r="DT150" s="30" t="str">
        <f t="shared" si="2265"/>
        <v/>
      </c>
      <c r="DU150" s="30" t="str">
        <f t="shared" si="2266"/>
        <v/>
      </c>
      <c r="DV150" s="30" t="str">
        <f t="shared" si="2267"/>
        <v/>
      </c>
      <c r="DW150" s="30" t="str">
        <f t="shared" si="2268"/>
        <v/>
      </c>
      <c r="DX150" s="30" t="str">
        <f t="shared" si="2269"/>
        <v/>
      </c>
      <c r="DY150" s="30" t="str">
        <f t="shared" si="2270"/>
        <v/>
      </c>
      <c r="DZ150" s="30" t="str">
        <f t="shared" si="2271"/>
        <v/>
      </c>
      <c r="EA150" s="30" t="str">
        <f t="shared" si="2272"/>
        <v/>
      </c>
      <c r="EB150" s="30" t="str">
        <f t="shared" si="2273"/>
        <v/>
      </c>
      <c r="EC150" s="30" t="str">
        <f t="shared" si="2274"/>
        <v/>
      </c>
      <c r="ED150" s="30" t="str">
        <f t="shared" si="2275"/>
        <v/>
      </c>
      <c r="EE150" s="30" t="str">
        <f t="shared" si="2276"/>
        <v/>
      </c>
      <c r="EF150" s="30" t="str">
        <f t="shared" si="2277"/>
        <v/>
      </c>
      <c r="EG150" s="30" t="str">
        <f t="shared" si="2278"/>
        <v/>
      </c>
      <c r="EH150" s="30" t="str">
        <f t="shared" si="2279"/>
        <v/>
      </c>
      <c r="EI150" s="30" t="str">
        <f t="shared" si="2280"/>
        <v/>
      </c>
      <c r="EJ150" s="30" t="str">
        <f t="shared" si="2281"/>
        <v/>
      </c>
      <c r="EK150" s="30" t="str">
        <f t="shared" si="2282"/>
        <v/>
      </c>
      <c r="EL150" s="30" t="str">
        <f t="shared" si="2283"/>
        <v/>
      </c>
      <c r="EM150" s="30" t="str">
        <f t="shared" si="2284"/>
        <v/>
      </c>
      <c r="EN150" s="30" t="str">
        <f t="shared" si="2285"/>
        <v/>
      </c>
      <c r="EO150" s="30" t="str">
        <f t="shared" si="2286"/>
        <v/>
      </c>
      <c r="EP150" s="30" t="str">
        <f t="shared" si="2287"/>
        <v/>
      </c>
      <c r="EQ150" s="30" t="str">
        <f t="shared" si="2288"/>
        <v/>
      </c>
      <c r="ER150" s="30" t="str">
        <f t="shared" si="2289"/>
        <v/>
      </c>
      <c r="ES150" s="30" t="str">
        <f t="shared" si="2290"/>
        <v/>
      </c>
      <c r="ET150" s="30" t="str">
        <f t="shared" si="2291"/>
        <v/>
      </c>
      <c r="EU150" s="30" t="str">
        <f t="shared" si="2292"/>
        <v/>
      </c>
      <c r="EV150" s="30" t="str">
        <f t="shared" si="2293"/>
        <v/>
      </c>
      <c r="EW150" s="30" t="str">
        <f t="shared" si="2294"/>
        <v/>
      </c>
      <c r="EX150" s="30" t="str">
        <f t="shared" si="2295"/>
        <v/>
      </c>
      <c r="EY150" s="30" t="str">
        <f t="shared" si="2296"/>
        <v/>
      </c>
      <c r="EZ150" s="30" t="str">
        <f t="shared" si="2297"/>
        <v/>
      </c>
      <c r="FA150" s="30" t="str">
        <f t="shared" si="2298"/>
        <v/>
      </c>
      <c r="FB150" s="30" t="str">
        <f t="shared" si="2299"/>
        <v/>
      </c>
      <c r="FC150" s="30" t="str">
        <f t="shared" si="2300"/>
        <v/>
      </c>
      <c r="FD150" s="30" t="str">
        <f t="shared" si="2301"/>
        <v/>
      </c>
      <c r="FE150" s="30" t="str">
        <f t="shared" si="2302"/>
        <v/>
      </c>
      <c r="FF150" s="30" t="str">
        <f t="shared" si="2303"/>
        <v/>
      </c>
      <c r="FG150" s="30" t="str">
        <f t="shared" si="2304"/>
        <v/>
      </c>
      <c r="FH150" s="30" t="str">
        <f t="shared" si="2305"/>
        <v/>
      </c>
      <c r="FI150" s="30" t="str">
        <f t="shared" si="2306"/>
        <v/>
      </c>
      <c r="FJ150" s="30" t="str">
        <f t="shared" si="2307"/>
        <v/>
      </c>
      <c r="FK150" s="30" t="str">
        <f t="shared" si="2308"/>
        <v/>
      </c>
      <c r="FL150" s="30" t="str">
        <f t="shared" si="2309"/>
        <v/>
      </c>
      <c r="FM150" s="30" t="str">
        <f t="shared" si="2310"/>
        <v/>
      </c>
      <c r="FN150" s="30" t="str">
        <f t="shared" si="2311"/>
        <v/>
      </c>
      <c r="FO150" s="30" t="str">
        <f t="shared" si="2312"/>
        <v/>
      </c>
      <c r="FP150" s="30" t="str">
        <f t="shared" si="2313"/>
        <v/>
      </c>
      <c r="FQ150" s="30" t="str">
        <f t="shared" si="2314"/>
        <v/>
      </c>
      <c r="FR150" s="30" t="str">
        <f t="shared" si="2315"/>
        <v/>
      </c>
      <c r="FS150" s="30" t="str">
        <f t="shared" si="2316"/>
        <v/>
      </c>
    </row>
    <row r="151" spans="1:175" ht="16.5">
      <c r="A151" s="88"/>
      <c r="B151" s="66"/>
      <c r="C151" s="88"/>
      <c r="T151" s="108"/>
      <c r="U151" s="32"/>
      <c r="CN151" s="7" t="str">
        <f t="shared" si="2241"/>
        <v>InitUnitState('',,,,,,,,,,)</v>
      </c>
      <c r="CO151" s="7" t="str">
        <f t="shared" si="2242"/>
        <v>InitUnitNormal('',,,,,,,,,,)</v>
      </c>
      <c r="CP151" s="7" t="str">
        <f t="shared" si="2243"/>
        <v>InitUnitMagic('',,,,,,,,,,)</v>
      </c>
      <c r="CQ151" s="7" t="str">
        <f t="shared" si="2244"/>
        <v>InitUnitAdd('',,,,,,,,,,)</v>
      </c>
      <c r="CR151" s="7" t="str">
        <f t="shared" si="2245"/>
        <v>InitEquipData('',,"",,,,,'','','','','','',"")</v>
      </c>
      <c r="CU151" s="45" t="str">
        <f t="shared" si="2246"/>
        <v>|n</v>
      </c>
      <c r="CW151" s="24"/>
      <c r="CX151" s="24"/>
      <c r="CY151" s="24"/>
      <c r="CZ151" s="24"/>
      <c r="DA151" s="24"/>
      <c r="DB151" s="30" t="str">
        <f t="shared" si="2247"/>
        <v/>
      </c>
      <c r="DC151" s="30" t="str">
        <f t="shared" si="2248"/>
        <v/>
      </c>
      <c r="DD151" s="30" t="str">
        <f t="shared" si="2249"/>
        <v/>
      </c>
      <c r="DE151" s="30" t="str">
        <f t="shared" si="2250"/>
        <v/>
      </c>
      <c r="DF151" s="30" t="str">
        <f t="shared" si="2251"/>
        <v/>
      </c>
      <c r="DG151" s="30" t="str">
        <f t="shared" si="2252"/>
        <v/>
      </c>
      <c r="DH151" s="30" t="str">
        <f t="shared" si="2253"/>
        <v/>
      </c>
      <c r="DI151" s="30" t="str">
        <f t="shared" si="2254"/>
        <v/>
      </c>
      <c r="DJ151" s="30" t="str">
        <f t="shared" si="2255"/>
        <v/>
      </c>
      <c r="DK151" s="30" t="str">
        <f t="shared" si="2256"/>
        <v/>
      </c>
      <c r="DL151" s="30" t="str">
        <f t="shared" si="2257"/>
        <v/>
      </c>
      <c r="DM151" s="30" t="str">
        <f t="shared" si="2258"/>
        <v/>
      </c>
      <c r="DN151" s="30" t="str">
        <f t="shared" si="2259"/>
        <v/>
      </c>
      <c r="DO151" s="30" t="str">
        <f t="shared" si="2260"/>
        <v/>
      </c>
      <c r="DP151" s="30" t="str">
        <f t="shared" si="2261"/>
        <v/>
      </c>
      <c r="DQ151" s="30" t="str">
        <f t="shared" si="2262"/>
        <v/>
      </c>
      <c r="DR151" s="30" t="str">
        <f t="shared" si="2263"/>
        <v/>
      </c>
      <c r="DS151" s="30" t="str">
        <f t="shared" si="2264"/>
        <v/>
      </c>
      <c r="DT151" s="30" t="str">
        <f t="shared" si="2265"/>
        <v/>
      </c>
      <c r="DU151" s="30" t="str">
        <f t="shared" si="2266"/>
        <v/>
      </c>
      <c r="DV151" s="30" t="str">
        <f t="shared" si="2267"/>
        <v/>
      </c>
      <c r="DW151" s="30" t="str">
        <f t="shared" si="2268"/>
        <v/>
      </c>
      <c r="DX151" s="30" t="str">
        <f t="shared" si="2269"/>
        <v/>
      </c>
      <c r="DY151" s="30" t="str">
        <f t="shared" si="2270"/>
        <v/>
      </c>
      <c r="DZ151" s="30" t="str">
        <f t="shared" si="2271"/>
        <v/>
      </c>
      <c r="EA151" s="30" t="str">
        <f t="shared" si="2272"/>
        <v/>
      </c>
      <c r="EB151" s="30" t="str">
        <f t="shared" si="2273"/>
        <v/>
      </c>
      <c r="EC151" s="30" t="str">
        <f t="shared" si="2274"/>
        <v/>
      </c>
      <c r="ED151" s="30" t="str">
        <f t="shared" si="2275"/>
        <v/>
      </c>
      <c r="EE151" s="30" t="str">
        <f t="shared" si="2276"/>
        <v/>
      </c>
      <c r="EF151" s="30" t="str">
        <f t="shared" si="2277"/>
        <v/>
      </c>
      <c r="EG151" s="30" t="str">
        <f t="shared" si="2278"/>
        <v/>
      </c>
      <c r="EH151" s="30" t="str">
        <f t="shared" si="2279"/>
        <v/>
      </c>
      <c r="EI151" s="30" t="str">
        <f t="shared" si="2280"/>
        <v/>
      </c>
      <c r="EJ151" s="30" t="str">
        <f t="shared" si="2281"/>
        <v/>
      </c>
      <c r="EK151" s="30" t="str">
        <f t="shared" si="2282"/>
        <v/>
      </c>
      <c r="EL151" s="30" t="str">
        <f t="shared" si="2283"/>
        <v/>
      </c>
      <c r="EM151" s="30" t="str">
        <f t="shared" si="2284"/>
        <v/>
      </c>
      <c r="EN151" s="30" t="str">
        <f t="shared" si="2285"/>
        <v/>
      </c>
      <c r="EO151" s="30" t="str">
        <f t="shared" si="2286"/>
        <v/>
      </c>
      <c r="EP151" s="30" t="str">
        <f t="shared" si="2287"/>
        <v/>
      </c>
      <c r="EQ151" s="30" t="str">
        <f t="shared" si="2288"/>
        <v/>
      </c>
      <c r="ER151" s="30" t="str">
        <f t="shared" si="2289"/>
        <v/>
      </c>
      <c r="ES151" s="30" t="str">
        <f t="shared" si="2290"/>
        <v/>
      </c>
      <c r="ET151" s="30" t="str">
        <f t="shared" si="2291"/>
        <v/>
      </c>
      <c r="EU151" s="30" t="str">
        <f t="shared" si="2292"/>
        <v/>
      </c>
      <c r="EV151" s="30" t="str">
        <f t="shared" si="2293"/>
        <v/>
      </c>
      <c r="EW151" s="30" t="str">
        <f t="shared" si="2294"/>
        <v/>
      </c>
      <c r="EX151" s="30" t="str">
        <f t="shared" si="2295"/>
        <v/>
      </c>
      <c r="EY151" s="30" t="str">
        <f t="shared" si="2296"/>
        <v/>
      </c>
      <c r="EZ151" s="30" t="str">
        <f t="shared" si="2297"/>
        <v/>
      </c>
      <c r="FA151" s="30" t="str">
        <f t="shared" si="2298"/>
        <v/>
      </c>
      <c r="FB151" s="30" t="str">
        <f t="shared" si="2299"/>
        <v/>
      </c>
      <c r="FC151" s="30" t="str">
        <f t="shared" si="2300"/>
        <v/>
      </c>
      <c r="FD151" s="30" t="str">
        <f t="shared" si="2301"/>
        <v/>
      </c>
      <c r="FE151" s="30" t="str">
        <f t="shared" si="2302"/>
        <v/>
      </c>
      <c r="FF151" s="30" t="str">
        <f t="shared" si="2303"/>
        <v/>
      </c>
      <c r="FG151" s="30" t="str">
        <f t="shared" si="2304"/>
        <v/>
      </c>
      <c r="FH151" s="30" t="str">
        <f t="shared" si="2305"/>
        <v/>
      </c>
      <c r="FI151" s="30" t="str">
        <f t="shared" si="2306"/>
        <v/>
      </c>
      <c r="FJ151" s="30" t="str">
        <f t="shared" si="2307"/>
        <v/>
      </c>
      <c r="FK151" s="30" t="str">
        <f t="shared" si="2308"/>
        <v/>
      </c>
      <c r="FL151" s="30" t="str">
        <f t="shared" si="2309"/>
        <v/>
      </c>
      <c r="FM151" s="30" t="str">
        <f t="shared" si="2310"/>
        <v/>
      </c>
      <c r="FN151" s="30" t="str">
        <f t="shared" si="2311"/>
        <v/>
      </c>
      <c r="FO151" s="30" t="str">
        <f t="shared" si="2312"/>
        <v/>
      </c>
      <c r="FP151" s="30" t="str">
        <f t="shared" si="2313"/>
        <v/>
      </c>
      <c r="FQ151" s="30" t="str">
        <f t="shared" si="2314"/>
        <v/>
      </c>
      <c r="FR151" s="30" t="str">
        <f t="shared" si="2315"/>
        <v/>
      </c>
      <c r="FS151" s="30" t="str">
        <f t="shared" si="2316"/>
        <v/>
      </c>
    </row>
    <row r="152" spans="1:175" ht="16.5">
      <c r="A152" s="88"/>
      <c r="B152" s="66"/>
      <c r="C152" s="88"/>
      <c r="T152" s="109"/>
      <c r="U152" s="32"/>
      <c r="CN152" s="7" t="str">
        <f t="shared" ref="CN152:CN171" si="2317">"InitUnitState('"&amp;B152&amp;"',"&amp;V152&amp;","&amp;W152&amp;","&amp;X152&amp;","&amp;Y152&amp;","&amp;Z152&amp;","&amp;AA152&amp;","&amp;AB152&amp;","&amp;AC152&amp;","&amp;AD152&amp;","&amp;AE152&amp;")"</f>
        <v>InitUnitState('',,,,,,,,,,)</v>
      </c>
      <c r="CO152" s="7" t="str">
        <f t="shared" ref="CO152:CO171" si="2318">"InitUnitNormal('"&amp;B152&amp;"',"&amp;AF152&amp;","&amp;AG152&amp;","&amp;AH152&amp;","&amp;AI152&amp;","&amp;AJ152&amp;","&amp;AK152&amp;","&amp;AL152&amp;","&amp;AM152&amp;","&amp;AN152&amp;","&amp;AO152&amp;")"</f>
        <v>InitUnitNormal('',,,,,,,,,,)</v>
      </c>
      <c r="CP152" s="7" t="str">
        <f t="shared" ref="CP152:CP171" si="2319">"InitUnitMagic('"&amp;B152&amp;"',"&amp;AP152&amp;","&amp;AQ152&amp;","&amp;AR152&amp;","&amp;AS152&amp;","&amp;AT152&amp;","&amp;AU152&amp;","&amp;AV152&amp;","&amp;AW152&amp;","&amp;BI152&amp;","&amp;BJ152&amp;")"</f>
        <v>InitUnitMagic('',,,,,,,,,,)</v>
      </c>
      <c r="CQ152" s="7" t="str">
        <f t="shared" ref="CQ152:CQ171" si="2320">"InitUnitAdd('"&amp;B152&amp;"',"&amp;BK152&amp;","&amp;BL152&amp;","&amp;BM152&amp;","&amp;BN152&amp;","&amp;BO152&amp;","&amp;BP152&amp;","&amp;BQ152&amp;","&amp;BR152&amp;","&amp;BS152&amp;","&amp;BT152&amp;")"</f>
        <v>InitUnitAdd('',,,,,,,,,,)</v>
      </c>
      <c r="CR152" s="7" t="str">
        <f t="shared" ref="CR152:CR171" si="2321"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153&amp;CR$1&amp;")"</f>
        <v>InitEquipData('',,"",,,,,'','','','','','',"")</v>
      </c>
      <c r="CU152" s="45" t="str">
        <f t="shared" si="2246"/>
        <v>|n</v>
      </c>
      <c r="CW152" s="24"/>
      <c r="CX152" s="24"/>
      <c r="CY152" s="24"/>
      <c r="CZ152" s="24"/>
      <c r="DA152" s="24"/>
      <c r="DB152" s="30" t="str">
        <f t="shared" si="2247"/>
        <v/>
      </c>
      <c r="DC152" s="30" t="str">
        <f t="shared" si="2248"/>
        <v/>
      </c>
      <c r="DD152" s="30" t="str">
        <f t="shared" si="2249"/>
        <v/>
      </c>
      <c r="DE152" s="30" t="str">
        <f t="shared" si="2250"/>
        <v/>
      </c>
      <c r="DF152" s="30" t="str">
        <f t="shared" si="2251"/>
        <v/>
      </c>
      <c r="DG152" s="30" t="str">
        <f t="shared" si="2252"/>
        <v/>
      </c>
      <c r="DH152" s="30" t="str">
        <f t="shared" si="2253"/>
        <v/>
      </c>
      <c r="DI152" s="30" t="str">
        <f t="shared" si="2254"/>
        <v/>
      </c>
      <c r="DJ152" s="30" t="str">
        <f t="shared" si="2255"/>
        <v/>
      </c>
      <c r="DK152" s="30" t="str">
        <f t="shared" si="2256"/>
        <v/>
      </c>
      <c r="DL152" s="30" t="str">
        <f t="shared" si="2257"/>
        <v/>
      </c>
      <c r="DM152" s="30" t="str">
        <f t="shared" si="2258"/>
        <v/>
      </c>
      <c r="DN152" s="30" t="str">
        <f t="shared" si="2259"/>
        <v/>
      </c>
      <c r="DO152" s="30" t="str">
        <f t="shared" si="2260"/>
        <v/>
      </c>
      <c r="DP152" s="30" t="str">
        <f t="shared" si="2261"/>
        <v/>
      </c>
      <c r="DQ152" s="30" t="str">
        <f t="shared" si="2262"/>
        <v/>
      </c>
      <c r="DR152" s="30" t="str">
        <f t="shared" si="2263"/>
        <v/>
      </c>
      <c r="DS152" s="30" t="str">
        <f t="shared" si="2264"/>
        <v/>
      </c>
      <c r="DT152" s="30" t="str">
        <f t="shared" si="2265"/>
        <v/>
      </c>
      <c r="DU152" s="30" t="str">
        <f t="shared" si="2266"/>
        <v/>
      </c>
      <c r="DV152" s="30" t="str">
        <f t="shared" si="2267"/>
        <v/>
      </c>
      <c r="DW152" s="30" t="str">
        <f t="shared" si="2268"/>
        <v/>
      </c>
      <c r="DX152" s="30" t="str">
        <f t="shared" si="2269"/>
        <v/>
      </c>
      <c r="DY152" s="30" t="str">
        <f t="shared" si="2270"/>
        <v/>
      </c>
      <c r="DZ152" s="30" t="str">
        <f t="shared" si="2271"/>
        <v/>
      </c>
      <c r="EA152" s="30" t="str">
        <f t="shared" si="2272"/>
        <v/>
      </c>
      <c r="EB152" s="30" t="str">
        <f t="shared" si="2273"/>
        <v/>
      </c>
      <c r="EC152" s="30" t="str">
        <f t="shared" si="2274"/>
        <v/>
      </c>
      <c r="ED152" s="30" t="str">
        <f t="shared" si="2275"/>
        <v/>
      </c>
      <c r="EE152" s="30" t="str">
        <f t="shared" si="2276"/>
        <v/>
      </c>
      <c r="EF152" s="30" t="str">
        <f t="shared" si="2277"/>
        <v/>
      </c>
      <c r="EG152" s="30" t="str">
        <f t="shared" si="2278"/>
        <v/>
      </c>
      <c r="EH152" s="30" t="str">
        <f t="shared" si="2279"/>
        <v/>
      </c>
      <c r="EI152" s="30" t="str">
        <f t="shared" si="2280"/>
        <v/>
      </c>
      <c r="EJ152" s="30" t="str">
        <f t="shared" si="2281"/>
        <v/>
      </c>
      <c r="EK152" s="30" t="str">
        <f t="shared" si="2282"/>
        <v/>
      </c>
      <c r="EL152" s="30" t="str">
        <f t="shared" si="2283"/>
        <v/>
      </c>
      <c r="EM152" s="30" t="str">
        <f t="shared" si="2284"/>
        <v/>
      </c>
      <c r="EN152" s="30" t="str">
        <f t="shared" si="2285"/>
        <v/>
      </c>
      <c r="EO152" s="30" t="str">
        <f t="shared" si="2286"/>
        <v/>
      </c>
      <c r="EP152" s="30" t="str">
        <f t="shared" si="2287"/>
        <v/>
      </c>
      <c r="EQ152" s="30" t="str">
        <f t="shared" si="2288"/>
        <v/>
      </c>
      <c r="ER152" s="30" t="str">
        <f t="shared" si="2289"/>
        <v/>
      </c>
      <c r="ES152" s="30" t="str">
        <f t="shared" si="2290"/>
        <v/>
      </c>
      <c r="ET152" s="30" t="str">
        <f t="shared" si="2291"/>
        <v/>
      </c>
      <c r="EU152" s="30" t="str">
        <f t="shared" si="2292"/>
        <v/>
      </c>
      <c r="EV152" s="30" t="str">
        <f t="shared" si="2293"/>
        <v/>
      </c>
      <c r="EW152" s="30" t="str">
        <f t="shared" si="2294"/>
        <v/>
      </c>
      <c r="EX152" s="30" t="str">
        <f t="shared" si="2295"/>
        <v/>
      </c>
      <c r="EY152" s="30" t="str">
        <f t="shared" si="2296"/>
        <v/>
      </c>
      <c r="EZ152" s="30" t="str">
        <f t="shared" si="2297"/>
        <v/>
      </c>
      <c r="FA152" s="30" t="str">
        <f t="shared" si="2298"/>
        <v/>
      </c>
      <c r="FB152" s="30" t="str">
        <f t="shared" si="2299"/>
        <v/>
      </c>
      <c r="FC152" s="30" t="str">
        <f t="shared" si="2300"/>
        <v/>
      </c>
      <c r="FD152" s="30" t="str">
        <f t="shared" si="2301"/>
        <v/>
      </c>
      <c r="FE152" s="30" t="str">
        <f t="shared" si="2302"/>
        <v/>
      </c>
      <c r="FF152" s="30" t="str">
        <f t="shared" si="2303"/>
        <v/>
      </c>
      <c r="FG152" s="30" t="str">
        <f t="shared" si="2304"/>
        <v/>
      </c>
      <c r="FH152" s="30" t="str">
        <f t="shared" si="2305"/>
        <v/>
      </c>
      <c r="FI152" s="30" t="str">
        <f t="shared" si="2306"/>
        <v/>
      </c>
      <c r="FJ152" s="30" t="str">
        <f t="shared" si="2307"/>
        <v/>
      </c>
      <c r="FK152" s="30" t="str">
        <f t="shared" si="2308"/>
        <v/>
      </c>
      <c r="FL152" s="30" t="str">
        <f t="shared" si="2309"/>
        <v/>
      </c>
      <c r="FM152" s="30" t="str">
        <f t="shared" si="2310"/>
        <v/>
      </c>
      <c r="FN152" s="30" t="str">
        <f t="shared" si="2311"/>
        <v/>
      </c>
      <c r="FO152" s="30" t="str">
        <f t="shared" si="2312"/>
        <v/>
      </c>
      <c r="FP152" s="30" t="str">
        <f t="shared" si="2313"/>
        <v/>
      </c>
      <c r="FQ152" s="30" t="str">
        <f t="shared" si="2314"/>
        <v/>
      </c>
      <c r="FR152" s="30" t="str">
        <f t="shared" si="2315"/>
        <v/>
      </c>
      <c r="FS152" s="30" t="str">
        <f t="shared" si="2316"/>
        <v/>
      </c>
    </row>
    <row r="153" spans="1:175" ht="16.5">
      <c r="A153" s="88"/>
      <c r="B153" s="66"/>
      <c r="C153" s="88"/>
      <c r="T153" s="109"/>
      <c r="U153" s="32"/>
      <c r="CN153" s="7" t="str">
        <f t="shared" si="2317"/>
        <v>InitUnitState('',,,,,,,,,,)</v>
      </c>
      <c r="CO153" s="7" t="str">
        <f t="shared" si="2318"/>
        <v>InitUnitNormal('',,,,,,,,,,)</v>
      </c>
      <c r="CP153" s="7" t="str">
        <f t="shared" si="2319"/>
        <v>InitUnitMagic('',,,,,,,,,,)</v>
      </c>
      <c r="CQ153" s="7" t="str">
        <f t="shared" si="2320"/>
        <v>InitUnitAdd('',,,,,,,,,,)</v>
      </c>
      <c r="CR153" s="7" t="str">
        <f t="shared" si="2321"/>
        <v>InitEquipData('',,"",,,,,'','','','','','',"")</v>
      </c>
      <c r="CU153" s="45" t="str">
        <f t="shared" si="2246"/>
        <v>|n</v>
      </c>
      <c r="CW153" s="24"/>
      <c r="CX153" s="24"/>
      <c r="CY153" s="24"/>
      <c r="CZ153" s="24"/>
      <c r="DA153" s="24"/>
      <c r="DB153" s="30" t="str">
        <f t="shared" si="2247"/>
        <v/>
      </c>
      <c r="DC153" s="30" t="str">
        <f t="shared" si="2248"/>
        <v/>
      </c>
      <c r="DD153" s="30" t="str">
        <f t="shared" si="2249"/>
        <v/>
      </c>
      <c r="DE153" s="30" t="str">
        <f t="shared" si="2250"/>
        <v/>
      </c>
      <c r="DF153" s="30" t="str">
        <f t="shared" si="2251"/>
        <v/>
      </c>
      <c r="DG153" s="30" t="str">
        <f t="shared" si="2252"/>
        <v/>
      </c>
      <c r="DH153" s="30" t="str">
        <f t="shared" si="2253"/>
        <v/>
      </c>
      <c r="DI153" s="30" t="str">
        <f t="shared" si="2254"/>
        <v/>
      </c>
      <c r="DJ153" s="30" t="str">
        <f t="shared" si="2255"/>
        <v/>
      </c>
      <c r="DK153" s="30" t="str">
        <f t="shared" si="2256"/>
        <v/>
      </c>
      <c r="DL153" s="30" t="str">
        <f t="shared" si="2257"/>
        <v/>
      </c>
      <c r="DM153" s="30" t="str">
        <f t="shared" si="2258"/>
        <v/>
      </c>
      <c r="DN153" s="30" t="str">
        <f t="shared" si="2259"/>
        <v/>
      </c>
      <c r="DO153" s="30" t="str">
        <f t="shared" si="2260"/>
        <v/>
      </c>
      <c r="DP153" s="30" t="str">
        <f t="shared" si="2261"/>
        <v/>
      </c>
      <c r="DQ153" s="30" t="str">
        <f t="shared" si="2262"/>
        <v/>
      </c>
      <c r="DR153" s="30" t="str">
        <f t="shared" si="2263"/>
        <v/>
      </c>
      <c r="DS153" s="30" t="str">
        <f t="shared" si="2264"/>
        <v/>
      </c>
      <c r="DT153" s="30" t="str">
        <f t="shared" si="2265"/>
        <v/>
      </c>
      <c r="DU153" s="30" t="str">
        <f t="shared" si="2266"/>
        <v/>
      </c>
      <c r="DV153" s="30" t="str">
        <f t="shared" si="2267"/>
        <v/>
      </c>
      <c r="DW153" s="30" t="str">
        <f t="shared" si="2268"/>
        <v/>
      </c>
      <c r="DX153" s="30" t="str">
        <f t="shared" si="2269"/>
        <v/>
      </c>
      <c r="DY153" s="30" t="str">
        <f t="shared" si="2270"/>
        <v/>
      </c>
      <c r="DZ153" s="30" t="str">
        <f t="shared" si="2271"/>
        <v/>
      </c>
      <c r="EA153" s="30" t="str">
        <f t="shared" si="2272"/>
        <v/>
      </c>
      <c r="EB153" s="30" t="str">
        <f t="shared" si="2273"/>
        <v/>
      </c>
      <c r="EC153" s="30" t="str">
        <f t="shared" si="2274"/>
        <v/>
      </c>
      <c r="ED153" s="30" t="str">
        <f t="shared" si="2275"/>
        <v/>
      </c>
      <c r="EE153" s="30" t="str">
        <f t="shared" si="2276"/>
        <v/>
      </c>
      <c r="EF153" s="30" t="str">
        <f t="shared" si="2277"/>
        <v/>
      </c>
      <c r="EG153" s="30" t="str">
        <f t="shared" si="2278"/>
        <v/>
      </c>
      <c r="EH153" s="30" t="str">
        <f t="shared" si="2279"/>
        <v/>
      </c>
      <c r="EI153" s="30" t="str">
        <f t="shared" si="2280"/>
        <v/>
      </c>
      <c r="EJ153" s="30" t="str">
        <f t="shared" si="2281"/>
        <v/>
      </c>
      <c r="EK153" s="30" t="str">
        <f t="shared" si="2282"/>
        <v/>
      </c>
      <c r="EL153" s="30" t="str">
        <f t="shared" si="2283"/>
        <v/>
      </c>
      <c r="EM153" s="30" t="str">
        <f t="shared" si="2284"/>
        <v/>
      </c>
      <c r="EN153" s="30" t="str">
        <f t="shared" si="2285"/>
        <v/>
      </c>
      <c r="EO153" s="30" t="str">
        <f t="shared" si="2286"/>
        <v/>
      </c>
      <c r="EP153" s="30" t="str">
        <f t="shared" si="2287"/>
        <v/>
      </c>
      <c r="EQ153" s="30" t="str">
        <f t="shared" si="2288"/>
        <v/>
      </c>
      <c r="ER153" s="30" t="str">
        <f t="shared" si="2289"/>
        <v/>
      </c>
      <c r="ES153" s="30" t="str">
        <f t="shared" si="2290"/>
        <v/>
      </c>
      <c r="ET153" s="30" t="str">
        <f t="shared" si="2291"/>
        <v/>
      </c>
      <c r="EU153" s="30" t="str">
        <f t="shared" si="2292"/>
        <v/>
      </c>
      <c r="EV153" s="30" t="str">
        <f t="shared" si="2293"/>
        <v/>
      </c>
      <c r="EW153" s="30" t="str">
        <f t="shared" si="2294"/>
        <v/>
      </c>
      <c r="EX153" s="30" t="str">
        <f t="shared" si="2295"/>
        <v/>
      </c>
      <c r="EY153" s="30" t="str">
        <f t="shared" si="2296"/>
        <v/>
      </c>
      <c r="EZ153" s="30" t="str">
        <f t="shared" si="2297"/>
        <v/>
      </c>
      <c r="FA153" s="30" t="str">
        <f t="shared" si="2298"/>
        <v/>
      </c>
      <c r="FB153" s="30" t="str">
        <f t="shared" si="2299"/>
        <v/>
      </c>
      <c r="FC153" s="30" t="str">
        <f t="shared" si="2300"/>
        <v/>
      </c>
      <c r="FD153" s="30" t="str">
        <f t="shared" si="2301"/>
        <v/>
      </c>
      <c r="FE153" s="30" t="str">
        <f t="shared" si="2302"/>
        <v/>
      </c>
      <c r="FF153" s="30" t="str">
        <f t="shared" si="2303"/>
        <v/>
      </c>
      <c r="FG153" s="30" t="str">
        <f t="shared" si="2304"/>
        <v/>
      </c>
      <c r="FH153" s="30" t="str">
        <f t="shared" si="2305"/>
        <v/>
      </c>
      <c r="FI153" s="30" t="str">
        <f t="shared" si="2306"/>
        <v/>
      </c>
      <c r="FJ153" s="30" t="str">
        <f t="shared" si="2307"/>
        <v/>
      </c>
      <c r="FK153" s="30" t="str">
        <f t="shared" si="2308"/>
        <v/>
      </c>
      <c r="FL153" s="30" t="str">
        <f t="shared" si="2309"/>
        <v/>
      </c>
      <c r="FM153" s="30" t="str">
        <f t="shared" si="2310"/>
        <v/>
      </c>
      <c r="FN153" s="30" t="str">
        <f t="shared" si="2311"/>
        <v/>
      </c>
      <c r="FO153" s="30" t="str">
        <f t="shared" si="2312"/>
        <v/>
      </c>
      <c r="FP153" s="30" t="str">
        <f t="shared" si="2313"/>
        <v/>
      </c>
      <c r="FQ153" s="30" t="str">
        <f t="shared" si="2314"/>
        <v/>
      </c>
      <c r="FR153" s="30" t="str">
        <f t="shared" si="2315"/>
        <v/>
      </c>
      <c r="FS153" s="30" t="str">
        <f t="shared" si="2316"/>
        <v/>
      </c>
    </row>
    <row r="154" spans="1:175" ht="16.5">
      <c r="A154" s="88"/>
      <c r="B154" s="66"/>
      <c r="C154" s="88"/>
      <c r="T154" s="109"/>
      <c r="U154" s="32"/>
      <c r="CN154" s="7" t="str">
        <f t="shared" si="2317"/>
        <v>InitUnitState('',,,,,,,,,,)</v>
      </c>
      <c r="CO154" s="7" t="str">
        <f t="shared" si="2318"/>
        <v>InitUnitNormal('',,,,,,,,,,)</v>
      </c>
      <c r="CP154" s="7" t="str">
        <f t="shared" si="2319"/>
        <v>InitUnitMagic('',,,,,,,,,,)</v>
      </c>
      <c r="CQ154" s="7" t="str">
        <f t="shared" si="2320"/>
        <v>InitUnitAdd('',,,,,,,,,,)</v>
      </c>
      <c r="CR154" s="7" t="str">
        <f t="shared" si="2321"/>
        <v>InitEquipData('',,"",,,,,'','','','','','',"")</v>
      </c>
      <c r="CU154" s="45" t="str">
        <f t="shared" si="2246"/>
        <v>|n</v>
      </c>
      <c r="CW154" s="24"/>
      <c r="CX154" s="24"/>
      <c r="CY154" s="24"/>
      <c r="CZ154" s="24"/>
      <c r="DA154" s="24"/>
      <c r="DB154" s="30" t="str">
        <f t="shared" si="2247"/>
        <v/>
      </c>
      <c r="DC154" s="30" t="str">
        <f t="shared" si="2248"/>
        <v/>
      </c>
      <c r="DD154" s="30" t="str">
        <f t="shared" si="2249"/>
        <v/>
      </c>
      <c r="DE154" s="30" t="str">
        <f t="shared" si="2250"/>
        <v/>
      </c>
      <c r="DF154" s="30" t="str">
        <f t="shared" si="2251"/>
        <v/>
      </c>
      <c r="DG154" s="30" t="str">
        <f t="shared" si="2252"/>
        <v/>
      </c>
      <c r="DH154" s="30" t="str">
        <f t="shared" si="2253"/>
        <v/>
      </c>
      <c r="DI154" s="30" t="str">
        <f t="shared" si="2254"/>
        <v/>
      </c>
      <c r="DJ154" s="30" t="str">
        <f t="shared" si="2255"/>
        <v/>
      </c>
      <c r="DK154" s="30" t="str">
        <f t="shared" si="2256"/>
        <v/>
      </c>
      <c r="DL154" s="30" t="str">
        <f t="shared" si="2257"/>
        <v/>
      </c>
      <c r="DM154" s="30" t="str">
        <f t="shared" si="2258"/>
        <v/>
      </c>
      <c r="DN154" s="30" t="str">
        <f t="shared" si="2259"/>
        <v/>
      </c>
      <c r="DO154" s="30" t="str">
        <f t="shared" si="2260"/>
        <v/>
      </c>
      <c r="DP154" s="30" t="str">
        <f t="shared" si="2261"/>
        <v/>
      </c>
      <c r="DQ154" s="30" t="str">
        <f t="shared" si="2262"/>
        <v/>
      </c>
      <c r="DR154" s="30" t="str">
        <f t="shared" si="2263"/>
        <v/>
      </c>
      <c r="DS154" s="30" t="str">
        <f t="shared" si="2264"/>
        <v/>
      </c>
      <c r="DT154" s="30" t="str">
        <f t="shared" si="2265"/>
        <v/>
      </c>
      <c r="DU154" s="30" t="str">
        <f t="shared" si="2266"/>
        <v/>
      </c>
      <c r="DV154" s="30" t="str">
        <f t="shared" si="2267"/>
        <v/>
      </c>
      <c r="DW154" s="30" t="str">
        <f t="shared" si="2268"/>
        <v/>
      </c>
      <c r="DX154" s="30" t="str">
        <f t="shared" si="2269"/>
        <v/>
      </c>
      <c r="DY154" s="30" t="str">
        <f t="shared" si="2270"/>
        <v/>
      </c>
      <c r="DZ154" s="30" t="str">
        <f t="shared" si="2271"/>
        <v/>
      </c>
      <c r="EA154" s="30" t="str">
        <f t="shared" si="2272"/>
        <v/>
      </c>
      <c r="EB154" s="30" t="str">
        <f t="shared" si="2273"/>
        <v/>
      </c>
      <c r="EC154" s="30" t="str">
        <f t="shared" si="2274"/>
        <v/>
      </c>
      <c r="ED154" s="30" t="str">
        <f t="shared" si="2275"/>
        <v/>
      </c>
      <c r="EE154" s="30" t="str">
        <f t="shared" si="2276"/>
        <v/>
      </c>
      <c r="EF154" s="30" t="str">
        <f t="shared" si="2277"/>
        <v/>
      </c>
      <c r="EG154" s="30" t="str">
        <f t="shared" si="2278"/>
        <v/>
      </c>
      <c r="EH154" s="30" t="str">
        <f t="shared" si="2279"/>
        <v/>
      </c>
      <c r="EI154" s="30" t="str">
        <f t="shared" si="2280"/>
        <v/>
      </c>
      <c r="EJ154" s="30" t="str">
        <f t="shared" si="2281"/>
        <v/>
      </c>
      <c r="EK154" s="30" t="str">
        <f t="shared" si="2282"/>
        <v/>
      </c>
      <c r="EL154" s="30" t="str">
        <f t="shared" si="2283"/>
        <v/>
      </c>
      <c r="EM154" s="30" t="str">
        <f t="shared" si="2284"/>
        <v/>
      </c>
      <c r="EN154" s="30" t="str">
        <f t="shared" si="2285"/>
        <v/>
      </c>
      <c r="EO154" s="30" t="str">
        <f t="shared" si="2286"/>
        <v/>
      </c>
      <c r="EP154" s="30" t="str">
        <f t="shared" si="2287"/>
        <v/>
      </c>
      <c r="EQ154" s="30" t="str">
        <f t="shared" si="2288"/>
        <v/>
      </c>
      <c r="ER154" s="30" t="str">
        <f t="shared" si="2289"/>
        <v/>
      </c>
      <c r="ES154" s="30" t="str">
        <f t="shared" si="2290"/>
        <v/>
      </c>
      <c r="ET154" s="30" t="str">
        <f t="shared" si="2291"/>
        <v/>
      </c>
      <c r="EU154" s="30" t="str">
        <f t="shared" si="2292"/>
        <v/>
      </c>
      <c r="EV154" s="30" t="str">
        <f t="shared" si="2293"/>
        <v/>
      </c>
      <c r="EW154" s="30" t="str">
        <f t="shared" si="2294"/>
        <v/>
      </c>
      <c r="EX154" s="30" t="str">
        <f t="shared" si="2295"/>
        <v/>
      </c>
      <c r="EY154" s="30" t="str">
        <f t="shared" si="2296"/>
        <v/>
      </c>
      <c r="EZ154" s="30" t="str">
        <f t="shared" si="2297"/>
        <v/>
      </c>
      <c r="FA154" s="30" t="str">
        <f t="shared" si="2298"/>
        <v/>
      </c>
      <c r="FB154" s="30" t="str">
        <f t="shared" si="2299"/>
        <v/>
      </c>
      <c r="FC154" s="30" t="str">
        <f t="shared" si="2300"/>
        <v/>
      </c>
      <c r="FD154" s="30" t="str">
        <f t="shared" si="2301"/>
        <v/>
      </c>
      <c r="FE154" s="30" t="str">
        <f t="shared" si="2302"/>
        <v/>
      </c>
      <c r="FF154" s="30" t="str">
        <f t="shared" si="2303"/>
        <v/>
      </c>
      <c r="FG154" s="30" t="str">
        <f t="shared" si="2304"/>
        <v/>
      </c>
      <c r="FH154" s="30" t="str">
        <f t="shared" si="2305"/>
        <v/>
      </c>
      <c r="FI154" s="30" t="str">
        <f t="shared" si="2306"/>
        <v/>
      </c>
      <c r="FJ154" s="30" t="str">
        <f t="shared" si="2307"/>
        <v/>
      </c>
      <c r="FK154" s="30" t="str">
        <f t="shared" si="2308"/>
        <v/>
      </c>
      <c r="FL154" s="30" t="str">
        <f t="shared" si="2309"/>
        <v/>
      </c>
      <c r="FM154" s="30" t="str">
        <f t="shared" si="2310"/>
        <v/>
      </c>
      <c r="FN154" s="30" t="str">
        <f t="shared" si="2311"/>
        <v/>
      </c>
      <c r="FO154" s="30" t="str">
        <f t="shared" si="2312"/>
        <v/>
      </c>
      <c r="FP154" s="30" t="str">
        <f t="shared" si="2313"/>
        <v/>
      </c>
      <c r="FQ154" s="30" t="str">
        <f t="shared" si="2314"/>
        <v/>
      </c>
      <c r="FR154" s="30" t="str">
        <f t="shared" si="2315"/>
        <v/>
      </c>
      <c r="FS154" s="30" t="str">
        <f t="shared" si="2316"/>
        <v/>
      </c>
    </row>
    <row r="155" spans="1:175">
      <c r="A155" s="66"/>
      <c r="B155" s="66"/>
      <c r="C155" s="66"/>
      <c r="T155" s="100"/>
      <c r="U155" s="32"/>
      <c r="CN155" s="7" t="str">
        <f t="shared" si="2317"/>
        <v>InitUnitState('',,,,,,,,,,)</v>
      </c>
      <c r="CO155" s="7" t="str">
        <f t="shared" si="2318"/>
        <v>InitUnitNormal('',,,,,,,,,,)</v>
      </c>
      <c r="CP155" s="7" t="str">
        <f t="shared" si="2319"/>
        <v>InitUnitMagic('',,,,,,,,,,)</v>
      </c>
      <c r="CQ155" s="7" t="str">
        <f t="shared" si="2320"/>
        <v>InitUnitAdd('',,,,,,,,,,)</v>
      </c>
      <c r="CR155" s="7" t="str">
        <f t="shared" si="2321"/>
        <v>InitEquipData('',,"",,,,,'','','','','','',"")</v>
      </c>
      <c r="CU155" s="45" t="str">
        <f t="shared" si="2246"/>
        <v>|n</v>
      </c>
      <c r="CW155" s="24"/>
      <c r="CX155" s="24"/>
      <c r="CY155" s="24"/>
      <c r="CZ155" s="24"/>
      <c r="DA155" s="24"/>
      <c r="DB155" s="30" t="str">
        <f t="shared" si="2247"/>
        <v/>
      </c>
      <c r="DC155" s="30" t="str">
        <f t="shared" si="2248"/>
        <v/>
      </c>
      <c r="DD155" s="30" t="str">
        <f t="shared" si="2249"/>
        <v/>
      </c>
      <c r="DE155" s="30" t="str">
        <f t="shared" si="2250"/>
        <v/>
      </c>
      <c r="DF155" s="30" t="str">
        <f t="shared" si="2251"/>
        <v/>
      </c>
      <c r="DG155" s="30" t="str">
        <f t="shared" si="2252"/>
        <v/>
      </c>
      <c r="DH155" s="30" t="str">
        <f t="shared" si="2253"/>
        <v/>
      </c>
      <c r="DI155" s="30" t="str">
        <f t="shared" si="2254"/>
        <v/>
      </c>
      <c r="DJ155" s="30" t="str">
        <f t="shared" si="2255"/>
        <v/>
      </c>
      <c r="DK155" s="30" t="str">
        <f t="shared" si="2256"/>
        <v/>
      </c>
      <c r="DL155" s="30" t="str">
        <f t="shared" si="2257"/>
        <v/>
      </c>
      <c r="DM155" s="30" t="str">
        <f t="shared" si="2258"/>
        <v/>
      </c>
      <c r="DN155" s="30" t="str">
        <f t="shared" si="2259"/>
        <v/>
      </c>
      <c r="DO155" s="30" t="str">
        <f t="shared" si="2260"/>
        <v/>
      </c>
      <c r="DP155" s="30" t="str">
        <f t="shared" si="2261"/>
        <v/>
      </c>
      <c r="DQ155" s="30" t="str">
        <f t="shared" si="2262"/>
        <v/>
      </c>
      <c r="DR155" s="30" t="str">
        <f t="shared" si="2263"/>
        <v/>
      </c>
      <c r="DS155" s="30" t="str">
        <f t="shared" si="2264"/>
        <v/>
      </c>
      <c r="DT155" s="30" t="str">
        <f t="shared" si="2265"/>
        <v/>
      </c>
      <c r="DU155" s="30" t="str">
        <f t="shared" si="2266"/>
        <v/>
      </c>
      <c r="DV155" s="30" t="str">
        <f t="shared" si="2267"/>
        <v/>
      </c>
      <c r="DW155" s="30" t="str">
        <f t="shared" si="2268"/>
        <v/>
      </c>
      <c r="DX155" s="30" t="str">
        <f t="shared" si="2269"/>
        <v/>
      </c>
      <c r="DY155" s="30" t="str">
        <f t="shared" si="2270"/>
        <v/>
      </c>
      <c r="DZ155" s="30" t="str">
        <f t="shared" si="2271"/>
        <v/>
      </c>
      <c r="EA155" s="30" t="str">
        <f t="shared" si="2272"/>
        <v/>
      </c>
      <c r="EB155" s="30" t="str">
        <f t="shared" si="2273"/>
        <v/>
      </c>
      <c r="EC155" s="30" t="str">
        <f t="shared" si="2274"/>
        <v/>
      </c>
      <c r="ED155" s="30" t="str">
        <f t="shared" si="2275"/>
        <v/>
      </c>
      <c r="EE155" s="30" t="str">
        <f t="shared" si="2276"/>
        <v/>
      </c>
      <c r="EF155" s="30" t="str">
        <f t="shared" si="2277"/>
        <v/>
      </c>
      <c r="EG155" s="30" t="str">
        <f t="shared" si="2278"/>
        <v/>
      </c>
      <c r="EH155" s="30" t="str">
        <f t="shared" si="2279"/>
        <v/>
      </c>
      <c r="EI155" s="30" t="str">
        <f t="shared" si="2280"/>
        <v/>
      </c>
      <c r="EJ155" s="30" t="str">
        <f t="shared" si="2281"/>
        <v/>
      </c>
      <c r="EK155" s="30" t="str">
        <f t="shared" si="2282"/>
        <v/>
      </c>
      <c r="EL155" s="30" t="str">
        <f t="shared" si="2283"/>
        <v/>
      </c>
      <c r="EM155" s="30" t="str">
        <f t="shared" si="2284"/>
        <v/>
      </c>
      <c r="EN155" s="30" t="str">
        <f t="shared" si="2285"/>
        <v/>
      </c>
      <c r="EO155" s="30" t="str">
        <f t="shared" si="2286"/>
        <v/>
      </c>
      <c r="EP155" s="30" t="str">
        <f t="shared" si="2287"/>
        <v/>
      </c>
      <c r="EQ155" s="30" t="str">
        <f t="shared" si="2288"/>
        <v/>
      </c>
      <c r="ER155" s="30" t="str">
        <f t="shared" si="2289"/>
        <v/>
      </c>
      <c r="ES155" s="30" t="str">
        <f t="shared" si="2290"/>
        <v/>
      </c>
      <c r="ET155" s="30" t="str">
        <f t="shared" si="2291"/>
        <v/>
      </c>
      <c r="EU155" s="30" t="str">
        <f t="shared" si="2292"/>
        <v/>
      </c>
      <c r="EV155" s="30" t="str">
        <f t="shared" si="2293"/>
        <v/>
      </c>
      <c r="EW155" s="30" t="str">
        <f t="shared" si="2294"/>
        <v/>
      </c>
      <c r="EX155" s="30" t="str">
        <f t="shared" si="2295"/>
        <v/>
      </c>
      <c r="EY155" s="30" t="str">
        <f t="shared" si="2296"/>
        <v/>
      </c>
      <c r="EZ155" s="30" t="str">
        <f t="shared" si="2297"/>
        <v/>
      </c>
      <c r="FA155" s="30" t="str">
        <f t="shared" si="2298"/>
        <v/>
      </c>
      <c r="FB155" s="30" t="str">
        <f t="shared" si="2299"/>
        <v/>
      </c>
      <c r="FC155" s="30" t="str">
        <f t="shared" si="2300"/>
        <v/>
      </c>
      <c r="FD155" s="30" t="str">
        <f t="shared" si="2301"/>
        <v/>
      </c>
      <c r="FE155" s="30" t="str">
        <f t="shared" si="2302"/>
        <v/>
      </c>
      <c r="FF155" s="30" t="str">
        <f t="shared" si="2303"/>
        <v/>
      </c>
      <c r="FG155" s="30" t="str">
        <f t="shared" si="2304"/>
        <v/>
      </c>
      <c r="FH155" s="30" t="str">
        <f t="shared" si="2305"/>
        <v/>
      </c>
      <c r="FI155" s="30" t="str">
        <f t="shared" si="2306"/>
        <v/>
      </c>
      <c r="FJ155" s="30" t="str">
        <f t="shared" si="2307"/>
        <v/>
      </c>
      <c r="FK155" s="30" t="str">
        <f t="shared" si="2308"/>
        <v/>
      </c>
      <c r="FL155" s="30" t="str">
        <f t="shared" si="2309"/>
        <v/>
      </c>
      <c r="FM155" s="30" t="str">
        <f t="shared" si="2310"/>
        <v/>
      </c>
      <c r="FN155" s="30" t="str">
        <f t="shared" si="2311"/>
        <v/>
      </c>
      <c r="FO155" s="30" t="str">
        <f t="shared" si="2312"/>
        <v/>
      </c>
      <c r="FP155" s="30" t="str">
        <f t="shared" si="2313"/>
        <v/>
      </c>
      <c r="FQ155" s="30" t="str">
        <f t="shared" si="2314"/>
        <v/>
      </c>
      <c r="FR155" s="30" t="str">
        <f t="shared" si="2315"/>
        <v/>
      </c>
      <c r="FS155" s="30" t="str">
        <f t="shared" si="2316"/>
        <v/>
      </c>
    </row>
    <row r="156" spans="1:175">
      <c r="A156" s="66"/>
      <c r="B156" s="66"/>
      <c r="C156" s="66"/>
      <c r="T156" s="100"/>
      <c r="U156" s="32"/>
      <c r="CN156" s="7" t="str">
        <f t="shared" si="2317"/>
        <v>InitUnitState('',,,,,,,,,,)</v>
      </c>
      <c r="CO156" s="7" t="str">
        <f t="shared" si="2318"/>
        <v>InitUnitNormal('',,,,,,,,,,)</v>
      </c>
      <c r="CP156" s="7" t="str">
        <f t="shared" si="2319"/>
        <v>InitUnitMagic('',,,,,,,,,,)</v>
      </c>
      <c r="CQ156" s="7" t="str">
        <f t="shared" si="2320"/>
        <v>InitUnitAdd('',,,,,,,,,,)</v>
      </c>
      <c r="CR156" s="7" t="str">
        <f t="shared" si="2321"/>
        <v>InitEquipData('',,"",,,,,'','','','','','',"")</v>
      </c>
      <c r="CU156" s="45" t="str">
        <f t="shared" si="2246"/>
        <v>|n</v>
      </c>
      <c r="CW156" s="24"/>
      <c r="CX156" s="24"/>
      <c r="CY156" s="24"/>
      <c r="CZ156" s="24"/>
      <c r="DA156" s="24"/>
      <c r="DB156" s="30" t="str">
        <f t="shared" si="2247"/>
        <v/>
      </c>
      <c r="DC156" s="30" t="str">
        <f t="shared" si="2248"/>
        <v/>
      </c>
      <c r="DD156" s="30" t="str">
        <f t="shared" si="2249"/>
        <v/>
      </c>
      <c r="DE156" s="30" t="str">
        <f t="shared" si="2250"/>
        <v/>
      </c>
      <c r="DF156" s="30" t="str">
        <f t="shared" si="2251"/>
        <v/>
      </c>
      <c r="DG156" s="30" t="str">
        <f t="shared" si="2252"/>
        <v/>
      </c>
      <c r="DH156" s="30" t="str">
        <f t="shared" si="2253"/>
        <v/>
      </c>
      <c r="DI156" s="30" t="str">
        <f t="shared" si="2254"/>
        <v/>
      </c>
      <c r="DJ156" s="30" t="str">
        <f t="shared" si="2255"/>
        <v/>
      </c>
      <c r="DK156" s="30" t="str">
        <f t="shared" si="2256"/>
        <v/>
      </c>
      <c r="DL156" s="30" t="str">
        <f t="shared" si="2257"/>
        <v/>
      </c>
      <c r="DM156" s="30" t="str">
        <f t="shared" si="2258"/>
        <v/>
      </c>
      <c r="DN156" s="30" t="str">
        <f t="shared" si="2259"/>
        <v/>
      </c>
      <c r="DO156" s="30" t="str">
        <f t="shared" si="2260"/>
        <v/>
      </c>
      <c r="DP156" s="30" t="str">
        <f t="shared" si="2261"/>
        <v/>
      </c>
      <c r="DQ156" s="30" t="str">
        <f t="shared" si="2262"/>
        <v/>
      </c>
      <c r="DR156" s="30" t="str">
        <f t="shared" si="2263"/>
        <v/>
      </c>
      <c r="DS156" s="30" t="str">
        <f t="shared" si="2264"/>
        <v/>
      </c>
      <c r="DT156" s="30" t="str">
        <f t="shared" si="2265"/>
        <v/>
      </c>
      <c r="DU156" s="30" t="str">
        <f t="shared" si="2266"/>
        <v/>
      </c>
      <c r="DV156" s="30" t="str">
        <f t="shared" si="2267"/>
        <v/>
      </c>
      <c r="DW156" s="30" t="str">
        <f t="shared" si="2268"/>
        <v/>
      </c>
      <c r="DX156" s="30" t="str">
        <f t="shared" si="2269"/>
        <v/>
      </c>
      <c r="DY156" s="30" t="str">
        <f t="shared" si="2270"/>
        <v/>
      </c>
      <c r="DZ156" s="30" t="str">
        <f t="shared" si="2271"/>
        <v/>
      </c>
      <c r="EA156" s="30" t="str">
        <f t="shared" si="2272"/>
        <v/>
      </c>
      <c r="EB156" s="30" t="str">
        <f t="shared" si="2273"/>
        <v/>
      </c>
      <c r="EC156" s="30" t="str">
        <f t="shared" si="2274"/>
        <v/>
      </c>
      <c r="ED156" s="30" t="str">
        <f t="shared" si="2275"/>
        <v/>
      </c>
      <c r="EE156" s="30" t="str">
        <f t="shared" si="2276"/>
        <v/>
      </c>
      <c r="EF156" s="30" t="str">
        <f t="shared" si="2277"/>
        <v/>
      </c>
      <c r="EG156" s="30" t="str">
        <f t="shared" si="2278"/>
        <v/>
      </c>
      <c r="EH156" s="30" t="str">
        <f t="shared" si="2279"/>
        <v/>
      </c>
      <c r="EI156" s="30" t="str">
        <f t="shared" si="2280"/>
        <v/>
      </c>
      <c r="EJ156" s="30" t="str">
        <f t="shared" si="2281"/>
        <v/>
      </c>
      <c r="EK156" s="30" t="str">
        <f t="shared" si="2282"/>
        <v/>
      </c>
      <c r="EL156" s="30" t="str">
        <f t="shared" si="2283"/>
        <v/>
      </c>
      <c r="EM156" s="30" t="str">
        <f t="shared" si="2284"/>
        <v/>
      </c>
      <c r="EN156" s="30" t="str">
        <f t="shared" si="2285"/>
        <v/>
      </c>
      <c r="EO156" s="30" t="str">
        <f t="shared" si="2286"/>
        <v/>
      </c>
      <c r="EP156" s="30" t="str">
        <f t="shared" si="2287"/>
        <v/>
      </c>
      <c r="EQ156" s="30" t="str">
        <f t="shared" si="2288"/>
        <v/>
      </c>
      <c r="ER156" s="30" t="str">
        <f t="shared" si="2289"/>
        <v/>
      </c>
      <c r="ES156" s="30" t="str">
        <f t="shared" si="2290"/>
        <v/>
      </c>
      <c r="ET156" s="30" t="str">
        <f t="shared" si="2291"/>
        <v/>
      </c>
      <c r="EU156" s="30" t="str">
        <f t="shared" si="2292"/>
        <v/>
      </c>
      <c r="EV156" s="30" t="str">
        <f t="shared" si="2293"/>
        <v/>
      </c>
      <c r="EW156" s="30" t="str">
        <f t="shared" si="2294"/>
        <v/>
      </c>
      <c r="EX156" s="30" t="str">
        <f t="shared" si="2295"/>
        <v/>
      </c>
      <c r="EY156" s="30" t="str">
        <f t="shared" si="2296"/>
        <v/>
      </c>
      <c r="EZ156" s="30" t="str">
        <f t="shared" si="2297"/>
        <v/>
      </c>
      <c r="FA156" s="30" t="str">
        <f t="shared" si="2298"/>
        <v/>
      </c>
      <c r="FB156" s="30" t="str">
        <f t="shared" si="2299"/>
        <v/>
      </c>
      <c r="FC156" s="30" t="str">
        <f t="shared" si="2300"/>
        <v/>
      </c>
      <c r="FD156" s="30" t="str">
        <f t="shared" si="2301"/>
        <v/>
      </c>
      <c r="FE156" s="30" t="str">
        <f t="shared" si="2302"/>
        <v/>
      </c>
      <c r="FF156" s="30" t="str">
        <f t="shared" si="2303"/>
        <v/>
      </c>
      <c r="FG156" s="30" t="str">
        <f t="shared" si="2304"/>
        <v/>
      </c>
      <c r="FH156" s="30" t="str">
        <f t="shared" si="2305"/>
        <v/>
      </c>
      <c r="FI156" s="30" t="str">
        <f t="shared" si="2306"/>
        <v/>
      </c>
      <c r="FJ156" s="30" t="str">
        <f t="shared" si="2307"/>
        <v/>
      </c>
      <c r="FK156" s="30" t="str">
        <f t="shared" si="2308"/>
        <v/>
      </c>
      <c r="FL156" s="30" t="str">
        <f t="shared" si="2309"/>
        <v/>
      </c>
      <c r="FM156" s="30" t="str">
        <f t="shared" si="2310"/>
        <v/>
      </c>
      <c r="FN156" s="30" t="str">
        <f t="shared" si="2311"/>
        <v/>
      </c>
      <c r="FO156" s="30" t="str">
        <f t="shared" si="2312"/>
        <v/>
      </c>
      <c r="FP156" s="30" t="str">
        <f t="shared" si="2313"/>
        <v/>
      </c>
      <c r="FQ156" s="30" t="str">
        <f t="shared" si="2314"/>
        <v/>
      </c>
      <c r="FR156" s="30" t="str">
        <f t="shared" si="2315"/>
        <v/>
      </c>
      <c r="FS156" s="30" t="str">
        <f t="shared" si="2316"/>
        <v/>
      </c>
    </row>
    <row r="157" spans="1:175">
      <c r="A157" s="66"/>
      <c r="B157" s="66"/>
      <c r="C157" s="66"/>
      <c r="T157" s="100"/>
      <c r="U157" s="32"/>
      <c r="CN157" s="7" t="str">
        <f t="shared" si="2317"/>
        <v>InitUnitState('',,,,,,,,,,)</v>
      </c>
      <c r="CO157" s="7" t="str">
        <f t="shared" si="2318"/>
        <v>InitUnitNormal('',,,,,,,,,,)</v>
      </c>
      <c r="CP157" s="7" t="str">
        <f t="shared" si="2319"/>
        <v>InitUnitMagic('',,,,,,,,,,)</v>
      </c>
      <c r="CQ157" s="7" t="str">
        <f t="shared" si="2320"/>
        <v>InitUnitAdd('',,,,,,,,,,)</v>
      </c>
      <c r="CR157" s="7" t="str">
        <f t="shared" si="2321"/>
        <v>InitEquipData('',,"",,,,,'','','','','','',"")</v>
      </c>
      <c r="CU157" s="45" t="str">
        <f t="shared" si="2246"/>
        <v>|n</v>
      </c>
      <c r="CW157" s="24"/>
      <c r="CX157" s="24"/>
      <c r="CY157" s="24"/>
      <c r="CZ157" s="24"/>
      <c r="DA157" s="24"/>
      <c r="DB157" s="30" t="str">
        <f t="shared" si="2247"/>
        <v/>
      </c>
      <c r="DC157" s="30" t="str">
        <f t="shared" si="2248"/>
        <v/>
      </c>
      <c r="DD157" s="30" t="str">
        <f t="shared" si="2249"/>
        <v/>
      </c>
      <c r="DE157" s="30" t="str">
        <f t="shared" si="2250"/>
        <v/>
      </c>
      <c r="DF157" s="30" t="str">
        <f t="shared" si="2251"/>
        <v/>
      </c>
      <c r="DG157" s="30" t="str">
        <f t="shared" si="2252"/>
        <v/>
      </c>
      <c r="DH157" s="30" t="str">
        <f t="shared" si="2253"/>
        <v/>
      </c>
      <c r="DI157" s="30" t="str">
        <f t="shared" si="2254"/>
        <v/>
      </c>
      <c r="DJ157" s="30" t="str">
        <f t="shared" si="2255"/>
        <v/>
      </c>
      <c r="DK157" s="30" t="str">
        <f t="shared" si="2256"/>
        <v/>
      </c>
      <c r="DL157" s="30" t="str">
        <f t="shared" si="2257"/>
        <v/>
      </c>
      <c r="DM157" s="30" t="str">
        <f t="shared" si="2258"/>
        <v/>
      </c>
      <c r="DN157" s="30" t="str">
        <f t="shared" si="2259"/>
        <v/>
      </c>
      <c r="DO157" s="30" t="str">
        <f t="shared" si="2260"/>
        <v/>
      </c>
      <c r="DP157" s="30" t="str">
        <f t="shared" si="2261"/>
        <v/>
      </c>
      <c r="DQ157" s="30" t="str">
        <f t="shared" si="2262"/>
        <v/>
      </c>
      <c r="DR157" s="30" t="str">
        <f t="shared" si="2263"/>
        <v/>
      </c>
      <c r="DS157" s="30" t="str">
        <f t="shared" si="2264"/>
        <v/>
      </c>
      <c r="DT157" s="30" t="str">
        <f t="shared" si="2265"/>
        <v/>
      </c>
      <c r="DU157" s="30" t="str">
        <f t="shared" si="2266"/>
        <v/>
      </c>
      <c r="DV157" s="30" t="str">
        <f t="shared" si="2267"/>
        <v/>
      </c>
      <c r="DW157" s="30" t="str">
        <f t="shared" si="2268"/>
        <v/>
      </c>
      <c r="DX157" s="30" t="str">
        <f t="shared" si="2269"/>
        <v/>
      </c>
      <c r="DY157" s="30" t="str">
        <f t="shared" si="2270"/>
        <v/>
      </c>
      <c r="DZ157" s="30" t="str">
        <f t="shared" si="2271"/>
        <v/>
      </c>
      <c r="EA157" s="30" t="str">
        <f t="shared" si="2272"/>
        <v/>
      </c>
      <c r="EB157" s="30" t="str">
        <f t="shared" si="2273"/>
        <v/>
      </c>
      <c r="EC157" s="30" t="str">
        <f t="shared" si="2274"/>
        <v/>
      </c>
      <c r="ED157" s="30" t="str">
        <f t="shared" si="2275"/>
        <v/>
      </c>
      <c r="EE157" s="30" t="str">
        <f t="shared" si="2276"/>
        <v/>
      </c>
      <c r="EF157" s="30" t="str">
        <f t="shared" si="2277"/>
        <v/>
      </c>
      <c r="EG157" s="30" t="str">
        <f t="shared" si="2278"/>
        <v/>
      </c>
      <c r="EH157" s="30" t="str">
        <f t="shared" si="2279"/>
        <v/>
      </c>
      <c r="EI157" s="30" t="str">
        <f t="shared" si="2280"/>
        <v/>
      </c>
      <c r="EJ157" s="30" t="str">
        <f t="shared" si="2281"/>
        <v/>
      </c>
      <c r="EK157" s="30" t="str">
        <f t="shared" si="2282"/>
        <v/>
      </c>
      <c r="EL157" s="30" t="str">
        <f t="shared" si="2283"/>
        <v/>
      </c>
      <c r="EM157" s="30" t="str">
        <f t="shared" si="2284"/>
        <v/>
      </c>
      <c r="EN157" s="30" t="str">
        <f t="shared" si="2285"/>
        <v/>
      </c>
      <c r="EO157" s="30" t="str">
        <f t="shared" si="2286"/>
        <v/>
      </c>
      <c r="EP157" s="30" t="str">
        <f t="shared" si="2287"/>
        <v/>
      </c>
      <c r="EQ157" s="30" t="str">
        <f t="shared" si="2288"/>
        <v/>
      </c>
      <c r="ER157" s="30" t="str">
        <f t="shared" si="2289"/>
        <v/>
      </c>
      <c r="ES157" s="30" t="str">
        <f t="shared" si="2290"/>
        <v/>
      </c>
      <c r="ET157" s="30" t="str">
        <f t="shared" si="2291"/>
        <v/>
      </c>
      <c r="EU157" s="30" t="str">
        <f t="shared" si="2292"/>
        <v/>
      </c>
      <c r="EV157" s="30" t="str">
        <f t="shared" si="2293"/>
        <v/>
      </c>
      <c r="EW157" s="30" t="str">
        <f t="shared" si="2294"/>
        <v/>
      </c>
      <c r="EX157" s="30" t="str">
        <f t="shared" si="2295"/>
        <v/>
      </c>
      <c r="EY157" s="30" t="str">
        <f t="shared" si="2296"/>
        <v/>
      </c>
      <c r="EZ157" s="30" t="str">
        <f t="shared" si="2297"/>
        <v/>
      </c>
      <c r="FA157" s="30" t="str">
        <f t="shared" si="2298"/>
        <v/>
      </c>
      <c r="FB157" s="30" t="str">
        <f t="shared" si="2299"/>
        <v/>
      </c>
      <c r="FC157" s="30" t="str">
        <f t="shared" si="2300"/>
        <v/>
      </c>
      <c r="FD157" s="30" t="str">
        <f t="shared" si="2301"/>
        <v/>
      </c>
      <c r="FE157" s="30" t="str">
        <f t="shared" si="2302"/>
        <v/>
      </c>
      <c r="FF157" s="30" t="str">
        <f t="shared" si="2303"/>
        <v/>
      </c>
      <c r="FG157" s="30" t="str">
        <f t="shared" si="2304"/>
        <v/>
      </c>
      <c r="FH157" s="30" t="str">
        <f t="shared" si="2305"/>
        <v/>
      </c>
      <c r="FI157" s="30" t="str">
        <f t="shared" si="2306"/>
        <v/>
      </c>
      <c r="FJ157" s="30" t="str">
        <f t="shared" si="2307"/>
        <v/>
      </c>
      <c r="FK157" s="30" t="str">
        <f t="shared" si="2308"/>
        <v/>
      </c>
      <c r="FL157" s="30" t="str">
        <f t="shared" si="2309"/>
        <v/>
      </c>
      <c r="FM157" s="30" t="str">
        <f t="shared" si="2310"/>
        <v/>
      </c>
      <c r="FN157" s="30" t="str">
        <f t="shared" si="2311"/>
        <v/>
      </c>
      <c r="FO157" s="30" t="str">
        <f t="shared" si="2312"/>
        <v/>
      </c>
      <c r="FP157" s="30" t="str">
        <f t="shared" si="2313"/>
        <v/>
      </c>
      <c r="FQ157" s="30" t="str">
        <f t="shared" si="2314"/>
        <v/>
      </c>
      <c r="FR157" s="30" t="str">
        <f t="shared" si="2315"/>
        <v/>
      </c>
      <c r="FS157" s="30" t="str">
        <f t="shared" si="2316"/>
        <v/>
      </c>
    </row>
    <row r="158" spans="1:175">
      <c r="A158" s="66"/>
      <c r="B158" s="66"/>
      <c r="C158" s="66"/>
      <c r="T158" s="100"/>
      <c r="U158" s="32"/>
      <c r="CN158" s="7" t="str">
        <f t="shared" si="2317"/>
        <v>InitUnitState('',,,,,,,,,,)</v>
      </c>
      <c r="CO158" s="7" t="str">
        <f t="shared" si="2318"/>
        <v>InitUnitNormal('',,,,,,,,,,)</v>
      </c>
      <c r="CP158" s="7" t="str">
        <f t="shared" si="2319"/>
        <v>InitUnitMagic('',,,,,,,,,,)</v>
      </c>
      <c r="CQ158" s="7" t="str">
        <f t="shared" si="2320"/>
        <v>InitUnitAdd('',,,,,,,,,,)</v>
      </c>
      <c r="CR158" s="7" t="str">
        <f t="shared" si="2321"/>
        <v>InitEquipData('',,"",,,,,'','','','','','',"")</v>
      </c>
      <c r="CU158" s="45" t="str">
        <f t="shared" ref="CU158:CU199" si="2322">CONCATENATE(DB158,DC158,DD158,DE158,DF158,DG158,DH158,DI158,DJ158,DK158,DL158,DM158,DN158,DO158,DP158,DQ158,DR158,DS158,DT158,DU158,DV158,DW158,DX158,DY158,DZ158,EA158,EB158,EC158,ED158,EE158,EF158,EG158,EH158,EI158,EJ158,EK158,EL158,EM158,EN158,EO158,EP158&amp;"|n")</f>
        <v>|n</v>
      </c>
      <c r="CW158" s="24"/>
      <c r="CX158" s="24"/>
      <c r="CY158" s="24"/>
      <c r="CZ158" s="24"/>
      <c r="DA158" s="24"/>
      <c r="DB158" s="30" t="str">
        <f t="shared" ref="DB158:DB199" si="2323">IF(V158="","","|n"&amp;DB$2&amp;"+"&amp;V158&amp;DB$1)</f>
        <v/>
      </c>
      <c r="DC158" s="30" t="str">
        <f t="shared" ref="DC158:DC199" si="2324">IF(W158="","","|n"&amp;DC$2&amp;"+"&amp;W158&amp;DC$1)</f>
        <v/>
      </c>
      <c r="DD158" s="30" t="str">
        <f t="shared" ref="DD158:DD199" si="2325">IF(X158="","","|n"&amp;DD$2&amp;"+"&amp;X158&amp;DD$1)</f>
        <v/>
      </c>
      <c r="DE158" s="30" t="str">
        <f t="shared" ref="DE158:DE199" si="2326">IF(Y158="","","|n"&amp;DE$2&amp;"+"&amp;Y158&amp;DE$1)</f>
        <v/>
      </c>
      <c r="DF158" s="30" t="str">
        <f t="shared" ref="DF158:DF199" si="2327">IF(Z158="","","|n"&amp;DF$2&amp;"+"&amp;Z158&amp;DF$1)</f>
        <v/>
      </c>
      <c r="DG158" s="30" t="str">
        <f t="shared" ref="DG158:DG199" si="2328">IF(AA158="","","|n"&amp;DG$2&amp;"+"&amp;AA158&amp;DG$1)</f>
        <v/>
      </c>
      <c r="DH158" s="30" t="str">
        <f t="shared" ref="DH158:DH199" si="2329">IF(AB158="","","|n"&amp;DH$2&amp;"+"&amp;AB158&amp;DH$1)</f>
        <v/>
      </c>
      <c r="DI158" s="30" t="str">
        <f t="shared" ref="DI158:DI199" si="2330">IF(AC158="","","|n"&amp;DI$2&amp;"+"&amp;AC158&amp;DI$1)</f>
        <v/>
      </c>
      <c r="DJ158" s="30" t="str">
        <f t="shared" ref="DJ158:DJ199" si="2331">IF(AD158="","","|n"&amp;DJ$2&amp;"+"&amp;AD158&amp;DJ$1)</f>
        <v/>
      </c>
      <c r="DK158" s="30" t="str">
        <f t="shared" ref="DK158:DK199" si="2332">IF(AE158="","","|n"&amp;DK$2&amp;"+"&amp;AE158&amp;DK$1)</f>
        <v/>
      </c>
      <c r="DL158" s="30" t="str">
        <f t="shared" ref="DL158:DL199" si="2333">IF(AF158="","","|n"&amp;DL$2&amp;"+"&amp;AF158&amp;DL$1)</f>
        <v/>
      </c>
      <c r="DM158" s="30" t="str">
        <f t="shared" ref="DM158:DM199" si="2334">IF(AG158="","","|n"&amp;DM$2&amp;"+"&amp;AG158&amp;DM$1)</f>
        <v/>
      </c>
      <c r="DN158" s="30" t="str">
        <f t="shared" ref="DN158:DN199" si="2335">IF(AH158="","","|n"&amp;DN$2&amp;"+"&amp;AH158&amp;DN$1)</f>
        <v/>
      </c>
      <c r="DO158" s="30" t="str">
        <f t="shared" ref="DO158:DO199" si="2336">IF(AI158="","","|n"&amp;DO$2&amp;"+"&amp;AI158&amp;DO$1)</f>
        <v/>
      </c>
      <c r="DP158" s="30" t="str">
        <f t="shared" ref="DP158:DP199" si="2337">IF(AJ158="","","|n"&amp;DP$2&amp;"+"&amp;AJ158&amp;DP$1)</f>
        <v/>
      </c>
      <c r="DQ158" s="30" t="str">
        <f t="shared" ref="DQ158:DQ199" si="2338">IF(AK158="","","|n"&amp;DQ$2&amp;"+"&amp;AK158&amp;DQ$1)</f>
        <v/>
      </c>
      <c r="DR158" s="30" t="str">
        <f t="shared" ref="DR158:DR199" si="2339">IF(AL158="","","|n"&amp;DR$2&amp;"+"&amp;AL158&amp;DR$1)</f>
        <v/>
      </c>
      <c r="DS158" s="30" t="str">
        <f t="shared" ref="DS158:DS199" si="2340">IF(AM158="","","|n"&amp;DS$2&amp;"+"&amp;AM158&amp;DS$1)</f>
        <v/>
      </c>
      <c r="DT158" s="30" t="str">
        <f t="shared" ref="DT158:DT199" si="2341">IF(AN158="","","|n"&amp;DT$2&amp;"+"&amp;AN158&amp;DT$1)</f>
        <v/>
      </c>
      <c r="DU158" s="30" t="str">
        <f t="shared" ref="DU158:DU199" si="2342">IF(AO158="","","|n"&amp;DU$2&amp;"+"&amp;AO158&amp;DU$1)</f>
        <v/>
      </c>
      <c r="DV158" s="30" t="str">
        <f t="shared" ref="DV158:DV199" si="2343">IF(AP158="","","|n"&amp;DV$2&amp;"+"&amp;AP158&amp;DV$1)</f>
        <v/>
      </c>
      <c r="DW158" s="30" t="str">
        <f t="shared" ref="DW158:DW199" si="2344">IF(AQ158="","","|n"&amp;DW$2&amp;"+"&amp;AQ158&amp;DW$1)</f>
        <v/>
      </c>
      <c r="DX158" s="30" t="str">
        <f t="shared" ref="DX158:DX199" si="2345">IF(AR158="","","|n"&amp;DX$2&amp;"+"&amp;AR158&amp;DX$1)</f>
        <v/>
      </c>
      <c r="DY158" s="30" t="str">
        <f t="shared" ref="DY158:DY199" si="2346">IF(AS158="","","|n"&amp;DY$2&amp;"+"&amp;AS158&amp;DY$1)</f>
        <v/>
      </c>
      <c r="DZ158" s="30" t="str">
        <f t="shared" ref="DZ158:DZ199" si="2347">IF(AT158="","","|n"&amp;DZ$2&amp;"+"&amp;AT158&amp;DZ$1)</f>
        <v/>
      </c>
      <c r="EA158" s="30" t="str">
        <f t="shared" ref="EA158:EA199" si="2348">IF(AU158="","","|n"&amp;EA$2&amp;"+"&amp;AU158&amp;EA$1)</f>
        <v/>
      </c>
      <c r="EB158" s="30" t="str">
        <f t="shared" ref="EB158:EB199" si="2349">IF(AV158="","","|n"&amp;EB$2&amp;"+"&amp;AV158&amp;EB$1)</f>
        <v/>
      </c>
      <c r="EC158" s="30" t="str">
        <f t="shared" ref="EC158:EC199" si="2350">IF(AW158="","","|n"&amp;EC$2&amp;"+"&amp;AW158&amp;EC$1)</f>
        <v/>
      </c>
      <c r="ED158" s="30" t="str">
        <f t="shared" ref="ED158:ED199" si="2351">IF(AX158="","","|n"&amp;ED$2&amp;"+"&amp;AX158&amp;ED$1)</f>
        <v/>
      </c>
      <c r="EE158" s="30" t="str">
        <f t="shared" ref="EE158:EE199" si="2352">IF(AY158="","","|n"&amp;EE$2&amp;"+"&amp;AY158&amp;EE$1)</f>
        <v/>
      </c>
      <c r="EF158" s="30" t="str">
        <f t="shared" ref="EF158:EF199" si="2353">IF(AZ158="","","|n"&amp;EF$2&amp;"+"&amp;AZ158&amp;EF$1)</f>
        <v/>
      </c>
      <c r="EG158" s="30" t="str">
        <f t="shared" ref="EG158:EG199" si="2354">IF(BA158="","","|n"&amp;EG$2&amp;"+"&amp;BA158&amp;EG$1)</f>
        <v/>
      </c>
      <c r="EH158" s="30" t="str">
        <f t="shared" ref="EH158:EH199" si="2355">IF(BB158="","","|n"&amp;EH$2&amp;"+"&amp;BB158&amp;EH$1)</f>
        <v/>
      </c>
      <c r="EI158" s="30" t="str">
        <f t="shared" ref="EI158:EI199" si="2356">IF(BC158="","","|n"&amp;EI$2&amp;"+"&amp;BC158&amp;EI$1)</f>
        <v/>
      </c>
      <c r="EJ158" s="30" t="str">
        <f t="shared" ref="EJ158:EJ199" si="2357">IF(BD158="","","|n"&amp;EJ$2&amp;"+"&amp;BD158&amp;EJ$1)</f>
        <v/>
      </c>
      <c r="EK158" s="30" t="str">
        <f t="shared" ref="EK158:EK199" si="2358">IF(BE158="","","|n"&amp;EK$2&amp;"+"&amp;BE158&amp;EK$1)</f>
        <v/>
      </c>
      <c r="EL158" s="30" t="str">
        <f t="shared" ref="EL158:EL199" si="2359">IF(BF158="","","|n"&amp;EL$2&amp;"+"&amp;BF158&amp;EL$1)</f>
        <v/>
      </c>
      <c r="EM158" s="30" t="str">
        <f t="shared" ref="EM158:EM199" si="2360">IF(BG158="","","|n"&amp;EM$2&amp;"+"&amp;BG158&amp;EM$1)</f>
        <v/>
      </c>
      <c r="EN158" s="30" t="str">
        <f t="shared" ref="EN158:EN199" si="2361">IF(BH158="","","|n"&amp;EN$2&amp;"+"&amp;BH158&amp;EN$1)</f>
        <v/>
      </c>
      <c r="EO158" s="30" t="str">
        <f t="shared" ref="EO158:EO199" si="2362">IF(BI158="","","|n"&amp;EO$2&amp;"+"&amp;BI158&amp;EO$1)</f>
        <v/>
      </c>
      <c r="EP158" s="30" t="str">
        <f t="shared" ref="EP158:EP199" si="2363">IF(BJ158="","","|n"&amp;EP$2&amp;"+"&amp;BJ158&amp;EP$1)</f>
        <v/>
      </c>
      <c r="EQ158" s="30" t="str">
        <f t="shared" ref="EQ158:EQ199" si="2364">IF(BK158="","","|n"&amp;EQ$2&amp;"+"&amp;BK158&amp;EQ$1)</f>
        <v/>
      </c>
      <c r="ER158" s="30" t="str">
        <f t="shared" ref="ER158:ER199" si="2365">IF(BL158="","","|n"&amp;ER$2&amp;"+"&amp;BL158&amp;ER$1)</f>
        <v/>
      </c>
      <c r="ES158" s="30" t="str">
        <f t="shared" ref="ES158:ES199" si="2366">IF(BM158="","","|n"&amp;ES$2&amp;"+"&amp;BM158&amp;ES$1)</f>
        <v/>
      </c>
      <c r="ET158" s="30" t="str">
        <f t="shared" ref="ET158:ET199" si="2367">IF(BN158="","","|n"&amp;ET$2&amp;"+"&amp;BN158&amp;ET$1)</f>
        <v/>
      </c>
      <c r="EU158" s="30" t="str">
        <f t="shared" ref="EU158:EU199" si="2368">IF(BO158="","","|n"&amp;EU$2&amp;"+"&amp;BO158&amp;EU$1)</f>
        <v/>
      </c>
      <c r="EV158" s="30" t="str">
        <f t="shared" ref="EV158:EV199" si="2369">IF(BP158="","","|n"&amp;EV$2&amp;"+"&amp;BP158&amp;EV$1)</f>
        <v/>
      </c>
      <c r="EW158" s="30" t="str">
        <f t="shared" ref="EW158:EW199" si="2370">IF(BQ158="","","|n"&amp;EW$2&amp;"+"&amp;BQ158&amp;EW$1)</f>
        <v/>
      </c>
      <c r="EX158" s="30" t="str">
        <f t="shared" ref="EX158:EX199" si="2371">IF(BR158="","","|n"&amp;EX$2&amp;"+"&amp;BR158&amp;EX$1)</f>
        <v/>
      </c>
      <c r="EY158" s="30" t="str">
        <f t="shared" ref="EY158:EY199" si="2372">IF(BS158="","","|n"&amp;EY$2&amp;"+"&amp;BS158&amp;EY$1)</f>
        <v/>
      </c>
      <c r="EZ158" s="30" t="str">
        <f t="shared" ref="EZ158:EZ199" si="2373">IF(BT158="","","|n"&amp;EZ$2&amp;"+"&amp;BT158&amp;EZ$1)</f>
        <v/>
      </c>
      <c r="FA158" s="30" t="str">
        <f t="shared" ref="FA158:FA199" si="2374">IF(BU158="","","|n"&amp;FA$2&amp;"+"&amp;BU158&amp;FA$1)</f>
        <v/>
      </c>
      <c r="FB158" s="30" t="str">
        <f t="shared" ref="FB158:FB199" si="2375">IF(BV158="","","|n"&amp;FB$2&amp;"+"&amp;BV158&amp;FB$1)</f>
        <v/>
      </c>
      <c r="FC158" s="30" t="str">
        <f t="shared" ref="FC158:FC199" si="2376">IF(BW158="","","|n"&amp;FC$2&amp;"+"&amp;BW158&amp;FC$1)</f>
        <v/>
      </c>
      <c r="FD158" s="30" t="str">
        <f t="shared" ref="FD158:FD199" si="2377">IF(BX158="","","|n"&amp;FD$2&amp;"+"&amp;BX158&amp;FD$1)</f>
        <v/>
      </c>
      <c r="FE158" s="30" t="str">
        <f t="shared" ref="FE158:FE199" si="2378">IF(BY158="","","|n"&amp;FE$2&amp;"+"&amp;BY158&amp;FE$1)</f>
        <v/>
      </c>
      <c r="FF158" s="30" t="str">
        <f t="shared" ref="FF158:FF199" si="2379">IF(BZ158="","","|n"&amp;FF$2&amp;"+"&amp;BZ158&amp;FF$1)</f>
        <v/>
      </c>
      <c r="FG158" s="30" t="str">
        <f t="shared" ref="FG158:FG199" si="2380">IF(CA158="","","|n"&amp;FG$2&amp;"+"&amp;CA158&amp;FG$1)</f>
        <v/>
      </c>
      <c r="FH158" s="30" t="str">
        <f t="shared" ref="FH158:FH199" si="2381">IF(CB158="","","|n"&amp;FH$2&amp;"+"&amp;CB158&amp;FH$1)</f>
        <v/>
      </c>
      <c r="FI158" s="30" t="str">
        <f t="shared" ref="FI158:FI199" si="2382">IF(CC158="","","|n"&amp;FI$2&amp;"+"&amp;CC158&amp;FI$1)</f>
        <v/>
      </c>
      <c r="FJ158" s="30" t="str">
        <f t="shared" ref="FJ158:FJ199" si="2383">IF(CD158="","","|n"&amp;FJ$2&amp;"+"&amp;CD158&amp;FJ$1)</f>
        <v/>
      </c>
      <c r="FK158" s="30" t="str">
        <f t="shared" ref="FK158:FK199" si="2384">IF(CE158="","","|n"&amp;FK$2&amp;"+"&amp;CE158&amp;FK$1)</f>
        <v/>
      </c>
      <c r="FL158" s="30" t="str">
        <f t="shared" ref="FL158:FL199" si="2385">IF(CF158="","","|n"&amp;FL$2&amp;"+"&amp;CF158&amp;FL$1)</f>
        <v/>
      </c>
      <c r="FM158" s="30" t="str">
        <f t="shared" ref="FM158:FM199" si="2386">IF(CG158="","","|n"&amp;FM$2&amp;"+"&amp;CG158&amp;FM$1)</f>
        <v/>
      </c>
      <c r="FN158" s="30" t="str">
        <f t="shared" ref="FN158:FN199" si="2387">IF(CH158="","","|n"&amp;FN$2&amp;"+"&amp;CH158&amp;FN$1)</f>
        <v/>
      </c>
      <c r="FO158" s="30" t="str">
        <f t="shared" ref="FO158:FO199" si="2388">IF(CI158="","","|n"&amp;FO$2&amp;"+"&amp;CI158&amp;FO$1)</f>
        <v/>
      </c>
      <c r="FP158" s="30" t="str">
        <f t="shared" ref="FP158:FP199" si="2389">IF(CJ158="","","|n"&amp;FP$2&amp;"+"&amp;CJ158&amp;FP$1)</f>
        <v/>
      </c>
      <c r="FQ158" s="30" t="str">
        <f t="shared" ref="FQ158:FQ199" si="2390">IF(CK158="","","|n"&amp;FQ$2&amp;"+"&amp;CK158&amp;FQ$1)</f>
        <v/>
      </c>
      <c r="FR158" s="30" t="str">
        <f t="shared" ref="FR158:FR199" si="2391">IF(CL158="","","|n"&amp;FR$2&amp;"+"&amp;CL158&amp;FR$1)</f>
        <v/>
      </c>
      <c r="FS158" s="30" t="str">
        <f t="shared" ref="FS158:FS199" si="2392">IF(CM158="","","|n"&amp;FS$2&amp;"+"&amp;CM158&amp;FS$1)</f>
        <v/>
      </c>
    </row>
    <row r="159" spans="1:175">
      <c r="A159" s="66"/>
      <c r="B159" s="66"/>
      <c r="C159" s="66"/>
      <c r="T159" s="100"/>
      <c r="U159" s="32"/>
      <c r="CN159" s="7" t="str">
        <f t="shared" si="2317"/>
        <v>InitUnitState('',,,,,,,,,,)</v>
      </c>
      <c r="CO159" s="7" t="str">
        <f t="shared" si="2318"/>
        <v>InitUnitNormal('',,,,,,,,,,)</v>
      </c>
      <c r="CP159" s="7" t="str">
        <f t="shared" si="2319"/>
        <v>InitUnitMagic('',,,,,,,,,,)</v>
      </c>
      <c r="CQ159" s="7" t="str">
        <f t="shared" si="2320"/>
        <v>InitUnitAdd('',,,,,,,,,,)</v>
      </c>
      <c r="CR159" s="7" t="str">
        <f t="shared" si="2321"/>
        <v>InitEquipData('',,"",,,,,'','','','','','',"")</v>
      </c>
      <c r="CU159" s="45" t="str">
        <f t="shared" si="2322"/>
        <v>|n</v>
      </c>
      <c r="CW159" s="24"/>
      <c r="CX159" s="24"/>
      <c r="CY159" s="24"/>
      <c r="CZ159" s="24"/>
      <c r="DA159" s="24"/>
      <c r="DB159" s="30" t="str">
        <f t="shared" si="2323"/>
        <v/>
      </c>
      <c r="DC159" s="30" t="str">
        <f t="shared" si="2324"/>
        <v/>
      </c>
      <c r="DD159" s="30" t="str">
        <f t="shared" si="2325"/>
        <v/>
      </c>
      <c r="DE159" s="30" t="str">
        <f t="shared" si="2326"/>
        <v/>
      </c>
      <c r="DF159" s="30" t="str">
        <f t="shared" si="2327"/>
        <v/>
      </c>
      <c r="DG159" s="30" t="str">
        <f t="shared" si="2328"/>
        <v/>
      </c>
      <c r="DH159" s="30" t="str">
        <f t="shared" si="2329"/>
        <v/>
      </c>
      <c r="DI159" s="30" t="str">
        <f t="shared" si="2330"/>
        <v/>
      </c>
      <c r="DJ159" s="30" t="str">
        <f t="shared" si="2331"/>
        <v/>
      </c>
      <c r="DK159" s="30" t="str">
        <f t="shared" si="2332"/>
        <v/>
      </c>
      <c r="DL159" s="30" t="str">
        <f t="shared" si="2333"/>
        <v/>
      </c>
      <c r="DM159" s="30" t="str">
        <f t="shared" si="2334"/>
        <v/>
      </c>
      <c r="DN159" s="30" t="str">
        <f t="shared" si="2335"/>
        <v/>
      </c>
      <c r="DO159" s="30" t="str">
        <f t="shared" si="2336"/>
        <v/>
      </c>
      <c r="DP159" s="30" t="str">
        <f t="shared" si="2337"/>
        <v/>
      </c>
      <c r="DQ159" s="30" t="str">
        <f t="shared" si="2338"/>
        <v/>
      </c>
      <c r="DR159" s="30" t="str">
        <f t="shared" si="2339"/>
        <v/>
      </c>
      <c r="DS159" s="30" t="str">
        <f t="shared" si="2340"/>
        <v/>
      </c>
      <c r="DT159" s="30" t="str">
        <f t="shared" si="2341"/>
        <v/>
      </c>
      <c r="DU159" s="30" t="str">
        <f t="shared" si="2342"/>
        <v/>
      </c>
      <c r="DV159" s="30" t="str">
        <f t="shared" si="2343"/>
        <v/>
      </c>
      <c r="DW159" s="30" t="str">
        <f t="shared" si="2344"/>
        <v/>
      </c>
      <c r="DX159" s="30" t="str">
        <f t="shared" si="2345"/>
        <v/>
      </c>
      <c r="DY159" s="30" t="str">
        <f t="shared" si="2346"/>
        <v/>
      </c>
      <c r="DZ159" s="30" t="str">
        <f t="shared" si="2347"/>
        <v/>
      </c>
      <c r="EA159" s="30" t="str">
        <f t="shared" si="2348"/>
        <v/>
      </c>
      <c r="EB159" s="30" t="str">
        <f t="shared" si="2349"/>
        <v/>
      </c>
      <c r="EC159" s="30" t="str">
        <f t="shared" si="2350"/>
        <v/>
      </c>
      <c r="ED159" s="30" t="str">
        <f t="shared" si="2351"/>
        <v/>
      </c>
      <c r="EE159" s="30" t="str">
        <f t="shared" si="2352"/>
        <v/>
      </c>
      <c r="EF159" s="30" t="str">
        <f t="shared" si="2353"/>
        <v/>
      </c>
      <c r="EG159" s="30" t="str">
        <f t="shared" si="2354"/>
        <v/>
      </c>
      <c r="EH159" s="30" t="str">
        <f t="shared" si="2355"/>
        <v/>
      </c>
      <c r="EI159" s="30" t="str">
        <f t="shared" si="2356"/>
        <v/>
      </c>
      <c r="EJ159" s="30" t="str">
        <f t="shared" si="2357"/>
        <v/>
      </c>
      <c r="EK159" s="30" t="str">
        <f t="shared" si="2358"/>
        <v/>
      </c>
      <c r="EL159" s="30" t="str">
        <f t="shared" si="2359"/>
        <v/>
      </c>
      <c r="EM159" s="30" t="str">
        <f t="shared" si="2360"/>
        <v/>
      </c>
      <c r="EN159" s="30" t="str">
        <f t="shared" si="2361"/>
        <v/>
      </c>
      <c r="EO159" s="30" t="str">
        <f t="shared" si="2362"/>
        <v/>
      </c>
      <c r="EP159" s="30" t="str">
        <f t="shared" si="2363"/>
        <v/>
      </c>
      <c r="EQ159" s="30" t="str">
        <f t="shared" si="2364"/>
        <v/>
      </c>
      <c r="ER159" s="30" t="str">
        <f t="shared" si="2365"/>
        <v/>
      </c>
      <c r="ES159" s="30" t="str">
        <f t="shared" si="2366"/>
        <v/>
      </c>
      <c r="ET159" s="30" t="str">
        <f t="shared" si="2367"/>
        <v/>
      </c>
      <c r="EU159" s="30" t="str">
        <f t="shared" si="2368"/>
        <v/>
      </c>
      <c r="EV159" s="30" t="str">
        <f t="shared" si="2369"/>
        <v/>
      </c>
      <c r="EW159" s="30" t="str">
        <f t="shared" si="2370"/>
        <v/>
      </c>
      <c r="EX159" s="30" t="str">
        <f t="shared" si="2371"/>
        <v/>
      </c>
      <c r="EY159" s="30" t="str">
        <f t="shared" si="2372"/>
        <v/>
      </c>
      <c r="EZ159" s="30" t="str">
        <f t="shared" si="2373"/>
        <v/>
      </c>
      <c r="FA159" s="30" t="str">
        <f t="shared" si="2374"/>
        <v/>
      </c>
      <c r="FB159" s="30" t="str">
        <f t="shared" si="2375"/>
        <v/>
      </c>
      <c r="FC159" s="30" t="str">
        <f t="shared" si="2376"/>
        <v/>
      </c>
      <c r="FD159" s="30" t="str">
        <f t="shared" si="2377"/>
        <v/>
      </c>
      <c r="FE159" s="30" t="str">
        <f t="shared" si="2378"/>
        <v/>
      </c>
      <c r="FF159" s="30" t="str">
        <f t="shared" si="2379"/>
        <v/>
      </c>
      <c r="FG159" s="30" t="str">
        <f t="shared" si="2380"/>
        <v/>
      </c>
      <c r="FH159" s="30" t="str">
        <f t="shared" si="2381"/>
        <v/>
      </c>
      <c r="FI159" s="30" t="str">
        <f t="shared" si="2382"/>
        <v/>
      </c>
      <c r="FJ159" s="30" t="str">
        <f t="shared" si="2383"/>
        <v/>
      </c>
      <c r="FK159" s="30" t="str">
        <f t="shared" si="2384"/>
        <v/>
      </c>
      <c r="FL159" s="30" t="str">
        <f t="shared" si="2385"/>
        <v/>
      </c>
      <c r="FM159" s="30" t="str">
        <f t="shared" si="2386"/>
        <v/>
      </c>
      <c r="FN159" s="30" t="str">
        <f t="shared" si="2387"/>
        <v/>
      </c>
      <c r="FO159" s="30" t="str">
        <f t="shared" si="2388"/>
        <v/>
      </c>
      <c r="FP159" s="30" t="str">
        <f t="shared" si="2389"/>
        <v/>
      </c>
      <c r="FQ159" s="30" t="str">
        <f t="shared" si="2390"/>
        <v/>
      </c>
      <c r="FR159" s="30" t="str">
        <f t="shared" si="2391"/>
        <v/>
      </c>
      <c r="FS159" s="30" t="str">
        <f t="shared" si="2392"/>
        <v/>
      </c>
    </row>
    <row r="160" spans="1:175">
      <c r="A160" s="66"/>
      <c r="B160" s="66"/>
      <c r="C160" s="66"/>
      <c r="T160" s="100"/>
      <c r="U160" s="32"/>
      <c r="CN160" s="7" t="str">
        <f t="shared" si="2317"/>
        <v>InitUnitState('',,,,,,,,,,)</v>
      </c>
      <c r="CO160" s="7" t="str">
        <f t="shared" si="2318"/>
        <v>InitUnitNormal('',,,,,,,,,,)</v>
      </c>
      <c r="CP160" s="7" t="str">
        <f t="shared" si="2319"/>
        <v>InitUnitMagic('',,,,,,,,,,)</v>
      </c>
      <c r="CQ160" s="7" t="str">
        <f t="shared" si="2320"/>
        <v>InitUnitAdd('',,,,,,,,,,)</v>
      </c>
      <c r="CR160" s="7" t="str">
        <f t="shared" si="2321"/>
        <v>InitEquipData('',,"",,,,,'','','','','','',"")</v>
      </c>
      <c r="CU160" s="45" t="str">
        <f t="shared" si="2322"/>
        <v>|n</v>
      </c>
      <c r="CW160" s="24"/>
      <c r="CX160" s="24"/>
      <c r="CY160" s="24"/>
      <c r="CZ160" s="24"/>
      <c r="DA160" s="24"/>
      <c r="DB160" s="30" t="str">
        <f t="shared" si="2323"/>
        <v/>
      </c>
      <c r="DC160" s="30" t="str">
        <f t="shared" si="2324"/>
        <v/>
      </c>
      <c r="DD160" s="30" t="str">
        <f t="shared" si="2325"/>
        <v/>
      </c>
      <c r="DE160" s="30" t="str">
        <f t="shared" si="2326"/>
        <v/>
      </c>
      <c r="DF160" s="30" t="str">
        <f t="shared" si="2327"/>
        <v/>
      </c>
      <c r="DG160" s="30" t="str">
        <f t="shared" si="2328"/>
        <v/>
      </c>
      <c r="DH160" s="30" t="str">
        <f t="shared" si="2329"/>
        <v/>
      </c>
      <c r="DI160" s="30" t="str">
        <f t="shared" si="2330"/>
        <v/>
      </c>
      <c r="DJ160" s="30" t="str">
        <f t="shared" si="2331"/>
        <v/>
      </c>
      <c r="DK160" s="30" t="str">
        <f t="shared" si="2332"/>
        <v/>
      </c>
      <c r="DL160" s="30" t="str">
        <f t="shared" si="2333"/>
        <v/>
      </c>
      <c r="DM160" s="30" t="str">
        <f t="shared" si="2334"/>
        <v/>
      </c>
      <c r="DN160" s="30" t="str">
        <f t="shared" si="2335"/>
        <v/>
      </c>
      <c r="DO160" s="30" t="str">
        <f t="shared" si="2336"/>
        <v/>
      </c>
      <c r="DP160" s="30" t="str">
        <f t="shared" si="2337"/>
        <v/>
      </c>
      <c r="DQ160" s="30" t="str">
        <f t="shared" si="2338"/>
        <v/>
      </c>
      <c r="DR160" s="30" t="str">
        <f t="shared" si="2339"/>
        <v/>
      </c>
      <c r="DS160" s="30" t="str">
        <f t="shared" si="2340"/>
        <v/>
      </c>
      <c r="DT160" s="30" t="str">
        <f t="shared" si="2341"/>
        <v/>
      </c>
      <c r="DU160" s="30" t="str">
        <f t="shared" si="2342"/>
        <v/>
      </c>
      <c r="DV160" s="30" t="str">
        <f t="shared" si="2343"/>
        <v/>
      </c>
      <c r="DW160" s="30" t="str">
        <f t="shared" si="2344"/>
        <v/>
      </c>
      <c r="DX160" s="30" t="str">
        <f t="shared" si="2345"/>
        <v/>
      </c>
      <c r="DY160" s="30" t="str">
        <f t="shared" si="2346"/>
        <v/>
      </c>
      <c r="DZ160" s="30" t="str">
        <f t="shared" si="2347"/>
        <v/>
      </c>
      <c r="EA160" s="30" t="str">
        <f t="shared" si="2348"/>
        <v/>
      </c>
      <c r="EB160" s="30" t="str">
        <f t="shared" si="2349"/>
        <v/>
      </c>
      <c r="EC160" s="30" t="str">
        <f t="shared" si="2350"/>
        <v/>
      </c>
      <c r="ED160" s="30" t="str">
        <f t="shared" si="2351"/>
        <v/>
      </c>
      <c r="EE160" s="30" t="str">
        <f t="shared" si="2352"/>
        <v/>
      </c>
      <c r="EF160" s="30" t="str">
        <f t="shared" si="2353"/>
        <v/>
      </c>
      <c r="EG160" s="30" t="str">
        <f t="shared" si="2354"/>
        <v/>
      </c>
      <c r="EH160" s="30" t="str">
        <f t="shared" si="2355"/>
        <v/>
      </c>
      <c r="EI160" s="30" t="str">
        <f t="shared" si="2356"/>
        <v/>
      </c>
      <c r="EJ160" s="30" t="str">
        <f t="shared" si="2357"/>
        <v/>
      </c>
      <c r="EK160" s="30" t="str">
        <f t="shared" si="2358"/>
        <v/>
      </c>
      <c r="EL160" s="30" t="str">
        <f t="shared" si="2359"/>
        <v/>
      </c>
      <c r="EM160" s="30" t="str">
        <f t="shared" si="2360"/>
        <v/>
      </c>
      <c r="EN160" s="30" t="str">
        <f t="shared" si="2361"/>
        <v/>
      </c>
      <c r="EO160" s="30" t="str">
        <f t="shared" si="2362"/>
        <v/>
      </c>
      <c r="EP160" s="30" t="str">
        <f t="shared" si="2363"/>
        <v/>
      </c>
      <c r="EQ160" s="30" t="str">
        <f t="shared" si="2364"/>
        <v/>
      </c>
      <c r="ER160" s="30" t="str">
        <f t="shared" si="2365"/>
        <v/>
      </c>
      <c r="ES160" s="30" t="str">
        <f t="shared" si="2366"/>
        <v/>
      </c>
      <c r="ET160" s="30" t="str">
        <f t="shared" si="2367"/>
        <v/>
      </c>
      <c r="EU160" s="30" t="str">
        <f t="shared" si="2368"/>
        <v/>
      </c>
      <c r="EV160" s="30" t="str">
        <f t="shared" si="2369"/>
        <v/>
      </c>
      <c r="EW160" s="30" t="str">
        <f t="shared" si="2370"/>
        <v/>
      </c>
      <c r="EX160" s="30" t="str">
        <f t="shared" si="2371"/>
        <v/>
      </c>
      <c r="EY160" s="30" t="str">
        <f t="shared" si="2372"/>
        <v/>
      </c>
      <c r="EZ160" s="30" t="str">
        <f t="shared" si="2373"/>
        <v/>
      </c>
      <c r="FA160" s="30" t="str">
        <f t="shared" si="2374"/>
        <v/>
      </c>
      <c r="FB160" s="30" t="str">
        <f t="shared" si="2375"/>
        <v/>
      </c>
      <c r="FC160" s="30" t="str">
        <f t="shared" si="2376"/>
        <v/>
      </c>
      <c r="FD160" s="30" t="str">
        <f t="shared" si="2377"/>
        <v/>
      </c>
      <c r="FE160" s="30" t="str">
        <f t="shared" si="2378"/>
        <v/>
      </c>
      <c r="FF160" s="30" t="str">
        <f t="shared" si="2379"/>
        <v/>
      </c>
      <c r="FG160" s="30" t="str">
        <f t="shared" si="2380"/>
        <v/>
      </c>
      <c r="FH160" s="30" t="str">
        <f t="shared" si="2381"/>
        <v/>
      </c>
      <c r="FI160" s="30" t="str">
        <f t="shared" si="2382"/>
        <v/>
      </c>
      <c r="FJ160" s="30" t="str">
        <f t="shared" si="2383"/>
        <v/>
      </c>
      <c r="FK160" s="30" t="str">
        <f t="shared" si="2384"/>
        <v/>
      </c>
      <c r="FL160" s="30" t="str">
        <f t="shared" si="2385"/>
        <v/>
      </c>
      <c r="FM160" s="30" t="str">
        <f t="shared" si="2386"/>
        <v/>
      </c>
      <c r="FN160" s="30" t="str">
        <f t="shared" si="2387"/>
        <v/>
      </c>
      <c r="FO160" s="30" t="str">
        <f t="shared" si="2388"/>
        <v/>
      </c>
      <c r="FP160" s="30" t="str">
        <f t="shared" si="2389"/>
        <v/>
      </c>
      <c r="FQ160" s="30" t="str">
        <f t="shared" si="2390"/>
        <v/>
      </c>
      <c r="FR160" s="30" t="str">
        <f t="shared" si="2391"/>
        <v/>
      </c>
      <c r="FS160" s="30" t="str">
        <f t="shared" si="2392"/>
        <v/>
      </c>
    </row>
    <row r="161" spans="1:175">
      <c r="A161" s="66"/>
      <c r="B161" s="66"/>
      <c r="C161" s="66"/>
      <c r="T161" s="100"/>
      <c r="U161" s="32"/>
      <c r="CN161" s="7" t="str">
        <f t="shared" si="2317"/>
        <v>InitUnitState('',,,,,,,,,,)</v>
      </c>
      <c r="CO161" s="7" t="str">
        <f t="shared" si="2318"/>
        <v>InitUnitNormal('',,,,,,,,,,)</v>
      </c>
      <c r="CP161" s="7" t="str">
        <f t="shared" si="2319"/>
        <v>InitUnitMagic('',,,,,,,,,,)</v>
      </c>
      <c r="CQ161" s="7" t="str">
        <f t="shared" si="2320"/>
        <v>InitUnitAdd('',,,,,,,,,,)</v>
      </c>
      <c r="CR161" s="7" t="str">
        <f t="shared" si="2321"/>
        <v>InitEquipData('',,"",,,,,'','','','','','',"")</v>
      </c>
      <c r="CU161" s="45" t="str">
        <f t="shared" si="2322"/>
        <v>|n</v>
      </c>
      <c r="CW161" s="24"/>
      <c r="CX161" s="24"/>
      <c r="CY161" s="24"/>
      <c r="CZ161" s="24"/>
      <c r="DA161" s="24"/>
      <c r="DB161" s="30" t="str">
        <f t="shared" si="2323"/>
        <v/>
      </c>
      <c r="DC161" s="30" t="str">
        <f t="shared" si="2324"/>
        <v/>
      </c>
      <c r="DD161" s="30" t="str">
        <f t="shared" si="2325"/>
        <v/>
      </c>
      <c r="DE161" s="30" t="str">
        <f t="shared" si="2326"/>
        <v/>
      </c>
      <c r="DF161" s="30" t="str">
        <f t="shared" si="2327"/>
        <v/>
      </c>
      <c r="DG161" s="30" t="str">
        <f t="shared" si="2328"/>
        <v/>
      </c>
      <c r="DH161" s="30" t="str">
        <f t="shared" si="2329"/>
        <v/>
      </c>
      <c r="DI161" s="30" t="str">
        <f t="shared" si="2330"/>
        <v/>
      </c>
      <c r="DJ161" s="30" t="str">
        <f t="shared" si="2331"/>
        <v/>
      </c>
      <c r="DK161" s="30" t="str">
        <f t="shared" si="2332"/>
        <v/>
      </c>
      <c r="DL161" s="30" t="str">
        <f t="shared" si="2333"/>
        <v/>
      </c>
      <c r="DM161" s="30" t="str">
        <f t="shared" si="2334"/>
        <v/>
      </c>
      <c r="DN161" s="30" t="str">
        <f t="shared" si="2335"/>
        <v/>
      </c>
      <c r="DO161" s="30" t="str">
        <f t="shared" si="2336"/>
        <v/>
      </c>
      <c r="DP161" s="30" t="str">
        <f t="shared" si="2337"/>
        <v/>
      </c>
      <c r="DQ161" s="30" t="str">
        <f t="shared" si="2338"/>
        <v/>
      </c>
      <c r="DR161" s="30" t="str">
        <f t="shared" si="2339"/>
        <v/>
      </c>
      <c r="DS161" s="30" t="str">
        <f t="shared" si="2340"/>
        <v/>
      </c>
      <c r="DT161" s="30" t="str">
        <f t="shared" si="2341"/>
        <v/>
      </c>
      <c r="DU161" s="30" t="str">
        <f t="shared" si="2342"/>
        <v/>
      </c>
      <c r="DV161" s="30" t="str">
        <f t="shared" si="2343"/>
        <v/>
      </c>
      <c r="DW161" s="30" t="str">
        <f t="shared" si="2344"/>
        <v/>
      </c>
      <c r="DX161" s="30" t="str">
        <f t="shared" si="2345"/>
        <v/>
      </c>
      <c r="DY161" s="30" t="str">
        <f t="shared" si="2346"/>
        <v/>
      </c>
      <c r="DZ161" s="30" t="str">
        <f t="shared" si="2347"/>
        <v/>
      </c>
      <c r="EA161" s="30" t="str">
        <f t="shared" si="2348"/>
        <v/>
      </c>
      <c r="EB161" s="30" t="str">
        <f t="shared" si="2349"/>
        <v/>
      </c>
      <c r="EC161" s="30" t="str">
        <f t="shared" si="2350"/>
        <v/>
      </c>
      <c r="ED161" s="30" t="str">
        <f t="shared" si="2351"/>
        <v/>
      </c>
      <c r="EE161" s="30" t="str">
        <f t="shared" si="2352"/>
        <v/>
      </c>
      <c r="EF161" s="30" t="str">
        <f t="shared" si="2353"/>
        <v/>
      </c>
      <c r="EG161" s="30" t="str">
        <f t="shared" si="2354"/>
        <v/>
      </c>
      <c r="EH161" s="30" t="str">
        <f t="shared" si="2355"/>
        <v/>
      </c>
      <c r="EI161" s="30" t="str">
        <f t="shared" si="2356"/>
        <v/>
      </c>
      <c r="EJ161" s="30" t="str">
        <f t="shared" si="2357"/>
        <v/>
      </c>
      <c r="EK161" s="30" t="str">
        <f t="shared" si="2358"/>
        <v/>
      </c>
      <c r="EL161" s="30" t="str">
        <f t="shared" si="2359"/>
        <v/>
      </c>
      <c r="EM161" s="30" t="str">
        <f t="shared" si="2360"/>
        <v/>
      </c>
      <c r="EN161" s="30" t="str">
        <f t="shared" si="2361"/>
        <v/>
      </c>
      <c r="EO161" s="30" t="str">
        <f t="shared" si="2362"/>
        <v/>
      </c>
      <c r="EP161" s="30" t="str">
        <f t="shared" si="2363"/>
        <v/>
      </c>
      <c r="EQ161" s="30" t="str">
        <f t="shared" si="2364"/>
        <v/>
      </c>
      <c r="ER161" s="30" t="str">
        <f t="shared" si="2365"/>
        <v/>
      </c>
      <c r="ES161" s="30" t="str">
        <f t="shared" si="2366"/>
        <v/>
      </c>
      <c r="ET161" s="30" t="str">
        <f t="shared" si="2367"/>
        <v/>
      </c>
      <c r="EU161" s="30" t="str">
        <f t="shared" si="2368"/>
        <v/>
      </c>
      <c r="EV161" s="30" t="str">
        <f t="shared" si="2369"/>
        <v/>
      </c>
      <c r="EW161" s="30" t="str">
        <f t="shared" si="2370"/>
        <v/>
      </c>
      <c r="EX161" s="30" t="str">
        <f t="shared" si="2371"/>
        <v/>
      </c>
      <c r="EY161" s="30" t="str">
        <f t="shared" si="2372"/>
        <v/>
      </c>
      <c r="EZ161" s="30" t="str">
        <f t="shared" si="2373"/>
        <v/>
      </c>
      <c r="FA161" s="30" t="str">
        <f t="shared" si="2374"/>
        <v/>
      </c>
      <c r="FB161" s="30" t="str">
        <f t="shared" si="2375"/>
        <v/>
      </c>
      <c r="FC161" s="30" t="str">
        <f t="shared" si="2376"/>
        <v/>
      </c>
      <c r="FD161" s="30" t="str">
        <f t="shared" si="2377"/>
        <v/>
      </c>
      <c r="FE161" s="30" t="str">
        <f t="shared" si="2378"/>
        <v/>
      </c>
      <c r="FF161" s="30" t="str">
        <f t="shared" si="2379"/>
        <v/>
      </c>
      <c r="FG161" s="30" t="str">
        <f t="shared" si="2380"/>
        <v/>
      </c>
      <c r="FH161" s="30" t="str">
        <f t="shared" si="2381"/>
        <v/>
      </c>
      <c r="FI161" s="30" t="str">
        <f t="shared" si="2382"/>
        <v/>
      </c>
      <c r="FJ161" s="30" t="str">
        <f t="shared" si="2383"/>
        <v/>
      </c>
      <c r="FK161" s="30" t="str">
        <f t="shared" si="2384"/>
        <v/>
      </c>
      <c r="FL161" s="30" t="str">
        <f t="shared" si="2385"/>
        <v/>
      </c>
      <c r="FM161" s="30" t="str">
        <f t="shared" si="2386"/>
        <v/>
      </c>
      <c r="FN161" s="30" t="str">
        <f t="shared" si="2387"/>
        <v/>
      </c>
      <c r="FO161" s="30" t="str">
        <f t="shared" si="2388"/>
        <v/>
      </c>
      <c r="FP161" s="30" t="str">
        <f t="shared" si="2389"/>
        <v/>
      </c>
      <c r="FQ161" s="30" t="str">
        <f t="shared" si="2390"/>
        <v/>
      </c>
      <c r="FR161" s="30" t="str">
        <f t="shared" si="2391"/>
        <v/>
      </c>
      <c r="FS161" s="30" t="str">
        <f t="shared" si="2392"/>
        <v/>
      </c>
    </row>
    <row r="162" spans="1:175">
      <c r="A162" s="66"/>
      <c r="B162" s="66"/>
      <c r="C162" s="66"/>
      <c r="T162" s="100"/>
      <c r="U162" s="32"/>
      <c r="CN162" s="7" t="str">
        <f t="shared" si="2317"/>
        <v>InitUnitState('',,,,,,,,,,)</v>
      </c>
      <c r="CO162" s="7" t="str">
        <f t="shared" si="2318"/>
        <v>InitUnitNormal('',,,,,,,,,,)</v>
      </c>
      <c r="CP162" s="7" t="str">
        <f t="shared" si="2319"/>
        <v>InitUnitMagic('',,,,,,,,,,)</v>
      </c>
      <c r="CQ162" s="7" t="str">
        <f t="shared" si="2320"/>
        <v>InitUnitAdd('',,,,,,,,,,)</v>
      </c>
      <c r="CR162" s="7" t="str">
        <f t="shared" si="2321"/>
        <v>InitEquipData('',,"",,,,,'','','','','','',"")</v>
      </c>
      <c r="CU162" s="45" t="str">
        <f t="shared" si="2322"/>
        <v>|n</v>
      </c>
      <c r="CW162" s="24"/>
      <c r="CX162" s="24"/>
      <c r="CY162" s="24"/>
      <c r="CZ162" s="24"/>
      <c r="DA162" s="24"/>
      <c r="DB162" s="30" t="str">
        <f t="shared" si="2323"/>
        <v/>
      </c>
      <c r="DC162" s="30" t="str">
        <f t="shared" si="2324"/>
        <v/>
      </c>
      <c r="DD162" s="30" t="str">
        <f t="shared" si="2325"/>
        <v/>
      </c>
      <c r="DE162" s="30" t="str">
        <f t="shared" si="2326"/>
        <v/>
      </c>
      <c r="DF162" s="30" t="str">
        <f t="shared" si="2327"/>
        <v/>
      </c>
      <c r="DG162" s="30" t="str">
        <f t="shared" si="2328"/>
        <v/>
      </c>
      <c r="DH162" s="30" t="str">
        <f t="shared" si="2329"/>
        <v/>
      </c>
      <c r="DI162" s="30" t="str">
        <f t="shared" si="2330"/>
        <v/>
      </c>
      <c r="DJ162" s="30" t="str">
        <f t="shared" si="2331"/>
        <v/>
      </c>
      <c r="DK162" s="30" t="str">
        <f t="shared" si="2332"/>
        <v/>
      </c>
      <c r="DL162" s="30" t="str">
        <f t="shared" si="2333"/>
        <v/>
      </c>
      <c r="DM162" s="30" t="str">
        <f t="shared" si="2334"/>
        <v/>
      </c>
      <c r="DN162" s="30" t="str">
        <f t="shared" si="2335"/>
        <v/>
      </c>
      <c r="DO162" s="30" t="str">
        <f t="shared" si="2336"/>
        <v/>
      </c>
      <c r="DP162" s="30" t="str">
        <f t="shared" si="2337"/>
        <v/>
      </c>
      <c r="DQ162" s="30" t="str">
        <f t="shared" si="2338"/>
        <v/>
      </c>
      <c r="DR162" s="30" t="str">
        <f t="shared" si="2339"/>
        <v/>
      </c>
      <c r="DS162" s="30" t="str">
        <f t="shared" si="2340"/>
        <v/>
      </c>
      <c r="DT162" s="30" t="str">
        <f t="shared" si="2341"/>
        <v/>
      </c>
      <c r="DU162" s="30" t="str">
        <f t="shared" si="2342"/>
        <v/>
      </c>
      <c r="DV162" s="30" t="str">
        <f t="shared" si="2343"/>
        <v/>
      </c>
      <c r="DW162" s="30" t="str">
        <f t="shared" si="2344"/>
        <v/>
      </c>
      <c r="DX162" s="30" t="str">
        <f t="shared" si="2345"/>
        <v/>
      </c>
      <c r="DY162" s="30" t="str">
        <f t="shared" si="2346"/>
        <v/>
      </c>
      <c r="DZ162" s="30" t="str">
        <f t="shared" si="2347"/>
        <v/>
      </c>
      <c r="EA162" s="30" t="str">
        <f t="shared" si="2348"/>
        <v/>
      </c>
      <c r="EB162" s="30" t="str">
        <f t="shared" si="2349"/>
        <v/>
      </c>
      <c r="EC162" s="30" t="str">
        <f t="shared" si="2350"/>
        <v/>
      </c>
      <c r="ED162" s="30" t="str">
        <f t="shared" si="2351"/>
        <v/>
      </c>
      <c r="EE162" s="30" t="str">
        <f t="shared" si="2352"/>
        <v/>
      </c>
      <c r="EF162" s="30" t="str">
        <f t="shared" si="2353"/>
        <v/>
      </c>
      <c r="EG162" s="30" t="str">
        <f t="shared" si="2354"/>
        <v/>
      </c>
      <c r="EH162" s="30" t="str">
        <f t="shared" si="2355"/>
        <v/>
      </c>
      <c r="EI162" s="30" t="str">
        <f t="shared" si="2356"/>
        <v/>
      </c>
      <c r="EJ162" s="30" t="str">
        <f t="shared" si="2357"/>
        <v/>
      </c>
      <c r="EK162" s="30" t="str">
        <f t="shared" si="2358"/>
        <v/>
      </c>
      <c r="EL162" s="30" t="str">
        <f t="shared" si="2359"/>
        <v/>
      </c>
      <c r="EM162" s="30" t="str">
        <f t="shared" si="2360"/>
        <v/>
      </c>
      <c r="EN162" s="30" t="str">
        <f t="shared" si="2361"/>
        <v/>
      </c>
      <c r="EO162" s="30" t="str">
        <f t="shared" si="2362"/>
        <v/>
      </c>
      <c r="EP162" s="30" t="str">
        <f t="shared" si="2363"/>
        <v/>
      </c>
      <c r="EQ162" s="30" t="str">
        <f t="shared" si="2364"/>
        <v/>
      </c>
      <c r="ER162" s="30" t="str">
        <f t="shared" si="2365"/>
        <v/>
      </c>
      <c r="ES162" s="30" t="str">
        <f t="shared" si="2366"/>
        <v/>
      </c>
      <c r="ET162" s="30" t="str">
        <f t="shared" si="2367"/>
        <v/>
      </c>
      <c r="EU162" s="30" t="str">
        <f t="shared" si="2368"/>
        <v/>
      </c>
      <c r="EV162" s="30" t="str">
        <f t="shared" si="2369"/>
        <v/>
      </c>
      <c r="EW162" s="30" t="str">
        <f t="shared" si="2370"/>
        <v/>
      </c>
      <c r="EX162" s="30" t="str">
        <f t="shared" si="2371"/>
        <v/>
      </c>
      <c r="EY162" s="30" t="str">
        <f t="shared" si="2372"/>
        <v/>
      </c>
      <c r="EZ162" s="30" t="str">
        <f t="shared" si="2373"/>
        <v/>
      </c>
      <c r="FA162" s="30" t="str">
        <f t="shared" si="2374"/>
        <v/>
      </c>
      <c r="FB162" s="30" t="str">
        <f t="shared" si="2375"/>
        <v/>
      </c>
      <c r="FC162" s="30" t="str">
        <f t="shared" si="2376"/>
        <v/>
      </c>
      <c r="FD162" s="30" t="str">
        <f t="shared" si="2377"/>
        <v/>
      </c>
      <c r="FE162" s="30" t="str">
        <f t="shared" si="2378"/>
        <v/>
      </c>
      <c r="FF162" s="30" t="str">
        <f t="shared" si="2379"/>
        <v/>
      </c>
      <c r="FG162" s="30" t="str">
        <f t="shared" si="2380"/>
        <v/>
      </c>
      <c r="FH162" s="30" t="str">
        <f t="shared" si="2381"/>
        <v/>
      </c>
      <c r="FI162" s="30" t="str">
        <f t="shared" si="2382"/>
        <v/>
      </c>
      <c r="FJ162" s="30" t="str">
        <f t="shared" si="2383"/>
        <v/>
      </c>
      <c r="FK162" s="30" t="str">
        <f t="shared" si="2384"/>
        <v/>
      </c>
      <c r="FL162" s="30" t="str">
        <f t="shared" si="2385"/>
        <v/>
      </c>
      <c r="FM162" s="30" t="str">
        <f t="shared" si="2386"/>
        <v/>
      </c>
      <c r="FN162" s="30" t="str">
        <f t="shared" si="2387"/>
        <v/>
      </c>
      <c r="FO162" s="30" t="str">
        <f t="shared" si="2388"/>
        <v/>
      </c>
      <c r="FP162" s="30" t="str">
        <f t="shared" si="2389"/>
        <v/>
      </c>
      <c r="FQ162" s="30" t="str">
        <f t="shared" si="2390"/>
        <v/>
      </c>
      <c r="FR162" s="30" t="str">
        <f t="shared" si="2391"/>
        <v/>
      </c>
      <c r="FS162" s="30" t="str">
        <f t="shared" si="2392"/>
        <v/>
      </c>
    </row>
    <row r="163" spans="1:175">
      <c r="A163" s="66"/>
      <c r="B163" s="66"/>
      <c r="C163" s="66"/>
      <c r="T163" s="100"/>
      <c r="U163" s="32"/>
      <c r="CN163" s="7" t="str">
        <f t="shared" si="2317"/>
        <v>InitUnitState('',,,,,,,,,,)</v>
      </c>
      <c r="CO163" s="7" t="str">
        <f t="shared" si="2318"/>
        <v>InitUnitNormal('',,,,,,,,,,)</v>
      </c>
      <c r="CP163" s="7" t="str">
        <f t="shared" si="2319"/>
        <v>InitUnitMagic('',,,,,,,,,,)</v>
      </c>
      <c r="CQ163" s="7" t="str">
        <f t="shared" si="2320"/>
        <v>InitUnitAdd('',,,,,,,,,,)</v>
      </c>
      <c r="CR163" s="7" t="str">
        <f t="shared" si="2321"/>
        <v>InitEquipData('',,"",,,,,'','','','','','',"")</v>
      </c>
      <c r="CU163" s="45" t="str">
        <f t="shared" si="2322"/>
        <v>|n</v>
      </c>
      <c r="CW163" s="24"/>
      <c r="CX163" s="24"/>
      <c r="CY163" s="24"/>
      <c r="CZ163" s="24"/>
      <c r="DA163" s="24"/>
      <c r="DB163" s="30" t="str">
        <f t="shared" si="2323"/>
        <v/>
      </c>
      <c r="DC163" s="30" t="str">
        <f t="shared" si="2324"/>
        <v/>
      </c>
      <c r="DD163" s="30" t="str">
        <f t="shared" si="2325"/>
        <v/>
      </c>
      <c r="DE163" s="30" t="str">
        <f t="shared" si="2326"/>
        <v/>
      </c>
      <c r="DF163" s="30" t="str">
        <f t="shared" si="2327"/>
        <v/>
      </c>
      <c r="DG163" s="30" t="str">
        <f t="shared" si="2328"/>
        <v/>
      </c>
      <c r="DH163" s="30" t="str">
        <f t="shared" si="2329"/>
        <v/>
      </c>
      <c r="DI163" s="30" t="str">
        <f t="shared" si="2330"/>
        <v/>
      </c>
      <c r="DJ163" s="30" t="str">
        <f t="shared" si="2331"/>
        <v/>
      </c>
      <c r="DK163" s="30" t="str">
        <f t="shared" si="2332"/>
        <v/>
      </c>
      <c r="DL163" s="30" t="str">
        <f t="shared" si="2333"/>
        <v/>
      </c>
      <c r="DM163" s="30" t="str">
        <f t="shared" si="2334"/>
        <v/>
      </c>
      <c r="DN163" s="30" t="str">
        <f t="shared" si="2335"/>
        <v/>
      </c>
      <c r="DO163" s="30" t="str">
        <f t="shared" si="2336"/>
        <v/>
      </c>
      <c r="DP163" s="30" t="str">
        <f t="shared" si="2337"/>
        <v/>
      </c>
      <c r="DQ163" s="30" t="str">
        <f t="shared" si="2338"/>
        <v/>
      </c>
      <c r="DR163" s="30" t="str">
        <f t="shared" si="2339"/>
        <v/>
      </c>
      <c r="DS163" s="30" t="str">
        <f t="shared" si="2340"/>
        <v/>
      </c>
      <c r="DT163" s="30" t="str">
        <f t="shared" si="2341"/>
        <v/>
      </c>
      <c r="DU163" s="30" t="str">
        <f t="shared" si="2342"/>
        <v/>
      </c>
      <c r="DV163" s="30" t="str">
        <f t="shared" si="2343"/>
        <v/>
      </c>
      <c r="DW163" s="30" t="str">
        <f t="shared" si="2344"/>
        <v/>
      </c>
      <c r="DX163" s="30" t="str">
        <f t="shared" si="2345"/>
        <v/>
      </c>
      <c r="DY163" s="30" t="str">
        <f t="shared" si="2346"/>
        <v/>
      </c>
      <c r="DZ163" s="30" t="str">
        <f t="shared" si="2347"/>
        <v/>
      </c>
      <c r="EA163" s="30" t="str">
        <f t="shared" si="2348"/>
        <v/>
      </c>
      <c r="EB163" s="30" t="str">
        <f t="shared" si="2349"/>
        <v/>
      </c>
      <c r="EC163" s="30" t="str">
        <f t="shared" si="2350"/>
        <v/>
      </c>
      <c r="ED163" s="30" t="str">
        <f t="shared" si="2351"/>
        <v/>
      </c>
      <c r="EE163" s="30" t="str">
        <f t="shared" si="2352"/>
        <v/>
      </c>
      <c r="EF163" s="30" t="str">
        <f t="shared" si="2353"/>
        <v/>
      </c>
      <c r="EG163" s="30" t="str">
        <f t="shared" si="2354"/>
        <v/>
      </c>
      <c r="EH163" s="30" t="str">
        <f t="shared" si="2355"/>
        <v/>
      </c>
      <c r="EI163" s="30" t="str">
        <f t="shared" si="2356"/>
        <v/>
      </c>
      <c r="EJ163" s="30" t="str">
        <f t="shared" si="2357"/>
        <v/>
      </c>
      <c r="EK163" s="30" t="str">
        <f t="shared" si="2358"/>
        <v/>
      </c>
      <c r="EL163" s="30" t="str">
        <f t="shared" si="2359"/>
        <v/>
      </c>
      <c r="EM163" s="30" t="str">
        <f t="shared" si="2360"/>
        <v/>
      </c>
      <c r="EN163" s="30" t="str">
        <f t="shared" si="2361"/>
        <v/>
      </c>
      <c r="EO163" s="30" t="str">
        <f t="shared" si="2362"/>
        <v/>
      </c>
      <c r="EP163" s="30" t="str">
        <f t="shared" si="2363"/>
        <v/>
      </c>
      <c r="EQ163" s="30" t="str">
        <f t="shared" si="2364"/>
        <v/>
      </c>
      <c r="ER163" s="30" t="str">
        <f t="shared" si="2365"/>
        <v/>
      </c>
      <c r="ES163" s="30" t="str">
        <f t="shared" si="2366"/>
        <v/>
      </c>
      <c r="ET163" s="30" t="str">
        <f t="shared" si="2367"/>
        <v/>
      </c>
      <c r="EU163" s="30" t="str">
        <f t="shared" si="2368"/>
        <v/>
      </c>
      <c r="EV163" s="30" t="str">
        <f t="shared" si="2369"/>
        <v/>
      </c>
      <c r="EW163" s="30" t="str">
        <f t="shared" si="2370"/>
        <v/>
      </c>
      <c r="EX163" s="30" t="str">
        <f t="shared" si="2371"/>
        <v/>
      </c>
      <c r="EY163" s="30" t="str">
        <f t="shared" si="2372"/>
        <v/>
      </c>
      <c r="EZ163" s="30" t="str">
        <f t="shared" si="2373"/>
        <v/>
      </c>
      <c r="FA163" s="30" t="str">
        <f t="shared" si="2374"/>
        <v/>
      </c>
      <c r="FB163" s="30" t="str">
        <f t="shared" si="2375"/>
        <v/>
      </c>
      <c r="FC163" s="30" t="str">
        <f t="shared" si="2376"/>
        <v/>
      </c>
      <c r="FD163" s="30" t="str">
        <f t="shared" si="2377"/>
        <v/>
      </c>
      <c r="FE163" s="30" t="str">
        <f t="shared" si="2378"/>
        <v/>
      </c>
      <c r="FF163" s="30" t="str">
        <f t="shared" si="2379"/>
        <v/>
      </c>
      <c r="FG163" s="30" t="str">
        <f t="shared" si="2380"/>
        <v/>
      </c>
      <c r="FH163" s="30" t="str">
        <f t="shared" si="2381"/>
        <v/>
      </c>
      <c r="FI163" s="30" t="str">
        <f t="shared" si="2382"/>
        <v/>
      </c>
      <c r="FJ163" s="30" t="str">
        <f t="shared" si="2383"/>
        <v/>
      </c>
      <c r="FK163" s="30" t="str">
        <f t="shared" si="2384"/>
        <v/>
      </c>
      <c r="FL163" s="30" t="str">
        <f t="shared" si="2385"/>
        <v/>
      </c>
      <c r="FM163" s="30" t="str">
        <f t="shared" si="2386"/>
        <v/>
      </c>
      <c r="FN163" s="30" t="str">
        <f t="shared" si="2387"/>
        <v/>
      </c>
      <c r="FO163" s="30" t="str">
        <f t="shared" si="2388"/>
        <v/>
      </c>
      <c r="FP163" s="30" t="str">
        <f t="shared" si="2389"/>
        <v/>
      </c>
      <c r="FQ163" s="30" t="str">
        <f t="shared" si="2390"/>
        <v/>
      </c>
      <c r="FR163" s="30" t="str">
        <f t="shared" si="2391"/>
        <v/>
      </c>
      <c r="FS163" s="30" t="str">
        <f t="shared" si="2392"/>
        <v/>
      </c>
    </row>
    <row r="164" spans="1:175" s="24" customFormat="1" ht="16.5">
      <c r="A164" s="46"/>
      <c r="B164" s="36"/>
      <c r="C164" s="46"/>
      <c r="D164" s="31"/>
      <c r="E164" s="39"/>
      <c r="F164" s="41"/>
      <c r="G164" s="47"/>
      <c r="H164" s="47"/>
      <c r="I164" s="47"/>
      <c r="J164" s="47"/>
      <c r="K164" s="47"/>
      <c r="L164" s="47"/>
      <c r="M164" s="47"/>
      <c r="N164" s="47"/>
      <c r="O164" s="47"/>
      <c r="P164" s="42"/>
      <c r="Q164" s="42"/>
      <c r="R164" s="42"/>
      <c r="S164" s="42"/>
      <c r="T164" s="102"/>
      <c r="U164" s="32"/>
      <c r="V164" s="43"/>
      <c r="W164" s="43"/>
      <c r="X164" s="43"/>
      <c r="Y164" s="43"/>
      <c r="Z164" s="43"/>
      <c r="AA164" s="43"/>
      <c r="AB164" s="43"/>
      <c r="AC164" s="43"/>
      <c r="AD164" s="43"/>
      <c r="AE164" s="43"/>
      <c r="AF164" s="43"/>
      <c r="AG164" s="43"/>
      <c r="AH164" s="43"/>
      <c r="AI164" s="43"/>
      <c r="AJ164" s="43"/>
      <c r="AK164" s="43"/>
      <c r="AL164" s="43"/>
      <c r="AM164" s="43"/>
      <c r="AN164" s="43"/>
      <c r="AO164" s="43"/>
      <c r="AP164" s="43"/>
      <c r="AQ164" s="43"/>
      <c r="AR164" s="43"/>
      <c r="AS164" s="43"/>
      <c r="AT164" s="43"/>
      <c r="AU164" s="43"/>
      <c r="AV164" s="43"/>
      <c r="AW164" s="43"/>
      <c r="AX164" s="43"/>
      <c r="AY164" s="43"/>
      <c r="AZ164" s="43"/>
      <c r="BA164" s="43"/>
      <c r="BB164" s="43"/>
      <c r="BC164" s="43"/>
      <c r="BD164" s="43"/>
      <c r="BE164" s="43"/>
      <c r="BF164" s="43"/>
      <c r="BG164" s="43"/>
      <c r="BH164" s="43"/>
      <c r="BI164" s="43"/>
      <c r="BJ164" s="43"/>
      <c r="BK164" s="43"/>
      <c r="BL164" s="43"/>
      <c r="BM164" s="43"/>
      <c r="BN164" s="43"/>
      <c r="BO164" s="43"/>
      <c r="BP164" s="43"/>
      <c r="BQ164" s="43"/>
      <c r="BR164" s="43"/>
      <c r="BS164" s="43"/>
      <c r="BT164" s="43"/>
      <c r="BU164" s="43"/>
      <c r="BV164" s="43"/>
      <c r="BW164" s="43"/>
      <c r="BX164" s="43"/>
      <c r="BY164" s="43"/>
      <c r="BZ164" s="43"/>
      <c r="CA164" s="43"/>
      <c r="CB164" s="43"/>
      <c r="CC164" s="43"/>
      <c r="CD164" s="43"/>
      <c r="CE164" s="43"/>
      <c r="CF164" s="43"/>
      <c r="CG164" s="43"/>
      <c r="CH164" s="43"/>
      <c r="CI164" s="43"/>
      <c r="CJ164" s="43"/>
      <c r="CK164" s="43"/>
      <c r="CL164" s="43"/>
      <c r="CM164" s="43"/>
      <c r="CN164" s="44" t="str">
        <f t="shared" si="2317"/>
        <v>InitUnitState('',,,,,,,,,,)</v>
      </c>
      <c r="CO164" s="44" t="str">
        <f t="shared" si="2318"/>
        <v>InitUnitNormal('',,,,,,,,,,)</v>
      </c>
      <c r="CP164" s="44" t="str">
        <f t="shared" si="2319"/>
        <v>InitUnitMagic('',,,,,,,,,,)</v>
      </c>
      <c r="CQ164" s="44" t="str">
        <f t="shared" si="2320"/>
        <v>InitUnitAdd('',,,,,,,,,,)</v>
      </c>
      <c r="CR164" s="44" t="str">
        <f t="shared" si="2321"/>
        <v>InitEquipData('',,"",,,,,'','','','','','',"")</v>
      </c>
      <c r="CS164" s="44"/>
      <c r="CT164" s="44"/>
      <c r="CU164" s="45" t="str">
        <f t="shared" si="2322"/>
        <v>|n</v>
      </c>
      <c r="CV164" s="29"/>
      <c r="DB164" s="30" t="str">
        <f t="shared" si="2323"/>
        <v/>
      </c>
      <c r="DC164" s="30" t="str">
        <f t="shared" si="2324"/>
        <v/>
      </c>
      <c r="DD164" s="30" t="str">
        <f t="shared" si="2325"/>
        <v/>
      </c>
      <c r="DE164" s="30" t="str">
        <f t="shared" si="2326"/>
        <v/>
      </c>
      <c r="DF164" s="30" t="str">
        <f t="shared" si="2327"/>
        <v/>
      </c>
      <c r="DG164" s="30" t="str">
        <f t="shared" si="2328"/>
        <v/>
      </c>
      <c r="DH164" s="30" t="str">
        <f t="shared" si="2329"/>
        <v/>
      </c>
      <c r="DI164" s="30" t="str">
        <f t="shared" si="2330"/>
        <v/>
      </c>
      <c r="DJ164" s="30" t="str">
        <f t="shared" si="2331"/>
        <v/>
      </c>
      <c r="DK164" s="30" t="str">
        <f t="shared" si="2332"/>
        <v/>
      </c>
      <c r="DL164" s="30" t="str">
        <f t="shared" si="2333"/>
        <v/>
      </c>
      <c r="DM164" s="30" t="str">
        <f t="shared" si="2334"/>
        <v/>
      </c>
      <c r="DN164" s="30" t="str">
        <f t="shared" si="2335"/>
        <v/>
      </c>
      <c r="DO164" s="30" t="str">
        <f t="shared" si="2336"/>
        <v/>
      </c>
      <c r="DP164" s="30" t="str">
        <f t="shared" si="2337"/>
        <v/>
      </c>
      <c r="DQ164" s="30" t="str">
        <f t="shared" si="2338"/>
        <v/>
      </c>
      <c r="DR164" s="30" t="str">
        <f t="shared" si="2339"/>
        <v/>
      </c>
      <c r="DS164" s="30" t="str">
        <f t="shared" si="2340"/>
        <v/>
      </c>
      <c r="DT164" s="30" t="str">
        <f t="shared" si="2341"/>
        <v/>
      </c>
      <c r="DU164" s="30" t="str">
        <f t="shared" si="2342"/>
        <v/>
      </c>
      <c r="DV164" s="30" t="str">
        <f t="shared" si="2343"/>
        <v/>
      </c>
      <c r="DW164" s="30" t="str">
        <f t="shared" si="2344"/>
        <v/>
      </c>
      <c r="DX164" s="30" t="str">
        <f t="shared" si="2345"/>
        <v/>
      </c>
      <c r="DY164" s="30" t="str">
        <f t="shared" si="2346"/>
        <v/>
      </c>
      <c r="DZ164" s="30" t="str">
        <f t="shared" si="2347"/>
        <v/>
      </c>
      <c r="EA164" s="30" t="str">
        <f t="shared" si="2348"/>
        <v/>
      </c>
      <c r="EB164" s="30" t="str">
        <f t="shared" si="2349"/>
        <v/>
      </c>
      <c r="EC164" s="30" t="str">
        <f t="shared" si="2350"/>
        <v/>
      </c>
      <c r="ED164" s="30" t="str">
        <f t="shared" si="2351"/>
        <v/>
      </c>
      <c r="EE164" s="30" t="str">
        <f t="shared" si="2352"/>
        <v/>
      </c>
      <c r="EF164" s="30" t="str">
        <f t="shared" si="2353"/>
        <v/>
      </c>
      <c r="EG164" s="30" t="str">
        <f t="shared" si="2354"/>
        <v/>
      </c>
      <c r="EH164" s="30" t="str">
        <f t="shared" si="2355"/>
        <v/>
      </c>
      <c r="EI164" s="30" t="str">
        <f t="shared" si="2356"/>
        <v/>
      </c>
      <c r="EJ164" s="30" t="str">
        <f t="shared" si="2357"/>
        <v/>
      </c>
      <c r="EK164" s="30" t="str">
        <f t="shared" si="2358"/>
        <v/>
      </c>
      <c r="EL164" s="30" t="str">
        <f t="shared" si="2359"/>
        <v/>
      </c>
      <c r="EM164" s="30" t="str">
        <f t="shared" si="2360"/>
        <v/>
      </c>
      <c r="EN164" s="30" t="str">
        <f t="shared" si="2361"/>
        <v/>
      </c>
      <c r="EO164" s="30" t="str">
        <f t="shared" si="2362"/>
        <v/>
      </c>
      <c r="EP164" s="30" t="str">
        <f t="shared" si="2363"/>
        <v/>
      </c>
      <c r="EQ164" s="30" t="str">
        <f t="shared" si="2364"/>
        <v/>
      </c>
      <c r="ER164" s="30" t="str">
        <f t="shared" si="2365"/>
        <v/>
      </c>
      <c r="ES164" s="30" t="str">
        <f t="shared" si="2366"/>
        <v/>
      </c>
      <c r="ET164" s="30" t="str">
        <f t="shared" si="2367"/>
        <v/>
      </c>
      <c r="EU164" s="30" t="str">
        <f t="shared" si="2368"/>
        <v/>
      </c>
      <c r="EV164" s="30" t="str">
        <f t="shared" si="2369"/>
        <v/>
      </c>
      <c r="EW164" s="30" t="str">
        <f t="shared" si="2370"/>
        <v/>
      </c>
      <c r="EX164" s="30" t="str">
        <f t="shared" si="2371"/>
        <v/>
      </c>
      <c r="EY164" s="30" t="str">
        <f t="shared" si="2372"/>
        <v/>
      </c>
      <c r="EZ164" s="30" t="str">
        <f t="shared" si="2373"/>
        <v/>
      </c>
      <c r="FA164" s="30" t="str">
        <f t="shared" si="2374"/>
        <v/>
      </c>
      <c r="FB164" s="30" t="str">
        <f t="shared" si="2375"/>
        <v/>
      </c>
      <c r="FC164" s="30" t="str">
        <f t="shared" si="2376"/>
        <v/>
      </c>
      <c r="FD164" s="30" t="str">
        <f t="shared" si="2377"/>
        <v/>
      </c>
      <c r="FE164" s="30" t="str">
        <f t="shared" si="2378"/>
        <v/>
      </c>
      <c r="FF164" s="30" t="str">
        <f t="shared" si="2379"/>
        <v/>
      </c>
      <c r="FG164" s="30" t="str">
        <f t="shared" si="2380"/>
        <v/>
      </c>
      <c r="FH164" s="30" t="str">
        <f t="shared" si="2381"/>
        <v/>
      </c>
      <c r="FI164" s="30" t="str">
        <f t="shared" si="2382"/>
        <v/>
      </c>
      <c r="FJ164" s="30" t="str">
        <f t="shared" si="2383"/>
        <v/>
      </c>
      <c r="FK164" s="30" t="str">
        <f t="shared" si="2384"/>
        <v/>
      </c>
      <c r="FL164" s="30" t="str">
        <f t="shared" si="2385"/>
        <v/>
      </c>
      <c r="FM164" s="30" t="str">
        <f t="shared" si="2386"/>
        <v/>
      </c>
      <c r="FN164" s="30" t="str">
        <f t="shared" si="2387"/>
        <v/>
      </c>
      <c r="FO164" s="30" t="str">
        <f t="shared" si="2388"/>
        <v/>
      </c>
      <c r="FP164" s="30" t="str">
        <f t="shared" si="2389"/>
        <v/>
      </c>
      <c r="FQ164" s="30" t="str">
        <f t="shared" si="2390"/>
        <v/>
      </c>
      <c r="FR164" s="30" t="str">
        <f t="shared" si="2391"/>
        <v/>
      </c>
      <c r="FS164" s="30" t="str">
        <f t="shared" si="2392"/>
        <v/>
      </c>
    </row>
    <row r="165" spans="1:175" s="24" customFormat="1" ht="16.5">
      <c r="A165" s="46"/>
      <c r="B165" s="36"/>
      <c r="C165" s="46"/>
      <c r="D165" s="31"/>
      <c r="E165" s="39"/>
      <c r="F165" s="41"/>
      <c r="G165" s="47"/>
      <c r="H165" s="47"/>
      <c r="I165" s="47"/>
      <c r="J165" s="47"/>
      <c r="K165" s="47"/>
      <c r="L165" s="47"/>
      <c r="M165" s="47"/>
      <c r="N165" s="47"/>
      <c r="O165" s="47"/>
      <c r="P165" s="42"/>
      <c r="Q165" s="42"/>
      <c r="R165" s="42"/>
      <c r="S165" s="42"/>
      <c r="T165" s="102"/>
      <c r="U165" s="32"/>
      <c r="V165" s="43"/>
      <c r="W165" s="43"/>
      <c r="X165" s="43"/>
      <c r="Y165" s="43"/>
      <c r="Z165" s="43"/>
      <c r="AA165" s="43"/>
      <c r="AB165" s="43"/>
      <c r="AC165" s="43"/>
      <c r="AD165" s="43"/>
      <c r="AE165" s="43"/>
      <c r="AF165" s="43"/>
      <c r="AG165" s="43"/>
      <c r="AH165" s="43"/>
      <c r="AI165" s="43"/>
      <c r="AJ165" s="43"/>
      <c r="AK165" s="43"/>
      <c r="AL165" s="43"/>
      <c r="AM165" s="43"/>
      <c r="AN165" s="43"/>
      <c r="AO165" s="43"/>
      <c r="AP165" s="43"/>
      <c r="AQ165" s="43"/>
      <c r="AR165" s="43"/>
      <c r="AS165" s="43"/>
      <c r="AT165" s="43"/>
      <c r="AU165" s="43"/>
      <c r="AV165" s="43"/>
      <c r="AW165" s="43"/>
      <c r="AX165" s="43"/>
      <c r="AY165" s="43"/>
      <c r="AZ165" s="43"/>
      <c r="BA165" s="43"/>
      <c r="BB165" s="43"/>
      <c r="BC165" s="43"/>
      <c r="BD165" s="43"/>
      <c r="BE165" s="43"/>
      <c r="BF165" s="43"/>
      <c r="BG165" s="43"/>
      <c r="BH165" s="43"/>
      <c r="BI165" s="43"/>
      <c r="BJ165" s="43"/>
      <c r="BK165" s="43"/>
      <c r="BL165" s="43"/>
      <c r="BM165" s="43"/>
      <c r="BN165" s="43"/>
      <c r="BO165" s="43"/>
      <c r="BP165" s="43"/>
      <c r="BQ165" s="43"/>
      <c r="BR165" s="43"/>
      <c r="BS165" s="43"/>
      <c r="BT165" s="43"/>
      <c r="BU165" s="43"/>
      <c r="BV165" s="43"/>
      <c r="BW165" s="43"/>
      <c r="BX165" s="43"/>
      <c r="BY165" s="43"/>
      <c r="BZ165" s="43"/>
      <c r="CA165" s="43"/>
      <c r="CB165" s="43"/>
      <c r="CC165" s="43"/>
      <c r="CD165" s="43"/>
      <c r="CE165" s="43"/>
      <c r="CF165" s="43"/>
      <c r="CG165" s="43"/>
      <c r="CH165" s="43"/>
      <c r="CI165" s="43"/>
      <c r="CJ165" s="43"/>
      <c r="CK165" s="43"/>
      <c r="CL165" s="43"/>
      <c r="CM165" s="43"/>
      <c r="CN165" s="44" t="str">
        <f t="shared" si="2317"/>
        <v>InitUnitState('',,,,,,,,,,)</v>
      </c>
      <c r="CO165" s="44" t="str">
        <f t="shared" si="2318"/>
        <v>InitUnitNormal('',,,,,,,,,,)</v>
      </c>
      <c r="CP165" s="44" t="str">
        <f t="shared" si="2319"/>
        <v>InitUnitMagic('',,,,,,,,,,)</v>
      </c>
      <c r="CQ165" s="44" t="str">
        <f t="shared" si="2320"/>
        <v>InitUnitAdd('',,,,,,,,,,)</v>
      </c>
      <c r="CR165" s="44" t="str">
        <f t="shared" si="2321"/>
        <v>InitEquipData('',,"",,,,,'','','','','','',"")</v>
      </c>
      <c r="CS165" s="44"/>
      <c r="CT165" s="44"/>
      <c r="CU165" s="45" t="str">
        <f t="shared" si="2322"/>
        <v>|n</v>
      </c>
      <c r="CV165" s="29"/>
      <c r="DB165" s="30" t="str">
        <f t="shared" si="2323"/>
        <v/>
      </c>
      <c r="DC165" s="30" t="str">
        <f t="shared" si="2324"/>
        <v/>
      </c>
      <c r="DD165" s="30" t="str">
        <f t="shared" si="2325"/>
        <v/>
      </c>
      <c r="DE165" s="30" t="str">
        <f t="shared" si="2326"/>
        <v/>
      </c>
      <c r="DF165" s="30" t="str">
        <f t="shared" si="2327"/>
        <v/>
      </c>
      <c r="DG165" s="30" t="str">
        <f t="shared" si="2328"/>
        <v/>
      </c>
      <c r="DH165" s="30" t="str">
        <f t="shared" si="2329"/>
        <v/>
      </c>
      <c r="DI165" s="30" t="str">
        <f t="shared" si="2330"/>
        <v/>
      </c>
      <c r="DJ165" s="30" t="str">
        <f t="shared" si="2331"/>
        <v/>
      </c>
      <c r="DK165" s="30" t="str">
        <f t="shared" si="2332"/>
        <v/>
      </c>
      <c r="DL165" s="30" t="str">
        <f t="shared" si="2333"/>
        <v/>
      </c>
      <c r="DM165" s="30" t="str">
        <f t="shared" si="2334"/>
        <v/>
      </c>
      <c r="DN165" s="30" t="str">
        <f t="shared" si="2335"/>
        <v/>
      </c>
      <c r="DO165" s="30" t="str">
        <f t="shared" si="2336"/>
        <v/>
      </c>
      <c r="DP165" s="30" t="str">
        <f t="shared" si="2337"/>
        <v/>
      </c>
      <c r="DQ165" s="30" t="str">
        <f t="shared" si="2338"/>
        <v/>
      </c>
      <c r="DR165" s="30" t="str">
        <f t="shared" si="2339"/>
        <v/>
      </c>
      <c r="DS165" s="30" t="str">
        <f t="shared" si="2340"/>
        <v/>
      </c>
      <c r="DT165" s="30" t="str">
        <f t="shared" si="2341"/>
        <v/>
      </c>
      <c r="DU165" s="30" t="str">
        <f t="shared" si="2342"/>
        <v/>
      </c>
      <c r="DV165" s="30" t="str">
        <f t="shared" si="2343"/>
        <v/>
      </c>
      <c r="DW165" s="30" t="str">
        <f t="shared" si="2344"/>
        <v/>
      </c>
      <c r="DX165" s="30" t="str">
        <f t="shared" si="2345"/>
        <v/>
      </c>
      <c r="DY165" s="30" t="str">
        <f t="shared" si="2346"/>
        <v/>
      </c>
      <c r="DZ165" s="30" t="str">
        <f t="shared" si="2347"/>
        <v/>
      </c>
      <c r="EA165" s="30" t="str">
        <f t="shared" si="2348"/>
        <v/>
      </c>
      <c r="EB165" s="30" t="str">
        <f t="shared" si="2349"/>
        <v/>
      </c>
      <c r="EC165" s="30" t="str">
        <f t="shared" si="2350"/>
        <v/>
      </c>
      <c r="ED165" s="30" t="str">
        <f t="shared" si="2351"/>
        <v/>
      </c>
      <c r="EE165" s="30" t="str">
        <f t="shared" si="2352"/>
        <v/>
      </c>
      <c r="EF165" s="30" t="str">
        <f t="shared" si="2353"/>
        <v/>
      </c>
      <c r="EG165" s="30" t="str">
        <f t="shared" si="2354"/>
        <v/>
      </c>
      <c r="EH165" s="30" t="str">
        <f t="shared" si="2355"/>
        <v/>
      </c>
      <c r="EI165" s="30" t="str">
        <f t="shared" si="2356"/>
        <v/>
      </c>
      <c r="EJ165" s="30" t="str">
        <f t="shared" si="2357"/>
        <v/>
      </c>
      <c r="EK165" s="30" t="str">
        <f t="shared" si="2358"/>
        <v/>
      </c>
      <c r="EL165" s="30" t="str">
        <f t="shared" si="2359"/>
        <v/>
      </c>
      <c r="EM165" s="30" t="str">
        <f t="shared" si="2360"/>
        <v/>
      </c>
      <c r="EN165" s="30" t="str">
        <f t="shared" si="2361"/>
        <v/>
      </c>
      <c r="EO165" s="30" t="str">
        <f t="shared" si="2362"/>
        <v/>
      </c>
      <c r="EP165" s="30" t="str">
        <f t="shared" si="2363"/>
        <v/>
      </c>
      <c r="EQ165" s="30" t="str">
        <f t="shared" si="2364"/>
        <v/>
      </c>
      <c r="ER165" s="30" t="str">
        <f t="shared" si="2365"/>
        <v/>
      </c>
      <c r="ES165" s="30" t="str">
        <f t="shared" si="2366"/>
        <v/>
      </c>
      <c r="ET165" s="30" t="str">
        <f t="shared" si="2367"/>
        <v/>
      </c>
      <c r="EU165" s="30" t="str">
        <f t="shared" si="2368"/>
        <v/>
      </c>
      <c r="EV165" s="30" t="str">
        <f t="shared" si="2369"/>
        <v/>
      </c>
      <c r="EW165" s="30" t="str">
        <f t="shared" si="2370"/>
        <v/>
      </c>
      <c r="EX165" s="30" t="str">
        <f t="shared" si="2371"/>
        <v/>
      </c>
      <c r="EY165" s="30" t="str">
        <f t="shared" si="2372"/>
        <v/>
      </c>
      <c r="EZ165" s="30" t="str">
        <f t="shared" si="2373"/>
        <v/>
      </c>
      <c r="FA165" s="30" t="str">
        <f t="shared" si="2374"/>
        <v/>
      </c>
      <c r="FB165" s="30" t="str">
        <f t="shared" si="2375"/>
        <v/>
      </c>
      <c r="FC165" s="30" t="str">
        <f t="shared" si="2376"/>
        <v/>
      </c>
      <c r="FD165" s="30" t="str">
        <f t="shared" si="2377"/>
        <v/>
      </c>
      <c r="FE165" s="30" t="str">
        <f t="shared" si="2378"/>
        <v/>
      </c>
      <c r="FF165" s="30" t="str">
        <f t="shared" si="2379"/>
        <v/>
      </c>
      <c r="FG165" s="30" t="str">
        <f t="shared" si="2380"/>
        <v/>
      </c>
      <c r="FH165" s="30" t="str">
        <f t="shared" si="2381"/>
        <v/>
      </c>
      <c r="FI165" s="30" t="str">
        <f t="shared" si="2382"/>
        <v/>
      </c>
      <c r="FJ165" s="30" t="str">
        <f t="shared" si="2383"/>
        <v/>
      </c>
      <c r="FK165" s="30" t="str">
        <f t="shared" si="2384"/>
        <v/>
      </c>
      <c r="FL165" s="30" t="str">
        <f t="shared" si="2385"/>
        <v/>
      </c>
      <c r="FM165" s="30" t="str">
        <f t="shared" si="2386"/>
        <v/>
      </c>
      <c r="FN165" s="30" t="str">
        <f t="shared" si="2387"/>
        <v/>
      </c>
      <c r="FO165" s="30" t="str">
        <f t="shared" si="2388"/>
        <v/>
      </c>
      <c r="FP165" s="30" t="str">
        <f t="shared" si="2389"/>
        <v/>
      </c>
      <c r="FQ165" s="30" t="str">
        <f t="shared" si="2390"/>
        <v/>
      </c>
      <c r="FR165" s="30" t="str">
        <f t="shared" si="2391"/>
        <v/>
      </c>
      <c r="FS165" s="30" t="str">
        <f t="shared" si="2392"/>
        <v/>
      </c>
    </row>
    <row r="166" spans="1:175" s="24" customFormat="1" ht="16.5">
      <c r="A166" s="46"/>
      <c r="B166" s="36"/>
      <c r="C166" s="46"/>
      <c r="D166" s="31"/>
      <c r="E166" s="39"/>
      <c r="F166" s="41"/>
      <c r="G166" s="47"/>
      <c r="H166" s="47"/>
      <c r="I166" s="47"/>
      <c r="J166" s="47"/>
      <c r="K166" s="47"/>
      <c r="L166" s="47"/>
      <c r="M166" s="47"/>
      <c r="N166" s="47"/>
      <c r="O166" s="47"/>
      <c r="P166" s="42"/>
      <c r="Q166" s="42"/>
      <c r="R166" s="42"/>
      <c r="S166" s="42"/>
      <c r="T166" s="102"/>
      <c r="U166" s="32"/>
      <c r="V166" s="43"/>
      <c r="W166" s="43"/>
      <c r="X166" s="43"/>
      <c r="Y166" s="43"/>
      <c r="Z166" s="43"/>
      <c r="AA166" s="43"/>
      <c r="AB166" s="43"/>
      <c r="AC166" s="43"/>
      <c r="AD166" s="43"/>
      <c r="AE166" s="43"/>
      <c r="AF166" s="43"/>
      <c r="AG166" s="43"/>
      <c r="AH166" s="43"/>
      <c r="AI166" s="43"/>
      <c r="AJ166" s="43"/>
      <c r="AK166" s="43"/>
      <c r="AL166" s="43"/>
      <c r="AM166" s="43"/>
      <c r="AN166" s="43"/>
      <c r="AO166" s="43"/>
      <c r="AP166" s="43"/>
      <c r="AQ166" s="43"/>
      <c r="AR166" s="43"/>
      <c r="AS166" s="43"/>
      <c r="AT166" s="43"/>
      <c r="AU166" s="43"/>
      <c r="AV166" s="43"/>
      <c r="AW166" s="43"/>
      <c r="AX166" s="43"/>
      <c r="AY166" s="43"/>
      <c r="AZ166" s="43"/>
      <c r="BA166" s="43"/>
      <c r="BB166" s="43"/>
      <c r="BC166" s="43"/>
      <c r="BD166" s="43"/>
      <c r="BE166" s="43"/>
      <c r="BF166" s="43"/>
      <c r="BG166" s="43"/>
      <c r="BH166" s="43"/>
      <c r="BI166" s="43"/>
      <c r="BJ166" s="43"/>
      <c r="BK166" s="43"/>
      <c r="BL166" s="43"/>
      <c r="BM166" s="43"/>
      <c r="BN166" s="43"/>
      <c r="BO166" s="43"/>
      <c r="BP166" s="43"/>
      <c r="BQ166" s="43"/>
      <c r="BR166" s="43"/>
      <c r="BS166" s="43"/>
      <c r="BT166" s="43"/>
      <c r="BU166" s="43"/>
      <c r="BV166" s="43"/>
      <c r="BW166" s="43"/>
      <c r="BX166" s="43"/>
      <c r="BY166" s="43"/>
      <c r="BZ166" s="43"/>
      <c r="CA166" s="43"/>
      <c r="CB166" s="43"/>
      <c r="CC166" s="43"/>
      <c r="CD166" s="43"/>
      <c r="CE166" s="43"/>
      <c r="CF166" s="43"/>
      <c r="CG166" s="43"/>
      <c r="CH166" s="43"/>
      <c r="CI166" s="43"/>
      <c r="CJ166" s="43"/>
      <c r="CK166" s="43"/>
      <c r="CL166" s="43"/>
      <c r="CM166" s="43"/>
      <c r="CN166" s="44" t="str">
        <f t="shared" si="2317"/>
        <v>InitUnitState('',,,,,,,,,,)</v>
      </c>
      <c r="CO166" s="44" t="str">
        <f t="shared" si="2318"/>
        <v>InitUnitNormal('',,,,,,,,,,)</v>
      </c>
      <c r="CP166" s="44" t="str">
        <f t="shared" si="2319"/>
        <v>InitUnitMagic('',,,,,,,,,,)</v>
      </c>
      <c r="CQ166" s="44" t="str">
        <f t="shared" si="2320"/>
        <v>InitUnitAdd('',,,,,,,,,,)</v>
      </c>
      <c r="CR166" s="44" t="str">
        <f t="shared" si="2321"/>
        <v>InitEquipData('',,"",,,,,'','','','','','',"")</v>
      </c>
      <c r="CS166" s="44"/>
      <c r="CT166" s="44"/>
      <c r="CU166" s="45" t="str">
        <f t="shared" si="2322"/>
        <v>|n</v>
      </c>
      <c r="CV166" s="29"/>
      <c r="DB166" s="30" t="str">
        <f t="shared" si="2323"/>
        <v/>
      </c>
      <c r="DC166" s="30" t="str">
        <f t="shared" si="2324"/>
        <v/>
      </c>
      <c r="DD166" s="30" t="str">
        <f t="shared" si="2325"/>
        <v/>
      </c>
      <c r="DE166" s="30" t="str">
        <f t="shared" si="2326"/>
        <v/>
      </c>
      <c r="DF166" s="30" t="str">
        <f t="shared" si="2327"/>
        <v/>
      </c>
      <c r="DG166" s="30" t="str">
        <f t="shared" si="2328"/>
        <v/>
      </c>
      <c r="DH166" s="30" t="str">
        <f t="shared" si="2329"/>
        <v/>
      </c>
      <c r="DI166" s="30" t="str">
        <f t="shared" si="2330"/>
        <v/>
      </c>
      <c r="DJ166" s="30" t="str">
        <f t="shared" si="2331"/>
        <v/>
      </c>
      <c r="DK166" s="30" t="str">
        <f t="shared" si="2332"/>
        <v/>
      </c>
      <c r="DL166" s="30" t="str">
        <f t="shared" si="2333"/>
        <v/>
      </c>
      <c r="DM166" s="30" t="str">
        <f t="shared" si="2334"/>
        <v/>
      </c>
      <c r="DN166" s="30" t="str">
        <f t="shared" si="2335"/>
        <v/>
      </c>
      <c r="DO166" s="30" t="str">
        <f t="shared" si="2336"/>
        <v/>
      </c>
      <c r="DP166" s="30" t="str">
        <f t="shared" si="2337"/>
        <v/>
      </c>
      <c r="DQ166" s="30" t="str">
        <f t="shared" si="2338"/>
        <v/>
      </c>
      <c r="DR166" s="30" t="str">
        <f t="shared" si="2339"/>
        <v/>
      </c>
      <c r="DS166" s="30" t="str">
        <f t="shared" si="2340"/>
        <v/>
      </c>
      <c r="DT166" s="30" t="str">
        <f t="shared" si="2341"/>
        <v/>
      </c>
      <c r="DU166" s="30" t="str">
        <f t="shared" si="2342"/>
        <v/>
      </c>
      <c r="DV166" s="30" t="str">
        <f t="shared" si="2343"/>
        <v/>
      </c>
      <c r="DW166" s="30" t="str">
        <f t="shared" si="2344"/>
        <v/>
      </c>
      <c r="DX166" s="30" t="str">
        <f t="shared" si="2345"/>
        <v/>
      </c>
      <c r="DY166" s="30" t="str">
        <f t="shared" si="2346"/>
        <v/>
      </c>
      <c r="DZ166" s="30" t="str">
        <f t="shared" si="2347"/>
        <v/>
      </c>
      <c r="EA166" s="30" t="str">
        <f t="shared" si="2348"/>
        <v/>
      </c>
      <c r="EB166" s="30" t="str">
        <f t="shared" si="2349"/>
        <v/>
      </c>
      <c r="EC166" s="30" t="str">
        <f t="shared" si="2350"/>
        <v/>
      </c>
      <c r="ED166" s="30" t="str">
        <f t="shared" si="2351"/>
        <v/>
      </c>
      <c r="EE166" s="30" t="str">
        <f t="shared" si="2352"/>
        <v/>
      </c>
      <c r="EF166" s="30" t="str">
        <f t="shared" si="2353"/>
        <v/>
      </c>
      <c r="EG166" s="30" t="str">
        <f t="shared" si="2354"/>
        <v/>
      </c>
      <c r="EH166" s="30" t="str">
        <f t="shared" si="2355"/>
        <v/>
      </c>
      <c r="EI166" s="30" t="str">
        <f t="shared" si="2356"/>
        <v/>
      </c>
      <c r="EJ166" s="30" t="str">
        <f t="shared" si="2357"/>
        <v/>
      </c>
      <c r="EK166" s="30" t="str">
        <f t="shared" si="2358"/>
        <v/>
      </c>
      <c r="EL166" s="30" t="str">
        <f t="shared" si="2359"/>
        <v/>
      </c>
      <c r="EM166" s="30" t="str">
        <f t="shared" si="2360"/>
        <v/>
      </c>
      <c r="EN166" s="30" t="str">
        <f t="shared" si="2361"/>
        <v/>
      </c>
      <c r="EO166" s="30" t="str">
        <f t="shared" si="2362"/>
        <v/>
      </c>
      <c r="EP166" s="30" t="str">
        <f t="shared" si="2363"/>
        <v/>
      </c>
      <c r="EQ166" s="30" t="str">
        <f t="shared" si="2364"/>
        <v/>
      </c>
      <c r="ER166" s="30" t="str">
        <f t="shared" si="2365"/>
        <v/>
      </c>
      <c r="ES166" s="30" t="str">
        <f t="shared" si="2366"/>
        <v/>
      </c>
      <c r="ET166" s="30" t="str">
        <f t="shared" si="2367"/>
        <v/>
      </c>
      <c r="EU166" s="30" t="str">
        <f t="shared" si="2368"/>
        <v/>
      </c>
      <c r="EV166" s="30" t="str">
        <f t="shared" si="2369"/>
        <v/>
      </c>
      <c r="EW166" s="30" t="str">
        <f t="shared" si="2370"/>
        <v/>
      </c>
      <c r="EX166" s="30" t="str">
        <f t="shared" si="2371"/>
        <v/>
      </c>
      <c r="EY166" s="30" t="str">
        <f t="shared" si="2372"/>
        <v/>
      </c>
      <c r="EZ166" s="30" t="str">
        <f t="shared" si="2373"/>
        <v/>
      </c>
      <c r="FA166" s="30" t="str">
        <f t="shared" si="2374"/>
        <v/>
      </c>
      <c r="FB166" s="30" t="str">
        <f t="shared" si="2375"/>
        <v/>
      </c>
      <c r="FC166" s="30" t="str">
        <f t="shared" si="2376"/>
        <v/>
      </c>
      <c r="FD166" s="30" t="str">
        <f t="shared" si="2377"/>
        <v/>
      </c>
      <c r="FE166" s="30" t="str">
        <f t="shared" si="2378"/>
        <v/>
      </c>
      <c r="FF166" s="30" t="str">
        <f t="shared" si="2379"/>
        <v/>
      </c>
      <c r="FG166" s="30" t="str">
        <f t="shared" si="2380"/>
        <v/>
      </c>
      <c r="FH166" s="30" t="str">
        <f t="shared" si="2381"/>
        <v/>
      </c>
      <c r="FI166" s="30" t="str">
        <f t="shared" si="2382"/>
        <v/>
      </c>
      <c r="FJ166" s="30" t="str">
        <f t="shared" si="2383"/>
        <v/>
      </c>
      <c r="FK166" s="30" t="str">
        <f t="shared" si="2384"/>
        <v/>
      </c>
      <c r="FL166" s="30" t="str">
        <f t="shared" si="2385"/>
        <v/>
      </c>
      <c r="FM166" s="30" t="str">
        <f t="shared" si="2386"/>
        <v/>
      </c>
      <c r="FN166" s="30" t="str">
        <f t="shared" si="2387"/>
        <v/>
      </c>
      <c r="FO166" s="30" t="str">
        <f t="shared" si="2388"/>
        <v/>
      </c>
      <c r="FP166" s="30" t="str">
        <f t="shared" si="2389"/>
        <v/>
      </c>
      <c r="FQ166" s="30" t="str">
        <f t="shared" si="2390"/>
        <v/>
      </c>
      <c r="FR166" s="30" t="str">
        <f t="shared" si="2391"/>
        <v/>
      </c>
      <c r="FS166" s="30" t="str">
        <f t="shared" si="2392"/>
        <v/>
      </c>
    </row>
    <row r="167" spans="1:175" s="24" customFormat="1" ht="16.5">
      <c r="A167" s="46"/>
      <c r="B167" s="36"/>
      <c r="C167" s="46"/>
      <c r="D167" s="31"/>
      <c r="E167" s="39"/>
      <c r="F167" s="41"/>
      <c r="G167" s="47"/>
      <c r="H167" s="47"/>
      <c r="I167" s="47"/>
      <c r="J167" s="47"/>
      <c r="K167" s="47"/>
      <c r="L167" s="47"/>
      <c r="M167" s="47"/>
      <c r="N167" s="47"/>
      <c r="O167" s="47"/>
      <c r="P167" s="42"/>
      <c r="Q167" s="42"/>
      <c r="R167" s="42"/>
      <c r="S167" s="42"/>
      <c r="T167" s="102"/>
      <c r="U167" s="32"/>
      <c r="V167" s="43"/>
      <c r="W167" s="43"/>
      <c r="X167" s="43"/>
      <c r="Y167" s="43"/>
      <c r="Z167" s="43"/>
      <c r="AA167" s="43"/>
      <c r="AB167" s="43"/>
      <c r="AC167" s="43"/>
      <c r="AD167" s="43"/>
      <c r="AE167" s="43"/>
      <c r="AF167" s="43"/>
      <c r="AG167" s="43"/>
      <c r="AH167" s="43"/>
      <c r="AI167" s="43"/>
      <c r="AJ167" s="43"/>
      <c r="AK167" s="43"/>
      <c r="AL167" s="43"/>
      <c r="AM167" s="43"/>
      <c r="AN167" s="43"/>
      <c r="AO167" s="43"/>
      <c r="AP167" s="43"/>
      <c r="AQ167" s="43"/>
      <c r="AR167" s="43"/>
      <c r="AS167" s="43"/>
      <c r="AT167" s="43"/>
      <c r="AU167" s="43"/>
      <c r="AV167" s="43"/>
      <c r="AW167" s="43"/>
      <c r="AX167" s="43"/>
      <c r="AY167" s="43"/>
      <c r="AZ167" s="43"/>
      <c r="BA167" s="43"/>
      <c r="BB167" s="43"/>
      <c r="BC167" s="43"/>
      <c r="BD167" s="43"/>
      <c r="BE167" s="43"/>
      <c r="BF167" s="43"/>
      <c r="BG167" s="43"/>
      <c r="BH167" s="43"/>
      <c r="BI167" s="43"/>
      <c r="BJ167" s="43"/>
      <c r="BK167" s="43"/>
      <c r="BL167" s="43"/>
      <c r="BM167" s="43"/>
      <c r="BN167" s="43"/>
      <c r="BO167" s="43"/>
      <c r="BP167" s="43"/>
      <c r="BQ167" s="43"/>
      <c r="BR167" s="43"/>
      <c r="BS167" s="43"/>
      <c r="BT167" s="43"/>
      <c r="BU167" s="43"/>
      <c r="BV167" s="43"/>
      <c r="BW167" s="43"/>
      <c r="BX167" s="43"/>
      <c r="BY167" s="43"/>
      <c r="BZ167" s="43"/>
      <c r="CA167" s="43"/>
      <c r="CB167" s="43"/>
      <c r="CC167" s="43"/>
      <c r="CD167" s="43"/>
      <c r="CE167" s="43"/>
      <c r="CF167" s="43"/>
      <c r="CG167" s="43"/>
      <c r="CH167" s="43"/>
      <c r="CI167" s="43"/>
      <c r="CJ167" s="43"/>
      <c r="CK167" s="43"/>
      <c r="CL167" s="43"/>
      <c r="CM167" s="43"/>
      <c r="CN167" s="44" t="str">
        <f t="shared" si="2317"/>
        <v>InitUnitState('',,,,,,,,,,)</v>
      </c>
      <c r="CO167" s="44" t="str">
        <f t="shared" si="2318"/>
        <v>InitUnitNormal('',,,,,,,,,,)</v>
      </c>
      <c r="CP167" s="44" t="str">
        <f t="shared" si="2319"/>
        <v>InitUnitMagic('',,,,,,,,,,)</v>
      </c>
      <c r="CQ167" s="44" t="str">
        <f t="shared" si="2320"/>
        <v>InitUnitAdd('',,,,,,,,,,)</v>
      </c>
      <c r="CR167" s="44" t="str">
        <f t="shared" si="2321"/>
        <v>InitEquipData('',,"",,,,,'','','','','','',"")</v>
      </c>
      <c r="CS167" s="44"/>
      <c r="CT167" s="44"/>
      <c r="CU167" s="45" t="str">
        <f t="shared" si="2322"/>
        <v>|n</v>
      </c>
      <c r="CV167" s="29"/>
      <c r="DB167" s="30" t="str">
        <f t="shared" si="2323"/>
        <v/>
      </c>
      <c r="DC167" s="30" t="str">
        <f t="shared" si="2324"/>
        <v/>
      </c>
      <c r="DD167" s="30" t="str">
        <f t="shared" si="2325"/>
        <v/>
      </c>
      <c r="DE167" s="30" t="str">
        <f t="shared" si="2326"/>
        <v/>
      </c>
      <c r="DF167" s="30" t="str">
        <f t="shared" si="2327"/>
        <v/>
      </c>
      <c r="DG167" s="30" t="str">
        <f t="shared" si="2328"/>
        <v/>
      </c>
      <c r="DH167" s="30" t="str">
        <f t="shared" si="2329"/>
        <v/>
      </c>
      <c r="DI167" s="30" t="str">
        <f t="shared" si="2330"/>
        <v/>
      </c>
      <c r="DJ167" s="30" t="str">
        <f t="shared" si="2331"/>
        <v/>
      </c>
      <c r="DK167" s="30" t="str">
        <f t="shared" si="2332"/>
        <v/>
      </c>
      <c r="DL167" s="30" t="str">
        <f t="shared" si="2333"/>
        <v/>
      </c>
      <c r="DM167" s="30" t="str">
        <f t="shared" si="2334"/>
        <v/>
      </c>
      <c r="DN167" s="30" t="str">
        <f t="shared" si="2335"/>
        <v/>
      </c>
      <c r="DO167" s="30" t="str">
        <f t="shared" si="2336"/>
        <v/>
      </c>
      <c r="DP167" s="30" t="str">
        <f t="shared" si="2337"/>
        <v/>
      </c>
      <c r="DQ167" s="30" t="str">
        <f t="shared" si="2338"/>
        <v/>
      </c>
      <c r="DR167" s="30" t="str">
        <f t="shared" si="2339"/>
        <v/>
      </c>
      <c r="DS167" s="30" t="str">
        <f t="shared" si="2340"/>
        <v/>
      </c>
      <c r="DT167" s="30" t="str">
        <f t="shared" si="2341"/>
        <v/>
      </c>
      <c r="DU167" s="30" t="str">
        <f t="shared" si="2342"/>
        <v/>
      </c>
      <c r="DV167" s="30" t="str">
        <f t="shared" si="2343"/>
        <v/>
      </c>
      <c r="DW167" s="30" t="str">
        <f t="shared" si="2344"/>
        <v/>
      </c>
      <c r="DX167" s="30" t="str">
        <f t="shared" si="2345"/>
        <v/>
      </c>
      <c r="DY167" s="30" t="str">
        <f t="shared" si="2346"/>
        <v/>
      </c>
      <c r="DZ167" s="30" t="str">
        <f t="shared" si="2347"/>
        <v/>
      </c>
      <c r="EA167" s="30" t="str">
        <f t="shared" si="2348"/>
        <v/>
      </c>
      <c r="EB167" s="30" t="str">
        <f t="shared" si="2349"/>
        <v/>
      </c>
      <c r="EC167" s="30" t="str">
        <f t="shared" si="2350"/>
        <v/>
      </c>
      <c r="ED167" s="30" t="str">
        <f t="shared" si="2351"/>
        <v/>
      </c>
      <c r="EE167" s="30" t="str">
        <f t="shared" si="2352"/>
        <v/>
      </c>
      <c r="EF167" s="30" t="str">
        <f t="shared" si="2353"/>
        <v/>
      </c>
      <c r="EG167" s="30" t="str">
        <f t="shared" si="2354"/>
        <v/>
      </c>
      <c r="EH167" s="30" t="str">
        <f t="shared" si="2355"/>
        <v/>
      </c>
      <c r="EI167" s="30" t="str">
        <f t="shared" si="2356"/>
        <v/>
      </c>
      <c r="EJ167" s="30" t="str">
        <f t="shared" si="2357"/>
        <v/>
      </c>
      <c r="EK167" s="30" t="str">
        <f t="shared" si="2358"/>
        <v/>
      </c>
      <c r="EL167" s="30" t="str">
        <f t="shared" si="2359"/>
        <v/>
      </c>
      <c r="EM167" s="30" t="str">
        <f t="shared" si="2360"/>
        <v/>
      </c>
      <c r="EN167" s="30" t="str">
        <f t="shared" si="2361"/>
        <v/>
      </c>
      <c r="EO167" s="30" t="str">
        <f t="shared" si="2362"/>
        <v/>
      </c>
      <c r="EP167" s="30" t="str">
        <f t="shared" si="2363"/>
        <v/>
      </c>
      <c r="EQ167" s="30" t="str">
        <f t="shared" si="2364"/>
        <v/>
      </c>
      <c r="ER167" s="30" t="str">
        <f t="shared" si="2365"/>
        <v/>
      </c>
      <c r="ES167" s="30" t="str">
        <f t="shared" si="2366"/>
        <v/>
      </c>
      <c r="ET167" s="30" t="str">
        <f t="shared" si="2367"/>
        <v/>
      </c>
      <c r="EU167" s="30" t="str">
        <f t="shared" si="2368"/>
        <v/>
      </c>
      <c r="EV167" s="30" t="str">
        <f t="shared" si="2369"/>
        <v/>
      </c>
      <c r="EW167" s="30" t="str">
        <f t="shared" si="2370"/>
        <v/>
      </c>
      <c r="EX167" s="30" t="str">
        <f t="shared" si="2371"/>
        <v/>
      </c>
      <c r="EY167" s="30" t="str">
        <f t="shared" si="2372"/>
        <v/>
      </c>
      <c r="EZ167" s="30" t="str">
        <f t="shared" si="2373"/>
        <v/>
      </c>
      <c r="FA167" s="30" t="str">
        <f t="shared" si="2374"/>
        <v/>
      </c>
      <c r="FB167" s="30" t="str">
        <f t="shared" si="2375"/>
        <v/>
      </c>
      <c r="FC167" s="30" t="str">
        <f t="shared" si="2376"/>
        <v/>
      </c>
      <c r="FD167" s="30" t="str">
        <f t="shared" si="2377"/>
        <v/>
      </c>
      <c r="FE167" s="30" t="str">
        <f t="shared" si="2378"/>
        <v/>
      </c>
      <c r="FF167" s="30" t="str">
        <f t="shared" si="2379"/>
        <v/>
      </c>
      <c r="FG167" s="30" t="str">
        <f t="shared" si="2380"/>
        <v/>
      </c>
      <c r="FH167" s="30" t="str">
        <f t="shared" si="2381"/>
        <v/>
      </c>
      <c r="FI167" s="30" t="str">
        <f t="shared" si="2382"/>
        <v/>
      </c>
      <c r="FJ167" s="30" t="str">
        <f t="shared" si="2383"/>
        <v/>
      </c>
      <c r="FK167" s="30" t="str">
        <f t="shared" si="2384"/>
        <v/>
      </c>
      <c r="FL167" s="30" t="str">
        <f t="shared" si="2385"/>
        <v/>
      </c>
      <c r="FM167" s="30" t="str">
        <f t="shared" si="2386"/>
        <v/>
      </c>
      <c r="FN167" s="30" t="str">
        <f t="shared" si="2387"/>
        <v/>
      </c>
      <c r="FO167" s="30" t="str">
        <f t="shared" si="2388"/>
        <v/>
      </c>
      <c r="FP167" s="30" t="str">
        <f t="shared" si="2389"/>
        <v/>
      </c>
      <c r="FQ167" s="30" t="str">
        <f t="shared" si="2390"/>
        <v/>
      </c>
      <c r="FR167" s="30" t="str">
        <f t="shared" si="2391"/>
        <v/>
      </c>
      <c r="FS167" s="30" t="str">
        <f t="shared" si="2392"/>
        <v/>
      </c>
    </row>
    <row r="168" spans="1:175" s="24" customFormat="1" ht="16.5">
      <c r="A168" s="46"/>
      <c r="B168" s="36"/>
      <c r="C168" s="46"/>
      <c r="D168" s="31"/>
      <c r="E168" s="39"/>
      <c r="F168" s="41"/>
      <c r="G168" s="47"/>
      <c r="H168" s="47"/>
      <c r="I168" s="47"/>
      <c r="J168" s="47"/>
      <c r="K168" s="47"/>
      <c r="L168" s="47"/>
      <c r="M168" s="47"/>
      <c r="N168" s="47"/>
      <c r="O168" s="47"/>
      <c r="P168" s="42"/>
      <c r="Q168" s="42"/>
      <c r="R168" s="42"/>
      <c r="S168" s="42"/>
      <c r="T168" s="102"/>
      <c r="U168" s="32"/>
      <c r="V168" s="43"/>
      <c r="W168" s="43"/>
      <c r="X168" s="43"/>
      <c r="Y168" s="43"/>
      <c r="Z168" s="43"/>
      <c r="AA168" s="43"/>
      <c r="AB168" s="43"/>
      <c r="AC168" s="43"/>
      <c r="AD168" s="43"/>
      <c r="AE168" s="43"/>
      <c r="AF168" s="43"/>
      <c r="AG168" s="43"/>
      <c r="AH168" s="43"/>
      <c r="AI168" s="43"/>
      <c r="AJ168" s="43"/>
      <c r="AK168" s="43"/>
      <c r="AL168" s="43"/>
      <c r="AM168" s="43"/>
      <c r="AN168" s="43"/>
      <c r="AO168" s="43"/>
      <c r="AP168" s="43"/>
      <c r="AQ168" s="43"/>
      <c r="AR168" s="43"/>
      <c r="AS168" s="43"/>
      <c r="AT168" s="43"/>
      <c r="AU168" s="43"/>
      <c r="AV168" s="43"/>
      <c r="AW168" s="43"/>
      <c r="AX168" s="43"/>
      <c r="AY168" s="43"/>
      <c r="AZ168" s="43"/>
      <c r="BA168" s="43"/>
      <c r="BB168" s="43"/>
      <c r="BC168" s="43"/>
      <c r="BD168" s="43"/>
      <c r="BE168" s="43"/>
      <c r="BF168" s="43"/>
      <c r="BG168" s="43"/>
      <c r="BH168" s="43"/>
      <c r="BI168" s="43"/>
      <c r="BJ168" s="43"/>
      <c r="BK168" s="43"/>
      <c r="BL168" s="43"/>
      <c r="BM168" s="43"/>
      <c r="BN168" s="43"/>
      <c r="BO168" s="43"/>
      <c r="BP168" s="43"/>
      <c r="BQ168" s="43"/>
      <c r="BR168" s="43"/>
      <c r="BS168" s="43"/>
      <c r="BT168" s="43"/>
      <c r="BU168" s="43"/>
      <c r="BV168" s="43"/>
      <c r="BW168" s="43"/>
      <c r="BX168" s="43"/>
      <c r="BY168" s="43"/>
      <c r="BZ168" s="43"/>
      <c r="CA168" s="43"/>
      <c r="CB168" s="43"/>
      <c r="CC168" s="43"/>
      <c r="CD168" s="43"/>
      <c r="CE168" s="43"/>
      <c r="CF168" s="43"/>
      <c r="CG168" s="43"/>
      <c r="CH168" s="43"/>
      <c r="CI168" s="43"/>
      <c r="CJ168" s="43"/>
      <c r="CK168" s="43"/>
      <c r="CL168" s="43"/>
      <c r="CM168" s="43"/>
      <c r="CN168" s="44" t="str">
        <f t="shared" si="2317"/>
        <v>InitUnitState('',,,,,,,,,,)</v>
      </c>
      <c r="CO168" s="44" t="str">
        <f t="shared" si="2318"/>
        <v>InitUnitNormal('',,,,,,,,,,)</v>
      </c>
      <c r="CP168" s="44" t="str">
        <f t="shared" si="2319"/>
        <v>InitUnitMagic('',,,,,,,,,,)</v>
      </c>
      <c r="CQ168" s="44" t="str">
        <f t="shared" si="2320"/>
        <v>InitUnitAdd('',,,,,,,,,,)</v>
      </c>
      <c r="CR168" s="44" t="str">
        <f t="shared" si="2321"/>
        <v>InitEquipData('',,"",,,,,'','','','','','',"")</v>
      </c>
      <c r="CS168" s="44"/>
      <c r="CT168" s="44"/>
      <c r="CU168" s="45" t="str">
        <f t="shared" si="2322"/>
        <v>|n</v>
      </c>
      <c r="CV168" s="29"/>
      <c r="DB168" s="30" t="str">
        <f t="shared" si="2323"/>
        <v/>
      </c>
      <c r="DC168" s="30" t="str">
        <f t="shared" si="2324"/>
        <v/>
      </c>
      <c r="DD168" s="30" t="str">
        <f t="shared" si="2325"/>
        <v/>
      </c>
      <c r="DE168" s="30" t="str">
        <f t="shared" si="2326"/>
        <v/>
      </c>
      <c r="DF168" s="30" t="str">
        <f t="shared" si="2327"/>
        <v/>
      </c>
      <c r="DG168" s="30" t="str">
        <f t="shared" si="2328"/>
        <v/>
      </c>
      <c r="DH168" s="30" t="str">
        <f t="shared" si="2329"/>
        <v/>
      </c>
      <c r="DI168" s="30" t="str">
        <f t="shared" si="2330"/>
        <v/>
      </c>
      <c r="DJ168" s="30" t="str">
        <f t="shared" si="2331"/>
        <v/>
      </c>
      <c r="DK168" s="30" t="str">
        <f t="shared" si="2332"/>
        <v/>
      </c>
      <c r="DL168" s="30" t="str">
        <f t="shared" si="2333"/>
        <v/>
      </c>
      <c r="DM168" s="30" t="str">
        <f t="shared" si="2334"/>
        <v/>
      </c>
      <c r="DN168" s="30" t="str">
        <f t="shared" si="2335"/>
        <v/>
      </c>
      <c r="DO168" s="30" t="str">
        <f t="shared" si="2336"/>
        <v/>
      </c>
      <c r="DP168" s="30" t="str">
        <f t="shared" si="2337"/>
        <v/>
      </c>
      <c r="DQ168" s="30" t="str">
        <f t="shared" si="2338"/>
        <v/>
      </c>
      <c r="DR168" s="30" t="str">
        <f t="shared" si="2339"/>
        <v/>
      </c>
      <c r="DS168" s="30" t="str">
        <f t="shared" si="2340"/>
        <v/>
      </c>
      <c r="DT168" s="30" t="str">
        <f t="shared" si="2341"/>
        <v/>
      </c>
      <c r="DU168" s="30" t="str">
        <f t="shared" si="2342"/>
        <v/>
      </c>
      <c r="DV168" s="30" t="str">
        <f t="shared" si="2343"/>
        <v/>
      </c>
      <c r="DW168" s="30" t="str">
        <f t="shared" si="2344"/>
        <v/>
      </c>
      <c r="DX168" s="30" t="str">
        <f t="shared" si="2345"/>
        <v/>
      </c>
      <c r="DY168" s="30" t="str">
        <f t="shared" si="2346"/>
        <v/>
      </c>
      <c r="DZ168" s="30" t="str">
        <f t="shared" si="2347"/>
        <v/>
      </c>
      <c r="EA168" s="30" t="str">
        <f t="shared" si="2348"/>
        <v/>
      </c>
      <c r="EB168" s="30" t="str">
        <f t="shared" si="2349"/>
        <v/>
      </c>
      <c r="EC168" s="30" t="str">
        <f t="shared" si="2350"/>
        <v/>
      </c>
      <c r="ED168" s="30" t="str">
        <f t="shared" si="2351"/>
        <v/>
      </c>
      <c r="EE168" s="30" t="str">
        <f t="shared" si="2352"/>
        <v/>
      </c>
      <c r="EF168" s="30" t="str">
        <f t="shared" si="2353"/>
        <v/>
      </c>
      <c r="EG168" s="30" t="str">
        <f t="shared" si="2354"/>
        <v/>
      </c>
      <c r="EH168" s="30" t="str">
        <f t="shared" si="2355"/>
        <v/>
      </c>
      <c r="EI168" s="30" t="str">
        <f t="shared" si="2356"/>
        <v/>
      </c>
      <c r="EJ168" s="30" t="str">
        <f t="shared" si="2357"/>
        <v/>
      </c>
      <c r="EK168" s="30" t="str">
        <f t="shared" si="2358"/>
        <v/>
      </c>
      <c r="EL168" s="30" t="str">
        <f t="shared" si="2359"/>
        <v/>
      </c>
      <c r="EM168" s="30" t="str">
        <f t="shared" si="2360"/>
        <v/>
      </c>
      <c r="EN168" s="30" t="str">
        <f t="shared" si="2361"/>
        <v/>
      </c>
      <c r="EO168" s="30" t="str">
        <f t="shared" si="2362"/>
        <v/>
      </c>
      <c r="EP168" s="30" t="str">
        <f t="shared" si="2363"/>
        <v/>
      </c>
      <c r="EQ168" s="30" t="str">
        <f t="shared" si="2364"/>
        <v/>
      </c>
      <c r="ER168" s="30" t="str">
        <f t="shared" si="2365"/>
        <v/>
      </c>
      <c r="ES168" s="30" t="str">
        <f t="shared" si="2366"/>
        <v/>
      </c>
      <c r="ET168" s="30" t="str">
        <f t="shared" si="2367"/>
        <v/>
      </c>
      <c r="EU168" s="30" t="str">
        <f t="shared" si="2368"/>
        <v/>
      </c>
      <c r="EV168" s="30" t="str">
        <f t="shared" si="2369"/>
        <v/>
      </c>
      <c r="EW168" s="30" t="str">
        <f t="shared" si="2370"/>
        <v/>
      </c>
      <c r="EX168" s="30" t="str">
        <f t="shared" si="2371"/>
        <v/>
      </c>
      <c r="EY168" s="30" t="str">
        <f t="shared" si="2372"/>
        <v/>
      </c>
      <c r="EZ168" s="30" t="str">
        <f t="shared" si="2373"/>
        <v/>
      </c>
      <c r="FA168" s="30" t="str">
        <f t="shared" si="2374"/>
        <v/>
      </c>
      <c r="FB168" s="30" t="str">
        <f t="shared" si="2375"/>
        <v/>
      </c>
      <c r="FC168" s="30" t="str">
        <f t="shared" si="2376"/>
        <v/>
      </c>
      <c r="FD168" s="30" t="str">
        <f t="shared" si="2377"/>
        <v/>
      </c>
      <c r="FE168" s="30" t="str">
        <f t="shared" si="2378"/>
        <v/>
      </c>
      <c r="FF168" s="30" t="str">
        <f t="shared" si="2379"/>
        <v/>
      </c>
      <c r="FG168" s="30" t="str">
        <f t="shared" si="2380"/>
        <v/>
      </c>
      <c r="FH168" s="30" t="str">
        <f t="shared" si="2381"/>
        <v/>
      </c>
      <c r="FI168" s="30" t="str">
        <f t="shared" si="2382"/>
        <v/>
      </c>
      <c r="FJ168" s="30" t="str">
        <f t="shared" si="2383"/>
        <v/>
      </c>
      <c r="FK168" s="30" t="str">
        <f t="shared" si="2384"/>
        <v/>
      </c>
      <c r="FL168" s="30" t="str">
        <f t="shared" si="2385"/>
        <v/>
      </c>
      <c r="FM168" s="30" t="str">
        <f t="shared" si="2386"/>
        <v/>
      </c>
      <c r="FN168" s="30" t="str">
        <f t="shared" si="2387"/>
        <v/>
      </c>
      <c r="FO168" s="30" t="str">
        <f t="shared" si="2388"/>
        <v/>
      </c>
      <c r="FP168" s="30" t="str">
        <f t="shared" si="2389"/>
        <v/>
      </c>
      <c r="FQ168" s="30" t="str">
        <f t="shared" si="2390"/>
        <v/>
      </c>
      <c r="FR168" s="30" t="str">
        <f t="shared" si="2391"/>
        <v/>
      </c>
      <c r="FS168" s="30" t="str">
        <f t="shared" si="2392"/>
        <v/>
      </c>
    </row>
    <row r="169" spans="1:175" s="24" customFormat="1" ht="16.5">
      <c r="A169" s="46"/>
      <c r="B169" s="36"/>
      <c r="C169" s="46"/>
      <c r="D169" s="31"/>
      <c r="E169" s="39"/>
      <c r="F169" s="41"/>
      <c r="G169" s="47"/>
      <c r="H169" s="47"/>
      <c r="I169" s="47"/>
      <c r="J169" s="47"/>
      <c r="K169" s="47"/>
      <c r="L169" s="47"/>
      <c r="M169" s="47"/>
      <c r="N169" s="47"/>
      <c r="O169" s="47"/>
      <c r="P169" s="42"/>
      <c r="Q169" s="42"/>
      <c r="R169" s="42"/>
      <c r="S169" s="42"/>
      <c r="T169" s="102"/>
      <c r="U169" s="32"/>
      <c r="V169" s="43"/>
      <c r="W169" s="43"/>
      <c r="X169" s="43"/>
      <c r="Y169" s="43"/>
      <c r="Z169" s="43"/>
      <c r="AA169" s="43"/>
      <c r="AB169" s="43"/>
      <c r="AC169" s="43"/>
      <c r="AD169" s="43"/>
      <c r="AE169" s="43"/>
      <c r="AF169" s="43"/>
      <c r="AG169" s="43"/>
      <c r="AH169" s="43"/>
      <c r="AI169" s="43"/>
      <c r="AJ169" s="43"/>
      <c r="AK169" s="43"/>
      <c r="AL169" s="43"/>
      <c r="AM169" s="43"/>
      <c r="AN169" s="43"/>
      <c r="AO169" s="43"/>
      <c r="AP169" s="43"/>
      <c r="AQ169" s="43"/>
      <c r="AR169" s="43"/>
      <c r="AS169" s="43"/>
      <c r="AT169" s="43"/>
      <c r="AU169" s="43"/>
      <c r="AV169" s="43"/>
      <c r="AW169" s="43"/>
      <c r="AX169" s="43"/>
      <c r="AY169" s="43"/>
      <c r="AZ169" s="43"/>
      <c r="BA169" s="43"/>
      <c r="BB169" s="43"/>
      <c r="BC169" s="43"/>
      <c r="BD169" s="43"/>
      <c r="BE169" s="43"/>
      <c r="BF169" s="43"/>
      <c r="BG169" s="43"/>
      <c r="BH169" s="43"/>
      <c r="BI169" s="43"/>
      <c r="BJ169" s="43"/>
      <c r="BK169" s="43"/>
      <c r="BL169" s="43"/>
      <c r="BM169" s="43"/>
      <c r="BN169" s="43"/>
      <c r="BO169" s="43"/>
      <c r="BP169" s="43"/>
      <c r="BQ169" s="43"/>
      <c r="BR169" s="43"/>
      <c r="BS169" s="43"/>
      <c r="BT169" s="43"/>
      <c r="BU169" s="43"/>
      <c r="BV169" s="43"/>
      <c r="BW169" s="43"/>
      <c r="BX169" s="43"/>
      <c r="BY169" s="43"/>
      <c r="BZ169" s="43"/>
      <c r="CA169" s="43"/>
      <c r="CB169" s="43"/>
      <c r="CC169" s="43"/>
      <c r="CD169" s="43"/>
      <c r="CE169" s="43"/>
      <c r="CF169" s="43"/>
      <c r="CG169" s="43"/>
      <c r="CH169" s="43"/>
      <c r="CI169" s="43"/>
      <c r="CJ169" s="43"/>
      <c r="CK169" s="43"/>
      <c r="CL169" s="43"/>
      <c r="CM169" s="43"/>
      <c r="CN169" s="44" t="str">
        <f t="shared" si="2317"/>
        <v>InitUnitState('',,,,,,,,,,)</v>
      </c>
      <c r="CO169" s="44" t="str">
        <f t="shared" si="2318"/>
        <v>InitUnitNormal('',,,,,,,,,,)</v>
      </c>
      <c r="CP169" s="44" t="str">
        <f t="shared" si="2319"/>
        <v>InitUnitMagic('',,,,,,,,,,)</v>
      </c>
      <c r="CQ169" s="44" t="str">
        <f t="shared" si="2320"/>
        <v>InitUnitAdd('',,,,,,,,,,)</v>
      </c>
      <c r="CR169" s="44" t="str">
        <f t="shared" si="2321"/>
        <v>InitEquipData('',,"",,,,,'','','','','','',"")</v>
      </c>
      <c r="CS169" s="44"/>
      <c r="CT169" s="44"/>
      <c r="CU169" s="45" t="str">
        <f t="shared" si="2322"/>
        <v>|n</v>
      </c>
      <c r="CV169" s="29"/>
      <c r="DB169" s="30" t="str">
        <f t="shared" si="2323"/>
        <v/>
      </c>
      <c r="DC169" s="30" t="str">
        <f t="shared" si="2324"/>
        <v/>
      </c>
      <c r="DD169" s="30" t="str">
        <f t="shared" si="2325"/>
        <v/>
      </c>
      <c r="DE169" s="30" t="str">
        <f t="shared" si="2326"/>
        <v/>
      </c>
      <c r="DF169" s="30" t="str">
        <f t="shared" si="2327"/>
        <v/>
      </c>
      <c r="DG169" s="30" t="str">
        <f t="shared" si="2328"/>
        <v/>
      </c>
      <c r="DH169" s="30" t="str">
        <f t="shared" si="2329"/>
        <v/>
      </c>
      <c r="DI169" s="30" t="str">
        <f t="shared" si="2330"/>
        <v/>
      </c>
      <c r="DJ169" s="30" t="str">
        <f t="shared" si="2331"/>
        <v/>
      </c>
      <c r="DK169" s="30" t="str">
        <f t="shared" si="2332"/>
        <v/>
      </c>
      <c r="DL169" s="30" t="str">
        <f t="shared" si="2333"/>
        <v/>
      </c>
      <c r="DM169" s="30" t="str">
        <f t="shared" si="2334"/>
        <v/>
      </c>
      <c r="DN169" s="30" t="str">
        <f t="shared" si="2335"/>
        <v/>
      </c>
      <c r="DO169" s="30" t="str">
        <f t="shared" si="2336"/>
        <v/>
      </c>
      <c r="DP169" s="30" t="str">
        <f t="shared" si="2337"/>
        <v/>
      </c>
      <c r="DQ169" s="30" t="str">
        <f t="shared" si="2338"/>
        <v/>
      </c>
      <c r="DR169" s="30" t="str">
        <f t="shared" si="2339"/>
        <v/>
      </c>
      <c r="DS169" s="30" t="str">
        <f t="shared" si="2340"/>
        <v/>
      </c>
      <c r="DT169" s="30" t="str">
        <f t="shared" si="2341"/>
        <v/>
      </c>
      <c r="DU169" s="30" t="str">
        <f t="shared" si="2342"/>
        <v/>
      </c>
      <c r="DV169" s="30" t="str">
        <f t="shared" si="2343"/>
        <v/>
      </c>
      <c r="DW169" s="30" t="str">
        <f t="shared" si="2344"/>
        <v/>
      </c>
      <c r="DX169" s="30" t="str">
        <f t="shared" si="2345"/>
        <v/>
      </c>
      <c r="DY169" s="30" t="str">
        <f t="shared" si="2346"/>
        <v/>
      </c>
      <c r="DZ169" s="30" t="str">
        <f t="shared" si="2347"/>
        <v/>
      </c>
      <c r="EA169" s="30" t="str">
        <f t="shared" si="2348"/>
        <v/>
      </c>
      <c r="EB169" s="30" t="str">
        <f t="shared" si="2349"/>
        <v/>
      </c>
      <c r="EC169" s="30" t="str">
        <f t="shared" si="2350"/>
        <v/>
      </c>
      <c r="ED169" s="30" t="str">
        <f t="shared" si="2351"/>
        <v/>
      </c>
      <c r="EE169" s="30" t="str">
        <f t="shared" si="2352"/>
        <v/>
      </c>
      <c r="EF169" s="30" t="str">
        <f t="shared" si="2353"/>
        <v/>
      </c>
      <c r="EG169" s="30" t="str">
        <f t="shared" si="2354"/>
        <v/>
      </c>
      <c r="EH169" s="30" t="str">
        <f t="shared" si="2355"/>
        <v/>
      </c>
      <c r="EI169" s="30" t="str">
        <f t="shared" si="2356"/>
        <v/>
      </c>
      <c r="EJ169" s="30" t="str">
        <f t="shared" si="2357"/>
        <v/>
      </c>
      <c r="EK169" s="30" t="str">
        <f t="shared" si="2358"/>
        <v/>
      </c>
      <c r="EL169" s="30" t="str">
        <f t="shared" si="2359"/>
        <v/>
      </c>
      <c r="EM169" s="30" t="str">
        <f t="shared" si="2360"/>
        <v/>
      </c>
      <c r="EN169" s="30" t="str">
        <f t="shared" si="2361"/>
        <v/>
      </c>
      <c r="EO169" s="30" t="str">
        <f t="shared" si="2362"/>
        <v/>
      </c>
      <c r="EP169" s="30" t="str">
        <f t="shared" si="2363"/>
        <v/>
      </c>
      <c r="EQ169" s="30" t="str">
        <f t="shared" si="2364"/>
        <v/>
      </c>
      <c r="ER169" s="30" t="str">
        <f t="shared" si="2365"/>
        <v/>
      </c>
      <c r="ES169" s="30" t="str">
        <f t="shared" si="2366"/>
        <v/>
      </c>
      <c r="ET169" s="30" t="str">
        <f t="shared" si="2367"/>
        <v/>
      </c>
      <c r="EU169" s="30" t="str">
        <f t="shared" si="2368"/>
        <v/>
      </c>
      <c r="EV169" s="30" t="str">
        <f t="shared" si="2369"/>
        <v/>
      </c>
      <c r="EW169" s="30" t="str">
        <f t="shared" si="2370"/>
        <v/>
      </c>
      <c r="EX169" s="30" t="str">
        <f t="shared" si="2371"/>
        <v/>
      </c>
      <c r="EY169" s="30" t="str">
        <f t="shared" si="2372"/>
        <v/>
      </c>
      <c r="EZ169" s="30" t="str">
        <f t="shared" si="2373"/>
        <v/>
      </c>
      <c r="FA169" s="30" t="str">
        <f t="shared" si="2374"/>
        <v/>
      </c>
      <c r="FB169" s="30" t="str">
        <f t="shared" si="2375"/>
        <v/>
      </c>
      <c r="FC169" s="30" t="str">
        <f t="shared" si="2376"/>
        <v/>
      </c>
      <c r="FD169" s="30" t="str">
        <f t="shared" si="2377"/>
        <v/>
      </c>
      <c r="FE169" s="30" t="str">
        <f t="shared" si="2378"/>
        <v/>
      </c>
      <c r="FF169" s="30" t="str">
        <f t="shared" si="2379"/>
        <v/>
      </c>
      <c r="FG169" s="30" t="str">
        <f t="shared" si="2380"/>
        <v/>
      </c>
      <c r="FH169" s="30" t="str">
        <f t="shared" si="2381"/>
        <v/>
      </c>
      <c r="FI169" s="30" t="str">
        <f t="shared" si="2382"/>
        <v/>
      </c>
      <c r="FJ169" s="30" t="str">
        <f t="shared" si="2383"/>
        <v/>
      </c>
      <c r="FK169" s="30" t="str">
        <f t="shared" si="2384"/>
        <v/>
      </c>
      <c r="FL169" s="30" t="str">
        <f t="shared" si="2385"/>
        <v/>
      </c>
      <c r="FM169" s="30" t="str">
        <f t="shared" si="2386"/>
        <v/>
      </c>
      <c r="FN169" s="30" t="str">
        <f t="shared" si="2387"/>
        <v/>
      </c>
      <c r="FO169" s="30" t="str">
        <f t="shared" si="2388"/>
        <v/>
      </c>
      <c r="FP169" s="30" t="str">
        <f t="shared" si="2389"/>
        <v/>
      </c>
      <c r="FQ169" s="30" t="str">
        <f t="shared" si="2390"/>
        <v/>
      </c>
      <c r="FR169" s="30" t="str">
        <f t="shared" si="2391"/>
        <v/>
      </c>
      <c r="FS169" s="30" t="str">
        <f t="shared" si="2392"/>
        <v/>
      </c>
    </row>
    <row r="170" spans="1:175" s="24" customFormat="1" ht="16.5">
      <c r="A170" s="46"/>
      <c r="B170" s="36"/>
      <c r="C170" s="46"/>
      <c r="D170" s="31"/>
      <c r="E170" s="39"/>
      <c r="F170" s="41"/>
      <c r="G170" s="47"/>
      <c r="H170" s="47"/>
      <c r="I170" s="47"/>
      <c r="J170" s="47"/>
      <c r="K170" s="47"/>
      <c r="L170" s="47"/>
      <c r="M170" s="47"/>
      <c r="N170" s="47"/>
      <c r="O170" s="47"/>
      <c r="P170" s="42"/>
      <c r="Q170" s="42"/>
      <c r="R170" s="42"/>
      <c r="S170" s="42"/>
      <c r="T170" s="102"/>
      <c r="U170" s="32"/>
      <c r="V170" s="43"/>
      <c r="W170" s="43"/>
      <c r="X170" s="43"/>
      <c r="Y170" s="43"/>
      <c r="Z170" s="43"/>
      <c r="AA170" s="43"/>
      <c r="AB170" s="43"/>
      <c r="AC170" s="43"/>
      <c r="AD170" s="43"/>
      <c r="AE170" s="43"/>
      <c r="AF170" s="43"/>
      <c r="AG170" s="43"/>
      <c r="AH170" s="43"/>
      <c r="AI170" s="43"/>
      <c r="AJ170" s="43"/>
      <c r="AK170" s="43"/>
      <c r="AL170" s="43"/>
      <c r="AM170" s="43"/>
      <c r="AN170" s="43"/>
      <c r="AO170" s="43"/>
      <c r="AP170" s="43"/>
      <c r="AQ170" s="43"/>
      <c r="AR170" s="43"/>
      <c r="AS170" s="43"/>
      <c r="AT170" s="43"/>
      <c r="AU170" s="43"/>
      <c r="AV170" s="43"/>
      <c r="AW170" s="43"/>
      <c r="AX170" s="43"/>
      <c r="AY170" s="43"/>
      <c r="AZ170" s="43"/>
      <c r="BA170" s="43"/>
      <c r="BB170" s="43"/>
      <c r="BC170" s="43"/>
      <c r="BD170" s="43"/>
      <c r="BE170" s="43"/>
      <c r="BF170" s="43"/>
      <c r="BG170" s="43"/>
      <c r="BH170" s="43"/>
      <c r="BI170" s="43"/>
      <c r="BJ170" s="43"/>
      <c r="BK170" s="43"/>
      <c r="BL170" s="43"/>
      <c r="BM170" s="43"/>
      <c r="BN170" s="43"/>
      <c r="BO170" s="43"/>
      <c r="BP170" s="43"/>
      <c r="BQ170" s="43"/>
      <c r="BR170" s="43"/>
      <c r="BS170" s="43"/>
      <c r="BT170" s="43"/>
      <c r="BU170" s="43"/>
      <c r="BV170" s="43"/>
      <c r="BW170" s="43"/>
      <c r="BX170" s="43"/>
      <c r="BY170" s="43"/>
      <c r="BZ170" s="43"/>
      <c r="CA170" s="43"/>
      <c r="CB170" s="43"/>
      <c r="CC170" s="43"/>
      <c r="CD170" s="43"/>
      <c r="CE170" s="43"/>
      <c r="CF170" s="43"/>
      <c r="CG170" s="43"/>
      <c r="CH170" s="43"/>
      <c r="CI170" s="43"/>
      <c r="CJ170" s="43"/>
      <c r="CK170" s="43"/>
      <c r="CL170" s="43"/>
      <c r="CM170" s="43"/>
      <c r="CN170" s="44" t="str">
        <f t="shared" si="2317"/>
        <v>InitUnitState('',,,,,,,,,,)</v>
      </c>
      <c r="CO170" s="44" t="str">
        <f t="shared" si="2318"/>
        <v>InitUnitNormal('',,,,,,,,,,)</v>
      </c>
      <c r="CP170" s="44" t="str">
        <f t="shared" si="2319"/>
        <v>InitUnitMagic('',,,,,,,,,,)</v>
      </c>
      <c r="CQ170" s="44" t="str">
        <f t="shared" si="2320"/>
        <v>InitUnitAdd('',,,,,,,,,,)</v>
      </c>
      <c r="CR170" s="44" t="str">
        <f t="shared" si="2321"/>
        <v>InitEquipData('',,"",,,,,'','','','','','',"")</v>
      </c>
      <c r="CS170" s="44"/>
      <c r="CT170" s="44"/>
      <c r="CU170" s="45" t="str">
        <f t="shared" si="2322"/>
        <v>|n</v>
      </c>
      <c r="CV170" s="29"/>
      <c r="DB170" s="30" t="str">
        <f t="shared" si="2323"/>
        <v/>
      </c>
      <c r="DC170" s="30" t="str">
        <f t="shared" si="2324"/>
        <v/>
      </c>
      <c r="DD170" s="30" t="str">
        <f t="shared" si="2325"/>
        <v/>
      </c>
      <c r="DE170" s="30" t="str">
        <f t="shared" si="2326"/>
        <v/>
      </c>
      <c r="DF170" s="30" t="str">
        <f t="shared" si="2327"/>
        <v/>
      </c>
      <c r="DG170" s="30" t="str">
        <f t="shared" si="2328"/>
        <v/>
      </c>
      <c r="DH170" s="30" t="str">
        <f t="shared" si="2329"/>
        <v/>
      </c>
      <c r="DI170" s="30" t="str">
        <f t="shared" si="2330"/>
        <v/>
      </c>
      <c r="DJ170" s="30" t="str">
        <f t="shared" si="2331"/>
        <v/>
      </c>
      <c r="DK170" s="30" t="str">
        <f t="shared" si="2332"/>
        <v/>
      </c>
      <c r="DL170" s="30" t="str">
        <f t="shared" si="2333"/>
        <v/>
      </c>
      <c r="DM170" s="30" t="str">
        <f t="shared" si="2334"/>
        <v/>
      </c>
      <c r="DN170" s="30" t="str">
        <f t="shared" si="2335"/>
        <v/>
      </c>
      <c r="DO170" s="30" t="str">
        <f t="shared" si="2336"/>
        <v/>
      </c>
      <c r="DP170" s="30" t="str">
        <f t="shared" si="2337"/>
        <v/>
      </c>
      <c r="DQ170" s="30" t="str">
        <f t="shared" si="2338"/>
        <v/>
      </c>
      <c r="DR170" s="30" t="str">
        <f t="shared" si="2339"/>
        <v/>
      </c>
      <c r="DS170" s="30" t="str">
        <f t="shared" si="2340"/>
        <v/>
      </c>
      <c r="DT170" s="30" t="str">
        <f t="shared" si="2341"/>
        <v/>
      </c>
      <c r="DU170" s="30" t="str">
        <f t="shared" si="2342"/>
        <v/>
      </c>
      <c r="DV170" s="30" t="str">
        <f t="shared" si="2343"/>
        <v/>
      </c>
      <c r="DW170" s="30" t="str">
        <f t="shared" si="2344"/>
        <v/>
      </c>
      <c r="DX170" s="30" t="str">
        <f t="shared" si="2345"/>
        <v/>
      </c>
      <c r="DY170" s="30" t="str">
        <f t="shared" si="2346"/>
        <v/>
      </c>
      <c r="DZ170" s="30" t="str">
        <f t="shared" si="2347"/>
        <v/>
      </c>
      <c r="EA170" s="30" t="str">
        <f t="shared" si="2348"/>
        <v/>
      </c>
      <c r="EB170" s="30" t="str">
        <f t="shared" si="2349"/>
        <v/>
      </c>
      <c r="EC170" s="30" t="str">
        <f t="shared" si="2350"/>
        <v/>
      </c>
      <c r="ED170" s="30" t="str">
        <f t="shared" si="2351"/>
        <v/>
      </c>
      <c r="EE170" s="30" t="str">
        <f t="shared" si="2352"/>
        <v/>
      </c>
      <c r="EF170" s="30" t="str">
        <f t="shared" si="2353"/>
        <v/>
      </c>
      <c r="EG170" s="30" t="str">
        <f t="shared" si="2354"/>
        <v/>
      </c>
      <c r="EH170" s="30" t="str">
        <f t="shared" si="2355"/>
        <v/>
      </c>
      <c r="EI170" s="30" t="str">
        <f t="shared" si="2356"/>
        <v/>
      </c>
      <c r="EJ170" s="30" t="str">
        <f t="shared" si="2357"/>
        <v/>
      </c>
      <c r="EK170" s="30" t="str">
        <f t="shared" si="2358"/>
        <v/>
      </c>
      <c r="EL170" s="30" t="str">
        <f t="shared" si="2359"/>
        <v/>
      </c>
      <c r="EM170" s="30" t="str">
        <f t="shared" si="2360"/>
        <v/>
      </c>
      <c r="EN170" s="30" t="str">
        <f t="shared" si="2361"/>
        <v/>
      </c>
      <c r="EO170" s="30" t="str">
        <f t="shared" si="2362"/>
        <v/>
      </c>
      <c r="EP170" s="30" t="str">
        <f t="shared" si="2363"/>
        <v/>
      </c>
      <c r="EQ170" s="30" t="str">
        <f t="shared" si="2364"/>
        <v/>
      </c>
      <c r="ER170" s="30" t="str">
        <f t="shared" si="2365"/>
        <v/>
      </c>
      <c r="ES170" s="30" t="str">
        <f t="shared" si="2366"/>
        <v/>
      </c>
      <c r="ET170" s="30" t="str">
        <f t="shared" si="2367"/>
        <v/>
      </c>
      <c r="EU170" s="30" t="str">
        <f t="shared" si="2368"/>
        <v/>
      </c>
      <c r="EV170" s="30" t="str">
        <f t="shared" si="2369"/>
        <v/>
      </c>
      <c r="EW170" s="30" t="str">
        <f t="shared" si="2370"/>
        <v/>
      </c>
      <c r="EX170" s="30" t="str">
        <f t="shared" si="2371"/>
        <v/>
      </c>
      <c r="EY170" s="30" t="str">
        <f t="shared" si="2372"/>
        <v/>
      </c>
      <c r="EZ170" s="30" t="str">
        <f t="shared" si="2373"/>
        <v/>
      </c>
      <c r="FA170" s="30" t="str">
        <f t="shared" si="2374"/>
        <v/>
      </c>
      <c r="FB170" s="30" t="str">
        <f t="shared" si="2375"/>
        <v/>
      </c>
      <c r="FC170" s="30" t="str">
        <f t="shared" si="2376"/>
        <v/>
      </c>
      <c r="FD170" s="30" t="str">
        <f t="shared" si="2377"/>
        <v/>
      </c>
      <c r="FE170" s="30" t="str">
        <f t="shared" si="2378"/>
        <v/>
      </c>
      <c r="FF170" s="30" t="str">
        <f t="shared" si="2379"/>
        <v/>
      </c>
      <c r="FG170" s="30" t="str">
        <f t="shared" si="2380"/>
        <v/>
      </c>
      <c r="FH170" s="30" t="str">
        <f t="shared" si="2381"/>
        <v/>
      </c>
      <c r="FI170" s="30" t="str">
        <f t="shared" si="2382"/>
        <v/>
      </c>
      <c r="FJ170" s="30" t="str">
        <f t="shared" si="2383"/>
        <v/>
      </c>
      <c r="FK170" s="30" t="str">
        <f t="shared" si="2384"/>
        <v/>
      </c>
      <c r="FL170" s="30" t="str">
        <f t="shared" si="2385"/>
        <v/>
      </c>
      <c r="FM170" s="30" t="str">
        <f t="shared" si="2386"/>
        <v/>
      </c>
      <c r="FN170" s="30" t="str">
        <f t="shared" si="2387"/>
        <v/>
      </c>
      <c r="FO170" s="30" t="str">
        <f t="shared" si="2388"/>
        <v/>
      </c>
      <c r="FP170" s="30" t="str">
        <f t="shared" si="2389"/>
        <v/>
      </c>
      <c r="FQ170" s="30" t="str">
        <f t="shared" si="2390"/>
        <v/>
      </c>
      <c r="FR170" s="30" t="str">
        <f t="shared" si="2391"/>
        <v/>
      </c>
      <c r="FS170" s="30" t="str">
        <f t="shared" si="2392"/>
        <v/>
      </c>
    </row>
    <row r="171" spans="1:175" s="24" customFormat="1" ht="16.5">
      <c r="A171" s="46"/>
      <c r="B171" s="36"/>
      <c r="C171" s="46"/>
      <c r="D171" s="31"/>
      <c r="E171" s="39"/>
      <c r="F171" s="41"/>
      <c r="G171" s="47"/>
      <c r="H171" s="47"/>
      <c r="I171" s="47"/>
      <c r="J171" s="47"/>
      <c r="K171" s="47"/>
      <c r="L171" s="47"/>
      <c r="M171" s="47"/>
      <c r="N171" s="47"/>
      <c r="O171" s="47"/>
      <c r="P171" s="42"/>
      <c r="Q171" s="42"/>
      <c r="R171" s="42"/>
      <c r="S171" s="42"/>
      <c r="T171" s="102"/>
      <c r="U171" s="32"/>
      <c r="V171" s="43"/>
      <c r="W171" s="43"/>
      <c r="X171" s="43"/>
      <c r="Y171" s="43"/>
      <c r="Z171" s="43"/>
      <c r="AA171" s="43"/>
      <c r="AB171" s="43"/>
      <c r="AC171" s="43"/>
      <c r="AD171" s="43"/>
      <c r="AE171" s="43"/>
      <c r="AF171" s="43"/>
      <c r="AG171" s="43"/>
      <c r="AH171" s="43"/>
      <c r="AI171" s="43"/>
      <c r="AJ171" s="43"/>
      <c r="AK171" s="43"/>
      <c r="AL171" s="43"/>
      <c r="AM171" s="43"/>
      <c r="AN171" s="43"/>
      <c r="AO171" s="43"/>
      <c r="AP171" s="43"/>
      <c r="AQ171" s="43"/>
      <c r="AR171" s="43"/>
      <c r="AS171" s="43"/>
      <c r="AT171" s="43"/>
      <c r="AU171" s="43"/>
      <c r="AV171" s="43"/>
      <c r="AW171" s="43"/>
      <c r="AX171" s="43"/>
      <c r="AY171" s="43"/>
      <c r="AZ171" s="43"/>
      <c r="BA171" s="43"/>
      <c r="BB171" s="43"/>
      <c r="BC171" s="43"/>
      <c r="BD171" s="43"/>
      <c r="BE171" s="43"/>
      <c r="BF171" s="43"/>
      <c r="BG171" s="43"/>
      <c r="BH171" s="43"/>
      <c r="BI171" s="43"/>
      <c r="BJ171" s="43"/>
      <c r="BK171" s="43"/>
      <c r="BL171" s="43"/>
      <c r="BM171" s="43"/>
      <c r="BN171" s="43"/>
      <c r="BO171" s="43"/>
      <c r="BP171" s="43"/>
      <c r="BQ171" s="43"/>
      <c r="BR171" s="43"/>
      <c r="BS171" s="43"/>
      <c r="BT171" s="43"/>
      <c r="BU171" s="43"/>
      <c r="BV171" s="43"/>
      <c r="BW171" s="43"/>
      <c r="BX171" s="43"/>
      <c r="BY171" s="43"/>
      <c r="BZ171" s="43"/>
      <c r="CA171" s="43"/>
      <c r="CB171" s="43"/>
      <c r="CC171" s="43"/>
      <c r="CD171" s="43"/>
      <c r="CE171" s="43"/>
      <c r="CF171" s="43"/>
      <c r="CG171" s="43"/>
      <c r="CH171" s="43"/>
      <c r="CI171" s="43"/>
      <c r="CJ171" s="43"/>
      <c r="CK171" s="43"/>
      <c r="CL171" s="43"/>
      <c r="CM171" s="43"/>
      <c r="CN171" s="44" t="str">
        <f t="shared" si="2317"/>
        <v>InitUnitState('',,,,,,,,,,)</v>
      </c>
      <c r="CO171" s="44" t="str">
        <f t="shared" si="2318"/>
        <v>InitUnitNormal('',,,,,,,,,,)</v>
      </c>
      <c r="CP171" s="44" t="str">
        <f t="shared" si="2319"/>
        <v>InitUnitMagic('',,,,,,,,,,)</v>
      </c>
      <c r="CQ171" s="44" t="str">
        <f t="shared" si="2320"/>
        <v>InitUnitAdd('',,,,,,,,,,)</v>
      </c>
      <c r="CR171" s="44" t="str">
        <f t="shared" si="2321"/>
        <v>InitEquipData('',,"",,,,,'','','','','','',"")</v>
      </c>
      <c r="CS171" s="44"/>
      <c r="CT171" s="44"/>
      <c r="CU171" s="45" t="str">
        <f t="shared" si="2322"/>
        <v>|n</v>
      </c>
      <c r="CV171" s="29"/>
      <c r="DB171" s="30" t="str">
        <f t="shared" si="2323"/>
        <v/>
      </c>
      <c r="DC171" s="30" t="str">
        <f t="shared" si="2324"/>
        <v/>
      </c>
      <c r="DD171" s="30" t="str">
        <f t="shared" si="2325"/>
        <v/>
      </c>
      <c r="DE171" s="30" t="str">
        <f t="shared" si="2326"/>
        <v/>
      </c>
      <c r="DF171" s="30" t="str">
        <f t="shared" si="2327"/>
        <v/>
      </c>
      <c r="DG171" s="30" t="str">
        <f t="shared" si="2328"/>
        <v/>
      </c>
      <c r="DH171" s="30" t="str">
        <f t="shared" si="2329"/>
        <v/>
      </c>
      <c r="DI171" s="30" t="str">
        <f t="shared" si="2330"/>
        <v/>
      </c>
      <c r="DJ171" s="30" t="str">
        <f t="shared" si="2331"/>
        <v/>
      </c>
      <c r="DK171" s="30" t="str">
        <f t="shared" si="2332"/>
        <v/>
      </c>
      <c r="DL171" s="30" t="str">
        <f t="shared" si="2333"/>
        <v/>
      </c>
      <c r="DM171" s="30" t="str">
        <f t="shared" si="2334"/>
        <v/>
      </c>
      <c r="DN171" s="30" t="str">
        <f t="shared" si="2335"/>
        <v/>
      </c>
      <c r="DO171" s="30" t="str">
        <f t="shared" si="2336"/>
        <v/>
      </c>
      <c r="DP171" s="30" t="str">
        <f t="shared" si="2337"/>
        <v/>
      </c>
      <c r="DQ171" s="30" t="str">
        <f t="shared" si="2338"/>
        <v/>
      </c>
      <c r="DR171" s="30" t="str">
        <f t="shared" si="2339"/>
        <v/>
      </c>
      <c r="DS171" s="30" t="str">
        <f t="shared" si="2340"/>
        <v/>
      </c>
      <c r="DT171" s="30" t="str">
        <f t="shared" si="2341"/>
        <v/>
      </c>
      <c r="DU171" s="30" t="str">
        <f t="shared" si="2342"/>
        <v/>
      </c>
      <c r="DV171" s="30" t="str">
        <f t="shared" si="2343"/>
        <v/>
      </c>
      <c r="DW171" s="30" t="str">
        <f t="shared" si="2344"/>
        <v/>
      </c>
      <c r="DX171" s="30" t="str">
        <f t="shared" si="2345"/>
        <v/>
      </c>
      <c r="DY171" s="30" t="str">
        <f t="shared" si="2346"/>
        <v/>
      </c>
      <c r="DZ171" s="30" t="str">
        <f t="shared" si="2347"/>
        <v/>
      </c>
      <c r="EA171" s="30" t="str">
        <f t="shared" si="2348"/>
        <v/>
      </c>
      <c r="EB171" s="30" t="str">
        <f t="shared" si="2349"/>
        <v/>
      </c>
      <c r="EC171" s="30" t="str">
        <f t="shared" si="2350"/>
        <v/>
      </c>
      <c r="ED171" s="30" t="str">
        <f t="shared" si="2351"/>
        <v/>
      </c>
      <c r="EE171" s="30" t="str">
        <f t="shared" si="2352"/>
        <v/>
      </c>
      <c r="EF171" s="30" t="str">
        <f t="shared" si="2353"/>
        <v/>
      </c>
      <c r="EG171" s="30" t="str">
        <f t="shared" si="2354"/>
        <v/>
      </c>
      <c r="EH171" s="30" t="str">
        <f t="shared" si="2355"/>
        <v/>
      </c>
      <c r="EI171" s="30" t="str">
        <f t="shared" si="2356"/>
        <v/>
      </c>
      <c r="EJ171" s="30" t="str">
        <f t="shared" si="2357"/>
        <v/>
      </c>
      <c r="EK171" s="30" t="str">
        <f t="shared" si="2358"/>
        <v/>
      </c>
      <c r="EL171" s="30" t="str">
        <f t="shared" si="2359"/>
        <v/>
      </c>
      <c r="EM171" s="30" t="str">
        <f t="shared" si="2360"/>
        <v/>
      </c>
      <c r="EN171" s="30" t="str">
        <f t="shared" si="2361"/>
        <v/>
      </c>
      <c r="EO171" s="30" t="str">
        <f t="shared" si="2362"/>
        <v/>
      </c>
      <c r="EP171" s="30" t="str">
        <f t="shared" si="2363"/>
        <v/>
      </c>
      <c r="EQ171" s="30" t="str">
        <f t="shared" si="2364"/>
        <v/>
      </c>
      <c r="ER171" s="30" t="str">
        <f t="shared" si="2365"/>
        <v/>
      </c>
      <c r="ES171" s="30" t="str">
        <f t="shared" si="2366"/>
        <v/>
      </c>
      <c r="ET171" s="30" t="str">
        <f t="shared" si="2367"/>
        <v/>
      </c>
      <c r="EU171" s="30" t="str">
        <f t="shared" si="2368"/>
        <v/>
      </c>
      <c r="EV171" s="30" t="str">
        <f t="shared" si="2369"/>
        <v/>
      </c>
      <c r="EW171" s="30" t="str">
        <f t="shared" si="2370"/>
        <v/>
      </c>
      <c r="EX171" s="30" t="str">
        <f t="shared" si="2371"/>
        <v/>
      </c>
      <c r="EY171" s="30" t="str">
        <f t="shared" si="2372"/>
        <v/>
      </c>
      <c r="EZ171" s="30" t="str">
        <f t="shared" si="2373"/>
        <v/>
      </c>
      <c r="FA171" s="30" t="str">
        <f t="shared" si="2374"/>
        <v/>
      </c>
      <c r="FB171" s="30" t="str">
        <f t="shared" si="2375"/>
        <v/>
      </c>
      <c r="FC171" s="30" t="str">
        <f t="shared" si="2376"/>
        <v/>
      </c>
      <c r="FD171" s="30" t="str">
        <f t="shared" si="2377"/>
        <v/>
      </c>
      <c r="FE171" s="30" t="str">
        <f t="shared" si="2378"/>
        <v/>
      </c>
      <c r="FF171" s="30" t="str">
        <f t="shared" si="2379"/>
        <v/>
      </c>
      <c r="FG171" s="30" t="str">
        <f t="shared" si="2380"/>
        <v/>
      </c>
      <c r="FH171" s="30" t="str">
        <f t="shared" si="2381"/>
        <v/>
      </c>
      <c r="FI171" s="30" t="str">
        <f t="shared" si="2382"/>
        <v/>
      </c>
      <c r="FJ171" s="30" t="str">
        <f t="shared" si="2383"/>
        <v/>
      </c>
      <c r="FK171" s="30" t="str">
        <f t="shared" si="2384"/>
        <v/>
      </c>
      <c r="FL171" s="30" t="str">
        <f t="shared" si="2385"/>
        <v/>
      </c>
      <c r="FM171" s="30" t="str">
        <f t="shared" si="2386"/>
        <v/>
      </c>
      <c r="FN171" s="30" t="str">
        <f t="shared" si="2387"/>
        <v/>
      </c>
      <c r="FO171" s="30" t="str">
        <f t="shared" si="2388"/>
        <v/>
      </c>
      <c r="FP171" s="30" t="str">
        <f t="shared" si="2389"/>
        <v/>
      </c>
      <c r="FQ171" s="30" t="str">
        <f t="shared" si="2390"/>
        <v/>
      </c>
      <c r="FR171" s="30" t="str">
        <f t="shared" si="2391"/>
        <v/>
      </c>
      <c r="FS171" s="30" t="str">
        <f t="shared" si="2392"/>
        <v/>
      </c>
    </row>
    <row r="172" spans="1:175" ht="16.5">
      <c r="A172" s="5"/>
      <c r="B172" s="36"/>
      <c r="C172" s="5"/>
      <c r="E172" s="54"/>
      <c r="F172" s="10"/>
      <c r="G172" s="10"/>
      <c r="H172" s="10"/>
      <c r="I172" s="10"/>
      <c r="J172" s="10"/>
      <c r="K172" s="10"/>
      <c r="L172" s="10"/>
      <c r="M172" s="10"/>
      <c r="N172" s="10"/>
      <c r="O172" s="10"/>
      <c r="P172" s="51"/>
      <c r="Q172" s="51"/>
      <c r="R172" s="51"/>
      <c r="S172" s="51"/>
      <c r="T172" s="104"/>
      <c r="U172" s="32"/>
      <c r="CU172" s="45" t="str">
        <f t="shared" si="2322"/>
        <v>|n</v>
      </c>
      <c r="CW172" s="24"/>
      <c r="CX172" s="24"/>
      <c r="CY172" s="24"/>
      <c r="CZ172" s="24"/>
      <c r="DA172" s="24"/>
      <c r="DB172" s="30" t="str">
        <f t="shared" si="2323"/>
        <v/>
      </c>
      <c r="DC172" s="30" t="str">
        <f t="shared" si="2324"/>
        <v/>
      </c>
      <c r="DD172" s="30" t="str">
        <f t="shared" si="2325"/>
        <v/>
      </c>
      <c r="DE172" s="30" t="str">
        <f t="shared" si="2326"/>
        <v/>
      </c>
      <c r="DF172" s="30" t="str">
        <f t="shared" si="2327"/>
        <v/>
      </c>
      <c r="DG172" s="30" t="str">
        <f t="shared" si="2328"/>
        <v/>
      </c>
      <c r="DH172" s="30" t="str">
        <f t="shared" si="2329"/>
        <v/>
      </c>
      <c r="DI172" s="30" t="str">
        <f t="shared" si="2330"/>
        <v/>
      </c>
      <c r="DJ172" s="30" t="str">
        <f t="shared" si="2331"/>
        <v/>
      </c>
      <c r="DK172" s="30" t="str">
        <f t="shared" si="2332"/>
        <v/>
      </c>
      <c r="DL172" s="30" t="str">
        <f t="shared" si="2333"/>
        <v/>
      </c>
      <c r="DM172" s="30" t="str">
        <f t="shared" si="2334"/>
        <v/>
      </c>
      <c r="DN172" s="30" t="str">
        <f t="shared" si="2335"/>
        <v/>
      </c>
      <c r="DO172" s="30" t="str">
        <f t="shared" si="2336"/>
        <v/>
      </c>
      <c r="DP172" s="30" t="str">
        <f t="shared" si="2337"/>
        <v/>
      </c>
      <c r="DQ172" s="30" t="str">
        <f t="shared" si="2338"/>
        <v/>
      </c>
      <c r="DR172" s="30" t="str">
        <f t="shared" si="2339"/>
        <v/>
      </c>
      <c r="DS172" s="30" t="str">
        <f t="shared" si="2340"/>
        <v/>
      </c>
      <c r="DT172" s="30" t="str">
        <f t="shared" si="2341"/>
        <v/>
      </c>
      <c r="DU172" s="30" t="str">
        <f t="shared" si="2342"/>
        <v/>
      </c>
      <c r="DV172" s="30" t="str">
        <f t="shared" si="2343"/>
        <v/>
      </c>
      <c r="DW172" s="30" t="str">
        <f t="shared" si="2344"/>
        <v/>
      </c>
      <c r="DX172" s="30" t="str">
        <f t="shared" si="2345"/>
        <v/>
      </c>
      <c r="DY172" s="30" t="str">
        <f t="shared" si="2346"/>
        <v/>
      </c>
      <c r="DZ172" s="30" t="str">
        <f t="shared" si="2347"/>
        <v/>
      </c>
      <c r="EA172" s="30" t="str">
        <f t="shared" si="2348"/>
        <v/>
      </c>
      <c r="EB172" s="30" t="str">
        <f t="shared" si="2349"/>
        <v/>
      </c>
      <c r="EC172" s="30" t="str">
        <f t="shared" si="2350"/>
        <v/>
      </c>
      <c r="ED172" s="30" t="str">
        <f t="shared" si="2351"/>
        <v/>
      </c>
      <c r="EE172" s="30" t="str">
        <f t="shared" si="2352"/>
        <v/>
      </c>
      <c r="EF172" s="30" t="str">
        <f t="shared" si="2353"/>
        <v/>
      </c>
      <c r="EG172" s="30" t="str">
        <f t="shared" si="2354"/>
        <v/>
      </c>
      <c r="EH172" s="30" t="str">
        <f t="shared" si="2355"/>
        <v/>
      </c>
      <c r="EI172" s="30" t="str">
        <f t="shared" si="2356"/>
        <v/>
      </c>
      <c r="EJ172" s="30" t="str">
        <f t="shared" si="2357"/>
        <v/>
      </c>
      <c r="EK172" s="30" t="str">
        <f t="shared" si="2358"/>
        <v/>
      </c>
      <c r="EL172" s="30" t="str">
        <f t="shared" si="2359"/>
        <v/>
      </c>
      <c r="EM172" s="30" t="str">
        <f t="shared" si="2360"/>
        <v/>
      </c>
      <c r="EN172" s="30" t="str">
        <f t="shared" si="2361"/>
        <v/>
      </c>
      <c r="EO172" s="30" t="str">
        <f t="shared" si="2362"/>
        <v/>
      </c>
      <c r="EP172" s="30" t="str">
        <f t="shared" si="2363"/>
        <v/>
      </c>
      <c r="EQ172" s="30" t="str">
        <f t="shared" si="2364"/>
        <v/>
      </c>
      <c r="ER172" s="30" t="str">
        <f t="shared" si="2365"/>
        <v/>
      </c>
      <c r="ES172" s="30" t="str">
        <f t="shared" si="2366"/>
        <v/>
      </c>
      <c r="ET172" s="30" t="str">
        <f t="shared" si="2367"/>
        <v/>
      </c>
      <c r="EU172" s="30" t="str">
        <f t="shared" si="2368"/>
        <v/>
      </c>
      <c r="EV172" s="30" t="str">
        <f t="shared" si="2369"/>
        <v/>
      </c>
      <c r="EW172" s="30" t="str">
        <f t="shared" si="2370"/>
        <v/>
      </c>
      <c r="EX172" s="30" t="str">
        <f t="shared" si="2371"/>
        <v/>
      </c>
      <c r="EY172" s="30" t="str">
        <f t="shared" si="2372"/>
        <v/>
      </c>
      <c r="EZ172" s="30" t="str">
        <f t="shared" si="2373"/>
        <v/>
      </c>
      <c r="FA172" s="30" t="str">
        <f t="shared" si="2374"/>
        <v/>
      </c>
      <c r="FB172" s="30" t="str">
        <f t="shared" si="2375"/>
        <v/>
      </c>
      <c r="FC172" s="30" t="str">
        <f t="shared" si="2376"/>
        <v/>
      </c>
      <c r="FD172" s="30" t="str">
        <f t="shared" si="2377"/>
        <v/>
      </c>
      <c r="FE172" s="30" t="str">
        <f t="shared" si="2378"/>
        <v/>
      </c>
      <c r="FF172" s="30" t="str">
        <f t="shared" si="2379"/>
        <v/>
      </c>
      <c r="FG172" s="30" t="str">
        <f t="shared" si="2380"/>
        <v/>
      </c>
      <c r="FH172" s="30" t="str">
        <f t="shared" si="2381"/>
        <v/>
      </c>
      <c r="FI172" s="30" t="str">
        <f t="shared" si="2382"/>
        <v/>
      </c>
      <c r="FJ172" s="30" t="str">
        <f t="shared" si="2383"/>
        <v/>
      </c>
      <c r="FK172" s="30" t="str">
        <f t="shared" si="2384"/>
        <v/>
      </c>
      <c r="FL172" s="30" t="str">
        <f t="shared" si="2385"/>
        <v/>
      </c>
      <c r="FM172" s="30" t="str">
        <f t="shared" si="2386"/>
        <v/>
      </c>
      <c r="FN172" s="30" t="str">
        <f t="shared" si="2387"/>
        <v/>
      </c>
      <c r="FO172" s="30" t="str">
        <f t="shared" si="2388"/>
        <v/>
      </c>
      <c r="FP172" s="30" t="str">
        <f t="shared" si="2389"/>
        <v/>
      </c>
      <c r="FQ172" s="30" t="str">
        <f t="shared" si="2390"/>
        <v/>
      </c>
      <c r="FR172" s="30" t="str">
        <f t="shared" si="2391"/>
        <v/>
      </c>
      <c r="FS172" s="30" t="str">
        <f t="shared" si="2392"/>
        <v/>
      </c>
    </row>
    <row r="173" spans="1:175" ht="16.5">
      <c r="A173" s="5"/>
      <c r="B173" s="36"/>
      <c r="C173" s="5"/>
      <c r="E173" s="54"/>
      <c r="F173" s="10"/>
      <c r="G173" s="10"/>
      <c r="H173" s="10"/>
      <c r="I173" s="10"/>
      <c r="J173" s="10"/>
      <c r="K173" s="10"/>
      <c r="L173" s="10"/>
      <c r="M173" s="10"/>
      <c r="N173" s="10"/>
      <c r="O173" s="10"/>
      <c r="P173" s="51"/>
      <c r="Q173" s="51"/>
      <c r="R173" s="51"/>
      <c r="S173" s="51"/>
      <c r="T173" s="104"/>
      <c r="U173" s="32"/>
      <c r="CU173" s="45" t="str">
        <f t="shared" si="2322"/>
        <v>|n</v>
      </c>
      <c r="CW173" s="24"/>
      <c r="CX173" s="24"/>
      <c r="CY173" s="24"/>
      <c r="CZ173" s="24"/>
      <c r="DA173" s="24"/>
      <c r="DB173" s="30" t="str">
        <f t="shared" si="2323"/>
        <v/>
      </c>
      <c r="DC173" s="30" t="str">
        <f t="shared" si="2324"/>
        <v/>
      </c>
      <c r="DD173" s="30" t="str">
        <f t="shared" si="2325"/>
        <v/>
      </c>
      <c r="DE173" s="30" t="str">
        <f t="shared" si="2326"/>
        <v/>
      </c>
      <c r="DF173" s="30" t="str">
        <f t="shared" si="2327"/>
        <v/>
      </c>
      <c r="DG173" s="30" t="str">
        <f t="shared" si="2328"/>
        <v/>
      </c>
      <c r="DH173" s="30" t="str">
        <f t="shared" si="2329"/>
        <v/>
      </c>
      <c r="DI173" s="30" t="str">
        <f t="shared" si="2330"/>
        <v/>
      </c>
      <c r="DJ173" s="30" t="str">
        <f t="shared" si="2331"/>
        <v/>
      </c>
      <c r="DK173" s="30" t="str">
        <f t="shared" si="2332"/>
        <v/>
      </c>
      <c r="DL173" s="30" t="str">
        <f t="shared" si="2333"/>
        <v/>
      </c>
      <c r="DM173" s="30" t="str">
        <f t="shared" si="2334"/>
        <v/>
      </c>
      <c r="DN173" s="30" t="str">
        <f t="shared" si="2335"/>
        <v/>
      </c>
      <c r="DO173" s="30" t="str">
        <f t="shared" si="2336"/>
        <v/>
      </c>
      <c r="DP173" s="30" t="str">
        <f t="shared" si="2337"/>
        <v/>
      </c>
      <c r="DQ173" s="30" t="str">
        <f t="shared" si="2338"/>
        <v/>
      </c>
      <c r="DR173" s="30" t="str">
        <f t="shared" si="2339"/>
        <v/>
      </c>
      <c r="DS173" s="30" t="str">
        <f t="shared" si="2340"/>
        <v/>
      </c>
      <c r="DT173" s="30" t="str">
        <f t="shared" si="2341"/>
        <v/>
      </c>
      <c r="DU173" s="30" t="str">
        <f t="shared" si="2342"/>
        <v/>
      </c>
      <c r="DV173" s="30" t="str">
        <f t="shared" si="2343"/>
        <v/>
      </c>
      <c r="DW173" s="30" t="str">
        <f t="shared" si="2344"/>
        <v/>
      </c>
      <c r="DX173" s="30" t="str">
        <f t="shared" si="2345"/>
        <v/>
      </c>
      <c r="DY173" s="30" t="str">
        <f t="shared" si="2346"/>
        <v/>
      </c>
      <c r="DZ173" s="30" t="str">
        <f t="shared" si="2347"/>
        <v/>
      </c>
      <c r="EA173" s="30" t="str">
        <f t="shared" si="2348"/>
        <v/>
      </c>
      <c r="EB173" s="30" t="str">
        <f t="shared" si="2349"/>
        <v/>
      </c>
      <c r="EC173" s="30" t="str">
        <f t="shared" si="2350"/>
        <v/>
      </c>
      <c r="ED173" s="30" t="str">
        <f t="shared" si="2351"/>
        <v/>
      </c>
      <c r="EE173" s="30" t="str">
        <f t="shared" si="2352"/>
        <v/>
      </c>
      <c r="EF173" s="30" t="str">
        <f t="shared" si="2353"/>
        <v/>
      </c>
      <c r="EG173" s="30" t="str">
        <f t="shared" si="2354"/>
        <v/>
      </c>
      <c r="EH173" s="30" t="str">
        <f t="shared" si="2355"/>
        <v/>
      </c>
      <c r="EI173" s="30" t="str">
        <f t="shared" si="2356"/>
        <v/>
      </c>
      <c r="EJ173" s="30" t="str">
        <f t="shared" si="2357"/>
        <v/>
      </c>
      <c r="EK173" s="30" t="str">
        <f t="shared" si="2358"/>
        <v/>
      </c>
      <c r="EL173" s="30" t="str">
        <f t="shared" si="2359"/>
        <v/>
      </c>
      <c r="EM173" s="30" t="str">
        <f t="shared" si="2360"/>
        <v/>
      </c>
      <c r="EN173" s="30" t="str">
        <f t="shared" si="2361"/>
        <v/>
      </c>
      <c r="EO173" s="30" t="str">
        <f t="shared" si="2362"/>
        <v/>
      </c>
      <c r="EP173" s="30" t="str">
        <f t="shared" si="2363"/>
        <v/>
      </c>
      <c r="EQ173" s="30" t="str">
        <f t="shared" si="2364"/>
        <v/>
      </c>
      <c r="ER173" s="30" t="str">
        <f t="shared" si="2365"/>
        <v/>
      </c>
      <c r="ES173" s="30" t="str">
        <f t="shared" si="2366"/>
        <v/>
      </c>
      <c r="ET173" s="30" t="str">
        <f t="shared" si="2367"/>
        <v/>
      </c>
      <c r="EU173" s="30" t="str">
        <f t="shared" si="2368"/>
        <v/>
      </c>
      <c r="EV173" s="30" t="str">
        <f t="shared" si="2369"/>
        <v/>
      </c>
      <c r="EW173" s="30" t="str">
        <f t="shared" si="2370"/>
        <v/>
      </c>
      <c r="EX173" s="30" t="str">
        <f t="shared" si="2371"/>
        <v/>
      </c>
      <c r="EY173" s="30" t="str">
        <f t="shared" si="2372"/>
        <v/>
      </c>
      <c r="EZ173" s="30" t="str">
        <f t="shared" si="2373"/>
        <v/>
      </c>
      <c r="FA173" s="30" t="str">
        <f t="shared" si="2374"/>
        <v/>
      </c>
      <c r="FB173" s="30" t="str">
        <f t="shared" si="2375"/>
        <v/>
      </c>
      <c r="FC173" s="30" t="str">
        <f t="shared" si="2376"/>
        <v/>
      </c>
      <c r="FD173" s="30" t="str">
        <f t="shared" si="2377"/>
        <v/>
      </c>
      <c r="FE173" s="30" t="str">
        <f t="shared" si="2378"/>
        <v/>
      </c>
      <c r="FF173" s="30" t="str">
        <f t="shared" si="2379"/>
        <v/>
      </c>
      <c r="FG173" s="30" t="str">
        <f t="shared" si="2380"/>
        <v/>
      </c>
      <c r="FH173" s="30" t="str">
        <f t="shared" si="2381"/>
        <v/>
      </c>
      <c r="FI173" s="30" t="str">
        <f t="shared" si="2382"/>
        <v/>
      </c>
      <c r="FJ173" s="30" t="str">
        <f t="shared" si="2383"/>
        <v/>
      </c>
      <c r="FK173" s="30" t="str">
        <f t="shared" si="2384"/>
        <v/>
      </c>
      <c r="FL173" s="30" t="str">
        <f t="shared" si="2385"/>
        <v/>
      </c>
      <c r="FM173" s="30" t="str">
        <f t="shared" si="2386"/>
        <v/>
      </c>
      <c r="FN173" s="30" t="str">
        <f t="shared" si="2387"/>
        <v/>
      </c>
      <c r="FO173" s="30" t="str">
        <f t="shared" si="2388"/>
        <v/>
      </c>
      <c r="FP173" s="30" t="str">
        <f t="shared" si="2389"/>
        <v/>
      </c>
      <c r="FQ173" s="30" t="str">
        <f t="shared" si="2390"/>
        <v/>
      </c>
      <c r="FR173" s="30" t="str">
        <f t="shared" si="2391"/>
        <v/>
      </c>
      <c r="FS173" s="30" t="str">
        <f t="shared" si="2392"/>
        <v/>
      </c>
    </row>
    <row r="174" spans="1:175" ht="16.5">
      <c r="A174" s="5"/>
      <c r="B174" s="36"/>
      <c r="C174" s="5"/>
      <c r="E174" s="54"/>
      <c r="F174" s="10"/>
      <c r="G174" s="10"/>
      <c r="H174" s="10"/>
      <c r="I174" s="10"/>
      <c r="J174" s="10"/>
      <c r="K174" s="10"/>
      <c r="L174" s="10"/>
      <c r="M174" s="10"/>
      <c r="N174" s="10"/>
      <c r="O174" s="10"/>
      <c r="P174" s="51"/>
      <c r="Q174" s="51"/>
      <c r="R174" s="51"/>
      <c r="S174" s="51"/>
      <c r="T174" s="104"/>
      <c r="U174" s="32"/>
      <c r="CU174" s="45" t="str">
        <f t="shared" si="2322"/>
        <v>|n</v>
      </c>
      <c r="CW174" s="24"/>
      <c r="CX174" s="24"/>
      <c r="CY174" s="24"/>
      <c r="CZ174" s="24"/>
      <c r="DA174" s="24"/>
      <c r="DB174" s="30" t="str">
        <f t="shared" si="2323"/>
        <v/>
      </c>
      <c r="DC174" s="30" t="str">
        <f t="shared" si="2324"/>
        <v/>
      </c>
      <c r="DD174" s="30" t="str">
        <f t="shared" si="2325"/>
        <v/>
      </c>
      <c r="DE174" s="30" t="str">
        <f t="shared" si="2326"/>
        <v/>
      </c>
      <c r="DF174" s="30" t="str">
        <f t="shared" si="2327"/>
        <v/>
      </c>
      <c r="DG174" s="30" t="str">
        <f t="shared" si="2328"/>
        <v/>
      </c>
      <c r="DH174" s="30" t="str">
        <f t="shared" si="2329"/>
        <v/>
      </c>
      <c r="DI174" s="30" t="str">
        <f t="shared" si="2330"/>
        <v/>
      </c>
      <c r="DJ174" s="30" t="str">
        <f t="shared" si="2331"/>
        <v/>
      </c>
      <c r="DK174" s="30" t="str">
        <f t="shared" si="2332"/>
        <v/>
      </c>
      <c r="DL174" s="30" t="str">
        <f t="shared" si="2333"/>
        <v/>
      </c>
      <c r="DM174" s="30" t="str">
        <f t="shared" si="2334"/>
        <v/>
      </c>
      <c r="DN174" s="30" t="str">
        <f t="shared" si="2335"/>
        <v/>
      </c>
      <c r="DO174" s="30" t="str">
        <f t="shared" si="2336"/>
        <v/>
      </c>
      <c r="DP174" s="30" t="str">
        <f t="shared" si="2337"/>
        <v/>
      </c>
      <c r="DQ174" s="30" t="str">
        <f t="shared" si="2338"/>
        <v/>
      </c>
      <c r="DR174" s="30" t="str">
        <f t="shared" si="2339"/>
        <v/>
      </c>
      <c r="DS174" s="30" t="str">
        <f t="shared" si="2340"/>
        <v/>
      </c>
      <c r="DT174" s="30" t="str">
        <f t="shared" si="2341"/>
        <v/>
      </c>
      <c r="DU174" s="30" t="str">
        <f t="shared" si="2342"/>
        <v/>
      </c>
      <c r="DV174" s="30" t="str">
        <f t="shared" si="2343"/>
        <v/>
      </c>
      <c r="DW174" s="30" t="str">
        <f t="shared" si="2344"/>
        <v/>
      </c>
      <c r="DX174" s="30" t="str">
        <f t="shared" si="2345"/>
        <v/>
      </c>
      <c r="DY174" s="30" t="str">
        <f t="shared" si="2346"/>
        <v/>
      </c>
      <c r="DZ174" s="30" t="str">
        <f t="shared" si="2347"/>
        <v/>
      </c>
      <c r="EA174" s="30" t="str">
        <f t="shared" si="2348"/>
        <v/>
      </c>
      <c r="EB174" s="30" t="str">
        <f t="shared" si="2349"/>
        <v/>
      </c>
      <c r="EC174" s="30" t="str">
        <f t="shared" si="2350"/>
        <v/>
      </c>
      <c r="ED174" s="30" t="str">
        <f t="shared" si="2351"/>
        <v/>
      </c>
      <c r="EE174" s="30" t="str">
        <f t="shared" si="2352"/>
        <v/>
      </c>
      <c r="EF174" s="30" t="str">
        <f t="shared" si="2353"/>
        <v/>
      </c>
      <c r="EG174" s="30" t="str">
        <f t="shared" si="2354"/>
        <v/>
      </c>
      <c r="EH174" s="30" t="str">
        <f t="shared" si="2355"/>
        <v/>
      </c>
      <c r="EI174" s="30" t="str">
        <f t="shared" si="2356"/>
        <v/>
      </c>
      <c r="EJ174" s="30" t="str">
        <f t="shared" si="2357"/>
        <v/>
      </c>
      <c r="EK174" s="30" t="str">
        <f t="shared" si="2358"/>
        <v/>
      </c>
      <c r="EL174" s="30" t="str">
        <f t="shared" si="2359"/>
        <v/>
      </c>
      <c r="EM174" s="30" t="str">
        <f t="shared" si="2360"/>
        <v/>
      </c>
      <c r="EN174" s="30" t="str">
        <f t="shared" si="2361"/>
        <v/>
      </c>
      <c r="EO174" s="30" t="str">
        <f t="shared" si="2362"/>
        <v/>
      </c>
      <c r="EP174" s="30" t="str">
        <f t="shared" si="2363"/>
        <v/>
      </c>
      <c r="EQ174" s="30" t="str">
        <f t="shared" si="2364"/>
        <v/>
      </c>
      <c r="ER174" s="30" t="str">
        <f t="shared" si="2365"/>
        <v/>
      </c>
      <c r="ES174" s="30" t="str">
        <f t="shared" si="2366"/>
        <v/>
      </c>
      <c r="ET174" s="30" t="str">
        <f t="shared" si="2367"/>
        <v/>
      </c>
      <c r="EU174" s="30" t="str">
        <f t="shared" si="2368"/>
        <v/>
      </c>
      <c r="EV174" s="30" t="str">
        <f t="shared" si="2369"/>
        <v/>
      </c>
      <c r="EW174" s="30" t="str">
        <f t="shared" si="2370"/>
        <v/>
      </c>
      <c r="EX174" s="30" t="str">
        <f t="shared" si="2371"/>
        <v/>
      </c>
      <c r="EY174" s="30" t="str">
        <f t="shared" si="2372"/>
        <v/>
      </c>
      <c r="EZ174" s="30" t="str">
        <f t="shared" si="2373"/>
        <v/>
      </c>
      <c r="FA174" s="30" t="str">
        <f t="shared" si="2374"/>
        <v/>
      </c>
      <c r="FB174" s="30" t="str">
        <f t="shared" si="2375"/>
        <v/>
      </c>
      <c r="FC174" s="30" t="str">
        <f t="shared" si="2376"/>
        <v/>
      </c>
      <c r="FD174" s="30" t="str">
        <f t="shared" si="2377"/>
        <v/>
      </c>
      <c r="FE174" s="30" t="str">
        <f t="shared" si="2378"/>
        <v/>
      </c>
      <c r="FF174" s="30" t="str">
        <f t="shared" si="2379"/>
        <v/>
      </c>
      <c r="FG174" s="30" t="str">
        <f t="shared" si="2380"/>
        <v/>
      </c>
      <c r="FH174" s="30" t="str">
        <f t="shared" si="2381"/>
        <v/>
      </c>
      <c r="FI174" s="30" t="str">
        <f t="shared" si="2382"/>
        <v/>
      </c>
      <c r="FJ174" s="30" t="str">
        <f t="shared" si="2383"/>
        <v/>
      </c>
      <c r="FK174" s="30" t="str">
        <f t="shared" si="2384"/>
        <v/>
      </c>
      <c r="FL174" s="30" t="str">
        <f t="shared" si="2385"/>
        <v/>
      </c>
      <c r="FM174" s="30" t="str">
        <f t="shared" si="2386"/>
        <v/>
      </c>
      <c r="FN174" s="30" t="str">
        <f t="shared" si="2387"/>
        <v/>
      </c>
      <c r="FO174" s="30" t="str">
        <f t="shared" si="2388"/>
        <v/>
      </c>
      <c r="FP174" s="30" t="str">
        <f t="shared" si="2389"/>
        <v/>
      </c>
      <c r="FQ174" s="30" t="str">
        <f t="shared" si="2390"/>
        <v/>
      </c>
      <c r="FR174" s="30" t="str">
        <f t="shared" si="2391"/>
        <v/>
      </c>
      <c r="FS174" s="30" t="str">
        <f t="shared" si="2392"/>
        <v/>
      </c>
    </row>
    <row r="175" spans="1:175" ht="16.5">
      <c r="A175" s="5"/>
      <c r="B175" s="36"/>
      <c r="C175" s="5"/>
      <c r="E175" s="54"/>
      <c r="F175" s="10"/>
      <c r="G175" s="10"/>
      <c r="H175" s="10"/>
      <c r="I175" s="10"/>
      <c r="J175" s="10"/>
      <c r="K175" s="10"/>
      <c r="L175" s="10"/>
      <c r="M175" s="10"/>
      <c r="N175" s="10"/>
      <c r="O175" s="10"/>
      <c r="P175" s="51"/>
      <c r="Q175" s="51"/>
      <c r="R175" s="51"/>
      <c r="S175" s="51"/>
      <c r="T175" s="104"/>
      <c r="U175" s="32"/>
      <c r="CU175" s="45" t="str">
        <f t="shared" si="2322"/>
        <v>|n</v>
      </c>
      <c r="CW175" s="24"/>
      <c r="CX175" s="24"/>
      <c r="CY175" s="24"/>
      <c r="CZ175" s="24"/>
      <c r="DA175" s="24"/>
      <c r="DB175" s="30" t="str">
        <f t="shared" si="2323"/>
        <v/>
      </c>
      <c r="DC175" s="30" t="str">
        <f t="shared" si="2324"/>
        <v/>
      </c>
      <c r="DD175" s="30" t="str">
        <f t="shared" si="2325"/>
        <v/>
      </c>
      <c r="DE175" s="30" t="str">
        <f t="shared" si="2326"/>
        <v/>
      </c>
      <c r="DF175" s="30" t="str">
        <f t="shared" si="2327"/>
        <v/>
      </c>
      <c r="DG175" s="30" t="str">
        <f t="shared" si="2328"/>
        <v/>
      </c>
      <c r="DH175" s="30" t="str">
        <f t="shared" si="2329"/>
        <v/>
      </c>
      <c r="DI175" s="30" t="str">
        <f t="shared" si="2330"/>
        <v/>
      </c>
      <c r="DJ175" s="30" t="str">
        <f t="shared" si="2331"/>
        <v/>
      </c>
      <c r="DK175" s="30" t="str">
        <f t="shared" si="2332"/>
        <v/>
      </c>
      <c r="DL175" s="30" t="str">
        <f t="shared" si="2333"/>
        <v/>
      </c>
      <c r="DM175" s="30" t="str">
        <f t="shared" si="2334"/>
        <v/>
      </c>
      <c r="DN175" s="30" t="str">
        <f t="shared" si="2335"/>
        <v/>
      </c>
      <c r="DO175" s="30" t="str">
        <f t="shared" si="2336"/>
        <v/>
      </c>
      <c r="DP175" s="30" t="str">
        <f t="shared" si="2337"/>
        <v/>
      </c>
      <c r="DQ175" s="30" t="str">
        <f t="shared" si="2338"/>
        <v/>
      </c>
      <c r="DR175" s="30" t="str">
        <f t="shared" si="2339"/>
        <v/>
      </c>
      <c r="DS175" s="30" t="str">
        <f t="shared" si="2340"/>
        <v/>
      </c>
      <c r="DT175" s="30" t="str">
        <f t="shared" si="2341"/>
        <v/>
      </c>
      <c r="DU175" s="30" t="str">
        <f t="shared" si="2342"/>
        <v/>
      </c>
      <c r="DV175" s="30" t="str">
        <f t="shared" si="2343"/>
        <v/>
      </c>
      <c r="DW175" s="30" t="str">
        <f t="shared" si="2344"/>
        <v/>
      </c>
      <c r="DX175" s="30" t="str">
        <f t="shared" si="2345"/>
        <v/>
      </c>
      <c r="DY175" s="30" t="str">
        <f t="shared" si="2346"/>
        <v/>
      </c>
      <c r="DZ175" s="30" t="str">
        <f t="shared" si="2347"/>
        <v/>
      </c>
      <c r="EA175" s="30" t="str">
        <f t="shared" si="2348"/>
        <v/>
      </c>
      <c r="EB175" s="30" t="str">
        <f t="shared" si="2349"/>
        <v/>
      </c>
      <c r="EC175" s="30" t="str">
        <f t="shared" si="2350"/>
        <v/>
      </c>
      <c r="ED175" s="30" t="str">
        <f t="shared" si="2351"/>
        <v/>
      </c>
      <c r="EE175" s="30" t="str">
        <f t="shared" si="2352"/>
        <v/>
      </c>
      <c r="EF175" s="30" t="str">
        <f t="shared" si="2353"/>
        <v/>
      </c>
      <c r="EG175" s="30" t="str">
        <f t="shared" si="2354"/>
        <v/>
      </c>
      <c r="EH175" s="30" t="str">
        <f t="shared" si="2355"/>
        <v/>
      </c>
      <c r="EI175" s="30" t="str">
        <f t="shared" si="2356"/>
        <v/>
      </c>
      <c r="EJ175" s="30" t="str">
        <f t="shared" si="2357"/>
        <v/>
      </c>
      <c r="EK175" s="30" t="str">
        <f t="shared" si="2358"/>
        <v/>
      </c>
      <c r="EL175" s="30" t="str">
        <f t="shared" si="2359"/>
        <v/>
      </c>
      <c r="EM175" s="30" t="str">
        <f t="shared" si="2360"/>
        <v/>
      </c>
      <c r="EN175" s="30" t="str">
        <f t="shared" si="2361"/>
        <v/>
      </c>
      <c r="EO175" s="30" t="str">
        <f t="shared" si="2362"/>
        <v/>
      </c>
      <c r="EP175" s="30" t="str">
        <f t="shared" si="2363"/>
        <v/>
      </c>
      <c r="EQ175" s="30" t="str">
        <f t="shared" si="2364"/>
        <v/>
      </c>
      <c r="ER175" s="30" t="str">
        <f t="shared" si="2365"/>
        <v/>
      </c>
      <c r="ES175" s="30" t="str">
        <f t="shared" si="2366"/>
        <v/>
      </c>
      <c r="ET175" s="30" t="str">
        <f t="shared" si="2367"/>
        <v/>
      </c>
      <c r="EU175" s="30" t="str">
        <f t="shared" si="2368"/>
        <v/>
      </c>
      <c r="EV175" s="30" t="str">
        <f t="shared" si="2369"/>
        <v/>
      </c>
      <c r="EW175" s="30" t="str">
        <f t="shared" si="2370"/>
        <v/>
      </c>
      <c r="EX175" s="30" t="str">
        <f t="shared" si="2371"/>
        <v/>
      </c>
      <c r="EY175" s="30" t="str">
        <f t="shared" si="2372"/>
        <v/>
      </c>
      <c r="EZ175" s="30" t="str">
        <f t="shared" si="2373"/>
        <v/>
      </c>
      <c r="FA175" s="30" t="str">
        <f t="shared" si="2374"/>
        <v/>
      </c>
      <c r="FB175" s="30" t="str">
        <f t="shared" si="2375"/>
        <v/>
      </c>
      <c r="FC175" s="30" t="str">
        <f t="shared" si="2376"/>
        <v/>
      </c>
      <c r="FD175" s="30" t="str">
        <f t="shared" si="2377"/>
        <v/>
      </c>
      <c r="FE175" s="30" t="str">
        <f t="shared" si="2378"/>
        <v/>
      </c>
      <c r="FF175" s="30" t="str">
        <f t="shared" si="2379"/>
        <v/>
      </c>
      <c r="FG175" s="30" t="str">
        <f t="shared" si="2380"/>
        <v/>
      </c>
      <c r="FH175" s="30" t="str">
        <f t="shared" si="2381"/>
        <v/>
      </c>
      <c r="FI175" s="30" t="str">
        <f t="shared" si="2382"/>
        <v/>
      </c>
      <c r="FJ175" s="30" t="str">
        <f t="shared" si="2383"/>
        <v/>
      </c>
      <c r="FK175" s="30" t="str">
        <f t="shared" si="2384"/>
        <v/>
      </c>
      <c r="FL175" s="30" t="str">
        <f t="shared" si="2385"/>
        <v/>
      </c>
      <c r="FM175" s="30" t="str">
        <f t="shared" si="2386"/>
        <v/>
      </c>
      <c r="FN175" s="30" t="str">
        <f t="shared" si="2387"/>
        <v/>
      </c>
      <c r="FO175" s="30" t="str">
        <f t="shared" si="2388"/>
        <v/>
      </c>
      <c r="FP175" s="30" t="str">
        <f t="shared" si="2389"/>
        <v/>
      </c>
      <c r="FQ175" s="30" t="str">
        <f t="shared" si="2390"/>
        <v/>
      </c>
      <c r="FR175" s="30" t="str">
        <f t="shared" si="2391"/>
        <v/>
      </c>
      <c r="FS175" s="30" t="str">
        <f t="shared" si="2392"/>
        <v/>
      </c>
    </row>
    <row r="176" spans="1:175" ht="16.5">
      <c r="A176" s="5"/>
      <c r="B176" s="36"/>
      <c r="C176" s="5"/>
      <c r="E176" s="54"/>
      <c r="F176" s="10"/>
      <c r="G176" s="10"/>
      <c r="H176" s="10"/>
      <c r="I176" s="10"/>
      <c r="J176" s="10"/>
      <c r="K176" s="10"/>
      <c r="L176" s="10"/>
      <c r="M176" s="10"/>
      <c r="N176" s="10"/>
      <c r="O176" s="10"/>
      <c r="P176" s="51"/>
      <c r="Q176" s="51"/>
      <c r="R176" s="51"/>
      <c r="S176" s="51"/>
      <c r="T176" s="104"/>
      <c r="U176" s="32"/>
      <c r="CU176" s="45" t="str">
        <f t="shared" si="2322"/>
        <v>|n</v>
      </c>
      <c r="CW176" s="24"/>
      <c r="CX176" s="24"/>
      <c r="CY176" s="24"/>
      <c r="CZ176" s="24"/>
      <c r="DA176" s="24"/>
      <c r="DB176" s="30" t="str">
        <f t="shared" si="2323"/>
        <v/>
      </c>
      <c r="DC176" s="30" t="str">
        <f t="shared" si="2324"/>
        <v/>
      </c>
      <c r="DD176" s="30" t="str">
        <f t="shared" si="2325"/>
        <v/>
      </c>
      <c r="DE176" s="30" t="str">
        <f t="shared" si="2326"/>
        <v/>
      </c>
      <c r="DF176" s="30" t="str">
        <f t="shared" si="2327"/>
        <v/>
      </c>
      <c r="DG176" s="30" t="str">
        <f t="shared" si="2328"/>
        <v/>
      </c>
      <c r="DH176" s="30" t="str">
        <f t="shared" si="2329"/>
        <v/>
      </c>
      <c r="DI176" s="30" t="str">
        <f t="shared" si="2330"/>
        <v/>
      </c>
      <c r="DJ176" s="30" t="str">
        <f t="shared" si="2331"/>
        <v/>
      </c>
      <c r="DK176" s="30" t="str">
        <f t="shared" si="2332"/>
        <v/>
      </c>
      <c r="DL176" s="30" t="str">
        <f t="shared" si="2333"/>
        <v/>
      </c>
      <c r="DM176" s="30" t="str">
        <f t="shared" si="2334"/>
        <v/>
      </c>
      <c r="DN176" s="30" t="str">
        <f t="shared" si="2335"/>
        <v/>
      </c>
      <c r="DO176" s="30" t="str">
        <f t="shared" si="2336"/>
        <v/>
      </c>
      <c r="DP176" s="30" t="str">
        <f t="shared" si="2337"/>
        <v/>
      </c>
      <c r="DQ176" s="30" t="str">
        <f t="shared" si="2338"/>
        <v/>
      </c>
      <c r="DR176" s="30" t="str">
        <f t="shared" si="2339"/>
        <v/>
      </c>
      <c r="DS176" s="30" t="str">
        <f t="shared" si="2340"/>
        <v/>
      </c>
      <c r="DT176" s="30" t="str">
        <f t="shared" si="2341"/>
        <v/>
      </c>
      <c r="DU176" s="30" t="str">
        <f t="shared" si="2342"/>
        <v/>
      </c>
      <c r="DV176" s="30" t="str">
        <f t="shared" si="2343"/>
        <v/>
      </c>
      <c r="DW176" s="30" t="str">
        <f t="shared" si="2344"/>
        <v/>
      </c>
      <c r="DX176" s="30" t="str">
        <f t="shared" si="2345"/>
        <v/>
      </c>
      <c r="DY176" s="30" t="str">
        <f t="shared" si="2346"/>
        <v/>
      </c>
      <c r="DZ176" s="30" t="str">
        <f t="shared" si="2347"/>
        <v/>
      </c>
      <c r="EA176" s="30" t="str">
        <f t="shared" si="2348"/>
        <v/>
      </c>
      <c r="EB176" s="30" t="str">
        <f t="shared" si="2349"/>
        <v/>
      </c>
      <c r="EC176" s="30" t="str">
        <f t="shared" si="2350"/>
        <v/>
      </c>
      <c r="ED176" s="30" t="str">
        <f t="shared" si="2351"/>
        <v/>
      </c>
      <c r="EE176" s="30" t="str">
        <f t="shared" si="2352"/>
        <v/>
      </c>
      <c r="EF176" s="30" t="str">
        <f t="shared" si="2353"/>
        <v/>
      </c>
      <c r="EG176" s="30" t="str">
        <f t="shared" si="2354"/>
        <v/>
      </c>
      <c r="EH176" s="30" t="str">
        <f t="shared" si="2355"/>
        <v/>
      </c>
      <c r="EI176" s="30" t="str">
        <f t="shared" si="2356"/>
        <v/>
      </c>
      <c r="EJ176" s="30" t="str">
        <f t="shared" si="2357"/>
        <v/>
      </c>
      <c r="EK176" s="30" t="str">
        <f t="shared" si="2358"/>
        <v/>
      </c>
      <c r="EL176" s="30" t="str">
        <f t="shared" si="2359"/>
        <v/>
      </c>
      <c r="EM176" s="30" t="str">
        <f t="shared" si="2360"/>
        <v/>
      </c>
      <c r="EN176" s="30" t="str">
        <f t="shared" si="2361"/>
        <v/>
      </c>
      <c r="EO176" s="30" t="str">
        <f t="shared" si="2362"/>
        <v/>
      </c>
      <c r="EP176" s="30" t="str">
        <f t="shared" si="2363"/>
        <v/>
      </c>
      <c r="EQ176" s="30" t="str">
        <f t="shared" si="2364"/>
        <v/>
      </c>
      <c r="ER176" s="30" t="str">
        <f t="shared" si="2365"/>
        <v/>
      </c>
      <c r="ES176" s="30" t="str">
        <f t="shared" si="2366"/>
        <v/>
      </c>
      <c r="ET176" s="30" t="str">
        <f t="shared" si="2367"/>
        <v/>
      </c>
      <c r="EU176" s="30" t="str">
        <f t="shared" si="2368"/>
        <v/>
      </c>
      <c r="EV176" s="30" t="str">
        <f t="shared" si="2369"/>
        <v/>
      </c>
      <c r="EW176" s="30" t="str">
        <f t="shared" si="2370"/>
        <v/>
      </c>
      <c r="EX176" s="30" t="str">
        <f t="shared" si="2371"/>
        <v/>
      </c>
      <c r="EY176" s="30" t="str">
        <f t="shared" si="2372"/>
        <v/>
      </c>
      <c r="EZ176" s="30" t="str">
        <f t="shared" si="2373"/>
        <v/>
      </c>
      <c r="FA176" s="30" t="str">
        <f t="shared" si="2374"/>
        <v/>
      </c>
      <c r="FB176" s="30" t="str">
        <f t="shared" si="2375"/>
        <v/>
      </c>
      <c r="FC176" s="30" t="str">
        <f t="shared" si="2376"/>
        <v/>
      </c>
      <c r="FD176" s="30" t="str">
        <f t="shared" si="2377"/>
        <v/>
      </c>
      <c r="FE176" s="30" t="str">
        <f t="shared" si="2378"/>
        <v/>
      </c>
      <c r="FF176" s="30" t="str">
        <f t="shared" si="2379"/>
        <v/>
      </c>
      <c r="FG176" s="30" t="str">
        <f t="shared" si="2380"/>
        <v/>
      </c>
      <c r="FH176" s="30" t="str">
        <f t="shared" si="2381"/>
        <v/>
      </c>
      <c r="FI176" s="30" t="str">
        <f t="shared" si="2382"/>
        <v/>
      </c>
      <c r="FJ176" s="30" t="str">
        <f t="shared" si="2383"/>
        <v/>
      </c>
      <c r="FK176" s="30" t="str">
        <f t="shared" si="2384"/>
        <v/>
      </c>
      <c r="FL176" s="30" t="str">
        <f t="shared" si="2385"/>
        <v/>
      </c>
      <c r="FM176" s="30" t="str">
        <f t="shared" si="2386"/>
        <v/>
      </c>
      <c r="FN176" s="30" t="str">
        <f t="shared" si="2387"/>
        <v/>
      </c>
      <c r="FO176" s="30" t="str">
        <f t="shared" si="2388"/>
        <v/>
      </c>
      <c r="FP176" s="30" t="str">
        <f t="shared" si="2389"/>
        <v/>
      </c>
      <c r="FQ176" s="30" t="str">
        <f t="shared" si="2390"/>
        <v/>
      </c>
      <c r="FR176" s="30" t="str">
        <f t="shared" si="2391"/>
        <v/>
      </c>
      <c r="FS176" s="30" t="str">
        <f t="shared" si="2392"/>
        <v/>
      </c>
    </row>
    <row r="177" spans="1:175" ht="16.5">
      <c r="A177" s="5"/>
      <c r="B177" s="36"/>
      <c r="C177" s="5"/>
      <c r="E177" s="54"/>
      <c r="F177" s="10"/>
      <c r="G177" s="10"/>
      <c r="H177" s="10"/>
      <c r="I177" s="10"/>
      <c r="J177" s="10"/>
      <c r="K177" s="10"/>
      <c r="L177" s="10"/>
      <c r="M177" s="10"/>
      <c r="N177" s="10"/>
      <c r="O177" s="10"/>
      <c r="P177" s="51"/>
      <c r="Q177" s="51"/>
      <c r="R177" s="51"/>
      <c r="S177" s="51"/>
      <c r="T177" s="104"/>
      <c r="U177" s="32"/>
      <c r="CU177" s="45" t="str">
        <f t="shared" si="2322"/>
        <v>|n</v>
      </c>
      <c r="CW177" s="24"/>
      <c r="CX177" s="24"/>
      <c r="CY177" s="24"/>
      <c r="CZ177" s="24"/>
      <c r="DA177" s="24"/>
      <c r="DB177" s="30" t="str">
        <f t="shared" si="2323"/>
        <v/>
      </c>
      <c r="DC177" s="30" t="str">
        <f t="shared" si="2324"/>
        <v/>
      </c>
      <c r="DD177" s="30" t="str">
        <f t="shared" si="2325"/>
        <v/>
      </c>
      <c r="DE177" s="30" t="str">
        <f t="shared" si="2326"/>
        <v/>
      </c>
      <c r="DF177" s="30" t="str">
        <f t="shared" si="2327"/>
        <v/>
      </c>
      <c r="DG177" s="30" t="str">
        <f t="shared" si="2328"/>
        <v/>
      </c>
      <c r="DH177" s="30" t="str">
        <f t="shared" si="2329"/>
        <v/>
      </c>
      <c r="DI177" s="30" t="str">
        <f t="shared" si="2330"/>
        <v/>
      </c>
      <c r="DJ177" s="30" t="str">
        <f t="shared" si="2331"/>
        <v/>
      </c>
      <c r="DK177" s="30" t="str">
        <f t="shared" si="2332"/>
        <v/>
      </c>
      <c r="DL177" s="30" t="str">
        <f t="shared" si="2333"/>
        <v/>
      </c>
      <c r="DM177" s="30" t="str">
        <f t="shared" si="2334"/>
        <v/>
      </c>
      <c r="DN177" s="30" t="str">
        <f t="shared" si="2335"/>
        <v/>
      </c>
      <c r="DO177" s="30" t="str">
        <f t="shared" si="2336"/>
        <v/>
      </c>
      <c r="DP177" s="30" t="str">
        <f t="shared" si="2337"/>
        <v/>
      </c>
      <c r="DQ177" s="30" t="str">
        <f t="shared" si="2338"/>
        <v/>
      </c>
      <c r="DR177" s="30" t="str">
        <f t="shared" si="2339"/>
        <v/>
      </c>
      <c r="DS177" s="30" t="str">
        <f t="shared" si="2340"/>
        <v/>
      </c>
      <c r="DT177" s="30" t="str">
        <f t="shared" si="2341"/>
        <v/>
      </c>
      <c r="DU177" s="30" t="str">
        <f t="shared" si="2342"/>
        <v/>
      </c>
      <c r="DV177" s="30" t="str">
        <f t="shared" si="2343"/>
        <v/>
      </c>
      <c r="DW177" s="30" t="str">
        <f t="shared" si="2344"/>
        <v/>
      </c>
      <c r="DX177" s="30" t="str">
        <f t="shared" si="2345"/>
        <v/>
      </c>
      <c r="DY177" s="30" t="str">
        <f t="shared" si="2346"/>
        <v/>
      </c>
      <c r="DZ177" s="30" t="str">
        <f t="shared" si="2347"/>
        <v/>
      </c>
      <c r="EA177" s="30" t="str">
        <f t="shared" si="2348"/>
        <v/>
      </c>
      <c r="EB177" s="30" t="str">
        <f t="shared" si="2349"/>
        <v/>
      </c>
      <c r="EC177" s="30" t="str">
        <f t="shared" si="2350"/>
        <v/>
      </c>
      <c r="ED177" s="30" t="str">
        <f t="shared" si="2351"/>
        <v/>
      </c>
      <c r="EE177" s="30" t="str">
        <f t="shared" si="2352"/>
        <v/>
      </c>
      <c r="EF177" s="30" t="str">
        <f t="shared" si="2353"/>
        <v/>
      </c>
      <c r="EG177" s="30" t="str">
        <f t="shared" si="2354"/>
        <v/>
      </c>
      <c r="EH177" s="30" t="str">
        <f t="shared" si="2355"/>
        <v/>
      </c>
      <c r="EI177" s="30" t="str">
        <f t="shared" si="2356"/>
        <v/>
      </c>
      <c r="EJ177" s="30" t="str">
        <f t="shared" si="2357"/>
        <v/>
      </c>
      <c r="EK177" s="30" t="str">
        <f t="shared" si="2358"/>
        <v/>
      </c>
      <c r="EL177" s="30" t="str">
        <f t="shared" si="2359"/>
        <v/>
      </c>
      <c r="EM177" s="30" t="str">
        <f t="shared" si="2360"/>
        <v/>
      </c>
      <c r="EN177" s="30" t="str">
        <f t="shared" si="2361"/>
        <v/>
      </c>
      <c r="EO177" s="30" t="str">
        <f t="shared" si="2362"/>
        <v/>
      </c>
      <c r="EP177" s="30" t="str">
        <f t="shared" si="2363"/>
        <v/>
      </c>
      <c r="EQ177" s="30" t="str">
        <f t="shared" si="2364"/>
        <v/>
      </c>
      <c r="ER177" s="30" t="str">
        <f t="shared" si="2365"/>
        <v/>
      </c>
      <c r="ES177" s="30" t="str">
        <f t="shared" si="2366"/>
        <v/>
      </c>
      <c r="ET177" s="30" t="str">
        <f t="shared" si="2367"/>
        <v/>
      </c>
      <c r="EU177" s="30" t="str">
        <f t="shared" si="2368"/>
        <v/>
      </c>
      <c r="EV177" s="30" t="str">
        <f t="shared" si="2369"/>
        <v/>
      </c>
      <c r="EW177" s="30" t="str">
        <f t="shared" si="2370"/>
        <v/>
      </c>
      <c r="EX177" s="30" t="str">
        <f t="shared" si="2371"/>
        <v/>
      </c>
      <c r="EY177" s="30" t="str">
        <f t="shared" si="2372"/>
        <v/>
      </c>
      <c r="EZ177" s="30" t="str">
        <f t="shared" si="2373"/>
        <v/>
      </c>
      <c r="FA177" s="30" t="str">
        <f t="shared" si="2374"/>
        <v/>
      </c>
      <c r="FB177" s="30" t="str">
        <f t="shared" si="2375"/>
        <v/>
      </c>
      <c r="FC177" s="30" t="str">
        <f t="shared" si="2376"/>
        <v/>
      </c>
      <c r="FD177" s="30" t="str">
        <f t="shared" si="2377"/>
        <v/>
      </c>
      <c r="FE177" s="30" t="str">
        <f t="shared" si="2378"/>
        <v/>
      </c>
      <c r="FF177" s="30" t="str">
        <f t="shared" si="2379"/>
        <v/>
      </c>
      <c r="FG177" s="30" t="str">
        <f t="shared" si="2380"/>
        <v/>
      </c>
      <c r="FH177" s="30" t="str">
        <f t="shared" si="2381"/>
        <v/>
      </c>
      <c r="FI177" s="30" t="str">
        <f t="shared" si="2382"/>
        <v/>
      </c>
      <c r="FJ177" s="30" t="str">
        <f t="shared" si="2383"/>
        <v/>
      </c>
      <c r="FK177" s="30" t="str">
        <f t="shared" si="2384"/>
        <v/>
      </c>
      <c r="FL177" s="30" t="str">
        <f t="shared" si="2385"/>
        <v/>
      </c>
      <c r="FM177" s="30" t="str">
        <f t="shared" si="2386"/>
        <v/>
      </c>
      <c r="FN177" s="30" t="str">
        <f t="shared" si="2387"/>
        <v/>
      </c>
      <c r="FO177" s="30" t="str">
        <f t="shared" si="2388"/>
        <v/>
      </c>
      <c r="FP177" s="30" t="str">
        <f t="shared" si="2389"/>
        <v/>
      </c>
      <c r="FQ177" s="30" t="str">
        <f t="shared" si="2390"/>
        <v/>
      </c>
      <c r="FR177" s="30" t="str">
        <f t="shared" si="2391"/>
        <v/>
      </c>
      <c r="FS177" s="30" t="str">
        <f t="shared" si="2392"/>
        <v/>
      </c>
    </row>
    <row r="178" spans="1:175" ht="16.5">
      <c r="A178" s="5"/>
      <c r="B178" s="36"/>
      <c r="C178" s="5"/>
      <c r="E178" s="54"/>
      <c r="F178" s="10"/>
      <c r="G178" s="10"/>
      <c r="H178" s="10"/>
      <c r="I178" s="10"/>
      <c r="J178" s="10"/>
      <c r="K178" s="10"/>
      <c r="L178" s="10"/>
      <c r="M178" s="10"/>
      <c r="N178" s="10"/>
      <c r="O178" s="10"/>
      <c r="P178" s="51"/>
      <c r="Q178" s="51"/>
      <c r="R178" s="51"/>
      <c r="S178" s="51"/>
      <c r="T178" s="103"/>
      <c r="U178" s="32"/>
      <c r="CU178" s="45" t="str">
        <f t="shared" si="2322"/>
        <v>|n</v>
      </c>
      <c r="CW178" s="24"/>
      <c r="CX178" s="24"/>
      <c r="CY178" s="24"/>
      <c r="CZ178" s="24"/>
      <c r="DA178" s="24"/>
      <c r="DB178" s="30" t="str">
        <f t="shared" si="2323"/>
        <v/>
      </c>
      <c r="DC178" s="30" t="str">
        <f t="shared" si="2324"/>
        <v/>
      </c>
      <c r="DD178" s="30" t="str">
        <f t="shared" si="2325"/>
        <v/>
      </c>
      <c r="DE178" s="30" t="str">
        <f t="shared" si="2326"/>
        <v/>
      </c>
      <c r="DF178" s="30" t="str">
        <f t="shared" si="2327"/>
        <v/>
      </c>
      <c r="DG178" s="30" t="str">
        <f t="shared" si="2328"/>
        <v/>
      </c>
      <c r="DH178" s="30" t="str">
        <f t="shared" si="2329"/>
        <v/>
      </c>
      <c r="DI178" s="30" t="str">
        <f t="shared" si="2330"/>
        <v/>
      </c>
      <c r="DJ178" s="30" t="str">
        <f t="shared" si="2331"/>
        <v/>
      </c>
      <c r="DK178" s="30" t="str">
        <f t="shared" si="2332"/>
        <v/>
      </c>
      <c r="DL178" s="30" t="str">
        <f t="shared" si="2333"/>
        <v/>
      </c>
      <c r="DM178" s="30" t="str">
        <f t="shared" si="2334"/>
        <v/>
      </c>
      <c r="DN178" s="30" t="str">
        <f t="shared" si="2335"/>
        <v/>
      </c>
      <c r="DO178" s="30" t="str">
        <f t="shared" si="2336"/>
        <v/>
      </c>
      <c r="DP178" s="30" t="str">
        <f t="shared" si="2337"/>
        <v/>
      </c>
      <c r="DQ178" s="30" t="str">
        <f t="shared" si="2338"/>
        <v/>
      </c>
      <c r="DR178" s="30" t="str">
        <f t="shared" si="2339"/>
        <v/>
      </c>
      <c r="DS178" s="30" t="str">
        <f t="shared" si="2340"/>
        <v/>
      </c>
      <c r="DT178" s="30" t="str">
        <f t="shared" si="2341"/>
        <v/>
      </c>
      <c r="DU178" s="30" t="str">
        <f t="shared" si="2342"/>
        <v/>
      </c>
      <c r="DV178" s="30" t="str">
        <f t="shared" si="2343"/>
        <v/>
      </c>
      <c r="DW178" s="30" t="str">
        <f t="shared" si="2344"/>
        <v/>
      </c>
      <c r="DX178" s="30" t="str">
        <f t="shared" si="2345"/>
        <v/>
      </c>
      <c r="DY178" s="30" t="str">
        <f t="shared" si="2346"/>
        <v/>
      </c>
      <c r="DZ178" s="30" t="str">
        <f t="shared" si="2347"/>
        <v/>
      </c>
      <c r="EA178" s="30" t="str">
        <f t="shared" si="2348"/>
        <v/>
      </c>
      <c r="EB178" s="30" t="str">
        <f t="shared" si="2349"/>
        <v/>
      </c>
      <c r="EC178" s="30" t="str">
        <f t="shared" si="2350"/>
        <v/>
      </c>
      <c r="ED178" s="30" t="str">
        <f t="shared" si="2351"/>
        <v/>
      </c>
      <c r="EE178" s="30" t="str">
        <f t="shared" si="2352"/>
        <v/>
      </c>
      <c r="EF178" s="30" t="str">
        <f t="shared" si="2353"/>
        <v/>
      </c>
      <c r="EG178" s="30" t="str">
        <f t="shared" si="2354"/>
        <v/>
      </c>
      <c r="EH178" s="30" t="str">
        <f t="shared" si="2355"/>
        <v/>
      </c>
      <c r="EI178" s="30" t="str">
        <f t="shared" si="2356"/>
        <v/>
      </c>
      <c r="EJ178" s="30" t="str">
        <f t="shared" si="2357"/>
        <v/>
      </c>
      <c r="EK178" s="30" t="str">
        <f t="shared" si="2358"/>
        <v/>
      </c>
      <c r="EL178" s="30" t="str">
        <f t="shared" si="2359"/>
        <v/>
      </c>
      <c r="EM178" s="30" t="str">
        <f t="shared" si="2360"/>
        <v/>
      </c>
      <c r="EN178" s="30" t="str">
        <f t="shared" si="2361"/>
        <v/>
      </c>
      <c r="EO178" s="30" t="str">
        <f t="shared" si="2362"/>
        <v/>
      </c>
      <c r="EP178" s="30" t="str">
        <f t="shared" si="2363"/>
        <v/>
      </c>
      <c r="EQ178" s="30" t="str">
        <f t="shared" si="2364"/>
        <v/>
      </c>
      <c r="ER178" s="30" t="str">
        <f t="shared" si="2365"/>
        <v/>
      </c>
      <c r="ES178" s="30" t="str">
        <f t="shared" si="2366"/>
        <v/>
      </c>
      <c r="ET178" s="30" t="str">
        <f t="shared" si="2367"/>
        <v/>
      </c>
      <c r="EU178" s="30" t="str">
        <f t="shared" si="2368"/>
        <v/>
      </c>
      <c r="EV178" s="30" t="str">
        <f t="shared" si="2369"/>
        <v/>
      </c>
      <c r="EW178" s="30" t="str">
        <f t="shared" si="2370"/>
        <v/>
      </c>
      <c r="EX178" s="30" t="str">
        <f t="shared" si="2371"/>
        <v/>
      </c>
      <c r="EY178" s="30" t="str">
        <f t="shared" si="2372"/>
        <v/>
      </c>
      <c r="EZ178" s="30" t="str">
        <f t="shared" si="2373"/>
        <v/>
      </c>
      <c r="FA178" s="30" t="str">
        <f t="shared" si="2374"/>
        <v/>
      </c>
      <c r="FB178" s="30" t="str">
        <f t="shared" si="2375"/>
        <v/>
      </c>
      <c r="FC178" s="30" t="str">
        <f t="shared" si="2376"/>
        <v/>
      </c>
      <c r="FD178" s="30" t="str">
        <f t="shared" si="2377"/>
        <v/>
      </c>
      <c r="FE178" s="30" t="str">
        <f t="shared" si="2378"/>
        <v/>
      </c>
      <c r="FF178" s="30" t="str">
        <f t="shared" si="2379"/>
        <v/>
      </c>
      <c r="FG178" s="30" t="str">
        <f t="shared" si="2380"/>
        <v/>
      </c>
      <c r="FH178" s="30" t="str">
        <f t="shared" si="2381"/>
        <v/>
      </c>
      <c r="FI178" s="30" t="str">
        <f t="shared" si="2382"/>
        <v/>
      </c>
      <c r="FJ178" s="30" t="str">
        <f t="shared" si="2383"/>
        <v/>
      </c>
      <c r="FK178" s="30" t="str">
        <f t="shared" si="2384"/>
        <v/>
      </c>
      <c r="FL178" s="30" t="str">
        <f t="shared" si="2385"/>
        <v/>
      </c>
      <c r="FM178" s="30" t="str">
        <f t="shared" si="2386"/>
        <v/>
      </c>
      <c r="FN178" s="30" t="str">
        <f t="shared" si="2387"/>
        <v/>
      </c>
      <c r="FO178" s="30" t="str">
        <f t="shared" si="2388"/>
        <v/>
      </c>
      <c r="FP178" s="30" t="str">
        <f t="shared" si="2389"/>
        <v/>
      </c>
      <c r="FQ178" s="30" t="str">
        <f t="shared" si="2390"/>
        <v/>
      </c>
      <c r="FR178" s="30" t="str">
        <f t="shared" si="2391"/>
        <v/>
      </c>
      <c r="FS178" s="30" t="str">
        <f t="shared" si="2392"/>
        <v/>
      </c>
    </row>
    <row r="179" spans="1:175" ht="16.5">
      <c r="A179" s="5"/>
      <c r="B179" s="36"/>
      <c r="C179" s="5"/>
      <c r="E179" s="54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51"/>
      <c r="Q179" s="51"/>
      <c r="R179" s="51"/>
      <c r="S179" s="51"/>
      <c r="T179" s="103"/>
      <c r="U179" s="32"/>
      <c r="CU179" s="45" t="str">
        <f t="shared" si="2322"/>
        <v>|n</v>
      </c>
      <c r="CW179" s="24"/>
      <c r="CX179" s="24"/>
      <c r="CY179" s="24"/>
      <c r="CZ179" s="24"/>
      <c r="DA179" s="24"/>
      <c r="DB179" s="30" t="str">
        <f t="shared" si="2323"/>
        <v/>
      </c>
      <c r="DC179" s="30" t="str">
        <f t="shared" si="2324"/>
        <v/>
      </c>
      <c r="DD179" s="30" t="str">
        <f t="shared" si="2325"/>
        <v/>
      </c>
      <c r="DE179" s="30" t="str">
        <f t="shared" si="2326"/>
        <v/>
      </c>
      <c r="DF179" s="30" t="str">
        <f t="shared" si="2327"/>
        <v/>
      </c>
      <c r="DG179" s="30" t="str">
        <f t="shared" si="2328"/>
        <v/>
      </c>
      <c r="DH179" s="30" t="str">
        <f t="shared" si="2329"/>
        <v/>
      </c>
      <c r="DI179" s="30" t="str">
        <f t="shared" si="2330"/>
        <v/>
      </c>
      <c r="DJ179" s="30" t="str">
        <f t="shared" si="2331"/>
        <v/>
      </c>
      <c r="DK179" s="30" t="str">
        <f t="shared" si="2332"/>
        <v/>
      </c>
      <c r="DL179" s="30" t="str">
        <f t="shared" si="2333"/>
        <v/>
      </c>
      <c r="DM179" s="30" t="str">
        <f t="shared" si="2334"/>
        <v/>
      </c>
      <c r="DN179" s="30" t="str">
        <f t="shared" si="2335"/>
        <v/>
      </c>
      <c r="DO179" s="30" t="str">
        <f t="shared" si="2336"/>
        <v/>
      </c>
      <c r="DP179" s="30" t="str">
        <f t="shared" si="2337"/>
        <v/>
      </c>
      <c r="DQ179" s="30" t="str">
        <f t="shared" si="2338"/>
        <v/>
      </c>
      <c r="DR179" s="30" t="str">
        <f t="shared" si="2339"/>
        <v/>
      </c>
      <c r="DS179" s="30" t="str">
        <f t="shared" si="2340"/>
        <v/>
      </c>
      <c r="DT179" s="30" t="str">
        <f t="shared" si="2341"/>
        <v/>
      </c>
      <c r="DU179" s="30" t="str">
        <f t="shared" si="2342"/>
        <v/>
      </c>
      <c r="DV179" s="30" t="str">
        <f t="shared" si="2343"/>
        <v/>
      </c>
      <c r="DW179" s="30" t="str">
        <f t="shared" si="2344"/>
        <v/>
      </c>
      <c r="DX179" s="30" t="str">
        <f t="shared" si="2345"/>
        <v/>
      </c>
      <c r="DY179" s="30" t="str">
        <f t="shared" si="2346"/>
        <v/>
      </c>
      <c r="DZ179" s="30" t="str">
        <f t="shared" si="2347"/>
        <v/>
      </c>
      <c r="EA179" s="30" t="str">
        <f t="shared" si="2348"/>
        <v/>
      </c>
      <c r="EB179" s="30" t="str">
        <f t="shared" si="2349"/>
        <v/>
      </c>
      <c r="EC179" s="30" t="str">
        <f t="shared" si="2350"/>
        <v/>
      </c>
      <c r="ED179" s="30" t="str">
        <f t="shared" si="2351"/>
        <v/>
      </c>
      <c r="EE179" s="30" t="str">
        <f t="shared" si="2352"/>
        <v/>
      </c>
      <c r="EF179" s="30" t="str">
        <f t="shared" si="2353"/>
        <v/>
      </c>
      <c r="EG179" s="30" t="str">
        <f t="shared" si="2354"/>
        <v/>
      </c>
      <c r="EH179" s="30" t="str">
        <f t="shared" si="2355"/>
        <v/>
      </c>
      <c r="EI179" s="30" t="str">
        <f t="shared" si="2356"/>
        <v/>
      </c>
      <c r="EJ179" s="30" t="str">
        <f t="shared" si="2357"/>
        <v/>
      </c>
      <c r="EK179" s="30" t="str">
        <f t="shared" si="2358"/>
        <v/>
      </c>
      <c r="EL179" s="30" t="str">
        <f t="shared" si="2359"/>
        <v/>
      </c>
      <c r="EM179" s="30" t="str">
        <f t="shared" si="2360"/>
        <v/>
      </c>
      <c r="EN179" s="30" t="str">
        <f t="shared" si="2361"/>
        <v/>
      </c>
      <c r="EO179" s="30" t="str">
        <f t="shared" si="2362"/>
        <v/>
      </c>
      <c r="EP179" s="30" t="str">
        <f t="shared" si="2363"/>
        <v/>
      </c>
      <c r="EQ179" s="30" t="str">
        <f t="shared" si="2364"/>
        <v/>
      </c>
      <c r="ER179" s="30" t="str">
        <f t="shared" si="2365"/>
        <v/>
      </c>
      <c r="ES179" s="30" t="str">
        <f t="shared" si="2366"/>
        <v/>
      </c>
      <c r="ET179" s="30" t="str">
        <f t="shared" si="2367"/>
        <v/>
      </c>
      <c r="EU179" s="30" t="str">
        <f t="shared" si="2368"/>
        <v/>
      </c>
      <c r="EV179" s="30" t="str">
        <f t="shared" si="2369"/>
        <v/>
      </c>
      <c r="EW179" s="30" t="str">
        <f t="shared" si="2370"/>
        <v/>
      </c>
      <c r="EX179" s="30" t="str">
        <f t="shared" si="2371"/>
        <v/>
      </c>
      <c r="EY179" s="30" t="str">
        <f t="shared" si="2372"/>
        <v/>
      </c>
      <c r="EZ179" s="30" t="str">
        <f t="shared" si="2373"/>
        <v/>
      </c>
      <c r="FA179" s="30" t="str">
        <f t="shared" si="2374"/>
        <v/>
      </c>
      <c r="FB179" s="30" t="str">
        <f t="shared" si="2375"/>
        <v/>
      </c>
      <c r="FC179" s="30" t="str">
        <f t="shared" si="2376"/>
        <v/>
      </c>
      <c r="FD179" s="30" t="str">
        <f t="shared" si="2377"/>
        <v/>
      </c>
      <c r="FE179" s="30" t="str">
        <f t="shared" si="2378"/>
        <v/>
      </c>
      <c r="FF179" s="30" t="str">
        <f t="shared" si="2379"/>
        <v/>
      </c>
      <c r="FG179" s="30" t="str">
        <f t="shared" si="2380"/>
        <v/>
      </c>
      <c r="FH179" s="30" t="str">
        <f t="shared" si="2381"/>
        <v/>
      </c>
      <c r="FI179" s="30" t="str">
        <f t="shared" si="2382"/>
        <v/>
      </c>
      <c r="FJ179" s="30" t="str">
        <f t="shared" si="2383"/>
        <v/>
      </c>
      <c r="FK179" s="30" t="str">
        <f t="shared" si="2384"/>
        <v/>
      </c>
      <c r="FL179" s="30" t="str">
        <f t="shared" si="2385"/>
        <v/>
      </c>
      <c r="FM179" s="30" t="str">
        <f t="shared" si="2386"/>
        <v/>
      </c>
      <c r="FN179" s="30" t="str">
        <f t="shared" si="2387"/>
        <v/>
      </c>
      <c r="FO179" s="30" t="str">
        <f t="shared" si="2388"/>
        <v/>
      </c>
      <c r="FP179" s="30" t="str">
        <f t="shared" si="2389"/>
        <v/>
      </c>
      <c r="FQ179" s="30" t="str">
        <f t="shared" si="2390"/>
        <v/>
      </c>
      <c r="FR179" s="30" t="str">
        <f t="shared" si="2391"/>
        <v/>
      </c>
      <c r="FS179" s="30" t="str">
        <f t="shared" si="2392"/>
        <v/>
      </c>
    </row>
    <row r="180" spans="1:175">
      <c r="A180" s="66"/>
      <c r="B180" s="66"/>
      <c r="C180" s="66"/>
      <c r="E180" s="35"/>
      <c r="T180" s="100"/>
      <c r="U180" s="32"/>
      <c r="CU180" s="45" t="str">
        <f t="shared" si="2322"/>
        <v>|n</v>
      </c>
      <c r="CW180" s="24"/>
      <c r="CX180" s="24"/>
      <c r="CY180" s="24"/>
      <c r="CZ180" s="24"/>
      <c r="DA180" s="24"/>
      <c r="DB180" s="30" t="str">
        <f t="shared" si="2323"/>
        <v/>
      </c>
      <c r="DC180" s="30" t="str">
        <f t="shared" si="2324"/>
        <v/>
      </c>
      <c r="DD180" s="30" t="str">
        <f t="shared" si="2325"/>
        <v/>
      </c>
      <c r="DE180" s="30" t="str">
        <f t="shared" si="2326"/>
        <v/>
      </c>
      <c r="DF180" s="30" t="str">
        <f t="shared" si="2327"/>
        <v/>
      </c>
      <c r="DG180" s="30" t="str">
        <f t="shared" si="2328"/>
        <v/>
      </c>
      <c r="DH180" s="30" t="str">
        <f t="shared" si="2329"/>
        <v/>
      </c>
      <c r="DI180" s="30" t="str">
        <f t="shared" si="2330"/>
        <v/>
      </c>
      <c r="DJ180" s="30" t="str">
        <f t="shared" si="2331"/>
        <v/>
      </c>
      <c r="DK180" s="30" t="str">
        <f t="shared" si="2332"/>
        <v/>
      </c>
      <c r="DL180" s="30" t="str">
        <f t="shared" si="2333"/>
        <v/>
      </c>
      <c r="DM180" s="30" t="str">
        <f t="shared" si="2334"/>
        <v/>
      </c>
      <c r="DN180" s="30" t="str">
        <f t="shared" si="2335"/>
        <v/>
      </c>
      <c r="DO180" s="30" t="str">
        <f t="shared" si="2336"/>
        <v/>
      </c>
      <c r="DP180" s="30" t="str">
        <f t="shared" si="2337"/>
        <v/>
      </c>
      <c r="DQ180" s="30" t="str">
        <f t="shared" si="2338"/>
        <v/>
      </c>
      <c r="DR180" s="30" t="str">
        <f t="shared" si="2339"/>
        <v/>
      </c>
      <c r="DS180" s="30" t="str">
        <f t="shared" si="2340"/>
        <v/>
      </c>
      <c r="DT180" s="30" t="str">
        <f t="shared" si="2341"/>
        <v/>
      </c>
      <c r="DU180" s="30" t="str">
        <f t="shared" si="2342"/>
        <v/>
      </c>
      <c r="DV180" s="30" t="str">
        <f t="shared" si="2343"/>
        <v/>
      </c>
      <c r="DW180" s="30" t="str">
        <f t="shared" si="2344"/>
        <v/>
      </c>
      <c r="DX180" s="30" t="str">
        <f t="shared" si="2345"/>
        <v/>
      </c>
      <c r="DY180" s="30" t="str">
        <f t="shared" si="2346"/>
        <v/>
      </c>
      <c r="DZ180" s="30" t="str">
        <f t="shared" si="2347"/>
        <v/>
      </c>
      <c r="EA180" s="30" t="str">
        <f t="shared" si="2348"/>
        <v/>
      </c>
      <c r="EB180" s="30" t="str">
        <f t="shared" si="2349"/>
        <v/>
      </c>
      <c r="EC180" s="30" t="str">
        <f t="shared" si="2350"/>
        <v/>
      </c>
      <c r="ED180" s="30" t="str">
        <f t="shared" si="2351"/>
        <v/>
      </c>
      <c r="EE180" s="30" t="str">
        <f t="shared" si="2352"/>
        <v/>
      </c>
      <c r="EF180" s="30" t="str">
        <f t="shared" si="2353"/>
        <v/>
      </c>
      <c r="EG180" s="30" t="str">
        <f t="shared" si="2354"/>
        <v/>
      </c>
      <c r="EH180" s="30" t="str">
        <f t="shared" si="2355"/>
        <v/>
      </c>
      <c r="EI180" s="30" t="str">
        <f t="shared" si="2356"/>
        <v/>
      </c>
      <c r="EJ180" s="30" t="str">
        <f t="shared" si="2357"/>
        <v/>
      </c>
      <c r="EK180" s="30" t="str">
        <f t="shared" si="2358"/>
        <v/>
      </c>
      <c r="EL180" s="30" t="str">
        <f t="shared" si="2359"/>
        <v/>
      </c>
      <c r="EM180" s="30" t="str">
        <f t="shared" si="2360"/>
        <v/>
      </c>
      <c r="EN180" s="30" t="str">
        <f t="shared" si="2361"/>
        <v/>
      </c>
      <c r="EO180" s="30" t="str">
        <f t="shared" si="2362"/>
        <v/>
      </c>
      <c r="EP180" s="30" t="str">
        <f t="shared" si="2363"/>
        <v/>
      </c>
      <c r="EQ180" s="30" t="str">
        <f t="shared" si="2364"/>
        <v/>
      </c>
      <c r="ER180" s="30" t="str">
        <f t="shared" si="2365"/>
        <v/>
      </c>
      <c r="ES180" s="30" t="str">
        <f t="shared" si="2366"/>
        <v/>
      </c>
      <c r="ET180" s="30" t="str">
        <f t="shared" si="2367"/>
        <v/>
      </c>
      <c r="EU180" s="30" t="str">
        <f t="shared" si="2368"/>
        <v/>
      </c>
      <c r="EV180" s="30" t="str">
        <f t="shared" si="2369"/>
        <v/>
      </c>
      <c r="EW180" s="30" t="str">
        <f t="shared" si="2370"/>
        <v/>
      </c>
      <c r="EX180" s="30" t="str">
        <f t="shared" si="2371"/>
        <v/>
      </c>
      <c r="EY180" s="30" t="str">
        <f t="shared" si="2372"/>
        <v/>
      </c>
      <c r="EZ180" s="30" t="str">
        <f t="shared" si="2373"/>
        <v/>
      </c>
      <c r="FA180" s="30" t="str">
        <f t="shared" si="2374"/>
        <v/>
      </c>
      <c r="FB180" s="30" t="str">
        <f t="shared" si="2375"/>
        <v/>
      </c>
      <c r="FC180" s="30" t="str">
        <f t="shared" si="2376"/>
        <v/>
      </c>
      <c r="FD180" s="30" t="str">
        <f t="shared" si="2377"/>
        <v/>
      </c>
      <c r="FE180" s="30" t="str">
        <f t="shared" si="2378"/>
        <v/>
      </c>
      <c r="FF180" s="30" t="str">
        <f t="shared" si="2379"/>
        <v/>
      </c>
      <c r="FG180" s="30" t="str">
        <f t="shared" si="2380"/>
        <v/>
      </c>
      <c r="FH180" s="30" t="str">
        <f t="shared" si="2381"/>
        <v/>
      </c>
      <c r="FI180" s="30" t="str">
        <f t="shared" si="2382"/>
        <v/>
      </c>
      <c r="FJ180" s="30" t="str">
        <f t="shared" si="2383"/>
        <v/>
      </c>
      <c r="FK180" s="30" t="str">
        <f t="shared" si="2384"/>
        <v/>
      </c>
      <c r="FL180" s="30" t="str">
        <f t="shared" si="2385"/>
        <v/>
      </c>
      <c r="FM180" s="30" t="str">
        <f t="shared" si="2386"/>
        <v/>
      </c>
      <c r="FN180" s="30" t="str">
        <f t="shared" si="2387"/>
        <v/>
      </c>
      <c r="FO180" s="30" t="str">
        <f t="shared" si="2388"/>
        <v/>
      </c>
      <c r="FP180" s="30" t="str">
        <f t="shared" si="2389"/>
        <v/>
      </c>
      <c r="FQ180" s="30" t="str">
        <f t="shared" si="2390"/>
        <v/>
      </c>
      <c r="FR180" s="30" t="str">
        <f t="shared" si="2391"/>
        <v/>
      </c>
      <c r="FS180" s="30" t="str">
        <f t="shared" si="2392"/>
        <v/>
      </c>
    </row>
    <row r="181" spans="1:175">
      <c r="A181" s="66"/>
      <c r="B181" s="66"/>
      <c r="C181" s="66"/>
      <c r="E181" s="35"/>
      <c r="T181" s="100"/>
      <c r="U181" s="32"/>
      <c r="CU181" s="45" t="str">
        <f t="shared" si="2322"/>
        <v>|n</v>
      </c>
      <c r="CW181" s="24"/>
      <c r="CX181" s="24"/>
      <c r="CY181" s="24"/>
      <c r="CZ181" s="24"/>
      <c r="DA181" s="24"/>
      <c r="DB181" s="30" t="str">
        <f t="shared" si="2323"/>
        <v/>
      </c>
      <c r="DC181" s="30" t="str">
        <f t="shared" si="2324"/>
        <v/>
      </c>
      <c r="DD181" s="30" t="str">
        <f t="shared" si="2325"/>
        <v/>
      </c>
      <c r="DE181" s="30" t="str">
        <f t="shared" si="2326"/>
        <v/>
      </c>
      <c r="DF181" s="30" t="str">
        <f t="shared" si="2327"/>
        <v/>
      </c>
      <c r="DG181" s="30" t="str">
        <f t="shared" si="2328"/>
        <v/>
      </c>
      <c r="DH181" s="30" t="str">
        <f t="shared" si="2329"/>
        <v/>
      </c>
      <c r="DI181" s="30" t="str">
        <f t="shared" si="2330"/>
        <v/>
      </c>
      <c r="DJ181" s="30" t="str">
        <f t="shared" si="2331"/>
        <v/>
      </c>
      <c r="DK181" s="30" t="str">
        <f t="shared" si="2332"/>
        <v/>
      </c>
      <c r="DL181" s="30" t="str">
        <f t="shared" si="2333"/>
        <v/>
      </c>
      <c r="DM181" s="30" t="str">
        <f t="shared" si="2334"/>
        <v/>
      </c>
      <c r="DN181" s="30" t="str">
        <f t="shared" si="2335"/>
        <v/>
      </c>
      <c r="DO181" s="30" t="str">
        <f t="shared" si="2336"/>
        <v/>
      </c>
      <c r="DP181" s="30" t="str">
        <f t="shared" si="2337"/>
        <v/>
      </c>
      <c r="DQ181" s="30" t="str">
        <f t="shared" si="2338"/>
        <v/>
      </c>
      <c r="DR181" s="30" t="str">
        <f t="shared" si="2339"/>
        <v/>
      </c>
      <c r="DS181" s="30" t="str">
        <f t="shared" si="2340"/>
        <v/>
      </c>
      <c r="DT181" s="30" t="str">
        <f t="shared" si="2341"/>
        <v/>
      </c>
      <c r="DU181" s="30" t="str">
        <f t="shared" si="2342"/>
        <v/>
      </c>
      <c r="DV181" s="30" t="str">
        <f t="shared" si="2343"/>
        <v/>
      </c>
      <c r="DW181" s="30" t="str">
        <f t="shared" si="2344"/>
        <v/>
      </c>
      <c r="DX181" s="30" t="str">
        <f t="shared" si="2345"/>
        <v/>
      </c>
      <c r="DY181" s="30" t="str">
        <f t="shared" si="2346"/>
        <v/>
      </c>
      <c r="DZ181" s="30" t="str">
        <f t="shared" si="2347"/>
        <v/>
      </c>
      <c r="EA181" s="30" t="str">
        <f t="shared" si="2348"/>
        <v/>
      </c>
      <c r="EB181" s="30" t="str">
        <f t="shared" si="2349"/>
        <v/>
      </c>
      <c r="EC181" s="30" t="str">
        <f t="shared" si="2350"/>
        <v/>
      </c>
      <c r="ED181" s="30" t="str">
        <f t="shared" si="2351"/>
        <v/>
      </c>
      <c r="EE181" s="30" t="str">
        <f t="shared" si="2352"/>
        <v/>
      </c>
      <c r="EF181" s="30" t="str">
        <f t="shared" si="2353"/>
        <v/>
      </c>
      <c r="EG181" s="30" t="str">
        <f t="shared" si="2354"/>
        <v/>
      </c>
      <c r="EH181" s="30" t="str">
        <f t="shared" si="2355"/>
        <v/>
      </c>
      <c r="EI181" s="30" t="str">
        <f t="shared" si="2356"/>
        <v/>
      </c>
      <c r="EJ181" s="30" t="str">
        <f t="shared" si="2357"/>
        <v/>
      </c>
      <c r="EK181" s="30" t="str">
        <f t="shared" si="2358"/>
        <v/>
      </c>
      <c r="EL181" s="30" t="str">
        <f t="shared" si="2359"/>
        <v/>
      </c>
      <c r="EM181" s="30" t="str">
        <f t="shared" si="2360"/>
        <v/>
      </c>
      <c r="EN181" s="30" t="str">
        <f t="shared" si="2361"/>
        <v/>
      </c>
      <c r="EO181" s="30" t="str">
        <f t="shared" si="2362"/>
        <v/>
      </c>
      <c r="EP181" s="30" t="str">
        <f t="shared" si="2363"/>
        <v/>
      </c>
      <c r="EQ181" s="30" t="str">
        <f t="shared" si="2364"/>
        <v/>
      </c>
      <c r="ER181" s="30" t="str">
        <f t="shared" si="2365"/>
        <v/>
      </c>
      <c r="ES181" s="30" t="str">
        <f t="shared" si="2366"/>
        <v/>
      </c>
      <c r="ET181" s="30" t="str">
        <f t="shared" si="2367"/>
        <v/>
      </c>
      <c r="EU181" s="30" t="str">
        <f t="shared" si="2368"/>
        <v/>
      </c>
      <c r="EV181" s="30" t="str">
        <f t="shared" si="2369"/>
        <v/>
      </c>
      <c r="EW181" s="30" t="str">
        <f t="shared" si="2370"/>
        <v/>
      </c>
      <c r="EX181" s="30" t="str">
        <f t="shared" si="2371"/>
        <v/>
      </c>
      <c r="EY181" s="30" t="str">
        <f t="shared" si="2372"/>
        <v/>
      </c>
      <c r="EZ181" s="30" t="str">
        <f t="shared" si="2373"/>
        <v/>
      </c>
      <c r="FA181" s="30" t="str">
        <f t="shared" si="2374"/>
        <v/>
      </c>
      <c r="FB181" s="30" t="str">
        <f t="shared" si="2375"/>
        <v/>
      </c>
      <c r="FC181" s="30" t="str">
        <f t="shared" si="2376"/>
        <v/>
      </c>
      <c r="FD181" s="30" t="str">
        <f t="shared" si="2377"/>
        <v/>
      </c>
      <c r="FE181" s="30" t="str">
        <f t="shared" si="2378"/>
        <v/>
      </c>
      <c r="FF181" s="30" t="str">
        <f t="shared" si="2379"/>
        <v/>
      </c>
      <c r="FG181" s="30" t="str">
        <f t="shared" si="2380"/>
        <v/>
      </c>
      <c r="FH181" s="30" t="str">
        <f t="shared" si="2381"/>
        <v/>
      </c>
      <c r="FI181" s="30" t="str">
        <f t="shared" si="2382"/>
        <v/>
      </c>
      <c r="FJ181" s="30" t="str">
        <f t="shared" si="2383"/>
        <v/>
      </c>
      <c r="FK181" s="30" t="str">
        <f t="shared" si="2384"/>
        <v/>
      </c>
      <c r="FL181" s="30" t="str">
        <f t="shared" si="2385"/>
        <v/>
      </c>
      <c r="FM181" s="30" t="str">
        <f t="shared" si="2386"/>
        <v/>
      </c>
      <c r="FN181" s="30" t="str">
        <f t="shared" si="2387"/>
        <v/>
      </c>
      <c r="FO181" s="30" t="str">
        <f t="shared" si="2388"/>
        <v/>
      </c>
      <c r="FP181" s="30" t="str">
        <f t="shared" si="2389"/>
        <v/>
      </c>
      <c r="FQ181" s="30" t="str">
        <f t="shared" si="2390"/>
        <v/>
      </c>
      <c r="FR181" s="30" t="str">
        <f t="shared" si="2391"/>
        <v/>
      </c>
      <c r="FS181" s="30" t="str">
        <f t="shared" si="2392"/>
        <v/>
      </c>
    </row>
    <row r="182" spans="1:175" s="24" customFormat="1" ht="16.5">
      <c r="A182" s="46"/>
      <c r="B182" s="36"/>
      <c r="C182" s="46"/>
      <c r="D182" s="31"/>
      <c r="E182" s="39"/>
      <c r="F182" s="41"/>
      <c r="G182" s="47"/>
      <c r="H182" s="47"/>
      <c r="I182" s="47"/>
      <c r="J182" s="47"/>
      <c r="K182" s="47"/>
      <c r="L182" s="47"/>
      <c r="M182" s="47"/>
      <c r="N182" s="47"/>
      <c r="O182" s="47"/>
      <c r="P182" s="42"/>
      <c r="Q182" s="42"/>
      <c r="R182" s="42"/>
      <c r="S182" s="42"/>
      <c r="T182" s="102"/>
      <c r="U182" s="32"/>
      <c r="V182" s="43"/>
      <c r="W182" s="43"/>
      <c r="X182" s="43"/>
      <c r="Y182" s="43"/>
      <c r="Z182" s="43"/>
      <c r="AA182" s="43"/>
      <c r="AB182" s="43"/>
      <c r="AC182" s="43"/>
      <c r="AD182" s="43"/>
      <c r="AE182" s="43"/>
      <c r="AF182" s="43"/>
      <c r="AG182" s="43"/>
      <c r="AH182" s="43"/>
      <c r="AI182" s="43"/>
      <c r="AJ182" s="43"/>
      <c r="AK182" s="43"/>
      <c r="AL182" s="43"/>
      <c r="AM182" s="43"/>
      <c r="AN182" s="43"/>
      <c r="AO182" s="43"/>
      <c r="AP182" s="43"/>
      <c r="AQ182" s="43"/>
      <c r="AR182" s="43"/>
      <c r="AS182" s="43"/>
      <c r="AT182" s="43"/>
      <c r="AU182" s="43"/>
      <c r="AV182" s="43"/>
      <c r="AW182" s="43"/>
      <c r="AX182" s="43"/>
      <c r="AY182" s="43"/>
      <c r="AZ182" s="43"/>
      <c r="BA182" s="43"/>
      <c r="BB182" s="43"/>
      <c r="BC182" s="43"/>
      <c r="BD182" s="43"/>
      <c r="BE182" s="43"/>
      <c r="BF182" s="43"/>
      <c r="BG182" s="43"/>
      <c r="BH182" s="43"/>
      <c r="BI182" s="43"/>
      <c r="BJ182" s="43"/>
      <c r="BK182" s="43"/>
      <c r="BL182" s="43"/>
      <c r="BM182" s="43"/>
      <c r="BN182" s="43"/>
      <c r="BO182" s="43"/>
      <c r="BP182" s="43"/>
      <c r="BQ182" s="43"/>
      <c r="BR182" s="43"/>
      <c r="BS182" s="43"/>
      <c r="BT182" s="43"/>
      <c r="BU182" s="43"/>
      <c r="BV182" s="43"/>
      <c r="BW182" s="43"/>
      <c r="BX182" s="43"/>
      <c r="BY182" s="43"/>
      <c r="BZ182" s="43"/>
      <c r="CA182" s="43"/>
      <c r="CB182" s="43"/>
      <c r="CC182" s="43"/>
      <c r="CD182" s="43"/>
      <c r="CE182" s="43"/>
      <c r="CF182" s="43"/>
      <c r="CG182" s="43"/>
      <c r="CH182" s="43"/>
      <c r="CI182" s="43"/>
      <c r="CJ182" s="43"/>
      <c r="CK182" s="43"/>
      <c r="CL182" s="43"/>
      <c r="CM182" s="43"/>
      <c r="CN182" s="44" t="str">
        <f>"InitUnitState('"&amp;B182&amp;"',"&amp;V182&amp;","&amp;W182&amp;","&amp;X182&amp;","&amp;Y182&amp;","&amp;Z182&amp;","&amp;AA182&amp;","&amp;AB182&amp;","&amp;AC182&amp;","&amp;AD182&amp;","&amp;AE182&amp;")"</f>
        <v>InitUnitState('',,,,,,,,,,)</v>
      </c>
      <c r="CO182" s="44" t="str">
        <f>"InitUnitNormal('"&amp;B182&amp;"',"&amp;AF182&amp;","&amp;AG182&amp;","&amp;AH182&amp;","&amp;AI182&amp;","&amp;AJ182&amp;","&amp;AK182&amp;","&amp;AL182&amp;","&amp;AM182&amp;","&amp;AN182&amp;","&amp;AO182&amp;")"</f>
        <v>InitUnitNormal('',,,,,,,,,,)</v>
      </c>
      <c r="CP182" s="44" t="str">
        <f>"InitUnitMagic('"&amp;B182&amp;"',"&amp;AP182&amp;","&amp;AQ182&amp;","&amp;AR182&amp;","&amp;AS182&amp;","&amp;AT182&amp;","&amp;AU182&amp;","&amp;AV182&amp;","&amp;AW182&amp;","&amp;BI182&amp;","&amp;BJ182&amp;")"</f>
        <v>InitUnitMagic('',,,,,,,,,,)</v>
      </c>
      <c r="CQ182" s="44" t="str">
        <f>"InitUnitAdd('"&amp;B182&amp;"',"&amp;BK182&amp;","&amp;BL182&amp;","&amp;BM182&amp;","&amp;BN182&amp;","&amp;BO182&amp;","&amp;BP182&amp;","&amp;BQ182&amp;","&amp;BR182&amp;","&amp;BS182&amp;","&amp;BT182&amp;")"</f>
        <v>InitUnitAdd('',,,,,,,,,,)</v>
      </c>
      <c r="CR182" s="44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183&amp;CR$1&amp;")"</f>
        <v>InitEquipData('',,"",,,,,'','','','','','',"")</v>
      </c>
      <c r="CS182" s="44"/>
      <c r="CT182" s="44"/>
      <c r="CU182" s="45" t="str">
        <f t="shared" si="2322"/>
        <v>|n</v>
      </c>
      <c r="CV182" s="29"/>
      <c r="DB182" s="30" t="str">
        <f t="shared" si="2323"/>
        <v/>
      </c>
      <c r="DC182" s="30" t="str">
        <f t="shared" si="2324"/>
        <v/>
      </c>
      <c r="DD182" s="30" t="str">
        <f t="shared" si="2325"/>
        <v/>
      </c>
      <c r="DE182" s="30" t="str">
        <f t="shared" si="2326"/>
        <v/>
      </c>
      <c r="DF182" s="30" t="str">
        <f t="shared" si="2327"/>
        <v/>
      </c>
      <c r="DG182" s="30" t="str">
        <f t="shared" si="2328"/>
        <v/>
      </c>
      <c r="DH182" s="30" t="str">
        <f t="shared" si="2329"/>
        <v/>
      </c>
      <c r="DI182" s="30" t="str">
        <f t="shared" si="2330"/>
        <v/>
      </c>
      <c r="DJ182" s="30" t="str">
        <f t="shared" si="2331"/>
        <v/>
      </c>
      <c r="DK182" s="30" t="str">
        <f t="shared" si="2332"/>
        <v/>
      </c>
      <c r="DL182" s="30" t="str">
        <f t="shared" si="2333"/>
        <v/>
      </c>
      <c r="DM182" s="30" t="str">
        <f t="shared" si="2334"/>
        <v/>
      </c>
      <c r="DN182" s="30" t="str">
        <f t="shared" si="2335"/>
        <v/>
      </c>
      <c r="DO182" s="30" t="str">
        <f t="shared" si="2336"/>
        <v/>
      </c>
      <c r="DP182" s="30" t="str">
        <f t="shared" si="2337"/>
        <v/>
      </c>
      <c r="DQ182" s="30" t="str">
        <f t="shared" si="2338"/>
        <v/>
      </c>
      <c r="DR182" s="30" t="str">
        <f t="shared" si="2339"/>
        <v/>
      </c>
      <c r="DS182" s="30" t="str">
        <f t="shared" si="2340"/>
        <v/>
      </c>
      <c r="DT182" s="30" t="str">
        <f t="shared" si="2341"/>
        <v/>
      </c>
      <c r="DU182" s="30" t="str">
        <f t="shared" si="2342"/>
        <v/>
      </c>
      <c r="DV182" s="30" t="str">
        <f t="shared" si="2343"/>
        <v/>
      </c>
      <c r="DW182" s="30" t="str">
        <f t="shared" si="2344"/>
        <v/>
      </c>
      <c r="DX182" s="30" t="str">
        <f t="shared" si="2345"/>
        <v/>
      </c>
      <c r="DY182" s="30" t="str">
        <f t="shared" si="2346"/>
        <v/>
      </c>
      <c r="DZ182" s="30" t="str">
        <f t="shared" si="2347"/>
        <v/>
      </c>
      <c r="EA182" s="30" t="str">
        <f t="shared" si="2348"/>
        <v/>
      </c>
      <c r="EB182" s="30" t="str">
        <f t="shared" si="2349"/>
        <v/>
      </c>
      <c r="EC182" s="30" t="str">
        <f t="shared" si="2350"/>
        <v/>
      </c>
      <c r="ED182" s="30" t="str">
        <f t="shared" si="2351"/>
        <v/>
      </c>
      <c r="EE182" s="30" t="str">
        <f t="shared" si="2352"/>
        <v/>
      </c>
      <c r="EF182" s="30" t="str">
        <f t="shared" si="2353"/>
        <v/>
      </c>
      <c r="EG182" s="30" t="str">
        <f t="shared" si="2354"/>
        <v/>
      </c>
      <c r="EH182" s="30" t="str">
        <f t="shared" si="2355"/>
        <v/>
      </c>
      <c r="EI182" s="30" t="str">
        <f t="shared" si="2356"/>
        <v/>
      </c>
      <c r="EJ182" s="30" t="str">
        <f t="shared" si="2357"/>
        <v/>
      </c>
      <c r="EK182" s="30" t="str">
        <f t="shared" si="2358"/>
        <v/>
      </c>
      <c r="EL182" s="30" t="str">
        <f t="shared" si="2359"/>
        <v/>
      </c>
      <c r="EM182" s="30" t="str">
        <f t="shared" si="2360"/>
        <v/>
      </c>
      <c r="EN182" s="30" t="str">
        <f t="shared" si="2361"/>
        <v/>
      </c>
      <c r="EO182" s="30" t="str">
        <f t="shared" si="2362"/>
        <v/>
      </c>
      <c r="EP182" s="30" t="str">
        <f t="shared" si="2363"/>
        <v/>
      </c>
      <c r="EQ182" s="30" t="str">
        <f t="shared" si="2364"/>
        <v/>
      </c>
      <c r="ER182" s="30" t="str">
        <f t="shared" si="2365"/>
        <v/>
      </c>
      <c r="ES182" s="30" t="str">
        <f t="shared" si="2366"/>
        <v/>
      </c>
      <c r="ET182" s="30" t="str">
        <f t="shared" si="2367"/>
        <v/>
      </c>
      <c r="EU182" s="30" t="str">
        <f t="shared" si="2368"/>
        <v/>
      </c>
      <c r="EV182" s="30" t="str">
        <f t="shared" si="2369"/>
        <v/>
      </c>
      <c r="EW182" s="30" t="str">
        <f t="shared" si="2370"/>
        <v/>
      </c>
      <c r="EX182" s="30" t="str">
        <f t="shared" si="2371"/>
        <v/>
      </c>
      <c r="EY182" s="30" t="str">
        <f t="shared" si="2372"/>
        <v/>
      </c>
      <c r="EZ182" s="30" t="str">
        <f t="shared" si="2373"/>
        <v/>
      </c>
      <c r="FA182" s="30" t="str">
        <f t="shared" si="2374"/>
        <v/>
      </c>
      <c r="FB182" s="30" t="str">
        <f t="shared" si="2375"/>
        <v/>
      </c>
      <c r="FC182" s="30" t="str">
        <f t="shared" si="2376"/>
        <v/>
      </c>
      <c r="FD182" s="30" t="str">
        <f t="shared" si="2377"/>
        <v/>
      </c>
      <c r="FE182" s="30" t="str">
        <f t="shared" si="2378"/>
        <v/>
      </c>
      <c r="FF182" s="30" t="str">
        <f t="shared" si="2379"/>
        <v/>
      </c>
      <c r="FG182" s="30" t="str">
        <f t="shared" si="2380"/>
        <v/>
      </c>
      <c r="FH182" s="30" t="str">
        <f t="shared" si="2381"/>
        <v/>
      </c>
      <c r="FI182" s="30" t="str">
        <f t="shared" si="2382"/>
        <v/>
      </c>
      <c r="FJ182" s="30" t="str">
        <f t="shared" si="2383"/>
        <v/>
      </c>
      <c r="FK182" s="30" t="str">
        <f t="shared" si="2384"/>
        <v/>
      </c>
      <c r="FL182" s="30" t="str">
        <f t="shared" si="2385"/>
        <v/>
      </c>
      <c r="FM182" s="30" t="str">
        <f t="shared" si="2386"/>
        <v/>
      </c>
      <c r="FN182" s="30" t="str">
        <f t="shared" si="2387"/>
        <v/>
      </c>
      <c r="FO182" s="30" t="str">
        <f t="shared" si="2388"/>
        <v/>
      </c>
      <c r="FP182" s="30" t="str">
        <f t="shared" si="2389"/>
        <v/>
      </c>
      <c r="FQ182" s="30" t="str">
        <f t="shared" si="2390"/>
        <v/>
      </c>
      <c r="FR182" s="30" t="str">
        <f t="shared" si="2391"/>
        <v/>
      </c>
      <c r="FS182" s="30" t="str">
        <f t="shared" si="2392"/>
        <v/>
      </c>
    </row>
    <row r="183" spans="1:175" s="24" customFormat="1" ht="16.5">
      <c r="A183" s="46"/>
      <c r="B183" s="36"/>
      <c r="C183" s="46"/>
      <c r="D183" s="31"/>
      <c r="E183" s="39"/>
      <c r="F183" s="41"/>
      <c r="G183" s="47"/>
      <c r="H183" s="47"/>
      <c r="I183" s="47"/>
      <c r="J183" s="47"/>
      <c r="K183" s="47"/>
      <c r="L183" s="47"/>
      <c r="M183" s="47"/>
      <c r="N183" s="47"/>
      <c r="O183" s="47"/>
      <c r="P183" s="42"/>
      <c r="Q183" s="42"/>
      <c r="R183" s="42"/>
      <c r="S183" s="42"/>
      <c r="T183" s="102"/>
      <c r="U183" s="32"/>
      <c r="V183" s="43"/>
      <c r="W183" s="43"/>
      <c r="X183" s="43"/>
      <c r="Y183" s="43"/>
      <c r="Z183" s="43"/>
      <c r="AA183" s="43"/>
      <c r="AB183" s="43"/>
      <c r="AC183" s="43"/>
      <c r="AD183" s="43"/>
      <c r="AE183" s="43"/>
      <c r="AF183" s="43"/>
      <c r="AG183" s="43"/>
      <c r="AH183" s="43"/>
      <c r="AI183" s="43"/>
      <c r="AJ183" s="43"/>
      <c r="AK183" s="43"/>
      <c r="AL183" s="43"/>
      <c r="AM183" s="43"/>
      <c r="AN183" s="43"/>
      <c r="AO183" s="43"/>
      <c r="AP183" s="43"/>
      <c r="AQ183" s="43"/>
      <c r="AR183" s="43"/>
      <c r="AS183" s="43"/>
      <c r="AT183" s="43"/>
      <c r="AU183" s="43"/>
      <c r="AV183" s="43"/>
      <c r="AW183" s="43"/>
      <c r="AX183" s="43"/>
      <c r="AY183" s="43"/>
      <c r="AZ183" s="43"/>
      <c r="BA183" s="43"/>
      <c r="BB183" s="43"/>
      <c r="BC183" s="43"/>
      <c r="BD183" s="43"/>
      <c r="BE183" s="43"/>
      <c r="BF183" s="43"/>
      <c r="BG183" s="43"/>
      <c r="BH183" s="43"/>
      <c r="BI183" s="43"/>
      <c r="BJ183" s="43"/>
      <c r="BK183" s="43"/>
      <c r="BL183" s="43"/>
      <c r="BM183" s="43"/>
      <c r="BN183" s="43"/>
      <c r="BO183" s="43"/>
      <c r="BP183" s="43"/>
      <c r="BQ183" s="43"/>
      <c r="BR183" s="43"/>
      <c r="BS183" s="43"/>
      <c r="BT183" s="43"/>
      <c r="BU183" s="43"/>
      <c r="BV183" s="43"/>
      <c r="BW183" s="43"/>
      <c r="BX183" s="43"/>
      <c r="BY183" s="43"/>
      <c r="BZ183" s="43"/>
      <c r="CA183" s="43"/>
      <c r="CB183" s="43"/>
      <c r="CC183" s="43"/>
      <c r="CD183" s="43"/>
      <c r="CE183" s="43"/>
      <c r="CF183" s="43"/>
      <c r="CG183" s="43"/>
      <c r="CH183" s="43"/>
      <c r="CI183" s="43"/>
      <c r="CJ183" s="43"/>
      <c r="CK183" s="43"/>
      <c r="CL183" s="43"/>
      <c r="CM183" s="43"/>
      <c r="CN183" s="44" t="str">
        <f>"InitUnitState('"&amp;B183&amp;"',"&amp;V183&amp;","&amp;W183&amp;","&amp;X183&amp;","&amp;Y183&amp;","&amp;Z183&amp;","&amp;AA183&amp;","&amp;AB183&amp;","&amp;AC183&amp;","&amp;AD183&amp;","&amp;AE183&amp;")"</f>
        <v>InitUnitState('',,,,,,,,,,)</v>
      </c>
      <c r="CO183" s="44" t="str">
        <f>"InitUnitNormal('"&amp;B183&amp;"',"&amp;AF183&amp;","&amp;AG183&amp;","&amp;AH183&amp;","&amp;AI183&amp;","&amp;AJ183&amp;","&amp;AK183&amp;","&amp;AL183&amp;","&amp;AM183&amp;","&amp;AN183&amp;","&amp;AO183&amp;")"</f>
        <v>InitUnitNormal('',,,,,,,,,,)</v>
      </c>
      <c r="CP183" s="44" t="str">
        <f>"InitUnitMagic('"&amp;B183&amp;"',"&amp;AP183&amp;","&amp;AQ183&amp;","&amp;AR183&amp;","&amp;AS183&amp;","&amp;AT183&amp;","&amp;AU183&amp;","&amp;AV183&amp;","&amp;AW183&amp;","&amp;BI183&amp;","&amp;BJ183&amp;")"</f>
        <v>InitUnitMagic('',,,,,,,,,,)</v>
      </c>
      <c r="CQ183" s="44" t="str">
        <f>"InitUnitAdd('"&amp;B183&amp;"',"&amp;BK183&amp;","&amp;BL183&amp;","&amp;BM183&amp;","&amp;BN183&amp;","&amp;BO183&amp;","&amp;BP183&amp;","&amp;BQ183&amp;","&amp;BR183&amp;","&amp;BS183&amp;","&amp;BT183&amp;")"</f>
        <v>InitUnitAdd('',,,,,,,,,,)</v>
      </c>
      <c r="CR183" s="44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184&amp;CR$1&amp;")"</f>
        <v>InitEquipData('',,"",,,,,'','','','','','',"")</v>
      </c>
      <c r="CS183" s="44"/>
      <c r="CT183" s="44"/>
      <c r="CU183" s="45" t="str">
        <f t="shared" si="2322"/>
        <v>|n</v>
      </c>
      <c r="CV183" s="29"/>
      <c r="DB183" s="30" t="str">
        <f t="shared" si="2323"/>
        <v/>
      </c>
      <c r="DC183" s="30" t="str">
        <f t="shared" si="2324"/>
        <v/>
      </c>
      <c r="DD183" s="30" t="str">
        <f t="shared" si="2325"/>
        <v/>
      </c>
      <c r="DE183" s="30" t="str">
        <f t="shared" si="2326"/>
        <v/>
      </c>
      <c r="DF183" s="30" t="str">
        <f t="shared" si="2327"/>
        <v/>
      </c>
      <c r="DG183" s="30" t="str">
        <f t="shared" si="2328"/>
        <v/>
      </c>
      <c r="DH183" s="30" t="str">
        <f t="shared" si="2329"/>
        <v/>
      </c>
      <c r="DI183" s="30" t="str">
        <f t="shared" si="2330"/>
        <v/>
      </c>
      <c r="DJ183" s="30" t="str">
        <f t="shared" si="2331"/>
        <v/>
      </c>
      <c r="DK183" s="30" t="str">
        <f t="shared" si="2332"/>
        <v/>
      </c>
      <c r="DL183" s="30" t="str">
        <f t="shared" si="2333"/>
        <v/>
      </c>
      <c r="DM183" s="30" t="str">
        <f t="shared" si="2334"/>
        <v/>
      </c>
      <c r="DN183" s="30" t="str">
        <f t="shared" si="2335"/>
        <v/>
      </c>
      <c r="DO183" s="30" t="str">
        <f t="shared" si="2336"/>
        <v/>
      </c>
      <c r="DP183" s="30" t="str">
        <f t="shared" si="2337"/>
        <v/>
      </c>
      <c r="DQ183" s="30" t="str">
        <f t="shared" si="2338"/>
        <v/>
      </c>
      <c r="DR183" s="30" t="str">
        <f t="shared" si="2339"/>
        <v/>
      </c>
      <c r="DS183" s="30" t="str">
        <f t="shared" si="2340"/>
        <v/>
      </c>
      <c r="DT183" s="30" t="str">
        <f t="shared" si="2341"/>
        <v/>
      </c>
      <c r="DU183" s="30" t="str">
        <f t="shared" si="2342"/>
        <v/>
      </c>
      <c r="DV183" s="30" t="str">
        <f t="shared" si="2343"/>
        <v/>
      </c>
      <c r="DW183" s="30" t="str">
        <f t="shared" si="2344"/>
        <v/>
      </c>
      <c r="DX183" s="30" t="str">
        <f t="shared" si="2345"/>
        <v/>
      </c>
      <c r="DY183" s="30" t="str">
        <f t="shared" si="2346"/>
        <v/>
      </c>
      <c r="DZ183" s="30" t="str">
        <f t="shared" si="2347"/>
        <v/>
      </c>
      <c r="EA183" s="30" t="str">
        <f t="shared" si="2348"/>
        <v/>
      </c>
      <c r="EB183" s="30" t="str">
        <f t="shared" si="2349"/>
        <v/>
      </c>
      <c r="EC183" s="30" t="str">
        <f t="shared" si="2350"/>
        <v/>
      </c>
      <c r="ED183" s="30" t="str">
        <f t="shared" si="2351"/>
        <v/>
      </c>
      <c r="EE183" s="30" t="str">
        <f t="shared" si="2352"/>
        <v/>
      </c>
      <c r="EF183" s="30" t="str">
        <f t="shared" si="2353"/>
        <v/>
      </c>
      <c r="EG183" s="30" t="str">
        <f t="shared" si="2354"/>
        <v/>
      </c>
      <c r="EH183" s="30" t="str">
        <f t="shared" si="2355"/>
        <v/>
      </c>
      <c r="EI183" s="30" t="str">
        <f t="shared" si="2356"/>
        <v/>
      </c>
      <c r="EJ183" s="30" t="str">
        <f t="shared" si="2357"/>
        <v/>
      </c>
      <c r="EK183" s="30" t="str">
        <f t="shared" si="2358"/>
        <v/>
      </c>
      <c r="EL183" s="30" t="str">
        <f t="shared" si="2359"/>
        <v/>
      </c>
      <c r="EM183" s="30" t="str">
        <f t="shared" si="2360"/>
        <v/>
      </c>
      <c r="EN183" s="30" t="str">
        <f t="shared" si="2361"/>
        <v/>
      </c>
      <c r="EO183" s="30" t="str">
        <f t="shared" si="2362"/>
        <v/>
      </c>
      <c r="EP183" s="30" t="str">
        <f t="shared" si="2363"/>
        <v/>
      </c>
      <c r="EQ183" s="30" t="str">
        <f t="shared" si="2364"/>
        <v/>
      </c>
      <c r="ER183" s="30" t="str">
        <f t="shared" si="2365"/>
        <v/>
      </c>
      <c r="ES183" s="30" t="str">
        <f t="shared" si="2366"/>
        <v/>
      </c>
      <c r="ET183" s="30" t="str">
        <f t="shared" si="2367"/>
        <v/>
      </c>
      <c r="EU183" s="30" t="str">
        <f t="shared" si="2368"/>
        <v/>
      </c>
      <c r="EV183" s="30" t="str">
        <f t="shared" si="2369"/>
        <v/>
      </c>
      <c r="EW183" s="30" t="str">
        <f t="shared" si="2370"/>
        <v/>
      </c>
      <c r="EX183" s="30" t="str">
        <f t="shared" si="2371"/>
        <v/>
      </c>
      <c r="EY183" s="30" t="str">
        <f t="shared" si="2372"/>
        <v/>
      </c>
      <c r="EZ183" s="30" t="str">
        <f t="shared" si="2373"/>
        <v/>
      </c>
      <c r="FA183" s="30" t="str">
        <f t="shared" si="2374"/>
        <v/>
      </c>
      <c r="FB183" s="30" t="str">
        <f t="shared" si="2375"/>
        <v/>
      </c>
      <c r="FC183" s="30" t="str">
        <f t="shared" si="2376"/>
        <v/>
      </c>
      <c r="FD183" s="30" t="str">
        <f t="shared" si="2377"/>
        <v/>
      </c>
      <c r="FE183" s="30" t="str">
        <f t="shared" si="2378"/>
        <v/>
      </c>
      <c r="FF183" s="30" t="str">
        <f t="shared" si="2379"/>
        <v/>
      </c>
      <c r="FG183" s="30" t="str">
        <f t="shared" si="2380"/>
        <v/>
      </c>
      <c r="FH183" s="30" t="str">
        <f t="shared" si="2381"/>
        <v/>
      </c>
      <c r="FI183" s="30" t="str">
        <f t="shared" si="2382"/>
        <v/>
      </c>
      <c r="FJ183" s="30" t="str">
        <f t="shared" si="2383"/>
        <v/>
      </c>
      <c r="FK183" s="30" t="str">
        <f t="shared" si="2384"/>
        <v/>
      </c>
      <c r="FL183" s="30" t="str">
        <f t="shared" si="2385"/>
        <v/>
      </c>
      <c r="FM183" s="30" t="str">
        <f t="shared" si="2386"/>
        <v/>
      </c>
      <c r="FN183" s="30" t="str">
        <f t="shared" si="2387"/>
        <v/>
      </c>
      <c r="FO183" s="30" t="str">
        <f t="shared" si="2388"/>
        <v/>
      </c>
      <c r="FP183" s="30" t="str">
        <f t="shared" si="2389"/>
        <v/>
      </c>
      <c r="FQ183" s="30" t="str">
        <f t="shared" si="2390"/>
        <v/>
      </c>
      <c r="FR183" s="30" t="str">
        <f t="shared" si="2391"/>
        <v/>
      </c>
      <c r="FS183" s="30" t="str">
        <f t="shared" si="2392"/>
        <v/>
      </c>
    </row>
    <row r="184" spans="1:175" s="24" customFormat="1" ht="16.5">
      <c r="A184" s="46"/>
      <c r="B184" s="36"/>
      <c r="C184" s="46"/>
      <c r="D184" s="31"/>
      <c r="E184" s="39"/>
      <c r="F184" s="41"/>
      <c r="G184" s="47"/>
      <c r="H184" s="47"/>
      <c r="I184" s="47"/>
      <c r="J184" s="47"/>
      <c r="K184" s="47"/>
      <c r="L184" s="47"/>
      <c r="M184" s="47"/>
      <c r="N184" s="47"/>
      <c r="O184" s="47"/>
      <c r="P184" s="42"/>
      <c r="Q184" s="42"/>
      <c r="R184" s="42"/>
      <c r="S184" s="42"/>
      <c r="T184" s="102"/>
      <c r="U184" s="32"/>
      <c r="V184" s="43"/>
      <c r="W184" s="43"/>
      <c r="X184" s="43"/>
      <c r="Y184" s="43"/>
      <c r="Z184" s="43"/>
      <c r="AA184" s="43"/>
      <c r="AB184" s="43"/>
      <c r="AC184" s="43"/>
      <c r="AD184" s="43"/>
      <c r="AE184" s="43"/>
      <c r="AF184" s="43"/>
      <c r="AG184" s="43"/>
      <c r="AH184" s="43"/>
      <c r="AI184" s="43"/>
      <c r="AJ184" s="43"/>
      <c r="AK184" s="43"/>
      <c r="AL184" s="43"/>
      <c r="AM184" s="43"/>
      <c r="AN184" s="43"/>
      <c r="AO184" s="43"/>
      <c r="AP184" s="43"/>
      <c r="AQ184" s="43"/>
      <c r="AR184" s="43"/>
      <c r="AS184" s="43"/>
      <c r="AT184" s="43"/>
      <c r="AU184" s="43"/>
      <c r="AV184" s="43"/>
      <c r="AW184" s="43"/>
      <c r="AX184" s="43"/>
      <c r="AY184" s="43"/>
      <c r="AZ184" s="43"/>
      <c r="BA184" s="43"/>
      <c r="BB184" s="43"/>
      <c r="BC184" s="43"/>
      <c r="BD184" s="43"/>
      <c r="BE184" s="43"/>
      <c r="BF184" s="43"/>
      <c r="BG184" s="43"/>
      <c r="BH184" s="43"/>
      <c r="BI184" s="43"/>
      <c r="BJ184" s="43"/>
      <c r="BK184" s="43"/>
      <c r="BL184" s="43"/>
      <c r="BM184" s="43"/>
      <c r="BN184" s="43"/>
      <c r="BO184" s="43"/>
      <c r="BP184" s="43"/>
      <c r="BQ184" s="43"/>
      <c r="BR184" s="43"/>
      <c r="BS184" s="43"/>
      <c r="BT184" s="43"/>
      <c r="BU184" s="43"/>
      <c r="BV184" s="43"/>
      <c r="BW184" s="43"/>
      <c r="BX184" s="43"/>
      <c r="BY184" s="43"/>
      <c r="BZ184" s="43"/>
      <c r="CA184" s="43"/>
      <c r="CB184" s="43"/>
      <c r="CC184" s="43"/>
      <c r="CD184" s="43"/>
      <c r="CE184" s="43"/>
      <c r="CF184" s="43"/>
      <c r="CG184" s="43"/>
      <c r="CH184" s="43"/>
      <c r="CI184" s="43"/>
      <c r="CJ184" s="43"/>
      <c r="CK184" s="43"/>
      <c r="CL184" s="43"/>
      <c r="CM184" s="43"/>
      <c r="CN184" s="44" t="str">
        <f>"InitUnitState('"&amp;B184&amp;"',"&amp;V184&amp;","&amp;W184&amp;","&amp;X184&amp;","&amp;Y184&amp;","&amp;Z184&amp;","&amp;AA184&amp;","&amp;AB184&amp;","&amp;AC184&amp;","&amp;AD184&amp;","&amp;AE184&amp;")"</f>
        <v>InitUnitState('',,,,,,,,,,)</v>
      </c>
      <c r="CO184" s="44" t="str">
        <f>"InitUnitNormal('"&amp;B184&amp;"',"&amp;AF184&amp;","&amp;AG184&amp;","&amp;AH184&amp;","&amp;AI184&amp;","&amp;AJ184&amp;","&amp;AK184&amp;","&amp;AL184&amp;","&amp;AM184&amp;","&amp;AN184&amp;","&amp;AO184&amp;")"</f>
        <v>InitUnitNormal('',,,,,,,,,,)</v>
      </c>
      <c r="CP184" s="44" t="str">
        <f>"InitUnitMagic('"&amp;B184&amp;"',"&amp;AP184&amp;","&amp;AQ184&amp;","&amp;AR184&amp;","&amp;AS184&amp;","&amp;AT184&amp;","&amp;AU184&amp;","&amp;AV184&amp;","&amp;AW184&amp;","&amp;BI184&amp;","&amp;BJ184&amp;")"</f>
        <v>InitUnitMagic('',,,,,,,,,,)</v>
      </c>
      <c r="CQ184" s="44" t="str">
        <f>"InitUnitAdd('"&amp;B184&amp;"',"&amp;BK184&amp;","&amp;BL184&amp;","&amp;BM184&amp;","&amp;BN184&amp;","&amp;BO184&amp;","&amp;BP184&amp;","&amp;BQ184&amp;","&amp;BR184&amp;","&amp;BS184&amp;","&amp;BT184&amp;")"</f>
        <v>InitUnitAdd('',,,,,,,,,,)</v>
      </c>
      <c r="CR184" s="44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186&amp;CR$1&amp;")"</f>
        <v>InitEquipData('',,"",,,,,'','','','','','',"")</v>
      </c>
      <c r="CS184" s="44"/>
      <c r="CT184" s="44"/>
      <c r="CU184" s="45" t="str">
        <f t="shared" si="2322"/>
        <v>|n</v>
      </c>
      <c r="CV184" s="29"/>
      <c r="DB184" s="30" t="str">
        <f t="shared" si="2323"/>
        <v/>
      </c>
      <c r="DC184" s="30" t="str">
        <f t="shared" si="2324"/>
        <v/>
      </c>
      <c r="DD184" s="30" t="str">
        <f t="shared" si="2325"/>
        <v/>
      </c>
      <c r="DE184" s="30" t="str">
        <f t="shared" si="2326"/>
        <v/>
      </c>
      <c r="DF184" s="30" t="str">
        <f t="shared" si="2327"/>
        <v/>
      </c>
      <c r="DG184" s="30" t="str">
        <f t="shared" si="2328"/>
        <v/>
      </c>
      <c r="DH184" s="30" t="str">
        <f t="shared" si="2329"/>
        <v/>
      </c>
      <c r="DI184" s="30" t="str">
        <f t="shared" si="2330"/>
        <v/>
      </c>
      <c r="DJ184" s="30" t="str">
        <f t="shared" si="2331"/>
        <v/>
      </c>
      <c r="DK184" s="30" t="str">
        <f t="shared" si="2332"/>
        <v/>
      </c>
      <c r="DL184" s="30" t="str">
        <f t="shared" si="2333"/>
        <v/>
      </c>
      <c r="DM184" s="30" t="str">
        <f t="shared" si="2334"/>
        <v/>
      </c>
      <c r="DN184" s="30" t="str">
        <f t="shared" si="2335"/>
        <v/>
      </c>
      <c r="DO184" s="30" t="str">
        <f t="shared" si="2336"/>
        <v/>
      </c>
      <c r="DP184" s="30" t="str">
        <f t="shared" si="2337"/>
        <v/>
      </c>
      <c r="DQ184" s="30" t="str">
        <f t="shared" si="2338"/>
        <v/>
      </c>
      <c r="DR184" s="30" t="str">
        <f t="shared" si="2339"/>
        <v/>
      </c>
      <c r="DS184" s="30" t="str">
        <f t="shared" si="2340"/>
        <v/>
      </c>
      <c r="DT184" s="30" t="str">
        <f t="shared" si="2341"/>
        <v/>
      </c>
      <c r="DU184" s="30" t="str">
        <f t="shared" si="2342"/>
        <v/>
      </c>
      <c r="DV184" s="30" t="str">
        <f t="shared" si="2343"/>
        <v/>
      </c>
      <c r="DW184" s="30" t="str">
        <f t="shared" si="2344"/>
        <v/>
      </c>
      <c r="DX184" s="30" t="str">
        <f t="shared" si="2345"/>
        <v/>
      </c>
      <c r="DY184" s="30" t="str">
        <f t="shared" si="2346"/>
        <v/>
      </c>
      <c r="DZ184" s="30" t="str">
        <f t="shared" si="2347"/>
        <v/>
      </c>
      <c r="EA184" s="30" t="str">
        <f t="shared" si="2348"/>
        <v/>
      </c>
      <c r="EB184" s="30" t="str">
        <f t="shared" si="2349"/>
        <v/>
      </c>
      <c r="EC184" s="30" t="str">
        <f t="shared" si="2350"/>
        <v/>
      </c>
      <c r="ED184" s="30" t="str">
        <f t="shared" si="2351"/>
        <v/>
      </c>
      <c r="EE184" s="30" t="str">
        <f t="shared" si="2352"/>
        <v/>
      </c>
      <c r="EF184" s="30" t="str">
        <f t="shared" si="2353"/>
        <v/>
      </c>
      <c r="EG184" s="30" t="str">
        <f t="shared" si="2354"/>
        <v/>
      </c>
      <c r="EH184" s="30" t="str">
        <f t="shared" si="2355"/>
        <v/>
      </c>
      <c r="EI184" s="30" t="str">
        <f t="shared" si="2356"/>
        <v/>
      </c>
      <c r="EJ184" s="30" t="str">
        <f t="shared" si="2357"/>
        <v/>
      </c>
      <c r="EK184" s="30" t="str">
        <f t="shared" si="2358"/>
        <v/>
      </c>
      <c r="EL184" s="30" t="str">
        <f t="shared" si="2359"/>
        <v/>
      </c>
      <c r="EM184" s="30" t="str">
        <f t="shared" si="2360"/>
        <v/>
      </c>
      <c r="EN184" s="30" t="str">
        <f t="shared" si="2361"/>
        <v/>
      </c>
      <c r="EO184" s="30" t="str">
        <f t="shared" si="2362"/>
        <v/>
      </c>
      <c r="EP184" s="30" t="str">
        <f t="shared" si="2363"/>
        <v/>
      </c>
      <c r="EQ184" s="30" t="str">
        <f t="shared" si="2364"/>
        <v/>
      </c>
      <c r="ER184" s="30" t="str">
        <f t="shared" si="2365"/>
        <v/>
      </c>
      <c r="ES184" s="30" t="str">
        <f t="shared" si="2366"/>
        <v/>
      </c>
      <c r="ET184" s="30" t="str">
        <f t="shared" si="2367"/>
        <v/>
      </c>
      <c r="EU184" s="30" t="str">
        <f t="shared" si="2368"/>
        <v/>
      </c>
      <c r="EV184" s="30" t="str">
        <f t="shared" si="2369"/>
        <v/>
      </c>
      <c r="EW184" s="30" t="str">
        <f t="shared" si="2370"/>
        <v/>
      </c>
      <c r="EX184" s="30" t="str">
        <f t="shared" si="2371"/>
        <v/>
      </c>
      <c r="EY184" s="30" t="str">
        <f t="shared" si="2372"/>
        <v/>
      </c>
      <c r="EZ184" s="30" t="str">
        <f t="shared" si="2373"/>
        <v/>
      </c>
      <c r="FA184" s="30" t="str">
        <f t="shared" si="2374"/>
        <v/>
      </c>
      <c r="FB184" s="30" t="str">
        <f t="shared" si="2375"/>
        <v/>
      </c>
      <c r="FC184" s="30" t="str">
        <f t="shared" si="2376"/>
        <v/>
      </c>
      <c r="FD184" s="30" t="str">
        <f t="shared" si="2377"/>
        <v/>
      </c>
      <c r="FE184" s="30" t="str">
        <f t="shared" si="2378"/>
        <v/>
      </c>
      <c r="FF184" s="30" t="str">
        <f t="shared" si="2379"/>
        <v/>
      </c>
      <c r="FG184" s="30" t="str">
        <f t="shared" si="2380"/>
        <v/>
      </c>
      <c r="FH184" s="30" t="str">
        <f t="shared" si="2381"/>
        <v/>
      </c>
      <c r="FI184" s="30" t="str">
        <f t="shared" si="2382"/>
        <v/>
      </c>
      <c r="FJ184" s="30" t="str">
        <f t="shared" si="2383"/>
        <v/>
      </c>
      <c r="FK184" s="30" t="str">
        <f t="shared" si="2384"/>
        <v/>
      </c>
      <c r="FL184" s="30" t="str">
        <f t="shared" si="2385"/>
        <v/>
      </c>
      <c r="FM184" s="30" t="str">
        <f t="shared" si="2386"/>
        <v/>
      </c>
      <c r="FN184" s="30" t="str">
        <f t="shared" si="2387"/>
        <v/>
      </c>
      <c r="FO184" s="30" t="str">
        <f t="shared" si="2388"/>
        <v/>
      </c>
      <c r="FP184" s="30" t="str">
        <f t="shared" si="2389"/>
        <v/>
      </c>
      <c r="FQ184" s="30" t="str">
        <f t="shared" si="2390"/>
        <v/>
      </c>
      <c r="FR184" s="30" t="str">
        <f t="shared" si="2391"/>
        <v/>
      </c>
      <c r="FS184" s="30" t="str">
        <f t="shared" si="2392"/>
        <v/>
      </c>
    </row>
    <row r="185" spans="1:175" s="24" customFormat="1" ht="16.5">
      <c r="A185" s="46"/>
      <c r="B185" s="36"/>
      <c r="C185" s="46"/>
      <c r="D185" s="31"/>
      <c r="E185" s="39"/>
      <c r="F185" s="41"/>
      <c r="G185" s="47"/>
      <c r="H185" s="47"/>
      <c r="I185" s="47"/>
      <c r="J185" s="47"/>
      <c r="K185" s="47"/>
      <c r="L185" s="47"/>
      <c r="M185" s="47"/>
      <c r="N185" s="47"/>
      <c r="O185" s="47"/>
      <c r="P185" s="42"/>
      <c r="Q185" s="42"/>
      <c r="R185" s="42"/>
      <c r="S185" s="42"/>
      <c r="T185" s="102"/>
      <c r="U185" s="32"/>
      <c r="V185" s="43"/>
      <c r="W185" s="43"/>
      <c r="X185" s="43"/>
      <c r="Y185" s="43"/>
      <c r="Z185" s="43"/>
      <c r="AA185" s="43"/>
      <c r="AB185" s="43"/>
      <c r="AC185" s="43"/>
      <c r="AD185" s="43"/>
      <c r="AE185" s="43"/>
      <c r="AF185" s="43"/>
      <c r="AG185" s="43"/>
      <c r="AH185" s="43"/>
      <c r="AI185" s="43"/>
      <c r="AJ185" s="43"/>
      <c r="AK185" s="43"/>
      <c r="AL185" s="43"/>
      <c r="AM185" s="43"/>
      <c r="AN185" s="43"/>
      <c r="AO185" s="43"/>
      <c r="AP185" s="43"/>
      <c r="AQ185" s="43"/>
      <c r="AR185" s="43"/>
      <c r="AS185" s="43"/>
      <c r="AT185" s="43"/>
      <c r="AU185" s="43"/>
      <c r="AV185" s="43"/>
      <c r="AW185" s="43"/>
      <c r="AX185" s="43"/>
      <c r="AY185" s="43"/>
      <c r="AZ185" s="43"/>
      <c r="BA185" s="43"/>
      <c r="BB185" s="43"/>
      <c r="BC185" s="43"/>
      <c r="BD185" s="43"/>
      <c r="BE185" s="43"/>
      <c r="BF185" s="43"/>
      <c r="BG185" s="43"/>
      <c r="BH185" s="43"/>
      <c r="BI185" s="43"/>
      <c r="BJ185" s="43"/>
      <c r="BK185" s="43"/>
      <c r="BL185" s="43"/>
      <c r="BM185" s="43"/>
      <c r="BN185" s="43"/>
      <c r="BO185" s="43"/>
      <c r="BP185" s="43"/>
      <c r="BQ185" s="43"/>
      <c r="BR185" s="43"/>
      <c r="BS185" s="43"/>
      <c r="BT185" s="43"/>
      <c r="BU185" s="43"/>
      <c r="BV185" s="43"/>
      <c r="BW185" s="43"/>
      <c r="BX185" s="43"/>
      <c r="BY185" s="43"/>
      <c r="BZ185" s="43"/>
      <c r="CA185" s="43"/>
      <c r="CB185" s="43"/>
      <c r="CC185" s="43"/>
      <c r="CD185" s="43"/>
      <c r="CE185" s="43"/>
      <c r="CF185" s="43"/>
      <c r="CG185" s="43"/>
      <c r="CH185" s="43"/>
      <c r="CI185" s="43"/>
      <c r="CJ185" s="43"/>
      <c r="CK185" s="43"/>
      <c r="CL185" s="43"/>
      <c r="CM185" s="43"/>
      <c r="CN185" s="44" t="str">
        <f>"InitUnitState('"&amp;B185&amp;"',"&amp;V185&amp;","&amp;W185&amp;","&amp;X185&amp;","&amp;Y185&amp;","&amp;Z185&amp;","&amp;AA185&amp;","&amp;AB185&amp;","&amp;AC185&amp;","&amp;AD185&amp;","&amp;AE185&amp;")"</f>
        <v>InitUnitState('',,,,,,,,,,)</v>
      </c>
      <c r="CO185" s="44" t="str">
        <f>"InitUnitNormal('"&amp;B185&amp;"',"&amp;AF185&amp;","&amp;AG185&amp;","&amp;AH185&amp;","&amp;AI185&amp;","&amp;AJ185&amp;","&amp;AK185&amp;","&amp;AL185&amp;","&amp;AM185&amp;","&amp;AN185&amp;","&amp;AO185&amp;")"</f>
        <v>InitUnitNormal('',,,,,,,,,,)</v>
      </c>
      <c r="CP185" s="44" t="str">
        <f>"InitUnitMagic('"&amp;B185&amp;"',"&amp;AP185&amp;","&amp;AQ185&amp;","&amp;AR185&amp;","&amp;AS185&amp;","&amp;AT185&amp;","&amp;AU185&amp;","&amp;AV185&amp;","&amp;AW185&amp;","&amp;BI185&amp;","&amp;BJ185&amp;")"</f>
        <v>InitUnitMagic('',,,,,,,,,,)</v>
      </c>
      <c r="CQ185" s="44" t="str">
        <f>"InitUnitAdd('"&amp;B185&amp;"',"&amp;BK185&amp;","&amp;BL185&amp;","&amp;BM185&amp;","&amp;BN185&amp;","&amp;BO185&amp;","&amp;BP185&amp;","&amp;BQ185&amp;","&amp;BR185&amp;","&amp;BS185&amp;","&amp;BT185&amp;")"</f>
        <v>InitUnitAdd('',,,,,,,,,,)</v>
      </c>
      <c r="CR185" s="44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187&amp;CR$1&amp;")"</f>
        <v>InitEquipData('',,"",,,,,'','','','','','',"")</v>
      </c>
      <c r="CS185" s="44"/>
      <c r="CT185" s="44"/>
      <c r="CU185" s="45" t="str">
        <f t="shared" si="2322"/>
        <v>|n</v>
      </c>
      <c r="CV185" s="29"/>
      <c r="DB185" s="30" t="str">
        <f t="shared" si="2323"/>
        <v/>
      </c>
      <c r="DC185" s="30" t="str">
        <f t="shared" si="2324"/>
        <v/>
      </c>
      <c r="DD185" s="30" t="str">
        <f t="shared" si="2325"/>
        <v/>
      </c>
      <c r="DE185" s="30" t="str">
        <f t="shared" si="2326"/>
        <v/>
      </c>
      <c r="DF185" s="30" t="str">
        <f t="shared" si="2327"/>
        <v/>
      </c>
      <c r="DG185" s="30" t="str">
        <f t="shared" si="2328"/>
        <v/>
      </c>
      <c r="DH185" s="30" t="str">
        <f t="shared" si="2329"/>
        <v/>
      </c>
      <c r="DI185" s="30" t="str">
        <f t="shared" si="2330"/>
        <v/>
      </c>
      <c r="DJ185" s="30" t="str">
        <f t="shared" si="2331"/>
        <v/>
      </c>
      <c r="DK185" s="30" t="str">
        <f t="shared" si="2332"/>
        <v/>
      </c>
      <c r="DL185" s="30" t="str">
        <f t="shared" si="2333"/>
        <v/>
      </c>
      <c r="DM185" s="30" t="str">
        <f t="shared" si="2334"/>
        <v/>
      </c>
      <c r="DN185" s="30" t="str">
        <f t="shared" si="2335"/>
        <v/>
      </c>
      <c r="DO185" s="30" t="str">
        <f t="shared" si="2336"/>
        <v/>
      </c>
      <c r="DP185" s="30" t="str">
        <f t="shared" si="2337"/>
        <v/>
      </c>
      <c r="DQ185" s="30" t="str">
        <f t="shared" si="2338"/>
        <v/>
      </c>
      <c r="DR185" s="30" t="str">
        <f t="shared" si="2339"/>
        <v/>
      </c>
      <c r="DS185" s="30" t="str">
        <f t="shared" si="2340"/>
        <v/>
      </c>
      <c r="DT185" s="30" t="str">
        <f t="shared" si="2341"/>
        <v/>
      </c>
      <c r="DU185" s="30" t="str">
        <f t="shared" si="2342"/>
        <v/>
      </c>
      <c r="DV185" s="30" t="str">
        <f t="shared" si="2343"/>
        <v/>
      </c>
      <c r="DW185" s="30" t="str">
        <f t="shared" si="2344"/>
        <v/>
      </c>
      <c r="DX185" s="30" t="str">
        <f t="shared" si="2345"/>
        <v/>
      </c>
      <c r="DY185" s="30" t="str">
        <f t="shared" si="2346"/>
        <v/>
      </c>
      <c r="DZ185" s="30" t="str">
        <f t="shared" si="2347"/>
        <v/>
      </c>
      <c r="EA185" s="30" t="str">
        <f t="shared" si="2348"/>
        <v/>
      </c>
      <c r="EB185" s="30" t="str">
        <f t="shared" si="2349"/>
        <v/>
      </c>
      <c r="EC185" s="30" t="str">
        <f t="shared" si="2350"/>
        <v/>
      </c>
      <c r="ED185" s="30" t="str">
        <f t="shared" si="2351"/>
        <v/>
      </c>
      <c r="EE185" s="30" t="str">
        <f t="shared" si="2352"/>
        <v/>
      </c>
      <c r="EF185" s="30" t="str">
        <f t="shared" si="2353"/>
        <v/>
      </c>
      <c r="EG185" s="30" t="str">
        <f t="shared" si="2354"/>
        <v/>
      </c>
      <c r="EH185" s="30" t="str">
        <f t="shared" si="2355"/>
        <v/>
      </c>
      <c r="EI185" s="30" t="str">
        <f t="shared" si="2356"/>
        <v/>
      </c>
      <c r="EJ185" s="30" t="str">
        <f t="shared" si="2357"/>
        <v/>
      </c>
      <c r="EK185" s="30" t="str">
        <f t="shared" si="2358"/>
        <v/>
      </c>
      <c r="EL185" s="30" t="str">
        <f t="shared" si="2359"/>
        <v/>
      </c>
      <c r="EM185" s="30" t="str">
        <f t="shared" si="2360"/>
        <v/>
      </c>
      <c r="EN185" s="30" t="str">
        <f t="shared" si="2361"/>
        <v/>
      </c>
      <c r="EO185" s="30" t="str">
        <f t="shared" si="2362"/>
        <v/>
      </c>
      <c r="EP185" s="30" t="str">
        <f t="shared" si="2363"/>
        <v/>
      </c>
      <c r="EQ185" s="30" t="str">
        <f t="shared" si="2364"/>
        <v/>
      </c>
      <c r="ER185" s="30" t="str">
        <f t="shared" si="2365"/>
        <v/>
      </c>
      <c r="ES185" s="30" t="str">
        <f t="shared" si="2366"/>
        <v/>
      </c>
      <c r="ET185" s="30" t="str">
        <f t="shared" si="2367"/>
        <v/>
      </c>
      <c r="EU185" s="30" t="str">
        <f t="shared" si="2368"/>
        <v/>
      </c>
      <c r="EV185" s="30" t="str">
        <f t="shared" si="2369"/>
        <v/>
      </c>
      <c r="EW185" s="30" t="str">
        <f t="shared" si="2370"/>
        <v/>
      </c>
      <c r="EX185" s="30" t="str">
        <f t="shared" si="2371"/>
        <v/>
      </c>
      <c r="EY185" s="30" t="str">
        <f t="shared" si="2372"/>
        <v/>
      </c>
      <c r="EZ185" s="30" t="str">
        <f t="shared" si="2373"/>
        <v/>
      </c>
      <c r="FA185" s="30" t="str">
        <f t="shared" si="2374"/>
        <v/>
      </c>
      <c r="FB185" s="30" t="str">
        <f t="shared" si="2375"/>
        <v/>
      </c>
      <c r="FC185" s="30" t="str">
        <f t="shared" si="2376"/>
        <v/>
      </c>
      <c r="FD185" s="30" t="str">
        <f t="shared" si="2377"/>
        <v/>
      </c>
      <c r="FE185" s="30" t="str">
        <f t="shared" si="2378"/>
        <v/>
      </c>
      <c r="FF185" s="30" t="str">
        <f t="shared" si="2379"/>
        <v/>
      </c>
      <c r="FG185" s="30" t="str">
        <f t="shared" si="2380"/>
        <v/>
      </c>
      <c r="FH185" s="30" t="str">
        <f t="shared" si="2381"/>
        <v/>
      </c>
      <c r="FI185" s="30" t="str">
        <f t="shared" si="2382"/>
        <v/>
      </c>
      <c r="FJ185" s="30" t="str">
        <f t="shared" si="2383"/>
        <v/>
      </c>
      <c r="FK185" s="30" t="str">
        <f t="shared" si="2384"/>
        <v/>
      </c>
      <c r="FL185" s="30" t="str">
        <f t="shared" si="2385"/>
        <v/>
      </c>
      <c r="FM185" s="30" t="str">
        <f t="shared" si="2386"/>
        <v/>
      </c>
      <c r="FN185" s="30" t="str">
        <f t="shared" si="2387"/>
        <v/>
      </c>
      <c r="FO185" s="30" t="str">
        <f t="shared" si="2388"/>
        <v/>
      </c>
      <c r="FP185" s="30" t="str">
        <f t="shared" si="2389"/>
        <v/>
      </c>
      <c r="FQ185" s="30" t="str">
        <f t="shared" si="2390"/>
        <v/>
      </c>
      <c r="FR185" s="30" t="str">
        <f t="shared" si="2391"/>
        <v/>
      </c>
      <c r="FS185" s="30" t="str">
        <f t="shared" si="2392"/>
        <v/>
      </c>
    </row>
    <row r="186" spans="1:175" ht="16.5">
      <c r="A186" s="5"/>
      <c r="B186" s="6"/>
      <c r="C186" s="5"/>
      <c r="E186" s="35"/>
      <c r="T186" s="105"/>
      <c r="U186" s="32"/>
      <c r="CU186" s="45" t="str">
        <f t="shared" si="2322"/>
        <v>|n</v>
      </c>
      <c r="CW186" s="24"/>
      <c r="CX186" s="24"/>
      <c r="CY186" s="24"/>
      <c r="CZ186" s="24"/>
      <c r="DA186" s="24"/>
      <c r="DB186" s="30" t="str">
        <f t="shared" si="2323"/>
        <v/>
      </c>
      <c r="DC186" s="30" t="str">
        <f t="shared" si="2324"/>
        <v/>
      </c>
      <c r="DD186" s="30" t="str">
        <f t="shared" si="2325"/>
        <v/>
      </c>
      <c r="DE186" s="30" t="str">
        <f t="shared" si="2326"/>
        <v/>
      </c>
      <c r="DF186" s="30" t="str">
        <f t="shared" si="2327"/>
        <v/>
      </c>
      <c r="DG186" s="30" t="str">
        <f t="shared" si="2328"/>
        <v/>
      </c>
      <c r="DH186" s="30" t="str">
        <f t="shared" si="2329"/>
        <v/>
      </c>
      <c r="DI186" s="30" t="str">
        <f t="shared" si="2330"/>
        <v/>
      </c>
      <c r="DJ186" s="30" t="str">
        <f t="shared" si="2331"/>
        <v/>
      </c>
      <c r="DK186" s="30" t="str">
        <f t="shared" si="2332"/>
        <v/>
      </c>
      <c r="DL186" s="30" t="str">
        <f t="shared" si="2333"/>
        <v/>
      </c>
      <c r="DM186" s="30" t="str">
        <f t="shared" si="2334"/>
        <v/>
      </c>
      <c r="DN186" s="30" t="str">
        <f t="shared" si="2335"/>
        <v/>
      </c>
      <c r="DO186" s="30" t="str">
        <f t="shared" si="2336"/>
        <v/>
      </c>
      <c r="DP186" s="30" t="str">
        <f t="shared" si="2337"/>
        <v/>
      </c>
      <c r="DQ186" s="30" t="str">
        <f t="shared" si="2338"/>
        <v/>
      </c>
      <c r="DR186" s="30" t="str">
        <f t="shared" si="2339"/>
        <v/>
      </c>
      <c r="DS186" s="30" t="str">
        <f t="shared" si="2340"/>
        <v/>
      </c>
      <c r="DT186" s="30" t="str">
        <f t="shared" si="2341"/>
        <v/>
      </c>
      <c r="DU186" s="30" t="str">
        <f t="shared" si="2342"/>
        <v/>
      </c>
      <c r="DV186" s="30" t="str">
        <f t="shared" si="2343"/>
        <v/>
      </c>
      <c r="DW186" s="30" t="str">
        <f t="shared" si="2344"/>
        <v/>
      </c>
      <c r="DX186" s="30" t="str">
        <f t="shared" si="2345"/>
        <v/>
      </c>
      <c r="DY186" s="30" t="str">
        <f t="shared" si="2346"/>
        <v/>
      </c>
      <c r="DZ186" s="30" t="str">
        <f t="shared" si="2347"/>
        <v/>
      </c>
      <c r="EA186" s="30" t="str">
        <f t="shared" si="2348"/>
        <v/>
      </c>
      <c r="EB186" s="30" t="str">
        <f t="shared" si="2349"/>
        <v/>
      </c>
      <c r="EC186" s="30" t="str">
        <f t="shared" si="2350"/>
        <v/>
      </c>
      <c r="ED186" s="30" t="str">
        <f t="shared" si="2351"/>
        <v/>
      </c>
      <c r="EE186" s="30" t="str">
        <f t="shared" si="2352"/>
        <v/>
      </c>
      <c r="EF186" s="30" t="str">
        <f t="shared" si="2353"/>
        <v/>
      </c>
      <c r="EG186" s="30" t="str">
        <f t="shared" si="2354"/>
        <v/>
      </c>
      <c r="EH186" s="30" t="str">
        <f t="shared" si="2355"/>
        <v/>
      </c>
      <c r="EI186" s="30" t="str">
        <f t="shared" si="2356"/>
        <v/>
      </c>
      <c r="EJ186" s="30" t="str">
        <f t="shared" si="2357"/>
        <v/>
      </c>
      <c r="EK186" s="30" t="str">
        <f t="shared" si="2358"/>
        <v/>
      </c>
      <c r="EL186" s="30" t="str">
        <f t="shared" si="2359"/>
        <v/>
      </c>
      <c r="EM186" s="30" t="str">
        <f t="shared" si="2360"/>
        <v/>
      </c>
      <c r="EN186" s="30" t="str">
        <f t="shared" si="2361"/>
        <v/>
      </c>
      <c r="EO186" s="30" t="str">
        <f t="shared" si="2362"/>
        <v/>
      </c>
      <c r="EP186" s="30" t="str">
        <f t="shared" si="2363"/>
        <v/>
      </c>
      <c r="EQ186" s="30" t="str">
        <f t="shared" si="2364"/>
        <v/>
      </c>
      <c r="ER186" s="30" t="str">
        <f t="shared" si="2365"/>
        <v/>
      </c>
      <c r="ES186" s="30" t="str">
        <f t="shared" si="2366"/>
        <v/>
      </c>
      <c r="ET186" s="30" t="str">
        <f t="shared" si="2367"/>
        <v/>
      </c>
      <c r="EU186" s="30" t="str">
        <f t="shared" si="2368"/>
        <v/>
      </c>
      <c r="EV186" s="30" t="str">
        <f t="shared" si="2369"/>
        <v/>
      </c>
      <c r="EW186" s="30" t="str">
        <f t="shared" si="2370"/>
        <v/>
      </c>
      <c r="EX186" s="30" t="str">
        <f t="shared" si="2371"/>
        <v/>
      </c>
      <c r="EY186" s="30" t="str">
        <f t="shared" si="2372"/>
        <v/>
      </c>
      <c r="EZ186" s="30" t="str">
        <f t="shared" si="2373"/>
        <v/>
      </c>
      <c r="FA186" s="30" t="str">
        <f t="shared" si="2374"/>
        <v/>
      </c>
      <c r="FB186" s="30" t="str">
        <f t="shared" si="2375"/>
        <v/>
      </c>
      <c r="FC186" s="30" t="str">
        <f t="shared" si="2376"/>
        <v/>
      </c>
      <c r="FD186" s="30" t="str">
        <f t="shared" si="2377"/>
        <v/>
      </c>
      <c r="FE186" s="30" t="str">
        <f t="shared" si="2378"/>
        <v/>
      </c>
      <c r="FF186" s="30" t="str">
        <f t="shared" si="2379"/>
        <v/>
      </c>
      <c r="FG186" s="30" t="str">
        <f t="shared" si="2380"/>
        <v/>
      </c>
      <c r="FH186" s="30" t="str">
        <f t="shared" si="2381"/>
        <v/>
      </c>
      <c r="FI186" s="30" t="str">
        <f t="shared" si="2382"/>
        <v/>
      </c>
      <c r="FJ186" s="30" t="str">
        <f t="shared" si="2383"/>
        <v/>
      </c>
      <c r="FK186" s="30" t="str">
        <f t="shared" si="2384"/>
        <v/>
      </c>
      <c r="FL186" s="30" t="str">
        <f t="shared" si="2385"/>
        <v/>
      </c>
      <c r="FM186" s="30" t="str">
        <f t="shared" si="2386"/>
        <v/>
      </c>
      <c r="FN186" s="30" t="str">
        <f t="shared" si="2387"/>
        <v/>
      </c>
      <c r="FO186" s="30" t="str">
        <f t="shared" si="2388"/>
        <v/>
      </c>
      <c r="FP186" s="30" t="str">
        <f t="shared" si="2389"/>
        <v/>
      </c>
      <c r="FQ186" s="30" t="str">
        <f t="shared" si="2390"/>
        <v/>
      </c>
      <c r="FR186" s="30" t="str">
        <f t="shared" si="2391"/>
        <v/>
      </c>
      <c r="FS186" s="30" t="str">
        <f t="shared" si="2392"/>
        <v/>
      </c>
    </row>
    <row r="187" spans="1:175" ht="16.5">
      <c r="A187" s="5"/>
      <c r="B187" s="6"/>
      <c r="C187" s="5"/>
      <c r="E187" s="35"/>
      <c r="T187" s="105"/>
      <c r="U187" s="32"/>
      <c r="CU187" s="45" t="str">
        <f t="shared" si="2322"/>
        <v>|n</v>
      </c>
      <c r="CW187" s="24"/>
      <c r="CX187" s="24"/>
      <c r="CY187" s="24"/>
      <c r="CZ187" s="24"/>
      <c r="DA187" s="24"/>
      <c r="DB187" s="30" t="str">
        <f t="shared" si="2323"/>
        <v/>
      </c>
      <c r="DC187" s="30" t="str">
        <f t="shared" si="2324"/>
        <v/>
      </c>
      <c r="DD187" s="30" t="str">
        <f t="shared" si="2325"/>
        <v/>
      </c>
      <c r="DE187" s="30" t="str">
        <f t="shared" si="2326"/>
        <v/>
      </c>
      <c r="DF187" s="30" t="str">
        <f t="shared" si="2327"/>
        <v/>
      </c>
      <c r="DG187" s="30" t="str">
        <f t="shared" si="2328"/>
        <v/>
      </c>
      <c r="DH187" s="30" t="str">
        <f t="shared" si="2329"/>
        <v/>
      </c>
      <c r="DI187" s="30" t="str">
        <f t="shared" si="2330"/>
        <v/>
      </c>
      <c r="DJ187" s="30" t="str">
        <f t="shared" si="2331"/>
        <v/>
      </c>
      <c r="DK187" s="30" t="str">
        <f t="shared" si="2332"/>
        <v/>
      </c>
      <c r="DL187" s="30" t="str">
        <f t="shared" si="2333"/>
        <v/>
      </c>
      <c r="DM187" s="30" t="str">
        <f t="shared" si="2334"/>
        <v/>
      </c>
      <c r="DN187" s="30" t="str">
        <f t="shared" si="2335"/>
        <v/>
      </c>
      <c r="DO187" s="30" t="str">
        <f t="shared" si="2336"/>
        <v/>
      </c>
      <c r="DP187" s="30" t="str">
        <f t="shared" si="2337"/>
        <v/>
      </c>
      <c r="DQ187" s="30" t="str">
        <f t="shared" si="2338"/>
        <v/>
      </c>
      <c r="DR187" s="30" t="str">
        <f t="shared" si="2339"/>
        <v/>
      </c>
      <c r="DS187" s="30" t="str">
        <f t="shared" si="2340"/>
        <v/>
      </c>
      <c r="DT187" s="30" t="str">
        <f t="shared" si="2341"/>
        <v/>
      </c>
      <c r="DU187" s="30" t="str">
        <f t="shared" si="2342"/>
        <v/>
      </c>
      <c r="DV187" s="30" t="str">
        <f t="shared" si="2343"/>
        <v/>
      </c>
      <c r="DW187" s="30" t="str">
        <f t="shared" si="2344"/>
        <v/>
      </c>
      <c r="DX187" s="30" t="str">
        <f t="shared" si="2345"/>
        <v/>
      </c>
      <c r="DY187" s="30" t="str">
        <f t="shared" si="2346"/>
        <v/>
      </c>
      <c r="DZ187" s="30" t="str">
        <f t="shared" si="2347"/>
        <v/>
      </c>
      <c r="EA187" s="30" t="str">
        <f t="shared" si="2348"/>
        <v/>
      </c>
      <c r="EB187" s="30" t="str">
        <f t="shared" si="2349"/>
        <v/>
      </c>
      <c r="EC187" s="30" t="str">
        <f t="shared" si="2350"/>
        <v/>
      </c>
      <c r="ED187" s="30" t="str">
        <f t="shared" si="2351"/>
        <v/>
      </c>
      <c r="EE187" s="30" t="str">
        <f t="shared" si="2352"/>
        <v/>
      </c>
      <c r="EF187" s="30" t="str">
        <f t="shared" si="2353"/>
        <v/>
      </c>
      <c r="EG187" s="30" t="str">
        <f t="shared" si="2354"/>
        <v/>
      </c>
      <c r="EH187" s="30" t="str">
        <f t="shared" si="2355"/>
        <v/>
      </c>
      <c r="EI187" s="30" t="str">
        <f t="shared" si="2356"/>
        <v/>
      </c>
      <c r="EJ187" s="30" t="str">
        <f t="shared" si="2357"/>
        <v/>
      </c>
      <c r="EK187" s="30" t="str">
        <f t="shared" si="2358"/>
        <v/>
      </c>
      <c r="EL187" s="30" t="str">
        <f t="shared" si="2359"/>
        <v/>
      </c>
      <c r="EM187" s="30" t="str">
        <f t="shared" si="2360"/>
        <v/>
      </c>
      <c r="EN187" s="30" t="str">
        <f t="shared" si="2361"/>
        <v/>
      </c>
      <c r="EO187" s="30" t="str">
        <f t="shared" si="2362"/>
        <v/>
      </c>
      <c r="EP187" s="30" t="str">
        <f t="shared" si="2363"/>
        <v/>
      </c>
      <c r="EQ187" s="30" t="str">
        <f t="shared" si="2364"/>
        <v/>
      </c>
      <c r="ER187" s="30" t="str">
        <f t="shared" si="2365"/>
        <v/>
      </c>
      <c r="ES187" s="30" t="str">
        <f t="shared" si="2366"/>
        <v/>
      </c>
      <c r="ET187" s="30" t="str">
        <f t="shared" si="2367"/>
        <v/>
      </c>
      <c r="EU187" s="30" t="str">
        <f t="shared" si="2368"/>
        <v/>
      </c>
      <c r="EV187" s="30" t="str">
        <f t="shared" si="2369"/>
        <v/>
      </c>
      <c r="EW187" s="30" t="str">
        <f t="shared" si="2370"/>
        <v/>
      </c>
      <c r="EX187" s="30" t="str">
        <f t="shared" si="2371"/>
        <v/>
      </c>
      <c r="EY187" s="30" t="str">
        <f t="shared" si="2372"/>
        <v/>
      </c>
      <c r="EZ187" s="30" t="str">
        <f t="shared" si="2373"/>
        <v/>
      </c>
      <c r="FA187" s="30" t="str">
        <f t="shared" si="2374"/>
        <v/>
      </c>
      <c r="FB187" s="30" t="str">
        <f t="shared" si="2375"/>
        <v/>
      </c>
      <c r="FC187" s="30" t="str">
        <f t="shared" si="2376"/>
        <v/>
      </c>
      <c r="FD187" s="30" t="str">
        <f t="shared" si="2377"/>
        <v/>
      </c>
      <c r="FE187" s="30" t="str">
        <f t="shared" si="2378"/>
        <v/>
      </c>
      <c r="FF187" s="30" t="str">
        <f t="shared" si="2379"/>
        <v/>
      </c>
      <c r="FG187" s="30" t="str">
        <f t="shared" si="2380"/>
        <v/>
      </c>
      <c r="FH187" s="30" t="str">
        <f t="shared" si="2381"/>
        <v/>
      </c>
      <c r="FI187" s="30" t="str">
        <f t="shared" si="2382"/>
        <v/>
      </c>
      <c r="FJ187" s="30" t="str">
        <f t="shared" si="2383"/>
        <v/>
      </c>
      <c r="FK187" s="30" t="str">
        <f t="shared" si="2384"/>
        <v/>
      </c>
      <c r="FL187" s="30" t="str">
        <f t="shared" si="2385"/>
        <v/>
      </c>
      <c r="FM187" s="30" t="str">
        <f t="shared" si="2386"/>
        <v/>
      </c>
      <c r="FN187" s="30" t="str">
        <f t="shared" si="2387"/>
        <v/>
      </c>
      <c r="FO187" s="30" t="str">
        <f t="shared" si="2388"/>
        <v/>
      </c>
      <c r="FP187" s="30" t="str">
        <f t="shared" si="2389"/>
        <v/>
      </c>
      <c r="FQ187" s="30" t="str">
        <f t="shared" si="2390"/>
        <v/>
      </c>
      <c r="FR187" s="30" t="str">
        <f t="shared" si="2391"/>
        <v/>
      </c>
      <c r="FS187" s="30" t="str">
        <f t="shared" si="2392"/>
        <v/>
      </c>
    </row>
    <row r="188" spans="1:175" ht="16.5">
      <c r="A188" s="5"/>
      <c r="B188" s="6"/>
      <c r="C188" s="5"/>
      <c r="E188" s="35"/>
      <c r="T188" s="105"/>
      <c r="U188" s="32"/>
      <c r="CU188" s="45" t="str">
        <f t="shared" si="2322"/>
        <v>|n</v>
      </c>
      <c r="CW188" s="24"/>
      <c r="CX188" s="24"/>
      <c r="CY188" s="24"/>
      <c r="CZ188" s="24"/>
      <c r="DA188" s="24"/>
      <c r="DB188" s="30" t="str">
        <f t="shared" si="2323"/>
        <v/>
      </c>
      <c r="DC188" s="30" t="str">
        <f t="shared" si="2324"/>
        <v/>
      </c>
      <c r="DD188" s="30" t="str">
        <f t="shared" si="2325"/>
        <v/>
      </c>
      <c r="DE188" s="30" t="str">
        <f t="shared" si="2326"/>
        <v/>
      </c>
      <c r="DF188" s="30" t="str">
        <f t="shared" si="2327"/>
        <v/>
      </c>
      <c r="DG188" s="30" t="str">
        <f t="shared" si="2328"/>
        <v/>
      </c>
      <c r="DH188" s="30" t="str">
        <f t="shared" si="2329"/>
        <v/>
      </c>
      <c r="DI188" s="30" t="str">
        <f t="shared" si="2330"/>
        <v/>
      </c>
      <c r="DJ188" s="30" t="str">
        <f t="shared" si="2331"/>
        <v/>
      </c>
      <c r="DK188" s="30" t="str">
        <f t="shared" si="2332"/>
        <v/>
      </c>
      <c r="DL188" s="30" t="str">
        <f t="shared" si="2333"/>
        <v/>
      </c>
      <c r="DM188" s="30" t="str">
        <f t="shared" si="2334"/>
        <v/>
      </c>
      <c r="DN188" s="30" t="str">
        <f t="shared" si="2335"/>
        <v/>
      </c>
      <c r="DO188" s="30" t="str">
        <f t="shared" si="2336"/>
        <v/>
      </c>
      <c r="DP188" s="30" t="str">
        <f t="shared" si="2337"/>
        <v/>
      </c>
      <c r="DQ188" s="30" t="str">
        <f t="shared" si="2338"/>
        <v/>
      </c>
      <c r="DR188" s="30" t="str">
        <f t="shared" si="2339"/>
        <v/>
      </c>
      <c r="DS188" s="30" t="str">
        <f t="shared" si="2340"/>
        <v/>
      </c>
      <c r="DT188" s="30" t="str">
        <f t="shared" si="2341"/>
        <v/>
      </c>
      <c r="DU188" s="30" t="str">
        <f t="shared" si="2342"/>
        <v/>
      </c>
      <c r="DV188" s="30" t="str">
        <f t="shared" si="2343"/>
        <v/>
      </c>
      <c r="DW188" s="30" t="str">
        <f t="shared" si="2344"/>
        <v/>
      </c>
      <c r="DX188" s="30" t="str">
        <f t="shared" si="2345"/>
        <v/>
      </c>
      <c r="DY188" s="30" t="str">
        <f t="shared" si="2346"/>
        <v/>
      </c>
      <c r="DZ188" s="30" t="str">
        <f t="shared" si="2347"/>
        <v/>
      </c>
      <c r="EA188" s="30" t="str">
        <f t="shared" si="2348"/>
        <v/>
      </c>
      <c r="EB188" s="30" t="str">
        <f t="shared" si="2349"/>
        <v/>
      </c>
      <c r="EC188" s="30" t="str">
        <f t="shared" si="2350"/>
        <v/>
      </c>
      <c r="ED188" s="30" t="str">
        <f t="shared" si="2351"/>
        <v/>
      </c>
      <c r="EE188" s="30" t="str">
        <f t="shared" si="2352"/>
        <v/>
      </c>
      <c r="EF188" s="30" t="str">
        <f t="shared" si="2353"/>
        <v/>
      </c>
      <c r="EG188" s="30" t="str">
        <f t="shared" si="2354"/>
        <v/>
      </c>
      <c r="EH188" s="30" t="str">
        <f t="shared" si="2355"/>
        <v/>
      </c>
      <c r="EI188" s="30" t="str">
        <f t="shared" si="2356"/>
        <v/>
      </c>
      <c r="EJ188" s="30" t="str">
        <f t="shared" si="2357"/>
        <v/>
      </c>
      <c r="EK188" s="30" t="str">
        <f t="shared" si="2358"/>
        <v/>
      </c>
      <c r="EL188" s="30" t="str">
        <f t="shared" si="2359"/>
        <v/>
      </c>
      <c r="EM188" s="30" t="str">
        <f t="shared" si="2360"/>
        <v/>
      </c>
      <c r="EN188" s="30" t="str">
        <f t="shared" si="2361"/>
        <v/>
      </c>
      <c r="EO188" s="30" t="str">
        <f t="shared" si="2362"/>
        <v/>
      </c>
      <c r="EP188" s="30" t="str">
        <f t="shared" si="2363"/>
        <v/>
      </c>
      <c r="EQ188" s="30" t="str">
        <f t="shared" si="2364"/>
        <v/>
      </c>
      <c r="ER188" s="30" t="str">
        <f t="shared" si="2365"/>
        <v/>
      </c>
      <c r="ES188" s="30" t="str">
        <f t="shared" si="2366"/>
        <v/>
      </c>
      <c r="ET188" s="30" t="str">
        <f t="shared" si="2367"/>
        <v/>
      </c>
      <c r="EU188" s="30" t="str">
        <f t="shared" si="2368"/>
        <v/>
      </c>
      <c r="EV188" s="30" t="str">
        <f t="shared" si="2369"/>
        <v/>
      </c>
      <c r="EW188" s="30" t="str">
        <f t="shared" si="2370"/>
        <v/>
      </c>
      <c r="EX188" s="30" t="str">
        <f t="shared" si="2371"/>
        <v/>
      </c>
      <c r="EY188" s="30" t="str">
        <f t="shared" si="2372"/>
        <v/>
      </c>
      <c r="EZ188" s="30" t="str">
        <f t="shared" si="2373"/>
        <v/>
      </c>
      <c r="FA188" s="30" t="str">
        <f t="shared" si="2374"/>
        <v/>
      </c>
      <c r="FB188" s="30" t="str">
        <f t="shared" si="2375"/>
        <v/>
      </c>
      <c r="FC188" s="30" t="str">
        <f t="shared" si="2376"/>
        <v/>
      </c>
      <c r="FD188" s="30" t="str">
        <f t="shared" si="2377"/>
        <v/>
      </c>
      <c r="FE188" s="30" t="str">
        <f t="shared" si="2378"/>
        <v/>
      </c>
      <c r="FF188" s="30" t="str">
        <f t="shared" si="2379"/>
        <v/>
      </c>
      <c r="FG188" s="30" t="str">
        <f t="shared" si="2380"/>
        <v/>
      </c>
      <c r="FH188" s="30" t="str">
        <f t="shared" si="2381"/>
        <v/>
      </c>
      <c r="FI188" s="30" t="str">
        <f t="shared" si="2382"/>
        <v/>
      </c>
      <c r="FJ188" s="30" t="str">
        <f t="shared" si="2383"/>
        <v/>
      </c>
      <c r="FK188" s="30" t="str">
        <f t="shared" si="2384"/>
        <v/>
      </c>
      <c r="FL188" s="30" t="str">
        <f t="shared" si="2385"/>
        <v/>
      </c>
      <c r="FM188" s="30" t="str">
        <f t="shared" si="2386"/>
        <v/>
      </c>
      <c r="FN188" s="30" t="str">
        <f t="shared" si="2387"/>
        <v/>
      </c>
      <c r="FO188" s="30" t="str">
        <f t="shared" si="2388"/>
        <v/>
      </c>
      <c r="FP188" s="30" t="str">
        <f t="shared" si="2389"/>
        <v/>
      </c>
      <c r="FQ188" s="30" t="str">
        <f t="shared" si="2390"/>
        <v/>
      </c>
      <c r="FR188" s="30" t="str">
        <f t="shared" si="2391"/>
        <v/>
      </c>
      <c r="FS188" s="30" t="str">
        <f t="shared" si="2392"/>
        <v/>
      </c>
    </row>
    <row r="189" spans="1:175" ht="16.5">
      <c r="A189" s="5"/>
      <c r="B189" s="6"/>
      <c r="C189" s="5"/>
      <c r="E189" s="35"/>
      <c r="T189" s="105"/>
      <c r="U189" s="32"/>
      <c r="CU189" s="45" t="str">
        <f t="shared" si="2322"/>
        <v>|n</v>
      </c>
      <c r="CW189" s="24"/>
      <c r="CX189" s="24"/>
      <c r="CY189" s="24"/>
      <c r="CZ189" s="24"/>
      <c r="DA189" s="24"/>
      <c r="DB189" s="30" t="str">
        <f t="shared" si="2323"/>
        <v/>
      </c>
      <c r="DC189" s="30" t="str">
        <f t="shared" si="2324"/>
        <v/>
      </c>
      <c r="DD189" s="30" t="str">
        <f t="shared" si="2325"/>
        <v/>
      </c>
      <c r="DE189" s="30" t="str">
        <f t="shared" si="2326"/>
        <v/>
      </c>
      <c r="DF189" s="30" t="str">
        <f t="shared" si="2327"/>
        <v/>
      </c>
      <c r="DG189" s="30" t="str">
        <f t="shared" si="2328"/>
        <v/>
      </c>
      <c r="DH189" s="30" t="str">
        <f t="shared" si="2329"/>
        <v/>
      </c>
      <c r="DI189" s="30" t="str">
        <f t="shared" si="2330"/>
        <v/>
      </c>
      <c r="DJ189" s="30" t="str">
        <f t="shared" si="2331"/>
        <v/>
      </c>
      <c r="DK189" s="30" t="str">
        <f t="shared" si="2332"/>
        <v/>
      </c>
      <c r="DL189" s="30" t="str">
        <f t="shared" si="2333"/>
        <v/>
      </c>
      <c r="DM189" s="30" t="str">
        <f t="shared" si="2334"/>
        <v/>
      </c>
      <c r="DN189" s="30" t="str">
        <f t="shared" si="2335"/>
        <v/>
      </c>
      <c r="DO189" s="30" t="str">
        <f t="shared" si="2336"/>
        <v/>
      </c>
      <c r="DP189" s="30" t="str">
        <f t="shared" si="2337"/>
        <v/>
      </c>
      <c r="DQ189" s="30" t="str">
        <f t="shared" si="2338"/>
        <v/>
      </c>
      <c r="DR189" s="30" t="str">
        <f t="shared" si="2339"/>
        <v/>
      </c>
      <c r="DS189" s="30" t="str">
        <f t="shared" si="2340"/>
        <v/>
      </c>
      <c r="DT189" s="30" t="str">
        <f t="shared" si="2341"/>
        <v/>
      </c>
      <c r="DU189" s="30" t="str">
        <f t="shared" si="2342"/>
        <v/>
      </c>
      <c r="DV189" s="30" t="str">
        <f t="shared" si="2343"/>
        <v/>
      </c>
      <c r="DW189" s="30" t="str">
        <f t="shared" si="2344"/>
        <v/>
      </c>
      <c r="DX189" s="30" t="str">
        <f t="shared" si="2345"/>
        <v/>
      </c>
      <c r="DY189" s="30" t="str">
        <f t="shared" si="2346"/>
        <v/>
      </c>
      <c r="DZ189" s="30" t="str">
        <f t="shared" si="2347"/>
        <v/>
      </c>
      <c r="EA189" s="30" t="str">
        <f t="shared" si="2348"/>
        <v/>
      </c>
      <c r="EB189" s="30" t="str">
        <f t="shared" si="2349"/>
        <v/>
      </c>
      <c r="EC189" s="30" t="str">
        <f t="shared" si="2350"/>
        <v/>
      </c>
      <c r="ED189" s="30" t="str">
        <f t="shared" si="2351"/>
        <v/>
      </c>
      <c r="EE189" s="30" t="str">
        <f t="shared" si="2352"/>
        <v/>
      </c>
      <c r="EF189" s="30" t="str">
        <f t="shared" si="2353"/>
        <v/>
      </c>
      <c r="EG189" s="30" t="str">
        <f t="shared" si="2354"/>
        <v/>
      </c>
      <c r="EH189" s="30" t="str">
        <f t="shared" si="2355"/>
        <v/>
      </c>
      <c r="EI189" s="30" t="str">
        <f t="shared" si="2356"/>
        <v/>
      </c>
      <c r="EJ189" s="30" t="str">
        <f t="shared" si="2357"/>
        <v/>
      </c>
      <c r="EK189" s="30" t="str">
        <f t="shared" si="2358"/>
        <v/>
      </c>
      <c r="EL189" s="30" t="str">
        <f t="shared" si="2359"/>
        <v/>
      </c>
      <c r="EM189" s="30" t="str">
        <f t="shared" si="2360"/>
        <v/>
      </c>
      <c r="EN189" s="30" t="str">
        <f t="shared" si="2361"/>
        <v/>
      </c>
      <c r="EO189" s="30" t="str">
        <f t="shared" si="2362"/>
        <v/>
      </c>
      <c r="EP189" s="30" t="str">
        <f t="shared" si="2363"/>
        <v/>
      </c>
      <c r="EQ189" s="30" t="str">
        <f t="shared" si="2364"/>
        <v/>
      </c>
      <c r="ER189" s="30" t="str">
        <f t="shared" si="2365"/>
        <v/>
      </c>
      <c r="ES189" s="30" t="str">
        <f t="shared" si="2366"/>
        <v/>
      </c>
      <c r="ET189" s="30" t="str">
        <f t="shared" si="2367"/>
        <v/>
      </c>
      <c r="EU189" s="30" t="str">
        <f t="shared" si="2368"/>
        <v/>
      </c>
      <c r="EV189" s="30" t="str">
        <f t="shared" si="2369"/>
        <v/>
      </c>
      <c r="EW189" s="30" t="str">
        <f t="shared" si="2370"/>
        <v/>
      </c>
      <c r="EX189" s="30" t="str">
        <f t="shared" si="2371"/>
        <v/>
      </c>
      <c r="EY189" s="30" t="str">
        <f t="shared" si="2372"/>
        <v/>
      </c>
      <c r="EZ189" s="30" t="str">
        <f t="shared" si="2373"/>
        <v/>
      </c>
      <c r="FA189" s="30" t="str">
        <f t="shared" si="2374"/>
        <v/>
      </c>
      <c r="FB189" s="30" t="str">
        <f t="shared" si="2375"/>
        <v/>
      </c>
      <c r="FC189" s="30" t="str">
        <f t="shared" si="2376"/>
        <v/>
      </c>
      <c r="FD189" s="30" t="str">
        <f t="shared" si="2377"/>
        <v/>
      </c>
      <c r="FE189" s="30" t="str">
        <f t="shared" si="2378"/>
        <v/>
      </c>
      <c r="FF189" s="30" t="str">
        <f t="shared" si="2379"/>
        <v/>
      </c>
      <c r="FG189" s="30" t="str">
        <f t="shared" si="2380"/>
        <v/>
      </c>
      <c r="FH189" s="30" t="str">
        <f t="shared" si="2381"/>
        <v/>
      </c>
      <c r="FI189" s="30" t="str">
        <f t="shared" si="2382"/>
        <v/>
      </c>
      <c r="FJ189" s="30" t="str">
        <f t="shared" si="2383"/>
        <v/>
      </c>
      <c r="FK189" s="30" t="str">
        <f t="shared" si="2384"/>
        <v/>
      </c>
      <c r="FL189" s="30" t="str">
        <f t="shared" si="2385"/>
        <v/>
      </c>
      <c r="FM189" s="30" t="str">
        <f t="shared" si="2386"/>
        <v/>
      </c>
      <c r="FN189" s="30" t="str">
        <f t="shared" si="2387"/>
        <v/>
      </c>
      <c r="FO189" s="30" t="str">
        <f t="shared" si="2388"/>
        <v/>
      </c>
      <c r="FP189" s="30" t="str">
        <f t="shared" si="2389"/>
        <v/>
      </c>
      <c r="FQ189" s="30" t="str">
        <f t="shared" si="2390"/>
        <v/>
      </c>
      <c r="FR189" s="30" t="str">
        <f t="shared" si="2391"/>
        <v/>
      </c>
      <c r="FS189" s="30" t="str">
        <f t="shared" si="2392"/>
        <v/>
      </c>
    </row>
    <row r="190" spans="1:175" ht="16.5">
      <c r="A190" s="5"/>
      <c r="B190" s="6"/>
      <c r="C190" s="5"/>
      <c r="E190" s="35"/>
      <c r="T190" s="105"/>
      <c r="U190" s="32"/>
      <c r="CU190" s="45" t="str">
        <f t="shared" si="2322"/>
        <v>|n</v>
      </c>
      <c r="CW190" s="24"/>
      <c r="CX190" s="24"/>
      <c r="CY190" s="24"/>
      <c r="CZ190" s="24"/>
      <c r="DA190" s="24"/>
      <c r="DB190" s="30" t="str">
        <f t="shared" si="2323"/>
        <v/>
      </c>
      <c r="DC190" s="30" t="str">
        <f t="shared" si="2324"/>
        <v/>
      </c>
      <c r="DD190" s="30" t="str">
        <f t="shared" si="2325"/>
        <v/>
      </c>
      <c r="DE190" s="30" t="str">
        <f t="shared" si="2326"/>
        <v/>
      </c>
      <c r="DF190" s="30" t="str">
        <f t="shared" si="2327"/>
        <v/>
      </c>
      <c r="DG190" s="30" t="str">
        <f t="shared" si="2328"/>
        <v/>
      </c>
      <c r="DH190" s="30" t="str">
        <f t="shared" si="2329"/>
        <v/>
      </c>
      <c r="DI190" s="30" t="str">
        <f t="shared" si="2330"/>
        <v/>
      </c>
      <c r="DJ190" s="30" t="str">
        <f t="shared" si="2331"/>
        <v/>
      </c>
      <c r="DK190" s="30" t="str">
        <f t="shared" si="2332"/>
        <v/>
      </c>
      <c r="DL190" s="30" t="str">
        <f t="shared" si="2333"/>
        <v/>
      </c>
      <c r="DM190" s="30" t="str">
        <f t="shared" si="2334"/>
        <v/>
      </c>
      <c r="DN190" s="30" t="str">
        <f t="shared" si="2335"/>
        <v/>
      </c>
      <c r="DO190" s="30" t="str">
        <f t="shared" si="2336"/>
        <v/>
      </c>
      <c r="DP190" s="30" t="str">
        <f t="shared" si="2337"/>
        <v/>
      </c>
      <c r="DQ190" s="30" t="str">
        <f t="shared" si="2338"/>
        <v/>
      </c>
      <c r="DR190" s="30" t="str">
        <f t="shared" si="2339"/>
        <v/>
      </c>
      <c r="DS190" s="30" t="str">
        <f t="shared" si="2340"/>
        <v/>
      </c>
      <c r="DT190" s="30" t="str">
        <f t="shared" si="2341"/>
        <v/>
      </c>
      <c r="DU190" s="30" t="str">
        <f t="shared" si="2342"/>
        <v/>
      </c>
      <c r="DV190" s="30" t="str">
        <f t="shared" si="2343"/>
        <v/>
      </c>
      <c r="DW190" s="30" t="str">
        <f t="shared" si="2344"/>
        <v/>
      </c>
      <c r="DX190" s="30" t="str">
        <f t="shared" si="2345"/>
        <v/>
      </c>
      <c r="DY190" s="30" t="str">
        <f t="shared" si="2346"/>
        <v/>
      </c>
      <c r="DZ190" s="30" t="str">
        <f t="shared" si="2347"/>
        <v/>
      </c>
      <c r="EA190" s="30" t="str">
        <f t="shared" si="2348"/>
        <v/>
      </c>
      <c r="EB190" s="30" t="str">
        <f t="shared" si="2349"/>
        <v/>
      </c>
      <c r="EC190" s="30" t="str">
        <f t="shared" si="2350"/>
        <v/>
      </c>
      <c r="ED190" s="30" t="str">
        <f t="shared" si="2351"/>
        <v/>
      </c>
      <c r="EE190" s="30" t="str">
        <f t="shared" si="2352"/>
        <v/>
      </c>
      <c r="EF190" s="30" t="str">
        <f t="shared" si="2353"/>
        <v/>
      </c>
      <c r="EG190" s="30" t="str">
        <f t="shared" si="2354"/>
        <v/>
      </c>
      <c r="EH190" s="30" t="str">
        <f t="shared" si="2355"/>
        <v/>
      </c>
      <c r="EI190" s="30" t="str">
        <f t="shared" si="2356"/>
        <v/>
      </c>
      <c r="EJ190" s="30" t="str">
        <f t="shared" si="2357"/>
        <v/>
      </c>
      <c r="EK190" s="30" t="str">
        <f t="shared" si="2358"/>
        <v/>
      </c>
      <c r="EL190" s="30" t="str">
        <f t="shared" si="2359"/>
        <v/>
      </c>
      <c r="EM190" s="30" t="str">
        <f t="shared" si="2360"/>
        <v/>
      </c>
      <c r="EN190" s="30" t="str">
        <f t="shared" si="2361"/>
        <v/>
      </c>
      <c r="EO190" s="30" t="str">
        <f t="shared" si="2362"/>
        <v/>
      </c>
      <c r="EP190" s="30" t="str">
        <f t="shared" si="2363"/>
        <v/>
      </c>
      <c r="EQ190" s="30" t="str">
        <f t="shared" si="2364"/>
        <v/>
      </c>
      <c r="ER190" s="30" t="str">
        <f t="shared" si="2365"/>
        <v/>
      </c>
      <c r="ES190" s="30" t="str">
        <f t="shared" si="2366"/>
        <v/>
      </c>
      <c r="ET190" s="30" t="str">
        <f t="shared" si="2367"/>
        <v/>
      </c>
      <c r="EU190" s="30" t="str">
        <f t="shared" si="2368"/>
        <v/>
      </c>
      <c r="EV190" s="30" t="str">
        <f t="shared" si="2369"/>
        <v/>
      </c>
      <c r="EW190" s="30" t="str">
        <f t="shared" si="2370"/>
        <v/>
      </c>
      <c r="EX190" s="30" t="str">
        <f t="shared" si="2371"/>
        <v/>
      </c>
      <c r="EY190" s="30" t="str">
        <f t="shared" si="2372"/>
        <v/>
      </c>
      <c r="EZ190" s="30" t="str">
        <f t="shared" si="2373"/>
        <v/>
      </c>
      <c r="FA190" s="30" t="str">
        <f t="shared" si="2374"/>
        <v/>
      </c>
      <c r="FB190" s="30" t="str">
        <f t="shared" si="2375"/>
        <v/>
      </c>
      <c r="FC190" s="30" t="str">
        <f t="shared" si="2376"/>
        <v/>
      </c>
      <c r="FD190" s="30" t="str">
        <f t="shared" si="2377"/>
        <v/>
      </c>
      <c r="FE190" s="30" t="str">
        <f t="shared" si="2378"/>
        <v/>
      </c>
      <c r="FF190" s="30" t="str">
        <f t="shared" si="2379"/>
        <v/>
      </c>
      <c r="FG190" s="30" t="str">
        <f t="shared" si="2380"/>
        <v/>
      </c>
      <c r="FH190" s="30" t="str">
        <f t="shared" si="2381"/>
        <v/>
      </c>
      <c r="FI190" s="30" t="str">
        <f t="shared" si="2382"/>
        <v/>
      </c>
      <c r="FJ190" s="30" t="str">
        <f t="shared" si="2383"/>
        <v/>
      </c>
      <c r="FK190" s="30" t="str">
        <f t="shared" si="2384"/>
        <v/>
      </c>
      <c r="FL190" s="30" t="str">
        <f t="shared" si="2385"/>
        <v/>
      </c>
      <c r="FM190" s="30" t="str">
        <f t="shared" si="2386"/>
        <v/>
      </c>
      <c r="FN190" s="30" t="str">
        <f t="shared" si="2387"/>
        <v/>
      </c>
      <c r="FO190" s="30" t="str">
        <f t="shared" si="2388"/>
        <v/>
      </c>
      <c r="FP190" s="30" t="str">
        <f t="shared" si="2389"/>
        <v/>
      </c>
      <c r="FQ190" s="30" t="str">
        <f t="shared" si="2390"/>
        <v/>
      </c>
      <c r="FR190" s="30" t="str">
        <f t="shared" si="2391"/>
        <v/>
      </c>
      <c r="FS190" s="30" t="str">
        <f t="shared" si="2392"/>
        <v/>
      </c>
    </row>
    <row r="191" spans="1:175" ht="16.5">
      <c r="A191" s="5"/>
      <c r="B191" s="6"/>
      <c r="C191" s="5"/>
      <c r="E191" s="35"/>
      <c r="T191" s="105"/>
      <c r="U191" s="32"/>
      <c r="CU191" s="45" t="str">
        <f t="shared" si="2322"/>
        <v>|n</v>
      </c>
      <c r="CW191" s="24"/>
      <c r="CX191" s="24"/>
      <c r="CY191" s="24"/>
      <c r="CZ191" s="24"/>
      <c r="DA191" s="24"/>
      <c r="DB191" s="30" t="str">
        <f t="shared" si="2323"/>
        <v/>
      </c>
      <c r="DC191" s="30" t="str">
        <f t="shared" si="2324"/>
        <v/>
      </c>
      <c r="DD191" s="30" t="str">
        <f t="shared" si="2325"/>
        <v/>
      </c>
      <c r="DE191" s="30" t="str">
        <f t="shared" si="2326"/>
        <v/>
      </c>
      <c r="DF191" s="30" t="str">
        <f t="shared" si="2327"/>
        <v/>
      </c>
      <c r="DG191" s="30" t="str">
        <f t="shared" si="2328"/>
        <v/>
      </c>
      <c r="DH191" s="30" t="str">
        <f t="shared" si="2329"/>
        <v/>
      </c>
      <c r="DI191" s="30" t="str">
        <f t="shared" si="2330"/>
        <v/>
      </c>
      <c r="DJ191" s="30" t="str">
        <f t="shared" si="2331"/>
        <v/>
      </c>
      <c r="DK191" s="30" t="str">
        <f t="shared" si="2332"/>
        <v/>
      </c>
      <c r="DL191" s="30" t="str">
        <f t="shared" si="2333"/>
        <v/>
      </c>
      <c r="DM191" s="30" t="str">
        <f t="shared" si="2334"/>
        <v/>
      </c>
      <c r="DN191" s="30" t="str">
        <f t="shared" si="2335"/>
        <v/>
      </c>
      <c r="DO191" s="30" t="str">
        <f t="shared" si="2336"/>
        <v/>
      </c>
      <c r="DP191" s="30" t="str">
        <f t="shared" si="2337"/>
        <v/>
      </c>
      <c r="DQ191" s="30" t="str">
        <f t="shared" si="2338"/>
        <v/>
      </c>
      <c r="DR191" s="30" t="str">
        <f t="shared" si="2339"/>
        <v/>
      </c>
      <c r="DS191" s="30" t="str">
        <f t="shared" si="2340"/>
        <v/>
      </c>
      <c r="DT191" s="30" t="str">
        <f t="shared" si="2341"/>
        <v/>
      </c>
      <c r="DU191" s="30" t="str">
        <f t="shared" si="2342"/>
        <v/>
      </c>
      <c r="DV191" s="30" t="str">
        <f t="shared" si="2343"/>
        <v/>
      </c>
      <c r="DW191" s="30" t="str">
        <f t="shared" si="2344"/>
        <v/>
      </c>
      <c r="DX191" s="30" t="str">
        <f t="shared" si="2345"/>
        <v/>
      </c>
      <c r="DY191" s="30" t="str">
        <f t="shared" si="2346"/>
        <v/>
      </c>
      <c r="DZ191" s="30" t="str">
        <f t="shared" si="2347"/>
        <v/>
      </c>
      <c r="EA191" s="30" t="str">
        <f t="shared" si="2348"/>
        <v/>
      </c>
      <c r="EB191" s="30" t="str">
        <f t="shared" si="2349"/>
        <v/>
      </c>
      <c r="EC191" s="30" t="str">
        <f t="shared" si="2350"/>
        <v/>
      </c>
      <c r="ED191" s="30" t="str">
        <f t="shared" si="2351"/>
        <v/>
      </c>
      <c r="EE191" s="30" t="str">
        <f t="shared" si="2352"/>
        <v/>
      </c>
      <c r="EF191" s="30" t="str">
        <f t="shared" si="2353"/>
        <v/>
      </c>
      <c r="EG191" s="30" t="str">
        <f t="shared" si="2354"/>
        <v/>
      </c>
      <c r="EH191" s="30" t="str">
        <f t="shared" si="2355"/>
        <v/>
      </c>
      <c r="EI191" s="30" t="str">
        <f t="shared" si="2356"/>
        <v/>
      </c>
      <c r="EJ191" s="30" t="str">
        <f t="shared" si="2357"/>
        <v/>
      </c>
      <c r="EK191" s="30" t="str">
        <f t="shared" si="2358"/>
        <v/>
      </c>
      <c r="EL191" s="30" t="str">
        <f t="shared" si="2359"/>
        <v/>
      </c>
      <c r="EM191" s="30" t="str">
        <f t="shared" si="2360"/>
        <v/>
      </c>
      <c r="EN191" s="30" t="str">
        <f t="shared" si="2361"/>
        <v/>
      </c>
      <c r="EO191" s="30" t="str">
        <f t="shared" si="2362"/>
        <v/>
      </c>
      <c r="EP191" s="30" t="str">
        <f t="shared" si="2363"/>
        <v/>
      </c>
      <c r="EQ191" s="30" t="str">
        <f t="shared" si="2364"/>
        <v/>
      </c>
      <c r="ER191" s="30" t="str">
        <f t="shared" si="2365"/>
        <v/>
      </c>
      <c r="ES191" s="30" t="str">
        <f t="shared" si="2366"/>
        <v/>
      </c>
      <c r="ET191" s="30" t="str">
        <f t="shared" si="2367"/>
        <v/>
      </c>
      <c r="EU191" s="30" t="str">
        <f t="shared" si="2368"/>
        <v/>
      </c>
      <c r="EV191" s="30" t="str">
        <f t="shared" si="2369"/>
        <v/>
      </c>
      <c r="EW191" s="30" t="str">
        <f t="shared" si="2370"/>
        <v/>
      </c>
      <c r="EX191" s="30" t="str">
        <f t="shared" si="2371"/>
        <v/>
      </c>
      <c r="EY191" s="30" t="str">
        <f t="shared" si="2372"/>
        <v/>
      </c>
      <c r="EZ191" s="30" t="str">
        <f t="shared" si="2373"/>
        <v/>
      </c>
      <c r="FA191" s="30" t="str">
        <f t="shared" si="2374"/>
        <v/>
      </c>
      <c r="FB191" s="30" t="str">
        <f t="shared" si="2375"/>
        <v/>
      </c>
      <c r="FC191" s="30" t="str">
        <f t="shared" si="2376"/>
        <v/>
      </c>
      <c r="FD191" s="30" t="str">
        <f t="shared" si="2377"/>
        <v/>
      </c>
      <c r="FE191" s="30" t="str">
        <f t="shared" si="2378"/>
        <v/>
      </c>
      <c r="FF191" s="30" t="str">
        <f t="shared" si="2379"/>
        <v/>
      </c>
      <c r="FG191" s="30" t="str">
        <f t="shared" si="2380"/>
        <v/>
      </c>
      <c r="FH191" s="30" t="str">
        <f t="shared" si="2381"/>
        <v/>
      </c>
      <c r="FI191" s="30" t="str">
        <f t="shared" si="2382"/>
        <v/>
      </c>
      <c r="FJ191" s="30" t="str">
        <f t="shared" si="2383"/>
        <v/>
      </c>
      <c r="FK191" s="30" t="str">
        <f t="shared" si="2384"/>
        <v/>
      </c>
      <c r="FL191" s="30" t="str">
        <f t="shared" si="2385"/>
        <v/>
      </c>
      <c r="FM191" s="30" t="str">
        <f t="shared" si="2386"/>
        <v/>
      </c>
      <c r="FN191" s="30" t="str">
        <f t="shared" si="2387"/>
        <v/>
      </c>
      <c r="FO191" s="30" t="str">
        <f t="shared" si="2388"/>
        <v/>
      </c>
      <c r="FP191" s="30" t="str">
        <f t="shared" si="2389"/>
        <v/>
      </c>
      <c r="FQ191" s="30" t="str">
        <f t="shared" si="2390"/>
        <v/>
      </c>
      <c r="FR191" s="30" t="str">
        <f t="shared" si="2391"/>
        <v/>
      </c>
      <c r="FS191" s="30" t="str">
        <f t="shared" si="2392"/>
        <v/>
      </c>
    </row>
    <row r="192" spans="1:175" ht="16.5">
      <c r="A192" s="5"/>
      <c r="B192" s="6"/>
      <c r="C192" s="5"/>
      <c r="E192" s="35"/>
      <c r="T192" s="105"/>
      <c r="U192" s="32"/>
      <c r="CU192" s="45" t="str">
        <f t="shared" si="2322"/>
        <v>|n</v>
      </c>
      <c r="CW192" s="24"/>
      <c r="CX192" s="24"/>
      <c r="CY192" s="24"/>
      <c r="CZ192" s="24"/>
      <c r="DA192" s="24"/>
      <c r="DB192" s="30" t="str">
        <f t="shared" si="2323"/>
        <v/>
      </c>
      <c r="DC192" s="30" t="str">
        <f t="shared" si="2324"/>
        <v/>
      </c>
      <c r="DD192" s="30" t="str">
        <f t="shared" si="2325"/>
        <v/>
      </c>
      <c r="DE192" s="30" t="str">
        <f t="shared" si="2326"/>
        <v/>
      </c>
      <c r="DF192" s="30" t="str">
        <f t="shared" si="2327"/>
        <v/>
      </c>
      <c r="DG192" s="30" t="str">
        <f t="shared" si="2328"/>
        <v/>
      </c>
      <c r="DH192" s="30" t="str">
        <f t="shared" si="2329"/>
        <v/>
      </c>
      <c r="DI192" s="30" t="str">
        <f t="shared" si="2330"/>
        <v/>
      </c>
      <c r="DJ192" s="30" t="str">
        <f t="shared" si="2331"/>
        <v/>
      </c>
      <c r="DK192" s="30" t="str">
        <f t="shared" si="2332"/>
        <v/>
      </c>
      <c r="DL192" s="30" t="str">
        <f t="shared" si="2333"/>
        <v/>
      </c>
      <c r="DM192" s="30" t="str">
        <f t="shared" si="2334"/>
        <v/>
      </c>
      <c r="DN192" s="30" t="str">
        <f t="shared" si="2335"/>
        <v/>
      </c>
      <c r="DO192" s="30" t="str">
        <f t="shared" si="2336"/>
        <v/>
      </c>
      <c r="DP192" s="30" t="str">
        <f t="shared" si="2337"/>
        <v/>
      </c>
      <c r="DQ192" s="30" t="str">
        <f t="shared" si="2338"/>
        <v/>
      </c>
      <c r="DR192" s="30" t="str">
        <f t="shared" si="2339"/>
        <v/>
      </c>
      <c r="DS192" s="30" t="str">
        <f t="shared" si="2340"/>
        <v/>
      </c>
      <c r="DT192" s="30" t="str">
        <f t="shared" si="2341"/>
        <v/>
      </c>
      <c r="DU192" s="30" t="str">
        <f t="shared" si="2342"/>
        <v/>
      </c>
      <c r="DV192" s="30" t="str">
        <f t="shared" si="2343"/>
        <v/>
      </c>
      <c r="DW192" s="30" t="str">
        <f t="shared" si="2344"/>
        <v/>
      </c>
      <c r="DX192" s="30" t="str">
        <f t="shared" si="2345"/>
        <v/>
      </c>
      <c r="DY192" s="30" t="str">
        <f t="shared" si="2346"/>
        <v/>
      </c>
      <c r="DZ192" s="30" t="str">
        <f t="shared" si="2347"/>
        <v/>
      </c>
      <c r="EA192" s="30" t="str">
        <f t="shared" si="2348"/>
        <v/>
      </c>
      <c r="EB192" s="30" t="str">
        <f t="shared" si="2349"/>
        <v/>
      </c>
      <c r="EC192" s="30" t="str">
        <f t="shared" si="2350"/>
        <v/>
      </c>
      <c r="ED192" s="30" t="str">
        <f t="shared" si="2351"/>
        <v/>
      </c>
      <c r="EE192" s="30" t="str">
        <f t="shared" si="2352"/>
        <v/>
      </c>
      <c r="EF192" s="30" t="str">
        <f t="shared" si="2353"/>
        <v/>
      </c>
      <c r="EG192" s="30" t="str">
        <f t="shared" si="2354"/>
        <v/>
      </c>
      <c r="EH192" s="30" t="str">
        <f t="shared" si="2355"/>
        <v/>
      </c>
      <c r="EI192" s="30" t="str">
        <f t="shared" si="2356"/>
        <v/>
      </c>
      <c r="EJ192" s="30" t="str">
        <f t="shared" si="2357"/>
        <v/>
      </c>
      <c r="EK192" s="30" t="str">
        <f t="shared" si="2358"/>
        <v/>
      </c>
      <c r="EL192" s="30" t="str">
        <f t="shared" si="2359"/>
        <v/>
      </c>
      <c r="EM192" s="30" t="str">
        <f t="shared" si="2360"/>
        <v/>
      </c>
      <c r="EN192" s="30" t="str">
        <f t="shared" si="2361"/>
        <v/>
      </c>
      <c r="EO192" s="30" t="str">
        <f t="shared" si="2362"/>
        <v/>
      </c>
      <c r="EP192" s="30" t="str">
        <f t="shared" si="2363"/>
        <v/>
      </c>
      <c r="EQ192" s="30" t="str">
        <f t="shared" si="2364"/>
        <v/>
      </c>
      <c r="ER192" s="30" t="str">
        <f t="shared" si="2365"/>
        <v/>
      </c>
      <c r="ES192" s="30" t="str">
        <f t="shared" si="2366"/>
        <v/>
      </c>
      <c r="ET192" s="30" t="str">
        <f t="shared" si="2367"/>
        <v/>
      </c>
      <c r="EU192" s="30" t="str">
        <f t="shared" si="2368"/>
        <v/>
      </c>
      <c r="EV192" s="30" t="str">
        <f t="shared" si="2369"/>
        <v/>
      </c>
      <c r="EW192" s="30" t="str">
        <f t="shared" si="2370"/>
        <v/>
      </c>
      <c r="EX192" s="30" t="str">
        <f t="shared" si="2371"/>
        <v/>
      </c>
      <c r="EY192" s="30" t="str">
        <f t="shared" si="2372"/>
        <v/>
      </c>
      <c r="EZ192" s="30" t="str">
        <f t="shared" si="2373"/>
        <v/>
      </c>
      <c r="FA192" s="30" t="str">
        <f t="shared" si="2374"/>
        <v/>
      </c>
      <c r="FB192" s="30" t="str">
        <f t="shared" si="2375"/>
        <v/>
      </c>
      <c r="FC192" s="30" t="str">
        <f t="shared" si="2376"/>
        <v/>
      </c>
      <c r="FD192" s="30" t="str">
        <f t="shared" si="2377"/>
        <v/>
      </c>
      <c r="FE192" s="30" t="str">
        <f t="shared" si="2378"/>
        <v/>
      </c>
      <c r="FF192" s="30" t="str">
        <f t="shared" si="2379"/>
        <v/>
      </c>
      <c r="FG192" s="30" t="str">
        <f t="shared" si="2380"/>
        <v/>
      </c>
      <c r="FH192" s="30" t="str">
        <f t="shared" si="2381"/>
        <v/>
      </c>
      <c r="FI192" s="30" t="str">
        <f t="shared" si="2382"/>
        <v/>
      </c>
      <c r="FJ192" s="30" t="str">
        <f t="shared" si="2383"/>
        <v/>
      </c>
      <c r="FK192" s="30" t="str">
        <f t="shared" si="2384"/>
        <v/>
      </c>
      <c r="FL192" s="30" t="str">
        <f t="shared" si="2385"/>
        <v/>
      </c>
      <c r="FM192" s="30" t="str">
        <f t="shared" si="2386"/>
        <v/>
      </c>
      <c r="FN192" s="30" t="str">
        <f t="shared" si="2387"/>
        <v/>
      </c>
      <c r="FO192" s="30" t="str">
        <f t="shared" si="2388"/>
        <v/>
      </c>
      <c r="FP192" s="30" t="str">
        <f t="shared" si="2389"/>
        <v/>
      </c>
      <c r="FQ192" s="30" t="str">
        <f t="shared" si="2390"/>
        <v/>
      </c>
      <c r="FR192" s="30" t="str">
        <f t="shared" si="2391"/>
        <v/>
      </c>
      <c r="FS192" s="30" t="str">
        <f t="shared" si="2392"/>
        <v/>
      </c>
    </row>
    <row r="193" spans="1:175" ht="16.5">
      <c r="A193" s="5"/>
      <c r="B193" s="6"/>
      <c r="C193" s="5"/>
      <c r="E193" s="35"/>
      <c r="T193" s="105"/>
      <c r="U193" s="32"/>
      <c r="CU193" s="45" t="str">
        <f t="shared" si="2322"/>
        <v>|n</v>
      </c>
      <c r="CW193" s="24"/>
      <c r="CX193" s="24"/>
      <c r="CY193" s="24"/>
      <c r="CZ193" s="24"/>
      <c r="DA193" s="24"/>
      <c r="DB193" s="30" t="str">
        <f t="shared" si="2323"/>
        <v/>
      </c>
      <c r="DC193" s="30" t="str">
        <f t="shared" si="2324"/>
        <v/>
      </c>
      <c r="DD193" s="30" t="str">
        <f t="shared" si="2325"/>
        <v/>
      </c>
      <c r="DE193" s="30" t="str">
        <f t="shared" si="2326"/>
        <v/>
      </c>
      <c r="DF193" s="30" t="str">
        <f t="shared" si="2327"/>
        <v/>
      </c>
      <c r="DG193" s="30" t="str">
        <f t="shared" si="2328"/>
        <v/>
      </c>
      <c r="DH193" s="30" t="str">
        <f t="shared" si="2329"/>
        <v/>
      </c>
      <c r="DI193" s="30" t="str">
        <f t="shared" si="2330"/>
        <v/>
      </c>
      <c r="DJ193" s="30" t="str">
        <f t="shared" si="2331"/>
        <v/>
      </c>
      <c r="DK193" s="30" t="str">
        <f t="shared" si="2332"/>
        <v/>
      </c>
      <c r="DL193" s="30" t="str">
        <f t="shared" si="2333"/>
        <v/>
      </c>
      <c r="DM193" s="30" t="str">
        <f t="shared" si="2334"/>
        <v/>
      </c>
      <c r="DN193" s="30" t="str">
        <f t="shared" si="2335"/>
        <v/>
      </c>
      <c r="DO193" s="30" t="str">
        <f t="shared" si="2336"/>
        <v/>
      </c>
      <c r="DP193" s="30" t="str">
        <f t="shared" si="2337"/>
        <v/>
      </c>
      <c r="DQ193" s="30" t="str">
        <f t="shared" si="2338"/>
        <v/>
      </c>
      <c r="DR193" s="30" t="str">
        <f t="shared" si="2339"/>
        <v/>
      </c>
      <c r="DS193" s="30" t="str">
        <f t="shared" si="2340"/>
        <v/>
      </c>
      <c r="DT193" s="30" t="str">
        <f t="shared" si="2341"/>
        <v/>
      </c>
      <c r="DU193" s="30" t="str">
        <f t="shared" si="2342"/>
        <v/>
      </c>
      <c r="DV193" s="30" t="str">
        <f t="shared" si="2343"/>
        <v/>
      </c>
      <c r="DW193" s="30" t="str">
        <f t="shared" si="2344"/>
        <v/>
      </c>
      <c r="DX193" s="30" t="str">
        <f t="shared" si="2345"/>
        <v/>
      </c>
      <c r="DY193" s="30" t="str">
        <f t="shared" si="2346"/>
        <v/>
      </c>
      <c r="DZ193" s="30" t="str">
        <f t="shared" si="2347"/>
        <v/>
      </c>
      <c r="EA193" s="30" t="str">
        <f t="shared" si="2348"/>
        <v/>
      </c>
      <c r="EB193" s="30" t="str">
        <f t="shared" si="2349"/>
        <v/>
      </c>
      <c r="EC193" s="30" t="str">
        <f t="shared" si="2350"/>
        <v/>
      </c>
      <c r="ED193" s="30" t="str">
        <f t="shared" si="2351"/>
        <v/>
      </c>
      <c r="EE193" s="30" t="str">
        <f t="shared" si="2352"/>
        <v/>
      </c>
      <c r="EF193" s="30" t="str">
        <f t="shared" si="2353"/>
        <v/>
      </c>
      <c r="EG193" s="30" t="str">
        <f t="shared" si="2354"/>
        <v/>
      </c>
      <c r="EH193" s="30" t="str">
        <f t="shared" si="2355"/>
        <v/>
      </c>
      <c r="EI193" s="30" t="str">
        <f t="shared" si="2356"/>
        <v/>
      </c>
      <c r="EJ193" s="30" t="str">
        <f t="shared" si="2357"/>
        <v/>
      </c>
      <c r="EK193" s="30" t="str">
        <f t="shared" si="2358"/>
        <v/>
      </c>
      <c r="EL193" s="30" t="str">
        <f t="shared" si="2359"/>
        <v/>
      </c>
      <c r="EM193" s="30" t="str">
        <f t="shared" si="2360"/>
        <v/>
      </c>
      <c r="EN193" s="30" t="str">
        <f t="shared" si="2361"/>
        <v/>
      </c>
      <c r="EO193" s="30" t="str">
        <f t="shared" si="2362"/>
        <v/>
      </c>
      <c r="EP193" s="30" t="str">
        <f t="shared" si="2363"/>
        <v/>
      </c>
      <c r="EQ193" s="30" t="str">
        <f t="shared" si="2364"/>
        <v/>
      </c>
      <c r="ER193" s="30" t="str">
        <f t="shared" si="2365"/>
        <v/>
      </c>
      <c r="ES193" s="30" t="str">
        <f t="shared" si="2366"/>
        <v/>
      </c>
      <c r="ET193" s="30" t="str">
        <f t="shared" si="2367"/>
        <v/>
      </c>
      <c r="EU193" s="30" t="str">
        <f t="shared" si="2368"/>
        <v/>
      </c>
      <c r="EV193" s="30" t="str">
        <f t="shared" si="2369"/>
        <v/>
      </c>
      <c r="EW193" s="30" t="str">
        <f t="shared" si="2370"/>
        <v/>
      </c>
      <c r="EX193" s="30" t="str">
        <f t="shared" si="2371"/>
        <v/>
      </c>
      <c r="EY193" s="30" t="str">
        <f t="shared" si="2372"/>
        <v/>
      </c>
      <c r="EZ193" s="30" t="str">
        <f t="shared" si="2373"/>
        <v/>
      </c>
      <c r="FA193" s="30" t="str">
        <f t="shared" si="2374"/>
        <v/>
      </c>
      <c r="FB193" s="30" t="str">
        <f t="shared" si="2375"/>
        <v/>
      </c>
      <c r="FC193" s="30" t="str">
        <f t="shared" si="2376"/>
        <v/>
      </c>
      <c r="FD193" s="30" t="str">
        <f t="shared" si="2377"/>
        <v/>
      </c>
      <c r="FE193" s="30" t="str">
        <f t="shared" si="2378"/>
        <v/>
      </c>
      <c r="FF193" s="30" t="str">
        <f t="shared" si="2379"/>
        <v/>
      </c>
      <c r="FG193" s="30" t="str">
        <f t="shared" si="2380"/>
        <v/>
      </c>
      <c r="FH193" s="30" t="str">
        <f t="shared" si="2381"/>
        <v/>
      </c>
      <c r="FI193" s="30" t="str">
        <f t="shared" si="2382"/>
        <v/>
      </c>
      <c r="FJ193" s="30" t="str">
        <f t="shared" si="2383"/>
        <v/>
      </c>
      <c r="FK193" s="30" t="str">
        <f t="shared" si="2384"/>
        <v/>
      </c>
      <c r="FL193" s="30" t="str">
        <f t="shared" si="2385"/>
        <v/>
      </c>
      <c r="FM193" s="30" t="str">
        <f t="shared" si="2386"/>
        <v/>
      </c>
      <c r="FN193" s="30" t="str">
        <f t="shared" si="2387"/>
        <v/>
      </c>
      <c r="FO193" s="30" t="str">
        <f t="shared" si="2388"/>
        <v/>
      </c>
      <c r="FP193" s="30" t="str">
        <f t="shared" si="2389"/>
        <v/>
      </c>
      <c r="FQ193" s="30" t="str">
        <f t="shared" si="2390"/>
        <v/>
      </c>
      <c r="FR193" s="30" t="str">
        <f t="shared" si="2391"/>
        <v/>
      </c>
      <c r="FS193" s="30" t="str">
        <f t="shared" si="2392"/>
        <v/>
      </c>
    </row>
    <row r="194" spans="1:175" ht="16.5">
      <c r="A194" s="5"/>
      <c r="B194" s="6"/>
      <c r="C194" s="5"/>
      <c r="E194" s="35"/>
      <c r="T194" s="105"/>
      <c r="U194" s="32"/>
      <c r="CU194" s="45" t="str">
        <f t="shared" si="2322"/>
        <v>|n</v>
      </c>
      <c r="CW194" s="24"/>
      <c r="CX194" s="24"/>
      <c r="CY194" s="24"/>
      <c r="CZ194" s="24"/>
      <c r="DA194" s="24"/>
      <c r="DB194" s="30" t="str">
        <f t="shared" si="2323"/>
        <v/>
      </c>
      <c r="DC194" s="30" t="str">
        <f t="shared" si="2324"/>
        <v/>
      </c>
      <c r="DD194" s="30" t="str">
        <f t="shared" si="2325"/>
        <v/>
      </c>
      <c r="DE194" s="30" t="str">
        <f t="shared" si="2326"/>
        <v/>
      </c>
      <c r="DF194" s="30" t="str">
        <f t="shared" si="2327"/>
        <v/>
      </c>
      <c r="DG194" s="30" t="str">
        <f t="shared" si="2328"/>
        <v/>
      </c>
      <c r="DH194" s="30" t="str">
        <f t="shared" si="2329"/>
        <v/>
      </c>
      <c r="DI194" s="30" t="str">
        <f t="shared" si="2330"/>
        <v/>
      </c>
      <c r="DJ194" s="30" t="str">
        <f t="shared" si="2331"/>
        <v/>
      </c>
      <c r="DK194" s="30" t="str">
        <f t="shared" si="2332"/>
        <v/>
      </c>
      <c r="DL194" s="30" t="str">
        <f t="shared" si="2333"/>
        <v/>
      </c>
      <c r="DM194" s="30" t="str">
        <f t="shared" si="2334"/>
        <v/>
      </c>
      <c r="DN194" s="30" t="str">
        <f t="shared" si="2335"/>
        <v/>
      </c>
      <c r="DO194" s="30" t="str">
        <f t="shared" si="2336"/>
        <v/>
      </c>
      <c r="DP194" s="30" t="str">
        <f t="shared" si="2337"/>
        <v/>
      </c>
      <c r="DQ194" s="30" t="str">
        <f t="shared" si="2338"/>
        <v/>
      </c>
      <c r="DR194" s="30" t="str">
        <f t="shared" si="2339"/>
        <v/>
      </c>
      <c r="DS194" s="30" t="str">
        <f t="shared" si="2340"/>
        <v/>
      </c>
      <c r="DT194" s="30" t="str">
        <f t="shared" si="2341"/>
        <v/>
      </c>
      <c r="DU194" s="30" t="str">
        <f t="shared" si="2342"/>
        <v/>
      </c>
      <c r="DV194" s="30" t="str">
        <f t="shared" si="2343"/>
        <v/>
      </c>
      <c r="DW194" s="30" t="str">
        <f t="shared" si="2344"/>
        <v/>
      </c>
      <c r="DX194" s="30" t="str">
        <f t="shared" si="2345"/>
        <v/>
      </c>
      <c r="DY194" s="30" t="str">
        <f t="shared" si="2346"/>
        <v/>
      </c>
      <c r="DZ194" s="30" t="str">
        <f t="shared" si="2347"/>
        <v/>
      </c>
      <c r="EA194" s="30" t="str">
        <f t="shared" si="2348"/>
        <v/>
      </c>
      <c r="EB194" s="30" t="str">
        <f t="shared" si="2349"/>
        <v/>
      </c>
      <c r="EC194" s="30" t="str">
        <f t="shared" si="2350"/>
        <v/>
      </c>
      <c r="ED194" s="30" t="str">
        <f t="shared" si="2351"/>
        <v/>
      </c>
      <c r="EE194" s="30" t="str">
        <f t="shared" si="2352"/>
        <v/>
      </c>
      <c r="EF194" s="30" t="str">
        <f t="shared" si="2353"/>
        <v/>
      </c>
      <c r="EG194" s="30" t="str">
        <f t="shared" si="2354"/>
        <v/>
      </c>
      <c r="EH194" s="30" t="str">
        <f t="shared" si="2355"/>
        <v/>
      </c>
      <c r="EI194" s="30" t="str">
        <f t="shared" si="2356"/>
        <v/>
      </c>
      <c r="EJ194" s="30" t="str">
        <f t="shared" si="2357"/>
        <v/>
      </c>
      <c r="EK194" s="30" t="str">
        <f t="shared" si="2358"/>
        <v/>
      </c>
      <c r="EL194" s="30" t="str">
        <f t="shared" si="2359"/>
        <v/>
      </c>
      <c r="EM194" s="30" t="str">
        <f t="shared" si="2360"/>
        <v/>
      </c>
      <c r="EN194" s="30" t="str">
        <f t="shared" si="2361"/>
        <v/>
      </c>
      <c r="EO194" s="30" t="str">
        <f t="shared" si="2362"/>
        <v/>
      </c>
      <c r="EP194" s="30" t="str">
        <f t="shared" si="2363"/>
        <v/>
      </c>
      <c r="EQ194" s="30" t="str">
        <f t="shared" si="2364"/>
        <v/>
      </c>
      <c r="ER194" s="30" t="str">
        <f t="shared" si="2365"/>
        <v/>
      </c>
      <c r="ES194" s="30" t="str">
        <f t="shared" si="2366"/>
        <v/>
      </c>
      <c r="ET194" s="30" t="str">
        <f t="shared" si="2367"/>
        <v/>
      </c>
      <c r="EU194" s="30" t="str">
        <f t="shared" si="2368"/>
        <v/>
      </c>
      <c r="EV194" s="30" t="str">
        <f t="shared" si="2369"/>
        <v/>
      </c>
      <c r="EW194" s="30" t="str">
        <f t="shared" si="2370"/>
        <v/>
      </c>
      <c r="EX194" s="30" t="str">
        <f t="shared" si="2371"/>
        <v/>
      </c>
      <c r="EY194" s="30" t="str">
        <f t="shared" si="2372"/>
        <v/>
      </c>
      <c r="EZ194" s="30" t="str">
        <f t="shared" si="2373"/>
        <v/>
      </c>
      <c r="FA194" s="30" t="str">
        <f t="shared" si="2374"/>
        <v/>
      </c>
      <c r="FB194" s="30" t="str">
        <f t="shared" si="2375"/>
        <v/>
      </c>
      <c r="FC194" s="30" t="str">
        <f t="shared" si="2376"/>
        <v/>
      </c>
      <c r="FD194" s="30" t="str">
        <f t="shared" si="2377"/>
        <v/>
      </c>
      <c r="FE194" s="30" t="str">
        <f t="shared" si="2378"/>
        <v/>
      </c>
      <c r="FF194" s="30" t="str">
        <f t="shared" si="2379"/>
        <v/>
      </c>
      <c r="FG194" s="30" t="str">
        <f t="shared" si="2380"/>
        <v/>
      </c>
      <c r="FH194" s="30" t="str">
        <f t="shared" si="2381"/>
        <v/>
      </c>
      <c r="FI194" s="30" t="str">
        <f t="shared" si="2382"/>
        <v/>
      </c>
      <c r="FJ194" s="30" t="str">
        <f t="shared" si="2383"/>
        <v/>
      </c>
      <c r="FK194" s="30" t="str">
        <f t="shared" si="2384"/>
        <v/>
      </c>
      <c r="FL194" s="30" t="str">
        <f t="shared" si="2385"/>
        <v/>
      </c>
      <c r="FM194" s="30" t="str">
        <f t="shared" si="2386"/>
        <v/>
      </c>
      <c r="FN194" s="30" t="str">
        <f t="shared" si="2387"/>
        <v/>
      </c>
      <c r="FO194" s="30" t="str">
        <f t="shared" si="2388"/>
        <v/>
      </c>
      <c r="FP194" s="30" t="str">
        <f t="shared" si="2389"/>
        <v/>
      </c>
      <c r="FQ194" s="30" t="str">
        <f t="shared" si="2390"/>
        <v/>
      </c>
      <c r="FR194" s="30" t="str">
        <f t="shared" si="2391"/>
        <v/>
      </c>
      <c r="FS194" s="30" t="str">
        <f t="shared" si="2392"/>
        <v/>
      </c>
    </row>
    <row r="195" spans="1:175" ht="16.5">
      <c r="A195" s="5"/>
      <c r="B195" s="6"/>
      <c r="C195" s="5"/>
      <c r="E195" s="35"/>
      <c r="T195" s="105"/>
      <c r="U195" s="32"/>
      <c r="CU195" s="45" t="str">
        <f t="shared" si="2322"/>
        <v>|n</v>
      </c>
      <c r="CW195" s="24"/>
      <c r="CX195" s="24"/>
      <c r="CY195" s="24"/>
      <c r="CZ195" s="24"/>
      <c r="DA195" s="24"/>
      <c r="DB195" s="30" t="str">
        <f t="shared" si="2323"/>
        <v/>
      </c>
      <c r="DC195" s="30" t="str">
        <f t="shared" si="2324"/>
        <v/>
      </c>
      <c r="DD195" s="30" t="str">
        <f t="shared" si="2325"/>
        <v/>
      </c>
      <c r="DE195" s="30" t="str">
        <f t="shared" si="2326"/>
        <v/>
      </c>
      <c r="DF195" s="30" t="str">
        <f t="shared" si="2327"/>
        <v/>
      </c>
      <c r="DG195" s="30" t="str">
        <f t="shared" si="2328"/>
        <v/>
      </c>
      <c r="DH195" s="30" t="str">
        <f t="shared" si="2329"/>
        <v/>
      </c>
      <c r="DI195" s="30" t="str">
        <f t="shared" si="2330"/>
        <v/>
      </c>
      <c r="DJ195" s="30" t="str">
        <f t="shared" si="2331"/>
        <v/>
      </c>
      <c r="DK195" s="30" t="str">
        <f t="shared" si="2332"/>
        <v/>
      </c>
      <c r="DL195" s="30" t="str">
        <f t="shared" si="2333"/>
        <v/>
      </c>
      <c r="DM195" s="30" t="str">
        <f t="shared" si="2334"/>
        <v/>
      </c>
      <c r="DN195" s="30" t="str">
        <f t="shared" si="2335"/>
        <v/>
      </c>
      <c r="DO195" s="30" t="str">
        <f t="shared" si="2336"/>
        <v/>
      </c>
      <c r="DP195" s="30" t="str">
        <f t="shared" si="2337"/>
        <v/>
      </c>
      <c r="DQ195" s="30" t="str">
        <f t="shared" si="2338"/>
        <v/>
      </c>
      <c r="DR195" s="30" t="str">
        <f t="shared" si="2339"/>
        <v/>
      </c>
      <c r="DS195" s="30" t="str">
        <f t="shared" si="2340"/>
        <v/>
      </c>
      <c r="DT195" s="30" t="str">
        <f t="shared" si="2341"/>
        <v/>
      </c>
      <c r="DU195" s="30" t="str">
        <f t="shared" si="2342"/>
        <v/>
      </c>
      <c r="DV195" s="30" t="str">
        <f t="shared" si="2343"/>
        <v/>
      </c>
      <c r="DW195" s="30" t="str">
        <f t="shared" si="2344"/>
        <v/>
      </c>
      <c r="DX195" s="30" t="str">
        <f t="shared" si="2345"/>
        <v/>
      </c>
      <c r="DY195" s="30" t="str">
        <f t="shared" si="2346"/>
        <v/>
      </c>
      <c r="DZ195" s="30" t="str">
        <f t="shared" si="2347"/>
        <v/>
      </c>
      <c r="EA195" s="30" t="str">
        <f t="shared" si="2348"/>
        <v/>
      </c>
      <c r="EB195" s="30" t="str">
        <f t="shared" si="2349"/>
        <v/>
      </c>
      <c r="EC195" s="30" t="str">
        <f t="shared" si="2350"/>
        <v/>
      </c>
      <c r="ED195" s="30" t="str">
        <f t="shared" si="2351"/>
        <v/>
      </c>
      <c r="EE195" s="30" t="str">
        <f t="shared" si="2352"/>
        <v/>
      </c>
      <c r="EF195" s="30" t="str">
        <f t="shared" si="2353"/>
        <v/>
      </c>
      <c r="EG195" s="30" t="str">
        <f t="shared" si="2354"/>
        <v/>
      </c>
      <c r="EH195" s="30" t="str">
        <f t="shared" si="2355"/>
        <v/>
      </c>
      <c r="EI195" s="30" t="str">
        <f t="shared" si="2356"/>
        <v/>
      </c>
      <c r="EJ195" s="30" t="str">
        <f t="shared" si="2357"/>
        <v/>
      </c>
      <c r="EK195" s="30" t="str">
        <f t="shared" si="2358"/>
        <v/>
      </c>
      <c r="EL195" s="30" t="str">
        <f t="shared" si="2359"/>
        <v/>
      </c>
      <c r="EM195" s="30" t="str">
        <f t="shared" si="2360"/>
        <v/>
      </c>
      <c r="EN195" s="30" t="str">
        <f t="shared" si="2361"/>
        <v/>
      </c>
      <c r="EO195" s="30" t="str">
        <f t="shared" si="2362"/>
        <v/>
      </c>
      <c r="EP195" s="30" t="str">
        <f t="shared" si="2363"/>
        <v/>
      </c>
      <c r="EQ195" s="30" t="str">
        <f t="shared" si="2364"/>
        <v/>
      </c>
      <c r="ER195" s="30" t="str">
        <f t="shared" si="2365"/>
        <v/>
      </c>
      <c r="ES195" s="30" t="str">
        <f t="shared" si="2366"/>
        <v/>
      </c>
      <c r="ET195" s="30" t="str">
        <f t="shared" si="2367"/>
        <v/>
      </c>
      <c r="EU195" s="30" t="str">
        <f t="shared" si="2368"/>
        <v/>
      </c>
      <c r="EV195" s="30" t="str">
        <f t="shared" si="2369"/>
        <v/>
      </c>
      <c r="EW195" s="30" t="str">
        <f t="shared" si="2370"/>
        <v/>
      </c>
      <c r="EX195" s="30" t="str">
        <f t="shared" si="2371"/>
        <v/>
      </c>
      <c r="EY195" s="30" t="str">
        <f t="shared" si="2372"/>
        <v/>
      </c>
      <c r="EZ195" s="30" t="str">
        <f t="shared" si="2373"/>
        <v/>
      </c>
      <c r="FA195" s="30" t="str">
        <f t="shared" si="2374"/>
        <v/>
      </c>
      <c r="FB195" s="30" t="str">
        <f t="shared" si="2375"/>
        <v/>
      </c>
      <c r="FC195" s="30" t="str">
        <f t="shared" si="2376"/>
        <v/>
      </c>
      <c r="FD195" s="30" t="str">
        <f t="shared" si="2377"/>
        <v/>
      </c>
      <c r="FE195" s="30" t="str">
        <f t="shared" si="2378"/>
        <v/>
      </c>
      <c r="FF195" s="30" t="str">
        <f t="shared" si="2379"/>
        <v/>
      </c>
      <c r="FG195" s="30" t="str">
        <f t="shared" si="2380"/>
        <v/>
      </c>
      <c r="FH195" s="30" t="str">
        <f t="shared" si="2381"/>
        <v/>
      </c>
      <c r="FI195" s="30" t="str">
        <f t="shared" si="2382"/>
        <v/>
      </c>
      <c r="FJ195" s="30" t="str">
        <f t="shared" si="2383"/>
        <v/>
      </c>
      <c r="FK195" s="30" t="str">
        <f t="shared" si="2384"/>
        <v/>
      </c>
      <c r="FL195" s="30" t="str">
        <f t="shared" si="2385"/>
        <v/>
      </c>
      <c r="FM195" s="30" t="str">
        <f t="shared" si="2386"/>
        <v/>
      </c>
      <c r="FN195" s="30" t="str">
        <f t="shared" si="2387"/>
        <v/>
      </c>
      <c r="FO195" s="30" t="str">
        <f t="shared" si="2388"/>
        <v/>
      </c>
      <c r="FP195" s="30" t="str">
        <f t="shared" si="2389"/>
        <v/>
      </c>
      <c r="FQ195" s="30" t="str">
        <f t="shared" si="2390"/>
        <v/>
      </c>
      <c r="FR195" s="30" t="str">
        <f t="shared" si="2391"/>
        <v/>
      </c>
      <c r="FS195" s="30" t="str">
        <f t="shared" si="2392"/>
        <v/>
      </c>
    </row>
    <row r="196" spans="1:175" ht="16.5">
      <c r="A196" s="5"/>
      <c r="B196" s="6"/>
      <c r="C196" s="5"/>
      <c r="E196" s="35"/>
      <c r="T196" s="105"/>
      <c r="U196" s="32"/>
      <c r="CU196" s="45" t="str">
        <f t="shared" si="2322"/>
        <v>|n</v>
      </c>
      <c r="CW196" s="24"/>
      <c r="CX196" s="24"/>
      <c r="CY196" s="24"/>
      <c r="CZ196" s="24"/>
      <c r="DA196" s="24"/>
      <c r="DB196" s="30" t="str">
        <f t="shared" si="2323"/>
        <v/>
      </c>
      <c r="DC196" s="30" t="str">
        <f t="shared" si="2324"/>
        <v/>
      </c>
      <c r="DD196" s="30" t="str">
        <f t="shared" si="2325"/>
        <v/>
      </c>
      <c r="DE196" s="30" t="str">
        <f t="shared" si="2326"/>
        <v/>
      </c>
      <c r="DF196" s="30" t="str">
        <f t="shared" si="2327"/>
        <v/>
      </c>
      <c r="DG196" s="30" t="str">
        <f t="shared" si="2328"/>
        <v/>
      </c>
      <c r="DH196" s="30" t="str">
        <f t="shared" si="2329"/>
        <v/>
      </c>
      <c r="DI196" s="30" t="str">
        <f t="shared" si="2330"/>
        <v/>
      </c>
      <c r="DJ196" s="30" t="str">
        <f t="shared" si="2331"/>
        <v/>
      </c>
      <c r="DK196" s="30" t="str">
        <f t="shared" si="2332"/>
        <v/>
      </c>
      <c r="DL196" s="30" t="str">
        <f t="shared" si="2333"/>
        <v/>
      </c>
      <c r="DM196" s="30" t="str">
        <f t="shared" si="2334"/>
        <v/>
      </c>
      <c r="DN196" s="30" t="str">
        <f t="shared" si="2335"/>
        <v/>
      </c>
      <c r="DO196" s="30" t="str">
        <f t="shared" si="2336"/>
        <v/>
      </c>
      <c r="DP196" s="30" t="str">
        <f t="shared" si="2337"/>
        <v/>
      </c>
      <c r="DQ196" s="30" t="str">
        <f t="shared" si="2338"/>
        <v/>
      </c>
      <c r="DR196" s="30" t="str">
        <f t="shared" si="2339"/>
        <v/>
      </c>
      <c r="DS196" s="30" t="str">
        <f t="shared" si="2340"/>
        <v/>
      </c>
      <c r="DT196" s="30" t="str">
        <f t="shared" si="2341"/>
        <v/>
      </c>
      <c r="DU196" s="30" t="str">
        <f t="shared" si="2342"/>
        <v/>
      </c>
      <c r="DV196" s="30" t="str">
        <f t="shared" si="2343"/>
        <v/>
      </c>
      <c r="DW196" s="30" t="str">
        <f t="shared" si="2344"/>
        <v/>
      </c>
      <c r="DX196" s="30" t="str">
        <f t="shared" si="2345"/>
        <v/>
      </c>
      <c r="DY196" s="30" t="str">
        <f t="shared" si="2346"/>
        <v/>
      </c>
      <c r="DZ196" s="30" t="str">
        <f t="shared" si="2347"/>
        <v/>
      </c>
      <c r="EA196" s="30" t="str">
        <f t="shared" si="2348"/>
        <v/>
      </c>
      <c r="EB196" s="30" t="str">
        <f t="shared" si="2349"/>
        <v/>
      </c>
      <c r="EC196" s="30" t="str">
        <f t="shared" si="2350"/>
        <v/>
      </c>
      <c r="ED196" s="30" t="str">
        <f t="shared" si="2351"/>
        <v/>
      </c>
      <c r="EE196" s="30" t="str">
        <f t="shared" si="2352"/>
        <v/>
      </c>
      <c r="EF196" s="30" t="str">
        <f t="shared" si="2353"/>
        <v/>
      </c>
      <c r="EG196" s="30" t="str">
        <f t="shared" si="2354"/>
        <v/>
      </c>
      <c r="EH196" s="30" t="str">
        <f t="shared" si="2355"/>
        <v/>
      </c>
      <c r="EI196" s="30" t="str">
        <f t="shared" si="2356"/>
        <v/>
      </c>
      <c r="EJ196" s="30" t="str">
        <f t="shared" si="2357"/>
        <v/>
      </c>
      <c r="EK196" s="30" t="str">
        <f t="shared" si="2358"/>
        <v/>
      </c>
      <c r="EL196" s="30" t="str">
        <f t="shared" si="2359"/>
        <v/>
      </c>
      <c r="EM196" s="30" t="str">
        <f t="shared" si="2360"/>
        <v/>
      </c>
      <c r="EN196" s="30" t="str">
        <f t="shared" si="2361"/>
        <v/>
      </c>
      <c r="EO196" s="30" t="str">
        <f t="shared" si="2362"/>
        <v/>
      </c>
      <c r="EP196" s="30" t="str">
        <f t="shared" si="2363"/>
        <v/>
      </c>
      <c r="EQ196" s="30" t="str">
        <f t="shared" si="2364"/>
        <v/>
      </c>
      <c r="ER196" s="30" t="str">
        <f t="shared" si="2365"/>
        <v/>
      </c>
      <c r="ES196" s="30" t="str">
        <f t="shared" si="2366"/>
        <v/>
      </c>
      <c r="ET196" s="30" t="str">
        <f t="shared" si="2367"/>
        <v/>
      </c>
      <c r="EU196" s="30" t="str">
        <f t="shared" si="2368"/>
        <v/>
      </c>
      <c r="EV196" s="30" t="str">
        <f t="shared" si="2369"/>
        <v/>
      </c>
      <c r="EW196" s="30" t="str">
        <f t="shared" si="2370"/>
        <v/>
      </c>
      <c r="EX196" s="30" t="str">
        <f t="shared" si="2371"/>
        <v/>
      </c>
      <c r="EY196" s="30" t="str">
        <f t="shared" si="2372"/>
        <v/>
      </c>
      <c r="EZ196" s="30" t="str">
        <f t="shared" si="2373"/>
        <v/>
      </c>
      <c r="FA196" s="30" t="str">
        <f t="shared" si="2374"/>
        <v/>
      </c>
      <c r="FB196" s="30" t="str">
        <f t="shared" si="2375"/>
        <v/>
      </c>
      <c r="FC196" s="30" t="str">
        <f t="shared" si="2376"/>
        <v/>
      </c>
      <c r="FD196" s="30" t="str">
        <f t="shared" si="2377"/>
        <v/>
      </c>
      <c r="FE196" s="30" t="str">
        <f t="shared" si="2378"/>
        <v/>
      </c>
      <c r="FF196" s="30" t="str">
        <f t="shared" si="2379"/>
        <v/>
      </c>
      <c r="FG196" s="30" t="str">
        <f t="shared" si="2380"/>
        <v/>
      </c>
      <c r="FH196" s="30" t="str">
        <f t="shared" si="2381"/>
        <v/>
      </c>
      <c r="FI196" s="30" t="str">
        <f t="shared" si="2382"/>
        <v/>
      </c>
      <c r="FJ196" s="30" t="str">
        <f t="shared" si="2383"/>
        <v/>
      </c>
      <c r="FK196" s="30" t="str">
        <f t="shared" si="2384"/>
        <v/>
      </c>
      <c r="FL196" s="30" t="str">
        <f t="shared" si="2385"/>
        <v/>
      </c>
      <c r="FM196" s="30" t="str">
        <f t="shared" si="2386"/>
        <v/>
      </c>
      <c r="FN196" s="30" t="str">
        <f t="shared" si="2387"/>
        <v/>
      </c>
      <c r="FO196" s="30" t="str">
        <f t="shared" si="2388"/>
        <v/>
      </c>
      <c r="FP196" s="30" t="str">
        <f t="shared" si="2389"/>
        <v/>
      </c>
      <c r="FQ196" s="30" t="str">
        <f t="shared" si="2390"/>
        <v/>
      </c>
      <c r="FR196" s="30" t="str">
        <f t="shared" si="2391"/>
        <v/>
      </c>
      <c r="FS196" s="30" t="str">
        <f t="shared" si="2392"/>
        <v/>
      </c>
    </row>
    <row r="197" spans="1:175" ht="16.5">
      <c r="A197" s="5"/>
      <c r="B197" s="6"/>
      <c r="C197" s="5"/>
      <c r="E197" s="35"/>
      <c r="T197" s="105"/>
      <c r="U197" s="32"/>
      <c r="CU197" s="45" t="str">
        <f t="shared" si="2322"/>
        <v>|n</v>
      </c>
      <c r="CW197" s="24"/>
      <c r="CX197" s="24"/>
      <c r="CY197" s="24"/>
      <c r="CZ197" s="24"/>
      <c r="DA197" s="24"/>
      <c r="DB197" s="30" t="str">
        <f t="shared" si="2323"/>
        <v/>
      </c>
      <c r="DC197" s="30" t="str">
        <f t="shared" si="2324"/>
        <v/>
      </c>
      <c r="DD197" s="30" t="str">
        <f t="shared" si="2325"/>
        <v/>
      </c>
      <c r="DE197" s="30" t="str">
        <f t="shared" si="2326"/>
        <v/>
      </c>
      <c r="DF197" s="30" t="str">
        <f t="shared" si="2327"/>
        <v/>
      </c>
      <c r="DG197" s="30" t="str">
        <f t="shared" si="2328"/>
        <v/>
      </c>
      <c r="DH197" s="30" t="str">
        <f t="shared" si="2329"/>
        <v/>
      </c>
      <c r="DI197" s="30" t="str">
        <f t="shared" si="2330"/>
        <v/>
      </c>
      <c r="DJ197" s="30" t="str">
        <f t="shared" si="2331"/>
        <v/>
      </c>
      <c r="DK197" s="30" t="str">
        <f t="shared" si="2332"/>
        <v/>
      </c>
      <c r="DL197" s="30" t="str">
        <f t="shared" si="2333"/>
        <v/>
      </c>
      <c r="DM197" s="30" t="str">
        <f t="shared" si="2334"/>
        <v/>
      </c>
      <c r="DN197" s="30" t="str">
        <f t="shared" si="2335"/>
        <v/>
      </c>
      <c r="DO197" s="30" t="str">
        <f t="shared" si="2336"/>
        <v/>
      </c>
      <c r="DP197" s="30" t="str">
        <f t="shared" si="2337"/>
        <v/>
      </c>
      <c r="DQ197" s="30" t="str">
        <f t="shared" si="2338"/>
        <v/>
      </c>
      <c r="DR197" s="30" t="str">
        <f t="shared" si="2339"/>
        <v/>
      </c>
      <c r="DS197" s="30" t="str">
        <f t="shared" si="2340"/>
        <v/>
      </c>
      <c r="DT197" s="30" t="str">
        <f t="shared" si="2341"/>
        <v/>
      </c>
      <c r="DU197" s="30" t="str">
        <f t="shared" si="2342"/>
        <v/>
      </c>
      <c r="DV197" s="30" t="str">
        <f t="shared" si="2343"/>
        <v/>
      </c>
      <c r="DW197" s="30" t="str">
        <f t="shared" si="2344"/>
        <v/>
      </c>
      <c r="DX197" s="30" t="str">
        <f t="shared" si="2345"/>
        <v/>
      </c>
      <c r="DY197" s="30" t="str">
        <f t="shared" si="2346"/>
        <v/>
      </c>
      <c r="DZ197" s="30" t="str">
        <f t="shared" si="2347"/>
        <v/>
      </c>
      <c r="EA197" s="30" t="str">
        <f t="shared" si="2348"/>
        <v/>
      </c>
      <c r="EB197" s="30" t="str">
        <f t="shared" si="2349"/>
        <v/>
      </c>
      <c r="EC197" s="30" t="str">
        <f t="shared" si="2350"/>
        <v/>
      </c>
      <c r="ED197" s="30" t="str">
        <f t="shared" si="2351"/>
        <v/>
      </c>
      <c r="EE197" s="30" t="str">
        <f t="shared" si="2352"/>
        <v/>
      </c>
      <c r="EF197" s="30" t="str">
        <f t="shared" si="2353"/>
        <v/>
      </c>
      <c r="EG197" s="30" t="str">
        <f t="shared" si="2354"/>
        <v/>
      </c>
      <c r="EH197" s="30" t="str">
        <f t="shared" si="2355"/>
        <v/>
      </c>
      <c r="EI197" s="30" t="str">
        <f t="shared" si="2356"/>
        <v/>
      </c>
      <c r="EJ197" s="30" t="str">
        <f t="shared" si="2357"/>
        <v/>
      </c>
      <c r="EK197" s="30" t="str">
        <f t="shared" si="2358"/>
        <v/>
      </c>
      <c r="EL197" s="30" t="str">
        <f t="shared" si="2359"/>
        <v/>
      </c>
      <c r="EM197" s="30" t="str">
        <f t="shared" si="2360"/>
        <v/>
      </c>
      <c r="EN197" s="30" t="str">
        <f t="shared" si="2361"/>
        <v/>
      </c>
      <c r="EO197" s="30" t="str">
        <f t="shared" si="2362"/>
        <v/>
      </c>
      <c r="EP197" s="30" t="str">
        <f t="shared" si="2363"/>
        <v/>
      </c>
      <c r="EQ197" s="30" t="str">
        <f t="shared" si="2364"/>
        <v/>
      </c>
      <c r="ER197" s="30" t="str">
        <f t="shared" si="2365"/>
        <v/>
      </c>
      <c r="ES197" s="30" t="str">
        <f t="shared" si="2366"/>
        <v/>
      </c>
      <c r="ET197" s="30" t="str">
        <f t="shared" si="2367"/>
        <v/>
      </c>
      <c r="EU197" s="30" t="str">
        <f t="shared" si="2368"/>
        <v/>
      </c>
      <c r="EV197" s="30" t="str">
        <f t="shared" si="2369"/>
        <v/>
      </c>
      <c r="EW197" s="30" t="str">
        <f t="shared" si="2370"/>
        <v/>
      </c>
      <c r="EX197" s="30" t="str">
        <f t="shared" si="2371"/>
        <v/>
      </c>
      <c r="EY197" s="30" t="str">
        <f t="shared" si="2372"/>
        <v/>
      </c>
      <c r="EZ197" s="30" t="str">
        <f t="shared" si="2373"/>
        <v/>
      </c>
      <c r="FA197" s="30" t="str">
        <f t="shared" si="2374"/>
        <v/>
      </c>
      <c r="FB197" s="30" t="str">
        <f t="shared" si="2375"/>
        <v/>
      </c>
      <c r="FC197" s="30" t="str">
        <f t="shared" si="2376"/>
        <v/>
      </c>
      <c r="FD197" s="30" t="str">
        <f t="shared" si="2377"/>
        <v/>
      </c>
      <c r="FE197" s="30" t="str">
        <f t="shared" si="2378"/>
        <v/>
      </c>
      <c r="FF197" s="30" t="str">
        <f t="shared" si="2379"/>
        <v/>
      </c>
      <c r="FG197" s="30" t="str">
        <f t="shared" si="2380"/>
        <v/>
      </c>
      <c r="FH197" s="30" t="str">
        <f t="shared" si="2381"/>
        <v/>
      </c>
      <c r="FI197" s="30" t="str">
        <f t="shared" si="2382"/>
        <v/>
      </c>
      <c r="FJ197" s="30" t="str">
        <f t="shared" si="2383"/>
        <v/>
      </c>
      <c r="FK197" s="30" t="str">
        <f t="shared" si="2384"/>
        <v/>
      </c>
      <c r="FL197" s="30" t="str">
        <f t="shared" si="2385"/>
        <v/>
      </c>
      <c r="FM197" s="30" t="str">
        <f t="shared" si="2386"/>
        <v/>
      </c>
      <c r="FN197" s="30" t="str">
        <f t="shared" si="2387"/>
        <v/>
      </c>
      <c r="FO197" s="30" t="str">
        <f t="shared" si="2388"/>
        <v/>
      </c>
      <c r="FP197" s="30" t="str">
        <f t="shared" si="2389"/>
        <v/>
      </c>
      <c r="FQ197" s="30" t="str">
        <f t="shared" si="2390"/>
        <v/>
      </c>
      <c r="FR197" s="30" t="str">
        <f t="shared" si="2391"/>
        <v/>
      </c>
      <c r="FS197" s="30" t="str">
        <f t="shared" si="2392"/>
        <v/>
      </c>
    </row>
    <row r="198" spans="1:175" ht="16.5">
      <c r="A198" s="5"/>
      <c r="B198" s="6"/>
      <c r="C198" s="5"/>
      <c r="E198" s="35"/>
      <c r="T198" s="105"/>
      <c r="U198" s="32"/>
      <c r="CU198" s="45" t="str">
        <f t="shared" si="2322"/>
        <v>|n</v>
      </c>
      <c r="CW198" s="24"/>
      <c r="CX198" s="24"/>
      <c r="CY198" s="24"/>
      <c r="CZ198" s="24"/>
      <c r="DA198" s="24"/>
      <c r="DB198" s="30" t="str">
        <f t="shared" si="2323"/>
        <v/>
      </c>
      <c r="DC198" s="30" t="str">
        <f t="shared" si="2324"/>
        <v/>
      </c>
      <c r="DD198" s="30" t="str">
        <f t="shared" si="2325"/>
        <v/>
      </c>
      <c r="DE198" s="30" t="str">
        <f t="shared" si="2326"/>
        <v/>
      </c>
      <c r="DF198" s="30" t="str">
        <f t="shared" si="2327"/>
        <v/>
      </c>
      <c r="DG198" s="30" t="str">
        <f t="shared" si="2328"/>
        <v/>
      </c>
      <c r="DH198" s="30" t="str">
        <f t="shared" si="2329"/>
        <v/>
      </c>
      <c r="DI198" s="30" t="str">
        <f t="shared" si="2330"/>
        <v/>
      </c>
      <c r="DJ198" s="30" t="str">
        <f t="shared" si="2331"/>
        <v/>
      </c>
      <c r="DK198" s="30" t="str">
        <f t="shared" si="2332"/>
        <v/>
      </c>
      <c r="DL198" s="30" t="str">
        <f t="shared" si="2333"/>
        <v/>
      </c>
      <c r="DM198" s="30" t="str">
        <f t="shared" si="2334"/>
        <v/>
      </c>
      <c r="DN198" s="30" t="str">
        <f t="shared" si="2335"/>
        <v/>
      </c>
      <c r="DO198" s="30" t="str">
        <f t="shared" si="2336"/>
        <v/>
      </c>
      <c r="DP198" s="30" t="str">
        <f t="shared" si="2337"/>
        <v/>
      </c>
      <c r="DQ198" s="30" t="str">
        <f t="shared" si="2338"/>
        <v/>
      </c>
      <c r="DR198" s="30" t="str">
        <f t="shared" si="2339"/>
        <v/>
      </c>
      <c r="DS198" s="30" t="str">
        <f t="shared" si="2340"/>
        <v/>
      </c>
      <c r="DT198" s="30" t="str">
        <f t="shared" si="2341"/>
        <v/>
      </c>
      <c r="DU198" s="30" t="str">
        <f t="shared" si="2342"/>
        <v/>
      </c>
      <c r="DV198" s="30" t="str">
        <f t="shared" si="2343"/>
        <v/>
      </c>
      <c r="DW198" s="30" t="str">
        <f t="shared" si="2344"/>
        <v/>
      </c>
      <c r="DX198" s="30" t="str">
        <f t="shared" si="2345"/>
        <v/>
      </c>
      <c r="DY198" s="30" t="str">
        <f t="shared" si="2346"/>
        <v/>
      </c>
      <c r="DZ198" s="30" t="str">
        <f t="shared" si="2347"/>
        <v/>
      </c>
      <c r="EA198" s="30" t="str">
        <f t="shared" si="2348"/>
        <v/>
      </c>
      <c r="EB198" s="30" t="str">
        <f t="shared" si="2349"/>
        <v/>
      </c>
      <c r="EC198" s="30" t="str">
        <f t="shared" si="2350"/>
        <v/>
      </c>
      <c r="ED198" s="30" t="str">
        <f t="shared" si="2351"/>
        <v/>
      </c>
      <c r="EE198" s="30" t="str">
        <f t="shared" si="2352"/>
        <v/>
      </c>
      <c r="EF198" s="30" t="str">
        <f t="shared" si="2353"/>
        <v/>
      </c>
      <c r="EG198" s="30" t="str">
        <f t="shared" si="2354"/>
        <v/>
      </c>
      <c r="EH198" s="30" t="str">
        <f t="shared" si="2355"/>
        <v/>
      </c>
      <c r="EI198" s="30" t="str">
        <f t="shared" si="2356"/>
        <v/>
      </c>
      <c r="EJ198" s="30" t="str">
        <f t="shared" si="2357"/>
        <v/>
      </c>
      <c r="EK198" s="30" t="str">
        <f t="shared" si="2358"/>
        <v/>
      </c>
      <c r="EL198" s="30" t="str">
        <f t="shared" si="2359"/>
        <v/>
      </c>
      <c r="EM198" s="30" t="str">
        <f t="shared" si="2360"/>
        <v/>
      </c>
      <c r="EN198" s="30" t="str">
        <f t="shared" si="2361"/>
        <v/>
      </c>
      <c r="EO198" s="30" t="str">
        <f t="shared" si="2362"/>
        <v/>
      </c>
      <c r="EP198" s="30" t="str">
        <f t="shared" si="2363"/>
        <v/>
      </c>
      <c r="EQ198" s="30" t="str">
        <f t="shared" si="2364"/>
        <v/>
      </c>
      <c r="ER198" s="30" t="str">
        <f t="shared" si="2365"/>
        <v/>
      </c>
      <c r="ES198" s="30" t="str">
        <f t="shared" si="2366"/>
        <v/>
      </c>
      <c r="ET198" s="30" t="str">
        <f t="shared" si="2367"/>
        <v/>
      </c>
      <c r="EU198" s="30" t="str">
        <f t="shared" si="2368"/>
        <v/>
      </c>
      <c r="EV198" s="30" t="str">
        <f t="shared" si="2369"/>
        <v/>
      </c>
      <c r="EW198" s="30" t="str">
        <f t="shared" si="2370"/>
        <v/>
      </c>
      <c r="EX198" s="30" t="str">
        <f t="shared" si="2371"/>
        <v/>
      </c>
      <c r="EY198" s="30" t="str">
        <f t="shared" si="2372"/>
        <v/>
      </c>
      <c r="EZ198" s="30" t="str">
        <f t="shared" si="2373"/>
        <v/>
      </c>
      <c r="FA198" s="30" t="str">
        <f t="shared" si="2374"/>
        <v/>
      </c>
      <c r="FB198" s="30" t="str">
        <f t="shared" si="2375"/>
        <v/>
      </c>
      <c r="FC198" s="30" t="str">
        <f t="shared" si="2376"/>
        <v/>
      </c>
      <c r="FD198" s="30" t="str">
        <f t="shared" si="2377"/>
        <v/>
      </c>
      <c r="FE198" s="30" t="str">
        <f t="shared" si="2378"/>
        <v/>
      </c>
      <c r="FF198" s="30" t="str">
        <f t="shared" si="2379"/>
        <v/>
      </c>
      <c r="FG198" s="30" t="str">
        <f t="shared" si="2380"/>
        <v/>
      </c>
      <c r="FH198" s="30" t="str">
        <f t="shared" si="2381"/>
        <v/>
      </c>
      <c r="FI198" s="30" t="str">
        <f t="shared" si="2382"/>
        <v/>
      </c>
      <c r="FJ198" s="30" t="str">
        <f t="shared" si="2383"/>
        <v/>
      </c>
      <c r="FK198" s="30" t="str">
        <f t="shared" si="2384"/>
        <v/>
      </c>
      <c r="FL198" s="30" t="str">
        <f t="shared" si="2385"/>
        <v/>
      </c>
      <c r="FM198" s="30" t="str">
        <f t="shared" si="2386"/>
        <v/>
      </c>
      <c r="FN198" s="30" t="str">
        <f t="shared" si="2387"/>
        <v/>
      </c>
      <c r="FO198" s="30" t="str">
        <f t="shared" si="2388"/>
        <v/>
      </c>
      <c r="FP198" s="30" t="str">
        <f t="shared" si="2389"/>
        <v/>
      </c>
      <c r="FQ198" s="30" t="str">
        <f t="shared" si="2390"/>
        <v/>
      </c>
      <c r="FR198" s="30" t="str">
        <f t="shared" si="2391"/>
        <v/>
      </c>
      <c r="FS198" s="30" t="str">
        <f t="shared" si="2392"/>
        <v/>
      </c>
    </row>
    <row r="199" spans="1:175" ht="16.5">
      <c r="A199" s="5"/>
      <c r="B199" s="6"/>
      <c r="C199" s="5"/>
      <c r="E199" s="35"/>
      <c r="T199" s="105"/>
      <c r="U199" s="32"/>
      <c r="CU199" s="45" t="str">
        <f t="shared" si="2322"/>
        <v>|n</v>
      </c>
      <c r="CW199" s="24"/>
      <c r="CX199" s="24"/>
      <c r="CY199" s="24"/>
      <c r="CZ199" s="24"/>
      <c r="DA199" s="24"/>
      <c r="DB199" s="30" t="str">
        <f t="shared" si="2323"/>
        <v/>
      </c>
      <c r="DC199" s="30" t="str">
        <f t="shared" si="2324"/>
        <v/>
      </c>
      <c r="DD199" s="30" t="str">
        <f t="shared" si="2325"/>
        <v/>
      </c>
      <c r="DE199" s="30" t="str">
        <f t="shared" si="2326"/>
        <v/>
      </c>
      <c r="DF199" s="30" t="str">
        <f t="shared" si="2327"/>
        <v/>
      </c>
      <c r="DG199" s="30" t="str">
        <f t="shared" si="2328"/>
        <v/>
      </c>
      <c r="DH199" s="30" t="str">
        <f t="shared" si="2329"/>
        <v/>
      </c>
      <c r="DI199" s="30" t="str">
        <f t="shared" si="2330"/>
        <v/>
      </c>
      <c r="DJ199" s="30" t="str">
        <f t="shared" si="2331"/>
        <v/>
      </c>
      <c r="DK199" s="30" t="str">
        <f t="shared" si="2332"/>
        <v/>
      </c>
      <c r="DL199" s="30" t="str">
        <f t="shared" si="2333"/>
        <v/>
      </c>
      <c r="DM199" s="30" t="str">
        <f t="shared" si="2334"/>
        <v/>
      </c>
      <c r="DN199" s="30" t="str">
        <f t="shared" si="2335"/>
        <v/>
      </c>
      <c r="DO199" s="30" t="str">
        <f t="shared" si="2336"/>
        <v/>
      </c>
      <c r="DP199" s="30" t="str">
        <f t="shared" si="2337"/>
        <v/>
      </c>
      <c r="DQ199" s="30" t="str">
        <f t="shared" si="2338"/>
        <v/>
      </c>
      <c r="DR199" s="30" t="str">
        <f t="shared" si="2339"/>
        <v/>
      </c>
      <c r="DS199" s="30" t="str">
        <f t="shared" si="2340"/>
        <v/>
      </c>
      <c r="DT199" s="30" t="str">
        <f t="shared" si="2341"/>
        <v/>
      </c>
      <c r="DU199" s="30" t="str">
        <f t="shared" si="2342"/>
        <v/>
      </c>
      <c r="DV199" s="30" t="str">
        <f t="shared" si="2343"/>
        <v/>
      </c>
      <c r="DW199" s="30" t="str">
        <f t="shared" si="2344"/>
        <v/>
      </c>
      <c r="DX199" s="30" t="str">
        <f t="shared" si="2345"/>
        <v/>
      </c>
      <c r="DY199" s="30" t="str">
        <f t="shared" si="2346"/>
        <v/>
      </c>
      <c r="DZ199" s="30" t="str">
        <f t="shared" si="2347"/>
        <v/>
      </c>
      <c r="EA199" s="30" t="str">
        <f t="shared" si="2348"/>
        <v/>
      </c>
      <c r="EB199" s="30" t="str">
        <f t="shared" si="2349"/>
        <v/>
      </c>
      <c r="EC199" s="30" t="str">
        <f t="shared" si="2350"/>
        <v/>
      </c>
      <c r="ED199" s="30" t="str">
        <f t="shared" si="2351"/>
        <v/>
      </c>
      <c r="EE199" s="30" t="str">
        <f t="shared" si="2352"/>
        <v/>
      </c>
      <c r="EF199" s="30" t="str">
        <f t="shared" si="2353"/>
        <v/>
      </c>
      <c r="EG199" s="30" t="str">
        <f t="shared" si="2354"/>
        <v/>
      </c>
      <c r="EH199" s="30" t="str">
        <f t="shared" si="2355"/>
        <v/>
      </c>
      <c r="EI199" s="30" t="str">
        <f t="shared" si="2356"/>
        <v/>
      </c>
      <c r="EJ199" s="30" t="str">
        <f t="shared" si="2357"/>
        <v/>
      </c>
      <c r="EK199" s="30" t="str">
        <f t="shared" si="2358"/>
        <v/>
      </c>
      <c r="EL199" s="30" t="str">
        <f t="shared" si="2359"/>
        <v/>
      </c>
      <c r="EM199" s="30" t="str">
        <f t="shared" si="2360"/>
        <v/>
      </c>
      <c r="EN199" s="30" t="str">
        <f t="shared" si="2361"/>
        <v/>
      </c>
      <c r="EO199" s="30" t="str">
        <f t="shared" si="2362"/>
        <v/>
      </c>
      <c r="EP199" s="30" t="str">
        <f t="shared" si="2363"/>
        <v/>
      </c>
      <c r="EQ199" s="30" t="str">
        <f t="shared" si="2364"/>
        <v/>
      </c>
      <c r="ER199" s="30" t="str">
        <f t="shared" si="2365"/>
        <v/>
      </c>
      <c r="ES199" s="30" t="str">
        <f t="shared" si="2366"/>
        <v/>
      </c>
      <c r="ET199" s="30" t="str">
        <f t="shared" si="2367"/>
        <v/>
      </c>
      <c r="EU199" s="30" t="str">
        <f t="shared" si="2368"/>
        <v/>
      </c>
      <c r="EV199" s="30" t="str">
        <f t="shared" si="2369"/>
        <v/>
      </c>
      <c r="EW199" s="30" t="str">
        <f t="shared" si="2370"/>
        <v/>
      </c>
      <c r="EX199" s="30" t="str">
        <f t="shared" si="2371"/>
        <v/>
      </c>
      <c r="EY199" s="30" t="str">
        <f t="shared" si="2372"/>
        <v/>
      </c>
      <c r="EZ199" s="30" t="str">
        <f t="shared" si="2373"/>
        <v/>
      </c>
      <c r="FA199" s="30" t="str">
        <f t="shared" si="2374"/>
        <v/>
      </c>
      <c r="FB199" s="30" t="str">
        <f t="shared" si="2375"/>
        <v/>
      </c>
      <c r="FC199" s="30" t="str">
        <f t="shared" si="2376"/>
        <v/>
      </c>
      <c r="FD199" s="30" t="str">
        <f t="shared" si="2377"/>
        <v/>
      </c>
      <c r="FE199" s="30" t="str">
        <f t="shared" si="2378"/>
        <v/>
      </c>
      <c r="FF199" s="30" t="str">
        <f t="shared" si="2379"/>
        <v/>
      </c>
      <c r="FG199" s="30" t="str">
        <f t="shared" si="2380"/>
        <v/>
      </c>
      <c r="FH199" s="30" t="str">
        <f t="shared" si="2381"/>
        <v/>
      </c>
      <c r="FI199" s="30" t="str">
        <f t="shared" si="2382"/>
        <v/>
      </c>
      <c r="FJ199" s="30" t="str">
        <f t="shared" si="2383"/>
        <v/>
      </c>
      <c r="FK199" s="30" t="str">
        <f t="shared" si="2384"/>
        <v/>
      </c>
      <c r="FL199" s="30" t="str">
        <f t="shared" si="2385"/>
        <v/>
      </c>
      <c r="FM199" s="30" t="str">
        <f t="shared" si="2386"/>
        <v/>
      </c>
      <c r="FN199" s="30" t="str">
        <f t="shared" si="2387"/>
        <v/>
      </c>
      <c r="FO199" s="30" t="str">
        <f t="shared" si="2388"/>
        <v/>
      </c>
      <c r="FP199" s="30" t="str">
        <f t="shared" si="2389"/>
        <v/>
      </c>
      <c r="FQ199" s="30" t="str">
        <f t="shared" si="2390"/>
        <v/>
      </c>
      <c r="FR199" s="30" t="str">
        <f t="shared" si="2391"/>
        <v/>
      </c>
      <c r="FS199" s="30" t="str">
        <f t="shared" si="2392"/>
        <v/>
      </c>
    </row>
    <row r="200" spans="1:175">
      <c r="CN200" s="7" t="str">
        <f t="shared" ref="CN200:CN231" si="2393">"InitUnitState('"&amp;B200&amp;"',"&amp;V200&amp;","&amp;W200&amp;","&amp;X200&amp;","&amp;Y200&amp;","&amp;Z200&amp;","&amp;AA200&amp;","&amp;AB200&amp;","&amp;AC200&amp;","&amp;AD200&amp;","&amp;AE200&amp;")"</f>
        <v>InitUnitState('',,,,,,,,,,)</v>
      </c>
      <c r="CO200" s="7" t="str">
        <f t="shared" ref="CO200:CO231" si="2394">"InitUnitNormal('"&amp;B200&amp;"',"&amp;AF200&amp;","&amp;AG200&amp;","&amp;AH200&amp;","&amp;AI200&amp;","&amp;AJ200&amp;","&amp;AK200&amp;","&amp;AL200&amp;","&amp;AM200&amp;","&amp;AN200&amp;","&amp;AO200&amp;")"</f>
        <v>InitUnitNormal('',,,,,,,,,,)</v>
      </c>
      <c r="CP200" s="7" t="str">
        <f t="shared" ref="CP200:CP231" si="2395">"InitUnitMagic('"&amp;B200&amp;"',"&amp;AP200&amp;","&amp;AQ200&amp;","&amp;AR200&amp;","&amp;AS200&amp;","&amp;AT200&amp;","&amp;AU200&amp;","&amp;AV200&amp;","&amp;AW200&amp;","&amp;BI200&amp;","&amp;BJ200&amp;")"</f>
        <v>InitUnitMagic('',,,,,,,,,,)</v>
      </c>
      <c r="CQ200" s="7" t="str">
        <f t="shared" ref="CQ200:CQ231" si="2396">"InitUnitAdd('"&amp;B200&amp;"',"&amp;BK200&amp;","&amp;BL200&amp;","&amp;BM200&amp;","&amp;BN200&amp;","&amp;BO200&amp;","&amp;BP200&amp;","&amp;BQ200&amp;","&amp;BR200&amp;","&amp;BS200&amp;","&amp;BT200&amp;")"</f>
        <v>InitUnitAdd('',,,,,,,,,,)</v>
      </c>
      <c r="CR200" s="7" t="str">
        <f t="shared" ref="CR200:CR231" si="2397"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U201&amp;CR$1&amp;")"</f>
        <v>InitEquipData('',,"",,,,,'','','','','','',"")</v>
      </c>
      <c r="CU200" s="29" t="str">
        <f t="shared" ref="CU200:CU212" si="2398">CONCATENATE(DB200,DC200,DD200,DE200,DF200,DG200,DH200,DI200,DJ200,DK200,DL200,DM200,DN200,DO200,DP200,DQ200,DR200,DS200,DT200,DU200,DV200,DW200,DX200,DY200,DZ200,EA200,EB200,EC200,ED200,EE200,EF200,EG200,EH200,EI200,EJ200,EK200,EL200,EM200,EN200,EO200,EP200&amp;"|n")</f>
        <v>|n</v>
      </c>
      <c r="CW200" s="24"/>
      <c r="CX200" s="24"/>
      <c r="CY200" s="24"/>
      <c r="CZ200" s="24"/>
      <c r="DA200" s="24"/>
      <c r="DB200" s="30" t="str">
        <f t="shared" ref="DB200:DB220" si="2399">IF(V200="","","|n"&amp;DB$2&amp;"+"&amp;V200&amp;DB$1)</f>
        <v/>
      </c>
      <c r="DC200" s="30" t="str">
        <f t="shared" ref="DC200:DC220" si="2400">IF(W200="","","|n"&amp;DC$2&amp;"+"&amp;W200&amp;DC$1)</f>
        <v/>
      </c>
      <c r="DD200" s="30" t="str">
        <f t="shared" ref="DD200:DD220" si="2401">IF(X200="","","|n"&amp;DD$2&amp;"+"&amp;X200&amp;DD$1)</f>
        <v/>
      </c>
      <c r="DE200" s="30" t="str">
        <f t="shared" ref="DE200:DE220" si="2402">IF(Y200="","","|n"&amp;DE$2&amp;"+"&amp;Y200&amp;DE$1)</f>
        <v/>
      </c>
      <c r="DF200" s="30" t="str">
        <f t="shared" ref="DF200:DF220" si="2403">IF(Z200="","","|n"&amp;DF$2&amp;"+"&amp;Z200&amp;DF$1)</f>
        <v/>
      </c>
      <c r="DG200" s="30" t="str">
        <f t="shared" ref="DG200:DG220" si="2404">IF(AA200="","","|n"&amp;DG$2&amp;"+"&amp;AA200&amp;DG$1)</f>
        <v/>
      </c>
      <c r="DH200" s="30" t="str">
        <f t="shared" ref="DH200:DH220" si="2405">IF(AB200="","","|n"&amp;DH$2&amp;"+"&amp;AB200&amp;DH$1)</f>
        <v/>
      </c>
      <c r="DI200" s="30" t="str">
        <f t="shared" ref="DI200:DI220" si="2406">IF(AC200="","","|n"&amp;DI$2&amp;"+"&amp;AC200&amp;DI$1)</f>
        <v/>
      </c>
      <c r="DJ200" s="30" t="str">
        <f t="shared" ref="DJ200:DJ220" si="2407">IF(AD200="","","|n"&amp;DJ$2&amp;"+"&amp;AD200&amp;DJ$1)</f>
        <v/>
      </c>
      <c r="DK200" s="30" t="str">
        <f t="shared" ref="DK200:DK220" si="2408">IF(AE200="","","|n"&amp;DK$2&amp;"+"&amp;AE200&amp;DK$1)</f>
        <v/>
      </c>
      <c r="DL200" s="30" t="str">
        <f t="shared" ref="DL200:DL220" si="2409">IF(AF200="","","|n"&amp;DL$2&amp;"+"&amp;AF200&amp;DL$1)</f>
        <v/>
      </c>
      <c r="DM200" s="30" t="str">
        <f t="shared" ref="DM200:DM220" si="2410">IF(AG200="","","|n"&amp;DM$2&amp;"+"&amp;AG200&amp;DM$1)</f>
        <v/>
      </c>
      <c r="DN200" s="30" t="str">
        <f t="shared" ref="DN200:DN220" si="2411">IF(AH200="","","|n"&amp;DN$2&amp;"+"&amp;AH200&amp;DN$1)</f>
        <v/>
      </c>
      <c r="DO200" s="30" t="str">
        <f t="shared" ref="DO200:DO220" si="2412">IF(AI200="","","|n"&amp;DO$2&amp;"+"&amp;AI200&amp;DO$1)</f>
        <v/>
      </c>
      <c r="DP200" s="30" t="str">
        <f t="shared" ref="DP200:DP220" si="2413">IF(AJ200="","","|n"&amp;DP$2&amp;"+"&amp;AJ200&amp;DP$1)</f>
        <v/>
      </c>
      <c r="DQ200" s="30" t="str">
        <f t="shared" ref="DQ200:DQ220" si="2414">IF(AK200="","","|n"&amp;DQ$2&amp;"+"&amp;AK200&amp;DQ$1)</f>
        <v/>
      </c>
      <c r="DR200" s="30" t="str">
        <f t="shared" ref="DR200:DR220" si="2415">IF(AL200="","","|n"&amp;DR$2&amp;"+"&amp;AL200&amp;DR$1)</f>
        <v/>
      </c>
      <c r="DS200" s="30" t="str">
        <f t="shared" ref="DS200:DS220" si="2416">IF(AM200="","","|n"&amp;DS$2&amp;"+"&amp;AM200&amp;DS$1)</f>
        <v/>
      </c>
      <c r="DT200" s="30" t="str">
        <f t="shared" ref="DT200:DT220" si="2417">IF(AN200="","","|n"&amp;DT$2&amp;"+"&amp;AN200&amp;DT$1)</f>
        <v/>
      </c>
      <c r="DU200" s="30" t="str">
        <f t="shared" ref="DU200:DU220" si="2418">IF(AO200="","","|n"&amp;DU$2&amp;"+"&amp;AO200&amp;DU$1)</f>
        <v/>
      </c>
      <c r="DV200" s="30" t="str">
        <f t="shared" ref="DV200:DV220" si="2419">IF(AP200="","","|n"&amp;DV$2&amp;"+"&amp;AP200&amp;DV$1)</f>
        <v/>
      </c>
      <c r="DW200" s="30" t="str">
        <f t="shared" ref="DW200:DW220" si="2420">IF(AQ200="","","|n"&amp;DW$2&amp;"+"&amp;AQ200&amp;DW$1)</f>
        <v/>
      </c>
      <c r="DX200" s="30" t="str">
        <f t="shared" ref="DX200:DX220" si="2421">IF(AR200="","","|n"&amp;DX$2&amp;"+"&amp;AR200&amp;DX$1)</f>
        <v/>
      </c>
      <c r="DY200" s="30" t="str">
        <f t="shared" ref="DY200:DY220" si="2422">IF(AS200="","","|n"&amp;DY$2&amp;"+"&amp;AS200&amp;DY$1)</f>
        <v/>
      </c>
      <c r="DZ200" s="30" t="str">
        <f t="shared" ref="DZ200:DZ220" si="2423">IF(AT200="","","|n"&amp;DZ$2&amp;"+"&amp;AT200&amp;DZ$1)</f>
        <v/>
      </c>
      <c r="EA200" s="30" t="str">
        <f t="shared" ref="EA200:EA220" si="2424">IF(AU200="","","|n"&amp;EA$2&amp;"+"&amp;AU200&amp;EA$1)</f>
        <v/>
      </c>
      <c r="EB200" s="30" t="str">
        <f t="shared" ref="EB200:EB220" si="2425">IF(AV200="","","|n"&amp;EB$2&amp;"+"&amp;AV200&amp;EB$1)</f>
        <v/>
      </c>
      <c r="EC200" s="30" t="str">
        <f t="shared" ref="EC200:EC220" si="2426">IF(AW200="","","|n"&amp;EC$2&amp;"+"&amp;AW200&amp;EC$1)</f>
        <v/>
      </c>
      <c r="ED200" s="30" t="str">
        <f t="shared" ref="ED200:ED220" si="2427">IF(AX200="","","|n"&amp;ED$2&amp;"+"&amp;AX200&amp;ED$1)</f>
        <v/>
      </c>
      <c r="EE200" s="30" t="str">
        <f t="shared" ref="EE200:EE220" si="2428">IF(AY200="","","|n"&amp;EE$2&amp;"+"&amp;AY200&amp;EE$1)</f>
        <v/>
      </c>
      <c r="EF200" s="30" t="str">
        <f t="shared" ref="EF200:EF220" si="2429">IF(AZ200="","","|n"&amp;EF$2&amp;"+"&amp;AZ200&amp;EF$1)</f>
        <v/>
      </c>
      <c r="EG200" s="30" t="str">
        <f t="shared" ref="EG200:EG220" si="2430">IF(BA200="","","|n"&amp;EG$2&amp;"+"&amp;BA200&amp;EG$1)</f>
        <v/>
      </c>
      <c r="EH200" s="30" t="str">
        <f t="shared" ref="EH200:EH220" si="2431">IF(BB200="","","|n"&amp;EH$2&amp;"+"&amp;BB200&amp;EH$1)</f>
        <v/>
      </c>
      <c r="EI200" s="30" t="str">
        <f t="shared" ref="EI200:EI220" si="2432">IF(BC200="","","|n"&amp;EI$2&amp;"+"&amp;BC200&amp;EI$1)</f>
        <v/>
      </c>
      <c r="EJ200" s="30" t="str">
        <f t="shared" ref="EJ200:EJ220" si="2433">IF(BD200="","","|n"&amp;EJ$2&amp;"+"&amp;BD200&amp;EJ$1)</f>
        <v/>
      </c>
      <c r="EK200" s="30" t="str">
        <f t="shared" ref="EK200:EK220" si="2434">IF(BE200="","","|n"&amp;EK$2&amp;"+"&amp;BE200&amp;EK$1)</f>
        <v/>
      </c>
      <c r="EL200" s="30" t="str">
        <f t="shared" ref="EL200:EL220" si="2435">IF(BF200="","","|n"&amp;EL$2&amp;"+"&amp;BF200&amp;EL$1)</f>
        <v/>
      </c>
      <c r="EM200" s="30" t="str">
        <f t="shared" ref="EM200:EM220" si="2436">IF(BG200="","","|n"&amp;EM$2&amp;"+"&amp;BG200&amp;EM$1)</f>
        <v/>
      </c>
      <c r="EN200" s="30" t="str">
        <f t="shared" ref="EN200:EN220" si="2437">IF(BH200="","","|n"&amp;EN$2&amp;"+"&amp;BH200&amp;EN$1)</f>
        <v/>
      </c>
      <c r="EO200" s="30" t="str">
        <f t="shared" ref="EO200:EO220" si="2438">IF(BI200="","","|n"&amp;EO$2&amp;"+"&amp;BI200&amp;EO$1)</f>
        <v/>
      </c>
      <c r="EP200" s="30" t="str">
        <f t="shared" ref="EP200:EP220" si="2439">IF(BJ200="","","|n"&amp;EP$2&amp;"+"&amp;BJ200&amp;EP$1)</f>
        <v/>
      </c>
      <c r="EQ200" s="30" t="str">
        <f t="shared" ref="EQ200:EQ220" si="2440">IF(BK200="","","|n"&amp;EQ$2&amp;"+"&amp;BK200&amp;EQ$1)</f>
        <v/>
      </c>
      <c r="ER200" s="30" t="str">
        <f t="shared" ref="ER200:ER220" si="2441">IF(BL200="","","|n"&amp;ER$2&amp;"+"&amp;BL200&amp;ER$1)</f>
        <v/>
      </c>
      <c r="ES200" s="30" t="str">
        <f t="shared" ref="ES200:ES220" si="2442">IF(BM200="","","|n"&amp;ES$2&amp;"+"&amp;BM200&amp;ES$1)</f>
        <v/>
      </c>
      <c r="ET200" s="30" t="str">
        <f t="shared" ref="ET200:ET220" si="2443">IF(BN200="","","|n"&amp;ET$2&amp;"+"&amp;BN200&amp;ET$1)</f>
        <v/>
      </c>
      <c r="EU200" s="30" t="str">
        <f t="shared" ref="EU200:EU220" si="2444">IF(BO200="","","|n"&amp;EU$2&amp;"+"&amp;BO200&amp;EU$1)</f>
        <v/>
      </c>
      <c r="EV200" s="30" t="str">
        <f t="shared" ref="EV200:EV220" si="2445">IF(BP200="","","|n"&amp;EV$2&amp;"+"&amp;BP200&amp;EV$1)</f>
        <v/>
      </c>
      <c r="EW200" s="30" t="str">
        <f t="shared" ref="EW200:EW220" si="2446">IF(BQ200="","","|n"&amp;EW$2&amp;"+"&amp;BQ200&amp;EW$1)</f>
        <v/>
      </c>
      <c r="EX200" s="30" t="str">
        <f t="shared" ref="EX200:EX220" si="2447">IF(BR200="","","|n"&amp;EX$2&amp;"+"&amp;BR200&amp;EX$1)</f>
        <v/>
      </c>
      <c r="EY200" s="30" t="str">
        <f t="shared" ref="EY200:EY220" si="2448">IF(BS200="","","|n"&amp;EY$2&amp;"+"&amp;BS200&amp;EY$1)</f>
        <v/>
      </c>
      <c r="EZ200" s="30" t="str">
        <f t="shared" ref="EZ200:EZ220" si="2449">IF(BT200="","","|n"&amp;EZ$2&amp;"+"&amp;BT200&amp;EZ$1)</f>
        <v/>
      </c>
      <c r="FA200" s="30" t="str">
        <f t="shared" ref="FA200:FA220" si="2450">IF(BU200="","","|n"&amp;FA$2&amp;"+"&amp;BU200&amp;FA$1)</f>
        <v/>
      </c>
      <c r="FB200" s="30" t="str">
        <f t="shared" ref="FB200:FB220" si="2451">IF(BV200="","","|n"&amp;FB$2&amp;"+"&amp;BV200&amp;FB$1)</f>
        <v/>
      </c>
      <c r="FC200" s="30" t="str">
        <f t="shared" ref="FC200:FC220" si="2452">IF(BW200="","","|n"&amp;FC$2&amp;"+"&amp;BW200&amp;FC$1)</f>
        <v/>
      </c>
      <c r="FD200" s="30" t="str">
        <f t="shared" ref="FD200:FD220" si="2453">IF(BX200="","","|n"&amp;FD$2&amp;"+"&amp;BX200&amp;FD$1)</f>
        <v/>
      </c>
      <c r="FE200" s="30" t="str">
        <f t="shared" ref="FE200:FE220" si="2454">IF(BY200="","","|n"&amp;FE$2&amp;"+"&amp;BY200&amp;FE$1)</f>
        <v/>
      </c>
      <c r="FF200" s="30" t="str">
        <f t="shared" ref="FF200:FF220" si="2455">IF(BZ200="","","|n"&amp;FF$2&amp;"+"&amp;BZ200&amp;FF$1)</f>
        <v/>
      </c>
      <c r="FG200" s="30" t="str">
        <f t="shared" ref="FG200:FG220" si="2456">IF(CA200="","","|n"&amp;FG$2&amp;"+"&amp;CA200&amp;FG$1)</f>
        <v/>
      </c>
      <c r="FH200" s="30" t="str">
        <f t="shared" ref="FH200:FH220" si="2457">IF(CB200="","","|n"&amp;FH$2&amp;"+"&amp;CB200&amp;FH$1)</f>
        <v/>
      </c>
      <c r="FI200" s="30" t="str">
        <f t="shared" ref="FI200:FI220" si="2458">IF(CC200="","","|n"&amp;FI$2&amp;"+"&amp;CC200&amp;FI$1)</f>
        <v/>
      </c>
      <c r="FJ200" s="30" t="str">
        <f t="shared" ref="FJ200:FJ220" si="2459">IF(CD200="","","|n"&amp;FJ$2&amp;"+"&amp;CD200&amp;FJ$1)</f>
        <v/>
      </c>
      <c r="FK200" s="30" t="str">
        <f t="shared" ref="FK200:FK220" si="2460">IF(CE200="","","|n"&amp;FK$2&amp;"+"&amp;CE200&amp;FK$1)</f>
        <v/>
      </c>
      <c r="FL200" s="30" t="str">
        <f t="shared" ref="FL200:FL220" si="2461">IF(CF200="","","|n"&amp;FL$2&amp;"+"&amp;CF200&amp;FL$1)</f>
        <v/>
      </c>
      <c r="FM200" s="30" t="str">
        <f t="shared" ref="FM200:FM220" si="2462">IF(CG200="","","|n"&amp;FM$2&amp;"+"&amp;CG200&amp;FM$1)</f>
        <v/>
      </c>
      <c r="FN200" s="30" t="str">
        <f t="shared" ref="FN200:FN220" si="2463">IF(CH200="","","|n"&amp;FN$2&amp;"+"&amp;CH200&amp;FN$1)</f>
        <v/>
      </c>
      <c r="FO200" s="30" t="str">
        <f t="shared" ref="FO200:FO220" si="2464">IF(CI200="","","|n"&amp;FO$2&amp;"+"&amp;CI200&amp;FO$1)</f>
        <v/>
      </c>
      <c r="FP200" s="30" t="str">
        <f t="shared" ref="FP200:FP220" si="2465">IF(CJ200="","","|n"&amp;FP$2&amp;"+"&amp;CJ200&amp;FP$1)</f>
        <v/>
      </c>
      <c r="FQ200" s="30" t="str">
        <f t="shared" ref="FQ200:FQ220" si="2466">IF(CK200="","","|n"&amp;FQ$2&amp;"+"&amp;CK200&amp;FQ$1)</f>
        <v/>
      </c>
      <c r="FR200" s="30" t="str">
        <f t="shared" ref="FR200:FR220" si="2467">IF(CL200="","","|n"&amp;FR$2&amp;"+"&amp;CL200&amp;FR$1)</f>
        <v/>
      </c>
      <c r="FS200" s="30" t="str">
        <f t="shared" ref="FS200:FS220" si="2468">IF(CM200="","","|n"&amp;FS$2&amp;"+"&amp;CM200&amp;FS$1)</f>
        <v/>
      </c>
    </row>
    <row r="201" spans="1:175">
      <c r="CN201" s="7" t="str">
        <f t="shared" si="2393"/>
        <v>InitUnitState('',,,,,,,,,,)</v>
      </c>
      <c r="CO201" s="7" t="str">
        <f t="shared" si="2394"/>
        <v>InitUnitNormal('',,,,,,,,,,)</v>
      </c>
      <c r="CP201" s="7" t="str">
        <f t="shared" si="2395"/>
        <v>InitUnitMagic('',,,,,,,,,,)</v>
      </c>
      <c r="CQ201" s="7" t="str">
        <f t="shared" si="2396"/>
        <v>InitUnitAdd('',,,,,,,,,,)</v>
      </c>
      <c r="CR201" s="7" t="str">
        <f t="shared" si="2397"/>
        <v>InitEquipData('',,"",,,,,'','','','','','',"")</v>
      </c>
      <c r="CU201" s="29" t="str">
        <f t="shared" si="2398"/>
        <v>|n</v>
      </c>
      <c r="CW201" s="24"/>
      <c r="CX201" s="24"/>
      <c r="CY201" s="24"/>
      <c r="CZ201" s="24"/>
      <c r="DA201" s="24"/>
      <c r="DB201" s="30" t="str">
        <f t="shared" si="2399"/>
        <v/>
      </c>
      <c r="DC201" s="30" t="str">
        <f t="shared" si="2400"/>
        <v/>
      </c>
      <c r="DD201" s="30" t="str">
        <f t="shared" si="2401"/>
        <v/>
      </c>
      <c r="DE201" s="30" t="str">
        <f t="shared" si="2402"/>
        <v/>
      </c>
      <c r="DF201" s="30" t="str">
        <f t="shared" si="2403"/>
        <v/>
      </c>
      <c r="DG201" s="30" t="str">
        <f t="shared" si="2404"/>
        <v/>
      </c>
      <c r="DH201" s="30" t="str">
        <f t="shared" si="2405"/>
        <v/>
      </c>
      <c r="DI201" s="30" t="str">
        <f t="shared" si="2406"/>
        <v/>
      </c>
      <c r="DJ201" s="30" t="str">
        <f t="shared" si="2407"/>
        <v/>
      </c>
      <c r="DK201" s="30" t="str">
        <f t="shared" si="2408"/>
        <v/>
      </c>
      <c r="DL201" s="30" t="str">
        <f t="shared" si="2409"/>
        <v/>
      </c>
      <c r="DM201" s="30" t="str">
        <f t="shared" si="2410"/>
        <v/>
      </c>
      <c r="DN201" s="30" t="str">
        <f t="shared" si="2411"/>
        <v/>
      </c>
      <c r="DO201" s="30" t="str">
        <f t="shared" si="2412"/>
        <v/>
      </c>
      <c r="DP201" s="30" t="str">
        <f t="shared" si="2413"/>
        <v/>
      </c>
      <c r="DQ201" s="30" t="str">
        <f t="shared" si="2414"/>
        <v/>
      </c>
      <c r="DR201" s="30" t="str">
        <f t="shared" si="2415"/>
        <v/>
      </c>
      <c r="DS201" s="30" t="str">
        <f t="shared" si="2416"/>
        <v/>
      </c>
      <c r="DT201" s="30" t="str">
        <f t="shared" si="2417"/>
        <v/>
      </c>
      <c r="DU201" s="30" t="str">
        <f t="shared" si="2418"/>
        <v/>
      </c>
      <c r="DV201" s="30" t="str">
        <f t="shared" si="2419"/>
        <v/>
      </c>
      <c r="DW201" s="30" t="str">
        <f t="shared" si="2420"/>
        <v/>
      </c>
      <c r="DX201" s="30" t="str">
        <f t="shared" si="2421"/>
        <v/>
      </c>
      <c r="DY201" s="30" t="str">
        <f t="shared" si="2422"/>
        <v/>
      </c>
      <c r="DZ201" s="30" t="str">
        <f t="shared" si="2423"/>
        <v/>
      </c>
      <c r="EA201" s="30" t="str">
        <f t="shared" si="2424"/>
        <v/>
      </c>
      <c r="EB201" s="30" t="str">
        <f t="shared" si="2425"/>
        <v/>
      </c>
      <c r="EC201" s="30" t="str">
        <f t="shared" si="2426"/>
        <v/>
      </c>
      <c r="ED201" s="30" t="str">
        <f t="shared" si="2427"/>
        <v/>
      </c>
      <c r="EE201" s="30" t="str">
        <f t="shared" si="2428"/>
        <v/>
      </c>
      <c r="EF201" s="30" t="str">
        <f t="shared" si="2429"/>
        <v/>
      </c>
      <c r="EG201" s="30" t="str">
        <f t="shared" si="2430"/>
        <v/>
      </c>
      <c r="EH201" s="30" t="str">
        <f t="shared" si="2431"/>
        <v/>
      </c>
      <c r="EI201" s="30" t="str">
        <f t="shared" si="2432"/>
        <v/>
      </c>
      <c r="EJ201" s="30" t="str">
        <f t="shared" si="2433"/>
        <v/>
      </c>
      <c r="EK201" s="30" t="str">
        <f t="shared" si="2434"/>
        <v/>
      </c>
      <c r="EL201" s="30" t="str">
        <f t="shared" si="2435"/>
        <v/>
      </c>
      <c r="EM201" s="30" t="str">
        <f t="shared" si="2436"/>
        <v/>
      </c>
      <c r="EN201" s="30" t="str">
        <f t="shared" si="2437"/>
        <v/>
      </c>
      <c r="EO201" s="30" t="str">
        <f t="shared" si="2438"/>
        <v/>
      </c>
      <c r="EP201" s="30" t="str">
        <f t="shared" si="2439"/>
        <v/>
      </c>
      <c r="EQ201" s="30" t="str">
        <f t="shared" si="2440"/>
        <v/>
      </c>
      <c r="ER201" s="30" t="str">
        <f t="shared" si="2441"/>
        <v/>
      </c>
      <c r="ES201" s="30" t="str">
        <f t="shared" si="2442"/>
        <v/>
      </c>
      <c r="ET201" s="30" t="str">
        <f t="shared" si="2443"/>
        <v/>
      </c>
      <c r="EU201" s="30" t="str">
        <f t="shared" si="2444"/>
        <v/>
      </c>
      <c r="EV201" s="30" t="str">
        <f t="shared" si="2445"/>
        <v/>
      </c>
      <c r="EW201" s="30" t="str">
        <f t="shared" si="2446"/>
        <v/>
      </c>
      <c r="EX201" s="30" t="str">
        <f t="shared" si="2447"/>
        <v/>
      </c>
      <c r="EY201" s="30" t="str">
        <f t="shared" si="2448"/>
        <v/>
      </c>
      <c r="EZ201" s="30" t="str">
        <f t="shared" si="2449"/>
        <v/>
      </c>
      <c r="FA201" s="30" t="str">
        <f t="shared" si="2450"/>
        <v/>
      </c>
      <c r="FB201" s="30" t="str">
        <f t="shared" si="2451"/>
        <v/>
      </c>
      <c r="FC201" s="30" t="str">
        <f t="shared" si="2452"/>
        <v/>
      </c>
      <c r="FD201" s="30" t="str">
        <f t="shared" si="2453"/>
        <v/>
      </c>
      <c r="FE201" s="30" t="str">
        <f t="shared" si="2454"/>
        <v/>
      </c>
      <c r="FF201" s="30" t="str">
        <f t="shared" si="2455"/>
        <v/>
      </c>
      <c r="FG201" s="30" t="str">
        <f t="shared" si="2456"/>
        <v/>
      </c>
      <c r="FH201" s="30" t="str">
        <f t="shared" si="2457"/>
        <v/>
      </c>
      <c r="FI201" s="30" t="str">
        <f t="shared" si="2458"/>
        <v/>
      </c>
      <c r="FJ201" s="30" t="str">
        <f t="shared" si="2459"/>
        <v/>
      </c>
      <c r="FK201" s="30" t="str">
        <f t="shared" si="2460"/>
        <v/>
      </c>
      <c r="FL201" s="30" t="str">
        <f t="shared" si="2461"/>
        <v/>
      </c>
      <c r="FM201" s="30" t="str">
        <f t="shared" si="2462"/>
        <v/>
      </c>
      <c r="FN201" s="30" t="str">
        <f t="shared" si="2463"/>
        <v/>
      </c>
      <c r="FO201" s="30" t="str">
        <f t="shared" si="2464"/>
        <v/>
      </c>
      <c r="FP201" s="30" t="str">
        <f t="shared" si="2465"/>
        <v/>
      </c>
      <c r="FQ201" s="30" t="str">
        <f t="shared" si="2466"/>
        <v/>
      </c>
      <c r="FR201" s="30" t="str">
        <f t="shared" si="2467"/>
        <v/>
      </c>
      <c r="FS201" s="30" t="str">
        <f t="shared" si="2468"/>
        <v/>
      </c>
    </row>
    <row r="202" spans="1:175">
      <c r="CN202" s="7" t="str">
        <f t="shared" si="2393"/>
        <v>InitUnitState('',,,,,,,,,,)</v>
      </c>
      <c r="CO202" s="7" t="str">
        <f t="shared" si="2394"/>
        <v>InitUnitNormal('',,,,,,,,,,)</v>
      </c>
      <c r="CP202" s="7" t="str">
        <f t="shared" si="2395"/>
        <v>InitUnitMagic('',,,,,,,,,,)</v>
      </c>
      <c r="CQ202" s="7" t="str">
        <f t="shared" si="2396"/>
        <v>InitUnitAdd('',,,,,,,,,,)</v>
      </c>
      <c r="CR202" s="7" t="str">
        <f t="shared" si="2397"/>
        <v>InitEquipData('',,"",,,,,'','','','','','',"")</v>
      </c>
      <c r="CU202" s="29" t="str">
        <f t="shared" si="2398"/>
        <v>|n</v>
      </c>
      <c r="CW202" s="24"/>
      <c r="CX202" s="24"/>
      <c r="CY202" s="24"/>
      <c r="CZ202" s="24"/>
      <c r="DA202" s="24"/>
      <c r="DB202" s="30" t="str">
        <f t="shared" si="2399"/>
        <v/>
      </c>
      <c r="DC202" s="30" t="str">
        <f t="shared" si="2400"/>
        <v/>
      </c>
      <c r="DD202" s="30" t="str">
        <f t="shared" si="2401"/>
        <v/>
      </c>
      <c r="DE202" s="30" t="str">
        <f t="shared" si="2402"/>
        <v/>
      </c>
      <c r="DF202" s="30" t="str">
        <f t="shared" si="2403"/>
        <v/>
      </c>
      <c r="DG202" s="30" t="str">
        <f t="shared" si="2404"/>
        <v/>
      </c>
      <c r="DH202" s="30" t="str">
        <f t="shared" si="2405"/>
        <v/>
      </c>
      <c r="DI202" s="30" t="str">
        <f t="shared" si="2406"/>
        <v/>
      </c>
      <c r="DJ202" s="30" t="str">
        <f t="shared" si="2407"/>
        <v/>
      </c>
      <c r="DK202" s="30" t="str">
        <f t="shared" si="2408"/>
        <v/>
      </c>
      <c r="DL202" s="30" t="str">
        <f t="shared" si="2409"/>
        <v/>
      </c>
      <c r="DM202" s="30" t="str">
        <f t="shared" si="2410"/>
        <v/>
      </c>
      <c r="DN202" s="30" t="str">
        <f t="shared" si="2411"/>
        <v/>
      </c>
      <c r="DO202" s="30" t="str">
        <f t="shared" si="2412"/>
        <v/>
      </c>
      <c r="DP202" s="30" t="str">
        <f t="shared" si="2413"/>
        <v/>
      </c>
      <c r="DQ202" s="30" t="str">
        <f t="shared" si="2414"/>
        <v/>
      </c>
      <c r="DR202" s="30" t="str">
        <f t="shared" si="2415"/>
        <v/>
      </c>
      <c r="DS202" s="30" t="str">
        <f t="shared" si="2416"/>
        <v/>
      </c>
      <c r="DT202" s="30" t="str">
        <f t="shared" si="2417"/>
        <v/>
      </c>
      <c r="DU202" s="30" t="str">
        <f t="shared" si="2418"/>
        <v/>
      </c>
      <c r="DV202" s="30" t="str">
        <f t="shared" si="2419"/>
        <v/>
      </c>
      <c r="DW202" s="30" t="str">
        <f t="shared" si="2420"/>
        <v/>
      </c>
      <c r="DX202" s="30" t="str">
        <f t="shared" si="2421"/>
        <v/>
      </c>
      <c r="DY202" s="30" t="str">
        <f t="shared" si="2422"/>
        <v/>
      </c>
      <c r="DZ202" s="30" t="str">
        <f t="shared" si="2423"/>
        <v/>
      </c>
      <c r="EA202" s="30" t="str">
        <f t="shared" si="2424"/>
        <v/>
      </c>
      <c r="EB202" s="30" t="str">
        <f t="shared" si="2425"/>
        <v/>
      </c>
      <c r="EC202" s="30" t="str">
        <f t="shared" si="2426"/>
        <v/>
      </c>
      <c r="ED202" s="30" t="str">
        <f t="shared" si="2427"/>
        <v/>
      </c>
      <c r="EE202" s="30" t="str">
        <f t="shared" si="2428"/>
        <v/>
      </c>
      <c r="EF202" s="30" t="str">
        <f t="shared" si="2429"/>
        <v/>
      </c>
      <c r="EG202" s="30" t="str">
        <f t="shared" si="2430"/>
        <v/>
      </c>
      <c r="EH202" s="30" t="str">
        <f t="shared" si="2431"/>
        <v/>
      </c>
      <c r="EI202" s="30" t="str">
        <f t="shared" si="2432"/>
        <v/>
      </c>
      <c r="EJ202" s="30" t="str">
        <f t="shared" si="2433"/>
        <v/>
      </c>
      <c r="EK202" s="30" t="str">
        <f t="shared" si="2434"/>
        <v/>
      </c>
      <c r="EL202" s="30" t="str">
        <f t="shared" si="2435"/>
        <v/>
      </c>
      <c r="EM202" s="30" t="str">
        <f t="shared" si="2436"/>
        <v/>
      </c>
      <c r="EN202" s="30" t="str">
        <f t="shared" si="2437"/>
        <v/>
      </c>
      <c r="EO202" s="30" t="str">
        <f t="shared" si="2438"/>
        <v/>
      </c>
      <c r="EP202" s="30" t="str">
        <f t="shared" si="2439"/>
        <v/>
      </c>
      <c r="EQ202" s="30" t="str">
        <f t="shared" si="2440"/>
        <v/>
      </c>
      <c r="ER202" s="30" t="str">
        <f t="shared" si="2441"/>
        <v/>
      </c>
      <c r="ES202" s="30" t="str">
        <f t="shared" si="2442"/>
        <v/>
      </c>
      <c r="ET202" s="30" t="str">
        <f t="shared" si="2443"/>
        <v/>
      </c>
      <c r="EU202" s="30" t="str">
        <f t="shared" si="2444"/>
        <v/>
      </c>
      <c r="EV202" s="30" t="str">
        <f t="shared" si="2445"/>
        <v/>
      </c>
      <c r="EW202" s="30" t="str">
        <f t="shared" si="2446"/>
        <v/>
      </c>
      <c r="EX202" s="30" t="str">
        <f t="shared" si="2447"/>
        <v/>
      </c>
      <c r="EY202" s="30" t="str">
        <f t="shared" si="2448"/>
        <v/>
      </c>
      <c r="EZ202" s="30" t="str">
        <f t="shared" si="2449"/>
        <v/>
      </c>
      <c r="FA202" s="30" t="str">
        <f t="shared" si="2450"/>
        <v/>
      </c>
      <c r="FB202" s="30" t="str">
        <f t="shared" si="2451"/>
        <v/>
      </c>
      <c r="FC202" s="30" t="str">
        <f t="shared" si="2452"/>
        <v/>
      </c>
      <c r="FD202" s="30" t="str">
        <f t="shared" si="2453"/>
        <v/>
      </c>
      <c r="FE202" s="30" t="str">
        <f t="shared" si="2454"/>
        <v/>
      </c>
      <c r="FF202" s="30" t="str">
        <f t="shared" si="2455"/>
        <v/>
      </c>
      <c r="FG202" s="30" t="str">
        <f t="shared" si="2456"/>
        <v/>
      </c>
      <c r="FH202" s="30" t="str">
        <f t="shared" si="2457"/>
        <v/>
      </c>
      <c r="FI202" s="30" t="str">
        <f t="shared" si="2458"/>
        <v/>
      </c>
      <c r="FJ202" s="30" t="str">
        <f t="shared" si="2459"/>
        <v/>
      </c>
      <c r="FK202" s="30" t="str">
        <f t="shared" si="2460"/>
        <v/>
      </c>
      <c r="FL202" s="30" t="str">
        <f t="shared" si="2461"/>
        <v/>
      </c>
      <c r="FM202" s="30" t="str">
        <f t="shared" si="2462"/>
        <v/>
      </c>
      <c r="FN202" s="30" t="str">
        <f t="shared" si="2463"/>
        <v/>
      </c>
      <c r="FO202" s="30" t="str">
        <f t="shared" si="2464"/>
        <v/>
      </c>
      <c r="FP202" s="30" t="str">
        <f t="shared" si="2465"/>
        <v/>
      </c>
      <c r="FQ202" s="30" t="str">
        <f t="shared" si="2466"/>
        <v/>
      </c>
      <c r="FR202" s="30" t="str">
        <f t="shared" si="2467"/>
        <v/>
      </c>
      <c r="FS202" s="30" t="str">
        <f t="shared" si="2468"/>
        <v/>
      </c>
    </row>
    <row r="203" spans="1:175">
      <c r="CN203" s="7" t="str">
        <f t="shared" si="2393"/>
        <v>InitUnitState('',,,,,,,,,,)</v>
      </c>
      <c r="CO203" s="7" t="str">
        <f t="shared" si="2394"/>
        <v>InitUnitNormal('',,,,,,,,,,)</v>
      </c>
      <c r="CP203" s="7" t="str">
        <f t="shared" si="2395"/>
        <v>InitUnitMagic('',,,,,,,,,,)</v>
      </c>
      <c r="CQ203" s="7" t="str">
        <f t="shared" si="2396"/>
        <v>InitUnitAdd('',,,,,,,,,,)</v>
      </c>
      <c r="CR203" s="7" t="str">
        <f t="shared" si="2397"/>
        <v>InitEquipData('',,"",,,,,'','','','','','',"")</v>
      </c>
      <c r="CU203" s="29" t="str">
        <f t="shared" si="2398"/>
        <v>|n</v>
      </c>
      <c r="CW203" s="24"/>
      <c r="CX203" s="24"/>
      <c r="CY203" s="24"/>
      <c r="CZ203" s="24"/>
      <c r="DA203" s="24"/>
      <c r="DB203" s="30" t="str">
        <f t="shared" si="2399"/>
        <v/>
      </c>
      <c r="DC203" s="30" t="str">
        <f t="shared" si="2400"/>
        <v/>
      </c>
      <c r="DD203" s="30" t="str">
        <f t="shared" si="2401"/>
        <v/>
      </c>
      <c r="DE203" s="30" t="str">
        <f t="shared" si="2402"/>
        <v/>
      </c>
      <c r="DF203" s="30" t="str">
        <f t="shared" si="2403"/>
        <v/>
      </c>
      <c r="DG203" s="30" t="str">
        <f t="shared" si="2404"/>
        <v/>
      </c>
      <c r="DH203" s="30" t="str">
        <f t="shared" si="2405"/>
        <v/>
      </c>
      <c r="DI203" s="30" t="str">
        <f t="shared" si="2406"/>
        <v/>
      </c>
      <c r="DJ203" s="30" t="str">
        <f t="shared" si="2407"/>
        <v/>
      </c>
      <c r="DK203" s="30" t="str">
        <f t="shared" si="2408"/>
        <v/>
      </c>
      <c r="DL203" s="30" t="str">
        <f t="shared" si="2409"/>
        <v/>
      </c>
      <c r="DM203" s="30" t="str">
        <f t="shared" si="2410"/>
        <v/>
      </c>
      <c r="DN203" s="30" t="str">
        <f t="shared" si="2411"/>
        <v/>
      </c>
      <c r="DO203" s="30" t="str">
        <f t="shared" si="2412"/>
        <v/>
      </c>
      <c r="DP203" s="30" t="str">
        <f t="shared" si="2413"/>
        <v/>
      </c>
      <c r="DQ203" s="30" t="str">
        <f t="shared" si="2414"/>
        <v/>
      </c>
      <c r="DR203" s="30" t="str">
        <f t="shared" si="2415"/>
        <v/>
      </c>
      <c r="DS203" s="30" t="str">
        <f t="shared" si="2416"/>
        <v/>
      </c>
      <c r="DT203" s="30" t="str">
        <f t="shared" si="2417"/>
        <v/>
      </c>
      <c r="DU203" s="30" t="str">
        <f t="shared" si="2418"/>
        <v/>
      </c>
      <c r="DV203" s="30" t="str">
        <f t="shared" si="2419"/>
        <v/>
      </c>
      <c r="DW203" s="30" t="str">
        <f t="shared" si="2420"/>
        <v/>
      </c>
      <c r="DX203" s="30" t="str">
        <f t="shared" si="2421"/>
        <v/>
      </c>
      <c r="DY203" s="30" t="str">
        <f t="shared" si="2422"/>
        <v/>
      </c>
      <c r="DZ203" s="30" t="str">
        <f t="shared" si="2423"/>
        <v/>
      </c>
      <c r="EA203" s="30" t="str">
        <f t="shared" si="2424"/>
        <v/>
      </c>
      <c r="EB203" s="30" t="str">
        <f t="shared" si="2425"/>
        <v/>
      </c>
      <c r="EC203" s="30" t="str">
        <f t="shared" si="2426"/>
        <v/>
      </c>
      <c r="ED203" s="30" t="str">
        <f t="shared" si="2427"/>
        <v/>
      </c>
      <c r="EE203" s="30" t="str">
        <f t="shared" si="2428"/>
        <v/>
      </c>
      <c r="EF203" s="30" t="str">
        <f t="shared" si="2429"/>
        <v/>
      </c>
      <c r="EG203" s="30" t="str">
        <f t="shared" si="2430"/>
        <v/>
      </c>
      <c r="EH203" s="30" t="str">
        <f t="shared" si="2431"/>
        <v/>
      </c>
      <c r="EI203" s="30" t="str">
        <f t="shared" si="2432"/>
        <v/>
      </c>
      <c r="EJ203" s="30" t="str">
        <f t="shared" si="2433"/>
        <v/>
      </c>
      <c r="EK203" s="30" t="str">
        <f t="shared" si="2434"/>
        <v/>
      </c>
      <c r="EL203" s="30" t="str">
        <f t="shared" si="2435"/>
        <v/>
      </c>
      <c r="EM203" s="30" t="str">
        <f t="shared" si="2436"/>
        <v/>
      </c>
      <c r="EN203" s="30" t="str">
        <f t="shared" si="2437"/>
        <v/>
      </c>
      <c r="EO203" s="30" t="str">
        <f t="shared" si="2438"/>
        <v/>
      </c>
      <c r="EP203" s="30" t="str">
        <f t="shared" si="2439"/>
        <v/>
      </c>
      <c r="EQ203" s="30" t="str">
        <f t="shared" si="2440"/>
        <v/>
      </c>
      <c r="ER203" s="30" t="str">
        <f t="shared" si="2441"/>
        <v/>
      </c>
      <c r="ES203" s="30" t="str">
        <f t="shared" si="2442"/>
        <v/>
      </c>
      <c r="ET203" s="30" t="str">
        <f t="shared" si="2443"/>
        <v/>
      </c>
      <c r="EU203" s="30" t="str">
        <f t="shared" si="2444"/>
        <v/>
      </c>
      <c r="EV203" s="30" t="str">
        <f t="shared" si="2445"/>
        <v/>
      </c>
      <c r="EW203" s="30" t="str">
        <f t="shared" si="2446"/>
        <v/>
      </c>
      <c r="EX203" s="30" t="str">
        <f t="shared" si="2447"/>
        <v/>
      </c>
      <c r="EY203" s="30" t="str">
        <f t="shared" si="2448"/>
        <v/>
      </c>
      <c r="EZ203" s="30" t="str">
        <f t="shared" si="2449"/>
        <v/>
      </c>
      <c r="FA203" s="30" t="str">
        <f t="shared" si="2450"/>
        <v/>
      </c>
      <c r="FB203" s="30" t="str">
        <f t="shared" si="2451"/>
        <v/>
      </c>
      <c r="FC203" s="30" t="str">
        <f t="shared" si="2452"/>
        <v/>
      </c>
      <c r="FD203" s="30" t="str">
        <f t="shared" si="2453"/>
        <v/>
      </c>
      <c r="FE203" s="30" t="str">
        <f t="shared" si="2454"/>
        <v/>
      </c>
      <c r="FF203" s="30" t="str">
        <f t="shared" si="2455"/>
        <v/>
      </c>
      <c r="FG203" s="30" t="str">
        <f t="shared" si="2456"/>
        <v/>
      </c>
      <c r="FH203" s="30" t="str">
        <f t="shared" si="2457"/>
        <v/>
      </c>
      <c r="FI203" s="30" t="str">
        <f t="shared" si="2458"/>
        <v/>
      </c>
      <c r="FJ203" s="30" t="str">
        <f t="shared" si="2459"/>
        <v/>
      </c>
      <c r="FK203" s="30" t="str">
        <f t="shared" si="2460"/>
        <v/>
      </c>
      <c r="FL203" s="30" t="str">
        <f t="shared" si="2461"/>
        <v/>
      </c>
      <c r="FM203" s="30" t="str">
        <f t="shared" si="2462"/>
        <v/>
      </c>
      <c r="FN203" s="30" t="str">
        <f t="shared" si="2463"/>
        <v/>
      </c>
      <c r="FO203" s="30" t="str">
        <f t="shared" si="2464"/>
        <v/>
      </c>
      <c r="FP203" s="30" t="str">
        <f t="shared" si="2465"/>
        <v/>
      </c>
      <c r="FQ203" s="30" t="str">
        <f t="shared" si="2466"/>
        <v/>
      </c>
      <c r="FR203" s="30" t="str">
        <f t="shared" si="2467"/>
        <v/>
      </c>
      <c r="FS203" s="30" t="str">
        <f t="shared" si="2468"/>
        <v/>
      </c>
    </row>
    <row r="204" spans="1:175">
      <c r="CN204" s="7" t="str">
        <f t="shared" si="2393"/>
        <v>InitUnitState('',,,,,,,,,,)</v>
      </c>
      <c r="CO204" s="7" t="str">
        <f t="shared" si="2394"/>
        <v>InitUnitNormal('',,,,,,,,,,)</v>
      </c>
      <c r="CP204" s="7" t="str">
        <f t="shared" si="2395"/>
        <v>InitUnitMagic('',,,,,,,,,,)</v>
      </c>
      <c r="CQ204" s="7" t="str">
        <f t="shared" si="2396"/>
        <v>InitUnitAdd('',,,,,,,,,,)</v>
      </c>
      <c r="CR204" s="7" t="str">
        <f t="shared" si="2397"/>
        <v>InitEquipData('',,"",,,,,'','','','','','',"")</v>
      </c>
      <c r="CU204" s="29" t="str">
        <f t="shared" si="2398"/>
        <v>|n</v>
      </c>
      <c r="CW204" s="24"/>
      <c r="CX204" s="24"/>
      <c r="CY204" s="24"/>
      <c r="CZ204" s="24"/>
      <c r="DA204" s="24"/>
      <c r="DB204" s="30" t="str">
        <f t="shared" si="2399"/>
        <v/>
      </c>
      <c r="DC204" s="30" t="str">
        <f t="shared" si="2400"/>
        <v/>
      </c>
      <c r="DD204" s="30" t="str">
        <f t="shared" si="2401"/>
        <v/>
      </c>
      <c r="DE204" s="30" t="str">
        <f t="shared" si="2402"/>
        <v/>
      </c>
      <c r="DF204" s="30" t="str">
        <f t="shared" si="2403"/>
        <v/>
      </c>
      <c r="DG204" s="30" t="str">
        <f t="shared" si="2404"/>
        <v/>
      </c>
      <c r="DH204" s="30" t="str">
        <f t="shared" si="2405"/>
        <v/>
      </c>
      <c r="DI204" s="30" t="str">
        <f t="shared" si="2406"/>
        <v/>
      </c>
      <c r="DJ204" s="30" t="str">
        <f t="shared" si="2407"/>
        <v/>
      </c>
      <c r="DK204" s="30" t="str">
        <f t="shared" si="2408"/>
        <v/>
      </c>
      <c r="DL204" s="30" t="str">
        <f t="shared" si="2409"/>
        <v/>
      </c>
      <c r="DM204" s="30" t="str">
        <f t="shared" si="2410"/>
        <v/>
      </c>
      <c r="DN204" s="30" t="str">
        <f t="shared" si="2411"/>
        <v/>
      </c>
      <c r="DO204" s="30" t="str">
        <f t="shared" si="2412"/>
        <v/>
      </c>
      <c r="DP204" s="30" t="str">
        <f t="shared" si="2413"/>
        <v/>
      </c>
      <c r="DQ204" s="30" t="str">
        <f t="shared" si="2414"/>
        <v/>
      </c>
      <c r="DR204" s="30" t="str">
        <f t="shared" si="2415"/>
        <v/>
      </c>
      <c r="DS204" s="30" t="str">
        <f t="shared" si="2416"/>
        <v/>
      </c>
      <c r="DT204" s="30" t="str">
        <f t="shared" si="2417"/>
        <v/>
      </c>
      <c r="DU204" s="30" t="str">
        <f t="shared" si="2418"/>
        <v/>
      </c>
      <c r="DV204" s="30" t="str">
        <f t="shared" si="2419"/>
        <v/>
      </c>
      <c r="DW204" s="30" t="str">
        <f t="shared" si="2420"/>
        <v/>
      </c>
      <c r="DX204" s="30" t="str">
        <f t="shared" si="2421"/>
        <v/>
      </c>
      <c r="DY204" s="30" t="str">
        <f t="shared" si="2422"/>
        <v/>
      </c>
      <c r="DZ204" s="30" t="str">
        <f t="shared" si="2423"/>
        <v/>
      </c>
      <c r="EA204" s="30" t="str">
        <f t="shared" si="2424"/>
        <v/>
      </c>
      <c r="EB204" s="30" t="str">
        <f t="shared" si="2425"/>
        <v/>
      </c>
      <c r="EC204" s="30" t="str">
        <f t="shared" si="2426"/>
        <v/>
      </c>
      <c r="ED204" s="30" t="str">
        <f t="shared" si="2427"/>
        <v/>
      </c>
      <c r="EE204" s="30" t="str">
        <f t="shared" si="2428"/>
        <v/>
      </c>
      <c r="EF204" s="30" t="str">
        <f t="shared" si="2429"/>
        <v/>
      </c>
      <c r="EG204" s="30" t="str">
        <f t="shared" si="2430"/>
        <v/>
      </c>
      <c r="EH204" s="30" t="str">
        <f t="shared" si="2431"/>
        <v/>
      </c>
      <c r="EI204" s="30" t="str">
        <f t="shared" si="2432"/>
        <v/>
      </c>
      <c r="EJ204" s="30" t="str">
        <f t="shared" si="2433"/>
        <v/>
      </c>
      <c r="EK204" s="30" t="str">
        <f t="shared" si="2434"/>
        <v/>
      </c>
      <c r="EL204" s="30" t="str">
        <f t="shared" si="2435"/>
        <v/>
      </c>
      <c r="EM204" s="30" t="str">
        <f t="shared" si="2436"/>
        <v/>
      </c>
      <c r="EN204" s="30" t="str">
        <f t="shared" si="2437"/>
        <v/>
      </c>
      <c r="EO204" s="30" t="str">
        <f t="shared" si="2438"/>
        <v/>
      </c>
      <c r="EP204" s="30" t="str">
        <f t="shared" si="2439"/>
        <v/>
      </c>
      <c r="EQ204" s="30" t="str">
        <f t="shared" si="2440"/>
        <v/>
      </c>
      <c r="ER204" s="30" t="str">
        <f t="shared" si="2441"/>
        <v/>
      </c>
      <c r="ES204" s="30" t="str">
        <f t="shared" si="2442"/>
        <v/>
      </c>
      <c r="ET204" s="30" t="str">
        <f t="shared" si="2443"/>
        <v/>
      </c>
      <c r="EU204" s="30" t="str">
        <f t="shared" si="2444"/>
        <v/>
      </c>
      <c r="EV204" s="30" t="str">
        <f t="shared" si="2445"/>
        <v/>
      </c>
      <c r="EW204" s="30" t="str">
        <f t="shared" si="2446"/>
        <v/>
      </c>
      <c r="EX204" s="30" t="str">
        <f t="shared" si="2447"/>
        <v/>
      </c>
      <c r="EY204" s="30" t="str">
        <f t="shared" si="2448"/>
        <v/>
      </c>
      <c r="EZ204" s="30" t="str">
        <f t="shared" si="2449"/>
        <v/>
      </c>
      <c r="FA204" s="30" t="str">
        <f t="shared" si="2450"/>
        <v/>
      </c>
      <c r="FB204" s="30" t="str">
        <f t="shared" si="2451"/>
        <v/>
      </c>
      <c r="FC204" s="30" t="str">
        <f t="shared" si="2452"/>
        <v/>
      </c>
      <c r="FD204" s="30" t="str">
        <f t="shared" si="2453"/>
        <v/>
      </c>
      <c r="FE204" s="30" t="str">
        <f t="shared" si="2454"/>
        <v/>
      </c>
      <c r="FF204" s="30" t="str">
        <f t="shared" si="2455"/>
        <v/>
      </c>
      <c r="FG204" s="30" t="str">
        <f t="shared" si="2456"/>
        <v/>
      </c>
      <c r="FH204" s="30" t="str">
        <f t="shared" si="2457"/>
        <v/>
      </c>
      <c r="FI204" s="30" t="str">
        <f t="shared" si="2458"/>
        <v/>
      </c>
      <c r="FJ204" s="30" t="str">
        <f t="shared" si="2459"/>
        <v/>
      </c>
      <c r="FK204" s="30" t="str">
        <f t="shared" si="2460"/>
        <v/>
      </c>
      <c r="FL204" s="30" t="str">
        <f t="shared" si="2461"/>
        <v/>
      </c>
      <c r="FM204" s="30" t="str">
        <f t="shared" si="2462"/>
        <v/>
      </c>
      <c r="FN204" s="30" t="str">
        <f t="shared" si="2463"/>
        <v/>
      </c>
      <c r="FO204" s="30" t="str">
        <f t="shared" si="2464"/>
        <v/>
      </c>
      <c r="FP204" s="30" t="str">
        <f t="shared" si="2465"/>
        <v/>
      </c>
      <c r="FQ204" s="30" t="str">
        <f t="shared" si="2466"/>
        <v/>
      </c>
      <c r="FR204" s="30" t="str">
        <f t="shared" si="2467"/>
        <v/>
      </c>
      <c r="FS204" s="30" t="str">
        <f t="shared" si="2468"/>
        <v/>
      </c>
    </row>
    <row r="205" spans="1:175">
      <c r="CN205" s="7" t="str">
        <f t="shared" si="2393"/>
        <v>InitUnitState('',,,,,,,,,,)</v>
      </c>
      <c r="CO205" s="7" t="str">
        <f t="shared" si="2394"/>
        <v>InitUnitNormal('',,,,,,,,,,)</v>
      </c>
      <c r="CP205" s="7" t="str">
        <f t="shared" si="2395"/>
        <v>InitUnitMagic('',,,,,,,,,,)</v>
      </c>
      <c r="CQ205" s="7" t="str">
        <f t="shared" si="2396"/>
        <v>InitUnitAdd('',,,,,,,,,,)</v>
      </c>
      <c r="CR205" s="7" t="str">
        <f t="shared" si="2397"/>
        <v>InitEquipData('',,"",,,,,'','','','','','',"")</v>
      </c>
      <c r="CU205" s="29" t="str">
        <f t="shared" si="2398"/>
        <v>|n</v>
      </c>
      <c r="CW205" s="24"/>
      <c r="CX205" s="24"/>
      <c r="CY205" s="24"/>
      <c r="CZ205" s="24"/>
      <c r="DA205" s="24"/>
      <c r="DB205" s="30" t="str">
        <f t="shared" si="2399"/>
        <v/>
      </c>
      <c r="DC205" s="30" t="str">
        <f t="shared" si="2400"/>
        <v/>
      </c>
      <c r="DD205" s="30" t="str">
        <f t="shared" si="2401"/>
        <v/>
      </c>
      <c r="DE205" s="30" t="str">
        <f t="shared" si="2402"/>
        <v/>
      </c>
      <c r="DF205" s="30" t="str">
        <f t="shared" si="2403"/>
        <v/>
      </c>
      <c r="DG205" s="30" t="str">
        <f t="shared" si="2404"/>
        <v/>
      </c>
      <c r="DH205" s="30" t="str">
        <f t="shared" si="2405"/>
        <v/>
      </c>
      <c r="DI205" s="30" t="str">
        <f t="shared" si="2406"/>
        <v/>
      </c>
      <c r="DJ205" s="30" t="str">
        <f t="shared" si="2407"/>
        <v/>
      </c>
      <c r="DK205" s="30" t="str">
        <f t="shared" si="2408"/>
        <v/>
      </c>
      <c r="DL205" s="30" t="str">
        <f t="shared" si="2409"/>
        <v/>
      </c>
      <c r="DM205" s="30" t="str">
        <f t="shared" si="2410"/>
        <v/>
      </c>
      <c r="DN205" s="30" t="str">
        <f t="shared" si="2411"/>
        <v/>
      </c>
      <c r="DO205" s="30" t="str">
        <f t="shared" si="2412"/>
        <v/>
      </c>
      <c r="DP205" s="30" t="str">
        <f t="shared" si="2413"/>
        <v/>
      </c>
      <c r="DQ205" s="30" t="str">
        <f t="shared" si="2414"/>
        <v/>
      </c>
      <c r="DR205" s="30" t="str">
        <f t="shared" si="2415"/>
        <v/>
      </c>
      <c r="DS205" s="30" t="str">
        <f t="shared" si="2416"/>
        <v/>
      </c>
      <c r="DT205" s="30" t="str">
        <f t="shared" si="2417"/>
        <v/>
      </c>
      <c r="DU205" s="30" t="str">
        <f t="shared" si="2418"/>
        <v/>
      </c>
      <c r="DV205" s="30" t="str">
        <f t="shared" si="2419"/>
        <v/>
      </c>
      <c r="DW205" s="30" t="str">
        <f t="shared" si="2420"/>
        <v/>
      </c>
      <c r="DX205" s="30" t="str">
        <f t="shared" si="2421"/>
        <v/>
      </c>
      <c r="DY205" s="30" t="str">
        <f t="shared" si="2422"/>
        <v/>
      </c>
      <c r="DZ205" s="30" t="str">
        <f t="shared" si="2423"/>
        <v/>
      </c>
      <c r="EA205" s="30" t="str">
        <f t="shared" si="2424"/>
        <v/>
      </c>
      <c r="EB205" s="30" t="str">
        <f t="shared" si="2425"/>
        <v/>
      </c>
      <c r="EC205" s="30" t="str">
        <f t="shared" si="2426"/>
        <v/>
      </c>
      <c r="ED205" s="30" t="str">
        <f t="shared" si="2427"/>
        <v/>
      </c>
      <c r="EE205" s="30" t="str">
        <f t="shared" si="2428"/>
        <v/>
      </c>
      <c r="EF205" s="30" t="str">
        <f t="shared" si="2429"/>
        <v/>
      </c>
      <c r="EG205" s="30" t="str">
        <f t="shared" si="2430"/>
        <v/>
      </c>
      <c r="EH205" s="30" t="str">
        <f t="shared" si="2431"/>
        <v/>
      </c>
      <c r="EI205" s="30" t="str">
        <f t="shared" si="2432"/>
        <v/>
      </c>
      <c r="EJ205" s="30" t="str">
        <f t="shared" si="2433"/>
        <v/>
      </c>
      <c r="EK205" s="30" t="str">
        <f t="shared" si="2434"/>
        <v/>
      </c>
      <c r="EL205" s="30" t="str">
        <f t="shared" si="2435"/>
        <v/>
      </c>
      <c r="EM205" s="30" t="str">
        <f t="shared" si="2436"/>
        <v/>
      </c>
      <c r="EN205" s="30" t="str">
        <f t="shared" si="2437"/>
        <v/>
      </c>
      <c r="EO205" s="30" t="str">
        <f t="shared" si="2438"/>
        <v/>
      </c>
      <c r="EP205" s="30" t="str">
        <f t="shared" si="2439"/>
        <v/>
      </c>
      <c r="EQ205" s="30" t="str">
        <f t="shared" si="2440"/>
        <v/>
      </c>
      <c r="ER205" s="30" t="str">
        <f t="shared" si="2441"/>
        <v/>
      </c>
      <c r="ES205" s="30" t="str">
        <f t="shared" si="2442"/>
        <v/>
      </c>
      <c r="ET205" s="30" t="str">
        <f t="shared" si="2443"/>
        <v/>
      </c>
      <c r="EU205" s="30" t="str">
        <f t="shared" si="2444"/>
        <v/>
      </c>
      <c r="EV205" s="30" t="str">
        <f t="shared" si="2445"/>
        <v/>
      </c>
      <c r="EW205" s="30" t="str">
        <f t="shared" si="2446"/>
        <v/>
      </c>
      <c r="EX205" s="30" t="str">
        <f t="shared" si="2447"/>
        <v/>
      </c>
      <c r="EY205" s="30" t="str">
        <f t="shared" si="2448"/>
        <v/>
      </c>
      <c r="EZ205" s="30" t="str">
        <f t="shared" si="2449"/>
        <v/>
      </c>
      <c r="FA205" s="30" t="str">
        <f t="shared" si="2450"/>
        <v/>
      </c>
      <c r="FB205" s="30" t="str">
        <f t="shared" si="2451"/>
        <v/>
      </c>
      <c r="FC205" s="30" t="str">
        <f t="shared" si="2452"/>
        <v/>
      </c>
      <c r="FD205" s="30" t="str">
        <f t="shared" si="2453"/>
        <v/>
      </c>
      <c r="FE205" s="30" t="str">
        <f t="shared" si="2454"/>
        <v/>
      </c>
      <c r="FF205" s="30" t="str">
        <f t="shared" si="2455"/>
        <v/>
      </c>
      <c r="FG205" s="30" t="str">
        <f t="shared" si="2456"/>
        <v/>
      </c>
      <c r="FH205" s="30" t="str">
        <f t="shared" si="2457"/>
        <v/>
      </c>
      <c r="FI205" s="30" t="str">
        <f t="shared" si="2458"/>
        <v/>
      </c>
      <c r="FJ205" s="30" t="str">
        <f t="shared" si="2459"/>
        <v/>
      </c>
      <c r="FK205" s="30" t="str">
        <f t="shared" si="2460"/>
        <v/>
      </c>
      <c r="FL205" s="30" t="str">
        <f t="shared" si="2461"/>
        <v/>
      </c>
      <c r="FM205" s="30" t="str">
        <f t="shared" si="2462"/>
        <v/>
      </c>
      <c r="FN205" s="30" t="str">
        <f t="shared" si="2463"/>
        <v/>
      </c>
      <c r="FO205" s="30" t="str">
        <f t="shared" si="2464"/>
        <v/>
      </c>
      <c r="FP205" s="30" t="str">
        <f t="shared" si="2465"/>
        <v/>
      </c>
      <c r="FQ205" s="30" t="str">
        <f t="shared" si="2466"/>
        <v/>
      </c>
      <c r="FR205" s="30" t="str">
        <f t="shared" si="2467"/>
        <v/>
      </c>
      <c r="FS205" s="30" t="str">
        <f t="shared" si="2468"/>
        <v/>
      </c>
    </row>
    <row r="206" spans="1:175">
      <c r="CN206" s="7" t="str">
        <f t="shared" si="2393"/>
        <v>InitUnitState('',,,,,,,,,,)</v>
      </c>
      <c r="CO206" s="7" t="str">
        <f t="shared" si="2394"/>
        <v>InitUnitNormal('',,,,,,,,,,)</v>
      </c>
      <c r="CP206" s="7" t="str">
        <f t="shared" si="2395"/>
        <v>InitUnitMagic('',,,,,,,,,,)</v>
      </c>
      <c r="CQ206" s="7" t="str">
        <f t="shared" si="2396"/>
        <v>InitUnitAdd('',,,,,,,,,,)</v>
      </c>
      <c r="CR206" s="7" t="str">
        <f t="shared" si="2397"/>
        <v>InitEquipData('',,"",,,,,'','','','','','',"")</v>
      </c>
      <c r="CU206" s="29" t="str">
        <f t="shared" si="2398"/>
        <v>|n</v>
      </c>
      <c r="CW206" s="24"/>
      <c r="CX206" s="24"/>
      <c r="CY206" s="24"/>
      <c r="CZ206" s="24"/>
      <c r="DA206" s="24"/>
      <c r="DB206" s="30" t="str">
        <f t="shared" si="2399"/>
        <v/>
      </c>
      <c r="DC206" s="30" t="str">
        <f t="shared" si="2400"/>
        <v/>
      </c>
      <c r="DD206" s="30" t="str">
        <f t="shared" si="2401"/>
        <v/>
      </c>
      <c r="DE206" s="30" t="str">
        <f t="shared" si="2402"/>
        <v/>
      </c>
      <c r="DF206" s="30" t="str">
        <f t="shared" si="2403"/>
        <v/>
      </c>
      <c r="DG206" s="30" t="str">
        <f t="shared" si="2404"/>
        <v/>
      </c>
      <c r="DH206" s="30" t="str">
        <f t="shared" si="2405"/>
        <v/>
      </c>
      <c r="DI206" s="30" t="str">
        <f t="shared" si="2406"/>
        <v/>
      </c>
      <c r="DJ206" s="30" t="str">
        <f t="shared" si="2407"/>
        <v/>
      </c>
      <c r="DK206" s="30" t="str">
        <f t="shared" si="2408"/>
        <v/>
      </c>
      <c r="DL206" s="30" t="str">
        <f t="shared" si="2409"/>
        <v/>
      </c>
      <c r="DM206" s="30" t="str">
        <f t="shared" si="2410"/>
        <v/>
      </c>
      <c r="DN206" s="30" t="str">
        <f t="shared" si="2411"/>
        <v/>
      </c>
      <c r="DO206" s="30" t="str">
        <f t="shared" si="2412"/>
        <v/>
      </c>
      <c r="DP206" s="30" t="str">
        <f t="shared" si="2413"/>
        <v/>
      </c>
      <c r="DQ206" s="30" t="str">
        <f t="shared" si="2414"/>
        <v/>
      </c>
      <c r="DR206" s="30" t="str">
        <f t="shared" si="2415"/>
        <v/>
      </c>
      <c r="DS206" s="30" t="str">
        <f t="shared" si="2416"/>
        <v/>
      </c>
      <c r="DT206" s="30" t="str">
        <f t="shared" si="2417"/>
        <v/>
      </c>
      <c r="DU206" s="30" t="str">
        <f t="shared" si="2418"/>
        <v/>
      </c>
      <c r="DV206" s="30" t="str">
        <f t="shared" si="2419"/>
        <v/>
      </c>
      <c r="DW206" s="30" t="str">
        <f t="shared" si="2420"/>
        <v/>
      </c>
      <c r="DX206" s="30" t="str">
        <f t="shared" si="2421"/>
        <v/>
      </c>
      <c r="DY206" s="30" t="str">
        <f t="shared" si="2422"/>
        <v/>
      </c>
      <c r="DZ206" s="30" t="str">
        <f t="shared" si="2423"/>
        <v/>
      </c>
      <c r="EA206" s="30" t="str">
        <f t="shared" si="2424"/>
        <v/>
      </c>
      <c r="EB206" s="30" t="str">
        <f t="shared" si="2425"/>
        <v/>
      </c>
      <c r="EC206" s="30" t="str">
        <f t="shared" si="2426"/>
        <v/>
      </c>
      <c r="ED206" s="30" t="str">
        <f t="shared" si="2427"/>
        <v/>
      </c>
      <c r="EE206" s="30" t="str">
        <f t="shared" si="2428"/>
        <v/>
      </c>
      <c r="EF206" s="30" t="str">
        <f t="shared" si="2429"/>
        <v/>
      </c>
      <c r="EG206" s="30" t="str">
        <f t="shared" si="2430"/>
        <v/>
      </c>
      <c r="EH206" s="30" t="str">
        <f t="shared" si="2431"/>
        <v/>
      </c>
      <c r="EI206" s="30" t="str">
        <f t="shared" si="2432"/>
        <v/>
      </c>
      <c r="EJ206" s="30" t="str">
        <f t="shared" si="2433"/>
        <v/>
      </c>
      <c r="EK206" s="30" t="str">
        <f t="shared" si="2434"/>
        <v/>
      </c>
      <c r="EL206" s="30" t="str">
        <f t="shared" si="2435"/>
        <v/>
      </c>
      <c r="EM206" s="30" t="str">
        <f t="shared" si="2436"/>
        <v/>
      </c>
      <c r="EN206" s="30" t="str">
        <f t="shared" si="2437"/>
        <v/>
      </c>
      <c r="EO206" s="30" t="str">
        <f t="shared" si="2438"/>
        <v/>
      </c>
      <c r="EP206" s="30" t="str">
        <f t="shared" si="2439"/>
        <v/>
      </c>
      <c r="EQ206" s="30" t="str">
        <f t="shared" si="2440"/>
        <v/>
      </c>
      <c r="ER206" s="30" t="str">
        <f t="shared" si="2441"/>
        <v/>
      </c>
      <c r="ES206" s="30" t="str">
        <f t="shared" si="2442"/>
        <v/>
      </c>
      <c r="ET206" s="30" t="str">
        <f t="shared" si="2443"/>
        <v/>
      </c>
      <c r="EU206" s="30" t="str">
        <f t="shared" si="2444"/>
        <v/>
      </c>
      <c r="EV206" s="30" t="str">
        <f t="shared" si="2445"/>
        <v/>
      </c>
      <c r="EW206" s="30" t="str">
        <f t="shared" si="2446"/>
        <v/>
      </c>
      <c r="EX206" s="30" t="str">
        <f t="shared" si="2447"/>
        <v/>
      </c>
      <c r="EY206" s="30" t="str">
        <f t="shared" si="2448"/>
        <v/>
      </c>
      <c r="EZ206" s="30" t="str">
        <f t="shared" si="2449"/>
        <v/>
      </c>
      <c r="FA206" s="30" t="str">
        <f t="shared" si="2450"/>
        <v/>
      </c>
      <c r="FB206" s="30" t="str">
        <f t="shared" si="2451"/>
        <v/>
      </c>
      <c r="FC206" s="30" t="str">
        <f t="shared" si="2452"/>
        <v/>
      </c>
      <c r="FD206" s="30" t="str">
        <f t="shared" si="2453"/>
        <v/>
      </c>
      <c r="FE206" s="30" t="str">
        <f t="shared" si="2454"/>
        <v/>
      </c>
      <c r="FF206" s="30" t="str">
        <f t="shared" si="2455"/>
        <v/>
      </c>
      <c r="FG206" s="30" t="str">
        <f t="shared" si="2456"/>
        <v/>
      </c>
      <c r="FH206" s="30" t="str">
        <f t="shared" si="2457"/>
        <v/>
      </c>
      <c r="FI206" s="30" t="str">
        <f t="shared" si="2458"/>
        <v/>
      </c>
      <c r="FJ206" s="30" t="str">
        <f t="shared" si="2459"/>
        <v/>
      </c>
      <c r="FK206" s="30" t="str">
        <f t="shared" si="2460"/>
        <v/>
      </c>
      <c r="FL206" s="30" t="str">
        <f t="shared" si="2461"/>
        <v/>
      </c>
      <c r="FM206" s="30" t="str">
        <f t="shared" si="2462"/>
        <v/>
      </c>
      <c r="FN206" s="30" t="str">
        <f t="shared" si="2463"/>
        <v/>
      </c>
      <c r="FO206" s="30" t="str">
        <f t="shared" si="2464"/>
        <v/>
      </c>
      <c r="FP206" s="30" t="str">
        <f t="shared" si="2465"/>
        <v/>
      </c>
      <c r="FQ206" s="30" t="str">
        <f t="shared" si="2466"/>
        <v/>
      </c>
      <c r="FR206" s="30" t="str">
        <f t="shared" si="2467"/>
        <v/>
      </c>
      <c r="FS206" s="30" t="str">
        <f t="shared" si="2468"/>
        <v/>
      </c>
    </row>
    <row r="207" spans="1:175">
      <c r="CN207" s="7" t="str">
        <f t="shared" si="2393"/>
        <v>InitUnitState('',,,,,,,,,,)</v>
      </c>
      <c r="CO207" s="7" t="str">
        <f t="shared" si="2394"/>
        <v>InitUnitNormal('',,,,,,,,,,)</v>
      </c>
      <c r="CP207" s="7" t="str">
        <f t="shared" si="2395"/>
        <v>InitUnitMagic('',,,,,,,,,,)</v>
      </c>
      <c r="CQ207" s="7" t="str">
        <f t="shared" si="2396"/>
        <v>InitUnitAdd('',,,,,,,,,,)</v>
      </c>
      <c r="CR207" s="7" t="str">
        <f t="shared" si="2397"/>
        <v>InitEquipData('',,"",,,,,'','','','','','',"")</v>
      </c>
      <c r="CU207" s="29" t="str">
        <f t="shared" si="2398"/>
        <v>|n</v>
      </c>
      <c r="CW207" s="24"/>
      <c r="CX207" s="24"/>
      <c r="CY207" s="24"/>
      <c r="CZ207" s="24"/>
      <c r="DA207" s="24"/>
      <c r="DB207" s="30" t="str">
        <f t="shared" si="2399"/>
        <v/>
      </c>
      <c r="DC207" s="30" t="str">
        <f t="shared" si="2400"/>
        <v/>
      </c>
      <c r="DD207" s="30" t="str">
        <f t="shared" si="2401"/>
        <v/>
      </c>
      <c r="DE207" s="30" t="str">
        <f t="shared" si="2402"/>
        <v/>
      </c>
      <c r="DF207" s="30" t="str">
        <f t="shared" si="2403"/>
        <v/>
      </c>
      <c r="DG207" s="30" t="str">
        <f t="shared" si="2404"/>
        <v/>
      </c>
      <c r="DH207" s="30" t="str">
        <f t="shared" si="2405"/>
        <v/>
      </c>
      <c r="DI207" s="30" t="str">
        <f t="shared" si="2406"/>
        <v/>
      </c>
      <c r="DJ207" s="30" t="str">
        <f t="shared" si="2407"/>
        <v/>
      </c>
      <c r="DK207" s="30" t="str">
        <f t="shared" si="2408"/>
        <v/>
      </c>
      <c r="DL207" s="30" t="str">
        <f t="shared" si="2409"/>
        <v/>
      </c>
      <c r="DM207" s="30" t="str">
        <f t="shared" si="2410"/>
        <v/>
      </c>
      <c r="DN207" s="30" t="str">
        <f t="shared" si="2411"/>
        <v/>
      </c>
      <c r="DO207" s="30" t="str">
        <f t="shared" si="2412"/>
        <v/>
      </c>
      <c r="DP207" s="30" t="str">
        <f t="shared" si="2413"/>
        <v/>
      </c>
      <c r="DQ207" s="30" t="str">
        <f t="shared" si="2414"/>
        <v/>
      </c>
      <c r="DR207" s="30" t="str">
        <f t="shared" si="2415"/>
        <v/>
      </c>
      <c r="DS207" s="30" t="str">
        <f t="shared" si="2416"/>
        <v/>
      </c>
      <c r="DT207" s="30" t="str">
        <f t="shared" si="2417"/>
        <v/>
      </c>
      <c r="DU207" s="30" t="str">
        <f t="shared" si="2418"/>
        <v/>
      </c>
      <c r="DV207" s="30" t="str">
        <f t="shared" si="2419"/>
        <v/>
      </c>
      <c r="DW207" s="30" t="str">
        <f t="shared" si="2420"/>
        <v/>
      </c>
      <c r="DX207" s="30" t="str">
        <f t="shared" si="2421"/>
        <v/>
      </c>
      <c r="DY207" s="30" t="str">
        <f t="shared" si="2422"/>
        <v/>
      </c>
      <c r="DZ207" s="30" t="str">
        <f t="shared" si="2423"/>
        <v/>
      </c>
      <c r="EA207" s="30" t="str">
        <f t="shared" si="2424"/>
        <v/>
      </c>
      <c r="EB207" s="30" t="str">
        <f t="shared" si="2425"/>
        <v/>
      </c>
      <c r="EC207" s="30" t="str">
        <f t="shared" si="2426"/>
        <v/>
      </c>
      <c r="ED207" s="30" t="str">
        <f t="shared" si="2427"/>
        <v/>
      </c>
      <c r="EE207" s="30" t="str">
        <f t="shared" si="2428"/>
        <v/>
      </c>
      <c r="EF207" s="30" t="str">
        <f t="shared" si="2429"/>
        <v/>
      </c>
      <c r="EG207" s="30" t="str">
        <f t="shared" si="2430"/>
        <v/>
      </c>
      <c r="EH207" s="30" t="str">
        <f t="shared" si="2431"/>
        <v/>
      </c>
      <c r="EI207" s="30" t="str">
        <f t="shared" si="2432"/>
        <v/>
      </c>
      <c r="EJ207" s="30" t="str">
        <f t="shared" si="2433"/>
        <v/>
      </c>
      <c r="EK207" s="30" t="str">
        <f t="shared" si="2434"/>
        <v/>
      </c>
      <c r="EL207" s="30" t="str">
        <f t="shared" si="2435"/>
        <v/>
      </c>
      <c r="EM207" s="30" t="str">
        <f t="shared" si="2436"/>
        <v/>
      </c>
      <c r="EN207" s="30" t="str">
        <f t="shared" si="2437"/>
        <v/>
      </c>
      <c r="EO207" s="30" t="str">
        <f t="shared" si="2438"/>
        <v/>
      </c>
      <c r="EP207" s="30" t="str">
        <f t="shared" si="2439"/>
        <v/>
      </c>
      <c r="EQ207" s="30" t="str">
        <f t="shared" si="2440"/>
        <v/>
      </c>
      <c r="ER207" s="30" t="str">
        <f t="shared" si="2441"/>
        <v/>
      </c>
      <c r="ES207" s="30" t="str">
        <f t="shared" si="2442"/>
        <v/>
      </c>
      <c r="ET207" s="30" t="str">
        <f t="shared" si="2443"/>
        <v/>
      </c>
      <c r="EU207" s="30" t="str">
        <f t="shared" si="2444"/>
        <v/>
      </c>
      <c r="EV207" s="30" t="str">
        <f t="shared" si="2445"/>
        <v/>
      </c>
      <c r="EW207" s="30" t="str">
        <f t="shared" si="2446"/>
        <v/>
      </c>
      <c r="EX207" s="30" t="str">
        <f t="shared" si="2447"/>
        <v/>
      </c>
      <c r="EY207" s="30" t="str">
        <f t="shared" si="2448"/>
        <v/>
      </c>
      <c r="EZ207" s="30" t="str">
        <f t="shared" si="2449"/>
        <v/>
      </c>
      <c r="FA207" s="30" t="str">
        <f t="shared" si="2450"/>
        <v/>
      </c>
      <c r="FB207" s="30" t="str">
        <f t="shared" si="2451"/>
        <v/>
      </c>
      <c r="FC207" s="30" t="str">
        <f t="shared" si="2452"/>
        <v/>
      </c>
      <c r="FD207" s="30" t="str">
        <f t="shared" si="2453"/>
        <v/>
      </c>
      <c r="FE207" s="30" t="str">
        <f t="shared" si="2454"/>
        <v/>
      </c>
      <c r="FF207" s="30" t="str">
        <f t="shared" si="2455"/>
        <v/>
      </c>
      <c r="FG207" s="30" t="str">
        <f t="shared" si="2456"/>
        <v/>
      </c>
      <c r="FH207" s="30" t="str">
        <f t="shared" si="2457"/>
        <v/>
      </c>
      <c r="FI207" s="30" t="str">
        <f t="shared" si="2458"/>
        <v/>
      </c>
      <c r="FJ207" s="30" t="str">
        <f t="shared" si="2459"/>
        <v/>
      </c>
      <c r="FK207" s="30" t="str">
        <f t="shared" si="2460"/>
        <v/>
      </c>
      <c r="FL207" s="30" t="str">
        <f t="shared" si="2461"/>
        <v/>
      </c>
      <c r="FM207" s="30" t="str">
        <f t="shared" si="2462"/>
        <v/>
      </c>
      <c r="FN207" s="30" t="str">
        <f t="shared" si="2463"/>
        <v/>
      </c>
      <c r="FO207" s="30" t="str">
        <f t="shared" si="2464"/>
        <v/>
      </c>
      <c r="FP207" s="30" t="str">
        <f t="shared" si="2465"/>
        <v/>
      </c>
      <c r="FQ207" s="30" t="str">
        <f t="shared" si="2466"/>
        <v/>
      </c>
      <c r="FR207" s="30" t="str">
        <f t="shared" si="2467"/>
        <v/>
      </c>
      <c r="FS207" s="30" t="str">
        <f t="shared" si="2468"/>
        <v/>
      </c>
    </row>
    <row r="208" spans="1:175">
      <c r="CN208" s="7" t="str">
        <f t="shared" si="2393"/>
        <v>InitUnitState('',,,,,,,,,,)</v>
      </c>
      <c r="CO208" s="7" t="str">
        <f t="shared" si="2394"/>
        <v>InitUnitNormal('',,,,,,,,,,)</v>
      </c>
      <c r="CP208" s="7" t="str">
        <f t="shared" si="2395"/>
        <v>InitUnitMagic('',,,,,,,,,,)</v>
      </c>
      <c r="CQ208" s="7" t="str">
        <f t="shared" si="2396"/>
        <v>InitUnitAdd('',,,,,,,,,,)</v>
      </c>
      <c r="CR208" s="7" t="str">
        <f t="shared" si="2397"/>
        <v>InitEquipData('',,"",,,,,'','','','','','',"")</v>
      </c>
      <c r="CU208" s="29" t="str">
        <f t="shared" si="2398"/>
        <v>|n</v>
      </c>
      <c r="CW208" s="24"/>
      <c r="CX208" s="24"/>
      <c r="CY208" s="24"/>
      <c r="CZ208" s="24"/>
      <c r="DA208" s="24"/>
      <c r="DB208" s="30" t="str">
        <f t="shared" si="2399"/>
        <v/>
      </c>
      <c r="DC208" s="30" t="str">
        <f t="shared" si="2400"/>
        <v/>
      </c>
      <c r="DD208" s="30" t="str">
        <f t="shared" si="2401"/>
        <v/>
      </c>
      <c r="DE208" s="30" t="str">
        <f t="shared" si="2402"/>
        <v/>
      </c>
      <c r="DF208" s="30" t="str">
        <f t="shared" si="2403"/>
        <v/>
      </c>
      <c r="DG208" s="30" t="str">
        <f t="shared" si="2404"/>
        <v/>
      </c>
      <c r="DH208" s="30" t="str">
        <f t="shared" si="2405"/>
        <v/>
      </c>
      <c r="DI208" s="30" t="str">
        <f t="shared" si="2406"/>
        <v/>
      </c>
      <c r="DJ208" s="30" t="str">
        <f t="shared" si="2407"/>
        <v/>
      </c>
      <c r="DK208" s="30" t="str">
        <f t="shared" si="2408"/>
        <v/>
      </c>
      <c r="DL208" s="30" t="str">
        <f t="shared" si="2409"/>
        <v/>
      </c>
      <c r="DM208" s="30" t="str">
        <f t="shared" si="2410"/>
        <v/>
      </c>
      <c r="DN208" s="30" t="str">
        <f t="shared" si="2411"/>
        <v/>
      </c>
      <c r="DO208" s="30" t="str">
        <f t="shared" si="2412"/>
        <v/>
      </c>
      <c r="DP208" s="30" t="str">
        <f t="shared" si="2413"/>
        <v/>
      </c>
      <c r="DQ208" s="30" t="str">
        <f t="shared" si="2414"/>
        <v/>
      </c>
      <c r="DR208" s="30" t="str">
        <f t="shared" si="2415"/>
        <v/>
      </c>
      <c r="DS208" s="30" t="str">
        <f t="shared" si="2416"/>
        <v/>
      </c>
      <c r="DT208" s="30" t="str">
        <f t="shared" si="2417"/>
        <v/>
      </c>
      <c r="DU208" s="30" t="str">
        <f t="shared" si="2418"/>
        <v/>
      </c>
      <c r="DV208" s="30" t="str">
        <f t="shared" si="2419"/>
        <v/>
      </c>
      <c r="DW208" s="30" t="str">
        <f t="shared" si="2420"/>
        <v/>
      </c>
      <c r="DX208" s="30" t="str">
        <f t="shared" si="2421"/>
        <v/>
      </c>
      <c r="DY208" s="30" t="str">
        <f t="shared" si="2422"/>
        <v/>
      </c>
      <c r="DZ208" s="30" t="str">
        <f t="shared" si="2423"/>
        <v/>
      </c>
      <c r="EA208" s="30" t="str">
        <f t="shared" si="2424"/>
        <v/>
      </c>
      <c r="EB208" s="30" t="str">
        <f t="shared" si="2425"/>
        <v/>
      </c>
      <c r="EC208" s="30" t="str">
        <f t="shared" si="2426"/>
        <v/>
      </c>
      <c r="ED208" s="30" t="str">
        <f t="shared" si="2427"/>
        <v/>
      </c>
      <c r="EE208" s="30" t="str">
        <f t="shared" si="2428"/>
        <v/>
      </c>
      <c r="EF208" s="30" t="str">
        <f t="shared" si="2429"/>
        <v/>
      </c>
      <c r="EG208" s="30" t="str">
        <f t="shared" si="2430"/>
        <v/>
      </c>
      <c r="EH208" s="30" t="str">
        <f t="shared" si="2431"/>
        <v/>
      </c>
      <c r="EI208" s="30" t="str">
        <f t="shared" si="2432"/>
        <v/>
      </c>
      <c r="EJ208" s="30" t="str">
        <f t="shared" si="2433"/>
        <v/>
      </c>
      <c r="EK208" s="30" t="str">
        <f t="shared" si="2434"/>
        <v/>
      </c>
      <c r="EL208" s="30" t="str">
        <f t="shared" si="2435"/>
        <v/>
      </c>
      <c r="EM208" s="30" t="str">
        <f t="shared" si="2436"/>
        <v/>
      </c>
      <c r="EN208" s="30" t="str">
        <f t="shared" si="2437"/>
        <v/>
      </c>
      <c r="EO208" s="30" t="str">
        <f t="shared" si="2438"/>
        <v/>
      </c>
      <c r="EP208" s="30" t="str">
        <f t="shared" si="2439"/>
        <v/>
      </c>
      <c r="EQ208" s="30" t="str">
        <f t="shared" si="2440"/>
        <v/>
      </c>
      <c r="ER208" s="30" t="str">
        <f t="shared" si="2441"/>
        <v/>
      </c>
      <c r="ES208" s="30" t="str">
        <f t="shared" si="2442"/>
        <v/>
      </c>
      <c r="ET208" s="30" t="str">
        <f t="shared" si="2443"/>
        <v/>
      </c>
      <c r="EU208" s="30" t="str">
        <f t="shared" si="2444"/>
        <v/>
      </c>
      <c r="EV208" s="30" t="str">
        <f t="shared" si="2445"/>
        <v/>
      </c>
      <c r="EW208" s="30" t="str">
        <f t="shared" si="2446"/>
        <v/>
      </c>
      <c r="EX208" s="30" t="str">
        <f t="shared" si="2447"/>
        <v/>
      </c>
      <c r="EY208" s="30" t="str">
        <f t="shared" si="2448"/>
        <v/>
      </c>
      <c r="EZ208" s="30" t="str">
        <f t="shared" si="2449"/>
        <v/>
      </c>
      <c r="FA208" s="30" t="str">
        <f t="shared" si="2450"/>
        <v/>
      </c>
      <c r="FB208" s="30" t="str">
        <f t="shared" si="2451"/>
        <v/>
      </c>
      <c r="FC208" s="30" t="str">
        <f t="shared" si="2452"/>
        <v/>
      </c>
      <c r="FD208" s="30" t="str">
        <f t="shared" si="2453"/>
        <v/>
      </c>
      <c r="FE208" s="30" t="str">
        <f t="shared" si="2454"/>
        <v/>
      </c>
      <c r="FF208" s="30" t="str">
        <f t="shared" si="2455"/>
        <v/>
      </c>
      <c r="FG208" s="30" t="str">
        <f t="shared" si="2456"/>
        <v/>
      </c>
      <c r="FH208" s="30" t="str">
        <f t="shared" si="2457"/>
        <v/>
      </c>
      <c r="FI208" s="30" t="str">
        <f t="shared" si="2458"/>
        <v/>
      </c>
      <c r="FJ208" s="30" t="str">
        <f t="shared" si="2459"/>
        <v/>
      </c>
      <c r="FK208" s="30" t="str">
        <f t="shared" si="2460"/>
        <v/>
      </c>
      <c r="FL208" s="30" t="str">
        <f t="shared" si="2461"/>
        <v/>
      </c>
      <c r="FM208" s="30" t="str">
        <f t="shared" si="2462"/>
        <v/>
      </c>
      <c r="FN208" s="30" t="str">
        <f t="shared" si="2463"/>
        <v/>
      </c>
      <c r="FO208" s="30" t="str">
        <f t="shared" si="2464"/>
        <v/>
      </c>
      <c r="FP208" s="30" t="str">
        <f t="shared" si="2465"/>
        <v/>
      </c>
      <c r="FQ208" s="30" t="str">
        <f t="shared" si="2466"/>
        <v/>
      </c>
      <c r="FR208" s="30" t="str">
        <f t="shared" si="2467"/>
        <v/>
      </c>
      <c r="FS208" s="30" t="str">
        <f t="shared" si="2468"/>
        <v/>
      </c>
    </row>
    <row r="209" spans="92:175">
      <c r="CN209" s="7" t="str">
        <f t="shared" si="2393"/>
        <v>InitUnitState('',,,,,,,,,,)</v>
      </c>
      <c r="CO209" s="7" t="str">
        <f t="shared" si="2394"/>
        <v>InitUnitNormal('',,,,,,,,,,)</v>
      </c>
      <c r="CP209" s="7" t="str">
        <f t="shared" si="2395"/>
        <v>InitUnitMagic('',,,,,,,,,,)</v>
      </c>
      <c r="CQ209" s="7" t="str">
        <f t="shared" si="2396"/>
        <v>InitUnitAdd('',,,,,,,,,,)</v>
      </c>
      <c r="CR209" s="7" t="str">
        <f t="shared" si="2397"/>
        <v>InitEquipData('',,"",,,,,'','','','','','',"")</v>
      </c>
      <c r="CU209" s="29" t="str">
        <f t="shared" si="2398"/>
        <v>|n</v>
      </c>
      <c r="CW209" s="24"/>
      <c r="CX209" s="24"/>
      <c r="CY209" s="24"/>
      <c r="CZ209" s="24"/>
      <c r="DA209" s="24"/>
      <c r="DB209" s="30" t="str">
        <f t="shared" si="2399"/>
        <v/>
      </c>
      <c r="DC209" s="30" t="str">
        <f t="shared" si="2400"/>
        <v/>
      </c>
      <c r="DD209" s="30" t="str">
        <f t="shared" si="2401"/>
        <v/>
      </c>
      <c r="DE209" s="30" t="str">
        <f t="shared" si="2402"/>
        <v/>
      </c>
      <c r="DF209" s="30" t="str">
        <f t="shared" si="2403"/>
        <v/>
      </c>
      <c r="DG209" s="30" t="str">
        <f t="shared" si="2404"/>
        <v/>
      </c>
      <c r="DH209" s="30" t="str">
        <f t="shared" si="2405"/>
        <v/>
      </c>
      <c r="DI209" s="30" t="str">
        <f t="shared" si="2406"/>
        <v/>
      </c>
      <c r="DJ209" s="30" t="str">
        <f t="shared" si="2407"/>
        <v/>
      </c>
      <c r="DK209" s="30" t="str">
        <f t="shared" si="2408"/>
        <v/>
      </c>
      <c r="DL209" s="30" t="str">
        <f t="shared" si="2409"/>
        <v/>
      </c>
      <c r="DM209" s="30" t="str">
        <f t="shared" si="2410"/>
        <v/>
      </c>
      <c r="DN209" s="30" t="str">
        <f t="shared" si="2411"/>
        <v/>
      </c>
      <c r="DO209" s="30" t="str">
        <f t="shared" si="2412"/>
        <v/>
      </c>
      <c r="DP209" s="30" t="str">
        <f t="shared" si="2413"/>
        <v/>
      </c>
      <c r="DQ209" s="30" t="str">
        <f t="shared" si="2414"/>
        <v/>
      </c>
      <c r="DR209" s="30" t="str">
        <f t="shared" si="2415"/>
        <v/>
      </c>
      <c r="DS209" s="30" t="str">
        <f t="shared" si="2416"/>
        <v/>
      </c>
      <c r="DT209" s="30" t="str">
        <f t="shared" si="2417"/>
        <v/>
      </c>
      <c r="DU209" s="30" t="str">
        <f t="shared" si="2418"/>
        <v/>
      </c>
      <c r="DV209" s="30" t="str">
        <f t="shared" si="2419"/>
        <v/>
      </c>
      <c r="DW209" s="30" t="str">
        <f t="shared" si="2420"/>
        <v/>
      </c>
      <c r="DX209" s="30" t="str">
        <f t="shared" si="2421"/>
        <v/>
      </c>
      <c r="DY209" s="30" t="str">
        <f t="shared" si="2422"/>
        <v/>
      </c>
      <c r="DZ209" s="30" t="str">
        <f t="shared" si="2423"/>
        <v/>
      </c>
      <c r="EA209" s="30" t="str">
        <f t="shared" si="2424"/>
        <v/>
      </c>
      <c r="EB209" s="30" t="str">
        <f t="shared" si="2425"/>
        <v/>
      </c>
      <c r="EC209" s="30" t="str">
        <f t="shared" si="2426"/>
        <v/>
      </c>
      <c r="ED209" s="30" t="str">
        <f t="shared" si="2427"/>
        <v/>
      </c>
      <c r="EE209" s="30" t="str">
        <f t="shared" si="2428"/>
        <v/>
      </c>
      <c r="EF209" s="30" t="str">
        <f t="shared" si="2429"/>
        <v/>
      </c>
      <c r="EG209" s="30" t="str">
        <f t="shared" si="2430"/>
        <v/>
      </c>
      <c r="EH209" s="30" t="str">
        <f t="shared" si="2431"/>
        <v/>
      </c>
      <c r="EI209" s="30" t="str">
        <f t="shared" si="2432"/>
        <v/>
      </c>
      <c r="EJ209" s="30" t="str">
        <f t="shared" si="2433"/>
        <v/>
      </c>
      <c r="EK209" s="30" t="str">
        <f t="shared" si="2434"/>
        <v/>
      </c>
      <c r="EL209" s="30" t="str">
        <f t="shared" si="2435"/>
        <v/>
      </c>
      <c r="EM209" s="30" t="str">
        <f t="shared" si="2436"/>
        <v/>
      </c>
      <c r="EN209" s="30" t="str">
        <f t="shared" si="2437"/>
        <v/>
      </c>
      <c r="EO209" s="30" t="str">
        <f t="shared" si="2438"/>
        <v/>
      </c>
      <c r="EP209" s="30" t="str">
        <f t="shared" si="2439"/>
        <v/>
      </c>
      <c r="EQ209" s="30" t="str">
        <f t="shared" si="2440"/>
        <v/>
      </c>
      <c r="ER209" s="30" t="str">
        <f t="shared" si="2441"/>
        <v/>
      </c>
      <c r="ES209" s="30" t="str">
        <f t="shared" si="2442"/>
        <v/>
      </c>
      <c r="ET209" s="30" t="str">
        <f t="shared" si="2443"/>
        <v/>
      </c>
      <c r="EU209" s="30" t="str">
        <f t="shared" si="2444"/>
        <v/>
      </c>
      <c r="EV209" s="30" t="str">
        <f t="shared" si="2445"/>
        <v/>
      </c>
      <c r="EW209" s="30" t="str">
        <f t="shared" si="2446"/>
        <v/>
      </c>
      <c r="EX209" s="30" t="str">
        <f t="shared" si="2447"/>
        <v/>
      </c>
      <c r="EY209" s="30" t="str">
        <f t="shared" si="2448"/>
        <v/>
      </c>
      <c r="EZ209" s="30" t="str">
        <f t="shared" si="2449"/>
        <v/>
      </c>
      <c r="FA209" s="30" t="str">
        <f t="shared" si="2450"/>
        <v/>
      </c>
      <c r="FB209" s="30" t="str">
        <f t="shared" si="2451"/>
        <v/>
      </c>
      <c r="FC209" s="30" t="str">
        <f t="shared" si="2452"/>
        <v/>
      </c>
      <c r="FD209" s="30" t="str">
        <f t="shared" si="2453"/>
        <v/>
      </c>
      <c r="FE209" s="30" t="str">
        <f t="shared" si="2454"/>
        <v/>
      </c>
      <c r="FF209" s="30" t="str">
        <f t="shared" si="2455"/>
        <v/>
      </c>
      <c r="FG209" s="30" t="str">
        <f t="shared" si="2456"/>
        <v/>
      </c>
      <c r="FH209" s="30" t="str">
        <f t="shared" si="2457"/>
        <v/>
      </c>
      <c r="FI209" s="30" t="str">
        <f t="shared" si="2458"/>
        <v/>
      </c>
      <c r="FJ209" s="30" t="str">
        <f t="shared" si="2459"/>
        <v/>
      </c>
      <c r="FK209" s="30" t="str">
        <f t="shared" si="2460"/>
        <v/>
      </c>
      <c r="FL209" s="30" t="str">
        <f t="shared" si="2461"/>
        <v/>
      </c>
      <c r="FM209" s="30" t="str">
        <f t="shared" si="2462"/>
        <v/>
      </c>
      <c r="FN209" s="30" t="str">
        <f t="shared" si="2463"/>
        <v/>
      </c>
      <c r="FO209" s="30" t="str">
        <f t="shared" si="2464"/>
        <v/>
      </c>
      <c r="FP209" s="30" t="str">
        <f t="shared" si="2465"/>
        <v/>
      </c>
      <c r="FQ209" s="30" t="str">
        <f t="shared" si="2466"/>
        <v/>
      </c>
      <c r="FR209" s="30" t="str">
        <f t="shared" si="2467"/>
        <v/>
      </c>
      <c r="FS209" s="30" t="str">
        <f t="shared" si="2468"/>
        <v/>
      </c>
    </row>
    <row r="210" spans="92:175">
      <c r="CN210" s="7" t="str">
        <f t="shared" si="2393"/>
        <v>InitUnitState('',,,,,,,,,,)</v>
      </c>
      <c r="CO210" s="7" t="str">
        <f t="shared" si="2394"/>
        <v>InitUnitNormal('',,,,,,,,,,)</v>
      </c>
      <c r="CP210" s="7" t="str">
        <f t="shared" si="2395"/>
        <v>InitUnitMagic('',,,,,,,,,,)</v>
      </c>
      <c r="CQ210" s="7" t="str">
        <f t="shared" si="2396"/>
        <v>InitUnitAdd('',,,,,,,,,,)</v>
      </c>
      <c r="CR210" s="7" t="str">
        <f t="shared" si="2397"/>
        <v>InitEquipData('',,"",,,,,'','','','','','',"")</v>
      </c>
      <c r="CU210" s="29" t="str">
        <f t="shared" si="2398"/>
        <v>|n</v>
      </c>
      <c r="CW210" s="24"/>
      <c r="CX210" s="24"/>
      <c r="CY210" s="24"/>
      <c r="CZ210" s="24"/>
      <c r="DA210" s="24"/>
      <c r="DB210" s="30" t="str">
        <f t="shared" si="2399"/>
        <v/>
      </c>
      <c r="DC210" s="30" t="str">
        <f t="shared" si="2400"/>
        <v/>
      </c>
      <c r="DD210" s="30" t="str">
        <f t="shared" si="2401"/>
        <v/>
      </c>
      <c r="DE210" s="30" t="str">
        <f t="shared" si="2402"/>
        <v/>
      </c>
      <c r="DF210" s="30" t="str">
        <f t="shared" si="2403"/>
        <v/>
      </c>
      <c r="DG210" s="30" t="str">
        <f t="shared" si="2404"/>
        <v/>
      </c>
      <c r="DH210" s="30" t="str">
        <f t="shared" si="2405"/>
        <v/>
      </c>
      <c r="DI210" s="30" t="str">
        <f t="shared" si="2406"/>
        <v/>
      </c>
      <c r="DJ210" s="30" t="str">
        <f t="shared" si="2407"/>
        <v/>
      </c>
      <c r="DK210" s="30" t="str">
        <f t="shared" si="2408"/>
        <v/>
      </c>
      <c r="DL210" s="30" t="str">
        <f t="shared" si="2409"/>
        <v/>
      </c>
      <c r="DM210" s="30" t="str">
        <f t="shared" si="2410"/>
        <v/>
      </c>
      <c r="DN210" s="30" t="str">
        <f t="shared" si="2411"/>
        <v/>
      </c>
      <c r="DO210" s="30" t="str">
        <f t="shared" si="2412"/>
        <v/>
      </c>
      <c r="DP210" s="30" t="str">
        <f t="shared" si="2413"/>
        <v/>
      </c>
      <c r="DQ210" s="30" t="str">
        <f t="shared" si="2414"/>
        <v/>
      </c>
      <c r="DR210" s="30" t="str">
        <f t="shared" si="2415"/>
        <v/>
      </c>
      <c r="DS210" s="30" t="str">
        <f t="shared" si="2416"/>
        <v/>
      </c>
      <c r="DT210" s="30" t="str">
        <f t="shared" si="2417"/>
        <v/>
      </c>
      <c r="DU210" s="30" t="str">
        <f t="shared" si="2418"/>
        <v/>
      </c>
      <c r="DV210" s="30" t="str">
        <f t="shared" si="2419"/>
        <v/>
      </c>
      <c r="DW210" s="30" t="str">
        <f t="shared" si="2420"/>
        <v/>
      </c>
      <c r="DX210" s="30" t="str">
        <f t="shared" si="2421"/>
        <v/>
      </c>
      <c r="DY210" s="30" t="str">
        <f t="shared" si="2422"/>
        <v/>
      </c>
      <c r="DZ210" s="30" t="str">
        <f t="shared" si="2423"/>
        <v/>
      </c>
      <c r="EA210" s="30" t="str">
        <f t="shared" si="2424"/>
        <v/>
      </c>
      <c r="EB210" s="30" t="str">
        <f t="shared" si="2425"/>
        <v/>
      </c>
      <c r="EC210" s="30" t="str">
        <f t="shared" si="2426"/>
        <v/>
      </c>
      <c r="ED210" s="30" t="str">
        <f t="shared" si="2427"/>
        <v/>
      </c>
      <c r="EE210" s="30" t="str">
        <f t="shared" si="2428"/>
        <v/>
      </c>
      <c r="EF210" s="30" t="str">
        <f t="shared" si="2429"/>
        <v/>
      </c>
      <c r="EG210" s="30" t="str">
        <f t="shared" si="2430"/>
        <v/>
      </c>
      <c r="EH210" s="30" t="str">
        <f t="shared" si="2431"/>
        <v/>
      </c>
      <c r="EI210" s="30" t="str">
        <f t="shared" si="2432"/>
        <v/>
      </c>
      <c r="EJ210" s="30" t="str">
        <f t="shared" si="2433"/>
        <v/>
      </c>
      <c r="EK210" s="30" t="str">
        <f t="shared" si="2434"/>
        <v/>
      </c>
      <c r="EL210" s="30" t="str">
        <f t="shared" si="2435"/>
        <v/>
      </c>
      <c r="EM210" s="30" t="str">
        <f t="shared" si="2436"/>
        <v/>
      </c>
      <c r="EN210" s="30" t="str">
        <f t="shared" si="2437"/>
        <v/>
      </c>
      <c r="EO210" s="30" t="str">
        <f t="shared" si="2438"/>
        <v/>
      </c>
      <c r="EP210" s="30" t="str">
        <f t="shared" si="2439"/>
        <v/>
      </c>
      <c r="EQ210" s="30" t="str">
        <f t="shared" si="2440"/>
        <v/>
      </c>
      <c r="ER210" s="30" t="str">
        <f t="shared" si="2441"/>
        <v/>
      </c>
      <c r="ES210" s="30" t="str">
        <f t="shared" si="2442"/>
        <v/>
      </c>
      <c r="ET210" s="30" t="str">
        <f t="shared" si="2443"/>
        <v/>
      </c>
      <c r="EU210" s="30" t="str">
        <f t="shared" si="2444"/>
        <v/>
      </c>
      <c r="EV210" s="30" t="str">
        <f t="shared" si="2445"/>
        <v/>
      </c>
      <c r="EW210" s="30" t="str">
        <f t="shared" si="2446"/>
        <v/>
      </c>
      <c r="EX210" s="30" t="str">
        <f t="shared" si="2447"/>
        <v/>
      </c>
      <c r="EY210" s="30" t="str">
        <f t="shared" si="2448"/>
        <v/>
      </c>
      <c r="EZ210" s="30" t="str">
        <f t="shared" si="2449"/>
        <v/>
      </c>
      <c r="FA210" s="30" t="str">
        <f t="shared" si="2450"/>
        <v/>
      </c>
      <c r="FB210" s="30" t="str">
        <f t="shared" si="2451"/>
        <v/>
      </c>
      <c r="FC210" s="30" t="str">
        <f t="shared" si="2452"/>
        <v/>
      </c>
      <c r="FD210" s="30" t="str">
        <f t="shared" si="2453"/>
        <v/>
      </c>
      <c r="FE210" s="30" t="str">
        <f t="shared" si="2454"/>
        <v/>
      </c>
      <c r="FF210" s="30" t="str">
        <f t="shared" si="2455"/>
        <v/>
      </c>
      <c r="FG210" s="30" t="str">
        <f t="shared" si="2456"/>
        <v/>
      </c>
      <c r="FH210" s="30" t="str">
        <f t="shared" si="2457"/>
        <v/>
      </c>
      <c r="FI210" s="30" t="str">
        <f t="shared" si="2458"/>
        <v/>
      </c>
      <c r="FJ210" s="30" t="str">
        <f t="shared" si="2459"/>
        <v/>
      </c>
      <c r="FK210" s="30" t="str">
        <f t="shared" si="2460"/>
        <v/>
      </c>
      <c r="FL210" s="30" t="str">
        <f t="shared" si="2461"/>
        <v/>
      </c>
      <c r="FM210" s="30" t="str">
        <f t="shared" si="2462"/>
        <v/>
      </c>
      <c r="FN210" s="30" t="str">
        <f t="shared" si="2463"/>
        <v/>
      </c>
      <c r="FO210" s="30" t="str">
        <f t="shared" si="2464"/>
        <v/>
      </c>
      <c r="FP210" s="30" t="str">
        <f t="shared" si="2465"/>
        <v/>
      </c>
      <c r="FQ210" s="30" t="str">
        <f t="shared" si="2466"/>
        <v/>
      </c>
      <c r="FR210" s="30" t="str">
        <f t="shared" si="2467"/>
        <v/>
      </c>
      <c r="FS210" s="30" t="str">
        <f t="shared" si="2468"/>
        <v/>
      </c>
    </row>
    <row r="211" spans="92:175">
      <c r="CN211" s="7" t="str">
        <f t="shared" si="2393"/>
        <v>InitUnitState('',,,,,,,,,,)</v>
      </c>
      <c r="CO211" s="7" t="str">
        <f t="shared" si="2394"/>
        <v>InitUnitNormal('',,,,,,,,,,)</v>
      </c>
      <c r="CP211" s="7" t="str">
        <f t="shared" si="2395"/>
        <v>InitUnitMagic('',,,,,,,,,,)</v>
      </c>
      <c r="CQ211" s="7" t="str">
        <f t="shared" si="2396"/>
        <v>InitUnitAdd('',,,,,,,,,,)</v>
      </c>
      <c r="CR211" s="7" t="str">
        <f t="shared" si="2397"/>
        <v>InitEquipData('',,"",,,,,'','','','','','',"")</v>
      </c>
      <c r="CU211" s="29" t="str">
        <f t="shared" si="2398"/>
        <v>|n</v>
      </c>
      <c r="CW211" s="24"/>
      <c r="CX211" s="24"/>
      <c r="CY211" s="24"/>
      <c r="CZ211" s="24"/>
      <c r="DA211" s="24"/>
      <c r="DB211" s="30" t="str">
        <f t="shared" si="2399"/>
        <v/>
      </c>
      <c r="DC211" s="30" t="str">
        <f t="shared" si="2400"/>
        <v/>
      </c>
      <c r="DD211" s="30" t="str">
        <f t="shared" si="2401"/>
        <v/>
      </c>
      <c r="DE211" s="30" t="str">
        <f t="shared" si="2402"/>
        <v/>
      </c>
      <c r="DF211" s="30" t="str">
        <f t="shared" si="2403"/>
        <v/>
      </c>
      <c r="DG211" s="30" t="str">
        <f t="shared" si="2404"/>
        <v/>
      </c>
      <c r="DH211" s="30" t="str">
        <f t="shared" si="2405"/>
        <v/>
      </c>
      <c r="DI211" s="30" t="str">
        <f t="shared" si="2406"/>
        <v/>
      </c>
      <c r="DJ211" s="30" t="str">
        <f t="shared" si="2407"/>
        <v/>
      </c>
      <c r="DK211" s="30" t="str">
        <f t="shared" si="2408"/>
        <v/>
      </c>
      <c r="DL211" s="30" t="str">
        <f t="shared" si="2409"/>
        <v/>
      </c>
      <c r="DM211" s="30" t="str">
        <f t="shared" si="2410"/>
        <v/>
      </c>
      <c r="DN211" s="30" t="str">
        <f t="shared" si="2411"/>
        <v/>
      </c>
      <c r="DO211" s="30" t="str">
        <f t="shared" si="2412"/>
        <v/>
      </c>
      <c r="DP211" s="30" t="str">
        <f t="shared" si="2413"/>
        <v/>
      </c>
      <c r="DQ211" s="30" t="str">
        <f t="shared" si="2414"/>
        <v/>
      </c>
      <c r="DR211" s="30" t="str">
        <f t="shared" si="2415"/>
        <v/>
      </c>
      <c r="DS211" s="30" t="str">
        <f t="shared" si="2416"/>
        <v/>
      </c>
      <c r="DT211" s="30" t="str">
        <f t="shared" si="2417"/>
        <v/>
      </c>
      <c r="DU211" s="30" t="str">
        <f t="shared" si="2418"/>
        <v/>
      </c>
      <c r="DV211" s="30" t="str">
        <f t="shared" si="2419"/>
        <v/>
      </c>
      <c r="DW211" s="30" t="str">
        <f t="shared" si="2420"/>
        <v/>
      </c>
      <c r="DX211" s="30" t="str">
        <f t="shared" si="2421"/>
        <v/>
      </c>
      <c r="DY211" s="30" t="str">
        <f t="shared" si="2422"/>
        <v/>
      </c>
      <c r="DZ211" s="30" t="str">
        <f t="shared" si="2423"/>
        <v/>
      </c>
      <c r="EA211" s="30" t="str">
        <f t="shared" si="2424"/>
        <v/>
      </c>
      <c r="EB211" s="30" t="str">
        <f t="shared" si="2425"/>
        <v/>
      </c>
      <c r="EC211" s="30" t="str">
        <f t="shared" si="2426"/>
        <v/>
      </c>
      <c r="ED211" s="30" t="str">
        <f t="shared" si="2427"/>
        <v/>
      </c>
      <c r="EE211" s="30" t="str">
        <f t="shared" si="2428"/>
        <v/>
      </c>
      <c r="EF211" s="30" t="str">
        <f t="shared" si="2429"/>
        <v/>
      </c>
      <c r="EG211" s="30" t="str">
        <f t="shared" si="2430"/>
        <v/>
      </c>
      <c r="EH211" s="30" t="str">
        <f t="shared" si="2431"/>
        <v/>
      </c>
      <c r="EI211" s="30" t="str">
        <f t="shared" si="2432"/>
        <v/>
      </c>
      <c r="EJ211" s="30" t="str">
        <f t="shared" si="2433"/>
        <v/>
      </c>
      <c r="EK211" s="30" t="str">
        <f t="shared" si="2434"/>
        <v/>
      </c>
      <c r="EL211" s="30" t="str">
        <f t="shared" si="2435"/>
        <v/>
      </c>
      <c r="EM211" s="30" t="str">
        <f t="shared" si="2436"/>
        <v/>
      </c>
      <c r="EN211" s="30" t="str">
        <f t="shared" si="2437"/>
        <v/>
      </c>
      <c r="EO211" s="30" t="str">
        <f t="shared" si="2438"/>
        <v/>
      </c>
      <c r="EP211" s="30" t="str">
        <f t="shared" si="2439"/>
        <v/>
      </c>
      <c r="EQ211" s="30" t="str">
        <f t="shared" si="2440"/>
        <v/>
      </c>
      <c r="ER211" s="30" t="str">
        <f t="shared" si="2441"/>
        <v/>
      </c>
      <c r="ES211" s="30" t="str">
        <f t="shared" si="2442"/>
        <v/>
      </c>
      <c r="ET211" s="30" t="str">
        <f t="shared" si="2443"/>
        <v/>
      </c>
      <c r="EU211" s="30" t="str">
        <f t="shared" si="2444"/>
        <v/>
      </c>
      <c r="EV211" s="30" t="str">
        <f t="shared" si="2445"/>
        <v/>
      </c>
      <c r="EW211" s="30" t="str">
        <f t="shared" si="2446"/>
        <v/>
      </c>
      <c r="EX211" s="30" t="str">
        <f t="shared" si="2447"/>
        <v/>
      </c>
      <c r="EY211" s="30" t="str">
        <f t="shared" si="2448"/>
        <v/>
      </c>
      <c r="EZ211" s="30" t="str">
        <f t="shared" si="2449"/>
        <v/>
      </c>
      <c r="FA211" s="30" t="str">
        <f t="shared" si="2450"/>
        <v/>
      </c>
      <c r="FB211" s="30" t="str">
        <f t="shared" si="2451"/>
        <v/>
      </c>
      <c r="FC211" s="30" t="str">
        <f t="shared" si="2452"/>
        <v/>
      </c>
      <c r="FD211" s="30" t="str">
        <f t="shared" si="2453"/>
        <v/>
      </c>
      <c r="FE211" s="30" t="str">
        <f t="shared" si="2454"/>
        <v/>
      </c>
      <c r="FF211" s="30" t="str">
        <f t="shared" si="2455"/>
        <v/>
      </c>
      <c r="FG211" s="30" t="str">
        <f t="shared" si="2456"/>
        <v/>
      </c>
      <c r="FH211" s="30" t="str">
        <f t="shared" si="2457"/>
        <v/>
      </c>
      <c r="FI211" s="30" t="str">
        <f t="shared" si="2458"/>
        <v/>
      </c>
      <c r="FJ211" s="30" t="str">
        <f t="shared" si="2459"/>
        <v/>
      </c>
      <c r="FK211" s="30" t="str">
        <f t="shared" si="2460"/>
        <v/>
      </c>
      <c r="FL211" s="30" t="str">
        <f t="shared" si="2461"/>
        <v/>
      </c>
      <c r="FM211" s="30" t="str">
        <f t="shared" si="2462"/>
        <v/>
      </c>
      <c r="FN211" s="30" t="str">
        <f t="shared" si="2463"/>
        <v/>
      </c>
      <c r="FO211" s="30" t="str">
        <f t="shared" si="2464"/>
        <v/>
      </c>
      <c r="FP211" s="30" t="str">
        <f t="shared" si="2465"/>
        <v/>
      </c>
      <c r="FQ211" s="30" t="str">
        <f t="shared" si="2466"/>
        <v/>
      </c>
      <c r="FR211" s="30" t="str">
        <f t="shared" si="2467"/>
        <v/>
      </c>
      <c r="FS211" s="30" t="str">
        <f t="shared" si="2468"/>
        <v/>
      </c>
    </row>
    <row r="212" spans="92:175">
      <c r="CN212" s="7" t="str">
        <f t="shared" si="2393"/>
        <v>InitUnitState('',,,,,,,,,,)</v>
      </c>
      <c r="CO212" s="7" t="str">
        <f t="shared" si="2394"/>
        <v>InitUnitNormal('',,,,,,,,,,)</v>
      </c>
      <c r="CP212" s="7" t="str">
        <f t="shared" si="2395"/>
        <v>InitUnitMagic('',,,,,,,,,,)</v>
      </c>
      <c r="CQ212" s="7" t="str">
        <f t="shared" si="2396"/>
        <v>InitUnitAdd('',,,,,,,,,,)</v>
      </c>
      <c r="CR212" s="7" t="str">
        <f t="shared" si="2397"/>
        <v>InitEquipData('',,"",,,,,'','','','','','',"")</v>
      </c>
      <c r="CU212" s="29" t="str">
        <f t="shared" si="2398"/>
        <v>|n</v>
      </c>
      <c r="CW212" s="24"/>
      <c r="CX212" s="24"/>
      <c r="CY212" s="24"/>
      <c r="CZ212" s="24"/>
      <c r="DA212" s="24"/>
      <c r="DB212" s="30" t="str">
        <f t="shared" si="2399"/>
        <v/>
      </c>
      <c r="DC212" s="30" t="str">
        <f t="shared" si="2400"/>
        <v/>
      </c>
      <c r="DD212" s="30" t="str">
        <f t="shared" si="2401"/>
        <v/>
      </c>
      <c r="DE212" s="30" t="str">
        <f t="shared" si="2402"/>
        <v/>
      </c>
      <c r="DF212" s="30" t="str">
        <f t="shared" si="2403"/>
        <v/>
      </c>
      <c r="DG212" s="30" t="str">
        <f t="shared" si="2404"/>
        <v/>
      </c>
      <c r="DH212" s="30" t="str">
        <f t="shared" si="2405"/>
        <v/>
      </c>
      <c r="DI212" s="30" t="str">
        <f t="shared" si="2406"/>
        <v/>
      </c>
      <c r="DJ212" s="30" t="str">
        <f t="shared" si="2407"/>
        <v/>
      </c>
      <c r="DK212" s="30" t="str">
        <f t="shared" si="2408"/>
        <v/>
      </c>
      <c r="DL212" s="30" t="str">
        <f t="shared" si="2409"/>
        <v/>
      </c>
      <c r="DM212" s="30" t="str">
        <f t="shared" si="2410"/>
        <v/>
      </c>
      <c r="DN212" s="30" t="str">
        <f t="shared" si="2411"/>
        <v/>
      </c>
      <c r="DO212" s="30" t="str">
        <f t="shared" si="2412"/>
        <v/>
      </c>
      <c r="DP212" s="30" t="str">
        <f t="shared" si="2413"/>
        <v/>
      </c>
      <c r="DQ212" s="30" t="str">
        <f t="shared" si="2414"/>
        <v/>
      </c>
      <c r="DR212" s="30" t="str">
        <f t="shared" si="2415"/>
        <v/>
      </c>
      <c r="DS212" s="30" t="str">
        <f t="shared" si="2416"/>
        <v/>
      </c>
      <c r="DT212" s="30" t="str">
        <f t="shared" si="2417"/>
        <v/>
      </c>
      <c r="DU212" s="30" t="str">
        <f t="shared" si="2418"/>
        <v/>
      </c>
      <c r="DV212" s="30" t="str">
        <f t="shared" si="2419"/>
        <v/>
      </c>
      <c r="DW212" s="30" t="str">
        <f t="shared" si="2420"/>
        <v/>
      </c>
      <c r="DX212" s="30" t="str">
        <f t="shared" si="2421"/>
        <v/>
      </c>
      <c r="DY212" s="30" t="str">
        <f t="shared" si="2422"/>
        <v/>
      </c>
      <c r="DZ212" s="30" t="str">
        <f t="shared" si="2423"/>
        <v/>
      </c>
      <c r="EA212" s="30" t="str">
        <f t="shared" si="2424"/>
        <v/>
      </c>
      <c r="EB212" s="30" t="str">
        <f t="shared" si="2425"/>
        <v/>
      </c>
      <c r="EC212" s="30" t="str">
        <f t="shared" si="2426"/>
        <v/>
      </c>
      <c r="ED212" s="30" t="str">
        <f t="shared" si="2427"/>
        <v/>
      </c>
      <c r="EE212" s="30" t="str">
        <f t="shared" si="2428"/>
        <v/>
      </c>
      <c r="EF212" s="30" t="str">
        <f t="shared" si="2429"/>
        <v/>
      </c>
      <c r="EG212" s="30" t="str">
        <f t="shared" si="2430"/>
        <v/>
      </c>
      <c r="EH212" s="30" t="str">
        <f t="shared" si="2431"/>
        <v/>
      </c>
      <c r="EI212" s="30" t="str">
        <f t="shared" si="2432"/>
        <v/>
      </c>
      <c r="EJ212" s="30" t="str">
        <f t="shared" si="2433"/>
        <v/>
      </c>
      <c r="EK212" s="30" t="str">
        <f t="shared" si="2434"/>
        <v/>
      </c>
      <c r="EL212" s="30" t="str">
        <f t="shared" si="2435"/>
        <v/>
      </c>
      <c r="EM212" s="30" t="str">
        <f t="shared" si="2436"/>
        <v/>
      </c>
      <c r="EN212" s="30" t="str">
        <f t="shared" si="2437"/>
        <v/>
      </c>
      <c r="EO212" s="30" t="str">
        <f t="shared" si="2438"/>
        <v/>
      </c>
      <c r="EP212" s="30" t="str">
        <f t="shared" si="2439"/>
        <v/>
      </c>
      <c r="EQ212" s="30" t="str">
        <f t="shared" si="2440"/>
        <v/>
      </c>
      <c r="ER212" s="30" t="str">
        <f t="shared" si="2441"/>
        <v/>
      </c>
      <c r="ES212" s="30" t="str">
        <f t="shared" si="2442"/>
        <v/>
      </c>
      <c r="ET212" s="30" t="str">
        <f t="shared" si="2443"/>
        <v/>
      </c>
      <c r="EU212" s="30" t="str">
        <f t="shared" si="2444"/>
        <v/>
      </c>
      <c r="EV212" s="30" t="str">
        <f t="shared" si="2445"/>
        <v/>
      </c>
      <c r="EW212" s="30" t="str">
        <f t="shared" si="2446"/>
        <v/>
      </c>
      <c r="EX212" s="30" t="str">
        <f t="shared" si="2447"/>
        <v/>
      </c>
      <c r="EY212" s="30" t="str">
        <f t="shared" si="2448"/>
        <v/>
      </c>
      <c r="EZ212" s="30" t="str">
        <f t="shared" si="2449"/>
        <v/>
      </c>
      <c r="FA212" s="30" t="str">
        <f t="shared" si="2450"/>
        <v/>
      </c>
      <c r="FB212" s="30" t="str">
        <f t="shared" si="2451"/>
        <v/>
      </c>
      <c r="FC212" s="30" t="str">
        <f t="shared" si="2452"/>
        <v/>
      </c>
      <c r="FD212" s="30" t="str">
        <f t="shared" si="2453"/>
        <v/>
      </c>
      <c r="FE212" s="30" t="str">
        <f t="shared" si="2454"/>
        <v/>
      </c>
      <c r="FF212" s="30" t="str">
        <f t="shared" si="2455"/>
        <v/>
      </c>
      <c r="FG212" s="30" t="str">
        <f t="shared" si="2456"/>
        <v/>
      </c>
      <c r="FH212" s="30" t="str">
        <f t="shared" si="2457"/>
        <v/>
      </c>
      <c r="FI212" s="30" t="str">
        <f t="shared" si="2458"/>
        <v/>
      </c>
      <c r="FJ212" s="30" t="str">
        <f t="shared" si="2459"/>
        <v/>
      </c>
      <c r="FK212" s="30" t="str">
        <f t="shared" si="2460"/>
        <v/>
      </c>
      <c r="FL212" s="30" t="str">
        <f t="shared" si="2461"/>
        <v/>
      </c>
      <c r="FM212" s="30" t="str">
        <f t="shared" si="2462"/>
        <v/>
      </c>
      <c r="FN212" s="30" t="str">
        <f t="shared" si="2463"/>
        <v/>
      </c>
      <c r="FO212" s="30" t="str">
        <f t="shared" si="2464"/>
        <v/>
      </c>
      <c r="FP212" s="30" t="str">
        <f t="shared" si="2465"/>
        <v/>
      </c>
      <c r="FQ212" s="30" t="str">
        <f t="shared" si="2466"/>
        <v/>
      </c>
      <c r="FR212" s="30" t="str">
        <f t="shared" si="2467"/>
        <v/>
      </c>
      <c r="FS212" s="30" t="str">
        <f t="shared" si="2468"/>
        <v/>
      </c>
    </row>
    <row r="213" spans="92:175">
      <c r="CN213" s="7" t="str">
        <f t="shared" si="2393"/>
        <v>InitUnitState('',,,,,,,,,,)</v>
      </c>
      <c r="CO213" s="7" t="str">
        <f t="shared" si="2394"/>
        <v>InitUnitNormal('',,,,,,,,,,)</v>
      </c>
      <c r="CP213" s="7" t="str">
        <f t="shared" si="2395"/>
        <v>InitUnitMagic('',,,,,,,,,,)</v>
      </c>
      <c r="CQ213" s="7" t="str">
        <f t="shared" si="2396"/>
        <v>InitUnitAdd('',,,,,,,,,,)</v>
      </c>
      <c r="CR213" s="7" t="str">
        <f t="shared" si="2397"/>
        <v>InitEquipData('',,"",,,,,'','','','','','',"")</v>
      </c>
      <c r="CU213" s="29" t="str">
        <f t="shared" ref="CU213:CU251" si="2469">CONCATENATE(DB213,DC213,DD213,DE213,DF213,DG213,DH213,DI213,DJ213,DK213,DL213,DM213,DN213,DO213,DP213,DQ213,DR213,DS213,DT213,DU213,DV213,DW213,DX213,DY213,DZ213,EA213,EB213,EC213,ED213,EE213,EF213,EG213,EH213,EI213,EJ213,EK213,EL213,EM213,EN213,EO213,EP213&amp;"|n")</f>
        <v>|n</v>
      </c>
      <c r="CW213" s="24"/>
      <c r="CX213" s="24"/>
      <c r="CY213" s="24"/>
      <c r="CZ213" s="24"/>
      <c r="DA213" s="24"/>
      <c r="DB213" s="30" t="str">
        <f t="shared" si="2399"/>
        <v/>
      </c>
      <c r="DC213" s="30" t="str">
        <f t="shared" si="2400"/>
        <v/>
      </c>
      <c r="DD213" s="30" t="str">
        <f t="shared" si="2401"/>
        <v/>
      </c>
      <c r="DE213" s="30" t="str">
        <f t="shared" si="2402"/>
        <v/>
      </c>
      <c r="DF213" s="30" t="str">
        <f t="shared" si="2403"/>
        <v/>
      </c>
      <c r="DG213" s="30" t="str">
        <f t="shared" si="2404"/>
        <v/>
      </c>
      <c r="DH213" s="30" t="str">
        <f t="shared" si="2405"/>
        <v/>
      </c>
      <c r="DI213" s="30" t="str">
        <f t="shared" si="2406"/>
        <v/>
      </c>
      <c r="DJ213" s="30" t="str">
        <f t="shared" si="2407"/>
        <v/>
      </c>
      <c r="DK213" s="30" t="str">
        <f t="shared" si="2408"/>
        <v/>
      </c>
      <c r="DL213" s="30" t="str">
        <f t="shared" si="2409"/>
        <v/>
      </c>
      <c r="DM213" s="30" t="str">
        <f t="shared" si="2410"/>
        <v/>
      </c>
      <c r="DN213" s="30" t="str">
        <f t="shared" si="2411"/>
        <v/>
      </c>
      <c r="DO213" s="30" t="str">
        <f t="shared" si="2412"/>
        <v/>
      </c>
      <c r="DP213" s="30" t="str">
        <f t="shared" si="2413"/>
        <v/>
      </c>
      <c r="DQ213" s="30" t="str">
        <f t="shared" si="2414"/>
        <v/>
      </c>
      <c r="DR213" s="30" t="str">
        <f t="shared" si="2415"/>
        <v/>
      </c>
      <c r="DS213" s="30" t="str">
        <f t="shared" si="2416"/>
        <v/>
      </c>
      <c r="DT213" s="30" t="str">
        <f t="shared" si="2417"/>
        <v/>
      </c>
      <c r="DU213" s="30" t="str">
        <f t="shared" si="2418"/>
        <v/>
      </c>
      <c r="DV213" s="30" t="str">
        <f t="shared" si="2419"/>
        <v/>
      </c>
      <c r="DW213" s="30" t="str">
        <f t="shared" si="2420"/>
        <v/>
      </c>
      <c r="DX213" s="30" t="str">
        <f t="shared" si="2421"/>
        <v/>
      </c>
      <c r="DY213" s="30" t="str">
        <f t="shared" si="2422"/>
        <v/>
      </c>
      <c r="DZ213" s="30" t="str">
        <f t="shared" si="2423"/>
        <v/>
      </c>
      <c r="EA213" s="30" t="str">
        <f t="shared" si="2424"/>
        <v/>
      </c>
      <c r="EB213" s="30" t="str">
        <f t="shared" si="2425"/>
        <v/>
      </c>
      <c r="EC213" s="30" t="str">
        <f t="shared" si="2426"/>
        <v/>
      </c>
      <c r="ED213" s="30" t="str">
        <f t="shared" si="2427"/>
        <v/>
      </c>
      <c r="EE213" s="30" t="str">
        <f t="shared" si="2428"/>
        <v/>
      </c>
      <c r="EF213" s="30" t="str">
        <f t="shared" si="2429"/>
        <v/>
      </c>
      <c r="EG213" s="30" t="str">
        <f t="shared" si="2430"/>
        <v/>
      </c>
      <c r="EH213" s="30" t="str">
        <f t="shared" si="2431"/>
        <v/>
      </c>
      <c r="EI213" s="30" t="str">
        <f t="shared" si="2432"/>
        <v/>
      </c>
      <c r="EJ213" s="30" t="str">
        <f t="shared" si="2433"/>
        <v/>
      </c>
      <c r="EK213" s="30" t="str">
        <f t="shared" si="2434"/>
        <v/>
      </c>
      <c r="EL213" s="30" t="str">
        <f t="shared" si="2435"/>
        <v/>
      </c>
      <c r="EM213" s="30" t="str">
        <f t="shared" si="2436"/>
        <v/>
      </c>
      <c r="EN213" s="30" t="str">
        <f t="shared" si="2437"/>
        <v/>
      </c>
      <c r="EO213" s="30" t="str">
        <f t="shared" si="2438"/>
        <v/>
      </c>
      <c r="EP213" s="30" t="str">
        <f t="shared" si="2439"/>
        <v/>
      </c>
      <c r="EQ213" s="30" t="str">
        <f t="shared" si="2440"/>
        <v/>
      </c>
      <c r="ER213" s="30" t="str">
        <f t="shared" si="2441"/>
        <v/>
      </c>
      <c r="ES213" s="30" t="str">
        <f t="shared" si="2442"/>
        <v/>
      </c>
      <c r="ET213" s="30" t="str">
        <f t="shared" si="2443"/>
        <v/>
      </c>
      <c r="EU213" s="30" t="str">
        <f t="shared" si="2444"/>
        <v/>
      </c>
      <c r="EV213" s="30" t="str">
        <f t="shared" si="2445"/>
        <v/>
      </c>
      <c r="EW213" s="30" t="str">
        <f t="shared" si="2446"/>
        <v/>
      </c>
      <c r="EX213" s="30" t="str">
        <f t="shared" si="2447"/>
        <v/>
      </c>
      <c r="EY213" s="30" t="str">
        <f t="shared" si="2448"/>
        <v/>
      </c>
      <c r="EZ213" s="30" t="str">
        <f t="shared" si="2449"/>
        <v/>
      </c>
      <c r="FA213" s="30" t="str">
        <f t="shared" si="2450"/>
        <v/>
      </c>
      <c r="FB213" s="30" t="str">
        <f t="shared" si="2451"/>
        <v/>
      </c>
      <c r="FC213" s="30" t="str">
        <f t="shared" si="2452"/>
        <v/>
      </c>
      <c r="FD213" s="30" t="str">
        <f t="shared" si="2453"/>
        <v/>
      </c>
      <c r="FE213" s="30" t="str">
        <f t="shared" si="2454"/>
        <v/>
      </c>
      <c r="FF213" s="30" t="str">
        <f t="shared" si="2455"/>
        <v/>
      </c>
      <c r="FG213" s="30" t="str">
        <f t="shared" si="2456"/>
        <v/>
      </c>
      <c r="FH213" s="30" t="str">
        <f t="shared" si="2457"/>
        <v/>
      </c>
      <c r="FI213" s="30" t="str">
        <f t="shared" si="2458"/>
        <v/>
      </c>
      <c r="FJ213" s="30" t="str">
        <f t="shared" si="2459"/>
        <v/>
      </c>
      <c r="FK213" s="30" t="str">
        <f t="shared" si="2460"/>
        <v/>
      </c>
      <c r="FL213" s="30" t="str">
        <f t="shared" si="2461"/>
        <v/>
      </c>
      <c r="FM213" s="30" t="str">
        <f t="shared" si="2462"/>
        <v/>
      </c>
      <c r="FN213" s="30" t="str">
        <f t="shared" si="2463"/>
        <v/>
      </c>
      <c r="FO213" s="30" t="str">
        <f t="shared" si="2464"/>
        <v/>
      </c>
      <c r="FP213" s="30" t="str">
        <f t="shared" si="2465"/>
        <v/>
      </c>
      <c r="FQ213" s="30" t="str">
        <f t="shared" si="2466"/>
        <v/>
      </c>
      <c r="FR213" s="30" t="str">
        <f t="shared" si="2467"/>
        <v/>
      </c>
      <c r="FS213" s="30" t="str">
        <f t="shared" si="2468"/>
        <v/>
      </c>
    </row>
    <row r="214" spans="92:175">
      <c r="CN214" s="7" t="str">
        <f t="shared" si="2393"/>
        <v>InitUnitState('',,,,,,,,,,)</v>
      </c>
      <c r="CO214" s="7" t="str">
        <f t="shared" si="2394"/>
        <v>InitUnitNormal('',,,,,,,,,,)</v>
      </c>
      <c r="CP214" s="7" t="str">
        <f t="shared" si="2395"/>
        <v>InitUnitMagic('',,,,,,,,,,)</v>
      </c>
      <c r="CQ214" s="7" t="str">
        <f t="shared" si="2396"/>
        <v>InitUnitAdd('',,,,,,,,,,)</v>
      </c>
      <c r="CR214" s="7" t="str">
        <f t="shared" si="2397"/>
        <v>InitEquipData('',,"",,,,,'','','','','','',"")</v>
      </c>
      <c r="CU214" s="29" t="str">
        <f t="shared" si="2469"/>
        <v>|n</v>
      </c>
      <c r="CW214" s="24"/>
      <c r="CX214" s="24"/>
      <c r="CY214" s="24"/>
      <c r="CZ214" s="24"/>
      <c r="DA214" s="24"/>
      <c r="DB214" s="30" t="str">
        <f t="shared" si="2399"/>
        <v/>
      </c>
      <c r="DC214" s="30" t="str">
        <f t="shared" si="2400"/>
        <v/>
      </c>
      <c r="DD214" s="30" t="str">
        <f t="shared" si="2401"/>
        <v/>
      </c>
      <c r="DE214" s="30" t="str">
        <f t="shared" si="2402"/>
        <v/>
      </c>
      <c r="DF214" s="30" t="str">
        <f t="shared" si="2403"/>
        <v/>
      </c>
      <c r="DG214" s="30" t="str">
        <f t="shared" si="2404"/>
        <v/>
      </c>
      <c r="DH214" s="30" t="str">
        <f t="shared" si="2405"/>
        <v/>
      </c>
      <c r="DI214" s="30" t="str">
        <f t="shared" si="2406"/>
        <v/>
      </c>
      <c r="DJ214" s="30" t="str">
        <f t="shared" si="2407"/>
        <v/>
      </c>
      <c r="DK214" s="30" t="str">
        <f t="shared" si="2408"/>
        <v/>
      </c>
      <c r="DL214" s="30" t="str">
        <f t="shared" si="2409"/>
        <v/>
      </c>
      <c r="DM214" s="30" t="str">
        <f t="shared" si="2410"/>
        <v/>
      </c>
      <c r="DN214" s="30" t="str">
        <f t="shared" si="2411"/>
        <v/>
      </c>
      <c r="DO214" s="30" t="str">
        <f t="shared" si="2412"/>
        <v/>
      </c>
      <c r="DP214" s="30" t="str">
        <f t="shared" si="2413"/>
        <v/>
      </c>
      <c r="DQ214" s="30" t="str">
        <f t="shared" si="2414"/>
        <v/>
      </c>
      <c r="DR214" s="30" t="str">
        <f t="shared" si="2415"/>
        <v/>
      </c>
      <c r="DS214" s="30" t="str">
        <f t="shared" si="2416"/>
        <v/>
      </c>
      <c r="DT214" s="30" t="str">
        <f t="shared" si="2417"/>
        <v/>
      </c>
      <c r="DU214" s="30" t="str">
        <f t="shared" si="2418"/>
        <v/>
      </c>
      <c r="DV214" s="30" t="str">
        <f t="shared" si="2419"/>
        <v/>
      </c>
      <c r="DW214" s="30" t="str">
        <f t="shared" si="2420"/>
        <v/>
      </c>
      <c r="DX214" s="30" t="str">
        <f t="shared" si="2421"/>
        <v/>
      </c>
      <c r="DY214" s="30" t="str">
        <f t="shared" si="2422"/>
        <v/>
      </c>
      <c r="DZ214" s="30" t="str">
        <f t="shared" si="2423"/>
        <v/>
      </c>
      <c r="EA214" s="30" t="str">
        <f t="shared" si="2424"/>
        <v/>
      </c>
      <c r="EB214" s="30" t="str">
        <f t="shared" si="2425"/>
        <v/>
      </c>
      <c r="EC214" s="30" t="str">
        <f t="shared" si="2426"/>
        <v/>
      </c>
      <c r="ED214" s="30" t="str">
        <f t="shared" si="2427"/>
        <v/>
      </c>
      <c r="EE214" s="30" t="str">
        <f t="shared" si="2428"/>
        <v/>
      </c>
      <c r="EF214" s="30" t="str">
        <f t="shared" si="2429"/>
        <v/>
      </c>
      <c r="EG214" s="30" t="str">
        <f t="shared" si="2430"/>
        <v/>
      </c>
      <c r="EH214" s="30" t="str">
        <f t="shared" si="2431"/>
        <v/>
      </c>
      <c r="EI214" s="30" t="str">
        <f t="shared" si="2432"/>
        <v/>
      </c>
      <c r="EJ214" s="30" t="str">
        <f t="shared" si="2433"/>
        <v/>
      </c>
      <c r="EK214" s="30" t="str">
        <f t="shared" si="2434"/>
        <v/>
      </c>
      <c r="EL214" s="30" t="str">
        <f t="shared" si="2435"/>
        <v/>
      </c>
      <c r="EM214" s="30" t="str">
        <f t="shared" si="2436"/>
        <v/>
      </c>
      <c r="EN214" s="30" t="str">
        <f t="shared" si="2437"/>
        <v/>
      </c>
      <c r="EO214" s="30" t="str">
        <f t="shared" si="2438"/>
        <v/>
      </c>
      <c r="EP214" s="30" t="str">
        <f t="shared" si="2439"/>
        <v/>
      </c>
      <c r="EQ214" s="30" t="str">
        <f t="shared" si="2440"/>
        <v/>
      </c>
      <c r="ER214" s="30" t="str">
        <f t="shared" si="2441"/>
        <v/>
      </c>
      <c r="ES214" s="30" t="str">
        <f t="shared" si="2442"/>
        <v/>
      </c>
      <c r="ET214" s="30" t="str">
        <f t="shared" si="2443"/>
        <v/>
      </c>
      <c r="EU214" s="30" t="str">
        <f t="shared" si="2444"/>
        <v/>
      </c>
      <c r="EV214" s="30" t="str">
        <f t="shared" si="2445"/>
        <v/>
      </c>
      <c r="EW214" s="30" t="str">
        <f t="shared" si="2446"/>
        <v/>
      </c>
      <c r="EX214" s="30" t="str">
        <f t="shared" si="2447"/>
        <v/>
      </c>
      <c r="EY214" s="30" t="str">
        <f t="shared" si="2448"/>
        <v/>
      </c>
      <c r="EZ214" s="30" t="str">
        <f t="shared" si="2449"/>
        <v/>
      </c>
      <c r="FA214" s="30" t="str">
        <f t="shared" si="2450"/>
        <v/>
      </c>
      <c r="FB214" s="30" t="str">
        <f t="shared" si="2451"/>
        <v/>
      </c>
      <c r="FC214" s="30" t="str">
        <f t="shared" si="2452"/>
        <v/>
      </c>
      <c r="FD214" s="30" t="str">
        <f t="shared" si="2453"/>
        <v/>
      </c>
      <c r="FE214" s="30" t="str">
        <f t="shared" si="2454"/>
        <v/>
      </c>
      <c r="FF214" s="30" t="str">
        <f t="shared" si="2455"/>
        <v/>
      </c>
      <c r="FG214" s="30" t="str">
        <f t="shared" si="2456"/>
        <v/>
      </c>
      <c r="FH214" s="30" t="str">
        <f t="shared" si="2457"/>
        <v/>
      </c>
      <c r="FI214" s="30" t="str">
        <f t="shared" si="2458"/>
        <v/>
      </c>
      <c r="FJ214" s="30" t="str">
        <f t="shared" si="2459"/>
        <v/>
      </c>
      <c r="FK214" s="30" t="str">
        <f t="shared" si="2460"/>
        <v/>
      </c>
      <c r="FL214" s="30" t="str">
        <f t="shared" si="2461"/>
        <v/>
      </c>
      <c r="FM214" s="30" t="str">
        <f t="shared" si="2462"/>
        <v/>
      </c>
      <c r="FN214" s="30" t="str">
        <f t="shared" si="2463"/>
        <v/>
      </c>
      <c r="FO214" s="30" t="str">
        <f t="shared" si="2464"/>
        <v/>
      </c>
      <c r="FP214" s="30" t="str">
        <f t="shared" si="2465"/>
        <v/>
      </c>
      <c r="FQ214" s="30" t="str">
        <f t="shared" si="2466"/>
        <v/>
      </c>
      <c r="FR214" s="30" t="str">
        <f t="shared" si="2467"/>
        <v/>
      </c>
      <c r="FS214" s="30" t="str">
        <f t="shared" si="2468"/>
        <v/>
      </c>
    </row>
    <row r="215" spans="92:175">
      <c r="CN215" s="7" t="str">
        <f t="shared" si="2393"/>
        <v>InitUnitState('',,,,,,,,,,)</v>
      </c>
      <c r="CO215" s="7" t="str">
        <f t="shared" si="2394"/>
        <v>InitUnitNormal('',,,,,,,,,,)</v>
      </c>
      <c r="CP215" s="7" t="str">
        <f t="shared" si="2395"/>
        <v>InitUnitMagic('',,,,,,,,,,)</v>
      </c>
      <c r="CQ215" s="7" t="str">
        <f t="shared" si="2396"/>
        <v>InitUnitAdd('',,,,,,,,,,)</v>
      </c>
      <c r="CR215" s="7" t="str">
        <f t="shared" si="2397"/>
        <v>InitEquipData('',,"",,,,,'','','','','','',"")</v>
      </c>
      <c r="CU215" s="29" t="str">
        <f t="shared" si="2469"/>
        <v>|n</v>
      </c>
      <c r="CW215" s="24"/>
      <c r="CX215" s="24"/>
      <c r="CY215" s="24"/>
      <c r="CZ215" s="24"/>
      <c r="DA215" s="24"/>
      <c r="DB215" s="30" t="str">
        <f t="shared" si="2399"/>
        <v/>
      </c>
      <c r="DC215" s="30" t="str">
        <f t="shared" si="2400"/>
        <v/>
      </c>
      <c r="DD215" s="30" t="str">
        <f t="shared" si="2401"/>
        <v/>
      </c>
      <c r="DE215" s="30" t="str">
        <f t="shared" si="2402"/>
        <v/>
      </c>
      <c r="DF215" s="30" t="str">
        <f t="shared" si="2403"/>
        <v/>
      </c>
      <c r="DG215" s="30" t="str">
        <f t="shared" si="2404"/>
        <v/>
      </c>
      <c r="DH215" s="30" t="str">
        <f t="shared" si="2405"/>
        <v/>
      </c>
      <c r="DI215" s="30" t="str">
        <f t="shared" si="2406"/>
        <v/>
      </c>
      <c r="DJ215" s="30" t="str">
        <f t="shared" si="2407"/>
        <v/>
      </c>
      <c r="DK215" s="30" t="str">
        <f t="shared" si="2408"/>
        <v/>
      </c>
      <c r="DL215" s="30" t="str">
        <f t="shared" si="2409"/>
        <v/>
      </c>
      <c r="DM215" s="30" t="str">
        <f t="shared" si="2410"/>
        <v/>
      </c>
      <c r="DN215" s="30" t="str">
        <f t="shared" si="2411"/>
        <v/>
      </c>
      <c r="DO215" s="30" t="str">
        <f t="shared" si="2412"/>
        <v/>
      </c>
      <c r="DP215" s="30" t="str">
        <f t="shared" si="2413"/>
        <v/>
      </c>
      <c r="DQ215" s="30" t="str">
        <f t="shared" si="2414"/>
        <v/>
      </c>
      <c r="DR215" s="30" t="str">
        <f t="shared" si="2415"/>
        <v/>
      </c>
      <c r="DS215" s="30" t="str">
        <f t="shared" si="2416"/>
        <v/>
      </c>
      <c r="DT215" s="30" t="str">
        <f t="shared" si="2417"/>
        <v/>
      </c>
      <c r="DU215" s="30" t="str">
        <f t="shared" si="2418"/>
        <v/>
      </c>
      <c r="DV215" s="30" t="str">
        <f t="shared" si="2419"/>
        <v/>
      </c>
      <c r="DW215" s="30" t="str">
        <f t="shared" si="2420"/>
        <v/>
      </c>
      <c r="DX215" s="30" t="str">
        <f t="shared" si="2421"/>
        <v/>
      </c>
      <c r="DY215" s="30" t="str">
        <f t="shared" si="2422"/>
        <v/>
      </c>
      <c r="DZ215" s="30" t="str">
        <f t="shared" si="2423"/>
        <v/>
      </c>
      <c r="EA215" s="30" t="str">
        <f t="shared" si="2424"/>
        <v/>
      </c>
      <c r="EB215" s="30" t="str">
        <f t="shared" si="2425"/>
        <v/>
      </c>
      <c r="EC215" s="30" t="str">
        <f t="shared" si="2426"/>
        <v/>
      </c>
      <c r="ED215" s="30" t="str">
        <f t="shared" si="2427"/>
        <v/>
      </c>
      <c r="EE215" s="30" t="str">
        <f t="shared" si="2428"/>
        <v/>
      </c>
      <c r="EF215" s="30" t="str">
        <f t="shared" si="2429"/>
        <v/>
      </c>
      <c r="EG215" s="30" t="str">
        <f t="shared" si="2430"/>
        <v/>
      </c>
      <c r="EH215" s="30" t="str">
        <f t="shared" si="2431"/>
        <v/>
      </c>
      <c r="EI215" s="30" t="str">
        <f t="shared" si="2432"/>
        <v/>
      </c>
      <c r="EJ215" s="30" t="str">
        <f t="shared" si="2433"/>
        <v/>
      </c>
      <c r="EK215" s="30" t="str">
        <f t="shared" si="2434"/>
        <v/>
      </c>
      <c r="EL215" s="30" t="str">
        <f t="shared" si="2435"/>
        <v/>
      </c>
      <c r="EM215" s="30" t="str">
        <f t="shared" si="2436"/>
        <v/>
      </c>
      <c r="EN215" s="30" t="str">
        <f t="shared" si="2437"/>
        <v/>
      </c>
      <c r="EO215" s="30" t="str">
        <f t="shared" si="2438"/>
        <v/>
      </c>
      <c r="EP215" s="30" t="str">
        <f t="shared" si="2439"/>
        <v/>
      </c>
      <c r="EQ215" s="30" t="str">
        <f t="shared" si="2440"/>
        <v/>
      </c>
      <c r="ER215" s="30" t="str">
        <f t="shared" si="2441"/>
        <v/>
      </c>
      <c r="ES215" s="30" t="str">
        <f t="shared" si="2442"/>
        <v/>
      </c>
      <c r="ET215" s="30" t="str">
        <f t="shared" si="2443"/>
        <v/>
      </c>
      <c r="EU215" s="30" t="str">
        <f t="shared" si="2444"/>
        <v/>
      </c>
      <c r="EV215" s="30" t="str">
        <f t="shared" si="2445"/>
        <v/>
      </c>
      <c r="EW215" s="30" t="str">
        <f t="shared" si="2446"/>
        <v/>
      </c>
      <c r="EX215" s="30" t="str">
        <f t="shared" si="2447"/>
        <v/>
      </c>
      <c r="EY215" s="30" t="str">
        <f t="shared" si="2448"/>
        <v/>
      </c>
      <c r="EZ215" s="30" t="str">
        <f t="shared" si="2449"/>
        <v/>
      </c>
      <c r="FA215" s="30" t="str">
        <f t="shared" si="2450"/>
        <v/>
      </c>
      <c r="FB215" s="30" t="str">
        <f t="shared" si="2451"/>
        <v/>
      </c>
      <c r="FC215" s="30" t="str">
        <f t="shared" si="2452"/>
        <v/>
      </c>
      <c r="FD215" s="30" t="str">
        <f t="shared" si="2453"/>
        <v/>
      </c>
      <c r="FE215" s="30" t="str">
        <f t="shared" si="2454"/>
        <v/>
      </c>
      <c r="FF215" s="30" t="str">
        <f t="shared" si="2455"/>
        <v/>
      </c>
      <c r="FG215" s="30" t="str">
        <f t="shared" si="2456"/>
        <v/>
      </c>
      <c r="FH215" s="30" t="str">
        <f t="shared" si="2457"/>
        <v/>
      </c>
      <c r="FI215" s="30" t="str">
        <f t="shared" si="2458"/>
        <v/>
      </c>
      <c r="FJ215" s="30" t="str">
        <f t="shared" si="2459"/>
        <v/>
      </c>
      <c r="FK215" s="30" t="str">
        <f t="shared" si="2460"/>
        <v/>
      </c>
      <c r="FL215" s="30" t="str">
        <f t="shared" si="2461"/>
        <v/>
      </c>
      <c r="FM215" s="30" t="str">
        <f t="shared" si="2462"/>
        <v/>
      </c>
      <c r="FN215" s="30" t="str">
        <f t="shared" si="2463"/>
        <v/>
      </c>
      <c r="FO215" s="30" t="str">
        <f t="shared" si="2464"/>
        <v/>
      </c>
      <c r="FP215" s="30" t="str">
        <f t="shared" si="2465"/>
        <v/>
      </c>
      <c r="FQ215" s="30" t="str">
        <f t="shared" si="2466"/>
        <v/>
      </c>
      <c r="FR215" s="30" t="str">
        <f t="shared" si="2467"/>
        <v/>
      </c>
      <c r="FS215" s="30" t="str">
        <f t="shared" si="2468"/>
        <v/>
      </c>
    </row>
    <row r="216" spans="92:175">
      <c r="CN216" s="7" t="str">
        <f t="shared" si="2393"/>
        <v>InitUnitState('',,,,,,,,,,)</v>
      </c>
      <c r="CO216" s="7" t="str">
        <f t="shared" si="2394"/>
        <v>InitUnitNormal('',,,,,,,,,,)</v>
      </c>
      <c r="CP216" s="7" t="str">
        <f t="shared" si="2395"/>
        <v>InitUnitMagic('',,,,,,,,,,)</v>
      </c>
      <c r="CQ216" s="7" t="str">
        <f t="shared" si="2396"/>
        <v>InitUnitAdd('',,,,,,,,,,)</v>
      </c>
      <c r="CR216" s="7" t="str">
        <f t="shared" si="2397"/>
        <v>InitEquipData('',,"",,,,,'','','','','','',"")</v>
      </c>
      <c r="CU216" s="29" t="str">
        <f t="shared" si="2469"/>
        <v>|n</v>
      </c>
      <c r="CW216" s="24"/>
      <c r="CX216" s="24"/>
      <c r="CY216" s="24"/>
      <c r="CZ216" s="24"/>
      <c r="DA216" s="24"/>
      <c r="DB216" s="30" t="str">
        <f t="shared" si="2399"/>
        <v/>
      </c>
      <c r="DC216" s="30" t="str">
        <f t="shared" si="2400"/>
        <v/>
      </c>
      <c r="DD216" s="30" t="str">
        <f t="shared" si="2401"/>
        <v/>
      </c>
      <c r="DE216" s="30" t="str">
        <f t="shared" si="2402"/>
        <v/>
      </c>
      <c r="DF216" s="30" t="str">
        <f t="shared" si="2403"/>
        <v/>
      </c>
      <c r="DG216" s="30" t="str">
        <f t="shared" si="2404"/>
        <v/>
      </c>
      <c r="DH216" s="30" t="str">
        <f t="shared" si="2405"/>
        <v/>
      </c>
      <c r="DI216" s="30" t="str">
        <f t="shared" si="2406"/>
        <v/>
      </c>
      <c r="DJ216" s="30" t="str">
        <f t="shared" si="2407"/>
        <v/>
      </c>
      <c r="DK216" s="30" t="str">
        <f t="shared" si="2408"/>
        <v/>
      </c>
      <c r="DL216" s="30" t="str">
        <f t="shared" si="2409"/>
        <v/>
      </c>
      <c r="DM216" s="30" t="str">
        <f t="shared" si="2410"/>
        <v/>
      </c>
      <c r="DN216" s="30" t="str">
        <f t="shared" si="2411"/>
        <v/>
      </c>
      <c r="DO216" s="30" t="str">
        <f t="shared" si="2412"/>
        <v/>
      </c>
      <c r="DP216" s="30" t="str">
        <f t="shared" si="2413"/>
        <v/>
      </c>
      <c r="DQ216" s="30" t="str">
        <f t="shared" si="2414"/>
        <v/>
      </c>
      <c r="DR216" s="30" t="str">
        <f t="shared" si="2415"/>
        <v/>
      </c>
      <c r="DS216" s="30" t="str">
        <f t="shared" si="2416"/>
        <v/>
      </c>
      <c r="DT216" s="30" t="str">
        <f t="shared" si="2417"/>
        <v/>
      </c>
      <c r="DU216" s="30" t="str">
        <f t="shared" si="2418"/>
        <v/>
      </c>
      <c r="DV216" s="30" t="str">
        <f t="shared" si="2419"/>
        <v/>
      </c>
      <c r="DW216" s="30" t="str">
        <f t="shared" si="2420"/>
        <v/>
      </c>
      <c r="DX216" s="30" t="str">
        <f t="shared" si="2421"/>
        <v/>
      </c>
      <c r="DY216" s="30" t="str">
        <f t="shared" si="2422"/>
        <v/>
      </c>
      <c r="DZ216" s="30" t="str">
        <f t="shared" si="2423"/>
        <v/>
      </c>
      <c r="EA216" s="30" t="str">
        <f t="shared" si="2424"/>
        <v/>
      </c>
      <c r="EB216" s="30" t="str">
        <f t="shared" si="2425"/>
        <v/>
      </c>
      <c r="EC216" s="30" t="str">
        <f t="shared" si="2426"/>
        <v/>
      </c>
      <c r="ED216" s="30" t="str">
        <f t="shared" si="2427"/>
        <v/>
      </c>
      <c r="EE216" s="30" t="str">
        <f t="shared" si="2428"/>
        <v/>
      </c>
      <c r="EF216" s="30" t="str">
        <f t="shared" si="2429"/>
        <v/>
      </c>
      <c r="EG216" s="30" t="str">
        <f t="shared" si="2430"/>
        <v/>
      </c>
      <c r="EH216" s="30" t="str">
        <f t="shared" si="2431"/>
        <v/>
      </c>
      <c r="EI216" s="30" t="str">
        <f t="shared" si="2432"/>
        <v/>
      </c>
      <c r="EJ216" s="30" t="str">
        <f t="shared" si="2433"/>
        <v/>
      </c>
      <c r="EK216" s="30" t="str">
        <f t="shared" si="2434"/>
        <v/>
      </c>
      <c r="EL216" s="30" t="str">
        <f t="shared" si="2435"/>
        <v/>
      </c>
      <c r="EM216" s="30" t="str">
        <f t="shared" si="2436"/>
        <v/>
      </c>
      <c r="EN216" s="30" t="str">
        <f t="shared" si="2437"/>
        <v/>
      </c>
      <c r="EO216" s="30" t="str">
        <f t="shared" si="2438"/>
        <v/>
      </c>
      <c r="EP216" s="30" t="str">
        <f t="shared" si="2439"/>
        <v/>
      </c>
      <c r="EQ216" s="30" t="str">
        <f t="shared" si="2440"/>
        <v/>
      </c>
      <c r="ER216" s="30" t="str">
        <f t="shared" si="2441"/>
        <v/>
      </c>
      <c r="ES216" s="30" t="str">
        <f t="shared" si="2442"/>
        <v/>
      </c>
      <c r="ET216" s="30" t="str">
        <f t="shared" si="2443"/>
        <v/>
      </c>
      <c r="EU216" s="30" t="str">
        <f t="shared" si="2444"/>
        <v/>
      </c>
      <c r="EV216" s="30" t="str">
        <f t="shared" si="2445"/>
        <v/>
      </c>
      <c r="EW216" s="30" t="str">
        <f t="shared" si="2446"/>
        <v/>
      </c>
      <c r="EX216" s="30" t="str">
        <f t="shared" si="2447"/>
        <v/>
      </c>
      <c r="EY216" s="30" t="str">
        <f t="shared" si="2448"/>
        <v/>
      </c>
      <c r="EZ216" s="30" t="str">
        <f t="shared" si="2449"/>
        <v/>
      </c>
      <c r="FA216" s="30" t="str">
        <f t="shared" si="2450"/>
        <v/>
      </c>
      <c r="FB216" s="30" t="str">
        <f t="shared" si="2451"/>
        <v/>
      </c>
      <c r="FC216" s="30" t="str">
        <f t="shared" si="2452"/>
        <v/>
      </c>
      <c r="FD216" s="30" t="str">
        <f t="shared" si="2453"/>
        <v/>
      </c>
      <c r="FE216" s="30" t="str">
        <f t="shared" si="2454"/>
        <v/>
      </c>
      <c r="FF216" s="30" t="str">
        <f t="shared" si="2455"/>
        <v/>
      </c>
      <c r="FG216" s="30" t="str">
        <f t="shared" si="2456"/>
        <v/>
      </c>
      <c r="FH216" s="30" t="str">
        <f t="shared" si="2457"/>
        <v/>
      </c>
      <c r="FI216" s="30" t="str">
        <f t="shared" si="2458"/>
        <v/>
      </c>
      <c r="FJ216" s="30" t="str">
        <f t="shared" si="2459"/>
        <v/>
      </c>
      <c r="FK216" s="30" t="str">
        <f t="shared" si="2460"/>
        <v/>
      </c>
      <c r="FL216" s="30" t="str">
        <f t="shared" si="2461"/>
        <v/>
      </c>
      <c r="FM216" s="30" t="str">
        <f t="shared" si="2462"/>
        <v/>
      </c>
      <c r="FN216" s="30" t="str">
        <f t="shared" si="2463"/>
        <v/>
      </c>
      <c r="FO216" s="30" t="str">
        <f t="shared" si="2464"/>
        <v/>
      </c>
      <c r="FP216" s="30" t="str">
        <f t="shared" si="2465"/>
        <v/>
      </c>
      <c r="FQ216" s="30" t="str">
        <f t="shared" si="2466"/>
        <v/>
      </c>
      <c r="FR216" s="30" t="str">
        <f t="shared" si="2467"/>
        <v/>
      </c>
      <c r="FS216" s="30" t="str">
        <f t="shared" si="2468"/>
        <v/>
      </c>
    </row>
    <row r="217" spans="92:175">
      <c r="CN217" s="7" t="str">
        <f t="shared" si="2393"/>
        <v>InitUnitState('',,,,,,,,,,)</v>
      </c>
      <c r="CO217" s="7" t="str">
        <f t="shared" si="2394"/>
        <v>InitUnitNormal('',,,,,,,,,,)</v>
      </c>
      <c r="CP217" s="7" t="str">
        <f t="shared" si="2395"/>
        <v>InitUnitMagic('',,,,,,,,,,)</v>
      </c>
      <c r="CQ217" s="7" t="str">
        <f t="shared" si="2396"/>
        <v>InitUnitAdd('',,,,,,,,,,)</v>
      </c>
      <c r="CR217" s="7" t="str">
        <f t="shared" si="2397"/>
        <v>InitEquipData('',,"",,,,,'','','','','','',"")</v>
      </c>
      <c r="CU217" s="29" t="str">
        <f t="shared" si="2469"/>
        <v>|n</v>
      </c>
      <c r="CW217" s="24"/>
      <c r="CX217" s="24"/>
      <c r="CY217" s="24"/>
      <c r="CZ217" s="24"/>
      <c r="DA217" s="24"/>
      <c r="DB217" s="30" t="str">
        <f t="shared" si="2399"/>
        <v/>
      </c>
      <c r="DC217" s="30" t="str">
        <f t="shared" si="2400"/>
        <v/>
      </c>
      <c r="DD217" s="30" t="str">
        <f t="shared" si="2401"/>
        <v/>
      </c>
      <c r="DE217" s="30" t="str">
        <f t="shared" si="2402"/>
        <v/>
      </c>
      <c r="DF217" s="30" t="str">
        <f t="shared" si="2403"/>
        <v/>
      </c>
      <c r="DG217" s="30" t="str">
        <f t="shared" si="2404"/>
        <v/>
      </c>
      <c r="DH217" s="30" t="str">
        <f t="shared" si="2405"/>
        <v/>
      </c>
      <c r="DI217" s="30" t="str">
        <f t="shared" si="2406"/>
        <v/>
      </c>
      <c r="DJ217" s="30" t="str">
        <f t="shared" si="2407"/>
        <v/>
      </c>
      <c r="DK217" s="30" t="str">
        <f t="shared" si="2408"/>
        <v/>
      </c>
      <c r="DL217" s="30" t="str">
        <f t="shared" si="2409"/>
        <v/>
      </c>
      <c r="DM217" s="30" t="str">
        <f t="shared" si="2410"/>
        <v/>
      </c>
      <c r="DN217" s="30" t="str">
        <f t="shared" si="2411"/>
        <v/>
      </c>
      <c r="DO217" s="30" t="str">
        <f t="shared" si="2412"/>
        <v/>
      </c>
      <c r="DP217" s="30" t="str">
        <f t="shared" si="2413"/>
        <v/>
      </c>
      <c r="DQ217" s="30" t="str">
        <f t="shared" si="2414"/>
        <v/>
      </c>
      <c r="DR217" s="30" t="str">
        <f t="shared" si="2415"/>
        <v/>
      </c>
      <c r="DS217" s="30" t="str">
        <f t="shared" si="2416"/>
        <v/>
      </c>
      <c r="DT217" s="30" t="str">
        <f t="shared" si="2417"/>
        <v/>
      </c>
      <c r="DU217" s="30" t="str">
        <f t="shared" si="2418"/>
        <v/>
      </c>
      <c r="DV217" s="30" t="str">
        <f t="shared" si="2419"/>
        <v/>
      </c>
      <c r="DW217" s="30" t="str">
        <f t="shared" si="2420"/>
        <v/>
      </c>
      <c r="DX217" s="30" t="str">
        <f t="shared" si="2421"/>
        <v/>
      </c>
      <c r="DY217" s="30" t="str">
        <f t="shared" si="2422"/>
        <v/>
      </c>
      <c r="DZ217" s="30" t="str">
        <f t="shared" si="2423"/>
        <v/>
      </c>
      <c r="EA217" s="30" t="str">
        <f t="shared" si="2424"/>
        <v/>
      </c>
      <c r="EB217" s="30" t="str">
        <f t="shared" si="2425"/>
        <v/>
      </c>
      <c r="EC217" s="30" t="str">
        <f t="shared" si="2426"/>
        <v/>
      </c>
      <c r="ED217" s="30" t="str">
        <f t="shared" si="2427"/>
        <v/>
      </c>
      <c r="EE217" s="30" t="str">
        <f t="shared" si="2428"/>
        <v/>
      </c>
      <c r="EF217" s="30" t="str">
        <f t="shared" si="2429"/>
        <v/>
      </c>
      <c r="EG217" s="30" t="str">
        <f t="shared" si="2430"/>
        <v/>
      </c>
      <c r="EH217" s="30" t="str">
        <f t="shared" si="2431"/>
        <v/>
      </c>
      <c r="EI217" s="30" t="str">
        <f t="shared" si="2432"/>
        <v/>
      </c>
      <c r="EJ217" s="30" t="str">
        <f t="shared" si="2433"/>
        <v/>
      </c>
      <c r="EK217" s="30" t="str">
        <f t="shared" si="2434"/>
        <v/>
      </c>
      <c r="EL217" s="30" t="str">
        <f t="shared" si="2435"/>
        <v/>
      </c>
      <c r="EM217" s="30" t="str">
        <f t="shared" si="2436"/>
        <v/>
      </c>
      <c r="EN217" s="30" t="str">
        <f t="shared" si="2437"/>
        <v/>
      </c>
      <c r="EO217" s="30" t="str">
        <f t="shared" si="2438"/>
        <v/>
      </c>
      <c r="EP217" s="30" t="str">
        <f t="shared" si="2439"/>
        <v/>
      </c>
      <c r="EQ217" s="30" t="str">
        <f t="shared" si="2440"/>
        <v/>
      </c>
      <c r="ER217" s="30" t="str">
        <f t="shared" si="2441"/>
        <v/>
      </c>
      <c r="ES217" s="30" t="str">
        <f t="shared" si="2442"/>
        <v/>
      </c>
      <c r="ET217" s="30" t="str">
        <f t="shared" si="2443"/>
        <v/>
      </c>
      <c r="EU217" s="30" t="str">
        <f t="shared" si="2444"/>
        <v/>
      </c>
      <c r="EV217" s="30" t="str">
        <f t="shared" si="2445"/>
        <v/>
      </c>
      <c r="EW217" s="30" t="str">
        <f t="shared" si="2446"/>
        <v/>
      </c>
      <c r="EX217" s="30" t="str">
        <f t="shared" si="2447"/>
        <v/>
      </c>
      <c r="EY217" s="30" t="str">
        <f t="shared" si="2448"/>
        <v/>
      </c>
      <c r="EZ217" s="30" t="str">
        <f t="shared" si="2449"/>
        <v/>
      </c>
      <c r="FA217" s="30" t="str">
        <f t="shared" si="2450"/>
        <v/>
      </c>
      <c r="FB217" s="30" t="str">
        <f t="shared" si="2451"/>
        <v/>
      </c>
      <c r="FC217" s="30" t="str">
        <f t="shared" si="2452"/>
        <v/>
      </c>
      <c r="FD217" s="30" t="str">
        <f t="shared" si="2453"/>
        <v/>
      </c>
      <c r="FE217" s="30" t="str">
        <f t="shared" si="2454"/>
        <v/>
      </c>
      <c r="FF217" s="30" t="str">
        <f t="shared" si="2455"/>
        <v/>
      </c>
      <c r="FG217" s="30" t="str">
        <f t="shared" si="2456"/>
        <v/>
      </c>
      <c r="FH217" s="30" t="str">
        <f t="shared" si="2457"/>
        <v/>
      </c>
      <c r="FI217" s="30" t="str">
        <f t="shared" si="2458"/>
        <v/>
      </c>
      <c r="FJ217" s="30" t="str">
        <f t="shared" si="2459"/>
        <v/>
      </c>
      <c r="FK217" s="30" t="str">
        <f t="shared" si="2460"/>
        <v/>
      </c>
      <c r="FL217" s="30" t="str">
        <f t="shared" si="2461"/>
        <v/>
      </c>
      <c r="FM217" s="30" t="str">
        <f t="shared" si="2462"/>
        <v/>
      </c>
      <c r="FN217" s="30" t="str">
        <f t="shared" si="2463"/>
        <v/>
      </c>
      <c r="FO217" s="30" t="str">
        <f t="shared" si="2464"/>
        <v/>
      </c>
      <c r="FP217" s="30" t="str">
        <f t="shared" si="2465"/>
        <v/>
      </c>
      <c r="FQ217" s="30" t="str">
        <f t="shared" si="2466"/>
        <v/>
      </c>
      <c r="FR217" s="30" t="str">
        <f t="shared" si="2467"/>
        <v/>
      </c>
      <c r="FS217" s="30" t="str">
        <f t="shared" si="2468"/>
        <v/>
      </c>
    </row>
    <row r="218" spans="92:175">
      <c r="CN218" s="7" t="str">
        <f t="shared" si="2393"/>
        <v>InitUnitState('',,,,,,,,,,)</v>
      </c>
      <c r="CO218" s="7" t="str">
        <f t="shared" si="2394"/>
        <v>InitUnitNormal('',,,,,,,,,,)</v>
      </c>
      <c r="CP218" s="7" t="str">
        <f t="shared" si="2395"/>
        <v>InitUnitMagic('',,,,,,,,,,)</v>
      </c>
      <c r="CQ218" s="7" t="str">
        <f t="shared" si="2396"/>
        <v>InitUnitAdd('',,,,,,,,,,)</v>
      </c>
      <c r="CR218" s="7" t="str">
        <f t="shared" si="2397"/>
        <v>InitEquipData('',,"",,,,,'','','','','','',"")</v>
      </c>
      <c r="CU218" s="29" t="str">
        <f t="shared" si="2469"/>
        <v>|n</v>
      </c>
      <c r="CW218" s="24"/>
      <c r="CX218" s="24"/>
      <c r="CY218" s="24"/>
      <c r="CZ218" s="24"/>
      <c r="DA218" s="24"/>
      <c r="DB218" s="30" t="str">
        <f t="shared" si="2399"/>
        <v/>
      </c>
      <c r="DC218" s="30" t="str">
        <f t="shared" si="2400"/>
        <v/>
      </c>
      <c r="DD218" s="30" t="str">
        <f t="shared" si="2401"/>
        <v/>
      </c>
      <c r="DE218" s="30" t="str">
        <f t="shared" si="2402"/>
        <v/>
      </c>
      <c r="DF218" s="30" t="str">
        <f t="shared" si="2403"/>
        <v/>
      </c>
      <c r="DG218" s="30" t="str">
        <f t="shared" si="2404"/>
        <v/>
      </c>
      <c r="DH218" s="30" t="str">
        <f t="shared" si="2405"/>
        <v/>
      </c>
      <c r="DI218" s="30" t="str">
        <f t="shared" si="2406"/>
        <v/>
      </c>
      <c r="DJ218" s="30" t="str">
        <f t="shared" si="2407"/>
        <v/>
      </c>
      <c r="DK218" s="30" t="str">
        <f t="shared" si="2408"/>
        <v/>
      </c>
      <c r="DL218" s="30" t="str">
        <f t="shared" si="2409"/>
        <v/>
      </c>
      <c r="DM218" s="30" t="str">
        <f t="shared" si="2410"/>
        <v/>
      </c>
      <c r="DN218" s="30" t="str">
        <f t="shared" si="2411"/>
        <v/>
      </c>
      <c r="DO218" s="30" t="str">
        <f t="shared" si="2412"/>
        <v/>
      </c>
      <c r="DP218" s="30" t="str">
        <f t="shared" si="2413"/>
        <v/>
      </c>
      <c r="DQ218" s="30" t="str">
        <f t="shared" si="2414"/>
        <v/>
      </c>
      <c r="DR218" s="30" t="str">
        <f t="shared" si="2415"/>
        <v/>
      </c>
      <c r="DS218" s="30" t="str">
        <f t="shared" si="2416"/>
        <v/>
      </c>
      <c r="DT218" s="30" t="str">
        <f t="shared" si="2417"/>
        <v/>
      </c>
      <c r="DU218" s="30" t="str">
        <f t="shared" si="2418"/>
        <v/>
      </c>
      <c r="DV218" s="30" t="str">
        <f t="shared" si="2419"/>
        <v/>
      </c>
      <c r="DW218" s="30" t="str">
        <f t="shared" si="2420"/>
        <v/>
      </c>
      <c r="DX218" s="30" t="str">
        <f t="shared" si="2421"/>
        <v/>
      </c>
      <c r="DY218" s="30" t="str">
        <f t="shared" si="2422"/>
        <v/>
      </c>
      <c r="DZ218" s="30" t="str">
        <f t="shared" si="2423"/>
        <v/>
      </c>
      <c r="EA218" s="30" t="str">
        <f t="shared" si="2424"/>
        <v/>
      </c>
      <c r="EB218" s="30" t="str">
        <f t="shared" si="2425"/>
        <v/>
      </c>
      <c r="EC218" s="30" t="str">
        <f t="shared" si="2426"/>
        <v/>
      </c>
      <c r="ED218" s="30" t="str">
        <f t="shared" si="2427"/>
        <v/>
      </c>
      <c r="EE218" s="30" t="str">
        <f t="shared" si="2428"/>
        <v/>
      </c>
      <c r="EF218" s="30" t="str">
        <f t="shared" si="2429"/>
        <v/>
      </c>
      <c r="EG218" s="30" t="str">
        <f t="shared" si="2430"/>
        <v/>
      </c>
      <c r="EH218" s="30" t="str">
        <f t="shared" si="2431"/>
        <v/>
      </c>
      <c r="EI218" s="30" t="str">
        <f t="shared" si="2432"/>
        <v/>
      </c>
      <c r="EJ218" s="30" t="str">
        <f t="shared" si="2433"/>
        <v/>
      </c>
      <c r="EK218" s="30" t="str">
        <f t="shared" si="2434"/>
        <v/>
      </c>
      <c r="EL218" s="30" t="str">
        <f t="shared" si="2435"/>
        <v/>
      </c>
      <c r="EM218" s="30" t="str">
        <f t="shared" si="2436"/>
        <v/>
      </c>
      <c r="EN218" s="30" t="str">
        <f t="shared" si="2437"/>
        <v/>
      </c>
      <c r="EO218" s="30" t="str">
        <f t="shared" si="2438"/>
        <v/>
      </c>
      <c r="EP218" s="30" t="str">
        <f t="shared" si="2439"/>
        <v/>
      </c>
      <c r="EQ218" s="30" t="str">
        <f t="shared" si="2440"/>
        <v/>
      </c>
      <c r="ER218" s="30" t="str">
        <f t="shared" si="2441"/>
        <v/>
      </c>
      <c r="ES218" s="30" t="str">
        <f t="shared" si="2442"/>
        <v/>
      </c>
      <c r="ET218" s="30" t="str">
        <f t="shared" si="2443"/>
        <v/>
      </c>
      <c r="EU218" s="30" t="str">
        <f t="shared" si="2444"/>
        <v/>
      </c>
      <c r="EV218" s="30" t="str">
        <f t="shared" si="2445"/>
        <v/>
      </c>
      <c r="EW218" s="30" t="str">
        <f t="shared" si="2446"/>
        <v/>
      </c>
      <c r="EX218" s="30" t="str">
        <f t="shared" si="2447"/>
        <v/>
      </c>
      <c r="EY218" s="30" t="str">
        <f t="shared" si="2448"/>
        <v/>
      </c>
      <c r="EZ218" s="30" t="str">
        <f t="shared" si="2449"/>
        <v/>
      </c>
      <c r="FA218" s="30" t="str">
        <f t="shared" si="2450"/>
        <v/>
      </c>
      <c r="FB218" s="30" t="str">
        <f t="shared" si="2451"/>
        <v/>
      </c>
      <c r="FC218" s="30" t="str">
        <f t="shared" si="2452"/>
        <v/>
      </c>
      <c r="FD218" s="30" t="str">
        <f t="shared" si="2453"/>
        <v/>
      </c>
      <c r="FE218" s="30" t="str">
        <f t="shared" si="2454"/>
        <v/>
      </c>
      <c r="FF218" s="30" t="str">
        <f t="shared" si="2455"/>
        <v/>
      </c>
      <c r="FG218" s="30" t="str">
        <f t="shared" si="2456"/>
        <v/>
      </c>
      <c r="FH218" s="30" t="str">
        <f t="shared" si="2457"/>
        <v/>
      </c>
      <c r="FI218" s="30" t="str">
        <f t="shared" si="2458"/>
        <v/>
      </c>
      <c r="FJ218" s="30" t="str">
        <f t="shared" si="2459"/>
        <v/>
      </c>
      <c r="FK218" s="30" t="str">
        <f t="shared" si="2460"/>
        <v/>
      </c>
      <c r="FL218" s="30" t="str">
        <f t="shared" si="2461"/>
        <v/>
      </c>
      <c r="FM218" s="30" t="str">
        <f t="shared" si="2462"/>
        <v/>
      </c>
      <c r="FN218" s="30" t="str">
        <f t="shared" si="2463"/>
        <v/>
      </c>
      <c r="FO218" s="30" t="str">
        <f t="shared" si="2464"/>
        <v/>
      </c>
      <c r="FP218" s="30" t="str">
        <f t="shared" si="2465"/>
        <v/>
      </c>
      <c r="FQ218" s="30" t="str">
        <f t="shared" si="2466"/>
        <v/>
      </c>
      <c r="FR218" s="30" t="str">
        <f t="shared" si="2467"/>
        <v/>
      </c>
      <c r="FS218" s="30" t="str">
        <f t="shared" si="2468"/>
        <v/>
      </c>
    </row>
    <row r="219" spans="92:175">
      <c r="CN219" s="7" t="str">
        <f t="shared" si="2393"/>
        <v>InitUnitState('',,,,,,,,,,)</v>
      </c>
      <c r="CO219" s="7" t="str">
        <f t="shared" si="2394"/>
        <v>InitUnitNormal('',,,,,,,,,,)</v>
      </c>
      <c r="CP219" s="7" t="str">
        <f t="shared" si="2395"/>
        <v>InitUnitMagic('',,,,,,,,,,)</v>
      </c>
      <c r="CQ219" s="7" t="str">
        <f t="shared" si="2396"/>
        <v>InitUnitAdd('',,,,,,,,,,)</v>
      </c>
      <c r="CR219" s="7" t="str">
        <f t="shared" si="2397"/>
        <v>InitEquipData('',,"",,,,,'','','','','','',"")</v>
      </c>
      <c r="CU219" s="29" t="str">
        <f t="shared" si="2469"/>
        <v>|n</v>
      </c>
      <c r="CW219" s="24"/>
      <c r="CX219" s="24"/>
      <c r="CY219" s="24"/>
      <c r="CZ219" s="24"/>
      <c r="DA219" s="24"/>
      <c r="DB219" s="30" t="str">
        <f t="shared" si="2399"/>
        <v/>
      </c>
      <c r="DC219" s="30" t="str">
        <f t="shared" si="2400"/>
        <v/>
      </c>
      <c r="DD219" s="30" t="str">
        <f t="shared" si="2401"/>
        <v/>
      </c>
      <c r="DE219" s="30" t="str">
        <f t="shared" si="2402"/>
        <v/>
      </c>
      <c r="DF219" s="30" t="str">
        <f t="shared" si="2403"/>
        <v/>
      </c>
      <c r="DG219" s="30" t="str">
        <f t="shared" si="2404"/>
        <v/>
      </c>
      <c r="DH219" s="30" t="str">
        <f t="shared" si="2405"/>
        <v/>
      </c>
      <c r="DI219" s="30" t="str">
        <f t="shared" si="2406"/>
        <v/>
      </c>
      <c r="DJ219" s="30" t="str">
        <f t="shared" si="2407"/>
        <v/>
      </c>
      <c r="DK219" s="30" t="str">
        <f t="shared" si="2408"/>
        <v/>
      </c>
      <c r="DL219" s="30" t="str">
        <f t="shared" si="2409"/>
        <v/>
      </c>
      <c r="DM219" s="30" t="str">
        <f t="shared" si="2410"/>
        <v/>
      </c>
      <c r="DN219" s="30" t="str">
        <f t="shared" si="2411"/>
        <v/>
      </c>
      <c r="DO219" s="30" t="str">
        <f t="shared" si="2412"/>
        <v/>
      </c>
      <c r="DP219" s="30" t="str">
        <f t="shared" si="2413"/>
        <v/>
      </c>
      <c r="DQ219" s="30" t="str">
        <f t="shared" si="2414"/>
        <v/>
      </c>
      <c r="DR219" s="30" t="str">
        <f t="shared" si="2415"/>
        <v/>
      </c>
      <c r="DS219" s="30" t="str">
        <f t="shared" si="2416"/>
        <v/>
      </c>
      <c r="DT219" s="30" t="str">
        <f t="shared" si="2417"/>
        <v/>
      </c>
      <c r="DU219" s="30" t="str">
        <f t="shared" si="2418"/>
        <v/>
      </c>
      <c r="DV219" s="30" t="str">
        <f t="shared" si="2419"/>
        <v/>
      </c>
      <c r="DW219" s="30" t="str">
        <f t="shared" si="2420"/>
        <v/>
      </c>
      <c r="DX219" s="30" t="str">
        <f t="shared" si="2421"/>
        <v/>
      </c>
      <c r="DY219" s="30" t="str">
        <f t="shared" si="2422"/>
        <v/>
      </c>
      <c r="DZ219" s="30" t="str">
        <f t="shared" si="2423"/>
        <v/>
      </c>
      <c r="EA219" s="30" t="str">
        <f t="shared" si="2424"/>
        <v/>
      </c>
      <c r="EB219" s="30" t="str">
        <f t="shared" si="2425"/>
        <v/>
      </c>
      <c r="EC219" s="30" t="str">
        <f t="shared" si="2426"/>
        <v/>
      </c>
      <c r="ED219" s="30" t="str">
        <f t="shared" si="2427"/>
        <v/>
      </c>
      <c r="EE219" s="30" t="str">
        <f t="shared" si="2428"/>
        <v/>
      </c>
      <c r="EF219" s="30" t="str">
        <f t="shared" si="2429"/>
        <v/>
      </c>
      <c r="EG219" s="30" t="str">
        <f t="shared" si="2430"/>
        <v/>
      </c>
      <c r="EH219" s="30" t="str">
        <f t="shared" si="2431"/>
        <v/>
      </c>
      <c r="EI219" s="30" t="str">
        <f t="shared" si="2432"/>
        <v/>
      </c>
      <c r="EJ219" s="30" t="str">
        <f t="shared" si="2433"/>
        <v/>
      </c>
      <c r="EK219" s="30" t="str">
        <f t="shared" si="2434"/>
        <v/>
      </c>
      <c r="EL219" s="30" t="str">
        <f t="shared" si="2435"/>
        <v/>
      </c>
      <c r="EM219" s="30" t="str">
        <f t="shared" si="2436"/>
        <v/>
      </c>
      <c r="EN219" s="30" t="str">
        <f t="shared" si="2437"/>
        <v/>
      </c>
      <c r="EO219" s="30" t="str">
        <f t="shared" si="2438"/>
        <v/>
      </c>
      <c r="EP219" s="30" t="str">
        <f t="shared" si="2439"/>
        <v/>
      </c>
      <c r="EQ219" s="30" t="str">
        <f t="shared" si="2440"/>
        <v/>
      </c>
      <c r="ER219" s="30" t="str">
        <f t="shared" si="2441"/>
        <v/>
      </c>
      <c r="ES219" s="30" t="str">
        <f t="shared" si="2442"/>
        <v/>
      </c>
      <c r="ET219" s="30" t="str">
        <f t="shared" si="2443"/>
        <v/>
      </c>
      <c r="EU219" s="30" t="str">
        <f t="shared" si="2444"/>
        <v/>
      </c>
      <c r="EV219" s="30" t="str">
        <f t="shared" si="2445"/>
        <v/>
      </c>
      <c r="EW219" s="30" t="str">
        <f t="shared" si="2446"/>
        <v/>
      </c>
      <c r="EX219" s="30" t="str">
        <f t="shared" si="2447"/>
        <v/>
      </c>
      <c r="EY219" s="30" t="str">
        <f t="shared" si="2448"/>
        <v/>
      </c>
      <c r="EZ219" s="30" t="str">
        <f t="shared" si="2449"/>
        <v/>
      </c>
      <c r="FA219" s="30" t="str">
        <f t="shared" si="2450"/>
        <v/>
      </c>
      <c r="FB219" s="30" t="str">
        <f t="shared" si="2451"/>
        <v/>
      </c>
      <c r="FC219" s="30" t="str">
        <f t="shared" si="2452"/>
        <v/>
      </c>
      <c r="FD219" s="30" t="str">
        <f t="shared" si="2453"/>
        <v/>
      </c>
      <c r="FE219" s="30" t="str">
        <f t="shared" si="2454"/>
        <v/>
      </c>
      <c r="FF219" s="30" t="str">
        <f t="shared" si="2455"/>
        <v/>
      </c>
      <c r="FG219" s="30" t="str">
        <f t="shared" si="2456"/>
        <v/>
      </c>
      <c r="FH219" s="30" t="str">
        <f t="shared" si="2457"/>
        <v/>
      </c>
      <c r="FI219" s="30" t="str">
        <f t="shared" si="2458"/>
        <v/>
      </c>
      <c r="FJ219" s="30" t="str">
        <f t="shared" si="2459"/>
        <v/>
      </c>
      <c r="FK219" s="30" t="str">
        <f t="shared" si="2460"/>
        <v/>
      </c>
      <c r="FL219" s="30" t="str">
        <f t="shared" si="2461"/>
        <v/>
      </c>
      <c r="FM219" s="30" t="str">
        <f t="shared" si="2462"/>
        <v/>
      </c>
      <c r="FN219" s="30" t="str">
        <f t="shared" si="2463"/>
        <v/>
      </c>
      <c r="FO219" s="30" t="str">
        <f t="shared" si="2464"/>
        <v/>
      </c>
      <c r="FP219" s="30" t="str">
        <f t="shared" si="2465"/>
        <v/>
      </c>
      <c r="FQ219" s="30" t="str">
        <f t="shared" si="2466"/>
        <v/>
      </c>
      <c r="FR219" s="30" t="str">
        <f t="shared" si="2467"/>
        <v/>
      </c>
      <c r="FS219" s="30" t="str">
        <f t="shared" si="2468"/>
        <v/>
      </c>
    </row>
    <row r="220" spans="92:175">
      <c r="CN220" s="7" t="str">
        <f t="shared" si="2393"/>
        <v>InitUnitState('',,,,,,,,,,)</v>
      </c>
      <c r="CO220" s="7" t="str">
        <f t="shared" si="2394"/>
        <v>InitUnitNormal('',,,,,,,,,,)</v>
      </c>
      <c r="CP220" s="7" t="str">
        <f t="shared" si="2395"/>
        <v>InitUnitMagic('',,,,,,,,,,)</v>
      </c>
      <c r="CQ220" s="7" t="str">
        <f t="shared" si="2396"/>
        <v>InitUnitAdd('',,,,,,,,,,)</v>
      </c>
      <c r="CR220" s="7" t="str">
        <f t="shared" si="2397"/>
        <v>InitEquipData('',,"",,,,,'','','','','','',"")</v>
      </c>
      <c r="CU220" s="29" t="str">
        <f t="shared" si="2469"/>
        <v>|n</v>
      </c>
      <c r="CW220" s="24"/>
      <c r="CX220" s="24"/>
      <c r="CY220" s="24"/>
      <c r="CZ220" s="24"/>
      <c r="DA220" s="24"/>
      <c r="DB220" s="30" t="str">
        <f t="shared" si="2399"/>
        <v/>
      </c>
      <c r="DC220" s="30" t="str">
        <f t="shared" si="2400"/>
        <v/>
      </c>
      <c r="DD220" s="30" t="str">
        <f t="shared" si="2401"/>
        <v/>
      </c>
      <c r="DE220" s="30" t="str">
        <f t="shared" si="2402"/>
        <v/>
      </c>
      <c r="DF220" s="30" t="str">
        <f t="shared" si="2403"/>
        <v/>
      </c>
      <c r="DG220" s="30" t="str">
        <f t="shared" si="2404"/>
        <v/>
      </c>
      <c r="DH220" s="30" t="str">
        <f t="shared" si="2405"/>
        <v/>
      </c>
      <c r="DI220" s="30" t="str">
        <f t="shared" si="2406"/>
        <v/>
      </c>
      <c r="DJ220" s="30" t="str">
        <f t="shared" si="2407"/>
        <v/>
      </c>
      <c r="DK220" s="30" t="str">
        <f t="shared" si="2408"/>
        <v/>
      </c>
      <c r="DL220" s="30" t="str">
        <f t="shared" si="2409"/>
        <v/>
      </c>
      <c r="DM220" s="30" t="str">
        <f t="shared" si="2410"/>
        <v/>
      </c>
      <c r="DN220" s="30" t="str">
        <f t="shared" si="2411"/>
        <v/>
      </c>
      <c r="DO220" s="30" t="str">
        <f t="shared" si="2412"/>
        <v/>
      </c>
      <c r="DP220" s="30" t="str">
        <f t="shared" si="2413"/>
        <v/>
      </c>
      <c r="DQ220" s="30" t="str">
        <f t="shared" si="2414"/>
        <v/>
      </c>
      <c r="DR220" s="30" t="str">
        <f t="shared" si="2415"/>
        <v/>
      </c>
      <c r="DS220" s="30" t="str">
        <f t="shared" si="2416"/>
        <v/>
      </c>
      <c r="DT220" s="30" t="str">
        <f t="shared" si="2417"/>
        <v/>
      </c>
      <c r="DU220" s="30" t="str">
        <f t="shared" si="2418"/>
        <v/>
      </c>
      <c r="DV220" s="30" t="str">
        <f t="shared" si="2419"/>
        <v/>
      </c>
      <c r="DW220" s="30" t="str">
        <f t="shared" si="2420"/>
        <v/>
      </c>
      <c r="DX220" s="30" t="str">
        <f t="shared" si="2421"/>
        <v/>
      </c>
      <c r="DY220" s="30" t="str">
        <f t="shared" si="2422"/>
        <v/>
      </c>
      <c r="DZ220" s="30" t="str">
        <f t="shared" si="2423"/>
        <v/>
      </c>
      <c r="EA220" s="30" t="str">
        <f t="shared" si="2424"/>
        <v/>
      </c>
      <c r="EB220" s="30" t="str">
        <f t="shared" si="2425"/>
        <v/>
      </c>
      <c r="EC220" s="30" t="str">
        <f t="shared" si="2426"/>
        <v/>
      </c>
      <c r="ED220" s="30" t="str">
        <f t="shared" si="2427"/>
        <v/>
      </c>
      <c r="EE220" s="30" t="str">
        <f t="shared" si="2428"/>
        <v/>
      </c>
      <c r="EF220" s="30" t="str">
        <f t="shared" si="2429"/>
        <v/>
      </c>
      <c r="EG220" s="30" t="str">
        <f t="shared" si="2430"/>
        <v/>
      </c>
      <c r="EH220" s="30" t="str">
        <f t="shared" si="2431"/>
        <v/>
      </c>
      <c r="EI220" s="30" t="str">
        <f t="shared" si="2432"/>
        <v/>
      </c>
      <c r="EJ220" s="30" t="str">
        <f t="shared" si="2433"/>
        <v/>
      </c>
      <c r="EK220" s="30" t="str">
        <f t="shared" si="2434"/>
        <v/>
      </c>
      <c r="EL220" s="30" t="str">
        <f t="shared" si="2435"/>
        <v/>
      </c>
      <c r="EM220" s="30" t="str">
        <f t="shared" si="2436"/>
        <v/>
      </c>
      <c r="EN220" s="30" t="str">
        <f t="shared" si="2437"/>
        <v/>
      </c>
      <c r="EO220" s="30" t="str">
        <f t="shared" si="2438"/>
        <v/>
      </c>
      <c r="EP220" s="30" t="str">
        <f t="shared" si="2439"/>
        <v/>
      </c>
      <c r="EQ220" s="30" t="str">
        <f t="shared" si="2440"/>
        <v/>
      </c>
      <c r="ER220" s="30" t="str">
        <f t="shared" si="2441"/>
        <v/>
      </c>
      <c r="ES220" s="30" t="str">
        <f t="shared" si="2442"/>
        <v/>
      </c>
      <c r="ET220" s="30" t="str">
        <f t="shared" si="2443"/>
        <v/>
      </c>
      <c r="EU220" s="30" t="str">
        <f t="shared" si="2444"/>
        <v/>
      </c>
      <c r="EV220" s="30" t="str">
        <f t="shared" si="2445"/>
        <v/>
      </c>
      <c r="EW220" s="30" t="str">
        <f t="shared" si="2446"/>
        <v/>
      </c>
      <c r="EX220" s="30" t="str">
        <f t="shared" si="2447"/>
        <v/>
      </c>
      <c r="EY220" s="30" t="str">
        <f t="shared" si="2448"/>
        <v/>
      </c>
      <c r="EZ220" s="30" t="str">
        <f t="shared" si="2449"/>
        <v/>
      </c>
      <c r="FA220" s="30" t="str">
        <f t="shared" si="2450"/>
        <v/>
      </c>
      <c r="FB220" s="30" t="str">
        <f t="shared" si="2451"/>
        <v/>
      </c>
      <c r="FC220" s="30" t="str">
        <f t="shared" si="2452"/>
        <v/>
      </c>
      <c r="FD220" s="30" t="str">
        <f t="shared" si="2453"/>
        <v/>
      </c>
      <c r="FE220" s="30" t="str">
        <f t="shared" si="2454"/>
        <v/>
      </c>
      <c r="FF220" s="30" t="str">
        <f t="shared" si="2455"/>
        <v/>
      </c>
      <c r="FG220" s="30" t="str">
        <f t="shared" si="2456"/>
        <v/>
      </c>
      <c r="FH220" s="30" t="str">
        <f t="shared" si="2457"/>
        <v/>
      </c>
      <c r="FI220" s="30" t="str">
        <f t="shared" si="2458"/>
        <v/>
      </c>
      <c r="FJ220" s="30" t="str">
        <f t="shared" si="2459"/>
        <v/>
      </c>
      <c r="FK220" s="30" t="str">
        <f t="shared" si="2460"/>
        <v/>
      </c>
      <c r="FL220" s="30" t="str">
        <f t="shared" si="2461"/>
        <v/>
      </c>
      <c r="FM220" s="30" t="str">
        <f t="shared" si="2462"/>
        <v/>
      </c>
      <c r="FN220" s="30" t="str">
        <f t="shared" si="2463"/>
        <v/>
      </c>
      <c r="FO220" s="30" t="str">
        <f t="shared" si="2464"/>
        <v/>
      </c>
      <c r="FP220" s="30" t="str">
        <f t="shared" si="2465"/>
        <v/>
      </c>
      <c r="FQ220" s="30" t="str">
        <f t="shared" si="2466"/>
        <v/>
      </c>
      <c r="FR220" s="30" t="str">
        <f t="shared" si="2467"/>
        <v/>
      </c>
      <c r="FS220" s="30" t="str">
        <f t="shared" si="2468"/>
        <v/>
      </c>
    </row>
    <row r="221" spans="92:175">
      <c r="CN221" s="7" t="str">
        <f t="shared" si="2393"/>
        <v>InitUnitState('',,,,,,,,,,)</v>
      </c>
      <c r="CO221" s="7" t="str">
        <f t="shared" si="2394"/>
        <v>InitUnitNormal('',,,,,,,,,,)</v>
      </c>
      <c r="CP221" s="7" t="str">
        <f t="shared" si="2395"/>
        <v>InitUnitMagic('',,,,,,,,,,)</v>
      </c>
      <c r="CQ221" s="7" t="str">
        <f t="shared" si="2396"/>
        <v>InitUnitAdd('',,,,,,,,,,)</v>
      </c>
      <c r="CR221" s="7" t="str">
        <f t="shared" si="2397"/>
        <v>InitEquipData('',,"",,,,,'','','','','','',"")</v>
      </c>
      <c r="CU221" s="29" t="str">
        <f t="shared" si="2469"/>
        <v>|n</v>
      </c>
      <c r="DB221" s="30" t="str">
        <f>IF(V221="","","|n"&amp;#REF!&amp;"+"&amp;V221)</f>
        <v/>
      </c>
      <c r="DC221" s="30" t="str">
        <f>IF(W221="","","|n"&amp;#REF!&amp;"+"&amp;W221)</f>
        <v/>
      </c>
      <c r="DD221" s="30" t="str">
        <f>IF(X221="","","|n"&amp;#REF!&amp;"+"&amp;X221)</f>
        <v/>
      </c>
      <c r="DE221" s="30" t="str">
        <f>IF(Y221="","","|n"&amp;#REF!&amp;"+"&amp;Y221)</f>
        <v/>
      </c>
      <c r="DF221" s="30" t="str">
        <f>IF(Z221="","","|n"&amp;#REF!&amp;"+"&amp;Z221)</f>
        <v/>
      </c>
      <c r="DG221" s="30" t="str">
        <f>IF(AA221="","","|n"&amp;#REF!&amp;"+"&amp;AA221)</f>
        <v/>
      </c>
      <c r="DH221" s="30" t="str">
        <f>IF(AB221="","","|n"&amp;#REF!&amp;"+"&amp;AB221)</f>
        <v/>
      </c>
      <c r="DI221" s="30" t="str">
        <f>IF(AC221="","","|n"&amp;#REF!&amp;"+"&amp;AC221&amp;"%")</f>
        <v/>
      </c>
      <c r="DJ221" s="30" t="str">
        <f>IF(AD221="","","|n"&amp;#REF!&amp;"+"&amp;AD221)</f>
        <v/>
      </c>
      <c r="DK221" s="30" t="str">
        <f>IF(AE221="","","|n"&amp;#REF!&amp;"+"&amp;AE221)</f>
        <v/>
      </c>
      <c r="DL221" s="30" t="str">
        <f>IF(AF221="","","|n"&amp;#REF!&amp;"+"&amp;AF221)</f>
        <v/>
      </c>
      <c r="DM221" s="30" t="str">
        <f>IF(AG221="","","|n"&amp;#REF!&amp;"+"&amp;AG221&amp;"%")</f>
        <v/>
      </c>
      <c r="DN221" s="30" t="str">
        <f>IF(AH221="","","|n"&amp;#REF!&amp;"+"&amp;AH221)</f>
        <v/>
      </c>
      <c r="DO221" s="30" t="str">
        <f>IF(AI221="","","|n"&amp;#REF!&amp;"+"&amp;AI221)</f>
        <v/>
      </c>
      <c r="DP221" s="30" t="str">
        <f>IF(AJ221="","","|n"&amp;#REF!&amp;"+"&amp;AJ221)</f>
        <v/>
      </c>
    </row>
    <row r="222" spans="92:175">
      <c r="CN222" s="7" t="str">
        <f t="shared" si="2393"/>
        <v>InitUnitState('',,,,,,,,,,)</v>
      </c>
      <c r="CO222" s="7" t="str">
        <f t="shared" si="2394"/>
        <v>InitUnitNormal('',,,,,,,,,,)</v>
      </c>
      <c r="CP222" s="7" t="str">
        <f t="shared" si="2395"/>
        <v>InitUnitMagic('',,,,,,,,,,)</v>
      </c>
      <c r="CQ222" s="7" t="str">
        <f t="shared" si="2396"/>
        <v>InitUnitAdd('',,,,,,,,,,)</v>
      </c>
      <c r="CR222" s="7" t="str">
        <f t="shared" si="2397"/>
        <v>InitEquipData('',,"",,,,,'','','','','','',"")</v>
      </c>
      <c r="CU222" s="29" t="str">
        <f t="shared" si="2469"/>
        <v>|n</v>
      </c>
      <c r="DB222" s="30" t="str">
        <f>IF(V222="","","|n"&amp;#REF!&amp;"+"&amp;V222)</f>
        <v/>
      </c>
      <c r="DC222" s="30" t="str">
        <f>IF(W222="","","|n"&amp;#REF!&amp;"+"&amp;W222)</f>
        <v/>
      </c>
      <c r="DD222" s="30" t="str">
        <f>IF(X222="","","|n"&amp;#REF!&amp;"+"&amp;X222)</f>
        <v/>
      </c>
      <c r="DE222" s="30" t="str">
        <f>IF(Y222="","","|n"&amp;#REF!&amp;"+"&amp;Y222)</f>
        <v/>
      </c>
      <c r="DF222" s="30" t="str">
        <f>IF(Z222="","","|n"&amp;#REF!&amp;"+"&amp;Z222)</f>
        <v/>
      </c>
      <c r="DG222" s="30" t="str">
        <f>IF(AA222="","","|n"&amp;#REF!&amp;"+"&amp;AA222)</f>
        <v/>
      </c>
      <c r="DH222" s="30" t="str">
        <f>IF(AB222="","","|n"&amp;#REF!&amp;"+"&amp;AB222)</f>
        <v/>
      </c>
      <c r="DI222" s="30" t="str">
        <f>IF(AC222="","","|n"&amp;#REF!&amp;"+"&amp;AC222&amp;"%")</f>
        <v/>
      </c>
      <c r="DJ222" s="30" t="str">
        <f>IF(AD222="","","|n"&amp;#REF!&amp;"+"&amp;AD222)</f>
        <v/>
      </c>
      <c r="DK222" s="30" t="str">
        <f>IF(AE222="","","|n"&amp;#REF!&amp;"+"&amp;AE222)</f>
        <v/>
      </c>
      <c r="DL222" s="30" t="str">
        <f>IF(AF222="","","|n"&amp;#REF!&amp;"+"&amp;AF222)</f>
        <v/>
      </c>
      <c r="DM222" s="30" t="str">
        <f>IF(AG222="","","|n"&amp;#REF!&amp;"+"&amp;AG222&amp;"%")</f>
        <v/>
      </c>
      <c r="DN222" s="30" t="str">
        <f>IF(AH222="","","|n"&amp;#REF!&amp;"+"&amp;AH222)</f>
        <v/>
      </c>
      <c r="DO222" s="30" t="str">
        <f>IF(AI222="","","|n"&amp;#REF!&amp;"+"&amp;AI222)</f>
        <v/>
      </c>
      <c r="DP222" s="30" t="str">
        <f>IF(AJ222="","","|n"&amp;#REF!&amp;"+"&amp;AJ222)</f>
        <v/>
      </c>
    </row>
    <row r="223" spans="92:175">
      <c r="CN223" s="7" t="str">
        <f t="shared" si="2393"/>
        <v>InitUnitState('',,,,,,,,,,)</v>
      </c>
      <c r="CO223" s="7" t="str">
        <f t="shared" si="2394"/>
        <v>InitUnitNormal('',,,,,,,,,,)</v>
      </c>
      <c r="CP223" s="7" t="str">
        <f t="shared" si="2395"/>
        <v>InitUnitMagic('',,,,,,,,,,)</v>
      </c>
      <c r="CQ223" s="7" t="str">
        <f t="shared" si="2396"/>
        <v>InitUnitAdd('',,,,,,,,,,)</v>
      </c>
      <c r="CR223" s="7" t="str">
        <f t="shared" si="2397"/>
        <v>InitEquipData('',,"",,,,,'','','','','','',"")</v>
      </c>
      <c r="CU223" s="29" t="str">
        <f t="shared" si="2469"/>
        <v>|n</v>
      </c>
      <c r="DB223" s="30" t="str">
        <f>IF(V223="","","|n"&amp;#REF!&amp;"+"&amp;V223)</f>
        <v/>
      </c>
      <c r="DC223" s="30" t="str">
        <f>IF(W223="","","|n"&amp;#REF!&amp;"+"&amp;W223)</f>
        <v/>
      </c>
      <c r="DD223" s="30" t="str">
        <f>IF(X223="","","|n"&amp;#REF!&amp;"+"&amp;X223)</f>
        <v/>
      </c>
      <c r="DE223" s="30" t="str">
        <f>IF(Y223="","","|n"&amp;#REF!&amp;"+"&amp;Y223)</f>
        <v/>
      </c>
      <c r="DF223" s="30" t="str">
        <f>IF(Z223="","","|n"&amp;#REF!&amp;"+"&amp;Z223)</f>
        <v/>
      </c>
      <c r="DG223" s="30" t="str">
        <f>IF(AA223="","","|n"&amp;#REF!&amp;"+"&amp;AA223)</f>
        <v/>
      </c>
      <c r="DH223" s="30" t="str">
        <f>IF(AB223="","","|n"&amp;#REF!&amp;"+"&amp;AB223)</f>
        <v/>
      </c>
      <c r="DI223" s="30" t="str">
        <f>IF(AC223="","","|n"&amp;#REF!&amp;"+"&amp;AC223&amp;"%")</f>
        <v/>
      </c>
      <c r="DJ223" s="30" t="str">
        <f>IF(AD223="","","|n"&amp;#REF!&amp;"+"&amp;AD223)</f>
        <v/>
      </c>
      <c r="DK223" s="30" t="str">
        <f>IF(AE223="","","|n"&amp;#REF!&amp;"+"&amp;AE223)</f>
        <v/>
      </c>
      <c r="DL223" s="30" t="str">
        <f>IF(AF223="","","|n"&amp;#REF!&amp;"+"&amp;AF223)</f>
        <v/>
      </c>
      <c r="DM223" s="30" t="str">
        <f>IF(AG223="","","|n"&amp;#REF!&amp;"+"&amp;AG223&amp;"%")</f>
        <v/>
      </c>
      <c r="DN223" s="30" t="str">
        <f>IF(AH223="","","|n"&amp;#REF!&amp;"+"&amp;AH223)</f>
        <v/>
      </c>
      <c r="DO223" s="30" t="str">
        <f>IF(AI223="","","|n"&amp;#REF!&amp;"+"&amp;AI223)</f>
        <v/>
      </c>
      <c r="DP223" s="30" t="str">
        <f>IF(AJ223="","","|n"&amp;#REF!&amp;"+"&amp;AJ223)</f>
        <v/>
      </c>
    </row>
    <row r="224" spans="92:175">
      <c r="CN224" s="7" t="str">
        <f t="shared" si="2393"/>
        <v>InitUnitState('',,,,,,,,,,)</v>
      </c>
      <c r="CO224" s="7" t="str">
        <f t="shared" si="2394"/>
        <v>InitUnitNormal('',,,,,,,,,,)</v>
      </c>
      <c r="CP224" s="7" t="str">
        <f t="shared" si="2395"/>
        <v>InitUnitMagic('',,,,,,,,,,)</v>
      </c>
      <c r="CQ224" s="7" t="str">
        <f t="shared" si="2396"/>
        <v>InitUnitAdd('',,,,,,,,,,)</v>
      </c>
      <c r="CR224" s="7" t="str">
        <f t="shared" si="2397"/>
        <v>InitEquipData('',,"",,,,,'','','','','','',"")</v>
      </c>
      <c r="CU224" s="29" t="str">
        <f t="shared" si="2469"/>
        <v>|n</v>
      </c>
      <c r="DB224" s="30" t="str">
        <f>IF(V224="","","|n"&amp;#REF!&amp;"+"&amp;V224)</f>
        <v/>
      </c>
      <c r="DC224" s="30" t="str">
        <f>IF(W224="","","|n"&amp;#REF!&amp;"+"&amp;W224)</f>
        <v/>
      </c>
      <c r="DD224" s="30" t="str">
        <f>IF(X224="","","|n"&amp;#REF!&amp;"+"&amp;X224)</f>
        <v/>
      </c>
      <c r="DE224" s="30" t="str">
        <f>IF(Y224="","","|n"&amp;#REF!&amp;"+"&amp;Y224)</f>
        <v/>
      </c>
      <c r="DF224" s="30" t="str">
        <f>IF(Z224="","","|n"&amp;#REF!&amp;"+"&amp;Z224)</f>
        <v/>
      </c>
      <c r="DG224" s="30" t="str">
        <f>IF(AA224="","","|n"&amp;#REF!&amp;"+"&amp;AA224)</f>
        <v/>
      </c>
      <c r="DH224" s="30" t="str">
        <f>IF(AB224="","","|n"&amp;#REF!&amp;"+"&amp;AB224)</f>
        <v/>
      </c>
      <c r="DI224" s="30" t="str">
        <f>IF(AC224="","","|n"&amp;#REF!&amp;"+"&amp;AC224&amp;"%")</f>
        <v/>
      </c>
      <c r="DJ224" s="30" t="str">
        <f>IF(AD224="","","|n"&amp;#REF!&amp;"+"&amp;AD224)</f>
        <v/>
      </c>
      <c r="DK224" s="30" t="str">
        <f>IF(AE224="","","|n"&amp;#REF!&amp;"+"&amp;AE224)</f>
        <v/>
      </c>
      <c r="DL224" s="30" t="str">
        <f>IF(AF224="","","|n"&amp;#REF!&amp;"+"&amp;AF224)</f>
        <v/>
      </c>
      <c r="DM224" s="30" t="str">
        <f>IF(AG224="","","|n"&amp;#REF!&amp;"+"&amp;AG224&amp;"%")</f>
        <v/>
      </c>
      <c r="DN224" s="30" t="str">
        <f>IF(AH224="","","|n"&amp;#REF!&amp;"+"&amp;AH224)</f>
        <v/>
      </c>
      <c r="DO224" s="30" t="str">
        <f>IF(AI224="","","|n"&amp;#REF!&amp;"+"&amp;AI224)</f>
        <v/>
      </c>
      <c r="DP224" s="30" t="str">
        <f>IF(AJ224="","","|n"&amp;#REF!&amp;"+"&amp;AJ224)</f>
        <v/>
      </c>
    </row>
    <row r="225" spans="92:120">
      <c r="CN225" s="7" t="str">
        <f t="shared" si="2393"/>
        <v>InitUnitState('',,,,,,,,,,)</v>
      </c>
      <c r="CO225" s="7" t="str">
        <f t="shared" si="2394"/>
        <v>InitUnitNormal('',,,,,,,,,,)</v>
      </c>
      <c r="CP225" s="7" t="str">
        <f t="shared" si="2395"/>
        <v>InitUnitMagic('',,,,,,,,,,)</v>
      </c>
      <c r="CQ225" s="7" t="str">
        <f t="shared" si="2396"/>
        <v>InitUnitAdd('',,,,,,,,,,)</v>
      </c>
      <c r="CR225" s="7" t="str">
        <f t="shared" si="2397"/>
        <v>InitEquipData('',,"",,,,,'','','','','','',"")</v>
      </c>
      <c r="CU225" s="29" t="str">
        <f t="shared" si="2469"/>
        <v>|n</v>
      </c>
      <c r="DB225" s="30" t="str">
        <f>IF(V225="","","|n"&amp;#REF!&amp;"+"&amp;V225)</f>
        <v/>
      </c>
      <c r="DC225" s="30" t="str">
        <f>IF(W225="","","|n"&amp;#REF!&amp;"+"&amp;W225)</f>
        <v/>
      </c>
      <c r="DD225" s="30" t="str">
        <f>IF(X225="","","|n"&amp;#REF!&amp;"+"&amp;X225)</f>
        <v/>
      </c>
      <c r="DE225" s="30" t="str">
        <f>IF(Y225="","","|n"&amp;#REF!&amp;"+"&amp;Y225)</f>
        <v/>
      </c>
      <c r="DF225" s="30" t="str">
        <f>IF(Z225="","","|n"&amp;#REF!&amp;"+"&amp;Z225)</f>
        <v/>
      </c>
      <c r="DG225" s="30" t="str">
        <f>IF(AA225="","","|n"&amp;#REF!&amp;"+"&amp;AA225)</f>
        <v/>
      </c>
      <c r="DH225" s="30" t="str">
        <f>IF(AB225="","","|n"&amp;#REF!&amp;"+"&amp;AB225)</f>
        <v/>
      </c>
      <c r="DI225" s="30" t="str">
        <f>IF(AC225="","","|n"&amp;#REF!&amp;"+"&amp;AC225&amp;"%")</f>
        <v/>
      </c>
      <c r="DJ225" s="30" t="str">
        <f>IF(AD225="","","|n"&amp;#REF!&amp;"+"&amp;AD225)</f>
        <v/>
      </c>
      <c r="DK225" s="30" t="str">
        <f>IF(AE225="","","|n"&amp;#REF!&amp;"+"&amp;AE225)</f>
        <v/>
      </c>
      <c r="DL225" s="30" t="str">
        <f>IF(AF225="","","|n"&amp;#REF!&amp;"+"&amp;AF225)</f>
        <v/>
      </c>
      <c r="DM225" s="30" t="str">
        <f>IF(AG225="","","|n"&amp;#REF!&amp;"+"&amp;AG225&amp;"%")</f>
        <v/>
      </c>
      <c r="DN225" s="30" t="str">
        <f>IF(AH225="","","|n"&amp;#REF!&amp;"+"&amp;AH225)</f>
        <v/>
      </c>
      <c r="DO225" s="30" t="str">
        <f>IF(AI225="","","|n"&amp;#REF!&amp;"+"&amp;AI225)</f>
        <v/>
      </c>
      <c r="DP225" s="30" t="str">
        <f>IF(AJ225="","","|n"&amp;#REF!&amp;"+"&amp;AJ225)</f>
        <v/>
      </c>
    </row>
    <row r="226" spans="92:120">
      <c r="CN226" s="7" t="str">
        <f t="shared" si="2393"/>
        <v>InitUnitState('',,,,,,,,,,)</v>
      </c>
      <c r="CO226" s="7" t="str">
        <f t="shared" si="2394"/>
        <v>InitUnitNormal('',,,,,,,,,,)</v>
      </c>
      <c r="CP226" s="7" t="str">
        <f t="shared" si="2395"/>
        <v>InitUnitMagic('',,,,,,,,,,)</v>
      </c>
      <c r="CQ226" s="7" t="str">
        <f t="shared" si="2396"/>
        <v>InitUnitAdd('',,,,,,,,,,)</v>
      </c>
      <c r="CR226" s="7" t="str">
        <f t="shared" si="2397"/>
        <v>InitEquipData('',,"",,,,,'','','','','','',"")</v>
      </c>
      <c r="CU226" s="29" t="str">
        <f t="shared" si="2469"/>
        <v>|n</v>
      </c>
      <c r="DB226" s="30" t="str">
        <f>IF(V226="","","|n"&amp;#REF!&amp;"+"&amp;V226)</f>
        <v/>
      </c>
      <c r="DC226" s="30" t="str">
        <f>IF(W226="","","|n"&amp;#REF!&amp;"+"&amp;W226)</f>
        <v/>
      </c>
      <c r="DD226" s="30" t="str">
        <f>IF(X226="","","|n"&amp;#REF!&amp;"+"&amp;X226)</f>
        <v/>
      </c>
      <c r="DE226" s="30" t="str">
        <f>IF(Y226="","","|n"&amp;#REF!&amp;"+"&amp;Y226)</f>
        <v/>
      </c>
      <c r="DF226" s="30" t="str">
        <f>IF(Z226="","","|n"&amp;#REF!&amp;"+"&amp;Z226)</f>
        <v/>
      </c>
      <c r="DG226" s="30" t="str">
        <f>IF(AA226="","","|n"&amp;#REF!&amp;"+"&amp;AA226)</f>
        <v/>
      </c>
      <c r="DH226" s="30" t="str">
        <f>IF(AB226="","","|n"&amp;#REF!&amp;"+"&amp;AB226)</f>
        <v/>
      </c>
      <c r="DI226" s="30" t="str">
        <f>IF(AC226="","","|n"&amp;#REF!&amp;"+"&amp;AC226&amp;"%")</f>
        <v/>
      </c>
      <c r="DJ226" s="30" t="str">
        <f>IF(AD226="","","|n"&amp;#REF!&amp;"+"&amp;AD226)</f>
        <v/>
      </c>
      <c r="DK226" s="30" t="str">
        <f>IF(AE226="","","|n"&amp;#REF!&amp;"+"&amp;AE226)</f>
        <v/>
      </c>
      <c r="DL226" s="30" t="str">
        <f>IF(AF226="","","|n"&amp;#REF!&amp;"+"&amp;AF226)</f>
        <v/>
      </c>
      <c r="DM226" s="30" t="str">
        <f>IF(AG226="","","|n"&amp;#REF!&amp;"+"&amp;AG226&amp;"%")</f>
        <v/>
      </c>
      <c r="DN226" s="30" t="str">
        <f>IF(AH226="","","|n"&amp;#REF!&amp;"+"&amp;AH226)</f>
        <v/>
      </c>
      <c r="DO226" s="30" t="str">
        <f>IF(AI226="","","|n"&amp;#REF!&amp;"+"&amp;AI226)</f>
        <v/>
      </c>
      <c r="DP226" s="30" t="str">
        <f>IF(AJ226="","","|n"&amp;#REF!&amp;"+"&amp;AJ226)</f>
        <v/>
      </c>
    </row>
    <row r="227" spans="92:120">
      <c r="CN227" s="7" t="str">
        <f t="shared" si="2393"/>
        <v>InitUnitState('',,,,,,,,,,)</v>
      </c>
      <c r="CO227" s="7" t="str">
        <f t="shared" si="2394"/>
        <v>InitUnitNormal('',,,,,,,,,,)</v>
      </c>
      <c r="CP227" s="7" t="str">
        <f t="shared" si="2395"/>
        <v>InitUnitMagic('',,,,,,,,,,)</v>
      </c>
      <c r="CQ227" s="7" t="str">
        <f t="shared" si="2396"/>
        <v>InitUnitAdd('',,,,,,,,,,)</v>
      </c>
      <c r="CR227" s="7" t="str">
        <f t="shared" si="2397"/>
        <v>InitEquipData('',,"",,,,,'','','','','','',"")</v>
      </c>
      <c r="CU227" s="29" t="str">
        <f t="shared" si="2469"/>
        <v>|n</v>
      </c>
      <c r="DB227" s="30" t="str">
        <f>IF(V227="","","|n"&amp;#REF!&amp;"+"&amp;V227)</f>
        <v/>
      </c>
      <c r="DC227" s="30" t="str">
        <f>IF(W227="","","|n"&amp;#REF!&amp;"+"&amp;W227)</f>
        <v/>
      </c>
      <c r="DD227" s="30" t="str">
        <f>IF(X227="","","|n"&amp;#REF!&amp;"+"&amp;X227)</f>
        <v/>
      </c>
      <c r="DE227" s="30" t="str">
        <f>IF(Y227="","","|n"&amp;#REF!&amp;"+"&amp;Y227)</f>
        <v/>
      </c>
      <c r="DF227" s="30" t="str">
        <f>IF(Z227="","","|n"&amp;#REF!&amp;"+"&amp;Z227)</f>
        <v/>
      </c>
      <c r="DG227" s="30" t="str">
        <f>IF(AA227="","","|n"&amp;#REF!&amp;"+"&amp;AA227)</f>
        <v/>
      </c>
      <c r="DH227" s="30" t="str">
        <f>IF(AB227="","","|n"&amp;#REF!&amp;"+"&amp;AB227)</f>
        <v/>
      </c>
      <c r="DI227" s="30" t="str">
        <f>IF(AC227="","","|n"&amp;#REF!&amp;"+"&amp;AC227&amp;"%")</f>
        <v/>
      </c>
      <c r="DJ227" s="30" t="str">
        <f>IF(AD227="","","|n"&amp;#REF!&amp;"+"&amp;AD227)</f>
        <v/>
      </c>
      <c r="DK227" s="30" t="str">
        <f>IF(AE227="","","|n"&amp;#REF!&amp;"+"&amp;AE227)</f>
        <v/>
      </c>
      <c r="DL227" s="30" t="str">
        <f>IF(AF227="","","|n"&amp;#REF!&amp;"+"&amp;AF227)</f>
        <v/>
      </c>
      <c r="DM227" s="30" t="str">
        <f>IF(AG227="","","|n"&amp;#REF!&amp;"+"&amp;AG227&amp;"%")</f>
        <v/>
      </c>
      <c r="DN227" s="30" t="str">
        <f>IF(AH227="","","|n"&amp;#REF!&amp;"+"&amp;AH227)</f>
        <v/>
      </c>
      <c r="DO227" s="30" t="str">
        <f>IF(AI227="","","|n"&amp;#REF!&amp;"+"&amp;AI227)</f>
        <v/>
      </c>
      <c r="DP227" s="30" t="str">
        <f>IF(AJ227="","","|n"&amp;#REF!&amp;"+"&amp;AJ227)</f>
        <v/>
      </c>
    </row>
    <row r="228" spans="92:120">
      <c r="CN228" s="7" t="str">
        <f t="shared" si="2393"/>
        <v>InitUnitState('',,,,,,,,,,)</v>
      </c>
      <c r="CO228" s="7" t="str">
        <f t="shared" si="2394"/>
        <v>InitUnitNormal('',,,,,,,,,,)</v>
      </c>
      <c r="CP228" s="7" t="str">
        <f t="shared" si="2395"/>
        <v>InitUnitMagic('',,,,,,,,,,)</v>
      </c>
      <c r="CQ228" s="7" t="str">
        <f t="shared" si="2396"/>
        <v>InitUnitAdd('',,,,,,,,,,)</v>
      </c>
      <c r="CR228" s="7" t="str">
        <f t="shared" si="2397"/>
        <v>InitEquipData('',,"",,,,,'','','','','','',"")</v>
      </c>
      <c r="CU228" s="29" t="str">
        <f t="shared" si="2469"/>
        <v>|n</v>
      </c>
      <c r="DB228" s="30" t="str">
        <f>IF(V228="","","|n"&amp;#REF!&amp;"+"&amp;V228)</f>
        <v/>
      </c>
      <c r="DC228" s="30" t="str">
        <f>IF(W228="","","|n"&amp;#REF!&amp;"+"&amp;W228)</f>
        <v/>
      </c>
      <c r="DD228" s="30" t="str">
        <f>IF(X228="","","|n"&amp;#REF!&amp;"+"&amp;X228)</f>
        <v/>
      </c>
      <c r="DE228" s="30" t="str">
        <f>IF(Y228="","","|n"&amp;#REF!&amp;"+"&amp;Y228)</f>
        <v/>
      </c>
      <c r="DF228" s="30" t="str">
        <f>IF(Z228="","","|n"&amp;#REF!&amp;"+"&amp;Z228)</f>
        <v/>
      </c>
      <c r="DG228" s="30" t="str">
        <f>IF(AA228="","","|n"&amp;#REF!&amp;"+"&amp;AA228)</f>
        <v/>
      </c>
      <c r="DH228" s="30" t="str">
        <f>IF(AB228="","","|n"&amp;#REF!&amp;"+"&amp;AB228)</f>
        <v/>
      </c>
      <c r="DI228" s="30" t="str">
        <f>IF(AC228="","","|n"&amp;#REF!&amp;"+"&amp;AC228&amp;"%")</f>
        <v/>
      </c>
      <c r="DJ228" s="30" t="str">
        <f>IF(AD228="","","|n"&amp;#REF!&amp;"+"&amp;AD228)</f>
        <v/>
      </c>
      <c r="DK228" s="30" t="str">
        <f>IF(AE228="","","|n"&amp;#REF!&amp;"+"&amp;AE228)</f>
        <v/>
      </c>
      <c r="DL228" s="30" t="str">
        <f>IF(AF228="","","|n"&amp;#REF!&amp;"+"&amp;AF228)</f>
        <v/>
      </c>
      <c r="DM228" s="30" t="str">
        <f>IF(AG228="","","|n"&amp;#REF!&amp;"+"&amp;AG228&amp;"%")</f>
        <v/>
      </c>
      <c r="DN228" s="30" t="str">
        <f>IF(AH228="","","|n"&amp;#REF!&amp;"+"&amp;AH228)</f>
        <v/>
      </c>
      <c r="DO228" s="30" t="str">
        <f>IF(AI228="","","|n"&amp;#REF!&amp;"+"&amp;AI228)</f>
        <v/>
      </c>
      <c r="DP228" s="30" t="str">
        <f>IF(AJ228="","","|n"&amp;#REF!&amp;"+"&amp;AJ228)</f>
        <v/>
      </c>
    </row>
    <row r="229" spans="92:120">
      <c r="CN229" s="7" t="str">
        <f t="shared" si="2393"/>
        <v>InitUnitState('',,,,,,,,,,)</v>
      </c>
      <c r="CO229" s="7" t="str">
        <f t="shared" si="2394"/>
        <v>InitUnitNormal('',,,,,,,,,,)</v>
      </c>
      <c r="CP229" s="7" t="str">
        <f t="shared" si="2395"/>
        <v>InitUnitMagic('',,,,,,,,,,)</v>
      </c>
      <c r="CQ229" s="7" t="str">
        <f t="shared" si="2396"/>
        <v>InitUnitAdd('',,,,,,,,,,)</v>
      </c>
      <c r="CR229" s="7" t="str">
        <f t="shared" si="2397"/>
        <v>InitEquipData('',,"",,,,,'','','','','','',"")</v>
      </c>
      <c r="CU229" s="29" t="str">
        <f t="shared" si="2469"/>
        <v>|n</v>
      </c>
      <c r="DB229" s="30" t="str">
        <f>IF(V229="","","|n"&amp;#REF!&amp;"+"&amp;V229)</f>
        <v/>
      </c>
      <c r="DC229" s="30" t="str">
        <f>IF(W229="","","|n"&amp;#REF!&amp;"+"&amp;W229)</f>
        <v/>
      </c>
      <c r="DD229" s="30" t="str">
        <f>IF(X229="","","|n"&amp;#REF!&amp;"+"&amp;X229)</f>
        <v/>
      </c>
      <c r="DE229" s="30" t="str">
        <f>IF(Y229="","","|n"&amp;#REF!&amp;"+"&amp;Y229)</f>
        <v/>
      </c>
      <c r="DF229" s="30" t="str">
        <f>IF(Z229="","","|n"&amp;#REF!&amp;"+"&amp;Z229)</f>
        <v/>
      </c>
      <c r="DG229" s="30" t="str">
        <f>IF(AA229="","","|n"&amp;#REF!&amp;"+"&amp;AA229)</f>
        <v/>
      </c>
      <c r="DH229" s="30" t="str">
        <f>IF(AB229="","","|n"&amp;#REF!&amp;"+"&amp;AB229)</f>
        <v/>
      </c>
      <c r="DI229" s="30" t="str">
        <f>IF(AC229="","","|n"&amp;#REF!&amp;"+"&amp;AC229&amp;"%")</f>
        <v/>
      </c>
      <c r="DJ229" s="30" t="str">
        <f>IF(AD229="","","|n"&amp;#REF!&amp;"+"&amp;AD229)</f>
        <v/>
      </c>
      <c r="DK229" s="30" t="str">
        <f>IF(AE229="","","|n"&amp;#REF!&amp;"+"&amp;AE229)</f>
        <v/>
      </c>
      <c r="DL229" s="30" t="str">
        <f>IF(AF229="","","|n"&amp;#REF!&amp;"+"&amp;AF229)</f>
        <v/>
      </c>
      <c r="DM229" s="30" t="str">
        <f>IF(AG229="","","|n"&amp;#REF!&amp;"+"&amp;AG229&amp;"%")</f>
        <v/>
      </c>
      <c r="DN229" s="30" t="str">
        <f>IF(AH229="","","|n"&amp;#REF!&amp;"+"&amp;AH229)</f>
        <v/>
      </c>
      <c r="DO229" s="30" t="str">
        <f>IF(AI229="","","|n"&amp;#REF!&amp;"+"&amp;AI229)</f>
        <v/>
      </c>
      <c r="DP229" s="30" t="str">
        <f>IF(AJ229="","","|n"&amp;#REF!&amp;"+"&amp;AJ229)</f>
        <v/>
      </c>
    </row>
    <row r="230" spans="92:120">
      <c r="CN230" s="7" t="str">
        <f t="shared" si="2393"/>
        <v>InitUnitState('',,,,,,,,,,)</v>
      </c>
      <c r="CO230" s="7" t="str">
        <f t="shared" si="2394"/>
        <v>InitUnitNormal('',,,,,,,,,,)</v>
      </c>
      <c r="CP230" s="7" t="str">
        <f t="shared" si="2395"/>
        <v>InitUnitMagic('',,,,,,,,,,)</v>
      </c>
      <c r="CQ230" s="7" t="str">
        <f t="shared" si="2396"/>
        <v>InitUnitAdd('',,,,,,,,,,)</v>
      </c>
      <c r="CR230" s="7" t="str">
        <f t="shared" si="2397"/>
        <v>InitEquipData('',,"",,,,,'','','','','','',"")</v>
      </c>
      <c r="CU230" s="29" t="str">
        <f t="shared" si="2469"/>
        <v>|n</v>
      </c>
      <c r="DB230" s="30" t="str">
        <f>IF(V230="","","|n"&amp;#REF!&amp;"+"&amp;V230)</f>
        <v/>
      </c>
      <c r="DC230" s="30" t="str">
        <f>IF(W230="","","|n"&amp;#REF!&amp;"+"&amp;W230)</f>
        <v/>
      </c>
      <c r="DD230" s="30" t="str">
        <f>IF(X230="","","|n"&amp;#REF!&amp;"+"&amp;X230)</f>
        <v/>
      </c>
      <c r="DE230" s="30" t="str">
        <f>IF(Y230="","","|n"&amp;#REF!&amp;"+"&amp;Y230)</f>
        <v/>
      </c>
      <c r="DF230" s="30" t="str">
        <f>IF(Z230="","","|n"&amp;#REF!&amp;"+"&amp;Z230)</f>
        <v/>
      </c>
      <c r="DG230" s="30" t="str">
        <f>IF(AA230="","","|n"&amp;#REF!&amp;"+"&amp;AA230)</f>
        <v/>
      </c>
      <c r="DH230" s="30" t="str">
        <f>IF(AB230="","","|n"&amp;#REF!&amp;"+"&amp;AB230)</f>
        <v/>
      </c>
      <c r="DI230" s="30" t="str">
        <f>IF(AC230="","","|n"&amp;#REF!&amp;"+"&amp;AC230&amp;"%")</f>
        <v/>
      </c>
      <c r="DJ230" s="30" t="str">
        <f>IF(AD230="","","|n"&amp;#REF!&amp;"+"&amp;AD230)</f>
        <v/>
      </c>
      <c r="DK230" s="30" t="str">
        <f>IF(AE230="","","|n"&amp;#REF!&amp;"+"&amp;AE230)</f>
        <v/>
      </c>
      <c r="DL230" s="30" t="str">
        <f>IF(AF230="","","|n"&amp;#REF!&amp;"+"&amp;AF230)</f>
        <v/>
      </c>
      <c r="DM230" s="30" t="str">
        <f>IF(AG230="","","|n"&amp;#REF!&amp;"+"&amp;AG230&amp;"%")</f>
        <v/>
      </c>
      <c r="DN230" s="30" t="str">
        <f>IF(AH230="","","|n"&amp;#REF!&amp;"+"&amp;AH230)</f>
        <v/>
      </c>
      <c r="DO230" s="30" t="str">
        <f>IF(AI230="","","|n"&amp;#REF!&amp;"+"&amp;AI230)</f>
        <v/>
      </c>
      <c r="DP230" s="30" t="str">
        <f>IF(AJ230="","","|n"&amp;#REF!&amp;"+"&amp;AJ230)</f>
        <v/>
      </c>
    </row>
    <row r="231" spans="92:120">
      <c r="CN231" s="7" t="str">
        <f t="shared" si="2393"/>
        <v>InitUnitState('',,,,,,,,,,)</v>
      </c>
      <c r="CO231" s="7" t="str">
        <f t="shared" si="2394"/>
        <v>InitUnitNormal('',,,,,,,,,,)</v>
      </c>
      <c r="CP231" s="7" t="str">
        <f t="shared" si="2395"/>
        <v>InitUnitMagic('',,,,,,,,,,)</v>
      </c>
      <c r="CQ231" s="7" t="str">
        <f t="shared" si="2396"/>
        <v>InitUnitAdd('',,,,,,,,,,)</v>
      </c>
      <c r="CR231" s="7" t="str">
        <f t="shared" si="2397"/>
        <v>InitEquipData('',,"",,,,,'','','','','','',"")</v>
      </c>
      <c r="CU231" s="29" t="str">
        <f t="shared" si="2469"/>
        <v>|n</v>
      </c>
      <c r="DB231" s="30" t="str">
        <f>IF(V231="","","|n"&amp;#REF!&amp;"+"&amp;V231)</f>
        <v/>
      </c>
      <c r="DC231" s="30" t="str">
        <f>IF(W231="","","|n"&amp;#REF!&amp;"+"&amp;W231)</f>
        <v/>
      </c>
      <c r="DD231" s="30" t="str">
        <f>IF(X231="","","|n"&amp;#REF!&amp;"+"&amp;X231)</f>
        <v/>
      </c>
      <c r="DE231" s="30" t="str">
        <f>IF(Y231="","","|n"&amp;#REF!&amp;"+"&amp;Y231)</f>
        <v/>
      </c>
      <c r="DF231" s="30" t="str">
        <f>IF(Z231="","","|n"&amp;#REF!&amp;"+"&amp;Z231)</f>
        <v/>
      </c>
      <c r="DG231" s="30" t="str">
        <f>IF(AA231="","","|n"&amp;#REF!&amp;"+"&amp;AA231)</f>
        <v/>
      </c>
      <c r="DH231" s="30" t="str">
        <f>IF(AB231="","","|n"&amp;#REF!&amp;"+"&amp;AB231)</f>
        <v/>
      </c>
      <c r="DI231" s="30" t="str">
        <f>IF(AC231="","","|n"&amp;#REF!&amp;"+"&amp;AC231&amp;"%")</f>
        <v/>
      </c>
      <c r="DJ231" s="30" t="str">
        <f>IF(AD231="","","|n"&amp;#REF!&amp;"+"&amp;AD231)</f>
        <v/>
      </c>
      <c r="DK231" s="30" t="str">
        <f>IF(AE231="","","|n"&amp;#REF!&amp;"+"&amp;AE231)</f>
        <v/>
      </c>
      <c r="DL231" s="30" t="str">
        <f>IF(AF231="","","|n"&amp;#REF!&amp;"+"&amp;AF231)</f>
        <v/>
      </c>
      <c r="DM231" s="30" t="str">
        <f>IF(AG231="","","|n"&amp;#REF!&amp;"+"&amp;AG231&amp;"%")</f>
        <v/>
      </c>
      <c r="DN231" s="30" t="str">
        <f>IF(AH231="","","|n"&amp;#REF!&amp;"+"&amp;AH231)</f>
        <v/>
      </c>
      <c r="DO231" s="30" t="str">
        <f>IF(AI231="","","|n"&amp;#REF!&amp;"+"&amp;AI231)</f>
        <v/>
      </c>
      <c r="DP231" s="30" t="str">
        <f>IF(AJ231="","","|n"&amp;#REF!&amp;"+"&amp;AJ231)</f>
        <v/>
      </c>
    </row>
    <row r="232" spans="92:120">
      <c r="CN232" s="7" t="str">
        <f t="shared" ref="CN232:CN251" si="2470">"InitUnitState('"&amp;B232&amp;"',"&amp;V232&amp;","&amp;W232&amp;","&amp;X232&amp;","&amp;Y232&amp;","&amp;Z232&amp;","&amp;AA232&amp;","&amp;AB232&amp;","&amp;AC232&amp;","&amp;AD232&amp;","&amp;AE232&amp;")"</f>
        <v>InitUnitState('',,,,,,,,,,)</v>
      </c>
      <c r="CO232" s="7" t="str">
        <f t="shared" ref="CO232:CO251" si="2471">"InitUnitNormal('"&amp;B232&amp;"',"&amp;AF232&amp;","&amp;AG232&amp;","&amp;AH232&amp;","&amp;AI232&amp;","&amp;AJ232&amp;","&amp;AK232&amp;","&amp;AL232&amp;","&amp;AM232&amp;","&amp;AN232&amp;","&amp;AO232&amp;")"</f>
        <v>InitUnitNormal('',,,,,,,,,,)</v>
      </c>
      <c r="CP232" s="7" t="str">
        <f t="shared" ref="CP232:CP251" si="2472">"InitUnitMagic('"&amp;B232&amp;"',"&amp;AP232&amp;","&amp;AQ232&amp;","&amp;AR232&amp;","&amp;AS232&amp;","&amp;AT232&amp;","&amp;AU232&amp;","&amp;AV232&amp;","&amp;AW232&amp;","&amp;BI232&amp;","&amp;BJ232&amp;")"</f>
        <v>InitUnitMagic('',,,,,,,,,,)</v>
      </c>
      <c r="CQ232" s="7" t="str">
        <f t="shared" ref="CQ232:CQ251" si="2473">"InitUnitAdd('"&amp;B232&amp;"',"&amp;BK232&amp;","&amp;BL232&amp;","&amp;BM232&amp;","&amp;BN232&amp;","&amp;BO232&amp;","&amp;BP232&amp;","&amp;BQ232&amp;","&amp;BR232&amp;","&amp;BS232&amp;","&amp;BT232&amp;")"</f>
        <v>InitUnitAdd('',,,,,,,,,,)</v>
      </c>
      <c r="CR232" s="7" t="str">
        <f t="shared" ref="CR232:CR251" si="2474"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U233&amp;CR$1&amp;")"</f>
        <v>InitEquipData('',,"",,,,,'','','','','','',"")</v>
      </c>
      <c r="CU232" s="29" t="str">
        <f t="shared" si="2469"/>
        <v>|n</v>
      </c>
      <c r="DB232" s="30" t="str">
        <f>IF(V232="","","|n"&amp;#REF!&amp;"+"&amp;V232)</f>
        <v/>
      </c>
      <c r="DC232" s="30" t="str">
        <f>IF(W232="","","|n"&amp;#REF!&amp;"+"&amp;W232)</f>
        <v/>
      </c>
      <c r="DD232" s="30" t="str">
        <f>IF(X232="","","|n"&amp;#REF!&amp;"+"&amp;X232)</f>
        <v/>
      </c>
      <c r="DE232" s="30" t="str">
        <f>IF(Y232="","","|n"&amp;#REF!&amp;"+"&amp;Y232)</f>
        <v/>
      </c>
      <c r="DF232" s="30" t="str">
        <f>IF(Z232="","","|n"&amp;#REF!&amp;"+"&amp;Z232)</f>
        <v/>
      </c>
      <c r="DG232" s="30" t="str">
        <f>IF(AA232="","","|n"&amp;#REF!&amp;"+"&amp;AA232)</f>
        <v/>
      </c>
      <c r="DH232" s="30" t="str">
        <f>IF(AB232="","","|n"&amp;#REF!&amp;"+"&amp;AB232)</f>
        <v/>
      </c>
      <c r="DI232" s="30" t="str">
        <f>IF(AC232="","","|n"&amp;#REF!&amp;"+"&amp;AC232&amp;"%")</f>
        <v/>
      </c>
      <c r="DJ232" s="30" t="str">
        <f>IF(AD232="","","|n"&amp;#REF!&amp;"+"&amp;AD232)</f>
        <v/>
      </c>
      <c r="DK232" s="30" t="str">
        <f>IF(AE232="","","|n"&amp;#REF!&amp;"+"&amp;AE232)</f>
        <v/>
      </c>
      <c r="DL232" s="30" t="str">
        <f>IF(AF232="","","|n"&amp;#REF!&amp;"+"&amp;AF232)</f>
        <v/>
      </c>
      <c r="DM232" s="30" t="str">
        <f>IF(AG232="","","|n"&amp;#REF!&amp;"+"&amp;AG232&amp;"%")</f>
        <v/>
      </c>
      <c r="DN232" s="30" t="str">
        <f>IF(AH232="","","|n"&amp;#REF!&amp;"+"&amp;AH232)</f>
        <v/>
      </c>
      <c r="DO232" s="30" t="str">
        <f>IF(AI232="","","|n"&amp;#REF!&amp;"+"&amp;AI232)</f>
        <v/>
      </c>
      <c r="DP232" s="30" t="str">
        <f>IF(AJ232="","","|n"&amp;#REF!&amp;"+"&amp;AJ232)</f>
        <v/>
      </c>
    </row>
    <row r="233" spans="92:120">
      <c r="CN233" s="7" t="str">
        <f t="shared" si="2470"/>
        <v>InitUnitState('',,,,,,,,,,)</v>
      </c>
      <c r="CO233" s="7" t="str">
        <f t="shared" si="2471"/>
        <v>InitUnitNormal('',,,,,,,,,,)</v>
      </c>
      <c r="CP233" s="7" t="str">
        <f t="shared" si="2472"/>
        <v>InitUnitMagic('',,,,,,,,,,)</v>
      </c>
      <c r="CQ233" s="7" t="str">
        <f t="shared" si="2473"/>
        <v>InitUnitAdd('',,,,,,,,,,)</v>
      </c>
      <c r="CR233" s="7" t="str">
        <f t="shared" si="2474"/>
        <v>InitEquipData('',,"",,,,,'','','','','','',"")</v>
      </c>
      <c r="CU233" s="29" t="str">
        <f t="shared" si="2469"/>
        <v>|n</v>
      </c>
      <c r="DB233" s="30" t="str">
        <f>IF(V233="","","|n"&amp;#REF!&amp;"+"&amp;V233)</f>
        <v/>
      </c>
      <c r="DC233" s="30" t="str">
        <f>IF(W233="","","|n"&amp;#REF!&amp;"+"&amp;W233)</f>
        <v/>
      </c>
      <c r="DD233" s="30" t="str">
        <f>IF(X233="","","|n"&amp;#REF!&amp;"+"&amp;X233)</f>
        <v/>
      </c>
      <c r="DE233" s="30" t="str">
        <f>IF(Y233="","","|n"&amp;#REF!&amp;"+"&amp;Y233)</f>
        <v/>
      </c>
      <c r="DF233" s="30" t="str">
        <f>IF(Z233="","","|n"&amp;#REF!&amp;"+"&amp;Z233)</f>
        <v/>
      </c>
      <c r="DG233" s="30" t="str">
        <f>IF(AA233="","","|n"&amp;#REF!&amp;"+"&amp;AA233)</f>
        <v/>
      </c>
      <c r="DH233" s="30" t="str">
        <f>IF(AB233="","","|n"&amp;#REF!&amp;"+"&amp;AB233)</f>
        <v/>
      </c>
      <c r="DI233" s="30" t="str">
        <f>IF(AC233="","","|n"&amp;#REF!&amp;"+"&amp;AC233&amp;"%")</f>
        <v/>
      </c>
      <c r="DJ233" s="30" t="str">
        <f>IF(AD233="","","|n"&amp;#REF!&amp;"+"&amp;AD233)</f>
        <v/>
      </c>
      <c r="DK233" s="30" t="str">
        <f>IF(AE233="","","|n"&amp;#REF!&amp;"+"&amp;AE233)</f>
        <v/>
      </c>
      <c r="DL233" s="30" t="str">
        <f>IF(AF233="","","|n"&amp;#REF!&amp;"+"&amp;AF233)</f>
        <v/>
      </c>
      <c r="DM233" s="30" t="str">
        <f>IF(AG233="","","|n"&amp;#REF!&amp;"+"&amp;AG233&amp;"%")</f>
        <v/>
      </c>
      <c r="DN233" s="30" t="str">
        <f>IF(AH233="","","|n"&amp;#REF!&amp;"+"&amp;AH233)</f>
        <v/>
      </c>
      <c r="DO233" s="30" t="str">
        <f>IF(AI233="","","|n"&amp;#REF!&amp;"+"&amp;AI233)</f>
        <v/>
      </c>
      <c r="DP233" s="30" t="str">
        <f>IF(AJ233="","","|n"&amp;#REF!&amp;"+"&amp;AJ233)</f>
        <v/>
      </c>
    </row>
    <row r="234" spans="92:120">
      <c r="CN234" s="7" t="str">
        <f t="shared" si="2470"/>
        <v>InitUnitState('',,,,,,,,,,)</v>
      </c>
      <c r="CO234" s="7" t="str">
        <f t="shared" si="2471"/>
        <v>InitUnitNormal('',,,,,,,,,,)</v>
      </c>
      <c r="CP234" s="7" t="str">
        <f t="shared" si="2472"/>
        <v>InitUnitMagic('',,,,,,,,,,)</v>
      </c>
      <c r="CQ234" s="7" t="str">
        <f t="shared" si="2473"/>
        <v>InitUnitAdd('',,,,,,,,,,)</v>
      </c>
      <c r="CR234" s="7" t="str">
        <f t="shared" si="2474"/>
        <v>InitEquipData('',,"",,,,,'','','','','','',"")</v>
      </c>
      <c r="CU234" s="29" t="str">
        <f t="shared" si="2469"/>
        <v>|n</v>
      </c>
      <c r="DB234" s="30" t="str">
        <f>IF(V234="","","|n"&amp;#REF!&amp;"+"&amp;V234)</f>
        <v/>
      </c>
      <c r="DC234" s="30" t="str">
        <f>IF(W234="","","|n"&amp;#REF!&amp;"+"&amp;W234)</f>
        <v/>
      </c>
      <c r="DD234" s="30" t="str">
        <f>IF(X234="","","|n"&amp;#REF!&amp;"+"&amp;X234)</f>
        <v/>
      </c>
      <c r="DE234" s="30" t="str">
        <f>IF(Y234="","","|n"&amp;#REF!&amp;"+"&amp;Y234)</f>
        <v/>
      </c>
      <c r="DF234" s="30" t="str">
        <f>IF(Z234="","","|n"&amp;#REF!&amp;"+"&amp;Z234)</f>
        <v/>
      </c>
      <c r="DG234" s="30" t="str">
        <f>IF(AA234="","","|n"&amp;#REF!&amp;"+"&amp;AA234)</f>
        <v/>
      </c>
      <c r="DH234" s="30" t="str">
        <f>IF(AB234="","","|n"&amp;#REF!&amp;"+"&amp;AB234)</f>
        <v/>
      </c>
      <c r="DI234" s="30" t="str">
        <f>IF(AC234="","","|n"&amp;#REF!&amp;"+"&amp;AC234&amp;"%")</f>
        <v/>
      </c>
      <c r="DJ234" s="30" t="str">
        <f>IF(AD234="","","|n"&amp;#REF!&amp;"+"&amp;AD234)</f>
        <v/>
      </c>
      <c r="DK234" s="30" t="str">
        <f>IF(AE234="","","|n"&amp;#REF!&amp;"+"&amp;AE234)</f>
        <v/>
      </c>
      <c r="DL234" s="30" t="str">
        <f>IF(AF234="","","|n"&amp;#REF!&amp;"+"&amp;AF234)</f>
        <v/>
      </c>
      <c r="DM234" s="30" t="str">
        <f>IF(AG234="","","|n"&amp;#REF!&amp;"+"&amp;AG234&amp;"%")</f>
        <v/>
      </c>
      <c r="DN234" s="30" t="str">
        <f>IF(AH234="","","|n"&amp;#REF!&amp;"+"&amp;AH234)</f>
        <v/>
      </c>
      <c r="DO234" s="30" t="str">
        <f>IF(AI234="","","|n"&amp;#REF!&amp;"+"&amp;AI234)</f>
        <v/>
      </c>
      <c r="DP234" s="30" t="str">
        <f>IF(AJ234="","","|n"&amp;#REF!&amp;"+"&amp;AJ234)</f>
        <v/>
      </c>
    </row>
    <row r="235" spans="92:120">
      <c r="CN235" s="7" t="str">
        <f t="shared" si="2470"/>
        <v>InitUnitState('',,,,,,,,,,)</v>
      </c>
      <c r="CO235" s="7" t="str">
        <f t="shared" si="2471"/>
        <v>InitUnitNormal('',,,,,,,,,,)</v>
      </c>
      <c r="CP235" s="7" t="str">
        <f t="shared" si="2472"/>
        <v>InitUnitMagic('',,,,,,,,,,)</v>
      </c>
      <c r="CQ235" s="7" t="str">
        <f t="shared" si="2473"/>
        <v>InitUnitAdd('',,,,,,,,,,)</v>
      </c>
      <c r="CR235" s="7" t="str">
        <f t="shared" si="2474"/>
        <v>InitEquipData('',,"",,,,,'','','','','','',"")</v>
      </c>
      <c r="CU235" s="29" t="str">
        <f t="shared" si="2469"/>
        <v>|n</v>
      </c>
      <c r="DB235" s="30" t="str">
        <f>IF(V235="","","|n"&amp;#REF!&amp;"+"&amp;V235)</f>
        <v/>
      </c>
      <c r="DC235" s="30" t="str">
        <f>IF(W235="","","|n"&amp;#REF!&amp;"+"&amp;W235)</f>
        <v/>
      </c>
      <c r="DD235" s="30" t="str">
        <f>IF(X235="","","|n"&amp;#REF!&amp;"+"&amp;X235)</f>
        <v/>
      </c>
      <c r="DE235" s="30" t="str">
        <f>IF(Y235="","","|n"&amp;#REF!&amp;"+"&amp;Y235)</f>
        <v/>
      </c>
      <c r="DF235" s="30" t="str">
        <f>IF(Z235="","","|n"&amp;#REF!&amp;"+"&amp;Z235)</f>
        <v/>
      </c>
      <c r="DG235" s="30" t="str">
        <f>IF(AA235="","","|n"&amp;#REF!&amp;"+"&amp;AA235)</f>
        <v/>
      </c>
      <c r="DH235" s="30" t="str">
        <f>IF(AB235="","","|n"&amp;#REF!&amp;"+"&amp;AB235)</f>
        <v/>
      </c>
      <c r="DI235" s="30" t="str">
        <f>IF(AC235="","","|n"&amp;#REF!&amp;"+"&amp;AC235&amp;"%")</f>
        <v/>
      </c>
      <c r="DJ235" s="30" t="str">
        <f>IF(AD235="","","|n"&amp;#REF!&amp;"+"&amp;AD235)</f>
        <v/>
      </c>
      <c r="DK235" s="30" t="str">
        <f>IF(AE235="","","|n"&amp;#REF!&amp;"+"&amp;AE235)</f>
        <v/>
      </c>
      <c r="DL235" s="30" t="str">
        <f>IF(AF235="","","|n"&amp;#REF!&amp;"+"&amp;AF235)</f>
        <v/>
      </c>
      <c r="DM235" s="30" t="str">
        <f>IF(AG235="","","|n"&amp;#REF!&amp;"+"&amp;AG235&amp;"%")</f>
        <v/>
      </c>
      <c r="DN235" s="30" t="str">
        <f>IF(AH235="","","|n"&amp;#REF!&amp;"+"&amp;AH235)</f>
        <v/>
      </c>
      <c r="DO235" s="30" t="str">
        <f>IF(AI235="","","|n"&amp;#REF!&amp;"+"&amp;AI235)</f>
        <v/>
      </c>
      <c r="DP235" s="30" t="str">
        <f>IF(AJ235="","","|n"&amp;#REF!&amp;"+"&amp;AJ235)</f>
        <v/>
      </c>
    </row>
    <row r="236" spans="92:120">
      <c r="CN236" s="7" t="str">
        <f t="shared" si="2470"/>
        <v>InitUnitState('',,,,,,,,,,)</v>
      </c>
      <c r="CO236" s="7" t="str">
        <f t="shared" si="2471"/>
        <v>InitUnitNormal('',,,,,,,,,,)</v>
      </c>
      <c r="CP236" s="7" t="str">
        <f t="shared" si="2472"/>
        <v>InitUnitMagic('',,,,,,,,,,)</v>
      </c>
      <c r="CQ236" s="7" t="str">
        <f t="shared" si="2473"/>
        <v>InitUnitAdd('',,,,,,,,,,)</v>
      </c>
      <c r="CR236" s="7" t="str">
        <f t="shared" si="2474"/>
        <v>InitEquipData('',,"",,,,,'','','','','','',"")</v>
      </c>
      <c r="CU236" s="29" t="str">
        <f t="shared" si="2469"/>
        <v>|n</v>
      </c>
      <c r="DB236" s="30" t="str">
        <f>IF(V236="","","|n"&amp;#REF!&amp;"+"&amp;V236)</f>
        <v/>
      </c>
      <c r="DC236" s="30" t="str">
        <f>IF(W236="","","|n"&amp;#REF!&amp;"+"&amp;W236)</f>
        <v/>
      </c>
      <c r="DD236" s="30" t="str">
        <f>IF(X236="","","|n"&amp;#REF!&amp;"+"&amp;X236)</f>
        <v/>
      </c>
      <c r="DE236" s="30" t="str">
        <f>IF(Y236="","","|n"&amp;#REF!&amp;"+"&amp;Y236)</f>
        <v/>
      </c>
      <c r="DF236" s="30" t="str">
        <f>IF(Z236="","","|n"&amp;#REF!&amp;"+"&amp;Z236)</f>
        <v/>
      </c>
      <c r="DG236" s="30" t="str">
        <f>IF(AA236="","","|n"&amp;#REF!&amp;"+"&amp;AA236)</f>
        <v/>
      </c>
      <c r="DH236" s="30" t="str">
        <f>IF(AB236="","","|n"&amp;#REF!&amp;"+"&amp;AB236)</f>
        <v/>
      </c>
      <c r="DI236" s="30" t="str">
        <f>IF(AC236="","","|n"&amp;#REF!&amp;"+"&amp;AC236&amp;"%")</f>
        <v/>
      </c>
      <c r="DJ236" s="30" t="str">
        <f>IF(AD236="","","|n"&amp;#REF!&amp;"+"&amp;AD236)</f>
        <v/>
      </c>
      <c r="DK236" s="30" t="str">
        <f>IF(AE236="","","|n"&amp;#REF!&amp;"+"&amp;AE236)</f>
        <v/>
      </c>
      <c r="DL236" s="30" t="str">
        <f>IF(AF236="","","|n"&amp;#REF!&amp;"+"&amp;AF236)</f>
        <v/>
      </c>
      <c r="DM236" s="30" t="str">
        <f>IF(AG236="","","|n"&amp;#REF!&amp;"+"&amp;AG236&amp;"%")</f>
        <v/>
      </c>
      <c r="DN236" s="30" t="str">
        <f>IF(AH236="","","|n"&amp;#REF!&amp;"+"&amp;AH236)</f>
        <v/>
      </c>
      <c r="DO236" s="30" t="str">
        <f>IF(AI236="","","|n"&amp;#REF!&amp;"+"&amp;AI236)</f>
        <v/>
      </c>
      <c r="DP236" s="30" t="str">
        <f>IF(AJ236="","","|n"&amp;#REF!&amp;"+"&amp;AJ236)</f>
        <v/>
      </c>
    </row>
    <row r="237" spans="92:120">
      <c r="CN237" s="7" t="str">
        <f t="shared" si="2470"/>
        <v>InitUnitState('',,,,,,,,,,)</v>
      </c>
      <c r="CO237" s="7" t="str">
        <f t="shared" si="2471"/>
        <v>InitUnitNormal('',,,,,,,,,,)</v>
      </c>
      <c r="CP237" s="7" t="str">
        <f t="shared" si="2472"/>
        <v>InitUnitMagic('',,,,,,,,,,)</v>
      </c>
      <c r="CQ237" s="7" t="str">
        <f t="shared" si="2473"/>
        <v>InitUnitAdd('',,,,,,,,,,)</v>
      </c>
      <c r="CR237" s="7" t="str">
        <f t="shared" si="2474"/>
        <v>InitEquipData('',,"",,,,,'','','','','','',"")</v>
      </c>
      <c r="CU237" s="29" t="str">
        <f t="shared" si="2469"/>
        <v>|n</v>
      </c>
      <c r="DB237" s="30" t="str">
        <f>IF(V237="","","|n"&amp;#REF!&amp;"+"&amp;V237)</f>
        <v/>
      </c>
      <c r="DC237" s="30" t="str">
        <f>IF(W237="","","|n"&amp;#REF!&amp;"+"&amp;W237)</f>
        <v/>
      </c>
      <c r="DD237" s="30" t="str">
        <f>IF(X237="","","|n"&amp;#REF!&amp;"+"&amp;X237)</f>
        <v/>
      </c>
      <c r="DE237" s="30" t="str">
        <f>IF(Y237="","","|n"&amp;#REF!&amp;"+"&amp;Y237)</f>
        <v/>
      </c>
      <c r="DF237" s="30" t="str">
        <f>IF(Z237="","","|n"&amp;#REF!&amp;"+"&amp;Z237)</f>
        <v/>
      </c>
      <c r="DG237" s="30" t="str">
        <f>IF(AA237="","","|n"&amp;#REF!&amp;"+"&amp;AA237)</f>
        <v/>
      </c>
      <c r="DH237" s="30" t="str">
        <f>IF(AB237="","","|n"&amp;#REF!&amp;"+"&amp;AB237)</f>
        <v/>
      </c>
      <c r="DI237" s="30" t="str">
        <f>IF(AC237="","","|n"&amp;#REF!&amp;"+"&amp;AC237&amp;"%")</f>
        <v/>
      </c>
      <c r="DJ237" s="30" t="str">
        <f>IF(AD237="","","|n"&amp;#REF!&amp;"+"&amp;AD237)</f>
        <v/>
      </c>
      <c r="DK237" s="30" t="str">
        <f>IF(AE237="","","|n"&amp;#REF!&amp;"+"&amp;AE237)</f>
        <v/>
      </c>
      <c r="DL237" s="30" t="str">
        <f>IF(AF237="","","|n"&amp;#REF!&amp;"+"&amp;AF237)</f>
        <v/>
      </c>
      <c r="DM237" s="30" t="str">
        <f>IF(AG237="","","|n"&amp;#REF!&amp;"+"&amp;AG237&amp;"%")</f>
        <v/>
      </c>
      <c r="DN237" s="30" t="str">
        <f>IF(AH237="","","|n"&amp;#REF!&amp;"+"&amp;AH237)</f>
        <v/>
      </c>
      <c r="DO237" s="30" t="str">
        <f>IF(AI237="","","|n"&amp;#REF!&amp;"+"&amp;AI237)</f>
        <v/>
      </c>
      <c r="DP237" s="30" t="str">
        <f>IF(AJ237="","","|n"&amp;#REF!&amp;"+"&amp;AJ237)</f>
        <v/>
      </c>
    </row>
    <row r="238" spans="92:120">
      <c r="CN238" s="7" t="str">
        <f t="shared" si="2470"/>
        <v>InitUnitState('',,,,,,,,,,)</v>
      </c>
      <c r="CO238" s="7" t="str">
        <f t="shared" si="2471"/>
        <v>InitUnitNormal('',,,,,,,,,,)</v>
      </c>
      <c r="CP238" s="7" t="str">
        <f t="shared" si="2472"/>
        <v>InitUnitMagic('',,,,,,,,,,)</v>
      </c>
      <c r="CQ238" s="7" t="str">
        <f t="shared" si="2473"/>
        <v>InitUnitAdd('',,,,,,,,,,)</v>
      </c>
      <c r="CR238" s="7" t="str">
        <f t="shared" si="2474"/>
        <v>InitEquipData('',,"",,,,,'','','','','','',"")</v>
      </c>
      <c r="CU238" s="29" t="str">
        <f t="shared" si="2469"/>
        <v>|n</v>
      </c>
      <c r="DB238" s="30" t="str">
        <f>IF(V238="","","|n"&amp;#REF!&amp;"+"&amp;V238)</f>
        <v/>
      </c>
      <c r="DC238" s="30" t="str">
        <f>IF(W238="","","|n"&amp;#REF!&amp;"+"&amp;W238)</f>
        <v/>
      </c>
      <c r="DD238" s="30" t="str">
        <f>IF(X238="","","|n"&amp;#REF!&amp;"+"&amp;X238)</f>
        <v/>
      </c>
      <c r="DE238" s="30" t="str">
        <f>IF(Y238="","","|n"&amp;#REF!&amp;"+"&amp;Y238)</f>
        <v/>
      </c>
      <c r="DF238" s="30" t="str">
        <f>IF(Z238="","","|n"&amp;#REF!&amp;"+"&amp;Z238)</f>
        <v/>
      </c>
      <c r="DG238" s="30" t="str">
        <f>IF(AA238="","","|n"&amp;#REF!&amp;"+"&amp;AA238)</f>
        <v/>
      </c>
      <c r="DH238" s="30" t="str">
        <f>IF(AB238="","","|n"&amp;#REF!&amp;"+"&amp;AB238)</f>
        <v/>
      </c>
      <c r="DI238" s="30" t="str">
        <f>IF(AC238="","","|n"&amp;#REF!&amp;"+"&amp;AC238&amp;"%")</f>
        <v/>
      </c>
      <c r="DJ238" s="30" t="str">
        <f>IF(AD238="","","|n"&amp;#REF!&amp;"+"&amp;AD238)</f>
        <v/>
      </c>
      <c r="DK238" s="30" t="str">
        <f>IF(AE238="","","|n"&amp;#REF!&amp;"+"&amp;AE238)</f>
        <v/>
      </c>
      <c r="DL238" s="30" t="str">
        <f>IF(AF238="","","|n"&amp;#REF!&amp;"+"&amp;AF238)</f>
        <v/>
      </c>
      <c r="DM238" s="30" t="str">
        <f>IF(AG238="","","|n"&amp;#REF!&amp;"+"&amp;AG238&amp;"%")</f>
        <v/>
      </c>
      <c r="DN238" s="30" t="str">
        <f>IF(AH238="","","|n"&amp;#REF!&amp;"+"&amp;AH238)</f>
        <v/>
      </c>
      <c r="DO238" s="30" t="str">
        <f>IF(AI238="","","|n"&amp;#REF!&amp;"+"&amp;AI238)</f>
        <v/>
      </c>
      <c r="DP238" s="30" t="str">
        <f>IF(AJ238="","","|n"&amp;#REF!&amp;"+"&amp;AJ238)</f>
        <v/>
      </c>
    </row>
    <row r="239" spans="92:120">
      <c r="CN239" s="7" t="str">
        <f t="shared" si="2470"/>
        <v>InitUnitState('',,,,,,,,,,)</v>
      </c>
      <c r="CO239" s="7" t="str">
        <f t="shared" si="2471"/>
        <v>InitUnitNormal('',,,,,,,,,,)</v>
      </c>
      <c r="CP239" s="7" t="str">
        <f t="shared" si="2472"/>
        <v>InitUnitMagic('',,,,,,,,,,)</v>
      </c>
      <c r="CQ239" s="7" t="str">
        <f t="shared" si="2473"/>
        <v>InitUnitAdd('',,,,,,,,,,)</v>
      </c>
      <c r="CR239" s="7" t="str">
        <f t="shared" si="2474"/>
        <v>InitEquipData('',,"",,,,,'','','','','','',"")</v>
      </c>
      <c r="CU239" s="29" t="str">
        <f t="shared" si="2469"/>
        <v>|n</v>
      </c>
      <c r="DB239" s="30" t="str">
        <f>IF(V239="","","|n"&amp;#REF!&amp;"+"&amp;V239)</f>
        <v/>
      </c>
      <c r="DC239" s="30" t="str">
        <f>IF(W239="","","|n"&amp;#REF!&amp;"+"&amp;W239)</f>
        <v/>
      </c>
      <c r="DD239" s="30" t="str">
        <f>IF(X239="","","|n"&amp;#REF!&amp;"+"&amp;X239)</f>
        <v/>
      </c>
      <c r="DE239" s="30" t="str">
        <f>IF(Y239="","","|n"&amp;#REF!&amp;"+"&amp;Y239)</f>
        <v/>
      </c>
      <c r="DF239" s="30" t="str">
        <f>IF(Z239="","","|n"&amp;#REF!&amp;"+"&amp;Z239)</f>
        <v/>
      </c>
      <c r="DG239" s="30" t="str">
        <f>IF(AA239="","","|n"&amp;#REF!&amp;"+"&amp;AA239)</f>
        <v/>
      </c>
      <c r="DH239" s="30" t="str">
        <f>IF(AB239="","","|n"&amp;#REF!&amp;"+"&amp;AB239)</f>
        <v/>
      </c>
      <c r="DI239" s="30" t="str">
        <f>IF(AC239="","","|n"&amp;#REF!&amp;"+"&amp;AC239&amp;"%")</f>
        <v/>
      </c>
      <c r="DJ239" s="30" t="str">
        <f>IF(AD239="","","|n"&amp;#REF!&amp;"+"&amp;AD239)</f>
        <v/>
      </c>
      <c r="DK239" s="30" t="str">
        <f>IF(AE239="","","|n"&amp;#REF!&amp;"+"&amp;AE239)</f>
        <v/>
      </c>
      <c r="DL239" s="30" t="str">
        <f>IF(AF239="","","|n"&amp;#REF!&amp;"+"&amp;AF239)</f>
        <v/>
      </c>
      <c r="DM239" s="30" t="str">
        <f>IF(AG239="","","|n"&amp;#REF!&amp;"+"&amp;AG239&amp;"%")</f>
        <v/>
      </c>
      <c r="DN239" s="30" t="str">
        <f>IF(AH239="","","|n"&amp;#REF!&amp;"+"&amp;AH239)</f>
        <v/>
      </c>
      <c r="DO239" s="30" t="str">
        <f>IF(AI239="","","|n"&amp;#REF!&amp;"+"&amp;AI239)</f>
        <v/>
      </c>
      <c r="DP239" s="30" t="str">
        <f>IF(AJ239="","","|n"&amp;#REF!&amp;"+"&amp;AJ239)</f>
        <v/>
      </c>
    </row>
    <row r="240" spans="92:120">
      <c r="CN240" s="7" t="str">
        <f t="shared" si="2470"/>
        <v>InitUnitState('',,,,,,,,,,)</v>
      </c>
      <c r="CO240" s="7" t="str">
        <f t="shared" si="2471"/>
        <v>InitUnitNormal('',,,,,,,,,,)</v>
      </c>
      <c r="CP240" s="7" t="str">
        <f t="shared" si="2472"/>
        <v>InitUnitMagic('',,,,,,,,,,)</v>
      </c>
      <c r="CQ240" s="7" t="str">
        <f t="shared" si="2473"/>
        <v>InitUnitAdd('',,,,,,,,,,)</v>
      </c>
      <c r="CR240" s="7" t="str">
        <f t="shared" si="2474"/>
        <v>InitEquipData('',,"",,,,,'','','','','','',"")</v>
      </c>
      <c r="CU240" s="29" t="str">
        <f t="shared" si="2469"/>
        <v>|n</v>
      </c>
      <c r="DB240" s="30" t="str">
        <f>IF(V240="","","|n"&amp;#REF!&amp;"+"&amp;V240)</f>
        <v/>
      </c>
      <c r="DC240" s="30" t="str">
        <f>IF(W240="","","|n"&amp;#REF!&amp;"+"&amp;W240)</f>
        <v/>
      </c>
      <c r="DD240" s="30" t="str">
        <f>IF(X240="","","|n"&amp;#REF!&amp;"+"&amp;X240)</f>
        <v/>
      </c>
      <c r="DE240" s="30" t="str">
        <f>IF(Y240="","","|n"&amp;#REF!&amp;"+"&amp;Y240)</f>
        <v/>
      </c>
      <c r="DF240" s="30" t="str">
        <f>IF(Z240="","","|n"&amp;#REF!&amp;"+"&amp;Z240)</f>
        <v/>
      </c>
      <c r="DG240" s="30" t="str">
        <f>IF(AA240="","","|n"&amp;#REF!&amp;"+"&amp;AA240)</f>
        <v/>
      </c>
      <c r="DH240" s="30" t="str">
        <f>IF(AB240="","","|n"&amp;#REF!&amp;"+"&amp;AB240)</f>
        <v/>
      </c>
      <c r="DI240" s="30" t="str">
        <f>IF(AC240="","","|n"&amp;#REF!&amp;"+"&amp;AC240&amp;"%")</f>
        <v/>
      </c>
      <c r="DJ240" s="30" t="str">
        <f>IF(AD240="","","|n"&amp;#REF!&amp;"+"&amp;AD240)</f>
        <v/>
      </c>
      <c r="DK240" s="30" t="str">
        <f>IF(AE240="","","|n"&amp;#REF!&amp;"+"&amp;AE240)</f>
        <v/>
      </c>
      <c r="DL240" s="30" t="str">
        <f>IF(AF240="","","|n"&amp;#REF!&amp;"+"&amp;AF240)</f>
        <v/>
      </c>
      <c r="DM240" s="30" t="str">
        <f>IF(AG240="","","|n"&amp;#REF!&amp;"+"&amp;AG240&amp;"%")</f>
        <v/>
      </c>
      <c r="DN240" s="30" t="str">
        <f>IF(AH240="","","|n"&amp;#REF!&amp;"+"&amp;AH240)</f>
        <v/>
      </c>
      <c r="DO240" s="30" t="str">
        <f>IF(AI240="","","|n"&amp;#REF!&amp;"+"&amp;AI240)</f>
        <v/>
      </c>
      <c r="DP240" s="30" t="str">
        <f>IF(AJ240="","","|n"&amp;#REF!&amp;"+"&amp;AJ240)</f>
        <v/>
      </c>
    </row>
    <row r="241" spans="92:120">
      <c r="CN241" s="7" t="str">
        <f t="shared" si="2470"/>
        <v>InitUnitState('',,,,,,,,,,)</v>
      </c>
      <c r="CO241" s="7" t="str">
        <f t="shared" si="2471"/>
        <v>InitUnitNormal('',,,,,,,,,,)</v>
      </c>
      <c r="CP241" s="7" t="str">
        <f t="shared" si="2472"/>
        <v>InitUnitMagic('',,,,,,,,,,)</v>
      </c>
      <c r="CQ241" s="7" t="str">
        <f t="shared" si="2473"/>
        <v>InitUnitAdd('',,,,,,,,,,)</v>
      </c>
      <c r="CR241" s="7" t="str">
        <f t="shared" si="2474"/>
        <v>InitEquipData('',,"",,,,,'','','','','','',"")</v>
      </c>
      <c r="CU241" s="29" t="str">
        <f t="shared" si="2469"/>
        <v>|n</v>
      </c>
      <c r="DB241" s="30" t="str">
        <f>IF(V241="","","|n"&amp;#REF!&amp;"+"&amp;V241)</f>
        <v/>
      </c>
      <c r="DC241" s="30" t="str">
        <f>IF(W241="","","|n"&amp;#REF!&amp;"+"&amp;W241)</f>
        <v/>
      </c>
      <c r="DD241" s="30" t="str">
        <f>IF(X241="","","|n"&amp;#REF!&amp;"+"&amp;X241)</f>
        <v/>
      </c>
      <c r="DE241" s="30" t="str">
        <f>IF(Y241="","","|n"&amp;#REF!&amp;"+"&amp;Y241)</f>
        <v/>
      </c>
      <c r="DF241" s="30" t="str">
        <f>IF(Z241="","","|n"&amp;#REF!&amp;"+"&amp;Z241)</f>
        <v/>
      </c>
      <c r="DG241" s="30" t="str">
        <f>IF(AA241="","","|n"&amp;#REF!&amp;"+"&amp;AA241)</f>
        <v/>
      </c>
      <c r="DH241" s="30" t="str">
        <f>IF(AB241="","","|n"&amp;#REF!&amp;"+"&amp;AB241)</f>
        <v/>
      </c>
      <c r="DI241" s="30" t="str">
        <f>IF(AC241="","","|n"&amp;#REF!&amp;"+"&amp;AC241&amp;"%")</f>
        <v/>
      </c>
      <c r="DJ241" s="30" t="str">
        <f>IF(AD241="","","|n"&amp;#REF!&amp;"+"&amp;AD241)</f>
        <v/>
      </c>
      <c r="DK241" s="30" t="str">
        <f>IF(AE241="","","|n"&amp;#REF!&amp;"+"&amp;AE241)</f>
        <v/>
      </c>
      <c r="DL241" s="30" t="str">
        <f>IF(AF241="","","|n"&amp;#REF!&amp;"+"&amp;AF241)</f>
        <v/>
      </c>
      <c r="DM241" s="30" t="str">
        <f>IF(AG241="","","|n"&amp;#REF!&amp;"+"&amp;AG241&amp;"%")</f>
        <v/>
      </c>
      <c r="DN241" s="30" t="str">
        <f>IF(AH241="","","|n"&amp;#REF!&amp;"+"&amp;AH241)</f>
        <v/>
      </c>
      <c r="DO241" s="30" t="str">
        <f>IF(AI241="","","|n"&amp;#REF!&amp;"+"&amp;AI241)</f>
        <v/>
      </c>
      <c r="DP241" s="30" t="str">
        <f>IF(AJ241="","","|n"&amp;#REF!&amp;"+"&amp;AJ241)</f>
        <v/>
      </c>
    </row>
    <row r="242" spans="92:120">
      <c r="CN242" s="7" t="str">
        <f t="shared" si="2470"/>
        <v>InitUnitState('',,,,,,,,,,)</v>
      </c>
      <c r="CO242" s="7" t="str">
        <f t="shared" si="2471"/>
        <v>InitUnitNormal('',,,,,,,,,,)</v>
      </c>
      <c r="CP242" s="7" t="str">
        <f t="shared" si="2472"/>
        <v>InitUnitMagic('',,,,,,,,,,)</v>
      </c>
      <c r="CQ242" s="7" t="str">
        <f t="shared" si="2473"/>
        <v>InitUnitAdd('',,,,,,,,,,)</v>
      </c>
      <c r="CR242" s="7" t="str">
        <f t="shared" si="2474"/>
        <v>InitEquipData('',,"",,,,,'','','','','','',"")</v>
      </c>
      <c r="CU242" s="29" t="str">
        <f t="shared" si="2469"/>
        <v>|n</v>
      </c>
      <c r="DB242" s="30" t="str">
        <f>IF(V242="","","|n"&amp;#REF!&amp;"+"&amp;V242)</f>
        <v/>
      </c>
      <c r="DC242" s="30" t="str">
        <f>IF(W242="","","|n"&amp;#REF!&amp;"+"&amp;W242)</f>
        <v/>
      </c>
      <c r="DD242" s="30" t="str">
        <f>IF(X242="","","|n"&amp;#REF!&amp;"+"&amp;X242)</f>
        <v/>
      </c>
      <c r="DE242" s="30" t="str">
        <f>IF(Y242="","","|n"&amp;#REF!&amp;"+"&amp;Y242)</f>
        <v/>
      </c>
      <c r="DF242" s="30" t="str">
        <f>IF(Z242="","","|n"&amp;#REF!&amp;"+"&amp;Z242)</f>
        <v/>
      </c>
      <c r="DG242" s="30" t="str">
        <f>IF(AA242="","","|n"&amp;#REF!&amp;"+"&amp;AA242)</f>
        <v/>
      </c>
      <c r="DH242" s="30" t="str">
        <f>IF(AB242="","","|n"&amp;#REF!&amp;"+"&amp;AB242)</f>
        <v/>
      </c>
      <c r="DI242" s="30" t="str">
        <f>IF(AC242="","","|n"&amp;#REF!&amp;"+"&amp;AC242&amp;"%")</f>
        <v/>
      </c>
      <c r="DJ242" s="30" t="str">
        <f>IF(AD242="","","|n"&amp;#REF!&amp;"+"&amp;AD242)</f>
        <v/>
      </c>
      <c r="DK242" s="30" t="str">
        <f>IF(AE242="","","|n"&amp;#REF!&amp;"+"&amp;AE242)</f>
        <v/>
      </c>
      <c r="DL242" s="30" t="str">
        <f>IF(AF242="","","|n"&amp;#REF!&amp;"+"&amp;AF242)</f>
        <v/>
      </c>
      <c r="DM242" s="30" t="str">
        <f>IF(AG242="","","|n"&amp;#REF!&amp;"+"&amp;AG242&amp;"%")</f>
        <v/>
      </c>
      <c r="DN242" s="30" t="str">
        <f>IF(AH242="","","|n"&amp;#REF!&amp;"+"&amp;AH242)</f>
        <v/>
      </c>
      <c r="DO242" s="30" t="str">
        <f>IF(AI242="","","|n"&amp;#REF!&amp;"+"&amp;AI242)</f>
        <v/>
      </c>
      <c r="DP242" s="30" t="str">
        <f>IF(AJ242="","","|n"&amp;#REF!&amp;"+"&amp;AJ242)</f>
        <v/>
      </c>
    </row>
    <row r="243" spans="92:120">
      <c r="CN243" s="7" t="str">
        <f t="shared" si="2470"/>
        <v>InitUnitState('',,,,,,,,,,)</v>
      </c>
      <c r="CO243" s="7" t="str">
        <f t="shared" si="2471"/>
        <v>InitUnitNormal('',,,,,,,,,,)</v>
      </c>
      <c r="CP243" s="7" t="str">
        <f t="shared" si="2472"/>
        <v>InitUnitMagic('',,,,,,,,,,)</v>
      </c>
      <c r="CQ243" s="7" t="str">
        <f t="shared" si="2473"/>
        <v>InitUnitAdd('',,,,,,,,,,)</v>
      </c>
      <c r="CR243" s="7" t="str">
        <f t="shared" si="2474"/>
        <v>InitEquipData('',,"",,,,,'','','','','','',"")</v>
      </c>
      <c r="CU243" s="29" t="str">
        <f t="shared" si="2469"/>
        <v>|n</v>
      </c>
      <c r="DB243" s="30" t="str">
        <f>IF(V243="","","|n"&amp;#REF!&amp;"+"&amp;V243)</f>
        <v/>
      </c>
      <c r="DC243" s="30" t="str">
        <f>IF(W243="","","|n"&amp;#REF!&amp;"+"&amp;W243)</f>
        <v/>
      </c>
      <c r="DD243" s="30" t="str">
        <f>IF(X243="","","|n"&amp;#REF!&amp;"+"&amp;X243)</f>
        <v/>
      </c>
      <c r="DE243" s="30" t="str">
        <f>IF(Y243="","","|n"&amp;#REF!&amp;"+"&amp;Y243)</f>
        <v/>
      </c>
      <c r="DF243" s="30" t="str">
        <f>IF(Z243="","","|n"&amp;#REF!&amp;"+"&amp;Z243)</f>
        <v/>
      </c>
      <c r="DG243" s="30" t="str">
        <f>IF(AA243="","","|n"&amp;#REF!&amp;"+"&amp;AA243)</f>
        <v/>
      </c>
      <c r="DH243" s="30" t="str">
        <f>IF(AB243="","","|n"&amp;#REF!&amp;"+"&amp;AB243)</f>
        <v/>
      </c>
      <c r="DI243" s="30" t="str">
        <f>IF(AC243="","","|n"&amp;#REF!&amp;"+"&amp;AC243&amp;"%")</f>
        <v/>
      </c>
      <c r="DJ243" s="30" t="str">
        <f>IF(AD243="","","|n"&amp;#REF!&amp;"+"&amp;AD243)</f>
        <v/>
      </c>
      <c r="DK243" s="30" t="str">
        <f>IF(AE243="","","|n"&amp;#REF!&amp;"+"&amp;AE243)</f>
        <v/>
      </c>
      <c r="DL243" s="30" t="str">
        <f>IF(AF243="","","|n"&amp;#REF!&amp;"+"&amp;AF243)</f>
        <v/>
      </c>
      <c r="DM243" s="30" t="str">
        <f>IF(AG243="","","|n"&amp;#REF!&amp;"+"&amp;AG243&amp;"%")</f>
        <v/>
      </c>
      <c r="DN243" s="30" t="str">
        <f>IF(AH243="","","|n"&amp;#REF!&amp;"+"&amp;AH243)</f>
        <v/>
      </c>
      <c r="DO243" s="30" t="str">
        <f>IF(AI243="","","|n"&amp;#REF!&amp;"+"&amp;AI243)</f>
        <v/>
      </c>
      <c r="DP243" s="30" t="str">
        <f>IF(AJ243="","","|n"&amp;#REF!&amp;"+"&amp;AJ243)</f>
        <v/>
      </c>
    </row>
    <row r="244" spans="92:120">
      <c r="CN244" s="7" t="str">
        <f t="shared" si="2470"/>
        <v>InitUnitState('',,,,,,,,,,)</v>
      </c>
      <c r="CO244" s="7" t="str">
        <f t="shared" si="2471"/>
        <v>InitUnitNormal('',,,,,,,,,,)</v>
      </c>
      <c r="CP244" s="7" t="str">
        <f t="shared" si="2472"/>
        <v>InitUnitMagic('',,,,,,,,,,)</v>
      </c>
      <c r="CQ244" s="7" t="str">
        <f t="shared" si="2473"/>
        <v>InitUnitAdd('',,,,,,,,,,)</v>
      </c>
      <c r="CR244" s="7" t="str">
        <f t="shared" si="2474"/>
        <v>InitEquipData('',,"",,,,,'','','','','','',"")</v>
      </c>
      <c r="CU244" s="29" t="str">
        <f t="shared" si="2469"/>
        <v>|n</v>
      </c>
      <c r="DB244" s="30" t="str">
        <f>IF(V244="","","|n"&amp;#REF!&amp;"+"&amp;V244)</f>
        <v/>
      </c>
      <c r="DC244" s="30" t="str">
        <f>IF(W244="","","|n"&amp;#REF!&amp;"+"&amp;W244)</f>
        <v/>
      </c>
      <c r="DD244" s="30" t="str">
        <f>IF(X244="","","|n"&amp;#REF!&amp;"+"&amp;X244)</f>
        <v/>
      </c>
      <c r="DE244" s="30" t="str">
        <f>IF(Y244="","","|n"&amp;#REF!&amp;"+"&amp;Y244)</f>
        <v/>
      </c>
      <c r="DF244" s="30" t="str">
        <f>IF(Z244="","","|n"&amp;#REF!&amp;"+"&amp;Z244)</f>
        <v/>
      </c>
      <c r="DG244" s="30" t="str">
        <f>IF(AA244="","","|n"&amp;#REF!&amp;"+"&amp;AA244)</f>
        <v/>
      </c>
      <c r="DH244" s="30" t="str">
        <f>IF(AB244="","","|n"&amp;#REF!&amp;"+"&amp;AB244)</f>
        <v/>
      </c>
      <c r="DI244" s="30" t="str">
        <f>IF(AC244="","","|n"&amp;#REF!&amp;"+"&amp;AC244&amp;"%")</f>
        <v/>
      </c>
      <c r="DJ244" s="30" t="str">
        <f>IF(AD244="","","|n"&amp;#REF!&amp;"+"&amp;AD244)</f>
        <v/>
      </c>
      <c r="DK244" s="30" t="str">
        <f>IF(AE244="","","|n"&amp;#REF!&amp;"+"&amp;AE244)</f>
        <v/>
      </c>
      <c r="DL244" s="30" t="str">
        <f>IF(AF244="","","|n"&amp;#REF!&amp;"+"&amp;AF244)</f>
        <v/>
      </c>
      <c r="DM244" s="30" t="str">
        <f>IF(AG244="","","|n"&amp;#REF!&amp;"+"&amp;AG244&amp;"%")</f>
        <v/>
      </c>
      <c r="DN244" s="30" t="str">
        <f>IF(AH244="","","|n"&amp;#REF!&amp;"+"&amp;AH244)</f>
        <v/>
      </c>
      <c r="DO244" s="30" t="str">
        <f>IF(AI244="","","|n"&amp;#REF!&amp;"+"&amp;AI244)</f>
        <v/>
      </c>
      <c r="DP244" s="30" t="str">
        <f>IF(AJ244="","","|n"&amp;#REF!&amp;"+"&amp;AJ244)</f>
        <v/>
      </c>
    </row>
    <row r="245" spans="92:120">
      <c r="CN245" s="7" t="str">
        <f t="shared" si="2470"/>
        <v>InitUnitState('',,,,,,,,,,)</v>
      </c>
      <c r="CO245" s="7" t="str">
        <f t="shared" si="2471"/>
        <v>InitUnitNormal('',,,,,,,,,,)</v>
      </c>
      <c r="CP245" s="7" t="str">
        <f t="shared" si="2472"/>
        <v>InitUnitMagic('',,,,,,,,,,)</v>
      </c>
      <c r="CQ245" s="7" t="str">
        <f t="shared" si="2473"/>
        <v>InitUnitAdd('',,,,,,,,,,)</v>
      </c>
      <c r="CR245" s="7" t="str">
        <f t="shared" si="2474"/>
        <v>InitEquipData('',,"",,,,,'','','','','','',"")</v>
      </c>
      <c r="CU245" s="29" t="str">
        <f t="shared" si="2469"/>
        <v>|n</v>
      </c>
      <c r="DB245" s="30" t="str">
        <f>IF(V245="","","|n"&amp;#REF!&amp;"+"&amp;V245)</f>
        <v/>
      </c>
      <c r="DC245" s="30" t="str">
        <f>IF(W245="","","|n"&amp;#REF!&amp;"+"&amp;W245)</f>
        <v/>
      </c>
      <c r="DD245" s="30" t="str">
        <f>IF(X245="","","|n"&amp;#REF!&amp;"+"&amp;X245)</f>
        <v/>
      </c>
      <c r="DE245" s="30" t="str">
        <f>IF(Y245="","","|n"&amp;#REF!&amp;"+"&amp;Y245)</f>
        <v/>
      </c>
      <c r="DF245" s="30" t="str">
        <f>IF(Z245="","","|n"&amp;#REF!&amp;"+"&amp;Z245)</f>
        <v/>
      </c>
      <c r="DG245" s="30" t="str">
        <f>IF(AA245="","","|n"&amp;#REF!&amp;"+"&amp;AA245)</f>
        <v/>
      </c>
      <c r="DH245" s="30" t="str">
        <f>IF(AB245="","","|n"&amp;#REF!&amp;"+"&amp;AB245)</f>
        <v/>
      </c>
      <c r="DI245" s="30" t="str">
        <f>IF(AC245="","","|n"&amp;#REF!&amp;"+"&amp;AC245&amp;"%")</f>
        <v/>
      </c>
      <c r="DJ245" s="30" t="str">
        <f>IF(AD245="","","|n"&amp;#REF!&amp;"+"&amp;AD245)</f>
        <v/>
      </c>
      <c r="DK245" s="30" t="str">
        <f>IF(AE245="","","|n"&amp;#REF!&amp;"+"&amp;AE245)</f>
        <v/>
      </c>
      <c r="DL245" s="30" t="str">
        <f>IF(AF245="","","|n"&amp;#REF!&amp;"+"&amp;AF245)</f>
        <v/>
      </c>
      <c r="DM245" s="30" t="str">
        <f>IF(AG245="","","|n"&amp;#REF!&amp;"+"&amp;AG245&amp;"%")</f>
        <v/>
      </c>
      <c r="DN245" s="30" t="str">
        <f>IF(AH245="","","|n"&amp;#REF!&amp;"+"&amp;AH245)</f>
        <v/>
      </c>
      <c r="DO245" s="30" t="str">
        <f>IF(AI245="","","|n"&amp;#REF!&amp;"+"&amp;AI245)</f>
        <v/>
      </c>
      <c r="DP245" s="30" t="str">
        <f>IF(AJ245="","","|n"&amp;#REF!&amp;"+"&amp;AJ245)</f>
        <v/>
      </c>
    </row>
    <row r="246" spans="92:120">
      <c r="CN246" s="7" t="str">
        <f t="shared" si="2470"/>
        <v>InitUnitState('',,,,,,,,,,)</v>
      </c>
      <c r="CO246" s="7" t="str">
        <f t="shared" si="2471"/>
        <v>InitUnitNormal('',,,,,,,,,,)</v>
      </c>
      <c r="CP246" s="7" t="str">
        <f t="shared" si="2472"/>
        <v>InitUnitMagic('',,,,,,,,,,)</v>
      </c>
      <c r="CQ246" s="7" t="str">
        <f t="shared" si="2473"/>
        <v>InitUnitAdd('',,,,,,,,,,)</v>
      </c>
      <c r="CR246" s="7" t="str">
        <f t="shared" si="2474"/>
        <v>InitEquipData('',,"",,,,,'','','','','','',"")</v>
      </c>
      <c r="CU246" s="29" t="str">
        <f t="shared" si="2469"/>
        <v>|n</v>
      </c>
      <c r="DB246" s="30" t="str">
        <f>IF(V246="","","|n"&amp;#REF!&amp;"+"&amp;V246)</f>
        <v/>
      </c>
      <c r="DC246" s="30" t="str">
        <f>IF(W246="","","|n"&amp;#REF!&amp;"+"&amp;W246)</f>
        <v/>
      </c>
      <c r="DD246" s="30" t="str">
        <f>IF(X246="","","|n"&amp;#REF!&amp;"+"&amp;X246)</f>
        <v/>
      </c>
      <c r="DE246" s="30" t="str">
        <f>IF(Y246="","","|n"&amp;#REF!&amp;"+"&amp;Y246)</f>
        <v/>
      </c>
      <c r="DF246" s="30" t="str">
        <f>IF(Z246="","","|n"&amp;#REF!&amp;"+"&amp;Z246)</f>
        <v/>
      </c>
      <c r="DG246" s="30" t="str">
        <f>IF(AA246="","","|n"&amp;#REF!&amp;"+"&amp;AA246)</f>
        <v/>
      </c>
      <c r="DH246" s="30" t="str">
        <f>IF(AB246="","","|n"&amp;#REF!&amp;"+"&amp;AB246)</f>
        <v/>
      </c>
      <c r="DI246" s="30" t="str">
        <f>IF(AC246="","","|n"&amp;#REF!&amp;"+"&amp;AC246&amp;"%")</f>
        <v/>
      </c>
      <c r="DJ246" s="30" t="str">
        <f>IF(AD246="","","|n"&amp;#REF!&amp;"+"&amp;AD246)</f>
        <v/>
      </c>
      <c r="DK246" s="30" t="str">
        <f>IF(AE246="","","|n"&amp;#REF!&amp;"+"&amp;AE246)</f>
        <v/>
      </c>
      <c r="DL246" s="30" t="str">
        <f>IF(AF246="","","|n"&amp;#REF!&amp;"+"&amp;AF246)</f>
        <v/>
      </c>
      <c r="DM246" s="30" t="str">
        <f>IF(AG246="","","|n"&amp;#REF!&amp;"+"&amp;AG246&amp;"%")</f>
        <v/>
      </c>
      <c r="DN246" s="30" t="str">
        <f>IF(AH246="","","|n"&amp;#REF!&amp;"+"&amp;AH246)</f>
        <v/>
      </c>
      <c r="DO246" s="30" t="str">
        <f>IF(AI246="","","|n"&amp;#REF!&amp;"+"&amp;AI246)</f>
        <v/>
      </c>
      <c r="DP246" s="30" t="str">
        <f>IF(AJ246="","","|n"&amp;#REF!&amp;"+"&amp;AJ246)</f>
        <v/>
      </c>
    </row>
    <row r="247" spans="92:120">
      <c r="CN247" s="7" t="str">
        <f t="shared" si="2470"/>
        <v>InitUnitState('',,,,,,,,,,)</v>
      </c>
      <c r="CO247" s="7" t="str">
        <f t="shared" si="2471"/>
        <v>InitUnitNormal('',,,,,,,,,,)</v>
      </c>
      <c r="CP247" s="7" t="str">
        <f t="shared" si="2472"/>
        <v>InitUnitMagic('',,,,,,,,,,)</v>
      </c>
      <c r="CQ247" s="7" t="str">
        <f t="shared" si="2473"/>
        <v>InitUnitAdd('',,,,,,,,,,)</v>
      </c>
      <c r="CR247" s="7" t="str">
        <f t="shared" si="2474"/>
        <v>InitEquipData('',,"",,,,,'','','','','','',"")</v>
      </c>
      <c r="CU247" s="29" t="str">
        <f t="shared" si="2469"/>
        <v>|n</v>
      </c>
      <c r="DB247" s="30" t="str">
        <f>IF(V247="","","|n"&amp;#REF!&amp;"+"&amp;V247)</f>
        <v/>
      </c>
      <c r="DC247" s="30" t="str">
        <f>IF(W247="","","|n"&amp;#REF!&amp;"+"&amp;W247)</f>
        <v/>
      </c>
      <c r="DD247" s="30" t="str">
        <f>IF(X247="","","|n"&amp;#REF!&amp;"+"&amp;X247)</f>
        <v/>
      </c>
      <c r="DE247" s="30" t="str">
        <f>IF(Y247="","","|n"&amp;#REF!&amp;"+"&amp;Y247)</f>
        <v/>
      </c>
      <c r="DF247" s="30" t="str">
        <f>IF(Z247="","","|n"&amp;#REF!&amp;"+"&amp;Z247)</f>
        <v/>
      </c>
      <c r="DG247" s="30" t="str">
        <f>IF(AA247="","","|n"&amp;#REF!&amp;"+"&amp;AA247)</f>
        <v/>
      </c>
      <c r="DH247" s="30" t="str">
        <f>IF(AB247="","","|n"&amp;#REF!&amp;"+"&amp;AB247)</f>
        <v/>
      </c>
      <c r="DI247" s="30" t="str">
        <f>IF(AC247="","","|n"&amp;#REF!&amp;"+"&amp;AC247&amp;"%")</f>
        <v/>
      </c>
      <c r="DJ247" s="30" t="str">
        <f>IF(AD247="","","|n"&amp;#REF!&amp;"+"&amp;AD247)</f>
        <v/>
      </c>
      <c r="DK247" s="30" t="str">
        <f>IF(AE247="","","|n"&amp;#REF!&amp;"+"&amp;AE247)</f>
        <v/>
      </c>
      <c r="DL247" s="30" t="str">
        <f>IF(AF247="","","|n"&amp;#REF!&amp;"+"&amp;AF247)</f>
        <v/>
      </c>
      <c r="DM247" s="30" t="str">
        <f>IF(AG247="","","|n"&amp;#REF!&amp;"+"&amp;AG247&amp;"%")</f>
        <v/>
      </c>
      <c r="DN247" s="30" t="str">
        <f>IF(AH247="","","|n"&amp;#REF!&amp;"+"&amp;AH247)</f>
        <v/>
      </c>
      <c r="DO247" s="30" t="str">
        <f>IF(AI247="","","|n"&amp;#REF!&amp;"+"&amp;AI247)</f>
        <v/>
      </c>
      <c r="DP247" s="30" t="str">
        <f>IF(AJ247="","","|n"&amp;#REF!&amp;"+"&amp;AJ247)</f>
        <v/>
      </c>
    </row>
    <row r="248" spans="92:120">
      <c r="CN248" s="7" t="str">
        <f t="shared" si="2470"/>
        <v>InitUnitState('',,,,,,,,,,)</v>
      </c>
      <c r="CO248" s="7" t="str">
        <f t="shared" si="2471"/>
        <v>InitUnitNormal('',,,,,,,,,,)</v>
      </c>
      <c r="CP248" s="7" t="str">
        <f t="shared" si="2472"/>
        <v>InitUnitMagic('',,,,,,,,,,)</v>
      </c>
      <c r="CQ248" s="7" t="str">
        <f t="shared" si="2473"/>
        <v>InitUnitAdd('',,,,,,,,,,)</v>
      </c>
      <c r="CR248" s="7" t="str">
        <f t="shared" si="2474"/>
        <v>InitEquipData('',,"",,,,,'','','','','','',"")</v>
      </c>
      <c r="CU248" s="29" t="str">
        <f t="shared" si="2469"/>
        <v>|n</v>
      </c>
      <c r="DB248" s="30" t="str">
        <f>IF(V248="","","|n"&amp;#REF!&amp;"+"&amp;V248)</f>
        <v/>
      </c>
      <c r="DC248" s="30" t="str">
        <f>IF(W248="","","|n"&amp;#REF!&amp;"+"&amp;W248)</f>
        <v/>
      </c>
      <c r="DD248" s="30" t="str">
        <f>IF(X248="","","|n"&amp;#REF!&amp;"+"&amp;X248)</f>
        <v/>
      </c>
      <c r="DE248" s="30" t="str">
        <f>IF(Y248="","","|n"&amp;#REF!&amp;"+"&amp;Y248)</f>
        <v/>
      </c>
      <c r="DF248" s="30" t="str">
        <f>IF(Z248="","","|n"&amp;#REF!&amp;"+"&amp;Z248)</f>
        <v/>
      </c>
      <c r="DG248" s="30" t="str">
        <f>IF(AA248="","","|n"&amp;#REF!&amp;"+"&amp;AA248)</f>
        <v/>
      </c>
      <c r="DH248" s="30" t="str">
        <f>IF(AB248="","","|n"&amp;#REF!&amp;"+"&amp;AB248)</f>
        <v/>
      </c>
      <c r="DI248" s="30" t="str">
        <f>IF(AC248="","","|n"&amp;#REF!&amp;"+"&amp;AC248&amp;"%")</f>
        <v/>
      </c>
      <c r="DJ248" s="30" t="str">
        <f>IF(AD248="","","|n"&amp;#REF!&amp;"+"&amp;AD248)</f>
        <v/>
      </c>
      <c r="DK248" s="30" t="str">
        <f>IF(AE248="","","|n"&amp;#REF!&amp;"+"&amp;AE248)</f>
        <v/>
      </c>
      <c r="DL248" s="30" t="str">
        <f>IF(AF248="","","|n"&amp;#REF!&amp;"+"&amp;AF248)</f>
        <v/>
      </c>
      <c r="DM248" s="30" t="str">
        <f>IF(AG248="","","|n"&amp;#REF!&amp;"+"&amp;AG248&amp;"%")</f>
        <v/>
      </c>
      <c r="DN248" s="30" t="str">
        <f>IF(AH248="","","|n"&amp;#REF!&amp;"+"&amp;AH248)</f>
        <v/>
      </c>
      <c r="DO248" s="30" t="str">
        <f>IF(AI248="","","|n"&amp;#REF!&amp;"+"&amp;AI248)</f>
        <v/>
      </c>
      <c r="DP248" s="30" t="str">
        <f>IF(AJ248="","","|n"&amp;#REF!&amp;"+"&amp;AJ248)</f>
        <v/>
      </c>
    </row>
    <row r="249" spans="92:120">
      <c r="CN249" s="7" t="str">
        <f t="shared" si="2470"/>
        <v>InitUnitState('',,,,,,,,,,)</v>
      </c>
      <c r="CO249" s="7" t="str">
        <f t="shared" si="2471"/>
        <v>InitUnitNormal('',,,,,,,,,,)</v>
      </c>
      <c r="CP249" s="7" t="str">
        <f t="shared" si="2472"/>
        <v>InitUnitMagic('',,,,,,,,,,)</v>
      </c>
      <c r="CQ249" s="7" t="str">
        <f t="shared" si="2473"/>
        <v>InitUnitAdd('',,,,,,,,,,)</v>
      </c>
      <c r="CR249" s="7" t="str">
        <f t="shared" si="2474"/>
        <v>InitEquipData('',,"",,,,,'','','','','','',"")</v>
      </c>
      <c r="CU249" s="29" t="str">
        <f t="shared" si="2469"/>
        <v>|n</v>
      </c>
      <c r="DB249" s="30" t="str">
        <f>IF(V249="","","|n"&amp;#REF!&amp;"+"&amp;V249)</f>
        <v/>
      </c>
      <c r="DC249" s="30" t="str">
        <f>IF(W249="","","|n"&amp;#REF!&amp;"+"&amp;W249)</f>
        <v/>
      </c>
      <c r="DD249" s="30" t="str">
        <f>IF(X249="","","|n"&amp;#REF!&amp;"+"&amp;X249)</f>
        <v/>
      </c>
      <c r="DE249" s="30" t="str">
        <f>IF(Y249="","","|n"&amp;#REF!&amp;"+"&amp;Y249)</f>
        <v/>
      </c>
      <c r="DF249" s="30" t="str">
        <f>IF(Z249="","","|n"&amp;#REF!&amp;"+"&amp;Z249)</f>
        <v/>
      </c>
      <c r="DG249" s="30" t="str">
        <f>IF(AA249="","","|n"&amp;#REF!&amp;"+"&amp;AA249)</f>
        <v/>
      </c>
      <c r="DH249" s="30" t="str">
        <f>IF(AB249="","","|n"&amp;#REF!&amp;"+"&amp;AB249)</f>
        <v/>
      </c>
      <c r="DI249" s="30" t="str">
        <f>IF(AC249="","","|n"&amp;#REF!&amp;"+"&amp;AC249&amp;"%")</f>
        <v/>
      </c>
      <c r="DJ249" s="30" t="str">
        <f>IF(AD249="","","|n"&amp;#REF!&amp;"+"&amp;AD249)</f>
        <v/>
      </c>
      <c r="DK249" s="30" t="str">
        <f>IF(AE249="","","|n"&amp;#REF!&amp;"+"&amp;AE249)</f>
        <v/>
      </c>
      <c r="DL249" s="30" t="str">
        <f>IF(AF249="","","|n"&amp;#REF!&amp;"+"&amp;AF249)</f>
        <v/>
      </c>
      <c r="DM249" s="30" t="str">
        <f>IF(AG249="","","|n"&amp;#REF!&amp;"+"&amp;AG249&amp;"%")</f>
        <v/>
      </c>
      <c r="DN249" s="30" t="str">
        <f>IF(AH249="","","|n"&amp;#REF!&amp;"+"&amp;AH249)</f>
        <v/>
      </c>
      <c r="DO249" s="30" t="str">
        <f>IF(AI249="","","|n"&amp;#REF!&amp;"+"&amp;AI249)</f>
        <v/>
      </c>
      <c r="DP249" s="30" t="str">
        <f>IF(AJ249="","","|n"&amp;#REF!&amp;"+"&amp;AJ249)</f>
        <v/>
      </c>
    </row>
    <row r="250" spans="92:120">
      <c r="CN250" s="7" t="str">
        <f t="shared" si="2470"/>
        <v>InitUnitState('',,,,,,,,,,)</v>
      </c>
      <c r="CO250" s="7" t="str">
        <f t="shared" si="2471"/>
        <v>InitUnitNormal('',,,,,,,,,,)</v>
      </c>
      <c r="CP250" s="7" t="str">
        <f t="shared" si="2472"/>
        <v>InitUnitMagic('',,,,,,,,,,)</v>
      </c>
      <c r="CQ250" s="7" t="str">
        <f t="shared" si="2473"/>
        <v>InitUnitAdd('',,,,,,,,,,)</v>
      </c>
      <c r="CR250" s="7" t="str">
        <f t="shared" si="2474"/>
        <v>InitEquipData('',,"",,,,,'','','','','','',"")</v>
      </c>
      <c r="CU250" s="29" t="str">
        <f t="shared" si="2469"/>
        <v>|n</v>
      </c>
      <c r="DB250" s="30" t="str">
        <f>IF(V250="","","|n"&amp;#REF!&amp;"+"&amp;V250)</f>
        <v/>
      </c>
      <c r="DC250" s="30" t="str">
        <f>IF(W250="","","|n"&amp;#REF!&amp;"+"&amp;W250)</f>
        <v/>
      </c>
      <c r="DD250" s="30" t="str">
        <f>IF(X250="","","|n"&amp;#REF!&amp;"+"&amp;X250)</f>
        <v/>
      </c>
      <c r="DE250" s="30" t="str">
        <f>IF(Y250="","","|n"&amp;#REF!&amp;"+"&amp;Y250)</f>
        <v/>
      </c>
      <c r="DF250" s="30" t="str">
        <f>IF(Z250="","","|n"&amp;#REF!&amp;"+"&amp;Z250)</f>
        <v/>
      </c>
      <c r="DG250" s="30" t="str">
        <f>IF(AA250="","","|n"&amp;#REF!&amp;"+"&amp;AA250)</f>
        <v/>
      </c>
      <c r="DH250" s="30" t="str">
        <f>IF(AB250="","","|n"&amp;#REF!&amp;"+"&amp;AB250)</f>
        <v/>
      </c>
      <c r="DI250" s="30" t="str">
        <f>IF(AC250="","","|n"&amp;#REF!&amp;"+"&amp;AC250&amp;"%")</f>
        <v/>
      </c>
      <c r="DJ250" s="30" t="str">
        <f>IF(AD250="","","|n"&amp;#REF!&amp;"+"&amp;AD250)</f>
        <v/>
      </c>
      <c r="DK250" s="30" t="str">
        <f>IF(AE250="","","|n"&amp;#REF!&amp;"+"&amp;AE250)</f>
        <v/>
      </c>
      <c r="DL250" s="30" t="str">
        <f>IF(AF250="","","|n"&amp;#REF!&amp;"+"&amp;AF250)</f>
        <v/>
      </c>
      <c r="DM250" s="30" t="str">
        <f>IF(AG250="","","|n"&amp;#REF!&amp;"+"&amp;AG250&amp;"%")</f>
        <v/>
      </c>
      <c r="DN250" s="30" t="str">
        <f>IF(AH250="","","|n"&amp;#REF!&amp;"+"&amp;AH250)</f>
        <v/>
      </c>
      <c r="DO250" s="30" t="str">
        <f>IF(AI250="","","|n"&amp;#REF!&amp;"+"&amp;AI250)</f>
        <v/>
      </c>
      <c r="DP250" s="30" t="str">
        <f>IF(AJ250="","","|n"&amp;#REF!&amp;"+"&amp;AJ250)</f>
        <v/>
      </c>
    </row>
    <row r="251" spans="92:120">
      <c r="CN251" s="7" t="str">
        <f t="shared" si="2470"/>
        <v>InitUnitState('',,,,,,,,,,)</v>
      </c>
      <c r="CO251" s="7" t="str">
        <f t="shared" si="2471"/>
        <v>InitUnitNormal('',,,,,,,,,,)</v>
      </c>
      <c r="CP251" s="7" t="str">
        <f t="shared" si="2472"/>
        <v>InitUnitMagic('',,,,,,,,,,)</v>
      </c>
      <c r="CQ251" s="7" t="str">
        <f t="shared" si="2473"/>
        <v>InitUnitAdd('',,,,,,,,,,)</v>
      </c>
      <c r="CR251" s="7" t="str">
        <f t="shared" si="2474"/>
        <v>InitEquipData('',,"",,,,,'','','','','','',"")</v>
      </c>
      <c r="CU251" s="29" t="str">
        <f t="shared" si="2469"/>
        <v>|n</v>
      </c>
      <c r="DB251" s="30" t="str">
        <f>IF(V251="","","|n"&amp;#REF!&amp;"+"&amp;V251)</f>
        <v/>
      </c>
      <c r="DC251" s="30" t="str">
        <f>IF(W251="","","|n"&amp;#REF!&amp;"+"&amp;W251)</f>
        <v/>
      </c>
      <c r="DD251" s="30" t="str">
        <f>IF(X251="","","|n"&amp;#REF!&amp;"+"&amp;X251)</f>
        <v/>
      </c>
      <c r="DE251" s="30" t="str">
        <f>IF(Y251="","","|n"&amp;#REF!&amp;"+"&amp;Y251)</f>
        <v/>
      </c>
      <c r="DF251" s="30" t="str">
        <f>IF(Z251="","","|n"&amp;#REF!&amp;"+"&amp;Z251)</f>
        <v/>
      </c>
      <c r="DG251" s="30" t="str">
        <f>IF(AA251="","","|n"&amp;#REF!&amp;"+"&amp;AA251)</f>
        <v/>
      </c>
      <c r="DH251" s="30" t="str">
        <f>IF(AB251="","","|n"&amp;#REF!&amp;"+"&amp;AB251)</f>
        <v/>
      </c>
      <c r="DI251" s="30" t="str">
        <f>IF(AC251="","","|n"&amp;#REF!&amp;"+"&amp;AC251&amp;"%")</f>
        <v/>
      </c>
      <c r="DJ251" s="30" t="str">
        <f>IF(AD251="","","|n"&amp;#REF!&amp;"+"&amp;AD251)</f>
        <v/>
      </c>
      <c r="DK251" s="30" t="str">
        <f>IF(AE251="","","|n"&amp;#REF!&amp;"+"&amp;AE251)</f>
        <v/>
      </c>
      <c r="DL251" s="30" t="str">
        <f>IF(AF251="","","|n"&amp;#REF!&amp;"+"&amp;AF251)</f>
        <v/>
      </c>
      <c r="DM251" s="30" t="str">
        <f>IF(AG251="","","|n"&amp;#REF!&amp;"+"&amp;AG251&amp;"%")</f>
        <v/>
      </c>
      <c r="DN251" s="30" t="str">
        <f>IF(AH251="","","|n"&amp;#REF!&amp;"+"&amp;AH251)</f>
        <v/>
      </c>
      <c r="DO251" s="30" t="str">
        <f>IF(AI251="","","|n"&amp;#REF!&amp;"+"&amp;AI251)</f>
        <v/>
      </c>
      <c r="DP251" s="30" t="str">
        <f>IF(AJ251="","","|n"&amp;#REF!&amp;"+"&amp;AJ251)</f>
        <v/>
      </c>
    </row>
  </sheetData>
  <mergeCells count="3">
    <mergeCell ref="F1:O1"/>
    <mergeCell ref="P1:S1"/>
    <mergeCell ref="T1:U1"/>
  </mergeCells>
  <phoneticPr fontId="15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topLeftCell="A55" zoomScale="85" zoomScaleNormal="85" workbookViewId="0">
      <selection activeCell="A76" sqref="A76:XFD87"/>
    </sheetView>
  </sheetViews>
  <sheetFormatPr defaultColWidth="9" defaultRowHeight="14.25"/>
  <cols>
    <col min="1" max="1" width="28.375" style="18" customWidth="1"/>
    <col min="2" max="2" width="9" style="18"/>
    <col min="3" max="14" width="9" style="18" hidden="1" customWidth="1"/>
    <col min="15" max="15" width="41" style="18" customWidth="1"/>
    <col min="16" max="16" width="102.875" style="18" customWidth="1"/>
    <col min="17" max="17" width="36.25" style="18" customWidth="1"/>
    <col min="18" max="18" width="13.25" style="18" customWidth="1"/>
    <col min="19" max="27" width="9" style="18" customWidth="1"/>
    <col min="28" max="28" width="39.5" style="18" customWidth="1"/>
    <col min="29" max="16384" width="9" style="18"/>
  </cols>
  <sheetData>
    <row r="1" spans="1:28">
      <c r="A1" s="19" t="s">
        <v>291</v>
      </c>
      <c r="B1" s="20" t="s">
        <v>83</v>
      </c>
      <c r="C1" s="21" t="s">
        <v>87</v>
      </c>
      <c r="D1" s="21" t="s">
        <v>88</v>
      </c>
      <c r="E1" s="21" t="s">
        <v>89</v>
      </c>
      <c r="F1" s="21" t="s">
        <v>90</v>
      </c>
      <c r="G1" s="21" t="s">
        <v>91</v>
      </c>
      <c r="H1" s="21" t="s">
        <v>92</v>
      </c>
      <c r="I1" s="21" t="s">
        <v>87</v>
      </c>
      <c r="J1" s="21" t="s">
        <v>88</v>
      </c>
      <c r="K1" s="21" t="s">
        <v>89</v>
      </c>
      <c r="L1" s="21" t="s">
        <v>90</v>
      </c>
      <c r="M1" s="21" t="s">
        <v>91</v>
      </c>
      <c r="N1" s="21" t="s">
        <v>92</v>
      </c>
      <c r="O1" s="22" t="s">
        <v>292</v>
      </c>
      <c r="P1" s="22"/>
    </row>
    <row r="2" spans="1:28">
      <c r="A2" s="19">
        <f>装备!A3</f>
        <v>0</v>
      </c>
      <c r="B2" s="19" t="str">
        <f>"'"&amp;装备!B3&amp;"'"</f>
        <v>'E001'</v>
      </c>
      <c r="C2" s="19">
        <f>装备!J3</f>
        <v>0</v>
      </c>
      <c r="D2" s="19">
        <f>装备!K3</f>
        <v>0</v>
      </c>
      <c r="E2" s="19">
        <f>装备!L3</f>
        <v>0</v>
      </c>
      <c r="F2" s="19">
        <f>装备!M3</f>
        <v>0</v>
      </c>
      <c r="G2" s="19">
        <f>装备!N3</f>
        <v>0</v>
      </c>
      <c r="H2" s="19">
        <f>装备!O3</f>
        <v>0</v>
      </c>
      <c r="I2" s="19">
        <f>IF(装备!J3=0,0,"'"&amp;装备!J3&amp;"'")</f>
        <v>0</v>
      </c>
      <c r="J2" s="19">
        <f>IF(装备!K3=0,0,"'"&amp;装备!K3&amp;"'")</f>
        <v>0</v>
      </c>
      <c r="K2" s="19">
        <f>IF(装备!L3=0,0,"'"&amp;装备!L3&amp;"'")</f>
        <v>0</v>
      </c>
      <c r="L2" s="19">
        <f>IF(装备!M3=0,0,"'"&amp;装备!M3&amp;"'")</f>
        <v>0</v>
      </c>
      <c r="M2" s="19">
        <f>IF(装备!N3=0,0,"'"&amp;装备!N3&amp;"'")</f>
        <v>0</v>
      </c>
      <c r="N2" s="19">
        <f>IF(装备!O3=0,0,"'"&amp;装备!O3&amp;"'")</f>
        <v>0</v>
      </c>
      <c r="O2" s="19" t="str">
        <f t="shared" ref="O2:O10" si="0">IF(I2=0,"","AddItemFormula("&amp;I2&amp;","&amp;J2&amp;","&amp;K2&amp;","&amp;L2&amp;","&amp;M2&amp;","&amp;N2&amp;","&amp;B2&amp;")")</f>
        <v/>
      </c>
      <c r="P2" s="19" t="str">
        <f t="shared" ref="P2:P33" si="1">IFERROR(VLOOKUP(A2,Q:AB,12,FALSE),IFERROR(VLOOKUP(A2,R:AB,11,FALSE),IFERROR(VLOOKUP(A2,S:AB,10,FALSE),"")))</f>
        <v/>
      </c>
      <c r="Q2" s="23" t="str">
        <f>IFERROR(VLOOKUP(C2,装备!$B:$E,3,FALSE),"")</f>
        <v/>
      </c>
      <c r="R2" s="23" t="str">
        <f>IFERROR(VLOOKUP(D2,装备!$B:$E,3,FALSE),"")</f>
        <v/>
      </c>
      <c r="S2" s="23" t="str">
        <f>IFERROR(VLOOKUP(E2,装备!$B:$E,3,FALSE),"")</f>
        <v/>
      </c>
      <c r="T2" s="23" t="str">
        <f>IFERROR(VLOOKUP(F2,装备!$B:$E,3,FALSE),"")</f>
        <v/>
      </c>
      <c r="U2" s="23" t="str">
        <f>IFERROR(VLOOKUP(G2,装备!$B:$E,3,FALSE),"")</f>
        <v/>
      </c>
      <c r="V2" s="23" t="str">
        <f>IFERROR(VLOOKUP(H2,装备!$B:$E,3,FALSE),"")</f>
        <v/>
      </c>
      <c r="W2" s="18" t="str">
        <f t="shared" ref="W2:W10" si="2">IF(R2="","","+"&amp;R2)</f>
        <v/>
      </c>
      <c r="X2" s="18" t="str">
        <f t="shared" ref="X2:X10" si="3">IF(S2="","","+"&amp;S2)</f>
        <v/>
      </c>
      <c r="Y2" s="18" t="str">
        <f t="shared" ref="Y2:Y10" si="4">IF(T2="","","+"&amp;T2)</f>
        <v/>
      </c>
      <c r="Z2" s="18" t="str">
        <f t="shared" ref="Z2:Z10" si="5">IF(U2="","","+"&amp;U2)</f>
        <v/>
      </c>
      <c r="AA2" s="18" t="str">
        <f t="shared" ref="AA2:AA10" si="6">IF(V2="","","+"&amp;V2)</f>
        <v/>
      </c>
      <c r="AB2" s="18" t="str">
        <f t="shared" ref="AB2:AB10" si="7">"|n"&amp;Q2&amp;W2&amp;X2&amp;Y2&amp;Z2&amp;AA2&amp;"="&amp;A2</f>
        <v>|n=0</v>
      </c>
    </row>
    <row r="3" spans="1:28">
      <c r="A3" s="19">
        <f>装备!A4</f>
        <v>0</v>
      </c>
      <c r="B3" s="19" t="str">
        <f>"'"&amp;装备!B4&amp;"'"</f>
        <v>'E002'</v>
      </c>
      <c r="C3" s="19">
        <f>装备!J4</f>
        <v>0</v>
      </c>
      <c r="D3" s="19">
        <f>装备!K4</f>
        <v>0</v>
      </c>
      <c r="E3" s="19">
        <f>装备!L4</f>
        <v>0</v>
      </c>
      <c r="F3" s="19">
        <f>装备!M4</f>
        <v>0</v>
      </c>
      <c r="G3" s="19">
        <f>装备!N4</f>
        <v>0</v>
      </c>
      <c r="H3" s="19">
        <f>装备!O4</f>
        <v>0</v>
      </c>
      <c r="I3" s="19">
        <f>IF(装备!J4=0,0,"'"&amp;装备!J4&amp;"'")</f>
        <v>0</v>
      </c>
      <c r="J3" s="19">
        <f>IF(装备!K4=0,0,"'"&amp;装备!K4&amp;"'")</f>
        <v>0</v>
      </c>
      <c r="K3" s="19">
        <f>IF(装备!L4=0,0,"'"&amp;装备!L4&amp;"'")</f>
        <v>0</v>
      </c>
      <c r="L3" s="19">
        <f>IF(装备!M4=0,0,"'"&amp;装备!M4&amp;"'")</f>
        <v>0</v>
      </c>
      <c r="M3" s="19">
        <f>IF(装备!N4=0,0,"'"&amp;装备!N4&amp;"'")</f>
        <v>0</v>
      </c>
      <c r="N3" s="19">
        <f>IF(装备!O4=0,0,"'"&amp;装备!O4&amp;"'")</f>
        <v>0</v>
      </c>
      <c r="O3" s="19" t="str">
        <f t="shared" si="0"/>
        <v/>
      </c>
      <c r="P3" s="19" t="str">
        <f t="shared" si="1"/>
        <v/>
      </c>
      <c r="Q3" s="23" t="str">
        <f>IFERROR(VLOOKUP(C3,装备!$B:$E,3,FALSE),"")</f>
        <v/>
      </c>
      <c r="R3" s="23" t="str">
        <f>IFERROR(VLOOKUP(D3,装备!$B:$E,3,FALSE),"")</f>
        <v/>
      </c>
      <c r="S3" s="23" t="str">
        <f>IFERROR(VLOOKUP(E3,装备!$B:$E,3,FALSE),"")</f>
        <v/>
      </c>
      <c r="T3" s="23" t="str">
        <f>IFERROR(VLOOKUP(F3,装备!$B:$E,3,FALSE),"")</f>
        <v/>
      </c>
      <c r="U3" s="23" t="str">
        <f>IFERROR(VLOOKUP(G3,装备!$B:$E,3,FALSE),"")</f>
        <v/>
      </c>
      <c r="V3" s="23" t="str">
        <f>IFERROR(VLOOKUP(H3,装备!$B:$E,3,FALSE),"")</f>
        <v/>
      </c>
      <c r="W3" s="18" t="str">
        <f t="shared" si="2"/>
        <v/>
      </c>
      <c r="X3" s="18" t="str">
        <f t="shared" si="3"/>
        <v/>
      </c>
      <c r="Y3" s="18" t="str">
        <f t="shared" si="4"/>
        <v/>
      </c>
      <c r="Z3" s="18" t="str">
        <f t="shared" si="5"/>
        <v/>
      </c>
      <c r="AA3" s="18" t="str">
        <f t="shared" si="6"/>
        <v/>
      </c>
      <c r="AB3" s="18" t="str">
        <f t="shared" si="7"/>
        <v>|n=0</v>
      </c>
    </row>
    <row r="4" spans="1:28">
      <c r="A4" s="19">
        <f>装备!A5</f>
        <v>0</v>
      </c>
      <c r="B4" s="19" t="str">
        <f>"'"&amp;装备!B5&amp;"'"</f>
        <v>'E003'</v>
      </c>
      <c r="C4" s="19">
        <f>装备!J5</f>
        <v>0</v>
      </c>
      <c r="D4" s="19">
        <f>装备!K5</f>
        <v>0</v>
      </c>
      <c r="E4" s="19">
        <f>装备!L5</f>
        <v>0</v>
      </c>
      <c r="F4" s="19">
        <f>装备!M5</f>
        <v>0</v>
      </c>
      <c r="G4" s="19">
        <f>装备!N5</f>
        <v>0</v>
      </c>
      <c r="H4" s="19">
        <f>装备!O5</f>
        <v>0</v>
      </c>
      <c r="I4" s="19">
        <f>IF(装备!J5=0,0,"'"&amp;装备!J5&amp;"'")</f>
        <v>0</v>
      </c>
      <c r="J4" s="19">
        <f>IF(装备!K5=0,0,"'"&amp;装备!K5&amp;"'")</f>
        <v>0</v>
      </c>
      <c r="K4" s="19">
        <f>IF(装备!L5=0,0,"'"&amp;装备!L5&amp;"'")</f>
        <v>0</v>
      </c>
      <c r="L4" s="19">
        <f>IF(装备!M5=0,0,"'"&amp;装备!M5&amp;"'")</f>
        <v>0</v>
      </c>
      <c r="M4" s="19">
        <f>IF(装备!N5=0,0,"'"&amp;装备!N5&amp;"'")</f>
        <v>0</v>
      </c>
      <c r="N4" s="19">
        <f>IF(装备!O5=0,0,"'"&amp;装备!O5&amp;"'")</f>
        <v>0</v>
      </c>
      <c r="O4" s="19" t="str">
        <f t="shared" si="0"/>
        <v/>
      </c>
      <c r="P4" s="19" t="str">
        <f t="shared" si="1"/>
        <v/>
      </c>
      <c r="Q4" s="23" t="str">
        <f>IFERROR(VLOOKUP(C4,装备!$B:$E,3,FALSE),"")</f>
        <v/>
      </c>
      <c r="R4" s="23" t="str">
        <f>IFERROR(VLOOKUP(D4,装备!$B:$E,3,FALSE),"")</f>
        <v/>
      </c>
      <c r="S4" s="23" t="str">
        <f>IFERROR(VLOOKUP(E4,装备!$B:$E,3,FALSE),"")</f>
        <v/>
      </c>
      <c r="T4" s="23" t="str">
        <f>IFERROR(VLOOKUP(F4,装备!$B:$E,3,FALSE),"")</f>
        <v/>
      </c>
      <c r="U4" s="23" t="str">
        <f>IFERROR(VLOOKUP(G4,装备!$B:$E,3,FALSE),"")</f>
        <v/>
      </c>
      <c r="V4" s="23" t="str">
        <f>IFERROR(VLOOKUP(H4,装备!$B:$E,3,FALSE),"")</f>
        <v/>
      </c>
      <c r="W4" s="18" t="str">
        <f t="shared" si="2"/>
        <v/>
      </c>
      <c r="X4" s="18" t="str">
        <f t="shared" si="3"/>
        <v/>
      </c>
      <c r="Y4" s="18" t="str">
        <f t="shared" si="4"/>
        <v/>
      </c>
      <c r="Z4" s="18" t="str">
        <f t="shared" si="5"/>
        <v/>
      </c>
      <c r="AA4" s="18" t="str">
        <f t="shared" si="6"/>
        <v/>
      </c>
      <c r="AB4" s="18" t="str">
        <f t="shared" si="7"/>
        <v>|n=0</v>
      </c>
    </row>
    <row r="5" spans="1:28">
      <c r="A5" s="19">
        <f>装备!A6</f>
        <v>0</v>
      </c>
      <c r="B5" s="19" t="str">
        <f>"'"&amp;装备!B6&amp;"'"</f>
        <v>'E004'</v>
      </c>
      <c r="C5" s="19">
        <f>装备!J6</f>
        <v>0</v>
      </c>
      <c r="D5" s="19">
        <f>装备!K6</f>
        <v>0</v>
      </c>
      <c r="E5" s="19">
        <f>装备!L6</f>
        <v>0</v>
      </c>
      <c r="F5" s="19">
        <f>装备!M6</f>
        <v>0</v>
      </c>
      <c r="G5" s="19">
        <f>装备!N6</f>
        <v>0</v>
      </c>
      <c r="H5" s="19">
        <f>装备!O6</f>
        <v>0</v>
      </c>
      <c r="I5" s="19">
        <f>IF(装备!J6=0,0,"'"&amp;装备!J6&amp;"'")</f>
        <v>0</v>
      </c>
      <c r="J5" s="19">
        <f>IF(装备!K6=0,0,"'"&amp;装备!K6&amp;"'")</f>
        <v>0</v>
      </c>
      <c r="K5" s="19">
        <f>IF(装备!L6=0,0,"'"&amp;装备!L6&amp;"'")</f>
        <v>0</v>
      </c>
      <c r="L5" s="19">
        <f>IF(装备!M6=0,0,"'"&amp;装备!M6&amp;"'")</f>
        <v>0</v>
      </c>
      <c r="M5" s="19">
        <f>IF(装备!N6=0,0,"'"&amp;装备!N6&amp;"'")</f>
        <v>0</v>
      </c>
      <c r="N5" s="19">
        <f>IF(装备!O6=0,0,"'"&amp;装备!O6&amp;"'")</f>
        <v>0</v>
      </c>
      <c r="O5" s="19" t="str">
        <f t="shared" si="0"/>
        <v/>
      </c>
      <c r="P5" s="19" t="str">
        <f t="shared" si="1"/>
        <v/>
      </c>
      <c r="Q5" s="23" t="str">
        <f>IFERROR(VLOOKUP(C5,装备!$B:$E,3,FALSE),"")</f>
        <v/>
      </c>
      <c r="R5" s="23" t="str">
        <f>IFERROR(VLOOKUP(D5,装备!$B:$E,3,FALSE),"")</f>
        <v/>
      </c>
      <c r="S5" s="23" t="str">
        <f>IFERROR(VLOOKUP(E5,装备!$B:$E,3,FALSE),"")</f>
        <v/>
      </c>
      <c r="T5" s="23" t="str">
        <f>IFERROR(VLOOKUP(F5,装备!$B:$E,3,FALSE),"")</f>
        <v/>
      </c>
      <c r="U5" s="23" t="str">
        <f>IFERROR(VLOOKUP(G5,装备!$B:$E,3,FALSE),"")</f>
        <v/>
      </c>
      <c r="V5" s="23" t="str">
        <f>IFERROR(VLOOKUP(H5,装备!$B:$E,3,FALSE),"")</f>
        <v/>
      </c>
      <c r="W5" s="18" t="str">
        <f t="shared" si="2"/>
        <v/>
      </c>
      <c r="X5" s="18" t="str">
        <f t="shared" si="3"/>
        <v/>
      </c>
      <c r="Y5" s="18" t="str">
        <f t="shared" si="4"/>
        <v/>
      </c>
      <c r="Z5" s="18" t="str">
        <f t="shared" si="5"/>
        <v/>
      </c>
      <c r="AA5" s="18" t="str">
        <f t="shared" si="6"/>
        <v/>
      </c>
      <c r="AB5" s="18" t="str">
        <f t="shared" si="7"/>
        <v>|n=0</v>
      </c>
    </row>
    <row r="6" spans="1:28">
      <c r="A6" s="19">
        <f>装备!A7</f>
        <v>0</v>
      </c>
      <c r="B6" s="19" t="str">
        <f>"'"&amp;装备!B7&amp;"'"</f>
        <v>'E005'</v>
      </c>
      <c r="C6" s="19">
        <f>装备!J7</f>
        <v>0</v>
      </c>
      <c r="D6" s="19">
        <f>装备!K7</f>
        <v>0</v>
      </c>
      <c r="E6" s="19">
        <f>装备!L7</f>
        <v>0</v>
      </c>
      <c r="F6" s="19">
        <f>装备!M7</f>
        <v>0</v>
      </c>
      <c r="G6" s="19">
        <f>装备!N7</f>
        <v>0</v>
      </c>
      <c r="H6" s="19">
        <f>装备!O7</f>
        <v>0</v>
      </c>
      <c r="I6" s="19">
        <f>IF(装备!J7=0,0,"'"&amp;装备!J7&amp;"'")</f>
        <v>0</v>
      </c>
      <c r="J6" s="19">
        <f>IF(装备!K7=0,0,"'"&amp;装备!K7&amp;"'")</f>
        <v>0</v>
      </c>
      <c r="K6" s="19">
        <f>IF(装备!L7=0,0,"'"&amp;装备!L7&amp;"'")</f>
        <v>0</v>
      </c>
      <c r="L6" s="19">
        <f>IF(装备!M7=0,0,"'"&amp;装备!M7&amp;"'")</f>
        <v>0</v>
      </c>
      <c r="M6" s="19">
        <f>IF(装备!N7=0,0,"'"&amp;装备!N7&amp;"'")</f>
        <v>0</v>
      </c>
      <c r="N6" s="19">
        <f>IF(装备!O7=0,0,"'"&amp;装备!O7&amp;"'")</f>
        <v>0</v>
      </c>
      <c r="O6" s="19" t="str">
        <f t="shared" si="0"/>
        <v/>
      </c>
      <c r="P6" s="19" t="str">
        <f t="shared" si="1"/>
        <v/>
      </c>
      <c r="Q6" s="23" t="str">
        <f>IFERROR(VLOOKUP(C6,装备!$B:$E,3,FALSE),"")</f>
        <v/>
      </c>
      <c r="R6" s="23" t="str">
        <f>IFERROR(VLOOKUP(D6,装备!$B:$E,3,FALSE),"")</f>
        <v/>
      </c>
      <c r="S6" s="23" t="str">
        <f>IFERROR(VLOOKUP(E6,装备!$B:$E,3,FALSE),"")</f>
        <v/>
      </c>
      <c r="T6" s="23" t="str">
        <f>IFERROR(VLOOKUP(F6,装备!$B:$E,3,FALSE),"")</f>
        <v/>
      </c>
      <c r="U6" s="23" t="str">
        <f>IFERROR(VLOOKUP(G6,装备!$B:$E,3,FALSE),"")</f>
        <v/>
      </c>
      <c r="V6" s="23" t="str">
        <f>IFERROR(VLOOKUP(H6,装备!$B:$E,3,FALSE),"")</f>
        <v/>
      </c>
      <c r="W6" s="18" t="str">
        <f t="shared" si="2"/>
        <v/>
      </c>
      <c r="X6" s="18" t="str">
        <f t="shared" si="3"/>
        <v/>
      </c>
      <c r="Y6" s="18" t="str">
        <f t="shared" si="4"/>
        <v/>
      </c>
      <c r="Z6" s="18" t="str">
        <f t="shared" si="5"/>
        <v/>
      </c>
      <c r="AA6" s="18" t="str">
        <f t="shared" si="6"/>
        <v/>
      </c>
      <c r="AB6" s="18" t="str">
        <f t="shared" si="7"/>
        <v>|n=0</v>
      </c>
    </row>
    <row r="7" spans="1:28">
      <c r="A7" s="19">
        <f>装备!A8</f>
        <v>0</v>
      </c>
      <c r="B7" s="19" t="str">
        <f>"'"&amp;装备!B8&amp;"'"</f>
        <v>'E006'</v>
      </c>
      <c r="C7" s="19">
        <f>装备!J8</f>
        <v>0</v>
      </c>
      <c r="D7" s="19">
        <f>装备!K8</f>
        <v>0</v>
      </c>
      <c r="E7" s="19">
        <f>装备!L8</f>
        <v>0</v>
      </c>
      <c r="F7" s="19">
        <f>装备!M8</f>
        <v>0</v>
      </c>
      <c r="G7" s="19">
        <f>装备!N8</f>
        <v>0</v>
      </c>
      <c r="H7" s="19">
        <f>装备!O8</f>
        <v>0</v>
      </c>
      <c r="I7" s="19">
        <f>IF(装备!J8=0,0,"'"&amp;装备!J8&amp;"'")</f>
        <v>0</v>
      </c>
      <c r="J7" s="19">
        <f>IF(装备!K8=0,0,"'"&amp;装备!K8&amp;"'")</f>
        <v>0</v>
      </c>
      <c r="K7" s="19">
        <f>IF(装备!L8=0,0,"'"&amp;装备!L8&amp;"'")</f>
        <v>0</v>
      </c>
      <c r="L7" s="19">
        <f>IF(装备!M8=0,0,"'"&amp;装备!M8&amp;"'")</f>
        <v>0</v>
      </c>
      <c r="M7" s="19">
        <f>IF(装备!N8=0,0,"'"&amp;装备!N8&amp;"'")</f>
        <v>0</v>
      </c>
      <c r="N7" s="19">
        <f>IF(装备!O8=0,0,"'"&amp;装备!O8&amp;"'")</f>
        <v>0</v>
      </c>
      <c r="O7" s="19" t="str">
        <f t="shared" si="0"/>
        <v/>
      </c>
      <c r="P7" s="19" t="str">
        <f t="shared" si="1"/>
        <v/>
      </c>
      <c r="Q7" s="23" t="str">
        <f>IFERROR(VLOOKUP(C7,装备!$B:$E,3,FALSE),"")</f>
        <v/>
      </c>
      <c r="R7" s="23" t="str">
        <f>IFERROR(VLOOKUP(D7,装备!$B:$E,3,FALSE),"")</f>
        <v/>
      </c>
      <c r="S7" s="23" t="str">
        <f>IFERROR(VLOOKUP(E7,装备!$B:$E,3,FALSE),"")</f>
        <v/>
      </c>
      <c r="T7" s="23" t="str">
        <f>IFERROR(VLOOKUP(F7,装备!$B:$E,3,FALSE),"")</f>
        <v/>
      </c>
      <c r="U7" s="23" t="str">
        <f>IFERROR(VLOOKUP(G7,装备!$B:$E,3,FALSE),"")</f>
        <v/>
      </c>
      <c r="V7" s="23" t="str">
        <f>IFERROR(VLOOKUP(H7,装备!$B:$E,3,FALSE),"")</f>
        <v/>
      </c>
      <c r="W7" s="18" t="str">
        <f t="shared" si="2"/>
        <v/>
      </c>
      <c r="X7" s="18" t="str">
        <f t="shared" si="3"/>
        <v/>
      </c>
      <c r="Y7" s="18" t="str">
        <f t="shared" si="4"/>
        <v/>
      </c>
      <c r="Z7" s="18" t="str">
        <f t="shared" si="5"/>
        <v/>
      </c>
      <c r="AA7" s="18" t="str">
        <f t="shared" si="6"/>
        <v/>
      </c>
      <c r="AB7" s="18" t="str">
        <f t="shared" si="7"/>
        <v>|n=0</v>
      </c>
    </row>
    <row r="8" spans="1:28">
      <c r="A8" s="19">
        <f>装备!A9</f>
        <v>0</v>
      </c>
      <c r="B8" s="19" t="str">
        <f>"'"&amp;装备!B9&amp;"'"</f>
        <v>'E007'</v>
      </c>
      <c r="C8" s="19">
        <f>装备!J9</f>
        <v>0</v>
      </c>
      <c r="D8" s="19">
        <f>装备!K9</f>
        <v>0</v>
      </c>
      <c r="E8" s="19">
        <f>装备!L9</f>
        <v>0</v>
      </c>
      <c r="F8" s="19">
        <f>装备!M9</f>
        <v>0</v>
      </c>
      <c r="G8" s="19">
        <f>装备!N9</f>
        <v>0</v>
      </c>
      <c r="H8" s="19">
        <f>装备!O9</f>
        <v>0</v>
      </c>
      <c r="I8" s="19">
        <f>IF(装备!J9=0,0,"'"&amp;装备!J9&amp;"'")</f>
        <v>0</v>
      </c>
      <c r="J8" s="19">
        <f>IF(装备!K9=0,0,"'"&amp;装备!K9&amp;"'")</f>
        <v>0</v>
      </c>
      <c r="K8" s="19">
        <f>IF(装备!L9=0,0,"'"&amp;装备!L9&amp;"'")</f>
        <v>0</v>
      </c>
      <c r="L8" s="19">
        <f>IF(装备!M9=0,0,"'"&amp;装备!M9&amp;"'")</f>
        <v>0</v>
      </c>
      <c r="M8" s="19">
        <f>IF(装备!N9=0,0,"'"&amp;装备!N9&amp;"'")</f>
        <v>0</v>
      </c>
      <c r="N8" s="19">
        <f>IF(装备!O9=0,0,"'"&amp;装备!O9&amp;"'")</f>
        <v>0</v>
      </c>
      <c r="O8" s="19" t="str">
        <f t="shared" si="0"/>
        <v/>
      </c>
      <c r="P8" s="19" t="str">
        <f t="shared" si="1"/>
        <v/>
      </c>
      <c r="Q8" s="23" t="str">
        <f>IFERROR(VLOOKUP(C8,装备!$B:$E,3,FALSE),"")</f>
        <v/>
      </c>
      <c r="R8" s="23" t="str">
        <f>IFERROR(VLOOKUP(D8,装备!$B:$E,3,FALSE),"")</f>
        <v/>
      </c>
      <c r="S8" s="23" t="str">
        <f>IFERROR(VLOOKUP(E8,装备!$B:$E,3,FALSE),"")</f>
        <v/>
      </c>
      <c r="T8" s="23" t="str">
        <f>IFERROR(VLOOKUP(F8,装备!$B:$E,3,FALSE),"")</f>
        <v/>
      </c>
      <c r="U8" s="23" t="str">
        <f>IFERROR(VLOOKUP(G8,装备!$B:$E,3,FALSE),"")</f>
        <v/>
      </c>
      <c r="V8" s="23" t="str">
        <f>IFERROR(VLOOKUP(H8,装备!$B:$E,3,FALSE),"")</f>
        <v/>
      </c>
      <c r="W8" s="18" t="str">
        <f t="shared" si="2"/>
        <v/>
      </c>
      <c r="X8" s="18" t="str">
        <f t="shared" si="3"/>
        <v/>
      </c>
      <c r="Y8" s="18" t="str">
        <f t="shared" si="4"/>
        <v/>
      </c>
      <c r="Z8" s="18" t="str">
        <f t="shared" si="5"/>
        <v/>
      </c>
      <c r="AA8" s="18" t="str">
        <f t="shared" si="6"/>
        <v/>
      </c>
      <c r="AB8" s="18" t="str">
        <f t="shared" si="7"/>
        <v>|n=0</v>
      </c>
    </row>
    <row r="9" spans="1:28">
      <c r="A9" s="19">
        <f>装备!A10</f>
        <v>0</v>
      </c>
      <c r="B9" s="19" t="str">
        <f>"'"&amp;装备!B10&amp;"'"</f>
        <v>'E008'</v>
      </c>
      <c r="C9" s="19">
        <f>装备!J10</f>
        <v>0</v>
      </c>
      <c r="D9" s="19">
        <f>装备!K10</f>
        <v>0</v>
      </c>
      <c r="E9" s="19">
        <f>装备!L10</f>
        <v>0</v>
      </c>
      <c r="F9" s="19">
        <f>装备!M10</f>
        <v>0</v>
      </c>
      <c r="G9" s="19">
        <f>装备!N10</f>
        <v>0</v>
      </c>
      <c r="H9" s="19">
        <f>装备!O10</f>
        <v>0</v>
      </c>
      <c r="I9" s="19">
        <f>IF(装备!J10=0,0,"'"&amp;装备!J10&amp;"'")</f>
        <v>0</v>
      </c>
      <c r="J9" s="19">
        <f>IF(装备!K10=0,0,"'"&amp;装备!K10&amp;"'")</f>
        <v>0</v>
      </c>
      <c r="K9" s="19">
        <f>IF(装备!L10=0,0,"'"&amp;装备!L10&amp;"'")</f>
        <v>0</v>
      </c>
      <c r="L9" s="19">
        <f>IF(装备!M10=0,0,"'"&amp;装备!M10&amp;"'")</f>
        <v>0</v>
      </c>
      <c r="M9" s="19">
        <f>IF(装备!N10=0,0,"'"&amp;装备!N10&amp;"'")</f>
        <v>0</v>
      </c>
      <c r="N9" s="19">
        <f>IF(装备!O10=0,0,"'"&amp;装备!O10&amp;"'")</f>
        <v>0</v>
      </c>
      <c r="O9" s="19" t="str">
        <f t="shared" si="0"/>
        <v/>
      </c>
      <c r="P9" s="19" t="str">
        <f t="shared" si="1"/>
        <v/>
      </c>
      <c r="Q9" s="23" t="str">
        <f>IFERROR(VLOOKUP(C9,装备!$B:$E,3,FALSE),"")</f>
        <v/>
      </c>
      <c r="R9" s="23" t="str">
        <f>IFERROR(VLOOKUP(D9,装备!$B:$E,3,FALSE),"")</f>
        <v/>
      </c>
      <c r="S9" s="23" t="str">
        <f>IFERROR(VLOOKUP(E9,装备!$B:$E,3,FALSE),"")</f>
        <v/>
      </c>
      <c r="T9" s="23" t="str">
        <f>IFERROR(VLOOKUP(F9,装备!$B:$E,3,FALSE),"")</f>
        <v/>
      </c>
      <c r="U9" s="23" t="str">
        <f>IFERROR(VLOOKUP(G9,装备!$B:$E,3,FALSE),"")</f>
        <v/>
      </c>
      <c r="V9" s="23" t="str">
        <f>IFERROR(VLOOKUP(H9,装备!$B:$E,3,FALSE),"")</f>
        <v/>
      </c>
      <c r="W9" s="18" t="str">
        <f t="shared" si="2"/>
        <v/>
      </c>
      <c r="X9" s="18" t="str">
        <f t="shared" si="3"/>
        <v/>
      </c>
      <c r="Y9" s="18" t="str">
        <f t="shared" si="4"/>
        <v/>
      </c>
      <c r="Z9" s="18" t="str">
        <f t="shared" si="5"/>
        <v/>
      </c>
      <c r="AA9" s="18" t="str">
        <f t="shared" si="6"/>
        <v/>
      </c>
      <c r="AB9" s="18" t="str">
        <f t="shared" si="7"/>
        <v>|n=0</v>
      </c>
    </row>
    <row r="10" spans="1:28">
      <c r="A10" s="19">
        <f>装备!A11</f>
        <v>0</v>
      </c>
      <c r="B10" s="19" t="str">
        <f>"'"&amp;装备!B11&amp;"'"</f>
        <v>'E009'</v>
      </c>
      <c r="C10" s="19">
        <f>装备!J11</f>
        <v>0</v>
      </c>
      <c r="D10" s="19">
        <f>装备!K11</f>
        <v>0</v>
      </c>
      <c r="E10" s="19">
        <f>装备!L11</f>
        <v>0</v>
      </c>
      <c r="F10" s="19">
        <f>装备!M11</f>
        <v>0</v>
      </c>
      <c r="G10" s="19">
        <f>装备!N11</f>
        <v>0</v>
      </c>
      <c r="H10" s="19">
        <f>装备!O11</f>
        <v>0</v>
      </c>
      <c r="I10" s="19">
        <f>IF(装备!J11=0,0,"'"&amp;装备!J11&amp;"'")</f>
        <v>0</v>
      </c>
      <c r="J10" s="19">
        <f>IF(装备!K11=0,0,"'"&amp;装备!K11&amp;"'")</f>
        <v>0</v>
      </c>
      <c r="K10" s="19">
        <f>IF(装备!L11=0,0,"'"&amp;装备!L11&amp;"'")</f>
        <v>0</v>
      </c>
      <c r="L10" s="19">
        <f>IF(装备!M11=0,0,"'"&amp;装备!M11&amp;"'")</f>
        <v>0</v>
      </c>
      <c r="M10" s="19">
        <f>IF(装备!N11=0,0,"'"&amp;装备!N11&amp;"'")</f>
        <v>0</v>
      </c>
      <c r="N10" s="19">
        <f>IF(装备!O11=0,0,"'"&amp;装备!O11&amp;"'")</f>
        <v>0</v>
      </c>
      <c r="O10" s="19" t="str">
        <f t="shared" si="0"/>
        <v/>
      </c>
      <c r="P10" s="19" t="str">
        <f t="shared" si="1"/>
        <v/>
      </c>
      <c r="Q10" s="23" t="str">
        <f>IFERROR(VLOOKUP(C10,装备!$B:$E,3,FALSE),"")</f>
        <v/>
      </c>
      <c r="R10" s="23" t="str">
        <f>IFERROR(VLOOKUP(D10,装备!$B:$E,3,FALSE),"")</f>
        <v/>
      </c>
      <c r="S10" s="23" t="str">
        <f>IFERROR(VLOOKUP(E10,装备!$B:$E,3,FALSE),"")</f>
        <v/>
      </c>
      <c r="T10" s="23" t="str">
        <f>IFERROR(VLOOKUP(F10,装备!$B:$E,3,FALSE),"")</f>
        <v/>
      </c>
      <c r="U10" s="23" t="str">
        <f>IFERROR(VLOOKUP(G10,装备!$B:$E,3,FALSE),"")</f>
        <v/>
      </c>
      <c r="V10" s="23" t="str">
        <f>IFERROR(VLOOKUP(H10,装备!$B:$E,3,FALSE),"")</f>
        <v/>
      </c>
      <c r="W10" s="18" t="str">
        <f t="shared" si="2"/>
        <v/>
      </c>
      <c r="X10" s="18" t="str">
        <f t="shared" si="3"/>
        <v/>
      </c>
      <c r="Y10" s="18" t="str">
        <f t="shared" si="4"/>
        <v/>
      </c>
      <c r="Z10" s="18" t="str">
        <f t="shared" si="5"/>
        <v/>
      </c>
      <c r="AA10" s="18" t="str">
        <f t="shared" si="6"/>
        <v/>
      </c>
      <c r="AB10" s="18" t="str">
        <f t="shared" si="7"/>
        <v>|n=0</v>
      </c>
    </row>
    <row r="11" spans="1:28">
      <c r="A11" s="19">
        <f>装备!A12</f>
        <v>0</v>
      </c>
      <c r="B11" s="19" t="str">
        <f>"'"&amp;装备!B12&amp;"'"</f>
        <v>'E010'</v>
      </c>
      <c r="C11" s="19">
        <f>装备!J12</f>
        <v>0</v>
      </c>
      <c r="D11" s="19">
        <f>装备!K12</f>
        <v>0</v>
      </c>
      <c r="E11" s="19">
        <f>装备!L12</f>
        <v>0</v>
      </c>
      <c r="F11" s="19">
        <f>装备!M12</f>
        <v>0</v>
      </c>
      <c r="G11" s="19">
        <f>装备!N12</f>
        <v>0</v>
      </c>
      <c r="H11" s="19">
        <f>装备!O12</f>
        <v>0</v>
      </c>
      <c r="I11" s="19">
        <f>IF(装备!J12=0,0,"'"&amp;装备!J12&amp;"'")</f>
        <v>0</v>
      </c>
      <c r="J11" s="19">
        <f>IF(装备!K12=0,0,"'"&amp;装备!K12&amp;"'")</f>
        <v>0</v>
      </c>
      <c r="K11" s="19">
        <f>IF(装备!L12=0,0,"'"&amp;装备!L12&amp;"'")</f>
        <v>0</v>
      </c>
      <c r="L11" s="19">
        <f>IF(装备!M12=0,0,"'"&amp;装备!M12&amp;"'")</f>
        <v>0</v>
      </c>
      <c r="M11" s="19">
        <f>IF(装备!N12=0,0,"'"&amp;装备!N12&amp;"'")</f>
        <v>0</v>
      </c>
      <c r="N11" s="19">
        <f>IF(装备!O12=0,0,"'"&amp;装备!O12&amp;"'")</f>
        <v>0</v>
      </c>
      <c r="O11" s="19" t="str">
        <f t="shared" ref="O11:O45" si="8">IF(I11=0,"","AddItemFormula("&amp;I11&amp;","&amp;J11&amp;","&amp;K11&amp;","&amp;L11&amp;","&amp;M11&amp;","&amp;N11&amp;","&amp;B11&amp;")")</f>
        <v/>
      </c>
      <c r="P11" s="19" t="str">
        <f t="shared" si="1"/>
        <v/>
      </c>
      <c r="Q11" s="23" t="str">
        <f>IFERROR(VLOOKUP(C11,装备!$B:$E,3,FALSE),"")</f>
        <v/>
      </c>
      <c r="R11" s="23" t="str">
        <f>IFERROR(VLOOKUP(D11,装备!$B:$E,3,FALSE),"")</f>
        <v/>
      </c>
      <c r="S11" s="23" t="str">
        <f>IFERROR(VLOOKUP(E11,装备!$B:$E,3,FALSE),"")</f>
        <v/>
      </c>
      <c r="T11" s="23" t="str">
        <f>IFERROR(VLOOKUP(F11,装备!$B:$E,3,FALSE),"")</f>
        <v/>
      </c>
      <c r="U11" s="23" t="str">
        <f>IFERROR(VLOOKUP(G11,装备!$B:$E,3,FALSE),"")</f>
        <v/>
      </c>
      <c r="V11" s="23" t="str">
        <f>IFERROR(VLOOKUP(H11,装备!$B:$E,3,FALSE),"")</f>
        <v/>
      </c>
      <c r="W11" s="18" t="str">
        <f t="shared" ref="W11:W45" si="9">IF(R11="","","+"&amp;R11)</f>
        <v/>
      </c>
      <c r="X11" s="18" t="str">
        <f t="shared" ref="X11:X45" si="10">IF(S11="","","+"&amp;S11)</f>
        <v/>
      </c>
      <c r="Y11" s="18" t="str">
        <f t="shared" ref="Y11:Y45" si="11">IF(T11="","","+"&amp;T11)</f>
        <v/>
      </c>
      <c r="Z11" s="18" t="str">
        <f t="shared" ref="Z11:Z45" si="12">IF(U11="","","+"&amp;U11)</f>
        <v/>
      </c>
      <c r="AA11" s="18" t="str">
        <f t="shared" ref="AA11:AA45" si="13">IF(V11="","","+"&amp;V11)</f>
        <v/>
      </c>
      <c r="AB11" s="18" t="str">
        <f t="shared" ref="AB11:AB45" si="14">"|n"&amp;Q11&amp;W11&amp;X11&amp;Y11&amp;Z11&amp;AA11&amp;"="&amp;A11</f>
        <v>|n=0</v>
      </c>
    </row>
    <row r="12" spans="1:28">
      <c r="A12" s="19">
        <f>装备!A13</f>
        <v>0</v>
      </c>
      <c r="B12" s="19" t="str">
        <f>"'"&amp;装备!B13&amp;"'"</f>
        <v>'E011'</v>
      </c>
      <c r="C12" s="19">
        <f>装备!J13</f>
        <v>0</v>
      </c>
      <c r="D12" s="19">
        <f>装备!K13</f>
        <v>0</v>
      </c>
      <c r="E12" s="19">
        <f>装备!L13</f>
        <v>0</v>
      </c>
      <c r="F12" s="19">
        <f>装备!M13</f>
        <v>0</v>
      </c>
      <c r="G12" s="19">
        <f>装备!N13</f>
        <v>0</v>
      </c>
      <c r="H12" s="19">
        <f>装备!O13</f>
        <v>0</v>
      </c>
      <c r="I12" s="19">
        <f>IF(装备!J13=0,0,"'"&amp;装备!J13&amp;"'")</f>
        <v>0</v>
      </c>
      <c r="J12" s="19">
        <f>IF(装备!K13=0,0,"'"&amp;装备!K13&amp;"'")</f>
        <v>0</v>
      </c>
      <c r="K12" s="19">
        <f>IF(装备!L13=0,0,"'"&amp;装备!L13&amp;"'")</f>
        <v>0</v>
      </c>
      <c r="L12" s="19">
        <f>IF(装备!M13=0,0,"'"&amp;装备!M13&amp;"'")</f>
        <v>0</v>
      </c>
      <c r="M12" s="19">
        <f>IF(装备!N13=0,0,"'"&amp;装备!N13&amp;"'")</f>
        <v>0</v>
      </c>
      <c r="N12" s="19">
        <f>IF(装备!O13=0,0,"'"&amp;装备!O13&amp;"'")</f>
        <v>0</v>
      </c>
      <c r="O12" s="19" t="str">
        <f t="shared" si="8"/>
        <v/>
      </c>
      <c r="P12" s="19" t="str">
        <f t="shared" si="1"/>
        <v/>
      </c>
      <c r="Q12" s="23" t="str">
        <f>IFERROR(VLOOKUP(C12,装备!$B:$E,3,FALSE),"")</f>
        <v/>
      </c>
      <c r="R12" s="23" t="str">
        <f>IFERROR(VLOOKUP(D12,装备!$B:$E,3,FALSE),"")</f>
        <v/>
      </c>
      <c r="S12" s="23" t="str">
        <f>IFERROR(VLOOKUP(E12,装备!$B:$E,3,FALSE),"")</f>
        <v/>
      </c>
      <c r="T12" s="23" t="str">
        <f>IFERROR(VLOOKUP(F12,装备!$B:$E,3,FALSE),"")</f>
        <v/>
      </c>
      <c r="U12" s="23" t="str">
        <f>IFERROR(VLOOKUP(G12,装备!$B:$E,3,FALSE),"")</f>
        <v/>
      </c>
      <c r="V12" s="23" t="str">
        <f>IFERROR(VLOOKUP(H12,装备!$B:$E,3,FALSE),"")</f>
        <v/>
      </c>
      <c r="W12" s="18" t="str">
        <f t="shared" si="9"/>
        <v/>
      </c>
      <c r="X12" s="18" t="str">
        <f t="shared" si="10"/>
        <v/>
      </c>
      <c r="Y12" s="18" t="str">
        <f t="shared" si="11"/>
        <v/>
      </c>
      <c r="Z12" s="18" t="str">
        <f t="shared" si="12"/>
        <v/>
      </c>
      <c r="AA12" s="18" t="str">
        <f t="shared" si="13"/>
        <v/>
      </c>
      <c r="AB12" s="18" t="str">
        <f t="shared" si="14"/>
        <v>|n=0</v>
      </c>
    </row>
    <row r="13" spans="1:28">
      <c r="A13" s="19">
        <f>装备!A14</f>
        <v>0</v>
      </c>
      <c r="B13" s="19" t="str">
        <f>"'"&amp;装备!B14&amp;"'"</f>
        <v>'E012'</v>
      </c>
      <c r="C13" s="19">
        <f>装备!J14</f>
        <v>0</v>
      </c>
      <c r="D13" s="19">
        <f>装备!K14</f>
        <v>0</v>
      </c>
      <c r="E13" s="19">
        <f>装备!L14</f>
        <v>0</v>
      </c>
      <c r="F13" s="19">
        <f>装备!M14</f>
        <v>0</v>
      </c>
      <c r="G13" s="19">
        <f>装备!N14</f>
        <v>0</v>
      </c>
      <c r="H13" s="19">
        <f>装备!O14</f>
        <v>0</v>
      </c>
      <c r="I13" s="19">
        <f>IF(装备!J14=0,0,"'"&amp;装备!J14&amp;"'")</f>
        <v>0</v>
      </c>
      <c r="J13" s="19">
        <f>IF(装备!K14=0,0,"'"&amp;装备!K14&amp;"'")</f>
        <v>0</v>
      </c>
      <c r="K13" s="19">
        <f>IF(装备!L14=0,0,"'"&amp;装备!L14&amp;"'")</f>
        <v>0</v>
      </c>
      <c r="L13" s="19">
        <f>IF(装备!M14=0,0,"'"&amp;装备!M14&amp;"'")</f>
        <v>0</v>
      </c>
      <c r="M13" s="19">
        <f>IF(装备!N14=0,0,"'"&amp;装备!N14&amp;"'")</f>
        <v>0</v>
      </c>
      <c r="N13" s="19">
        <f>IF(装备!O14=0,0,"'"&amp;装备!O14&amp;"'")</f>
        <v>0</v>
      </c>
      <c r="O13" s="19" t="str">
        <f t="shared" si="8"/>
        <v/>
      </c>
      <c r="P13" s="19" t="str">
        <f t="shared" si="1"/>
        <v/>
      </c>
      <c r="Q13" s="23" t="str">
        <f>IFERROR(VLOOKUP(C13,装备!$B:$E,3,FALSE),"")</f>
        <v/>
      </c>
      <c r="R13" s="23" t="str">
        <f>IFERROR(VLOOKUP(D13,装备!$B:$E,3,FALSE),"")</f>
        <v/>
      </c>
      <c r="S13" s="23" t="str">
        <f>IFERROR(VLOOKUP(E13,装备!$B:$E,3,FALSE),"")</f>
        <v/>
      </c>
      <c r="T13" s="23" t="str">
        <f>IFERROR(VLOOKUP(F13,装备!$B:$E,3,FALSE),"")</f>
        <v/>
      </c>
      <c r="U13" s="23" t="str">
        <f>IFERROR(VLOOKUP(G13,装备!$B:$E,3,FALSE),"")</f>
        <v/>
      </c>
      <c r="V13" s="23" t="str">
        <f>IFERROR(VLOOKUP(H13,装备!$B:$E,3,FALSE),"")</f>
        <v/>
      </c>
      <c r="W13" s="18" t="str">
        <f t="shared" si="9"/>
        <v/>
      </c>
      <c r="X13" s="18" t="str">
        <f t="shared" si="10"/>
        <v/>
      </c>
      <c r="Y13" s="18" t="str">
        <f t="shared" si="11"/>
        <v/>
      </c>
      <c r="Z13" s="18" t="str">
        <f t="shared" si="12"/>
        <v/>
      </c>
      <c r="AA13" s="18" t="str">
        <f t="shared" si="13"/>
        <v/>
      </c>
      <c r="AB13" s="18" t="str">
        <f t="shared" si="14"/>
        <v>|n=0</v>
      </c>
    </row>
    <row r="14" spans="1:28">
      <c r="A14" s="19">
        <f>装备!A15</f>
        <v>0</v>
      </c>
      <c r="B14" s="19" t="str">
        <f>"'"&amp;装备!B15&amp;"'"</f>
        <v>'E013'</v>
      </c>
      <c r="C14" s="19">
        <f>装备!J15</f>
        <v>0</v>
      </c>
      <c r="D14" s="19">
        <f>装备!K15</f>
        <v>0</v>
      </c>
      <c r="E14" s="19">
        <f>装备!L15</f>
        <v>0</v>
      </c>
      <c r="F14" s="19">
        <f>装备!M15</f>
        <v>0</v>
      </c>
      <c r="G14" s="19">
        <f>装备!N15</f>
        <v>0</v>
      </c>
      <c r="H14" s="19">
        <f>装备!O15</f>
        <v>0</v>
      </c>
      <c r="I14" s="19">
        <f>IF(装备!J15=0,0,"'"&amp;装备!J15&amp;"'")</f>
        <v>0</v>
      </c>
      <c r="J14" s="19">
        <f>IF(装备!K15=0,0,"'"&amp;装备!K15&amp;"'")</f>
        <v>0</v>
      </c>
      <c r="K14" s="19">
        <f>IF(装备!L15=0,0,"'"&amp;装备!L15&amp;"'")</f>
        <v>0</v>
      </c>
      <c r="L14" s="19">
        <f>IF(装备!M15=0,0,"'"&amp;装备!M15&amp;"'")</f>
        <v>0</v>
      </c>
      <c r="M14" s="19">
        <f>IF(装备!N15=0,0,"'"&amp;装备!N15&amp;"'")</f>
        <v>0</v>
      </c>
      <c r="N14" s="19">
        <f>IF(装备!O15=0,0,"'"&amp;装备!O15&amp;"'")</f>
        <v>0</v>
      </c>
      <c r="O14" s="19" t="str">
        <f t="shared" si="8"/>
        <v/>
      </c>
      <c r="P14" s="19" t="str">
        <f t="shared" si="1"/>
        <v/>
      </c>
      <c r="Q14" s="23" t="str">
        <f>IFERROR(VLOOKUP(C14,装备!$B:$E,3,FALSE),"")</f>
        <v/>
      </c>
      <c r="R14" s="23" t="str">
        <f>IFERROR(VLOOKUP(D14,装备!$B:$E,3,FALSE),"")</f>
        <v/>
      </c>
      <c r="S14" s="23" t="str">
        <f>IFERROR(VLOOKUP(E14,装备!$B:$E,3,FALSE),"")</f>
        <v/>
      </c>
      <c r="T14" s="23" t="str">
        <f>IFERROR(VLOOKUP(F14,装备!$B:$E,3,FALSE),"")</f>
        <v/>
      </c>
      <c r="U14" s="23" t="str">
        <f>IFERROR(VLOOKUP(G14,装备!$B:$E,3,FALSE),"")</f>
        <v/>
      </c>
      <c r="V14" s="23" t="str">
        <f>IFERROR(VLOOKUP(H14,装备!$B:$E,3,FALSE),"")</f>
        <v/>
      </c>
      <c r="W14" s="18" t="str">
        <f t="shared" si="9"/>
        <v/>
      </c>
      <c r="X14" s="18" t="str">
        <f t="shared" si="10"/>
        <v/>
      </c>
      <c r="Y14" s="18" t="str">
        <f t="shared" si="11"/>
        <v/>
      </c>
      <c r="Z14" s="18" t="str">
        <f t="shared" si="12"/>
        <v/>
      </c>
      <c r="AA14" s="18" t="str">
        <f t="shared" si="13"/>
        <v/>
      </c>
      <c r="AB14" s="18" t="str">
        <f t="shared" si="14"/>
        <v>|n=0</v>
      </c>
    </row>
    <row r="15" spans="1:28">
      <c r="A15" s="19">
        <f>装备!A16</f>
        <v>0</v>
      </c>
      <c r="B15" s="19" t="str">
        <f>"'"&amp;装备!B16&amp;"'"</f>
        <v>'E014'</v>
      </c>
      <c r="C15" s="19">
        <f>装备!J16</f>
        <v>0</v>
      </c>
      <c r="D15" s="19">
        <f>装备!K16</f>
        <v>0</v>
      </c>
      <c r="E15" s="19">
        <f>装备!L16</f>
        <v>0</v>
      </c>
      <c r="F15" s="19">
        <f>装备!M16</f>
        <v>0</v>
      </c>
      <c r="G15" s="19">
        <f>装备!N16</f>
        <v>0</v>
      </c>
      <c r="H15" s="19">
        <f>装备!O16</f>
        <v>0</v>
      </c>
      <c r="I15" s="19">
        <f>IF(装备!J16=0,0,"'"&amp;装备!J16&amp;"'")</f>
        <v>0</v>
      </c>
      <c r="J15" s="19">
        <f>IF(装备!K16=0,0,"'"&amp;装备!K16&amp;"'")</f>
        <v>0</v>
      </c>
      <c r="K15" s="19">
        <f>IF(装备!L16=0,0,"'"&amp;装备!L16&amp;"'")</f>
        <v>0</v>
      </c>
      <c r="L15" s="19">
        <f>IF(装备!M16=0,0,"'"&amp;装备!M16&amp;"'")</f>
        <v>0</v>
      </c>
      <c r="M15" s="19">
        <f>IF(装备!N16=0,0,"'"&amp;装备!N16&amp;"'")</f>
        <v>0</v>
      </c>
      <c r="N15" s="19">
        <f>IF(装备!O16=0,0,"'"&amp;装备!O16&amp;"'")</f>
        <v>0</v>
      </c>
      <c r="O15" s="19" t="str">
        <f t="shared" si="8"/>
        <v/>
      </c>
      <c r="P15" s="19" t="str">
        <f t="shared" si="1"/>
        <v/>
      </c>
      <c r="Q15" s="23" t="str">
        <f>IFERROR(VLOOKUP(C15,装备!$B:$E,3,FALSE),"")</f>
        <v/>
      </c>
      <c r="R15" s="23" t="str">
        <f>IFERROR(VLOOKUP(D15,装备!$B:$E,3,FALSE),"")</f>
        <v/>
      </c>
      <c r="S15" s="23" t="str">
        <f>IFERROR(VLOOKUP(E15,装备!$B:$E,3,FALSE),"")</f>
        <v/>
      </c>
      <c r="T15" s="23" t="str">
        <f>IFERROR(VLOOKUP(F15,装备!$B:$E,3,FALSE),"")</f>
        <v/>
      </c>
      <c r="U15" s="23" t="str">
        <f>IFERROR(VLOOKUP(G15,装备!$B:$E,3,FALSE),"")</f>
        <v/>
      </c>
      <c r="V15" s="23" t="str">
        <f>IFERROR(VLOOKUP(H15,装备!$B:$E,3,FALSE),"")</f>
        <v/>
      </c>
      <c r="W15" s="18" t="str">
        <f t="shared" si="9"/>
        <v/>
      </c>
      <c r="X15" s="18" t="str">
        <f t="shared" si="10"/>
        <v/>
      </c>
      <c r="Y15" s="18" t="str">
        <f t="shared" si="11"/>
        <v/>
      </c>
      <c r="Z15" s="18" t="str">
        <f t="shared" si="12"/>
        <v/>
      </c>
      <c r="AA15" s="18" t="str">
        <f t="shared" si="13"/>
        <v/>
      </c>
      <c r="AB15" s="18" t="str">
        <f t="shared" si="14"/>
        <v>|n=0</v>
      </c>
    </row>
    <row r="16" spans="1:28">
      <c r="A16" s="19">
        <f>装备!A17</f>
        <v>0</v>
      </c>
      <c r="B16" s="19" t="str">
        <f>"'"&amp;装备!B17&amp;"'"</f>
        <v>'E015'</v>
      </c>
      <c r="C16" s="19">
        <f>装备!J17</f>
        <v>0</v>
      </c>
      <c r="D16" s="19">
        <f>装备!K17</f>
        <v>0</v>
      </c>
      <c r="E16" s="19">
        <f>装备!L17</f>
        <v>0</v>
      </c>
      <c r="F16" s="19">
        <f>装备!M17</f>
        <v>0</v>
      </c>
      <c r="G16" s="19">
        <f>装备!N17</f>
        <v>0</v>
      </c>
      <c r="H16" s="19">
        <f>装备!O17</f>
        <v>0</v>
      </c>
      <c r="I16" s="19">
        <f>IF(装备!J17=0,0,"'"&amp;装备!J17&amp;"'")</f>
        <v>0</v>
      </c>
      <c r="J16" s="19">
        <f>IF(装备!K17=0,0,"'"&amp;装备!K17&amp;"'")</f>
        <v>0</v>
      </c>
      <c r="K16" s="19">
        <f>IF(装备!L17=0,0,"'"&amp;装备!L17&amp;"'")</f>
        <v>0</v>
      </c>
      <c r="L16" s="19">
        <f>IF(装备!M17=0,0,"'"&amp;装备!M17&amp;"'")</f>
        <v>0</v>
      </c>
      <c r="M16" s="19">
        <f>IF(装备!N17=0,0,"'"&amp;装备!N17&amp;"'")</f>
        <v>0</v>
      </c>
      <c r="N16" s="19">
        <f>IF(装备!O17=0,0,"'"&amp;装备!O17&amp;"'")</f>
        <v>0</v>
      </c>
      <c r="O16" s="19" t="str">
        <f t="shared" si="8"/>
        <v/>
      </c>
      <c r="P16" s="19" t="str">
        <f t="shared" si="1"/>
        <v/>
      </c>
      <c r="Q16" s="23" t="str">
        <f>IFERROR(VLOOKUP(C16,装备!$B:$E,3,FALSE),"")</f>
        <v/>
      </c>
      <c r="R16" s="23" t="str">
        <f>IFERROR(VLOOKUP(D16,装备!$B:$E,3,FALSE),"")</f>
        <v/>
      </c>
      <c r="S16" s="23" t="str">
        <f>IFERROR(VLOOKUP(E16,装备!$B:$E,3,FALSE),"")</f>
        <v/>
      </c>
      <c r="T16" s="23" t="str">
        <f>IFERROR(VLOOKUP(F16,装备!$B:$E,3,FALSE),"")</f>
        <v/>
      </c>
      <c r="U16" s="23" t="str">
        <f>IFERROR(VLOOKUP(G16,装备!$B:$E,3,FALSE),"")</f>
        <v/>
      </c>
      <c r="V16" s="23" t="str">
        <f>IFERROR(VLOOKUP(H16,装备!$B:$E,3,FALSE),"")</f>
        <v/>
      </c>
      <c r="W16" s="18" t="str">
        <f t="shared" si="9"/>
        <v/>
      </c>
      <c r="X16" s="18" t="str">
        <f t="shared" si="10"/>
        <v/>
      </c>
      <c r="Y16" s="18" t="str">
        <f t="shared" si="11"/>
        <v/>
      </c>
      <c r="Z16" s="18" t="str">
        <f t="shared" si="12"/>
        <v/>
      </c>
      <c r="AA16" s="18" t="str">
        <f t="shared" si="13"/>
        <v/>
      </c>
      <c r="AB16" s="18" t="str">
        <f t="shared" si="14"/>
        <v>|n=0</v>
      </c>
    </row>
    <row r="17" spans="1:28">
      <c r="A17" s="19">
        <f>装备!A18</f>
        <v>0</v>
      </c>
      <c r="B17" s="19" t="str">
        <f>"'"&amp;装备!B18&amp;"'"</f>
        <v>'E016'</v>
      </c>
      <c r="C17" s="19">
        <f>装备!J18</f>
        <v>0</v>
      </c>
      <c r="D17" s="19">
        <f>装备!K18</f>
        <v>0</v>
      </c>
      <c r="E17" s="19">
        <f>装备!L18</f>
        <v>0</v>
      </c>
      <c r="F17" s="19">
        <f>装备!M18</f>
        <v>0</v>
      </c>
      <c r="G17" s="19">
        <f>装备!N18</f>
        <v>0</v>
      </c>
      <c r="H17" s="19">
        <f>装备!O18</f>
        <v>0</v>
      </c>
      <c r="I17" s="19">
        <f>IF(装备!J18=0,0,"'"&amp;装备!J18&amp;"'")</f>
        <v>0</v>
      </c>
      <c r="J17" s="19">
        <f>IF(装备!K18=0,0,"'"&amp;装备!K18&amp;"'")</f>
        <v>0</v>
      </c>
      <c r="K17" s="19">
        <f>IF(装备!L18=0,0,"'"&amp;装备!L18&amp;"'")</f>
        <v>0</v>
      </c>
      <c r="L17" s="19">
        <f>IF(装备!M18=0,0,"'"&amp;装备!M18&amp;"'")</f>
        <v>0</v>
      </c>
      <c r="M17" s="19">
        <f>IF(装备!N18=0,0,"'"&amp;装备!N18&amp;"'")</f>
        <v>0</v>
      </c>
      <c r="N17" s="19">
        <f>IF(装备!O18=0,0,"'"&amp;装备!O18&amp;"'")</f>
        <v>0</v>
      </c>
      <c r="O17" s="19" t="str">
        <f t="shared" si="8"/>
        <v/>
      </c>
      <c r="P17" s="19" t="str">
        <f t="shared" si="1"/>
        <v/>
      </c>
      <c r="Q17" s="23" t="str">
        <f>IFERROR(VLOOKUP(C17,装备!$B:$E,3,FALSE),"")</f>
        <v/>
      </c>
      <c r="R17" s="23" t="str">
        <f>IFERROR(VLOOKUP(D17,装备!$B:$E,3,FALSE),"")</f>
        <v/>
      </c>
      <c r="S17" s="23" t="str">
        <f>IFERROR(VLOOKUP(E17,装备!$B:$E,3,FALSE),"")</f>
        <v/>
      </c>
      <c r="T17" s="23" t="str">
        <f>IFERROR(VLOOKUP(F17,装备!$B:$E,3,FALSE),"")</f>
        <v/>
      </c>
      <c r="U17" s="23" t="str">
        <f>IFERROR(VLOOKUP(G17,装备!$B:$E,3,FALSE),"")</f>
        <v/>
      </c>
      <c r="V17" s="23" t="str">
        <f>IFERROR(VLOOKUP(H17,装备!$B:$E,3,FALSE),"")</f>
        <v/>
      </c>
      <c r="W17" s="18" t="str">
        <f t="shared" si="9"/>
        <v/>
      </c>
      <c r="X17" s="18" t="str">
        <f t="shared" si="10"/>
        <v/>
      </c>
      <c r="Y17" s="18" t="str">
        <f t="shared" si="11"/>
        <v/>
      </c>
      <c r="Z17" s="18" t="str">
        <f t="shared" si="12"/>
        <v/>
      </c>
      <c r="AA17" s="18" t="str">
        <f t="shared" si="13"/>
        <v/>
      </c>
      <c r="AB17" s="18" t="str">
        <f t="shared" si="14"/>
        <v>|n=0</v>
      </c>
    </row>
    <row r="18" spans="1:28">
      <c r="A18" s="19">
        <f>装备!A19</f>
        <v>0</v>
      </c>
      <c r="B18" s="19" t="str">
        <f>"'"&amp;装备!B19&amp;"'"</f>
        <v>'E017'</v>
      </c>
      <c r="C18" s="19">
        <f>装备!J19</f>
        <v>0</v>
      </c>
      <c r="D18" s="19">
        <f>装备!K19</f>
        <v>0</v>
      </c>
      <c r="E18" s="19">
        <f>装备!L19</f>
        <v>0</v>
      </c>
      <c r="F18" s="19">
        <f>装备!M19</f>
        <v>0</v>
      </c>
      <c r="G18" s="19">
        <f>装备!N19</f>
        <v>0</v>
      </c>
      <c r="H18" s="19">
        <f>装备!O19</f>
        <v>0</v>
      </c>
      <c r="I18" s="19">
        <f>IF(装备!J19=0,0,"'"&amp;装备!J19&amp;"'")</f>
        <v>0</v>
      </c>
      <c r="J18" s="19">
        <f>IF(装备!K19=0,0,"'"&amp;装备!K19&amp;"'")</f>
        <v>0</v>
      </c>
      <c r="K18" s="19">
        <f>IF(装备!L19=0,0,"'"&amp;装备!L19&amp;"'")</f>
        <v>0</v>
      </c>
      <c r="L18" s="19">
        <f>IF(装备!M19=0,0,"'"&amp;装备!M19&amp;"'")</f>
        <v>0</v>
      </c>
      <c r="M18" s="19">
        <f>IF(装备!N19=0,0,"'"&amp;装备!N19&amp;"'")</f>
        <v>0</v>
      </c>
      <c r="N18" s="19">
        <f>IF(装备!O19=0,0,"'"&amp;装备!O19&amp;"'")</f>
        <v>0</v>
      </c>
      <c r="O18" s="19" t="str">
        <f t="shared" si="8"/>
        <v/>
      </c>
      <c r="P18" s="19" t="str">
        <f t="shared" si="1"/>
        <v/>
      </c>
      <c r="Q18" s="23" t="str">
        <f>IFERROR(VLOOKUP(C18,装备!$B:$E,3,FALSE),"")</f>
        <v/>
      </c>
      <c r="R18" s="23" t="str">
        <f>IFERROR(VLOOKUP(D18,装备!$B:$E,3,FALSE),"")</f>
        <v/>
      </c>
      <c r="S18" s="23" t="str">
        <f>IFERROR(VLOOKUP(E18,装备!$B:$E,3,FALSE),"")</f>
        <v/>
      </c>
      <c r="T18" s="23" t="str">
        <f>IFERROR(VLOOKUP(F18,装备!$B:$E,3,FALSE),"")</f>
        <v/>
      </c>
      <c r="U18" s="23" t="str">
        <f>IFERROR(VLOOKUP(G18,装备!$B:$E,3,FALSE),"")</f>
        <v/>
      </c>
      <c r="V18" s="23" t="str">
        <f>IFERROR(VLOOKUP(H18,装备!$B:$E,3,FALSE),"")</f>
        <v/>
      </c>
      <c r="W18" s="18" t="str">
        <f t="shared" si="9"/>
        <v/>
      </c>
      <c r="X18" s="18" t="str">
        <f t="shared" si="10"/>
        <v/>
      </c>
      <c r="Y18" s="18" t="str">
        <f t="shared" si="11"/>
        <v/>
      </c>
      <c r="Z18" s="18" t="str">
        <f t="shared" si="12"/>
        <v/>
      </c>
      <c r="AA18" s="18" t="str">
        <f t="shared" si="13"/>
        <v/>
      </c>
      <c r="AB18" s="18" t="str">
        <f t="shared" si="14"/>
        <v>|n=0</v>
      </c>
    </row>
    <row r="19" spans="1:28">
      <c r="A19" s="19">
        <f>装备!A20</f>
        <v>0</v>
      </c>
      <c r="B19" s="19" t="str">
        <f>"'"&amp;装备!B20&amp;"'"</f>
        <v>'E018'</v>
      </c>
      <c r="C19" s="19">
        <f>装备!J20</f>
        <v>0</v>
      </c>
      <c r="D19" s="19">
        <f>装备!K20</f>
        <v>0</v>
      </c>
      <c r="E19" s="19">
        <f>装备!L20</f>
        <v>0</v>
      </c>
      <c r="F19" s="19">
        <f>装备!M20</f>
        <v>0</v>
      </c>
      <c r="G19" s="19">
        <f>装备!N20</f>
        <v>0</v>
      </c>
      <c r="H19" s="19">
        <f>装备!O20</f>
        <v>0</v>
      </c>
      <c r="I19" s="19">
        <f>IF(装备!J20=0,0,"'"&amp;装备!J20&amp;"'")</f>
        <v>0</v>
      </c>
      <c r="J19" s="19">
        <f>IF(装备!K20=0,0,"'"&amp;装备!K20&amp;"'")</f>
        <v>0</v>
      </c>
      <c r="K19" s="19">
        <f>IF(装备!L20=0,0,"'"&amp;装备!L20&amp;"'")</f>
        <v>0</v>
      </c>
      <c r="L19" s="19">
        <f>IF(装备!M20=0,0,"'"&amp;装备!M20&amp;"'")</f>
        <v>0</v>
      </c>
      <c r="M19" s="19">
        <f>IF(装备!N20=0,0,"'"&amp;装备!N20&amp;"'")</f>
        <v>0</v>
      </c>
      <c r="N19" s="19">
        <f>IF(装备!O20=0,0,"'"&amp;装备!O20&amp;"'")</f>
        <v>0</v>
      </c>
      <c r="O19" s="19" t="str">
        <f t="shared" si="8"/>
        <v/>
      </c>
      <c r="P19" s="19" t="str">
        <f t="shared" si="1"/>
        <v/>
      </c>
      <c r="Q19" s="23" t="str">
        <f>IFERROR(VLOOKUP(C19,装备!$B:$E,3,FALSE),"")</f>
        <v/>
      </c>
      <c r="R19" s="23" t="str">
        <f>IFERROR(VLOOKUP(D19,装备!$B:$E,3,FALSE),"")</f>
        <v/>
      </c>
      <c r="S19" s="23" t="str">
        <f>IFERROR(VLOOKUP(E19,装备!$B:$E,3,FALSE),"")</f>
        <v/>
      </c>
      <c r="T19" s="23" t="str">
        <f>IFERROR(VLOOKUP(F19,装备!$B:$E,3,FALSE),"")</f>
        <v/>
      </c>
      <c r="U19" s="23" t="str">
        <f>IFERROR(VLOOKUP(G19,装备!$B:$E,3,FALSE),"")</f>
        <v/>
      </c>
      <c r="V19" s="23" t="str">
        <f>IFERROR(VLOOKUP(H19,装备!$B:$E,3,FALSE),"")</f>
        <v/>
      </c>
      <c r="W19" s="18" t="str">
        <f t="shared" si="9"/>
        <v/>
      </c>
      <c r="X19" s="18" t="str">
        <f t="shared" si="10"/>
        <v/>
      </c>
      <c r="Y19" s="18" t="str">
        <f t="shared" si="11"/>
        <v/>
      </c>
      <c r="Z19" s="18" t="str">
        <f t="shared" si="12"/>
        <v/>
      </c>
      <c r="AA19" s="18" t="str">
        <f t="shared" si="13"/>
        <v/>
      </c>
      <c r="AB19" s="18" t="str">
        <f t="shared" si="14"/>
        <v>|n=0</v>
      </c>
    </row>
    <row r="20" spans="1:28">
      <c r="A20" s="19">
        <f>装备!A21</f>
        <v>0</v>
      </c>
      <c r="B20" s="19" t="str">
        <f>"'"&amp;装备!B21&amp;"'"</f>
        <v>'E019'</v>
      </c>
      <c r="C20" s="19">
        <f>装备!J21</f>
        <v>0</v>
      </c>
      <c r="D20" s="19">
        <f>装备!K21</f>
        <v>0</v>
      </c>
      <c r="E20" s="19">
        <f>装备!L21</f>
        <v>0</v>
      </c>
      <c r="F20" s="19">
        <f>装备!M21</f>
        <v>0</v>
      </c>
      <c r="G20" s="19">
        <f>装备!N21</f>
        <v>0</v>
      </c>
      <c r="H20" s="19">
        <f>装备!O21</f>
        <v>0</v>
      </c>
      <c r="I20" s="19">
        <f>IF(装备!J21=0,0,"'"&amp;装备!J21&amp;"'")</f>
        <v>0</v>
      </c>
      <c r="J20" s="19">
        <f>IF(装备!K21=0,0,"'"&amp;装备!K21&amp;"'")</f>
        <v>0</v>
      </c>
      <c r="K20" s="19">
        <f>IF(装备!L21=0,0,"'"&amp;装备!L21&amp;"'")</f>
        <v>0</v>
      </c>
      <c r="L20" s="19">
        <f>IF(装备!M21=0,0,"'"&amp;装备!M21&amp;"'")</f>
        <v>0</v>
      </c>
      <c r="M20" s="19">
        <f>IF(装备!N21=0,0,"'"&amp;装备!N21&amp;"'")</f>
        <v>0</v>
      </c>
      <c r="N20" s="19">
        <f>IF(装备!O21=0,0,"'"&amp;装备!O21&amp;"'")</f>
        <v>0</v>
      </c>
      <c r="O20" s="19" t="str">
        <f t="shared" si="8"/>
        <v/>
      </c>
      <c r="P20" s="19" t="str">
        <f t="shared" si="1"/>
        <v/>
      </c>
      <c r="Q20" s="23" t="str">
        <f>IFERROR(VLOOKUP(C20,装备!$B:$E,3,FALSE),"")</f>
        <v/>
      </c>
      <c r="R20" s="23" t="str">
        <f>IFERROR(VLOOKUP(D20,装备!$B:$E,3,FALSE),"")</f>
        <v/>
      </c>
      <c r="S20" s="23" t="str">
        <f>IFERROR(VLOOKUP(E20,装备!$B:$E,3,FALSE),"")</f>
        <v/>
      </c>
      <c r="T20" s="23" t="str">
        <f>IFERROR(VLOOKUP(F20,装备!$B:$E,3,FALSE),"")</f>
        <v/>
      </c>
      <c r="U20" s="23" t="str">
        <f>IFERROR(VLOOKUP(G20,装备!$B:$E,3,FALSE),"")</f>
        <v/>
      </c>
      <c r="V20" s="23" t="str">
        <f>IFERROR(VLOOKUP(H20,装备!$B:$E,3,FALSE),"")</f>
        <v/>
      </c>
      <c r="W20" s="18" t="str">
        <f t="shared" si="9"/>
        <v/>
      </c>
      <c r="X20" s="18" t="str">
        <f t="shared" si="10"/>
        <v/>
      </c>
      <c r="Y20" s="18" t="str">
        <f t="shared" si="11"/>
        <v/>
      </c>
      <c r="Z20" s="18" t="str">
        <f t="shared" si="12"/>
        <v/>
      </c>
      <c r="AA20" s="18" t="str">
        <f t="shared" si="13"/>
        <v/>
      </c>
      <c r="AB20" s="18" t="str">
        <f t="shared" si="14"/>
        <v>|n=0</v>
      </c>
    </row>
    <row r="21" spans="1:28">
      <c r="A21" s="19">
        <f>装备!A22</f>
        <v>0</v>
      </c>
      <c r="B21" s="19" t="str">
        <f>"'"&amp;装备!B22&amp;"'"</f>
        <v>'E020'</v>
      </c>
      <c r="C21" s="19">
        <f>装备!J22</f>
        <v>0</v>
      </c>
      <c r="D21" s="19">
        <f>装备!K22</f>
        <v>0</v>
      </c>
      <c r="E21" s="19">
        <f>装备!L22</f>
        <v>0</v>
      </c>
      <c r="F21" s="19">
        <f>装备!M22</f>
        <v>0</v>
      </c>
      <c r="G21" s="19">
        <f>装备!N22</f>
        <v>0</v>
      </c>
      <c r="H21" s="19">
        <f>装备!O22</f>
        <v>0</v>
      </c>
      <c r="I21" s="19">
        <f>IF(装备!J22=0,0,"'"&amp;装备!J22&amp;"'")</f>
        <v>0</v>
      </c>
      <c r="J21" s="19">
        <f>IF(装备!K22=0,0,"'"&amp;装备!K22&amp;"'")</f>
        <v>0</v>
      </c>
      <c r="K21" s="19">
        <f>IF(装备!L22=0,0,"'"&amp;装备!L22&amp;"'")</f>
        <v>0</v>
      </c>
      <c r="L21" s="19">
        <f>IF(装备!M22=0,0,"'"&amp;装备!M22&amp;"'")</f>
        <v>0</v>
      </c>
      <c r="M21" s="19">
        <f>IF(装备!N22=0,0,"'"&amp;装备!N22&amp;"'")</f>
        <v>0</v>
      </c>
      <c r="N21" s="19">
        <f>IF(装备!O22=0,0,"'"&amp;装备!O22&amp;"'")</f>
        <v>0</v>
      </c>
      <c r="O21" s="19" t="str">
        <f t="shared" si="8"/>
        <v/>
      </c>
      <c r="P21" s="19" t="str">
        <f t="shared" si="1"/>
        <v/>
      </c>
      <c r="Q21" s="23" t="str">
        <f>IFERROR(VLOOKUP(C21,装备!$B:$E,3,FALSE),"")</f>
        <v/>
      </c>
      <c r="R21" s="23" t="str">
        <f>IFERROR(VLOOKUP(D21,装备!$B:$E,3,FALSE),"")</f>
        <v/>
      </c>
      <c r="S21" s="23" t="str">
        <f>IFERROR(VLOOKUP(E21,装备!$B:$E,3,FALSE),"")</f>
        <v/>
      </c>
      <c r="T21" s="23" t="str">
        <f>IFERROR(VLOOKUP(F21,装备!$B:$E,3,FALSE),"")</f>
        <v/>
      </c>
      <c r="U21" s="23" t="str">
        <f>IFERROR(VLOOKUP(G21,装备!$B:$E,3,FALSE),"")</f>
        <v/>
      </c>
      <c r="V21" s="23" t="str">
        <f>IFERROR(VLOOKUP(H21,装备!$B:$E,3,FALSE),"")</f>
        <v/>
      </c>
      <c r="W21" s="18" t="str">
        <f t="shared" si="9"/>
        <v/>
      </c>
      <c r="X21" s="18" t="str">
        <f t="shared" si="10"/>
        <v/>
      </c>
      <c r="Y21" s="18" t="str">
        <f t="shared" si="11"/>
        <v/>
      </c>
      <c r="Z21" s="18" t="str">
        <f t="shared" si="12"/>
        <v/>
      </c>
      <c r="AA21" s="18" t="str">
        <f t="shared" si="13"/>
        <v/>
      </c>
      <c r="AB21" s="18" t="str">
        <f t="shared" si="14"/>
        <v>|n=0</v>
      </c>
    </row>
    <row r="22" spans="1:28">
      <c r="A22" s="19">
        <f>装备!A23</f>
        <v>0</v>
      </c>
      <c r="B22" s="19" t="str">
        <f>"'"&amp;装备!B23&amp;"'"</f>
        <v>'E021'</v>
      </c>
      <c r="C22" s="19">
        <f>装备!J23</f>
        <v>0</v>
      </c>
      <c r="D22" s="19">
        <f>装备!K23</f>
        <v>0</v>
      </c>
      <c r="E22" s="19">
        <f>装备!L23</f>
        <v>0</v>
      </c>
      <c r="F22" s="19">
        <f>装备!M23</f>
        <v>0</v>
      </c>
      <c r="G22" s="19">
        <f>装备!N23</f>
        <v>0</v>
      </c>
      <c r="H22" s="19">
        <f>装备!O23</f>
        <v>0</v>
      </c>
      <c r="I22" s="19">
        <f>IF(装备!J23=0,0,"'"&amp;装备!J23&amp;"'")</f>
        <v>0</v>
      </c>
      <c r="J22" s="19">
        <f>IF(装备!K23=0,0,"'"&amp;装备!K23&amp;"'")</f>
        <v>0</v>
      </c>
      <c r="K22" s="19">
        <f>IF(装备!L23=0,0,"'"&amp;装备!L23&amp;"'")</f>
        <v>0</v>
      </c>
      <c r="L22" s="19">
        <f>IF(装备!M23=0,0,"'"&amp;装备!M23&amp;"'")</f>
        <v>0</v>
      </c>
      <c r="M22" s="19">
        <f>IF(装备!N23=0,0,"'"&amp;装备!N23&amp;"'")</f>
        <v>0</v>
      </c>
      <c r="N22" s="19">
        <f>IF(装备!O23=0,0,"'"&amp;装备!O23&amp;"'")</f>
        <v>0</v>
      </c>
      <c r="O22" s="19" t="str">
        <f t="shared" si="8"/>
        <v/>
      </c>
      <c r="P22" s="19" t="str">
        <f t="shared" si="1"/>
        <v/>
      </c>
      <c r="Q22" s="23" t="str">
        <f>IFERROR(VLOOKUP(C22,装备!$B:$E,3,FALSE),"")</f>
        <v/>
      </c>
      <c r="R22" s="23" t="str">
        <f>IFERROR(VLOOKUP(D22,装备!$B:$E,3,FALSE),"")</f>
        <v/>
      </c>
      <c r="S22" s="23" t="str">
        <f>IFERROR(VLOOKUP(E22,装备!$B:$E,3,FALSE),"")</f>
        <v/>
      </c>
      <c r="T22" s="23" t="str">
        <f>IFERROR(VLOOKUP(F22,装备!$B:$E,3,FALSE),"")</f>
        <v/>
      </c>
      <c r="U22" s="23" t="str">
        <f>IFERROR(VLOOKUP(G22,装备!$B:$E,3,FALSE),"")</f>
        <v/>
      </c>
      <c r="V22" s="23" t="str">
        <f>IFERROR(VLOOKUP(H22,装备!$B:$E,3,FALSE),"")</f>
        <v/>
      </c>
      <c r="W22" s="18" t="str">
        <f t="shared" si="9"/>
        <v/>
      </c>
      <c r="X22" s="18" t="str">
        <f t="shared" si="10"/>
        <v/>
      </c>
      <c r="Y22" s="18" t="str">
        <f t="shared" si="11"/>
        <v/>
      </c>
      <c r="Z22" s="18" t="str">
        <f t="shared" si="12"/>
        <v/>
      </c>
      <c r="AA22" s="18" t="str">
        <f t="shared" si="13"/>
        <v/>
      </c>
      <c r="AB22" s="18" t="str">
        <f t="shared" si="14"/>
        <v>|n=0</v>
      </c>
    </row>
    <row r="23" spans="1:28">
      <c r="A23" s="19">
        <f>装备!A24</f>
        <v>0</v>
      </c>
      <c r="B23" s="19" t="str">
        <f>"'"&amp;装备!B24&amp;"'"</f>
        <v>'E022'</v>
      </c>
      <c r="C23" s="19">
        <f>装备!J24</f>
        <v>0</v>
      </c>
      <c r="D23" s="19">
        <f>装备!K24</f>
        <v>0</v>
      </c>
      <c r="E23" s="19">
        <f>装备!L24</f>
        <v>0</v>
      </c>
      <c r="F23" s="19">
        <f>装备!M24</f>
        <v>0</v>
      </c>
      <c r="G23" s="19">
        <f>装备!N24</f>
        <v>0</v>
      </c>
      <c r="H23" s="19">
        <f>装备!O24</f>
        <v>0</v>
      </c>
      <c r="I23" s="19">
        <f>IF(装备!J24=0,0,"'"&amp;装备!J24&amp;"'")</f>
        <v>0</v>
      </c>
      <c r="J23" s="19">
        <f>IF(装备!K24=0,0,"'"&amp;装备!K24&amp;"'")</f>
        <v>0</v>
      </c>
      <c r="K23" s="19">
        <f>IF(装备!L24=0,0,"'"&amp;装备!L24&amp;"'")</f>
        <v>0</v>
      </c>
      <c r="L23" s="19">
        <f>IF(装备!M24=0,0,"'"&amp;装备!M24&amp;"'")</f>
        <v>0</v>
      </c>
      <c r="M23" s="19">
        <f>IF(装备!N24=0,0,"'"&amp;装备!N24&amp;"'")</f>
        <v>0</v>
      </c>
      <c r="N23" s="19">
        <f>IF(装备!O24=0,0,"'"&amp;装备!O24&amp;"'")</f>
        <v>0</v>
      </c>
      <c r="O23" s="19" t="str">
        <f t="shared" si="8"/>
        <v/>
      </c>
      <c r="P23" s="19" t="str">
        <f t="shared" si="1"/>
        <v/>
      </c>
      <c r="Q23" s="23" t="str">
        <f>IFERROR(VLOOKUP(C23,装备!$B:$E,3,FALSE),"")</f>
        <v/>
      </c>
      <c r="R23" s="23" t="str">
        <f>IFERROR(VLOOKUP(D23,装备!$B:$E,3,FALSE),"")</f>
        <v/>
      </c>
      <c r="S23" s="23" t="str">
        <f>IFERROR(VLOOKUP(E23,装备!$B:$E,3,FALSE),"")</f>
        <v/>
      </c>
      <c r="T23" s="23" t="str">
        <f>IFERROR(VLOOKUP(F23,装备!$B:$E,3,FALSE),"")</f>
        <v/>
      </c>
      <c r="U23" s="23" t="str">
        <f>IFERROR(VLOOKUP(G23,装备!$B:$E,3,FALSE),"")</f>
        <v/>
      </c>
      <c r="V23" s="23" t="str">
        <f>IFERROR(VLOOKUP(H23,装备!$B:$E,3,FALSE),"")</f>
        <v/>
      </c>
      <c r="W23" s="18" t="str">
        <f t="shared" si="9"/>
        <v/>
      </c>
      <c r="X23" s="18" t="str">
        <f t="shared" si="10"/>
        <v/>
      </c>
      <c r="Y23" s="18" t="str">
        <f t="shared" si="11"/>
        <v/>
      </c>
      <c r="Z23" s="18" t="str">
        <f t="shared" si="12"/>
        <v/>
      </c>
      <c r="AA23" s="18" t="str">
        <f t="shared" si="13"/>
        <v/>
      </c>
      <c r="AB23" s="18" t="str">
        <f t="shared" si="14"/>
        <v>|n=0</v>
      </c>
    </row>
    <row r="24" spans="1:28">
      <c r="A24" s="19">
        <f>装备!A25</f>
        <v>0</v>
      </c>
      <c r="B24" s="19" t="str">
        <f>"'"&amp;装备!B25&amp;"'"</f>
        <v>'E023'</v>
      </c>
      <c r="C24" s="19">
        <f>装备!J25</f>
        <v>0</v>
      </c>
      <c r="D24" s="19">
        <f>装备!K25</f>
        <v>0</v>
      </c>
      <c r="E24" s="19">
        <f>装备!L25</f>
        <v>0</v>
      </c>
      <c r="F24" s="19">
        <f>装备!M25</f>
        <v>0</v>
      </c>
      <c r="G24" s="19">
        <f>装备!N25</f>
        <v>0</v>
      </c>
      <c r="H24" s="19">
        <f>装备!O25</f>
        <v>0</v>
      </c>
      <c r="I24" s="19">
        <f>IF(装备!J25=0,0,"'"&amp;装备!J25&amp;"'")</f>
        <v>0</v>
      </c>
      <c r="J24" s="19">
        <f>IF(装备!K25=0,0,"'"&amp;装备!K25&amp;"'")</f>
        <v>0</v>
      </c>
      <c r="K24" s="19">
        <f>IF(装备!L25=0,0,"'"&amp;装备!L25&amp;"'")</f>
        <v>0</v>
      </c>
      <c r="L24" s="19">
        <f>IF(装备!M25=0,0,"'"&amp;装备!M25&amp;"'")</f>
        <v>0</v>
      </c>
      <c r="M24" s="19">
        <f>IF(装备!N25=0,0,"'"&amp;装备!N25&amp;"'")</f>
        <v>0</v>
      </c>
      <c r="N24" s="19">
        <f>IF(装备!O25=0,0,"'"&amp;装备!O25&amp;"'")</f>
        <v>0</v>
      </c>
      <c r="O24" s="19" t="str">
        <f t="shared" si="8"/>
        <v/>
      </c>
      <c r="P24" s="19" t="str">
        <f t="shared" si="1"/>
        <v/>
      </c>
      <c r="Q24" s="23" t="str">
        <f>IFERROR(VLOOKUP(C24,装备!$B:$E,3,FALSE),"")</f>
        <v/>
      </c>
      <c r="R24" s="23" t="str">
        <f>IFERROR(VLOOKUP(D24,装备!$B:$E,3,FALSE),"")</f>
        <v/>
      </c>
      <c r="S24" s="23" t="str">
        <f>IFERROR(VLOOKUP(E24,装备!$B:$E,3,FALSE),"")</f>
        <v/>
      </c>
      <c r="T24" s="23" t="str">
        <f>IFERROR(VLOOKUP(F24,装备!$B:$E,3,FALSE),"")</f>
        <v/>
      </c>
      <c r="U24" s="23" t="str">
        <f>IFERROR(VLOOKUP(G24,装备!$B:$E,3,FALSE),"")</f>
        <v/>
      </c>
      <c r="V24" s="23" t="str">
        <f>IFERROR(VLOOKUP(H24,装备!$B:$E,3,FALSE),"")</f>
        <v/>
      </c>
      <c r="W24" s="18" t="str">
        <f t="shared" si="9"/>
        <v/>
      </c>
      <c r="X24" s="18" t="str">
        <f t="shared" si="10"/>
        <v/>
      </c>
      <c r="Y24" s="18" t="str">
        <f t="shared" si="11"/>
        <v/>
      </c>
      <c r="Z24" s="18" t="str">
        <f t="shared" si="12"/>
        <v/>
      </c>
      <c r="AA24" s="18" t="str">
        <f t="shared" si="13"/>
        <v/>
      </c>
      <c r="AB24" s="18" t="str">
        <f t="shared" si="14"/>
        <v>|n=0</v>
      </c>
    </row>
    <row r="25" spans="1:28">
      <c r="A25" s="19">
        <f>装备!A26</f>
        <v>0</v>
      </c>
      <c r="B25" s="19" t="str">
        <f>"'"&amp;装备!B26&amp;"'"</f>
        <v>'E024'</v>
      </c>
      <c r="C25" s="19">
        <f>装备!J26</f>
        <v>0</v>
      </c>
      <c r="D25" s="19">
        <f>装备!K26</f>
        <v>0</v>
      </c>
      <c r="E25" s="19">
        <f>装备!L26</f>
        <v>0</v>
      </c>
      <c r="F25" s="19">
        <f>装备!M26</f>
        <v>0</v>
      </c>
      <c r="G25" s="19">
        <f>装备!N26</f>
        <v>0</v>
      </c>
      <c r="H25" s="19">
        <f>装备!O26</f>
        <v>0</v>
      </c>
      <c r="I25" s="19">
        <f>IF(装备!J26=0,0,"'"&amp;装备!J26&amp;"'")</f>
        <v>0</v>
      </c>
      <c r="J25" s="19">
        <f>IF(装备!K26=0,0,"'"&amp;装备!K26&amp;"'")</f>
        <v>0</v>
      </c>
      <c r="K25" s="19">
        <f>IF(装备!L26=0,0,"'"&amp;装备!L26&amp;"'")</f>
        <v>0</v>
      </c>
      <c r="L25" s="19">
        <f>IF(装备!M26=0,0,"'"&amp;装备!M26&amp;"'")</f>
        <v>0</v>
      </c>
      <c r="M25" s="19">
        <f>IF(装备!N26=0,0,"'"&amp;装备!N26&amp;"'")</f>
        <v>0</v>
      </c>
      <c r="N25" s="19">
        <f>IF(装备!O26=0,0,"'"&amp;装备!O26&amp;"'")</f>
        <v>0</v>
      </c>
      <c r="O25" s="19" t="str">
        <f t="shared" si="8"/>
        <v/>
      </c>
      <c r="P25" s="19" t="str">
        <f t="shared" si="1"/>
        <v/>
      </c>
      <c r="Q25" s="23" t="str">
        <f>IFERROR(VLOOKUP(C25,装备!$B:$E,3,FALSE),"")</f>
        <v/>
      </c>
      <c r="R25" s="23" t="str">
        <f>IFERROR(VLOOKUP(D25,装备!$B:$E,3,FALSE),"")</f>
        <v/>
      </c>
      <c r="S25" s="23" t="str">
        <f>IFERROR(VLOOKUP(E25,装备!$B:$E,3,FALSE),"")</f>
        <v/>
      </c>
      <c r="T25" s="23" t="str">
        <f>IFERROR(VLOOKUP(F25,装备!$B:$E,3,FALSE),"")</f>
        <v/>
      </c>
      <c r="U25" s="23" t="str">
        <f>IFERROR(VLOOKUP(G25,装备!$B:$E,3,FALSE),"")</f>
        <v/>
      </c>
      <c r="V25" s="23" t="str">
        <f>IFERROR(VLOOKUP(H25,装备!$B:$E,3,FALSE),"")</f>
        <v/>
      </c>
      <c r="W25" s="18" t="str">
        <f t="shared" si="9"/>
        <v/>
      </c>
      <c r="X25" s="18" t="str">
        <f t="shared" si="10"/>
        <v/>
      </c>
      <c r="Y25" s="18" t="str">
        <f t="shared" si="11"/>
        <v/>
      </c>
      <c r="Z25" s="18" t="str">
        <f t="shared" si="12"/>
        <v/>
      </c>
      <c r="AA25" s="18" t="str">
        <f t="shared" si="13"/>
        <v/>
      </c>
      <c r="AB25" s="18" t="str">
        <f t="shared" si="14"/>
        <v>|n=0</v>
      </c>
    </row>
    <row r="26" spans="1:28">
      <c r="A26" s="19">
        <f>装备!A27</f>
        <v>0</v>
      </c>
      <c r="B26" s="19" t="str">
        <f>"'"&amp;装备!B27&amp;"'"</f>
        <v>'E025'</v>
      </c>
      <c r="C26" s="19">
        <f>装备!J27</f>
        <v>0</v>
      </c>
      <c r="D26" s="19">
        <f>装备!K27</f>
        <v>0</v>
      </c>
      <c r="E26" s="19">
        <f>装备!L27</f>
        <v>0</v>
      </c>
      <c r="F26" s="19">
        <f>装备!M27</f>
        <v>0</v>
      </c>
      <c r="G26" s="19">
        <f>装备!N27</f>
        <v>0</v>
      </c>
      <c r="H26" s="19">
        <f>装备!O27</f>
        <v>0</v>
      </c>
      <c r="I26" s="19">
        <f>IF(装备!J27=0,0,"'"&amp;装备!J27&amp;"'")</f>
        <v>0</v>
      </c>
      <c r="J26" s="19">
        <f>IF(装备!K27=0,0,"'"&amp;装备!K27&amp;"'")</f>
        <v>0</v>
      </c>
      <c r="K26" s="19">
        <f>IF(装备!L27=0,0,"'"&amp;装备!L27&amp;"'")</f>
        <v>0</v>
      </c>
      <c r="L26" s="19">
        <f>IF(装备!M27=0,0,"'"&amp;装备!M27&amp;"'")</f>
        <v>0</v>
      </c>
      <c r="M26" s="19">
        <f>IF(装备!N27=0,0,"'"&amp;装备!N27&amp;"'")</f>
        <v>0</v>
      </c>
      <c r="N26" s="19">
        <f>IF(装备!O27=0,0,"'"&amp;装备!O27&amp;"'")</f>
        <v>0</v>
      </c>
      <c r="O26" s="19" t="str">
        <f t="shared" si="8"/>
        <v/>
      </c>
      <c r="P26" s="19" t="str">
        <f t="shared" si="1"/>
        <v/>
      </c>
      <c r="Q26" s="23" t="str">
        <f>IFERROR(VLOOKUP(C26,装备!$B:$E,3,FALSE),"")</f>
        <v/>
      </c>
      <c r="R26" s="23" t="str">
        <f>IFERROR(VLOOKUP(D26,装备!$B:$E,3,FALSE),"")</f>
        <v/>
      </c>
      <c r="S26" s="23" t="str">
        <f>IFERROR(VLOOKUP(E26,装备!$B:$E,3,FALSE),"")</f>
        <v/>
      </c>
      <c r="T26" s="23" t="str">
        <f>IFERROR(VLOOKUP(F26,装备!$B:$E,3,FALSE),"")</f>
        <v/>
      </c>
      <c r="U26" s="23" t="str">
        <f>IFERROR(VLOOKUP(G26,装备!$B:$E,3,FALSE),"")</f>
        <v/>
      </c>
      <c r="V26" s="23" t="str">
        <f>IFERROR(VLOOKUP(H26,装备!$B:$E,3,FALSE),"")</f>
        <v/>
      </c>
      <c r="W26" s="18" t="str">
        <f t="shared" si="9"/>
        <v/>
      </c>
      <c r="X26" s="18" t="str">
        <f t="shared" si="10"/>
        <v/>
      </c>
      <c r="Y26" s="18" t="str">
        <f t="shared" si="11"/>
        <v/>
      </c>
      <c r="Z26" s="18" t="str">
        <f t="shared" si="12"/>
        <v/>
      </c>
      <c r="AA26" s="18" t="str">
        <f t="shared" si="13"/>
        <v/>
      </c>
      <c r="AB26" s="18" t="str">
        <f t="shared" si="14"/>
        <v>|n=0</v>
      </c>
    </row>
    <row r="27" spans="1:28">
      <c r="A27" s="19">
        <f>装备!A28</f>
        <v>0</v>
      </c>
      <c r="B27" s="19" t="str">
        <f>"'"&amp;装备!B28&amp;"'"</f>
        <v>'E101'</v>
      </c>
      <c r="C27" s="19">
        <f>装备!J28</f>
        <v>0</v>
      </c>
      <c r="D27" s="19">
        <f>装备!K28</f>
        <v>0</v>
      </c>
      <c r="E27" s="19">
        <f>装备!L28</f>
        <v>0</v>
      </c>
      <c r="F27" s="19">
        <f>装备!M28</f>
        <v>0</v>
      </c>
      <c r="G27" s="19">
        <f>装备!N28</f>
        <v>0</v>
      </c>
      <c r="H27" s="19">
        <f>装备!O28</f>
        <v>0</v>
      </c>
      <c r="I27" s="19">
        <f>IF(装备!J28=0,0,"'"&amp;装备!J28&amp;"'")</f>
        <v>0</v>
      </c>
      <c r="J27" s="19">
        <f>IF(装备!K28=0,0,"'"&amp;装备!K28&amp;"'")</f>
        <v>0</v>
      </c>
      <c r="K27" s="19">
        <f>IF(装备!L28=0,0,"'"&amp;装备!L28&amp;"'")</f>
        <v>0</v>
      </c>
      <c r="L27" s="19">
        <f>IF(装备!M28=0,0,"'"&amp;装备!M28&amp;"'")</f>
        <v>0</v>
      </c>
      <c r="M27" s="19">
        <f>IF(装备!N28=0,0,"'"&amp;装备!N28&amp;"'")</f>
        <v>0</v>
      </c>
      <c r="N27" s="19">
        <f>IF(装备!O28=0,0,"'"&amp;装备!O28&amp;"'")</f>
        <v>0</v>
      </c>
      <c r="O27" s="19" t="str">
        <f t="shared" si="8"/>
        <v/>
      </c>
      <c r="P27" s="19" t="str">
        <f t="shared" si="1"/>
        <v/>
      </c>
      <c r="Q27" s="23" t="str">
        <f>IFERROR(VLOOKUP(C27,装备!$B:$E,3,FALSE),"")</f>
        <v/>
      </c>
      <c r="R27" s="23" t="str">
        <f>IFERROR(VLOOKUP(D27,装备!$B:$E,3,FALSE),"")</f>
        <v/>
      </c>
      <c r="S27" s="23" t="str">
        <f>IFERROR(VLOOKUP(E27,装备!$B:$E,3,FALSE),"")</f>
        <v/>
      </c>
      <c r="T27" s="23" t="str">
        <f>IFERROR(VLOOKUP(F27,装备!$B:$E,3,FALSE),"")</f>
        <v/>
      </c>
      <c r="U27" s="23" t="str">
        <f>IFERROR(VLOOKUP(G27,装备!$B:$E,3,FALSE),"")</f>
        <v/>
      </c>
      <c r="V27" s="23" t="str">
        <f>IFERROR(VLOOKUP(H27,装备!$B:$E,3,FALSE),"")</f>
        <v/>
      </c>
      <c r="W27" s="18" t="str">
        <f t="shared" si="9"/>
        <v/>
      </c>
      <c r="X27" s="18" t="str">
        <f t="shared" si="10"/>
        <v/>
      </c>
      <c r="Y27" s="18" t="str">
        <f t="shared" si="11"/>
        <v/>
      </c>
      <c r="Z27" s="18" t="str">
        <f t="shared" si="12"/>
        <v/>
      </c>
      <c r="AA27" s="18" t="str">
        <f t="shared" si="13"/>
        <v/>
      </c>
      <c r="AB27" s="18" t="str">
        <f t="shared" si="14"/>
        <v>|n=0</v>
      </c>
    </row>
    <row r="28" spans="1:28">
      <c r="A28" s="19">
        <f>装备!A29</f>
        <v>0</v>
      </c>
      <c r="B28" s="19" t="str">
        <f>"'"&amp;装备!B29&amp;"'"</f>
        <v>'E102'</v>
      </c>
      <c r="C28" s="19">
        <f>装备!J29</f>
        <v>0</v>
      </c>
      <c r="D28" s="19">
        <f>装备!K29</f>
        <v>0</v>
      </c>
      <c r="E28" s="19">
        <f>装备!L29</f>
        <v>0</v>
      </c>
      <c r="F28" s="19">
        <f>装备!M29</f>
        <v>0</v>
      </c>
      <c r="G28" s="19">
        <f>装备!N29</f>
        <v>0</v>
      </c>
      <c r="H28" s="19">
        <f>装备!O29</f>
        <v>0</v>
      </c>
      <c r="I28" s="19">
        <f>IF(装备!J29=0,0,"'"&amp;装备!J29&amp;"'")</f>
        <v>0</v>
      </c>
      <c r="J28" s="19">
        <f>IF(装备!K29=0,0,"'"&amp;装备!K29&amp;"'")</f>
        <v>0</v>
      </c>
      <c r="K28" s="19">
        <f>IF(装备!L29=0,0,"'"&amp;装备!L29&amp;"'")</f>
        <v>0</v>
      </c>
      <c r="L28" s="19">
        <f>IF(装备!M29=0,0,"'"&amp;装备!M29&amp;"'")</f>
        <v>0</v>
      </c>
      <c r="M28" s="19">
        <f>IF(装备!N29=0,0,"'"&amp;装备!N29&amp;"'")</f>
        <v>0</v>
      </c>
      <c r="N28" s="19">
        <f>IF(装备!O29=0,0,"'"&amp;装备!O29&amp;"'")</f>
        <v>0</v>
      </c>
      <c r="O28" s="19" t="str">
        <f t="shared" si="8"/>
        <v/>
      </c>
      <c r="P28" s="19" t="str">
        <f t="shared" si="1"/>
        <v/>
      </c>
      <c r="Q28" s="23" t="str">
        <f>IFERROR(VLOOKUP(C28,装备!$B:$E,3,FALSE),"")</f>
        <v/>
      </c>
      <c r="R28" s="23" t="str">
        <f>IFERROR(VLOOKUP(D28,装备!$B:$E,3,FALSE),"")</f>
        <v/>
      </c>
      <c r="S28" s="23" t="str">
        <f>IFERROR(VLOOKUP(E28,装备!$B:$E,3,FALSE),"")</f>
        <v/>
      </c>
      <c r="T28" s="23" t="str">
        <f>IFERROR(VLOOKUP(F28,装备!$B:$E,3,FALSE),"")</f>
        <v/>
      </c>
      <c r="U28" s="23" t="str">
        <f>IFERROR(VLOOKUP(G28,装备!$B:$E,3,FALSE),"")</f>
        <v/>
      </c>
      <c r="V28" s="23" t="str">
        <f>IFERROR(VLOOKUP(H28,装备!$B:$E,3,FALSE),"")</f>
        <v/>
      </c>
      <c r="W28" s="18" t="str">
        <f t="shared" si="9"/>
        <v/>
      </c>
      <c r="X28" s="18" t="str">
        <f t="shared" si="10"/>
        <v/>
      </c>
      <c r="Y28" s="18" t="str">
        <f t="shared" si="11"/>
        <v/>
      </c>
      <c r="Z28" s="18" t="str">
        <f t="shared" si="12"/>
        <v/>
      </c>
      <c r="AA28" s="18" t="str">
        <f t="shared" si="13"/>
        <v/>
      </c>
      <c r="AB28" s="18" t="str">
        <f t="shared" si="14"/>
        <v>|n=0</v>
      </c>
    </row>
    <row r="29" spans="1:28">
      <c r="A29" s="19">
        <f>装备!A30</f>
        <v>0</v>
      </c>
      <c r="B29" s="19" t="str">
        <f>"'"&amp;装备!B30&amp;"'"</f>
        <v>'E103'</v>
      </c>
      <c r="C29" s="19">
        <f>装备!J30</f>
        <v>0</v>
      </c>
      <c r="D29" s="19">
        <f>装备!K30</f>
        <v>0</v>
      </c>
      <c r="E29" s="19">
        <f>装备!L30</f>
        <v>0</v>
      </c>
      <c r="F29" s="19">
        <f>装备!M30</f>
        <v>0</v>
      </c>
      <c r="G29" s="19">
        <f>装备!N30</f>
        <v>0</v>
      </c>
      <c r="H29" s="19">
        <f>装备!O30</f>
        <v>0</v>
      </c>
      <c r="I29" s="19">
        <f>IF(装备!J30=0,0,"'"&amp;装备!J30&amp;"'")</f>
        <v>0</v>
      </c>
      <c r="J29" s="19">
        <f>IF(装备!K30=0,0,"'"&amp;装备!K30&amp;"'")</f>
        <v>0</v>
      </c>
      <c r="K29" s="19">
        <f>IF(装备!L30=0,0,"'"&amp;装备!L30&amp;"'")</f>
        <v>0</v>
      </c>
      <c r="L29" s="19">
        <f>IF(装备!M30=0,0,"'"&amp;装备!M30&amp;"'")</f>
        <v>0</v>
      </c>
      <c r="M29" s="19">
        <f>IF(装备!N30=0,0,"'"&amp;装备!N30&amp;"'")</f>
        <v>0</v>
      </c>
      <c r="N29" s="19">
        <f>IF(装备!O30=0,0,"'"&amp;装备!O30&amp;"'")</f>
        <v>0</v>
      </c>
      <c r="O29" s="19" t="str">
        <f t="shared" si="8"/>
        <v/>
      </c>
      <c r="P29" s="19" t="str">
        <f t="shared" si="1"/>
        <v/>
      </c>
      <c r="Q29" s="23" t="str">
        <f>IFERROR(VLOOKUP(C29,装备!$B:$E,3,FALSE),"")</f>
        <v/>
      </c>
      <c r="R29" s="23" t="str">
        <f>IFERROR(VLOOKUP(D29,装备!$B:$E,3,FALSE),"")</f>
        <v/>
      </c>
      <c r="S29" s="23" t="str">
        <f>IFERROR(VLOOKUP(E29,装备!$B:$E,3,FALSE),"")</f>
        <v/>
      </c>
      <c r="T29" s="23" t="str">
        <f>IFERROR(VLOOKUP(F29,装备!$B:$E,3,FALSE),"")</f>
        <v/>
      </c>
      <c r="U29" s="23" t="str">
        <f>IFERROR(VLOOKUP(G29,装备!$B:$E,3,FALSE),"")</f>
        <v/>
      </c>
      <c r="V29" s="23" t="str">
        <f>IFERROR(VLOOKUP(H29,装备!$B:$E,3,FALSE),"")</f>
        <v/>
      </c>
      <c r="W29" s="18" t="str">
        <f t="shared" si="9"/>
        <v/>
      </c>
      <c r="X29" s="18" t="str">
        <f t="shared" si="10"/>
        <v/>
      </c>
      <c r="Y29" s="18" t="str">
        <f t="shared" si="11"/>
        <v/>
      </c>
      <c r="Z29" s="18" t="str">
        <f t="shared" si="12"/>
        <v/>
      </c>
      <c r="AA29" s="18" t="str">
        <f t="shared" si="13"/>
        <v/>
      </c>
      <c r="AB29" s="18" t="str">
        <f t="shared" si="14"/>
        <v>|n=0</v>
      </c>
    </row>
    <row r="30" spans="1:28">
      <c r="A30" s="19">
        <f>装备!A31</f>
        <v>0</v>
      </c>
      <c r="B30" s="19" t="str">
        <f>"'"&amp;装备!B31&amp;"'"</f>
        <v>'E104'</v>
      </c>
      <c r="C30" s="19">
        <f>装备!J31</f>
        <v>0</v>
      </c>
      <c r="D30" s="19">
        <f>装备!K31</f>
        <v>0</v>
      </c>
      <c r="E30" s="19">
        <f>装备!L31</f>
        <v>0</v>
      </c>
      <c r="F30" s="19">
        <f>装备!M31</f>
        <v>0</v>
      </c>
      <c r="G30" s="19">
        <f>装备!N31</f>
        <v>0</v>
      </c>
      <c r="H30" s="19">
        <f>装备!O31</f>
        <v>0</v>
      </c>
      <c r="I30" s="19">
        <f>IF(装备!J31=0,0,"'"&amp;装备!J31&amp;"'")</f>
        <v>0</v>
      </c>
      <c r="J30" s="19">
        <f>IF(装备!K31=0,0,"'"&amp;装备!K31&amp;"'")</f>
        <v>0</v>
      </c>
      <c r="K30" s="19">
        <f>IF(装备!L31=0,0,"'"&amp;装备!L31&amp;"'")</f>
        <v>0</v>
      </c>
      <c r="L30" s="19">
        <f>IF(装备!M31=0,0,"'"&amp;装备!M31&amp;"'")</f>
        <v>0</v>
      </c>
      <c r="M30" s="19">
        <f>IF(装备!N31=0,0,"'"&amp;装备!N31&amp;"'")</f>
        <v>0</v>
      </c>
      <c r="N30" s="19">
        <f>IF(装备!O31=0,0,"'"&amp;装备!O31&amp;"'")</f>
        <v>0</v>
      </c>
      <c r="O30" s="19" t="str">
        <f t="shared" si="8"/>
        <v/>
      </c>
      <c r="P30" s="19" t="str">
        <f t="shared" si="1"/>
        <v/>
      </c>
      <c r="Q30" s="23" t="str">
        <f>IFERROR(VLOOKUP(C30,装备!$B:$E,3,FALSE),"")</f>
        <v/>
      </c>
      <c r="R30" s="23" t="str">
        <f>IFERROR(VLOOKUP(D30,装备!$B:$E,3,FALSE),"")</f>
        <v/>
      </c>
      <c r="S30" s="23" t="str">
        <f>IFERROR(VLOOKUP(E30,装备!$B:$E,3,FALSE),"")</f>
        <v/>
      </c>
      <c r="T30" s="23" t="str">
        <f>IFERROR(VLOOKUP(F30,装备!$B:$E,3,FALSE),"")</f>
        <v/>
      </c>
      <c r="U30" s="23" t="str">
        <f>IFERROR(VLOOKUP(G30,装备!$B:$E,3,FALSE),"")</f>
        <v/>
      </c>
      <c r="V30" s="23" t="str">
        <f>IFERROR(VLOOKUP(H30,装备!$B:$E,3,FALSE),"")</f>
        <v/>
      </c>
      <c r="W30" s="18" t="str">
        <f t="shared" si="9"/>
        <v/>
      </c>
      <c r="X30" s="18" t="str">
        <f t="shared" si="10"/>
        <v/>
      </c>
      <c r="Y30" s="18" t="str">
        <f t="shared" si="11"/>
        <v/>
      </c>
      <c r="Z30" s="18" t="str">
        <f t="shared" si="12"/>
        <v/>
      </c>
      <c r="AA30" s="18" t="str">
        <f t="shared" si="13"/>
        <v/>
      </c>
      <c r="AB30" s="18" t="str">
        <f t="shared" si="14"/>
        <v>|n=0</v>
      </c>
    </row>
    <row r="31" spans="1:28">
      <c r="A31" s="19">
        <f>装备!A32</f>
        <v>0</v>
      </c>
      <c r="B31" s="19" t="str">
        <f>"'"&amp;装备!B32&amp;"'"</f>
        <v>'E105'</v>
      </c>
      <c r="C31" s="19">
        <f>装备!J32</f>
        <v>0</v>
      </c>
      <c r="D31" s="19">
        <f>装备!K32</f>
        <v>0</v>
      </c>
      <c r="E31" s="19">
        <f>装备!L32</f>
        <v>0</v>
      </c>
      <c r="F31" s="19">
        <f>装备!M32</f>
        <v>0</v>
      </c>
      <c r="G31" s="19">
        <f>装备!N32</f>
        <v>0</v>
      </c>
      <c r="H31" s="19">
        <f>装备!O32</f>
        <v>0</v>
      </c>
      <c r="I31" s="19">
        <f>IF(装备!J32=0,0,"'"&amp;装备!J32&amp;"'")</f>
        <v>0</v>
      </c>
      <c r="J31" s="19">
        <f>IF(装备!K32=0,0,"'"&amp;装备!K32&amp;"'")</f>
        <v>0</v>
      </c>
      <c r="K31" s="19">
        <f>IF(装备!L32=0,0,"'"&amp;装备!L32&amp;"'")</f>
        <v>0</v>
      </c>
      <c r="L31" s="19">
        <f>IF(装备!M32=0,0,"'"&amp;装备!M32&amp;"'")</f>
        <v>0</v>
      </c>
      <c r="M31" s="19">
        <f>IF(装备!N32=0,0,"'"&amp;装备!N32&amp;"'")</f>
        <v>0</v>
      </c>
      <c r="N31" s="19">
        <f>IF(装备!O32=0,0,"'"&amp;装备!O32&amp;"'")</f>
        <v>0</v>
      </c>
      <c r="O31" s="19" t="str">
        <f t="shared" si="8"/>
        <v/>
      </c>
      <c r="P31" s="19" t="str">
        <f t="shared" si="1"/>
        <v/>
      </c>
      <c r="Q31" s="23" t="str">
        <f>IFERROR(VLOOKUP(C31,装备!$B:$E,3,FALSE),"")</f>
        <v/>
      </c>
      <c r="R31" s="23" t="str">
        <f>IFERROR(VLOOKUP(D31,装备!$B:$E,3,FALSE),"")</f>
        <v/>
      </c>
      <c r="S31" s="23" t="str">
        <f>IFERROR(VLOOKUP(E31,装备!$B:$E,3,FALSE),"")</f>
        <v/>
      </c>
      <c r="T31" s="23" t="str">
        <f>IFERROR(VLOOKUP(F31,装备!$B:$E,3,FALSE),"")</f>
        <v/>
      </c>
      <c r="U31" s="23" t="str">
        <f>IFERROR(VLOOKUP(G31,装备!$B:$E,3,FALSE),"")</f>
        <v/>
      </c>
      <c r="V31" s="23" t="str">
        <f>IFERROR(VLOOKUP(H31,装备!$B:$E,3,FALSE),"")</f>
        <v/>
      </c>
      <c r="W31" s="18" t="str">
        <f t="shared" si="9"/>
        <v/>
      </c>
      <c r="X31" s="18" t="str">
        <f t="shared" si="10"/>
        <v/>
      </c>
      <c r="Y31" s="18" t="str">
        <f t="shared" si="11"/>
        <v/>
      </c>
      <c r="Z31" s="18" t="str">
        <f t="shared" si="12"/>
        <v/>
      </c>
      <c r="AA31" s="18" t="str">
        <f t="shared" si="13"/>
        <v/>
      </c>
      <c r="AB31" s="18" t="str">
        <f t="shared" si="14"/>
        <v>|n=0</v>
      </c>
    </row>
    <row r="32" spans="1:28">
      <c r="A32" s="19">
        <f>装备!A33</f>
        <v>0</v>
      </c>
      <c r="B32" s="19" t="str">
        <f>"'"&amp;装备!B33&amp;"'"</f>
        <v>'E106'</v>
      </c>
      <c r="C32" s="19">
        <f>装备!J33</f>
        <v>0</v>
      </c>
      <c r="D32" s="19">
        <f>装备!K33</f>
        <v>0</v>
      </c>
      <c r="E32" s="19">
        <f>装备!L33</f>
        <v>0</v>
      </c>
      <c r="F32" s="19">
        <f>装备!M33</f>
        <v>0</v>
      </c>
      <c r="G32" s="19">
        <f>装备!N33</f>
        <v>0</v>
      </c>
      <c r="H32" s="19">
        <f>装备!O33</f>
        <v>0</v>
      </c>
      <c r="I32" s="19">
        <f>IF(装备!J33=0,0,"'"&amp;装备!J33&amp;"'")</f>
        <v>0</v>
      </c>
      <c r="J32" s="19">
        <f>IF(装备!K33=0,0,"'"&amp;装备!K33&amp;"'")</f>
        <v>0</v>
      </c>
      <c r="K32" s="19">
        <f>IF(装备!L33=0,0,"'"&amp;装备!L33&amp;"'")</f>
        <v>0</v>
      </c>
      <c r="L32" s="19">
        <f>IF(装备!M33=0,0,"'"&amp;装备!M33&amp;"'")</f>
        <v>0</v>
      </c>
      <c r="M32" s="19">
        <f>IF(装备!N33=0,0,"'"&amp;装备!N33&amp;"'")</f>
        <v>0</v>
      </c>
      <c r="N32" s="19">
        <f>IF(装备!O33=0,0,"'"&amp;装备!O33&amp;"'")</f>
        <v>0</v>
      </c>
      <c r="O32" s="19" t="str">
        <f t="shared" si="8"/>
        <v/>
      </c>
      <c r="P32" s="19" t="str">
        <f t="shared" si="1"/>
        <v/>
      </c>
      <c r="Q32" s="23" t="str">
        <f>IFERROR(VLOOKUP(C32,装备!$B:$E,3,FALSE),"")</f>
        <v/>
      </c>
      <c r="R32" s="23" t="str">
        <f>IFERROR(VLOOKUP(D32,装备!$B:$E,3,FALSE),"")</f>
        <v/>
      </c>
      <c r="S32" s="23" t="str">
        <f>IFERROR(VLOOKUP(E32,装备!$B:$E,3,FALSE),"")</f>
        <v/>
      </c>
      <c r="T32" s="23" t="str">
        <f>IFERROR(VLOOKUP(F32,装备!$B:$E,3,FALSE),"")</f>
        <v/>
      </c>
      <c r="U32" s="23" t="str">
        <f>IFERROR(VLOOKUP(G32,装备!$B:$E,3,FALSE),"")</f>
        <v/>
      </c>
      <c r="V32" s="23" t="str">
        <f>IFERROR(VLOOKUP(H32,装备!$B:$E,3,FALSE),"")</f>
        <v/>
      </c>
      <c r="W32" s="18" t="str">
        <f t="shared" si="9"/>
        <v/>
      </c>
      <c r="X32" s="18" t="str">
        <f t="shared" si="10"/>
        <v/>
      </c>
      <c r="Y32" s="18" t="str">
        <f t="shared" si="11"/>
        <v/>
      </c>
      <c r="Z32" s="18" t="str">
        <f t="shared" si="12"/>
        <v/>
      </c>
      <c r="AA32" s="18" t="str">
        <f t="shared" si="13"/>
        <v/>
      </c>
      <c r="AB32" s="18" t="str">
        <f t="shared" si="14"/>
        <v>|n=0</v>
      </c>
    </row>
    <row r="33" spans="1:28">
      <c r="A33" s="19">
        <f>装备!A34</f>
        <v>0</v>
      </c>
      <c r="B33" s="19" t="str">
        <f>"'"&amp;装备!B34&amp;"'"</f>
        <v>'E107'</v>
      </c>
      <c r="C33" s="19">
        <f>装备!J34</f>
        <v>0</v>
      </c>
      <c r="D33" s="19">
        <f>装备!K34</f>
        <v>0</v>
      </c>
      <c r="E33" s="19">
        <f>装备!L34</f>
        <v>0</v>
      </c>
      <c r="F33" s="19">
        <f>装备!M34</f>
        <v>0</v>
      </c>
      <c r="G33" s="19">
        <f>装备!N34</f>
        <v>0</v>
      </c>
      <c r="H33" s="19">
        <f>装备!O34</f>
        <v>0</v>
      </c>
      <c r="I33" s="19">
        <f>IF(装备!J34=0,0,"'"&amp;装备!J34&amp;"'")</f>
        <v>0</v>
      </c>
      <c r="J33" s="19">
        <f>IF(装备!K34=0,0,"'"&amp;装备!K34&amp;"'")</f>
        <v>0</v>
      </c>
      <c r="K33" s="19">
        <f>IF(装备!L34=0,0,"'"&amp;装备!L34&amp;"'")</f>
        <v>0</v>
      </c>
      <c r="L33" s="19">
        <f>IF(装备!M34=0,0,"'"&amp;装备!M34&amp;"'")</f>
        <v>0</v>
      </c>
      <c r="M33" s="19">
        <f>IF(装备!N34=0,0,"'"&amp;装备!N34&amp;"'")</f>
        <v>0</v>
      </c>
      <c r="N33" s="19">
        <f>IF(装备!O34=0,0,"'"&amp;装备!O34&amp;"'")</f>
        <v>0</v>
      </c>
      <c r="O33" s="19" t="str">
        <f t="shared" si="8"/>
        <v/>
      </c>
      <c r="P33" s="19" t="str">
        <f t="shared" si="1"/>
        <v/>
      </c>
      <c r="Q33" s="23" t="str">
        <f>IFERROR(VLOOKUP(C33,装备!$B:$E,3,FALSE),"")</f>
        <v/>
      </c>
      <c r="R33" s="23" t="str">
        <f>IFERROR(VLOOKUP(D33,装备!$B:$E,3,FALSE),"")</f>
        <v/>
      </c>
      <c r="S33" s="23" t="str">
        <f>IFERROR(VLOOKUP(E33,装备!$B:$E,3,FALSE),"")</f>
        <v/>
      </c>
      <c r="T33" s="23" t="str">
        <f>IFERROR(VLOOKUP(F33,装备!$B:$E,3,FALSE),"")</f>
        <v/>
      </c>
      <c r="U33" s="23" t="str">
        <f>IFERROR(VLOOKUP(G33,装备!$B:$E,3,FALSE),"")</f>
        <v/>
      </c>
      <c r="V33" s="23" t="str">
        <f>IFERROR(VLOOKUP(H33,装备!$B:$E,3,FALSE),"")</f>
        <v/>
      </c>
      <c r="W33" s="18" t="str">
        <f t="shared" si="9"/>
        <v/>
      </c>
      <c r="X33" s="18" t="str">
        <f t="shared" si="10"/>
        <v/>
      </c>
      <c r="Y33" s="18" t="str">
        <f t="shared" si="11"/>
        <v/>
      </c>
      <c r="Z33" s="18" t="str">
        <f t="shared" si="12"/>
        <v/>
      </c>
      <c r="AA33" s="18" t="str">
        <f t="shared" si="13"/>
        <v/>
      </c>
      <c r="AB33" s="18" t="str">
        <f t="shared" si="14"/>
        <v>|n=0</v>
      </c>
    </row>
    <row r="34" spans="1:28">
      <c r="A34" s="19">
        <f>装备!A35</f>
        <v>0</v>
      </c>
      <c r="B34" s="19" t="str">
        <f>"'"&amp;装备!B35&amp;"'"</f>
        <v>'E108'</v>
      </c>
      <c r="C34" s="19">
        <f>装备!J35</f>
        <v>0</v>
      </c>
      <c r="D34" s="19">
        <f>装备!K35</f>
        <v>0</v>
      </c>
      <c r="E34" s="19">
        <f>装备!L35</f>
        <v>0</v>
      </c>
      <c r="F34" s="19">
        <f>装备!M35</f>
        <v>0</v>
      </c>
      <c r="G34" s="19">
        <f>装备!N35</f>
        <v>0</v>
      </c>
      <c r="H34" s="19">
        <f>装备!O35</f>
        <v>0</v>
      </c>
      <c r="I34" s="19">
        <f>IF(装备!J35=0,0,"'"&amp;装备!J35&amp;"'")</f>
        <v>0</v>
      </c>
      <c r="J34" s="19">
        <f>IF(装备!K35=0,0,"'"&amp;装备!K35&amp;"'")</f>
        <v>0</v>
      </c>
      <c r="K34" s="19">
        <f>IF(装备!L35=0,0,"'"&amp;装备!L35&amp;"'")</f>
        <v>0</v>
      </c>
      <c r="L34" s="19">
        <f>IF(装备!M35=0,0,"'"&amp;装备!M35&amp;"'")</f>
        <v>0</v>
      </c>
      <c r="M34" s="19">
        <f>IF(装备!N35=0,0,"'"&amp;装备!N35&amp;"'")</f>
        <v>0</v>
      </c>
      <c r="N34" s="19">
        <f>IF(装备!O35=0,0,"'"&amp;装备!O35&amp;"'")</f>
        <v>0</v>
      </c>
      <c r="O34" s="19" t="str">
        <f t="shared" si="8"/>
        <v/>
      </c>
      <c r="P34" s="19" t="str">
        <f t="shared" ref="P34:P65" si="15">IFERROR(VLOOKUP(A34,Q:AB,12,FALSE),IFERROR(VLOOKUP(A34,R:AB,11,FALSE),IFERROR(VLOOKUP(A34,S:AB,10,FALSE),"")))</f>
        <v/>
      </c>
      <c r="Q34" s="23" t="str">
        <f>IFERROR(VLOOKUP(C34,装备!$B:$E,3,FALSE),"")</f>
        <v/>
      </c>
      <c r="R34" s="23" t="str">
        <f>IFERROR(VLOOKUP(D34,装备!$B:$E,3,FALSE),"")</f>
        <v/>
      </c>
      <c r="S34" s="23" t="str">
        <f>IFERROR(VLOOKUP(E34,装备!$B:$E,3,FALSE),"")</f>
        <v/>
      </c>
      <c r="T34" s="23" t="str">
        <f>IFERROR(VLOOKUP(F34,装备!$B:$E,3,FALSE),"")</f>
        <v/>
      </c>
      <c r="U34" s="23" t="str">
        <f>IFERROR(VLOOKUP(G34,装备!$B:$E,3,FALSE),"")</f>
        <v/>
      </c>
      <c r="V34" s="23" t="str">
        <f>IFERROR(VLOOKUP(H34,装备!$B:$E,3,FALSE),"")</f>
        <v/>
      </c>
      <c r="W34" s="18" t="str">
        <f t="shared" si="9"/>
        <v/>
      </c>
      <c r="X34" s="18" t="str">
        <f t="shared" si="10"/>
        <v/>
      </c>
      <c r="Y34" s="18" t="str">
        <f t="shared" si="11"/>
        <v/>
      </c>
      <c r="Z34" s="18" t="str">
        <f t="shared" si="12"/>
        <v/>
      </c>
      <c r="AA34" s="18" t="str">
        <f t="shared" si="13"/>
        <v/>
      </c>
      <c r="AB34" s="18" t="str">
        <f t="shared" si="14"/>
        <v>|n=0</v>
      </c>
    </row>
    <row r="35" spans="1:28">
      <c r="A35" s="19">
        <f>装备!A36</f>
        <v>0</v>
      </c>
      <c r="B35" s="19" t="str">
        <f>"'"&amp;装备!B36&amp;"'"</f>
        <v>'E109'</v>
      </c>
      <c r="C35" s="19">
        <f>装备!J36</f>
        <v>0</v>
      </c>
      <c r="D35" s="19">
        <f>装备!K36</f>
        <v>0</v>
      </c>
      <c r="E35" s="19">
        <f>装备!L36</f>
        <v>0</v>
      </c>
      <c r="F35" s="19">
        <f>装备!M36</f>
        <v>0</v>
      </c>
      <c r="G35" s="19">
        <f>装备!N36</f>
        <v>0</v>
      </c>
      <c r="H35" s="19">
        <f>装备!O36</f>
        <v>0</v>
      </c>
      <c r="I35" s="19">
        <f>IF(装备!J36=0,0,"'"&amp;装备!J36&amp;"'")</f>
        <v>0</v>
      </c>
      <c r="J35" s="19">
        <f>IF(装备!K36=0,0,"'"&amp;装备!K36&amp;"'")</f>
        <v>0</v>
      </c>
      <c r="K35" s="19">
        <f>IF(装备!L36=0,0,"'"&amp;装备!L36&amp;"'")</f>
        <v>0</v>
      </c>
      <c r="L35" s="19">
        <f>IF(装备!M36=0,0,"'"&amp;装备!M36&amp;"'")</f>
        <v>0</v>
      </c>
      <c r="M35" s="19">
        <f>IF(装备!N36=0,0,"'"&amp;装备!N36&amp;"'")</f>
        <v>0</v>
      </c>
      <c r="N35" s="19">
        <f>IF(装备!O36=0,0,"'"&amp;装备!O36&amp;"'")</f>
        <v>0</v>
      </c>
      <c r="O35" s="19" t="str">
        <f t="shared" si="8"/>
        <v/>
      </c>
      <c r="P35" s="19" t="str">
        <f t="shared" si="15"/>
        <v/>
      </c>
      <c r="Q35" s="23" t="str">
        <f>IFERROR(VLOOKUP(C35,装备!$B:$E,3,FALSE),"")</f>
        <v/>
      </c>
      <c r="R35" s="23" t="str">
        <f>IFERROR(VLOOKUP(D35,装备!$B:$E,3,FALSE),"")</f>
        <v/>
      </c>
      <c r="S35" s="23" t="str">
        <f>IFERROR(VLOOKUP(E35,装备!$B:$E,3,FALSE),"")</f>
        <v/>
      </c>
      <c r="T35" s="23" t="str">
        <f>IFERROR(VLOOKUP(F35,装备!$B:$E,3,FALSE),"")</f>
        <v/>
      </c>
      <c r="U35" s="23" t="str">
        <f>IFERROR(VLOOKUP(G35,装备!$B:$E,3,FALSE),"")</f>
        <v/>
      </c>
      <c r="V35" s="23" t="str">
        <f>IFERROR(VLOOKUP(H35,装备!$B:$E,3,FALSE),"")</f>
        <v/>
      </c>
      <c r="W35" s="18" t="str">
        <f t="shared" si="9"/>
        <v/>
      </c>
      <c r="X35" s="18" t="str">
        <f t="shared" si="10"/>
        <v/>
      </c>
      <c r="Y35" s="18" t="str">
        <f t="shared" si="11"/>
        <v/>
      </c>
      <c r="Z35" s="18" t="str">
        <f t="shared" si="12"/>
        <v/>
      </c>
      <c r="AA35" s="18" t="str">
        <f t="shared" si="13"/>
        <v/>
      </c>
      <c r="AB35" s="18" t="str">
        <f t="shared" si="14"/>
        <v>|n=0</v>
      </c>
    </row>
    <row r="36" spans="1:28">
      <c r="A36" s="19">
        <f>装备!A37</f>
        <v>0</v>
      </c>
      <c r="B36" s="19" t="str">
        <f>"'"&amp;装备!B37&amp;"'"</f>
        <v>'E110'</v>
      </c>
      <c r="C36" s="19">
        <f>装备!J37</f>
        <v>0</v>
      </c>
      <c r="D36" s="19">
        <f>装备!K37</f>
        <v>0</v>
      </c>
      <c r="E36" s="19">
        <f>装备!L37</f>
        <v>0</v>
      </c>
      <c r="F36" s="19">
        <f>装备!M37</f>
        <v>0</v>
      </c>
      <c r="G36" s="19">
        <f>装备!N37</f>
        <v>0</v>
      </c>
      <c r="H36" s="19">
        <f>装备!O37</f>
        <v>0</v>
      </c>
      <c r="I36" s="19">
        <f>IF(装备!J37=0,0,"'"&amp;装备!J37&amp;"'")</f>
        <v>0</v>
      </c>
      <c r="J36" s="19">
        <f>IF(装备!K37=0,0,"'"&amp;装备!K37&amp;"'")</f>
        <v>0</v>
      </c>
      <c r="K36" s="19">
        <f>IF(装备!L37=0,0,"'"&amp;装备!L37&amp;"'")</f>
        <v>0</v>
      </c>
      <c r="L36" s="19">
        <f>IF(装备!M37=0,0,"'"&amp;装备!M37&amp;"'")</f>
        <v>0</v>
      </c>
      <c r="M36" s="19">
        <f>IF(装备!N37=0,0,"'"&amp;装备!N37&amp;"'")</f>
        <v>0</v>
      </c>
      <c r="N36" s="19">
        <f>IF(装备!O37=0,0,"'"&amp;装备!O37&amp;"'")</f>
        <v>0</v>
      </c>
      <c r="O36" s="19" t="str">
        <f t="shared" si="8"/>
        <v/>
      </c>
      <c r="P36" s="19" t="str">
        <f t="shared" si="15"/>
        <v/>
      </c>
      <c r="Q36" s="23" t="str">
        <f>IFERROR(VLOOKUP(C36,装备!$B:$E,3,FALSE),"")</f>
        <v/>
      </c>
      <c r="R36" s="23" t="str">
        <f>IFERROR(VLOOKUP(D36,装备!$B:$E,3,FALSE),"")</f>
        <v/>
      </c>
      <c r="S36" s="23" t="str">
        <f>IFERROR(VLOOKUP(E36,装备!$B:$E,3,FALSE),"")</f>
        <v/>
      </c>
      <c r="T36" s="23" t="str">
        <f>IFERROR(VLOOKUP(F36,装备!$B:$E,3,FALSE),"")</f>
        <v/>
      </c>
      <c r="U36" s="23" t="str">
        <f>IFERROR(VLOOKUP(G36,装备!$B:$E,3,FALSE),"")</f>
        <v/>
      </c>
      <c r="V36" s="23" t="str">
        <f>IFERROR(VLOOKUP(H36,装备!$B:$E,3,FALSE),"")</f>
        <v/>
      </c>
      <c r="W36" s="18" t="str">
        <f t="shared" si="9"/>
        <v/>
      </c>
      <c r="X36" s="18" t="str">
        <f t="shared" si="10"/>
        <v/>
      </c>
      <c r="Y36" s="18" t="str">
        <f t="shared" si="11"/>
        <v/>
      </c>
      <c r="Z36" s="18" t="str">
        <f t="shared" si="12"/>
        <v/>
      </c>
      <c r="AA36" s="18" t="str">
        <f t="shared" si="13"/>
        <v/>
      </c>
      <c r="AB36" s="18" t="str">
        <f t="shared" si="14"/>
        <v>|n=0</v>
      </c>
    </row>
    <row r="37" spans="1:28">
      <c r="A37" s="19">
        <f>装备!A38</f>
        <v>0</v>
      </c>
      <c r="B37" s="19" t="str">
        <f>"'"&amp;装备!B38&amp;"'"</f>
        <v>'E111'</v>
      </c>
      <c r="C37" s="19">
        <f>装备!J38</f>
        <v>0</v>
      </c>
      <c r="D37" s="19">
        <f>装备!K38</f>
        <v>0</v>
      </c>
      <c r="E37" s="19">
        <f>装备!L38</f>
        <v>0</v>
      </c>
      <c r="F37" s="19">
        <f>装备!M38</f>
        <v>0</v>
      </c>
      <c r="G37" s="19">
        <f>装备!N38</f>
        <v>0</v>
      </c>
      <c r="H37" s="19">
        <f>装备!O38</f>
        <v>0</v>
      </c>
      <c r="I37" s="19">
        <f>IF(装备!J38=0,0,"'"&amp;装备!J38&amp;"'")</f>
        <v>0</v>
      </c>
      <c r="J37" s="19">
        <f>IF(装备!K38=0,0,"'"&amp;装备!K38&amp;"'")</f>
        <v>0</v>
      </c>
      <c r="K37" s="19">
        <f>IF(装备!L38=0,0,"'"&amp;装备!L38&amp;"'")</f>
        <v>0</v>
      </c>
      <c r="L37" s="19">
        <f>IF(装备!M38=0,0,"'"&amp;装备!M38&amp;"'")</f>
        <v>0</v>
      </c>
      <c r="M37" s="19">
        <f>IF(装备!N38=0,0,"'"&amp;装备!N38&amp;"'")</f>
        <v>0</v>
      </c>
      <c r="N37" s="19">
        <f>IF(装备!O38=0,0,"'"&amp;装备!O38&amp;"'")</f>
        <v>0</v>
      </c>
      <c r="O37" s="19" t="str">
        <f t="shared" si="8"/>
        <v/>
      </c>
      <c r="P37" s="19" t="str">
        <f t="shared" si="15"/>
        <v/>
      </c>
      <c r="Q37" s="23" t="str">
        <f>IFERROR(VLOOKUP(C37,装备!$B:$E,3,FALSE),"")</f>
        <v/>
      </c>
      <c r="R37" s="23" t="str">
        <f>IFERROR(VLOOKUP(D37,装备!$B:$E,3,FALSE),"")</f>
        <v/>
      </c>
      <c r="S37" s="23" t="str">
        <f>IFERROR(VLOOKUP(E37,装备!$B:$E,3,FALSE),"")</f>
        <v/>
      </c>
      <c r="T37" s="23" t="str">
        <f>IFERROR(VLOOKUP(F37,装备!$B:$E,3,FALSE),"")</f>
        <v/>
      </c>
      <c r="U37" s="23" t="str">
        <f>IFERROR(VLOOKUP(G37,装备!$B:$E,3,FALSE),"")</f>
        <v/>
      </c>
      <c r="V37" s="23" t="str">
        <f>IFERROR(VLOOKUP(H37,装备!$B:$E,3,FALSE),"")</f>
        <v/>
      </c>
      <c r="W37" s="18" t="str">
        <f t="shared" si="9"/>
        <v/>
      </c>
      <c r="X37" s="18" t="str">
        <f t="shared" si="10"/>
        <v/>
      </c>
      <c r="Y37" s="18" t="str">
        <f t="shared" si="11"/>
        <v/>
      </c>
      <c r="Z37" s="18" t="str">
        <f t="shared" si="12"/>
        <v/>
      </c>
      <c r="AA37" s="18" t="str">
        <f t="shared" si="13"/>
        <v/>
      </c>
      <c r="AB37" s="18" t="str">
        <f t="shared" si="14"/>
        <v>|n=0</v>
      </c>
    </row>
    <row r="38" spans="1:28">
      <c r="A38" s="19">
        <f>装备!A39</f>
        <v>0</v>
      </c>
      <c r="B38" s="19" t="str">
        <f>"'"&amp;装备!B39&amp;"'"</f>
        <v>'E112'</v>
      </c>
      <c r="C38" s="19">
        <f>装备!J39</f>
        <v>0</v>
      </c>
      <c r="D38" s="19">
        <f>装备!K39</f>
        <v>0</v>
      </c>
      <c r="E38" s="19">
        <f>装备!L39</f>
        <v>0</v>
      </c>
      <c r="F38" s="19">
        <f>装备!M39</f>
        <v>0</v>
      </c>
      <c r="G38" s="19">
        <f>装备!N39</f>
        <v>0</v>
      </c>
      <c r="H38" s="19">
        <f>装备!O39</f>
        <v>0</v>
      </c>
      <c r="I38" s="19">
        <f>IF(装备!J39=0,0,"'"&amp;装备!J39&amp;"'")</f>
        <v>0</v>
      </c>
      <c r="J38" s="19">
        <f>IF(装备!K39=0,0,"'"&amp;装备!K39&amp;"'")</f>
        <v>0</v>
      </c>
      <c r="K38" s="19">
        <f>IF(装备!L39=0,0,"'"&amp;装备!L39&amp;"'")</f>
        <v>0</v>
      </c>
      <c r="L38" s="19">
        <f>IF(装备!M39=0,0,"'"&amp;装备!M39&amp;"'")</f>
        <v>0</v>
      </c>
      <c r="M38" s="19">
        <f>IF(装备!N39=0,0,"'"&amp;装备!N39&amp;"'")</f>
        <v>0</v>
      </c>
      <c r="N38" s="19">
        <f>IF(装备!O39=0,0,"'"&amp;装备!O39&amp;"'")</f>
        <v>0</v>
      </c>
      <c r="O38" s="19" t="str">
        <f t="shared" si="8"/>
        <v/>
      </c>
      <c r="P38" s="19" t="str">
        <f t="shared" si="15"/>
        <v/>
      </c>
      <c r="Q38" s="23" t="str">
        <f>IFERROR(VLOOKUP(C38,装备!$B:$E,3,FALSE),"")</f>
        <v/>
      </c>
      <c r="R38" s="23" t="str">
        <f>IFERROR(VLOOKUP(D38,装备!$B:$E,3,FALSE),"")</f>
        <v/>
      </c>
      <c r="S38" s="23" t="str">
        <f>IFERROR(VLOOKUP(E38,装备!$B:$E,3,FALSE),"")</f>
        <v/>
      </c>
      <c r="T38" s="23" t="str">
        <f>IFERROR(VLOOKUP(F38,装备!$B:$E,3,FALSE),"")</f>
        <v/>
      </c>
      <c r="U38" s="23" t="str">
        <f>IFERROR(VLOOKUP(G38,装备!$B:$E,3,FALSE),"")</f>
        <v/>
      </c>
      <c r="V38" s="23" t="str">
        <f>IFERROR(VLOOKUP(H38,装备!$B:$E,3,FALSE),"")</f>
        <v/>
      </c>
      <c r="W38" s="18" t="str">
        <f t="shared" si="9"/>
        <v/>
      </c>
      <c r="X38" s="18" t="str">
        <f t="shared" si="10"/>
        <v/>
      </c>
      <c r="Y38" s="18" t="str">
        <f t="shared" si="11"/>
        <v/>
      </c>
      <c r="Z38" s="18" t="str">
        <f t="shared" si="12"/>
        <v/>
      </c>
      <c r="AA38" s="18" t="str">
        <f t="shared" si="13"/>
        <v/>
      </c>
      <c r="AB38" s="18" t="str">
        <f t="shared" si="14"/>
        <v>|n=0</v>
      </c>
    </row>
    <row r="39" spans="1:28">
      <c r="A39" s="19">
        <f>装备!A40</f>
        <v>0</v>
      </c>
      <c r="B39" s="19" t="str">
        <f>"'"&amp;装备!B40&amp;"'"</f>
        <v>'E113'</v>
      </c>
      <c r="C39" s="19">
        <f>装备!J40</f>
        <v>0</v>
      </c>
      <c r="D39" s="19">
        <f>装备!K40</f>
        <v>0</v>
      </c>
      <c r="E39" s="19">
        <f>装备!L40</f>
        <v>0</v>
      </c>
      <c r="F39" s="19">
        <f>装备!M40</f>
        <v>0</v>
      </c>
      <c r="G39" s="19">
        <f>装备!N40</f>
        <v>0</v>
      </c>
      <c r="H39" s="19">
        <f>装备!O40</f>
        <v>0</v>
      </c>
      <c r="I39" s="19">
        <f>IF(装备!J40=0,0,"'"&amp;装备!J40&amp;"'")</f>
        <v>0</v>
      </c>
      <c r="J39" s="19">
        <f>IF(装备!K40=0,0,"'"&amp;装备!K40&amp;"'")</f>
        <v>0</v>
      </c>
      <c r="K39" s="19">
        <f>IF(装备!L40=0,0,"'"&amp;装备!L40&amp;"'")</f>
        <v>0</v>
      </c>
      <c r="L39" s="19">
        <f>IF(装备!M40=0,0,"'"&amp;装备!M40&amp;"'")</f>
        <v>0</v>
      </c>
      <c r="M39" s="19">
        <f>IF(装备!N40=0,0,"'"&amp;装备!N40&amp;"'")</f>
        <v>0</v>
      </c>
      <c r="N39" s="19">
        <f>IF(装备!O40=0,0,"'"&amp;装备!O40&amp;"'")</f>
        <v>0</v>
      </c>
      <c r="O39" s="19" t="str">
        <f t="shared" si="8"/>
        <v/>
      </c>
      <c r="P39" s="19" t="str">
        <f t="shared" si="15"/>
        <v/>
      </c>
      <c r="Q39" s="23" t="str">
        <f>IFERROR(VLOOKUP(C39,装备!$B:$E,3,FALSE),"")</f>
        <v/>
      </c>
      <c r="R39" s="23" t="str">
        <f>IFERROR(VLOOKUP(D39,装备!$B:$E,3,FALSE),"")</f>
        <v/>
      </c>
      <c r="S39" s="23" t="str">
        <f>IFERROR(VLOOKUP(E39,装备!$B:$E,3,FALSE),"")</f>
        <v/>
      </c>
      <c r="T39" s="23" t="str">
        <f>IFERROR(VLOOKUP(F39,装备!$B:$E,3,FALSE),"")</f>
        <v/>
      </c>
      <c r="U39" s="23" t="str">
        <f>IFERROR(VLOOKUP(G39,装备!$B:$E,3,FALSE),"")</f>
        <v/>
      </c>
      <c r="V39" s="23" t="str">
        <f>IFERROR(VLOOKUP(H39,装备!$B:$E,3,FALSE),"")</f>
        <v/>
      </c>
      <c r="W39" s="18" t="str">
        <f t="shared" si="9"/>
        <v/>
      </c>
      <c r="X39" s="18" t="str">
        <f t="shared" si="10"/>
        <v/>
      </c>
      <c r="Y39" s="18" t="str">
        <f t="shared" si="11"/>
        <v/>
      </c>
      <c r="Z39" s="18" t="str">
        <f t="shared" si="12"/>
        <v/>
      </c>
      <c r="AA39" s="18" t="str">
        <f t="shared" si="13"/>
        <v/>
      </c>
      <c r="AB39" s="18" t="str">
        <f t="shared" si="14"/>
        <v>|n=0</v>
      </c>
    </row>
    <row r="40" spans="1:28">
      <c r="A40" s="19">
        <f>装备!A41</f>
        <v>0</v>
      </c>
      <c r="B40" s="19" t="str">
        <f>"'"&amp;装备!B41&amp;"'"</f>
        <v>'E114'</v>
      </c>
      <c r="C40" s="19">
        <f>装备!J41</f>
        <v>0</v>
      </c>
      <c r="D40" s="19">
        <f>装备!K41</f>
        <v>0</v>
      </c>
      <c r="E40" s="19">
        <f>装备!L41</f>
        <v>0</v>
      </c>
      <c r="F40" s="19">
        <f>装备!M41</f>
        <v>0</v>
      </c>
      <c r="G40" s="19">
        <f>装备!N41</f>
        <v>0</v>
      </c>
      <c r="H40" s="19">
        <f>装备!O41</f>
        <v>0</v>
      </c>
      <c r="I40" s="19">
        <f>IF(装备!J41=0,0,"'"&amp;装备!J41&amp;"'")</f>
        <v>0</v>
      </c>
      <c r="J40" s="19">
        <f>IF(装备!K41=0,0,"'"&amp;装备!K41&amp;"'")</f>
        <v>0</v>
      </c>
      <c r="K40" s="19">
        <f>IF(装备!L41=0,0,"'"&amp;装备!L41&amp;"'")</f>
        <v>0</v>
      </c>
      <c r="L40" s="19">
        <f>IF(装备!M41=0,0,"'"&amp;装备!M41&amp;"'")</f>
        <v>0</v>
      </c>
      <c r="M40" s="19">
        <f>IF(装备!N41=0,0,"'"&amp;装备!N41&amp;"'")</f>
        <v>0</v>
      </c>
      <c r="N40" s="19">
        <f>IF(装备!O41=0,0,"'"&amp;装备!O41&amp;"'")</f>
        <v>0</v>
      </c>
      <c r="O40" s="19" t="str">
        <f t="shared" si="8"/>
        <v/>
      </c>
      <c r="P40" s="19" t="str">
        <f t="shared" si="15"/>
        <v/>
      </c>
      <c r="Q40" s="23" t="str">
        <f>IFERROR(VLOOKUP(C40,装备!$B:$E,3,FALSE),"")</f>
        <v/>
      </c>
      <c r="R40" s="23" t="str">
        <f>IFERROR(VLOOKUP(D40,装备!$B:$E,3,FALSE),"")</f>
        <v/>
      </c>
      <c r="S40" s="23" t="str">
        <f>IFERROR(VLOOKUP(E40,装备!$B:$E,3,FALSE),"")</f>
        <v/>
      </c>
      <c r="T40" s="23" t="str">
        <f>IFERROR(VLOOKUP(F40,装备!$B:$E,3,FALSE),"")</f>
        <v/>
      </c>
      <c r="U40" s="23" t="str">
        <f>IFERROR(VLOOKUP(G40,装备!$B:$E,3,FALSE),"")</f>
        <v/>
      </c>
      <c r="V40" s="23" t="str">
        <f>IFERROR(VLOOKUP(H40,装备!$B:$E,3,FALSE),"")</f>
        <v/>
      </c>
      <c r="W40" s="18" t="str">
        <f t="shared" si="9"/>
        <v/>
      </c>
      <c r="X40" s="18" t="str">
        <f t="shared" si="10"/>
        <v/>
      </c>
      <c r="Y40" s="18" t="str">
        <f t="shared" si="11"/>
        <v/>
      </c>
      <c r="Z40" s="18" t="str">
        <f t="shared" si="12"/>
        <v/>
      </c>
      <c r="AA40" s="18" t="str">
        <f t="shared" si="13"/>
        <v/>
      </c>
      <c r="AB40" s="18" t="str">
        <f t="shared" si="14"/>
        <v>|n=0</v>
      </c>
    </row>
    <row r="41" spans="1:28">
      <c r="A41" s="19">
        <f>装备!A42</f>
        <v>0</v>
      </c>
      <c r="B41" s="19" t="str">
        <f>"'"&amp;装备!B42&amp;"'"</f>
        <v>'E115'</v>
      </c>
      <c r="C41" s="19">
        <f>装备!J42</f>
        <v>0</v>
      </c>
      <c r="D41" s="19">
        <f>装备!K42</f>
        <v>0</v>
      </c>
      <c r="E41" s="19">
        <f>装备!L42</f>
        <v>0</v>
      </c>
      <c r="F41" s="19">
        <f>装备!M42</f>
        <v>0</v>
      </c>
      <c r="G41" s="19">
        <f>装备!N42</f>
        <v>0</v>
      </c>
      <c r="H41" s="19">
        <f>装备!O42</f>
        <v>0</v>
      </c>
      <c r="I41" s="19">
        <f>IF(装备!J42=0,0,"'"&amp;装备!J42&amp;"'")</f>
        <v>0</v>
      </c>
      <c r="J41" s="19">
        <f>IF(装备!K42=0,0,"'"&amp;装备!K42&amp;"'")</f>
        <v>0</v>
      </c>
      <c r="K41" s="19">
        <f>IF(装备!L42=0,0,"'"&amp;装备!L42&amp;"'")</f>
        <v>0</v>
      </c>
      <c r="L41" s="19">
        <f>IF(装备!M42=0,0,"'"&amp;装备!M42&amp;"'")</f>
        <v>0</v>
      </c>
      <c r="M41" s="19">
        <f>IF(装备!N42=0,0,"'"&amp;装备!N42&amp;"'")</f>
        <v>0</v>
      </c>
      <c r="N41" s="19">
        <f>IF(装备!O42=0,0,"'"&amp;装备!O42&amp;"'")</f>
        <v>0</v>
      </c>
      <c r="O41" s="19" t="str">
        <f t="shared" si="8"/>
        <v/>
      </c>
      <c r="P41" s="19" t="str">
        <f t="shared" si="15"/>
        <v/>
      </c>
      <c r="Q41" s="23" t="str">
        <f>IFERROR(VLOOKUP(C41,装备!$B:$E,3,FALSE),"")</f>
        <v/>
      </c>
      <c r="R41" s="23" t="str">
        <f>IFERROR(VLOOKUP(D41,装备!$B:$E,3,FALSE),"")</f>
        <v/>
      </c>
      <c r="S41" s="23" t="str">
        <f>IFERROR(VLOOKUP(E41,装备!$B:$E,3,FALSE),"")</f>
        <v/>
      </c>
      <c r="T41" s="23" t="str">
        <f>IFERROR(VLOOKUP(F41,装备!$B:$E,3,FALSE),"")</f>
        <v/>
      </c>
      <c r="U41" s="23" t="str">
        <f>IFERROR(VLOOKUP(G41,装备!$B:$E,3,FALSE),"")</f>
        <v/>
      </c>
      <c r="V41" s="23" t="str">
        <f>IFERROR(VLOOKUP(H41,装备!$B:$E,3,FALSE),"")</f>
        <v/>
      </c>
      <c r="W41" s="18" t="str">
        <f t="shared" si="9"/>
        <v/>
      </c>
      <c r="X41" s="18" t="str">
        <f t="shared" si="10"/>
        <v/>
      </c>
      <c r="Y41" s="18" t="str">
        <f t="shared" si="11"/>
        <v/>
      </c>
      <c r="Z41" s="18" t="str">
        <f t="shared" si="12"/>
        <v/>
      </c>
      <c r="AA41" s="18" t="str">
        <f t="shared" si="13"/>
        <v/>
      </c>
      <c r="AB41" s="18" t="str">
        <f t="shared" si="14"/>
        <v>|n=0</v>
      </c>
    </row>
    <row r="42" spans="1:28">
      <c r="A42" s="19">
        <f>装备!A43</f>
        <v>0</v>
      </c>
      <c r="B42" s="19" t="str">
        <f>"'"&amp;装备!B43&amp;"'"</f>
        <v>'E116'</v>
      </c>
      <c r="C42" s="19">
        <f>装备!J43</f>
        <v>0</v>
      </c>
      <c r="D42" s="19">
        <f>装备!K43</f>
        <v>0</v>
      </c>
      <c r="E42" s="19">
        <f>装备!L43</f>
        <v>0</v>
      </c>
      <c r="F42" s="19">
        <f>装备!M43</f>
        <v>0</v>
      </c>
      <c r="G42" s="19">
        <f>装备!N43</f>
        <v>0</v>
      </c>
      <c r="H42" s="19">
        <f>装备!O43</f>
        <v>0</v>
      </c>
      <c r="I42" s="19">
        <f>IF(装备!J43=0,0,"'"&amp;装备!J43&amp;"'")</f>
        <v>0</v>
      </c>
      <c r="J42" s="19">
        <f>IF(装备!K43=0,0,"'"&amp;装备!K43&amp;"'")</f>
        <v>0</v>
      </c>
      <c r="K42" s="19">
        <f>IF(装备!L43=0,0,"'"&amp;装备!L43&amp;"'")</f>
        <v>0</v>
      </c>
      <c r="L42" s="19">
        <f>IF(装备!M43=0,0,"'"&amp;装备!M43&amp;"'")</f>
        <v>0</v>
      </c>
      <c r="M42" s="19">
        <f>IF(装备!N43=0,0,"'"&amp;装备!N43&amp;"'")</f>
        <v>0</v>
      </c>
      <c r="N42" s="19">
        <f>IF(装备!O43=0,0,"'"&amp;装备!O43&amp;"'")</f>
        <v>0</v>
      </c>
      <c r="O42" s="19" t="str">
        <f t="shared" si="8"/>
        <v/>
      </c>
      <c r="P42" s="19" t="str">
        <f t="shared" si="15"/>
        <v/>
      </c>
      <c r="Q42" s="23" t="str">
        <f>IFERROR(VLOOKUP(C42,装备!$B:$E,3,FALSE),"")</f>
        <v/>
      </c>
      <c r="R42" s="23" t="str">
        <f>IFERROR(VLOOKUP(D42,装备!$B:$E,3,FALSE),"")</f>
        <v/>
      </c>
      <c r="S42" s="23" t="str">
        <f>IFERROR(VLOOKUP(E42,装备!$B:$E,3,FALSE),"")</f>
        <v/>
      </c>
      <c r="T42" s="23" t="str">
        <f>IFERROR(VLOOKUP(F42,装备!$B:$E,3,FALSE),"")</f>
        <v/>
      </c>
      <c r="U42" s="23" t="str">
        <f>IFERROR(VLOOKUP(G42,装备!$B:$E,3,FALSE),"")</f>
        <v/>
      </c>
      <c r="V42" s="23" t="str">
        <f>IFERROR(VLOOKUP(H42,装备!$B:$E,3,FALSE),"")</f>
        <v/>
      </c>
      <c r="W42" s="18" t="str">
        <f t="shared" si="9"/>
        <v/>
      </c>
      <c r="X42" s="18" t="str">
        <f t="shared" si="10"/>
        <v/>
      </c>
      <c r="Y42" s="18" t="str">
        <f t="shared" si="11"/>
        <v/>
      </c>
      <c r="Z42" s="18" t="str">
        <f t="shared" si="12"/>
        <v/>
      </c>
      <c r="AA42" s="18" t="str">
        <f t="shared" si="13"/>
        <v/>
      </c>
      <c r="AB42" s="18" t="str">
        <f t="shared" si="14"/>
        <v>|n=0</v>
      </c>
    </row>
    <row r="43" spans="1:28">
      <c r="A43" s="19">
        <f>装备!A44</f>
        <v>0</v>
      </c>
      <c r="B43" s="19" t="str">
        <f>"'"&amp;装备!B44&amp;"'"</f>
        <v>'E117'</v>
      </c>
      <c r="C43" s="19">
        <f>装备!J44</f>
        <v>0</v>
      </c>
      <c r="D43" s="19">
        <f>装备!K44</f>
        <v>0</v>
      </c>
      <c r="E43" s="19">
        <f>装备!L44</f>
        <v>0</v>
      </c>
      <c r="F43" s="19">
        <f>装备!M44</f>
        <v>0</v>
      </c>
      <c r="G43" s="19">
        <f>装备!N44</f>
        <v>0</v>
      </c>
      <c r="H43" s="19">
        <f>装备!O44</f>
        <v>0</v>
      </c>
      <c r="I43" s="19">
        <f>IF(装备!J44=0,0,"'"&amp;装备!J44&amp;"'")</f>
        <v>0</v>
      </c>
      <c r="J43" s="19">
        <f>IF(装备!K44=0,0,"'"&amp;装备!K44&amp;"'")</f>
        <v>0</v>
      </c>
      <c r="K43" s="19">
        <f>IF(装备!L44=0,0,"'"&amp;装备!L44&amp;"'")</f>
        <v>0</v>
      </c>
      <c r="L43" s="19">
        <f>IF(装备!M44=0,0,"'"&amp;装备!M44&amp;"'")</f>
        <v>0</v>
      </c>
      <c r="M43" s="19">
        <f>IF(装备!N44=0,0,"'"&amp;装备!N44&amp;"'")</f>
        <v>0</v>
      </c>
      <c r="N43" s="19">
        <f>IF(装备!O44=0,0,"'"&amp;装备!O44&amp;"'")</f>
        <v>0</v>
      </c>
      <c r="O43" s="19" t="str">
        <f t="shared" si="8"/>
        <v/>
      </c>
      <c r="P43" s="19" t="str">
        <f t="shared" si="15"/>
        <v/>
      </c>
      <c r="Q43" s="23" t="str">
        <f>IFERROR(VLOOKUP(C43,装备!$B:$E,3,FALSE),"")</f>
        <v/>
      </c>
      <c r="R43" s="23" t="str">
        <f>IFERROR(VLOOKUP(D43,装备!$B:$E,3,FALSE),"")</f>
        <v/>
      </c>
      <c r="S43" s="23" t="str">
        <f>IFERROR(VLOOKUP(E43,装备!$B:$E,3,FALSE),"")</f>
        <v/>
      </c>
      <c r="T43" s="23" t="str">
        <f>IFERROR(VLOOKUP(F43,装备!$B:$E,3,FALSE),"")</f>
        <v/>
      </c>
      <c r="U43" s="23" t="str">
        <f>IFERROR(VLOOKUP(G43,装备!$B:$E,3,FALSE),"")</f>
        <v/>
      </c>
      <c r="V43" s="23" t="str">
        <f>IFERROR(VLOOKUP(H43,装备!$B:$E,3,FALSE),"")</f>
        <v/>
      </c>
      <c r="W43" s="18" t="str">
        <f t="shared" si="9"/>
        <v/>
      </c>
      <c r="X43" s="18" t="str">
        <f t="shared" si="10"/>
        <v/>
      </c>
      <c r="Y43" s="18" t="str">
        <f t="shared" si="11"/>
        <v/>
      </c>
      <c r="Z43" s="18" t="str">
        <f t="shared" si="12"/>
        <v/>
      </c>
      <c r="AA43" s="18" t="str">
        <f t="shared" si="13"/>
        <v/>
      </c>
      <c r="AB43" s="18" t="str">
        <f t="shared" si="14"/>
        <v>|n=0</v>
      </c>
    </row>
    <row r="44" spans="1:28">
      <c r="A44" s="19">
        <f>装备!A45</f>
        <v>0</v>
      </c>
      <c r="B44" s="19" t="str">
        <f>"'"&amp;装备!B45&amp;"'"</f>
        <v>'E118'</v>
      </c>
      <c r="C44" s="19">
        <f>装备!J45</f>
        <v>0</v>
      </c>
      <c r="D44" s="19">
        <f>装备!K45</f>
        <v>0</v>
      </c>
      <c r="E44" s="19">
        <f>装备!L45</f>
        <v>0</v>
      </c>
      <c r="F44" s="19">
        <f>装备!M45</f>
        <v>0</v>
      </c>
      <c r="G44" s="19">
        <f>装备!N45</f>
        <v>0</v>
      </c>
      <c r="H44" s="19">
        <f>装备!O45</f>
        <v>0</v>
      </c>
      <c r="I44" s="19">
        <f>IF(装备!J45=0,0,"'"&amp;装备!J45&amp;"'")</f>
        <v>0</v>
      </c>
      <c r="J44" s="19">
        <f>IF(装备!K45=0,0,"'"&amp;装备!K45&amp;"'")</f>
        <v>0</v>
      </c>
      <c r="K44" s="19">
        <f>IF(装备!L45=0,0,"'"&amp;装备!L45&amp;"'")</f>
        <v>0</v>
      </c>
      <c r="L44" s="19">
        <f>IF(装备!M45=0,0,"'"&amp;装备!M45&amp;"'")</f>
        <v>0</v>
      </c>
      <c r="M44" s="19">
        <f>IF(装备!N45=0,0,"'"&amp;装备!N45&amp;"'")</f>
        <v>0</v>
      </c>
      <c r="N44" s="19">
        <f>IF(装备!O45=0,0,"'"&amp;装备!O45&amp;"'")</f>
        <v>0</v>
      </c>
      <c r="O44" s="19" t="str">
        <f t="shared" si="8"/>
        <v/>
      </c>
      <c r="P44" s="19" t="str">
        <f t="shared" si="15"/>
        <v/>
      </c>
      <c r="Q44" s="23" t="str">
        <f>IFERROR(VLOOKUP(C44,装备!$B:$E,3,FALSE),"")</f>
        <v/>
      </c>
      <c r="R44" s="23" t="str">
        <f>IFERROR(VLOOKUP(D44,装备!$B:$E,3,FALSE),"")</f>
        <v/>
      </c>
      <c r="S44" s="23" t="str">
        <f>IFERROR(VLOOKUP(E44,装备!$B:$E,3,FALSE),"")</f>
        <v/>
      </c>
      <c r="T44" s="23" t="str">
        <f>IFERROR(VLOOKUP(F44,装备!$B:$E,3,FALSE),"")</f>
        <v/>
      </c>
      <c r="U44" s="23" t="str">
        <f>IFERROR(VLOOKUP(G44,装备!$B:$E,3,FALSE),"")</f>
        <v/>
      </c>
      <c r="V44" s="23" t="str">
        <f>IFERROR(VLOOKUP(H44,装备!$B:$E,3,FALSE),"")</f>
        <v/>
      </c>
      <c r="W44" s="18" t="str">
        <f t="shared" si="9"/>
        <v/>
      </c>
      <c r="X44" s="18" t="str">
        <f t="shared" si="10"/>
        <v/>
      </c>
      <c r="Y44" s="18" t="str">
        <f t="shared" si="11"/>
        <v/>
      </c>
      <c r="Z44" s="18" t="str">
        <f t="shared" si="12"/>
        <v/>
      </c>
      <c r="AA44" s="18" t="str">
        <f t="shared" si="13"/>
        <v/>
      </c>
      <c r="AB44" s="18" t="str">
        <f t="shared" si="14"/>
        <v>|n=0</v>
      </c>
    </row>
    <row r="45" spans="1:28">
      <c r="A45" s="19">
        <f>装备!A46</f>
        <v>0</v>
      </c>
      <c r="B45" s="19" t="str">
        <f>"'"&amp;装备!B46&amp;"'"</f>
        <v>'E119'</v>
      </c>
      <c r="C45" s="19">
        <f>装备!J46</f>
        <v>0</v>
      </c>
      <c r="D45" s="19">
        <f>装备!K46</f>
        <v>0</v>
      </c>
      <c r="E45" s="19">
        <f>装备!L46</f>
        <v>0</v>
      </c>
      <c r="F45" s="19">
        <f>装备!M46</f>
        <v>0</v>
      </c>
      <c r="G45" s="19">
        <f>装备!N46</f>
        <v>0</v>
      </c>
      <c r="H45" s="19">
        <f>装备!O46</f>
        <v>0</v>
      </c>
      <c r="I45" s="19">
        <f>IF(装备!J46=0,0,"'"&amp;装备!J46&amp;"'")</f>
        <v>0</v>
      </c>
      <c r="J45" s="19">
        <f>IF(装备!K46=0,0,"'"&amp;装备!K46&amp;"'")</f>
        <v>0</v>
      </c>
      <c r="K45" s="19">
        <f>IF(装备!L46=0,0,"'"&amp;装备!L46&amp;"'")</f>
        <v>0</v>
      </c>
      <c r="L45" s="19">
        <f>IF(装备!M46=0,0,"'"&amp;装备!M46&amp;"'")</f>
        <v>0</v>
      </c>
      <c r="M45" s="19">
        <f>IF(装备!N46=0,0,"'"&amp;装备!N46&amp;"'")</f>
        <v>0</v>
      </c>
      <c r="N45" s="19">
        <f>IF(装备!O46=0,0,"'"&amp;装备!O46&amp;"'")</f>
        <v>0</v>
      </c>
      <c r="O45" s="19" t="str">
        <f t="shared" si="8"/>
        <v/>
      </c>
      <c r="P45" s="19" t="str">
        <f t="shared" si="15"/>
        <v/>
      </c>
      <c r="Q45" s="23" t="str">
        <f>IFERROR(VLOOKUP(C45,装备!$B:$E,3,FALSE),"")</f>
        <v/>
      </c>
      <c r="R45" s="23" t="str">
        <f>IFERROR(VLOOKUP(D45,装备!$B:$E,3,FALSE),"")</f>
        <v/>
      </c>
      <c r="S45" s="23" t="str">
        <f>IFERROR(VLOOKUP(E45,装备!$B:$E,3,FALSE),"")</f>
        <v/>
      </c>
      <c r="T45" s="23" t="str">
        <f>IFERROR(VLOOKUP(F45,装备!$B:$E,3,FALSE),"")</f>
        <v/>
      </c>
      <c r="U45" s="23" t="str">
        <f>IFERROR(VLOOKUP(G45,装备!$B:$E,3,FALSE),"")</f>
        <v/>
      </c>
      <c r="V45" s="23" t="str">
        <f>IFERROR(VLOOKUP(H45,装备!$B:$E,3,FALSE),"")</f>
        <v/>
      </c>
      <c r="W45" s="18" t="str">
        <f t="shared" si="9"/>
        <v/>
      </c>
      <c r="X45" s="18" t="str">
        <f t="shared" si="10"/>
        <v/>
      </c>
      <c r="Y45" s="18" t="str">
        <f t="shared" si="11"/>
        <v/>
      </c>
      <c r="Z45" s="18" t="str">
        <f t="shared" si="12"/>
        <v/>
      </c>
      <c r="AA45" s="18" t="str">
        <f t="shared" si="13"/>
        <v/>
      </c>
      <c r="AB45" s="18" t="str">
        <f t="shared" si="14"/>
        <v>|n=0</v>
      </c>
    </row>
    <row r="46" spans="1:28">
      <c r="A46" s="19">
        <f>装备!A47</f>
        <v>0</v>
      </c>
      <c r="B46" s="19" t="str">
        <f>"'"&amp;装备!B47&amp;"'"</f>
        <v>'E120'</v>
      </c>
      <c r="C46" s="19">
        <f>装备!J47</f>
        <v>0</v>
      </c>
      <c r="D46" s="19">
        <f>装备!K47</f>
        <v>0</v>
      </c>
      <c r="E46" s="19">
        <f>装备!L47</f>
        <v>0</v>
      </c>
      <c r="F46" s="19">
        <f>装备!M47</f>
        <v>0</v>
      </c>
      <c r="G46" s="19">
        <f>装备!N47</f>
        <v>0</v>
      </c>
      <c r="H46" s="19">
        <f>装备!O47</f>
        <v>0</v>
      </c>
      <c r="I46" s="19">
        <f>IF(装备!J47=0,0,"'"&amp;装备!J47&amp;"'")</f>
        <v>0</v>
      </c>
      <c r="J46" s="19">
        <f>IF(装备!K47=0,0,"'"&amp;装备!K47&amp;"'")</f>
        <v>0</v>
      </c>
      <c r="K46" s="19">
        <f>IF(装备!L47=0,0,"'"&amp;装备!L47&amp;"'")</f>
        <v>0</v>
      </c>
      <c r="L46" s="19">
        <f>IF(装备!M47=0,0,"'"&amp;装备!M47&amp;"'")</f>
        <v>0</v>
      </c>
      <c r="M46" s="19">
        <f>IF(装备!N47=0,0,"'"&amp;装备!N47&amp;"'")</f>
        <v>0</v>
      </c>
      <c r="N46" s="19">
        <f>IF(装备!O47=0,0,"'"&amp;装备!O47&amp;"'")</f>
        <v>0</v>
      </c>
      <c r="O46" s="19" t="str">
        <f t="shared" ref="O46:O76" si="16">IF(I46=0,"","AddItemFormula("&amp;I46&amp;","&amp;J46&amp;","&amp;K46&amp;","&amp;L46&amp;","&amp;M46&amp;","&amp;N46&amp;","&amp;B46&amp;")")</f>
        <v/>
      </c>
      <c r="P46" s="19" t="str">
        <f t="shared" si="15"/>
        <v/>
      </c>
      <c r="Q46" s="23" t="str">
        <f>IFERROR(VLOOKUP(C46,装备!$B:$E,3,FALSE),"")</f>
        <v/>
      </c>
      <c r="R46" s="23" t="str">
        <f>IFERROR(VLOOKUP(D46,装备!$B:$E,3,FALSE),"")</f>
        <v/>
      </c>
      <c r="S46" s="23" t="str">
        <f>IFERROR(VLOOKUP(E46,装备!$B:$E,3,FALSE),"")</f>
        <v/>
      </c>
      <c r="T46" s="23" t="str">
        <f>IFERROR(VLOOKUP(F46,装备!$B:$E,3,FALSE),"")</f>
        <v/>
      </c>
      <c r="U46" s="23" t="str">
        <f>IFERROR(VLOOKUP(G46,装备!$B:$E,3,FALSE),"")</f>
        <v/>
      </c>
      <c r="V46" s="23" t="str">
        <f>IFERROR(VLOOKUP(H46,装备!$B:$E,3,FALSE),"")</f>
        <v/>
      </c>
      <c r="W46" s="18" t="str">
        <f t="shared" ref="W46:W76" si="17">IF(R46="","","+"&amp;R46)</f>
        <v/>
      </c>
      <c r="X46" s="18" t="str">
        <f t="shared" ref="X46:X76" si="18">IF(S46="","","+"&amp;S46)</f>
        <v/>
      </c>
      <c r="Y46" s="18" t="str">
        <f t="shared" ref="Y46:Y76" si="19">IF(T46="","","+"&amp;T46)</f>
        <v/>
      </c>
      <c r="Z46" s="18" t="str">
        <f t="shared" ref="Z46:Z76" si="20">IF(U46="","","+"&amp;U46)</f>
        <v/>
      </c>
      <c r="AA46" s="18" t="str">
        <f t="shared" ref="AA46:AA76" si="21">IF(V46="","","+"&amp;V46)</f>
        <v/>
      </c>
      <c r="AB46" s="18" t="str">
        <f t="shared" ref="AB46:AB76" si="22">"|n"&amp;Q46&amp;W46&amp;X46&amp;Y46&amp;Z46&amp;AA46&amp;"="&amp;A46</f>
        <v>|n=0</v>
      </c>
    </row>
    <row r="47" spans="1:28">
      <c r="A47" s="19">
        <f>装备!A48</f>
        <v>0</v>
      </c>
      <c r="B47" s="19" t="str">
        <f>"'"&amp;装备!B48&amp;"'"</f>
        <v>'E121'</v>
      </c>
      <c r="C47" s="19">
        <f>装备!J48</f>
        <v>0</v>
      </c>
      <c r="D47" s="19">
        <f>装备!K48</f>
        <v>0</v>
      </c>
      <c r="E47" s="19">
        <f>装备!L48</f>
        <v>0</v>
      </c>
      <c r="F47" s="19">
        <f>装备!M48</f>
        <v>0</v>
      </c>
      <c r="G47" s="19">
        <f>装备!N48</f>
        <v>0</v>
      </c>
      <c r="H47" s="19">
        <f>装备!O48</f>
        <v>0</v>
      </c>
      <c r="I47" s="19">
        <f>IF(装备!J48=0,0,"'"&amp;装备!J48&amp;"'")</f>
        <v>0</v>
      </c>
      <c r="J47" s="19">
        <f>IF(装备!K48=0,0,"'"&amp;装备!K48&amp;"'")</f>
        <v>0</v>
      </c>
      <c r="K47" s="19">
        <f>IF(装备!L48=0,0,"'"&amp;装备!L48&amp;"'")</f>
        <v>0</v>
      </c>
      <c r="L47" s="19">
        <f>IF(装备!M48=0,0,"'"&amp;装备!M48&amp;"'")</f>
        <v>0</v>
      </c>
      <c r="M47" s="19">
        <f>IF(装备!N48=0,0,"'"&amp;装备!N48&amp;"'")</f>
        <v>0</v>
      </c>
      <c r="N47" s="19">
        <f>IF(装备!O48=0,0,"'"&amp;装备!O48&amp;"'")</f>
        <v>0</v>
      </c>
      <c r="O47" s="19" t="str">
        <f t="shared" si="16"/>
        <v/>
      </c>
      <c r="P47" s="19" t="str">
        <f t="shared" si="15"/>
        <v/>
      </c>
      <c r="Q47" s="23" t="str">
        <f>IFERROR(VLOOKUP(C47,装备!$B:$E,3,FALSE),"")</f>
        <v/>
      </c>
      <c r="R47" s="23" t="str">
        <f>IFERROR(VLOOKUP(D47,装备!$B:$E,3,FALSE),"")</f>
        <v/>
      </c>
      <c r="S47" s="23" t="str">
        <f>IFERROR(VLOOKUP(E47,装备!$B:$E,3,FALSE),"")</f>
        <v/>
      </c>
      <c r="T47" s="23" t="str">
        <f>IFERROR(VLOOKUP(F47,装备!$B:$E,3,FALSE),"")</f>
        <v/>
      </c>
      <c r="U47" s="23" t="str">
        <f>IFERROR(VLOOKUP(G47,装备!$B:$E,3,FALSE),"")</f>
        <v/>
      </c>
      <c r="V47" s="23" t="str">
        <f>IFERROR(VLOOKUP(H47,装备!$B:$E,3,FALSE),"")</f>
        <v/>
      </c>
      <c r="W47" s="18" t="str">
        <f t="shared" si="17"/>
        <v/>
      </c>
      <c r="X47" s="18" t="str">
        <f t="shared" si="18"/>
        <v/>
      </c>
      <c r="Y47" s="18" t="str">
        <f t="shared" si="19"/>
        <v/>
      </c>
      <c r="Z47" s="18" t="str">
        <f t="shared" si="20"/>
        <v/>
      </c>
      <c r="AA47" s="18" t="str">
        <f t="shared" si="21"/>
        <v/>
      </c>
      <c r="AB47" s="18" t="str">
        <f t="shared" si="22"/>
        <v>|n=0</v>
      </c>
    </row>
    <row r="48" spans="1:28">
      <c r="A48" s="19">
        <f>装备!A49</f>
        <v>0</v>
      </c>
      <c r="B48" s="19" t="str">
        <f>"'"&amp;装备!B49&amp;"'"</f>
        <v>'E122'</v>
      </c>
      <c r="C48" s="19">
        <f>装备!J49</f>
        <v>0</v>
      </c>
      <c r="D48" s="19">
        <f>装备!K49</f>
        <v>0</v>
      </c>
      <c r="E48" s="19">
        <f>装备!L49</f>
        <v>0</v>
      </c>
      <c r="F48" s="19">
        <f>装备!M49</f>
        <v>0</v>
      </c>
      <c r="G48" s="19">
        <f>装备!N49</f>
        <v>0</v>
      </c>
      <c r="H48" s="19">
        <f>装备!O49</f>
        <v>0</v>
      </c>
      <c r="I48" s="19">
        <f>IF(装备!J49=0,0,"'"&amp;装备!J49&amp;"'")</f>
        <v>0</v>
      </c>
      <c r="J48" s="19">
        <f>IF(装备!K49=0,0,"'"&amp;装备!K49&amp;"'")</f>
        <v>0</v>
      </c>
      <c r="K48" s="19">
        <f>IF(装备!L49=0,0,"'"&amp;装备!L49&amp;"'")</f>
        <v>0</v>
      </c>
      <c r="L48" s="19">
        <f>IF(装备!M49=0,0,"'"&amp;装备!M49&amp;"'")</f>
        <v>0</v>
      </c>
      <c r="M48" s="19">
        <f>IF(装备!N49=0,0,"'"&amp;装备!N49&amp;"'")</f>
        <v>0</v>
      </c>
      <c r="N48" s="19">
        <f>IF(装备!O49=0,0,"'"&amp;装备!O49&amp;"'")</f>
        <v>0</v>
      </c>
      <c r="O48" s="19" t="str">
        <f t="shared" si="16"/>
        <v/>
      </c>
      <c r="P48" s="19" t="str">
        <f t="shared" si="15"/>
        <v/>
      </c>
      <c r="Q48" s="23" t="str">
        <f>IFERROR(VLOOKUP(C48,装备!$B:$E,3,FALSE),"")</f>
        <v/>
      </c>
      <c r="R48" s="23" t="str">
        <f>IFERROR(VLOOKUP(D48,装备!$B:$E,3,FALSE),"")</f>
        <v/>
      </c>
      <c r="S48" s="23" t="str">
        <f>IFERROR(VLOOKUP(E48,装备!$B:$E,3,FALSE),"")</f>
        <v/>
      </c>
      <c r="T48" s="23" t="str">
        <f>IFERROR(VLOOKUP(F48,装备!$B:$E,3,FALSE),"")</f>
        <v/>
      </c>
      <c r="U48" s="23" t="str">
        <f>IFERROR(VLOOKUP(G48,装备!$B:$E,3,FALSE),"")</f>
        <v/>
      </c>
      <c r="V48" s="23" t="str">
        <f>IFERROR(VLOOKUP(H48,装备!$B:$E,3,FALSE),"")</f>
        <v/>
      </c>
      <c r="W48" s="18" t="str">
        <f t="shared" si="17"/>
        <v/>
      </c>
      <c r="X48" s="18" t="str">
        <f t="shared" si="18"/>
        <v/>
      </c>
      <c r="Y48" s="18" t="str">
        <f t="shared" si="19"/>
        <v/>
      </c>
      <c r="Z48" s="18" t="str">
        <f t="shared" si="20"/>
        <v/>
      </c>
      <c r="AA48" s="18" t="str">
        <f t="shared" si="21"/>
        <v/>
      </c>
      <c r="AB48" s="18" t="str">
        <f t="shared" si="22"/>
        <v>|n=0</v>
      </c>
    </row>
    <row r="49" spans="1:28">
      <c r="A49" s="19">
        <f>装备!A50</f>
        <v>0</v>
      </c>
      <c r="B49" s="19" t="str">
        <f>"'"&amp;装备!B50&amp;"'"</f>
        <v>'E123'</v>
      </c>
      <c r="C49" s="19">
        <f>装备!J50</f>
        <v>0</v>
      </c>
      <c r="D49" s="19">
        <f>装备!K50</f>
        <v>0</v>
      </c>
      <c r="E49" s="19">
        <f>装备!L50</f>
        <v>0</v>
      </c>
      <c r="F49" s="19">
        <f>装备!M50</f>
        <v>0</v>
      </c>
      <c r="G49" s="19">
        <f>装备!N50</f>
        <v>0</v>
      </c>
      <c r="H49" s="19">
        <f>装备!O50</f>
        <v>0</v>
      </c>
      <c r="I49" s="19">
        <f>IF(装备!J50=0,0,"'"&amp;装备!J50&amp;"'")</f>
        <v>0</v>
      </c>
      <c r="J49" s="19">
        <f>IF(装备!K50=0,0,"'"&amp;装备!K50&amp;"'")</f>
        <v>0</v>
      </c>
      <c r="K49" s="19">
        <f>IF(装备!L50=0,0,"'"&amp;装备!L50&amp;"'")</f>
        <v>0</v>
      </c>
      <c r="L49" s="19">
        <f>IF(装备!M50=0,0,"'"&amp;装备!M50&amp;"'")</f>
        <v>0</v>
      </c>
      <c r="M49" s="19">
        <f>IF(装备!N50=0,0,"'"&amp;装备!N50&amp;"'")</f>
        <v>0</v>
      </c>
      <c r="N49" s="19">
        <f>IF(装备!O50=0,0,"'"&amp;装备!O50&amp;"'")</f>
        <v>0</v>
      </c>
      <c r="O49" s="19" t="str">
        <f t="shared" si="16"/>
        <v/>
      </c>
      <c r="P49" s="19" t="str">
        <f t="shared" si="15"/>
        <v/>
      </c>
      <c r="Q49" s="23" t="str">
        <f>IFERROR(VLOOKUP(C49,装备!$B:$E,3,FALSE),"")</f>
        <v/>
      </c>
      <c r="R49" s="23" t="str">
        <f>IFERROR(VLOOKUP(D49,装备!$B:$E,3,FALSE),"")</f>
        <v/>
      </c>
      <c r="S49" s="23" t="str">
        <f>IFERROR(VLOOKUP(E49,装备!$B:$E,3,FALSE),"")</f>
        <v/>
      </c>
      <c r="T49" s="23" t="str">
        <f>IFERROR(VLOOKUP(F49,装备!$B:$E,3,FALSE),"")</f>
        <v/>
      </c>
      <c r="U49" s="23" t="str">
        <f>IFERROR(VLOOKUP(G49,装备!$B:$E,3,FALSE),"")</f>
        <v/>
      </c>
      <c r="V49" s="23" t="str">
        <f>IFERROR(VLOOKUP(H49,装备!$B:$E,3,FALSE),"")</f>
        <v/>
      </c>
      <c r="W49" s="18" t="str">
        <f t="shared" si="17"/>
        <v/>
      </c>
      <c r="X49" s="18" t="str">
        <f t="shared" si="18"/>
        <v/>
      </c>
      <c r="Y49" s="18" t="str">
        <f t="shared" si="19"/>
        <v/>
      </c>
      <c r="Z49" s="18" t="str">
        <f t="shared" si="20"/>
        <v/>
      </c>
      <c r="AA49" s="18" t="str">
        <f t="shared" si="21"/>
        <v/>
      </c>
      <c r="AB49" s="18" t="str">
        <f t="shared" si="22"/>
        <v>|n=0</v>
      </c>
    </row>
    <row r="50" spans="1:28">
      <c r="A50" s="19">
        <f>装备!A51</f>
        <v>0</v>
      </c>
      <c r="B50" s="19" t="str">
        <f>"'"&amp;装备!B51&amp;"'"</f>
        <v>'E124'</v>
      </c>
      <c r="C50" s="19">
        <f>装备!J51</f>
        <v>0</v>
      </c>
      <c r="D50" s="19">
        <f>装备!K51</f>
        <v>0</v>
      </c>
      <c r="E50" s="19">
        <f>装备!L51</f>
        <v>0</v>
      </c>
      <c r="F50" s="19">
        <f>装备!M51</f>
        <v>0</v>
      </c>
      <c r="G50" s="19">
        <f>装备!N51</f>
        <v>0</v>
      </c>
      <c r="H50" s="19">
        <f>装备!O51</f>
        <v>0</v>
      </c>
      <c r="I50" s="19">
        <f>IF(装备!J51=0,0,"'"&amp;装备!J51&amp;"'")</f>
        <v>0</v>
      </c>
      <c r="J50" s="19">
        <f>IF(装备!K51=0,0,"'"&amp;装备!K51&amp;"'")</f>
        <v>0</v>
      </c>
      <c r="K50" s="19">
        <f>IF(装备!L51=0,0,"'"&amp;装备!L51&amp;"'")</f>
        <v>0</v>
      </c>
      <c r="L50" s="19">
        <f>IF(装备!M51=0,0,"'"&amp;装备!M51&amp;"'")</f>
        <v>0</v>
      </c>
      <c r="M50" s="19">
        <f>IF(装备!N51=0,0,"'"&amp;装备!N51&amp;"'")</f>
        <v>0</v>
      </c>
      <c r="N50" s="19">
        <f>IF(装备!O51=0,0,"'"&amp;装备!O51&amp;"'")</f>
        <v>0</v>
      </c>
      <c r="O50" s="19" t="str">
        <f t="shared" si="16"/>
        <v/>
      </c>
      <c r="P50" s="19" t="str">
        <f t="shared" si="15"/>
        <v/>
      </c>
      <c r="Q50" s="23" t="str">
        <f>IFERROR(VLOOKUP(C50,装备!$B:$E,3,FALSE),"")</f>
        <v/>
      </c>
      <c r="R50" s="23" t="str">
        <f>IFERROR(VLOOKUP(D50,装备!$B:$E,3,FALSE),"")</f>
        <v/>
      </c>
      <c r="S50" s="23" t="str">
        <f>IFERROR(VLOOKUP(E50,装备!$B:$E,3,FALSE),"")</f>
        <v/>
      </c>
      <c r="T50" s="23" t="str">
        <f>IFERROR(VLOOKUP(F50,装备!$B:$E,3,FALSE),"")</f>
        <v/>
      </c>
      <c r="U50" s="23" t="str">
        <f>IFERROR(VLOOKUP(G50,装备!$B:$E,3,FALSE),"")</f>
        <v/>
      </c>
      <c r="V50" s="23" t="str">
        <f>IFERROR(VLOOKUP(H50,装备!$B:$E,3,FALSE),"")</f>
        <v/>
      </c>
      <c r="W50" s="18" t="str">
        <f t="shared" si="17"/>
        <v/>
      </c>
      <c r="X50" s="18" t="str">
        <f t="shared" si="18"/>
        <v/>
      </c>
      <c r="Y50" s="18" t="str">
        <f t="shared" si="19"/>
        <v/>
      </c>
      <c r="Z50" s="18" t="str">
        <f t="shared" si="20"/>
        <v/>
      </c>
      <c r="AA50" s="18" t="str">
        <f t="shared" si="21"/>
        <v/>
      </c>
      <c r="AB50" s="18" t="str">
        <f t="shared" si="22"/>
        <v>|n=0</v>
      </c>
    </row>
    <row r="51" spans="1:28">
      <c r="A51" s="19">
        <f>装备!A52</f>
        <v>0</v>
      </c>
      <c r="B51" s="19" t="str">
        <f>"'"&amp;装备!B52&amp;"'"</f>
        <v>'E125'</v>
      </c>
      <c r="C51" s="19">
        <f>装备!J52</f>
        <v>0</v>
      </c>
      <c r="D51" s="19">
        <f>装备!K52</f>
        <v>0</v>
      </c>
      <c r="E51" s="19">
        <f>装备!L52</f>
        <v>0</v>
      </c>
      <c r="F51" s="19">
        <f>装备!M52</f>
        <v>0</v>
      </c>
      <c r="G51" s="19">
        <f>装备!N52</f>
        <v>0</v>
      </c>
      <c r="H51" s="19">
        <f>装备!O52</f>
        <v>0</v>
      </c>
      <c r="I51" s="19">
        <f>IF(装备!J52=0,0,"'"&amp;装备!J52&amp;"'")</f>
        <v>0</v>
      </c>
      <c r="J51" s="19">
        <f>IF(装备!K52=0,0,"'"&amp;装备!K52&amp;"'")</f>
        <v>0</v>
      </c>
      <c r="K51" s="19">
        <f>IF(装备!L52=0,0,"'"&amp;装备!L52&amp;"'")</f>
        <v>0</v>
      </c>
      <c r="L51" s="19">
        <f>IF(装备!M52=0,0,"'"&amp;装备!M52&amp;"'")</f>
        <v>0</v>
      </c>
      <c r="M51" s="19">
        <f>IF(装备!N52=0,0,"'"&amp;装备!N52&amp;"'")</f>
        <v>0</v>
      </c>
      <c r="N51" s="19">
        <f>IF(装备!O52=0,0,"'"&amp;装备!O52&amp;"'")</f>
        <v>0</v>
      </c>
      <c r="O51" s="19" t="str">
        <f t="shared" si="16"/>
        <v/>
      </c>
      <c r="P51" s="19" t="str">
        <f t="shared" si="15"/>
        <v/>
      </c>
      <c r="Q51" s="23" t="str">
        <f>IFERROR(VLOOKUP(C51,装备!$B:$E,3,FALSE),"")</f>
        <v/>
      </c>
      <c r="R51" s="23" t="str">
        <f>IFERROR(VLOOKUP(D51,装备!$B:$E,3,FALSE),"")</f>
        <v/>
      </c>
      <c r="S51" s="23" t="str">
        <f>IFERROR(VLOOKUP(E51,装备!$B:$E,3,FALSE),"")</f>
        <v/>
      </c>
      <c r="T51" s="23" t="str">
        <f>IFERROR(VLOOKUP(F51,装备!$B:$E,3,FALSE),"")</f>
        <v/>
      </c>
      <c r="U51" s="23" t="str">
        <f>IFERROR(VLOOKUP(G51,装备!$B:$E,3,FALSE),"")</f>
        <v/>
      </c>
      <c r="V51" s="23" t="str">
        <f>IFERROR(VLOOKUP(H51,装备!$B:$E,3,FALSE),"")</f>
        <v/>
      </c>
      <c r="W51" s="18" t="str">
        <f t="shared" si="17"/>
        <v/>
      </c>
      <c r="X51" s="18" t="str">
        <f t="shared" si="18"/>
        <v/>
      </c>
      <c r="Y51" s="18" t="str">
        <f t="shared" si="19"/>
        <v/>
      </c>
      <c r="Z51" s="18" t="str">
        <f t="shared" si="20"/>
        <v/>
      </c>
      <c r="AA51" s="18" t="str">
        <f t="shared" si="21"/>
        <v/>
      </c>
      <c r="AB51" s="18" t="str">
        <f t="shared" si="22"/>
        <v>|n=0</v>
      </c>
    </row>
    <row r="52" spans="1:28">
      <c r="A52" s="19">
        <f>装备!A53</f>
        <v>0</v>
      </c>
      <c r="B52" s="19" t="str">
        <f>"'"&amp;装备!B53&amp;"'"</f>
        <v>'E201'</v>
      </c>
      <c r="C52" s="19">
        <f>装备!J53</f>
        <v>0</v>
      </c>
      <c r="D52" s="19">
        <f>装备!K53</f>
        <v>0</v>
      </c>
      <c r="E52" s="19">
        <f>装备!L53</f>
        <v>0</v>
      </c>
      <c r="F52" s="19">
        <f>装备!M53</f>
        <v>0</v>
      </c>
      <c r="G52" s="19">
        <f>装备!N53</f>
        <v>0</v>
      </c>
      <c r="H52" s="19">
        <f>装备!O53</f>
        <v>0</v>
      </c>
      <c r="I52" s="19">
        <f>IF(装备!J53=0,0,"'"&amp;装备!J53&amp;"'")</f>
        <v>0</v>
      </c>
      <c r="J52" s="19">
        <f>IF(装备!K53=0,0,"'"&amp;装备!K53&amp;"'")</f>
        <v>0</v>
      </c>
      <c r="K52" s="19">
        <f>IF(装备!L53=0,0,"'"&amp;装备!L53&amp;"'")</f>
        <v>0</v>
      </c>
      <c r="L52" s="19">
        <f>IF(装备!M53=0,0,"'"&amp;装备!M53&amp;"'")</f>
        <v>0</v>
      </c>
      <c r="M52" s="19">
        <f>IF(装备!N53=0,0,"'"&amp;装备!N53&amp;"'")</f>
        <v>0</v>
      </c>
      <c r="N52" s="19">
        <f>IF(装备!O53=0,0,"'"&amp;装备!O53&amp;"'")</f>
        <v>0</v>
      </c>
      <c r="O52" s="19" t="str">
        <f t="shared" si="16"/>
        <v/>
      </c>
      <c r="P52" s="19" t="str">
        <f t="shared" si="15"/>
        <v/>
      </c>
      <c r="Q52" s="23" t="str">
        <f>IFERROR(VLOOKUP(C52,装备!$B:$E,3,FALSE),"")</f>
        <v/>
      </c>
      <c r="R52" s="23" t="str">
        <f>IFERROR(VLOOKUP(D52,装备!$B:$E,3,FALSE),"")</f>
        <v/>
      </c>
      <c r="S52" s="23" t="str">
        <f>IFERROR(VLOOKUP(E52,装备!$B:$E,3,FALSE),"")</f>
        <v/>
      </c>
      <c r="T52" s="23" t="str">
        <f>IFERROR(VLOOKUP(F52,装备!$B:$E,3,FALSE),"")</f>
        <v/>
      </c>
      <c r="U52" s="23" t="str">
        <f>IFERROR(VLOOKUP(G52,装备!$B:$E,3,FALSE),"")</f>
        <v/>
      </c>
      <c r="V52" s="23" t="str">
        <f>IFERROR(VLOOKUP(H52,装备!$B:$E,3,FALSE),"")</f>
        <v/>
      </c>
      <c r="W52" s="18" t="str">
        <f t="shared" si="17"/>
        <v/>
      </c>
      <c r="X52" s="18" t="str">
        <f t="shared" si="18"/>
        <v/>
      </c>
      <c r="Y52" s="18" t="str">
        <f t="shared" si="19"/>
        <v/>
      </c>
      <c r="Z52" s="18" t="str">
        <f t="shared" si="20"/>
        <v/>
      </c>
      <c r="AA52" s="18" t="str">
        <f t="shared" si="21"/>
        <v/>
      </c>
      <c r="AB52" s="18" t="str">
        <f t="shared" si="22"/>
        <v>|n=0</v>
      </c>
    </row>
    <row r="53" spans="1:28">
      <c r="A53" s="19">
        <f>装备!A54</f>
        <v>0</v>
      </c>
      <c r="B53" s="19" t="str">
        <f>"'"&amp;装备!B54&amp;"'"</f>
        <v>'E202'</v>
      </c>
      <c r="C53" s="19">
        <f>装备!J54</f>
        <v>0</v>
      </c>
      <c r="D53" s="19">
        <f>装备!K54</f>
        <v>0</v>
      </c>
      <c r="E53" s="19">
        <f>装备!L54</f>
        <v>0</v>
      </c>
      <c r="F53" s="19">
        <f>装备!M54</f>
        <v>0</v>
      </c>
      <c r="G53" s="19">
        <f>装备!N54</f>
        <v>0</v>
      </c>
      <c r="H53" s="19">
        <f>装备!O54</f>
        <v>0</v>
      </c>
      <c r="I53" s="19">
        <f>IF(装备!J54=0,0,"'"&amp;装备!J54&amp;"'")</f>
        <v>0</v>
      </c>
      <c r="J53" s="19">
        <f>IF(装备!K54=0,0,"'"&amp;装备!K54&amp;"'")</f>
        <v>0</v>
      </c>
      <c r="K53" s="19">
        <f>IF(装备!L54=0,0,"'"&amp;装备!L54&amp;"'")</f>
        <v>0</v>
      </c>
      <c r="L53" s="19">
        <f>IF(装备!M54=0,0,"'"&amp;装备!M54&amp;"'")</f>
        <v>0</v>
      </c>
      <c r="M53" s="19">
        <f>IF(装备!N54=0,0,"'"&amp;装备!N54&amp;"'")</f>
        <v>0</v>
      </c>
      <c r="N53" s="19">
        <f>IF(装备!O54=0,0,"'"&amp;装备!O54&amp;"'")</f>
        <v>0</v>
      </c>
      <c r="O53" s="19" t="str">
        <f t="shared" si="16"/>
        <v/>
      </c>
      <c r="P53" s="19" t="str">
        <f t="shared" si="15"/>
        <v/>
      </c>
      <c r="Q53" s="23" t="str">
        <f>IFERROR(VLOOKUP(C53,装备!$B:$E,3,FALSE),"")</f>
        <v/>
      </c>
      <c r="R53" s="23" t="str">
        <f>IFERROR(VLOOKUP(D53,装备!$B:$E,3,FALSE),"")</f>
        <v/>
      </c>
      <c r="S53" s="23" t="str">
        <f>IFERROR(VLOOKUP(E53,装备!$B:$E,3,FALSE),"")</f>
        <v/>
      </c>
      <c r="T53" s="23" t="str">
        <f>IFERROR(VLOOKUP(F53,装备!$B:$E,3,FALSE),"")</f>
        <v/>
      </c>
      <c r="U53" s="23" t="str">
        <f>IFERROR(VLOOKUP(G53,装备!$B:$E,3,FALSE),"")</f>
        <v/>
      </c>
      <c r="V53" s="23" t="str">
        <f>IFERROR(VLOOKUP(H53,装备!$B:$E,3,FALSE),"")</f>
        <v/>
      </c>
      <c r="W53" s="18" t="str">
        <f t="shared" si="17"/>
        <v/>
      </c>
      <c r="X53" s="18" t="str">
        <f t="shared" si="18"/>
        <v/>
      </c>
      <c r="Y53" s="18" t="str">
        <f t="shared" si="19"/>
        <v/>
      </c>
      <c r="Z53" s="18" t="str">
        <f t="shared" si="20"/>
        <v/>
      </c>
      <c r="AA53" s="18" t="str">
        <f t="shared" si="21"/>
        <v/>
      </c>
      <c r="AB53" s="18" t="str">
        <f t="shared" si="22"/>
        <v>|n=0</v>
      </c>
    </row>
    <row r="54" spans="1:28">
      <c r="A54" s="19">
        <f>装备!A55</f>
        <v>0</v>
      </c>
      <c r="B54" s="19" t="str">
        <f>"'"&amp;装备!B55&amp;"'"</f>
        <v>'E203'</v>
      </c>
      <c r="C54" s="19">
        <f>装备!J55</f>
        <v>0</v>
      </c>
      <c r="D54" s="19">
        <f>装备!K55</f>
        <v>0</v>
      </c>
      <c r="E54" s="19">
        <f>装备!L55</f>
        <v>0</v>
      </c>
      <c r="F54" s="19">
        <f>装备!M55</f>
        <v>0</v>
      </c>
      <c r="G54" s="19">
        <f>装备!N55</f>
        <v>0</v>
      </c>
      <c r="H54" s="19">
        <f>装备!O55</f>
        <v>0</v>
      </c>
      <c r="I54" s="19">
        <f>IF(装备!J55=0,0,"'"&amp;装备!J55&amp;"'")</f>
        <v>0</v>
      </c>
      <c r="J54" s="19">
        <f>IF(装备!K55=0,0,"'"&amp;装备!K55&amp;"'")</f>
        <v>0</v>
      </c>
      <c r="K54" s="19">
        <f>IF(装备!L55=0,0,"'"&amp;装备!L55&amp;"'")</f>
        <v>0</v>
      </c>
      <c r="L54" s="19">
        <f>IF(装备!M55=0,0,"'"&amp;装备!M55&amp;"'")</f>
        <v>0</v>
      </c>
      <c r="M54" s="19">
        <f>IF(装备!N55=0,0,"'"&amp;装备!N55&amp;"'")</f>
        <v>0</v>
      </c>
      <c r="N54" s="19">
        <f>IF(装备!O55=0,0,"'"&amp;装备!O55&amp;"'")</f>
        <v>0</v>
      </c>
      <c r="O54" s="19" t="str">
        <f t="shared" si="16"/>
        <v/>
      </c>
      <c r="P54" s="19" t="str">
        <f t="shared" si="15"/>
        <v/>
      </c>
      <c r="Q54" s="23" t="str">
        <f>IFERROR(VLOOKUP(C54,装备!$B:$E,3,FALSE),"")</f>
        <v/>
      </c>
      <c r="R54" s="23" t="str">
        <f>IFERROR(VLOOKUP(D54,装备!$B:$E,3,FALSE),"")</f>
        <v/>
      </c>
      <c r="S54" s="23" t="str">
        <f>IFERROR(VLOOKUP(E54,装备!$B:$E,3,FALSE),"")</f>
        <v/>
      </c>
      <c r="T54" s="23" t="str">
        <f>IFERROR(VLOOKUP(F54,装备!$B:$E,3,FALSE),"")</f>
        <v/>
      </c>
      <c r="U54" s="23" t="str">
        <f>IFERROR(VLOOKUP(G54,装备!$B:$E,3,FALSE),"")</f>
        <v/>
      </c>
      <c r="V54" s="23" t="str">
        <f>IFERROR(VLOOKUP(H54,装备!$B:$E,3,FALSE),"")</f>
        <v/>
      </c>
      <c r="W54" s="18" t="str">
        <f t="shared" si="17"/>
        <v/>
      </c>
      <c r="X54" s="18" t="str">
        <f t="shared" si="18"/>
        <v/>
      </c>
      <c r="Y54" s="18" t="str">
        <f t="shared" si="19"/>
        <v/>
      </c>
      <c r="Z54" s="18" t="str">
        <f t="shared" si="20"/>
        <v/>
      </c>
      <c r="AA54" s="18" t="str">
        <f t="shared" si="21"/>
        <v/>
      </c>
      <c r="AB54" s="18" t="str">
        <f t="shared" si="22"/>
        <v>|n=0</v>
      </c>
    </row>
    <row r="55" spans="1:28">
      <c r="A55" s="19">
        <f>装备!A56</f>
        <v>0</v>
      </c>
      <c r="B55" s="19" t="str">
        <f>"'"&amp;装备!B56&amp;"'"</f>
        <v>'E204'</v>
      </c>
      <c r="C55" s="19">
        <f>装备!J56</f>
        <v>0</v>
      </c>
      <c r="D55" s="19">
        <f>装备!K56</f>
        <v>0</v>
      </c>
      <c r="E55" s="19">
        <f>装备!L56</f>
        <v>0</v>
      </c>
      <c r="F55" s="19">
        <f>装备!M56</f>
        <v>0</v>
      </c>
      <c r="G55" s="19">
        <f>装备!N56</f>
        <v>0</v>
      </c>
      <c r="H55" s="19">
        <f>装备!O56</f>
        <v>0</v>
      </c>
      <c r="I55" s="19">
        <f>IF(装备!J56=0,0,"'"&amp;装备!J56&amp;"'")</f>
        <v>0</v>
      </c>
      <c r="J55" s="19">
        <f>IF(装备!K56=0,0,"'"&amp;装备!K56&amp;"'")</f>
        <v>0</v>
      </c>
      <c r="K55" s="19">
        <f>IF(装备!L56=0,0,"'"&amp;装备!L56&amp;"'")</f>
        <v>0</v>
      </c>
      <c r="L55" s="19">
        <f>IF(装备!M56=0,0,"'"&amp;装备!M56&amp;"'")</f>
        <v>0</v>
      </c>
      <c r="M55" s="19">
        <f>IF(装备!N56=0,0,"'"&amp;装备!N56&amp;"'")</f>
        <v>0</v>
      </c>
      <c r="N55" s="19">
        <f>IF(装备!O56=0,0,"'"&amp;装备!O56&amp;"'")</f>
        <v>0</v>
      </c>
      <c r="O55" s="19" t="str">
        <f t="shared" si="16"/>
        <v/>
      </c>
      <c r="P55" s="19" t="str">
        <f t="shared" si="15"/>
        <v/>
      </c>
      <c r="Q55" s="23" t="str">
        <f>IFERROR(VLOOKUP(C55,装备!$B:$E,3,FALSE),"")</f>
        <v/>
      </c>
      <c r="R55" s="23" t="str">
        <f>IFERROR(VLOOKUP(D55,装备!$B:$E,3,FALSE),"")</f>
        <v/>
      </c>
      <c r="S55" s="23" t="str">
        <f>IFERROR(VLOOKUP(E55,装备!$B:$E,3,FALSE),"")</f>
        <v/>
      </c>
      <c r="T55" s="23" t="str">
        <f>IFERROR(VLOOKUP(F55,装备!$B:$E,3,FALSE),"")</f>
        <v/>
      </c>
      <c r="U55" s="23" t="str">
        <f>IFERROR(VLOOKUP(G55,装备!$B:$E,3,FALSE),"")</f>
        <v/>
      </c>
      <c r="V55" s="23" t="str">
        <f>IFERROR(VLOOKUP(H55,装备!$B:$E,3,FALSE),"")</f>
        <v/>
      </c>
      <c r="W55" s="18" t="str">
        <f t="shared" si="17"/>
        <v/>
      </c>
      <c r="X55" s="18" t="str">
        <f t="shared" si="18"/>
        <v/>
      </c>
      <c r="Y55" s="18" t="str">
        <f t="shared" si="19"/>
        <v/>
      </c>
      <c r="Z55" s="18" t="str">
        <f t="shared" si="20"/>
        <v/>
      </c>
      <c r="AA55" s="18" t="str">
        <f t="shared" si="21"/>
        <v/>
      </c>
      <c r="AB55" s="18" t="str">
        <f t="shared" si="22"/>
        <v>|n=0</v>
      </c>
    </row>
    <row r="56" spans="1:28">
      <c r="A56" s="19">
        <f>装备!A57</f>
        <v>0</v>
      </c>
      <c r="B56" s="19" t="str">
        <f>"'"&amp;装备!B57&amp;"'"</f>
        <v>'E205'</v>
      </c>
      <c r="C56" s="19">
        <f>装备!J57</f>
        <v>0</v>
      </c>
      <c r="D56" s="19">
        <f>装备!K57</f>
        <v>0</v>
      </c>
      <c r="E56" s="19">
        <f>装备!L57</f>
        <v>0</v>
      </c>
      <c r="F56" s="19">
        <f>装备!M57</f>
        <v>0</v>
      </c>
      <c r="G56" s="19">
        <f>装备!N57</f>
        <v>0</v>
      </c>
      <c r="H56" s="19">
        <f>装备!O57</f>
        <v>0</v>
      </c>
      <c r="I56" s="19">
        <f>IF(装备!J57=0,0,"'"&amp;装备!J57&amp;"'")</f>
        <v>0</v>
      </c>
      <c r="J56" s="19">
        <f>IF(装备!K57=0,0,"'"&amp;装备!K57&amp;"'")</f>
        <v>0</v>
      </c>
      <c r="K56" s="19">
        <f>IF(装备!L57=0,0,"'"&amp;装备!L57&amp;"'")</f>
        <v>0</v>
      </c>
      <c r="L56" s="19">
        <f>IF(装备!M57=0,0,"'"&amp;装备!M57&amp;"'")</f>
        <v>0</v>
      </c>
      <c r="M56" s="19">
        <f>IF(装备!N57=0,0,"'"&amp;装备!N57&amp;"'")</f>
        <v>0</v>
      </c>
      <c r="N56" s="19">
        <f>IF(装备!O57=0,0,"'"&amp;装备!O57&amp;"'")</f>
        <v>0</v>
      </c>
      <c r="O56" s="19" t="str">
        <f t="shared" si="16"/>
        <v/>
      </c>
      <c r="P56" s="19" t="str">
        <f t="shared" si="15"/>
        <v/>
      </c>
      <c r="Q56" s="23" t="str">
        <f>IFERROR(VLOOKUP(C56,装备!$B:$E,3,FALSE),"")</f>
        <v/>
      </c>
      <c r="R56" s="23" t="str">
        <f>IFERROR(VLOOKUP(D56,装备!$B:$E,3,FALSE),"")</f>
        <v/>
      </c>
      <c r="S56" s="23" t="str">
        <f>IFERROR(VLOOKUP(E56,装备!$B:$E,3,FALSE),"")</f>
        <v/>
      </c>
      <c r="T56" s="23" t="str">
        <f>IFERROR(VLOOKUP(F56,装备!$B:$E,3,FALSE),"")</f>
        <v/>
      </c>
      <c r="U56" s="23" t="str">
        <f>IFERROR(VLOOKUP(G56,装备!$B:$E,3,FALSE),"")</f>
        <v/>
      </c>
      <c r="V56" s="23" t="str">
        <f>IFERROR(VLOOKUP(H56,装备!$B:$E,3,FALSE),"")</f>
        <v/>
      </c>
      <c r="W56" s="18" t="str">
        <f t="shared" si="17"/>
        <v/>
      </c>
      <c r="X56" s="18" t="str">
        <f t="shared" si="18"/>
        <v/>
      </c>
      <c r="Y56" s="18" t="str">
        <f t="shared" si="19"/>
        <v/>
      </c>
      <c r="Z56" s="18" t="str">
        <f t="shared" si="20"/>
        <v/>
      </c>
      <c r="AA56" s="18" t="str">
        <f t="shared" si="21"/>
        <v/>
      </c>
      <c r="AB56" s="18" t="str">
        <f t="shared" si="22"/>
        <v>|n=0</v>
      </c>
    </row>
    <row r="57" spans="1:28">
      <c r="A57" s="19">
        <f>装备!A58</f>
        <v>0</v>
      </c>
      <c r="B57" s="19" t="str">
        <f>"'"&amp;装备!B58&amp;"'"</f>
        <v>'E206'</v>
      </c>
      <c r="C57" s="19">
        <f>装备!J58</f>
        <v>0</v>
      </c>
      <c r="D57" s="19">
        <f>装备!K58</f>
        <v>0</v>
      </c>
      <c r="E57" s="19">
        <f>装备!L58</f>
        <v>0</v>
      </c>
      <c r="F57" s="19">
        <f>装备!M58</f>
        <v>0</v>
      </c>
      <c r="G57" s="19">
        <f>装备!N58</f>
        <v>0</v>
      </c>
      <c r="H57" s="19">
        <f>装备!O58</f>
        <v>0</v>
      </c>
      <c r="I57" s="19">
        <f>IF(装备!J58=0,0,"'"&amp;装备!J58&amp;"'")</f>
        <v>0</v>
      </c>
      <c r="J57" s="19">
        <f>IF(装备!K58=0,0,"'"&amp;装备!K58&amp;"'")</f>
        <v>0</v>
      </c>
      <c r="K57" s="19">
        <f>IF(装备!L58=0,0,"'"&amp;装备!L58&amp;"'")</f>
        <v>0</v>
      </c>
      <c r="L57" s="19">
        <f>IF(装备!M58=0,0,"'"&amp;装备!M58&amp;"'")</f>
        <v>0</v>
      </c>
      <c r="M57" s="19">
        <f>IF(装备!N58=0,0,"'"&amp;装备!N58&amp;"'")</f>
        <v>0</v>
      </c>
      <c r="N57" s="19">
        <f>IF(装备!O58=0,0,"'"&amp;装备!O58&amp;"'")</f>
        <v>0</v>
      </c>
      <c r="O57" s="19" t="str">
        <f t="shared" si="16"/>
        <v/>
      </c>
      <c r="P57" s="19" t="str">
        <f t="shared" si="15"/>
        <v/>
      </c>
      <c r="Q57" s="23" t="str">
        <f>IFERROR(VLOOKUP(C57,装备!$B:$E,3,FALSE),"")</f>
        <v/>
      </c>
      <c r="R57" s="23" t="str">
        <f>IFERROR(VLOOKUP(D57,装备!$B:$E,3,FALSE),"")</f>
        <v/>
      </c>
      <c r="S57" s="23" t="str">
        <f>IFERROR(VLOOKUP(E57,装备!$B:$E,3,FALSE),"")</f>
        <v/>
      </c>
      <c r="T57" s="23" t="str">
        <f>IFERROR(VLOOKUP(F57,装备!$B:$E,3,FALSE),"")</f>
        <v/>
      </c>
      <c r="U57" s="23" t="str">
        <f>IFERROR(VLOOKUP(G57,装备!$B:$E,3,FALSE),"")</f>
        <v/>
      </c>
      <c r="V57" s="23" t="str">
        <f>IFERROR(VLOOKUP(H57,装备!$B:$E,3,FALSE),"")</f>
        <v/>
      </c>
      <c r="W57" s="18" t="str">
        <f t="shared" si="17"/>
        <v/>
      </c>
      <c r="X57" s="18" t="str">
        <f t="shared" si="18"/>
        <v/>
      </c>
      <c r="Y57" s="18" t="str">
        <f t="shared" si="19"/>
        <v/>
      </c>
      <c r="Z57" s="18" t="str">
        <f t="shared" si="20"/>
        <v/>
      </c>
      <c r="AA57" s="18" t="str">
        <f t="shared" si="21"/>
        <v/>
      </c>
      <c r="AB57" s="18" t="str">
        <f t="shared" si="22"/>
        <v>|n=0</v>
      </c>
    </row>
    <row r="58" spans="1:28">
      <c r="A58" s="19">
        <f>装备!A59</f>
        <v>0</v>
      </c>
      <c r="B58" s="19" t="str">
        <f>"'"&amp;装备!B59&amp;"'"</f>
        <v>'E207'</v>
      </c>
      <c r="C58" s="19">
        <f>装备!J59</f>
        <v>0</v>
      </c>
      <c r="D58" s="19">
        <f>装备!K59</f>
        <v>0</v>
      </c>
      <c r="E58" s="19">
        <f>装备!L59</f>
        <v>0</v>
      </c>
      <c r="F58" s="19">
        <f>装备!M59</f>
        <v>0</v>
      </c>
      <c r="G58" s="19">
        <f>装备!N59</f>
        <v>0</v>
      </c>
      <c r="H58" s="19">
        <f>装备!O59</f>
        <v>0</v>
      </c>
      <c r="I58" s="19">
        <f>IF(装备!J59=0,0,"'"&amp;装备!J59&amp;"'")</f>
        <v>0</v>
      </c>
      <c r="J58" s="19">
        <f>IF(装备!K59=0,0,"'"&amp;装备!K59&amp;"'")</f>
        <v>0</v>
      </c>
      <c r="K58" s="19">
        <f>IF(装备!L59=0,0,"'"&amp;装备!L59&amp;"'")</f>
        <v>0</v>
      </c>
      <c r="L58" s="19">
        <f>IF(装备!M59=0,0,"'"&amp;装备!M59&amp;"'")</f>
        <v>0</v>
      </c>
      <c r="M58" s="19">
        <f>IF(装备!N59=0,0,"'"&amp;装备!N59&amp;"'")</f>
        <v>0</v>
      </c>
      <c r="N58" s="19">
        <f>IF(装备!O59=0,0,"'"&amp;装备!O59&amp;"'")</f>
        <v>0</v>
      </c>
      <c r="O58" s="19" t="str">
        <f t="shared" si="16"/>
        <v/>
      </c>
      <c r="P58" s="19" t="str">
        <f t="shared" si="15"/>
        <v/>
      </c>
      <c r="Q58" s="23" t="str">
        <f>IFERROR(VLOOKUP(C58,装备!$B:$E,3,FALSE),"")</f>
        <v/>
      </c>
      <c r="R58" s="23" t="str">
        <f>IFERROR(VLOOKUP(D58,装备!$B:$E,3,FALSE),"")</f>
        <v/>
      </c>
      <c r="S58" s="23" t="str">
        <f>IFERROR(VLOOKUP(E58,装备!$B:$E,3,FALSE),"")</f>
        <v/>
      </c>
      <c r="T58" s="23" t="str">
        <f>IFERROR(VLOOKUP(F58,装备!$B:$E,3,FALSE),"")</f>
        <v/>
      </c>
      <c r="U58" s="23" t="str">
        <f>IFERROR(VLOOKUP(G58,装备!$B:$E,3,FALSE),"")</f>
        <v/>
      </c>
      <c r="V58" s="23" t="str">
        <f>IFERROR(VLOOKUP(H58,装备!$B:$E,3,FALSE),"")</f>
        <v/>
      </c>
      <c r="W58" s="18" t="str">
        <f t="shared" si="17"/>
        <v/>
      </c>
      <c r="X58" s="18" t="str">
        <f t="shared" si="18"/>
        <v/>
      </c>
      <c r="Y58" s="18" t="str">
        <f t="shared" si="19"/>
        <v/>
      </c>
      <c r="Z58" s="18" t="str">
        <f t="shared" si="20"/>
        <v/>
      </c>
      <c r="AA58" s="18" t="str">
        <f t="shared" si="21"/>
        <v/>
      </c>
      <c r="AB58" s="18" t="str">
        <f t="shared" si="22"/>
        <v>|n=0</v>
      </c>
    </row>
    <row r="59" spans="1:28">
      <c r="A59" s="19">
        <f>装备!A60</f>
        <v>0</v>
      </c>
      <c r="B59" s="19" t="str">
        <f>"'"&amp;装备!B60&amp;"'"</f>
        <v>'E208'</v>
      </c>
      <c r="C59" s="19">
        <f>装备!J60</f>
        <v>0</v>
      </c>
      <c r="D59" s="19">
        <f>装备!K60</f>
        <v>0</v>
      </c>
      <c r="E59" s="19">
        <f>装备!L60</f>
        <v>0</v>
      </c>
      <c r="F59" s="19">
        <f>装备!M60</f>
        <v>0</v>
      </c>
      <c r="G59" s="19">
        <f>装备!N60</f>
        <v>0</v>
      </c>
      <c r="H59" s="19">
        <f>装备!O60</f>
        <v>0</v>
      </c>
      <c r="I59" s="19">
        <f>IF(装备!J60=0,0,"'"&amp;装备!J60&amp;"'")</f>
        <v>0</v>
      </c>
      <c r="J59" s="19">
        <f>IF(装备!K60=0,0,"'"&amp;装备!K60&amp;"'")</f>
        <v>0</v>
      </c>
      <c r="K59" s="19">
        <f>IF(装备!L60=0,0,"'"&amp;装备!L60&amp;"'")</f>
        <v>0</v>
      </c>
      <c r="L59" s="19">
        <f>IF(装备!M60=0,0,"'"&amp;装备!M60&amp;"'")</f>
        <v>0</v>
      </c>
      <c r="M59" s="19">
        <f>IF(装备!N60=0,0,"'"&amp;装备!N60&amp;"'")</f>
        <v>0</v>
      </c>
      <c r="N59" s="19">
        <f>IF(装备!O60=0,0,"'"&amp;装备!O60&amp;"'")</f>
        <v>0</v>
      </c>
      <c r="O59" s="19" t="str">
        <f t="shared" si="16"/>
        <v/>
      </c>
      <c r="P59" s="19" t="str">
        <f t="shared" si="15"/>
        <v/>
      </c>
      <c r="Q59" s="23" t="str">
        <f>IFERROR(VLOOKUP(C59,装备!$B:$E,3,FALSE),"")</f>
        <v/>
      </c>
      <c r="R59" s="23" t="str">
        <f>IFERROR(VLOOKUP(D59,装备!$B:$E,3,FALSE),"")</f>
        <v/>
      </c>
      <c r="S59" s="23" t="str">
        <f>IFERROR(VLOOKUP(E59,装备!$B:$E,3,FALSE),"")</f>
        <v/>
      </c>
      <c r="T59" s="23" t="str">
        <f>IFERROR(VLOOKUP(F59,装备!$B:$E,3,FALSE),"")</f>
        <v/>
      </c>
      <c r="U59" s="23" t="str">
        <f>IFERROR(VLOOKUP(G59,装备!$B:$E,3,FALSE),"")</f>
        <v/>
      </c>
      <c r="V59" s="23" t="str">
        <f>IFERROR(VLOOKUP(H59,装备!$B:$E,3,FALSE),"")</f>
        <v/>
      </c>
      <c r="W59" s="18" t="str">
        <f t="shared" si="17"/>
        <v/>
      </c>
      <c r="X59" s="18" t="str">
        <f t="shared" si="18"/>
        <v/>
      </c>
      <c r="Y59" s="18" t="str">
        <f t="shared" si="19"/>
        <v/>
      </c>
      <c r="Z59" s="18" t="str">
        <f t="shared" si="20"/>
        <v/>
      </c>
      <c r="AA59" s="18" t="str">
        <f t="shared" si="21"/>
        <v/>
      </c>
      <c r="AB59" s="18" t="str">
        <f t="shared" si="22"/>
        <v>|n=0</v>
      </c>
    </row>
    <row r="60" spans="1:28">
      <c r="A60" s="19">
        <f>装备!A61</f>
        <v>0</v>
      </c>
      <c r="B60" s="19" t="str">
        <f>"'"&amp;装备!B61&amp;"'"</f>
        <v>'E209'</v>
      </c>
      <c r="C60" s="19">
        <f>装备!J61</f>
        <v>0</v>
      </c>
      <c r="D60" s="19">
        <f>装备!K61</f>
        <v>0</v>
      </c>
      <c r="E60" s="19">
        <f>装备!L61</f>
        <v>0</v>
      </c>
      <c r="F60" s="19">
        <f>装备!M61</f>
        <v>0</v>
      </c>
      <c r="G60" s="19">
        <f>装备!N61</f>
        <v>0</v>
      </c>
      <c r="H60" s="19">
        <f>装备!O61</f>
        <v>0</v>
      </c>
      <c r="I60" s="19">
        <f>IF(装备!J61=0,0,"'"&amp;装备!J61&amp;"'")</f>
        <v>0</v>
      </c>
      <c r="J60" s="19">
        <f>IF(装备!K61=0,0,"'"&amp;装备!K61&amp;"'")</f>
        <v>0</v>
      </c>
      <c r="K60" s="19">
        <f>IF(装备!L61=0,0,"'"&amp;装备!L61&amp;"'")</f>
        <v>0</v>
      </c>
      <c r="L60" s="19">
        <f>IF(装备!M61=0,0,"'"&amp;装备!M61&amp;"'")</f>
        <v>0</v>
      </c>
      <c r="M60" s="19">
        <f>IF(装备!N61=0,0,"'"&amp;装备!N61&amp;"'")</f>
        <v>0</v>
      </c>
      <c r="N60" s="19">
        <f>IF(装备!O61=0,0,"'"&amp;装备!O61&amp;"'")</f>
        <v>0</v>
      </c>
      <c r="O60" s="19" t="str">
        <f t="shared" si="16"/>
        <v/>
      </c>
      <c r="P60" s="19" t="str">
        <f t="shared" si="15"/>
        <v/>
      </c>
      <c r="Q60" s="23" t="str">
        <f>IFERROR(VLOOKUP(C60,装备!$B:$E,3,FALSE),"")</f>
        <v/>
      </c>
      <c r="R60" s="23" t="str">
        <f>IFERROR(VLOOKUP(D60,装备!$B:$E,3,FALSE),"")</f>
        <v/>
      </c>
      <c r="S60" s="23" t="str">
        <f>IFERROR(VLOOKUP(E60,装备!$B:$E,3,FALSE),"")</f>
        <v/>
      </c>
      <c r="T60" s="23" t="str">
        <f>IFERROR(VLOOKUP(F60,装备!$B:$E,3,FALSE),"")</f>
        <v/>
      </c>
      <c r="U60" s="23" t="str">
        <f>IFERROR(VLOOKUP(G60,装备!$B:$E,3,FALSE),"")</f>
        <v/>
      </c>
      <c r="V60" s="23" t="str">
        <f>IFERROR(VLOOKUP(H60,装备!$B:$E,3,FALSE),"")</f>
        <v/>
      </c>
      <c r="W60" s="18" t="str">
        <f t="shared" si="17"/>
        <v/>
      </c>
      <c r="X60" s="18" t="str">
        <f t="shared" si="18"/>
        <v/>
      </c>
      <c r="Y60" s="18" t="str">
        <f t="shared" si="19"/>
        <v/>
      </c>
      <c r="Z60" s="18" t="str">
        <f t="shared" si="20"/>
        <v/>
      </c>
      <c r="AA60" s="18" t="str">
        <f t="shared" si="21"/>
        <v/>
      </c>
      <c r="AB60" s="18" t="str">
        <f t="shared" si="22"/>
        <v>|n=0</v>
      </c>
    </row>
    <row r="61" spans="1:28">
      <c r="A61" s="19">
        <f>装备!A62</f>
        <v>0</v>
      </c>
      <c r="B61" s="19" t="str">
        <f>"'"&amp;装备!B62&amp;"'"</f>
        <v>'E210'</v>
      </c>
      <c r="C61" s="19">
        <f>装备!J62</f>
        <v>0</v>
      </c>
      <c r="D61" s="19">
        <f>装备!K62</f>
        <v>0</v>
      </c>
      <c r="E61" s="19">
        <f>装备!L62</f>
        <v>0</v>
      </c>
      <c r="F61" s="19">
        <f>装备!M62</f>
        <v>0</v>
      </c>
      <c r="G61" s="19">
        <f>装备!N62</f>
        <v>0</v>
      </c>
      <c r="H61" s="19">
        <f>装备!O62</f>
        <v>0</v>
      </c>
      <c r="I61" s="19">
        <f>IF(装备!J62=0,0,"'"&amp;装备!J62&amp;"'")</f>
        <v>0</v>
      </c>
      <c r="J61" s="19">
        <f>IF(装备!K62=0,0,"'"&amp;装备!K62&amp;"'")</f>
        <v>0</v>
      </c>
      <c r="K61" s="19">
        <f>IF(装备!L62=0,0,"'"&amp;装备!L62&amp;"'")</f>
        <v>0</v>
      </c>
      <c r="L61" s="19">
        <f>IF(装备!M62=0,0,"'"&amp;装备!M62&amp;"'")</f>
        <v>0</v>
      </c>
      <c r="M61" s="19">
        <f>IF(装备!N62=0,0,"'"&amp;装备!N62&amp;"'")</f>
        <v>0</v>
      </c>
      <c r="N61" s="19">
        <f>IF(装备!O62=0,0,"'"&amp;装备!O62&amp;"'")</f>
        <v>0</v>
      </c>
      <c r="O61" s="19" t="str">
        <f t="shared" si="16"/>
        <v/>
      </c>
      <c r="P61" s="19" t="str">
        <f t="shared" si="15"/>
        <v/>
      </c>
      <c r="Q61" s="23" t="str">
        <f>IFERROR(VLOOKUP(C61,装备!$B:$E,3,FALSE),"")</f>
        <v/>
      </c>
      <c r="R61" s="23" t="str">
        <f>IFERROR(VLOOKUP(D61,装备!$B:$E,3,FALSE),"")</f>
        <v/>
      </c>
      <c r="S61" s="23" t="str">
        <f>IFERROR(VLOOKUP(E61,装备!$B:$E,3,FALSE),"")</f>
        <v/>
      </c>
      <c r="T61" s="23" t="str">
        <f>IFERROR(VLOOKUP(F61,装备!$B:$E,3,FALSE),"")</f>
        <v/>
      </c>
      <c r="U61" s="23" t="str">
        <f>IFERROR(VLOOKUP(G61,装备!$B:$E,3,FALSE),"")</f>
        <v/>
      </c>
      <c r="V61" s="23" t="str">
        <f>IFERROR(VLOOKUP(H61,装备!$B:$E,3,FALSE),"")</f>
        <v/>
      </c>
      <c r="W61" s="18" t="str">
        <f t="shared" si="17"/>
        <v/>
      </c>
      <c r="X61" s="18" t="str">
        <f t="shared" si="18"/>
        <v/>
      </c>
      <c r="Y61" s="18" t="str">
        <f t="shared" si="19"/>
        <v/>
      </c>
      <c r="Z61" s="18" t="str">
        <f t="shared" si="20"/>
        <v/>
      </c>
      <c r="AA61" s="18" t="str">
        <f t="shared" si="21"/>
        <v/>
      </c>
      <c r="AB61" s="18" t="str">
        <f t="shared" si="22"/>
        <v>|n=0</v>
      </c>
    </row>
    <row r="62" spans="1:28">
      <c r="A62" s="19">
        <f>装备!A63</f>
        <v>0</v>
      </c>
      <c r="B62" s="19" t="str">
        <f>"'"&amp;装备!B63&amp;"'"</f>
        <v>'E211'</v>
      </c>
      <c r="C62" s="19">
        <f>装备!J63</f>
        <v>0</v>
      </c>
      <c r="D62" s="19">
        <f>装备!K63</f>
        <v>0</v>
      </c>
      <c r="E62" s="19">
        <f>装备!L63</f>
        <v>0</v>
      </c>
      <c r="F62" s="19">
        <f>装备!M63</f>
        <v>0</v>
      </c>
      <c r="G62" s="19">
        <f>装备!N63</f>
        <v>0</v>
      </c>
      <c r="H62" s="19">
        <f>装备!O63</f>
        <v>0</v>
      </c>
      <c r="I62" s="19">
        <f>IF(装备!J63=0,0,"'"&amp;装备!J63&amp;"'")</f>
        <v>0</v>
      </c>
      <c r="J62" s="19">
        <f>IF(装备!K63=0,0,"'"&amp;装备!K63&amp;"'")</f>
        <v>0</v>
      </c>
      <c r="K62" s="19">
        <f>IF(装备!L63=0,0,"'"&amp;装备!L63&amp;"'")</f>
        <v>0</v>
      </c>
      <c r="L62" s="19">
        <f>IF(装备!M63=0,0,"'"&amp;装备!M63&amp;"'")</f>
        <v>0</v>
      </c>
      <c r="M62" s="19">
        <f>IF(装备!N63=0,0,"'"&amp;装备!N63&amp;"'")</f>
        <v>0</v>
      </c>
      <c r="N62" s="19">
        <f>IF(装备!O63=0,0,"'"&amp;装备!O63&amp;"'")</f>
        <v>0</v>
      </c>
      <c r="O62" s="19" t="str">
        <f t="shared" si="16"/>
        <v/>
      </c>
      <c r="P62" s="19" t="str">
        <f t="shared" si="15"/>
        <v/>
      </c>
      <c r="Q62" s="23" t="str">
        <f>IFERROR(VLOOKUP(C62,装备!$B:$E,3,FALSE),"")</f>
        <v/>
      </c>
      <c r="R62" s="23" t="str">
        <f>IFERROR(VLOOKUP(D62,装备!$B:$E,3,FALSE),"")</f>
        <v/>
      </c>
      <c r="S62" s="23" t="str">
        <f>IFERROR(VLOOKUP(E62,装备!$B:$E,3,FALSE),"")</f>
        <v/>
      </c>
      <c r="T62" s="23" t="str">
        <f>IFERROR(VLOOKUP(F62,装备!$B:$E,3,FALSE),"")</f>
        <v/>
      </c>
      <c r="U62" s="23" t="str">
        <f>IFERROR(VLOOKUP(G62,装备!$B:$E,3,FALSE),"")</f>
        <v/>
      </c>
      <c r="V62" s="23" t="str">
        <f>IFERROR(VLOOKUP(H62,装备!$B:$E,3,FALSE),"")</f>
        <v/>
      </c>
      <c r="W62" s="18" t="str">
        <f t="shared" si="17"/>
        <v/>
      </c>
      <c r="X62" s="18" t="str">
        <f t="shared" si="18"/>
        <v/>
      </c>
      <c r="Y62" s="18" t="str">
        <f t="shared" si="19"/>
        <v/>
      </c>
      <c r="Z62" s="18" t="str">
        <f t="shared" si="20"/>
        <v/>
      </c>
      <c r="AA62" s="18" t="str">
        <f t="shared" si="21"/>
        <v/>
      </c>
      <c r="AB62" s="18" t="str">
        <f t="shared" si="22"/>
        <v>|n=0</v>
      </c>
    </row>
    <row r="63" spans="1:28">
      <c r="A63" s="19">
        <f>装备!A64</f>
        <v>0</v>
      </c>
      <c r="B63" s="19" t="str">
        <f>"'"&amp;装备!B64&amp;"'"</f>
        <v>'E212'</v>
      </c>
      <c r="C63" s="19">
        <f>装备!J64</f>
        <v>0</v>
      </c>
      <c r="D63" s="19">
        <f>装备!K64</f>
        <v>0</v>
      </c>
      <c r="E63" s="19">
        <f>装备!L64</f>
        <v>0</v>
      </c>
      <c r="F63" s="19">
        <f>装备!M64</f>
        <v>0</v>
      </c>
      <c r="G63" s="19">
        <f>装备!N64</f>
        <v>0</v>
      </c>
      <c r="H63" s="19">
        <f>装备!O64</f>
        <v>0</v>
      </c>
      <c r="I63" s="19">
        <f>IF(装备!J64=0,0,"'"&amp;装备!J64&amp;"'")</f>
        <v>0</v>
      </c>
      <c r="J63" s="19">
        <f>IF(装备!K64=0,0,"'"&amp;装备!K64&amp;"'")</f>
        <v>0</v>
      </c>
      <c r="K63" s="19">
        <f>IF(装备!L64=0,0,"'"&amp;装备!L64&amp;"'")</f>
        <v>0</v>
      </c>
      <c r="L63" s="19">
        <f>IF(装备!M64=0,0,"'"&amp;装备!M64&amp;"'")</f>
        <v>0</v>
      </c>
      <c r="M63" s="19">
        <f>IF(装备!N64=0,0,"'"&amp;装备!N64&amp;"'")</f>
        <v>0</v>
      </c>
      <c r="N63" s="19">
        <f>IF(装备!O64=0,0,"'"&amp;装备!O64&amp;"'")</f>
        <v>0</v>
      </c>
      <c r="O63" s="19" t="str">
        <f t="shared" si="16"/>
        <v/>
      </c>
      <c r="P63" s="19" t="str">
        <f t="shared" si="15"/>
        <v/>
      </c>
      <c r="Q63" s="23" t="str">
        <f>IFERROR(VLOOKUP(C63,装备!$B:$E,3,FALSE),"")</f>
        <v/>
      </c>
      <c r="R63" s="23" t="str">
        <f>IFERROR(VLOOKUP(D63,装备!$B:$E,3,FALSE),"")</f>
        <v/>
      </c>
      <c r="S63" s="23" t="str">
        <f>IFERROR(VLOOKUP(E63,装备!$B:$E,3,FALSE),"")</f>
        <v/>
      </c>
      <c r="T63" s="23" t="str">
        <f>IFERROR(VLOOKUP(F63,装备!$B:$E,3,FALSE),"")</f>
        <v/>
      </c>
      <c r="U63" s="23" t="str">
        <f>IFERROR(VLOOKUP(G63,装备!$B:$E,3,FALSE),"")</f>
        <v/>
      </c>
      <c r="V63" s="23" t="str">
        <f>IFERROR(VLOOKUP(H63,装备!$B:$E,3,FALSE),"")</f>
        <v/>
      </c>
      <c r="W63" s="18" t="str">
        <f t="shared" si="17"/>
        <v/>
      </c>
      <c r="X63" s="18" t="str">
        <f t="shared" si="18"/>
        <v/>
      </c>
      <c r="Y63" s="18" t="str">
        <f t="shared" si="19"/>
        <v/>
      </c>
      <c r="Z63" s="18" t="str">
        <f t="shared" si="20"/>
        <v/>
      </c>
      <c r="AA63" s="18" t="str">
        <f t="shared" si="21"/>
        <v/>
      </c>
      <c r="AB63" s="18" t="str">
        <f t="shared" si="22"/>
        <v>|n=0</v>
      </c>
    </row>
    <row r="64" spans="1:28">
      <c r="A64" s="19">
        <f>装备!A65</f>
        <v>0</v>
      </c>
      <c r="B64" s="19" t="str">
        <f>"'"&amp;装备!B65&amp;"'"</f>
        <v>'E213'</v>
      </c>
      <c r="C64" s="19">
        <f>装备!J65</f>
        <v>0</v>
      </c>
      <c r="D64" s="19">
        <f>装备!K65</f>
        <v>0</v>
      </c>
      <c r="E64" s="19">
        <f>装备!L65</f>
        <v>0</v>
      </c>
      <c r="F64" s="19">
        <f>装备!M65</f>
        <v>0</v>
      </c>
      <c r="G64" s="19">
        <f>装备!N65</f>
        <v>0</v>
      </c>
      <c r="H64" s="19">
        <f>装备!O65</f>
        <v>0</v>
      </c>
      <c r="I64" s="19">
        <f>IF(装备!J65=0,0,"'"&amp;装备!J65&amp;"'")</f>
        <v>0</v>
      </c>
      <c r="J64" s="19">
        <f>IF(装备!K65=0,0,"'"&amp;装备!K65&amp;"'")</f>
        <v>0</v>
      </c>
      <c r="K64" s="19">
        <f>IF(装备!L65=0,0,"'"&amp;装备!L65&amp;"'")</f>
        <v>0</v>
      </c>
      <c r="L64" s="19">
        <f>IF(装备!M65=0,0,"'"&amp;装备!M65&amp;"'")</f>
        <v>0</v>
      </c>
      <c r="M64" s="19">
        <f>IF(装备!N65=0,0,"'"&amp;装备!N65&amp;"'")</f>
        <v>0</v>
      </c>
      <c r="N64" s="19">
        <f>IF(装备!O65=0,0,"'"&amp;装备!O65&amp;"'")</f>
        <v>0</v>
      </c>
      <c r="O64" s="19" t="str">
        <f t="shared" si="16"/>
        <v/>
      </c>
      <c r="P64" s="19" t="str">
        <f t="shared" si="15"/>
        <v/>
      </c>
      <c r="Q64" s="23" t="str">
        <f>IFERROR(VLOOKUP(C64,装备!$B:$E,3,FALSE),"")</f>
        <v/>
      </c>
      <c r="R64" s="23" t="str">
        <f>IFERROR(VLOOKUP(D64,装备!$B:$E,3,FALSE),"")</f>
        <v/>
      </c>
      <c r="S64" s="23" t="str">
        <f>IFERROR(VLOOKUP(E64,装备!$B:$E,3,FALSE),"")</f>
        <v/>
      </c>
      <c r="T64" s="23" t="str">
        <f>IFERROR(VLOOKUP(F64,装备!$B:$E,3,FALSE),"")</f>
        <v/>
      </c>
      <c r="U64" s="23" t="str">
        <f>IFERROR(VLOOKUP(G64,装备!$B:$E,3,FALSE),"")</f>
        <v/>
      </c>
      <c r="V64" s="23" t="str">
        <f>IFERROR(VLOOKUP(H64,装备!$B:$E,3,FALSE),"")</f>
        <v/>
      </c>
      <c r="W64" s="18" t="str">
        <f t="shared" si="17"/>
        <v/>
      </c>
      <c r="X64" s="18" t="str">
        <f t="shared" si="18"/>
        <v/>
      </c>
      <c r="Y64" s="18" t="str">
        <f t="shared" si="19"/>
        <v/>
      </c>
      <c r="Z64" s="18" t="str">
        <f t="shared" si="20"/>
        <v/>
      </c>
      <c r="AA64" s="18" t="str">
        <f t="shared" si="21"/>
        <v/>
      </c>
      <c r="AB64" s="18" t="str">
        <f t="shared" si="22"/>
        <v>|n=0</v>
      </c>
    </row>
    <row r="65" spans="1:28">
      <c r="A65" s="19">
        <f>装备!A66</f>
        <v>0</v>
      </c>
      <c r="B65" s="19" t="str">
        <f>"'"&amp;装备!B66&amp;"'"</f>
        <v>'E214'</v>
      </c>
      <c r="C65" s="19">
        <f>装备!J66</f>
        <v>0</v>
      </c>
      <c r="D65" s="19">
        <f>装备!K66</f>
        <v>0</v>
      </c>
      <c r="E65" s="19">
        <f>装备!L66</f>
        <v>0</v>
      </c>
      <c r="F65" s="19">
        <f>装备!M66</f>
        <v>0</v>
      </c>
      <c r="G65" s="19">
        <f>装备!N66</f>
        <v>0</v>
      </c>
      <c r="H65" s="19">
        <f>装备!O66</f>
        <v>0</v>
      </c>
      <c r="I65" s="19">
        <f>IF(装备!J66=0,0,"'"&amp;装备!J66&amp;"'")</f>
        <v>0</v>
      </c>
      <c r="J65" s="19">
        <f>IF(装备!K66=0,0,"'"&amp;装备!K66&amp;"'")</f>
        <v>0</v>
      </c>
      <c r="K65" s="19">
        <f>IF(装备!L66=0,0,"'"&amp;装备!L66&amp;"'")</f>
        <v>0</v>
      </c>
      <c r="L65" s="19">
        <f>IF(装备!M66=0,0,"'"&amp;装备!M66&amp;"'")</f>
        <v>0</v>
      </c>
      <c r="M65" s="19">
        <f>IF(装备!N66=0,0,"'"&amp;装备!N66&amp;"'")</f>
        <v>0</v>
      </c>
      <c r="N65" s="19">
        <f>IF(装备!O66=0,0,"'"&amp;装备!O66&amp;"'")</f>
        <v>0</v>
      </c>
      <c r="O65" s="19" t="str">
        <f t="shared" si="16"/>
        <v/>
      </c>
      <c r="P65" s="19" t="str">
        <f t="shared" si="15"/>
        <v/>
      </c>
      <c r="Q65" s="23" t="str">
        <f>IFERROR(VLOOKUP(C65,装备!$B:$E,3,FALSE),"")</f>
        <v/>
      </c>
      <c r="R65" s="23" t="str">
        <f>IFERROR(VLOOKUP(D65,装备!$B:$E,3,FALSE),"")</f>
        <v/>
      </c>
      <c r="S65" s="23" t="str">
        <f>IFERROR(VLOOKUP(E65,装备!$B:$E,3,FALSE),"")</f>
        <v/>
      </c>
      <c r="T65" s="23" t="str">
        <f>IFERROR(VLOOKUP(F65,装备!$B:$E,3,FALSE),"")</f>
        <v/>
      </c>
      <c r="U65" s="23" t="str">
        <f>IFERROR(VLOOKUP(G65,装备!$B:$E,3,FALSE),"")</f>
        <v/>
      </c>
      <c r="V65" s="23" t="str">
        <f>IFERROR(VLOOKUP(H65,装备!$B:$E,3,FALSE),"")</f>
        <v/>
      </c>
      <c r="W65" s="18" t="str">
        <f t="shared" si="17"/>
        <v/>
      </c>
      <c r="X65" s="18" t="str">
        <f t="shared" si="18"/>
        <v/>
      </c>
      <c r="Y65" s="18" t="str">
        <f t="shared" si="19"/>
        <v/>
      </c>
      <c r="Z65" s="18" t="str">
        <f t="shared" si="20"/>
        <v/>
      </c>
      <c r="AA65" s="18" t="str">
        <f t="shared" si="21"/>
        <v/>
      </c>
      <c r="AB65" s="18" t="str">
        <f t="shared" si="22"/>
        <v>|n=0</v>
      </c>
    </row>
    <row r="66" spans="1:28">
      <c r="A66" s="19">
        <f>装备!A67</f>
        <v>0</v>
      </c>
      <c r="B66" s="19" t="str">
        <f>"'"&amp;装备!B67&amp;"'"</f>
        <v>'E215'</v>
      </c>
      <c r="C66" s="19">
        <f>装备!J67</f>
        <v>0</v>
      </c>
      <c r="D66" s="19">
        <f>装备!K67</f>
        <v>0</v>
      </c>
      <c r="E66" s="19">
        <f>装备!L67</f>
        <v>0</v>
      </c>
      <c r="F66" s="19">
        <f>装备!M67</f>
        <v>0</v>
      </c>
      <c r="G66" s="19">
        <f>装备!N67</f>
        <v>0</v>
      </c>
      <c r="H66" s="19">
        <f>装备!O67</f>
        <v>0</v>
      </c>
      <c r="I66" s="19">
        <f>IF(装备!J67=0,0,"'"&amp;装备!J67&amp;"'")</f>
        <v>0</v>
      </c>
      <c r="J66" s="19">
        <f>IF(装备!K67=0,0,"'"&amp;装备!K67&amp;"'")</f>
        <v>0</v>
      </c>
      <c r="K66" s="19">
        <f>IF(装备!L67=0,0,"'"&amp;装备!L67&amp;"'")</f>
        <v>0</v>
      </c>
      <c r="L66" s="19">
        <f>IF(装备!M67=0,0,"'"&amp;装备!M67&amp;"'")</f>
        <v>0</v>
      </c>
      <c r="M66" s="19">
        <f>IF(装备!N67=0,0,"'"&amp;装备!N67&amp;"'")</f>
        <v>0</v>
      </c>
      <c r="N66" s="19">
        <f>IF(装备!O67=0,0,"'"&amp;装备!O67&amp;"'")</f>
        <v>0</v>
      </c>
      <c r="O66" s="19" t="str">
        <f t="shared" si="16"/>
        <v/>
      </c>
      <c r="P66" s="19" t="str">
        <f t="shared" ref="P66:P76" si="23">IFERROR(VLOOKUP(A66,Q:AB,12,FALSE),IFERROR(VLOOKUP(A66,R:AB,11,FALSE),IFERROR(VLOOKUP(A66,S:AB,10,FALSE),"")))</f>
        <v/>
      </c>
      <c r="Q66" s="23" t="str">
        <f>IFERROR(VLOOKUP(C66,装备!$B:$E,3,FALSE),"")</f>
        <v/>
      </c>
      <c r="R66" s="23" t="str">
        <f>IFERROR(VLOOKUP(D66,装备!$B:$E,3,FALSE),"")</f>
        <v/>
      </c>
      <c r="S66" s="23" t="str">
        <f>IFERROR(VLOOKUP(E66,装备!$B:$E,3,FALSE),"")</f>
        <v/>
      </c>
      <c r="T66" s="23" t="str">
        <f>IFERROR(VLOOKUP(F66,装备!$B:$E,3,FALSE),"")</f>
        <v/>
      </c>
      <c r="U66" s="23" t="str">
        <f>IFERROR(VLOOKUP(G66,装备!$B:$E,3,FALSE),"")</f>
        <v/>
      </c>
      <c r="V66" s="23" t="str">
        <f>IFERROR(VLOOKUP(H66,装备!$B:$E,3,FALSE),"")</f>
        <v/>
      </c>
      <c r="W66" s="18" t="str">
        <f t="shared" si="17"/>
        <v/>
      </c>
      <c r="X66" s="18" t="str">
        <f t="shared" si="18"/>
        <v/>
      </c>
      <c r="Y66" s="18" t="str">
        <f t="shared" si="19"/>
        <v/>
      </c>
      <c r="Z66" s="18" t="str">
        <f t="shared" si="20"/>
        <v/>
      </c>
      <c r="AA66" s="18" t="str">
        <f t="shared" si="21"/>
        <v/>
      </c>
      <c r="AB66" s="18" t="str">
        <f t="shared" si="22"/>
        <v>|n=0</v>
      </c>
    </row>
    <row r="67" spans="1:28">
      <c r="A67" s="19">
        <f>装备!A68</f>
        <v>0</v>
      </c>
      <c r="B67" s="19" t="str">
        <f>"'"&amp;装备!B68&amp;"'"</f>
        <v>'E216'</v>
      </c>
      <c r="C67" s="19">
        <f>装备!J68</f>
        <v>0</v>
      </c>
      <c r="D67" s="19">
        <f>装备!K68</f>
        <v>0</v>
      </c>
      <c r="E67" s="19">
        <f>装备!L68</f>
        <v>0</v>
      </c>
      <c r="F67" s="19">
        <f>装备!M68</f>
        <v>0</v>
      </c>
      <c r="G67" s="19">
        <f>装备!N68</f>
        <v>0</v>
      </c>
      <c r="H67" s="19">
        <f>装备!O68</f>
        <v>0</v>
      </c>
      <c r="I67" s="19">
        <f>IF(装备!J68=0,0,"'"&amp;装备!J68&amp;"'")</f>
        <v>0</v>
      </c>
      <c r="J67" s="19">
        <f>IF(装备!K68=0,0,"'"&amp;装备!K68&amp;"'")</f>
        <v>0</v>
      </c>
      <c r="K67" s="19">
        <f>IF(装备!L68=0,0,"'"&amp;装备!L68&amp;"'")</f>
        <v>0</v>
      </c>
      <c r="L67" s="19">
        <f>IF(装备!M68=0,0,"'"&amp;装备!M68&amp;"'")</f>
        <v>0</v>
      </c>
      <c r="M67" s="19">
        <f>IF(装备!N68=0,0,"'"&amp;装备!N68&amp;"'")</f>
        <v>0</v>
      </c>
      <c r="N67" s="19">
        <f>IF(装备!O68=0,0,"'"&amp;装备!O68&amp;"'")</f>
        <v>0</v>
      </c>
      <c r="O67" s="19" t="str">
        <f t="shared" si="16"/>
        <v/>
      </c>
      <c r="P67" s="19" t="str">
        <f t="shared" si="23"/>
        <v/>
      </c>
      <c r="Q67" s="23" t="str">
        <f>IFERROR(VLOOKUP(C67,装备!$B:$E,3,FALSE),"")</f>
        <v/>
      </c>
      <c r="R67" s="23" t="str">
        <f>IFERROR(VLOOKUP(D67,装备!$B:$E,3,FALSE),"")</f>
        <v/>
      </c>
      <c r="S67" s="23" t="str">
        <f>IFERROR(VLOOKUP(E67,装备!$B:$E,3,FALSE),"")</f>
        <v/>
      </c>
      <c r="T67" s="23" t="str">
        <f>IFERROR(VLOOKUP(F67,装备!$B:$E,3,FALSE),"")</f>
        <v/>
      </c>
      <c r="U67" s="23" t="str">
        <f>IFERROR(VLOOKUP(G67,装备!$B:$E,3,FALSE),"")</f>
        <v/>
      </c>
      <c r="V67" s="23" t="str">
        <f>IFERROR(VLOOKUP(H67,装备!$B:$E,3,FALSE),"")</f>
        <v/>
      </c>
      <c r="W67" s="18" t="str">
        <f t="shared" si="17"/>
        <v/>
      </c>
      <c r="X67" s="18" t="str">
        <f t="shared" si="18"/>
        <v/>
      </c>
      <c r="Y67" s="18" t="str">
        <f t="shared" si="19"/>
        <v/>
      </c>
      <c r="Z67" s="18" t="str">
        <f t="shared" si="20"/>
        <v/>
      </c>
      <c r="AA67" s="18" t="str">
        <f t="shared" si="21"/>
        <v/>
      </c>
      <c r="AB67" s="18" t="str">
        <f t="shared" si="22"/>
        <v>|n=0</v>
      </c>
    </row>
    <row r="68" spans="1:28">
      <c r="A68" s="19">
        <f>装备!A69</f>
        <v>0</v>
      </c>
      <c r="B68" s="19" t="str">
        <f>"'"&amp;装备!B69&amp;"'"</f>
        <v>'E217'</v>
      </c>
      <c r="C68" s="19">
        <f>装备!J69</f>
        <v>0</v>
      </c>
      <c r="D68" s="19">
        <f>装备!K69</f>
        <v>0</v>
      </c>
      <c r="E68" s="19">
        <f>装备!L69</f>
        <v>0</v>
      </c>
      <c r="F68" s="19">
        <f>装备!M69</f>
        <v>0</v>
      </c>
      <c r="G68" s="19">
        <f>装备!N69</f>
        <v>0</v>
      </c>
      <c r="H68" s="19">
        <f>装备!O69</f>
        <v>0</v>
      </c>
      <c r="I68" s="19">
        <f>IF(装备!J69=0,0,"'"&amp;装备!J69&amp;"'")</f>
        <v>0</v>
      </c>
      <c r="J68" s="19">
        <f>IF(装备!K69=0,0,"'"&amp;装备!K69&amp;"'")</f>
        <v>0</v>
      </c>
      <c r="K68" s="19">
        <f>IF(装备!L69=0,0,"'"&amp;装备!L69&amp;"'")</f>
        <v>0</v>
      </c>
      <c r="L68" s="19">
        <f>IF(装备!M69=0,0,"'"&amp;装备!M69&amp;"'")</f>
        <v>0</v>
      </c>
      <c r="M68" s="19">
        <f>IF(装备!N69=0,0,"'"&amp;装备!N69&amp;"'")</f>
        <v>0</v>
      </c>
      <c r="N68" s="19">
        <f>IF(装备!O69=0,0,"'"&amp;装备!O69&amp;"'")</f>
        <v>0</v>
      </c>
      <c r="O68" s="19" t="str">
        <f t="shared" si="16"/>
        <v/>
      </c>
      <c r="P68" s="19" t="str">
        <f t="shared" si="23"/>
        <v/>
      </c>
      <c r="Q68" s="23" t="str">
        <f>IFERROR(VLOOKUP(C68,装备!$B:$E,3,FALSE),"")</f>
        <v/>
      </c>
      <c r="R68" s="23" t="str">
        <f>IFERROR(VLOOKUP(D68,装备!$B:$E,3,FALSE),"")</f>
        <v/>
      </c>
      <c r="S68" s="23" t="str">
        <f>IFERROR(VLOOKUP(E68,装备!$B:$E,3,FALSE),"")</f>
        <v/>
      </c>
      <c r="T68" s="23" t="str">
        <f>IFERROR(VLOOKUP(F68,装备!$B:$E,3,FALSE),"")</f>
        <v/>
      </c>
      <c r="U68" s="23" t="str">
        <f>IFERROR(VLOOKUP(G68,装备!$B:$E,3,FALSE),"")</f>
        <v/>
      </c>
      <c r="V68" s="23" t="str">
        <f>IFERROR(VLOOKUP(H68,装备!$B:$E,3,FALSE),"")</f>
        <v/>
      </c>
      <c r="W68" s="18" t="str">
        <f t="shared" si="17"/>
        <v/>
      </c>
      <c r="X68" s="18" t="str">
        <f t="shared" si="18"/>
        <v/>
      </c>
      <c r="Y68" s="18" t="str">
        <f t="shared" si="19"/>
        <v/>
      </c>
      <c r="Z68" s="18" t="str">
        <f t="shared" si="20"/>
        <v/>
      </c>
      <c r="AA68" s="18" t="str">
        <f t="shared" si="21"/>
        <v/>
      </c>
      <c r="AB68" s="18" t="str">
        <f t="shared" si="22"/>
        <v>|n=0</v>
      </c>
    </row>
    <row r="69" spans="1:28">
      <c r="A69" s="19">
        <f>装备!A70</f>
        <v>0</v>
      </c>
      <c r="B69" s="19" t="str">
        <f>"'"&amp;装备!B70&amp;"'"</f>
        <v>'E218'</v>
      </c>
      <c r="C69" s="19">
        <f>装备!J70</f>
        <v>0</v>
      </c>
      <c r="D69" s="19">
        <f>装备!K70</f>
        <v>0</v>
      </c>
      <c r="E69" s="19">
        <f>装备!L70</f>
        <v>0</v>
      </c>
      <c r="F69" s="19">
        <f>装备!M70</f>
        <v>0</v>
      </c>
      <c r="G69" s="19">
        <f>装备!N70</f>
        <v>0</v>
      </c>
      <c r="H69" s="19">
        <f>装备!O70</f>
        <v>0</v>
      </c>
      <c r="I69" s="19">
        <f>IF(装备!J70=0,0,"'"&amp;装备!J70&amp;"'")</f>
        <v>0</v>
      </c>
      <c r="J69" s="19">
        <f>IF(装备!K70=0,0,"'"&amp;装备!K70&amp;"'")</f>
        <v>0</v>
      </c>
      <c r="K69" s="19">
        <f>IF(装备!L70=0,0,"'"&amp;装备!L70&amp;"'")</f>
        <v>0</v>
      </c>
      <c r="L69" s="19">
        <f>IF(装备!M70=0,0,"'"&amp;装备!M70&amp;"'")</f>
        <v>0</v>
      </c>
      <c r="M69" s="19">
        <f>IF(装备!N70=0,0,"'"&amp;装备!N70&amp;"'")</f>
        <v>0</v>
      </c>
      <c r="N69" s="19">
        <f>IF(装备!O70=0,0,"'"&amp;装备!O70&amp;"'")</f>
        <v>0</v>
      </c>
      <c r="O69" s="19" t="str">
        <f t="shared" si="16"/>
        <v/>
      </c>
      <c r="P69" s="19" t="str">
        <f t="shared" si="23"/>
        <v/>
      </c>
      <c r="Q69" s="23" t="str">
        <f>IFERROR(VLOOKUP(C69,装备!$B:$E,3,FALSE),"")</f>
        <v/>
      </c>
      <c r="R69" s="23" t="str">
        <f>IFERROR(VLOOKUP(D69,装备!$B:$E,3,FALSE),"")</f>
        <v/>
      </c>
      <c r="S69" s="23" t="str">
        <f>IFERROR(VLOOKUP(E69,装备!$B:$E,3,FALSE),"")</f>
        <v/>
      </c>
      <c r="T69" s="23" t="str">
        <f>IFERROR(VLOOKUP(F69,装备!$B:$E,3,FALSE),"")</f>
        <v/>
      </c>
      <c r="U69" s="23" t="str">
        <f>IFERROR(VLOOKUP(G69,装备!$B:$E,3,FALSE),"")</f>
        <v/>
      </c>
      <c r="V69" s="23" t="str">
        <f>IFERROR(VLOOKUP(H69,装备!$B:$E,3,FALSE),"")</f>
        <v/>
      </c>
      <c r="W69" s="18" t="str">
        <f t="shared" si="17"/>
        <v/>
      </c>
      <c r="X69" s="18" t="str">
        <f t="shared" si="18"/>
        <v/>
      </c>
      <c r="Y69" s="18" t="str">
        <f t="shared" si="19"/>
        <v/>
      </c>
      <c r="Z69" s="18" t="str">
        <f t="shared" si="20"/>
        <v/>
      </c>
      <c r="AA69" s="18" t="str">
        <f t="shared" si="21"/>
        <v/>
      </c>
      <c r="AB69" s="18" t="str">
        <f t="shared" si="22"/>
        <v>|n=0</v>
      </c>
    </row>
    <row r="70" spans="1:28">
      <c r="A70" s="19">
        <f>装备!A71</f>
        <v>0</v>
      </c>
      <c r="B70" s="19" t="str">
        <f>"'"&amp;装备!B71&amp;"'"</f>
        <v>'E219'</v>
      </c>
      <c r="C70" s="19">
        <f>装备!J71</f>
        <v>0</v>
      </c>
      <c r="D70" s="19">
        <f>装备!K71</f>
        <v>0</v>
      </c>
      <c r="E70" s="19">
        <f>装备!L71</f>
        <v>0</v>
      </c>
      <c r="F70" s="19">
        <f>装备!M71</f>
        <v>0</v>
      </c>
      <c r="G70" s="19">
        <f>装备!N71</f>
        <v>0</v>
      </c>
      <c r="H70" s="19">
        <f>装备!O71</f>
        <v>0</v>
      </c>
      <c r="I70" s="19">
        <f>IF(装备!J71=0,0,"'"&amp;装备!J71&amp;"'")</f>
        <v>0</v>
      </c>
      <c r="J70" s="19">
        <f>IF(装备!K71=0,0,"'"&amp;装备!K71&amp;"'")</f>
        <v>0</v>
      </c>
      <c r="K70" s="19">
        <f>IF(装备!L71=0,0,"'"&amp;装备!L71&amp;"'")</f>
        <v>0</v>
      </c>
      <c r="L70" s="19">
        <f>IF(装备!M71=0,0,"'"&amp;装备!M71&amp;"'")</f>
        <v>0</v>
      </c>
      <c r="M70" s="19">
        <f>IF(装备!N71=0,0,"'"&amp;装备!N71&amp;"'")</f>
        <v>0</v>
      </c>
      <c r="N70" s="19">
        <f>IF(装备!O71=0,0,"'"&amp;装备!O71&amp;"'")</f>
        <v>0</v>
      </c>
      <c r="O70" s="19" t="str">
        <f t="shared" si="16"/>
        <v/>
      </c>
      <c r="P70" s="19" t="str">
        <f t="shared" si="23"/>
        <v/>
      </c>
      <c r="Q70" s="23" t="str">
        <f>IFERROR(VLOOKUP(C70,装备!$B:$E,3,FALSE),"")</f>
        <v/>
      </c>
      <c r="R70" s="23" t="str">
        <f>IFERROR(VLOOKUP(D70,装备!$B:$E,3,FALSE),"")</f>
        <v/>
      </c>
      <c r="S70" s="23" t="str">
        <f>IFERROR(VLOOKUP(E70,装备!$B:$E,3,FALSE),"")</f>
        <v/>
      </c>
      <c r="T70" s="23" t="str">
        <f>IFERROR(VLOOKUP(F70,装备!$B:$E,3,FALSE),"")</f>
        <v/>
      </c>
      <c r="U70" s="23" t="str">
        <f>IFERROR(VLOOKUP(G70,装备!$B:$E,3,FALSE),"")</f>
        <v/>
      </c>
      <c r="V70" s="23" t="str">
        <f>IFERROR(VLOOKUP(H70,装备!$B:$E,3,FALSE),"")</f>
        <v/>
      </c>
      <c r="W70" s="18" t="str">
        <f t="shared" si="17"/>
        <v/>
      </c>
      <c r="X70" s="18" t="str">
        <f t="shared" si="18"/>
        <v/>
      </c>
      <c r="Y70" s="18" t="str">
        <f t="shared" si="19"/>
        <v/>
      </c>
      <c r="Z70" s="18" t="str">
        <f t="shared" si="20"/>
        <v/>
      </c>
      <c r="AA70" s="18" t="str">
        <f t="shared" si="21"/>
        <v/>
      </c>
      <c r="AB70" s="18" t="str">
        <f t="shared" si="22"/>
        <v>|n=0</v>
      </c>
    </row>
    <row r="71" spans="1:28">
      <c r="A71" s="19">
        <f>装备!A72</f>
        <v>0</v>
      </c>
      <c r="B71" s="19" t="str">
        <f>"'"&amp;装备!B72&amp;"'"</f>
        <v>'E220'</v>
      </c>
      <c r="C71" s="19">
        <f>装备!J72</f>
        <v>0</v>
      </c>
      <c r="D71" s="19">
        <f>装备!K72</f>
        <v>0</v>
      </c>
      <c r="E71" s="19">
        <f>装备!L72</f>
        <v>0</v>
      </c>
      <c r="F71" s="19">
        <f>装备!M72</f>
        <v>0</v>
      </c>
      <c r="G71" s="19">
        <f>装备!N72</f>
        <v>0</v>
      </c>
      <c r="H71" s="19">
        <f>装备!O72</f>
        <v>0</v>
      </c>
      <c r="I71" s="19">
        <f>IF(装备!J72=0,0,"'"&amp;装备!J72&amp;"'")</f>
        <v>0</v>
      </c>
      <c r="J71" s="19">
        <f>IF(装备!K72=0,0,"'"&amp;装备!K72&amp;"'")</f>
        <v>0</v>
      </c>
      <c r="K71" s="19">
        <f>IF(装备!L72=0,0,"'"&amp;装备!L72&amp;"'")</f>
        <v>0</v>
      </c>
      <c r="L71" s="19">
        <f>IF(装备!M72=0,0,"'"&amp;装备!M72&amp;"'")</f>
        <v>0</v>
      </c>
      <c r="M71" s="19">
        <f>IF(装备!N72=0,0,"'"&amp;装备!N72&amp;"'")</f>
        <v>0</v>
      </c>
      <c r="N71" s="19">
        <f>IF(装备!O72=0,0,"'"&amp;装备!O72&amp;"'")</f>
        <v>0</v>
      </c>
      <c r="O71" s="19" t="str">
        <f t="shared" si="16"/>
        <v/>
      </c>
      <c r="P71" s="19" t="str">
        <f t="shared" si="23"/>
        <v/>
      </c>
      <c r="Q71" s="23" t="str">
        <f>IFERROR(VLOOKUP(C71,装备!$B:$E,3,FALSE),"")</f>
        <v/>
      </c>
      <c r="R71" s="23" t="str">
        <f>IFERROR(VLOOKUP(D71,装备!$B:$E,3,FALSE),"")</f>
        <v/>
      </c>
      <c r="S71" s="23" t="str">
        <f>IFERROR(VLOOKUP(E71,装备!$B:$E,3,FALSE),"")</f>
        <v/>
      </c>
      <c r="T71" s="23" t="str">
        <f>IFERROR(VLOOKUP(F71,装备!$B:$E,3,FALSE),"")</f>
        <v/>
      </c>
      <c r="U71" s="23" t="str">
        <f>IFERROR(VLOOKUP(G71,装备!$B:$E,3,FALSE),"")</f>
        <v/>
      </c>
      <c r="V71" s="23" t="str">
        <f>IFERROR(VLOOKUP(H71,装备!$B:$E,3,FALSE),"")</f>
        <v/>
      </c>
      <c r="W71" s="18" t="str">
        <f t="shared" si="17"/>
        <v/>
      </c>
      <c r="X71" s="18" t="str">
        <f t="shared" si="18"/>
        <v/>
      </c>
      <c r="Y71" s="18" t="str">
        <f t="shared" si="19"/>
        <v/>
      </c>
      <c r="Z71" s="18" t="str">
        <f t="shared" si="20"/>
        <v/>
      </c>
      <c r="AA71" s="18" t="str">
        <f t="shared" si="21"/>
        <v/>
      </c>
      <c r="AB71" s="18" t="str">
        <f t="shared" si="22"/>
        <v>|n=0</v>
      </c>
    </row>
    <row r="72" spans="1:28">
      <c r="A72" s="19">
        <f>装备!A73</f>
        <v>0</v>
      </c>
      <c r="B72" s="19" t="str">
        <f>"'"&amp;装备!B73&amp;"'"</f>
        <v>'E221'</v>
      </c>
      <c r="C72" s="19">
        <f>装备!J73</f>
        <v>0</v>
      </c>
      <c r="D72" s="19">
        <f>装备!K73</f>
        <v>0</v>
      </c>
      <c r="E72" s="19">
        <f>装备!L73</f>
        <v>0</v>
      </c>
      <c r="F72" s="19">
        <f>装备!M73</f>
        <v>0</v>
      </c>
      <c r="G72" s="19">
        <f>装备!N73</f>
        <v>0</v>
      </c>
      <c r="H72" s="19">
        <f>装备!O73</f>
        <v>0</v>
      </c>
      <c r="I72" s="19">
        <f>IF(装备!J73=0,0,"'"&amp;装备!J73&amp;"'")</f>
        <v>0</v>
      </c>
      <c r="J72" s="19">
        <f>IF(装备!K73=0,0,"'"&amp;装备!K73&amp;"'")</f>
        <v>0</v>
      </c>
      <c r="K72" s="19">
        <f>IF(装备!L73=0,0,"'"&amp;装备!L73&amp;"'")</f>
        <v>0</v>
      </c>
      <c r="L72" s="19">
        <f>IF(装备!M73=0,0,"'"&amp;装备!M73&amp;"'")</f>
        <v>0</v>
      </c>
      <c r="M72" s="19">
        <f>IF(装备!N73=0,0,"'"&amp;装备!N73&amp;"'")</f>
        <v>0</v>
      </c>
      <c r="N72" s="19">
        <f>IF(装备!O73=0,0,"'"&amp;装备!O73&amp;"'")</f>
        <v>0</v>
      </c>
      <c r="O72" s="19" t="str">
        <f t="shared" si="16"/>
        <v/>
      </c>
      <c r="P72" s="19" t="str">
        <f t="shared" si="23"/>
        <v/>
      </c>
      <c r="Q72" s="23" t="str">
        <f>IFERROR(VLOOKUP(C72,装备!$B:$E,3,FALSE),"")</f>
        <v/>
      </c>
      <c r="R72" s="23" t="str">
        <f>IFERROR(VLOOKUP(D72,装备!$B:$E,3,FALSE),"")</f>
        <v/>
      </c>
      <c r="S72" s="23" t="str">
        <f>IFERROR(VLOOKUP(E72,装备!$B:$E,3,FALSE),"")</f>
        <v/>
      </c>
      <c r="T72" s="23" t="str">
        <f>IFERROR(VLOOKUP(F72,装备!$B:$E,3,FALSE),"")</f>
        <v/>
      </c>
      <c r="U72" s="23" t="str">
        <f>IFERROR(VLOOKUP(G72,装备!$B:$E,3,FALSE),"")</f>
        <v/>
      </c>
      <c r="V72" s="23" t="str">
        <f>IFERROR(VLOOKUP(H72,装备!$B:$E,3,FALSE),"")</f>
        <v/>
      </c>
      <c r="W72" s="18" t="str">
        <f t="shared" si="17"/>
        <v/>
      </c>
      <c r="X72" s="18" t="str">
        <f t="shared" si="18"/>
        <v/>
      </c>
      <c r="Y72" s="18" t="str">
        <f t="shared" si="19"/>
        <v/>
      </c>
      <c r="Z72" s="18" t="str">
        <f t="shared" si="20"/>
        <v/>
      </c>
      <c r="AA72" s="18" t="str">
        <f t="shared" si="21"/>
        <v/>
      </c>
      <c r="AB72" s="18" t="str">
        <f t="shared" si="22"/>
        <v>|n=0</v>
      </c>
    </row>
    <row r="73" spans="1:28">
      <c r="A73" s="19">
        <f>装备!A74</f>
        <v>0</v>
      </c>
      <c r="B73" s="19" t="str">
        <f>"'"&amp;装备!B74&amp;"'"</f>
        <v>'E222'</v>
      </c>
      <c r="C73" s="19">
        <f>装备!J74</f>
        <v>0</v>
      </c>
      <c r="D73" s="19">
        <f>装备!K74</f>
        <v>0</v>
      </c>
      <c r="E73" s="19">
        <f>装备!L74</f>
        <v>0</v>
      </c>
      <c r="F73" s="19">
        <f>装备!M74</f>
        <v>0</v>
      </c>
      <c r="G73" s="19">
        <f>装备!N74</f>
        <v>0</v>
      </c>
      <c r="H73" s="19">
        <f>装备!O74</f>
        <v>0</v>
      </c>
      <c r="I73" s="19">
        <f>IF(装备!J74=0,0,"'"&amp;装备!J74&amp;"'")</f>
        <v>0</v>
      </c>
      <c r="J73" s="19">
        <f>IF(装备!K74=0,0,"'"&amp;装备!K74&amp;"'")</f>
        <v>0</v>
      </c>
      <c r="K73" s="19">
        <f>IF(装备!L74=0,0,"'"&amp;装备!L74&amp;"'")</f>
        <v>0</v>
      </c>
      <c r="L73" s="19">
        <f>IF(装备!M74=0,0,"'"&amp;装备!M74&amp;"'")</f>
        <v>0</v>
      </c>
      <c r="M73" s="19">
        <f>IF(装备!N74=0,0,"'"&amp;装备!N74&amp;"'")</f>
        <v>0</v>
      </c>
      <c r="N73" s="19">
        <f>IF(装备!O74=0,0,"'"&amp;装备!O74&amp;"'")</f>
        <v>0</v>
      </c>
      <c r="O73" s="19" t="str">
        <f t="shared" si="16"/>
        <v/>
      </c>
      <c r="P73" s="19" t="str">
        <f t="shared" si="23"/>
        <v/>
      </c>
      <c r="Q73" s="23" t="str">
        <f>IFERROR(VLOOKUP(C73,装备!$B:$E,3,FALSE),"")</f>
        <v/>
      </c>
      <c r="R73" s="23" t="str">
        <f>IFERROR(VLOOKUP(D73,装备!$B:$E,3,FALSE),"")</f>
        <v/>
      </c>
      <c r="S73" s="23" t="str">
        <f>IFERROR(VLOOKUP(E73,装备!$B:$E,3,FALSE),"")</f>
        <v/>
      </c>
      <c r="T73" s="23" t="str">
        <f>IFERROR(VLOOKUP(F73,装备!$B:$E,3,FALSE),"")</f>
        <v/>
      </c>
      <c r="U73" s="23" t="str">
        <f>IFERROR(VLOOKUP(G73,装备!$B:$E,3,FALSE),"")</f>
        <v/>
      </c>
      <c r="V73" s="23" t="str">
        <f>IFERROR(VLOOKUP(H73,装备!$B:$E,3,FALSE),"")</f>
        <v/>
      </c>
      <c r="W73" s="18" t="str">
        <f t="shared" si="17"/>
        <v/>
      </c>
      <c r="X73" s="18" t="str">
        <f t="shared" si="18"/>
        <v/>
      </c>
      <c r="Y73" s="18" t="str">
        <f t="shared" si="19"/>
        <v/>
      </c>
      <c r="Z73" s="18" t="str">
        <f t="shared" si="20"/>
        <v/>
      </c>
      <c r="AA73" s="18" t="str">
        <f t="shared" si="21"/>
        <v/>
      </c>
      <c r="AB73" s="18" t="str">
        <f t="shared" si="22"/>
        <v>|n=0</v>
      </c>
    </row>
    <row r="74" spans="1:28">
      <c r="A74" s="19">
        <f>装备!A75</f>
        <v>0</v>
      </c>
      <c r="B74" s="19" t="str">
        <f>"'"&amp;装备!B75&amp;"'"</f>
        <v>'E223'</v>
      </c>
      <c r="C74" s="19">
        <f>装备!J75</f>
        <v>0</v>
      </c>
      <c r="D74" s="19">
        <f>装备!K75</f>
        <v>0</v>
      </c>
      <c r="E74" s="19">
        <f>装备!L75</f>
        <v>0</v>
      </c>
      <c r="F74" s="19">
        <f>装备!M75</f>
        <v>0</v>
      </c>
      <c r="G74" s="19">
        <f>装备!N75</f>
        <v>0</v>
      </c>
      <c r="H74" s="19">
        <f>装备!O75</f>
        <v>0</v>
      </c>
      <c r="I74" s="19">
        <f>IF(装备!J75=0,0,"'"&amp;装备!J75&amp;"'")</f>
        <v>0</v>
      </c>
      <c r="J74" s="19">
        <f>IF(装备!K75=0,0,"'"&amp;装备!K75&amp;"'")</f>
        <v>0</v>
      </c>
      <c r="K74" s="19">
        <f>IF(装备!L75=0,0,"'"&amp;装备!L75&amp;"'")</f>
        <v>0</v>
      </c>
      <c r="L74" s="19">
        <f>IF(装备!M75=0,0,"'"&amp;装备!M75&amp;"'")</f>
        <v>0</v>
      </c>
      <c r="M74" s="19">
        <f>IF(装备!N75=0,0,"'"&amp;装备!N75&amp;"'")</f>
        <v>0</v>
      </c>
      <c r="N74" s="19">
        <f>IF(装备!O75=0,0,"'"&amp;装备!O75&amp;"'")</f>
        <v>0</v>
      </c>
      <c r="O74" s="19" t="str">
        <f t="shared" si="16"/>
        <v/>
      </c>
      <c r="P74" s="19" t="str">
        <f t="shared" si="23"/>
        <v/>
      </c>
      <c r="Q74" s="23" t="str">
        <f>IFERROR(VLOOKUP(C74,装备!$B:$E,3,FALSE),"")</f>
        <v/>
      </c>
      <c r="R74" s="23" t="str">
        <f>IFERROR(VLOOKUP(D74,装备!$B:$E,3,FALSE),"")</f>
        <v/>
      </c>
      <c r="S74" s="23" t="str">
        <f>IFERROR(VLOOKUP(E74,装备!$B:$E,3,FALSE),"")</f>
        <v/>
      </c>
      <c r="T74" s="23" t="str">
        <f>IFERROR(VLOOKUP(F74,装备!$B:$E,3,FALSE),"")</f>
        <v/>
      </c>
      <c r="U74" s="23" t="str">
        <f>IFERROR(VLOOKUP(G74,装备!$B:$E,3,FALSE),"")</f>
        <v/>
      </c>
      <c r="V74" s="23" t="str">
        <f>IFERROR(VLOOKUP(H74,装备!$B:$E,3,FALSE),"")</f>
        <v/>
      </c>
      <c r="W74" s="18" t="str">
        <f t="shared" si="17"/>
        <v/>
      </c>
      <c r="X74" s="18" t="str">
        <f t="shared" si="18"/>
        <v/>
      </c>
      <c r="Y74" s="18" t="str">
        <f t="shared" si="19"/>
        <v/>
      </c>
      <c r="Z74" s="18" t="str">
        <f t="shared" si="20"/>
        <v/>
      </c>
      <c r="AA74" s="18" t="str">
        <f t="shared" si="21"/>
        <v/>
      </c>
      <c r="AB74" s="18" t="str">
        <f t="shared" si="22"/>
        <v>|n=0</v>
      </c>
    </row>
    <row r="75" spans="1:28">
      <c r="A75" s="19">
        <f>装备!A76</f>
        <v>0</v>
      </c>
      <c r="B75" s="19" t="str">
        <f>"'"&amp;装备!B76&amp;"'"</f>
        <v>'E224'</v>
      </c>
      <c r="C75" s="19">
        <f>装备!J76</f>
        <v>0</v>
      </c>
      <c r="D75" s="19">
        <f>装备!K76</f>
        <v>0</v>
      </c>
      <c r="E75" s="19">
        <f>装备!L76</f>
        <v>0</v>
      </c>
      <c r="F75" s="19">
        <f>装备!M76</f>
        <v>0</v>
      </c>
      <c r="G75" s="19">
        <f>装备!N76</f>
        <v>0</v>
      </c>
      <c r="H75" s="19">
        <f>装备!O76</f>
        <v>0</v>
      </c>
      <c r="I75" s="19">
        <f>IF(装备!J76=0,0,"'"&amp;装备!J76&amp;"'")</f>
        <v>0</v>
      </c>
      <c r="J75" s="19">
        <f>IF(装备!K76=0,0,"'"&amp;装备!K76&amp;"'")</f>
        <v>0</v>
      </c>
      <c r="K75" s="19">
        <f>IF(装备!L76=0,0,"'"&amp;装备!L76&amp;"'")</f>
        <v>0</v>
      </c>
      <c r="L75" s="19">
        <f>IF(装备!M76=0,0,"'"&amp;装备!M76&amp;"'")</f>
        <v>0</v>
      </c>
      <c r="M75" s="19">
        <f>IF(装备!N76=0,0,"'"&amp;装备!N76&amp;"'")</f>
        <v>0</v>
      </c>
      <c r="N75" s="19">
        <f>IF(装备!O76=0,0,"'"&amp;装备!O76&amp;"'")</f>
        <v>0</v>
      </c>
      <c r="O75" s="19" t="str">
        <f t="shared" si="16"/>
        <v/>
      </c>
      <c r="P75" s="19" t="str">
        <f t="shared" si="23"/>
        <v/>
      </c>
      <c r="Q75" s="23" t="str">
        <f>IFERROR(VLOOKUP(C75,装备!$B:$E,3,FALSE),"")</f>
        <v/>
      </c>
      <c r="R75" s="23" t="str">
        <f>IFERROR(VLOOKUP(D75,装备!$B:$E,3,FALSE),"")</f>
        <v/>
      </c>
      <c r="S75" s="23" t="str">
        <f>IFERROR(VLOOKUP(E75,装备!$B:$E,3,FALSE),"")</f>
        <v/>
      </c>
      <c r="T75" s="23" t="str">
        <f>IFERROR(VLOOKUP(F75,装备!$B:$E,3,FALSE),"")</f>
        <v/>
      </c>
      <c r="U75" s="23" t="str">
        <f>IFERROR(VLOOKUP(G75,装备!$B:$E,3,FALSE),"")</f>
        <v/>
      </c>
      <c r="V75" s="23" t="str">
        <f>IFERROR(VLOOKUP(H75,装备!$B:$E,3,FALSE),"")</f>
        <v/>
      </c>
      <c r="W75" s="18" t="str">
        <f t="shared" si="17"/>
        <v/>
      </c>
      <c r="X75" s="18" t="str">
        <f t="shared" si="18"/>
        <v/>
      </c>
      <c r="Y75" s="18" t="str">
        <f t="shared" si="19"/>
        <v/>
      </c>
      <c r="Z75" s="18" t="str">
        <f t="shared" si="20"/>
        <v/>
      </c>
      <c r="AA75" s="18" t="str">
        <f t="shared" si="21"/>
        <v/>
      </c>
      <c r="AB75" s="18" t="str">
        <f t="shared" si="22"/>
        <v>|n=0</v>
      </c>
    </row>
    <row r="76" spans="1:28">
      <c r="A76" s="19">
        <f>装备!A77</f>
        <v>0</v>
      </c>
      <c r="B76" s="19" t="str">
        <f>"'"&amp;装备!B77&amp;"'"</f>
        <v>'E225'</v>
      </c>
      <c r="C76" s="19">
        <f>装备!J77</f>
        <v>0</v>
      </c>
      <c r="D76" s="19">
        <f>装备!K77</f>
        <v>0</v>
      </c>
      <c r="E76" s="19">
        <f>装备!L77</f>
        <v>0</v>
      </c>
      <c r="F76" s="19">
        <f>装备!M77</f>
        <v>0</v>
      </c>
      <c r="G76" s="19">
        <f>装备!N77</f>
        <v>0</v>
      </c>
      <c r="H76" s="19">
        <f>装备!O77</f>
        <v>0</v>
      </c>
      <c r="I76" s="19">
        <f>IF(装备!J77=0,0,"'"&amp;装备!J77&amp;"'")</f>
        <v>0</v>
      </c>
      <c r="J76" s="19">
        <f>IF(装备!K77=0,0,"'"&amp;装备!K77&amp;"'")</f>
        <v>0</v>
      </c>
      <c r="K76" s="19">
        <f>IF(装备!L77=0,0,"'"&amp;装备!L77&amp;"'")</f>
        <v>0</v>
      </c>
      <c r="L76" s="19">
        <f>IF(装备!M77=0,0,"'"&amp;装备!M77&amp;"'")</f>
        <v>0</v>
      </c>
      <c r="M76" s="19">
        <f>IF(装备!N77=0,0,"'"&amp;装备!N77&amp;"'")</f>
        <v>0</v>
      </c>
      <c r="N76" s="19">
        <f>IF(装备!O77=0,0,"'"&amp;装备!O77&amp;"'")</f>
        <v>0</v>
      </c>
      <c r="O76" s="19" t="str">
        <f t="shared" si="16"/>
        <v/>
      </c>
      <c r="P76" s="19" t="str">
        <f t="shared" si="23"/>
        <v/>
      </c>
      <c r="Q76" s="23" t="str">
        <f>IFERROR(VLOOKUP(C76,装备!$B:$E,3,FALSE),"")</f>
        <v/>
      </c>
      <c r="R76" s="23" t="str">
        <f>IFERROR(VLOOKUP(D76,装备!$B:$E,3,FALSE),"")</f>
        <v/>
      </c>
      <c r="S76" s="23" t="str">
        <f>IFERROR(VLOOKUP(E76,装备!$B:$E,3,FALSE),"")</f>
        <v/>
      </c>
      <c r="T76" s="23" t="str">
        <f>IFERROR(VLOOKUP(F76,装备!$B:$E,3,FALSE),"")</f>
        <v/>
      </c>
      <c r="U76" s="23" t="str">
        <f>IFERROR(VLOOKUP(G76,装备!$B:$E,3,FALSE),"")</f>
        <v/>
      </c>
      <c r="V76" s="23" t="str">
        <f>IFERROR(VLOOKUP(H76,装备!$B:$E,3,FALSE),"")</f>
        <v/>
      </c>
      <c r="W76" s="18" t="str">
        <f t="shared" si="17"/>
        <v/>
      </c>
      <c r="X76" s="18" t="str">
        <f t="shared" si="18"/>
        <v/>
      </c>
      <c r="Y76" s="18" t="str">
        <f t="shared" si="19"/>
        <v/>
      </c>
      <c r="Z76" s="18" t="str">
        <f t="shared" si="20"/>
        <v/>
      </c>
      <c r="AA76" s="18" t="str">
        <f t="shared" si="21"/>
        <v/>
      </c>
      <c r="AB76" s="18" t="str">
        <f t="shared" si="22"/>
        <v>|n=0</v>
      </c>
    </row>
    <row r="77" spans="1:28">
      <c r="A77" s="19">
        <f>装备!A78</f>
        <v>0</v>
      </c>
      <c r="B77" s="19" t="str">
        <f>"'"&amp;装备!B78&amp;"'"</f>
        <v>'IJ01'</v>
      </c>
      <c r="C77" s="19">
        <f>装备!J78</f>
        <v>0</v>
      </c>
      <c r="D77" s="19">
        <f>装备!K78</f>
        <v>0</v>
      </c>
      <c r="E77" s="19">
        <f>装备!L78</f>
        <v>0</v>
      </c>
      <c r="F77" s="19">
        <f>装备!M78</f>
        <v>0</v>
      </c>
      <c r="G77" s="19">
        <f>装备!N78</f>
        <v>0</v>
      </c>
      <c r="H77" s="19">
        <f>装备!O78</f>
        <v>0</v>
      </c>
      <c r="I77" s="19">
        <f>IF(装备!J78=0,0,"'"&amp;装备!J78&amp;"'")</f>
        <v>0</v>
      </c>
      <c r="J77" s="19">
        <f>IF(装备!K78=0,0,"'"&amp;装备!K78&amp;"'")</f>
        <v>0</v>
      </c>
      <c r="K77" s="19">
        <f>IF(装备!L78=0,0,"'"&amp;装备!L78&amp;"'")</f>
        <v>0</v>
      </c>
      <c r="L77" s="19">
        <f>IF(装备!M78=0,0,"'"&amp;装备!M78&amp;"'")</f>
        <v>0</v>
      </c>
      <c r="M77" s="19">
        <f>IF(装备!N78=0,0,"'"&amp;装备!N78&amp;"'")</f>
        <v>0</v>
      </c>
      <c r="N77" s="19">
        <f>IF(装备!O78=0,0,"'"&amp;装备!O78&amp;"'")</f>
        <v>0</v>
      </c>
      <c r="O77" s="19" t="str">
        <f t="shared" ref="O77:O87" si="24">IF(I77=0,"","AddItemFormula("&amp;I77&amp;","&amp;J77&amp;","&amp;K77&amp;","&amp;L77&amp;","&amp;M77&amp;","&amp;N77&amp;","&amp;B77&amp;")")</f>
        <v/>
      </c>
      <c r="P77" s="19" t="str">
        <f t="shared" ref="P77:P87" si="25">IFERROR(VLOOKUP(A77,Q:AB,12,FALSE),IFERROR(VLOOKUP(A77,R:AB,11,FALSE),IFERROR(VLOOKUP(A77,S:AB,10,FALSE),"")))</f>
        <v/>
      </c>
      <c r="Q77" s="23" t="str">
        <f>IFERROR(VLOOKUP(C77,装备!$B:$E,3,FALSE),"")</f>
        <v/>
      </c>
      <c r="R77" s="23" t="str">
        <f>IFERROR(VLOOKUP(D77,装备!$B:$E,3,FALSE),"")</f>
        <v/>
      </c>
      <c r="S77" s="23" t="str">
        <f>IFERROR(VLOOKUP(E77,装备!$B:$E,3,FALSE),"")</f>
        <v/>
      </c>
      <c r="T77" s="23" t="str">
        <f>IFERROR(VLOOKUP(F77,装备!$B:$E,3,FALSE),"")</f>
        <v/>
      </c>
      <c r="U77" s="23" t="str">
        <f>IFERROR(VLOOKUP(G77,装备!$B:$E,3,FALSE),"")</f>
        <v/>
      </c>
      <c r="V77" s="23" t="str">
        <f>IFERROR(VLOOKUP(H77,装备!$B:$E,3,FALSE),"")</f>
        <v/>
      </c>
      <c r="W77" s="18" t="str">
        <f t="shared" ref="W77:W87" si="26">IF(R77="","","+"&amp;R77)</f>
        <v/>
      </c>
      <c r="X77" s="18" t="str">
        <f t="shared" ref="X77:X87" si="27">IF(S77="","","+"&amp;S77)</f>
        <v/>
      </c>
      <c r="Y77" s="18" t="str">
        <f t="shared" ref="Y77:Y87" si="28">IF(T77="","","+"&amp;T77)</f>
        <v/>
      </c>
      <c r="Z77" s="18" t="str">
        <f t="shared" ref="Z77:Z87" si="29">IF(U77="","","+"&amp;U77)</f>
        <v/>
      </c>
      <c r="AA77" s="18" t="str">
        <f t="shared" ref="AA77:AA87" si="30">IF(V77="","","+"&amp;V77)</f>
        <v/>
      </c>
      <c r="AB77" s="18" t="str">
        <f t="shared" ref="AB77:AB87" si="31">"|n"&amp;Q77&amp;W77&amp;X77&amp;Y77&amp;Z77&amp;AA77&amp;"="&amp;A77</f>
        <v>|n=0</v>
      </c>
    </row>
    <row r="78" spans="1:28">
      <c r="A78" s="19">
        <f>装备!A79</f>
        <v>0</v>
      </c>
      <c r="B78" s="19" t="str">
        <f>"'"&amp;装备!B79&amp;"'"</f>
        <v>'IJ02'</v>
      </c>
      <c r="C78" s="19">
        <f>装备!J79</f>
        <v>0</v>
      </c>
      <c r="D78" s="19">
        <f>装备!K79</f>
        <v>0</v>
      </c>
      <c r="E78" s="19">
        <f>装备!L79</f>
        <v>0</v>
      </c>
      <c r="F78" s="19">
        <f>装备!M79</f>
        <v>0</v>
      </c>
      <c r="G78" s="19">
        <f>装备!N79</f>
        <v>0</v>
      </c>
      <c r="H78" s="19">
        <f>装备!O79</f>
        <v>0</v>
      </c>
      <c r="I78" s="19">
        <f>IF(装备!J79=0,0,"'"&amp;装备!J79&amp;"'")</f>
        <v>0</v>
      </c>
      <c r="J78" s="19">
        <f>IF(装备!K79=0,0,"'"&amp;装备!K79&amp;"'")</f>
        <v>0</v>
      </c>
      <c r="K78" s="19">
        <f>IF(装备!L79=0,0,"'"&amp;装备!L79&amp;"'")</f>
        <v>0</v>
      </c>
      <c r="L78" s="19">
        <f>IF(装备!M79=0,0,"'"&amp;装备!M79&amp;"'")</f>
        <v>0</v>
      </c>
      <c r="M78" s="19">
        <f>IF(装备!N79=0,0,"'"&amp;装备!N79&amp;"'")</f>
        <v>0</v>
      </c>
      <c r="N78" s="19">
        <f>IF(装备!O79=0,0,"'"&amp;装备!O79&amp;"'")</f>
        <v>0</v>
      </c>
      <c r="O78" s="19" t="str">
        <f t="shared" si="24"/>
        <v/>
      </c>
      <c r="P78" s="19" t="str">
        <f t="shared" si="25"/>
        <v/>
      </c>
      <c r="Q78" s="23" t="str">
        <f>IFERROR(VLOOKUP(C78,装备!$B:$E,3,FALSE),"")</f>
        <v/>
      </c>
      <c r="R78" s="23" t="str">
        <f>IFERROR(VLOOKUP(D78,装备!$B:$E,3,FALSE),"")</f>
        <v/>
      </c>
      <c r="S78" s="23" t="str">
        <f>IFERROR(VLOOKUP(E78,装备!$B:$E,3,FALSE),"")</f>
        <v/>
      </c>
      <c r="T78" s="23" t="str">
        <f>IFERROR(VLOOKUP(F78,装备!$B:$E,3,FALSE),"")</f>
        <v/>
      </c>
      <c r="U78" s="23" t="str">
        <f>IFERROR(VLOOKUP(G78,装备!$B:$E,3,FALSE),"")</f>
        <v/>
      </c>
      <c r="V78" s="23" t="str">
        <f>IFERROR(VLOOKUP(H78,装备!$B:$E,3,FALSE),"")</f>
        <v/>
      </c>
      <c r="W78" s="18" t="str">
        <f t="shared" si="26"/>
        <v/>
      </c>
      <c r="X78" s="18" t="str">
        <f t="shared" si="27"/>
        <v/>
      </c>
      <c r="Y78" s="18" t="str">
        <f t="shared" si="28"/>
        <v/>
      </c>
      <c r="Z78" s="18" t="str">
        <f t="shared" si="29"/>
        <v/>
      </c>
      <c r="AA78" s="18" t="str">
        <f t="shared" si="30"/>
        <v/>
      </c>
      <c r="AB78" s="18" t="str">
        <f t="shared" si="31"/>
        <v>|n=0</v>
      </c>
    </row>
    <row r="79" spans="1:28">
      <c r="A79" s="19">
        <f>装备!A80</f>
        <v>0</v>
      </c>
      <c r="B79" s="19" t="str">
        <f>"'"&amp;装备!B80&amp;"'"</f>
        <v>'IJ03'</v>
      </c>
      <c r="C79" s="19">
        <f>装备!J80</f>
        <v>0</v>
      </c>
      <c r="D79" s="19">
        <f>装备!K80</f>
        <v>0</v>
      </c>
      <c r="E79" s="19">
        <f>装备!L80</f>
        <v>0</v>
      </c>
      <c r="F79" s="19">
        <f>装备!M80</f>
        <v>0</v>
      </c>
      <c r="G79" s="19">
        <f>装备!N80</f>
        <v>0</v>
      </c>
      <c r="H79" s="19">
        <f>装备!O80</f>
        <v>0</v>
      </c>
      <c r="I79" s="19">
        <f>IF(装备!J80=0,0,"'"&amp;装备!J80&amp;"'")</f>
        <v>0</v>
      </c>
      <c r="J79" s="19">
        <f>IF(装备!K80=0,0,"'"&amp;装备!K80&amp;"'")</f>
        <v>0</v>
      </c>
      <c r="K79" s="19">
        <f>IF(装备!L80=0,0,"'"&amp;装备!L80&amp;"'")</f>
        <v>0</v>
      </c>
      <c r="L79" s="19">
        <f>IF(装备!M80=0,0,"'"&amp;装备!M80&amp;"'")</f>
        <v>0</v>
      </c>
      <c r="M79" s="19">
        <f>IF(装备!N80=0,0,"'"&amp;装备!N80&amp;"'")</f>
        <v>0</v>
      </c>
      <c r="N79" s="19">
        <f>IF(装备!O80=0,0,"'"&amp;装备!O80&amp;"'")</f>
        <v>0</v>
      </c>
      <c r="O79" s="19" t="str">
        <f t="shared" si="24"/>
        <v/>
      </c>
      <c r="P79" s="19" t="str">
        <f t="shared" si="25"/>
        <v/>
      </c>
      <c r="Q79" s="23" t="str">
        <f>IFERROR(VLOOKUP(C79,装备!$B:$E,3,FALSE),"")</f>
        <v/>
      </c>
      <c r="R79" s="23" t="str">
        <f>IFERROR(VLOOKUP(D79,装备!$B:$E,3,FALSE),"")</f>
        <v/>
      </c>
      <c r="S79" s="23" t="str">
        <f>IFERROR(VLOOKUP(E79,装备!$B:$E,3,FALSE),"")</f>
        <v/>
      </c>
      <c r="T79" s="23" t="str">
        <f>IFERROR(VLOOKUP(F79,装备!$B:$E,3,FALSE),"")</f>
        <v/>
      </c>
      <c r="U79" s="23" t="str">
        <f>IFERROR(VLOOKUP(G79,装备!$B:$E,3,FALSE),"")</f>
        <v/>
      </c>
      <c r="V79" s="23" t="str">
        <f>IFERROR(VLOOKUP(H79,装备!$B:$E,3,FALSE),"")</f>
        <v/>
      </c>
      <c r="W79" s="18" t="str">
        <f t="shared" si="26"/>
        <v/>
      </c>
      <c r="X79" s="18" t="str">
        <f t="shared" si="27"/>
        <v/>
      </c>
      <c r="Y79" s="18" t="str">
        <f t="shared" si="28"/>
        <v/>
      </c>
      <c r="Z79" s="18" t="str">
        <f t="shared" si="29"/>
        <v/>
      </c>
      <c r="AA79" s="18" t="str">
        <f t="shared" si="30"/>
        <v/>
      </c>
      <c r="AB79" s="18" t="str">
        <f t="shared" si="31"/>
        <v>|n=0</v>
      </c>
    </row>
    <row r="80" spans="1:28">
      <c r="A80" s="19">
        <f>装备!A81</f>
        <v>0</v>
      </c>
      <c r="B80" s="19" t="str">
        <f>"'"&amp;装备!B81&amp;"'"</f>
        <v>'IJ04'</v>
      </c>
      <c r="C80" s="19">
        <f>装备!J81</f>
        <v>0</v>
      </c>
      <c r="D80" s="19">
        <f>装备!K81</f>
        <v>0</v>
      </c>
      <c r="E80" s="19">
        <f>装备!L81</f>
        <v>0</v>
      </c>
      <c r="F80" s="19">
        <f>装备!M81</f>
        <v>0</v>
      </c>
      <c r="G80" s="19">
        <f>装备!N81</f>
        <v>0</v>
      </c>
      <c r="H80" s="19">
        <f>装备!O81</f>
        <v>0</v>
      </c>
      <c r="I80" s="19">
        <f>IF(装备!J81=0,0,"'"&amp;装备!J81&amp;"'")</f>
        <v>0</v>
      </c>
      <c r="J80" s="19">
        <f>IF(装备!K81=0,0,"'"&amp;装备!K81&amp;"'")</f>
        <v>0</v>
      </c>
      <c r="K80" s="19">
        <f>IF(装备!L81=0,0,"'"&amp;装备!L81&amp;"'")</f>
        <v>0</v>
      </c>
      <c r="L80" s="19">
        <f>IF(装备!M81=0,0,"'"&amp;装备!M81&amp;"'")</f>
        <v>0</v>
      </c>
      <c r="M80" s="19">
        <f>IF(装备!N81=0,0,"'"&amp;装备!N81&amp;"'")</f>
        <v>0</v>
      </c>
      <c r="N80" s="19">
        <f>IF(装备!O81=0,0,"'"&amp;装备!O81&amp;"'")</f>
        <v>0</v>
      </c>
      <c r="O80" s="19" t="str">
        <f t="shared" si="24"/>
        <v/>
      </c>
      <c r="P80" s="19" t="str">
        <f t="shared" si="25"/>
        <v/>
      </c>
      <c r="Q80" s="23" t="str">
        <f>IFERROR(VLOOKUP(C80,装备!$B:$E,3,FALSE),"")</f>
        <v/>
      </c>
      <c r="R80" s="23" t="str">
        <f>IFERROR(VLOOKUP(D80,装备!$B:$E,3,FALSE),"")</f>
        <v/>
      </c>
      <c r="S80" s="23" t="str">
        <f>IFERROR(VLOOKUP(E80,装备!$B:$E,3,FALSE),"")</f>
        <v/>
      </c>
      <c r="T80" s="23" t="str">
        <f>IFERROR(VLOOKUP(F80,装备!$B:$E,3,FALSE),"")</f>
        <v/>
      </c>
      <c r="U80" s="23" t="str">
        <f>IFERROR(VLOOKUP(G80,装备!$B:$E,3,FALSE),"")</f>
        <v/>
      </c>
      <c r="V80" s="23" t="str">
        <f>IFERROR(VLOOKUP(H80,装备!$B:$E,3,FALSE),"")</f>
        <v/>
      </c>
      <c r="W80" s="18" t="str">
        <f t="shared" si="26"/>
        <v/>
      </c>
      <c r="X80" s="18" t="str">
        <f t="shared" si="27"/>
        <v/>
      </c>
      <c r="Y80" s="18" t="str">
        <f t="shared" si="28"/>
        <v/>
      </c>
      <c r="Z80" s="18" t="str">
        <f t="shared" si="29"/>
        <v/>
      </c>
      <c r="AA80" s="18" t="str">
        <f t="shared" si="30"/>
        <v/>
      </c>
      <c r="AB80" s="18" t="str">
        <f t="shared" si="31"/>
        <v>|n=0</v>
      </c>
    </row>
    <row r="81" spans="1:28">
      <c r="A81" s="19">
        <f>装备!A82</f>
        <v>0</v>
      </c>
      <c r="B81" s="19" t="str">
        <f>"'"&amp;装备!B82&amp;"'"</f>
        <v>'IJ05'</v>
      </c>
      <c r="C81" s="19">
        <f>装备!J82</f>
        <v>0</v>
      </c>
      <c r="D81" s="19">
        <f>装备!K82</f>
        <v>0</v>
      </c>
      <c r="E81" s="19">
        <f>装备!L82</f>
        <v>0</v>
      </c>
      <c r="F81" s="19">
        <f>装备!M82</f>
        <v>0</v>
      </c>
      <c r="G81" s="19">
        <f>装备!N82</f>
        <v>0</v>
      </c>
      <c r="H81" s="19">
        <f>装备!O82</f>
        <v>0</v>
      </c>
      <c r="I81" s="19">
        <f>IF(装备!J82=0,0,"'"&amp;装备!J82&amp;"'")</f>
        <v>0</v>
      </c>
      <c r="J81" s="19">
        <f>IF(装备!K82=0,0,"'"&amp;装备!K82&amp;"'")</f>
        <v>0</v>
      </c>
      <c r="K81" s="19">
        <f>IF(装备!L82=0,0,"'"&amp;装备!L82&amp;"'")</f>
        <v>0</v>
      </c>
      <c r="L81" s="19">
        <f>IF(装备!M82=0,0,"'"&amp;装备!M82&amp;"'")</f>
        <v>0</v>
      </c>
      <c r="M81" s="19">
        <f>IF(装备!N82=0,0,"'"&amp;装备!N82&amp;"'")</f>
        <v>0</v>
      </c>
      <c r="N81" s="19">
        <f>IF(装备!O82=0,0,"'"&amp;装备!O82&amp;"'")</f>
        <v>0</v>
      </c>
      <c r="O81" s="19" t="str">
        <f t="shared" si="24"/>
        <v/>
      </c>
      <c r="P81" s="19" t="str">
        <f t="shared" si="25"/>
        <v/>
      </c>
      <c r="Q81" s="23" t="str">
        <f>IFERROR(VLOOKUP(C81,装备!$B:$E,3,FALSE),"")</f>
        <v/>
      </c>
      <c r="R81" s="23" t="str">
        <f>IFERROR(VLOOKUP(D81,装备!$B:$E,3,FALSE),"")</f>
        <v/>
      </c>
      <c r="S81" s="23" t="str">
        <f>IFERROR(VLOOKUP(E81,装备!$B:$E,3,FALSE),"")</f>
        <v/>
      </c>
      <c r="T81" s="23" t="str">
        <f>IFERROR(VLOOKUP(F81,装备!$B:$E,3,FALSE),"")</f>
        <v/>
      </c>
      <c r="U81" s="23" t="str">
        <f>IFERROR(VLOOKUP(G81,装备!$B:$E,3,FALSE),"")</f>
        <v/>
      </c>
      <c r="V81" s="23" t="str">
        <f>IFERROR(VLOOKUP(H81,装备!$B:$E,3,FALSE),"")</f>
        <v/>
      </c>
      <c r="W81" s="18" t="str">
        <f t="shared" si="26"/>
        <v/>
      </c>
      <c r="X81" s="18" t="str">
        <f t="shared" si="27"/>
        <v/>
      </c>
      <c r="Y81" s="18" t="str">
        <f t="shared" si="28"/>
        <v/>
      </c>
      <c r="Z81" s="18" t="str">
        <f t="shared" si="29"/>
        <v/>
      </c>
      <c r="AA81" s="18" t="str">
        <f t="shared" si="30"/>
        <v/>
      </c>
      <c r="AB81" s="18" t="str">
        <f t="shared" si="31"/>
        <v>|n=0</v>
      </c>
    </row>
    <row r="82" spans="1:28">
      <c r="A82" s="19">
        <f>装备!A83</f>
        <v>0</v>
      </c>
      <c r="B82" s="19" t="str">
        <f>"'"&amp;装备!B83&amp;"'"</f>
        <v>'IJ06'</v>
      </c>
      <c r="C82" s="19">
        <f>装备!J83</f>
        <v>0</v>
      </c>
      <c r="D82" s="19">
        <f>装备!K83</f>
        <v>0</v>
      </c>
      <c r="E82" s="19">
        <f>装备!L83</f>
        <v>0</v>
      </c>
      <c r="F82" s="19">
        <f>装备!M83</f>
        <v>0</v>
      </c>
      <c r="G82" s="19">
        <f>装备!N83</f>
        <v>0</v>
      </c>
      <c r="H82" s="19">
        <f>装备!O83</f>
        <v>0</v>
      </c>
      <c r="I82" s="19">
        <f>IF(装备!J83=0,0,"'"&amp;装备!J83&amp;"'")</f>
        <v>0</v>
      </c>
      <c r="J82" s="19">
        <f>IF(装备!K83=0,0,"'"&amp;装备!K83&amp;"'")</f>
        <v>0</v>
      </c>
      <c r="K82" s="19">
        <f>IF(装备!L83=0,0,"'"&amp;装备!L83&amp;"'")</f>
        <v>0</v>
      </c>
      <c r="L82" s="19">
        <f>IF(装备!M83=0,0,"'"&amp;装备!M83&amp;"'")</f>
        <v>0</v>
      </c>
      <c r="M82" s="19">
        <f>IF(装备!N83=0,0,"'"&amp;装备!N83&amp;"'")</f>
        <v>0</v>
      </c>
      <c r="N82" s="19">
        <f>IF(装备!O83=0,0,"'"&amp;装备!O83&amp;"'")</f>
        <v>0</v>
      </c>
      <c r="O82" s="19" t="str">
        <f t="shared" si="24"/>
        <v/>
      </c>
      <c r="P82" s="19" t="str">
        <f t="shared" si="25"/>
        <v/>
      </c>
      <c r="Q82" s="23" t="str">
        <f>IFERROR(VLOOKUP(C82,装备!$B:$E,3,FALSE),"")</f>
        <v/>
      </c>
      <c r="R82" s="23" t="str">
        <f>IFERROR(VLOOKUP(D82,装备!$B:$E,3,FALSE),"")</f>
        <v/>
      </c>
      <c r="S82" s="23" t="str">
        <f>IFERROR(VLOOKUP(E82,装备!$B:$E,3,FALSE),"")</f>
        <v/>
      </c>
      <c r="T82" s="23" t="str">
        <f>IFERROR(VLOOKUP(F82,装备!$B:$E,3,FALSE),"")</f>
        <v/>
      </c>
      <c r="U82" s="23" t="str">
        <f>IFERROR(VLOOKUP(G82,装备!$B:$E,3,FALSE),"")</f>
        <v/>
      </c>
      <c r="V82" s="23" t="str">
        <f>IFERROR(VLOOKUP(H82,装备!$B:$E,3,FALSE),"")</f>
        <v/>
      </c>
      <c r="W82" s="18" t="str">
        <f t="shared" si="26"/>
        <v/>
      </c>
      <c r="X82" s="18" t="str">
        <f t="shared" si="27"/>
        <v/>
      </c>
      <c r="Y82" s="18" t="str">
        <f t="shared" si="28"/>
        <v/>
      </c>
      <c r="Z82" s="18" t="str">
        <f t="shared" si="29"/>
        <v/>
      </c>
      <c r="AA82" s="18" t="str">
        <f t="shared" si="30"/>
        <v/>
      </c>
      <c r="AB82" s="18" t="str">
        <f t="shared" si="31"/>
        <v>|n=0</v>
      </c>
    </row>
    <row r="83" spans="1:28">
      <c r="A83" s="19">
        <f>装备!A84</f>
        <v>0</v>
      </c>
      <c r="B83" s="19" t="str">
        <f>"'"&amp;装备!B84&amp;"'"</f>
        <v>'IJ07'</v>
      </c>
      <c r="C83" s="19">
        <f>装备!J84</f>
        <v>0</v>
      </c>
      <c r="D83" s="19">
        <f>装备!K84</f>
        <v>0</v>
      </c>
      <c r="E83" s="19">
        <f>装备!L84</f>
        <v>0</v>
      </c>
      <c r="F83" s="19">
        <f>装备!M84</f>
        <v>0</v>
      </c>
      <c r="G83" s="19">
        <f>装备!N84</f>
        <v>0</v>
      </c>
      <c r="H83" s="19">
        <f>装备!O84</f>
        <v>0</v>
      </c>
      <c r="I83" s="19">
        <f>IF(装备!J84=0,0,"'"&amp;装备!J84&amp;"'")</f>
        <v>0</v>
      </c>
      <c r="J83" s="19">
        <f>IF(装备!K84=0,0,"'"&amp;装备!K84&amp;"'")</f>
        <v>0</v>
      </c>
      <c r="K83" s="19">
        <f>IF(装备!L84=0,0,"'"&amp;装备!L84&amp;"'")</f>
        <v>0</v>
      </c>
      <c r="L83" s="19">
        <f>IF(装备!M84=0,0,"'"&amp;装备!M84&amp;"'")</f>
        <v>0</v>
      </c>
      <c r="M83" s="19">
        <f>IF(装备!N84=0,0,"'"&amp;装备!N84&amp;"'")</f>
        <v>0</v>
      </c>
      <c r="N83" s="19">
        <f>IF(装备!O84=0,0,"'"&amp;装备!O84&amp;"'")</f>
        <v>0</v>
      </c>
      <c r="O83" s="19" t="str">
        <f t="shared" si="24"/>
        <v/>
      </c>
      <c r="P83" s="19" t="str">
        <f t="shared" si="25"/>
        <v/>
      </c>
      <c r="Q83" s="23" t="str">
        <f>IFERROR(VLOOKUP(C83,装备!$B:$E,3,FALSE),"")</f>
        <v/>
      </c>
      <c r="R83" s="23" t="str">
        <f>IFERROR(VLOOKUP(D83,装备!$B:$E,3,FALSE),"")</f>
        <v/>
      </c>
      <c r="S83" s="23" t="str">
        <f>IFERROR(VLOOKUP(E83,装备!$B:$E,3,FALSE),"")</f>
        <v/>
      </c>
      <c r="T83" s="23" t="str">
        <f>IFERROR(VLOOKUP(F83,装备!$B:$E,3,FALSE),"")</f>
        <v/>
      </c>
      <c r="U83" s="23" t="str">
        <f>IFERROR(VLOOKUP(G83,装备!$B:$E,3,FALSE),"")</f>
        <v/>
      </c>
      <c r="V83" s="23" t="str">
        <f>IFERROR(VLOOKUP(H83,装备!$B:$E,3,FALSE),"")</f>
        <v/>
      </c>
      <c r="W83" s="18" t="str">
        <f t="shared" si="26"/>
        <v/>
      </c>
      <c r="X83" s="18" t="str">
        <f t="shared" si="27"/>
        <v/>
      </c>
      <c r="Y83" s="18" t="str">
        <f t="shared" si="28"/>
        <v/>
      </c>
      <c r="Z83" s="18" t="str">
        <f t="shared" si="29"/>
        <v/>
      </c>
      <c r="AA83" s="18" t="str">
        <f t="shared" si="30"/>
        <v/>
      </c>
      <c r="AB83" s="18" t="str">
        <f t="shared" si="31"/>
        <v>|n=0</v>
      </c>
    </row>
    <row r="84" spans="1:28">
      <c r="A84" s="19">
        <f>装备!A85</f>
        <v>0</v>
      </c>
      <c r="B84" s="19" t="str">
        <f>"'"&amp;装备!B85&amp;"'"</f>
        <v>'IJ08'</v>
      </c>
      <c r="C84" s="19">
        <f>装备!J85</f>
        <v>0</v>
      </c>
      <c r="D84" s="19">
        <f>装备!K85</f>
        <v>0</v>
      </c>
      <c r="E84" s="19">
        <f>装备!L85</f>
        <v>0</v>
      </c>
      <c r="F84" s="19">
        <f>装备!M85</f>
        <v>0</v>
      </c>
      <c r="G84" s="19">
        <f>装备!N85</f>
        <v>0</v>
      </c>
      <c r="H84" s="19">
        <f>装备!O85</f>
        <v>0</v>
      </c>
      <c r="I84" s="19">
        <f>IF(装备!J85=0,0,"'"&amp;装备!J85&amp;"'")</f>
        <v>0</v>
      </c>
      <c r="J84" s="19">
        <f>IF(装备!K85=0,0,"'"&amp;装备!K85&amp;"'")</f>
        <v>0</v>
      </c>
      <c r="K84" s="19">
        <f>IF(装备!L85=0,0,"'"&amp;装备!L85&amp;"'")</f>
        <v>0</v>
      </c>
      <c r="L84" s="19">
        <f>IF(装备!M85=0,0,"'"&amp;装备!M85&amp;"'")</f>
        <v>0</v>
      </c>
      <c r="M84" s="19">
        <f>IF(装备!N85=0,0,"'"&amp;装备!N85&amp;"'")</f>
        <v>0</v>
      </c>
      <c r="N84" s="19">
        <f>IF(装备!O85=0,0,"'"&amp;装备!O85&amp;"'")</f>
        <v>0</v>
      </c>
      <c r="O84" s="19" t="str">
        <f t="shared" si="24"/>
        <v/>
      </c>
      <c r="P84" s="19" t="str">
        <f t="shared" si="25"/>
        <v/>
      </c>
      <c r="Q84" s="23" t="str">
        <f>IFERROR(VLOOKUP(C84,装备!$B:$E,3,FALSE),"")</f>
        <v/>
      </c>
      <c r="R84" s="23" t="str">
        <f>IFERROR(VLOOKUP(D84,装备!$B:$E,3,FALSE),"")</f>
        <v/>
      </c>
      <c r="S84" s="23" t="str">
        <f>IFERROR(VLOOKUP(E84,装备!$B:$E,3,FALSE),"")</f>
        <v/>
      </c>
      <c r="T84" s="23" t="str">
        <f>IFERROR(VLOOKUP(F84,装备!$B:$E,3,FALSE),"")</f>
        <v/>
      </c>
      <c r="U84" s="23" t="str">
        <f>IFERROR(VLOOKUP(G84,装备!$B:$E,3,FALSE),"")</f>
        <v/>
      </c>
      <c r="V84" s="23" t="str">
        <f>IFERROR(VLOOKUP(H84,装备!$B:$E,3,FALSE),"")</f>
        <v/>
      </c>
      <c r="W84" s="18" t="str">
        <f t="shared" si="26"/>
        <v/>
      </c>
      <c r="X84" s="18" t="str">
        <f t="shared" si="27"/>
        <v/>
      </c>
      <c r="Y84" s="18" t="str">
        <f t="shared" si="28"/>
        <v/>
      </c>
      <c r="Z84" s="18" t="str">
        <f t="shared" si="29"/>
        <v/>
      </c>
      <c r="AA84" s="18" t="str">
        <f t="shared" si="30"/>
        <v/>
      </c>
      <c r="AB84" s="18" t="str">
        <f t="shared" si="31"/>
        <v>|n=0</v>
      </c>
    </row>
    <row r="85" spans="1:28">
      <c r="A85" s="19">
        <f>装备!A86</f>
        <v>0</v>
      </c>
      <c r="B85" s="19" t="str">
        <f>"'"&amp;装备!B86&amp;"'"</f>
        <v>'IJ09'</v>
      </c>
      <c r="C85" s="19">
        <f>装备!J86</f>
        <v>0</v>
      </c>
      <c r="D85" s="19">
        <f>装备!K86</f>
        <v>0</v>
      </c>
      <c r="E85" s="19">
        <f>装备!L86</f>
        <v>0</v>
      </c>
      <c r="F85" s="19">
        <f>装备!M86</f>
        <v>0</v>
      </c>
      <c r="G85" s="19">
        <f>装备!N86</f>
        <v>0</v>
      </c>
      <c r="H85" s="19">
        <f>装备!O86</f>
        <v>0</v>
      </c>
      <c r="I85" s="19">
        <f>IF(装备!J86=0,0,"'"&amp;装备!J86&amp;"'")</f>
        <v>0</v>
      </c>
      <c r="J85" s="19">
        <f>IF(装备!K86=0,0,"'"&amp;装备!K86&amp;"'")</f>
        <v>0</v>
      </c>
      <c r="K85" s="19">
        <f>IF(装备!L86=0,0,"'"&amp;装备!L86&amp;"'")</f>
        <v>0</v>
      </c>
      <c r="L85" s="19">
        <f>IF(装备!M86=0,0,"'"&amp;装备!M86&amp;"'")</f>
        <v>0</v>
      </c>
      <c r="M85" s="19">
        <f>IF(装备!N86=0,0,"'"&amp;装备!N86&amp;"'")</f>
        <v>0</v>
      </c>
      <c r="N85" s="19">
        <f>IF(装备!O86=0,0,"'"&amp;装备!O86&amp;"'")</f>
        <v>0</v>
      </c>
      <c r="O85" s="19" t="str">
        <f t="shared" si="24"/>
        <v/>
      </c>
      <c r="P85" s="19" t="str">
        <f t="shared" si="25"/>
        <v/>
      </c>
      <c r="Q85" s="23" t="str">
        <f>IFERROR(VLOOKUP(C85,装备!$B:$E,3,FALSE),"")</f>
        <v/>
      </c>
      <c r="R85" s="23" t="str">
        <f>IFERROR(VLOOKUP(D85,装备!$B:$E,3,FALSE),"")</f>
        <v/>
      </c>
      <c r="S85" s="23" t="str">
        <f>IFERROR(VLOOKUP(E85,装备!$B:$E,3,FALSE),"")</f>
        <v/>
      </c>
      <c r="T85" s="23" t="str">
        <f>IFERROR(VLOOKUP(F85,装备!$B:$E,3,FALSE),"")</f>
        <v/>
      </c>
      <c r="U85" s="23" t="str">
        <f>IFERROR(VLOOKUP(G85,装备!$B:$E,3,FALSE),"")</f>
        <v/>
      </c>
      <c r="V85" s="23" t="str">
        <f>IFERROR(VLOOKUP(H85,装备!$B:$E,3,FALSE),"")</f>
        <v/>
      </c>
      <c r="W85" s="18" t="str">
        <f t="shared" si="26"/>
        <v/>
      </c>
      <c r="X85" s="18" t="str">
        <f t="shared" si="27"/>
        <v/>
      </c>
      <c r="Y85" s="18" t="str">
        <f t="shared" si="28"/>
        <v/>
      </c>
      <c r="Z85" s="18" t="str">
        <f t="shared" si="29"/>
        <v/>
      </c>
      <c r="AA85" s="18" t="str">
        <f t="shared" si="30"/>
        <v/>
      </c>
      <c r="AB85" s="18" t="str">
        <f t="shared" si="31"/>
        <v>|n=0</v>
      </c>
    </row>
    <row r="86" spans="1:28">
      <c r="A86" s="19">
        <f>装备!A87</f>
        <v>0</v>
      </c>
      <c r="B86" s="19" t="str">
        <f>"'"&amp;装备!B87&amp;"'"</f>
        <v>'IJ10'</v>
      </c>
      <c r="C86" s="19">
        <f>装备!J87</f>
        <v>0</v>
      </c>
      <c r="D86" s="19">
        <f>装备!K87</f>
        <v>0</v>
      </c>
      <c r="E86" s="19">
        <f>装备!L87</f>
        <v>0</v>
      </c>
      <c r="F86" s="19">
        <f>装备!M87</f>
        <v>0</v>
      </c>
      <c r="G86" s="19">
        <f>装备!N87</f>
        <v>0</v>
      </c>
      <c r="H86" s="19">
        <f>装备!O87</f>
        <v>0</v>
      </c>
      <c r="I86" s="19">
        <f>IF(装备!J87=0,0,"'"&amp;装备!J87&amp;"'")</f>
        <v>0</v>
      </c>
      <c r="J86" s="19">
        <f>IF(装备!K87=0,0,"'"&amp;装备!K87&amp;"'")</f>
        <v>0</v>
      </c>
      <c r="K86" s="19">
        <f>IF(装备!L87=0,0,"'"&amp;装备!L87&amp;"'")</f>
        <v>0</v>
      </c>
      <c r="L86" s="19">
        <f>IF(装备!M87=0,0,"'"&amp;装备!M87&amp;"'")</f>
        <v>0</v>
      </c>
      <c r="M86" s="19">
        <f>IF(装备!N87=0,0,"'"&amp;装备!N87&amp;"'")</f>
        <v>0</v>
      </c>
      <c r="N86" s="19">
        <f>IF(装备!O87=0,0,"'"&amp;装备!O87&amp;"'")</f>
        <v>0</v>
      </c>
      <c r="O86" s="19" t="str">
        <f t="shared" si="24"/>
        <v/>
      </c>
      <c r="P86" s="19" t="str">
        <f t="shared" si="25"/>
        <v/>
      </c>
      <c r="Q86" s="23" t="str">
        <f>IFERROR(VLOOKUP(C86,装备!$B:$E,3,FALSE),"")</f>
        <v/>
      </c>
      <c r="R86" s="23" t="str">
        <f>IFERROR(VLOOKUP(D86,装备!$B:$E,3,FALSE),"")</f>
        <v/>
      </c>
      <c r="S86" s="23" t="str">
        <f>IFERROR(VLOOKUP(E86,装备!$B:$E,3,FALSE),"")</f>
        <v/>
      </c>
      <c r="T86" s="23" t="str">
        <f>IFERROR(VLOOKUP(F86,装备!$B:$E,3,FALSE),"")</f>
        <v/>
      </c>
      <c r="U86" s="23" t="str">
        <f>IFERROR(VLOOKUP(G86,装备!$B:$E,3,FALSE),"")</f>
        <v/>
      </c>
      <c r="V86" s="23" t="str">
        <f>IFERROR(VLOOKUP(H86,装备!$B:$E,3,FALSE),"")</f>
        <v/>
      </c>
      <c r="W86" s="18" t="str">
        <f t="shared" si="26"/>
        <v/>
      </c>
      <c r="X86" s="18" t="str">
        <f t="shared" si="27"/>
        <v/>
      </c>
      <c r="Y86" s="18" t="str">
        <f t="shared" si="28"/>
        <v/>
      </c>
      <c r="Z86" s="18" t="str">
        <f t="shared" si="29"/>
        <v/>
      </c>
      <c r="AA86" s="18" t="str">
        <f t="shared" si="30"/>
        <v/>
      </c>
      <c r="AB86" s="18" t="str">
        <f t="shared" si="31"/>
        <v>|n=0</v>
      </c>
    </row>
    <row r="87" spans="1:28">
      <c r="A87" s="19" t="e">
        <f>装备!#REF!</f>
        <v>#REF!</v>
      </c>
      <c r="B87" s="19" t="e">
        <f>"'"&amp;装备!#REF!&amp;"'"</f>
        <v>#REF!</v>
      </c>
      <c r="C87" s="19" t="e">
        <f>装备!#REF!</f>
        <v>#REF!</v>
      </c>
      <c r="D87" s="19" t="e">
        <f>装备!#REF!</f>
        <v>#REF!</v>
      </c>
      <c r="E87" s="19" t="e">
        <f>装备!#REF!</f>
        <v>#REF!</v>
      </c>
      <c r="F87" s="19" t="e">
        <f>装备!#REF!</f>
        <v>#REF!</v>
      </c>
      <c r="G87" s="19" t="e">
        <f>装备!#REF!</f>
        <v>#REF!</v>
      </c>
      <c r="H87" s="19" t="e">
        <f>装备!#REF!</f>
        <v>#REF!</v>
      </c>
      <c r="I87" s="19" t="e">
        <f>IF(装备!#REF!=0,0,"'"&amp;装备!#REF!&amp;"'")</f>
        <v>#REF!</v>
      </c>
      <c r="J87" s="19" t="e">
        <f>IF(装备!#REF!=0,0,"'"&amp;装备!#REF!&amp;"'")</f>
        <v>#REF!</v>
      </c>
      <c r="K87" s="19" t="e">
        <f>IF(装备!#REF!=0,0,"'"&amp;装备!#REF!&amp;"'")</f>
        <v>#REF!</v>
      </c>
      <c r="L87" s="19" t="e">
        <f>IF(装备!#REF!=0,0,"'"&amp;装备!#REF!&amp;"'")</f>
        <v>#REF!</v>
      </c>
      <c r="M87" s="19" t="e">
        <f>IF(装备!#REF!=0,0,"'"&amp;装备!#REF!&amp;"'")</f>
        <v>#REF!</v>
      </c>
      <c r="N87" s="19" t="e">
        <f>IF(装备!#REF!=0,0,"'"&amp;装备!#REF!&amp;"'")</f>
        <v>#REF!</v>
      </c>
      <c r="O87" s="19" t="e">
        <f t="shared" si="24"/>
        <v>#REF!</v>
      </c>
      <c r="P87" s="19" t="str">
        <f t="shared" si="25"/>
        <v/>
      </c>
      <c r="Q87" s="23" t="str">
        <f>IFERROR(VLOOKUP(C87,装备!$B:$E,3,FALSE),"")</f>
        <v/>
      </c>
      <c r="R87" s="23" t="str">
        <f>IFERROR(VLOOKUP(D87,装备!$B:$E,3,FALSE),"")</f>
        <v/>
      </c>
      <c r="S87" s="23" t="str">
        <f>IFERROR(VLOOKUP(E87,装备!$B:$E,3,FALSE),"")</f>
        <v/>
      </c>
      <c r="T87" s="23" t="str">
        <f>IFERROR(VLOOKUP(F87,装备!$B:$E,3,FALSE),"")</f>
        <v/>
      </c>
      <c r="U87" s="23" t="str">
        <f>IFERROR(VLOOKUP(G87,装备!$B:$E,3,FALSE),"")</f>
        <v/>
      </c>
      <c r="V87" s="23" t="str">
        <f>IFERROR(VLOOKUP(H87,装备!$B:$E,3,FALSE),"")</f>
        <v/>
      </c>
      <c r="W87" s="18" t="str">
        <f t="shared" si="26"/>
        <v/>
      </c>
      <c r="X87" s="18" t="str">
        <f t="shared" si="27"/>
        <v/>
      </c>
      <c r="Y87" s="18" t="str">
        <f t="shared" si="28"/>
        <v/>
      </c>
      <c r="Z87" s="18" t="str">
        <f t="shared" si="29"/>
        <v/>
      </c>
      <c r="AA87" s="18" t="str">
        <f t="shared" si="30"/>
        <v/>
      </c>
      <c r="AB87" s="18" t="e">
        <f t="shared" si="31"/>
        <v>#REF!</v>
      </c>
    </row>
    <row r="88" spans="1:28">
      <c r="A88" s="19" t="e">
        <f>装备!#REF!</f>
        <v>#REF!</v>
      </c>
      <c r="B88" s="19" t="e">
        <f>"'"&amp;装备!#REF!&amp;"'"</f>
        <v>#REF!</v>
      </c>
      <c r="C88" s="19" t="e">
        <f>装备!#REF!</f>
        <v>#REF!</v>
      </c>
      <c r="D88" s="19" t="e">
        <f>装备!#REF!</f>
        <v>#REF!</v>
      </c>
      <c r="E88" s="19" t="e">
        <f>装备!#REF!</f>
        <v>#REF!</v>
      </c>
      <c r="F88" s="19" t="e">
        <f>装备!#REF!</f>
        <v>#REF!</v>
      </c>
      <c r="G88" s="19" t="e">
        <f>装备!#REF!</f>
        <v>#REF!</v>
      </c>
      <c r="H88" s="19" t="e">
        <f>装备!#REF!</f>
        <v>#REF!</v>
      </c>
      <c r="I88" s="19" t="e">
        <f>IF(装备!#REF!=0,0,"'"&amp;装备!#REF!&amp;"'")</f>
        <v>#REF!</v>
      </c>
      <c r="J88" s="19" t="e">
        <f>IF(装备!#REF!=0,0,"'"&amp;装备!#REF!&amp;"'")</f>
        <v>#REF!</v>
      </c>
      <c r="K88" s="19" t="e">
        <f>IF(装备!#REF!=0,0,"'"&amp;装备!#REF!&amp;"'")</f>
        <v>#REF!</v>
      </c>
      <c r="L88" s="19" t="e">
        <f>IF(装备!#REF!=0,0,"'"&amp;装备!#REF!&amp;"'")</f>
        <v>#REF!</v>
      </c>
      <c r="M88" s="19" t="e">
        <f>IF(装备!#REF!=0,0,"'"&amp;装备!#REF!&amp;"'")</f>
        <v>#REF!</v>
      </c>
      <c r="N88" s="19" t="e">
        <f>IF(装备!#REF!=0,0,"'"&amp;装备!#REF!&amp;"'")</f>
        <v>#REF!</v>
      </c>
      <c r="O88" s="19" t="e">
        <f t="shared" ref="O88:O98" si="32">IF(I88=0,"","AddItemFormula("&amp;I88&amp;","&amp;J88&amp;","&amp;K88&amp;","&amp;L88&amp;","&amp;M88&amp;","&amp;N88&amp;","&amp;B88&amp;")")</f>
        <v>#REF!</v>
      </c>
      <c r="P88" s="19" t="str">
        <f t="shared" ref="P88:P119" si="33">IFERROR(VLOOKUP(A88,Q:AB,12,FALSE),IFERROR(VLOOKUP(A88,R:AB,11,FALSE),IFERROR(VLOOKUP(A88,S:AB,10,FALSE),"")))</f>
        <v/>
      </c>
      <c r="Q88" s="23" t="str">
        <f>IFERROR(VLOOKUP(C88,装备!$B:$E,3,FALSE),"")</f>
        <v/>
      </c>
      <c r="R88" s="23" t="str">
        <f>IFERROR(VLOOKUP(D88,装备!$B:$E,3,FALSE),"")</f>
        <v/>
      </c>
      <c r="S88" s="23" t="str">
        <f>IFERROR(VLOOKUP(E88,装备!$B:$E,3,FALSE),"")</f>
        <v/>
      </c>
      <c r="T88" s="23" t="str">
        <f>IFERROR(VLOOKUP(F88,装备!$B:$E,3,FALSE),"")</f>
        <v/>
      </c>
      <c r="U88" s="23" t="str">
        <f>IFERROR(VLOOKUP(G88,装备!$B:$E,3,FALSE),"")</f>
        <v/>
      </c>
      <c r="V88" s="23" t="str">
        <f>IFERROR(VLOOKUP(H88,装备!$B:$E,3,FALSE),"")</f>
        <v/>
      </c>
      <c r="W88" s="18" t="str">
        <f t="shared" ref="W88:W98" si="34">IF(R88="","","+"&amp;R88)</f>
        <v/>
      </c>
      <c r="X88" s="18" t="str">
        <f t="shared" ref="X88:X98" si="35">IF(S88="","","+"&amp;S88)</f>
        <v/>
      </c>
      <c r="Y88" s="18" t="str">
        <f t="shared" ref="Y88:Y98" si="36">IF(T88="","","+"&amp;T88)</f>
        <v/>
      </c>
      <c r="Z88" s="18" t="str">
        <f t="shared" ref="Z88:Z98" si="37">IF(U88="","","+"&amp;U88)</f>
        <v/>
      </c>
      <c r="AA88" s="18" t="str">
        <f t="shared" ref="AA88:AA98" si="38">IF(V88="","","+"&amp;V88)</f>
        <v/>
      </c>
      <c r="AB88" s="18" t="e">
        <f t="shared" ref="AB88:AB98" si="39">"|n"&amp;Q88&amp;W88&amp;X88&amp;Y88&amp;Z88&amp;AA88&amp;"="&amp;A88</f>
        <v>#REF!</v>
      </c>
    </row>
    <row r="89" spans="1:28">
      <c r="A89" s="19" t="e">
        <f>装备!#REF!</f>
        <v>#REF!</v>
      </c>
      <c r="B89" s="19" t="e">
        <f>"'"&amp;装备!#REF!&amp;"'"</f>
        <v>#REF!</v>
      </c>
      <c r="C89" s="19" t="e">
        <f>装备!#REF!</f>
        <v>#REF!</v>
      </c>
      <c r="D89" s="19" t="e">
        <f>装备!#REF!</f>
        <v>#REF!</v>
      </c>
      <c r="E89" s="19" t="e">
        <f>装备!#REF!</f>
        <v>#REF!</v>
      </c>
      <c r="F89" s="19" t="e">
        <f>装备!#REF!</f>
        <v>#REF!</v>
      </c>
      <c r="G89" s="19" t="e">
        <f>装备!#REF!</f>
        <v>#REF!</v>
      </c>
      <c r="H89" s="19" t="e">
        <f>装备!#REF!</f>
        <v>#REF!</v>
      </c>
      <c r="I89" s="19" t="e">
        <f>IF(装备!#REF!=0,0,"'"&amp;装备!#REF!&amp;"'")</f>
        <v>#REF!</v>
      </c>
      <c r="J89" s="19" t="e">
        <f>IF(装备!#REF!=0,0,"'"&amp;装备!#REF!&amp;"'")</f>
        <v>#REF!</v>
      </c>
      <c r="K89" s="19" t="e">
        <f>IF(装备!#REF!=0,0,"'"&amp;装备!#REF!&amp;"'")</f>
        <v>#REF!</v>
      </c>
      <c r="L89" s="19" t="e">
        <f>IF(装备!#REF!=0,0,"'"&amp;装备!#REF!&amp;"'")</f>
        <v>#REF!</v>
      </c>
      <c r="M89" s="19" t="e">
        <f>IF(装备!#REF!=0,0,"'"&amp;装备!#REF!&amp;"'")</f>
        <v>#REF!</v>
      </c>
      <c r="N89" s="19" t="e">
        <f>IF(装备!#REF!=0,0,"'"&amp;装备!#REF!&amp;"'")</f>
        <v>#REF!</v>
      </c>
      <c r="O89" s="19" t="e">
        <f t="shared" si="32"/>
        <v>#REF!</v>
      </c>
      <c r="P89" s="19" t="str">
        <f t="shared" si="33"/>
        <v/>
      </c>
      <c r="Q89" s="23" t="str">
        <f>IFERROR(VLOOKUP(C89,装备!$B:$E,3,FALSE),"")</f>
        <v/>
      </c>
      <c r="R89" s="23" t="str">
        <f>IFERROR(VLOOKUP(D89,装备!$B:$E,3,FALSE),"")</f>
        <v/>
      </c>
      <c r="S89" s="23" t="str">
        <f>IFERROR(VLOOKUP(E89,装备!$B:$E,3,FALSE),"")</f>
        <v/>
      </c>
      <c r="T89" s="23" t="str">
        <f>IFERROR(VLOOKUP(F89,装备!$B:$E,3,FALSE),"")</f>
        <v/>
      </c>
      <c r="U89" s="23" t="str">
        <f>IFERROR(VLOOKUP(G89,装备!$B:$E,3,FALSE),"")</f>
        <v/>
      </c>
      <c r="V89" s="23" t="str">
        <f>IFERROR(VLOOKUP(H89,装备!$B:$E,3,FALSE),"")</f>
        <v/>
      </c>
      <c r="W89" s="18" t="str">
        <f t="shared" si="34"/>
        <v/>
      </c>
      <c r="X89" s="18" t="str">
        <f t="shared" si="35"/>
        <v/>
      </c>
      <c r="Y89" s="18" t="str">
        <f t="shared" si="36"/>
        <v/>
      </c>
      <c r="Z89" s="18" t="str">
        <f t="shared" si="37"/>
        <v/>
      </c>
      <c r="AA89" s="18" t="str">
        <f t="shared" si="38"/>
        <v/>
      </c>
      <c r="AB89" s="18" t="e">
        <f t="shared" si="39"/>
        <v>#REF!</v>
      </c>
    </row>
    <row r="90" spans="1:28">
      <c r="A90" s="19" t="e">
        <f>装备!#REF!</f>
        <v>#REF!</v>
      </c>
      <c r="B90" s="19" t="e">
        <f>"'"&amp;装备!#REF!&amp;"'"</f>
        <v>#REF!</v>
      </c>
      <c r="C90" s="19" t="e">
        <f>装备!#REF!</f>
        <v>#REF!</v>
      </c>
      <c r="D90" s="19" t="e">
        <f>装备!#REF!</f>
        <v>#REF!</v>
      </c>
      <c r="E90" s="19" t="e">
        <f>装备!#REF!</f>
        <v>#REF!</v>
      </c>
      <c r="F90" s="19" t="e">
        <f>装备!#REF!</f>
        <v>#REF!</v>
      </c>
      <c r="G90" s="19" t="e">
        <f>装备!#REF!</f>
        <v>#REF!</v>
      </c>
      <c r="H90" s="19" t="e">
        <f>装备!#REF!</f>
        <v>#REF!</v>
      </c>
      <c r="I90" s="19" t="e">
        <f>IF(装备!#REF!=0,0,"'"&amp;装备!#REF!&amp;"'")</f>
        <v>#REF!</v>
      </c>
      <c r="J90" s="19" t="e">
        <f>IF(装备!#REF!=0,0,"'"&amp;装备!#REF!&amp;"'")</f>
        <v>#REF!</v>
      </c>
      <c r="K90" s="19" t="e">
        <f>IF(装备!#REF!=0,0,"'"&amp;装备!#REF!&amp;"'")</f>
        <v>#REF!</v>
      </c>
      <c r="L90" s="19" t="e">
        <f>IF(装备!#REF!=0,0,"'"&amp;装备!#REF!&amp;"'")</f>
        <v>#REF!</v>
      </c>
      <c r="M90" s="19" t="e">
        <f>IF(装备!#REF!=0,0,"'"&amp;装备!#REF!&amp;"'")</f>
        <v>#REF!</v>
      </c>
      <c r="N90" s="19" t="e">
        <f>IF(装备!#REF!=0,0,"'"&amp;装备!#REF!&amp;"'")</f>
        <v>#REF!</v>
      </c>
      <c r="O90" s="19" t="e">
        <f t="shared" si="32"/>
        <v>#REF!</v>
      </c>
      <c r="P90" s="19" t="str">
        <f t="shared" si="33"/>
        <v/>
      </c>
      <c r="Q90" s="23" t="str">
        <f>IFERROR(VLOOKUP(C90,装备!$B:$E,3,FALSE),"")</f>
        <v/>
      </c>
      <c r="R90" s="23" t="str">
        <f>IFERROR(VLOOKUP(D90,装备!$B:$E,3,FALSE),"")</f>
        <v/>
      </c>
      <c r="S90" s="23" t="str">
        <f>IFERROR(VLOOKUP(E90,装备!$B:$E,3,FALSE),"")</f>
        <v/>
      </c>
      <c r="T90" s="23" t="str">
        <f>IFERROR(VLOOKUP(F90,装备!$B:$E,3,FALSE),"")</f>
        <v/>
      </c>
      <c r="U90" s="23" t="str">
        <f>IFERROR(VLOOKUP(G90,装备!$B:$E,3,FALSE),"")</f>
        <v/>
      </c>
      <c r="V90" s="23" t="str">
        <f>IFERROR(VLOOKUP(H90,装备!$B:$E,3,FALSE),"")</f>
        <v/>
      </c>
      <c r="W90" s="18" t="str">
        <f t="shared" si="34"/>
        <v/>
      </c>
      <c r="X90" s="18" t="str">
        <f t="shared" si="35"/>
        <v/>
      </c>
      <c r="Y90" s="18" t="str">
        <f t="shared" si="36"/>
        <v/>
      </c>
      <c r="Z90" s="18" t="str">
        <f t="shared" si="37"/>
        <v/>
      </c>
      <c r="AA90" s="18" t="str">
        <f t="shared" si="38"/>
        <v/>
      </c>
      <c r="AB90" s="18" t="e">
        <f t="shared" si="39"/>
        <v>#REF!</v>
      </c>
    </row>
    <row r="91" spans="1:28">
      <c r="A91" s="19" t="e">
        <f>装备!#REF!</f>
        <v>#REF!</v>
      </c>
      <c r="B91" s="19" t="e">
        <f>"'"&amp;装备!#REF!&amp;"'"</f>
        <v>#REF!</v>
      </c>
      <c r="C91" s="19" t="e">
        <f>装备!#REF!</f>
        <v>#REF!</v>
      </c>
      <c r="D91" s="19" t="e">
        <f>装备!#REF!</f>
        <v>#REF!</v>
      </c>
      <c r="E91" s="19" t="e">
        <f>装备!#REF!</f>
        <v>#REF!</v>
      </c>
      <c r="F91" s="19" t="e">
        <f>装备!#REF!</f>
        <v>#REF!</v>
      </c>
      <c r="G91" s="19" t="e">
        <f>装备!#REF!</f>
        <v>#REF!</v>
      </c>
      <c r="H91" s="19" t="e">
        <f>装备!#REF!</f>
        <v>#REF!</v>
      </c>
      <c r="I91" s="19" t="e">
        <f>IF(装备!#REF!=0,0,"'"&amp;装备!#REF!&amp;"'")</f>
        <v>#REF!</v>
      </c>
      <c r="J91" s="19" t="e">
        <f>IF(装备!#REF!=0,0,"'"&amp;装备!#REF!&amp;"'")</f>
        <v>#REF!</v>
      </c>
      <c r="K91" s="19" t="e">
        <f>IF(装备!#REF!=0,0,"'"&amp;装备!#REF!&amp;"'")</f>
        <v>#REF!</v>
      </c>
      <c r="L91" s="19" t="e">
        <f>IF(装备!#REF!=0,0,"'"&amp;装备!#REF!&amp;"'")</f>
        <v>#REF!</v>
      </c>
      <c r="M91" s="19" t="e">
        <f>IF(装备!#REF!=0,0,"'"&amp;装备!#REF!&amp;"'")</f>
        <v>#REF!</v>
      </c>
      <c r="N91" s="19" t="e">
        <f>IF(装备!#REF!=0,0,"'"&amp;装备!#REF!&amp;"'")</f>
        <v>#REF!</v>
      </c>
      <c r="O91" s="19" t="e">
        <f t="shared" si="32"/>
        <v>#REF!</v>
      </c>
      <c r="P91" s="19" t="str">
        <f t="shared" si="33"/>
        <v/>
      </c>
      <c r="Q91" s="23" t="str">
        <f>IFERROR(VLOOKUP(C91,装备!$B:$E,3,FALSE),"")</f>
        <v/>
      </c>
      <c r="R91" s="23" t="str">
        <f>IFERROR(VLOOKUP(D91,装备!$B:$E,3,FALSE),"")</f>
        <v/>
      </c>
      <c r="S91" s="23" t="str">
        <f>IFERROR(VLOOKUP(E91,装备!$B:$E,3,FALSE),"")</f>
        <v/>
      </c>
      <c r="T91" s="23" t="str">
        <f>IFERROR(VLOOKUP(F91,装备!$B:$E,3,FALSE),"")</f>
        <v/>
      </c>
      <c r="U91" s="23" t="str">
        <f>IFERROR(VLOOKUP(G91,装备!$B:$E,3,FALSE),"")</f>
        <v/>
      </c>
      <c r="V91" s="23" t="str">
        <f>IFERROR(VLOOKUP(H91,装备!$B:$E,3,FALSE),"")</f>
        <v/>
      </c>
      <c r="W91" s="18" t="str">
        <f t="shared" si="34"/>
        <v/>
      </c>
      <c r="X91" s="18" t="str">
        <f t="shared" si="35"/>
        <v/>
      </c>
      <c r="Y91" s="18" t="str">
        <f t="shared" si="36"/>
        <v/>
      </c>
      <c r="Z91" s="18" t="str">
        <f t="shared" si="37"/>
        <v/>
      </c>
      <c r="AA91" s="18" t="str">
        <f t="shared" si="38"/>
        <v/>
      </c>
      <c r="AB91" s="18" t="e">
        <f t="shared" si="39"/>
        <v>#REF!</v>
      </c>
    </row>
    <row r="92" spans="1:28">
      <c r="A92" s="19" t="e">
        <f>装备!#REF!</f>
        <v>#REF!</v>
      </c>
      <c r="B92" s="19" t="e">
        <f>"'"&amp;装备!#REF!&amp;"'"</f>
        <v>#REF!</v>
      </c>
      <c r="C92" s="19" t="e">
        <f>装备!#REF!</f>
        <v>#REF!</v>
      </c>
      <c r="D92" s="19" t="e">
        <f>装备!#REF!</f>
        <v>#REF!</v>
      </c>
      <c r="E92" s="19" t="e">
        <f>装备!#REF!</f>
        <v>#REF!</v>
      </c>
      <c r="F92" s="19" t="e">
        <f>装备!#REF!</f>
        <v>#REF!</v>
      </c>
      <c r="G92" s="19" t="e">
        <f>装备!#REF!</f>
        <v>#REF!</v>
      </c>
      <c r="H92" s="19" t="e">
        <f>装备!#REF!</f>
        <v>#REF!</v>
      </c>
      <c r="I92" s="19" t="e">
        <f>IF(装备!#REF!=0,0,"'"&amp;装备!#REF!&amp;"'")</f>
        <v>#REF!</v>
      </c>
      <c r="J92" s="19" t="e">
        <f>IF(装备!#REF!=0,0,"'"&amp;装备!#REF!&amp;"'")</f>
        <v>#REF!</v>
      </c>
      <c r="K92" s="19" t="e">
        <f>IF(装备!#REF!=0,0,"'"&amp;装备!#REF!&amp;"'")</f>
        <v>#REF!</v>
      </c>
      <c r="L92" s="19" t="e">
        <f>IF(装备!#REF!=0,0,"'"&amp;装备!#REF!&amp;"'")</f>
        <v>#REF!</v>
      </c>
      <c r="M92" s="19" t="e">
        <f>IF(装备!#REF!=0,0,"'"&amp;装备!#REF!&amp;"'")</f>
        <v>#REF!</v>
      </c>
      <c r="N92" s="19" t="e">
        <f>IF(装备!#REF!=0,0,"'"&amp;装备!#REF!&amp;"'")</f>
        <v>#REF!</v>
      </c>
      <c r="O92" s="19" t="e">
        <f t="shared" si="32"/>
        <v>#REF!</v>
      </c>
      <c r="P92" s="19" t="str">
        <f t="shared" si="33"/>
        <v/>
      </c>
      <c r="Q92" s="23" t="str">
        <f>IFERROR(VLOOKUP(C92,装备!$B:$E,3,FALSE),"")</f>
        <v/>
      </c>
      <c r="R92" s="23" t="str">
        <f>IFERROR(VLOOKUP(D92,装备!$B:$E,3,FALSE),"")</f>
        <v/>
      </c>
      <c r="S92" s="23" t="str">
        <f>IFERROR(VLOOKUP(E92,装备!$B:$E,3,FALSE),"")</f>
        <v/>
      </c>
      <c r="T92" s="23" t="str">
        <f>IFERROR(VLOOKUP(F92,装备!$B:$E,3,FALSE),"")</f>
        <v/>
      </c>
      <c r="U92" s="23" t="str">
        <f>IFERROR(VLOOKUP(G92,装备!$B:$E,3,FALSE),"")</f>
        <v/>
      </c>
      <c r="V92" s="23" t="str">
        <f>IFERROR(VLOOKUP(H92,装备!$B:$E,3,FALSE),"")</f>
        <v/>
      </c>
      <c r="W92" s="18" t="str">
        <f t="shared" si="34"/>
        <v/>
      </c>
      <c r="X92" s="18" t="str">
        <f t="shared" si="35"/>
        <v/>
      </c>
      <c r="Y92" s="18" t="str">
        <f t="shared" si="36"/>
        <v/>
      </c>
      <c r="Z92" s="18" t="str">
        <f t="shared" si="37"/>
        <v/>
      </c>
      <c r="AA92" s="18" t="str">
        <f t="shared" si="38"/>
        <v/>
      </c>
      <c r="AB92" s="18" t="e">
        <f t="shared" si="39"/>
        <v>#REF!</v>
      </c>
    </row>
    <row r="93" spans="1:28">
      <c r="A93" s="19" t="e">
        <f>装备!#REF!</f>
        <v>#REF!</v>
      </c>
      <c r="B93" s="19" t="e">
        <f>"'"&amp;装备!#REF!&amp;"'"</f>
        <v>#REF!</v>
      </c>
      <c r="C93" s="19" t="e">
        <f>装备!#REF!</f>
        <v>#REF!</v>
      </c>
      <c r="D93" s="19" t="e">
        <f>装备!#REF!</f>
        <v>#REF!</v>
      </c>
      <c r="E93" s="19" t="e">
        <f>装备!#REF!</f>
        <v>#REF!</v>
      </c>
      <c r="F93" s="19" t="e">
        <f>装备!#REF!</f>
        <v>#REF!</v>
      </c>
      <c r="G93" s="19" t="e">
        <f>装备!#REF!</f>
        <v>#REF!</v>
      </c>
      <c r="H93" s="19" t="e">
        <f>装备!#REF!</f>
        <v>#REF!</v>
      </c>
      <c r="I93" s="19" t="e">
        <f>IF(装备!#REF!=0,0,"'"&amp;装备!#REF!&amp;"'")</f>
        <v>#REF!</v>
      </c>
      <c r="J93" s="19" t="e">
        <f>IF(装备!#REF!=0,0,"'"&amp;装备!#REF!&amp;"'")</f>
        <v>#REF!</v>
      </c>
      <c r="K93" s="19" t="e">
        <f>IF(装备!#REF!=0,0,"'"&amp;装备!#REF!&amp;"'")</f>
        <v>#REF!</v>
      </c>
      <c r="L93" s="19" t="e">
        <f>IF(装备!#REF!=0,0,"'"&amp;装备!#REF!&amp;"'")</f>
        <v>#REF!</v>
      </c>
      <c r="M93" s="19" t="e">
        <f>IF(装备!#REF!=0,0,"'"&amp;装备!#REF!&amp;"'")</f>
        <v>#REF!</v>
      </c>
      <c r="N93" s="19" t="e">
        <f>IF(装备!#REF!=0,0,"'"&amp;装备!#REF!&amp;"'")</f>
        <v>#REF!</v>
      </c>
      <c r="O93" s="19" t="e">
        <f t="shared" si="32"/>
        <v>#REF!</v>
      </c>
      <c r="P93" s="19" t="str">
        <f t="shared" si="33"/>
        <v/>
      </c>
      <c r="Q93" s="23" t="str">
        <f>IFERROR(VLOOKUP(C93,装备!$B:$E,3,FALSE),"")</f>
        <v/>
      </c>
      <c r="R93" s="23" t="str">
        <f>IFERROR(VLOOKUP(D93,装备!$B:$E,3,FALSE),"")</f>
        <v/>
      </c>
      <c r="S93" s="23" t="str">
        <f>IFERROR(VLOOKUP(E93,装备!$B:$E,3,FALSE),"")</f>
        <v/>
      </c>
      <c r="T93" s="23" t="str">
        <f>IFERROR(VLOOKUP(F93,装备!$B:$E,3,FALSE),"")</f>
        <v/>
      </c>
      <c r="U93" s="23" t="str">
        <f>IFERROR(VLOOKUP(G93,装备!$B:$E,3,FALSE),"")</f>
        <v/>
      </c>
      <c r="V93" s="23" t="str">
        <f>IFERROR(VLOOKUP(H93,装备!$B:$E,3,FALSE),"")</f>
        <v/>
      </c>
      <c r="W93" s="18" t="str">
        <f t="shared" si="34"/>
        <v/>
      </c>
      <c r="X93" s="18" t="str">
        <f t="shared" si="35"/>
        <v/>
      </c>
      <c r="Y93" s="18" t="str">
        <f t="shared" si="36"/>
        <v/>
      </c>
      <c r="Z93" s="18" t="str">
        <f t="shared" si="37"/>
        <v/>
      </c>
      <c r="AA93" s="18" t="str">
        <f t="shared" si="38"/>
        <v/>
      </c>
      <c r="AB93" s="18" t="e">
        <f t="shared" si="39"/>
        <v>#REF!</v>
      </c>
    </row>
    <row r="94" spans="1:28">
      <c r="A94" s="19" t="e">
        <f>装备!#REF!</f>
        <v>#REF!</v>
      </c>
      <c r="B94" s="19" t="e">
        <f>"'"&amp;装备!#REF!&amp;"'"</f>
        <v>#REF!</v>
      </c>
      <c r="C94" s="19" t="e">
        <f>装备!#REF!</f>
        <v>#REF!</v>
      </c>
      <c r="D94" s="19" t="e">
        <f>装备!#REF!</f>
        <v>#REF!</v>
      </c>
      <c r="E94" s="19" t="e">
        <f>装备!#REF!</f>
        <v>#REF!</v>
      </c>
      <c r="F94" s="19" t="e">
        <f>装备!#REF!</f>
        <v>#REF!</v>
      </c>
      <c r="G94" s="19" t="e">
        <f>装备!#REF!</f>
        <v>#REF!</v>
      </c>
      <c r="H94" s="19" t="e">
        <f>装备!#REF!</f>
        <v>#REF!</v>
      </c>
      <c r="I94" s="19" t="e">
        <f>IF(装备!#REF!=0,0,"'"&amp;装备!#REF!&amp;"'")</f>
        <v>#REF!</v>
      </c>
      <c r="J94" s="19" t="e">
        <f>IF(装备!#REF!=0,0,"'"&amp;装备!#REF!&amp;"'")</f>
        <v>#REF!</v>
      </c>
      <c r="K94" s="19" t="e">
        <f>IF(装备!#REF!=0,0,"'"&amp;装备!#REF!&amp;"'")</f>
        <v>#REF!</v>
      </c>
      <c r="L94" s="19" t="e">
        <f>IF(装备!#REF!=0,0,"'"&amp;装备!#REF!&amp;"'")</f>
        <v>#REF!</v>
      </c>
      <c r="M94" s="19" t="e">
        <f>IF(装备!#REF!=0,0,"'"&amp;装备!#REF!&amp;"'")</f>
        <v>#REF!</v>
      </c>
      <c r="N94" s="19" t="e">
        <f>IF(装备!#REF!=0,0,"'"&amp;装备!#REF!&amp;"'")</f>
        <v>#REF!</v>
      </c>
      <c r="O94" s="19" t="e">
        <f t="shared" si="32"/>
        <v>#REF!</v>
      </c>
      <c r="P94" s="19" t="str">
        <f t="shared" si="33"/>
        <v/>
      </c>
      <c r="Q94" s="23" t="str">
        <f>IFERROR(VLOOKUP(C94,装备!$B:$E,3,FALSE),"")</f>
        <v/>
      </c>
      <c r="R94" s="23" t="str">
        <f>IFERROR(VLOOKUP(D94,装备!$B:$E,3,FALSE),"")</f>
        <v/>
      </c>
      <c r="S94" s="23" t="str">
        <f>IFERROR(VLOOKUP(E94,装备!$B:$E,3,FALSE),"")</f>
        <v/>
      </c>
      <c r="T94" s="23" t="str">
        <f>IFERROR(VLOOKUP(F94,装备!$B:$E,3,FALSE),"")</f>
        <v/>
      </c>
      <c r="U94" s="23" t="str">
        <f>IFERROR(VLOOKUP(G94,装备!$B:$E,3,FALSE),"")</f>
        <v/>
      </c>
      <c r="V94" s="23" t="str">
        <f>IFERROR(VLOOKUP(H94,装备!$B:$E,3,FALSE),"")</f>
        <v/>
      </c>
      <c r="W94" s="18" t="str">
        <f t="shared" si="34"/>
        <v/>
      </c>
      <c r="X94" s="18" t="str">
        <f t="shared" si="35"/>
        <v/>
      </c>
      <c r="Y94" s="18" t="str">
        <f t="shared" si="36"/>
        <v/>
      </c>
      <c r="Z94" s="18" t="str">
        <f t="shared" si="37"/>
        <v/>
      </c>
      <c r="AA94" s="18" t="str">
        <f t="shared" si="38"/>
        <v/>
      </c>
      <c r="AB94" s="18" t="e">
        <f t="shared" si="39"/>
        <v>#REF!</v>
      </c>
    </row>
    <row r="95" spans="1:28">
      <c r="A95" s="19" t="e">
        <f>装备!#REF!</f>
        <v>#REF!</v>
      </c>
      <c r="B95" s="19" t="e">
        <f>"'"&amp;装备!#REF!&amp;"'"</f>
        <v>#REF!</v>
      </c>
      <c r="C95" s="19" t="e">
        <f>装备!#REF!</f>
        <v>#REF!</v>
      </c>
      <c r="D95" s="19" t="e">
        <f>装备!#REF!</f>
        <v>#REF!</v>
      </c>
      <c r="E95" s="19" t="e">
        <f>装备!#REF!</f>
        <v>#REF!</v>
      </c>
      <c r="F95" s="19" t="e">
        <f>装备!#REF!</f>
        <v>#REF!</v>
      </c>
      <c r="G95" s="19" t="e">
        <f>装备!#REF!</f>
        <v>#REF!</v>
      </c>
      <c r="H95" s="19" t="e">
        <f>装备!#REF!</f>
        <v>#REF!</v>
      </c>
      <c r="I95" s="19" t="e">
        <f>IF(装备!#REF!=0,0,"'"&amp;装备!#REF!&amp;"'")</f>
        <v>#REF!</v>
      </c>
      <c r="J95" s="19" t="e">
        <f>IF(装备!#REF!=0,0,"'"&amp;装备!#REF!&amp;"'")</f>
        <v>#REF!</v>
      </c>
      <c r="K95" s="19" t="e">
        <f>IF(装备!#REF!=0,0,"'"&amp;装备!#REF!&amp;"'")</f>
        <v>#REF!</v>
      </c>
      <c r="L95" s="19" t="e">
        <f>IF(装备!#REF!=0,0,"'"&amp;装备!#REF!&amp;"'")</f>
        <v>#REF!</v>
      </c>
      <c r="M95" s="19" t="e">
        <f>IF(装备!#REF!=0,0,"'"&amp;装备!#REF!&amp;"'")</f>
        <v>#REF!</v>
      </c>
      <c r="N95" s="19" t="e">
        <f>IF(装备!#REF!=0,0,"'"&amp;装备!#REF!&amp;"'")</f>
        <v>#REF!</v>
      </c>
      <c r="O95" s="19" t="e">
        <f t="shared" si="32"/>
        <v>#REF!</v>
      </c>
      <c r="P95" s="19" t="str">
        <f t="shared" si="33"/>
        <v/>
      </c>
      <c r="Q95" s="23" t="str">
        <f>IFERROR(VLOOKUP(C95,装备!$B:$E,3,FALSE),"")</f>
        <v/>
      </c>
      <c r="R95" s="23" t="str">
        <f>IFERROR(VLOOKUP(D95,装备!$B:$E,3,FALSE),"")</f>
        <v/>
      </c>
      <c r="S95" s="23" t="str">
        <f>IFERROR(VLOOKUP(E95,装备!$B:$E,3,FALSE),"")</f>
        <v/>
      </c>
      <c r="T95" s="23" t="str">
        <f>IFERROR(VLOOKUP(F95,装备!$B:$E,3,FALSE),"")</f>
        <v/>
      </c>
      <c r="U95" s="23" t="str">
        <f>IFERROR(VLOOKUP(G95,装备!$B:$E,3,FALSE),"")</f>
        <v/>
      </c>
      <c r="V95" s="23" t="str">
        <f>IFERROR(VLOOKUP(H95,装备!$B:$E,3,FALSE),"")</f>
        <v/>
      </c>
      <c r="W95" s="18" t="str">
        <f t="shared" si="34"/>
        <v/>
      </c>
      <c r="X95" s="18" t="str">
        <f t="shared" si="35"/>
        <v/>
      </c>
      <c r="Y95" s="18" t="str">
        <f t="shared" si="36"/>
        <v/>
      </c>
      <c r="Z95" s="18" t="str">
        <f t="shared" si="37"/>
        <v/>
      </c>
      <c r="AA95" s="18" t="str">
        <f t="shared" si="38"/>
        <v/>
      </c>
      <c r="AB95" s="18" t="e">
        <f t="shared" si="39"/>
        <v>#REF!</v>
      </c>
    </row>
    <row r="96" spans="1:28">
      <c r="A96" s="19" t="e">
        <f>装备!#REF!</f>
        <v>#REF!</v>
      </c>
      <c r="B96" s="19" t="e">
        <f>"'"&amp;装备!#REF!&amp;"'"</f>
        <v>#REF!</v>
      </c>
      <c r="C96" s="19" t="e">
        <f>装备!#REF!</f>
        <v>#REF!</v>
      </c>
      <c r="D96" s="19" t="e">
        <f>装备!#REF!</f>
        <v>#REF!</v>
      </c>
      <c r="E96" s="19" t="e">
        <f>装备!#REF!</f>
        <v>#REF!</v>
      </c>
      <c r="F96" s="19" t="e">
        <f>装备!#REF!</f>
        <v>#REF!</v>
      </c>
      <c r="G96" s="19" t="e">
        <f>装备!#REF!</f>
        <v>#REF!</v>
      </c>
      <c r="H96" s="19" t="e">
        <f>装备!#REF!</f>
        <v>#REF!</v>
      </c>
      <c r="I96" s="19" t="e">
        <f>IF(装备!#REF!=0,0,"'"&amp;装备!#REF!&amp;"'")</f>
        <v>#REF!</v>
      </c>
      <c r="J96" s="19" t="e">
        <f>IF(装备!#REF!=0,0,"'"&amp;装备!#REF!&amp;"'")</f>
        <v>#REF!</v>
      </c>
      <c r="K96" s="19" t="e">
        <f>IF(装备!#REF!=0,0,"'"&amp;装备!#REF!&amp;"'")</f>
        <v>#REF!</v>
      </c>
      <c r="L96" s="19" t="e">
        <f>IF(装备!#REF!=0,0,"'"&amp;装备!#REF!&amp;"'")</f>
        <v>#REF!</v>
      </c>
      <c r="M96" s="19" t="e">
        <f>IF(装备!#REF!=0,0,"'"&amp;装备!#REF!&amp;"'")</f>
        <v>#REF!</v>
      </c>
      <c r="N96" s="19" t="e">
        <f>IF(装备!#REF!=0,0,"'"&amp;装备!#REF!&amp;"'")</f>
        <v>#REF!</v>
      </c>
      <c r="O96" s="19" t="e">
        <f t="shared" si="32"/>
        <v>#REF!</v>
      </c>
      <c r="P96" s="19" t="str">
        <f t="shared" si="33"/>
        <v/>
      </c>
      <c r="Q96" s="23" t="str">
        <f>IFERROR(VLOOKUP(C96,装备!$B:$E,3,FALSE),"")</f>
        <v/>
      </c>
      <c r="R96" s="23" t="str">
        <f>IFERROR(VLOOKUP(D96,装备!$B:$E,3,FALSE),"")</f>
        <v/>
      </c>
      <c r="S96" s="23" t="str">
        <f>IFERROR(VLOOKUP(E96,装备!$B:$E,3,FALSE),"")</f>
        <v/>
      </c>
      <c r="T96" s="23" t="str">
        <f>IFERROR(VLOOKUP(F96,装备!$B:$E,3,FALSE),"")</f>
        <v/>
      </c>
      <c r="U96" s="23" t="str">
        <f>IFERROR(VLOOKUP(G96,装备!$B:$E,3,FALSE),"")</f>
        <v/>
      </c>
      <c r="V96" s="23" t="str">
        <f>IFERROR(VLOOKUP(H96,装备!$B:$E,3,FALSE),"")</f>
        <v/>
      </c>
      <c r="W96" s="18" t="str">
        <f t="shared" si="34"/>
        <v/>
      </c>
      <c r="X96" s="18" t="str">
        <f t="shared" si="35"/>
        <v/>
      </c>
      <c r="Y96" s="18" t="str">
        <f t="shared" si="36"/>
        <v/>
      </c>
      <c r="Z96" s="18" t="str">
        <f t="shared" si="37"/>
        <v/>
      </c>
      <c r="AA96" s="18" t="str">
        <f t="shared" si="38"/>
        <v/>
      </c>
      <c r="AB96" s="18" t="e">
        <f t="shared" si="39"/>
        <v>#REF!</v>
      </c>
    </row>
    <row r="97" spans="1:28">
      <c r="A97" s="19" t="e">
        <f>装备!#REF!</f>
        <v>#REF!</v>
      </c>
      <c r="B97" s="19" t="e">
        <f>"'"&amp;装备!#REF!&amp;"'"</f>
        <v>#REF!</v>
      </c>
      <c r="C97" s="19" t="e">
        <f>装备!#REF!</f>
        <v>#REF!</v>
      </c>
      <c r="D97" s="19" t="e">
        <f>装备!#REF!</f>
        <v>#REF!</v>
      </c>
      <c r="E97" s="19" t="e">
        <f>装备!#REF!</f>
        <v>#REF!</v>
      </c>
      <c r="F97" s="19" t="e">
        <f>装备!#REF!</f>
        <v>#REF!</v>
      </c>
      <c r="G97" s="19" t="e">
        <f>装备!#REF!</f>
        <v>#REF!</v>
      </c>
      <c r="H97" s="19" t="e">
        <f>装备!#REF!</f>
        <v>#REF!</v>
      </c>
      <c r="I97" s="19" t="e">
        <f>IF(装备!#REF!=0,0,"'"&amp;装备!#REF!&amp;"'")</f>
        <v>#REF!</v>
      </c>
      <c r="J97" s="19" t="e">
        <f>IF(装备!#REF!=0,0,"'"&amp;装备!#REF!&amp;"'")</f>
        <v>#REF!</v>
      </c>
      <c r="K97" s="19" t="e">
        <f>IF(装备!#REF!=0,0,"'"&amp;装备!#REF!&amp;"'")</f>
        <v>#REF!</v>
      </c>
      <c r="L97" s="19" t="e">
        <f>IF(装备!#REF!=0,0,"'"&amp;装备!#REF!&amp;"'")</f>
        <v>#REF!</v>
      </c>
      <c r="M97" s="19" t="e">
        <f>IF(装备!#REF!=0,0,"'"&amp;装备!#REF!&amp;"'")</f>
        <v>#REF!</v>
      </c>
      <c r="N97" s="19" t="e">
        <f>IF(装备!#REF!=0,0,"'"&amp;装备!#REF!&amp;"'")</f>
        <v>#REF!</v>
      </c>
      <c r="O97" s="19" t="e">
        <f t="shared" si="32"/>
        <v>#REF!</v>
      </c>
      <c r="P97" s="19" t="str">
        <f t="shared" si="33"/>
        <v/>
      </c>
      <c r="Q97" s="23" t="str">
        <f>IFERROR(VLOOKUP(C97,装备!$B:$E,3,FALSE),"")</f>
        <v/>
      </c>
      <c r="R97" s="23" t="str">
        <f>IFERROR(VLOOKUP(D97,装备!$B:$E,3,FALSE),"")</f>
        <v/>
      </c>
      <c r="S97" s="23" t="str">
        <f>IFERROR(VLOOKUP(E97,装备!$B:$E,3,FALSE),"")</f>
        <v/>
      </c>
      <c r="T97" s="23" t="str">
        <f>IFERROR(VLOOKUP(F97,装备!$B:$E,3,FALSE),"")</f>
        <v/>
      </c>
      <c r="U97" s="23" t="str">
        <f>IFERROR(VLOOKUP(G97,装备!$B:$E,3,FALSE),"")</f>
        <v/>
      </c>
      <c r="V97" s="23" t="str">
        <f>IFERROR(VLOOKUP(H97,装备!$B:$E,3,FALSE),"")</f>
        <v/>
      </c>
      <c r="W97" s="18" t="str">
        <f t="shared" si="34"/>
        <v/>
      </c>
      <c r="X97" s="18" t="str">
        <f t="shared" si="35"/>
        <v/>
      </c>
      <c r="Y97" s="18" t="str">
        <f t="shared" si="36"/>
        <v/>
      </c>
      <c r="Z97" s="18" t="str">
        <f t="shared" si="37"/>
        <v/>
      </c>
      <c r="AA97" s="18" t="str">
        <f t="shared" si="38"/>
        <v/>
      </c>
      <c r="AB97" s="18" t="e">
        <f t="shared" si="39"/>
        <v>#REF!</v>
      </c>
    </row>
    <row r="98" spans="1:28">
      <c r="A98" s="19" t="e">
        <f>装备!#REF!</f>
        <v>#REF!</v>
      </c>
      <c r="B98" s="19" t="e">
        <f>"'"&amp;装备!#REF!&amp;"'"</f>
        <v>#REF!</v>
      </c>
      <c r="C98" s="19" t="e">
        <f>装备!#REF!</f>
        <v>#REF!</v>
      </c>
      <c r="D98" s="19" t="e">
        <f>装备!#REF!</f>
        <v>#REF!</v>
      </c>
      <c r="E98" s="19" t="e">
        <f>装备!#REF!</f>
        <v>#REF!</v>
      </c>
      <c r="F98" s="19" t="e">
        <f>装备!#REF!</f>
        <v>#REF!</v>
      </c>
      <c r="G98" s="19" t="e">
        <f>装备!#REF!</f>
        <v>#REF!</v>
      </c>
      <c r="H98" s="19" t="e">
        <f>装备!#REF!</f>
        <v>#REF!</v>
      </c>
      <c r="I98" s="19" t="e">
        <f>IF(装备!#REF!=0,0,"'"&amp;装备!#REF!&amp;"'")</f>
        <v>#REF!</v>
      </c>
      <c r="J98" s="19" t="e">
        <f>IF(装备!#REF!=0,0,"'"&amp;装备!#REF!&amp;"'")</f>
        <v>#REF!</v>
      </c>
      <c r="K98" s="19" t="e">
        <f>IF(装备!#REF!=0,0,"'"&amp;装备!#REF!&amp;"'")</f>
        <v>#REF!</v>
      </c>
      <c r="L98" s="19" t="e">
        <f>IF(装备!#REF!=0,0,"'"&amp;装备!#REF!&amp;"'")</f>
        <v>#REF!</v>
      </c>
      <c r="M98" s="19" t="e">
        <f>IF(装备!#REF!=0,0,"'"&amp;装备!#REF!&amp;"'")</f>
        <v>#REF!</v>
      </c>
      <c r="N98" s="19" t="e">
        <f>IF(装备!#REF!=0,0,"'"&amp;装备!#REF!&amp;"'")</f>
        <v>#REF!</v>
      </c>
      <c r="O98" s="19" t="e">
        <f t="shared" si="32"/>
        <v>#REF!</v>
      </c>
      <c r="P98" s="19" t="str">
        <f t="shared" si="33"/>
        <v/>
      </c>
      <c r="Q98" s="23" t="str">
        <f>IFERROR(VLOOKUP(C98,装备!$B:$E,3,FALSE),"")</f>
        <v/>
      </c>
      <c r="R98" s="23" t="str">
        <f>IFERROR(VLOOKUP(D98,装备!$B:$E,3,FALSE),"")</f>
        <v/>
      </c>
      <c r="S98" s="23" t="str">
        <f>IFERROR(VLOOKUP(E98,装备!$B:$E,3,FALSE),"")</f>
        <v/>
      </c>
      <c r="T98" s="23" t="str">
        <f>IFERROR(VLOOKUP(F98,装备!$B:$E,3,FALSE),"")</f>
        <v/>
      </c>
      <c r="U98" s="23" t="str">
        <f>IFERROR(VLOOKUP(G98,装备!$B:$E,3,FALSE),"")</f>
        <v/>
      </c>
      <c r="V98" s="23" t="str">
        <f>IFERROR(VLOOKUP(H98,装备!$B:$E,3,FALSE),"")</f>
        <v/>
      </c>
      <c r="W98" s="18" t="str">
        <f t="shared" si="34"/>
        <v/>
      </c>
      <c r="X98" s="18" t="str">
        <f t="shared" si="35"/>
        <v/>
      </c>
      <c r="Y98" s="18" t="str">
        <f t="shared" si="36"/>
        <v/>
      </c>
      <c r="Z98" s="18" t="str">
        <f t="shared" si="37"/>
        <v/>
      </c>
      <c r="AA98" s="18" t="str">
        <f t="shared" si="38"/>
        <v/>
      </c>
      <c r="AB98" s="18" t="e">
        <f t="shared" si="39"/>
        <v>#REF!</v>
      </c>
    </row>
    <row r="99" spans="1:28">
      <c r="A99" s="19" t="e">
        <f>装备!#REF!</f>
        <v>#REF!</v>
      </c>
      <c r="B99" s="19" t="e">
        <f>"'"&amp;装备!#REF!&amp;"'"</f>
        <v>#REF!</v>
      </c>
      <c r="C99" s="19" t="e">
        <f>装备!#REF!</f>
        <v>#REF!</v>
      </c>
      <c r="D99" s="19" t="e">
        <f>装备!#REF!</f>
        <v>#REF!</v>
      </c>
      <c r="E99" s="19" t="e">
        <f>装备!#REF!</f>
        <v>#REF!</v>
      </c>
      <c r="F99" s="19" t="e">
        <f>装备!#REF!</f>
        <v>#REF!</v>
      </c>
      <c r="G99" s="19" t="e">
        <f>装备!#REF!</f>
        <v>#REF!</v>
      </c>
      <c r="H99" s="19" t="e">
        <f>装备!#REF!</f>
        <v>#REF!</v>
      </c>
      <c r="I99" s="19" t="e">
        <f>IF(装备!#REF!=0,0,"'"&amp;装备!#REF!&amp;"'")</f>
        <v>#REF!</v>
      </c>
      <c r="J99" s="19" t="e">
        <f>IF(装备!#REF!=0,0,"'"&amp;装备!#REF!&amp;"'")</f>
        <v>#REF!</v>
      </c>
      <c r="K99" s="19" t="e">
        <f>IF(装备!#REF!=0,0,"'"&amp;装备!#REF!&amp;"'")</f>
        <v>#REF!</v>
      </c>
      <c r="L99" s="19" t="e">
        <f>IF(装备!#REF!=0,0,"'"&amp;装备!#REF!&amp;"'")</f>
        <v>#REF!</v>
      </c>
      <c r="M99" s="19" t="e">
        <f>IF(装备!#REF!=0,0,"'"&amp;装备!#REF!&amp;"'")</f>
        <v>#REF!</v>
      </c>
      <c r="N99" s="19" t="e">
        <f>IF(装备!#REF!=0,0,"'"&amp;装备!#REF!&amp;"'")</f>
        <v>#REF!</v>
      </c>
      <c r="O99" s="19" t="e">
        <f t="shared" ref="O99:O153" si="40">IF(I99=0,"","AddItemFormula("&amp;I99&amp;","&amp;J99&amp;","&amp;K99&amp;","&amp;L99&amp;","&amp;M99&amp;","&amp;N99&amp;","&amp;B99&amp;")")</f>
        <v>#REF!</v>
      </c>
      <c r="P99" s="19" t="str">
        <f t="shared" si="33"/>
        <v/>
      </c>
      <c r="Q99" s="23" t="str">
        <f>IFERROR(VLOOKUP(C99,装备!$B:$E,3,FALSE),"")</f>
        <v/>
      </c>
      <c r="R99" s="23" t="str">
        <f>IFERROR(VLOOKUP(D99,装备!$B:$E,3,FALSE),"")</f>
        <v/>
      </c>
      <c r="S99" s="23" t="str">
        <f>IFERROR(VLOOKUP(E99,装备!$B:$E,3,FALSE),"")</f>
        <v/>
      </c>
      <c r="T99" s="23" t="str">
        <f>IFERROR(VLOOKUP(F99,装备!$B:$E,3,FALSE),"")</f>
        <v/>
      </c>
      <c r="U99" s="23" t="str">
        <f>IFERROR(VLOOKUP(G99,装备!$B:$E,3,FALSE),"")</f>
        <v/>
      </c>
      <c r="V99" s="23" t="str">
        <f>IFERROR(VLOOKUP(H99,装备!$B:$E,3,FALSE),"")</f>
        <v/>
      </c>
      <c r="W99" s="18" t="str">
        <f t="shared" ref="W99:W153" si="41">IF(R99="","","+"&amp;R99)</f>
        <v/>
      </c>
      <c r="X99" s="18" t="str">
        <f t="shared" ref="X99:X153" si="42">IF(S99="","","+"&amp;S99)</f>
        <v/>
      </c>
      <c r="Y99" s="18" t="str">
        <f t="shared" ref="Y99:Y153" si="43">IF(T99="","","+"&amp;T99)</f>
        <v/>
      </c>
      <c r="Z99" s="18" t="str">
        <f t="shared" ref="Z99:Z153" si="44">IF(U99="","","+"&amp;U99)</f>
        <v/>
      </c>
      <c r="AA99" s="18" t="str">
        <f t="shared" ref="AA99:AA153" si="45">IF(V99="","","+"&amp;V99)</f>
        <v/>
      </c>
      <c r="AB99" s="18" t="e">
        <f t="shared" ref="AB99:AB153" si="46">"|n"&amp;Q99&amp;W99&amp;X99&amp;Y99&amp;Z99&amp;AA99&amp;"="&amp;A99</f>
        <v>#REF!</v>
      </c>
    </row>
    <row r="100" spans="1:28">
      <c r="A100" s="19" t="e">
        <f>装备!#REF!</f>
        <v>#REF!</v>
      </c>
      <c r="B100" s="19" t="e">
        <f>"'"&amp;装备!#REF!&amp;"'"</f>
        <v>#REF!</v>
      </c>
      <c r="C100" s="19" t="e">
        <f>装备!#REF!</f>
        <v>#REF!</v>
      </c>
      <c r="D100" s="19" t="e">
        <f>装备!#REF!</f>
        <v>#REF!</v>
      </c>
      <c r="E100" s="19" t="e">
        <f>装备!#REF!</f>
        <v>#REF!</v>
      </c>
      <c r="F100" s="19" t="e">
        <f>装备!#REF!</f>
        <v>#REF!</v>
      </c>
      <c r="G100" s="19" t="e">
        <f>装备!#REF!</f>
        <v>#REF!</v>
      </c>
      <c r="H100" s="19" t="e">
        <f>装备!#REF!</f>
        <v>#REF!</v>
      </c>
      <c r="I100" s="19" t="e">
        <f>IF(装备!#REF!=0,0,"'"&amp;装备!#REF!&amp;"'")</f>
        <v>#REF!</v>
      </c>
      <c r="J100" s="19" t="e">
        <f>IF(装备!#REF!=0,0,"'"&amp;装备!#REF!&amp;"'")</f>
        <v>#REF!</v>
      </c>
      <c r="K100" s="19" t="e">
        <f>IF(装备!#REF!=0,0,"'"&amp;装备!#REF!&amp;"'")</f>
        <v>#REF!</v>
      </c>
      <c r="L100" s="19" t="e">
        <f>IF(装备!#REF!=0,0,"'"&amp;装备!#REF!&amp;"'")</f>
        <v>#REF!</v>
      </c>
      <c r="M100" s="19" t="e">
        <f>IF(装备!#REF!=0,0,"'"&amp;装备!#REF!&amp;"'")</f>
        <v>#REF!</v>
      </c>
      <c r="N100" s="19" t="e">
        <f>IF(装备!#REF!=0,0,"'"&amp;装备!#REF!&amp;"'")</f>
        <v>#REF!</v>
      </c>
      <c r="O100" s="19" t="e">
        <f t="shared" si="40"/>
        <v>#REF!</v>
      </c>
      <c r="P100" s="19" t="str">
        <f t="shared" si="33"/>
        <v/>
      </c>
      <c r="Q100" s="23" t="str">
        <f>IFERROR(VLOOKUP(C100,装备!$B:$E,3,FALSE),"")</f>
        <v/>
      </c>
      <c r="R100" s="23" t="str">
        <f>IFERROR(VLOOKUP(D100,装备!$B:$E,3,FALSE),"")</f>
        <v/>
      </c>
      <c r="S100" s="23" t="str">
        <f>IFERROR(VLOOKUP(E100,装备!$B:$E,3,FALSE),"")</f>
        <v/>
      </c>
      <c r="T100" s="23" t="str">
        <f>IFERROR(VLOOKUP(F100,装备!$B:$E,3,FALSE),"")</f>
        <v/>
      </c>
      <c r="U100" s="23" t="str">
        <f>IFERROR(VLOOKUP(G100,装备!$B:$E,3,FALSE),"")</f>
        <v/>
      </c>
      <c r="V100" s="23" t="str">
        <f>IFERROR(VLOOKUP(H100,装备!$B:$E,3,FALSE),"")</f>
        <v/>
      </c>
      <c r="W100" s="18" t="str">
        <f t="shared" si="41"/>
        <v/>
      </c>
      <c r="X100" s="18" t="str">
        <f t="shared" si="42"/>
        <v/>
      </c>
      <c r="Y100" s="18" t="str">
        <f t="shared" si="43"/>
        <v/>
      </c>
      <c r="Z100" s="18" t="str">
        <f t="shared" si="44"/>
        <v/>
      </c>
      <c r="AA100" s="18" t="str">
        <f t="shared" si="45"/>
        <v/>
      </c>
      <c r="AB100" s="18" t="e">
        <f t="shared" si="46"/>
        <v>#REF!</v>
      </c>
    </row>
    <row r="101" spans="1:28">
      <c r="A101" s="19" t="e">
        <f>装备!#REF!</f>
        <v>#REF!</v>
      </c>
      <c r="B101" s="19" t="e">
        <f>"'"&amp;装备!#REF!&amp;"'"</f>
        <v>#REF!</v>
      </c>
      <c r="C101" s="19" t="e">
        <f>装备!#REF!</f>
        <v>#REF!</v>
      </c>
      <c r="D101" s="19" t="e">
        <f>装备!#REF!</f>
        <v>#REF!</v>
      </c>
      <c r="E101" s="19" t="e">
        <f>装备!#REF!</f>
        <v>#REF!</v>
      </c>
      <c r="F101" s="19" t="e">
        <f>装备!#REF!</f>
        <v>#REF!</v>
      </c>
      <c r="G101" s="19" t="e">
        <f>装备!#REF!</f>
        <v>#REF!</v>
      </c>
      <c r="H101" s="19" t="e">
        <f>装备!#REF!</f>
        <v>#REF!</v>
      </c>
      <c r="I101" s="19" t="e">
        <f>IF(装备!#REF!=0,0,"'"&amp;装备!#REF!&amp;"'")</f>
        <v>#REF!</v>
      </c>
      <c r="J101" s="19" t="e">
        <f>IF(装备!#REF!=0,0,"'"&amp;装备!#REF!&amp;"'")</f>
        <v>#REF!</v>
      </c>
      <c r="K101" s="19" t="e">
        <f>IF(装备!#REF!=0,0,"'"&amp;装备!#REF!&amp;"'")</f>
        <v>#REF!</v>
      </c>
      <c r="L101" s="19" t="e">
        <f>IF(装备!#REF!=0,0,"'"&amp;装备!#REF!&amp;"'")</f>
        <v>#REF!</v>
      </c>
      <c r="M101" s="19" t="e">
        <f>IF(装备!#REF!=0,0,"'"&amp;装备!#REF!&amp;"'")</f>
        <v>#REF!</v>
      </c>
      <c r="N101" s="19" t="e">
        <f>IF(装备!#REF!=0,0,"'"&amp;装备!#REF!&amp;"'")</f>
        <v>#REF!</v>
      </c>
      <c r="O101" s="19" t="e">
        <f t="shared" si="40"/>
        <v>#REF!</v>
      </c>
      <c r="P101" s="19" t="str">
        <f t="shared" si="33"/>
        <v/>
      </c>
      <c r="Q101" s="23" t="str">
        <f>IFERROR(VLOOKUP(C101,装备!$B:$E,3,FALSE),"")</f>
        <v/>
      </c>
      <c r="R101" s="23" t="str">
        <f>IFERROR(VLOOKUP(D101,装备!$B:$E,3,FALSE),"")</f>
        <v/>
      </c>
      <c r="S101" s="23" t="str">
        <f>IFERROR(VLOOKUP(E101,装备!$B:$E,3,FALSE),"")</f>
        <v/>
      </c>
      <c r="T101" s="23" t="str">
        <f>IFERROR(VLOOKUP(F101,装备!$B:$E,3,FALSE),"")</f>
        <v/>
      </c>
      <c r="U101" s="23" t="str">
        <f>IFERROR(VLOOKUP(G101,装备!$B:$E,3,FALSE),"")</f>
        <v/>
      </c>
      <c r="V101" s="23" t="str">
        <f>IFERROR(VLOOKUP(H101,装备!$B:$E,3,FALSE),"")</f>
        <v/>
      </c>
      <c r="W101" s="18" t="str">
        <f t="shared" si="41"/>
        <v/>
      </c>
      <c r="X101" s="18" t="str">
        <f t="shared" si="42"/>
        <v/>
      </c>
      <c r="Y101" s="18" t="str">
        <f t="shared" si="43"/>
        <v/>
      </c>
      <c r="Z101" s="18" t="str">
        <f t="shared" si="44"/>
        <v/>
      </c>
      <c r="AA101" s="18" t="str">
        <f t="shared" si="45"/>
        <v/>
      </c>
      <c r="AB101" s="18" t="e">
        <f t="shared" si="46"/>
        <v>#REF!</v>
      </c>
    </row>
    <row r="102" spans="1:28">
      <c r="A102" s="19" t="e">
        <f>装备!#REF!</f>
        <v>#REF!</v>
      </c>
      <c r="B102" s="19" t="e">
        <f>"'"&amp;装备!#REF!&amp;"'"</f>
        <v>#REF!</v>
      </c>
      <c r="C102" s="19" t="e">
        <f>装备!#REF!</f>
        <v>#REF!</v>
      </c>
      <c r="D102" s="19" t="e">
        <f>装备!#REF!</f>
        <v>#REF!</v>
      </c>
      <c r="E102" s="19" t="e">
        <f>装备!#REF!</f>
        <v>#REF!</v>
      </c>
      <c r="F102" s="19" t="e">
        <f>装备!#REF!</f>
        <v>#REF!</v>
      </c>
      <c r="G102" s="19" t="e">
        <f>装备!#REF!</f>
        <v>#REF!</v>
      </c>
      <c r="H102" s="19" t="e">
        <f>装备!#REF!</f>
        <v>#REF!</v>
      </c>
      <c r="I102" s="19" t="e">
        <f>IF(装备!#REF!=0,0,"'"&amp;装备!#REF!&amp;"'")</f>
        <v>#REF!</v>
      </c>
      <c r="J102" s="19" t="e">
        <f>IF(装备!#REF!=0,0,"'"&amp;装备!#REF!&amp;"'")</f>
        <v>#REF!</v>
      </c>
      <c r="K102" s="19" t="e">
        <f>IF(装备!#REF!=0,0,"'"&amp;装备!#REF!&amp;"'")</f>
        <v>#REF!</v>
      </c>
      <c r="L102" s="19" t="e">
        <f>IF(装备!#REF!=0,0,"'"&amp;装备!#REF!&amp;"'")</f>
        <v>#REF!</v>
      </c>
      <c r="M102" s="19" t="e">
        <f>IF(装备!#REF!=0,0,"'"&amp;装备!#REF!&amp;"'")</f>
        <v>#REF!</v>
      </c>
      <c r="N102" s="19" t="e">
        <f>IF(装备!#REF!=0,0,"'"&amp;装备!#REF!&amp;"'")</f>
        <v>#REF!</v>
      </c>
      <c r="O102" s="19" t="e">
        <f t="shared" si="40"/>
        <v>#REF!</v>
      </c>
      <c r="P102" s="19" t="str">
        <f t="shared" si="33"/>
        <v/>
      </c>
      <c r="Q102" s="23" t="str">
        <f>IFERROR(VLOOKUP(C102,装备!$B:$E,3,FALSE),"")</f>
        <v/>
      </c>
      <c r="R102" s="23" t="str">
        <f>IFERROR(VLOOKUP(D102,装备!$B:$E,3,FALSE),"")</f>
        <v/>
      </c>
      <c r="S102" s="23" t="str">
        <f>IFERROR(VLOOKUP(E102,装备!$B:$E,3,FALSE),"")</f>
        <v/>
      </c>
      <c r="T102" s="23" t="str">
        <f>IFERROR(VLOOKUP(F102,装备!$B:$E,3,FALSE),"")</f>
        <v/>
      </c>
      <c r="U102" s="23" t="str">
        <f>IFERROR(VLOOKUP(G102,装备!$B:$E,3,FALSE),"")</f>
        <v/>
      </c>
      <c r="V102" s="23" t="str">
        <f>IFERROR(VLOOKUP(H102,装备!$B:$E,3,FALSE),"")</f>
        <v/>
      </c>
      <c r="W102" s="18" t="str">
        <f t="shared" si="41"/>
        <v/>
      </c>
      <c r="X102" s="18" t="str">
        <f t="shared" si="42"/>
        <v/>
      </c>
      <c r="Y102" s="18" t="str">
        <f t="shared" si="43"/>
        <v/>
      </c>
      <c r="Z102" s="18" t="str">
        <f t="shared" si="44"/>
        <v/>
      </c>
      <c r="AA102" s="18" t="str">
        <f t="shared" si="45"/>
        <v/>
      </c>
      <c r="AB102" s="18" t="e">
        <f t="shared" si="46"/>
        <v>#REF!</v>
      </c>
    </row>
    <row r="103" spans="1:28">
      <c r="A103" s="19" t="e">
        <f>装备!#REF!</f>
        <v>#REF!</v>
      </c>
      <c r="B103" s="19" t="e">
        <f>"'"&amp;装备!#REF!&amp;"'"</f>
        <v>#REF!</v>
      </c>
      <c r="C103" s="19" t="e">
        <f>装备!#REF!</f>
        <v>#REF!</v>
      </c>
      <c r="D103" s="19" t="e">
        <f>装备!#REF!</f>
        <v>#REF!</v>
      </c>
      <c r="E103" s="19" t="e">
        <f>装备!#REF!</f>
        <v>#REF!</v>
      </c>
      <c r="F103" s="19" t="e">
        <f>装备!#REF!</f>
        <v>#REF!</v>
      </c>
      <c r="G103" s="19" t="e">
        <f>装备!#REF!</f>
        <v>#REF!</v>
      </c>
      <c r="H103" s="19" t="e">
        <f>装备!#REF!</f>
        <v>#REF!</v>
      </c>
      <c r="I103" s="19" t="e">
        <f>IF(装备!#REF!=0,0,"'"&amp;装备!#REF!&amp;"'")</f>
        <v>#REF!</v>
      </c>
      <c r="J103" s="19" t="e">
        <f>IF(装备!#REF!=0,0,"'"&amp;装备!#REF!&amp;"'")</f>
        <v>#REF!</v>
      </c>
      <c r="K103" s="19" t="e">
        <f>IF(装备!#REF!=0,0,"'"&amp;装备!#REF!&amp;"'")</f>
        <v>#REF!</v>
      </c>
      <c r="L103" s="19" t="e">
        <f>IF(装备!#REF!=0,0,"'"&amp;装备!#REF!&amp;"'")</f>
        <v>#REF!</v>
      </c>
      <c r="M103" s="19" t="e">
        <f>IF(装备!#REF!=0,0,"'"&amp;装备!#REF!&amp;"'")</f>
        <v>#REF!</v>
      </c>
      <c r="N103" s="19" t="e">
        <f>IF(装备!#REF!=0,0,"'"&amp;装备!#REF!&amp;"'")</f>
        <v>#REF!</v>
      </c>
      <c r="O103" s="19" t="e">
        <f t="shared" si="40"/>
        <v>#REF!</v>
      </c>
      <c r="P103" s="19" t="str">
        <f t="shared" si="33"/>
        <v/>
      </c>
      <c r="Q103" s="23" t="str">
        <f>IFERROR(VLOOKUP(C103,装备!$B:$E,3,FALSE),"")</f>
        <v/>
      </c>
      <c r="R103" s="23" t="str">
        <f>IFERROR(VLOOKUP(D103,装备!$B:$E,3,FALSE),"")</f>
        <v/>
      </c>
      <c r="S103" s="23" t="str">
        <f>IFERROR(VLOOKUP(E103,装备!$B:$E,3,FALSE),"")</f>
        <v/>
      </c>
      <c r="T103" s="23" t="str">
        <f>IFERROR(VLOOKUP(F103,装备!$B:$E,3,FALSE),"")</f>
        <v/>
      </c>
      <c r="U103" s="23" t="str">
        <f>IFERROR(VLOOKUP(G103,装备!$B:$E,3,FALSE),"")</f>
        <v/>
      </c>
      <c r="V103" s="23" t="str">
        <f>IFERROR(VLOOKUP(H103,装备!$B:$E,3,FALSE),"")</f>
        <v/>
      </c>
      <c r="W103" s="18" t="str">
        <f t="shared" si="41"/>
        <v/>
      </c>
      <c r="X103" s="18" t="str">
        <f t="shared" si="42"/>
        <v/>
      </c>
      <c r="Y103" s="18" t="str">
        <f t="shared" si="43"/>
        <v/>
      </c>
      <c r="Z103" s="18" t="str">
        <f t="shared" si="44"/>
        <v/>
      </c>
      <c r="AA103" s="18" t="str">
        <f t="shared" si="45"/>
        <v/>
      </c>
      <c r="AB103" s="18" t="e">
        <f t="shared" si="46"/>
        <v>#REF!</v>
      </c>
    </row>
    <row r="104" spans="1:28">
      <c r="A104" s="19" t="e">
        <f>装备!#REF!</f>
        <v>#REF!</v>
      </c>
      <c r="B104" s="19" t="e">
        <f>"'"&amp;装备!#REF!&amp;"'"</f>
        <v>#REF!</v>
      </c>
      <c r="C104" s="19" t="e">
        <f>装备!#REF!</f>
        <v>#REF!</v>
      </c>
      <c r="D104" s="19" t="e">
        <f>装备!#REF!</f>
        <v>#REF!</v>
      </c>
      <c r="E104" s="19" t="e">
        <f>装备!#REF!</f>
        <v>#REF!</v>
      </c>
      <c r="F104" s="19" t="e">
        <f>装备!#REF!</f>
        <v>#REF!</v>
      </c>
      <c r="G104" s="19" t="e">
        <f>装备!#REF!</f>
        <v>#REF!</v>
      </c>
      <c r="H104" s="19" t="e">
        <f>装备!#REF!</f>
        <v>#REF!</v>
      </c>
      <c r="I104" s="19" t="e">
        <f>IF(装备!#REF!=0,0,"'"&amp;装备!#REF!&amp;"'")</f>
        <v>#REF!</v>
      </c>
      <c r="J104" s="19" t="e">
        <f>IF(装备!#REF!=0,0,"'"&amp;装备!#REF!&amp;"'")</f>
        <v>#REF!</v>
      </c>
      <c r="K104" s="19" t="e">
        <f>IF(装备!#REF!=0,0,"'"&amp;装备!#REF!&amp;"'")</f>
        <v>#REF!</v>
      </c>
      <c r="L104" s="19" t="e">
        <f>IF(装备!#REF!=0,0,"'"&amp;装备!#REF!&amp;"'")</f>
        <v>#REF!</v>
      </c>
      <c r="M104" s="19" t="e">
        <f>IF(装备!#REF!=0,0,"'"&amp;装备!#REF!&amp;"'")</f>
        <v>#REF!</v>
      </c>
      <c r="N104" s="19" t="e">
        <f>IF(装备!#REF!=0,0,"'"&amp;装备!#REF!&amp;"'")</f>
        <v>#REF!</v>
      </c>
      <c r="O104" s="19" t="e">
        <f t="shared" si="40"/>
        <v>#REF!</v>
      </c>
      <c r="P104" s="19" t="str">
        <f t="shared" si="33"/>
        <v/>
      </c>
      <c r="Q104" s="23" t="str">
        <f>IFERROR(VLOOKUP(C104,装备!$B:$E,3,FALSE),"")</f>
        <v/>
      </c>
      <c r="R104" s="23" t="str">
        <f>IFERROR(VLOOKUP(D104,装备!$B:$E,3,FALSE),"")</f>
        <v/>
      </c>
      <c r="S104" s="23" t="str">
        <f>IFERROR(VLOOKUP(E104,装备!$B:$E,3,FALSE),"")</f>
        <v/>
      </c>
      <c r="T104" s="23" t="str">
        <f>IFERROR(VLOOKUP(F104,装备!$B:$E,3,FALSE),"")</f>
        <v/>
      </c>
      <c r="U104" s="23" t="str">
        <f>IFERROR(VLOOKUP(G104,装备!$B:$E,3,FALSE),"")</f>
        <v/>
      </c>
      <c r="V104" s="23" t="str">
        <f>IFERROR(VLOOKUP(H104,装备!$B:$E,3,FALSE),"")</f>
        <v/>
      </c>
      <c r="W104" s="18" t="str">
        <f t="shared" si="41"/>
        <v/>
      </c>
      <c r="X104" s="18" t="str">
        <f t="shared" si="42"/>
        <v/>
      </c>
      <c r="Y104" s="18" t="str">
        <f t="shared" si="43"/>
        <v/>
      </c>
      <c r="Z104" s="18" t="str">
        <f t="shared" si="44"/>
        <v/>
      </c>
      <c r="AA104" s="18" t="str">
        <f t="shared" si="45"/>
        <v/>
      </c>
      <c r="AB104" s="18" t="e">
        <f t="shared" si="46"/>
        <v>#REF!</v>
      </c>
    </row>
    <row r="105" spans="1:28">
      <c r="A105" s="19" t="e">
        <f>装备!#REF!</f>
        <v>#REF!</v>
      </c>
      <c r="B105" s="19" t="e">
        <f>"'"&amp;装备!#REF!&amp;"'"</f>
        <v>#REF!</v>
      </c>
      <c r="C105" s="19" t="e">
        <f>装备!#REF!</f>
        <v>#REF!</v>
      </c>
      <c r="D105" s="19" t="e">
        <f>装备!#REF!</f>
        <v>#REF!</v>
      </c>
      <c r="E105" s="19" t="e">
        <f>装备!#REF!</f>
        <v>#REF!</v>
      </c>
      <c r="F105" s="19" t="e">
        <f>装备!#REF!</f>
        <v>#REF!</v>
      </c>
      <c r="G105" s="19" t="e">
        <f>装备!#REF!</f>
        <v>#REF!</v>
      </c>
      <c r="H105" s="19" t="e">
        <f>装备!#REF!</f>
        <v>#REF!</v>
      </c>
      <c r="I105" s="19" t="e">
        <f>IF(装备!#REF!=0,0,"'"&amp;装备!#REF!&amp;"'")</f>
        <v>#REF!</v>
      </c>
      <c r="J105" s="19" t="e">
        <f>IF(装备!#REF!=0,0,"'"&amp;装备!#REF!&amp;"'")</f>
        <v>#REF!</v>
      </c>
      <c r="K105" s="19" t="e">
        <f>IF(装备!#REF!=0,0,"'"&amp;装备!#REF!&amp;"'")</f>
        <v>#REF!</v>
      </c>
      <c r="L105" s="19" t="e">
        <f>IF(装备!#REF!=0,0,"'"&amp;装备!#REF!&amp;"'")</f>
        <v>#REF!</v>
      </c>
      <c r="M105" s="19" t="e">
        <f>IF(装备!#REF!=0,0,"'"&amp;装备!#REF!&amp;"'")</f>
        <v>#REF!</v>
      </c>
      <c r="N105" s="19" t="e">
        <f>IF(装备!#REF!=0,0,"'"&amp;装备!#REF!&amp;"'")</f>
        <v>#REF!</v>
      </c>
      <c r="O105" s="19" t="e">
        <f t="shared" si="40"/>
        <v>#REF!</v>
      </c>
      <c r="P105" s="19" t="str">
        <f t="shared" si="33"/>
        <v/>
      </c>
      <c r="Q105" s="23" t="str">
        <f>IFERROR(VLOOKUP(C105,装备!$B:$E,3,FALSE),"")</f>
        <v/>
      </c>
      <c r="R105" s="23" t="str">
        <f>IFERROR(VLOOKUP(D105,装备!$B:$E,3,FALSE),"")</f>
        <v/>
      </c>
      <c r="S105" s="23" t="str">
        <f>IFERROR(VLOOKUP(E105,装备!$B:$E,3,FALSE),"")</f>
        <v/>
      </c>
      <c r="T105" s="23" t="str">
        <f>IFERROR(VLOOKUP(F105,装备!$B:$E,3,FALSE),"")</f>
        <v/>
      </c>
      <c r="U105" s="23" t="str">
        <f>IFERROR(VLOOKUP(G105,装备!$B:$E,3,FALSE),"")</f>
        <v/>
      </c>
      <c r="V105" s="23" t="str">
        <f>IFERROR(VLOOKUP(H105,装备!$B:$E,3,FALSE),"")</f>
        <v/>
      </c>
      <c r="W105" s="18" t="str">
        <f t="shared" si="41"/>
        <v/>
      </c>
      <c r="X105" s="18" t="str">
        <f t="shared" si="42"/>
        <v/>
      </c>
      <c r="Y105" s="18" t="str">
        <f t="shared" si="43"/>
        <v/>
      </c>
      <c r="Z105" s="18" t="str">
        <f t="shared" si="44"/>
        <v/>
      </c>
      <c r="AA105" s="18" t="str">
        <f t="shared" si="45"/>
        <v/>
      </c>
      <c r="AB105" s="18" t="e">
        <f t="shared" si="46"/>
        <v>#REF!</v>
      </c>
    </row>
    <row r="106" spans="1:28">
      <c r="A106" s="19" t="e">
        <f>装备!#REF!</f>
        <v>#REF!</v>
      </c>
      <c r="B106" s="19" t="e">
        <f>"'"&amp;装备!#REF!&amp;"'"</f>
        <v>#REF!</v>
      </c>
      <c r="C106" s="19" t="e">
        <f>装备!#REF!</f>
        <v>#REF!</v>
      </c>
      <c r="D106" s="19" t="e">
        <f>装备!#REF!</f>
        <v>#REF!</v>
      </c>
      <c r="E106" s="19" t="e">
        <f>装备!#REF!</f>
        <v>#REF!</v>
      </c>
      <c r="F106" s="19" t="e">
        <f>装备!#REF!</f>
        <v>#REF!</v>
      </c>
      <c r="G106" s="19" t="e">
        <f>装备!#REF!</f>
        <v>#REF!</v>
      </c>
      <c r="H106" s="19" t="e">
        <f>装备!#REF!</f>
        <v>#REF!</v>
      </c>
      <c r="I106" s="19" t="e">
        <f>IF(装备!#REF!=0,0,"'"&amp;装备!#REF!&amp;"'")</f>
        <v>#REF!</v>
      </c>
      <c r="J106" s="19" t="e">
        <f>IF(装备!#REF!=0,0,"'"&amp;装备!#REF!&amp;"'")</f>
        <v>#REF!</v>
      </c>
      <c r="K106" s="19" t="e">
        <f>IF(装备!#REF!=0,0,"'"&amp;装备!#REF!&amp;"'")</f>
        <v>#REF!</v>
      </c>
      <c r="L106" s="19" t="e">
        <f>IF(装备!#REF!=0,0,"'"&amp;装备!#REF!&amp;"'")</f>
        <v>#REF!</v>
      </c>
      <c r="M106" s="19" t="e">
        <f>IF(装备!#REF!=0,0,"'"&amp;装备!#REF!&amp;"'")</f>
        <v>#REF!</v>
      </c>
      <c r="N106" s="19" t="e">
        <f>IF(装备!#REF!=0,0,"'"&amp;装备!#REF!&amp;"'")</f>
        <v>#REF!</v>
      </c>
      <c r="O106" s="19" t="e">
        <f t="shared" si="40"/>
        <v>#REF!</v>
      </c>
      <c r="P106" s="19" t="str">
        <f t="shared" si="33"/>
        <v/>
      </c>
      <c r="Q106" s="23" t="str">
        <f>IFERROR(VLOOKUP(C106,装备!$B:$E,3,FALSE),"")</f>
        <v/>
      </c>
      <c r="R106" s="23" t="str">
        <f>IFERROR(VLOOKUP(D106,装备!$B:$E,3,FALSE),"")</f>
        <v/>
      </c>
      <c r="S106" s="23" t="str">
        <f>IFERROR(VLOOKUP(E106,装备!$B:$E,3,FALSE),"")</f>
        <v/>
      </c>
      <c r="T106" s="23" t="str">
        <f>IFERROR(VLOOKUP(F106,装备!$B:$E,3,FALSE),"")</f>
        <v/>
      </c>
      <c r="U106" s="23" t="str">
        <f>IFERROR(VLOOKUP(G106,装备!$B:$E,3,FALSE),"")</f>
        <v/>
      </c>
      <c r="V106" s="23" t="str">
        <f>IFERROR(VLOOKUP(H106,装备!$B:$E,3,FALSE),"")</f>
        <v/>
      </c>
      <c r="W106" s="18" t="str">
        <f t="shared" si="41"/>
        <v/>
      </c>
      <c r="X106" s="18" t="str">
        <f t="shared" si="42"/>
        <v/>
      </c>
      <c r="Y106" s="18" t="str">
        <f t="shared" si="43"/>
        <v/>
      </c>
      <c r="Z106" s="18" t="str">
        <f t="shared" si="44"/>
        <v/>
      </c>
      <c r="AA106" s="18" t="str">
        <f t="shared" si="45"/>
        <v/>
      </c>
      <c r="AB106" s="18" t="e">
        <f t="shared" si="46"/>
        <v>#REF!</v>
      </c>
    </row>
    <row r="107" spans="1:28">
      <c r="A107" s="19" t="e">
        <f>装备!#REF!</f>
        <v>#REF!</v>
      </c>
      <c r="B107" s="19" t="e">
        <f>"'"&amp;装备!#REF!&amp;"'"</f>
        <v>#REF!</v>
      </c>
      <c r="C107" s="19" t="e">
        <f>装备!#REF!</f>
        <v>#REF!</v>
      </c>
      <c r="D107" s="19" t="e">
        <f>装备!#REF!</f>
        <v>#REF!</v>
      </c>
      <c r="E107" s="19" t="e">
        <f>装备!#REF!</f>
        <v>#REF!</v>
      </c>
      <c r="F107" s="19" t="e">
        <f>装备!#REF!</f>
        <v>#REF!</v>
      </c>
      <c r="G107" s="19" t="e">
        <f>装备!#REF!</f>
        <v>#REF!</v>
      </c>
      <c r="H107" s="19" t="e">
        <f>装备!#REF!</f>
        <v>#REF!</v>
      </c>
      <c r="I107" s="19" t="e">
        <f>IF(装备!#REF!=0,0,"'"&amp;装备!#REF!&amp;"'")</f>
        <v>#REF!</v>
      </c>
      <c r="J107" s="19" t="e">
        <f>IF(装备!#REF!=0,0,"'"&amp;装备!#REF!&amp;"'")</f>
        <v>#REF!</v>
      </c>
      <c r="K107" s="19" t="e">
        <f>IF(装备!#REF!=0,0,"'"&amp;装备!#REF!&amp;"'")</f>
        <v>#REF!</v>
      </c>
      <c r="L107" s="19" t="e">
        <f>IF(装备!#REF!=0,0,"'"&amp;装备!#REF!&amp;"'")</f>
        <v>#REF!</v>
      </c>
      <c r="M107" s="19" t="e">
        <f>IF(装备!#REF!=0,0,"'"&amp;装备!#REF!&amp;"'")</f>
        <v>#REF!</v>
      </c>
      <c r="N107" s="19" t="e">
        <f>IF(装备!#REF!=0,0,"'"&amp;装备!#REF!&amp;"'")</f>
        <v>#REF!</v>
      </c>
      <c r="O107" s="19" t="e">
        <f t="shared" si="40"/>
        <v>#REF!</v>
      </c>
      <c r="P107" s="19" t="str">
        <f t="shared" si="33"/>
        <v/>
      </c>
      <c r="Q107" s="23" t="str">
        <f>IFERROR(VLOOKUP(C107,装备!$B:$E,3,FALSE),"")</f>
        <v/>
      </c>
      <c r="R107" s="23" t="str">
        <f>IFERROR(VLOOKUP(D107,装备!$B:$E,3,FALSE),"")</f>
        <v/>
      </c>
      <c r="S107" s="23" t="str">
        <f>IFERROR(VLOOKUP(E107,装备!$B:$E,3,FALSE),"")</f>
        <v/>
      </c>
      <c r="T107" s="23" t="str">
        <f>IFERROR(VLOOKUP(F107,装备!$B:$E,3,FALSE),"")</f>
        <v/>
      </c>
      <c r="U107" s="23" t="str">
        <f>IFERROR(VLOOKUP(G107,装备!$B:$E,3,FALSE),"")</f>
        <v/>
      </c>
      <c r="V107" s="23" t="str">
        <f>IFERROR(VLOOKUP(H107,装备!$B:$E,3,FALSE),"")</f>
        <v/>
      </c>
      <c r="W107" s="18" t="str">
        <f t="shared" si="41"/>
        <v/>
      </c>
      <c r="X107" s="18" t="str">
        <f t="shared" si="42"/>
        <v/>
      </c>
      <c r="Y107" s="18" t="str">
        <f t="shared" si="43"/>
        <v/>
      </c>
      <c r="Z107" s="18" t="str">
        <f t="shared" si="44"/>
        <v/>
      </c>
      <c r="AA107" s="18" t="str">
        <f t="shared" si="45"/>
        <v/>
      </c>
      <c r="AB107" s="18" t="e">
        <f t="shared" si="46"/>
        <v>#REF!</v>
      </c>
    </row>
    <row r="108" spans="1:28">
      <c r="A108" s="19" t="e">
        <f>装备!#REF!</f>
        <v>#REF!</v>
      </c>
      <c r="B108" s="19" t="e">
        <f>"'"&amp;装备!#REF!&amp;"'"</f>
        <v>#REF!</v>
      </c>
      <c r="C108" s="19" t="e">
        <f>装备!#REF!</f>
        <v>#REF!</v>
      </c>
      <c r="D108" s="19" t="e">
        <f>装备!#REF!</f>
        <v>#REF!</v>
      </c>
      <c r="E108" s="19" t="e">
        <f>装备!#REF!</f>
        <v>#REF!</v>
      </c>
      <c r="F108" s="19" t="e">
        <f>装备!#REF!</f>
        <v>#REF!</v>
      </c>
      <c r="G108" s="19" t="e">
        <f>装备!#REF!</f>
        <v>#REF!</v>
      </c>
      <c r="H108" s="19" t="e">
        <f>装备!#REF!</f>
        <v>#REF!</v>
      </c>
      <c r="I108" s="19" t="e">
        <f>IF(装备!#REF!=0,0,"'"&amp;装备!#REF!&amp;"'")</f>
        <v>#REF!</v>
      </c>
      <c r="J108" s="19" t="e">
        <f>IF(装备!#REF!=0,0,"'"&amp;装备!#REF!&amp;"'")</f>
        <v>#REF!</v>
      </c>
      <c r="K108" s="19" t="e">
        <f>IF(装备!#REF!=0,0,"'"&amp;装备!#REF!&amp;"'")</f>
        <v>#REF!</v>
      </c>
      <c r="L108" s="19" t="e">
        <f>IF(装备!#REF!=0,0,"'"&amp;装备!#REF!&amp;"'")</f>
        <v>#REF!</v>
      </c>
      <c r="M108" s="19" t="e">
        <f>IF(装备!#REF!=0,0,"'"&amp;装备!#REF!&amp;"'")</f>
        <v>#REF!</v>
      </c>
      <c r="N108" s="19" t="e">
        <f>IF(装备!#REF!=0,0,"'"&amp;装备!#REF!&amp;"'")</f>
        <v>#REF!</v>
      </c>
      <c r="O108" s="19" t="e">
        <f t="shared" si="40"/>
        <v>#REF!</v>
      </c>
      <c r="P108" s="19" t="str">
        <f t="shared" si="33"/>
        <v/>
      </c>
      <c r="Q108" s="23" t="str">
        <f>IFERROR(VLOOKUP(C108,装备!$B:$E,3,FALSE),"")</f>
        <v/>
      </c>
      <c r="R108" s="23" t="str">
        <f>IFERROR(VLOOKUP(D108,装备!$B:$E,3,FALSE),"")</f>
        <v/>
      </c>
      <c r="S108" s="23" t="str">
        <f>IFERROR(VLOOKUP(E108,装备!$B:$E,3,FALSE),"")</f>
        <v/>
      </c>
      <c r="T108" s="23" t="str">
        <f>IFERROR(VLOOKUP(F108,装备!$B:$E,3,FALSE),"")</f>
        <v/>
      </c>
      <c r="U108" s="23" t="str">
        <f>IFERROR(VLOOKUP(G108,装备!$B:$E,3,FALSE),"")</f>
        <v/>
      </c>
      <c r="V108" s="23" t="str">
        <f>IFERROR(VLOOKUP(H108,装备!$B:$E,3,FALSE),"")</f>
        <v/>
      </c>
      <c r="W108" s="18" t="str">
        <f t="shared" si="41"/>
        <v/>
      </c>
      <c r="X108" s="18" t="str">
        <f t="shared" si="42"/>
        <v/>
      </c>
      <c r="Y108" s="18" t="str">
        <f t="shared" si="43"/>
        <v/>
      </c>
      <c r="Z108" s="18" t="str">
        <f t="shared" si="44"/>
        <v/>
      </c>
      <c r="AA108" s="18" t="str">
        <f t="shared" si="45"/>
        <v/>
      </c>
      <c r="AB108" s="18" t="e">
        <f t="shared" si="46"/>
        <v>#REF!</v>
      </c>
    </row>
    <row r="109" spans="1:28">
      <c r="A109" s="19" t="e">
        <f>装备!#REF!</f>
        <v>#REF!</v>
      </c>
      <c r="B109" s="19" t="e">
        <f>"'"&amp;装备!#REF!&amp;"'"</f>
        <v>#REF!</v>
      </c>
      <c r="C109" s="19" t="e">
        <f>装备!#REF!</f>
        <v>#REF!</v>
      </c>
      <c r="D109" s="19" t="e">
        <f>装备!#REF!</f>
        <v>#REF!</v>
      </c>
      <c r="E109" s="19" t="e">
        <f>装备!#REF!</f>
        <v>#REF!</v>
      </c>
      <c r="F109" s="19" t="e">
        <f>装备!#REF!</f>
        <v>#REF!</v>
      </c>
      <c r="G109" s="19" t="e">
        <f>装备!#REF!</f>
        <v>#REF!</v>
      </c>
      <c r="H109" s="19" t="e">
        <f>装备!#REF!</f>
        <v>#REF!</v>
      </c>
      <c r="I109" s="19" t="e">
        <f>IF(装备!#REF!=0,0,"'"&amp;装备!#REF!&amp;"'")</f>
        <v>#REF!</v>
      </c>
      <c r="J109" s="19" t="e">
        <f>IF(装备!#REF!=0,0,"'"&amp;装备!#REF!&amp;"'")</f>
        <v>#REF!</v>
      </c>
      <c r="K109" s="19" t="e">
        <f>IF(装备!#REF!=0,0,"'"&amp;装备!#REF!&amp;"'")</f>
        <v>#REF!</v>
      </c>
      <c r="L109" s="19" t="e">
        <f>IF(装备!#REF!=0,0,"'"&amp;装备!#REF!&amp;"'")</f>
        <v>#REF!</v>
      </c>
      <c r="M109" s="19" t="e">
        <f>IF(装备!#REF!=0,0,"'"&amp;装备!#REF!&amp;"'")</f>
        <v>#REF!</v>
      </c>
      <c r="N109" s="19" t="e">
        <f>IF(装备!#REF!=0,0,"'"&amp;装备!#REF!&amp;"'")</f>
        <v>#REF!</v>
      </c>
      <c r="O109" s="19" t="e">
        <f t="shared" si="40"/>
        <v>#REF!</v>
      </c>
      <c r="P109" s="19" t="str">
        <f t="shared" si="33"/>
        <v/>
      </c>
      <c r="Q109" s="23" t="str">
        <f>IFERROR(VLOOKUP(C109,装备!$B:$E,3,FALSE),"")</f>
        <v/>
      </c>
      <c r="R109" s="23" t="str">
        <f>IFERROR(VLOOKUP(D109,装备!$B:$E,3,FALSE),"")</f>
        <v/>
      </c>
      <c r="S109" s="23" t="str">
        <f>IFERROR(VLOOKUP(E109,装备!$B:$E,3,FALSE),"")</f>
        <v/>
      </c>
      <c r="T109" s="23" t="str">
        <f>IFERROR(VLOOKUP(F109,装备!$B:$E,3,FALSE),"")</f>
        <v/>
      </c>
      <c r="U109" s="23" t="str">
        <f>IFERROR(VLOOKUP(G109,装备!$B:$E,3,FALSE),"")</f>
        <v/>
      </c>
      <c r="V109" s="23" t="str">
        <f>IFERROR(VLOOKUP(H109,装备!$B:$E,3,FALSE),"")</f>
        <v/>
      </c>
      <c r="W109" s="18" t="str">
        <f t="shared" si="41"/>
        <v/>
      </c>
      <c r="X109" s="18" t="str">
        <f t="shared" si="42"/>
        <v/>
      </c>
      <c r="Y109" s="18" t="str">
        <f t="shared" si="43"/>
        <v/>
      </c>
      <c r="Z109" s="18" t="str">
        <f t="shared" si="44"/>
        <v/>
      </c>
      <c r="AA109" s="18" t="str">
        <f t="shared" si="45"/>
        <v/>
      </c>
      <c r="AB109" s="18" t="e">
        <f t="shared" si="46"/>
        <v>#REF!</v>
      </c>
    </row>
    <row r="110" spans="1:28">
      <c r="A110" s="19" t="e">
        <f>装备!#REF!</f>
        <v>#REF!</v>
      </c>
      <c r="B110" s="19" t="e">
        <f>"'"&amp;装备!#REF!&amp;"'"</f>
        <v>#REF!</v>
      </c>
      <c r="C110" s="19" t="e">
        <f>装备!#REF!</f>
        <v>#REF!</v>
      </c>
      <c r="D110" s="19" t="e">
        <f>装备!#REF!</f>
        <v>#REF!</v>
      </c>
      <c r="E110" s="19" t="e">
        <f>装备!#REF!</f>
        <v>#REF!</v>
      </c>
      <c r="F110" s="19" t="e">
        <f>装备!#REF!</f>
        <v>#REF!</v>
      </c>
      <c r="G110" s="19" t="e">
        <f>装备!#REF!</f>
        <v>#REF!</v>
      </c>
      <c r="H110" s="19" t="e">
        <f>装备!#REF!</f>
        <v>#REF!</v>
      </c>
      <c r="I110" s="19" t="e">
        <f>IF(装备!#REF!=0,0,"'"&amp;装备!#REF!&amp;"'")</f>
        <v>#REF!</v>
      </c>
      <c r="J110" s="19" t="e">
        <f>IF(装备!#REF!=0,0,"'"&amp;装备!#REF!&amp;"'")</f>
        <v>#REF!</v>
      </c>
      <c r="K110" s="19" t="e">
        <f>IF(装备!#REF!=0,0,"'"&amp;装备!#REF!&amp;"'")</f>
        <v>#REF!</v>
      </c>
      <c r="L110" s="19" t="e">
        <f>IF(装备!#REF!=0,0,"'"&amp;装备!#REF!&amp;"'")</f>
        <v>#REF!</v>
      </c>
      <c r="M110" s="19" t="e">
        <f>IF(装备!#REF!=0,0,"'"&amp;装备!#REF!&amp;"'")</f>
        <v>#REF!</v>
      </c>
      <c r="N110" s="19" t="e">
        <f>IF(装备!#REF!=0,0,"'"&amp;装备!#REF!&amp;"'")</f>
        <v>#REF!</v>
      </c>
      <c r="O110" s="19" t="e">
        <f t="shared" si="40"/>
        <v>#REF!</v>
      </c>
      <c r="P110" s="19" t="str">
        <f t="shared" si="33"/>
        <v/>
      </c>
      <c r="Q110" s="23" t="str">
        <f>IFERROR(VLOOKUP(C110,装备!$B:$E,3,FALSE),"")</f>
        <v/>
      </c>
      <c r="R110" s="23" t="str">
        <f>IFERROR(VLOOKUP(D110,装备!$B:$E,3,FALSE),"")</f>
        <v/>
      </c>
      <c r="S110" s="23" t="str">
        <f>IFERROR(VLOOKUP(E110,装备!$B:$E,3,FALSE),"")</f>
        <v/>
      </c>
      <c r="T110" s="23" t="str">
        <f>IFERROR(VLOOKUP(F110,装备!$B:$E,3,FALSE),"")</f>
        <v/>
      </c>
      <c r="U110" s="23" t="str">
        <f>IFERROR(VLOOKUP(G110,装备!$B:$E,3,FALSE),"")</f>
        <v/>
      </c>
      <c r="V110" s="23" t="str">
        <f>IFERROR(VLOOKUP(H110,装备!$B:$E,3,FALSE),"")</f>
        <v/>
      </c>
      <c r="W110" s="18" t="str">
        <f t="shared" si="41"/>
        <v/>
      </c>
      <c r="X110" s="18" t="str">
        <f t="shared" si="42"/>
        <v/>
      </c>
      <c r="Y110" s="18" t="str">
        <f t="shared" si="43"/>
        <v/>
      </c>
      <c r="Z110" s="18" t="str">
        <f t="shared" si="44"/>
        <v/>
      </c>
      <c r="AA110" s="18" t="str">
        <f t="shared" si="45"/>
        <v/>
      </c>
      <c r="AB110" s="18" t="e">
        <f t="shared" si="46"/>
        <v>#REF!</v>
      </c>
    </row>
    <row r="111" spans="1:28">
      <c r="A111" s="19" t="e">
        <f>装备!#REF!</f>
        <v>#REF!</v>
      </c>
      <c r="B111" s="19" t="e">
        <f>"'"&amp;装备!#REF!&amp;"'"</f>
        <v>#REF!</v>
      </c>
      <c r="C111" s="19" t="e">
        <f>装备!#REF!</f>
        <v>#REF!</v>
      </c>
      <c r="D111" s="19" t="e">
        <f>装备!#REF!</f>
        <v>#REF!</v>
      </c>
      <c r="E111" s="19" t="e">
        <f>装备!#REF!</f>
        <v>#REF!</v>
      </c>
      <c r="F111" s="19" t="e">
        <f>装备!#REF!</f>
        <v>#REF!</v>
      </c>
      <c r="G111" s="19" t="e">
        <f>装备!#REF!</f>
        <v>#REF!</v>
      </c>
      <c r="H111" s="19" t="e">
        <f>装备!#REF!</f>
        <v>#REF!</v>
      </c>
      <c r="I111" s="19" t="e">
        <f>IF(装备!#REF!=0,0,"'"&amp;装备!#REF!&amp;"'")</f>
        <v>#REF!</v>
      </c>
      <c r="J111" s="19" t="e">
        <f>IF(装备!#REF!=0,0,"'"&amp;装备!#REF!&amp;"'")</f>
        <v>#REF!</v>
      </c>
      <c r="K111" s="19" t="e">
        <f>IF(装备!#REF!=0,0,"'"&amp;装备!#REF!&amp;"'")</f>
        <v>#REF!</v>
      </c>
      <c r="L111" s="19" t="e">
        <f>IF(装备!#REF!=0,0,"'"&amp;装备!#REF!&amp;"'")</f>
        <v>#REF!</v>
      </c>
      <c r="M111" s="19" t="e">
        <f>IF(装备!#REF!=0,0,"'"&amp;装备!#REF!&amp;"'")</f>
        <v>#REF!</v>
      </c>
      <c r="N111" s="19" t="e">
        <f>IF(装备!#REF!=0,0,"'"&amp;装备!#REF!&amp;"'")</f>
        <v>#REF!</v>
      </c>
      <c r="O111" s="19" t="e">
        <f t="shared" si="40"/>
        <v>#REF!</v>
      </c>
      <c r="P111" s="19" t="str">
        <f t="shared" si="33"/>
        <v/>
      </c>
      <c r="Q111" s="23" t="str">
        <f>IFERROR(VLOOKUP(C111,装备!$B:$E,3,FALSE),"")</f>
        <v/>
      </c>
      <c r="R111" s="23" t="str">
        <f>IFERROR(VLOOKUP(D111,装备!$B:$E,3,FALSE),"")</f>
        <v/>
      </c>
      <c r="S111" s="23" t="str">
        <f>IFERROR(VLOOKUP(E111,装备!$B:$E,3,FALSE),"")</f>
        <v/>
      </c>
      <c r="T111" s="23" t="str">
        <f>IFERROR(VLOOKUP(F111,装备!$B:$E,3,FALSE),"")</f>
        <v/>
      </c>
      <c r="U111" s="23" t="str">
        <f>IFERROR(VLOOKUP(G111,装备!$B:$E,3,FALSE),"")</f>
        <v/>
      </c>
      <c r="V111" s="23" t="str">
        <f>IFERROR(VLOOKUP(H111,装备!$B:$E,3,FALSE),"")</f>
        <v/>
      </c>
      <c r="W111" s="18" t="str">
        <f t="shared" si="41"/>
        <v/>
      </c>
      <c r="X111" s="18" t="str">
        <f t="shared" si="42"/>
        <v/>
      </c>
      <c r="Y111" s="18" t="str">
        <f t="shared" si="43"/>
        <v/>
      </c>
      <c r="Z111" s="18" t="str">
        <f t="shared" si="44"/>
        <v/>
      </c>
      <c r="AA111" s="18" t="str">
        <f t="shared" si="45"/>
        <v/>
      </c>
      <c r="AB111" s="18" t="e">
        <f t="shared" si="46"/>
        <v>#REF!</v>
      </c>
    </row>
    <row r="112" spans="1:28">
      <c r="A112" s="19" t="e">
        <f>装备!#REF!</f>
        <v>#REF!</v>
      </c>
      <c r="B112" s="19" t="e">
        <f>"'"&amp;装备!#REF!&amp;"'"</f>
        <v>#REF!</v>
      </c>
      <c r="C112" s="19" t="e">
        <f>装备!#REF!</f>
        <v>#REF!</v>
      </c>
      <c r="D112" s="19" t="e">
        <f>装备!#REF!</f>
        <v>#REF!</v>
      </c>
      <c r="E112" s="19" t="e">
        <f>装备!#REF!</f>
        <v>#REF!</v>
      </c>
      <c r="F112" s="19" t="e">
        <f>装备!#REF!</f>
        <v>#REF!</v>
      </c>
      <c r="G112" s="19" t="e">
        <f>装备!#REF!</f>
        <v>#REF!</v>
      </c>
      <c r="H112" s="19" t="e">
        <f>装备!#REF!</f>
        <v>#REF!</v>
      </c>
      <c r="I112" s="19" t="e">
        <f>IF(装备!#REF!=0,0,"'"&amp;装备!#REF!&amp;"'")</f>
        <v>#REF!</v>
      </c>
      <c r="J112" s="19" t="e">
        <f>IF(装备!#REF!=0,0,"'"&amp;装备!#REF!&amp;"'")</f>
        <v>#REF!</v>
      </c>
      <c r="K112" s="19" t="e">
        <f>IF(装备!#REF!=0,0,"'"&amp;装备!#REF!&amp;"'")</f>
        <v>#REF!</v>
      </c>
      <c r="L112" s="19" t="e">
        <f>IF(装备!#REF!=0,0,"'"&amp;装备!#REF!&amp;"'")</f>
        <v>#REF!</v>
      </c>
      <c r="M112" s="19" t="e">
        <f>IF(装备!#REF!=0,0,"'"&amp;装备!#REF!&amp;"'")</f>
        <v>#REF!</v>
      </c>
      <c r="N112" s="19" t="e">
        <f>IF(装备!#REF!=0,0,"'"&amp;装备!#REF!&amp;"'")</f>
        <v>#REF!</v>
      </c>
      <c r="O112" s="19" t="e">
        <f t="shared" si="40"/>
        <v>#REF!</v>
      </c>
      <c r="P112" s="19" t="str">
        <f t="shared" si="33"/>
        <v/>
      </c>
      <c r="Q112" s="23" t="str">
        <f>IFERROR(VLOOKUP(C112,装备!$B:$E,3,FALSE),"")</f>
        <v/>
      </c>
      <c r="R112" s="23" t="str">
        <f>IFERROR(VLOOKUP(D112,装备!$B:$E,3,FALSE),"")</f>
        <v/>
      </c>
      <c r="S112" s="23" t="str">
        <f>IFERROR(VLOOKUP(E112,装备!$B:$E,3,FALSE),"")</f>
        <v/>
      </c>
      <c r="T112" s="23" t="str">
        <f>IFERROR(VLOOKUP(F112,装备!$B:$E,3,FALSE),"")</f>
        <v/>
      </c>
      <c r="U112" s="23" t="str">
        <f>IFERROR(VLOOKUP(G112,装备!$B:$E,3,FALSE),"")</f>
        <v/>
      </c>
      <c r="V112" s="23" t="str">
        <f>IFERROR(VLOOKUP(H112,装备!$B:$E,3,FALSE),"")</f>
        <v/>
      </c>
      <c r="W112" s="18" t="str">
        <f t="shared" si="41"/>
        <v/>
      </c>
      <c r="X112" s="18" t="str">
        <f t="shared" si="42"/>
        <v/>
      </c>
      <c r="Y112" s="18" t="str">
        <f t="shared" si="43"/>
        <v/>
      </c>
      <c r="Z112" s="18" t="str">
        <f t="shared" si="44"/>
        <v/>
      </c>
      <c r="AA112" s="18" t="str">
        <f t="shared" si="45"/>
        <v/>
      </c>
      <c r="AB112" s="18" t="e">
        <f t="shared" si="46"/>
        <v>#REF!</v>
      </c>
    </row>
    <row r="113" spans="1:28">
      <c r="A113" s="19" t="e">
        <f>装备!#REF!</f>
        <v>#REF!</v>
      </c>
      <c r="B113" s="19" t="e">
        <f>"'"&amp;装备!#REF!&amp;"'"</f>
        <v>#REF!</v>
      </c>
      <c r="C113" s="19" t="e">
        <f>装备!#REF!</f>
        <v>#REF!</v>
      </c>
      <c r="D113" s="19" t="e">
        <f>装备!#REF!</f>
        <v>#REF!</v>
      </c>
      <c r="E113" s="19" t="e">
        <f>装备!#REF!</f>
        <v>#REF!</v>
      </c>
      <c r="F113" s="19" t="e">
        <f>装备!#REF!</f>
        <v>#REF!</v>
      </c>
      <c r="G113" s="19" t="e">
        <f>装备!#REF!</f>
        <v>#REF!</v>
      </c>
      <c r="H113" s="19" t="e">
        <f>装备!#REF!</f>
        <v>#REF!</v>
      </c>
      <c r="I113" s="19" t="e">
        <f>IF(装备!#REF!=0,0,"'"&amp;装备!#REF!&amp;"'")</f>
        <v>#REF!</v>
      </c>
      <c r="J113" s="19" t="e">
        <f>IF(装备!#REF!=0,0,"'"&amp;装备!#REF!&amp;"'")</f>
        <v>#REF!</v>
      </c>
      <c r="K113" s="19" t="e">
        <f>IF(装备!#REF!=0,0,"'"&amp;装备!#REF!&amp;"'")</f>
        <v>#REF!</v>
      </c>
      <c r="L113" s="19" t="e">
        <f>IF(装备!#REF!=0,0,"'"&amp;装备!#REF!&amp;"'")</f>
        <v>#REF!</v>
      </c>
      <c r="M113" s="19" t="e">
        <f>IF(装备!#REF!=0,0,"'"&amp;装备!#REF!&amp;"'")</f>
        <v>#REF!</v>
      </c>
      <c r="N113" s="19" t="e">
        <f>IF(装备!#REF!=0,0,"'"&amp;装备!#REF!&amp;"'")</f>
        <v>#REF!</v>
      </c>
      <c r="O113" s="19" t="e">
        <f t="shared" si="40"/>
        <v>#REF!</v>
      </c>
      <c r="P113" s="19" t="str">
        <f t="shared" si="33"/>
        <v/>
      </c>
      <c r="Q113" s="23" t="str">
        <f>IFERROR(VLOOKUP(C113,装备!$B:$E,3,FALSE),"")</f>
        <v/>
      </c>
      <c r="R113" s="23" t="str">
        <f>IFERROR(VLOOKUP(D113,装备!$B:$E,3,FALSE),"")</f>
        <v/>
      </c>
      <c r="S113" s="23" t="str">
        <f>IFERROR(VLOOKUP(E113,装备!$B:$E,3,FALSE),"")</f>
        <v/>
      </c>
      <c r="T113" s="23" t="str">
        <f>IFERROR(VLOOKUP(F113,装备!$B:$E,3,FALSE),"")</f>
        <v/>
      </c>
      <c r="U113" s="23" t="str">
        <f>IFERROR(VLOOKUP(G113,装备!$B:$E,3,FALSE),"")</f>
        <v/>
      </c>
      <c r="V113" s="23" t="str">
        <f>IFERROR(VLOOKUP(H113,装备!$B:$E,3,FALSE),"")</f>
        <v/>
      </c>
      <c r="W113" s="18" t="str">
        <f t="shared" si="41"/>
        <v/>
      </c>
      <c r="X113" s="18" t="str">
        <f t="shared" si="42"/>
        <v/>
      </c>
      <c r="Y113" s="18" t="str">
        <f t="shared" si="43"/>
        <v/>
      </c>
      <c r="Z113" s="18" t="str">
        <f t="shared" si="44"/>
        <v/>
      </c>
      <c r="AA113" s="18" t="str">
        <f t="shared" si="45"/>
        <v/>
      </c>
      <c r="AB113" s="18" t="e">
        <f t="shared" si="46"/>
        <v>#REF!</v>
      </c>
    </row>
    <row r="114" spans="1:28">
      <c r="A114" s="19" t="e">
        <f>装备!#REF!</f>
        <v>#REF!</v>
      </c>
      <c r="B114" s="19" t="e">
        <f>"'"&amp;装备!#REF!&amp;"'"</f>
        <v>#REF!</v>
      </c>
      <c r="C114" s="19" t="e">
        <f>装备!#REF!</f>
        <v>#REF!</v>
      </c>
      <c r="D114" s="19" t="e">
        <f>装备!#REF!</f>
        <v>#REF!</v>
      </c>
      <c r="E114" s="19" t="e">
        <f>装备!#REF!</f>
        <v>#REF!</v>
      </c>
      <c r="F114" s="19" t="e">
        <f>装备!#REF!</f>
        <v>#REF!</v>
      </c>
      <c r="G114" s="19" t="e">
        <f>装备!#REF!</f>
        <v>#REF!</v>
      </c>
      <c r="H114" s="19" t="e">
        <f>装备!#REF!</f>
        <v>#REF!</v>
      </c>
      <c r="I114" s="19" t="e">
        <f>IF(装备!#REF!=0,0,"'"&amp;装备!#REF!&amp;"'")</f>
        <v>#REF!</v>
      </c>
      <c r="J114" s="19" t="e">
        <f>IF(装备!#REF!=0,0,"'"&amp;装备!#REF!&amp;"'")</f>
        <v>#REF!</v>
      </c>
      <c r="K114" s="19" t="e">
        <f>IF(装备!#REF!=0,0,"'"&amp;装备!#REF!&amp;"'")</f>
        <v>#REF!</v>
      </c>
      <c r="L114" s="19" t="e">
        <f>IF(装备!#REF!=0,0,"'"&amp;装备!#REF!&amp;"'")</f>
        <v>#REF!</v>
      </c>
      <c r="M114" s="19" t="e">
        <f>IF(装备!#REF!=0,0,"'"&amp;装备!#REF!&amp;"'")</f>
        <v>#REF!</v>
      </c>
      <c r="N114" s="19" t="e">
        <f>IF(装备!#REF!=0,0,"'"&amp;装备!#REF!&amp;"'")</f>
        <v>#REF!</v>
      </c>
      <c r="O114" s="19" t="e">
        <f t="shared" si="40"/>
        <v>#REF!</v>
      </c>
      <c r="P114" s="19" t="str">
        <f t="shared" si="33"/>
        <v/>
      </c>
      <c r="Q114" s="23" t="str">
        <f>IFERROR(VLOOKUP(C114,装备!$B:$E,3,FALSE),"")</f>
        <v/>
      </c>
      <c r="R114" s="23" t="str">
        <f>IFERROR(VLOOKUP(D114,装备!$B:$E,3,FALSE),"")</f>
        <v/>
      </c>
      <c r="S114" s="23" t="str">
        <f>IFERROR(VLOOKUP(E114,装备!$B:$E,3,FALSE),"")</f>
        <v/>
      </c>
      <c r="T114" s="23" t="str">
        <f>IFERROR(VLOOKUP(F114,装备!$B:$E,3,FALSE),"")</f>
        <v/>
      </c>
      <c r="U114" s="23" t="str">
        <f>IFERROR(VLOOKUP(G114,装备!$B:$E,3,FALSE),"")</f>
        <v/>
      </c>
      <c r="V114" s="23" t="str">
        <f>IFERROR(VLOOKUP(H114,装备!$B:$E,3,FALSE),"")</f>
        <v/>
      </c>
      <c r="W114" s="18" t="str">
        <f t="shared" si="41"/>
        <v/>
      </c>
      <c r="X114" s="18" t="str">
        <f t="shared" si="42"/>
        <v/>
      </c>
      <c r="Y114" s="18" t="str">
        <f t="shared" si="43"/>
        <v/>
      </c>
      <c r="Z114" s="18" t="str">
        <f t="shared" si="44"/>
        <v/>
      </c>
      <c r="AA114" s="18" t="str">
        <f t="shared" si="45"/>
        <v/>
      </c>
      <c r="AB114" s="18" t="e">
        <f t="shared" si="46"/>
        <v>#REF!</v>
      </c>
    </row>
    <row r="115" spans="1:28">
      <c r="A115" s="19" t="e">
        <f>装备!#REF!</f>
        <v>#REF!</v>
      </c>
      <c r="B115" s="19" t="e">
        <f>"'"&amp;装备!#REF!&amp;"'"</f>
        <v>#REF!</v>
      </c>
      <c r="C115" s="19" t="e">
        <f>装备!#REF!</f>
        <v>#REF!</v>
      </c>
      <c r="D115" s="19" t="e">
        <f>装备!#REF!</f>
        <v>#REF!</v>
      </c>
      <c r="E115" s="19" t="e">
        <f>装备!#REF!</f>
        <v>#REF!</v>
      </c>
      <c r="F115" s="19" t="e">
        <f>装备!#REF!</f>
        <v>#REF!</v>
      </c>
      <c r="G115" s="19" t="e">
        <f>装备!#REF!</f>
        <v>#REF!</v>
      </c>
      <c r="H115" s="19" t="e">
        <f>装备!#REF!</f>
        <v>#REF!</v>
      </c>
      <c r="I115" s="19" t="e">
        <f>IF(装备!#REF!=0,0,"'"&amp;装备!#REF!&amp;"'")</f>
        <v>#REF!</v>
      </c>
      <c r="J115" s="19" t="e">
        <f>IF(装备!#REF!=0,0,"'"&amp;装备!#REF!&amp;"'")</f>
        <v>#REF!</v>
      </c>
      <c r="K115" s="19" t="e">
        <f>IF(装备!#REF!=0,0,"'"&amp;装备!#REF!&amp;"'")</f>
        <v>#REF!</v>
      </c>
      <c r="L115" s="19" t="e">
        <f>IF(装备!#REF!=0,0,"'"&amp;装备!#REF!&amp;"'")</f>
        <v>#REF!</v>
      </c>
      <c r="M115" s="19" t="e">
        <f>IF(装备!#REF!=0,0,"'"&amp;装备!#REF!&amp;"'")</f>
        <v>#REF!</v>
      </c>
      <c r="N115" s="19" t="e">
        <f>IF(装备!#REF!=0,0,"'"&amp;装备!#REF!&amp;"'")</f>
        <v>#REF!</v>
      </c>
      <c r="O115" s="19" t="e">
        <f t="shared" si="40"/>
        <v>#REF!</v>
      </c>
      <c r="P115" s="19" t="str">
        <f t="shared" si="33"/>
        <v/>
      </c>
      <c r="Q115" s="23" t="str">
        <f>IFERROR(VLOOKUP(C115,装备!$B:$E,3,FALSE),"")</f>
        <v/>
      </c>
      <c r="R115" s="23" t="str">
        <f>IFERROR(VLOOKUP(D115,装备!$B:$E,3,FALSE),"")</f>
        <v/>
      </c>
      <c r="S115" s="23" t="str">
        <f>IFERROR(VLOOKUP(E115,装备!$B:$E,3,FALSE),"")</f>
        <v/>
      </c>
      <c r="T115" s="23" t="str">
        <f>IFERROR(VLOOKUP(F115,装备!$B:$E,3,FALSE),"")</f>
        <v/>
      </c>
      <c r="U115" s="23" t="str">
        <f>IFERROR(VLOOKUP(G115,装备!$B:$E,3,FALSE),"")</f>
        <v/>
      </c>
      <c r="V115" s="23" t="str">
        <f>IFERROR(VLOOKUP(H115,装备!$B:$E,3,FALSE),"")</f>
        <v/>
      </c>
      <c r="W115" s="18" t="str">
        <f t="shared" si="41"/>
        <v/>
      </c>
      <c r="X115" s="18" t="str">
        <f t="shared" si="42"/>
        <v/>
      </c>
      <c r="Y115" s="18" t="str">
        <f t="shared" si="43"/>
        <v/>
      </c>
      <c r="Z115" s="18" t="str">
        <f t="shared" si="44"/>
        <v/>
      </c>
      <c r="AA115" s="18" t="str">
        <f t="shared" si="45"/>
        <v/>
      </c>
      <c r="AB115" s="18" t="e">
        <f t="shared" si="46"/>
        <v>#REF!</v>
      </c>
    </row>
    <row r="116" spans="1:28">
      <c r="A116" s="19" t="e">
        <f>装备!#REF!</f>
        <v>#REF!</v>
      </c>
      <c r="B116" s="19" t="e">
        <f>"'"&amp;装备!#REF!&amp;"'"</f>
        <v>#REF!</v>
      </c>
      <c r="C116" s="19" t="e">
        <f>装备!#REF!</f>
        <v>#REF!</v>
      </c>
      <c r="D116" s="19" t="e">
        <f>装备!#REF!</f>
        <v>#REF!</v>
      </c>
      <c r="E116" s="19" t="e">
        <f>装备!#REF!</f>
        <v>#REF!</v>
      </c>
      <c r="F116" s="19" t="e">
        <f>装备!#REF!</f>
        <v>#REF!</v>
      </c>
      <c r="G116" s="19" t="e">
        <f>装备!#REF!</f>
        <v>#REF!</v>
      </c>
      <c r="H116" s="19" t="e">
        <f>装备!#REF!</f>
        <v>#REF!</v>
      </c>
      <c r="I116" s="19" t="e">
        <f>IF(装备!#REF!=0,0,"'"&amp;装备!#REF!&amp;"'")</f>
        <v>#REF!</v>
      </c>
      <c r="J116" s="19" t="e">
        <f>IF(装备!#REF!=0,0,"'"&amp;装备!#REF!&amp;"'")</f>
        <v>#REF!</v>
      </c>
      <c r="K116" s="19" t="e">
        <f>IF(装备!#REF!=0,0,"'"&amp;装备!#REF!&amp;"'")</f>
        <v>#REF!</v>
      </c>
      <c r="L116" s="19" t="e">
        <f>IF(装备!#REF!=0,0,"'"&amp;装备!#REF!&amp;"'")</f>
        <v>#REF!</v>
      </c>
      <c r="M116" s="19" t="e">
        <f>IF(装备!#REF!=0,0,"'"&amp;装备!#REF!&amp;"'")</f>
        <v>#REF!</v>
      </c>
      <c r="N116" s="19" t="e">
        <f>IF(装备!#REF!=0,0,"'"&amp;装备!#REF!&amp;"'")</f>
        <v>#REF!</v>
      </c>
      <c r="O116" s="19" t="e">
        <f t="shared" si="40"/>
        <v>#REF!</v>
      </c>
      <c r="P116" s="19" t="str">
        <f t="shared" si="33"/>
        <v/>
      </c>
      <c r="Q116" s="23" t="str">
        <f>IFERROR(VLOOKUP(C116,装备!$B:$E,3,FALSE),"")</f>
        <v/>
      </c>
      <c r="R116" s="23" t="str">
        <f>IFERROR(VLOOKUP(D116,装备!$B:$E,3,FALSE),"")</f>
        <v/>
      </c>
      <c r="S116" s="23" t="str">
        <f>IFERROR(VLOOKUP(E116,装备!$B:$E,3,FALSE),"")</f>
        <v/>
      </c>
      <c r="T116" s="23" t="str">
        <f>IFERROR(VLOOKUP(F116,装备!$B:$E,3,FALSE),"")</f>
        <v/>
      </c>
      <c r="U116" s="23" t="str">
        <f>IFERROR(VLOOKUP(G116,装备!$B:$E,3,FALSE),"")</f>
        <v/>
      </c>
      <c r="V116" s="23" t="str">
        <f>IFERROR(VLOOKUP(H116,装备!$B:$E,3,FALSE),"")</f>
        <v/>
      </c>
      <c r="W116" s="18" t="str">
        <f t="shared" si="41"/>
        <v/>
      </c>
      <c r="X116" s="18" t="str">
        <f t="shared" si="42"/>
        <v/>
      </c>
      <c r="Y116" s="18" t="str">
        <f t="shared" si="43"/>
        <v/>
      </c>
      <c r="Z116" s="18" t="str">
        <f t="shared" si="44"/>
        <v/>
      </c>
      <c r="AA116" s="18" t="str">
        <f t="shared" si="45"/>
        <v/>
      </c>
      <c r="AB116" s="18" t="e">
        <f t="shared" si="46"/>
        <v>#REF!</v>
      </c>
    </row>
    <row r="117" spans="1:28">
      <c r="A117" s="19" t="e">
        <f>装备!#REF!</f>
        <v>#REF!</v>
      </c>
      <c r="B117" s="19" t="e">
        <f>"'"&amp;装备!#REF!&amp;"'"</f>
        <v>#REF!</v>
      </c>
      <c r="C117" s="19" t="e">
        <f>装备!#REF!</f>
        <v>#REF!</v>
      </c>
      <c r="D117" s="19" t="e">
        <f>装备!#REF!</f>
        <v>#REF!</v>
      </c>
      <c r="E117" s="19" t="e">
        <f>装备!#REF!</f>
        <v>#REF!</v>
      </c>
      <c r="F117" s="19" t="e">
        <f>装备!#REF!</f>
        <v>#REF!</v>
      </c>
      <c r="G117" s="19" t="e">
        <f>装备!#REF!</f>
        <v>#REF!</v>
      </c>
      <c r="H117" s="19" t="e">
        <f>装备!#REF!</f>
        <v>#REF!</v>
      </c>
      <c r="I117" s="19" t="e">
        <f>IF(装备!#REF!=0,0,"'"&amp;装备!#REF!&amp;"'")</f>
        <v>#REF!</v>
      </c>
      <c r="J117" s="19" t="e">
        <f>IF(装备!#REF!=0,0,"'"&amp;装备!#REF!&amp;"'")</f>
        <v>#REF!</v>
      </c>
      <c r="K117" s="19" t="e">
        <f>IF(装备!#REF!=0,0,"'"&amp;装备!#REF!&amp;"'")</f>
        <v>#REF!</v>
      </c>
      <c r="L117" s="19" t="e">
        <f>IF(装备!#REF!=0,0,"'"&amp;装备!#REF!&amp;"'")</f>
        <v>#REF!</v>
      </c>
      <c r="M117" s="19" t="e">
        <f>IF(装备!#REF!=0,0,"'"&amp;装备!#REF!&amp;"'")</f>
        <v>#REF!</v>
      </c>
      <c r="N117" s="19" t="e">
        <f>IF(装备!#REF!=0,0,"'"&amp;装备!#REF!&amp;"'")</f>
        <v>#REF!</v>
      </c>
      <c r="O117" s="19" t="e">
        <f t="shared" si="40"/>
        <v>#REF!</v>
      </c>
      <c r="P117" s="19" t="str">
        <f t="shared" si="33"/>
        <v/>
      </c>
      <c r="Q117" s="23" t="str">
        <f>IFERROR(VLOOKUP(C117,装备!$B:$E,3,FALSE),"")</f>
        <v/>
      </c>
      <c r="R117" s="23" t="str">
        <f>IFERROR(VLOOKUP(D117,装备!$B:$E,3,FALSE),"")</f>
        <v/>
      </c>
      <c r="S117" s="23" t="str">
        <f>IFERROR(VLOOKUP(E117,装备!$B:$E,3,FALSE),"")</f>
        <v/>
      </c>
      <c r="T117" s="23" t="str">
        <f>IFERROR(VLOOKUP(F117,装备!$B:$E,3,FALSE),"")</f>
        <v/>
      </c>
      <c r="U117" s="23" t="str">
        <f>IFERROR(VLOOKUP(G117,装备!$B:$E,3,FALSE),"")</f>
        <v/>
      </c>
      <c r="V117" s="23" t="str">
        <f>IFERROR(VLOOKUP(H117,装备!$B:$E,3,FALSE),"")</f>
        <v/>
      </c>
      <c r="W117" s="18" t="str">
        <f t="shared" si="41"/>
        <v/>
      </c>
      <c r="X117" s="18" t="str">
        <f t="shared" si="42"/>
        <v/>
      </c>
      <c r="Y117" s="18" t="str">
        <f t="shared" si="43"/>
        <v/>
      </c>
      <c r="Z117" s="18" t="str">
        <f t="shared" si="44"/>
        <v/>
      </c>
      <c r="AA117" s="18" t="str">
        <f t="shared" si="45"/>
        <v/>
      </c>
      <c r="AB117" s="18" t="e">
        <f t="shared" si="46"/>
        <v>#REF!</v>
      </c>
    </row>
    <row r="118" spans="1:28">
      <c r="A118" s="19" t="e">
        <f>装备!#REF!</f>
        <v>#REF!</v>
      </c>
      <c r="B118" s="19" t="e">
        <f>"'"&amp;装备!#REF!&amp;"'"</f>
        <v>#REF!</v>
      </c>
      <c r="C118" s="19" t="e">
        <f>装备!#REF!</f>
        <v>#REF!</v>
      </c>
      <c r="D118" s="19" t="e">
        <f>装备!#REF!</f>
        <v>#REF!</v>
      </c>
      <c r="E118" s="19" t="e">
        <f>装备!#REF!</f>
        <v>#REF!</v>
      </c>
      <c r="F118" s="19" t="e">
        <f>装备!#REF!</f>
        <v>#REF!</v>
      </c>
      <c r="G118" s="19" t="e">
        <f>装备!#REF!</f>
        <v>#REF!</v>
      </c>
      <c r="H118" s="19" t="e">
        <f>装备!#REF!</f>
        <v>#REF!</v>
      </c>
      <c r="I118" s="19" t="e">
        <f>IF(装备!#REF!=0,0,"'"&amp;装备!#REF!&amp;"'")</f>
        <v>#REF!</v>
      </c>
      <c r="J118" s="19" t="e">
        <f>IF(装备!#REF!=0,0,"'"&amp;装备!#REF!&amp;"'")</f>
        <v>#REF!</v>
      </c>
      <c r="K118" s="19" t="e">
        <f>IF(装备!#REF!=0,0,"'"&amp;装备!#REF!&amp;"'")</f>
        <v>#REF!</v>
      </c>
      <c r="L118" s="19" t="e">
        <f>IF(装备!#REF!=0,0,"'"&amp;装备!#REF!&amp;"'")</f>
        <v>#REF!</v>
      </c>
      <c r="M118" s="19" t="e">
        <f>IF(装备!#REF!=0,0,"'"&amp;装备!#REF!&amp;"'")</f>
        <v>#REF!</v>
      </c>
      <c r="N118" s="19" t="e">
        <f>IF(装备!#REF!=0,0,"'"&amp;装备!#REF!&amp;"'")</f>
        <v>#REF!</v>
      </c>
      <c r="O118" s="19" t="e">
        <f t="shared" si="40"/>
        <v>#REF!</v>
      </c>
      <c r="P118" s="19" t="str">
        <f t="shared" si="33"/>
        <v/>
      </c>
      <c r="Q118" s="23" t="str">
        <f>IFERROR(VLOOKUP(C118,装备!$B:$E,3,FALSE),"")</f>
        <v/>
      </c>
      <c r="R118" s="23" t="str">
        <f>IFERROR(VLOOKUP(D118,装备!$B:$E,3,FALSE),"")</f>
        <v/>
      </c>
      <c r="S118" s="23" t="str">
        <f>IFERROR(VLOOKUP(E118,装备!$B:$E,3,FALSE),"")</f>
        <v/>
      </c>
      <c r="T118" s="23" t="str">
        <f>IFERROR(VLOOKUP(F118,装备!$B:$E,3,FALSE),"")</f>
        <v/>
      </c>
      <c r="U118" s="23" t="str">
        <f>IFERROR(VLOOKUP(G118,装备!$B:$E,3,FALSE),"")</f>
        <v/>
      </c>
      <c r="V118" s="23" t="str">
        <f>IFERROR(VLOOKUP(H118,装备!$B:$E,3,FALSE),"")</f>
        <v/>
      </c>
      <c r="W118" s="18" t="str">
        <f t="shared" si="41"/>
        <v/>
      </c>
      <c r="X118" s="18" t="str">
        <f t="shared" si="42"/>
        <v/>
      </c>
      <c r="Y118" s="18" t="str">
        <f t="shared" si="43"/>
        <v/>
      </c>
      <c r="Z118" s="18" t="str">
        <f t="shared" si="44"/>
        <v/>
      </c>
      <c r="AA118" s="18" t="str">
        <f t="shared" si="45"/>
        <v/>
      </c>
      <c r="AB118" s="18" t="e">
        <f t="shared" si="46"/>
        <v>#REF!</v>
      </c>
    </row>
    <row r="119" spans="1:28">
      <c r="A119" s="19" t="e">
        <f>装备!#REF!</f>
        <v>#REF!</v>
      </c>
      <c r="B119" s="19" t="e">
        <f>"'"&amp;装备!#REF!&amp;"'"</f>
        <v>#REF!</v>
      </c>
      <c r="C119" s="19" t="e">
        <f>装备!#REF!</f>
        <v>#REF!</v>
      </c>
      <c r="D119" s="19" t="e">
        <f>装备!#REF!</f>
        <v>#REF!</v>
      </c>
      <c r="E119" s="19" t="e">
        <f>装备!#REF!</f>
        <v>#REF!</v>
      </c>
      <c r="F119" s="19" t="e">
        <f>装备!#REF!</f>
        <v>#REF!</v>
      </c>
      <c r="G119" s="19" t="e">
        <f>装备!#REF!</f>
        <v>#REF!</v>
      </c>
      <c r="H119" s="19" t="e">
        <f>装备!#REF!</f>
        <v>#REF!</v>
      </c>
      <c r="I119" s="19" t="e">
        <f>IF(装备!#REF!=0,0,"'"&amp;装备!#REF!&amp;"'")</f>
        <v>#REF!</v>
      </c>
      <c r="J119" s="19" t="e">
        <f>IF(装备!#REF!=0,0,"'"&amp;装备!#REF!&amp;"'")</f>
        <v>#REF!</v>
      </c>
      <c r="K119" s="19" t="e">
        <f>IF(装备!#REF!=0,0,"'"&amp;装备!#REF!&amp;"'")</f>
        <v>#REF!</v>
      </c>
      <c r="L119" s="19" t="e">
        <f>IF(装备!#REF!=0,0,"'"&amp;装备!#REF!&amp;"'")</f>
        <v>#REF!</v>
      </c>
      <c r="M119" s="19" t="e">
        <f>IF(装备!#REF!=0,0,"'"&amp;装备!#REF!&amp;"'")</f>
        <v>#REF!</v>
      </c>
      <c r="N119" s="19" t="e">
        <f>IF(装备!#REF!=0,0,"'"&amp;装备!#REF!&amp;"'")</f>
        <v>#REF!</v>
      </c>
      <c r="O119" s="19" t="e">
        <f t="shared" si="40"/>
        <v>#REF!</v>
      </c>
      <c r="P119" s="19" t="str">
        <f t="shared" si="33"/>
        <v/>
      </c>
      <c r="Q119" s="23" t="str">
        <f>IFERROR(VLOOKUP(C119,装备!$B:$E,3,FALSE),"")</f>
        <v/>
      </c>
      <c r="R119" s="23" t="str">
        <f>IFERROR(VLOOKUP(D119,装备!$B:$E,3,FALSE),"")</f>
        <v/>
      </c>
      <c r="S119" s="23" t="str">
        <f>IFERROR(VLOOKUP(E119,装备!$B:$E,3,FALSE),"")</f>
        <v/>
      </c>
      <c r="T119" s="23" t="str">
        <f>IFERROR(VLOOKUP(F119,装备!$B:$E,3,FALSE),"")</f>
        <v/>
      </c>
      <c r="U119" s="23" t="str">
        <f>IFERROR(VLOOKUP(G119,装备!$B:$E,3,FALSE),"")</f>
        <v/>
      </c>
      <c r="V119" s="23" t="str">
        <f>IFERROR(VLOOKUP(H119,装备!$B:$E,3,FALSE),"")</f>
        <v/>
      </c>
      <c r="W119" s="18" t="str">
        <f t="shared" si="41"/>
        <v/>
      </c>
      <c r="X119" s="18" t="str">
        <f t="shared" si="42"/>
        <v/>
      </c>
      <c r="Y119" s="18" t="str">
        <f t="shared" si="43"/>
        <v/>
      </c>
      <c r="Z119" s="18" t="str">
        <f t="shared" si="44"/>
        <v/>
      </c>
      <c r="AA119" s="18" t="str">
        <f t="shared" si="45"/>
        <v/>
      </c>
      <c r="AB119" s="18" t="e">
        <f t="shared" si="46"/>
        <v>#REF!</v>
      </c>
    </row>
    <row r="120" spans="1:28">
      <c r="A120" s="19" t="e">
        <f>装备!#REF!</f>
        <v>#REF!</v>
      </c>
      <c r="B120" s="19" t="e">
        <f>"'"&amp;装备!#REF!&amp;"'"</f>
        <v>#REF!</v>
      </c>
      <c r="C120" s="19" t="e">
        <f>装备!#REF!</f>
        <v>#REF!</v>
      </c>
      <c r="D120" s="19" t="e">
        <f>装备!#REF!</f>
        <v>#REF!</v>
      </c>
      <c r="E120" s="19" t="e">
        <f>装备!#REF!</f>
        <v>#REF!</v>
      </c>
      <c r="F120" s="19" t="e">
        <f>装备!#REF!</f>
        <v>#REF!</v>
      </c>
      <c r="G120" s="19" t="e">
        <f>装备!#REF!</f>
        <v>#REF!</v>
      </c>
      <c r="H120" s="19" t="e">
        <f>装备!#REF!</f>
        <v>#REF!</v>
      </c>
      <c r="I120" s="19" t="e">
        <f>IF(装备!#REF!=0,0,"'"&amp;装备!#REF!&amp;"'")</f>
        <v>#REF!</v>
      </c>
      <c r="J120" s="19" t="e">
        <f>IF(装备!#REF!=0,0,"'"&amp;装备!#REF!&amp;"'")</f>
        <v>#REF!</v>
      </c>
      <c r="K120" s="19" t="e">
        <f>IF(装备!#REF!=0,0,"'"&amp;装备!#REF!&amp;"'")</f>
        <v>#REF!</v>
      </c>
      <c r="L120" s="19" t="e">
        <f>IF(装备!#REF!=0,0,"'"&amp;装备!#REF!&amp;"'")</f>
        <v>#REF!</v>
      </c>
      <c r="M120" s="19" t="e">
        <f>IF(装备!#REF!=0,0,"'"&amp;装备!#REF!&amp;"'")</f>
        <v>#REF!</v>
      </c>
      <c r="N120" s="19" t="e">
        <f>IF(装备!#REF!=0,0,"'"&amp;装备!#REF!&amp;"'")</f>
        <v>#REF!</v>
      </c>
      <c r="O120" s="19" t="e">
        <f t="shared" si="40"/>
        <v>#REF!</v>
      </c>
      <c r="P120" s="19" t="str">
        <f t="shared" ref="P120:P151" si="47">IFERROR(VLOOKUP(A120,Q:AB,12,FALSE),IFERROR(VLOOKUP(A120,R:AB,11,FALSE),IFERROR(VLOOKUP(A120,S:AB,10,FALSE),"")))</f>
        <v/>
      </c>
      <c r="Q120" s="23" t="str">
        <f>IFERROR(VLOOKUP(C120,装备!$B:$E,3,FALSE),"")</f>
        <v/>
      </c>
      <c r="R120" s="23" t="str">
        <f>IFERROR(VLOOKUP(D120,装备!$B:$E,3,FALSE),"")</f>
        <v/>
      </c>
      <c r="S120" s="23" t="str">
        <f>IFERROR(VLOOKUP(E120,装备!$B:$E,3,FALSE),"")</f>
        <v/>
      </c>
      <c r="T120" s="23" t="str">
        <f>IFERROR(VLOOKUP(F120,装备!$B:$E,3,FALSE),"")</f>
        <v/>
      </c>
      <c r="U120" s="23" t="str">
        <f>IFERROR(VLOOKUP(G120,装备!$B:$E,3,FALSE),"")</f>
        <v/>
      </c>
      <c r="V120" s="23" t="str">
        <f>IFERROR(VLOOKUP(H120,装备!$B:$E,3,FALSE),"")</f>
        <v/>
      </c>
      <c r="W120" s="18" t="str">
        <f t="shared" si="41"/>
        <v/>
      </c>
      <c r="X120" s="18" t="str">
        <f t="shared" si="42"/>
        <v/>
      </c>
      <c r="Y120" s="18" t="str">
        <f t="shared" si="43"/>
        <v/>
      </c>
      <c r="Z120" s="18" t="str">
        <f t="shared" si="44"/>
        <v/>
      </c>
      <c r="AA120" s="18" t="str">
        <f t="shared" si="45"/>
        <v/>
      </c>
      <c r="AB120" s="18" t="e">
        <f t="shared" si="46"/>
        <v>#REF!</v>
      </c>
    </row>
    <row r="121" spans="1:28">
      <c r="A121" s="19" t="e">
        <f>装备!#REF!</f>
        <v>#REF!</v>
      </c>
      <c r="B121" s="19" t="e">
        <f>"'"&amp;装备!#REF!&amp;"'"</f>
        <v>#REF!</v>
      </c>
      <c r="C121" s="19" t="e">
        <f>装备!#REF!</f>
        <v>#REF!</v>
      </c>
      <c r="D121" s="19" t="e">
        <f>装备!#REF!</f>
        <v>#REF!</v>
      </c>
      <c r="E121" s="19" t="e">
        <f>装备!#REF!</f>
        <v>#REF!</v>
      </c>
      <c r="F121" s="19" t="e">
        <f>装备!#REF!</f>
        <v>#REF!</v>
      </c>
      <c r="G121" s="19" t="e">
        <f>装备!#REF!</f>
        <v>#REF!</v>
      </c>
      <c r="H121" s="19" t="e">
        <f>装备!#REF!</f>
        <v>#REF!</v>
      </c>
      <c r="I121" s="19" t="e">
        <f>IF(装备!#REF!=0,0,"'"&amp;装备!#REF!&amp;"'")</f>
        <v>#REF!</v>
      </c>
      <c r="J121" s="19" t="e">
        <f>IF(装备!#REF!=0,0,"'"&amp;装备!#REF!&amp;"'")</f>
        <v>#REF!</v>
      </c>
      <c r="K121" s="19" t="e">
        <f>IF(装备!#REF!=0,0,"'"&amp;装备!#REF!&amp;"'")</f>
        <v>#REF!</v>
      </c>
      <c r="L121" s="19" t="e">
        <f>IF(装备!#REF!=0,0,"'"&amp;装备!#REF!&amp;"'")</f>
        <v>#REF!</v>
      </c>
      <c r="M121" s="19" t="e">
        <f>IF(装备!#REF!=0,0,"'"&amp;装备!#REF!&amp;"'")</f>
        <v>#REF!</v>
      </c>
      <c r="N121" s="19" t="e">
        <f>IF(装备!#REF!=0,0,"'"&amp;装备!#REF!&amp;"'")</f>
        <v>#REF!</v>
      </c>
      <c r="O121" s="19" t="e">
        <f t="shared" si="40"/>
        <v>#REF!</v>
      </c>
      <c r="P121" s="19" t="str">
        <f t="shared" si="47"/>
        <v/>
      </c>
      <c r="Q121" s="23" t="str">
        <f>IFERROR(VLOOKUP(C121,装备!$B:$E,3,FALSE),"")</f>
        <v/>
      </c>
      <c r="R121" s="23" t="str">
        <f>IFERROR(VLOOKUP(D121,装备!$B:$E,3,FALSE),"")</f>
        <v/>
      </c>
      <c r="S121" s="23" t="str">
        <f>IFERROR(VLOOKUP(E121,装备!$B:$E,3,FALSE),"")</f>
        <v/>
      </c>
      <c r="T121" s="23" t="str">
        <f>IFERROR(VLOOKUP(F121,装备!$B:$E,3,FALSE),"")</f>
        <v/>
      </c>
      <c r="U121" s="23" t="str">
        <f>IFERROR(VLOOKUP(G121,装备!$B:$E,3,FALSE),"")</f>
        <v/>
      </c>
      <c r="V121" s="23" t="str">
        <f>IFERROR(VLOOKUP(H121,装备!$B:$E,3,FALSE),"")</f>
        <v/>
      </c>
      <c r="W121" s="18" t="str">
        <f t="shared" si="41"/>
        <v/>
      </c>
      <c r="X121" s="18" t="str">
        <f t="shared" si="42"/>
        <v/>
      </c>
      <c r="Y121" s="18" t="str">
        <f t="shared" si="43"/>
        <v/>
      </c>
      <c r="Z121" s="18" t="str">
        <f t="shared" si="44"/>
        <v/>
      </c>
      <c r="AA121" s="18" t="str">
        <f t="shared" si="45"/>
        <v/>
      </c>
      <c r="AB121" s="18" t="e">
        <f t="shared" si="46"/>
        <v>#REF!</v>
      </c>
    </row>
    <row r="122" spans="1:28">
      <c r="A122" s="19" t="e">
        <f>装备!#REF!</f>
        <v>#REF!</v>
      </c>
      <c r="B122" s="19" t="e">
        <f>"'"&amp;装备!#REF!&amp;"'"</f>
        <v>#REF!</v>
      </c>
      <c r="C122" s="19" t="e">
        <f>装备!#REF!</f>
        <v>#REF!</v>
      </c>
      <c r="D122" s="19" t="e">
        <f>装备!#REF!</f>
        <v>#REF!</v>
      </c>
      <c r="E122" s="19" t="e">
        <f>装备!#REF!</f>
        <v>#REF!</v>
      </c>
      <c r="F122" s="19" t="e">
        <f>装备!#REF!</f>
        <v>#REF!</v>
      </c>
      <c r="G122" s="19" t="e">
        <f>装备!#REF!</f>
        <v>#REF!</v>
      </c>
      <c r="H122" s="19" t="e">
        <f>装备!#REF!</f>
        <v>#REF!</v>
      </c>
      <c r="I122" s="19" t="e">
        <f>IF(装备!#REF!=0,0,"'"&amp;装备!#REF!&amp;"'")</f>
        <v>#REF!</v>
      </c>
      <c r="J122" s="19" t="e">
        <f>IF(装备!#REF!=0,0,"'"&amp;装备!#REF!&amp;"'")</f>
        <v>#REF!</v>
      </c>
      <c r="K122" s="19" t="e">
        <f>IF(装备!#REF!=0,0,"'"&amp;装备!#REF!&amp;"'")</f>
        <v>#REF!</v>
      </c>
      <c r="L122" s="19" t="e">
        <f>IF(装备!#REF!=0,0,"'"&amp;装备!#REF!&amp;"'")</f>
        <v>#REF!</v>
      </c>
      <c r="M122" s="19" t="e">
        <f>IF(装备!#REF!=0,0,"'"&amp;装备!#REF!&amp;"'")</f>
        <v>#REF!</v>
      </c>
      <c r="N122" s="19" t="e">
        <f>IF(装备!#REF!=0,0,"'"&amp;装备!#REF!&amp;"'")</f>
        <v>#REF!</v>
      </c>
      <c r="O122" s="19" t="e">
        <f t="shared" si="40"/>
        <v>#REF!</v>
      </c>
      <c r="P122" s="19" t="str">
        <f t="shared" si="47"/>
        <v/>
      </c>
      <c r="Q122" s="23" t="str">
        <f>IFERROR(VLOOKUP(C122,装备!$B:$E,3,FALSE),"")</f>
        <v/>
      </c>
      <c r="R122" s="23" t="str">
        <f>IFERROR(VLOOKUP(D122,装备!$B:$E,3,FALSE),"")</f>
        <v/>
      </c>
      <c r="S122" s="23" t="str">
        <f>IFERROR(VLOOKUP(E122,装备!$B:$E,3,FALSE),"")</f>
        <v/>
      </c>
      <c r="T122" s="23" t="str">
        <f>IFERROR(VLOOKUP(F122,装备!$B:$E,3,FALSE),"")</f>
        <v/>
      </c>
      <c r="U122" s="23" t="str">
        <f>IFERROR(VLOOKUP(G122,装备!$B:$E,3,FALSE),"")</f>
        <v/>
      </c>
      <c r="V122" s="23" t="str">
        <f>IFERROR(VLOOKUP(H122,装备!$B:$E,3,FALSE),"")</f>
        <v/>
      </c>
      <c r="W122" s="18" t="str">
        <f t="shared" si="41"/>
        <v/>
      </c>
      <c r="X122" s="18" t="str">
        <f t="shared" si="42"/>
        <v/>
      </c>
      <c r="Y122" s="18" t="str">
        <f t="shared" si="43"/>
        <v/>
      </c>
      <c r="Z122" s="18" t="str">
        <f t="shared" si="44"/>
        <v/>
      </c>
      <c r="AA122" s="18" t="str">
        <f t="shared" si="45"/>
        <v/>
      </c>
      <c r="AB122" s="18" t="e">
        <f t="shared" si="46"/>
        <v>#REF!</v>
      </c>
    </row>
    <row r="123" spans="1:28">
      <c r="A123" s="19" t="e">
        <f>装备!#REF!</f>
        <v>#REF!</v>
      </c>
      <c r="B123" s="19" t="e">
        <f>"'"&amp;装备!#REF!&amp;"'"</f>
        <v>#REF!</v>
      </c>
      <c r="C123" s="19" t="e">
        <f>装备!#REF!</f>
        <v>#REF!</v>
      </c>
      <c r="D123" s="19" t="e">
        <f>装备!#REF!</f>
        <v>#REF!</v>
      </c>
      <c r="E123" s="19" t="e">
        <f>装备!#REF!</f>
        <v>#REF!</v>
      </c>
      <c r="F123" s="19" t="e">
        <f>装备!#REF!</f>
        <v>#REF!</v>
      </c>
      <c r="G123" s="19" t="e">
        <f>装备!#REF!</f>
        <v>#REF!</v>
      </c>
      <c r="H123" s="19" t="e">
        <f>装备!#REF!</f>
        <v>#REF!</v>
      </c>
      <c r="I123" s="19" t="e">
        <f>IF(装备!#REF!=0,0,"'"&amp;装备!#REF!&amp;"'")</f>
        <v>#REF!</v>
      </c>
      <c r="J123" s="19" t="e">
        <f>IF(装备!#REF!=0,0,"'"&amp;装备!#REF!&amp;"'")</f>
        <v>#REF!</v>
      </c>
      <c r="K123" s="19" t="e">
        <f>IF(装备!#REF!=0,0,"'"&amp;装备!#REF!&amp;"'")</f>
        <v>#REF!</v>
      </c>
      <c r="L123" s="19" t="e">
        <f>IF(装备!#REF!=0,0,"'"&amp;装备!#REF!&amp;"'")</f>
        <v>#REF!</v>
      </c>
      <c r="M123" s="19" t="e">
        <f>IF(装备!#REF!=0,0,"'"&amp;装备!#REF!&amp;"'")</f>
        <v>#REF!</v>
      </c>
      <c r="N123" s="19" t="e">
        <f>IF(装备!#REF!=0,0,"'"&amp;装备!#REF!&amp;"'")</f>
        <v>#REF!</v>
      </c>
      <c r="O123" s="19" t="e">
        <f t="shared" si="40"/>
        <v>#REF!</v>
      </c>
      <c r="P123" s="19" t="str">
        <f t="shared" si="47"/>
        <v/>
      </c>
      <c r="Q123" s="23" t="str">
        <f>IFERROR(VLOOKUP(C123,装备!$B:$E,3,FALSE),"")</f>
        <v/>
      </c>
      <c r="R123" s="23" t="str">
        <f>IFERROR(VLOOKUP(D123,装备!$B:$E,3,FALSE),"")</f>
        <v/>
      </c>
      <c r="S123" s="23" t="str">
        <f>IFERROR(VLOOKUP(E123,装备!$B:$E,3,FALSE),"")</f>
        <v/>
      </c>
      <c r="T123" s="23" t="str">
        <f>IFERROR(VLOOKUP(F123,装备!$B:$E,3,FALSE),"")</f>
        <v/>
      </c>
      <c r="U123" s="23" t="str">
        <f>IFERROR(VLOOKUP(G123,装备!$B:$E,3,FALSE),"")</f>
        <v/>
      </c>
      <c r="V123" s="23" t="str">
        <f>IFERROR(VLOOKUP(H123,装备!$B:$E,3,FALSE),"")</f>
        <v/>
      </c>
      <c r="W123" s="18" t="str">
        <f t="shared" si="41"/>
        <v/>
      </c>
      <c r="X123" s="18" t="str">
        <f t="shared" si="42"/>
        <v/>
      </c>
      <c r="Y123" s="18" t="str">
        <f t="shared" si="43"/>
        <v/>
      </c>
      <c r="Z123" s="18" t="str">
        <f t="shared" si="44"/>
        <v/>
      </c>
      <c r="AA123" s="18" t="str">
        <f t="shared" si="45"/>
        <v/>
      </c>
      <c r="AB123" s="18" t="e">
        <f t="shared" si="46"/>
        <v>#REF!</v>
      </c>
    </row>
    <row r="124" spans="1:28">
      <c r="A124" s="19" t="e">
        <f>装备!#REF!</f>
        <v>#REF!</v>
      </c>
      <c r="B124" s="19" t="e">
        <f>"'"&amp;装备!#REF!&amp;"'"</f>
        <v>#REF!</v>
      </c>
      <c r="C124" s="19" t="e">
        <f>装备!#REF!</f>
        <v>#REF!</v>
      </c>
      <c r="D124" s="19" t="e">
        <f>装备!#REF!</f>
        <v>#REF!</v>
      </c>
      <c r="E124" s="19" t="e">
        <f>装备!#REF!</f>
        <v>#REF!</v>
      </c>
      <c r="F124" s="19" t="e">
        <f>装备!#REF!</f>
        <v>#REF!</v>
      </c>
      <c r="G124" s="19" t="e">
        <f>装备!#REF!</f>
        <v>#REF!</v>
      </c>
      <c r="H124" s="19" t="e">
        <f>装备!#REF!</f>
        <v>#REF!</v>
      </c>
      <c r="I124" s="19" t="e">
        <f>IF(装备!#REF!=0,0,"'"&amp;装备!#REF!&amp;"'")</f>
        <v>#REF!</v>
      </c>
      <c r="J124" s="19" t="e">
        <f>IF(装备!#REF!=0,0,"'"&amp;装备!#REF!&amp;"'")</f>
        <v>#REF!</v>
      </c>
      <c r="K124" s="19" t="e">
        <f>IF(装备!#REF!=0,0,"'"&amp;装备!#REF!&amp;"'")</f>
        <v>#REF!</v>
      </c>
      <c r="L124" s="19" t="e">
        <f>IF(装备!#REF!=0,0,"'"&amp;装备!#REF!&amp;"'")</f>
        <v>#REF!</v>
      </c>
      <c r="M124" s="19" t="e">
        <f>IF(装备!#REF!=0,0,"'"&amp;装备!#REF!&amp;"'")</f>
        <v>#REF!</v>
      </c>
      <c r="N124" s="19" t="e">
        <f>IF(装备!#REF!=0,0,"'"&amp;装备!#REF!&amp;"'")</f>
        <v>#REF!</v>
      </c>
      <c r="O124" s="19" t="e">
        <f t="shared" si="40"/>
        <v>#REF!</v>
      </c>
      <c r="P124" s="19" t="str">
        <f t="shared" si="47"/>
        <v/>
      </c>
      <c r="Q124" s="23" t="str">
        <f>IFERROR(VLOOKUP(C124,装备!$B:$E,3,FALSE),"")</f>
        <v/>
      </c>
      <c r="R124" s="23" t="str">
        <f>IFERROR(VLOOKUP(D124,装备!$B:$E,3,FALSE),"")</f>
        <v/>
      </c>
      <c r="S124" s="23" t="str">
        <f>IFERROR(VLOOKUP(E124,装备!$B:$E,3,FALSE),"")</f>
        <v/>
      </c>
      <c r="T124" s="23" t="str">
        <f>IFERROR(VLOOKUP(F124,装备!$B:$E,3,FALSE),"")</f>
        <v/>
      </c>
      <c r="U124" s="23" t="str">
        <f>IFERROR(VLOOKUP(G124,装备!$B:$E,3,FALSE),"")</f>
        <v/>
      </c>
      <c r="V124" s="23" t="str">
        <f>IFERROR(VLOOKUP(H124,装备!$B:$E,3,FALSE),"")</f>
        <v/>
      </c>
      <c r="W124" s="18" t="str">
        <f t="shared" si="41"/>
        <v/>
      </c>
      <c r="X124" s="18" t="str">
        <f t="shared" si="42"/>
        <v/>
      </c>
      <c r="Y124" s="18" t="str">
        <f t="shared" si="43"/>
        <v/>
      </c>
      <c r="Z124" s="18" t="str">
        <f t="shared" si="44"/>
        <v/>
      </c>
      <c r="AA124" s="18" t="str">
        <f t="shared" si="45"/>
        <v/>
      </c>
      <c r="AB124" s="18" t="e">
        <f t="shared" si="46"/>
        <v>#REF!</v>
      </c>
    </row>
    <row r="125" spans="1:28">
      <c r="A125" s="19" t="e">
        <f>装备!#REF!</f>
        <v>#REF!</v>
      </c>
      <c r="B125" s="19" t="e">
        <f>"'"&amp;装备!#REF!&amp;"'"</f>
        <v>#REF!</v>
      </c>
      <c r="C125" s="19" t="e">
        <f>装备!#REF!</f>
        <v>#REF!</v>
      </c>
      <c r="D125" s="19" t="e">
        <f>装备!#REF!</f>
        <v>#REF!</v>
      </c>
      <c r="E125" s="19" t="e">
        <f>装备!#REF!</f>
        <v>#REF!</v>
      </c>
      <c r="F125" s="19" t="e">
        <f>装备!#REF!</f>
        <v>#REF!</v>
      </c>
      <c r="G125" s="19" t="e">
        <f>装备!#REF!</f>
        <v>#REF!</v>
      </c>
      <c r="H125" s="19" t="e">
        <f>装备!#REF!</f>
        <v>#REF!</v>
      </c>
      <c r="I125" s="19" t="e">
        <f>IF(装备!#REF!=0,0,"'"&amp;装备!#REF!&amp;"'")</f>
        <v>#REF!</v>
      </c>
      <c r="J125" s="19" t="e">
        <f>IF(装备!#REF!=0,0,"'"&amp;装备!#REF!&amp;"'")</f>
        <v>#REF!</v>
      </c>
      <c r="K125" s="19" t="e">
        <f>IF(装备!#REF!=0,0,"'"&amp;装备!#REF!&amp;"'")</f>
        <v>#REF!</v>
      </c>
      <c r="L125" s="19" t="e">
        <f>IF(装备!#REF!=0,0,"'"&amp;装备!#REF!&amp;"'")</f>
        <v>#REF!</v>
      </c>
      <c r="M125" s="19" t="e">
        <f>IF(装备!#REF!=0,0,"'"&amp;装备!#REF!&amp;"'")</f>
        <v>#REF!</v>
      </c>
      <c r="N125" s="19" t="e">
        <f>IF(装备!#REF!=0,0,"'"&amp;装备!#REF!&amp;"'")</f>
        <v>#REF!</v>
      </c>
      <c r="O125" s="19" t="e">
        <f t="shared" si="40"/>
        <v>#REF!</v>
      </c>
      <c r="P125" s="19" t="str">
        <f t="shared" si="47"/>
        <v/>
      </c>
      <c r="Q125" s="23" t="str">
        <f>IFERROR(VLOOKUP(C125,装备!$B:$E,3,FALSE),"")</f>
        <v/>
      </c>
      <c r="R125" s="23" t="str">
        <f>IFERROR(VLOOKUP(D125,装备!$B:$E,3,FALSE),"")</f>
        <v/>
      </c>
      <c r="S125" s="23" t="str">
        <f>IFERROR(VLOOKUP(E125,装备!$B:$E,3,FALSE),"")</f>
        <v/>
      </c>
      <c r="T125" s="23" t="str">
        <f>IFERROR(VLOOKUP(F125,装备!$B:$E,3,FALSE),"")</f>
        <v/>
      </c>
      <c r="U125" s="23" t="str">
        <f>IFERROR(VLOOKUP(G125,装备!$B:$E,3,FALSE),"")</f>
        <v/>
      </c>
      <c r="V125" s="23" t="str">
        <f>IFERROR(VLOOKUP(H125,装备!$B:$E,3,FALSE),"")</f>
        <v/>
      </c>
      <c r="W125" s="18" t="str">
        <f t="shared" si="41"/>
        <v/>
      </c>
      <c r="X125" s="18" t="str">
        <f t="shared" si="42"/>
        <v/>
      </c>
      <c r="Y125" s="18" t="str">
        <f t="shared" si="43"/>
        <v/>
      </c>
      <c r="Z125" s="18" t="str">
        <f t="shared" si="44"/>
        <v/>
      </c>
      <c r="AA125" s="18" t="str">
        <f t="shared" si="45"/>
        <v/>
      </c>
      <c r="AB125" s="18" t="e">
        <f t="shared" si="46"/>
        <v>#REF!</v>
      </c>
    </row>
    <row r="126" spans="1:28">
      <c r="A126" s="19" t="e">
        <f>装备!#REF!</f>
        <v>#REF!</v>
      </c>
      <c r="B126" s="19" t="e">
        <f>"'"&amp;装备!#REF!&amp;"'"</f>
        <v>#REF!</v>
      </c>
      <c r="C126" s="19" t="e">
        <f>装备!#REF!</f>
        <v>#REF!</v>
      </c>
      <c r="D126" s="19" t="e">
        <f>装备!#REF!</f>
        <v>#REF!</v>
      </c>
      <c r="E126" s="19" t="e">
        <f>装备!#REF!</f>
        <v>#REF!</v>
      </c>
      <c r="F126" s="19" t="e">
        <f>装备!#REF!</f>
        <v>#REF!</v>
      </c>
      <c r="G126" s="19" t="e">
        <f>装备!#REF!</f>
        <v>#REF!</v>
      </c>
      <c r="H126" s="19" t="e">
        <f>装备!#REF!</f>
        <v>#REF!</v>
      </c>
      <c r="I126" s="19" t="e">
        <f>IF(装备!#REF!=0,0,"'"&amp;装备!#REF!&amp;"'")</f>
        <v>#REF!</v>
      </c>
      <c r="J126" s="19" t="e">
        <f>IF(装备!#REF!=0,0,"'"&amp;装备!#REF!&amp;"'")</f>
        <v>#REF!</v>
      </c>
      <c r="K126" s="19" t="e">
        <f>IF(装备!#REF!=0,0,"'"&amp;装备!#REF!&amp;"'")</f>
        <v>#REF!</v>
      </c>
      <c r="L126" s="19" t="e">
        <f>IF(装备!#REF!=0,0,"'"&amp;装备!#REF!&amp;"'")</f>
        <v>#REF!</v>
      </c>
      <c r="M126" s="19" t="e">
        <f>IF(装备!#REF!=0,0,"'"&amp;装备!#REF!&amp;"'")</f>
        <v>#REF!</v>
      </c>
      <c r="N126" s="19" t="e">
        <f>IF(装备!#REF!=0,0,"'"&amp;装备!#REF!&amp;"'")</f>
        <v>#REF!</v>
      </c>
      <c r="O126" s="19" t="e">
        <f t="shared" si="40"/>
        <v>#REF!</v>
      </c>
      <c r="P126" s="19" t="str">
        <f t="shared" si="47"/>
        <v/>
      </c>
      <c r="Q126" s="23" t="str">
        <f>IFERROR(VLOOKUP(C126,装备!$B:$E,3,FALSE),"")</f>
        <v/>
      </c>
      <c r="R126" s="23" t="str">
        <f>IFERROR(VLOOKUP(D126,装备!$B:$E,3,FALSE),"")</f>
        <v/>
      </c>
      <c r="S126" s="23" t="str">
        <f>IFERROR(VLOOKUP(E126,装备!$B:$E,3,FALSE),"")</f>
        <v/>
      </c>
      <c r="T126" s="23" t="str">
        <f>IFERROR(VLOOKUP(F126,装备!$B:$E,3,FALSE),"")</f>
        <v/>
      </c>
      <c r="U126" s="23" t="str">
        <f>IFERROR(VLOOKUP(G126,装备!$B:$E,3,FALSE),"")</f>
        <v/>
      </c>
      <c r="V126" s="23" t="str">
        <f>IFERROR(VLOOKUP(H126,装备!$B:$E,3,FALSE),"")</f>
        <v/>
      </c>
      <c r="W126" s="18" t="str">
        <f t="shared" si="41"/>
        <v/>
      </c>
      <c r="X126" s="18" t="str">
        <f t="shared" si="42"/>
        <v/>
      </c>
      <c r="Y126" s="18" t="str">
        <f t="shared" si="43"/>
        <v/>
      </c>
      <c r="Z126" s="18" t="str">
        <f t="shared" si="44"/>
        <v/>
      </c>
      <c r="AA126" s="18" t="str">
        <f t="shared" si="45"/>
        <v/>
      </c>
      <c r="AB126" s="18" t="e">
        <f t="shared" si="46"/>
        <v>#REF!</v>
      </c>
    </row>
    <row r="127" spans="1:28">
      <c r="A127" s="19" t="e">
        <f>装备!#REF!</f>
        <v>#REF!</v>
      </c>
      <c r="B127" s="19" t="e">
        <f>"'"&amp;装备!#REF!&amp;"'"</f>
        <v>#REF!</v>
      </c>
      <c r="C127" s="19" t="e">
        <f>装备!#REF!</f>
        <v>#REF!</v>
      </c>
      <c r="D127" s="19" t="e">
        <f>装备!#REF!</f>
        <v>#REF!</v>
      </c>
      <c r="E127" s="19" t="e">
        <f>装备!#REF!</f>
        <v>#REF!</v>
      </c>
      <c r="F127" s="19" t="e">
        <f>装备!#REF!</f>
        <v>#REF!</v>
      </c>
      <c r="G127" s="19" t="e">
        <f>装备!#REF!</f>
        <v>#REF!</v>
      </c>
      <c r="H127" s="19" t="e">
        <f>装备!#REF!</f>
        <v>#REF!</v>
      </c>
      <c r="I127" s="19" t="e">
        <f>IF(装备!#REF!=0,0,"'"&amp;装备!#REF!&amp;"'")</f>
        <v>#REF!</v>
      </c>
      <c r="J127" s="19" t="e">
        <f>IF(装备!#REF!=0,0,"'"&amp;装备!#REF!&amp;"'")</f>
        <v>#REF!</v>
      </c>
      <c r="K127" s="19" t="e">
        <f>IF(装备!#REF!=0,0,"'"&amp;装备!#REF!&amp;"'")</f>
        <v>#REF!</v>
      </c>
      <c r="L127" s="19" t="e">
        <f>IF(装备!#REF!=0,0,"'"&amp;装备!#REF!&amp;"'")</f>
        <v>#REF!</v>
      </c>
      <c r="M127" s="19" t="e">
        <f>IF(装备!#REF!=0,0,"'"&amp;装备!#REF!&amp;"'")</f>
        <v>#REF!</v>
      </c>
      <c r="N127" s="19" t="e">
        <f>IF(装备!#REF!=0,0,"'"&amp;装备!#REF!&amp;"'")</f>
        <v>#REF!</v>
      </c>
      <c r="O127" s="19" t="e">
        <f t="shared" si="40"/>
        <v>#REF!</v>
      </c>
      <c r="P127" s="19" t="str">
        <f t="shared" si="47"/>
        <v/>
      </c>
      <c r="Q127" s="23" t="str">
        <f>IFERROR(VLOOKUP(C127,装备!$B:$E,3,FALSE),"")</f>
        <v/>
      </c>
      <c r="R127" s="23" t="str">
        <f>IFERROR(VLOOKUP(D127,装备!$B:$E,3,FALSE),"")</f>
        <v/>
      </c>
      <c r="S127" s="23" t="str">
        <f>IFERROR(VLOOKUP(E127,装备!$B:$E,3,FALSE),"")</f>
        <v/>
      </c>
      <c r="T127" s="23" t="str">
        <f>IFERROR(VLOOKUP(F127,装备!$B:$E,3,FALSE),"")</f>
        <v/>
      </c>
      <c r="U127" s="23" t="str">
        <f>IFERROR(VLOOKUP(G127,装备!$B:$E,3,FALSE),"")</f>
        <v/>
      </c>
      <c r="V127" s="23" t="str">
        <f>IFERROR(VLOOKUP(H127,装备!$B:$E,3,FALSE),"")</f>
        <v/>
      </c>
      <c r="W127" s="18" t="str">
        <f t="shared" si="41"/>
        <v/>
      </c>
      <c r="X127" s="18" t="str">
        <f t="shared" si="42"/>
        <v/>
      </c>
      <c r="Y127" s="18" t="str">
        <f t="shared" si="43"/>
        <v/>
      </c>
      <c r="Z127" s="18" t="str">
        <f t="shared" si="44"/>
        <v/>
      </c>
      <c r="AA127" s="18" t="str">
        <f t="shared" si="45"/>
        <v/>
      </c>
      <c r="AB127" s="18" t="e">
        <f t="shared" si="46"/>
        <v>#REF!</v>
      </c>
    </row>
    <row r="128" spans="1:28">
      <c r="A128" s="19" t="e">
        <f>装备!#REF!</f>
        <v>#REF!</v>
      </c>
      <c r="B128" s="19" t="e">
        <f>"'"&amp;装备!#REF!&amp;"'"</f>
        <v>#REF!</v>
      </c>
      <c r="C128" s="19" t="e">
        <f>装备!#REF!</f>
        <v>#REF!</v>
      </c>
      <c r="D128" s="19" t="e">
        <f>装备!#REF!</f>
        <v>#REF!</v>
      </c>
      <c r="E128" s="19" t="e">
        <f>装备!#REF!</f>
        <v>#REF!</v>
      </c>
      <c r="F128" s="19" t="e">
        <f>装备!#REF!</f>
        <v>#REF!</v>
      </c>
      <c r="G128" s="19" t="e">
        <f>装备!#REF!</f>
        <v>#REF!</v>
      </c>
      <c r="H128" s="19" t="e">
        <f>装备!#REF!</f>
        <v>#REF!</v>
      </c>
      <c r="I128" s="19" t="e">
        <f>IF(装备!#REF!=0,0,"'"&amp;装备!#REF!&amp;"'")</f>
        <v>#REF!</v>
      </c>
      <c r="J128" s="19" t="e">
        <f>IF(装备!#REF!=0,0,"'"&amp;装备!#REF!&amp;"'")</f>
        <v>#REF!</v>
      </c>
      <c r="K128" s="19" t="e">
        <f>IF(装备!#REF!=0,0,"'"&amp;装备!#REF!&amp;"'")</f>
        <v>#REF!</v>
      </c>
      <c r="L128" s="19" t="e">
        <f>IF(装备!#REF!=0,0,"'"&amp;装备!#REF!&amp;"'")</f>
        <v>#REF!</v>
      </c>
      <c r="M128" s="19" t="e">
        <f>IF(装备!#REF!=0,0,"'"&amp;装备!#REF!&amp;"'")</f>
        <v>#REF!</v>
      </c>
      <c r="N128" s="19" t="e">
        <f>IF(装备!#REF!=0,0,"'"&amp;装备!#REF!&amp;"'")</f>
        <v>#REF!</v>
      </c>
      <c r="O128" s="19" t="e">
        <f t="shared" si="40"/>
        <v>#REF!</v>
      </c>
      <c r="P128" s="19" t="str">
        <f t="shared" si="47"/>
        <v/>
      </c>
      <c r="Q128" s="23" t="str">
        <f>IFERROR(VLOOKUP(C128,装备!$B:$E,3,FALSE),"")</f>
        <v/>
      </c>
      <c r="R128" s="23" t="str">
        <f>IFERROR(VLOOKUP(D128,装备!$B:$E,3,FALSE),"")</f>
        <v/>
      </c>
      <c r="S128" s="23" t="str">
        <f>IFERROR(VLOOKUP(E128,装备!$B:$E,3,FALSE),"")</f>
        <v/>
      </c>
      <c r="T128" s="23" t="str">
        <f>IFERROR(VLOOKUP(F128,装备!$B:$E,3,FALSE),"")</f>
        <v/>
      </c>
      <c r="U128" s="23" t="str">
        <f>IFERROR(VLOOKUP(G128,装备!$B:$E,3,FALSE),"")</f>
        <v/>
      </c>
      <c r="V128" s="23" t="str">
        <f>IFERROR(VLOOKUP(H128,装备!$B:$E,3,FALSE),"")</f>
        <v/>
      </c>
      <c r="W128" s="18" t="str">
        <f t="shared" si="41"/>
        <v/>
      </c>
      <c r="X128" s="18" t="str">
        <f t="shared" si="42"/>
        <v/>
      </c>
      <c r="Y128" s="18" t="str">
        <f t="shared" si="43"/>
        <v/>
      </c>
      <c r="Z128" s="18" t="str">
        <f t="shared" si="44"/>
        <v/>
      </c>
      <c r="AA128" s="18" t="str">
        <f t="shared" si="45"/>
        <v/>
      </c>
      <c r="AB128" s="18" t="e">
        <f t="shared" si="46"/>
        <v>#REF!</v>
      </c>
    </row>
    <row r="129" spans="1:28">
      <c r="A129" s="19" t="e">
        <f>装备!#REF!</f>
        <v>#REF!</v>
      </c>
      <c r="B129" s="19" t="e">
        <f>"'"&amp;装备!#REF!&amp;"'"</f>
        <v>#REF!</v>
      </c>
      <c r="C129" s="19" t="e">
        <f>装备!#REF!</f>
        <v>#REF!</v>
      </c>
      <c r="D129" s="19" t="e">
        <f>装备!#REF!</f>
        <v>#REF!</v>
      </c>
      <c r="E129" s="19" t="e">
        <f>装备!#REF!</f>
        <v>#REF!</v>
      </c>
      <c r="F129" s="19" t="e">
        <f>装备!#REF!</f>
        <v>#REF!</v>
      </c>
      <c r="G129" s="19" t="e">
        <f>装备!#REF!</f>
        <v>#REF!</v>
      </c>
      <c r="H129" s="19" t="e">
        <f>装备!#REF!</f>
        <v>#REF!</v>
      </c>
      <c r="I129" s="19" t="e">
        <f>IF(装备!#REF!=0,0,"'"&amp;装备!#REF!&amp;"'")</f>
        <v>#REF!</v>
      </c>
      <c r="J129" s="19" t="e">
        <f>IF(装备!#REF!=0,0,"'"&amp;装备!#REF!&amp;"'")</f>
        <v>#REF!</v>
      </c>
      <c r="K129" s="19" t="e">
        <f>IF(装备!#REF!=0,0,"'"&amp;装备!#REF!&amp;"'")</f>
        <v>#REF!</v>
      </c>
      <c r="L129" s="19" t="e">
        <f>IF(装备!#REF!=0,0,"'"&amp;装备!#REF!&amp;"'")</f>
        <v>#REF!</v>
      </c>
      <c r="M129" s="19" t="e">
        <f>IF(装备!#REF!=0,0,"'"&amp;装备!#REF!&amp;"'")</f>
        <v>#REF!</v>
      </c>
      <c r="N129" s="19" t="e">
        <f>IF(装备!#REF!=0,0,"'"&amp;装备!#REF!&amp;"'")</f>
        <v>#REF!</v>
      </c>
      <c r="O129" s="19" t="e">
        <f t="shared" si="40"/>
        <v>#REF!</v>
      </c>
      <c r="P129" s="19" t="str">
        <f t="shared" si="47"/>
        <v/>
      </c>
      <c r="Q129" s="23" t="str">
        <f>IFERROR(VLOOKUP(C129,装备!$B:$E,3,FALSE),"")</f>
        <v/>
      </c>
      <c r="R129" s="23" t="str">
        <f>IFERROR(VLOOKUP(D129,装备!$B:$E,3,FALSE),"")</f>
        <v/>
      </c>
      <c r="S129" s="23" t="str">
        <f>IFERROR(VLOOKUP(E129,装备!$B:$E,3,FALSE),"")</f>
        <v/>
      </c>
      <c r="T129" s="23" t="str">
        <f>IFERROR(VLOOKUP(F129,装备!$B:$E,3,FALSE),"")</f>
        <v/>
      </c>
      <c r="U129" s="23" t="str">
        <f>IFERROR(VLOOKUP(G129,装备!$B:$E,3,FALSE),"")</f>
        <v/>
      </c>
      <c r="V129" s="23" t="str">
        <f>IFERROR(VLOOKUP(H129,装备!$B:$E,3,FALSE),"")</f>
        <v/>
      </c>
      <c r="W129" s="18" t="str">
        <f t="shared" si="41"/>
        <v/>
      </c>
      <c r="X129" s="18" t="str">
        <f t="shared" si="42"/>
        <v/>
      </c>
      <c r="Y129" s="18" t="str">
        <f t="shared" si="43"/>
        <v/>
      </c>
      <c r="Z129" s="18" t="str">
        <f t="shared" si="44"/>
        <v/>
      </c>
      <c r="AA129" s="18" t="str">
        <f t="shared" si="45"/>
        <v/>
      </c>
      <c r="AB129" s="18" t="e">
        <f t="shared" si="46"/>
        <v>#REF!</v>
      </c>
    </row>
    <row r="130" spans="1:28">
      <c r="A130" s="19" t="e">
        <f>装备!#REF!</f>
        <v>#REF!</v>
      </c>
      <c r="B130" s="19" t="e">
        <f>"'"&amp;装备!#REF!&amp;"'"</f>
        <v>#REF!</v>
      </c>
      <c r="C130" s="19" t="e">
        <f>装备!#REF!</f>
        <v>#REF!</v>
      </c>
      <c r="D130" s="19" t="e">
        <f>装备!#REF!</f>
        <v>#REF!</v>
      </c>
      <c r="E130" s="19" t="e">
        <f>装备!#REF!</f>
        <v>#REF!</v>
      </c>
      <c r="F130" s="19" t="e">
        <f>装备!#REF!</f>
        <v>#REF!</v>
      </c>
      <c r="G130" s="19" t="e">
        <f>装备!#REF!</f>
        <v>#REF!</v>
      </c>
      <c r="H130" s="19" t="e">
        <f>装备!#REF!</f>
        <v>#REF!</v>
      </c>
      <c r="I130" s="19" t="e">
        <f>IF(装备!#REF!=0,0,"'"&amp;装备!#REF!&amp;"'")</f>
        <v>#REF!</v>
      </c>
      <c r="J130" s="19" t="e">
        <f>IF(装备!#REF!=0,0,"'"&amp;装备!#REF!&amp;"'")</f>
        <v>#REF!</v>
      </c>
      <c r="K130" s="19" t="e">
        <f>IF(装备!#REF!=0,0,"'"&amp;装备!#REF!&amp;"'")</f>
        <v>#REF!</v>
      </c>
      <c r="L130" s="19" t="e">
        <f>IF(装备!#REF!=0,0,"'"&amp;装备!#REF!&amp;"'")</f>
        <v>#REF!</v>
      </c>
      <c r="M130" s="19" t="e">
        <f>IF(装备!#REF!=0,0,"'"&amp;装备!#REF!&amp;"'")</f>
        <v>#REF!</v>
      </c>
      <c r="N130" s="19" t="e">
        <f>IF(装备!#REF!=0,0,"'"&amp;装备!#REF!&amp;"'")</f>
        <v>#REF!</v>
      </c>
      <c r="O130" s="19" t="e">
        <f t="shared" si="40"/>
        <v>#REF!</v>
      </c>
      <c r="P130" s="19" t="str">
        <f t="shared" si="47"/>
        <v/>
      </c>
      <c r="Q130" s="23" t="str">
        <f>IFERROR(VLOOKUP(C130,装备!$B:$E,3,FALSE),"")</f>
        <v/>
      </c>
      <c r="R130" s="23" t="str">
        <f>IFERROR(VLOOKUP(D130,装备!$B:$E,3,FALSE),"")</f>
        <v/>
      </c>
      <c r="S130" s="23" t="str">
        <f>IFERROR(VLOOKUP(E130,装备!$B:$E,3,FALSE),"")</f>
        <v/>
      </c>
      <c r="T130" s="23" t="str">
        <f>IFERROR(VLOOKUP(F130,装备!$B:$E,3,FALSE),"")</f>
        <v/>
      </c>
      <c r="U130" s="23" t="str">
        <f>IFERROR(VLOOKUP(G130,装备!$B:$E,3,FALSE),"")</f>
        <v/>
      </c>
      <c r="V130" s="23" t="str">
        <f>IFERROR(VLOOKUP(H130,装备!$B:$E,3,FALSE),"")</f>
        <v/>
      </c>
      <c r="W130" s="18" t="str">
        <f t="shared" si="41"/>
        <v/>
      </c>
      <c r="X130" s="18" t="str">
        <f t="shared" si="42"/>
        <v/>
      </c>
      <c r="Y130" s="18" t="str">
        <f t="shared" si="43"/>
        <v/>
      </c>
      <c r="Z130" s="18" t="str">
        <f t="shared" si="44"/>
        <v/>
      </c>
      <c r="AA130" s="18" t="str">
        <f t="shared" si="45"/>
        <v/>
      </c>
      <c r="AB130" s="18" t="e">
        <f t="shared" si="46"/>
        <v>#REF!</v>
      </c>
    </row>
    <row r="131" spans="1:28">
      <c r="A131" s="19" t="e">
        <f>装备!#REF!</f>
        <v>#REF!</v>
      </c>
      <c r="B131" s="19" t="e">
        <f>"'"&amp;装备!#REF!&amp;"'"</f>
        <v>#REF!</v>
      </c>
      <c r="C131" s="19" t="e">
        <f>装备!#REF!</f>
        <v>#REF!</v>
      </c>
      <c r="D131" s="19" t="e">
        <f>装备!#REF!</f>
        <v>#REF!</v>
      </c>
      <c r="E131" s="19" t="e">
        <f>装备!#REF!</f>
        <v>#REF!</v>
      </c>
      <c r="F131" s="19" t="e">
        <f>装备!#REF!</f>
        <v>#REF!</v>
      </c>
      <c r="G131" s="19" t="e">
        <f>装备!#REF!</f>
        <v>#REF!</v>
      </c>
      <c r="H131" s="19" t="e">
        <f>装备!#REF!</f>
        <v>#REF!</v>
      </c>
      <c r="I131" s="19" t="e">
        <f>IF(装备!#REF!=0,0,"'"&amp;装备!#REF!&amp;"'")</f>
        <v>#REF!</v>
      </c>
      <c r="J131" s="19" t="e">
        <f>IF(装备!#REF!=0,0,"'"&amp;装备!#REF!&amp;"'")</f>
        <v>#REF!</v>
      </c>
      <c r="K131" s="19" t="e">
        <f>IF(装备!#REF!=0,0,"'"&amp;装备!#REF!&amp;"'")</f>
        <v>#REF!</v>
      </c>
      <c r="L131" s="19" t="e">
        <f>IF(装备!#REF!=0,0,"'"&amp;装备!#REF!&amp;"'")</f>
        <v>#REF!</v>
      </c>
      <c r="M131" s="19" t="e">
        <f>IF(装备!#REF!=0,0,"'"&amp;装备!#REF!&amp;"'")</f>
        <v>#REF!</v>
      </c>
      <c r="N131" s="19" t="e">
        <f>IF(装备!#REF!=0,0,"'"&amp;装备!#REF!&amp;"'")</f>
        <v>#REF!</v>
      </c>
      <c r="O131" s="19" t="e">
        <f t="shared" si="40"/>
        <v>#REF!</v>
      </c>
      <c r="P131" s="19" t="str">
        <f t="shared" si="47"/>
        <v/>
      </c>
      <c r="Q131" s="23" t="str">
        <f>IFERROR(VLOOKUP(C131,装备!$B:$E,3,FALSE),"")</f>
        <v/>
      </c>
      <c r="R131" s="23" t="str">
        <f>IFERROR(VLOOKUP(D131,装备!$B:$E,3,FALSE),"")</f>
        <v/>
      </c>
      <c r="S131" s="23" t="str">
        <f>IFERROR(VLOOKUP(E131,装备!$B:$E,3,FALSE),"")</f>
        <v/>
      </c>
      <c r="T131" s="23" t="str">
        <f>IFERROR(VLOOKUP(F131,装备!$B:$E,3,FALSE),"")</f>
        <v/>
      </c>
      <c r="U131" s="23" t="str">
        <f>IFERROR(VLOOKUP(G131,装备!$B:$E,3,FALSE),"")</f>
        <v/>
      </c>
      <c r="V131" s="23" t="str">
        <f>IFERROR(VLOOKUP(H131,装备!$B:$E,3,FALSE),"")</f>
        <v/>
      </c>
      <c r="W131" s="18" t="str">
        <f t="shared" si="41"/>
        <v/>
      </c>
      <c r="X131" s="18" t="str">
        <f t="shared" si="42"/>
        <v/>
      </c>
      <c r="Y131" s="18" t="str">
        <f t="shared" si="43"/>
        <v/>
      </c>
      <c r="Z131" s="18" t="str">
        <f t="shared" si="44"/>
        <v/>
      </c>
      <c r="AA131" s="18" t="str">
        <f t="shared" si="45"/>
        <v/>
      </c>
      <c r="AB131" s="18" t="e">
        <f t="shared" si="46"/>
        <v>#REF!</v>
      </c>
    </row>
    <row r="132" spans="1:28">
      <c r="A132" s="19" t="e">
        <f>装备!#REF!</f>
        <v>#REF!</v>
      </c>
      <c r="B132" s="19" t="e">
        <f>"'"&amp;装备!#REF!&amp;"'"</f>
        <v>#REF!</v>
      </c>
      <c r="C132" s="19" t="e">
        <f>装备!#REF!</f>
        <v>#REF!</v>
      </c>
      <c r="D132" s="19" t="e">
        <f>装备!#REF!</f>
        <v>#REF!</v>
      </c>
      <c r="E132" s="19" t="e">
        <f>装备!#REF!</f>
        <v>#REF!</v>
      </c>
      <c r="F132" s="19" t="e">
        <f>装备!#REF!</f>
        <v>#REF!</v>
      </c>
      <c r="G132" s="19" t="e">
        <f>装备!#REF!</f>
        <v>#REF!</v>
      </c>
      <c r="H132" s="19" t="e">
        <f>装备!#REF!</f>
        <v>#REF!</v>
      </c>
      <c r="I132" s="19" t="e">
        <f>IF(装备!#REF!=0,0,"'"&amp;装备!#REF!&amp;"'")</f>
        <v>#REF!</v>
      </c>
      <c r="J132" s="19" t="e">
        <f>IF(装备!#REF!=0,0,"'"&amp;装备!#REF!&amp;"'")</f>
        <v>#REF!</v>
      </c>
      <c r="K132" s="19" t="e">
        <f>IF(装备!#REF!=0,0,"'"&amp;装备!#REF!&amp;"'")</f>
        <v>#REF!</v>
      </c>
      <c r="L132" s="19" t="e">
        <f>IF(装备!#REF!=0,0,"'"&amp;装备!#REF!&amp;"'")</f>
        <v>#REF!</v>
      </c>
      <c r="M132" s="19" t="e">
        <f>IF(装备!#REF!=0,0,"'"&amp;装备!#REF!&amp;"'")</f>
        <v>#REF!</v>
      </c>
      <c r="N132" s="19" t="e">
        <f>IF(装备!#REF!=0,0,"'"&amp;装备!#REF!&amp;"'")</f>
        <v>#REF!</v>
      </c>
      <c r="O132" s="19" t="e">
        <f t="shared" si="40"/>
        <v>#REF!</v>
      </c>
      <c r="P132" s="19" t="str">
        <f t="shared" si="47"/>
        <v/>
      </c>
      <c r="Q132" s="23" t="str">
        <f>IFERROR(VLOOKUP(C132,装备!$B:$E,3,FALSE),"")</f>
        <v/>
      </c>
      <c r="R132" s="23" t="str">
        <f>IFERROR(VLOOKUP(D132,装备!$B:$E,3,FALSE),"")</f>
        <v/>
      </c>
      <c r="S132" s="23" t="str">
        <f>IFERROR(VLOOKUP(E132,装备!$B:$E,3,FALSE),"")</f>
        <v/>
      </c>
      <c r="T132" s="23" t="str">
        <f>IFERROR(VLOOKUP(F132,装备!$B:$E,3,FALSE),"")</f>
        <v/>
      </c>
      <c r="U132" s="23" t="str">
        <f>IFERROR(VLOOKUP(G132,装备!$B:$E,3,FALSE),"")</f>
        <v/>
      </c>
      <c r="V132" s="23" t="str">
        <f>IFERROR(VLOOKUP(H132,装备!$B:$E,3,FALSE),"")</f>
        <v/>
      </c>
      <c r="W132" s="18" t="str">
        <f t="shared" si="41"/>
        <v/>
      </c>
      <c r="X132" s="18" t="str">
        <f t="shared" si="42"/>
        <v/>
      </c>
      <c r="Y132" s="18" t="str">
        <f t="shared" si="43"/>
        <v/>
      </c>
      <c r="Z132" s="18" t="str">
        <f t="shared" si="44"/>
        <v/>
      </c>
      <c r="AA132" s="18" t="str">
        <f t="shared" si="45"/>
        <v/>
      </c>
      <c r="AB132" s="18" t="e">
        <f t="shared" si="46"/>
        <v>#REF!</v>
      </c>
    </row>
    <row r="133" spans="1:28">
      <c r="A133" s="19" t="e">
        <f>装备!#REF!</f>
        <v>#REF!</v>
      </c>
      <c r="B133" s="19" t="e">
        <f>"'"&amp;装备!#REF!&amp;"'"</f>
        <v>#REF!</v>
      </c>
      <c r="C133" s="19" t="e">
        <f>装备!#REF!</f>
        <v>#REF!</v>
      </c>
      <c r="D133" s="19" t="e">
        <f>装备!#REF!</f>
        <v>#REF!</v>
      </c>
      <c r="E133" s="19" t="e">
        <f>装备!#REF!</f>
        <v>#REF!</v>
      </c>
      <c r="F133" s="19" t="e">
        <f>装备!#REF!</f>
        <v>#REF!</v>
      </c>
      <c r="G133" s="19" t="e">
        <f>装备!#REF!</f>
        <v>#REF!</v>
      </c>
      <c r="H133" s="19" t="e">
        <f>装备!#REF!</f>
        <v>#REF!</v>
      </c>
      <c r="I133" s="19" t="e">
        <f>IF(装备!#REF!=0,0,"'"&amp;装备!#REF!&amp;"'")</f>
        <v>#REF!</v>
      </c>
      <c r="J133" s="19" t="e">
        <f>IF(装备!#REF!=0,0,"'"&amp;装备!#REF!&amp;"'")</f>
        <v>#REF!</v>
      </c>
      <c r="K133" s="19" t="e">
        <f>IF(装备!#REF!=0,0,"'"&amp;装备!#REF!&amp;"'")</f>
        <v>#REF!</v>
      </c>
      <c r="L133" s="19" t="e">
        <f>IF(装备!#REF!=0,0,"'"&amp;装备!#REF!&amp;"'")</f>
        <v>#REF!</v>
      </c>
      <c r="M133" s="19" t="e">
        <f>IF(装备!#REF!=0,0,"'"&amp;装备!#REF!&amp;"'")</f>
        <v>#REF!</v>
      </c>
      <c r="N133" s="19" t="e">
        <f>IF(装备!#REF!=0,0,"'"&amp;装备!#REF!&amp;"'")</f>
        <v>#REF!</v>
      </c>
      <c r="O133" s="19" t="e">
        <f t="shared" si="40"/>
        <v>#REF!</v>
      </c>
      <c r="P133" s="19" t="str">
        <f t="shared" si="47"/>
        <v/>
      </c>
      <c r="Q133" s="23" t="str">
        <f>IFERROR(VLOOKUP(C133,装备!$B:$E,3,FALSE),"")</f>
        <v/>
      </c>
      <c r="R133" s="23" t="str">
        <f>IFERROR(VLOOKUP(D133,装备!$B:$E,3,FALSE),"")</f>
        <v/>
      </c>
      <c r="S133" s="23" t="str">
        <f>IFERROR(VLOOKUP(E133,装备!$B:$E,3,FALSE),"")</f>
        <v/>
      </c>
      <c r="T133" s="23" t="str">
        <f>IFERROR(VLOOKUP(F133,装备!$B:$E,3,FALSE),"")</f>
        <v/>
      </c>
      <c r="U133" s="23" t="str">
        <f>IFERROR(VLOOKUP(G133,装备!$B:$E,3,FALSE),"")</f>
        <v/>
      </c>
      <c r="V133" s="23" t="str">
        <f>IFERROR(VLOOKUP(H133,装备!$B:$E,3,FALSE),"")</f>
        <v/>
      </c>
      <c r="W133" s="18" t="str">
        <f t="shared" si="41"/>
        <v/>
      </c>
      <c r="X133" s="18" t="str">
        <f t="shared" si="42"/>
        <v/>
      </c>
      <c r="Y133" s="18" t="str">
        <f t="shared" si="43"/>
        <v/>
      </c>
      <c r="Z133" s="18" t="str">
        <f t="shared" si="44"/>
        <v/>
      </c>
      <c r="AA133" s="18" t="str">
        <f t="shared" si="45"/>
        <v/>
      </c>
      <c r="AB133" s="18" t="e">
        <f t="shared" si="46"/>
        <v>#REF!</v>
      </c>
    </row>
    <row r="134" spans="1:28">
      <c r="A134" s="19" t="e">
        <f>装备!#REF!</f>
        <v>#REF!</v>
      </c>
      <c r="B134" s="19" t="e">
        <f>"'"&amp;装备!#REF!&amp;"'"</f>
        <v>#REF!</v>
      </c>
      <c r="C134" s="19" t="e">
        <f>装备!#REF!</f>
        <v>#REF!</v>
      </c>
      <c r="D134" s="19" t="e">
        <f>装备!#REF!</f>
        <v>#REF!</v>
      </c>
      <c r="E134" s="19" t="e">
        <f>装备!#REF!</f>
        <v>#REF!</v>
      </c>
      <c r="F134" s="19" t="e">
        <f>装备!#REF!</f>
        <v>#REF!</v>
      </c>
      <c r="G134" s="19" t="e">
        <f>装备!#REF!</f>
        <v>#REF!</v>
      </c>
      <c r="H134" s="19" t="e">
        <f>装备!#REF!</f>
        <v>#REF!</v>
      </c>
      <c r="I134" s="19" t="e">
        <f>IF(装备!#REF!=0,0,"'"&amp;装备!#REF!&amp;"'")</f>
        <v>#REF!</v>
      </c>
      <c r="J134" s="19" t="e">
        <f>IF(装备!#REF!=0,0,"'"&amp;装备!#REF!&amp;"'")</f>
        <v>#REF!</v>
      </c>
      <c r="K134" s="19" t="e">
        <f>IF(装备!#REF!=0,0,"'"&amp;装备!#REF!&amp;"'")</f>
        <v>#REF!</v>
      </c>
      <c r="L134" s="19" t="e">
        <f>IF(装备!#REF!=0,0,"'"&amp;装备!#REF!&amp;"'")</f>
        <v>#REF!</v>
      </c>
      <c r="M134" s="19" t="e">
        <f>IF(装备!#REF!=0,0,"'"&amp;装备!#REF!&amp;"'")</f>
        <v>#REF!</v>
      </c>
      <c r="N134" s="19" t="e">
        <f>IF(装备!#REF!=0,0,"'"&amp;装备!#REF!&amp;"'")</f>
        <v>#REF!</v>
      </c>
      <c r="O134" s="19" t="e">
        <f t="shared" si="40"/>
        <v>#REF!</v>
      </c>
      <c r="P134" s="19" t="str">
        <f t="shared" si="47"/>
        <v/>
      </c>
      <c r="Q134" s="23" t="str">
        <f>IFERROR(VLOOKUP(C134,装备!$B:$E,3,FALSE),"")</f>
        <v/>
      </c>
      <c r="R134" s="23" t="str">
        <f>IFERROR(VLOOKUP(D134,装备!$B:$E,3,FALSE),"")</f>
        <v/>
      </c>
      <c r="S134" s="23" t="str">
        <f>IFERROR(VLOOKUP(E134,装备!$B:$E,3,FALSE),"")</f>
        <v/>
      </c>
      <c r="T134" s="23" t="str">
        <f>IFERROR(VLOOKUP(F134,装备!$B:$E,3,FALSE),"")</f>
        <v/>
      </c>
      <c r="U134" s="23" t="str">
        <f>IFERROR(VLOOKUP(G134,装备!$B:$E,3,FALSE),"")</f>
        <v/>
      </c>
      <c r="V134" s="23" t="str">
        <f>IFERROR(VLOOKUP(H134,装备!$B:$E,3,FALSE),"")</f>
        <v/>
      </c>
      <c r="W134" s="18" t="str">
        <f t="shared" si="41"/>
        <v/>
      </c>
      <c r="X134" s="18" t="str">
        <f t="shared" si="42"/>
        <v/>
      </c>
      <c r="Y134" s="18" t="str">
        <f t="shared" si="43"/>
        <v/>
      </c>
      <c r="Z134" s="18" t="str">
        <f t="shared" si="44"/>
        <v/>
      </c>
      <c r="AA134" s="18" t="str">
        <f t="shared" si="45"/>
        <v/>
      </c>
      <c r="AB134" s="18" t="e">
        <f t="shared" si="46"/>
        <v>#REF!</v>
      </c>
    </row>
    <row r="135" spans="1:28">
      <c r="A135" s="19" t="e">
        <f>装备!#REF!</f>
        <v>#REF!</v>
      </c>
      <c r="B135" s="19" t="e">
        <f>"'"&amp;装备!#REF!&amp;"'"</f>
        <v>#REF!</v>
      </c>
      <c r="C135" s="19" t="e">
        <f>装备!#REF!</f>
        <v>#REF!</v>
      </c>
      <c r="D135" s="19" t="e">
        <f>装备!#REF!</f>
        <v>#REF!</v>
      </c>
      <c r="E135" s="19" t="e">
        <f>装备!#REF!</f>
        <v>#REF!</v>
      </c>
      <c r="F135" s="19" t="e">
        <f>装备!#REF!</f>
        <v>#REF!</v>
      </c>
      <c r="G135" s="19" t="e">
        <f>装备!#REF!</f>
        <v>#REF!</v>
      </c>
      <c r="H135" s="19" t="e">
        <f>装备!#REF!</f>
        <v>#REF!</v>
      </c>
      <c r="I135" s="19" t="e">
        <f>IF(装备!#REF!=0,0,"'"&amp;装备!#REF!&amp;"'")</f>
        <v>#REF!</v>
      </c>
      <c r="J135" s="19" t="e">
        <f>IF(装备!#REF!=0,0,"'"&amp;装备!#REF!&amp;"'")</f>
        <v>#REF!</v>
      </c>
      <c r="K135" s="19" t="e">
        <f>IF(装备!#REF!=0,0,"'"&amp;装备!#REF!&amp;"'")</f>
        <v>#REF!</v>
      </c>
      <c r="L135" s="19" t="e">
        <f>IF(装备!#REF!=0,0,"'"&amp;装备!#REF!&amp;"'")</f>
        <v>#REF!</v>
      </c>
      <c r="M135" s="19" t="e">
        <f>IF(装备!#REF!=0,0,"'"&amp;装备!#REF!&amp;"'")</f>
        <v>#REF!</v>
      </c>
      <c r="N135" s="19" t="e">
        <f>IF(装备!#REF!=0,0,"'"&amp;装备!#REF!&amp;"'")</f>
        <v>#REF!</v>
      </c>
      <c r="O135" s="19" t="e">
        <f t="shared" si="40"/>
        <v>#REF!</v>
      </c>
      <c r="P135" s="19" t="str">
        <f t="shared" si="47"/>
        <v/>
      </c>
      <c r="Q135" s="23" t="str">
        <f>IFERROR(VLOOKUP(C135,装备!$B:$E,3,FALSE),"")</f>
        <v/>
      </c>
      <c r="R135" s="23" t="str">
        <f>IFERROR(VLOOKUP(D135,装备!$B:$E,3,FALSE),"")</f>
        <v/>
      </c>
      <c r="S135" s="23" t="str">
        <f>IFERROR(VLOOKUP(E135,装备!$B:$E,3,FALSE),"")</f>
        <v/>
      </c>
      <c r="T135" s="23" t="str">
        <f>IFERROR(VLOOKUP(F135,装备!$B:$E,3,FALSE),"")</f>
        <v/>
      </c>
      <c r="U135" s="23" t="str">
        <f>IFERROR(VLOOKUP(G135,装备!$B:$E,3,FALSE),"")</f>
        <v/>
      </c>
      <c r="V135" s="23" t="str">
        <f>IFERROR(VLOOKUP(H135,装备!$B:$E,3,FALSE),"")</f>
        <v/>
      </c>
      <c r="W135" s="18" t="str">
        <f t="shared" si="41"/>
        <v/>
      </c>
      <c r="X135" s="18" t="str">
        <f t="shared" si="42"/>
        <v/>
      </c>
      <c r="Y135" s="18" t="str">
        <f t="shared" si="43"/>
        <v/>
      </c>
      <c r="Z135" s="18" t="str">
        <f t="shared" si="44"/>
        <v/>
      </c>
      <c r="AA135" s="18" t="str">
        <f t="shared" si="45"/>
        <v/>
      </c>
      <c r="AB135" s="18" t="e">
        <f t="shared" si="46"/>
        <v>#REF!</v>
      </c>
    </row>
    <row r="136" spans="1:28">
      <c r="A136" s="19" t="e">
        <f>装备!#REF!</f>
        <v>#REF!</v>
      </c>
      <c r="B136" s="19" t="e">
        <f>"'"&amp;装备!#REF!&amp;"'"</f>
        <v>#REF!</v>
      </c>
      <c r="C136" s="19" t="e">
        <f>装备!#REF!</f>
        <v>#REF!</v>
      </c>
      <c r="D136" s="19" t="e">
        <f>装备!#REF!</f>
        <v>#REF!</v>
      </c>
      <c r="E136" s="19" t="e">
        <f>装备!#REF!</f>
        <v>#REF!</v>
      </c>
      <c r="F136" s="19" t="e">
        <f>装备!#REF!</f>
        <v>#REF!</v>
      </c>
      <c r="G136" s="19" t="e">
        <f>装备!#REF!</f>
        <v>#REF!</v>
      </c>
      <c r="H136" s="19" t="e">
        <f>装备!#REF!</f>
        <v>#REF!</v>
      </c>
      <c r="I136" s="19" t="e">
        <f>IF(装备!#REF!=0,0,"'"&amp;装备!#REF!&amp;"'")</f>
        <v>#REF!</v>
      </c>
      <c r="J136" s="19" t="e">
        <f>IF(装备!#REF!=0,0,"'"&amp;装备!#REF!&amp;"'")</f>
        <v>#REF!</v>
      </c>
      <c r="K136" s="19" t="e">
        <f>IF(装备!#REF!=0,0,"'"&amp;装备!#REF!&amp;"'")</f>
        <v>#REF!</v>
      </c>
      <c r="L136" s="19" t="e">
        <f>IF(装备!#REF!=0,0,"'"&amp;装备!#REF!&amp;"'")</f>
        <v>#REF!</v>
      </c>
      <c r="M136" s="19" t="e">
        <f>IF(装备!#REF!=0,0,"'"&amp;装备!#REF!&amp;"'")</f>
        <v>#REF!</v>
      </c>
      <c r="N136" s="19" t="e">
        <f>IF(装备!#REF!=0,0,"'"&amp;装备!#REF!&amp;"'")</f>
        <v>#REF!</v>
      </c>
      <c r="O136" s="19" t="e">
        <f t="shared" si="40"/>
        <v>#REF!</v>
      </c>
      <c r="P136" s="19" t="str">
        <f t="shared" si="47"/>
        <v/>
      </c>
      <c r="Q136" s="23" t="str">
        <f>IFERROR(VLOOKUP(C136,装备!$B:$E,3,FALSE),"")</f>
        <v/>
      </c>
      <c r="R136" s="23" t="str">
        <f>IFERROR(VLOOKUP(D136,装备!$B:$E,3,FALSE),"")</f>
        <v/>
      </c>
      <c r="S136" s="23" t="str">
        <f>IFERROR(VLOOKUP(E136,装备!$B:$E,3,FALSE),"")</f>
        <v/>
      </c>
      <c r="T136" s="23" t="str">
        <f>IFERROR(VLOOKUP(F136,装备!$B:$E,3,FALSE),"")</f>
        <v/>
      </c>
      <c r="U136" s="23" t="str">
        <f>IFERROR(VLOOKUP(G136,装备!$B:$E,3,FALSE),"")</f>
        <v/>
      </c>
      <c r="V136" s="23" t="str">
        <f>IFERROR(VLOOKUP(H136,装备!$B:$E,3,FALSE),"")</f>
        <v/>
      </c>
      <c r="W136" s="18" t="str">
        <f t="shared" si="41"/>
        <v/>
      </c>
      <c r="X136" s="18" t="str">
        <f t="shared" si="42"/>
        <v/>
      </c>
      <c r="Y136" s="18" t="str">
        <f t="shared" si="43"/>
        <v/>
      </c>
      <c r="Z136" s="18" t="str">
        <f t="shared" si="44"/>
        <v/>
      </c>
      <c r="AA136" s="18" t="str">
        <f t="shared" si="45"/>
        <v/>
      </c>
      <c r="AB136" s="18" t="e">
        <f t="shared" si="46"/>
        <v>#REF!</v>
      </c>
    </row>
    <row r="137" spans="1:28">
      <c r="A137" s="19" t="e">
        <f>装备!#REF!</f>
        <v>#REF!</v>
      </c>
      <c r="B137" s="19" t="e">
        <f>"'"&amp;装备!#REF!&amp;"'"</f>
        <v>#REF!</v>
      </c>
      <c r="C137" s="19" t="e">
        <f>装备!#REF!</f>
        <v>#REF!</v>
      </c>
      <c r="D137" s="19" t="e">
        <f>装备!#REF!</f>
        <v>#REF!</v>
      </c>
      <c r="E137" s="19" t="e">
        <f>装备!#REF!</f>
        <v>#REF!</v>
      </c>
      <c r="F137" s="19" t="e">
        <f>装备!#REF!</f>
        <v>#REF!</v>
      </c>
      <c r="G137" s="19" t="e">
        <f>装备!#REF!</f>
        <v>#REF!</v>
      </c>
      <c r="H137" s="19" t="e">
        <f>装备!#REF!</f>
        <v>#REF!</v>
      </c>
      <c r="I137" s="19" t="e">
        <f>IF(装备!#REF!=0,0,"'"&amp;装备!#REF!&amp;"'")</f>
        <v>#REF!</v>
      </c>
      <c r="J137" s="19" t="e">
        <f>IF(装备!#REF!=0,0,"'"&amp;装备!#REF!&amp;"'")</f>
        <v>#REF!</v>
      </c>
      <c r="K137" s="19" t="e">
        <f>IF(装备!#REF!=0,0,"'"&amp;装备!#REF!&amp;"'")</f>
        <v>#REF!</v>
      </c>
      <c r="L137" s="19" t="e">
        <f>IF(装备!#REF!=0,0,"'"&amp;装备!#REF!&amp;"'")</f>
        <v>#REF!</v>
      </c>
      <c r="M137" s="19" t="e">
        <f>IF(装备!#REF!=0,0,"'"&amp;装备!#REF!&amp;"'")</f>
        <v>#REF!</v>
      </c>
      <c r="N137" s="19" t="e">
        <f>IF(装备!#REF!=0,0,"'"&amp;装备!#REF!&amp;"'")</f>
        <v>#REF!</v>
      </c>
      <c r="O137" s="19" t="e">
        <f t="shared" si="40"/>
        <v>#REF!</v>
      </c>
      <c r="P137" s="19" t="str">
        <f t="shared" si="47"/>
        <v/>
      </c>
      <c r="Q137" s="23" t="str">
        <f>IFERROR(VLOOKUP(C137,装备!$B:$E,3,FALSE),"")</f>
        <v/>
      </c>
      <c r="R137" s="23" t="str">
        <f>IFERROR(VLOOKUP(D137,装备!$B:$E,3,FALSE),"")</f>
        <v/>
      </c>
      <c r="S137" s="23" t="str">
        <f>IFERROR(VLOOKUP(E137,装备!$B:$E,3,FALSE),"")</f>
        <v/>
      </c>
      <c r="T137" s="23" t="str">
        <f>IFERROR(VLOOKUP(F137,装备!$B:$E,3,FALSE),"")</f>
        <v/>
      </c>
      <c r="U137" s="23" t="str">
        <f>IFERROR(VLOOKUP(G137,装备!$B:$E,3,FALSE),"")</f>
        <v/>
      </c>
      <c r="V137" s="23" t="str">
        <f>IFERROR(VLOOKUP(H137,装备!$B:$E,3,FALSE),"")</f>
        <v/>
      </c>
      <c r="W137" s="18" t="str">
        <f t="shared" si="41"/>
        <v/>
      </c>
      <c r="X137" s="18" t="str">
        <f t="shared" si="42"/>
        <v/>
      </c>
      <c r="Y137" s="18" t="str">
        <f t="shared" si="43"/>
        <v/>
      </c>
      <c r="Z137" s="18" t="str">
        <f t="shared" si="44"/>
        <v/>
      </c>
      <c r="AA137" s="18" t="str">
        <f t="shared" si="45"/>
        <v/>
      </c>
      <c r="AB137" s="18" t="e">
        <f t="shared" si="46"/>
        <v>#REF!</v>
      </c>
    </row>
    <row r="138" spans="1:28">
      <c r="A138" s="19" t="e">
        <f>装备!#REF!</f>
        <v>#REF!</v>
      </c>
      <c r="B138" s="19" t="e">
        <f>"'"&amp;装备!#REF!&amp;"'"</f>
        <v>#REF!</v>
      </c>
      <c r="C138" s="19" t="e">
        <f>装备!#REF!</f>
        <v>#REF!</v>
      </c>
      <c r="D138" s="19" t="e">
        <f>装备!#REF!</f>
        <v>#REF!</v>
      </c>
      <c r="E138" s="19" t="e">
        <f>装备!#REF!</f>
        <v>#REF!</v>
      </c>
      <c r="F138" s="19" t="e">
        <f>装备!#REF!</f>
        <v>#REF!</v>
      </c>
      <c r="G138" s="19" t="e">
        <f>装备!#REF!</f>
        <v>#REF!</v>
      </c>
      <c r="H138" s="19" t="e">
        <f>装备!#REF!</f>
        <v>#REF!</v>
      </c>
      <c r="I138" s="19" t="e">
        <f>IF(装备!#REF!=0,0,"'"&amp;装备!#REF!&amp;"'")</f>
        <v>#REF!</v>
      </c>
      <c r="J138" s="19" t="e">
        <f>IF(装备!#REF!=0,0,"'"&amp;装备!#REF!&amp;"'")</f>
        <v>#REF!</v>
      </c>
      <c r="K138" s="19" t="e">
        <f>IF(装备!#REF!=0,0,"'"&amp;装备!#REF!&amp;"'")</f>
        <v>#REF!</v>
      </c>
      <c r="L138" s="19" t="e">
        <f>IF(装备!#REF!=0,0,"'"&amp;装备!#REF!&amp;"'")</f>
        <v>#REF!</v>
      </c>
      <c r="M138" s="19" t="e">
        <f>IF(装备!#REF!=0,0,"'"&amp;装备!#REF!&amp;"'")</f>
        <v>#REF!</v>
      </c>
      <c r="N138" s="19" t="e">
        <f>IF(装备!#REF!=0,0,"'"&amp;装备!#REF!&amp;"'")</f>
        <v>#REF!</v>
      </c>
      <c r="O138" s="19" t="e">
        <f t="shared" si="40"/>
        <v>#REF!</v>
      </c>
      <c r="P138" s="19" t="str">
        <f t="shared" si="47"/>
        <v/>
      </c>
      <c r="Q138" s="23" t="str">
        <f>IFERROR(VLOOKUP(C138,装备!$B:$E,3,FALSE),"")</f>
        <v/>
      </c>
      <c r="R138" s="23" t="str">
        <f>IFERROR(VLOOKUP(D138,装备!$B:$E,3,FALSE),"")</f>
        <v/>
      </c>
      <c r="S138" s="23" t="str">
        <f>IFERROR(VLOOKUP(E138,装备!$B:$E,3,FALSE),"")</f>
        <v/>
      </c>
      <c r="T138" s="23" t="str">
        <f>IFERROR(VLOOKUP(F138,装备!$B:$E,3,FALSE),"")</f>
        <v/>
      </c>
      <c r="U138" s="23" t="str">
        <f>IFERROR(VLOOKUP(G138,装备!$B:$E,3,FALSE),"")</f>
        <v/>
      </c>
      <c r="V138" s="23" t="str">
        <f>IFERROR(VLOOKUP(H138,装备!$B:$E,3,FALSE),"")</f>
        <v/>
      </c>
      <c r="W138" s="18" t="str">
        <f t="shared" si="41"/>
        <v/>
      </c>
      <c r="X138" s="18" t="str">
        <f t="shared" si="42"/>
        <v/>
      </c>
      <c r="Y138" s="18" t="str">
        <f t="shared" si="43"/>
        <v/>
      </c>
      <c r="Z138" s="18" t="str">
        <f t="shared" si="44"/>
        <v/>
      </c>
      <c r="AA138" s="18" t="str">
        <f t="shared" si="45"/>
        <v/>
      </c>
      <c r="AB138" s="18" t="e">
        <f t="shared" si="46"/>
        <v>#REF!</v>
      </c>
    </row>
    <row r="139" spans="1:28">
      <c r="A139" s="19" t="e">
        <f>装备!#REF!</f>
        <v>#REF!</v>
      </c>
      <c r="B139" s="19" t="e">
        <f>"'"&amp;装备!#REF!&amp;"'"</f>
        <v>#REF!</v>
      </c>
      <c r="C139" s="19" t="e">
        <f>装备!#REF!</f>
        <v>#REF!</v>
      </c>
      <c r="D139" s="19" t="e">
        <f>装备!#REF!</f>
        <v>#REF!</v>
      </c>
      <c r="E139" s="19" t="e">
        <f>装备!#REF!</f>
        <v>#REF!</v>
      </c>
      <c r="F139" s="19" t="e">
        <f>装备!#REF!</f>
        <v>#REF!</v>
      </c>
      <c r="G139" s="19" t="e">
        <f>装备!#REF!</f>
        <v>#REF!</v>
      </c>
      <c r="H139" s="19" t="e">
        <f>装备!#REF!</f>
        <v>#REF!</v>
      </c>
      <c r="I139" s="19" t="e">
        <f>IF(装备!#REF!=0,0,"'"&amp;装备!#REF!&amp;"'")</f>
        <v>#REF!</v>
      </c>
      <c r="J139" s="19" t="e">
        <f>IF(装备!#REF!=0,0,"'"&amp;装备!#REF!&amp;"'")</f>
        <v>#REF!</v>
      </c>
      <c r="K139" s="19" t="e">
        <f>IF(装备!#REF!=0,0,"'"&amp;装备!#REF!&amp;"'")</f>
        <v>#REF!</v>
      </c>
      <c r="L139" s="19" t="e">
        <f>IF(装备!#REF!=0,0,"'"&amp;装备!#REF!&amp;"'")</f>
        <v>#REF!</v>
      </c>
      <c r="M139" s="19" t="e">
        <f>IF(装备!#REF!=0,0,"'"&amp;装备!#REF!&amp;"'")</f>
        <v>#REF!</v>
      </c>
      <c r="N139" s="19" t="e">
        <f>IF(装备!#REF!=0,0,"'"&amp;装备!#REF!&amp;"'")</f>
        <v>#REF!</v>
      </c>
      <c r="O139" s="19" t="e">
        <f t="shared" si="40"/>
        <v>#REF!</v>
      </c>
      <c r="P139" s="19" t="str">
        <f t="shared" si="47"/>
        <v/>
      </c>
      <c r="Q139" s="23" t="str">
        <f>IFERROR(VLOOKUP(C139,装备!$B:$E,3,FALSE),"")</f>
        <v/>
      </c>
      <c r="R139" s="23" t="str">
        <f>IFERROR(VLOOKUP(D139,装备!$B:$E,3,FALSE),"")</f>
        <v/>
      </c>
      <c r="S139" s="23" t="str">
        <f>IFERROR(VLOOKUP(E139,装备!$B:$E,3,FALSE),"")</f>
        <v/>
      </c>
      <c r="T139" s="23" t="str">
        <f>IFERROR(VLOOKUP(F139,装备!$B:$E,3,FALSE),"")</f>
        <v/>
      </c>
      <c r="U139" s="23" t="str">
        <f>IFERROR(VLOOKUP(G139,装备!$B:$E,3,FALSE),"")</f>
        <v/>
      </c>
      <c r="V139" s="23" t="str">
        <f>IFERROR(VLOOKUP(H139,装备!$B:$E,3,FALSE),"")</f>
        <v/>
      </c>
      <c r="W139" s="18" t="str">
        <f t="shared" si="41"/>
        <v/>
      </c>
      <c r="X139" s="18" t="str">
        <f t="shared" si="42"/>
        <v/>
      </c>
      <c r="Y139" s="18" t="str">
        <f t="shared" si="43"/>
        <v/>
      </c>
      <c r="Z139" s="18" t="str">
        <f t="shared" si="44"/>
        <v/>
      </c>
      <c r="AA139" s="18" t="str">
        <f t="shared" si="45"/>
        <v/>
      </c>
      <c r="AB139" s="18" t="e">
        <f t="shared" si="46"/>
        <v>#REF!</v>
      </c>
    </row>
    <row r="140" spans="1:28">
      <c r="A140" s="19" t="e">
        <f>装备!#REF!</f>
        <v>#REF!</v>
      </c>
      <c r="B140" s="19" t="e">
        <f>"'"&amp;装备!#REF!&amp;"'"</f>
        <v>#REF!</v>
      </c>
      <c r="C140" s="19" t="e">
        <f>装备!#REF!</f>
        <v>#REF!</v>
      </c>
      <c r="D140" s="19" t="e">
        <f>装备!#REF!</f>
        <v>#REF!</v>
      </c>
      <c r="E140" s="19" t="e">
        <f>装备!#REF!</f>
        <v>#REF!</v>
      </c>
      <c r="F140" s="19" t="e">
        <f>装备!#REF!</f>
        <v>#REF!</v>
      </c>
      <c r="G140" s="19" t="e">
        <f>装备!#REF!</f>
        <v>#REF!</v>
      </c>
      <c r="H140" s="19" t="e">
        <f>装备!#REF!</f>
        <v>#REF!</v>
      </c>
      <c r="I140" s="19" t="e">
        <f>IF(装备!#REF!=0,0,"'"&amp;装备!#REF!&amp;"'")</f>
        <v>#REF!</v>
      </c>
      <c r="J140" s="19" t="e">
        <f>IF(装备!#REF!=0,0,"'"&amp;装备!#REF!&amp;"'")</f>
        <v>#REF!</v>
      </c>
      <c r="K140" s="19" t="e">
        <f>IF(装备!#REF!=0,0,"'"&amp;装备!#REF!&amp;"'")</f>
        <v>#REF!</v>
      </c>
      <c r="L140" s="19" t="e">
        <f>IF(装备!#REF!=0,0,"'"&amp;装备!#REF!&amp;"'")</f>
        <v>#REF!</v>
      </c>
      <c r="M140" s="19" t="e">
        <f>IF(装备!#REF!=0,0,"'"&amp;装备!#REF!&amp;"'")</f>
        <v>#REF!</v>
      </c>
      <c r="N140" s="19" t="e">
        <f>IF(装备!#REF!=0,0,"'"&amp;装备!#REF!&amp;"'")</f>
        <v>#REF!</v>
      </c>
      <c r="O140" s="19" t="e">
        <f t="shared" si="40"/>
        <v>#REF!</v>
      </c>
      <c r="P140" s="19" t="str">
        <f t="shared" si="47"/>
        <v/>
      </c>
      <c r="Q140" s="23" t="str">
        <f>IFERROR(VLOOKUP(C140,装备!$B:$E,3,FALSE),"")</f>
        <v/>
      </c>
      <c r="R140" s="23" t="str">
        <f>IFERROR(VLOOKUP(D140,装备!$B:$E,3,FALSE),"")</f>
        <v/>
      </c>
      <c r="S140" s="23" t="str">
        <f>IFERROR(VLOOKUP(E140,装备!$B:$E,3,FALSE),"")</f>
        <v/>
      </c>
      <c r="T140" s="23" t="str">
        <f>IFERROR(VLOOKUP(F140,装备!$B:$E,3,FALSE),"")</f>
        <v/>
      </c>
      <c r="U140" s="23" t="str">
        <f>IFERROR(VLOOKUP(G140,装备!$B:$E,3,FALSE),"")</f>
        <v/>
      </c>
      <c r="V140" s="23" t="str">
        <f>IFERROR(VLOOKUP(H140,装备!$B:$E,3,FALSE),"")</f>
        <v/>
      </c>
      <c r="W140" s="18" t="str">
        <f t="shared" si="41"/>
        <v/>
      </c>
      <c r="X140" s="18" t="str">
        <f t="shared" si="42"/>
        <v/>
      </c>
      <c r="Y140" s="18" t="str">
        <f t="shared" si="43"/>
        <v/>
      </c>
      <c r="Z140" s="18" t="str">
        <f t="shared" si="44"/>
        <v/>
      </c>
      <c r="AA140" s="18" t="str">
        <f t="shared" si="45"/>
        <v/>
      </c>
      <c r="AB140" s="18" t="e">
        <f t="shared" si="46"/>
        <v>#REF!</v>
      </c>
    </row>
    <row r="141" spans="1:28">
      <c r="A141" s="19" t="e">
        <f>装备!#REF!</f>
        <v>#REF!</v>
      </c>
      <c r="B141" s="19" t="e">
        <f>"'"&amp;装备!#REF!&amp;"'"</f>
        <v>#REF!</v>
      </c>
      <c r="C141" s="19" t="e">
        <f>装备!#REF!</f>
        <v>#REF!</v>
      </c>
      <c r="D141" s="19" t="e">
        <f>装备!#REF!</f>
        <v>#REF!</v>
      </c>
      <c r="E141" s="19" t="e">
        <f>装备!#REF!</f>
        <v>#REF!</v>
      </c>
      <c r="F141" s="19" t="e">
        <f>装备!#REF!</f>
        <v>#REF!</v>
      </c>
      <c r="G141" s="19" t="e">
        <f>装备!#REF!</f>
        <v>#REF!</v>
      </c>
      <c r="H141" s="19" t="e">
        <f>装备!#REF!</f>
        <v>#REF!</v>
      </c>
      <c r="I141" s="19" t="e">
        <f>IF(装备!#REF!=0,0,"'"&amp;装备!#REF!&amp;"'")</f>
        <v>#REF!</v>
      </c>
      <c r="J141" s="19" t="e">
        <f>IF(装备!#REF!=0,0,"'"&amp;装备!#REF!&amp;"'")</f>
        <v>#REF!</v>
      </c>
      <c r="K141" s="19" t="e">
        <f>IF(装备!#REF!=0,0,"'"&amp;装备!#REF!&amp;"'")</f>
        <v>#REF!</v>
      </c>
      <c r="L141" s="19" t="e">
        <f>IF(装备!#REF!=0,0,"'"&amp;装备!#REF!&amp;"'")</f>
        <v>#REF!</v>
      </c>
      <c r="M141" s="19" t="e">
        <f>IF(装备!#REF!=0,0,"'"&amp;装备!#REF!&amp;"'")</f>
        <v>#REF!</v>
      </c>
      <c r="N141" s="19" t="e">
        <f>IF(装备!#REF!=0,0,"'"&amp;装备!#REF!&amp;"'")</f>
        <v>#REF!</v>
      </c>
      <c r="O141" s="19" t="e">
        <f t="shared" si="40"/>
        <v>#REF!</v>
      </c>
      <c r="P141" s="19" t="str">
        <f t="shared" si="47"/>
        <v/>
      </c>
      <c r="Q141" s="23" t="str">
        <f>IFERROR(VLOOKUP(C141,装备!$B:$E,3,FALSE),"")</f>
        <v/>
      </c>
      <c r="R141" s="23" t="str">
        <f>IFERROR(VLOOKUP(D141,装备!$B:$E,3,FALSE),"")</f>
        <v/>
      </c>
      <c r="S141" s="23" t="str">
        <f>IFERROR(VLOOKUP(E141,装备!$B:$E,3,FALSE),"")</f>
        <v/>
      </c>
      <c r="T141" s="23" t="str">
        <f>IFERROR(VLOOKUP(F141,装备!$B:$E,3,FALSE),"")</f>
        <v/>
      </c>
      <c r="U141" s="23" t="str">
        <f>IFERROR(VLOOKUP(G141,装备!$B:$E,3,FALSE),"")</f>
        <v/>
      </c>
      <c r="V141" s="23" t="str">
        <f>IFERROR(VLOOKUP(H141,装备!$B:$E,3,FALSE),"")</f>
        <v/>
      </c>
      <c r="W141" s="18" t="str">
        <f t="shared" si="41"/>
        <v/>
      </c>
      <c r="X141" s="18" t="str">
        <f t="shared" si="42"/>
        <v/>
      </c>
      <c r="Y141" s="18" t="str">
        <f t="shared" si="43"/>
        <v/>
      </c>
      <c r="Z141" s="18" t="str">
        <f t="shared" si="44"/>
        <v/>
      </c>
      <c r="AA141" s="18" t="str">
        <f t="shared" si="45"/>
        <v/>
      </c>
      <c r="AB141" s="18" t="e">
        <f t="shared" si="46"/>
        <v>#REF!</v>
      </c>
    </row>
    <row r="142" spans="1:28">
      <c r="A142" s="19" t="e">
        <f>装备!#REF!</f>
        <v>#REF!</v>
      </c>
      <c r="B142" s="19" t="e">
        <f>"'"&amp;装备!#REF!&amp;"'"</f>
        <v>#REF!</v>
      </c>
      <c r="C142" s="19" t="e">
        <f>装备!#REF!</f>
        <v>#REF!</v>
      </c>
      <c r="D142" s="19" t="e">
        <f>装备!#REF!</f>
        <v>#REF!</v>
      </c>
      <c r="E142" s="19" t="e">
        <f>装备!#REF!</f>
        <v>#REF!</v>
      </c>
      <c r="F142" s="19" t="e">
        <f>装备!#REF!</f>
        <v>#REF!</v>
      </c>
      <c r="G142" s="19" t="e">
        <f>装备!#REF!</f>
        <v>#REF!</v>
      </c>
      <c r="H142" s="19" t="e">
        <f>装备!#REF!</f>
        <v>#REF!</v>
      </c>
      <c r="I142" s="19" t="e">
        <f>IF(装备!#REF!=0,0,"'"&amp;装备!#REF!&amp;"'")</f>
        <v>#REF!</v>
      </c>
      <c r="J142" s="19" t="e">
        <f>IF(装备!#REF!=0,0,"'"&amp;装备!#REF!&amp;"'")</f>
        <v>#REF!</v>
      </c>
      <c r="K142" s="19" t="e">
        <f>IF(装备!#REF!=0,0,"'"&amp;装备!#REF!&amp;"'")</f>
        <v>#REF!</v>
      </c>
      <c r="L142" s="19" t="e">
        <f>IF(装备!#REF!=0,0,"'"&amp;装备!#REF!&amp;"'")</f>
        <v>#REF!</v>
      </c>
      <c r="M142" s="19" t="e">
        <f>IF(装备!#REF!=0,0,"'"&amp;装备!#REF!&amp;"'")</f>
        <v>#REF!</v>
      </c>
      <c r="N142" s="19" t="e">
        <f>IF(装备!#REF!=0,0,"'"&amp;装备!#REF!&amp;"'")</f>
        <v>#REF!</v>
      </c>
      <c r="O142" s="19" t="e">
        <f t="shared" si="40"/>
        <v>#REF!</v>
      </c>
      <c r="P142" s="19" t="str">
        <f t="shared" si="47"/>
        <v/>
      </c>
      <c r="Q142" s="23" t="str">
        <f>IFERROR(VLOOKUP(C142,装备!$B:$E,3,FALSE),"")</f>
        <v/>
      </c>
      <c r="R142" s="23" t="str">
        <f>IFERROR(VLOOKUP(D142,装备!$B:$E,3,FALSE),"")</f>
        <v/>
      </c>
      <c r="S142" s="23" t="str">
        <f>IFERROR(VLOOKUP(E142,装备!$B:$E,3,FALSE),"")</f>
        <v/>
      </c>
      <c r="T142" s="23" t="str">
        <f>IFERROR(VLOOKUP(F142,装备!$B:$E,3,FALSE),"")</f>
        <v/>
      </c>
      <c r="U142" s="23" t="str">
        <f>IFERROR(VLOOKUP(G142,装备!$B:$E,3,FALSE),"")</f>
        <v/>
      </c>
      <c r="V142" s="23" t="str">
        <f>IFERROR(VLOOKUP(H142,装备!$B:$E,3,FALSE),"")</f>
        <v/>
      </c>
      <c r="W142" s="18" t="str">
        <f t="shared" si="41"/>
        <v/>
      </c>
      <c r="X142" s="18" t="str">
        <f t="shared" si="42"/>
        <v/>
      </c>
      <c r="Y142" s="18" t="str">
        <f t="shared" si="43"/>
        <v/>
      </c>
      <c r="Z142" s="18" t="str">
        <f t="shared" si="44"/>
        <v/>
      </c>
      <c r="AA142" s="18" t="str">
        <f t="shared" si="45"/>
        <v/>
      </c>
      <c r="AB142" s="18" t="e">
        <f t="shared" si="46"/>
        <v>#REF!</v>
      </c>
    </row>
    <row r="143" spans="1:28">
      <c r="A143" s="19" t="e">
        <f>装备!#REF!</f>
        <v>#REF!</v>
      </c>
      <c r="B143" s="19" t="e">
        <f>"'"&amp;装备!#REF!&amp;"'"</f>
        <v>#REF!</v>
      </c>
      <c r="C143" s="19" t="e">
        <f>装备!#REF!</f>
        <v>#REF!</v>
      </c>
      <c r="D143" s="19" t="e">
        <f>装备!#REF!</f>
        <v>#REF!</v>
      </c>
      <c r="E143" s="19" t="e">
        <f>装备!#REF!</f>
        <v>#REF!</v>
      </c>
      <c r="F143" s="19" t="e">
        <f>装备!#REF!</f>
        <v>#REF!</v>
      </c>
      <c r="G143" s="19" t="e">
        <f>装备!#REF!</f>
        <v>#REF!</v>
      </c>
      <c r="H143" s="19" t="e">
        <f>装备!#REF!</f>
        <v>#REF!</v>
      </c>
      <c r="I143" s="19" t="e">
        <f>IF(装备!#REF!=0,0,"'"&amp;装备!#REF!&amp;"'")</f>
        <v>#REF!</v>
      </c>
      <c r="J143" s="19" t="e">
        <f>IF(装备!#REF!=0,0,"'"&amp;装备!#REF!&amp;"'")</f>
        <v>#REF!</v>
      </c>
      <c r="K143" s="19" t="e">
        <f>IF(装备!#REF!=0,0,"'"&amp;装备!#REF!&amp;"'")</f>
        <v>#REF!</v>
      </c>
      <c r="L143" s="19" t="e">
        <f>IF(装备!#REF!=0,0,"'"&amp;装备!#REF!&amp;"'")</f>
        <v>#REF!</v>
      </c>
      <c r="M143" s="19" t="e">
        <f>IF(装备!#REF!=0,0,"'"&amp;装备!#REF!&amp;"'")</f>
        <v>#REF!</v>
      </c>
      <c r="N143" s="19" t="e">
        <f>IF(装备!#REF!=0,0,"'"&amp;装备!#REF!&amp;"'")</f>
        <v>#REF!</v>
      </c>
      <c r="O143" s="19" t="e">
        <f t="shared" si="40"/>
        <v>#REF!</v>
      </c>
      <c r="P143" s="19" t="str">
        <f t="shared" si="47"/>
        <v/>
      </c>
      <c r="Q143" s="23" t="str">
        <f>IFERROR(VLOOKUP(C143,装备!$B:$E,3,FALSE),"")</f>
        <v/>
      </c>
      <c r="R143" s="23" t="str">
        <f>IFERROR(VLOOKUP(D143,装备!$B:$E,3,FALSE),"")</f>
        <v/>
      </c>
      <c r="S143" s="23" t="str">
        <f>IFERROR(VLOOKUP(E143,装备!$B:$E,3,FALSE),"")</f>
        <v/>
      </c>
      <c r="T143" s="23" t="str">
        <f>IFERROR(VLOOKUP(F143,装备!$B:$E,3,FALSE),"")</f>
        <v/>
      </c>
      <c r="U143" s="23" t="str">
        <f>IFERROR(VLOOKUP(G143,装备!$B:$E,3,FALSE),"")</f>
        <v/>
      </c>
      <c r="V143" s="23" t="str">
        <f>IFERROR(VLOOKUP(H143,装备!$B:$E,3,FALSE),"")</f>
        <v/>
      </c>
      <c r="W143" s="18" t="str">
        <f t="shared" si="41"/>
        <v/>
      </c>
      <c r="X143" s="18" t="str">
        <f t="shared" si="42"/>
        <v/>
      </c>
      <c r="Y143" s="18" t="str">
        <f t="shared" si="43"/>
        <v/>
      </c>
      <c r="Z143" s="18" t="str">
        <f t="shared" si="44"/>
        <v/>
      </c>
      <c r="AA143" s="18" t="str">
        <f t="shared" si="45"/>
        <v/>
      </c>
      <c r="AB143" s="18" t="e">
        <f t="shared" si="46"/>
        <v>#REF!</v>
      </c>
    </row>
    <row r="144" spans="1:28">
      <c r="A144" s="19" t="e">
        <f>装备!#REF!</f>
        <v>#REF!</v>
      </c>
      <c r="B144" s="19" t="e">
        <f>"'"&amp;装备!#REF!&amp;"'"</f>
        <v>#REF!</v>
      </c>
      <c r="C144" s="19" t="e">
        <f>装备!#REF!</f>
        <v>#REF!</v>
      </c>
      <c r="D144" s="19" t="e">
        <f>装备!#REF!</f>
        <v>#REF!</v>
      </c>
      <c r="E144" s="19" t="e">
        <f>装备!#REF!</f>
        <v>#REF!</v>
      </c>
      <c r="F144" s="19" t="e">
        <f>装备!#REF!</f>
        <v>#REF!</v>
      </c>
      <c r="G144" s="19" t="e">
        <f>装备!#REF!</f>
        <v>#REF!</v>
      </c>
      <c r="H144" s="19" t="e">
        <f>装备!#REF!</f>
        <v>#REF!</v>
      </c>
      <c r="I144" s="19" t="e">
        <f>IF(装备!#REF!=0,0,"'"&amp;装备!#REF!&amp;"'")</f>
        <v>#REF!</v>
      </c>
      <c r="J144" s="19" t="e">
        <f>IF(装备!#REF!=0,0,"'"&amp;装备!#REF!&amp;"'")</f>
        <v>#REF!</v>
      </c>
      <c r="K144" s="19" t="e">
        <f>IF(装备!#REF!=0,0,"'"&amp;装备!#REF!&amp;"'")</f>
        <v>#REF!</v>
      </c>
      <c r="L144" s="19" t="e">
        <f>IF(装备!#REF!=0,0,"'"&amp;装备!#REF!&amp;"'")</f>
        <v>#REF!</v>
      </c>
      <c r="M144" s="19" t="e">
        <f>IF(装备!#REF!=0,0,"'"&amp;装备!#REF!&amp;"'")</f>
        <v>#REF!</v>
      </c>
      <c r="N144" s="19" t="e">
        <f>IF(装备!#REF!=0,0,"'"&amp;装备!#REF!&amp;"'")</f>
        <v>#REF!</v>
      </c>
      <c r="O144" s="19" t="e">
        <f t="shared" si="40"/>
        <v>#REF!</v>
      </c>
      <c r="P144" s="19" t="str">
        <f t="shared" si="47"/>
        <v/>
      </c>
      <c r="Q144" s="23" t="str">
        <f>IFERROR(VLOOKUP(C144,装备!$B:$E,3,FALSE),"")</f>
        <v/>
      </c>
      <c r="R144" s="23" t="str">
        <f>IFERROR(VLOOKUP(D144,装备!$B:$E,3,FALSE),"")</f>
        <v/>
      </c>
      <c r="S144" s="23" t="str">
        <f>IFERROR(VLOOKUP(E144,装备!$B:$E,3,FALSE),"")</f>
        <v/>
      </c>
      <c r="T144" s="23" t="str">
        <f>IFERROR(VLOOKUP(F144,装备!$B:$E,3,FALSE),"")</f>
        <v/>
      </c>
      <c r="U144" s="23" t="str">
        <f>IFERROR(VLOOKUP(G144,装备!$B:$E,3,FALSE),"")</f>
        <v/>
      </c>
      <c r="V144" s="23" t="str">
        <f>IFERROR(VLOOKUP(H144,装备!$B:$E,3,FALSE),"")</f>
        <v/>
      </c>
      <c r="W144" s="18" t="str">
        <f t="shared" si="41"/>
        <v/>
      </c>
      <c r="X144" s="18" t="str">
        <f t="shared" si="42"/>
        <v/>
      </c>
      <c r="Y144" s="18" t="str">
        <f t="shared" si="43"/>
        <v/>
      </c>
      <c r="Z144" s="18" t="str">
        <f t="shared" si="44"/>
        <v/>
      </c>
      <c r="AA144" s="18" t="str">
        <f t="shared" si="45"/>
        <v/>
      </c>
      <c r="AB144" s="18" t="e">
        <f t="shared" si="46"/>
        <v>#REF!</v>
      </c>
    </row>
    <row r="145" spans="1:28">
      <c r="A145" s="19" t="e">
        <f>装备!#REF!</f>
        <v>#REF!</v>
      </c>
      <c r="B145" s="19" t="e">
        <f>"'"&amp;装备!#REF!&amp;"'"</f>
        <v>#REF!</v>
      </c>
      <c r="C145" s="19" t="e">
        <f>装备!#REF!</f>
        <v>#REF!</v>
      </c>
      <c r="D145" s="19" t="e">
        <f>装备!#REF!</f>
        <v>#REF!</v>
      </c>
      <c r="E145" s="19" t="e">
        <f>装备!#REF!</f>
        <v>#REF!</v>
      </c>
      <c r="F145" s="19" t="e">
        <f>装备!#REF!</f>
        <v>#REF!</v>
      </c>
      <c r="G145" s="19" t="e">
        <f>装备!#REF!</f>
        <v>#REF!</v>
      </c>
      <c r="H145" s="19" t="e">
        <f>装备!#REF!</f>
        <v>#REF!</v>
      </c>
      <c r="I145" s="19" t="e">
        <f>IF(装备!#REF!=0,0,"'"&amp;装备!#REF!&amp;"'")</f>
        <v>#REF!</v>
      </c>
      <c r="J145" s="19" t="e">
        <f>IF(装备!#REF!=0,0,"'"&amp;装备!#REF!&amp;"'")</f>
        <v>#REF!</v>
      </c>
      <c r="K145" s="19" t="e">
        <f>IF(装备!#REF!=0,0,"'"&amp;装备!#REF!&amp;"'")</f>
        <v>#REF!</v>
      </c>
      <c r="L145" s="19" t="e">
        <f>IF(装备!#REF!=0,0,"'"&amp;装备!#REF!&amp;"'")</f>
        <v>#REF!</v>
      </c>
      <c r="M145" s="19" t="e">
        <f>IF(装备!#REF!=0,0,"'"&amp;装备!#REF!&amp;"'")</f>
        <v>#REF!</v>
      </c>
      <c r="N145" s="19" t="e">
        <f>IF(装备!#REF!=0,0,"'"&amp;装备!#REF!&amp;"'")</f>
        <v>#REF!</v>
      </c>
      <c r="O145" s="19" t="e">
        <f t="shared" si="40"/>
        <v>#REF!</v>
      </c>
      <c r="P145" s="19" t="str">
        <f t="shared" si="47"/>
        <v/>
      </c>
      <c r="Q145" s="23" t="str">
        <f>IFERROR(VLOOKUP(C145,装备!$B:$E,3,FALSE),"")</f>
        <v/>
      </c>
      <c r="R145" s="23" t="str">
        <f>IFERROR(VLOOKUP(D145,装备!$B:$E,3,FALSE),"")</f>
        <v/>
      </c>
      <c r="S145" s="23" t="str">
        <f>IFERROR(VLOOKUP(E145,装备!$B:$E,3,FALSE),"")</f>
        <v/>
      </c>
      <c r="T145" s="23" t="str">
        <f>IFERROR(VLOOKUP(F145,装备!$B:$E,3,FALSE),"")</f>
        <v/>
      </c>
      <c r="U145" s="23" t="str">
        <f>IFERROR(VLOOKUP(G145,装备!$B:$E,3,FALSE),"")</f>
        <v/>
      </c>
      <c r="V145" s="23" t="str">
        <f>IFERROR(VLOOKUP(H145,装备!$B:$E,3,FALSE),"")</f>
        <v/>
      </c>
      <c r="W145" s="18" t="str">
        <f t="shared" si="41"/>
        <v/>
      </c>
      <c r="X145" s="18" t="str">
        <f t="shared" si="42"/>
        <v/>
      </c>
      <c r="Y145" s="18" t="str">
        <f t="shared" si="43"/>
        <v/>
      </c>
      <c r="Z145" s="18" t="str">
        <f t="shared" si="44"/>
        <v/>
      </c>
      <c r="AA145" s="18" t="str">
        <f t="shared" si="45"/>
        <v/>
      </c>
      <c r="AB145" s="18" t="e">
        <f t="shared" si="46"/>
        <v>#REF!</v>
      </c>
    </row>
    <row r="146" spans="1:28">
      <c r="A146" s="19" t="e">
        <f>装备!#REF!</f>
        <v>#REF!</v>
      </c>
      <c r="B146" s="19" t="e">
        <f>"'"&amp;装备!#REF!&amp;"'"</f>
        <v>#REF!</v>
      </c>
      <c r="C146" s="19" t="e">
        <f>装备!#REF!</f>
        <v>#REF!</v>
      </c>
      <c r="D146" s="19" t="e">
        <f>装备!#REF!</f>
        <v>#REF!</v>
      </c>
      <c r="E146" s="19" t="e">
        <f>装备!#REF!</f>
        <v>#REF!</v>
      </c>
      <c r="F146" s="19" t="e">
        <f>装备!#REF!</f>
        <v>#REF!</v>
      </c>
      <c r="G146" s="19" t="e">
        <f>装备!#REF!</f>
        <v>#REF!</v>
      </c>
      <c r="H146" s="19" t="e">
        <f>装备!#REF!</f>
        <v>#REF!</v>
      </c>
      <c r="I146" s="19" t="e">
        <f>IF(装备!#REF!=0,0,"'"&amp;装备!#REF!&amp;"'")</f>
        <v>#REF!</v>
      </c>
      <c r="J146" s="19" t="e">
        <f>IF(装备!#REF!=0,0,"'"&amp;装备!#REF!&amp;"'")</f>
        <v>#REF!</v>
      </c>
      <c r="K146" s="19" t="e">
        <f>IF(装备!#REF!=0,0,"'"&amp;装备!#REF!&amp;"'")</f>
        <v>#REF!</v>
      </c>
      <c r="L146" s="19" t="e">
        <f>IF(装备!#REF!=0,0,"'"&amp;装备!#REF!&amp;"'")</f>
        <v>#REF!</v>
      </c>
      <c r="M146" s="19" t="e">
        <f>IF(装备!#REF!=0,0,"'"&amp;装备!#REF!&amp;"'")</f>
        <v>#REF!</v>
      </c>
      <c r="N146" s="19" t="e">
        <f>IF(装备!#REF!=0,0,"'"&amp;装备!#REF!&amp;"'")</f>
        <v>#REF!</v>
      </c>
      <c r="O146" s="19" t="e">
        <f t="shared" si="40"/>
        <v>#REF!</v>
      </c>
      <c r="P146" s="19" t="str">
        <f t="shared" si="47"/>
        <v/>
      </c>
      <c r="Q146" s="23" t="str">
        <f>IFERROR(VLOOKUP(C146,装备!$B:$E,3,FALSE),"")</f>
        <v/>
      </c>
      <c r="R146" s="23" t="str">
        <f>IFERROR(VLOOKUP(D146,装备!$B:$E,3,FALSE),"")</f>
        <v/>
      </c>
      <c r="S146" s="23" t="str">
        <f>IFERROR(VLOOKUP(E146,装备!$B:$E,3,FALSE),"")</f>
        <v/>
      </c>
      <c r="T146" s="23" t="str">
        <f>IFERROR(VLOOKUP(F146,装备!$B:$E,3,FALSE),"")</f>
        <v/>
      </c>
      <c r="U146" s="23" t="str">
        <f>IFERROR(VLOOKUP(G146,装备!$B:$E,3,FALSE),"")</f>
        <v/>
      </c>
      <c r="V146" s="23" t="str">
        <f>IFERROR(VLOOKUP(H146,装备!$B:$E,3,FALSE),"")</f>
        <v/>
      </c>
      <c r="W146" s="18" t="str">
        <f t="shared" si="41"/>
        <v/>
      </c>
      <c r="X146" s="18" t="str">
        <f t="shared" si="42"/>
        <v/>
      </c>
      <c r="Y146" s="18" t="str">
        <f t="shared" si="43"/>
        <v/>
      </c>
      <c r="Z146" s="18" t="str">
        <f t="shared" si="44"/>
        <v/>
      </c>
      <c r="AA146" s="18" t="str">
        <f t="shared" si="45"/>
        <v/>
      </c>
      <c r="AB146" s="18" t="e">
        <f t="shared" si="46"/>
        <v>#REF!</v>
      </c>
    </row>
    <row r="147" spans="1:28">
      <c r="A147" s="19" t="e">
        <f>装备!#REF!</f>
        <v>#REF!</v>
      </c>
      <c r="B147" s="19" t="e">
        <f>"'"&amp;装备!#REF!&amp;"'"</f>
        <v>#REF!</v>
      </c>
      <c r="C147" s="19" t="e">
        <f>装备!#REF!</f>
        <v>#REF!</v>
      </c>
      <c r="D147" s="19" t="e">
        <f>装备!#REF!</f>
        <v>#REF!</v>
      </c>
      <c r="E147" s="19" t="e">
        <f>装备!#REF!</f>
        <v>#REF!</v>
      </c>
      <c r="F147" s="19" t="e">
        <f>装备!#REF!</f>
        <v>#REF!</v>
      </c>
      <c r="G147" s="19" t="e">
        <f>装备!#REF!</f>
        <v>#REF!</v>
      </c>
      <c r="H147" s="19" t="e">
        <f>装备!#REF!</f>
        <v>#REF!</v>
      </c>
      <c r="I147" s="19" t="e">
        <f>IF(装备!#REF!=0,0,"'"&amp;装备!#REF!&amp;"'")</f>
        <v>#REF!</v>
      </c>
      <c r="J147" s="19" t="e">
        <f>IF(装备!#REF!=0,0,"'"&amp;装备!#REF!&amp;"'")</f>
        <v>#REF!</v>
      </c>
      <c r="K147" s="19" t="e">
        <f>IF(装备!#REF!=0,0,"'"&amp;装备!#REF!&amp;"'")</f>
        <v>#REF!</v>
      </c>
      <c r="L147" s="19" t="e">
        <f>IF(装备!#REF!=0,0,"'"&amp;装备!#REF!&amp;"'")</f>
        <v>#REF!</v>
      </c>
      <c r="M147" s="19" t="e">
        <f>IF(装备!#REF!=0,0,"'"&amp;装备!#REF!&amp;"'")</f>
        <v>#REF!</v>
      </c>
      <c r="N147" s="19" t="e">
        <f>IF(装备!#REF!=0,0,"'"&amp;装备!#REF!&amp;"'")</f>
        <v>#REF!</v>
      </c>
      <c r="O147" s="19" t="e">
        <f t="shared" si="40"/>
        <v>#REF!</v>
      </c>
      <c r="P147" s="19" t="str">
        <f t="shared" si="47"/>
        <v/>
      </c>
      <c r="Q147" s="23" t="str">
        <f>IFERROR(VLOOKUP(C147,装备!$B:$E,3,FALSE),"")</f>
        <v/>
      </c>
      <c r="R147" s="23" t="str">
        <f>IFERROR(VLOOKUP(D147,装备!$B:$E,3,FALSE),"")</f>
        <v/>
      </c>
      <c r="S147" s="23" t="str">
        <f>IFERROR(VLOOKUP(E147,装备!$B:$E,3,FALSE),"")</f>
        <v/>
      </c>
      <c r="T147" s="23" t="str">
        <f>IFERROR(VLOOKUP(F147,装备!$B:$E,3,FALSE),"")</f>
        <v/>
      </c>
      <c r="U147" s="23" t="str">
        <f>IFERROR(VLOOKUP(G147,装备!$B:$E,3,FALSE),"")</f>
        <v/>
      </c>
      <c r="V147" s="23" t="str">
        <f>IFERROR(VLOOKUP(H147,装备!$B:$E,3,FALSE),"")</f>
        <v/>
      </c>
      <c r="W147" s="18" t="str">
        <f t="shared" si="41"/>
        <v/>
      </c>
      <c r="X147" s="18" t="str">
        <f t="shared" si="42"/>
        <v/>
      </c>
      <c r="Y147" s="18" t="str">
        <f t="shared" si="43"/>
        <v/>
      </c>
      <c r="Z147" s="18" t="str">
        <f t="shared" si="44"/>
        <v/>
      </c>
      <c r="AA147" s="18" t="str">
        <f t="shared" si="45"/>
        <v/>
      </c>
      <c r="AB147" s="18" t="e">
        <f t="shared" si="46"/>
        <v>#REF!</v>
      </c>
    </row>
    <row r="148" spans="1:28">
      <c r="A148" s="19" t="e">
        <f>装备!#REF!</f>
        <v>#REF!</v>
      </c>
      <c r="B148" s="19" t="e">
        <f>"'"&amp;装备!#REF!&amp;"'"</f>
        <v>#REF!</v>
      </c>
      <c r="C148" s="19" t="e">
        <f>装备!#REF!</f>
        <v>#REF!</v>
      </c>
      <c r="D148" s="19" t="e">
        <f>装备!#REF!</f>
        <v>#REF!</v>
      </c>
      <c r="E148" s="19" t="e">
        <f>装备!#REF!</f>
        <v>#REF!</v>
      </c>
      <c r="F148" s="19" t="e">
        <f>装备!#REF!</f>
        <v>#REF!</v>
      </c>
      <c r="G148" s="19" t="e">
        <f>装备!#REF!</f>
        <v>#REF!</v>
      </c>
      <c r="H148" s="19" t="e">
        <f>装备!#REF!</f>
        <v>#REF!</v>
      </c>
      <c r="I148" s="19" t="e">
        <f>IF(装备!#REF!=0,0,"'"&amp;装备!#REF!&amp;"'")</f>
        <v>#REF!</v>
      </c>
      <c r="J148" s="19" t="e">
        <f>IF(装备!#REF!=0,0,"'"&amp;装备!#REF!&amp;"'")</f>
        <v>#REF!</v>
      </c>
      <c r="K148" s="19" t="e">
        <f>IF(装备!#REF!=0,0,"'"&amp;装备!#REF!&amp;"'")</f>
        <v>#REF!</v>
      </c>
      <c r="L148" s="19" t="e">
        <f>IF(装备!#REF!=0,0,"'"&amp;装备!#REF!&amp;"'")</f>
        <v>#REF!</v>
      </c>
      <c r="M148" s="19" t="e">
        <f>IF(装备!#REF!=0,0,"'"&amp;装备!#REF!&amp;"'")</f>
        <v>#REF!</v>
      </c>
      <c r="N148" s="19" t="e">
        <f>IF(装备!#REF!=0,0,"'"&amp;装备!#REF!&amp;"'")</f>
        <v>#REF!</v>
      </c>
      <c r="O148" s="19" t="e">
        <f t="shared" si="40"/>
        <v>#REF!</v>
      </c>
      <c r="P148" s="19" t="str">
        <f t="shared" si="47"/>
        <v/>
      </c>
      <c r="Q148" s="23" t="str">
        <f>IFERROR(VLOOKUP(C148,装备!$B:$E,3,FALSE),"")</f>
        <v/>
      </c>
      <c r="R148" s="23" t="str">
        <f>IFERROR(VLOOKUP(D148,装备!$B:$E,3,FALSE),"")</f>
        <v/>
      </c>
      <c r="S148" s="23" t="str">
        <f>IFERROR(VLOOKUP(E148,装备!$B:$E,3,FALSE),"")</f>
        <v/>
      </c>
      <c r="T148" s="23" t="str">
        <f>IFERROR(VLOOKUP(F148,装备!$B:$E,3,FALSE),"")</f>
        <v/>
      </c>
      <c r="U148" s="23" t="str">
        <f>IFERROR(VLOOKUP(G148,装备!$B:$E,3,FALSE),"")</f>
        <v/>
      </c>
      <c r="V148" s="23" t="str">
        <f>IFERROR(VLOOKUP(H148,装备!$B:$E,3,FALSE),"")</f>
        <v/>
      </c>
      <c r="W148" s="18" t="str">
        <f t="shared" si="41"/>
        <v/>
      </c>
      <c r="X148" s="18" t="str">
        <f t="shared" si="42"/>
        <v/>
      </c>
      <c r="Y148" s="18" t="str">
        <f t="shared" si="43"/>
        <v/>
      </c>
      <c r="Z148" s="18" t="str">
        <f t="shared" si="44"/>
        <v/>
      </c>
      <c r="AA148" s="18" t="str">
        <f t="shared" si="45"/>
        <v/>
      </c>
      <c r="AB148" s="18" t="e">
        <f t="shared" si="46"/>
        <v>#REF!</v>
      </c>
    </row>
    <row r="149" spans="1:28">
      <c r="A149" s="19" t="e">
        <f>装备!#REF!</f>
        <v>#REF!</v>
      </c>
      <c r="B149" s="19" t="e">
        <f>"'"&amp;装备!#REF!&amp;"'"</f>
        <v>#REF!</v>
      </c>
      <c r="C149" s="19" t="e">
        <f>装备!#REF!</f>
        <v>#REF!</v>
      </c>
      <c r="D149" s="19" t="e">
        <f>装备!#REF!</f>
        <v>#REF!</v>
      </c>
      <c r="E149" s="19" t="e">
        <f>装备!#REF!</f>
        <v>#REF!</v>
      </c>
      <c r="F149" s="19" t="e">
        <f>装备!#REF!</f>
        <v>#REF!</v>
      </c>
      <c r="G149" s="19" t="e">
        <f>装备!#REF!</f>
        <v>#REF!</v>
      </c>
      <c r="H149" s="19" t="e">
        <f>装备!#REF!</f>
        <v>#REF!</v>
      </c>
      <c r="I149" s="19" t="e">
        <f>IF(装备!#REF!=0,0,"'"&amp;装备!#REF!&amp;"'")</f>
        <v>#REF!</v>
      </c>
      <c r="J149" s="19" t="e">
        <f>IF(装备!#REF!=0,0,"'"&amp;装备!#REF!&amp;"'")</f>
        <v>#REF!</v>
      </c>
      <c r="K149" s="19" t="e">
        <f>IF(装备!#REF!=0,0,"'"&amp;装备!#REF!&amp;"'")</f>
        <v>#REF!</v>
      </c>
      <c r="L149" s="19" t="e">
        <f>IF(装备!#REF!=0,0,"'"&amp;装备!#REF!&amp;"'")</f>
        <v>#REF!</v>
      </c>
      <c r="M149" s="19" t="e">
        <f>IF(装备!#REF!=0,0,"'"&amp;装备!#REF!&amp;"'")</f>
        <v>#REF!</v>
      </c>
      <c r="N149" s="19" t="e">
        <f>IF(装备!#REF!=0,0,"'"&amp;装备!#REF!&amp;"'")</f>
        <v>#REF!</v>
      </c>
      <c r="O149" s="19" t="e">
        <f t="shared" si="40"/>
        <v>#REF!</v>
      </c>
      <c r="P149" s="19" t="str">
        <f t="shared" si="47"/>
        <v/>
      </c>
      <c r="Q149" s="23" t="str">
        <f>IFERROR(VLOOKUP(C149,装备!$B:$E,3,FALSE),"")</f>
        <v/>
      </c>
      <c r="R149" s="23" t="str">
        <f>IFERROR(VLOOKUP(D149,装备!$B:$E,3,FALSE),"")</f>
        <v/>
      </c>
      <c r="S149" s="23" t="str">
        <f>IFERROR(VLOOKUP(E149,装备!$B:$E,3,FALSE),"")</f>
        <v/>
      </c>
      <c r="T149" s="23" t="str">
        <f>IFERROR(VLOOKUP(F149,装备!$B:$E,3,FALSE),"")</f>
        <v/>
      </c>
      <c r="U149" s="23" t="str">
        <f>IFERROR(VLOOKUP(G149,装备!$B:$E,3,FALSE),"")</f>
        <v/>
      </c>
      <c r="V149" s="23" t="str">
        <f>IFERROR(VLOOKUP(H149,装备!$B:$E,3,FALSE),"")</f>
        <v/>
      </c>
      <c r="W149" s="18" t="str">
        <f t="shared" si="41"/>
        <v/>
      </c>
      <c r="X149" s="18" t="str">
        <f t="shared" si="42"/>
        <v/>
      </c>
      <c r="Y149" s="18" t="str">
        <f t="shared" si="43"/>
        <v/>
      </c>
      <c r="Z149" s="18" t="str">
        <f t="shared" si="44"/>
        <v/>
      </c>
      <c r="AA149" s="18" t="str">
        <f t="shared" si="45"/>
        <v/>
      </c>
      <c r="AB149" s="18" t="e">
        <f t="shared" si="46"/>
        <v>#REF!</v>
      </c>
    </row>
    <row r="150" spans="1:28">
      <c r="A150" s="19" t="e">
        <f>装备!#REF!</f>
        <v>#REF!</v>
      </c>
      <c r="B150" s="19" t="e">
        <f>"'"&amp;装备!#REF!&amp;"'"</f>
        <v>#REF!</v>
      </c>
      <c r="C150" s="19" t="e">
        <f>装备!#REF!</f>
        <v>#REF!</v>
      </c>
      <c r="D150" s="19" t="e">
        <f>装备!#REF!</f>
        <v>#REF!</v>
      </c>
      <c r="E150" s="19" t="e">
        <f>装备!#REF!</f>
        <v>#REF!</v>
      </c>
      <c r="F150" s="19" t="e">
        <f>装备!#REF!</f>
        <v>#REF!</v>
      </c>
      <c r="G150" s="19" t="e">
        <f>装备!#REF!</f>
        <v>#REF!</v>
      </c>
      <c r="H150" s="19" t="e">
        <f>装备!#REF!</f>
        <v>#REF!</v>
      </c>
      <c r="I150" s="19" t="e">
        <f>IF(装备!#REF!=0,0,"'"&amp;装备!#REF!&amp;"'")</f>
        <v>#REF!</v>
      </c>
      <c r="J150" s="19" t="e">
        <f>IF(装备!#REF!=0,0,"'"&amp;装备!#REF!&amp;"'")</f>
        <v>#REF!</v>
      </c>
      <c r="K150" s="19" t="e">
        <f>IF(装备!#REF!=0,0,"'"&amp;装备!#REF!&amp;"'")</f>
        <v>#REF!</v>
      </c>
      <c r="L150" s="19" t="e">
        <f>IF(装备!#REF!=0,0,"'"&amp;装备!#REF!&amp;"'")</f>
        <v>#REF!</v>
      </c>
      <c r="M150" s="19" t="e">
        <f>IF(装备!#REF!=0,0,"'"&amp;装备!#REF!&amp;"'")</f>
        <v>#REF!</v>
      </c>
      <c r="N150" s="19" t="e">
        <f>IF(装备!#REF!=0,0,"'"&amp;装备!#REF!&amp;"'")</f>
        <v>#REF!</v>
      </c>
      <c r="O150" s="19" t="e">
        <f t="shared" si="40"/>
        <v>#REF!</v>
      </c>
      <c r="P150" s="19" t="str">
        <f t="shared" si="47"/>
        <v/>
      </c>
      <c r="Q150" s="23" t="str">
        <f>IFERROR(VLOOKUP(C150,装备!$B:$E,3,FALSE),"")</f>
        <v/>
      </c>
      <c r="R150" s="23" t="str">
        <f>IFERROR(VLOOKUP(D150,装备!$B:$E,3,FALSE),"")</f>
        <v/>
      </c>
      <c r="S150" s="23" t="str">
        <f>IFERROR(VLOOKUP(E150,装备!$B:$E,3,FALSE),"")</f>
        <v/>
      </c>
      <c r="T150" s="23" t="str">
        <f>IFERROR(VLOOKUP(F150,装备!$B:$E,3,FALSE),"")</f>
        <v/>
      </c>
      <c r="U150" s="23" t="str">
        <f>IFERROR(VLOOKUP(G150,装备!$B:$E,3,FALSE),"")</f>
        <v/>
      </c>
      <c r="V150" s="23" t="str">
        <f>IFERROR(VLOOKUP(H150,装备!$B:$E,3,FALSE),"")</f>
        <v/>
      </c>
      <c r="W150" s="18" t="str">
        <f t="shared" si="41"/>
        <v/>
      </c>
      <c r="X150" s="18" t="str">
        <f t="shared" si="42"/>
        <v/>
      </c>
      <c r="Y150" s="18" t="str">
        <f t="shared" si="43"/>
        <v/>
      </c>
      <c r="Z150" s="18" t="str">
        <f t="shared" si="44"/>
        <v/>
      </c>
      <c r="AA150" s="18" t="str">
        <f t="shared" si="45"/>
        <v/>
      </c>
      <c r="AB150" s="18" t="e">
        <f t="shared" si="46"/>
        <v>#REF!</v>
      </c>
    </row>
    <row r="151" spans="1:28">
      <c r="A151" s="19" t="e">
        <f>装备!#REF!</f>
        <v>#REF!</v>
      </c>
      <c r="B151" s="19" t="e">
        <f>"'"&amp;装备!#REF!&amp;"'"</f>
        <v>#REF!</v>
      </c>
      <c r="C151" s="19" t="e">
        <f>装备!#REF!</f>
        <v>#REF!</v>
      </c>
      <c r="D151" s="19" t="e">
        <f>装备!#REF!</f>
        <v>#REF!</v>
      </c>
      <c r="E151" s="19" t="e">
        <f>装备!#REF!</f>
        <v>#REF!</v>
      </c>
      <c r="F151" s="19" t="e">
        <f>装备!#REF!</f>
        <v>#REF!</v>
      </c>
      <c r="G151" s="19" t="e">
        <f>装备!#REF!</f>
        <v>#REF!</v>
      </c>
      <c r="H151" s="19" t="e">
        <f>装备!#REF!</f>
        <v>#REF!</v>
      </c>
      <c r="I151" s="19" t="e">
        <f>IF(装备!#REF!=0,0,"'"&amp;装备!#REF!&amp;"'")</f>
        <v>#REF!</v>
      </c>
      <c r="J151" s="19" t="e">
        <f>IF(装备!#REF!=0,0,"'"&amp;装备!#REF!&amp;"'")</f>
        <v>#REF!</v>
      </c>
      <c r="K151" s="19" t="e">
        <f>IF(装备!#REF!=0,0,"'"&amp;装备!#REF!&amp;"'")</f>
        <v>#REF!</v>
      </c>
      <c r="L151" s="19" t="e">
        <f>IF(装备!#REF!=0,0,"'"&amp;装备!#REF!&amp;"'")</f>
        <v>#REF!</v>
      </c>
      <c r="M151" s="19" t="e">
        <f>IF(装备!#REF!=0,0,"'"&amp;装备!#REF!&amp;"'")</f>
        <v>#REF!</v>
      </c>
      <c r="N151" s="19" t="e">
        <f>IF(装备!#REF!=0,0,"'"&amp;装备!#REF!&amp;"'")</f>
        <v>#REF!</v>
      </c>
      <c r="O151" s="19" t="e">
        <f t="shared" si="40"/>
        <v>#REF!</v>
      </c>
      <c r="P151" s="19" t="str">
        <f t="shared" si="47"/>
        <v/>
      </c>
      <c r="Q151" s="23" t="str">
        <f>IFERROR(VLOOKUP(C151,装备!$B:$E,3,FALSE),"")</f>
        <v/>
      </c>
      <c r="R151" s="23" t="str">
        <f>IFERROR(VLOOKUP(D151,装备!$B:$E,3,FALSE),"")</f>
        <v/>
      </c>
      <c r="S151" s="23" t="str">
        <f>IFERROR(VLOOKUP(E151,装备!$B:$E,3,FALSE),"")</f>
        <v/>
      </c>
      <c r="T151" s="23" t="str">
        <f>IFERROR(VLOOKUP(F151,装备!$B:$E,3,FALSE),"")</f>
        <v/>
      </c>
      <c r="U151" s="23" t="str">
        <f>IFERROR(VLOOKUP(G151,装备!$B:$E,3,FALSE),"")</f>
        <v/>
      </c>
      <c r="V151" s="23" t="str">
        <f>IFERROR(VLOOKUP(H151,装备!$B:$E,3,FALSE),"")</f>
        <v/>
      </c>
      <c r="W151" s="18" t="str">
        <f t="shared" si="41"/>
        <v/>
      </c>
      <c r="X151" s="18" t="str">
        <f t="shared" si="42"/>
        <v/>
      </c>
      <c r="Y151" s="18" t="str">
        <f t="shared" si="43"/>
        <v/>
      </c>
      <c r="Z151" s="18" t="str">
        <f t="shared" si="44"/>
        <v/>
      </c>
      <c r="AA151" s="18" t="str">
        <f t="shared" si="45"/>
        <v/>
      </c>
      <c r="AB151" s="18" t="e">
        <f t="shared" si="46"/>
        <v>#REF!</v>
      </c>
    </row>
    <row r="152" spans="1:28">
      <c r="A152" s="19" t="e">
        <f>装备!#REF!</f>
        <v>#REF!</v>
      </c>
      <c r="B152" s="19" t="e">
        <f>"'"&amp;装备!#REF!&amp;"'"</f>
        <v>#REF!</v>
      </c>
      <c r="C152" s="19" t="e">
        <f>装备!#REF!</f>
        <v>#REF!</v>
      </c>
      <c r="D152" s="19" t="e">
        <f>装备!#REF!</f>
        <v>#REF!</v>
      </c>
      <c r="E152" s="19" t="e">
        <f>装备!#REF!</f>
        <v>#REF!</v>
      </c>
      <c r="F152" s="19" t="e">
        <f>装备!#REF!</f>
        <v>#REF!</v>
      </c>
      <c r="G152" s="19" t="e">
        <f>装备!#REF!</f>
        <v>#REF!</v>
      </c>
      <c r="H152" s="19" t="e">
        <f>装备!#REF!</f>
        <v>#REF!</v>
      </c>
      <c r="I152" s="19" t="e">
        <f>IF(装备!#REF!=0,0,"'"&amp;装备!#REF!&amp;"'")</f>
        <v>#REF!</v>
      </c>
      <c r="J152" s="19" t="e">
        <f>IF(装备!#REF!=0,0,"'"&amp;装备!#REF!&amp;"'")</f>
        <v>#REF!</v>
      </c>
      <c r="K152" s="19" t="e">
        <f>IF(装备!#REF!=0,0,"'"&amp;装备!#REF!&amp;"'")</f>
        <v>#REF!</v>
      </c>
      <c r="L152" s="19" t="e">
        <f>IF(装备!#REF!=0,0,"'"&amp;装备!#REF!&amp;"'")</f>
        <v>#REF!</v>
      </c>
      <c r="M152" s="19" t="e">
        <f>IF(装备!#REF!=0,0,"'"&amp;装备!#REF!&amp;"'")</f>
        <v>#REF!</v>
      </c>
      <c r="N152" s="19" t="e">
        <f>IF(装备!#REF!=0,0,"'"&amp;装备!#REF!&amp;"'")</f>
        <v>#REF!</v>
      </c>
      <c r="O152" s="19" t="e">
        <f t="shared" si="40"/>
        <v>#REF!</v>
      </c>
      <c r="P152" s="19" t="str">
        <f t="shared" ref="P152:P183" si="48">IFERROR(VLOOKUP(A152,Q:AB,12,FALSE),IFERROR(VLOOKUP(A152,R:AB,11,FALSE),IFERROR(VLOOKUP(A152,S:AB,10,FALSE),"")))</f>
        <v/>
      </c>
      <c r="Q152" s="23" t="str">
        <f>IFERROR(VLOOKUP(C152,装备!$B:$E,3,FALSE),"")</f>
        <v/>
      </c>
      <c r="R152" s="23" t="str">
        <f>IFERROR(VLOOKUP(D152,装备!$B:$E,3,FALSE),"")</f>
        <v/>
      </c>
      <c r="S152" s="23" t="str">
        <f>IFERROR(VLOOKUP(E152,装备!$B:$E,3,FALSE),"")</f>
        <v/>
      </c>
      <c r="T152" s="23" t="str">
        <f>IFERROR(VLOOKUP(F152,装备!$B:$E,3,FALSE),"")</f>
        <v/>
      </c>
      <c r="U152" s="23" t="str">
        <f>IFERROR(VLOOKUP(G152,装备!$B:$E,3,FALSE),"")</f>
        <v/>
      </c>
      <c r="V152" s="23" t="str">
        <f>IFERROR(VLOOKUP(H152,装备!$B:$E,3,FALSE),"")</f>
        <v/>
      </c>
      <c r="W152" s="18" t="str">
        <f t="shared" si="41"/>
        <v/>
      </c>
      <c r="X152" s="18" t="str">
        <f t="shared" si="42"/>
        <v/>
      </c>
      <c r="Y152" s="18" t="str">
        <f t="shared" si="43"/>
        <v/>
      </c>
      <c r="Z152" s="18" t="str">
        <f t="shared" si="44"/>
        <v/>
      </c>
      <c r="AA152" s="18" t="str">
        <f t="shared" si="45"/>
        <v/>
      </c>
      <c r="AB152" s="18" t="e">
        <f t="shared" si="46"/>
        <v>#REF!</v>
      </c>
    </row>
    <row r="153" spans="1:28">
      <c r="A153" s="19" t="e">
        <f>装备!#REF!</f>
        <v>#REF!</v>
      </c>
      <c r="B153" s="19" t="e">
        <f>"'"&amp;装备!#REF!&amp;"'"</f>
        <v>#REF!</v>
      </c>
      <c r="C153" s="19" t="e">
        <f>装备!#REF!</f>
        <v>#REF!</v>
      </c>
      <c r="D153" s="19" t="e">
        <f>装备!#REF!</f>
        <v>#REF!</v>
      </c>
      <c r="E153" s="19" t="e">
        <f>装备!#REF!</f>
        <v>#REF!</v>
      </c>
      <c r="F153" s="19" t="e">
        <f>装备!#REF!</f>
        <v>#REF!</v>
      </c>
      <c r="G153" s="19" t="e">
        <f>装备!#REF!</f>
        <v>#REF!</v>
      </c>
      <c r="H153" s="19" t="e">
        <f>装备!#REF!</f>
        <v>#REF!</v>
      </c>
      <c r="I153" s="19" t="e">
        <f>IF(装备!#REF!=0,0,"'"&amp;装备!#REF!&amp;"'")</f>
        <v>#REF!</v>
      </c>
      <c r="J153" s="19" t="e">
        <f>IF(装备!#REF!=0,0,"'"&amp;装备!#REF!&amp;"'")</f>
        <v>#REF!</v>
      </c>
      <c r="K153" s="19" t="e">
        <f>IF(装备!#REF!=0,0,"'"&amp;装备!#REF!&amp;"'")</f>
        <v>#REF!</v>
      </c>
      <c r="L153" s="19" t="e">
        <f>IF(装备!#REF!=0,0,"'"&amp;装备!#REF!&amp;"'")</f>
        <v>#REF!</v>
      </c>
      <c r="M153" s="19" t="e">
        <f>IF(装备!#REF!=0,0,"'"&amp;装备!#REF!&amp;"'")</f>
        <v>#REF!</v>
      </c>
      <c r="N153" s="19" t="e">
        <f>IF(装备!#REF!=0,0,"'"&amp;装备!#REF!&amp;"'")</f>
        <v>#REF!</v>
      </c>
      <c r="O153" s="19" t="e">
        <f t="shared" si="40"/>
        <v>#REF!</v>
      </c>
      <c r="P153" s="19" t="str">
        <f t="shared" si="48"/>
        <v/>
      </c>
      <c r="Q153" s="23" t="str">
        <f>IFERROR(VLOOKUP(C153,装备!$B:$E,3,FALSE),"")</f>
        <v/>
      </c>
      <c r="R153" s="23" t="str">
        <f>IFERROR(VLOOKUP(D153,装备!$B:$E,3,FALSE),"")</f>
        <v/>
      </c>
      <c r="S153" s="23" t="str">
        <f>IFERROR(VLOOKUP(E153,装备!$B:$E,3,FALSE),"")</f>
        <v/>
      </c>
      <c r="T153" s="23" t="str">
        <f>IFERROR(VLOOKUP(F153,装备!$B:$E,3,FALSE),"")</f>
        <v/>
      </c>
      <c r="U153" s="23" t="str">
        <f>IFERROR(VLOOKUP(G153,装备!$B:$E,3,FALSE),"")</f>
        <v/>
      </c>
      <c r="V153" s="23" t="str">
        <f>IFERROR(VLOOKUP(H153,装备!$B:$E,3,FALSE),"")</f>
        <v/>
      </c>
      <c r="W153" s="18" t="str">
        <f t="shared" si="41"/>
        <v/>
      </c>
      <c r="X153" s="18" t="str">
        <f t="shared" si="42"/>
        <v/>
      </c>
      <c r="Y153" s="18" t="str">
        <f t="shared" si="43"/>
        <v/>
      </c>
      <c r="Z153" s="18" t="str">
        <f t="shared" si="44"/>
        <v/>
      </c>
      <c r="AA153" s="18" t="str">
        <f t="shared" si="45"/>
        <v/>
      </c>
      <c r="AB153" s="18" t="e">
        <f t="shared" si="46"/>
        <v>#REF!</v>
      </c>
    </row>
    <row r="154" spans="1:28">
      <c r="A154" s="19" t="e">
        <f>装备!#REF!</f>
        <v>#REF!</v>
      </c>
      <c r="B154" s="19" t="e">
        <f>"'"&amp;装备!#REF!&amp;"'"</f>
        <v>#REF!</v>
      </c>
      <c r="C154" s="19" t="e">
        <f>装备!#REF!</f>
        <v>#REF!</v>
      </c>
      <c r="D154" s="19" t="e">
        <f>装备!#REF!</f>
        <v>#REF!</v>
      </c>
      <c r="E154" s="19" t="e">
        <f>装备!#REF!</f>
        <v>#REF!</v>
      </c>
      <c r="F154" s="19" t="e">
        <f>装备!#REF!</f>
        <v>#REF!</v>
      </c>
      <c r="G154" s="19" t="e">
        <f>装备!#REF!</f>
        <v>#REF!</v>
      </c>
      <c r="H154" s="19" t="e">
        <f>装备!#REF!</f>
        <v>#REF!</v>
      </c>
      <c r="I154" s="19" t="e">
        <f>IF(装备!#REF!=0,0,"'"&amp;装备!#REF!&amp;"'")</f>
        <v>#REF!</v>
      </c>
      <c r="J154" s="19" t="e">
        <f>IF(装备!#REF!=0,0,"'"&amp;装备!#REF!&amp;"'")</f>
        <v>#REF!</v>
      </c>
      <c r="K154" s="19" t="e">
        <f>IF(装备!#REF!=0,0,"'"&amp;装备!#REF!&amp;"'")</f>
        <v>#REF!</v>
      </c>
      <c r="L154" s="19" t="e">
        <f>IF(装备!#REF!=0,0,"'"&amp;装备!#REF!&amp;"'")</f>
        <v>#REF!</v>
      </c>
      <c r="M154" s="19" t="e">
        <f>IF(装备!#REF!=0,0,"'"&amp;装备!#REF!&amp;"'")</f>
        <v>#REF!</v>
      </c>
      <c r="N154" s="19" t="e">
        <f>IF(装备!#REF!=0,0,"'"&amp;装备!#REF!&amp;"'")</f>
        <v>#REF!</v>
      </c>
      <c r="O154" s="19" t="e">
        <f t="shared" ref="O154:O186" si="49">IF(I154=0,"","AddItemFormula("&amp;I154&amp;","&amp;J154&amp;","&amp;K154&amp;","&amp;L154&amp;","&amp;M154&amp;","&amp;N154&amp;","&amp;B154&amp;")")</f>
        <v>#REF!</v>
      </c>
      <c r="P154" s="19" t="str">
        <f t="shared" si="48"/>
        <v/>
      </c>
      <c r="Q154" s="23" t="str">
        <f>IFERROR(VLOOKUP(C154,装备!$B:$E,3,FALSE),"")</f>
        <v/>
      </c>
      <c r="R154" s="23" t="str">
        <f>IFERROR(VLOOKUP(D154,装备!$B:$E,3,FALSE),"")</f>
        <v/>
      </c>
      <c r="S154" s="23" t="str">
        <f>IFERROR(VLOOKUP(E154,装备!$B:$E,3,FALSE),"")</f>
        <v/>
      </c>
      <c r="T154" s="23" t="str">
        <f>IFERROR(VLOOKUP(F154,装备!$B:$E,3,FALSE),"")</f>
        <v/>
      </c>
      <c r="U154" s="23" t="str">
        <f>IFERROR(VLOOKUP(G154,装备!$B:$E,3,FALSE),"")</f>
        <v/>
      </c>
      <c r="V154" s="23" t="str">
        <f>IFERROR(VLOOKUP(H154,装备!$B:$E,3,FALSE),"")</f>
        <v/>
      </c>
      <c r="W154" s="18" t="str">
        <f t="shared" ref="W154:W186" si="50">IF(R154="","","+"&amp;R154)</f>
        <v/>
      </c>
      <c r="X154" s="18" t="str">
        <f t="shared" ref="X154:X186" si="51">IF(S154="","","+"&amp;S154)</f>
        <v/>
      </c>
      <c r="Y154" s="18" t="str">
        <f t="shared" ref="Y154:Y186" si="52">IF(T154="","","+"&amp;T154)</f>
        <v/>
      </c>
      <c r="Z154" s="18" t="str">
        <f t="shared" ref="Z154:Z186" si="53">IF(U154="","","+"&amp;U154)</f>
        <v/>
      </c>
      <c r="AA154" s="18" t="str">
        <f t="shared" ref="AA154:AA186" si="54">IF(V154="","","+"&amp;V154)</f>
        <v/>
      </c>
      <c r="AB154" s="18" t="e">
        <f t="shared" ref="AB154:AB186" si="55">"|n"&amp;Q154&amp;W154&amp;X154&amp;Y154&amp;Z154&amp;AA154&amp;"="&amp;A154</f>
        <v>#REF!</v>
      </c>
    </row>
    <row r="155" spans="1:28">
      <c r="A155" s="19" t="e">
        <f>装备!#REF!</f>
        <v>#REF!</v>
      </c>
      <c r="B155" s="19" t="e">
        <f>"'"&amp;装备!#REF!&amp;"'"</f>
        <v>#REF!</v>
      </c>
      <c r="C155" s="19" t="e">
        <f>装备!#REF!</f>
        <v>#REF!</v>
      </c>
      <c r="D155" s="19" t="e">
        <f>装备!#REF!</f>
        <v>#REF!</v>
      </c>
      <c r="E155" s="19" t="e">
        <f>装备!#REF!</f>
        <v>#REF!</v>
      </c>
      <c r="F155" s="19" t="e">
        <f>装备!#REF!</f>
        <v>#REF!</v>
      </c>
      <c r="G155" s="19" t="e">
        <f>装备!#REF!</f>
        <v>#REF!</v>
      </c>
      <c r="H155" s="19" t="e">
        <f>装备!#REF!</f>
        <v>#REF!</v>
      </c>
      <c r="I155" s="19" t="e">
        <f>IF(装备!#REF!=0,0,"'"&amp;装备!#REF!&amp;"'")</f>
        <v>#REF!</v>
      </c>
      <c r="J155" s="19" t="e">
        <f>IF(装备!#REF!=0,0,"'"&amp;装备!#REF!&amp;"'")</f>
        <v>#REF!</v>
      </c>
      <c r="K155" s="19" t="e">
        <f>IF(装备!#REF!=0,0,"'"&amp;装备!#REF!&amp;"'")</f>
        <v>#REF!</v>
      </c>
      <c r="L155" s="19" t="e">
        <f>IF(装备!#REF!=0,0,"'"&amp;装备!#REF!&amp;"'")</f>
        <v>#REF!</v>
      </c>
      <c r="M155" s="19" t="e">
        <f>IF(装备!#REF!=0,0,"'"&amp;装备!#REF!&amp;"'")</f>
        <v>#REF!</v>
      </c>
      <c r="N155" s="19" t="e">
        <f>IF(装备!#REF!=0,0,"'"&amp;装备!#REF!&amp;"'")</f>
        <v>#REF!</v>
      </c>
      <c r="O155" s="19" t="e">
        <f t="shared" si="49"/>
        <v>#REF!</v>
      </c>
      <c r="P155" s="19" t="str">
        <f t="shared" si="48"/>
        <v/>
      </c>
      <c r="Q155" s="23" t="str">
        <f>IFERROR(VLOOKUP(C155,装备!$B:$E,3,FALSE),"")</f>
        <v/>
      </c>
      <c r="R155" s="23" t="str">
        <f>IFERROR(VLOOKUP(D155,装备!$B:$E,3,FALSE),"")</f>
        <v/>
      </c>
      <c r="S155" s="23" t="str">
        <f>IFERROR(VLOOKUP(E155,装备!$B:$E,3,FALSE),"")</f>
        <v/>
      </c>
      <c r="T155" s="23" t="str">
        <f>IFERROR(VLOOKUP(F155,装备!$B:$E,3,FALSE),"")</f>
        <v/>
      </c>
      <c r="U155" s="23" t="str">
        <f>IFERROR(VLOOKUP(G155,装备!$B:$E,3,FALSE),"")</f>
        <v/>
      </c>
      <c r="V155" s="23" t="str">
        <f>IFERROR(VLOOKUP(H155,装备!$B:$E,3,FALSE),"")</f>
        <v/>
      </c>
      <c r="W155" s="18" t="str">
        <f t="shared" si="50"/>
        <v/>
      </c>
      <c r="X155" s="18" t="str">
        <f t="shared" si="51"/>
        <v/>
      </c>
      <c r="Y155" s="18" t="str">
        <f t="shared" si="52"/>
        <v/>
      </c>
      <c r="Z155" s="18" t="str">
        <f t="shared" si="53"/>
        <v/>
      </c>
      <c r="AA155" s="18" t="str">
        <f t="shared" si="54"/>
        <v/>
      </c>
      <c r="AB155" s="18" t="e">
        <f t="shared" si="55"/>
        <v>#REF!</v>
      </c>
    </row>
    <row r="156" spans="1:28">
      <c r="A156" s="19" t="e">
        <f>装备!#REF!</f>
        <v>#REF!</v>
      </c>
      <c r="B156" s="19" t="e">
        <f>"'"&amp;装备!#REF!&amp;"'"</f>
        <v>#REF!</v>
      </c>
      <c r="C156" s="19" t="e">
        <f>装备!#REF!</f>
        <v>#REF!</v>
      </c>
      <c r="D156" s="19" t="e">
        <f>装备!#REF!</f>
        <v>#REF!</v>
      </c>
      <c r="E156" s="19" t="e">
        <f>装备!#REF!</f>
        <v>#REF!</v>
      </c>
      <c r="F156" s="19" t="e">
        <f>装备!#REF!</f>
        <v>#REF!</v>
      </c>
      <c r="G156" s="19" t="e">
        <f>装备!#REF!</f>
        <v>#REF!</v>
      </c>
      <c r="H156" s="19" t="e">
        <f>装备!#REF!</f>
        <v>#REF!</v>
      </c>
      <c r="I156" s="19" t="e">
        <f>IF(装备!#REF!=0,0,"'"&amp;装备!#REF!&amp;"'")</f>
        <v>#REF!</v>
      </c>
      <c r="J156" s="19" t="e">
        <f>IF(装备!#REF!=0,0,"'"&amp;装备!#REF!&amp;"'")</f>
        <v>#REF!</v>
      </c>
      <c r="K156" s="19" t="e">
        <f>IF(装备!#REF!=0,0,"'"&amp;装备!#REF!&amp;"'")</f>
        <v>#REF!</v>
      </c>
      <c r="L156" s="19" t="e">
        <f>IF(装备!#REF!=0,0,"'"&amp;装备!#REF!&amp;"'")</f>
        <v>#REF!</v>
      </c>
      <c r="M156" s="19" t="e">
        <f>IF(装备!#REF!=0,0,"'"&amp;装备!#REF!&amp;"'")</f>
        <v>#REF!</v>
      </c>
      <c r="N156" s="19" t="e">
        <f>IF(装备!#REF!=0,0,"'"&amp;装备!#REF!&amp;"'")</f>
        <v>#REF!</v>
      </c>
      <c r="O156" s="19" t="e">
        <f t="shared" si="49"/>
        <v>#REF!</v>
      </c>
      <c r="P156" s="19" t="str">
        <f t="shared" si="48"/>
        <v/>
      </c>
      <c r="Q156" s="23" t="str">
        <f>IFERROR(VLOOKUP(C156,装备!$B:$E,3,FALSE),"")</f>
        <v/>
      </c>
      <c r="R156" s="23" t="str">
        <f>IFERROR(VLOOKUP(D156,装备!$B:$E,3,FALSE),"")</f>
        <v/>
      </c>
      <c r="S156" s="23" t="str">
        <f>IFERROR(VLOOKUP(E156,装备!$B:$E,3,FALSE),"")</f>
        <v/>
      </c>
      <c r="T156" s="23" t="str">
        <f>IFERROR(VLOOKUP(F156,装备!$B:$E,3,FALSE),"")</f>
        <v/>
      </c>
      <c r="U156" s="23" t="str">
        <f>IFERROR(VLOOKUP(G156,装备!$B:$E,3,FALSE),"")</f>
        <v/>
      </c>
      <c r="V156" s="23" t="str">
        <f>IFERROR(VLOOKUP(H156,装备!$B:$E,3,FALSE),"")</f>
        <v/>
      </c>
      <c r="W156" s="18" t="str">
        <f t="shared" si="50"/>
        <v/>
      </c>
      <c r="X156" s="18" t="str">
        <f t="shared" si="51"/>
        <v/>
      </c>
      <c r="Y156" s="18" t="str">
        <f t="shared" si="52"/>
        <v/>
      </c>
      <c r="Z156" s="18" t="str">
        <f t="shared" si="53"/>
        <v/>
      </c>
      <c r="AA156" s="18" t="str">
        <f t="shared" si="54"/>
        <v/>
      </c>
      <c r="AB156" s="18" t="e">
        <f t="shared" si="55"/>
        <v>#REF!</v>
      </c>
    </row>
    <row r="157" spans="1:28">
      <c r="A157" s="19" t="e">
        <f>装备!#REF!</f>
        <v>#REF!</v>
      </c>
      <c r="B157" s="19" t="e">
        <f>"'"&amp;装备!#REF!&amp;"'"</f>
        <v>#REF!</v>
      </c>
      <c r="C157" s="19" t="e">
        <f>装备!#REF!</f>
        <v>#REF!</v>
      </c>
      <c r="D157" s="19" t="e">
        <f>装备!#REF!</f>
        <v>#REF!</v>
      </c>
      <c r="E157" s="19" t="e">
        <f>装备!#REF!</f>
        <v>#REF!</v>
      </c>
      <c r="F157" s="19" t="e">
        <f>装备!#REF!</f>
        <v>#REF!</v>
      </c>
      <c r="G157" s="19" t="e">
        <f>装备!#REF!</f>
        <v>#REF!</v>
      </c>
      <c r="H157" s="19" t="e">
        <f>装备!#REF!</f>
        <v>#REF!</v>
      </c>
      <c r="I157" s="19" t="e">
        <f>IF(装备!#REF!=0,0,"'"&amp;装备!#REF!&amp;"'")</f>
        <v>#REF!</v>
      </c>
      <c r="J157" s="19" t="e">
        <f>IF(装备!#REF!=0,0,"'"&amp;装备!#REF!&amp;"'")</f>
        <v>#REF!</v>
      </c>
      <c r="K157" s="19" t="e">
        <f>IF(装备!#REF!=0,0,"'"&amp;装备!#REF!&amp;"'")</f>
        <v>#REF!</v>
      </c>
      <c r="L157" s="19" t="e">
        <f>IF(装备!#REF!=0,0,"'"&amp;装备!#REF!&amp;"'")</f>
        <v>#REF!</v>
      </c>
      <c r="M157" s="19" t="e">
        <f>IF(装备!#REF!=0,0,"'"&amp;装备!#REF!&amp;"'")</f>
        <v>#REF!</v>
      </c>
      <c r="N157" s="19" t="e">
        <f>IF(装备!#REF!=0,0,"'"&amp;装备!#REF!&amp;"'")</f>
        <v>#REF!</v>
      </c>
      <c r="O157" s="19" t="e">
        <f t="shared" si="49"/>
        <v>#REF!</v>
      </c>
      <c r="P157" s="19" t="str">
        <f t="shared" si="48"/>
        <v/>
      </c>
      <c r="Q157" s="23" t="str">
        <f>IFERROR(VLOOKUP(C157,装备!$B:$E,3,FALSE),"")</f>
        <v/>
      </c>
      <c r="R157" s="23" t="str">
        <f>IFERROR(VLOOKUP(D157,装备!$B:$E,3,FALSE),"")</f>
        <v/>
      </c>
      <c r="S157" s="23" t="str">
        <f>IFERROR(VLOOKUP(E157,装备!$B:$E,3,FALSE),"")</f>
        <v/>
      </c>
      <c r="T157" s="23" t="str">
        <f>IFERROR(VLOOKUP(F157,装备!$B:$E,3,FALSE),"")</f>
        <v/>
      </c>
      <c r="U157" s="23" t="str">
        <f>IFERROR(VLOOKUP(G157,装备!$B:$E,3,FALSE),"")</f>
        <v/>
      </c>
      <c r="V157" s="23" t="str">
        <f>IFERROR(VLOOKUP(H157,装备!$B:$E,3,FALSE),"")</f>
        <v/>
      </c>
      <c r="W157" s="18" t="str">
        <f t="shared" si="50"/>
        <v/>
      </c>
      <c r="X157" s="18" t="str">
        <f t="shared" si="51"/>
        <v/>
      </c>
      <c r="Y157" s="18" t="str">
        <f t="shared" si="52"/>
        <v/>
      </c>
      <c r="Z157" s="18" t="str">
        <f t="shared" si="53"/>
        <v/>
      </c>
      <c r="AA157" s="18" t="str">
        <f t="shared" si="54"/>
        <v/>
      </c>
      <c r="AB157" s="18" t="e">
        <f t="shared" si="55"/>
        <v>#REF!</v>
      </c>
    </row>
    <row r="158" spans="1:28">
      <c r="A158" s="19" t="e">
        <f>装备!#REF!</f>
        <v>#REF!</v>
      </c>
      <c r="B158" s="19" t="e">
        <f>"'"&amp;装备!#REF!&amp;"'"</f>
        <v>#REF!</v>
      </c>
      <c r="C158" s="19" t="e">
        <f>装备!#REF!</f>
        <v>#REF!</v>
      </c>
      <c r="D158" s="19" t="e">
        <f>装备!#REF!</f>
        <v>#REF!</v>
      </c>
      <c r="E158" s="19" t="e">
        <f>装备!#REF!</f>
        <v>#REF!</v>
      </c>
      <c r="F158" s="19" t="e">
        <f>装备!#REF!</f>
        <v>#REF!</v>
      </c>
      <c r="G158" s="19" t="e">
        <f>装备!#REF!</f>
        <v>#REF!</v>
      </c>
      <c r="H158" s="19" t="e">
        <f>装备!#REF!</f>
        <v>#REF!</v>
      </c>
      <c r="I158" s="19" t="e">
        <f>IF(装备!#REF!=0,0,"'"&amp;装备!#REF!&amp;"'")</f>
        <v>#REF!</v>
      </c>
      <c r="J158" s="19" t="e">
        <f>IF(装备!#REF!=0,0,"'"&amp;装备!#REF!&amp;"'")</f>
        <v>#REF!</v>
      </c>
      <c r="K158" s="19" t="e">
        <f>IF(装备!#REF!=0,0,"'"&amp;装备!#REF!&amp;"'")</f>
        <v>#REF!</v>
      </c>
      <c r="L158" s="19" t="e">
        <f>IF(装备!#REF!=0,0,"'"&amp;装备!#REF!&amp;"'")</f>
        <v>#REF!</v>
      </c>
      <c r="M158" s="19" t="e">
        <f>IF(装备!#REF!=0,0,"'"&amp;装备!#REF!&amp;"'")</f>
        <v>#REF!</v>
      </c>
      <c r="N158" s="19" t="e">
        <f>IF(装备!#REF!=0,0,"'"&amp;装备!#REF!&amp;"'")</f>
        <v>#REF!</v>
      </c>
      <c r="O158" s="19" t="e">
        <f t="shared" si="49"/>
        <v>#REF!</v>
      </c>
      <c r="P158" s="19" t="str">
        <f t="shared" si="48"/>
        <v/>
      </c>
      <c r="Q158" s="23" t="str">
        <f>IFERROR(VLOOKUP(C158,装备!$B:$E,3,FALSE),"")</f>
        <v/>
      </c>
      <c r="R158" s="23" t="str">
        <f>IFERROR(VLOOKUP(D158,装备!$B:$E,3,FALSE),"")</f>
        <v/>
      </c>
      <c r="S158" s="23" t="str">
        <f>IFERROR(VLOOKUP(E158,装备!$B:$E,3,FALSE),"")</f>
        <v/>
      </c>
      <c r="T158" s="23" t="str">
        <f>IFERROR(VLOOKUP(F158,装备!$B:$E,3,FALSE),"")</f>
        <v/>
      </c>
      <c r="U158" s="23" t="str">
        <f>IFERROR(VLOOKUP(G158,装备!$B:$E,3,FALSE),"")</f>
        <v/>
      </c>
      <c r="V158" s="23" t="str">
        <f>IFERROR(VLOOKUP(H158,装备!$B:$E,3,FALSE),"")</f>
        <v/>
      </c>
      <c r="W158" s="18" t="str">
        <f t="shared" si="50"/>
        <v/>
      </c>
      <c r="X158" s="18" t="str">
        <f t="shared" si="51"/>
        <v/>
      </c>
      <c r="Y158" s="18" t="str">
        <f t="shared" si="52"/>
        <v/>
      </c>
      <c r="Z158" s="18" t="str">
        <f t="shared" si="53"/>
        <v/>
      </c>
      <c r="AA158" s="18" t="str">
        <f t="shared" si="54"/>
        <v/>
      </c>
      <c r="AB158" s="18" t="e">
        <f t="shared" si="55"/>
        <v>#REF!</v>
      </c>
    </row>
    <row r="159" spans="1:28">
      <c r="A159" s="19" t="e">
        <f>装备!#REF!</f>
        <v>#REF!</v>
      </c>
      <c r="B159" s="19" t="e">
        <f>"'"&amp;装备!#REF!&amp;"'"</f>
        <v>#REF!</v>
      </c>
      <c r="C159" s="19" t="e">
        <f>装备!#REF!</f>
        <v>#REF!</v>
      </c>
      <c r="D159" s="19" t="e">
        <f>装备!#REF!</f>
        <v>#REF!</v>
      </c>
      <c r="E159" s="19" t="e">
        <f>装备!#REF!</f>
        <v>#REF!</v>
      </c>
      <c r="F159" s="19" t="e">
        <f>装备!#REF!</f>
        <v>#REF!</v>
      </c>
      <c r="G159" s="19" t="e">
        <f>装备!#REF!</f>
        <v>#REF!</v>
      </c>
      <c r="H159" s="19" t="e">
        <f>装备!#REF!</f>
        <v>#REF!</v>
      </c>
      <c r="I159" s="19" t="e">
        <f>IF(装备!#REF!=0,0,"'"&amp;装备!#REF!&amp;"'")</f>
        <v>#REF!</v>
      </c>
      <c r="J159" s="19" t="e">
        <f>IF(装备!#REF!=0,0,"'"&amp;装备!#REF!&amp;"'")</f>
        <v>#REF!</v>
      </c>
      <c r="K159" s="19" t="e">
        <f>IF(装备!#REF!=0,0,"'"&amp;装备!#REF!&amp;"'")</f>
        <v>#REF!</v>
      </c>
      <c r="L159" s="19" t="e">
        <f>IF(装备!#REF!=0,0,"'"&amp;装备!#REF!&amp;"'")</f>
        <v>#REF!</v>
      </c>
      <c r="M159" s="19" t="e">
        <f>IF(装备!#REF!=0,0,"'"&amp;装备!#REF!&amp;"'")</f>
        <v>#REF!</v>
      </c>
      <c r="N159" s="19" t="e">
        <f>IF(装备!#REF!=0,0,"'"&amp;装备!#REF!&amp;"'")</f>
        <v>#REF!</v>
      </c>
      <c r="O159" s="19" t="e">
        <f t="shared" si="49"/>
        <v>#REF!</v>
      </c>
      <c r="P159" s="19" t="str">
        <f t="shared" si="48"/>
        <v/>
      </c>
      <c r="Q159" s="23" t="str">
        <f>IFERROR(VLOOKUP(C159,装备!$B:$E,3,FALSE),"")</f>
        <v/>
      </c>
      <c r="R159" s="23" t="str">
        <f>IFERROR(VLOOKUP(D159,装备!$B:$E,3,FALSE),"")</f>
        <v/>
      </c>
      <c r="S159" s="23" t="str">
        <f>IFERROR(VLOOKUP(E159,装备!$B:$E,3,FALSE),"")</f>
        <v/>
      </c>
      <c r="T159" s="23" t="str">
        <f>IFERROR(VLOOKUP(F159,装备!$B:$E,3,FALSE),"")</f>
        <v/>
      </c>
      <c r="U159" s="23" t="str">
        <f>IFERROR(VLOOKUP(G159,装备!$B:$E,3,FALSE),"")</f>
        <v/>
      </c>
      <c r="V159" s="23" t="str">
        <f>IFERROR(VLOOKUP(H159,装备!$B:$E,3,FALSE),"")</f>
        <v/>
      </c>
      <c r="W159" s="18" t="str">
        <f t="shared" si="50"/>
        <v/>
      </c>
      <c r="X159" s="18" t="str">
        <f t="shared" si="51"/>
        <v/>
      </c>
      <c r="Y159" s="18" t="str">
        <f t="shared" si="52"/>
        <v/>
      </c>
      <c r="Z159" s="18" t="str">
        <f t="shared" si="53"/>
        <v/>
      </c>
      <c r="AA159" s="18" t="str">
        <f t="shared" si="54"/>
        <v/>
      </c>
      <c r="AB159" s="18" t="e">
        <f t="shared" si="55"/>
        <v>#REF!</v>
      </c>
    </row>
    <row r="160" spans="1:28">
      <c r="A160" s="19" t="e">
        <f>装备!#REF!</f>
        <v>#REF!</v>
      </c>
      <c r="B160" s="19" t="e">
        <f>"'"&amp;装备!#REF!&amp;"'"</f>
        <v>#REF!</v>
      </c>
      <c r="C160" s="19" t="e">
        <f>装备!#REF!</f>
        <v>#REF!</v>
      </c>
      <c r="D160" s="19" t="e">
        <f>装备!#REF!</f>
        <v>#REF!</v>
      </c>
      <c r="E160" s="19" t="e">
        <f>装备!#REF!</f>
        <v>#REF!</v>
      </c>
      <c r="F160" s="19" t="e">
        <f>装备!#REF!</f>
        <v>#REF!</v>
      </c>
      <c r="G160" s="19" t="e">
        <f>装备!#REF!</f>
        <v>#REF!</v>
      </c>
      <c r="H160" s="19" t="e">
        <f>装备!#REF!</f>
        <v>#REF!</v>
      </c>
      <c r="I160" s="19" t="e">
        <f>IF(装备!#REF!=0,0,"'"&amp;装备!#REF!&amp;"'")</f>
        <v>#REF!</v>
      </c>
      <c r="J160" s="19" t="e">
        <f>IF(装备!#REF!=0,0,"'"&amp;装备!#REF!&amp;"'")</f>
        <v>#REF!</v>
      </c>
      <c r="K160" s="19" t="e">
        <f>IF(装备!#REF!=0,0,"'"&amp;装备!#REF!&amp;"'")</f>
        <v>#REF!</v>
      </c>
      <c r="L160" s="19" t="e">
        <f>IF(装备!#REF!=0,0,"'"&amp;装备!#REF!&amp;"'")</f>
        <v>#REF!</v>
      </c>
      <c r="M160" s="19" t="e">
        <f>IF(装备!#REF!=0,0,"'"&amp;装备!#REF!&amp;"'")</f>
        <v>#REF!</v>
      </c>
      <c r="N160" s="19" t="e">
        <f>IF(装备!#REF!=0,0,"'"&amp;装备!#REF!&amp;"'")</f>
        <v>#REF!</v>
      </c>
      <c r="O160" s="19" t="e">
        <f t="shared" si="49"/>
        <v>#REF!</v>
      </c>
      <c r="P160" s="19" t="str">
        <f t="shared" si="48"/>
        <v/>
      </c>
      <c r="Q160" s="23" t="str">
        <f>IFERROR(VLOOKUP(C160,装备!$B:$E,3,FALSE),"")</f>
        <v/>
      </c>
      <c r="R160" s="23" t="str">
        <f>IFERROR(VLOOKUP(D160,装备!$B:$E,3,FALSE),"")</f>
        <v/>
      </c>
      <c r="S160" s="23" t="str">
        <f>IFERROR(VLOOKUP(E160,装备!$B:$E,3,FALSE),"")</f>
        <v/>
      </c>
      <c r="T160" s="23" t="str">
        <f>IFERROR(VLOOKUP(F160,装备!$B:$E,3,FALSE),"")</f>
        <v/>
      </c>
      <c r="U160" s="23" t="str">
        <f>IFERROR(VLOOKUP(G160,装备!$B:$E,3,FALSE),"")</f>
        <v/>
      </c>
      <c r="V160" s="23" t="str">
        <f>IFERROR(VLOOKUP(H160,装备!$B:$E,3,FALSE),"")</f>
        <v/>
      </c>
      <c r="W160" s="18" t="str">
        <f t="shared" si="50"/>
        <v/>
      </c>
      <c r="X160" s="18" t="str">
        <f t="shared" si="51"/>
        <v/>
      </c>
      <c r="Y160" s="18" t="str">
        <f t="shared" si="52"/>
        <v/>
      </c>
      <c r="Z160" s="18" t="str">
        <f t="shared" si="53"/>
        <v/>
      </c>
      <c r="AA160" s="18" t="str">
        <f t="shared" si="54"/>
        <v/>
      </c>
      <c r="AB160" s="18" t="e">
        <f t="shared" si="55"/>
        <v>#REF!</v>
      </c>
    </row>
    <row r="161" spans="1:28">
      <c r="A161" s="19" t="e">
        <f>装备!#REF!</f>
        <v>#REF!</v>
      </c>
      <c r="B161" s="19" t="e">
        <f>"'"&amp;装备!#REF!&amp;"'"</f>
        <v>#REF!</v>
      </c>
      <c r="C161" s="19" t="e">
        <f>装备!#REF!</f>
        <v>#REF!</v>
      </c>
      <c r="D161" s="19" t="e">
        <f>装备!#REF!</f>
        <v>#REF!</v>
      </c>
      <c r="E161" s="19" t="e">
        <f>装备!#REF!</f>
        <v>#REF!</v>
      </c>
      <c r="F161" s="19" t="e">
        <f>装备!#REF!</f>
        <v>#REF!</v>
      </c>
      <c r="G161" s="19" t="e">
        <f>装备!#REF!</f>
        <v>#REF!</v>
      </c>
      <c r="H161" s="19" t="e">
        <f>装备!#REF!</f>
        <v>#REF!</v>
      </c>
      <c r="I161" s="19" t="e">
        <f>IF(装备!#REF!=0,0,"'"&amp;装备!#REF!&amp;"'")</f>
        <v>#REF!</v>
      </c>
      <c r="J161" s="19" t="e">
        <f>IF(装备!#REF!=0,0,"'"&amp;装备!#REF!&amp;"'")</f>
        <v>#REF!</v>
      </c>
      <c r="K161" s="19" t="e">
        <f>IF(装备!#REF!=0,0,"'"&amp;装备!#REF!&amp;"'")</f>
        <v>#REF!</v>
      </c>
      <c r="L161" s="19" t="e">
        <f>IF(装备!#REF!=0,0,"'"&amp;装备!#REF!&amp;"'")</f>
        <v>#REF!</v>
      </c>
      <c r="M161" s="19" t="e">
        <f>IF(装备!#REF!=0,0,"'"&amp;装备!#REF!&amp;"'")</f>
        <v>#REF!</v>
      </c>
      <c r="N161" s="19" t="e">
        <f>IF(装备!#REF!=0,0,"'"&amp;装备!#REF!&amp;"'")</f>
        <v>#REF!</v>
      </c>
      <c r="O161" s="19" t="e">
        <f t="shared" si="49"/>
        <v>#REF!</v>
      </c>
      <c r="P161" s="19" t="str">
        <f t="shared" si="48"/>
        <v/>
      </c>
      <c r="Q161" s="23" t="str">
        <f>IFERROR(VLOOKUP(C161,装备!$B:$E,3,FALSE),"")</f>
        <v/>
      </c>
      <c r="R161" s="23" t="str">
        <f>IFERROR(VLOOKUP(D161,装备!$B:$E,3,FALSE),"")</f>
        <v/>
      </c>
      <c r="S161" s="23" t="str">
        <f>IFERROR(VLOOKUP(E161,装备!$B:$E,3,FALSE),"")</f>
        <v/>
      </c>
      <c r="T161" s="23" t="str">
        <f>IFERROR(VLOOKUP(F161,装备!$B:$E,3,FALSE),"")</f>
        <v/>
      </c>
      <c r="U161" s="23" t="str">
        <f>IFERROR(VLOOKUP(G161,装备!$B:$E,3,FALSE),"")</f>
        <v/>
      </c>
      <c r="V161" s="23" t="str">
        <f>IFERROR(VLOOKUP(H161,装备!$B:$E,3,FALSE),"")</f>
        <v/>
      </c>
      <c r="W161" s="18" t="str">
        <f t="shared" si="50"/>
        <v/>
      </c>
      <c r="X161" s="18" t="str">
        <f t="shared" si="51"/>
        <v/>
      </c>
      <c r="Y161" s="18" t="str">
        <f t="shared" si="52"/>
        <v/>
      </c>
      <c r="Z161" s="18" t="str">
        <f t="shared" si="53"/>
        <v/>
      </c>
      <c r="AA161" s="18" t="str">
        <f t="shared" si="54"/>
        <v/>
      </c>
      <c r="AB161" s="18" t="e">
        <f t="shared" si="55"/>
        <v>#REF!</v>
      </c>
    </row>
    <row r="162" spans="1:28">
      <c r="A162" s="19" t="e">
        <f>装备!#REF!</f>
        <v>#REF!</v>
      </c>
      <c r="B162" s="19" t="e">
        <f>"'"&amp;装备!#REF!&amp;"'"</f>
        <v>#REF!</v>
      </c>
      <c r="C162" s="19" t="e">
        <f>装备!#REF!</f>
        <v>#REF!</v>
      </c>
      <c r="D162" s="19" t="e">
        <f>装备!#REF!</f>
        <v>#REF!</v>
      </c>
      <c r="E162" s="19" t="e">
        <f>装备!#REF!</f>
        <v>#REF!</v>
      </c>
      <c r="F162" s="19" t="e">
        <f>装备!#REF!</f>
        <v>#REF!</v>
      </c>
      <c r="G162" s="19" t="e">
        <f>装备!#REF!</f>
        <v>#REF!</v>
      </c>
      <c r="H162" s="19" t="e">
        <f>装备!#REF!</f>
        <v>#REF!</v>
      </c>
      <c r="I162" s="19" t="e">
        <f>IF(装备!#REF!=0,0,"'"&amp;装备!#REF!&amp;"'")</f>
        <v>#REF!</v>
      </c>
      <c r="J162" s="19" t="e">
        <f>IF(装备!#REF!=0,0,"'"&amp;装备!#REF!&amp;"'")</f>
        <v>#REF!</v>
      </c>
      <c r="K162" s="19" t="e">
        <f>IF(装备!#REF!=0,0,"'"&amp;装备!#REF!&amp;"'")</f>
        <v>#REF!</v>
      </c>
      <c r="L162" s="19" t="e">
        <f>IF(装备!#REF!=0,0,"'"&amp;装备!#REF!&amp;"'")</f>
        <v>#REF!</v>
      </c>
      <c r="M162" s="19" t="e">
        <f>IF(装备!#REF!=0,0,"'"&amp;装备!#REF!&amp;"'")</f>
        <v>#REF!</v>
      </c>
      <c r="N162" s="19" t="e">
        <f>IF(装备!#REF!=0,0,"'"&amp;装备!#REF!&amp;"'")</f>
        <v>#REF!</v>
      </c>
      <c r="O162" s="19" t="e">
        <f t="shared" si="49"/>
        <v>#REF!</v>
      </c>
      <c r="P162" s="19" t="str">
        <f t="shared" si="48"/>
        <v/>
      </c>
      <c r="Q162" s="23" t="str">
        <f>IFERROR(VLOOKUP(C162,装备!$B:$E,3,FALSE),"")</f>
        <v/>
      </c>
      <c r="R162" s="23" t="str">
        <f>IFERROR(VLOOKUP(D162,装备!$B:$E,3,FALSE),"")</f>
        <v/>
      </c>
      <c r="S162" s="23" t="str">
        <f>IFERROR(VLOOKUP(E162,装备!$B:$E,3,FALSE),"")</f>
        <v/>
      </c>
      <c r="T162" s="23" t="str">
        <f>IFERROR(VLOOKUP(F162,装备!$B:$E,3,FALSE),"")</f>
        <v/>
      </c>
      <c r="U162" s="23" t="str">
        <f>IFERROR(VLOOKUP(G162,装备!$B:$E,3,FALSE),"")</f>
        <v/>
      </c>
      <c r="V162" s="23" t="str">
        <f>IFERROR(VLOOKUP(H162,装备!$B:$E,3,FALSE),"")</f>
        <v/>
      </c>
      <c r="W162" s="18" t="str">
        <f t="shared" si="50"/>
        <v/>
      </c>
      <c r="X162" s="18" t="str">
        <f t="shared" si="51"/>
        <v/>
      </c>
      <c r="Y162" s="18" t="str">
        <f t="shared" si="52"/>
        <v/>
      </c>
      <c r="Z162" s="18" t="str">
        <f t="shared" si="53"/>
        <v/>
      </c>
      <c r="AA162" s="18" t="str">
        <f t="shared" si="54"/>
        <v/>
      </c>
      <c r="AB162" s="18" t="e">
        <f t="shared" si="55"/>
        <v>#REF!</v>
      </c>
    </row>
    <row r="163" spans="1:28">
      <c r="A163" s="19" t="e">
        <f>装备!#REF!</f>
        <v>#REF!</v>
      </c>
      <c r="B163" s="19" t="e">
        <f>"'"&amp;装备!#REF!&amp;"'"</f>
        <v>#REF!</v>
      </c>
      <c r="C163" s="19" t="e">
        <f>装备!#REF!</f>
        <v>#REF!</v>
      </c>
      <c r="D163" s="19" t="e">
        <f>装备!#REF!</f>
        <v>#REF!</v>
      </c>
      <c r="E163" s="19" t="e">
        <f>装备!#REF!</f>
        <v>#REF!</v>
      </c>
      <c r="F163" s="19" t="e">
        <f>装备!#REF!</f>
        <v>#REF!</v>
      </c>
      <c r="G163" s="19" t="e">
        <f>装备!#REF!</f>
        <v>#REF!</v>
      </c>
      <c r="H163" s="19" t="e">
        <f>装备!#REF!</f>
        <v>#REF!</v>
      </c>
      <c r="I163" s="19" t="e">
        <f>IF(装备!#REF!=0,0,"'"&amp;装备!#REF!&amp;"'")</f>
        <v>#REF!</v>
      </c>
      <c r="J163" s="19" t="e">
        <f>IF(装备!#REF!=0,0,"'"&amp;装备!#REF!&amp;"'")</f>
        <v>#REF!</v>
      </c>
      <c r="K163" s="19" t="e">
        <f>IF(装备!#REF!=0,0,"'"&amp;装备!#REF!&amp;"'")</f>
        <v>#REF!</v>
      </c>
      <c r="L163" s="19" t="e">
        <f>IF(装备!#REF!=0,0,"'"&amp;装备!#REF!&amp;"'")</f>
        <v>#REF!</v>
      </c>
      <c r="M163" s="19" t="e">
        <f>IF(装备!#REF!=0,0,"'"&amp;装备!#REF!&amp;"'")</f>
        <v>#REF!</v>
      </c>
      <c r="N163" s="19" t="e">
        <f>IF(装备!#REF!=0,0,"'"&amp;装备!#REF!&amp;"'")</f>
        <v>#REF!</v>
      </c>
      <c r="O163" s="19" t="e">
        <f t="shared" si="49"/>
        <v>#REF!</v>
      </c>
      <c r="P163" s="19" t="str">
        <f t="shared" si="48"/>
        <v/>
      </c>
      <c r="Q163" s="23" t="str">
        <f>IFERROR(VLOOKUP(C163,装备!$B:$E,3,FALSE),"")</f>
        <v/>
      </c>
      <c r="R163" s="23" t="str">
        <f>IFERROR(VLOOKUP(D163,装备!$B:$E,3,FALSE),"")</f>
        <v/>
      </c>
      <c r="S163" s="23" t="str">
        <f>IFERROR(VLOOKUP(E163,装备!$B:$E,3,FALSE),"")</f>
        <v/>
      </c>
      <c r="T163" s="23" t="str">
        <f>IFERROR(VLOOKUP(F163,装备!$B:$E,3,FALSE),"")</f>
        <v/>
      </c>
      <c r="U163" s="23" t="str">
        <f>IFERROR(VLOOKUP(G163,装备!$B:$E,3,FALSE),"")</f>
        <v/>
      </c>
      <c r="V163" s="23" t="str">
        <f>IFERROR(VLOOKUP(H163,装备!$B:$E,3,FALSE),"")</f>
        <v/>
      </c>
      <c r="W163" s="18" t="str">
        <f t="shared" si="50"/>
        <v/>
      </c>
      <c r="X163" s="18" t="str">
        <f t="shared" si="51"/>
        <v/>
      </c>
      <c r="Y163" s="18" t="str">
        <f t="shared" si="52"/>
        <v/>
      </c>
      <c r="Z163" s="18" t="str">
        <f t="shared" si="53"/>
        <v/>
      </c>
      <c r="AA163" s="18" t="str">
        <f t="shared" si="54"/>
        <v/>
      </c>
      <c r="AB163" s="18" t="e">
        <f t="shared" si="55"/>
        <v>#REF!</v>
      </c>
    </row>
    <row r="164" spans="1:28">
      <c r="A164" s="19" t="e">
        <f>装备!#REF!</f>
        <v>#REF!</v>
      </c>
      <c r="B164" s="19" t="e">
        <f>"'"&amp;装备!#REF!&amp;"'"</f>
        <v>#REF!</v>
      </c>
      <c r="C164" s="19" t="e">
        <f>装备!#REF!</f>
        <v>#REF!</v>
      </c>
      <c r="D164" s="19" t="e">
        <f>装备!#REF!</f>
        <v>#REF!</v>
      </c>
      <c r="E164" s="19" t="e">
        <f>装备!#REF!</f>
        <v>#REF!</v>
      </c>
      <c r="F164" s="19" t="e">
        <f>装备!#REF!</f>
        <v>#REF!</v>
      </c>
      <c r="G164" s="19" t="e">
        <f>装备!#REF!</f>
        <v>#REF!</v>
      </c>
      <c r="H164" s="19" t="e">
        <f>装备!#REF!</f>
        <v>#REF!</v>
      </c>
      <c r="I164" s="19" t="e">
        <f>IF(装备!#REF!=0,0,"'"&amp;装备!#REF!&amp;"'")</f>
        <v>#REF!</v>
      </c>
      <c r="J164" s="19" t="e">
        <f>IF(装备!#REF!=0,0,"'"&amp;装备!#REF!&amp;"'")</f>
        <v>#REF!</v>
      </c>
      <c r="K164" s="19" t="e">
        <f>IF(装备!#REF!=0,0,"'"&amp;装备!#REF!&amp;"'")</f>
        <v>#REF!</v>
      </c>
      <c r="L164" s="19" t="e">
        <f>IF(装备!#REF!=0,0,"'"&amp;装备!#REF!&amp;"'")</f>
        <v>#REF!</v>
      </c>
      <c r="M164" s="19" t="e">
        <f>IF(装备!#REF!=0,0,"'"&amp;装备!#REF!&amp;"'")</f>
        <v>#REF!</v>
      </c>
      <c r="N164" s="19" t="e">
        <f>IF(装备!#REF!=0,0,"'"&amp;装备!#REF!&amp;"'")</f>
        <v>#REF!</v>
      </c>
      <c r="O164" s="19" t="e">
        <f t="shared" si="49"/>
        <v>#REF!</v>
      </c>
      <c r="P164" s="19" t="str">
        <f t="shared" si="48"/>
        <v/>
      </c>
      <c r="Q164" s="23" t="str">
        <f>IFERROR(VLOOKUP(C164,装备!$B:$E,3,FALSE),"")</f>
        <v/>
      </c>
      <c r="R164" s="23" t="str">
        <f>IFERROR(VLOOKUP(D164,装备!$B:$E,3,FALSE),"")</f>
        <v/>
      </c>
      <c r="S164" s="23" t="str">
        <f>IFERROR(VLOOKUP(E164,装备!$B:$E,3,FALSE),"")</f>
        <v/>
      </c>
      <c r="T164" s="23" t="str">
        <f>IFERROR(VLOOKUP(F164,装备!$B:$E,3,FALSE),"")</f>
        <v/>
      </c>
      <c r="U164" s="23" t="str">
        <f>IFERROR(VLOOKUP(G164,装备!$B:$E,3,FALSE),"")</f>
        <v/>
      </c>
      <c r="V164" s="23" t="str">
        <f>IFERROR(VLOOKUP(H164,装备!$B:$E,3,FALSE),"")</f>
        <v/>
      </c>
      <c r="W164" s="18" t="str">
        <f t="shared" si="50"/>
        <v/>
      </c>
      <c r="X164" s="18" t="str">
        <f t="shared" si="51"/>
        <v/>
      </c>
      <c r="Y164" s="18" t="str">
        <f t="shared" si="52"/>
        <v/>
      </c>
      <c r="Z164" s="18" t="str">
        <f t="shared" si="53"/>
        <v/>
      </c>
      <c r="AA164" s="18" t="str">
        <f t="shared" si="54"/>
        <v/>
      </c>
      <c r="AB164" s="18" t="e">
        <f t="shared" si="55"/>
        <v>#REF!</v>
      </c>
    </row>
    <row r="165" spans="1:28">
      <c r="A165" s="19" t="e">
        <f>装备!#REF!</f>
        <v>#REF!</v>
      </c>
      <c r="B165" s="19" t="e">
        <f>"'"&amp;装备!#REF!&amp;"'"</f>
        <v>#REF!</v>
      </c>
      <c r="C165" s="19" t="e">
        <f>装备!#REF!</f>
        <v>#REF!</v>
      </c>
      <c r="D165" s="19" t="e">
        <f>装备!#REF!</f>
        <v>#REF!</v>
      </c>
      <c r="E165" s="19" t="e">
        <f>装备!#REF!</f>
        <v>#REF!</v>
      </c>
      <c r="F165" s="19" t="e">
        <f>装备!#REF!</f>
        <v>#REF!</v>
      </c>
      <c r="G165" s="19" t="e">
        <f>装备!#REF!</f>
        <v>#REF!</v>
      </c>
      <c r="H165" s="19" t="e">
        <f>装备!#REF!</f>
        <v>#REF!</v>
      </c>
      <c r="I165" s="19" t="e">
        <f>IF(装备!#REF!=0,0,"'"&amp;装备!#REF!&amp;"'")</f>
        <v>#REF!</v>
      </c>
      <c r="J165" s="19" t="e">
        <f>IF(装备!#REF!=0,0,"'"&amp;装备!#REF!&amp;"'")</f>
        <v>#REF!</v>
      </c>
      <c r="K165" s="19" t="e">
        <f>IF(装备!#REF!=0,0,"'"&amp;装备!#REF!&amp;"'")</f>
        <v>#REF!</v>
      </c>
      <c r="L165" s="19" t="e">
        <f>IF(装备!#REF!=0,0,"'"&amp;装备!#REF!&amp;"'")</f>
        <v>#REF!</v>
      </c>
      <c r="M165" s="19" t="e">
        <f>IF(装备!#REF!=0,0,"'"&amp;装备!#REF!&amp;"'")</f>
        <v>#REF!</v>
      </c>
      <c r="N165" s="19" t="e">
        <f>IF(装备!#REF!=0,0,"'"&amp;装备!#REF!&amp;"'")</f>
        <v>#REF!</v>
      </c>
      <c r="O165" s="19" t="e">
        <f t="shared" si="49"/>
        <v>#REF!</v>
      </c>
      <c r="P165" s="19" t="str">
        <f t="shared" si="48"/>
        <v/>
      </c>
      <c r="Q165" s="23" t="str">
        <f>IFERROR(VLOOKUP(C165,装备!$B:$E,3,FALSE),"")</f>
        <v/>
      </c>
      <c r="R165" s="23" t="str">
        <f>IFERROR(VLOOKUP(D165,装备!$B:$E,3,FALSE),"")</f>
        <v/>
      </c>
      <c r="S165" s="23" t="str">
        <f>IFERROR(VLOOKUP(E165,装备!$B:$E,3,FALSE),"")</f>
        <v/>
      </c>
      <c r="T165" s="23" t="str">
        <f>IFERROR(VLOOKUP(F165,装备!$B:$E,3,FALSE),"")</f>
        <v/>
      </c>
      <c r="U165" s="23" t="str">
        <f>IFERROR(VLOOKUP(G165,装备!$B:$E,3,FALSE),"")</f>
        <v/>
      </c>
      <c r="V165" s="23" t="str">
        <f>IFERROR(VLOOKUP(H165,装备!$B:$E,3,FALSE),"")</f>
        <v/>
      </c>
      <c r="W165" s="18" t="str">
        <f t="shared" si="50"/>
        <v/>
      </c>
      <c r="X165" s="18" t="str">
        <f t="shared" si="51"/>
        <v/>
      </c>
      <c r="Y165" s="18" t="str">
        <f t="shared" si="52"/>
        <v/>
      </c>
      <c r="Z165" s="18" t="str">
        <f t="shared" si="53"/>
        <v/>
      </c>
      <c r="AA165" s="18" t="str">
        <f t="shared" si="54"/>
        <v/>
      </c>
      <c r="AB165" s="18" t="e">
        <f t="shared" si="55"/>
        <v>#REF!</v>
      </c>
    </row>
    <row r="166" spans="1:28">
      <c r="A166" s="19" t="e">
        <f>装备!#REF!</f>
        <v>#REF!</v>
      </c>
      <c r="B166" s="19" t="e">
        <f>"'"&amp;装备!#REF!&amp;"'"</f>
        <v>#REF!</v>
      </c>
      <c r="C166" s="19" t="e">
        <f>装备!#REF!</f>
        <v>#REF!</v>
      </c>
      <c r="D166" s="19" t="e">
        <f>装备!#REF!</f>
        <v>#REF!</v>
      </c>
      <c r="E166" s="19" t="e">
        <f>装备!#REF!</f>
        <v>#REF!</v>
      </c>
      <c r="F166" s="19" t="e">
        <f>装备!#REF!</f>
        <v>#REF!</v>
      </c>
      <c r="G166" s="19" t="e">
        <f>装备!#REF!</f>
        <v>#REF!</v>
      </c>
      <c r="H166" s="19" t="e">
        <f>装备!#REF!</f>
        <v>#REF!</v>
      </c>
      <c r="I166" s="19" t="e">
        <f>IF(装备!#REF!=0,0,"'"&amp;装备!#REF!&amp;"'")</f>
        <v>#REF!</v>
      </c>
      <c r="J166" s="19" t="e">
        <f>IF(装备!#REF!=0,0,"'"&amp;装备!#REF!&amp;"'")</f>
        <v>#REF!</v>
      </c>
      <c r="K166" s="19" t="e">
        <f>IF(装备!#REF!=0,0,"'"&amp;装备!#REF!&amp;"'")</f>
        <v>#REF!</v>
      </c>
      <c r="L166" s="19" t="e">
        <f>IF(装备!#REF!=0,0,"'"&amp;装备!#REF!&amp;"'")</f>
        <v>#REF!</v>
      </c>
      <c r="M166" s="19" t="e">
        <f>IF(装备!#REF!=0,0,"'"&amp;装备!#REF!&amp;"'")</f>
        <v>#REF!</v>
      </c>
      <c r="N166" s="19" t="e">
        <f>IF(装备!#REF!=0,0,"'"&amp;装备!#REF!&amp;"'")</f>
        <v>#REF!</v>
      </c>
      <c r="O166" s="19" t="e">
        <f t="shared" si="49"/>
        <v>#REF!</v>
      </c>
      <c r="P166" s="19" t="str">
        <f t="shared" si="48"/>
        <v/>
      </c>
      <c r="Q166" s="23" t="str">
        <f>IFERROR(VLOOKUP(C166,装备!$B:$E,3,FALSE),"")</f>
        <v/>
      </c>
      <c r="R166" s="23" t="str">
        <f>IFERROR(VLOOKUP(D166,装备!$B:$E,3,FALSE),"")</f>
        <v/>
      </c>
      <c r="S166" s="23" t="str">
        <f>IFERROR(VLOOKUP(E166,装备!$B:$E,3,FALSE),"")</f>
        <v/>
      </c>
      <c r="T166" s="23" t="str">
        <f>IFERROR(VLOOKUP(F166,装备!$B:$E,3,FALSE),"")</f>
        <v/>
      </c>
      <c r="U166" s="23" t="str">
        <f>IFERROR(VLOOKUP(G166,装备!$B:$E,3,FALSE),"")</f>
        <v/>
      </c>
      <c r="V166" s="23" t="str">
        <f>IFERROR(VLOOKUP(H166,装备!$B:$E,3,FALSE),"")</f>
        <v/>
      </c>
      <c r="W166" s="18" t="str">
        <f t="shared" si="50"/>
        <v/>
      </c>
      <c r="X166" s="18" t="str">
        <f t="shared" si="51"/>
        <v/>
      </c>
      <c r="Y166" s="18" t="str">
        <f t="shared" si="52"/>
        <v/>
      </c>
      <c r="Z166" s="18" t="str">
        <f t="shared" si="53"/>
        <v/>
      </c>
      <c r="AA166" s="18" t="str">
        <f t="shared" si="54"/>
        <v/>
      </c>
      <c r="AB166" s="18" t="e">
        <f t="shared" si="55"/>
        <v>#REF!</v>
      </c>
    </row>
    <row r="167" spans="1:28">
      <c r="A167" s="19" t="e">
        <f>装备!#REF!</f>
        <v>#REF!</v>
      </c>
      <c r="B167" s="19" t="e">
        <f>"'"&amp;装备!#REF!&amp;"'"</f>
        <v>#REF!</v>
      </c>
      <c r="C167" s="19" t="e">
        <f>装备!#REF!</f>
        <v>#REF!</v>
      </c>
      <c r="D167" s="19" t="e">
        <f>装备!#REF!</f>
        <v>#REF!</v>
      </c>
      <c r="E167" s="19" t="e">
        <f>装备!#REF!</f>
        <v>#REF!</v>
      </c>
      <c r="F167" s="19" t="e">
        <f>装备!#REF!</f>
        <v>#REF!</v>
      </c>
      <c r="G167" s="19" t="e">
        <f>装备!#REF!</f>
        <v>#REF!</v>
      </c>
      <c r="H167" s="19" t="e">
        <f>装备!#REF!</f>
        <v>#REF!</v>
      </c>
      <c r="I167" s="19" t="e">
        <f>IF(装备!#REF!=0,0,"'"&amp;装备!#REF!&amp;"'")</f>
        <v>#REF!</v>
      </c>
      <c r="J167" s="19" t="e">
        <f>IF(装备!#REF!=0,0,"'"&amp;装备!#REF!&amp;"'")</f>
        <v>#REF!</v>
      </c>
      <c r="K167" s="19" t="e">
        <f>IF(装备!#REF!=0,0,"'"&amp;装备!#REF!&amp;"'")</f>
        <v>#REF!</v>
      </c>
      <c r="L167" s="19" t="e">
        <f>IF(装备!#REF!=0,0,"'"&amp;装备!#REF!&amp;"'")</f>
        <v>#REF!</v>
      </c>
      <c r="M167" s="19" t="e">
        <f>IF(装备!#REF!=0,0,"'"&amp;装备!#REF!&amp;"'")</f>
        <v>#REF!</v>
      </c>
      <c r="N167" s="19" t="e">
        <f>IF(装备!#REF!=0,0,"'"&amp;装备!#REF!&amp;"'")</f>
        <v>#REF!</v>
      </c>
      <c r="O167" s="19" t="e">
        <f t="shared" si="49"/>
        <v>#REF!</v>
      </c>
      <c r="P167" s="19" t="str">
        <f t="shared" si="48"/>
        <v/>
      </c>
      <c r="Q167" s="23" t="str">
        <f>IFERROR(VLOOKUP(C167,装备!$B:$E,3,FALSE),"")</f>
        <v/>
      </c>
      <c r="R167" s="23" t="str">
        <f>IFERROR(VLOOKUP(D167,装备!$B:$E,3,FALSE),"")</f>
        <v/>
      </c>
      <c r="S167" s="23" t="str">
        <f>IFERROR(VLOOKUP(E167,装备!$B:$E,3,FALSE),"")</f>
        <v/>
      </c>
      <c r="T167" s="23" t="str">
        <f>IFERROR(VLOOKUP(F167,装备!$B:$E,3,FALSE),"")</f>
        <v/>
      </c>
      <c r="U167" s="23" t="str">
        <f>IFERROR(VLOOKUP(G167,装备!$B:$E,3,FALSE),"")</f>
        <v/>
      </c>
      <c r="V167" s="23" t="str">
        <f>IFERROR(VLOOKUP(H167,装备!$B:$E,3,FALSE),"")</f>
        <v/>
      </c>
      <c r="W167" s="18" t="str">
        <f t="shared" si="50"/>
        <v/>
      </c>
      <c r="X167" s="18" t="str">
        <f t="shared" si="51"/>
        <v/>
      </c>
      <c r="Y167" s="18" t="str">
        <f t="shared" si="52"/>
        <v/>
      </c>
      <c r="Z167" s="18" t="str">
        <f t="shared" si="53"/>
        <v/>
      </c>
      <c r="AA167" s="18" t="str">
        <f t="shared" si="54"/>
        <v/>
      </c>
      <c r="AB167" s="18" t="e">
        <f t="shared" si="55"/>
        <v>#REF!</v>
      </c>
    </row>
    <row r="168" spans="1:28">
      <c r="A168" s="19" t="e">
        <f>装备!#REF!</f>
        <v>#REF!</v>
      </c>
      <c r="B168" s="19" t="e">
        <f>"'"&amp;装备!#REF!&amp;"'"</f>
        <v>#REF!</v>
      </c>
      <c r="C168" s="19" t="e">
        <f>装备!#REF!</f>
        <v>#REF!</v>
      </c>
      <c r="D168" s="19" t="e">
        <f>装备!#REF!</f>
        <v>#REF!</v>
      </c>
      <c r="E168" s="19" t="e">
        <f>装备!#REF!</f>
        <v>#REF!</v>
      </c>
      <c r="F168" s="19" t="e">
        <f>装备!#REF!</f>
        <v>#REF!</v>
      </c>
      <c r="G168" s="19" t="e">
        <f>装备!#REF!</f>
        <v>#REF!</v>
      </c>
      <c r="H168" s="19" t="e">
        <f>装备!#REF!</f>
        <v>#REF!</v>
      </c>
      <c r="I168" s="19" t="e">
        <f>IF(装备!#REF!=0,0,"'"&amp;装备!#REF!&amp;"'")</f>
        <v>#REF!</v>
      </c>
      <c r="J168" s="19" t="e">
        <f>IF(装备!#REF!=0,0,"'"&amp;装备!#REF!&amp;"'")</f>
        <v>#REF!</v>
      </c>
      <c r="K168" s="19" t="e">
        <f>IF(装备!#REF!=0,0,"'"&amp;装备!#REF!&amp;"'")</f>
        <v>#REF!</v>
      </c>
      <c r="L168" s="19" t="e">
        <f>IF(装备!#REF!=0,0,"'"&amp;装备!#REF!&amp;"'")</f>
        <v>#REF!</v>
      </c>
      <c r="M168" s="19" t="e">
        <f>IF(装备!#REF!=0,0,"'"&amp;装备!#REF!&amp;"'")</f>
        <v>#REF!</v>
      </c>
      <c r="N168" s="19" t="e">
        <f>IF(装备!#REF!=0,0,"'"&amp;装备!#REF!&amp;"'")</f>
        <v>#REF!</v>
      </c>
      <c r="O168" s="19" t="e">
        <f t="shared" si="49"/>
        <v>#REF!</v>
      </c>
      <c r="P168" s="19" t="str">
        <f t="shared" si="48"/>
        <v/>
      </c>
      <c r="Q168" s="23" t="str">
        <f>IFERROR(VLOOKUP(C168,装备!$B:$E,3,FALSE),"")</f>
        <v/>
      </c>
      <c r="R168" s="23" t="str">
        <f>IFERROR(VLOOKUP(D168,装备!$B:$E,3,FALSE),"")</f>
        <v/>
      </c>
      <c r="S168" s="23" t="str">
        <f>IFERROR(VLOOKUP(E168,装备!$B:$E,3,FALSE),"")</f>
        <v/>
      </c>
      <c r="T168" s="23" t="str">
        <f>IFERROR(VLOOKUP(F168,装备!$B:$E,3,FALSE),"")</f>
        <v/>
      </c>
      <c r="U168" s="23" t="str">
        <f>IFERROR(VLOOKUP(G168,装备!$B:$E,3,FALSE),"")</f>
        <v/>
      </c>
      <c r="V168" s="23" t="str">
        <f>IFERROR(VLOOKUP(H168,装备!$B:$E,3,FALSE),"")</f>
        <v/>
      </c>
      <c r="W168" s="18" t="str">
        <f t="shared" si="50"/>
        <v/>
      </c>
      <c r="X168" s="18" t="str">
        <f t="shared" si="51"/>
        <v/>
      </c>
      <c r="Y168" s="18" t="str">
        <f t="shared" si="52"/>
        <v/>
      </c>
      <c r="Z168" s="18" t="str">
        <f t="shared" si="53"/>
        <v/>
      </c>
      <c r="AA168" s="18" t="str">
        <f t="shared" si="54"/>
        <v/>
      </c>
      <c r="AB168" s="18" t="e">
        <f t="shared" si="55"/>
        <v>#REF!</v>
      </c>
    </row>
    <row r="169" spans="1:28">
      <c r="A169" s="19" t="e">
        <f>装备!#REF!</f>
        <v>#REF!</v>
      </c>
      <c r="B169" s="19" t="e">
        <f>"'"&amp;装备!#REF!&amp;"'"</f>
        <v>#REF!</v>
      </c>
      <c r="C169" s="19" t="e">
        <f>装备!#REF!</f>
        <v>#REF!</v>
      </c>
      <c r="D169" s="19" t="e">
        <f>装备!#REF!</f>
        <v>#REF!</v>
      </c>
      <c r="E169" s="19" t="e">
        <f>装备!#REF!</f>
        <v>#REF!</v>
      </c>
      <c r="F169" s="19" t="e">
        <f>装备!#REF!</f>
        <v>#REF!</v>
      </c>
      <c r="G169" s="19" t="e">
        <f>装备!#REF!</f>
        <v>#REF!</v>
      </c>
      <c r="H169" s="19" t="e">
        <f>装备!#REF!</f>
        <v>#REF!</v>
      </c>
      <c r="I169" s="19" t="e">
        <f>IF(装备!#REF!=0,0,"'"&amp;装备!#REF!&amp;"'")</f>
        <v>#REF!</v>
      </c>
      <c r="J169" s="19" t="e">
        <f>IF(装备!#REF!=0,0,"'"&amp;装备!#REF!&amp;"'")</f>
        <v>#REF!</v>
      </c>
      <c r="K169" s="19" t="e">
        <f>IF(装备!#REF!=0,0,"'"&amp;装备!#REF!&amp;"'")</f>
        <v>#REF!</v>
      </c>
      <c r="L169" s="19" t="e">
        <f>IF(装备!#REF!=0,0,"'"&amp;装备!#REF!&amp;"'")</f>
        <v>#REF!</v>
      </c>
      <c r="M169" s="19" t="e">
        <f>IF(装备!#REF!=0,0,"'"&amp;装备!#REF!&amp;"'")</f>
        <v>#REF!</v>
      </c>
      <c r="N169" s="19" t="e">
        <f>IF(装备!#REF!=0,0,"'"&amp;装备!#REF!&amp;"'")</f>
        <v>#REF!</v>
      </c>
      <c r="O169" s="19" t="e">
        <f t="shared" si="49"/>
        <v>#REF!</v>
      </c>
      <c r="P169" s="19" t="str">
        <f t="shared" si="48"/>
        <v/>
      </c>
      <c r="Q169" s="23" t="str">
        <f>IFERROR(VLOOKUP(C169,装备!$B:$E,3,FALSE),"")</f>
        <v/>
      </c>
      <c r="R169" s="23" t="str">
        <f>IFERROR(VLOOKUP(D169,装备!$B:$E,3,FALSE),"")</f>
        <v/>
      </c>
      <c r="S169" s="23" t="str">
        <f>IFERROR(VLOOKUP(E169,装备!$B:$E,3,FALSE),"")</f>
        <v/>
      </c>
      <c r="T169" s="23" t="str">
        <f>IFERROR(VLOOKUP(F169,装备!$B:$E,3,FALSE),"")</f>
        <v/>
      </c>
      <c r="U169" s="23" t="str">
        <f>IFERROR(VLOOKUP(G169,装备!$B:$E,3,FALSE),"")</f>
        <v/>
      </c>
      <c r="V169" s="23" t="str">
        <f>IFERROR(VLOOKUP(H169,装备!$B:$E,3,FALSE),"")</f>
        <v/>
      </c>
      <c r="W169" s="18" t="str">
        <f t="shared" si="50"/>
        <v/>
      </c>
      <c r="X169" s="18" t="str">
        <f t="shared" si="51"/>
        <v/>
      </c>
      <c r="Y169" s="18" t="str">
        <f t="shared" si="52"/>
        <v/>
      </c>
      <c r="Z169" s="18" t="str">
        <f t="shared" si="53"/>
        <v/>
      </c>
      <c r="AA169" s="18" t="str">
        <f t="shared" si="54"/>
        <v/>
      </c>
      <c r="AB169" s="18" t="e">
        <f t="shared" si="55"/>
        <v>#REF!</v>
      </c>
    </row>
    <row r="170" spans="1:28">
      <c r="A170" s="19">
        <f>装备!A88</f>
        <v>0</v>
      </c>
      <c r="B170" s="19" t="str">
        <f>"'"&amp;装备!B88&amp;"'"</f>
        <v>'CS01'</v>
      </c>
      <c r="C170" s="19">
        <f>装备!J88</f>
        <v>0</v>
      </c>
      <c r="D170" s="19">
        <f>装备!K88</f>
        <v>0</v>
      </c>
      <c r="E170" s="19">
        <f>装备!L88</f>
        <v>0</v>
      </c>
      <c r="F170" s="19">
        <f>装备!M88</f>
        <v>0</v>
      </c>
      <c r="G170" s="19">
        <f>装备!N88</f>
        <v>0</v>
      </c>
      <c r="H170" s="19">
        <f>装备!O88</f>
        <v>0</v>
      </c>
      <c r="I170" s="19">
        <f>IF(装备!J88=0,0,"'"&amp;装备!J88&amp;"'")</f>
        <v>0</v>
      </c>
      <c r="J170" s="19">
        <f>IF(装备!K88=0,0,"'"&amp;装备!K88&amp;"'")</f>
        <v>0</v>
      </c>
      <c r="K170" s="19">
        <f>IF(装备!L88=0,0,"'"&amp;装备!L88&amp;"'")</f>
        <v>0</v>
      </c>
      <c r="L170" s="19">
        <f>IF(装备!M88=0,0,"'"&amp;装备!M88&amp;"'")</f>
        <v>0</v>
      </c>
      <c r="M170" s="19">
        <f>IF(装备!N88=0,0,"'"&amp;装备!N88&amp;"'")</f>
        <v>0</v>
      </c>
      <c r="N170" s="19">
        <f>IF(装备!O88=0,0,"'"&amp;装备!O88&amp;"'")</f>
        <v>0</v>
      </c>
      <c r="O170" s="19" t="str">
        <f t="shared" si="49"/>
        <v/>
      </c>
      <c r="P170" s="19" t="str">
        <f t="shared" si="48"/>
        <v/>
      </c>
      <c r="Q170" s="23" t="str">
        <f>IFERROR(VLOOKUP(C170,装备!$B:$E,3,FALSE),"")</f>
        <v/>
      </c>
      <c r="R170" s="23" t="str">
        <f>IFERROR(VLOOKUP(D170,装备!$B:$E,3,FALSE),"")</f>
        <v/>
      </c>
      <c r="S170" s="23" t="str">
        <f>IFERROR(VLOOKUP(E170,装备!$B:$E,3,FALSE),"")</f>
        <v/>
      </c>
      <c r="T170" s="23" t="str">
        <f>IFERROR(VLOOKUP(F170,装备!$B:$E,3,FALSE),"")</f>
        <v/>
      </c>
      <c r="U170" s="23" t="str">
        <f>IFERROR(VLOOKUP(G170,装备!$B:$E,3,FALSE),"")</f>
        <v/>
      </c>
      <c r="V170" s="23" t="str">
        <f>IFERROR(VLOOKUP(H170,装备!$B:$E,3,FALSE),"")</f>
        <v/>
      </c>
      <c r="W170" s="18" t="str">
        <f t="shared" si="50"/>
        <v/>
      </c>
      <c r="X170" s="18" t="str">
        <f t="shared" si="51"/>
        <v/>
      </c>
      <c r="Y170" s="18" t="str">
        <f t="shared" si="52"/>
        <v/>
      </c>
      <c r="Z170" s="18" t="str">
        <f t="shared" si="53"/>
        <v/>
      </c>
      <c r="AA170" s="18" t="str">
        <f t="shared" si="54"/>
        <v/>
      </c>
      <c r="AB170" s="18" t="str">
        <f t="shared" si="55"/>
        <v>|n=0</v>
      </c>
    </row>
    <row r="171" spans="1:28">
      <c r="A171" s="19">
        <f>装备!A89</f>
        <v>0</v>
      </c>
      <c r="B171" s="19" t="str">
        <f>"'"&amp;装备!B89&amp;"'"</f>
        <v>'CS02'</v>
      </c>
      <c r="C171" s="19">
        <f>装备!J89</f>
        <v>0</v>
      </c>
      <c r="D171" s="19">
        <f>装备!K89</f>
        <v>0</v>
      </c>
      <c r="E171" s="19">
        <f>装备!L89</f>
        <v>0</v>
      </c>
      <c r="F171" s="19">
        <f>装备!M89</f>
        <v>0</v>
      </c>
      <c r="G171" s="19">
        <f>装备!N89</f>
        <v>0</v>
      </c>
      <c r="H171" s="19">
        <f>装备!O89</f>
        <v>0</v>
      </c>
      <c r="I171" s="19">
        <f>IF(装备!J89=0,0,"'"&amp;装备!J89&amp;"'")</f>
        <v>0</v>
      </c>
      <c r="J171" s="19">
        <f>IF(装备!K89=0,0,"'"&amp;装备!K89&amp;"'")</f>
        <v>0</v>
      </c>
      <c r="K171" s="19">
        <f>IF(装备!L89=0,0,"'"&amp;装备!L89&amp;"'")</f>
        <v>0</v>
      </c>
      <c r="L171" s="19">
        <f>IF(装备!M89=0,0,"'"&amp;装备!M89&amp;"'")</f>
        <v>0</v>
      </c>
      <c r="M171" s="19">
        <f>IF(装备!N89=0,0,"'"&amp;装备!N89&amp;"'")</f>
        <v>0</v>
      </c>
      <c r="N171" s="19">
        <f>IF(装备!O89=0,0,"'"&amp;装备!O89&amp;"'")</f>
        <v>0</v>
      </c>
      <c r="O171" s="19" t="str">
        <f t="shared" si="49"/>
        <v/>
      </c>
      <c r="P171" s="19" t="str">
        <f t="shared" si="48"/>
        <v/>
      </c>
      <c r="Q171" s="23" t="str">
        <f>IFERROR(VLOOKUP(C171,装备!$B:$E,3,FALSE),"")</f>
        <v/>
      </c>
      <c r="R171" s="23" t="str">
        <f>IFERROR(VLOOKUP(D171,装备!$B:$E,3,FALSE),"")</f>
        <v/>
      </c>
      <c r="S171" s="23" t="str">
        <f>IFERROR(VLOOKUP(E171,装备!$B:$E,3,FALSE),"")</f>
        <v/>
      </c>
      <c r="T171" s="23" t="str">
        <f>IFERROR(VLOOKUP(F171,装备!$B:$E,3,FALSE),"")</f>
        <v/>
      </c>
      <c r="U171" s="23" t="str">
        <f>IFERROR(VLOOKUP(G171,装备!$B:$E,3,FALSE),"")</f>
        <v/>
      </c>
      <c r="V171" s="23" t="str">
        <f>IFERROR(VLOOKUP(H171,装备!$B:$E,3,FALSE),"")</f>
        <v/>
      </c>
      <c r="W171" s="18" t="str">
        <f t="shared" si="50"/>
        <v/>
      </c>
      <c r="X171" s="18" t="str">
        <f t="shared" si="51"/>
        <v/>
      </c>
      <c r="Y171" s="18" t="str">
        <f t="shared" si="52"/>
        <v/>
      </c>
      <c r="Z171" s="18" t="str">
        <f t="shared" si="53"/>
        <v/>
      </c>
      <c r="AA171" s="18" t="str">
        <f t="shared" si="54"/>
        <v/>
      </c>
      <c r="AB171" s="18" t="str">
        <f t="shared" si="55"/>
        <v>|n=0</v>
      </c>
    </row>
    <row r="172" spans="1:28">
      <c r="A172" s="19">
        <f>装备!A90</f>
        <v>0</v>
      </c>
      <c r="B172" s="19" t="str">
        <f>"'"&amp;装备!B90&amp;"'"</f>
        <v>'CS03'</v>
      </c>
      <c r="C172" s="19">
        <f>装备!J90</f>
        <v>0</v>
      </c>
      <c r="D172" s="19">
        <f>装备!K90</f>
        <v>0</v>
      </c>
      <c r="E172" s="19">
        <f>装备!L90</f>
        <v>0</v>
      </c>
      <c r="F172" s="19">
        <f>装备!M90</f>
        <v>0</v>
      </c>
      <c r="G172" s="19">
        <f>装备!N90</f>
        <v>0</v>
      </c>
      <c r="H172" s="19">
        <f>装备!O90</f>
        <v>0</v>
      </c>
      <c r="I172" s="19">
        <f>IF(装备!J90=0,0,"'"&amp;装备!J90&amp;"'")</f>
        <v>0</v>
      </c>
      <c r="J172" s="19">
        <f>IF(装备!K90=0,0,"'"&amp;装备!K90&amp;"'")</f>
        <v>0</v>
      </c>
      <c r="K172" s="19">
        <f>IF(装备!L90=0,0,"'"&amp;装备!L90&amp;"'")</f>
        <v>0</v>
      </c>
      <c r="L172" s="19">
        <f>IF(装备!M90=0,0,"'"&amp;装备!M90&amp;"'")</f>
        <v>0</v>
      </c>
      <c r="M172" s="19">
        <f>IF(装备!N90=0,0,"'"&amp;装备!N90&amp;"'")</f>
        <v>0</v>
      </c>
      <c r="N172" s="19">
        <f>IF(装备!O90=0,0,"'"&amp;装备!O90&amp;"'")</f>
        <v>0</v>
      </c>
      <c r="O172" s="19" t="str">
        <f t="shared" si="49"/>
        <v/>
      </c>
      <c r="P172" s="19" t="str">
        <f t="shared" si="48"/>
        <v/>
      </c>
      <c r="Q172" s="23" t="str">
        <f>IFERROR(VLOOKUP(C172,装备!$B:$E,3,FALSE),"")</f>
        <v/>
      </c>
      <c r="R172" s="23" t="str">
        <f>IFERROR(VLOOKUP(D172,装备!$B:$E,3,FALSE),"")</f>
        <v/>
      </c>
      <c r="S172" s="23" t="str">
        <f>IFERROR(VLOOKUP(E172,装备!$B:$E,3,FALSE),"")</f>
        <v/>
      </c>
      <c r="T172" s="23" t="str">
        <f>IFERROR(VLOOKUP(F172,装备!$B:$E,3,FALSE),"")</f>
        <v/>
      </c>
      <c r="U172" s="23" t="str">
        <f>IFERROR(VLOOKUP(G172,装备!$B:$E,3,FALSE),"")</f>
        <v/>
      </c>
      <c r="V172" s="23" t="str">
        <f>IFERROR(VLOOKUP(H172,装备!$B:$E,3,FALSE),"")</f>
        <v/>
      </c>
      <c r="W172" s="18" t="str">
        <f t="shared" si="50"/>
        <v/>
      </c>
      <c r="X172" s="18" t="str">
        <f t="shared" si="51"/>
        <v/>
      </c>
      <c r="Y172" s="18" t="str">
        <f t="shared" si="52"/>
        <v/>
      </c>
      <c r="Z172" s="18" t="str">
        <f t="shared" si="53"/>
        <v/>
      </c>
      <c r="AA172" s="18" t="str">
        <f t="shared" si="54"/>
        <v/>
      </c>
      <c r="AB172" s="18" t="str">
        <f t="shared" si="55"/>
        <v>|n=0</v>
      </c>
    </row>
    <row r="173" spans="1:28">
      <c r="A173" s="19">
        <f>装备!A99</f>
        <v>0</v>
      </c>
      <c r="B173" s="19" t="str">
        <f>"'"&amp;装备!B99&amp;"'"</f>
        <v>'IP01'</v>
      </c>
      <c r="C173" s="19">
        <f>装备!J99</f>
        <v>0</v>
      </c>
      <c r="D173" s="19">
        <f>装备!K99</f>
        <v>0</v>
      </c>
      <c r="E173" s="19">
        <f>装备!L99</f>
        <v>0</v>
      </c>
      <c r="F173" s="19">
        <f>装备!M99</f>
        <v>0</v>
      </c>
      <c r="G173" s="19">
        <f>装备!N99</f>
        <v>0</v>
      </c>
      <c r="H173" s="19">
        <f>装备!O99</f>
        <v>0</v>
      </c>
      <c r="I173" s="19">
        <f>IF(装备!J99=0,0,"'"&amp;装备!J99&amp;"'")</f>
        <v>0</v>
      </c>
      <c r="J173" s="19">
        <f>IF(装备!K99=0,0,"'"&amp;装备!K99&amp;"'")</f>
        <v>0</v>
      </c>
      <c r="K173" s="19">
        <f>IF(装备!L99=0,0,"'"&amp;装备!L99&amp;"'")</f>
        <v>0</v>
      </c>
      <c r="L173" s="19">
        <f>IF(装备!M99=0,0,"'"&amp;装备!M99&amp;"'")</f>
        <v>0</v>
      </c>
      <c r="M173" s="19">
        <f>IF(装备!N99=0,0,"'"&amp;装备!N99&amp;"'")</f>
        <v>0</v>
      </c>
      <c r="N173" s="19">
        <f>IF(装备!O99=0,0,"'"&amp;装备!O99&amp;"'")</f>
        <v>0</v>
      </c>
      <c r="O173" s="19" t="str">
        <f t="shared" si="49"/>
        <v/>
      </c>
      <c r="P173" s="19" t="str">
        <f t="shared" si="48"/>
        <v/>
      </c>
      <c r="Q173" s="23" t="str">
        <f>IFERROR(VLOOKUP(C173,装备!$B:$E,3,FALSE),"")</f>
        <v/>
      </c>
      <c r="R173" s="23" t="str">
        <f>IFERROR(VLOOKUP(D173,装备!$B:$E,3,FALSE),"")</f>
        <v/>
      </c>
      <c r="S173" s="23" t="str">
        <f>IFERROR(VLOOKUP(E173,装备!$B:$E,3,FALSE),"")</f>
        <v/>
      </c>
      <c r="T173" s="23" t="str">
        <f>IFERROR(VLOOKUP(F173,装备!$B:$E,3,FALSE),"")</f>
        <v/>
      </c>
      <c r="U173" s="23" t="str">
        <f>IFERROR(VLOOKUP(G173,装备!$B:$E,3,FALSE),"")</f>
        <v/>
      </c>
      <c r="V173" s="23" t="str">
        <f>IFERROR(VLOOKUP(H173,装备!$B:$E,3,FALSE),"")</f>
        <v/>
      </c>
      <c r="W173" s="18" t="str">
        <f t="shared" si="50"/>
        <v/>
      </c>
      <c r="X173" s="18" t="str">
        <f t="shared" si="51"/>
        <v/>
      </c>
      <c r="Y173" s="18" t="str">
        <f t="shared" si="52"/>
        <v/>
      </c>
      <c r="Z173" s="18" t="str">
        <f t="shared" si="53"/>
        <v/>
      </c>
      <c r="AA173" s="18" t="str">
        <f t="shared" si="54"/>
        <v/>
      </c>
      <c r="AB173" s="18" t="str">
        <f t="shared" si="55"/>
        <v>|n=0</v>
      </c>
    </row>
    <row r="174" spans="1:28">
      <c r="A174" s="19">
        <f>装备!A100</f>
        <v>0</v>
      </c>
      <c r="B174" s="19" t="str">
        <f>"'"&amp;装备!B100&amp;"'"</f>
        <v>'IP02'</v>
      </c>
      <c r="C174" s="19">
        <f>装备!J100</f>
        <v>0</v>
      </c>
      <c r="D174" s="19">
        <f>装备!K100</f>
        <v>0</v>
      </c>
      <c r="E174" s="19">
        <f>装备!L100</f>
        <v>0</v>
      </c>
      <c r="F174" s="19">
        <f>装备!M100</f>
        <v>0</v>
      </c>
      <c r="G174" s="19">
        <f>装备!N100</f>
        <v>0</v>
      </c>
      <c r="H174" s="19">
        <f>装备!O100</f>
        <v>0</v>
      </c>
      <c r="I174" s="19">
        <f>IF(装备!J100=0,0,"'"&amp;装备!J100&amp;"'")</f>
        <v>0</v>
      </c>
      <c r="J174" s="19">
        <f>IF(装备!K100=0,0,"'"&amp;装备!K100&amp;"'")</f>
        <v>0</v>
      </c>
      <c r="K174" s="19">
        <f>IF(装备!L100=0,0,"'"&amp;装备!L100&amp;"'")</f>
        <v>0</v>
      </c>
      <c r="L174" s="19">
        <f>IF(装备!M100=0,0,"'"&amp;装备!M100&amp;"'")</f>
        <v>0</v>
      </c>
      <c r="M174" s="19">
        <f>IF(装备!N100=0,0,"'"&amp;装备!N100&amp;"'")</f>
        <v>0</v>
      </c>
      <c r="N174" s="19">
        <f>IF(装备!O100=0,0,"'"&amp;装备!O100&amp;"'")</f>
        <v>0</v>
      </c>
      <c r="O174" s="19" t="str">
        <f t="shared" si="49"/>
        <v/>
      </c>
      <c r="P174" s="19" t="str">
        <f t="shared" si="48"/>
        <v/>
      </c>
      <c r="Q174" s="23" t="str">
        <f>IFERROR(VLOOKUP(C174,装备!$B:$E,3,FALSE),"")</f>
        <v/>
      </c>
      <c r="R174" s="23" t="str">
        <f>IFERROR(VLOOKUP(D174,装备!$B:$E,3,FALSE),"")</f>
        <v/>
      </c>
      <c r="S174" s="23" t="str">
        <f>IFERROR(VLOOKUP(E174,装备!$B:$E,3,FALSE),"")</f>
        <v/>
      </c>
      <c r="T174" s="23" t="str">
        <f>IFERROR(VLOOKUP(F174,装备!$B:$E,3,FALSE),"")</f>
        <v/>
      </c>
      <c r="U174" s="23" t="str">
        <f>IFERROR(VLOOKUP(G174,装备!$B:$E,3,FALSE),"")</f>
        <v/>
      </c>
      <c r="V174" s="23" t="str">
        <f>IFERROR(VLOOKUP(H174,装备!$B:$E,3,FALSE),"")</f>
        <v/>
      </c>
      <c r="W174" s="18" t="str">
        <f t="shared" si="50"/>
        <v/>
      </c>
      <c r="X174" s="18" t="str">
        <f t="shared" si="51"/>
        <v/>
      </c>
      <c r="Y174" s="18" t="str">
        <f t="shared" si="52"/>
        <v/>
      </c>
      <c r="Z174" s="18" t="str">
        <f t="shared" si="53"/>
        <v/>
      </c>
      <c r="AA174" s="18" t="str">
        <f t="shared" si="54"/>
        <v/>
      </c>
      <c r="AB174" s="18" t="str">
        <f t="shared" si="55"/>
        <v>|n=0</v>
      </c>
    </row>
    <row r="175" spans="1:28">
      <c r="A175" s="19">
        <f>装备!A101</f>
        <v>0</v>
      </c>
      <c r="B175" s="19" t="str">
        <f>"'"&amp;装备!B101&amp;"'"</f>
        <v>'IP03'</v>
      </c>
      <c r="C175" s="19">
        <f>装备!J101</f>
        <v>0</v>
      </c>
      <c r="D175" s="19">
        <f>装备!K101</f>
        <v>0</v>
      </c>
      <c r="E175" s="19">
        <f>装备!L101</f>
        <v>0</v>
      </c>
      <c r="F175" s="19">
        <f>装备!M101</f>
        <v>0</v>
      </c>
      <c r="G175" s="19">
        <f>装备!N101</f>
        <v>0</v>
      </c>
      <c r="H175" s="19">
        <f>装备!O101</f>
        <v>0</v>
      </c>
      <c r="I175" s="19">
        <f>IF(装备!J101=0,0,"'"&amp;装备!J101&amp;"'")</f>
        <v>0</v>
      </c>
      <c r="J175" s="19">
        <f>IF(装备!K101=0,0,"'"&amp;装备!K101&amp;"'")</f>
        <v>0</v>
      </c>
      <c r="K175" s="19">
        <f>IF(装备!L101=0,0,"'"&amp;装备!L101&amp;"'")</f>
        <v>0</v>
      </c>
      <c r="L175" s="19">
        <f>IF(装备!M101=0,0,"'"&amp;装备!M101&amp;"'")</f>
        <v>0</v>
      </c>
      <c r="M175" s="19">
        <f>IF(装备!N101=0,0,"'"&amp;装备!N101&amp;"'")</f>
        <v>0</v>
      </c>
      <c r="N175" s="19">
        <f>IF(装备!O101=0,0,"'"&amp;装备!O101&amp;"'")</f>
        <v>0</v>
      </c>
      <c r="O175" s="19" t="str">
        <f t="shared" si="49"/>
        <v/>
      </c>
      <c r="P175" s="19" t="str">
        <f t="shared" si="48"/>
        <v/>
      </c>
      <c r="Q175" s="23" t="str">
        <f>IFERROR(VLOOKUP(C175,装备!$B:$E,3,FALSE),"")</f>
        <v/>
      </c>
      <c r="R175" s="23" t="str">
        <f>IFERROR(VLOOKUP(D175,装备!$B:$E,3,FALSE),"")</f>
        <v/>
      </c>
      <c r="S175" s="23" t="str">
        <f>IFERROR(VLOOKUP(E175,装备!$B:$E,3,FALSE),"")</f>
        <v/>
      </c>
      <c r="T175" s="23" t="str">
        <f>IFERROR(VLOOKUP(F175,装备!$B:$E,3,FALSE),"")</f>
        <v/>
      </c>
      <c r="U175" s="23" t="str">
        <f>IFERROR(VLOOKUP(G175,装备!$B:$E,3,FALSE),"")</f>
        <v/>
      </c>
      <c r="V175" s="23" t="str">
        <f>IFERROR(VLOOKUP(H175,装备!$B:$E,3,FALSE),"")</f>
        <v/>
      </c>
      <c r="W175" s="18" t="str">
        <f t="shared" si="50"/>
        <v/>
      </c>
      <c r="X175" s="18" t="str">
        <f t="shared" si="51"/>
        <v/>
      </c>
      <c r="Y175" s="18" t="str">
        <f t="shared" si="52"/>
        <v/>
      </c>
      <c r="Z175" s="18" t="str">
        <f t="shared" si="53"/>
        <v/>
      </c>
      <c r="AA175" s="18" t="str">
        <f t="shared" si="54"/>
        <v/>
      </c>
      <c r="AB175" s="18" t="str">
        <f t="shared" si="55"/>
        <v>|n=0</v>
      </c>
    </row>
    <row r="176" spans="1:28">
      <c r="A176" s="19">
        <f>装备!A102</f>
        <v>0</v>
      </c>
      <c r="B176" s="19" t="str">
        <f>"'"&amp;装备!B102&amp;"'"</f>
        <v>'IT01'</v>
      </c>
      <c r="C176" s="19">
        <f>装备!J102</f>
        <v>0</v>
      </c>
      <c r="D176" s="19">
        <f>装备!K102</f>
        <v>0</v>
      </c>
      <c r="E176" s="19">
        <f>装备!L102</f>
        <v>0</v>
      </c>
      <c r="F176" s="19">
        <f>装备!M102</f>
        <v>0</v>
      </c>
      <c r="G176" s="19">
        <f>装备!N102</f>
        <v>0</v>
      </c>
      <c r="H176" s="19">
        <f>装备!O102</f>
        <v>0</v>
      </c>
      <c r="I176" s="19">
        <f>IF(装备!J102=0,0,"'"&amp;装备!J102&amp;"'")</f>
        <v>0</v>
      </c>
      <c r="J176" s="19">
        <f>IF(装备!K102=0,0,"'"&amp;装备!K102&amp;"'")</f>
        <v>0</v>
      </c>
      <c r="K176" s="19">
        <f>IF(装备!L102=0,0,"'"&amp;装备!L102&amp;"'")</f>
        <v>0</v>
      </c>
      <c r="L176" s="19">
        <f>IF(装备!M102=0,0,"'"&amp;装备!M102&amp;"'")</f>
        <v>0</v>
      </c>
      <c r="M176" s="19">
        <f>IF(装备!N102=0,0,"'"&amp;装备!N102&amp;"'")</f>
        <v>0</v>
      </c>
      <c r="N176" s="19">
        <f>IF(装备!O102=0,0,"'"&amp;装备!O102&amp;"'")</f>
        <v>0</v>
      </c>
      <c r="O176" s="19" t="str">
        <f t="shared" si="49"/>
        <v/>
      </c>
      <c r="P176" s="19" t="str">
        <f t="shared" si="48"/>
        <v/>
      </c>
      <c r="Q176" s="23" t="str">
        <f>IFERROR(VLOOKUP(C176,装备!$B:$E,3,FALSE),"")</f>
        <v/>
      </c>
      <c r="R176" s="23" t="str">
        <f>IFERROR(VLOOKUP(D176,装备!$B:$E,3,FALSE),"")</f>
        <v/>
      </c>
      <c r="S176" s="23" t="str">
        <f>IFERROR(VLOOKUP(E176,装备!$B:$E,3,FALSE),"")</f>
        <v/>
      </c>
      <c r="T176" s="23" t="str">
        <f>IFERROR(VLOOKUP(F176,装备!$B:$E,3,FALSE),"")</f>
        <v/>
      </c>
      <c r="U176" s="23" t="str">
        <f>IFERROR(VLOOKUP(G176,装备!$B:$E,3,FALSE),"")</f>
        <v/>
      </c>
      <c r="V176" s="23" t="str">
        <f>IFERROR(VLOOKUP(H176,装备!$B:$E,3,FALSE),"")</f>
        <v/>
      </c>
      <c r="W176" s="18" t="str">
        <f t="shared" si="50"/>
        <v/>
      </c>
      <c r="X176" s="18" t="str">
        <f t="shared" si="51"/>
        <v/>
      </c>
      <c r="Y176" s="18" t="str">
        <f t="shared" si="52"/>
        <v/>
      </c>
      <c r="Z176" s="18" t="str">
        <f t="shared" si="53"/>
        <v/>
      </c>
      <c r="AA176" s="18" t="str">
        <f t="shared" si="54"/>
        <v/>
      </c>
      <c r="AB176" s="18" t="str">
        <f t="shared" si="55"/>
        <v>|n=0</v>
      </c>
    </row>
    <row r="177" spans="1:28">
      <c r="A177" s="19">
        <f>装备!A103</f>
        <v>0</v>
      </c>
      <c r="B177" s="19" t="str">
        <f>"'"&amp;装备!B103&amp;"'"</f>
        <v>'IT02'</v>
      </c>
      <c r="C177" s="19">
        <f>装备!J103</f>
        <v>0</v>
      </c>
      <c r="D177" s="19">
        <f>装备!K103</f>
        <v>0</v>
      </c>
      <c r="E177" s="19">
        <f>装备!L103</f>
        <v>0</v>
      </c>
      <c r="F177" s="19">
        <f>装备!M103</f>
        <v>0</v>
      </c>
      <c r="G177" s="19">
        <f>装备!N103</f>
        <v>0</v>
      </c>
      <c r="H177" s="19">
        <f>装备!O103</f>
        <v>0</v>
      </c>
      <c r="I177" s="19">
        <f>IF(装备!J103=0,0,"'"&amp;装备!J103&amp;"'")</f>
        <v>0</v>
      </c>
      <c r="J177" s="19">
        <f>IF(装备!K103=0,0,"'"&amp;装备!K103&amp;"'")</f>
        <v>0</v>
      </c>
      <c r="K177" s="19">
        <f>IF(装备!L103=0,0,"'"&amp;装备!L103&amp;"'")</f>
        <v>0</v>
      </c>
      <c r="L177" s="19">
        <f>IF(装备!M103=0,0,"'"&amp;装备!M103&amp;"'")</f>
        <v>0</v>
      </c>
      <c r="M177" s="19">
        <f>IF(装备!N103=0,0,"'"&amp;装备!N103&amp;"'")</f>
        <v>0</v>
      </c>
      <c r="N177" s="19">
        <f>IF(装备!O103=0,0,"'"&amp;装备!O103&amp;"'")</f>
        <v>0</v>
      </c>
      <c r="O177" s="19" t="str">
        <f t="shared" si="49"/>
        <v/>
      </c>
      <c r="P177" s="19" t="str">
        <f t="shared" si="48"/>
        <v/>
      </c>
      <c r="Q177" s="23" t="str">
        <f>IFERROR(VLOOKUP(C177,装备!$B:$E,3,FALSE),"")</f>
        <v/>
      </c>
      <c r="R177" s="23" t="str">
        <f>IFERROR(VLOOKUP(D177,装备!$B:$E,3,FALSE),"")</f>
        <v/>
      </c>
      <c r="S177" s="23" t="str">
        <f>IFERROR(VLOOKUP(E177,装备!$B:$E,3,FALSE),"")</f>
        <v/>
      </c>
      <c r="T177" s="23" t="str">
        <f>IFERROR(VLOOKUP(F177,装备!$B:$E,3,FALSE),"")</f>
        <v/>
      </c>
      <c r="U177" s="23" t="str">
        <f>IFERROR(VLOOKUP(G177,装备!$B:$E,3,FALSE),"")</f>
        <v/>
      </c>
      <c r="V177" s="23" t="str">
        <f>IFERROR(VLOOKUP(H177,装备!$B:$E,3,FALSE),"")</f>
        <v/>
      </c>
      <c r="W177" s="18" t="str">
        <f t="shared" si="50"/>
        <v/>
      </c>
      <c r="X177" s="18" t="str">
        <f t="shared" si="51"/>
        <v/>
      </c>
      <c r="Y177" s="18" t="str">
        <f t="shared" si="52"/>
        <v/>
      </c>
      <c r="Z177" s="18" t="str">
        <f t="shared" si="53"/>
        <v/>
      </c>
      <c r="AA177" s="18" t="str">
        <f t="shared" si="54"/>
        <v/>
      </c>
      <c r="AB177" s="18" t="str">
        <f t="shared" si="55"/>
        <v>|n=0</v>
      </c>
    </row>
    <row r="178" spans="1:28">
      <c r="A178" s="19">
        <f>装备!A104</f>
        <v>0</v>
      </c>
      <c r="B178" s="19" t="str">
        <f>"'"&amp;装备!B104&amp;"'"</f>
        <v>'IT03'</v>
      </c>
      <c r="C178" s="19">
        <f>装备!J104</f>
        <v>0</v>
      </c>
      <c r="D178" s="19">
        <f>装备!K104</f>
        <v>0</v>
      </c>
      <c r="E178" s="19">
        <f>装备!L104</f>
        <v>0</v>
      </c>
      <c r="F178" s="19">
        <f>装备!M104</f>
        <v>0</v>
      </c>
      <c r="G178" s="19">
        <f>装备!N104</f>
        <v>0</v>
      </c>
      <c r="H178" s="19">
        <f>装备!O104</f>
        <v>0</v>
      </c>
      <c r="I178" s="19">
        <f>IF(装备!J104=0,0,"'"&amp;装备!J104&amp;"'")</f>
        <v>0</v>
      </c>
      <c r="J178" s="19">
        <f>IF(装备!K104=0,0,"'"&amp;装备!K104&amp;"'")</f>
        <v>0</v>
      </c>
      <c r="K178" s="19">
        <f>IF(装备!L104=0,0,"'"&amp;装备!L104&amp;"'")</f>
        <v>0</v>
      </c>
      <c r="L178" s="19">
        <f>IF(装备!M104=0,0,"'"&amp;装备!M104&amp;"'")</f>
        <v>0</v>
      </c>
      <c r="M178" s="19">
        <f>IF(装备!N104=0,0,"'"&amp;装备!N104&amp;"'")</f>
        <v>0</v>
      </c>
      <c r="N178" s="19">
        <f>IF(装备!O104=0,0,"'"&amp;装备!O104&amp;"'")</f>
        <v>0</v>
      </c>
      <c r="O178" s="19" t="str">
        <f t="shared" si="49"/>
        <v/>
      </c>
      <c r="P178" s="19" t="str">
        <f t="shared" si="48"/>
        <v/>
      </c>
      <c r="Q178" s="23" t="str">
        <f>IFERROR(VLOOKUP(C178,装备!$B:$E,3,FALSE),"")</f>
        <v/>
      </c>
      <c r="R178" s="23" t="str">
        <f>IFERROR(VLOOKUP(D178,装备!$B:$E,3,FALSE),"")</f>
        <v/>
      </c>
      <c r="S178" s="23" t="str">
        <f>IFERROR(VLOOKUP(E178,装备!$B:$E,3,FALSE),"")</f>
        <v/>
      </c>
      <c r="T178" s="23" t="str">
        <f>IFERROR(VLOOKUP(F178,装备!$B:$E,3,FALSE),"")</f>
        <v/>
      </c>
      <c r="U178" s="23" t="str">
        <f>IFERROR(VLOOKUP(G178,装备!$B:$E,3,FALSE),"")</f>
        <v/>
      </c>
      <c r="V178" s="23" t="str">
        <f>IFERROR(VLOOKUP(H178,装备!$B:$E,3,FALSE),"")</f>
        <v/>
      </c>
      <c r="W178" s="18" t="str">
        <f t="shared" si="50"/>
        <v/>
      </c>
      <c r="X178" s="18" t="str">
        <f t="shared" si="51"/>
        <v/>
      </c>
      <c r="Y178" s="18" t="str">
        <f t="shared" si="52"/>
        <v/>
      </c>
      <c r="Z178" s="18" t="str">
        <f t="shared" si="53"/>
        <v/>
      </c>
      <c r="AA178" s="18" t="str">
        <f t="shared" si="54"/>
        <v/>
      </c>
      <c r="AB178" s="18" t="str">
        <f t="shared" si="55"/>
        <v>|n=0</v>
      </c>
    </row>
    <row r="179" spans="1:28">
      <c r="A179" s="19">
        <f>装备!A105</f>
        <v>0</v>
      </c>
      <c r="B179" s="19" t="str">
        <f>"'"&amp;装备!B105&amp;"'"</f>
        <v>'IT04'</v>
      </c>
      <c r="C179" s="19">
        <f>装备!J105</f>
        <v>0</v>
      </c>
      <c r="D179" s="19">
        <f>装备!K105</f>
        <v>0</v>
      </c>
      <c r="E179" s="19">
        <f>装备!L105</f>
        <v>0</v>
      </c>
      <c r="F179" s="19">
        <f>装备!M105</f>
        <v>0</v>
      </c>
      <c r="G179" s="19">
        <f>装备!N105</f>
        <v>0</v>
      </c>
      <c r="H179" s="19">
        <f>装备!O105</f>
        <v>0</v>
      </c>
      <c r="I179" s="19">
        <f>IF(装备!J105=0,0,"'"&amp;装备!J105&amp;"'")</f>
        <v>0</v>
      </c>
      <c r="J179" s="19">
        <f>IF(装备!K105=0,0,"'"&amp;装备!K105&amp;"'")</f>
        <v>0</v>
      </c>
      <c r="K179" s="19">
        <f>IF(装备!L105=0,0,"'"&amp;装备!L105&amp;"'")</f>
        <v>0</v>
      </c>
      <c r="L179" s="19">
        <f>IF(装备!M105=0,0,"'"&amp;装备!M105&amp;"'")</f>
        <v>0</v>
      </c>
      <c r="M179" s="19">
        <f>IF(装备!N105=0,0,"'"&amp;装备!N105&amp;"'")</f>
        <v>0</v>
      </c>
      <c r="N179" s="19">
        <f>IF(装备!O105=0,0,"'"&amp;装备!O105&amp;"'")</f>
        <v>0</v>
      </c>
      <c r="O179" s="19" t="str">
        <f t="shared" si="49"/>
        <v/>
      </c>
      <c r="P179" s="19" t="str">
        <f t="shared" si="48"/>
        <v/>
      </c>
      <c r="Q179" s="23" t="str">
        <f>IFERROR(VLOOKUP(C179,装备!$B:$E,3,FALSE),"")</f>
        <v/>
      </c>
      <c r="R179" s="23" t="str">
        <f>IFERROR(VLOOKUP(D179,装备!$B:$E,3,FALSE),"")</f>
        <v/>
      </c>
      <c r="S179" s="23" t="str">
        <f>IFERROR(VLOOKUP(E179,装备!$B:$E,3,FALSE),"")</f>
        <v/>
      </c>
      <c r="T179" s="23" t="str">
        <f>IFERROR(VLOOKUP(F179,装备!$B:$E,3,FALSE),"")</f>
        <v/>
      </c>
      <c r="U179" s="23" t="str">
        <f>IFERROR(VLOOKUP(G179,装备!$B:$E,3,FALSE),"")</f>
        <v/>
      </c>
      <c r="V179" s="23" t="str">
        <f>IFERROR(VLOOKUP(H179,装备!$B:$E,3,FALSE),"")</f>
        <v/>
      </c>
      <c r="W179" s="18" t="str">
        <f t="shared" si="50"/>
        <v/>
      </c>
      <c r="X179" s="18" t="str">
        <f t="shared" si="51"/>
        <v/>
      </c>
      <c r="Y179" s="18" t="str">
        <f t="shared" si="52"/>
        <v/>
      </c>
      <c r="Z179" s="18" t="str">
        <f t="shared" si="53"/>
        <v/>
      </c>
      <c r="AA179" s="18" t="str">
        <f t="shared" si="54"/>
        <v/>
      </c>
      <c r="AB179" s="18" t="str">
        <f t="shared" si="55"/>
        <v>|n=0</v>
      </c>
    </row>
    <row r="180" spans="1:28">
      <c r="A180" s="19">
        <f>装备!A106</f>
        <v>0</v>
      </c>
      <c r="B180" s="19" t="str">
        <f>"'"&amp;装备!B106&amp;"'"</f>
        <v>'IT05'</v>
      </c>
      <c r="C180" s="19">
        <f>装备!J106</f>
        <v>0</v>
      </c>
      <c r="D180" s="19">
        <f>装备!K106</f>
        <v>0</v>
      </c>
      <c r="E180" s="19">
        <f>装备!L106</f>
        <v>0</v>
      </c>
      <c r="F180" s="19">
        <f>装备!M106</f>
        <v>0</v>
      </c>
      <c r="G180" s="19">
        <f>装备!N106</f>
        <v>0</v>
      </c>
      <c r="H180" s="19">
        <f>装备!O106</f>
        <v>0</v>
      </c>
      <c r="I180" s="19">
        <f>IF(装备!J106=0,0,"'"&amp;装备!J106&amp;"'")</f>
        <v>0</v>
      </c>
      <c r="J180" s="19">
        <f>IF(装备!K106=0,0,"'"&amp;装备!K106&amp;"'")</f>
        <v>0</v>
      </c>
      <c r="K180" s="19">
        <f>IF(装备!L106=0,0,"'"&amp;装备!L106&amp;"'")</f>
        <v>0</v>
      </c>
      <c r="L180" s="19">
        <f>IF(装备!M106=0,0,"'"&amp;装备!M106&amp;"'")</f>
        <v>0</v>
      </c>
      <c r="M180" s="19">
        <f>IF(装备!N106=0,0,"'"&amp;装备!N106&amp;"'")</f>
        <v>0</v>
      </c>
      <c r="N180" s="19">
        <f>IF(装备!O106=0,0,"'"&amp;装备!O106&amp;"'")</f>
        <v>0</v>
      </c>
      <c r="O180" s="19" t="str">
        <f t="shared" si="49"/>
        <v/>
      </c>
      <c r="P180" s="19" t="str">
        <f t="shared" si="48"/>
        <v/>
      </c>
      <c r="Q180" s="23" t="str">
        <f>IFERROR(VLOOKUP(C180,装备!$B:$E,3,FALSE),"")</f>
        <v/>
      </c>
      <c r="R180" s="23" t="str">
        <f>IFERROR(VLOOKUP(D180,装备!$B:$E,3,FALSE),"")</f>
        <v/>
      </c>
      <c r="S180" s="23" t="str">
        <f>IFERROR(VLOOKUP(E180,装备!$B:$E,3,FALSE),"")</f>
        <v/>
      </c>
      <c r="T180" s="23" t="str">
        <f>IFERROR(VLOOKUP(F180,装备!$B:$E,3,FALSE),"")</f>
        <v/>
      </c>
      <c r="U180" s="23" t="str">
        <f>IFERROR(VLOOKUP(G180,装备!$B:$E,3,FALSE),"")</f>
        <v/>
      </c>
      <c r="V180" s="23" t="str">
        <f>IFERROR(VLOOKUP(H180,装备!$B:$E,3,FALSE),"")</f>
        <v/>
      </c>
      <c r="W180" s="18" t="str">
        <f t="shared" si="50"/>
        <v/>
      </c>
      <c r="X180" s="18" t="str">
        <f t="shared" si="51"/>
        <v/>
      </c>
      <c r="Y180" s="18" t="str">
        <f t="shared" si="52"/>
        <v/>
      </c>
      <c r="Z180" s="18" t="str">
        <f t="shared" si="53"/>
        <v/>
      </c>
      <c r="AA180" s="18" t="str">
        <f t="shared" si="54"/>
        <v/>
      </c>
      <c r="AB180" s="18" t="str">
        <f t="shared" si="55"/>
        <v>|n=0</v>
      </c>
    </row>
    <row r="181" spans="1:28">
      <c r="A181" s="19">
        <f>装备!A107</f>
        <v>0</v>
      </c>
      <c r="B181" s="19" t="str">
        <f>"'"&amp;装备!B107&amp;"'"</f>
        <v>'IT06'</v>
      </c>
      <c r="C181" s="19">
        <f>装备!J107</f>
        <v>0</v>
      </c>
      <c r="D181" s="19">
        <f>装备!K107</f>
        <v>0</v>
      </c>
      <c r="E181" s="19">
        <f>装备!L107</f>
        <v>0</v>
      </c>
      <c r="F181" s="19">
        <f>装备!M107</f>
        <v>0</v>
      </c>
      <c r="G181" s="19">
        <f>装备!N107</f>
        <v>0</v>
      </c>
      <c r="H181" s="19">
        <f>装备!O107</f>
        <v>0</v>
      </c>
      <c r="I181" s="19">
        <f>IF(装备!J107=0,0,"'"&amp;装备!J107&amp;"'")</f>
        <v>0</v>
      </c>
      <c r="J181" s="19">
        <f>IF(装备!K107=0,0,"'"&amp;装备!K107&amp;"'")</f>
        <v>0</v>
      </c>
      <c r="K181" s="19">
        <f>IF(装备!L107=0,0,"'"&amp;装备!L107&amp;"'")</f>
        <v>0</v>
      </c>
      <c r="L181" s="19">
        <f>IF(装备!M107=0,0,"'"&amp;装备!M107&amp;"'")</f>
        <v>0</v>
      </c>
      <c r="M181" s="19">
        <f>IF(装备!N107=0,0,"'"&amp;装备!N107&amp;"'")</f>
        <v>0</v>
      </c>
      <c r="N181" s="19">
        <f>IF(装备!O107=0,0,"'"&amp;装备!O107&amp;"'")</f>
        <v>0</v>
      </c>
      <c r="O181" s="19" t="str">
        <f t="shared" si="49"/>
        <v/>
      </c>
      <c r="P181" s="19" t="str">
        <f t="shared" si="48"/>
        <v/>
      </c>
      <c r="Q181" s="23" t="str">
        <f>IFERROR(VLOOKUP(C181,装备!$B:$E,3,FALSE),"")</f>
        <v/>
      </c>
      <c r="R181" s="23" t="str">
        <f>IFERROR(VLOOKUP(D181,装备!$B:$E,3,FALSE),"")</f>
        <v/>
      </c>
      <c r="S181" s="23" t="str">
        <f>IFERROR(VLOOKUP(E181,装备!$B:$E,3,FALSE),"")</f>
        <v/>
      </c>
      <c r="T181" s="23" t="str">
        <f>IFERROR(VLOOKUP(F181,装备!$B:$E,3,FALSE),"")</f>
        <v/>
      </c>
      <c r="U181" s="23" t="str">
        <f>IFERROR(VLOOKUP(G181,装备!$B:$E,3,FALSE),"")</f>
        <v/>
      </c>
      <c r="V181" s="23" t="str">
        <f>IFERROR(VLOOKUP(H181,装备!$B:$E,3,FALSE),"")</f>
        <v/>
      </c>
      <c r="W181" s="18" t="str">
        <f t="shared" si="50"/>
        <v/>
      </c>
      <c r="X181" s="18" t="str">
        <f t="shared" si="51"/>
        <v/>
      </c>
      <c r="Y181" s="18" t="str">
        <f t="shared" si="52"/>
        <v/>
      </c>
      <c r="Z181" s="18" t="str">
        <f t="shared" si="53"/>
        <v/>
      </c>
      <c r="AA181" s="18" t="str">
        <f t="shared" si="54"/>
        <v/>
      </c>
      <c r="AB181" s="18" t="str">
        <f t="shared" si="55"/>
        <v>|n=0</v>
      </c>
    </row>
    <row r="182" spans="1:28">
      <c r="A182" s="19">
        <f>装备!A108</f>
        <v>0</v>
      </c>
      <c r="B182" s="19" t="str">
        <f>"'"&amp;装备!B108&amp;"'"</f>
        <v>'IT07'</v>
      </c>
      <c r="C182" s="19">
        <f>装备!J108</f>
        <v>0</v>
      </c>
      <c r="D182" s="19">
        <f>装备!K108</f>
        <v>0</v>
      </c>
      <c r="E182" s="19">
        <f>装备!L108</f>
        <v>0</v>
      </c>
      <c r="F182" s="19">
        <f>装备!M108</f>
        <v>0</v>
      </c>
      <c r="G182" s="19">
        <f>装备!N108</f>
        <v>0</v>
      </c>
      <c r="H182" s="19">
        <f>装备!O108</f>
        <v>0</v>
      </c>
      <c r="I182" s="19">
        <f>IF(装备!J108=0,0,"'"&amp;装备!J108&amp;"'")</f>
        <v>0</v>
      </c>
      <c r="J182" s="19">
        <f>IF(装备!K108=0,0,"'"&amp;装备!K108&amp;"'")</f>
        <v>0</v>
      </c>
      <c r="K182" s="19">
        <f>IF(装备!L108=0,0,"'"&amp;装备!L108&amp;"'")</f>
        <v>0</v>
      </c>
      <c r="L182" s="19">
        <f>IF(装备!M108=0,0,"'"&amp;装备!M108&amp;"'")</f>
        <v>0</v>
      </c>
      <c r="M182" s="19">
        <f>IF(装备!N108=0,0,"'"&amp;装备!N108&amp;"'")</f>
        <v>0</v>
      </c>
      <c r="N182" s="19">
        <f>IF(装备!O108=0,0,"'"&amp;装备!O108&amp;"'")</f>
        <v>0</v>
      </c>
      <c r="O182" s="19" t="str">
        <f t="shared" si="49"/>
        <v/>
      </c>
      <c r="P182" s="19" t="str">
        <f t="shared" si="48"/>
        <v/>
      </c>
      <c r="Q182" s="23" t="str">
        <f>IFERROR(VLOOKUP(C182,装备!$B:$E,3,FALSE),"")</f>
        <v/>
      </c>
      <c r="R182" s="23" t="str">
        <f>IFERROR(VLOOKUP(D182,装备!$B:$E,3,FALSE),"")</f>
        <v/>
      </c>
      <c r="S182" s="23" t="str">
        <f>IFERROR(VLOOKUP(E182,装备!$B:$E,3,FALSE),"")</f>
        <v/>
      </c>
      <c r="T182" s="23" t="str">
        <f>IFERROR(VLOOKUP(F182,装备!$B:$E,3,FALSE),"")</f>
        <v/>
      </c>
      <c r="U182" s="23" t="str">
        <f>IFERROR(VLOOKUP(G182,装备!$B:$E,3,FALSE),"")</f>
        <v/>
      </c>
      <c r="V182" s="23" t="str">
        <f>IFERROR(VLOOKUP(H182,装备!$B:$E,3,FALSE),"")</f>
        <v/>
      </c>
      <c r="W182" s="18" t="str">
        <f t="shared" si="50"/>
        <v/>
      </c>
      <c r="X182" s="18" t="str">
        <f t="shared" si="51"/>
        <v/>
      </c>
      <c r="Y182" s="18" t="str">
        <f t="shared" si="52"/>
        <v/>
      </c>
      <c r="Z182" s="18" t="str">
        <f t="shared" si="53"/>
        <v/>
      </c>
      <c r="AA182" s="18" t="str">
        <f t="shared" si="54"/>
        <v/>
      </c>
      <c r="AB182" s="18" t="str">
        <f t="shared" si="55"/>
        <v>|n=0</v>
      </c>
    </row>
    <row r="183" spans="1:28">
      <c r="A183" s="19" t="str">
        <f>装备!A109</f>
        <v>.</v>
      </c>
      <c r="B183" s="19" t="str">
        <f>"'"&amp;装备!B109&amp;"'"</f>
        <v>'IT08'</v>
      </c>
      <c r="C183" s="19">
        <f>装备!J109</f>
        <v>0</v>
      </c>
      <c r="D183" s="19">
        <f>装备!K109</f>
        <v>0</v>
      </c>
      <c r="E183" s="19">
        <f>装备!L109</f>
        <v>0</v>
      </c>
      <c r="F183" s="19">
        <f>装备!M109</f>
        <v>0</v>
      </c>
      <c r="G183" s="19">
        <f>装备!N109</f>
        <v>0</v>
      </c>
      <c r="H183" s="19">
        <f>装备!O109</f>
        <v>0</v>
      </c>
      <c r="I183" s="19">
        <f>IF(装备!J109=0,0,"'"&amp;装备!J109&amp;"'")</f>
        <v>0</v>
      </c>
      <c r="J183" s="19">
        <f>IF(装备!K109=0,0,"'"&amp;装备!K109&amp;"'")</f>
        <v>0</v>
      </c>
      <c r="K183" s="19">
        <f>IF(装备!L109=0,0,"'"&amp;装备!L109&amp;"'")</f>
        <v>0</v>
      </c>
      <c r="L183" s="19">
        <f>IF(装备!M109=0,0,"'"&amp;装备!M109&amp;"'")</f>
        <v>0</v>
      </c>
      <c r="M183" s="19">
        <f>IF(装备!N109=0,0,"'"&amp;装备!N109&amp;"'")</f>
        <v>0</v>
      </c>
      <c r="N183" s="19">
        <f>IF(装备!O109=0,0,"'"&amp;装备!O109&amp;"'")</f>
        <v>0</v>
      </c>
      <c r="O183" s="19" t="str">
        <f t="shared" si="49"/>
        <v/>
      </c>
      <c r="P183" s="19" t="str">
        <f t="shared" si="48"/>
        <v/>
      </c>
      <c r="Q183" s="23" t="str">
        <f>IFERROR(VLOOKUP(C183,装备!$B:$E,3,FALSE),"")</f>
        <v/>
      </c>
      <c r="R183" s="23" t="str">
        <f>IFERROR(VLOOKUP(D183,装备!$B:$E,3,FALSE),"")</f>
        <v/>
      </c>
      <c r="S183" s="23" t="str">
        <f>IFERROR(VLOOKUP(E183,装备!$B:$E,3,FALSE),"")</f>
        <v/>
      </c>
      <c r="T183" s="23" t="str">
        <f>IFERROR(VLOOKUP(F183,装备!$B:$E,3,FALSE),"")</f>
        <v/>
      </c>
      <c r="U183" s="23" t="str">
        <f>IFERROR(VLOOKUP(G183,装备!$B:$E,3,FALSE),"")</f>
        <v/>
      </c>
      <c r="V183" s="23" t="str">
        <f>IFERROR(VLOOKUP(H183,装备!$B:$E,3,FALSE),"")</f>
        <v/>
      </c>
      <c r="W183" s="18" t="str">
        <f t="shared" si="50"/>
        <v/>
      </c>
      <c r="X183" s="18" t="str">
        <f t="shared" si="51"/>
        <v/>
      </c>
      <c r="Y183" s="18" t="str">
        <f t="shared" si="52"/>
        <v/>
      </c>
      <c r="Z183" s="18" t="str">
        <f t="shared" si="53"/>
        <v/>
      </c>
      <c r="AA183" s="18" t="str">
        <f t="shared" si="54"/>
        <v/>
      </c>
      <c r="AB183" s="18" t="str">
        <f t="shared" si="55"/>
        <v>|n=.</v>
      </c>
    </row>
    <row r="184" spans="1:28">
      <c r="A184" s="19">
        <f>装备!A110</f>
        <v>0</v>
      </c>
      <c r="B184" s="19" t="str">
        <f>"'"&amp;装备!B110&amp;"'"</f>
        <v>'IT09'</v>
      </c>
      <c r="C184" s="19">
        <f>装备!J110</f>
        <v>0</v>
      </c>
      <c r="D184" s="19">
        <f>装备!K110</f>
        <v>0</v>
      </c>
      <c r="E184" s="19">
        <f>装备!L110</f>
        <v>0</v>
      </c>
      <c r="F184" s="19">
        <f>装备!M110</f>
        <v>0</v>
      </c>
      <c r="G184" s="19">
        <f>装备!N110</f>
        <v>0</v>
      </c>
      <c r="H184" s="19">
        <f>装备!O110</f>
        <v>0</v>
      </c>
      <c r="I184" s="19">
        <f>IF(装备!J110=0,0,"'"&amp;装备!J110&amp;"'")</f>
        <v>0</v>
      </c>
      <c r="J184" s="19">
        <f>IF(装备!K110=0,0,"'"&amp;装备!K110&amp;"'")</f>
        <v>0</v>
      </c>
      <c r="K184" s="19">
        <f>IF(装备!L110=0,0,"'"&amp;装备!L110&amp;"'")</f>
        <v>0</v>
      </c>
      <c r="L184" s="19">
        <f>IF(装备!M110=0,0,"'"&amp;装备!M110&amp;"'")</f>
        <v>0</v>
      </c>
      <c r="M184" s="19">
        <f>IF(装备!N110=0,0,"'"&amp;装备!N110&amp;"'")</f>
        <v>0</v>
      </c>
      <c r="N184" s="19">
        <f>IF(装备!O110=0,0,"'"&amp;装备!O110&amp;"'")</f>
        <v>0</v>
      </c>
      <c r="O184" s="19" t="str">
        <f t="shared" si="49"/>
        <v/>
      </c>
      <c r="P184" s="19" t="str">
        <f t="shared" ref="P184:P215" si="56">IFERROR(VLOOKUP(A184,Q:AB,12,FALSE),IFERROR(VLOOKUP(A184,R:AB,11,FALSE),IFERROR(VLOOKUP(A184,S:AB,10,FALSE),"")))</f>
        <v/>
      </c>
      <c r="Q184" s="23" t="str">
        <f>IFERROR(VLOOKUP(C184,装备!$B:$E,3,FALSE),"")</f>
        <v/>
      </c>
      <c r="R184" s="23" t="str">
        <f>IFERROR(VLOOKUP(D184,装备!$B:$E,3,FALSE),"")</f>
        <v/>
      </c>
      <c r="S184" s="23" t="str">
        <f>IFERROR(VLOOKUP(E184,装备!$B:$E,3,FALSE),"")</f>
        <v/>
      </c>
      <c r="T184" s="23" t="str">
        <f>IFERROR(VLOOKUP(F184,装备!$B:$E,3,FALSE),"")</f>
        <v/>
      </c>
      <c r="U184" s="23" t="str">
        <f>IFERROR(VLOOKUP(G184,装备!$B:$E,3,FALSE),"")</f>
        <v/>
      </c>
      <c r="V184" s="23" t="str">
        <f>IFERROR(VLOOKUP(H184,装备!$B:$E,3,FALSE),"")</f>
        <v/>
      </c>
      <c r="W184" s="18" t="str">
        <f t="shared" si="50"/>
        <v/>
      </c>
      <c r="X184" s="18" t="str">
        <f t="shared" si="51"/>
        <v/>
      </c>
      <c r="Y184" s="18" t="str">
        <f t="shared" si="52"/>
        <v/>
      </c>
      <c r="Z184" s="18" t="str">
        <f t="shared" si="53"/>
        <v/>
      </c>
      <c r="AA184" s="18" t="str">
        <f t="shared" si="54"/>
        <v/>
      </c>
      <c r="AB184" s="18" t="str">
        <f t="shared" si="55"/>
        <v>|n=0</v>
      </c>
    </row>
    <row r="185" spans="1:28">
      <c r="A185" s="19">
        <f>装备!A111</f>
        <v>0</v>
      </c>
      <c r="B185" s="19" t="str">
        <f>"'"&amp;装备!B111&amp;"'"</f>
        <v>'IT10'</v>
      </c>
      <c r="C185" s="19">
        <f>装备!J111</f>
        <v>0</v>
      </c>
      <c r="D185" s="19">
        <f>装备!K111</f>
        <v>0</v>
      </c>
      <c r="E185" s="19">
        <f>装备!L111</f>
        <v>0</v>
      </c>
      <c r="F185" s="19">
        <f>装备!M111</f>
        <v>0</v>
      </c>
      <c r="G185" s="19">
        <f>装备!N111</f>
        <v>0</v>
      </c>
      <c r="H185" s="19">
        <f>装备!O111</f>
        <v>0</v>
      </c>
      <c r="I185" s="19">
        <f>IF(装备!J111=0,0,"'"&amp;装备!J111&amp;"'")</f>
        <v>0</v>
      </c>
      <c r="J185" s="19">
        <f>IF(装备!K111=0,0,"'"&amp;装备!K111&amp;"'")</f>
        <v>0</v>
      </c>
      <c r="K185" s="19">
        <f>IF(装备!L111=0,0,"'"&amp;装备!L111&amp;"'")</f>
        <v>0</v>
      </c>
      <c r="L185" s="19">
        <f>IF(装备!M111=0,0,"'"&amp;装备!M111&amp;"'")</f>
        <v>0</v>
      </c>
      <c r="M185" s="19">
        <f>IF(装备!N111=0,0,"'"&amp;装备!N111&amp;"'")</f>
        <v>0</v>
      </c>
      <c r="N185" s="19">
        <f>IF(装备!O111=0,0,"'"&amp;装备!O111&amp;"'")</f>
        <v>0</v>
      </c>
      <c r="O185" s="19" t="str">
        <f t="shared" si="49"/>
        <v/>
      </c>
      <c r="P185" s="19" t="str">
        <f t="shared" si="56"/>
        <v/>
      </c>
      <c r="Q185" s="23" t="str">
        <f>IFERROR(VLOOKUP(C185,装备!$B:$E,3,FALSE),"")</f>
        <v/>
      </c>
      <c r="R185" s="23" t="str">
        <f>IFERROR(VLOOKUP(D185,装备!$B:$E,3,FALSE),"")</f>
        <v/>
      </c>
      <c r="S185" s="23" t="str">
        <f>IFERROR(VLOOKUP(E185,装备!$B:$E,3,FALSE),"")</f>
        <v/>
      </c>
      <c r="T185" s="23" t="str">
        <f>IFERROR(VLOOKUP(F185,装备!$B:$E,3,FALSE),"")</f>
        <v/>
      </c>
      <c r="U185" s="23" t="str">
        <f>IFERROR(VLOOKUP(G185,装备!$B:$E,3,FALSE),"")</f>
        <v/>
      </c>
      <c r="V185" s="23" t="str">
        <f>IFERROR(VLOOKUP(H185,装备!$B:$E,3,FALSE),"")</f>
        <v/>
      </c>
      <c r="W185" s="18" t="str">
        <f t="shared" si="50"/>
        <v/>
      </c>
      <c r="X185" s="18" t="str">
        <f t="shared" si="51"/>
        <v/>
      </c>
      <c r="Y185" s="18" t="str">
        <f t="shared" si="52"/>
        <v/>
      </c>
      <c r="Z185" s="18" t="str">
        <f t="shared" si="53"/>
        <v/>
      </c>
      <c r="AA185" s="18" t="str">
        <f t="shared" si="54"/>
        <v/>
      </c>
      <c r="AB185" s="18" t="str">
        <f t="shared" si="55"/>
        <v>|n=0</v>
      </c>
    </row>
    <row r="186" spans="1:28">
      <c r="A186" s="19">
        <f>装备!A116</f>
        <v>0</v>
      </c>
      <c r="B186" s="19" t="str">
        <f>"'"&amp;装备!B116&amp;"'"</f>
        <v>'IS01'</v>
      </c>
      <c r="C186" s="19">
        <f>装备!J116</f>
        <v>0</v>
      </c>
      <c r="D186" s="19">
        <f>装备!K116</f>
        <v>0</v>
      </c>
      <c r="E186" s="19">
        <f>装备!L116</f>
        <v>0</v>
      </c>
      <c r="F186" s="19">
        <f>装备!M116</f>
        <v>0</v>
      </c>
      <c r="G186" s="19">
        <f>装备!N116</f>
        <v>0</v>
      </c>
      <c r="H186" s="19">
        <f>装备!O116</f>
        <v>0</v>
      </c>
      <c r="I186" s="19">
        <f>IF(装备!J116=0,0,"'"&amp;装备!J116&amp;"'")</f>
        <v>0</v>
      </c>
      <c r="J186" s="19">
        <f>IF(装备!K116=0,0,"'"&amp;装备!K116&amp;"'")</f>
        <v>0</v>
      </c>
      <c r="K186" s="19">
        <f>IF(装备!L116=0,0,"'"&amp;装备!L116&amp;"'")</f>
        <v>0</v>
      </c>
      <c r="L186" s="19">
        <f>IF(装备!M116=0,0,"'"&amp;装备!M116&amp;"'")</f>
        <v>0</v>
      </c>
      <c r="M186" s="19">
        <f>IF(装备!N116=0,0,"'"&amp;装备!N116&amp;"'")</f>
        <v>0</v>
      </c>
      <c r="N186" s="19">
        <f>IF(装备!O116=0,0,"'"&amp;装备!O116&amp;"'")</f>
        <v>0</v>
      </c>
      <c r="O186" s="19" t="str">
        <f t="shared" si="49"/>
        <v/>
      </c>
      <c r="P186" s="19" t="str">
        <f t="shared" si="56"/>
        <v/>
      </c>
      <c r="Q186" s="23" t="str">
        <f>IFERROR(VLOOKUP(C186,装备!$B:$E,3,FALSE),"")</f>
        <v/>
      </c>
      <c r="R186" s="23" t="str">
        <f>IFERROR(VLOOKUP(D186,装备!$B:$E,3,FALSE),"")</f>
        <v/>
      </c>
      <c r="S186" s="23" t="str">
        <f>IFERROR(VLOOKUP(E186,装备!$B:$E,3,FALSE),"")</f>
        <v/>
      </c>
      <c r="T186" s="23" t="str">
        <f>IFERROR(VLOOKUP(F186,装备!$B:$E,3,FALSE),"")</f>
        <v/>
      </c>
      <c r="U186" s="23" t="str">
        <f>IFERROR(VLOOKUP(G186,装备!$B:$E,3,FALSE),"")</f>
        <v/>
      </c>
      <c r="V186" s="23" t="str">
        <f>IFERROR(VLOOKUP(H186,装备!$B:$E,3,FALSE),"")</f>
        <v/>
      </c>
      <c r="W186" s="18" t="str">
        <f t="shared" si="50"/>
        <v/>
      </c>
      <c r="X186" s="18" t="str">
        <f t="shared" si="51"/>
        <v/>
      </c>
      <c r="Y186" s="18" t="str">
        <f t="shared" si="52"/>
        <v/>
      </c>
      <c r="Z186" s="18" t="str">
        <f t="shared" si="53"/>
        <v/>
      </c>
      <c r="AA186" s="18" t="str">
        <f t="shared" si="54"/>
        <v/>
      </c>
      <c r="AB186" s="18" t="str">
        <f t="shared" si="55"/>
        <v>|n=0</v>
      </c>
    </row>
    <row r="187" spans="1:28">
      <c r="A187" s="19">
        <f>装备!A117</f>
        <v>0</v>
      </c>
      <c r="B187" s="19" t="str">
        <f>"'"&amp;装备!B117&amp;"'"</f>
        <v>'IS02'</v>
      </c>
      <c r="C187" s="19">
        <f>装备!J117</f>
        <v>0</v>
      </c>
      <c r="D187" s="19">
        <f>装备!K117</f>
        <v>0</v>
      </c>
      <c r="E187" s="19">
        <f>装备!L117</f>
        <v>0</v>
      </c>
      <c r="F187" s="19">
        <f>装备!M117</f>
        <v>0</v>
      </c>
      <c r="G187" s="19">
        <f>装备!N117</f>
        <v>0</v>
      </c>
      <c r="H187" s="19">
        <f>装备!O117</f>
        <v>0</v>
      </c>
      <c r="I187" s="19">
        <f>IF(装备!J117=0,0,"'"&amp;装备!J117&amp;"'")</f>
        <v>0</v>
      </c>
      <c r="J187" s="19">
        <f>IF(装备!K117=0,0,"'"&amp;装备!K117&amp;"'")</f>
        <v>0</v>
      </c>
      <c r="K187" s="19">
        <f>IF(装备!L117=0,0,"'"&amp;装备!L117&amp;"'")</f>
        <v>0</v>
      </c>
      <c r="L187" s="19">
        <f>IF(装备!M117=0,0,"'"&amp;装备!M117&amp;"'")</f>
        <v>0</v>
      </c>
      <c r="M187" s="19">
        <f>IF(装备!N117=0,0,"'"&amp;装备!N117&amp;"'")</f>
        <v>0</v>
      </c>
      <c r="N187" s="19">
        <f>IF(装备!O117=0,0,"'"&amp;装备!O117&amp;"'")</f>
        <v>0</v>
      </c>
      <c r="O187" s="19" t="str">
        <f t="shared" ref="O187:O214" si="57">IF(I187=0,"","AddItemFormula("&amp;I187&amp;","&amp;J187&amp;","&amp;K187&amp;","&amp;L187&amp;","&amp;M187&amp;","&amp;N187&amp;","&amp;B187&amp;")")</f>
        <v/>
      </c>
      <c r="P187" s="19" t="str">
        <f t="shared" si="56"/>
        <v/>
      </c>
      <c r="Q187" s="23" t="str">
        <f>IFERROR(VLOOKUP(C187,装备!$B:$E,3,FALSE),"")</f>
        <v/>
      </c>
      <c r="R187" s="23" t="str">
        <f>IFERROR(VLOOKUP(D187,装备!$B:$E,3,FALSE),"")</f>
        <v/>
      </c>
      <c r="S187" s="23" t="str">
        <f>IFERROR(VLOOKUP(E187,装备!$B:$E,3,FALSE),"")</f>
        <v/>
      </c>
      <c r="T187" s="23" t="str">
        <f>IFERROR(VLOOKUP(F187,装备!$B:$E,3,FALSE),"")</f>
        <v/>
      </c>
      <c r="U187" s="23" t="str">
        <f>IFERROR(VLOOKUP(G187,装备!$B:$E,3,FALSE),"")</f>
        <v/>
      </c>
      <c r="V187" s="23" t="str">
        <f>IFERROR(VLOOKUP(H187,装备!$B:$E,3,FALSE),"")</f>
        <v/>
      </c>
      <c r="W187" s="18" t="str">
        <f t="shared" ref="W187:W214" si="58">IF(R187="","","+"&amp;R187)</f>
        <v/>
      </c>
      <c r="X187" s="18" t="str">
        <f t="shared" ref="X187:X214" si="59">IF(S187="","","+"&amp;S187)</f>
        <v/>
      </c>
      <c r="Y187" s="18" t="str">
        <f t="shared" ref="Y187:Y214" si="60">IF(T187="","","+"&amp;T187)</f>
        <v/>
      </c>
      <c r="Z187" s="18" t="str">
        <f t="shared" ref="Z187:Z214" si="61">IF(U187="","","+"&amp;U187)</f>
        <v/>
      </c>
      <c r="AA187" s="18" t="str">
        <f t="shared" ref="AA187:AA214" si="62">IF(V187="","","+"&amp;V187)</f>
        <v/>
      </c>
      <c r="AB187" s="18" t="str">
        <f t="shared" ref="AB187:AB214" si="63">"|n"&amp;Q187&amp;W187&amp;X187&amp;Y187&amp;Z187&amp;AA187&amp;"="&amp;A187</f>
        <v>|n=0</v>
      </c>
    </row>
    <row r="188" spans="1:28">
      <c r="A188" s="19">
        <f>装备!A118</f>
        <v>0</v>
      </c>
      <c r="B188" s="19" t="str">
        <f>"'"&amp;装备!B118&amp;"'"</f>
        <v>'IS03'</v>
      </c>
      <c r="C188" s="19">
        <f>装备!J118</f>
        <v>0</v>
      </c>
      <c r="D188" s="19">
        <f>装备!K118</f>
        <v>0</v>
      </c>
      <c r="E188" s="19">
        <f>装备!L118</f>
        <v>0</v>
      </c>
      <c r="F188" s="19">
        <f>装备!M118</f>
        <v>0</v>
      </c>
      <c r="G188" s="19">
        <f>装备!N118</f>
        <v>0</v>
      </c>
      <c r="H188" s="19">
        <f>装备!O118</f>
        <v>0</v>
      </c>
      <c r="I188" s="19">
        <f>IF(装备!J118=0,0,"'"&amp;装备!J118&amp;"'")</f>
        <v>0</v>
      </c>
      <c r="J188" s="19">
        <f>IF(装备!K118=0,0,"'"&amp;装备!K118&amp;"'")</f>
        <v>0</v>
      </c>
      <c r="K188" s="19">
        <f>IF(装备!L118=0,0,"'"&amp;装备!L118&amp;"'")</f>
        <v>0</v>
      </c>
      <c r="L188" s="19">
        <f>IF(装备!M118=0,0,"'"&amp;装备!M118&amp;"'")</f>
        <v>0</v>
      </c>
      <c r="M188" s="19">
        <f>IF(装备!N118=0,0,"'"&amp;装备!N118&amp;"'")</f>
        <v>0</v>
      </c>
      <c r="N188" s="19">
        <f>IF(装备!O118=0,0,"'"&amp;装备!O118&amp;"'")</f>
        <v>0</v>
      </c>
      <c r="O188" s="19" t="str">
        <f t="shared" si="57"/>
        <v/>
      </c>
      <c r="P188" s="19" t="str">
        <f t="shared" si="56"/>
        <v/>
      </c>
      <c r="Q188" s="23" t="str">
        <f>IFERROR(VLOOKUP(C188,装备!$B:$E,3,FALSE),"")</f>
        <v/>
      </c>
      <c r="R188" s="23" t="str">
        <f>IFERROR(VLOOKUP(D188,装备!$B:$E,3,FALSE),"")</f>
        <v/>
      </c>
      <c r="S188" s="23" t="str">
        <f>IFERROR(VLOOKUP(E188,装备!$B:$E,3,FALSE),"")</f>
        <v/>
      </c>
      <c r="T188" s="23" t="str">
        <f>IFERROR(VLOOKUP(F188,装备!$B:$E,3,FALSE),"")</f>
        <v/>
      </c>
      <c r="U188" s="23" t="str">
        <f>IFERROR(VLOOKUP(G188,装备!$B:$E,3,FALSE),"")</f>
        <v/>
      </c>
      <c r="V188" s="23" t="str">
        <f>IFERROR(VLOOKUP(H188,装备!$B:$E,3,FALSE),"")</f>
        <v/>
      </c>
      <c r="W188" s="18" t="str">
        <f t="shared" si="58"/>
        <v/>
      </c>
      <c r="X188" s="18" t="str">
        <f t="shared" si="59"/>
        <v/>
      </c>
      <c r="Y188" s="18" t="str">
        <f t="shared" si="60"/>
        <v/>
      </c>
      <c r="Z188" s="18" t="str">
        <f t="shared" si="61"/>
        <v/>
      </c>
      <c r="AA188" s="18" t="str">
        <f t="shared" si="62"/>
        <v/>
      </c>
      <c r="AB188" s="18" t="str">
        <f t="shared" si="63"/>
        <v>|n=0</v>
      </c>
    </row>
    <row r="189" spans="1:28">
      <c r="A189" s="19">
        <f>装备!A119</f>
        <v>0</v>
      </c>
      <c r="B189" s="19" t="str">
        <f>"'"&amp;装备!B119&amp;"'"</f>
        <v>'IS04'</v>
      </c>
      <c r="C189" s="19">
        <f>装备!J119</f>
        <v>0</v>
      </c>
      <c r="D189" s="19">
        <f>装备!K119</f>
        <v>0</v>
      </c>
      <c r="E189" s="19">
        <f>装备!L119</f>
        <v>0</v>
      </c>
      <c r="F189" s="19">
        <f>装备!M119</f>
        <v>0</v>
      </c>
      <c r="G189" s="19">
        <f>装备!N119</f>
        <v>0</v>
      </c>
      <c r="H189" s="19">
        <f>装备!O119</f>
        <v>0</v>
      </c>
      <c r="I189" s="19">
        <f>IF(装备!J119=0,0,"'"&amp;装备!J119&amp;"'")</f>
        <v>0</v>
      </c>
      <c r="J189" s="19">
        <f>IF(装备!K119=0,0,"'"&amp;装备!K119&amp;"'")</f>
        <v>0</v>
      </c>
      <c r="K189" s="19">
        <f>IF(装备!L119=0,0,"'"&amp;装备!L119&amp;"'")</f>
        <v>0</v>
      </c>
      <c r="L189" s="19">
        <f>IF(装备!M119=0,0,"'"&amp;装备!M119&amp;"'")</f>
        <v>0</v>
      </c>
      <c r="M189" s="19">
        <f>IF(装备!N119=0,0,"'"&amp;装备!N119&amp;"'")</f>
        <v>0</v>
      </c>
      <c r="N189" s="19">
        <f>IF(装备!O119=0,0,"'"&amp;装备!O119&amp;"'")</f>
        <v>0</v>
      </c>
      <c r="O189" s="19" t="str">
        <f t="shared" si="57"/>
        <v/>
      </c>
      <c r="P189" s="19" t="str">
        <f t="shared" si="56"/>
        <v/>
      </c>
      <c r="Q189" s="23" t="str">
        <f>IFERROR(VLOOKUP(C189,装备!$B:$E,3,FALSE),"")</f>
        <v/>
      </c>
      <c r="R189" s="23" t="str">
        <f>IFERROR(VLOOKUP(D189,装备!$B:$E,3,FALSE),"")</f>
        <v/>
      </c>
      <c r="S189" s="23" t="str">
        <f>IFERROR(VLOOKUP(E189,装备!$B:$E,3,FALSE),"")</f>
        <v/>
      </c>
      <c r="T189" s="23" t="str">
        <f>IFERROR(VLOOKUP(F189,装备!$B:$E,3,FALSE),"")</f>
        <v/>
      </c>
      <c r="U189" s="23" t="str">
        <f>IFERROR(VLOOKUP(G189,装备!$B:$E,3,FALSE),"")</f>
        <v/>
      </c>
      <c r="V189" s="23" t="str">
        <f>IFERROR(VLOOKUP(H189,装备!$B:$E,3,FALSE),"")</f>
        <v/>
      </c>
      <c r="W189" s="18" t="str">
        <f t="shared" si="58"/>
        <v/>
      </c>
      <c r="X189" s="18" t="str">
        <f t="shared" si="59"/>
        <v/>
      </c>
      <c r="Y189" s="18" t="str">
        <f t="shared" si="60"/>
        <v/>
      </c>
      <c r="Z189" s="18" t="str">
        <f t="shared" si="61"/>
        <v/>
      </c>
      <c r="AA189" s="18" t="str">
        <f t="shared" si="62"/>
        <v/>
      </c>
      <c r="AB189" s="18" t="str">
        <f t="shared" si="63"/>
        <v>|n=0</v>
      </c>
    </row>
    <row r="190" spans="1:28">
      <c r="A190" s="19">
        <f>装备!A121</f>
        <v>0</v>
      </c>
      <c r="B190" s="19" t="str">
        <f>"'"&amp;装备!B121&amp;"'"</f>
        <v>'IH00'</v>
      </c>
      <c r="C190" s="19">
        <f>装备!J121</f>
        <v>0</v>
      </c>
      <c r="D190" s="19">
        <f>装备!K121</f>
        <v>0</v>
      </c>
      <c r="E190" s="19">
        <f>装备!L121</f>
        <v>0</v>
      </c>
      <c r="F190" s="19">
        <f>装备!M121</f>
        <v>0</v>
      </c>
      <c r="G190" s="19">
        <f>装备!N121</f>
        <v>0</v>
      </c>
      <c r="H190" s="19">
        <f>装备!O121</f>
        <v>0</v>
      </c>
      <c r="I190" s="19">
        <f>IF(装备!J121=0,0,"'"&amp;装备!J121&amp;"'")</f>
        <v>0</v>
      </c>
      <c r="J190" s="19">
        <f>IF(装备!K121=0,0,"'"&amp;装备!K121&amp;"'")</f>
        <v>0</v>
      </c>
      <c r="K190" s="19">
        <f>IF(装备!L121=0,0,"'"&amp;装备!L121&amp;"'")</f>
        <v>0</v>
      </c>
      <c r="L190" s="19">
        <f>IF(装备!M121=0,0,"'"&amp;装备!M121&amp;"'")</f>
        <v>0</v>
      </c>
      <c r="M190" s="19">
        <f>IF(装备!N121=0,0,"'"&amp;装备!N121&amp;"'")</f>
        <v>0</v>
      </c>
      <c r="N190" s="19">
        <f>IF(装备!O121=0,0,"'"&amp;装备!O121&amp;"'")</f>
        <v>0</v>
      </c>
      <c r="O190" s="19" t="str">
        <f t="shared" si="57"/>
        <v/>
      </c>
      <c r="P190" s="19" t="str">
        <f t="shared" si="56"/>
        <v/>
      </c>
      <c r="Q190" s="23" t="str">
        <f>IFERROR(VLOOKUP(C190,装备!$B:$E,3,FALSE),"")</f>
        <v/>
      </c>
      <c r="R190" s="23" t="str">
        <f>IFERROR(VLOOKUP(D190,装备!$B:$E,3,FALSE),"")</f>
        <v/>
      </c>
      <c r="S190" s="23" t="str">
        <f>IFERROR(VLOOKUP(E190,装备!$B:$E,3,FALSE),"")</f>
        <v/>
      </c>
      <c r="T190" s="23" t="str">
        <f>IFERROR(VLOOKUP(F190,装备!$B:$E,3,FALSE),"")</f>
        <v/>
      </c>
      <c r="U190" s="23" t="str">
        <f>IFERROR(VLOOKUP(G190,装备!$B:$E,3,FALSE),"")</f>
        <v/>
      </c>
      <c r="V190" s="23" t="str">
        <f>IFERROR(VLOOKUP(H190,装备!$B:$E,3,FALSE),"")</f>
        <v/>
      </c>
      <c r="W190" s="18" t="str">
        <f t="shared" si="58"/>
        <v/>
      </c>
      <c r="X190" s="18" t="str">
        <f t="shared" si="59"/>
        <v/>
      </c>
      <c r="Y190" s="18" t="str">
        <f t="shared" si="60"/>
        <v/>
      </c>
      <c r="Z190" s="18" t="str">
        <f t="shared" si="61"/>
        <v/>
      </c>
      <c r="AA190" s="18" t="str">
        <f t="shared" si="62"/>
        <v/>
      </c>
      <c r="AB190" s="18" t="str">
        <f t="shared" si="63"/>
        <v>|n=0</v>
      </c>
    </row>
    <row r="191" spans="1:28">
      <c r="A191" s="19">
        <f>装备!A122</f>
        <v>0</v>
      </c>
      <c r="B191" s="19" t="str">
        <f>"'"&amp;装备!B122&amp;"'"</f>
        <v>'IH01'</v>
      </c>
      <c r="C191" s="19">
        <f>装备!J122</f>
        <v>0</v>
      </c>
      <c r="D191" s="19">
        <f>装备!K122</f>
        <v>0</v>
      </c>
      <c r="E191" s="19">
        <f>装备!L122</f>
        <v>0</v>
      </c>
      <c r="F191" s="19">
        <f>装备!M122</f>
        <v>0</v>
      </c>
      <c r="G191" s="19">
        <f>装备!N122</f>
        <v>0</v>
      </c>
      <c r="H191" s="19">
        <f>装备!O122</f>
        <v>0</v>
      </c>
      <c r="I191" s="19">
        <f>IF(装备!J122=0,0,"'"&amp;装备!J122&amp;"'")</f>
        <v>0</v>
      </c>
      <c r="J191" s="19">
        <f>IF(装备!K122=0,0,"'"&amp;装备!K122&amp;"'")</f>
        <v>0</v>
      </c>
      <c r="K191" s="19">
        <f>IF(装备!L122=0,0,"'"&amp;装备!L122&amp;"'")</f>
        <v>0</v>
      </c>
      <c r="L191" s="19">
        <f>IF(装备!M122=0,0,"'"&amp;装备!M122&amp;"'")</f>
        <v>0</v>
      </c>
      <c r="M191" s="19">
        <f>IF(装备!N122=0,0,"'"&amp;装备!N122&amp;"'")</f>
        <v>0</v>
      </c>
      <c r="N191" s="19">
        <f>IF(装备!O122=0,0,"'"&amp;装备!O122&amp;"'")</f>
        <v>0</v>
      </c>
      <c r="O191" s="19" t="str">
        <f t="shared" si="57"/>
        <v/>
      </c>
      <c r="P191" s="19" t="str">
        <f t="shared" si="56"/>
        <v/>
      </c>
      <c r="Q191" s="23" t="str">
        <f>IFERROR(VLOOKUP(C191,装备!$B:$E,3,FALSE),"")</f>
        <v/>
      </c>
      <c r="R191" s="23" t="str">
        <f>IFERROR(VLOOKUP(D191,装备!$B:$E,3,FALSE),"")</f>
        <v/>
      </c>
      <c r="S191" s="23" t="str">
        <f>IFERROR(VLOOKUP(E191,装备!$B:$E,3,FALSE),"")</f>
        <v/>
      </c>
      <c r="T191" s="23" t="str">
        <f>IFERROR(VLOOKUP(F191,装备!$B:$E,3,FALSE),"")</f>
        <v/>
      </c>
      <c r="U191" s="23" t="str">
        <f>IFERROR(VLOOKUP(G191,装备!$B:$E,3,FALSE),"")</f>
        <v/>
      </c>
      <c r="V191" s="23" t="str">
        <f>IFERROR(VLOOKUP(H191,装备!$B:$E,3,FALSE),"")</f>
        <v/>
      </c>
      <c r="W191" s="18" t="str">
        <f t="shared" si="58"/>
        <v/>
      </c>
      <c r="X191" s="18" t="str">
        <f t="shared" si="59"/>
        <v/>
      </c>
      <c r="Y191" s="18" t="str">
        <f t="shared" si="60"/>
        <v/>
      </c>
      <c r="Z191" s="18" t="str">
        <f t="shared" si="61"/>
        <v/>
      </c>
      <c r="AA191" s="18" t="str">
        <f t="shared" si="62"/>
        <v/>
      </c>
      <c r="AB191" s="18" t="str">
        <f t="shared" si="63"/>
        <v>|n=0</v>
      </c>
    </row>
    <row r="192" spans="1:28">
      <c r="A192" s="19">
        <f>装备!A123</f>
        <v>0</v>
      </c>
      <c r="B192" s="19" t="str">
        <f>"'"&amp;装备!B123&amp;"'"</f>
        <v>'IH02'</v>
      </c>
      <c r="C192" s="19">
        <f>装备!J123</f>
        <v>0</v>
      </c>
      <c r="D192" s="19">
        <f>装备!K123</f>
        <v>0</v>
      </c>
      <c r="E192" s="19">
        <f>装备!L123</f>
        <v>0</v>
      </c>
      <c r="F192" s="19">
        <f>装备!M123</f>
        <v>0</v>
      </c>
      <c r="G192" s="19">
        <f>装备!N123</f>
        <v>0</v>
      </c>
      <c r="H192" s="19">
        <f>装备!O123</f>
        <v>0</v>
      </c>
      <c r="I192" s="19">
        <f>IF(装备!J123=0,0,"'"&amp;装备!J123&amp;"'")</f>
        <v>0</v>
      </c>
      <c r="J192" s="19">
        <f>IF(装备!K123=0,0,"'"&amp;装备!K123&amp;"'")</f>
        <v>0</v>
      </c>
      <c r="K192" s="19">
        <f>IF(装备!L123=0,0,"'"&amp;装备!L123&amp;"'")</f>
        <v>0</v>
      </c>
      <c r="L192" s="19">
        <f>IF(装备!M123=0,0,"'"&amp;装备!M123&amp;"'")</f>
        <v>0</v>
      </c>
      <c r="M192" s="19">
        <f>IF(装备!N123=0,0,"'"&amp;装备!N123&amp;"'")</f>
        <v>0</v>
      </c>
      <c r="N192" s="19">
        <f>IF(装备!O123=0,0,"'"&amp;装备!O123&amp;"'")</f>
        <v>0</v>
      </c>
      <c r="O192" s="19" t="str">
        <f t="shared" si="57"/>
        <v/>
      </c>
      <c r="P192" s="19" t="str">
        <f t="shared" si="56"/>
        <v/>
      </c>
      <c r="Q192" s="23" t="str">
        <f>IFERROR(VLOOKUP(C192,装备!$B:$E,3,FALSE),"")</f>
        <v/>
      </c>
      <c r="R192" s="23" t="str">
        <f>IFERROR(VLOOKUP(D192,装备!$B:$E,3,FALSE),"")</f>
        <v/>
      </c>
      <c r="S192" s="23" t="str">
        <f>IFERROR(VLOOKUP(E192,装备!$B:$E,3,FALSE),"")</f>
        <v/>
      </c>
      <c r="T192" s="23" t="str">
        <f>IFERROR(VLOOKUP(F192,装备!$B:$E,3,FALSE),"")</f>
        <v/>
      </c>
      <c r="U192" s="23" t="str">
        <f>IFERROR(VLOOKUP(G192,装备!$B:$E,3,FALSE),"")</f>
        <v/>
      </c>
      <c r="V192" s="23" t="str">
        <f>IFERROR(VLOOKUP(H192,装备!$B:$E,3,FALSE),"")</f>
        <v/>
      </c>
      <c r="W192" s="18" t="str">
        <f t="shared" si="58"/>
        <v/>
      </c>
      <c r="X192" s="18" t="str">
        <f t="shared" si="59"/>
        <v/>
      </c>
      <c r="Y192" s="18" t="str">
        <f t="shared" si="60"/>
        <v/>
      </c>
      <c r="Z192" s="18" t="str">
        <f t="shared" si="61"/>
        <v/>
      </c>
      <c r="AA192" s="18" t="str">
        <f t="shared" si="62"/>
        <v/>
      </c>
      <c r="AB192" s="18" t="str">
        <f t="shared" si="63"/>
        <v>|n=0</v>
      </c>
    </row>
    <row r="193" spans="1:28">
      <c r="A193" s="19">
        <f>装备!A124</f>
        <v>0</v>
      </c>
      <c r="B193" s="19" t="str">
        <f>"'"&amp;装备!B124&amp;"'"</f>
        <v>'IH03'</v>
      </c>
      <c r="C193" s="19">
        <f>装备!J124</f>
        <v>0</v>
      </c>
      <c r="D193" s="19">
        <f>装备!K124</f>
        <v>0</v>
      </c>
      <c r="E193" s="19">
        <f>装备!L124</f>
        <v>0</v>
      </c>
      <c r="F193" s="19">
        <f>装备!M124</f>
        <v>0</v>
      </c>
      <c r="G193" s="19">
        <f>装备!N124</f>
        <v>0</v>
      </c>
      <c r="H193" s="19">
        <f>装备!O124</f>
        <v>0</v>
      </c>
      <c r="I193" s="19">
        <f>IF(装备!J124=0,0,"'"&amp;装备!J124&amp;"'")</f>
        <v>0</v>
      </c>
      <c r="J193" s="19">
        <f>IF(装备!K124=0,0,"'"&amp;装备!K124&amp;"'")</f>
        <v>0</v>
      </c>
      <c r="K193" s="19">
        <f>IF(装备!L124=0,0,"'"&amp;装备!L124&amp;"'")</f>
        <v>0</v>
      </c>
      <c r="L193" s="19">
        <f>IF(装备!M124=0,0,"'"&amp;装备!M124&amp;"'")</f>
        <v>0</v>
      </c>
      <c r="M193" s="19">
        <f>IF(装备!N124=0,0,"'"&amp;装备!N124&amp;"'")</f>
        <v>0</v>
      </c>
      <c r="N193" s="19">
        <f>IF(装备!O124=0,0,"'"&amp;装备!O124&amp;"'")</f>
        <v>0</v>
      </c>
      <c r="O193" s="19" t="str">
        <f t="shared" si="57"/>
        <v/>
      </c>
      <c r="P193" s="19" t="str">
        <f t="shared" si="56"/>
        <v/>
      </c>
      <c r="Q193" s="23" t="str">
        <f>IFERROR(VLOOKUP(C193,装备!$B:$E,3,FALSE),"")</f>
        <v/>
      </c>
      <c r="R193" s="23" t="str">
        <f>IFERROR(VLOOKUP(D193,装备!$B:$E,3,FALSE),"")</f>
        <v/>
      </c>
      <c r="S193" s="23" t="str">
        <f>IFERROR(VLOOKUP(E193,装备!$B:$E,3,FALSE),"")</f>
        <v/>
      </c>
      <c r="T193" s="23" t="str">
        <f>IFERROR(VLOOKUP(F193,装备!$B:$E,3,FALSE),"")</f>
        <v/>
      </c>
      <c r="U193" s="23" t="str">
        <f>IFERROR(VLOOKUP(G193,装备!$B:$E,3,FALSE),"")</f>
        <v/>
      </c>
      <c r="V193" s="23" t="str">
        <f>IFERROR(VLOOKUP(H193,装备!$B:$E,3,FALSE),"")</f>
        <v/>
      </c>
      <c r="W193" s="18" t="str">
        <f t="shared" si="58"/>
        <v/>
      </c>
      <c r="X193" s="18" t="str">
        <f t="shared" si="59"/>
        <v/>
      </c>
      <c r="Y193" s="18" t="str">
        <f t="shared" si="60"/>
        <v/>
      </c>
      <c r="Z193" s="18" t="str">
        <f t="shared" si="61"/>
        <v/>
      </c>
      <c r="AA193" s="18" t="str">
        <f t="shared" si="62"/>
        <v/>
      </c>
      <c r="AB193" s="18" t="str">
        <f t="shared" si="63"/>
        <v>|n=0</v>
      </c>
    </row>
    <row r="194" spans="1:28">
      <c r="A194" s="19">
        <f>装备!A125</f>
        <v>0</v>
      </c>
      <c r="B194" s="19" t="str">
        <f>"'"&amp;装备!B125&amp;"'"</f>
        <v>'IH04'</v>
      </c>
      <c r="C194" s="19">
        <f>装备!J125</f>
        <v>0</v>
      </c>
      <c r="D194" s="19">
        <f>装备!K125</f>
        <v>0</v>
      </c>
      <c r="E194" s="19">
        <f>装备!L125</f>
        <v>0</v>
      </c>
      <c r="F194" s="19">
        <f>装备!M125</f>
        <v>0</v>
      </c>
      <c r="G194" s="19">
        <f>装备!N125</f>
        <v>0</v>
      </c>
      <c r="H194" s="19">
        <f>装备!O125</f>
        <v>0</v>
      </c>
      <c r="I194" s="19">
        <f>IF(装备!J125=0,0,"'"&amp;装备!J125&amp;"'")</f>
        <v>0</v>
      </c>
      <c r="J194" s="19">
        <f>IF(装备!K125=0,0,"'"&amp;装备!K125&amp;"'")</f>
        <v>0</v>
      </c>
      <c r="K194" s="19">
        <f>IF(装备!L125=0,0,"'"&amp;装备!L125&amp;"'")</f>
        <v>0</v>
      </c>
      <c r="L194" s="19">
        <f>IF(装备!M125=0,0,"'"&amp;装备!M125&amp;"'")</f>
        <v>0</v>
      </c>
      <c r="M194" s="19">
        <f>IF(装备!N125=0,0,"'"&amp;装备!N125&amp;"'")</f>
        <v>0</v>
      </c>
      <c r="N194" s="19">
        <f>IF(装备!O125=0,0,"'"&amp;装备!O125&amp;"'")</f>
        <v>0</v>
      </c>
      <c r="O194" s="19" t="str">
        <f t="shared" si="57"/>
        <v/>
      </c>
      <c r="P194" s="19" t="str">
        <f t="shared" si="56"/>
        <v/>
      </c>
      <c r="Q194" s="23" t="str">
        <f>IFERROR(VLOOKUP(C194,装备!$B:$E,3,FALSE),"")</f>
        <v/>
      </c>
      <c r="R194" s="23" t="str">
        <f>IFERROR(VLOOKUP(D194,装备!$B:$E,3,FALSE),"")</f>
        <v/>
      </c>
      <c r="S194" s="23" t="str">
        <f>IFERROR(VLOOKUP(E194,装备!$B:$E,3,FALSE),"")</f>
        <v/>
      </c>
      <c r="T194" s="23" t="str">
        <f>IFERROR(VLOOKUP(F194,装备!$B:$E,3,FALSE),"")</f>
        <v/>
      </c>
      <c r="U194" s="23" t="str">
        <f>IFERROR(VLOOKUP(G194,装备!$B:$E,3,FALSE),"")</f>
        <v/>
      </c>
      <c r="V194" s="23" t="str">
        <f>IFERROR(VLOOKUP(H194,装备!$B:$E,3,FALSE),"")</f>
        <v/>
      </c>
      <c r="W194" s="18" t="str">
        <f t="shared" si="58"/>
        <v/>
      </c>
      <c r="X194" s="18" t="str">
        <f t="shared" si="59"/>
        <v/>
      </c>
      <c r="Y194" s="18" t="str">
        <f t="shared" si="60"/>
        <v/>
      </c>
      <c r="Z194" s="18" t="str">
        <f t="shared" si="61"/>
        <v/>
      </c>
      <c r="AA194" s="18" t="str">
        <f t="shared" si="62"/>
        <v/>
      </c>
      <c r="AB194" s="18" t="str">
        <f t="shared" si="63"/>
        <v>|n=0</v>
      </c>
    </row>
    <row r="195" spans="1:28">
      <c r="A195" s="19">
        <f>装备!A126</f>
        <v>0</v>
      </c>
      <c r="B195" s="19" t="str">
        <f>"'"&amp;装备!B126&amp;"'"</f>
        <v>'IH05'</v>
      </c>
      <c r="C195" s="19">
        <f>装备!J126</f>
        <v>0</v>
      </c>
      <c r="D195" s="19">
        <f>装备!K126</f>
        <v>0</v>
      </c>
      <c r="E195" s="19">
        <f>装备!L126</f>
        <v>0</v>
      </c>
      <c r="F195" s="19">
        <f>装备!M126</f>
        <v>0</v>
      </c>
      <c r="G195" s="19">
        <f>装备!N126</f>
        <v>0</v>
      </c>
      <c r="H195" s="19">
        <f>装备!O126</f>
        <v>0</v>
      </c>
      <c r="I195" s="19">
        <f>IF(装备!J126=0,0,"'"&amp;装备!J126&amp;"'")</f>
        <v>0</v>
      </c>
      <c r="J195" s="19">
        <f>IF(装备!K126=0,0,"'"&amp;装备!K126&amp;"'")</f>
        <v>0</v>
      </c>
      <c r="K195" s="19">
        <f>IF(装备!L126=0,0,"'"&amp;装备!L126&amp;"'")</f>
        <v>0</v>
      </c>
      <c r="L195" s="19">
        <f>IF(装备!M126=0,0,"'"&amp;装备!M126&amp;"'")</f>
        <v>0</v>
      </c>
      <c r="M195" s="19">
        <f>IF(装备!N126=0,0,"'"&amp;装备!N126&amp;"'")</f>
        <v>0</v>
      </c>
      <c r="N195" s="19">
        <f>IF(装备!O126=0,0,"'"&amp;装备!O126&amp;"'")</f>
        <v>0</v>
      </c>
      <c r="O195" s="19" t="str">
        <f t="shared" si="57"/>
        <v/>
      </c>
      <c r="P195" s="19" t="str">
        <f t="shared" si="56"/>
        <v/>
      </c>
      <c r="Q195" s="23" t="str">
        <f>IFERROR(VLOOKUP(C195,装备!$B:$E,3,FALSE),"")</f>
        <v/>
      </c>
      <c r="R195" s="23" t="str">
        <f>IFERROR(VLOOKUP(D195,装备!$B:$E,3,FALSE),"")</f>
        <v/>
      </c>
      <c r="S195" s="23" t="str">
        <f>IFERROR(VLOOKUP(E195,装备!$B:$E,3,FALSE),"")</f>
        <v/>
      </c>
      <c r="T195" s="23" t="str">
        <f>IFERROR(VLOOKUP(F195,装备!$B:$E,3,FALSE),"")</f>
        <v/>
      </c>
      <c r="U195" s="23" t="str">
        <f>IFERROR(VLOOKUP(G195,装备!$B:$E,3,FALSE),"")</f>
        <v/>
      </c>
      <c r="V195" s="23" t="str">
        <f>IFERROR(VLOOKUP(H195,装备!$B:$E,3,FALSE),"")</f>
        <v/>
      </c>
      <c r="W195" s="18" t="str">
        <f t="shared" si="58"/>
        <v/>
      </c>
      <c r="X195" s="18" t="str">
        <f t="shared" si="59"/>
        <v/>
      </c>
      <c r="Y195" s="18" t="str">
        <f t="shared" si="60"/>
        <v/>
      </c>
      <c r="Z195" s="18" t="str">
        <f t="shared" si="61"/>
        <v/>
      </c>
      <c r="AA195" s="18" t="str">
        <f t="shared" si="62"/>
        <v/>
      </c>
      <c r="AB195" s="18" t="str">
        <f t="shared" si="63"/>
        <v>|n=0</v>
      </c>
    </row>
    <row r="196" spans="1:28">
      <c r="A196" s="19">
        <f>装备!A127</f>
        <v>0</v>
      </c>
      <c r="B196" s="19" t="str">
        <f>"'"&amp;装备!B127&amp;"'"</f>
        <v>'IH06'</v>
      </c>
      <c r="C196" s="19">
        <f>装备!J127</f>
        <v>0</v>
      </c>
      <c r="D196" s="19">
        <f>装备!K127</f>
        <v>0</v>
      </c>
      <c r="E196" s="19">
        <f>装备!L127</f>
        <v>0</v>
      </c>
      <c r="F196" s="19">
        <f>装备!M127</f>
        <v>0</v>
      </c>
      <c r="G196" s="19">
        <f>装备!N127</f>
        <v>0</v>
      </c>
      <c r="H196" s="19">
        <f>装备!O127</f>
        <v>0</v>
      </c>
      <c r="I196" s="19">
        <f>IF(装备!J127=0,0,"'"&amp;装备!J127&amp;"'")</f>
        <v>0</v>
      </c>
      <c r="J196" s="19">
        <f>IF(装备!K127=0,0,"'"&amp;装备!K127&amp;"'")</f>
        <v>0</v>
      </c>
      <c r="K196" s="19">
        <f>IF(装备!L127=0,0,"'"&amp;装备!L127&amp;"'")</f>
        <v>0</v>
      </c>
      <c r="L196" s="19">
        <f>IF(装备!M127=0,0,"'"&amp;装备!M127&amp;"'")</f>
        <v>0</v>
      </c>
      <c r="M196" s="19">
        <f>IF(装备!N127=0,0,"'"&amp;装备!N127&amp;"'")</f>
        <v>0</v>
      </c>
      <c r="N196" s="19">
        <f>IF(装备!O127=0,0,"'"&amp;装备!O127&amp;"'")</f>
        <v>0</v>
      </c>
      <c r="O196" s="19" t="str">
        <f t="shared" si="57"/>
        <v/>
      </c>
      <c r="P196" s="19" t="str">
        <f t="shared" si="56"/>
        <v/>
      </c>
      <c r="Q196" s="23" t="str">
        <f>IFERROR(VLOOKUP(C196,装备!$B:$E,3,FALSE),"")</f>
        <v/>
      </c>
      <c r="R196" s="23" t="str">
        <f>IFERROR(VLOOKUP(D196,装备!$B:$E,3,FALSE),"")</f>
        <v/>
      </c>
      <c r="S196" s="23" t="str">
        <f>IFERROR(VLOOKUP(E196,装备!$B:$E,3,FALSE),"")</f>
        <v/>
      </c>
      <c r="T196" s="23" t="str">
        <f>IFERROR(VLOOKUP(F196,装备!$B:$E,3,FALSE),"")</f>
        <v/>
      </c>
      <c r="U196" s="23" t="str">
        <f>IFERROR(VLOOKUP(G196,装备!$B:$E,3,FALSE),"")</f>
        <v/>
      </c>
      <c r="V196" s="23" t="str">
        <f>IFERROR(VLOOKUP(H196,装备!$B:$E,3,FALSE),"")</f>
        <v/>
      </c>
      <c r="W196" s="18" t="str">
        <f t="shared" si="58"/>
        <v/>
      </c>
      <c r="X196" s="18" t="str">
        <f t="shared" si="59"/>
        <v/>
      </c>
      <c r="Y196" s="18" t="str">
        <f t="shared" si="60"/>
        <v/>
      </c>
      <c r="Z196" s="18" t="str">
        <f t="shared" si="61"/>
        <v/>
      </c>
      <c r="AA196" s="18" t="str">
        <f t="shared" si="62"/>
        <v/>
      </c>
      <c r="AB196" s="18" t="str">
        <f t="shared" si="63"/>
        <v>|n=0</v>
      </c>
    </row>
    <row r="197" spans="1:28">
      <c r="A197" s="19">
        <f>装备!A128</f>
        <v>0</v>
      </c>
      <c r="B197" s="19" t="str">
        <f>"'"&amp;装备!B128&amp;"'"</f>
        <v>'IH07'</v>
      </c>
      <c r="C197" s="19">
        <f>装备!J128</f>
        <v>0</v>
      </c>
      <c r="D197" s="19">
        <f>装备!K128</f>
        <v>0</v>
      </c>
      <c r="E197" s="19">
        <f>装备!L128</f>
        <v>0</v>
      </c>
      <c r="F197" s="19">
        <f>装备!M128</f>
        <v>0</v>
      </c>
      <c r="G197" s="19">
        <f>装备!N128</f>
        <v>0</v>
      </c>
      <c r="H197" s="19">
        <f>装备!O128</f>
        <v>0</v>
      </c>
      <c r="I197" s="19">
        <f>IF(装备!J128=0,0,"'"&amp;装备!J128&amp;"'")</f>
        <v>0</v>
      </c>
      <c r="J197" s="19">
        <f>IF(装备!K128=0,0,"'"&amp;装备!K128&amp;"'")</f>
        <v>0</v>
      </c>
      <c r="K197" s="19">
        <f>IF(装备!L128=0,0,"'"&amp;装备!L128&amp;"'")</f>
        <v>0</v>
      </c>
      <c r="L197" s="19">
        <f>IF(装备!M128=0,0,"'"&amp;装备!M128&amp;"'")</f>
        <v>0</v>
      </c>
      <c r="M197" s="19">
        <f>IF(装备!N128=0,0,"'"&amp;装备!N128&amp;"'")</f>
        <v>0</v>
      </c>
      <c r="N197" s="19">
        <f>IF(装备!O128=0,0,"'"&amp;装备!O128&amp;"'")</f>
        <v>0</v>
      </c>
      <c r="O197" s="19" t="str">
        <f t="shared" si="57"/>
        <v/>
      </c>
      <c r="P197" s="19" t="str">
        <f t="shared" si="56"/>
        <v/>
      </c>
      <c r="Q197" s="23" t="str">
        <f>IFERROR(VLOOKUP(C197,装备!$B:$E,3,FALSE),"")</f>
        <v/>
      </c>
      <c r="R197" s="23" t="str">
        <f>IFERROR(VLOOKUP(D197,装备!$B:$E,3,FALSE),"")</f>
        <v/>
      </c>
      <c r="S197" s="23" t="str">
        <f>IFERROR(VLOOKUP(E197,装备!$B:$E,3,FALSE),"")</f>
        <v/>
      </c>
      <c r="T197" s="23" t="str">
        <f>IFERROR(VLOOKUP(F197,装备!$B:$E,3,FALSE),"")</f>
        <v/>
      </c>
      <c r="U197" s="23" t="str">
        <f>IFERROR(VLOOKUP(G197,装备!$B:$E,3,FALSE),"")</f>
        <v/>
      </c>
      <c r="V197" s="23" t="str">
        <f>IFERROR(VLOOKUP(H197,装备!$B:$E,3,FALSE),"")</f>
        <v/>
      </c>
      <c r="W197" s="18" t="str">
        <f t="shared" si="58"/>
        <v/>
      </c>
      <c r="X197" s="18" t="str">
        <f t="shared" si="59"/>
        <v/>
      </c>
      <c r="Y197" s="18" t="str">
        <f t="shared" si="60"/>
        <v/>
      </c>
      <c r="Z197" s="18" t="str">
        <f t="shared" si="61"/>
        <v/>
      </c>
      <c r="AA197" s="18" t="str">
        <f t="shared" si="62"/>
        <v/>
      </c>
      <c r="AB197" s="18" t="str">
        <f t="shared" si="63"/>
        <v>|n=0</v>
      </c>
    </row>
    <row r="198" spans="1:28">
      <c r="A198" s="19">
        <f>装备!A129</f>
        <v>0</v>
      </c>
      <c r="B198" s="19" t="str">
        <f>"'"&amp;装备!B129&amp;"'"</f>
        <v>'IH08'</v>
      </c>
      <c r="C198" s="19">
        <f>装备!J129</f>
        <v>0</v>
      </c>
      <c r="D198" s="19">
        <f>装备!K129</f>
        <v>0</v>
      </c>
      <c r="E198" s="19">
        <f>装备!L129</f>
        <v>0</v>
      </c>
      <c r="F198" s="19">
        <f>装备!M129</f>
        <v>0</v>
      </c>
      <c r="G198" s="19">
        <f>装备!N129</f>
        <v>0</v>
      </c>
      <c r="H198" s="19">
        <f>装备!O129</f>
        <v>0</v>
      </c>
      <c r="I198" s="19">
        <f>IF(装备!J129=0,0,"'"&amp;装备!J129&amp;"'")</f>
        <v>0</v>
      </c>
      <c r="J198" s="19">
        <f>IF(装备!K129=0,0,"'"&amp;装备!K129&amp;"'")</f>
        <v>0</v>
      </c>
      <c r="K198" s="19">
        <f>IF(装备!L129=0,0,"'"&amp;装备!L129&amp;"'")</f>
        <v>0</v>
      </c>
      <c r="L198" s="19">
        <f>IF(装备!M129=0,0,"'"&amp;装备!M129&amp;"'")</f>
        <v>0</v>
      </c>
      <c r="M198" s="19">
        <f>IF(装备!N129=0,0,"'"&amp;装备!N129&amp;"'")</f>
        <v>0</v>
      </c>
      <c r="N198" s="19">
        <f>IF(装备!O129=0,0,"'"&amp;装备!O129&amp;"'")</f>
        <v>0</v>
      </c>
      <c r="O198" s="19" t="str">
        <f t="shared" si="57"/>
        <v/>
      </c>
      <c r="P198" s="19" t="str">
        <f t="shared" si="56"/>
        <v/>
      </c>
      <c r="Q198" s="23" t="str">
        <f>IFERROR(VLOOKUP(C198,装备!$B:$E,3,FALSE),"")</f>
        <v/>
      </c>
      <c r="R198" s="23" t="str">
        <f>IFERROR(VLOOKUP(D198,装备!$B:$E,3,FALSE),"")</f>
        <v/>
      </c>
      <c r="S198" s="23" t="str">
        <f>IFERROR(VLOOKUP(E198,装备!$B:$E,3,FALSE),"")</f>
        <v/>
      </c>
      <c r="T198" s="23" t="str">
        <f>IFERROR(VLOOKUP(F198,装备!$B:$E,3,FALSE),"")</f>
        <v/>
      </c>
      <c r="U198" s="23" t="str">
        <f>IFERROR(VLOOKUP(G198,装备!$B:$E,3,FALSE),"")</f>
        <v/>
      </c>
      <c r="V198" s="23" t="str">
        <f>IFERROR(VLOOKUP(H198,装备!$B:$E,3,FALSE),"")</f>
        <v/>
      </c>
      <c r="W198" s="18" t="str">
        <f t="shared" si="58"/>
        <v/>
      </c>
      <c r="X198" s="18" t="str">
        <f t="shared" si="59"/>
        <v/>
      </c>
      <c r="Y198" s="18" t="str">
        <f t="shared" si="60"/>
        <v/>
      </c>
      <c r="Z198" s="18" t="str">
        <f t="shared" si="61"/>
        <v/>
      </c>
      <c r="AA198" s="18" t="str">
        <f t="shared" si="62"/>
        <v/>
      </c>
      <c r="AB198" s="18" t="str">
        <f t="shared" si="63"/>
        <v>|n=0</v>
      </c>
    </row>
    <row r="199" spans="1:28">
      <c r="A199" s="19">
        <f>装备!A135</f>
        <v>0</v>
      </c>
      <c r="B199" s="19" t="str">
        <f>"'"&amp;装备!B135&amp;"'"</f>
        <v>''</v>
      </c>
      <c r="C199" s="19">
        <f>装备!J135</f>
        <v>0</v>
      </c>
      <c r="D199" s="19">
        <f>装备!K135</f>
        <v>0</v>
      </c>
      <c r="E199" s="19">
        <f>装备!L135</f>
        <v>0</v>
      </c>
      <c r="F199" s="19">
        <f>装备!M135</f>
        <v>0</v>
      </c>
      <c r="G199" s="19">
        <f>装备!N135</f>
        <v>0</v>
      </c>
      <c r="H199" s="19">
        <f>装备!O135</f>
        <v>0</v>
      </c>
      <c r="I199" s="19">
        <f>IF(装备!J135=0,0,"'"&amp;装备!J135&amp;"'")</f>
        <v>0</v>
      </c>
      <c r="J199" s="19">
        <f>IF(装备!K135=0,0,"'"&amp;装备!K135&amp;"'")</f>
        <v>0</v>
      </c>
      <c r="K199" s="19">
        <f>IF(装备!L135=0,0,"'"&amp;装备!L135&amp;"'")</f>
        <v>0</v>
      </c>
      <c r="L199" s="19">
        <f>IF(装备!M135=0,0,"'"&amp;装备!M135&amp;"'")</f>
        <v>0</v>
      </c>
      <c r="M199" s="19">
        <f>IF(装备!N135=0,0,"'"&amp;装备!N135&amp;"'")</f>
        <v>0</v>
      </c>
      <c r="N199" s="19">
        <f>IF(装备!O135=0,0,"'"&amp;装备!O135&amp;"'")</f>
        <v>0</v>
      </c>
      <c r="O199" s="19" t="str">
        <f t="shared" si="57"/>
        <v/>
      </c>
      <c r="P199" s="19" t="str">
        <f t="shared" si="56"/>
        <v/>
      </c>
      <c r="Q199" s="23" t="str">
        <f>IFERROR(VLOOKUP(C199,装备!$B:$E,3,FALSE),"")</f>
        <v/>
      </c>
      <c r="R199" s="23" t="str">
        <f>IFERROR(VLOOKUP(D199,装备!$B:$E,3,FALSE),"")</f>
        <v/>
      </c>
      <c r="S199" s="23" t="str">
        <f>IFERROR(VLOOKUP(E199,装备!$B:$E,3,FALSE),"")</f>
        <v/>
      </c>
      <c r="T199" s="23" t="str">
        <f>IFERROR(VLOOKUP(F199,装备!$B:$E,3,FALSE),"")</f>
        <v/>
      </c>
      <c r="U199" s="23" t="str">
        <f>IFERROR(VLOOKUP(G199,装备!$B:$E,3,FALSE),"")</f>
        <v/>
      </c>
      <c r="V199" s="23" t="str">
        <f>IFERROR(VLOOKUP(H199,装备!$B:$E,3,FALSE),"")</f>
        <v/>
      </c>
      <c r="W199" s="18" t="str">
        <f t="shared" si="58"/>
        <v/>
      </c>
      <c r="X199" s="18" t="str">
        <f t="shared" si="59"/>
        <v/>
      </c>
      <c r="Y199" s="18" t="str">
        <f t="shared" si="60"/>
        <v/>
      </c>
      <c r="Z199" s="18" t="str">
        <f t="shared" si="61"/>
        <v/>
      </c>
      <c r="AA199" s="18" t="str">
        <f t="shared" si="62"/>
        <v/>
      </c>
      <c r="AB199" s="18" t="str">
        <f t="shared" si="63"/>
        <v>|n=0</v>
      </c>
    </row>
    <row r="200" spans="1:28">
      <c r="A200" s="19">
        <f>装备!A136</f>
        <v>0</v>
      </c>
      <c r="B200" s="19" t="str">
        <f>"'"&amp;装备!B136&amp;"'"</f>
        <v>''</v>
      </c>
      <c r="C200" s="19">
        <f>装备!J136</f>
        <v>0</v>
      </c>
      <c r="D200" s="19">
        <f>装备!K136</f>
        <v>0</v>
      </c>
      <c r="E200" s="19">
        <f>装备!L136</f>
        <v>0</v>
      </c>
      <c r="F200" s="19">
        <f>装备!M136</f>
        <v>0</v>
      </c>
      <c r="G200" s="19">
        <f>装备!N136</f>
        <v>0</v>
      </c>
      <c r="H200" s="19">
        <f>装备!O136</f>
        <v>0</v>
      </c>
      <c r="I200" s="19">
        <f>IF(装备!J136=0,0,"'"&amp;装备!J136&amp;"'")</f>
        <v>0</v>
      </c>
      <c r="J200" s="19">
        <f>IF(装备!K136=0,0,"'"&amp;装备!K136&amp;"'")</f>
        <v>0</v>
      </c>
      <c r="K200" s="19">
        <f>IF(装备!L136=0,0,"'"&amp;装备!L136&amp;"'")</f>
        <v>0</v>
      </c>
      <c r="L200" s="19">
        <f>IF(装备!M136=0,0,"'"&amp;装备!M136&amp;"'")</f>
        <v>0</v>
      </c>
      <c r="M200" s="19">
        <f>IF(装备!N136=0,0,"'"&amp;装备!N136&amp;"'")</f>
        <v>0</v>
      </c>
      <c r="N200" s="19">
        <f>IF(装备!O136=0,0,"'"&amp;装备!O136&amp;"'")</f>
        <v>0</v>
      </c>
      <c r="O200" s="19" t="str">
        <f t="shared" si="57"/>
        <v/>
      </c>
      <c r="P200" s="19" t="str">
        <f t="shared" si="56"/>
        <v/>
      </c>
      <c r="Q200" s="23" t="str">
        <f>IFERROR(VLOOKUP(C200,装备!$B:$E,3,FALSE),"")</f>
        <v/>
      </c>
      <c r="R200" s="23" t="str">
        <f>IFERROR(VLOOKUP(D200,装备!$B:$E,3,FALSE),"")</f>
        <v/>
      </c>
      <c r="S200" s="23" t="str">
        <f>IFERROR(VLOOKUP(E200,装备!$B:$E,3,FALSE),"")</f>
        <v/>
      </c>
      <c r="T200" s="23" t="str">
        <f>IFERROR(VLOOKUP(F200,装备!$B:$E,3,FALSE),"")</f>
        <v/>
      </c>
      <c r="U200" s="23" t="str">
        <f>IFERROR(VLOOKUP(G200,装备!$B:$E,3,FALSE),"")</f>
        <v/>
      </c>
      <c r="V200" s="23" t="str">
        <f>IFERROR(VLOOKUP(H200,装备!$B:$E,3,FALSE),"")</f>
        <v/>
      </c>
      <c r="W200" s="18" t="str">
        <f t="shared" si="58"/>
        <v/>
      </c>
      <c r="X200" s="18" t="str">
        <f t="shared" si="59"/>
        <v/>
      </c>
      <c r="Y200" s="18" t="str">
        <f t="shared" si="60"/>
        <v/>
      </c>
      <c r="Z200" s="18" t="str">
        <f t="shared" si="61"/>
        <v/>
      </c>
      <c r="AA200" s="18" t="str">
        <f t="shared" si="62"/>
        <v/>
      </c>
      <c r="AB200" s="18" t="str">
        <f t="shared" si="63"/>
        <v>|n=0</v>
      </c>
    </row>
    <row r="201" spans="1:28">
      <c r="A201" s="19">
        <f>装备!A137</f>
        <v>0</v>
      </c>
      <c r="B201" s="19" t="str">
        <f>"'"&amp;装备!B137&amp;"'"</f>
        <v>''</v>
      </c>
      <c r="C201" s="19">
        <f>装备!J137</f>
        <v>0</v>
      </c>
      <c r="D201" s="19">
        <f>装备!K137</f>
        <v>0</v>
      </c>
      <c r="E201" s="19">
        <f>装备!L137</f>
        <v>0</v>
      </c>
      <c r="F201" s="19">
        <f>装备!M137</f>
        <v>0</v>
      </c>
      <c r="G201" s="19">
        <f>装备!N137</f>
        <v>0</v>
      </c>
      <c r="H201" s="19">
        <f>装备!O137</f>
        <v>0</v>
      </c>
      <c r="I201" s="19">
        <f>IF(装备!J137=0,0,"'"&amp;装备!J137&amp;"'")</f>
        <v>0</v>
      </c>
      <c r="J201" s="19">
        <f>IF(装备!K137=0,0,"'"&amp;装备!K137&amp;"'")</f>
        <v>0</v>
      </c>
      <c r="K201" s="19">
        <f>IF(装备!L137=0,0,"'"&amp;装备!L137&amp;"'")</f>
        <v>0</v>
      </c>
      <c r="L201" s="19">
        <f>IF(装备!M137=0,0,"'"&amp;装备!M137&amp;"'")</f>
        <v>0</v>
      </c>
      <c r="M201" s="19">
        <f>IF(装备!N137=0,0,"'"&amp;装备!N137&amp;"'")</f>
        <v>0</v>
      </c>
      <c r="N201" s="19">
        <f>IF(装备!O137=0,0,"'"&amp;装备!O137&amp;"'")</f>
        <v>0</v>
      </c>
      <c r="O201" s="19" t="str">
        <f t="shared" si="57"/>
        <v/>
      </c>
      <c r="P201" s="19" t="str">
        <f t="shared" si="56"/>
        <v/>
      </c>
      <c r="Q201" s="23" t="str">
        <f>IFERROR(VLOOKUP(C201,装备!$B:$E,3,FALSE),"")</f>
        <v/>
      </c>
      <c r="R201" s="23" t="str">
        <f>IFERROR(VLOOKUP(D201,装备!$B:$E,3,FALSE),"")</f>
        <v/>
      </c>
      <c r="S201" s="23" t="str">
        <f>IFERROR(VLOOKUP(E201,装备!$B:$E,3,FALSE),"")</f>
        <v/>
      </c>
      <c r="T201" s="23" t="str">
        <f>IFERROR(VLOOKUP(F201,装备!$B:$E,3,FALSE),"")</f>
        <v/>
      </c>
      <c r="U201" s="23" t="str">
        <f>IFERROR(VLOOKUP(G201,装备!$B:$E,3,FALSE),"")</f>
        <v/>
      </c>
      <c r="V201" s="23" t="str">
        <f>IFERROR(VLOOKUP(H201,装备!$B:$E,3,FALSE),"")</f>
        <v/>
      </c>
      <c r="W201" s="18" t="str">
        <f t="shared" si="58"/>
        <v/>
      </c>
      <c r="X201" s="18" t="str">
        <f t="shared" si="59"/>
        <v/>
      </c>
      <c r="Y201" s="18" t="str">
        <f t="shared" si="60"/>
        <v/>
      </c>
      <c r="Z201" s="18" t="str">
        <f t="shared" si="61"/>
        <v/>
      </c>
      <c r="AA201" s="18" t="str">
        <f t="shared" si="62"/>
        <v/>
      </c>
      <c r="AB201" s="18" t="str">
        <f t="shared" si="63"/>
        <v>|n=0</v>
      </c>
    </row>
    <row r="202" spans="1:28">
      <c r="A202" s="19">
        <f>装备!A138</f>
        <v>0</v>
      </c>
      <c r="B202" s="19" t="str">
        <f>"'"&amp;装备!B138&amp;"'"</f>
        <v>''</v>
      </c>
      <c r="C202" s="19">
        <f>装备!J138</f>
        <v>0</v>
      </c>
      <c r="D202" s="19">
        <f>装备!K138</f>
        <v>0</v>
      </c>
      <c r="E202" s="19">
        <f>装备!L138</f>
        <v>0</v>
      </c>
      <c r="F202" s="19">
        <f>装备!M138</f>
        <v>0</v>
      </c>
      <c r="G202" s="19">
        <f>装备!N138</f>
        <v>0</v>
      </c>
      <c r="H202" s="19">
        <f>装备!O138</f>
        <v>0</v>
      </c>
      <c r="I202" s="19">
        <f>IF(装备!J138=0,0,"'"&amp;装备!J138&amp;"'")</f>
        <v>0</v>
      </c>
      <c r="J202" s="19">
        <f>IF(装备!K138=0,0,"'"&amp;装备!K138&amp;"'")</f>
        <v>0</v>
      </c>
      <c r="K202" s="19">
        <f>IF(装备!L138=0,0,"'"&amp;装备!L138&amp;"'")</f>
        <v>0</v>
      </c>
      <c r="L202" s="19">
        <f>IF(装备!M138=0,0,"'"&amp;装备!M138&amp;"'")</f>
        <v>0</v>
      </c>
      <c r="M202" s="19">
        <f>IF(装备!N138=0,0,"'"&amp;装备!N138&amp;"'")</f>
        <v>0</v>
      </c>
      <c r="N202" s="19">
        <f>IF(装备!O138=0,0,"'"&amp;装备!O138&amp;"'")</f>
        <v>0</v>
      </c>
      <c r="O202" s="19" t="str">
        <f t="shared" si="57"/>
        <v/>
      </c>
      <c r="P202" s="19" t="str">
        <f t="shared" si="56"/>
        <v/>
      </c>
      <c r="Q202" s="23" t="str">
        <f>IFERROR(VLOOKUP(C202,装备!$B:$E,3,FALSE),"")</f>
        <v/>
      </c>
      <c r="R202" s="23" t="str">
        <f>IFERROR(VLOOKUP(D202,装备!$B:$E,3,FALSE),"")</f>
        <v/>
      </c>
      <c r="S202" s="23" t="str">
        <f>IFERROR(VLOOKUP(E202,装备!$B:$E,3,FALSE),"")</f>
        <v/>
      </c>
      <c r="T202" s="23" t="str">
        <f>IFERROR(VLOOKUP(F202,装备!$B:$E,3,FALSE),"")</f>
        <v/>
      </c>
      <c r="U202" s="23" t="str">
        <f>IFERROR(VLOOKUP(G202,装备!$B:$E,3,FALSE),"")</f>
        <v/>
      </c>
      <c r="V202" s="23" t="str">
        <f>IFERROR(VLOOKUP(H202,装备!$B:$E,3,FALSE),"")</f>
        <v/>
      </c>
      <c r="W202" s="18" t="str">
        <f t="shared" si="58"/>
        <v/>
      </c>
      <c r="X202" s="18" t="str">
        <f t="shared" si="59"/>
        <v/>
      </c>
      <c r="Y202" s="18" t="str">
        <f t="shared" si="60"/>
        <v/>
      </c>
      <c r="Z202" s="18" t="str">
        <f t="shared" si="61"/>
        <v/>
      </c>
      <c r="AA202" s="18" t="str">
        <f t="shared" si="62"/>
        <v/>
      </c>
      <c r="AB202" s="18" t="str">
        <f t="shared" si="63"/>
        <v>|n=0</v>
      </c>
    </row>
    <row r="203" spans="1:28">
      <c r="A203" s="19">
        <f>装备!A139</f>
        <v>0</v>
      </c>
      <c r="B203" s="19" t="str">
        <f>"'"&amp;装备!B139&amp;"'"</f>
        <v>''</v>
      </c>
      <c r="C203" s="19">
        <f>装备!J139</f>
        <v>0</v>
      </c>
      <c r="D203" s="19">
        <f>装备!K139</f>
        <v>0</v>
      </c>
      <c r="E203" s="19">
        <f>装备!L139</f>
        <v>0</v>
      </c>
      <c r="F203" s="19">
        <f>装备!M139</f>
        <v>0</v>
      </c>
      <c r="G203" s="19">
        <f>装备!N139</f>
        <v>0</v>
      </c>
      <c r="H203" s="19">
        <f>装备!O139</f>
        <v>0</v>
      </c>
      <c r="I203" s="19">
        <f>IF(装备!J139=0,0,"'"&amp;装备!J139&amp;"'")</f>
        <v>0</v>
      </c>
      <c r="J203" s="19">
        <f>IF(装备!K139=0,0,"'"&amp;装备!K139&amp;"'")</f>
        <v>0</v>
      </c>
      <c r="K203" s="19">
        <f>IF(装备!L139=0,0,"'"&amp;装备!L139&amp;"'")</f>
        <v>0</v>
      </c>
      <c r="L203" s="19">
        <f>IF(装备!M139=0,0,"'"&amp;装备!M139&amp;"'")</f>
        <v>0</v>
      </c>
      <c r="M203" s="19">
        <f>IF(装备!N139=0,0,"'"&amp;装备!N139&amp;"'")</f>
        <v>0</v>
      </c>
      <c r="N203" s="19">
        <f>IF(装备!O139=0,0,"'"&amp;装备!O139&amp;"'")</f>
        <v>0</v>
      </c>
      <c r="O203" s="19" t="str">
        <f t="shared" si="57"/>
        <v/>
      </c>
      <c r="P203" s="19" t="str">
        <f t="shared" si="56"/>
        <v/>
      </c>
      <c r="Q203" s="23" t="str">
        <f>IFERROR(VLOOKUP(C203,装备!$B:$E,3,FALSE),"")</f>
        <v/>
      </c>
      <c r="R203" s="23" t="str">
        <f>IFERROR(VLOOKUP(D203,装备!$B:$E,3,FALSE),"")</f>
        <v/>
      </c>
      <c r="S203" s="23" t="str">
        <f>IFERROR(VLOOKUP(E203,装备!$B:$E,3,FALSE),"")</f>
        <v/>
      </c>
      <c r="T203" s="23" t="str">
        <f>IFERROR(VLOOKUP(F203,装备!$B:$E,3,FALSE),"")</f>
        <v/>
      </c>
      <c r="U203" s="23" t="str">
        <f>IFERROR(VLOOKUP(G203,装备!$B:$E,3,FALSE),"")</f>
        <v/>
      </c>
      <c r="V203" s="23" t="str">
        <f>IFERROR(VLOOKUP(H203,装备!$B:$E,3,FALSE),"")</f>
        <v/>
      </c>
      <c r="W203" s="18" t="str">
        <f t="shared" si="58"/>
        <v/>
      </c>
      <c r="X203" s="18" t="str">
        <f t="shared" si="59"/>
        <v/>
      </c>
      <c r="Y203" s="18" t="str">
        <f t="shared" si="60"/>
        <v/>
      </c>
      <c r="Z203" s="18" t="str">
        <f t="shared" si="61"/>
        <v/>
      </c>
      <c r="AA203" s="18" t="str">
        <f t="shared" si="62"/>
        <v/>
      </c>
      <c r="AB203" s="18" t="str">
        <f t="shared" si="63"/>
        <v>|n=0</v>
      </c>
    </row>
    <row r="204" spans="1:28">
      <c r="A204" s="19">
        <f>装备!A140</f>
        <v>0</v>
      </c>
      <c r="B204" s="19" t="str">
        <f>"'"&amp;装备!B140&amp;"'"</f>
        <v>''</v>
      </c>
      <c r="C204" s="19">
        <f>装备!J140</f>
        <v>0</v>
      </c>
      <c r="D204" s="19">
        <f>装备!K140</f>
        <v>0</v>
      </c>
      <c r="E204" s="19">
        <f>装备!L140</f>
        <v>0</v>
      </c>
      <c r="F204" s="19">
        <f>装备!M140</f>
        <v>0</v>
      </c>
      <c r="G204" s="19">
        <f>装备!N140</f>
        <v>0</v>
      </c>
      <c r="H204" s="19">
        <f>装备!O140</f>
        <v>0</v>
      </c>
      <c r="I204" s="19">
        <f>IF(装备!J140=0,0,"'"&amp;装备!J140&amp;"'")</f>
        <v>0</v>
      </c>
      <c r="J204" s="19">
        <f>IF(装备!K140=0,0,"'"&amp;装备!K140&amp;"'")</f>
        <v>0</v>
      </c>
      <c r="K204" s="19">
        <f>IF(装备!L140=0,0,"'"&amp;装备!L140&amp;"'")</f>
        <v>0</v>
      </c>
      <c r="L204" s="19">
        <f>IF(装备!M140=0,0,"'"&amp;装备!M140&amp;"'")</f>
        <v>0</v>
      </c>
      <c r="M204" s="19">
        <f>IF(装备!N140=0,0,"'"&amp;装备!N140&amp;"'")</f>
        <v>0</v>
      </c>
      <c r="N204" s="19">
        <f>IF(装备!O140=0,0,"'"&amp;装备!O140&amp;"'")</f>
        <v>0</v>
      </c>
      <c r="O204" s="19" t="str">
        <f t="shared" si="57"/>
        <v/>
      </c>
      <c r="P204" s="19" t="str">
        <f t="shared" si="56"/>
        <v/>
      </c>
      <c r="Q204" s="23" t="str">
        <f>IFERROR(VLOOKUP(C204,装备!$B:$E,3,FALSE),"")</f>
        <v/>
      </c>
      <c r="R204" s="23" t="str">
        <f>IFERROR(VLOOKUP(D204,装备!$B:$E,3,FALSE),"")</f>
        <v/>
      </c>
      <c r="S204" s="23" t="str">
        <f>IFERROR(VLOOKUP(E204,装备!$B:$E,3,FALSE),"")</f>
        <v/>
      </c>
      <c r="T204" s="23" t="str">
        <f>IFERROR(VLOOKUP(F204,装备!$B:$E,3,FALSE),"")</f>
        <v/>
      </c>
      <c r="U204" s="23" t="str">
        <f>IFERROR(VLOOKUP(G204,装备!$B:$E,3,FALSE),"")</f>
        <v/>
      </c>
      <c r="V204" s="23" t="str">
        <f>IFERROR(VLOOKUP(H204,装备!$B:$E,3,FALSE),"")</f>
        <v/>
      </c>
      <c r="W204" s="18" t="str">
        <f t="shared" si="58"/>
        <v/>
      </c>
      <c r="X204" s="18" t="str">
        <f t="shared" si="59"/>
        <v/>
      </c>
      <c r="Y204" s="18" t="str">
        <f t="shared" si="60"/>
        <v/>
      </c>
      <c r="Z204" s="18" t="str">
        <f t="shared" si="61"/>
        <v/>
      </c>
      <c r="AA204" s="18" t="str">
        <f t="shared" si="62"/>
        <v/>
      </c>
      <c r="AB204" s="18" t="str">
        <f t="shared" si="63"/>
        <v>|n=0</v>
      </c>
    </row>
    <row r="205" spans="1:28">
      <c r="A205" s="19">
        <f>装备!A141</f>
        <v>0</v>
      </c>
      <c r="B205" s="19" t="str">
        <f>"'"&amp;装备!B141&amp;"'"</f>
        <v>''</v>
      </c>
      <c r="C205" s="19">
        <f>装备!J141</f>
        <v>0</v>
      </c>
      <c r="D205" s="19">
        <f>装备!K141</f>
        <v>0</v>
      </c>
      <c r="E205" s="19">
        <f>装备!L141</f>
        <v>0</v>
      </c>
      <c r="F205" s="19">
        <f>装备!M141</f>
        <v>0</v>
      </c>
      <c r="G205" s="19">
        <f>装备!N141</f>
        <v>0</v>
      </c>
      <c r="H205" s="19">
        <f>装备!O141</f>
        <v>0</v>
      </c>
      <c r="I205" s="19">
        <f>IF(装备!J141=0,0,"'"&amp;装备!J141&amp;"'")</f>
        <v>0</v>
      </c>
      <c r="J205" s="19">
        <f>IF(装备!K141=0,0,"'"&amp;装备!K141&amp;"'")</f>
        <v>0</v>
      </c>
      <c r="K205" s="19">
        <f>IF(装备!L141=0,0,"'"&amp;装备!L141&amp;"'")</f>
        <v>0</v>
      </c>
      <c r="L205" s="19">
        <f>IF(装备!M141=0,0,"'"&amp;装备!M141&amp;"'")</f>
        <v>0</v>
      </c>
      <c r="M205" s="19">
        <f>IF(装备!N141=0,0,"'"&amp;装备!N141&amp;"'")</f>
        <v>0</v>
      </c>
      <c r="N205" s="19">
        <f>IF(装备!O141=0,0,"'"&amp;装备!O141&amp;"'")</f>
        <v>0</v>
      </c>
      <c r="O205" s="19" t="str">
        <f t="shared" si="57"/>
        <v/>
      </c>
      <c r="P205" s="19" t="str">
        <f t="shared" si="56"/>
        <v/>
      </c>
      <c r="Q205" s="23" t="str">
        <f>IFERROR(VLOOKUP(C205,装备!$B:$E,3,FALSE),"")</f>
        <v/>
      </c>
      <c r="R205" s="23" t="str">
        <f>IFERROR(VLOOKUP(D205,装备!$B:$E,3,FALSE),"")</f>
        <v/>
      </c>
      <c r="S205" s="23" t="str">
        <f>IFERROR(VLOOKUP(E205,装备!$B:$E,3,FALSE),"")</f>
        <v/>
      </c>
      <c r="T205" s="23" t="str">
        <f>IFERROR(VLOOKUP(F205,装备!$B:$E,3,FALSE),"")</f>
        <v/>
      </c>
      <c r="U205" s="23" t="str">
        <f>IFERROR(VLOOKUP(G205,装备!$B:$E,3,FALSE),"")</f>
        <v/>
      </c>
      <c r="V205" s="23" t="str">
        <f>IFERROR(VLOOKUP(H205,装备!$B:$E,3,FALSE),"")</f>
        <v/>
      </c>
      <c r="W205" s="18" t="str">
        <f t="shared" si="58"/>
        <v/>
      </c>
      <c r="X205" s="18" t="str">
        <f t="shared" si="59"/>
        <v/>
      </c>
      <c r="Y205" s="18" t="str">
        <f t="shared" si="60"/>
        <v/>
      </c>
      <c r="Z205" s="18" t="str">
        <f t="shared" si="61"/>
        <v/>
      </c>
      <c r="AA205" s="18" t="str">
        <f t="shared" si="62"/>
        <v/>
      </c>
      <c r="AB205" s="18" t="str">
        <f t="shared" si="63"/>
        <v>|n=0</v>
      </c>
    </row>
    <row r="206" spans="1:28">
      <c r="A206" s="19">
        <f>装备!A142</f>
        <v>0</v>
      </c>
      <c r="B206" s="19" t="str">
        <f>"'"&amp;装备!B142&amp;"'"</f>
        <v>''</v>
      </c>
      <c r="C206" s="19">
        <f>装备!J142</f>
        <v>0</v>
      </c>
      <c r="D206" s="19">
        <f>装备!K142</f>
        <v>0</v>
      </c>
      <c r="E206" s="19">
        <f>装备!L142</f>
        <v>0</v>
      </c>
      <c r="F206" s="19">
        <f>装备!M142</f>
        <v>0</v>
      </c>
      <c r="G206" s="19">
        <f>装备!N142</f>
        <v>0</v>
      </c>
      <c r="H206" s="19">
        <f>装备!O142</f>
        <v>0</v>
      </c>
      <c r="I206" s="19">
        <f>IF(装备!J142=0,0,"'"&amp;装备!J142&amp;"'")</f>
        <v>0</v>
      </c>
      <c r="J206" s="19">
        <f>IF(装备!K142=0,0,"'"&amp;装备!K142&amp;"'")</f>
        <v>0</v>
      </c>
      <c r="K206" s="19">
        <f>IF(装备!L142=0,0,"'"&amp;装备!L142&amp;"'")</f>
        <v>0</v>
      </c>
      <c r="L206" s="19">
        <f>IF(装备!M142=0,0,"'"&amp;装备!M142&amp;"'")</f>
        <v>0</v>
      </c>
      <c r="M206" s="19">
        <f>IF(装备!N142=0,0,"'"&amp;装备!N142&amp;"'")</f>
        <v>0</v>
      </c>
      <c r="N206" s="19">
        <f>IF(装备!O142=0,0,"'"&amp;装备!O142&amp;"'")</f>
        <v>0</v>
      </c>
      <c r="O206" s="19" t="str">
        <f t="shared" si="57"/>
        <v/>
      </c>
      <c r="P206" s="19" t="str">
        <f t="shared" si="56"/>
        <v/>
      </c>
      <c r="Q206" s="23" t="str">
        <f>IFERROR(VLOOKUP(C206,装备!$B:$E,3,FALSE),"")</f>
        <v/>
      </c>
      <c r="R206" s="23" t="str">
        <f>IFERROR(VLOOKUP(D206,装备!$B:$E,3,FALSE),"")</f>
        <v/>
      </c>
      <c r="S206" s="23" t="str">
        <f>IFERROR(VLOOKUP(E206,装备!$B:$E,3,FALSE),"")</f>
        <v/>
      </c>
      <c r="T206" s="23" t="str">
        <f>IFERROR(VLOOKUP(F206,装备!$B:$E,3,FALSE),"")</f>
        <v/>
      </c>
      <c r="U206" s="23" t="str">
        <f>IFERROR(VLOOKUP(G206,装备!$B:$E,3,FALSE),"")</f>
        <v/>
      </c>
      <c r="V206" s="23" t="str">
        <f>IFERROR(VLOOKUP(H206,装备!$B:$E,3,FALSE),"")</f>
        <v/>
      </c>
      <c r="W206" s="18" t="str">
        <f t="shared" si="58"/>
        <v/>
      </c>
      <c r="X206" s="18" t="str">
        <f t="shared" si="59"/>
        <v/>
      </c>
      <c r="Y206" s="18" t="str">
        <f t="shared" si="60"/>
        <v/>
      </c>
      <c r="Z206" s="18" t="str">
        <f t="shared" si="61"/>
        <v/>
      </c>
      <c r="AA206" s="18" t="str">
        <f t="shared" si="62"/>
        <v/>
      </c>
      <c r="AB206" s="18" t="str">
        <f t="shared" si="63"/>
        <v>|n=0</v>
      </c>
    </row>
    <row r="207" spans="1:28">
      <c r="A207" s="19">
        <f>装备!A143</f>
        <v>0</v>
      </c>
      <c r="B207" s="19" t="str">
        <f>"'"&amp;装备!B143&amp;"'"</f>
        <v>''</v>
      </c>
      <c r="C207" s="19">
        <f>装备!J143</f>
        <v>0</v>
      </c>
      <c r="D207" s="19">
        <f>装备!K143</f>
        <v>0</v>
      </c>
      <c r="E207" s="19">
        <f>装备!L143</f>
        <v>0</v>
      </c>
      <c r="F207" s="19">
        <f>装备!M143</f>
        <v>0</v>
      </c>
      <c r="G207" s="19">
        <f>装备!N143</f>
        <v>0</v>
      </c>
      <c r="H207" s="19">
        <f>装备!O143</f>
        <v>0</v>
      </c>
      <c r="I207" s="19">
        <f>IF(装备!J143=0,0,"'"&amp;装备!J143&amp;"'")</f>
        <v>0</v>
      </c>
      <c r="J207" s="19">
        <f>IF(装备!K143=0,0,"'"&amp;装备!K143&amp;"'")</f>
        <v>0</v>
      </c>
      <c r="K207" s="19">
        <f>IF(装备!L143=0,0,"'"&amp;装备!L143&amp;"'")</f>
        <v>0</v>
      </c>
      <c r="L207" s="19">
        <f>IF(装备!M143=0,0,"'"&amp;装备!M143&amp;"'")</f>
        <v>0</v>
      </c>
      <c r="M207" s="19">
        <f>IF(装备!N143=0,0,"'"&amp;装备!N143&amp;"'")</f>
        <v>0</v>
      </c>
      <c r="N207" s="19">
        <f>IF(装备!O143=0,0,"'"&amp;装备!O143&amp;"'")</f>
        <v>0</v>
      </c>
      <c r="O207" s="19" t="str">
        <f t="shared" si="57"/>
        <v/>
      </c>
      <c r="P207" s="19" t="str">
        <f t="shared" si="56"/>
        <v/>
      </c>
      <c r="Q207" s="23" t="str">
        <f>IFERROR(VLOOKUP(C207,装备!$B:$E,3,FALSE),"")</f>
        <v/>
      </c>
      <c r="R207" s="23" t="str">
        <f>IFERROR(VLOOKUP(D207,装备!$B:$E,3,FALSE),"")</f>
        <v/>
      </c>
      <c r="S207" s="23" t="str">
        <f>IFERROR(VLOOKUP(E207,装备!$B:$E,3,FALSE),"")</f>
        <v/>
      </c>
      <c r="T207" s="23" t="str">
        <f>IFERROR(VLOOKUP(F207,装备!$B:$E,3,FALSE),"")</f>
        <v/>
      </c>
      <c r="U207" s="23" t="str">
        <f>IFERROR(VLOOKUP(G207,装备!$B:$E,3,FALSE),"")</f>
        <v/>
      </c>
      <c r="V207" s="23" t="str">
        <f>IFERROR(VLOOKUP(H207,装备!$B:$E,3,FALSE),"")</f>
        <v/>
      </c>
      <c r="W207" s="18" t="str">
        <f t="shared" si="58"/>
        <v/>
      </c>
      <c r="X207" s="18" t="str">
        <f t="shared" si="59"/>
        <v/>
      </c>
      <c r="Y207" s="18" t="str">
        <f t="shared" si="60"/>
        <v/>
      </c>
      <c r="Z207" s="18" t="str">
        <f t="shared" si="61"/>
        <v/>
      </c>
      <c r="AA207" s="18" t="str">
        <f t="shared" si="62"/>
        <v/>
      </c>
      <c r="AB207" s="18" t="str">
        <f t="shared" si="63"/>
        <v>|n=0</v>
      </c>
    </row>
    <row r="208" spans="1:28">
      <c r="A208" s="19">
        <f>装备!A144</f>
        <v>0</v>
      </c>
      <c r="B208" s="19" t="str">
        <f>"'"&amp;装备!B144&amp;"'"</f>
        <v>''</v>
      </c>
      <c r="C208" s="19">
        <f>装备!J144</f>
        <v>0</v>
      </c>
      <c r="D208" s="19">
        <f>装备!K144</f>
        <v>0</v>
      </c>
      <c r="E208" s="19">
        <f>装备!L144</f>
        <v>0</v>
      </c>
      <c r="F208" s="19">
        <f>装备!M144</f>
        <v>0</v>
      </c>
      <c r="G208" s="19">
        <f>装备!N144</f>
        <v>0</v>
      </c>
      <c r="H208" s="19">
        <f>装备!O144</f>
        <v>0</v>
      </c>
      <c r="I208" s="19">
        <f>IF(装备!J144=0,0,"'"&amp;装备!J144&amp;"'")</f>
        <v>0</v>
      </c>
      <c r="J208" s="19">
        <f>IF(装备!K144=0,0,"'"&amp;装备!K144&amp;"'")</f>
        <v>0</v>
      </c>
      <c r="K208" s="19">
        <f>IF(装备!L144=0,0,"'"&amp;装备!L144&amp;"'")</f>
        <v>0</v>
      </c>
      <c r="L208" s="19">
        <f>IF(装备!M144=0,0,"'"&amp;装备!M144&amp;"'")</f>
        <v>0</v>
      </c>
      <c r="M208" s="19">
        <f>IF(装备!N144=0,0,"'"&amp;装备!N144&amp;"'")</f>
        <v>0</v>
      </c>
      <c r="N208" s="19">
        <f>IF(装备!O144=0,0,"'"&amp;装备!O144&amp;"'")</f>
        <v>0</v>
      </c>
      <c r="O208" s="19" t="str">
        <f t="shared" si="57"/>
        <v/>
      </c>
      <c r="P208" s="19" t="str">
        <f t="shared" si="56"/>
        <v/>
      </c>
      <c r="Q208" s="23" t="str">
        <f>IFERROR(VLOOKUP(C208,装备!$B:$E,3,FALSE),"")</f>
        <v/>
      </c>
      <c r="R208" s="23" t="str">
        <f>IFERROR(VLOOKUP(D208,装备!$B:$E,3,FALSE),"")</f>
        <v/>
      </c>
      <c r="S208" s="23" t="str">
        <f>IFERROR(VLOOKUP(E208,装备!$B:$E,3,FALSE),"")</f>
        <v/>
      </c>
      <c r="T208" s="23" t="str">
        <f>IFERROR(VLOOKUP(F208,装备!$B:$E,3,FALSE),"")</f>
        <v/>
      </c>
      <c r="U208" s="23" t="str">
        <f>IFERROR(VLOOKUP(G208,装备!$B:$E,3,FALSE),"")</f>
        <v/>
      </c>
      <c r="V208" s="23" t="str">
        <f>IFERROR(VLOOKUP(H208,装备!$B:$E,3,FALSE),"")</f>
        <v/>
      </c>
      <c r="W208" s="18" t="str">
        <f t="shared" si="58"/>
        <v/>
      </c>
      <c r="X208" s="18" t="str">
        <f t="shared" si="59"/>
        <v/>
      </c>
      <c r="Y208" s="18" t="str">
        <f t="shared" si="60"/>
        <v/>
      </c>
      <c r="Z208" s="18" t="str">
        <f t="shared" si="61"/>
        <v/>
      </c>
      <c r="AA208" s="18" t="str">
        <f t="shared" si="62"/>
        <v/>
      </c>
      <c r="AB208" s="18" t="str">
        <f t="shared" si="63"/>
        <v>|n=0</v>
      </c>
    </row>
    <row r="209" spans="1:28">
      <c r="A209" s="19">
        <f>装备!A145</f>
        <v>0</v>
      </c>
      <c r="B209" s="19" t="str">
        <f>"'"&amp;装备!B145&amp;"'"</f>
        <v>''</v>
      </c>
      <c r="C209" s="19">
        <f>装备!J145</f>
        <v>0</v>
      </c>
      <c r="D209" s="19">
        <f>装备!K145</f>
        <v>0</v>
      </c>
      <c r="E209" s="19">
        <f>装备!L145</f>
        <v>0</v>
      </c>
      <c r="F209" s="19">
        <f>装备!M145</f>
        <v>0</v>
      </c>
      <c r="G209" s="19">
        <f>装备!N145</f>
        <v>0</v>
      </c>
      <c r="H209" s="19">
        <f>装备!O145</f>
        <v>0</v>
      </c>
      <c r="I209" s="19">
        <f>IF(装备!J145=0,0,"'"&amp;装备!J145&amp;"'")</f>
        <v>0</v>
      </c>
      <c r="J209" s="19">
        <f>IF(装备!K145=0,0,"'"&amp;装备!K145&amp;"'")</f>
        <v>0</v>
      </c>
      <c r="K209" s="19">
        <f>IF(装备!L145=0,0,"'"&amp;装备!L145&amp;"'")</f>
        <v>0</v>
      </c>
      <c r="L209" s="19">
        <f>IF(装备!M145=0,0,"'"&amp;装备!M145&amp;"'")</f>
        <v>0</v>
      </c>
      <c r="M209" s="19">
        <f>IF(装备!N145=0,0,"'"&amp;装备!N145&amp;"'")</f>
        <v>0</v>
      </c>
      <c r="N209" s="19">
        <f>IF(装备!O145=0,0,"'"&amp;装备!O145&amp;"'")</f>
        <v>0</v>
      </c>
      <c r="O209" s="19" t="str">
        <f t="shared" si="57"/>
        <v/>
      </c>
      <c r="P209" s="19" t="str">
        <f t="shared" si="56"/>
        <v/>
      </c>
      <c r="Q209" s="23" t="str">
        <f>IFERROR(VLOOKUP(C209,装备!$B:$E,3,FALSE),"")</f>
        <v/>
      </c>
      <c r="R209" s="23" t="str">
        <f>IFERROR(VLOOKUP(D209,装备!$B:$E,3,FALSE),"")</f>
        <v/>
      </c>
      <c r="S209" s="23" t="str">
        <f>IFERROR(VLOOKUP(E209,装备!$B:$E,3,FALSE),"")</f>
        <v/>
      </c>
      <c r="T209" s="23" t="str">
        <f>IFERROR(VLOOKUP(F209,装备!$B:$E,3,FALSE),"")</f>
        <v/>
      </c>
      <c r="U209" s="23" t="str">
        <f>IFERROR(VLOOKUP(G209,装备!$B:$E,3,FALSE),"")</f>
        <v/>
      </c>
      <c r="V209" s="23" t="str">
        <f>IFERROR(VLOOKUP(H209,装备!$B:$E,3,FALSE),"")</f>
        <v/>
      </c>
      <c r="W209" s="18" t="str">
        <f t="shared" si="58"/>
        <v/>
      </c>
      <c r="X209" s="18" t="str">
        <f t="shared" si="59"/>
        <v/>
      </c>
      <c r="Y209" s="18" t="str">
        <f t="shared" si="60"/>
        <v/>
      </c>
      <c r="Z209" s="18" t="str">
        <f t="shared" si="61"/>
        <v/>
      </c>
      <c r="AA209" s="18" t="str">
        <f t="shared" si="62"/>
        <v/>
      </c>
      <c r="AB209" s="18" t="str">
        <f t="shared" si="63"/>
        <v>|n=0</v>
      </c>
    </row>
    <row r="210" spans="1:28">
      <c r="A210" s="19">
        <f>装备!A146</f>
        <v>0</v>
      </c>
      <c r="B210" s="19" t="str">
        <f>"'"&amp;装备!B146&amp;"'"</f>
        <v>''</v>
      </c>
      <c r="C210" s="19">
        <f>装备!J146</f>
        <v>0</v>
      </c>
      <c r="D210" s="19">
        <f>装备!K146</f>
        <v>0</v>
      </c>
      <c r="E210" s="19">
        <f>装备!L146</f>
        <v>0</v>
      </c>
      <c r="F210" s="19">
        <f>装备!M146</f>
        <v>0</v>
      </c>
      <c r="G210" s="19">
        <f>装备!N146</f>
        <v>0</v>
      </c>
      <c r="H210" s="19">
        <f>装备!O146</f>
        <v>0</v>
      </c>
      <c r="I210" s="19">
        <f>IF(装备!J146=0,0,"'"&amp;装备!J146&amp;"'")</f>
        <v>0</v>
      </c>
      <c r="J210" s="19">
        <f>IF(装备!K146=0,0,"'"&amp;装备!K146&amp;"'")</f>
        <v>0</v>
      </c>
      <c r="K210" s="19">
        <f>IF(装备!L146=0,0,"'"&amp;装备!L146&amp;"'")</f>
        <v>0</v>
      </c>
      <c r="L210" s="19">
        <f>IF(装备!M146=0,0,"'"&amp;装备!M146&amp;"'")</f>
        <v>0</v>
      </c>
      <c r="M210" s="19">
        <f>IF(装备!N146=0,0,"'"&amp;装备!N146&amp;"'")</f>
        <v>0</v>
      </c>
      <c r="N210" s="19">
        <f>IF(装备!O146=0,0,"'"&amp;装备!O146&amp;"'")</f>
        <v>0</v>
      </c>
      <c r="O210" s="19" t="str">
        <f t="shared" si="57"/>
        <v/>
      </c>
      <c r="P210" s="19" t="str">
        <f t="shared" si="56"/>
        <v/>
      </c>
      <c r="Q210" s="23" t="str">
        <f>IFERROR(VLOOKUP(C210,装备!$B:$E,3,FALSE),"")</f>
        <v/>
      </c>
      <c r="R210" s="23" t="str">
        <f>IFERROR(VLOOKUP(D210,装备!$B:$E,3,FALSE),"")</f>
        <v/>
      </c>
      <c r="S210" s="23" t="str">
        <f>IFERROR(VLOOKUP(E210,装备!$B:$E,3,FALSE),"")</f>
        <v/>
      </c>
      <c r="T210" s="23" t="str">
        <f>IFERROR(VLOOKUP(F210,装备!$B:$E,3,FALSE),"")</f>
        <v/>
      </c>
      <c r="U210" s="23" t="str">
        <f>IFERROR(VLOOKUP(G210,装备!$B:$E,3,FALSE),"")</f>
        <v/>
      </c>
      <c r="V210" s="23" t="str">
        <f>IFERROR(VLOOKUP(H210,装备!$B:$E,3,FALSE),"")</f>
        <v/>
      </c>
      <c r="W210" s="18" t="str">
        <f t="shared" si="58"/>
        <v/>
      </c>
      <c r="X210" s="18" t="str">
        <f t="shared" si="59"/>
        <v/>
      </c>
      <c r="Y210" s="18" t="str">
        <f t="shared" si="60"/>
        <v/>
      </c>
      <c r="Z210" s="18" t="str">
        <f t="shared" si="61"/>
        <v/>
      </c>
      <c r="AA210" s="18" t="str">
        <f t="shared" si="62"/>
        <v/>
      </c>
      <c r="AB210" s="18" t="str">
        <f t="shared" si="63"/>
        <v>|n=0</v>
      </c>
    </row>
    <row r="211" spans="1:28">
      <c r="A211" s="19">
        <f>装备!A147</f>
        <v>0</v>
      </c>
      <c r="B211" s="19" t="str">
        <f>"'"&amp;装备!B147&amp;"'"</f>
        <v>''</v>
      </c>
      <c r="C211" s="19">
        <f>装备!J147</f>
        <v>0</v>
      </c>
      <c r="D211" s="19">
        <f>装备!K147</f>
        <v>0</v>
      </c>
      <c r="E211" s="19">
        <f>装备!L147</f>
        <v>0</v>
      </c>
      <c r="F211" s="19">
        <f>装备!M147</f>
        <v>0</v>
      </c>
      <c r="G211" s="19">
        <f>装备!N147</f>
        <v>0</v>
      </c>
      <c r="H211" s="19">
        <f>装备!O147</f>
        <v>0</v>
      </c>
      <c r="I211" s="19">
        <f>IF(装备!J147=0,0,"'"&amp;装备!J147&amp;"'")</f>
        <v>0</v>
      </c>
      <c r="J211" s="19">
        <f>IF(装备!K147=0,0,"'"&amp;装备!K147&amp;"'")</f>
        <v>0</v>
      </c>
      <c r="K211" s="19">
        <f>IF(装备!L147=0,0,"'"&amp;装备!L147&amp;"'")</f>
        <v>0</v>
      </c>
      <c r="L211" s="19">
        <f>IF(装备!M147=0,0,"'"&amp;装备!M147&amp;"'")</f>
        <v>0</v>
      </c>
      <c r="M211" s="19">
        <f>IF(装备!N147=0,0,"'"&amp;装备!N147&amp;"'")</f>
        <v>0</v>
      </c>
      <c r="N211" s="19">
        <f>IF(装备!O147=0,0,"'"&amp;装备!O147&amp;"'")</f>
        <v>0</v>
      </c>
      <c r="O211" s="19" t="str">
        <f t="shared" si="57"/>
        <v/>
      </c>
      <c r="P211" s="19" t="str">
        <f t="shared" si="56"/>
        <v/>
      </c>
      <c r="Q211" s="23" t="str">
        <f>IFERROR(VLOOKUP(C211,装备!$B:$E,3,FALSE),"")</f>
        <v/>
      </c>
      <c r="R211" s="23" t="str">
        <f>IFERROR(VLOOKUP(D211,装备!$B:$E,3,FALSE),"")</f>
        <v/>
      </c>
      <c r="S211" s="23" t="str">
        <f>IFERROR(VLOOKUP(E211,装备!$B:$E,3,FALSE),"")</f>
        <v/>
      </c>
      <c r="T211" s="23" t="str">
        <f>IFERROR(VLOOKUP(F211,装备!$B:$E,3,FALSE),"")</f>
        <v/>
      </c>
      <c r="U211" s="23" t="str">
        <f>IFERROR(VLOOKUP(G211,装备!$B:$E,3,FALSE),"")</f>
        <v/>
      </c>
      <c r="V211" s="23" t="str">
        <f>IFERROR(VLOOKUP(H211,装备!$B:$E,3,FALSE),"")</f>
        <v/>
      </c>
      <c r="W211" s="18" t="str">
        <f t="shared" si="58"/>
        <v/>
      </c>
      <c r="X211" s="18" t="str">
        <f t="shared" si="59"/>
        <v/>
      </c>
      <c r="Y211" s="18" t="str">
        <f t="shared" si="60"/>
        <v/>
      </c>
      <c r="Z211" s="18" t="str">
        <f t="shared" si="61"/>
        <v/>
      </c>
      <c r="AA211" s="18" t="str">
        <f t="shared" si="62"/>
        <v/>
      </c>
      <c r="AB211" s="18" t="str">
        <f t="shared" si="63"/>
        <v>|n=0</v>
      </c>
    </row>
    <row r="212" spans="1:28">
      <c r="A212" s="19">
        <f>装备!A148</f>
        <v>0</v>
      </c>
      <c r="B212" s="19" t="str">
        <f>"'"&amp;装备!B148&amp;"'"</f>
        <v>''</v>
      </c>
      <c r="C212" s="19">
        <f>装备!J148</f>
        <v>0</v>
      </c>
      <c r="D212" s="19">
        <f>装备!K148</f>
        <v>0</v>
      </c>
      <c r="E212" s="19">
        <f>装备!L148</f>
        <v>0</v>
      </c>
      <c r="F212" s="19">
        <f>装备!M148</f>
        <v>0</v>
      </c>
      <c r="G212" s="19">
        <f>装备!N148</f>
        <v>0</v>
      </c>
      <c r="H212" s="19">
        <f>装备!O148</f>
        <v>0</v>
      </c>
      <c r="I212" s="19">
        <f>IF(装备!J148=0,0,"'"&amp;装备!J148&amp;"'")</f>
        <v>0</v>
      </c>
      <c r="J212" s="19">
        <f>IF(装备!K148=0,0,"'"&amp;装备!K148&amp;"'")</f>
        <v>0</v>
      </c>
      <c r="K212" s="19">
        <f>IF(装备!L148=0,0,"'"&amp;装备!L148&amp;"'")</f>
        <v>0</v>
      </c>
      <c r="L212" s="19">
        <f>IF(装备!M148=0,0,"'"&amp;装备!M148&amp;"'")</f>
        <v>0</v>
      </c>
      <c r="M212" s="19">
        <f>IF(装备!N148=0,0,"'"&amp;装备!N148&amp;"'")</f>
        <v>0</v>
      </c>
      <c r="N212" s="19">
        <f>IF(装备!O148=0,0,"'"&amp;装备!O148&amp;"'")</f>
        <v>0</v>
      </c>
      <c r="O212" s="19" t="str">
        <f t="shared" si="57"/>
        <v/>
      </c>
      <c r="P212" s="19" t="str">
        <f t="shared" si="56"/>
        <v/>
      </c>
      <c r="Q212" s="23" t="str">
        <f>IFERROR(VLOOKUP(C212,装备!$B:$E,3,FALSE),"")</f>
        <v/>
      </c>
      <c r="R212" s="23" t="str">
        <f>IFERROR(VLOOKUP(D212,装备!$B:$E,3,FALSE),"")</f>
        <v/>
      </c>
      <c r="S212" s="23" t="str">
        <f>IFERROR(VLOOKUP(E212,装备!$B:$E,3,FALSE),"")</f>
        <v/>
      </c>
      <c r="T212" s="23" t="str">
        <f>IFERROR(VLOOKUP(F212,装备!$B:$E,3,FALSE),"")</f>
        <v/>
      </c>
      <c r="U212" s="23" t="str">
        <f>IFERROR(VLOOKUP(G212,装备!$B:$E,3,FALSE),"")</f>
        <v/>
      </c>
      <c r="V212" s="23" t="str">
        <f>IFERROR(VLOOKUP(H212,装备!$B:$E,3,FALSE),"")</f>
        <v/>
      </c>
      <c r="W212" s="18" t="str">
        <f t="shared" si="58"/>
        <v/>
      </c>
      <c r="X212" s="18" t="str">
        <f t="shared" si="59"/>
        <v/>
      </c>
      <c r="Y212" s="18" t="str">
        <f t="shared" si="60"/>
        <v/>
      </c>
      <c r="Z212" s="18" t="str">
        <f t="shared" si="61"/>
        <v/>
      </c>
      <c r="AA212" s="18" t="str">
        <f t="shared" si="62"/>
        <v/>
      </c>
      <c r="AB212" s="18" t="str">
        <f t="shared" si="63"/>
        <v>|n=0</v>
      </c>
    </row>
    <row r="213" spans="1:28">
      <c r="A213" s="19">
        <f>装备!A149</f>
        <v>0</v>
      </c>
      <c r="B213" s="19" t="str">
        <f>"'"&amp;装备!B149&amp;"'"</f>
        <v>''</v>
      </c>
      <c r="C213" s="19">
        <f>装备!J149</f>
        <v>0</v>
      </c>
      <c r="D213" s="19">
        <f>装备!K149</f>
        <v>0</v>
      </c>
      <c r="E213" s="19">
        <f>装备!L149</f>
        <v>0</v>
      </c>
      <c r="F213" s="19">
        <f>装备!M149</f>
        <v>0</v>
      </c>
      <c r="G213" s="19">
        <f>装备!N149</f>
        <v>0</v>
      </c>
      <c r="H213" s="19">
        <f>装备!O149</f>
        <v>0</v>
      </c>
      <c r="I213" s="19">
        <f>IF(装备!J149=0,0,"'"&amp;装备!J149&amp;"'")</f>
        <v>0</v>
      </c>
      <c r="J213" s="19">
        <f>IF(装备!K149=0,0,"'"&amp;装备!K149&amp;"'")</f>
        <v>0</v>
      </c>
      <c r="K213" s="19">
        <f>IF(装备!L149=0,0,"'"&amp;装备!L149&amp;"'")</f>
        <v>0</v>
      </c>
      <c r="L213" s="19">
        <f>IF(装备!M149=0,0,"'"&amp;装备!M149&amp;"'")</f>
        <v>0</v>
      </c>
      <c r="M213" s="19">
        <f>IF(装备!N149=0,0,"'"&amp;装备!N149&amp;"'")</f>
        <v>0</v>
      </c>
      <c r="N213" s="19">
        <f>IF(装备!O149=0,0,"'"&amp;装备!O149&amp;"'")</f>
        <v>0</v>
      </c>
      <c r="O213" s="19" t="str">
        <f t="shared" si="57"/>
        <v/>
      </c>
      <c r="P213" s="19" t="str">
        <f t="shared" si="56"/>
        <v/>
      </c>
      <c r="Q213" s="23" t="str">
        <f>IFERROR(VLOOKUP(C213,装备!$B:$E,3,FALSE),"")</f>
        <v/>
      </c>
      <c r="R213" s="23" t="str">
        <f>IFERROR(VLOOKUP(D213,装备!$B:$E,3,FALSE),"")</f>
        <v/>
      </c>
      <c r="S213" s="23" t="str">
        <f>IFERROR(VLOOKUP(E213,装备!$B:$E,3,FALSE),"")</f>
        <v/>
      </c>
      <c r="T213" s="23" t="str">
        <f>IFERROR(VLOOKUP(F213,装备!$B:$E,3,FALSE),"")</f>
        <v/>
      </c>
      <c r="U213" s="23" t="str">
        <f>IFERROR(VLOOKUP(G213,装备!$B:$E,3,FALSE),"")</f>
        <v/>
      </c>
      <c r="V213" s="23" t="str">
        <f>IFERROR(VLOOKUP(H213,装备!$B:$E,3,FALSE),"")</f>
        <v/>
      </c>
      <c r="W213" s="18" t="str">
        <f t="shared" si="58"/>
        <v/>
      </c>
      <c r="X213" s="18" t="str">
        <f t="shared" si="59"/>
        <v/>
      </c>
      <c r="Y213" s="18" t="str">
        <f t="shared" si="60"/>
        <v/>
      </c>
      <c r="Z213" s="18" t="str">
        <f t="shared" si="61"/>
        <v/>
      </c>
      <c r="AA213" s="18" t="str">
        <f t="shared" si="62"/>
        <v/>
      </c>
      <c r="AB213" s="18" t="str">
        <f t="shared" si="63"/>
        <v>|n=0</v>
      </c>
    </row>
    <row r="214" spans="1:28">
      <c r="A214" s="19">
        <f>装备!A150</f>
        <v>0</v>
      </c>
      <c r="B214" s="19" t="str">
        <f>"'"&amp;装备!B150&amp;"'"</f>
        <v>''</v>
      </c>
      <c r="C214" s="19">
        <f>装备!J150</f>
        <v>0</v>
      </c>
      <c r="D214" s="19">
        <f>装备!K150</f>
        <v>0</v>
      </c>
      <c r="E214" s="19">
        <f>装备!L150</f>
        <v>0</v>
      </c>
      <c r="F214" s="19">
        <f>装备!M150</f>
        <v>0</v>
      </c>
      <c r="G214" s="19">
        <f>装备!N150</f>
        <v>0</v>
      </c>
      <c r="H214" s="19">
        <f>装备!O150</f>
        <v>0</v>
      </c>
      <c r="I214" s="19">
        <f>IF(装备!J150=0,0,"'"&amp;装备!J150&amp;"'")</f>
        <v>0</v>
      </c>
      <c r="J214" s="19">
        <f>IF(装备!K150=0,0,"'"&amp;装备!K150&amp;"'")</f>
        <v>0</v>
      </c>
      <c r="K214" s="19">
        <f>IF(装备!L150=0,0,"'"&amp;装备!L150&amp;"'")</f>
        <v>0</v>
      </c>
      <c r="L214" s="19">
        <f>IF(装备!M150=0,0,"'"&amp;装备!M150&amp;"'")</f>
        <v>0</v>
      </c>
      <c r="M214" s="19">
        <f>IF(装备!N150=0,0,"'"&amp;装备!N150&amp;"'")</f>
        <v>0</v>
      </c>
      <c r="N214" s="19">
        <f>IF(装备!O150=0,0,"'"&amp;装备!O150&amp;"'")</f>
        <v>0</v>
      </c>
      <c r="O214" s="19" t="str">
        <f t="shared" si="57"/>
        <v/>
      </c>
      <c r="P214" s="19" t="str">
        <f t="shared" si="56"/>
        <v/>
      </c>
      <c r="Q214" s="23" t="str">
        <f>IFERROR(VLOOKUP(C214,装备!$B:$E,3,FALSE),"")</f>
        <v/>
      </c>
      <c r="R214" s="23" t="str">
        <f>IFERROR(VLOOKUP(D214,装备!$B:$E,3,FALSE),"")</f>
        <v/>
      </c>
      <c r="S214" s="23" t="str">
        <f>IFERROR(VLOOKUP(E214,装备!$B:$E,3,FALSE),"")</f>
        <v/>
      </c>
      <c r="T214" s="23" t="str">
        <f>IFERROR(VLOOKUP(F214,装备!$B:$E,3,FALSE),"")</f>
        <v/>
      </c>
      <c r="U214" s="23" t="str">
        <f>IFERROR(VLOOKUP(G214,装备!$B:$E,3,FALSE),"")</f>
        <v/>
      </c>
      <c r="V214" s="23" t="str">
        <f>IFERROR(VLOOKUP(H214,装备!$B:$E,3,FALSE),"")</f>
        <v/>
      </c>
      <c r="W214" s="18" t="str">
        <f t="shared" si="58"/>
        <v/>
      </c>
      <c r="X214" s="18" t="str">
        <f t="shared" si="59"/>
        <v/>
      </c>
      <c r="Y214" s="18" t="str">
        <f t="shared" si="60"/>
        <v/>
      </c>
      <c r="Z214" s="18" t="str">
        <f t="shared" si="61"/>
        <v/>
      </c>
      <c r="AA214" s="18" t="str">
        <f t="shared" si="62"/>
        <v/>
      </c>
      <c r="AB214" s="18" t="str">
        <f t="shared" si="63"/>
        <v>|n=0</v>
      </c>
    </row>
    <row r="215" spans="1:28">
      <c r="A215" s="19">
        <f>装备!A151</f>
        <v>0</v>
      </c>
      <c r="B215" s="19" t="str">
        <f>"'"&amp;装备!B151&amp;"'"</f>
        <v>''</v>
      </c>
      <c r="C215" s="19">
        <f>装备!J151</f>
        <v>0</v>
      </c>
      <c r="D215" s="19">
        <f>装备!K151</f>
        <v>0</v>
      </c>
      <c r="E215" s="19">
        <f>装备!L151</f>
        <v>0</v>
      </c>
      <c r="F215" s="19">
        <f>装备!M151</f>
        <v>0</v>
      </c>
      <c r="G215" s="19">
        <f>装备!N151</f>
        <v>0</v>
      </c>
      <c r="H215" s="19">
        <f>装备!O151</f>
        <v>0</v>
      </c>
      <c r="I215" s="19">
        <f>IF(装备!J151=0,0,"'"&amp;装备!J151&amp;"'")</f>
        <v>0</v>
      </c>
      <c r="J215" s="19">
        <f>IF(装备!K151=0,0,"'"&amp;装备!K151&amp;"'")</f>
        <v>0</v>
      </c>
      <c r="K215" s="19">
        <f>IF(装备!L151=0,0,"'"&amp;装备!L151&amp;"'")</f>
        <v>0</v>
      </c>
      <c r="L215" s="19">
        <f>IF(装备!M151=0,0,"'"&amp;装备!M151&amp;"'")</f>
        <v>0</v>
      </c>
      <c r="M215" s="19">
        <f>IF(装备!N151=0,0,"'"&amp;装备!N151&amp;"'")</f>
        <v>0</v>
      </c>
      <c r="N215" s="19">
        <f>IF(装备!O151=0,0,"'"&amp;装备!O151&amp;"'")</f>
        <v>0</v>
      </c>
      <c r="O215" s="19" t="str">
        <f t="shared" ref="O215:O225" si="64">IF(I215=0,"","AddItemFormula("&amp;I215&amp;","&amp;J215&amp;","&amp;K215&amp;","&amp;L215&amp;","&amp;M215&amp;","&amp;N215&amp;","&amp;B215&amp;")")</f>
        <v/>
      </c>
      <c r="P215" s="19" t="str">
        <f t="shared" si="56"/>
        <v/>
      </c>
      <c r="Q215" s="23" t="str">
        <f>IFERROR(VLOOKUP(C215,装备!$B:$E,3,FALSE),"")</f>
        <v/>
      </c>
      <c r="R215" s="23" t="str">
        <f>IFERROR(VLOOKUP(D215,装备!$B:$E,3,FALSE),"")</f>
        <v/>
      </c>
      <c r="S215" s="23" t="str">
        <f>IFERROR(VLOOKUP(E215,装备!$B:$E,3,FALSE),"")</f>
        <v/>
      </c>
      <c r="T215" s="23" t="str">
        <f>IFERROR(VLOOKUP(F215,装备!$B:$E,3,FALSE),"")</f>
        <v/>
      </c>
      <c r="U215" s="23" t="str">
        <f>IFERROR(VLOOKUP(G215,装备!$B:$E,3,FALSE),"")</f>
        <v/>
      </c>
      <c r="V215" s="23" t="str">
        <f>IFERROR(VLOOKUP(H215,装备!$B:$E,3,FALSE),"")</f>
        <v/>
      </c>
      <c r="W215" s="18" t="str">
        <f t="shared" ref="W215:W225" si="65">IF(R215="","","+"&amp;R215)</f>
        <v/>
      </c>
      <c r="X215" s="18" t="str">
        <f t="shared" ref="X215:X225" si="66">IF(S215="","","+"&amp;S215)</f>
        <v/>
      </c>
      <c r="Y215" s="18" t="str">
        <f t="shared" ref="Y215:Y225" si="67">IF(T215="","","+"&amp;T215)</f>
        <v/>
      </c>
      <c r="Z215" s="18" t="str">
        <f t="shared" ref="Z215:Z225" si="68">IF(U215="","","+"&amp;U215)</f>
        <v/>
      </c>
      <c r="AA215" s="18" t="str">
        <f t="shared" ref="AA215:AA225" si="69">IF(V215="","","+"&amp;V215)</f>
        <v/>
      </c>
      <c r="AB215" s="18" t="str">
        <f t="shared" ref="AB215:AB225" si="70">"|n"&amp;Q215&amp;W215&amp;X215&amp;Y215&amp;Z215&amp;AA215&amp;"="&amp;A215</f>
        <v>|n=0</v>
      </c>
    </row>
    <row r="216" spans="1:28">
      <c r="A216" s="19">
        <f>装备!A152</f>
        <v>0</v>
      </c>
      <c r="B216" s="19" t="str">
        <f>"'"&amp;装备!B152&amp;"'"</f>
        <v>''</v>
      </c>
      <c r="C216" s="19">
        <f>装备!J152</f>
        <v>0</v>
      </c>
      <c r="D216" s="19">
        <f>装备!K152</f>
        <v>0</v>
      </c>
      <c r="E216" s="19">
        <f>装备!L152</f>
        <v>0</v>
      </c>
      <c r="F216" s="19">
        <f>装备!M152</f>
        <v>0</v>
      </c>
      <c r="G216" s="19">
        <f>装备!N152</f>
        <v>0</v>
      </c>
      <c r="H216" s="19">
        <f>装备!O152</f>
        <v>0</v>
      </c>
      <c r="I216" s="19">
        <f>IF(装备!J152=0,0,"'"&amp;装备!J152&amp;"'")</f>
        <v>0</v>
      </c>
      <c r="J216" s="19">
        <f>IF(装备!K152=0,0,"'"&amp;装备!K152&amp;"'")</f>
        <v>0</v>
      </c>
      <c r="K216" s="19">
        <f>IF(装备!L152=0,0,"'"&amp;装备!L152&amp;"'")</f>
        <v>0</v>
      </c>
      <c r="L216" s="19">
        <f>IF(装备!M152=0,0,"'"&amp;装备!M152&amp;"'")</f>
        <v>0</v>
      </c>
      <c r="M216" s="19">
        <f>IF(装备!N152=0,0,"'"&amp;装备!N152&amp;"'")</f>
        <v>0</v>
      </c>
      <c r="N216" s="19">
        <f>IF(装备!O152=0,0,"'"&amp;装备!O152&amp;"'")</f>
        <v>0</v>
      </c>
      <c r="O216" s="19" t="str">
        <f t="shared" si="64"/>
        <v/>
      </c>
      <c r="P216" s="19" t="str">
        <f t="shared" ref="P216:P247" si="71">IFERROR(VLOOKUP(A216,Q:AB,12,FALSE),IFERROR(VLOOKUP(A216,R:AB,11,FALSE),IFERROR(VLOOKUP(A216,S:AB,10,FALSE),"")))</f>
        <v/>
      </c>
      <c r="Q216" s="23" t="str">
        <f>IFERROR(VLOOKUP(C216,装备!$B:$E,3,FALSE),"")</f>
        <v/>
      </c>
      <c r="R216" s="23" t="str">
        <f>IFERROR(VLOOKUP(D216,装备!$B:$E,3,FALSE),"")</f>
        <v/>
      </c>
      <c r="S216" s="23" t="str">
        <f>IFERROR(VLOOKUP(E216,装备!$B:$E,3,FALSE),"")</f>
        <v/>
      </c>
      <c r="T216" s="23" t="str">
        <f>IFERROR(VLOOKUP(F216,装备!$B:$E,3,FALSE),"")</f>
        <v/>
      </c>
      <c r="U216" s="23" t="str">
        <f>IFERROR(VLOOKUP(G216,装备!$B:$E,3,FALSE),"")</f>
        <v/>
      </c>
      <c r="V216" s="23" t="str">
        <f>IFERROR(VLOOKUP(H216,装备!$B:$E,3,FALSE),"")</f>
        <v/>
      </c>
      <c r="W216" s="18" t="str">
        <f t="shared" si="65"/>
        <v/>
      </c>
      <c r="X216" s="18" t="str">
        <f t="shared" si="66"/>
        <v/>
      </c>
      <c r="Y216" s="18" t="str">
        <f t="shared" si="67"/>
        <v/>
      </c>
      <c r="Z216" s="18" t="str">
        <f t="shared" si="68"/>
        <v/>
      </c>
      <c r="AA216" s="18" t="str">
        <f t="shared" si="69"/>
        <v/>
      </c>
      <c r="AB216" s="18" t="str">
        <f t="shared" si="70"/>
        <v>|n=0</v>
      </c>
    </row>
    <row r="217" spans="1:28">
      <c r="A217" s="19">
        <f>装备!A153</f>
        <v>0</v>
      </c>
      <c r="B217" s="19" t="str">
        <f>"'"&amp;装备!B153&amp;"'"</f>
        <v>''</v>
      </c>
      <c r="C217" s="19">
        <f>装备!J153</f>
        <v>0</v>
      </c>
      <c r="D217" s="19">
        <f>装备!K153</f>
        <v>0</v>
      </c>
      <c r="E217" s="19">
        <f>装备!L153</f>
        <v>0</v>
      </c>
      <c r="F217" s="19">
        <f>装备!M153</f>
        <v>0</v>
      </c>
      <c r="G217" s="19">
        <f>装备!N153</f>
        <v>0</v>
      </c>
      <c r="H217" s="19">
        <f>装备!O153</f>
        <v>0</v>
      </c>
      <c r="I217" s="19">
        <f>IF(装备!J153=0,0,"'"&amp;装备!J153&amp;"'")</f>
        <v>0</v>
      </c>
      <c r="J217" s="19">
        <f>IF(装备!K153=0,0,"'"&amp;装备!K153&amp;"'")</f>
        <v>0</v>
      </c>
      <c r="K217" s="19">
        <f>IF(装备!L153=0,0,"'"&amp;装备!L153&amp;"'")</f>
        <v>0</v>
      </c>
      <c r="L217" s="19">
        <f>IF(装备!M153=0,0,"'"&amp;装备!M153&amp;"'")</f>
        <v>0</v>
      </c>
      <c r="M217" s="19">
        <f>IF(装备!N153=0,0,"'"&amp;装备!N153&amp;"'")</f>
        <v>0</v>
      </c>
      <c r="N217" s="19">
        <f>IF(装备!O153=0,0,"'"&amp;装备!O153&amp;"'")</f>
        <v>0</v>
      </c>
      <c r="O217" s="19" t="str">
        <f t="shared" si="64"/>
        <v/>
      </c>
      <c r="P217" s="19" t="str">
        <f t="shared" si="71"/>
        <v/>
      </c>
      <c r="Q217" s="23" t="str">
        <f>IFERROR(VLOOKUP(C217,装备!$B:$E,3,FALSE),"")</f>
        <v/>
      </c>
      <c r="R217" s="23" t="str">
        <f>IFERROR(VLOOKUP(D217,装备!$B:$E,3,FALSE),"")</f>
        <v/>
      </c>
      <c r="S217" s="23" t="str">
        <f>IFERROR(VLOOKUP(E217,装备!$B:$E,3,FALSE),"")</f>
        <v/>
      </c>
      <c r="T217" s="23" t="str">
        <f>IFERROR(VLOOKUP(F217,装备!$B:$E,3,FALSE),"")</f>
        <v/>
      </c>
      <c r="U217" s="23" t="str">
        <f>IFERROR(VLOOKUP(G217,装备!$B:$E,3,FALSE),"")</f>
        <v/>
      </c>
      <c r="V217" s="23" t="str">
        <f>IFERROR(VLOOKUP(H217,装备!$B:$E,3,FALSE),"")</f>
        <v/>
      </c>
      <c r="W217" s="18" t="str">
        <f t="shared" si="65"/>
        <v/>
      </c>
      <c r="X217" s="18" t="str">
        <f t="shared" si="66"/>
        <v/>
      </c>
      <c r="Y217" s="18" t="str">
        <f t="shared" si="67"/>
        <v/>
      </c>
      <c r="Z217" s="18" t="str">
        <f t="shared" si="68"/>
        <v/>
      </c>
      <c r="AA217" s="18" t="str">
        <f t="shared" si="69"/>
        <v/>
      </c>
      <c r="AB217" s="18" t="str">
        <f t="shared" si="70"/>
        <v>|n=0</v>
      </c>
    </row>
    <row r="218" spans="1:28">
      <c r="A218" s="19">
        <f>装备!A154</f>
        <v>0</v>
      </c>
      <c r="B218" s="19" t="str">
        <f>"'"&amp;装备!B154&amp;"'"</f>
        <v>''</v>
      </c>
      <c r="C218" s="19">
        <f>装备!J154</f>
        <v>0</v>
      </c>
      <c r="D218" s="19">
        <f>装备!K154</f>
        <v>0</v>
      </c>
      <c r="E218" s="19">
        <f>装备!L154</f>
        <v>0</v>
      </c>
      <c r="F218" s="19">
        <f>装备!M154</f>
        <v>0</v>
      </c>
      <c r="G218" s="19">
        <f>装备!N154</f>
        <v>0</v>
      </c>
      <c r="H218" s="19">
        <f>装备!O154</f>
        <v>0</v>
      </c>
      <c r="I218" s="19">
        <f>IF(装备!J154=0,0,"'"&amp;装备!J154&amp;"'")</f>
        <v>0</v>
      </c>
      <c r="J218" s="19">
        <f>IF(装备!K154=0,0,"'"&amp;装备!K154&amp;"'")</f>
        <v>0</v>
      </c>
      <c r="K218" s="19">
        <f>IF(装备!L154=0,0,"'"&amp;装备!L154&amp;"'")</f>
        <v>0</v>
      </c>
      <c r="L218" s="19">
        <f>IF(装备!M154=0,0,"'"&amp;装备!M154&amp;"'")</f>
        <v>0</v>
      </c>
      <c r="M218" s="19">
        <f>IF(装备!N154=0,0,"'"&amp;装备!N154&amp;"'")</f>
        <v>0</v>
      </c>
      <c r="N218" s="19">
        <f>IF(装备!O154=0,0,"'"&amp;装备!O154&amp;"'")</f>
        <v>0</v>
      </c>
      <c r="O218" s="19" t="str">
        <f t="shared" si="64"/>
        <v/>
      </c>
      <c r="P218" s="19" t="str">
        <f t="shared" si="71"/>
        <v/>
      </c>
      <c r="Q218" s="23" t="str">
        <f>IFERROR(VLOOKUP(C218,装备!$B:$E,3,FALSE),"")</f>
        <v/>
      </c>
      <c r="R218" s="23" t="str">
        <f>IFERROR(VLOOKUP(D218,装备!$B:$E,3,FALSE),"")</f>
        <v/>
      </c>
      <c r="S218" s="23" t="str">
        <f>IFERROR(VLOOKUP(E218,装备!$B:$E,3,FALSE),"")</f>
        <v/>
      </c>
      <c r="T218" s="23" t="str">
        <f>IFERROR(VLOOKUP(F218,装备!$B:$E,3,FALSE),"")</f>
        <v/>
      </c>
      <c r="U218" s="23" t="str">
        <f>IFERROR(VLOOKUP(G218,装备!$B:$E,3,FALSE),"")</f>
        <v/>
      </c>
      <c r="V218" s="23" t="str">
        <f>IFERROR(VLOOKUP(H218,装备!$B:$E,3,FALSE),"")</f>
        <v/>
      </c>
      <c r="W218" s="18" t="str">
        <f t="shared" si="65"/>
        <v/>
      </c>
      <c r="X218" s="18" t="str">
        <f t="shared" si="66"/>
        <v/>
      </c>
      <c r="Y218" s="18" t="str">
        <f t="shared" si="67"/>
        <v/>
      </c>
      <c r="Z218" s="18" t="str">
        <f t="shared" si="68"/>
        <v/>
      </c>
      <c r="AA218" s="18" t="str">
        <f t="shared" si="69"/>
        <v/>
      </c>
      <c r="AB218" s="18" t="str">
        <f t="shared" si="70"/>
        <v>|n=0</v>
      </c>
    </row>
    <row r="219" spans="1:28">
      <c r="A219" s="19">
        <f>装备!A155</f>
        <v>0</v>
      </c>
      <c r="B219" s="19" t="str">
        <f>"'"&amp;装备!B155&amp;"'"</f>
        <v>''</v>
      </c>
      <c r="C219" s="19">
        <f>装备!J155</f>
        <v>0</v>
      </c>
      <c r="D219" s="19">
        <f>装备!K155</f>
        <v>0</v>
      </c>
      <c r="E219" s="19">
        <f>装备!L155</f>
        <v>0</v>
      </c>
      <c r="F219" s="19">
        <f>装备!M155</f>
        <v>0</v>
      </c>
      <c r="G219" s="19">
        <f>装备!N155</f>
        <v>0</v>
      </c>
      <c r="H219" s="19">
        <f>装备!O155</f>
        <v>0</v>
      </c>
      <c r="I219" s="19">
        <f>IF(装备!J155=0,0,"'"&amp;装备!J155&amp;"'")</f>
        <v>0</v>
      </c>
      <c r="J219" s="19">
        <f>IF(装备!K155=0,0,"'"&amp;装备!K155&amp;"'")</f>
        <v>0</v>
      </c>
      <c r="K219" s="19">
        <f>IF(装备!L155=0,0,"'"&amp;装备!L155&amp;"'")</f>
        <v>0</v>
      </c>
      <c r="L219" s="19">
        <f>IF(装备!M155=0,0,"'"&amp;装备!M155&amp;"'")</f>
        <v>0</v>
      </c>
      <c r="M219" s="19">
        <f>IF(装备!N155=0,0,"'"&amp;装备!N155&amp;"'")</f>
        <v>0</v>
      </c>
      <c r="N219" s="19">
        <f>IF(装备!O155=0,0,"'"&amp;装备!O155&amp;"'")</f>
        <v>0</v>
      </c>
      <c r="O219" s="19" t="str">
        <f t="shared" si="64"/>
        <v/>
      </c>
      <c r="P219" s="19" t="str">
        <f t="shared" si="71"/>
        <v/>
      </c>
      <c r="Q219" s="23" t="str">
        <f>IFERROR(VLOOKUP(C219,装备!$B:$E,3,FALSE),"")</f>
        <v/>
      </c>
      <c r="R219" s="23" t="str">
        <f>IFERROR(VLOOKUP(D219,装备!$B:$E,3,FALSE),"")</f>
        <v/>
      </c>
      <c r="S219" s="23" t="str">
        <f>IFERROR(VLOOKUP(E219,装备!$B:$E,3,FALSE),"")</f>
        <v/>
      </c>
      <c r="T219" s="23" t="str">
        <f>IFERROR(VLOOKUP(F219,装备!$B:$E,3,FALSE),"")</f>
        <v/>
      </c>
      <c r="U219" s="23" t="str">
        <f>IFERROR(VLOOKUP(G219,装备!$B:$E,3,FALSE),"")</f>
        <v/>
      </c>
      <c r="V219" s="23" t="str">
        <f>IFERROR(VLOOKUP(H219,装备!$B:$E,3,FALSE),"")</f>
        <v/>
      </c>
      <c r="W219" s="18" t="str">
        <f t="shared" si="65"/>
        <v/>
      </c>
      <c r="X219" s="18" t="str">
        <f t="shared" si="66"/>
        <v/>
      </c>
      <c r="Y219" s="18" t="str">
        <f t="shared" si="67"/>
        <v/>
      </c>
      <c r="Z219" s="18" t="str">
        <f t="shared" si="68"/>
        <v/>
      </c>
      <c r="AA219" s="18" t="str">
        <f t="shared" si="69"/>
        <v/>
      </c>
      <c r="AB219" s="18" t="str">
        <f t="shared" si="70"/>
        <v>|n=0</v>
      </c>
    </row>
    <row r="220" spans="1:28">
      <c r="A220" s="19">
        <f>装备!A156</f>
        <v>0</v>
      </c>
      <c r="B220" s="19" t="str">
        <f>"'"&amp;装备!B156&amp;"'"</f>
        <v>''</v>
      </c>
      <c r="C220" s="19">
        <f>装备!J156</f>
        <v>0</v>
      </c>
      <c r="D220" s="19">
        <f>装备!K156</f>
        <v>0</v>
      </c>
      <c r="E220" s="19">
        <f>装备!L156</f>
        <v>0</v>
      </c>
      <c r="F220" s="19">
        <f>装备!M156</f>
        <v>0</v>
      </c>
      <c r="G220" s="19">
        <f>装备!N156</f>
        <v>0</v>
      </c>
      <c r="H220" s="19">
        <f>装备!O156</f>
        <v>0</v>
      </c>
      <c r="I220" s="19">
        <f>IF(装备!J156=0,0,"'"&amp;装备!J156&amp;"'")</f>
        <v>0</v>
      </c>
      <c r="J220" s="19">
        <f>IF(装备!K156=0,0,"'"&amp;装备!K156&amp;"'")</f>
        <v>0</v>
      </c>
      <c r="K220" s="19">
        <f>IF(装备!L156=0,0,"'"&amp;装备!L156&amp;"'")</f>
        <v>0</v>
      </c>
      <c r="L220" s="19">
        <f>IF(装备!M156=0,0,"'"&amp;装备!M156&amp;"'")</f>
        <v>0</v>
      </c>
      <c r="M220" s="19">
        <f>IF(装备!N156=0,0,"'"&amp;装备!N156&amp;"'")</f>
        <v>0</v>
      </c>
      <c r="N220" s="19">
        <f>IF(装备!O156=0,0,"'"&amp;装备!O156&amp;"'")</f>
        <v>0</v>
      </c>
      <c r="O220" s="19" t="str">
        <f t="shared" si="64"/>
        <v/>
      </c>
      <c r="P220" s="19" t="str">
        <f t="shared" si="71"/>
        <v/>
      </c>
      <c r="Q220" s="23" t="str">
        <f>IFERROR(VLOOKUP(C220,装备!$B:$E,3,FALSE),"")</f>
        <v/>
      </c>
      <c r="R220" s="23" t="str">
        <f>IFERROR(VLOOKUP(D220,装备!$B:$E,3,FALSE),"")</f>
        <v/>
      </c>
      <c r="S220" s="23" t="str">
        <f>IFERROR(VLOOKUP(E220,装备!$B:$E,3,FALSE),"")</f>
        <v/>
      </c>
      <c r="T220" s="23" t="str">
        <f>IFERROR(VLOOKUP(F220,装备!$B:$E,3,FALSE),"")</f>
        <v/>
      </c>
      <c r="U220" s="23" t="str">
        <f>IFERROR(VLOOKUP(G220,装备!$B:$E,3,FALSE),"")</f>
        <v/>
      </c>
      <c r="V220" s="23" t="str">
        <f>IFERROR(VLOOKUP(H220,装备!$B:$E,3,FALSE),"")</f>
        <v/>
      </c>
      <c r="W220" s="18" t="str">
        <f t="shared" si="65"/>
        <v/>
      </c>
      <c r="X220" s="18" t="str">
        <f t="shared" si="66"/>
        <v/>
      </c>
      <c r="Y220" s="18" t="str">
        <f t="shared" si="67"/>
        <v/>
      </c>
      <c r="Z220" s="18" t="str">
        <f t="shared" si="68"/>
        <v/>
      </c>
      <c r="AA220" s="18" t="str">
        <f t="shared" si="69"/>
        <v/>
      </c>
      <c r="AB220" s="18" t="str">
        <f t="shared" si="70"/>
        <v>|n=0</v>
      </c>
    </row>
    <row r="221" spans="1:28">
      <c r="A221" s="19">
        <f>装备!A157</f>
        <v>0</v>
      </c>
      <c r="B221" s="19" t="str">
        <f>"'"&amp;装备!B157&amp;"'"</f>
        <v>''</v>
      </c>
      <c r="C221" s="19">
        <f>装备!J157</f>
        <v>0</v>
      </c>
      <c r="D221" s="19">
        <f>装备!K157</f>
        <v>0</v>
      </c>
      <c r="E221" s="19">
        <f>装备!L157</f>
        <v>0</v>
      </c>
      <c r="F221" s="19">
        <f>装备!M157</f>
        <v>0</v>
      </c>
      <c r="G221" s="19">
        <f>装备!N157</f>
        <v>0</v>
      </c>
      <c r="H221" s="19">
        <f>装备!O157</f>
        <v>0</v>
      </c>
      <c r="I221" s="19">
        <f>IF(装备!J157=0,0,"'"&amp;装备!J157&amp;"'")</f>
        <v>0</v>
      </c>
      <c r="J221" s="19">
        <f>IF(装备!K157=0,0,"'"&amp;装备!K157&amp;"'")</f>
        <v>0</v>
      </c>
      <c r="K221" s="19">
        <f>IF(装备!L157=0,0,"'"&amp;装备!L157&amp;"'")</f>
        <v>0</v>
      </c>
      <c r="L221" s="19">
        <f>IF(装备!M157=0,0,"'"&amp;装备!M157&amp;"'")</f>
        <v>0</v>
      </c>
      <c r="M221" s="19">
        <f>IF(装备!N157=0,0,"'"&amp;装备!N157&amp;"'")</f>
        <v>0</v>
      </c>
      <c r="N221" s="19">
        <f>IF(装备!O157=0,0,"'"&amp;装备!O157&amp;"'")</f>
        <v>0</v>
      </c>
      <c r="O221" s="19" t="str">
        <f t="shared" si="64"/>
        <v/>
      </c>
      <c r="P221" s="19" t="str">
        <f t="shared" si="71"/>
        <v/>
      </c>
      <c r="Q221" s="23" t="str">
        <f>IFERROR(VLOOKUP(C221,装备!$B:$E,3,FALSE),"")</f>
        <v/>
      </c>
      <c r="R221" s="23" t="str">
        <f>IFERROR(VLOOKUP(D221,装备!$B:$E,3,FALSE),"")</f>
        <v/>
      </c>
      <c r="S221" s="23" t="str">
        <f>IFERROR(VLOOKUP(E221,装备!$B:$E,3,FALSE),"")</f>
        <v/>
      </c>
      <c r="T221" s="23" t="str">
        <f>IFERROR(VLOOKUP(F221,装备!$B:$E,3,FALSE),"")</f>
        <v/>
      </c>
      <c r="U221" s="23" t="str">
        <f>IFERROR(VLOOKUP(G221,装备!$B:$E,3,FALSE),"")</f>
        <v/>
      </c>
      <c r="V221" s="23" t="str">
        <f>IFERROR(VLOOKUP(H221,装备!$B:$E,3,FALSE),"")</f>
        <v/>
      </c>
      <c r="W221" s="18" t="str">
        <f t="shared" si="65"/>
        <v/>
      </c>
      <c r="X221" s="18" t="str">
        <f t="shared" si="66"/>
        <v/>
      </c>
      <c r="Y221" s="18" t="str">
        <f t="shared" si="67"/>
        <v/>
      </c>
      <c r="Z221" s="18" t="str">
        <f t="shared" si="68"/>
        <v/>
      </c>
      <c r="AA221" s="18" t="str">
        <f t="shared" si="69"/>
        <v/>
      </c>
      <c r="AB221" s="18" t="str">
        <f t="shared" si="70"/>
        <v>|n=0</v>
      </c>
    </row>
    <row r="222" spans="1:28">
      <c r="A222" s="19">
        <f>装备!A158</f>
        <v>0</v>
      </c>
      <c r="B222" s="19" t="str">
        <f>"'"&amp;装备!B158&amp;"'"</f>
        <v>''</v>
      </c>
      <c r="C222" s="19">
        <f>装备!J158</f>
        <v>0</v>
      </c>
      <c r="D222" s="19">
        <f>装备!K158</f>
        <v>0</v>
      </c>
      <c r="E222" s="19">
        <f>装备!L158</f>
        <v>0</v>
      </c>
      <c r="F222" s="19">
        <f>装备!M158</f>
        <v>0</v>
      </c>
      <c r="G222" s="19">
        <f>装备!N158</f>
        <v>0</v>
      </c>
      <c r="H222" s="19">
        <f>装备!O158</f>
        <v>0</v>
      </c>
      <c r="I222" s="19">
        <f>IF(装备!J158=0,0,"'"&amp;装备!J158&amp;"'")</f>
        <v>0</v>
      </c>
      <c r="J222" s="19">
        <f>IF(装备!K158=0,0,"'"&amp;装备!K158&amp;"'")</f>
        <v>0</v>
      </c>
      <c r="K222" s="19">
        <f>IF(装备!L158=0,0,"'"&amp;装备!L158&amp;"'")</f>
        <v>0</v>
      </c>
      <c r="L222" s="19">
        <f>IF(装备!M158=0,0,"'"&amp;装备!M158&amp;"'")</f>
        <v>0</v>
      </c>
      <c r="M222" s="19">
        <f>IF(装备!N158=0,0,"'"&amp;装备!N158&amp;"'")</f>
        <v>0</v>
      </c>
      <c r="N222" s="19">
        <f>IF(装备!O158=0,0,"'"&amp;装备!O158&amp;"'")</f>
        <v>0</v>
      </c>
      <c r="O222" s="19" t="str">
        <f t="shared" si="64"/>
        <v/>
      </c>
      <c r="P222" s="19" t="str">
        <f t="shared" si="71"/>
        <v/>
      </c>
      <c r="Q222" s="23" t="str">
        <f>IFERROR(VLOOKUP(C222,装备!$B:$E,3,FALSE),"")</f>
        <v/>
      </c>
      <c r="R222" s="23" t="str">
        <f>IFERROR(VLOOKUP(D222,装备!$B:$E,3,FALSE),"")</f>
        <v/>
      </c>
      <c r="S222" s="23" t="str">
        <f>IFERROR(VLOOKUP(E222,装备!$B:$E,3,FALSE),"")</f>
        <v/>
      </c>
      <c r="T222" s="23" t="str">
        <f>IFERROR(VLOOKUP(F222,装备!$B:$E,3,FALSE),"")</f>
        <v/>
      </c>
      <c r="U222" s="23" t="str">
        <f>IFERROR(VLOOKUP(G222,装备!$B:$E,3,FALSE),"")</f>
        <v/>
      </c>
      <c r="V222" s="23" t="str">
        <f>IFERROR(VLOOKUP(H222,装备!$B:$E,3,FALSE),"")</f>
        <v/>
      </c>
      <c r="W222" s="18" t="str">
        <f t="shared" si="65"/>
        <v/>
      </c>
      <c r="X222" s="18" t="str">
        <f t="shared" si="66"/>
        <v/>
      </c>
      <c r="Y222" s="18" t="str">
        <f t="shared" si="67"/>
        <v/>
      </c>
      <c r="Z222" s="18" t="str">
        <f t="shared" si="68"/>
        <v/>
      </c>
      <c r="AA222" s="18" t="str">
        <f t="shared" si="69"/>
        <v/>
      </c>
      <c r="AB222" s="18" t="str">
        <f t="shared" si="70"/>
        <v>|n=0</v>
      </c>
    </row>
    <row r="223" spans="1:28">
      <c r="A223" s="19">
        <f>装备!A159</f>
        <v>0</v>
      </c>
      <c r="B223" s="19" t="str">
        <f>"'"&amp;装备!B159&amp;"'"</f>
        <v>''</v>
      </c>
      <c r="C223" s="19">
        <f>装备!J159</f>
        <v>0</v>
      </c>
      <c r="D223" s="19">
        <f>装备!K159</f>
        <v>0</v>
      </c>
      <c r="E223" s="19">
        <f>装备!L159</f>
        <v>0</v>
      </c>
      <c r="F223" s="19">
        <f>装备!M159</f>
        <v>0</v>
      </c>
      <c r="G223" s="19">
        <f>装备!N159</f>
        <v>0</v>
      </c>
      <c r="H223" s="19">
        <f>装备!O159</f>
        <v>0</v>
      </c>
      <c r="I223" s="19">
        <f>IF(装备!J159=0,0,"'"&amp;装备!J159&amp;"'")</f>
        <v>0</v>
      </c>
      <c r="J223" s="19">
        <f>IF(装备!K159=0,0,"'"&amp;装备!K159&amp;"'")</f>
        <v>0</v>
      </c>
      <c r="K223" s="19">
        <f>IF(装备!L159=0,0,"'"&amp;装备!L159&amp;"'")</f>
        <v>0</v>
      </c>
      <c r="L223" s="19">
        <f>IF(装备!M159=0,0,"'"&amp;装备!M159&amp;"'")</f>
        <v>0</v>
      </c>
      <c r="M223" s="19">
        <f>IF(装备!N159=0,0,"'"&amp;装备!N159&amp;"'")</f>
        <v>0</v>
      </c>
      <c r="N223" s="19">
        <f>IF(装备!O159=0,0,"'"&amp;装备!O159&amp;"'")</f>
        <v>0</v>
      </c>
      <c r="O223" s="19" t="str">
        <f t="shared" si="64"/>
        <v/>
      </c>
      <c r="P223" s="19" t="str">
        <f t="shared" si="71"/>
        <v/>
      </c>
      <c r="Q223" s="23" t="str">
        <f>IFERROR(VLOOKUP(C223,装备!$B:$E,3,FALSE),"")</f>
        <v/>
      </c>
      <c r="R223" s="23" t="str">
        <f>IFERROR(VLOOKUP(D223,装备!$B:$E,3,FALSE),"")</f>
        <v/>
      </c>
      <c r="S223" s="23" t="str">
        <f>IFERROR(VLOOKUP(E223,装备!$B:$E,3,FALSE),"")</f>
        <v/>
      </c>
      <c r="T223" s="23" t="str">
        <f>IFERROR(VLOOKUP(F223,装备!$B:$E,3,FALSE),"")</f>
        <v/>
      </c>
      <c r="U223" s="23" t="str">
        <f>IFERROR(VLOOKUP(G223,装备!$B:$E,3,FALSE),"")</f>
        <v/>
      </c>
      <c r="V223" s="23" t="str">
        <f>IFERROR(VLOOKUP(H223,装备!$B:$E,3,FALSE),"")</f>
        <v/>
      </c>
      <c r="W223" s="18" t="str">
        <f t="shared" si="65"/>
        <v/>
      </c>
      <c r="X223" s="18" t="str">
        <f t="shared" si="66"/>
        <v/>
      </c>
      <c r="Y223" s="18" t="str">
        <f t="shared" si="67"/>
        <v/>
      </c>
      <c r="Z223" s="18" t="str">
        <f t="shared" si="68"/>
        <v/>
      </c>
      <c r="AA223" s="18" t="str">
        <f t="shared" si="69"/>
        <v/>
      </c>
      <c r="AB223" s="18" t="str">
        <f t="shared" si="70"/>
        <v>|n=0</v>
      </c>
    </row>
    <row r="224" spans="1:28">
      <c r="A224" s="19">
        <f>装备!A160</f>
        <v>0</v>
      </c>
      <c r="B224" s="19" t="str">
        <f>"'"&amp;装备!B160&amp;"'"</f>
        <v>''</v>
      </c>
      <c r="C224" s="19">
        <f>装备!J160</f>
        <v>0</v>
      </c>
      <c r="D224" s="19">
        <f>装备!K160</f>
        <v>0</v>
      </c>
      <c r="E224" s="19">
        <f>装备!L160</f>
        <v>0</v>
      </c>
      <c r="F224" s="19">
        <f>装备!M160</f>
        <v>0</v>
      </c>
      <c r="G224" s="19">
        <f>装备!N160</f>
        <v>0</v>
      </c>
      <c r="H224" s="19">
        <f>装备!O160</f>
        <v>0</v>
      </c>
      <c r="I224" s="19">
        <f>IF(装备!J160=0,0,"'"&amp;装备!J160&amp;"'")</f>
        <v>0</v>
      </c>
      <c r="J224" s="19">
        <f>IF(装备!K160=0,0,"'"&amp;装备!K160&amp;"'")</f>
        <v>0</v>
      </c>
      <c r="K224" s="19">
        <f>IF(装备!L160=0,0,"'"&amp;装备!L160&amp;"'")</f>
        <v>0</v>
      </c>
      <c r="L224" s="19">
        <f>IF(装备!M160=0,0,"'"&amp;装备!M160&amp;"'")</f>
        <v>0</v>
      </c>
      <c r="M224" s="19">
        <f>IF(装备!N160=0,0,"'"&amp;装备!N160&amp;"'")</f>
        <v>0</v>
      </c>
      <c r="N224" s="19">
        <f>IF(装备!O160=0,0,"'"&amp;装备!O160&amp;"'")</f>
        <v>0</v>
      </c>
      <c r="O224" s="19" t="str">
        <f t="shared" si="64"/>
        <v/>
      </c>
      <c r="P224" s="19" t="str">
        <f t="shared" si="71"/>
        <v/>
      </c>
      <c r="Q224" s="23" t="str">
        <f>IFERROR(VLOOKUP(C224,装备!$B:$E,3,FALSE),"")</f>
        <v/>
      </c>
      <c r="R224" s="23" t="str">
        <f>IFERROR(VLOOKUP(D224,装备!$B:$E,3,FALSE),"")</f>
        <v/>
      </c>
      <c r="S224" s="23" t="str">
        <f>IFERROR(VLOOKUP(E224,装备!$B:$E,3,FALSE),"")</f>
        <v/>
      </c>
      <c r="T224" s="23" t="str">
        <f>IFERROR(VLOOKUP(F224,装备!$B:$E,3,FALSE),"")</f>
        <v/>
      </c>
      <c r="U224" s="23" t="str">
        <f>IFERROR(VLOOKUP(G224,装备!$B:$E,3,FALSE),"")</f>
        <v/>
      </c>
      <c r="V224" s="23" t="str">
        <f>IFERROR(VLOOKUP(H224,装备!$B:$E,3,FALSE),"")</f>
        <v/>
      </c>
      <c r="W224" s="18" t="str">
        <f t="shared" si="65"/>
        <v/>
      </c>
      <c r="X224" s="18" t="str">
        <f t="shared" si="66"/>
        <v/>
      </c>
      <c r="Y224" s="18" t="str">
        <f t="shared" si="67"/>
        <v/>
      </c>
      <c r="Z224" s="18" t="str">
        <f t="shared" si="68"/>
        <v/>
      </c>
      <c r="AA224" s="18" t="str">
        <f t="shared" si="69"/>
        <v/>
      </c>
      <c r="AB224" s="18" t="str">
        <f t="shared" si="70"/>
        <v>|n=0</v>
      </c>
    </row>
    <row r="225" spans="1:28">
      <c r="A225" s="19">
        <f>装备!A161</f>
        <v>0</v>
      </c>
      <c r="B225" s="19" t="str">
        <f>"'"&amp;装备!B161&amp;"'"</f>
        <v>''</v>
      </c>
      <c r="C225" s="19">
        <f>装备!J161</f>
        <v>0</v>
      </c>
      <c r="D225" s="19">
        <f>装备!K161</f>
        <v>0</v>
      </c>
      <c r="E225" s="19">
        <f>装备!L161</f>
        <v>0</v>
      </c>
      <c r="F225" s="19">
        <f>装备!M161</f>
        <v>0</v>
      </c>
      <c r="G225" s="19">
        <f>装备!N161</f>
        <v>0</v>
      </c>
      <c r="H225" s="19">
        <f>装备!O161</f>
        <v>0</v>
      </c>
      <c r="I225" s="19">
        <f>IF(装备!J161=0,0,"'"&amp;装备!J161&amp;"'")</f>
        <v>0</v>
      </c>
      <c r="J225" s="19">
        <f>IF(装备!K161=0,0,"'"&amp;装备!K161&amp;"'")</f>
        <v>0</v>
      </c>
      <c r="K225" s="19">
        <f>IF(装备!L161=0,0,"'"&amp;装备!L161&amp;"'")</f>
        <v>0</v>
      </c>
      <c r="L225" s="19">
        <f>IF(装备!M161=0,0,"'"&amp;装备!M161&amp;"'")</f>
        <v>0</v>
      </c>
      <c r="M225" s="19">
        <f>IF(装备!N161=0,0,"'"&amp;装备!N161&amp;"'")</f>
        <v>0</v>
      </c>
      <c r="N225" s="19">
        <f>IF(装备!O161=0,0,"'"&amp;装备!O161&amp;"'")</f>
        <v>0</v>
      </c>
      <c r="O225" s="19" t="str">
        <f t="shared" si="64"/>
        <v/>
      </c>
      <c r="P225" s="19" t="str">
        <f t="shared" si="71"/>
        <v/>
      </c>
      <c r="Q225" s="23" t="str">
        <f>IFERROR(VLOOKUP(C225,装备!$B:$E,3,FALSE),"")</f>
        <v/>
      </c>
      <c r="R225" s="23" t="str">
        <f>IFERROR(VLOOKUP(D225,装备!$B:$E,3,FALSE),"")</f>
        <v/>
      </c>
      <c r="S225" s="23" t="str">
        <f>IFERROR(VLOOKUP(E225,装备!$B:$E,3,FALSE),"")</f>
        <v/>
      </c>
      <c r="T225" s="23" t="str">
        <f>IFERROR(VLOOKUP(F225,装备!$B:$E,3,FALSE),"")</f>
        <v/>
      </c>
      <c r="U225" s="23" t="str">
        <f>IFERROR(VLOOKUP(G225,装备!$B:$E,3,FALSE),"")</f>
        <v/>
      </c>
      <c r="V225" s="23" t="str">
        <f>IFERROR(VLOOKUP(H225,装备!$B:$E,3,FALSE),"")</f>
        <v/>
      </c>
      <c r="W225" s="18" t="str">
        <f t="shared" si="65"/>
        <v/>
      </c>
      <c r="X225" s="18" t="str">
        <f t="shared" si="66"/>
        <v/>
      </c>
      <c r="Y225" s="18" t="str">
        <f t="shared" si="67"/>
        <v/>
      </c>
      <c r="Z225" s="18" t="str">
        <f t="shared" si="68"/>
        <v/>
      </c>
      <c r="AA225" s="18" t="str">
        <f t="shared" si="69"/>
        <v/>
      </c>
      <c r="AB225" s="18" t="str">
        <f t="shared" si="70"/>
        <v>|n=0</v>
      </c>
    </row>
    <row r="226" spans="1:28">
      <c r="A226" s="19">
        <f>装备!A162</f>
        <v>0</v>
      </c>
      <c r="B226" s="19" t="str">
        <f>"'"&amp;装备!B162&amp;"'"</f>
        <v>''</v>
      </c>
      <c r="C226" s="19">
        <f>装备!J162</f>
        <v>0</v>
      </c>
      <c r="D226" s="19">
        <f>装备!K162</f>
        <v>0</v>
      </c>
      <c r="E226" s="19">
        <f>装备!L162</f>
        <v>0</v>
      </c>
      <c r="F226" s="19">
        <f>装备!M162</f>
        <v>0</v>
      </c>
      <c r="G226" s="19">
        <f>装备!N162</f>
        <v>0</v>
      </c>
      <c r="H226" s="19">
        <f>装备!O162</f>
        <v>0</v>
      </c>
      <c r="I226" s="19">
        <f>IF(装备!J162=0,0,"'"&amp;装备!J162&amp;"'")</f>
        <v>0</v>
      </c>
      <c r="J226" s="19">
        <f>IF(装备!K162=0,0,"'"&amp;装备!K162&amp;"'")</f>
        <v>0</v>
      </c>
      <c r="K226" s="19">
        <f>IF(装备!L162=0,0,"'"&amp;装备!L162&amp;"'")</f>
        <v>0</v>
      </c>
      <c r="L226" s="19">
        <f>IF(装备!M162=0,0,"'"&amp;装备!M162&amp;"'")</f>
        <v>0</v>
      </c>
      <c r="M226" s="19">
        <f>IF(装备!N162=0,0,"'"&amp;装备!N162&amp;"'")</f>
        <v>0</v>
      </c>
      <c r="N226" s="19">
        <f>IF(装备!O162=0,0,"'"&amp;装备!O162&amp;"'")</f>
        <v>0</v>
      </c>
      <c r="O226" s="19" t="str">
        <f>IF(I226=0,"","AddItemFormula("&amp;I226&amp;","&amp;J226&amp;","&amp;K226&amp;","&amp;L226&amp;","&amp;M226&amp;","&amp;N226&amp;","&amp;B226&amp;")")</f>
        <v/>
      </c>
      <c r="P226" s="19" t="str">
        <f t="shared" si="71"/>
        <v/>
      </c>
      <c r="Q226" s="23" t="str">
        <f>IFERROR(VLOOKUP(C226,装备!$B:$E,3,FALSE),"")</f>
        <v/>
      </c>
      <c r="R226" s="23" t="str">
        <f>IFERROR(VLOOKUP(D226,装备!$B:$E,3,FALSE),"")</f>
        <v/>
      </c>
      <c r="S226" s="23" t="str">
        <f>IFERROR(VLOOKUP(E226,装备!$B:$E,3,FALSE),"")</f>
        <v/>
      </c>
      <c r="T226" s="23" t="str">
        <f>IFERROR(VLOOKUP(F226,装备!$B:$E,3,FALSE),"")</f>
        <v/>
      </c>
      <c r="U226" s="23" t="str">
        <f>IFERROR(VLOOKUP(G226,装备!$B:$E,3,FALSE),"")</f>
        <v/>
      </c>
      <c r="V226" s="23" t="str">
        <f>IFERROR(VLOOKUP(H226,装备!$B:$E,3,FALSE),"")</f>
        <v/>
      </c>
      <c r="W226" s="18" t="str">
        <f>IF(R226="","","+"&amp;R226)</f>
        <v/>
      </c>
      <c r="X226" s="18" t="str">
        <f>IF(S226="","","+"&amp;S226)</f>
        <v/>
      </c>
      <c r="Y226" s="18" t="str">
        <f>IF(T226="","","+"&amp;T226)</f>
        <v/>
      </c>
      <c r="Z226" s="18" t="str">
        <f>IF(U226="","","+"&amp;U226)</f>
        <v/>
      </c>
      <c r="AA226" s="18" t="str">
        <f>IF(V226="","","+"&amp;V226)</f>
        <v/>
      </c>
      <c r="AB226" s="18" t="str">
        <f>"|n"&amp;Q226&amp;W226&amp;X226&amp;Y226&amp;Z226&amp;AA226&amp;"="&amp;A226</f>
        <v>|n=0</v>
      </c>
    </row>
    <row r="227" spans="1:28">
      <c r="A227" s="19">
        <f>装备!A163</f>
        <v>0</v>
      </c>
      <c r="B227" s="19" t="str">
        <f>"'"&amp;装备!B163&amp;"'"</f>
        <v>''</v>
      </c>
      <c r="C227" s="19">
        <f>装备!J163</f>
        <v>0</v>
      </c>
      <c r="D227" s="19">
        <f>装备!K163</f>
        <v>0</v>
      </c>
      <c r="E227" s="19">
        <f>装备!L163</f>
        <v>0</v>
      </c>
      <c r="F227" s="19">
        <f>装备!M163</f>
        <v>0</v>
      </c>
      <c r="G227" s="19">
        <f>装备!N163</f>
        <v>0</v>
      </c>
      <c r="H227" s="19">
        <f>装备!O163</f>
        <v>0</v>
      </c>
      <c r="I227" s="19">
        <f>IF(装备!J163=0,0,"'"&amp;装备!J163&amp;"'")</f>
        <v>0</v>
      </c>
      <c r="J227" s="19">
        <f>IF(装备!K163=0,0,"'"&amp;装备!K163&amp;"'")</f>
        <v>0</v>
      </c>
      <c r="K227" s="19">
        <f>IF(装备!L163=0,0,"'"&amp;装备!L163&amp;"'")</f>
        <v>0</v>
      </c>
      <c r="L227" s="19">
        <f>IF(装备!M163=0,0,"'"&amp;装备!M163&amp;"'")</f>
        <v>0</v>
      </c>
      <c r="M227" s="19">
        <f>IF(装备!N163=0,0,"'"&amp;装备!N163&amp;"'")</f>
        <v>0</v>
      </c>
      <c r="N227" s="19">
        <f>IF(装备!O163=0,0,"'"&amp;装备!O163&amp;"'")</f>
        <v>0</v>
      </c>
      <c r="O227" s="19" t="str">
        <f t="shared" ref="O227:O244" si="72">IF(I227=0,"","AddItemFormula("&amp;I227&amp;","&amp;J227&amp;","&amp;K227&amp;","&amp;L227&amp;","&amp;M227&amp;","&amp;N227&amp;","&amp;B227&amp;")")</f>
        <v/>
      </c>
      <c r="P227" s="19" t="str">
        <f t="shared" si="71"/>
        <v/>
      </c>
      <c r="Q227" s="23" t="str">
        <f>IFERROR(VLOOKUP(C227,装备!$B:$E,3,FALSE),"")</f>
        <v/>
      </c>
      <c r="R227" s="23" t="str">
        <f>IFERROR(VLOOKUP(D227,装备!$B:$E,3,FALSE),"")</f>
        <v/>
      </c>
      <c r="S227" s="23" t="str">
        <f>IFERROR(VLOOKUP(E227,装备!$B:$E,3,FALSE),"")</f>
        <v/>
      </c>
      <c r="T227" s="23" t="str">
        <f>IFERROR(VLOOKUP(F227,装备!$B:$E,3,FALSE),"")</f>
        <v/>
      </c>
      <c r="U227" s="23" t="str">
        <f>IFERROR(VLOOKUP(G227,装备!$B:$E,3,FALSE),"")</f>
        <v/>
      </c>
      <c r="V227" s="23" t="str">
        <f>IFERROR(VLOOKUP(H227,装备!$B:$E,3,FALSE),"")</f>
        <v/>
      </c>
      <c r="W227" s="18" t="str">
        <f t="shared" ref="W227:W244" si="73">IF(R227="","","+"&amp;R227)</f>
        <v/>
      </c>
      <c r="X227" s="18" t="str">
        <f t="shared" ref="X227:X244" si="74">IF(S227="","","+"&amp;S227)</f>
        <v/>
      </c>
      <c r="Y227" s="18" t="str">
        <f t="shared" ref="Y227:Y244" si="75">IF(T227="","","+"&amp;T227)</f>
        <v/>
      </c>
      <c r="Z227" s="18" t="str">
        <f t="shared" ref="Z227:Z244" si="76">IF(U227="","","+"&amp;U227)</f>
        <v/>
      </c>
      <c r="AA227" s="18" t="str">
        <f t="shared" ref="AA227:AA244" si="77">IF(V227="","","+"&amp;V227)</f>
        <v/>
      </c>
      <c r="AB227" s="18" t="str">
        <f t="shared" ref="AB227:AB244" si="78">"|n"&amp;Q227&amp;W227&amp;X227&amp;Y227&amp;Z227&amp;AA227&amp;"="&amp;A227</f>
        <v>|n=0</v>
      </c>
    </row>
    <row r="228" spans="1:28">
      <c r="A228" s="19">
        <f>装备!A164</f>
        <v>0</v>
      </c>
      <c r="B228" s="19" t="str">
        <f>"'"&amp;装备!B164&amp;"'"</f>
        <v>''</v>
      </c>
      <c r="C228" s="19">
        <f>装备!J164</f>
        <v>0</v>
      </c>
      <c r="D228" s="19">
        <f>装备!K164</f>
        <v>0</v>
      </c>
      <c r="E228" s="19">
        <f>装备!L164</f>
        <v>0</v>
      </c>
      <c r="F228" s="19">
        <f>装备!M164</f>
        <v>0</v>
      </c>
      <c r="G228" s="19">
        <f>装备!N164</f>
        <v>0</v>
      </c>
      <c r="H228" s="19">
        <f>装备!O164</f>
        <v>0</v>
      </c>
      <c r="I228" s="19">
        <f>IF(装备!J164=0,0,"'"&amp;装备!J164&amp;"'")</f>
        <v>0</v>
      </c>
      <c r="J228" s="19">
        <f>IF(装备!K164=0,0,"'"&amp;装备!K164&amp;"'")</f>
        <v>0</v>
      </c>
      <c r="K228" s="19">
        <f>IF(装备!L164=0,0,"'"&amp;装备!L164&amp;"'")</f>
        <v>0</v>
      </c>
      <c r="L228" s="19">
        <f>IF(装备!M164=0,0,"'"&amp;装备!M164&amp;"'")</f>
        <v>0</v>
      </c>
      <c r="M228" s="19">
        <f>IF(装备!N164=0,0,"'"&amp;装备!N164&amp;"'")</f>
        <v>0</v>
      </c>
      <c r="N228" s="19">
        <f>IF(装备!O164=0,0,"'"&amp;装备!O164&amp;"'")</f>
        <v>0</v>
      </c>
      <c r="O228" s="19" t="str">
        <f t="shared" si="72"/>
        <v/>
      </c>
      <c r="P228" s="19" t="str">
        <f t="shared" si="71"/>
        <v/>
      </c>
      <c r="Q228" s="23" t="str">
        <f>IFERROR(VLOOKUP(C228,装备!$B:$E,3,FALSE),"")</f>
        <v/>
      </c>
      <c r="R228" s="23" t="str">
        <f>IFERROR(VLOOKUP(D228,装备!$B:$E,3,FALSE),"")</f>
        <v/>
      </c>
      <c r="S228" s="23" t="str">
        <f>IFERROR(VLOOKUP(E228,装备!$B:$E,3,FALSE),"")</f>
        <v/>
      </c>
      <c r="T228" s="23" t="str">
        <f>IFERROR(VLOOKUP(F228,装备!$B:$E,3,FALSE),"")</f>
        <v/>
      </c>
      <c r="U228" s="23" t="str">
        <f>IFERROR(VLOOKUP(G228,装备!$B:$E,3,FALSE),"")</f>
        <v/>
      </c>
      <c r="V228" s="23" t="str">
        <f>IFERROR(VLOOKUP(H228,装备!$B:$E,3,FALSE),"")</f>
        <v/>
      </c>
      <c r="W228" s="18" t="str">
        <f t="shared" si="73"/>
        <v/>
      </c>
      <c r="X228" s="18" t="str">
        <f t="shared" si="74"/>
        <v/>
      </c>
      <c r="Y228" s="18" t="str">
        <f t="shared" si="75"/>
        <v/>
      </c>
      <c r="Z228" s="18" t="str">
        <f t="shared" si="76"/>
        <v/>
      </c>
      <c r="AA228" s="18" t="str">
        <f t="shared" si="77"/>
        <v/>
      </c>
      <c r="AB228" s="18" t="str">
        <f t="shared" si="78"/>
        <v>|n=0</v>
      </c>
    </row>
    <row r="229" spans="1:28">
      <c r="A229" s="19">
        <f>装备!A165</f>
        <v>0</v>
      </c>
      <c r="B229" s="19" t="str">
        <f>"'"&amp;装备!B165&amp;"'"</f>
        <v>''</v>
      </c>
      <c r="C229" s="19">
        <f>装备!J165</f>
        <v>0</v>
      </c>
      <c r="D229" s="19">
        <f>装备!K165</f>
        <v>0</v>
      </c>
      <c r="E229" s="19">
        <f>装备!L165</f>
        <v>0</v>
      </c>
      <c r="F229" s="19">
        <f>装备!M165</f>
        <v>0</v>
      </c>
      <c r="G229" s="19">
        <f>装备!N165</f>
        <v>0</v>
      </c>
      <c r="H229" s="19">
        <f>装备!O165</f>
        <v>0</v>
      </c>
      <c r="I229" s="19">
        <f>IF(装备!J165=0,0,"'"&amp;装备!J165&amp;"'")</f>
        <v>0</v>
      </c>
      <c r="J229" s="19">
        <f>IF(装备!K165=0,0,"'"&amp;装备!K165&amp;"'")</f>
        <v>0</v>
      </c>
      <c r="K229" s="19">
        <f>IF(装备!L165=0,0,"'"&amp;装备!L165&amp;"'")</f>
        <v>0</v>
      </c>
      <c r="L229" s="19">
        <f>IF(装备!M165=0,0,"'"&amp;装备!M165&amp;"'")</f>
        <v>0</v>
      </c>
      <c r="M229" s="19">
        <f>IF(装备!N165=0,0,"'"&amp;装备!N165&amp;"'")</f>
        <v>0</v>
      </c>
      <c r="N229" s="19">
        <f>IF(装备!O165=0,0,"'"&amp;装备!O165&amp;"'")</f>
        <v>0</v>
      </c>
      <c r="O229" s="19" t="str">
        <f t="shared" si="72"/>
        <v/>
      </c>
      <c r="P229" s="19" t="str">
        <f t="shared" si="71"/>
        <v/>
      </c>
      <c r="Q229" s="23" t="str">
        <f>IFERROR(VLOOKUP(C229,装备!$B:$E,3,FALSE),"")</f>
        <v/>
      </c>
      <c r="R229" s="23" t="str">
        <f>IFERROR(VLOOKUP(D229,装备!$B:$E,3,FALSE),"")</f>
        <v/>
      </c>
      <c r="S229" s="23" t="str">
        <f>IFERROR(VLOOKUP(E229,装备!$B:$E,3,FALSE),"")</f>
        <v/>
      </c>
      <c r="T229" s="23" t="str">
        <f>IFERROR(VLOOKUP(F229,装备!$B:$E,3,FALSE),"")</f>
        <v/>
      </c>
      <c r="U229" s="23" t="str">
        <f>IFERROR(VLOOKUP(G229,装备!$B:$E,3,FALSE),"")</f>
        <v/>
      </c>
      <c r="V229" s="23" t="str">
        <f>IFERROR(VLOOKUP(H229,装备!$B:$E,3,FALSE),"")</f>
        <v/>
      </c>
      <c r="W229" s="18" t="str">
        <f t="shared" si="73"/>
        <v/>
      </c>
      <c r="X229" s="18" t="str">
        <f t="shared" si="74"/>
        <v/>
      </c>
      <c r="Y229" s="18" t="str">
        <f t="shared" si="75"/>
        <v/>
      </c>
      <c r="Z229" s="18" t="str">
        <f t="shared" si="76"/>
        <v/>
      </c>
      <c r="AA229" s="18" t="str">
        <f t="shared" si="77"/>
        <v/>
      </c>
      <c r="AB229" s="18" t="str">
        <f t="shared" si="78"/>
        <v>|n=0</v>
      </c>
    </row>
    <row r="230" spans="1:28">
      <c r="A230" s="19">
        <f>装备!A166</f>
        <v>0</v>
      </c>
      <c r="B230" s="19" t="str">
        <f>"'"&amp;装备!B166&amp;"'"</f>
        <v>''</v>
      </c>
      <c r="C230" s="19">
        <f>装备!J166</f>
        <v>0</v>
      </c>
      <c r="D230" s="19">
        <f>装备!K166</f>
        <v>0</v>
      </c>
      <c r="E230" s="19">
        <f>装备!L166</f>
        <v>0</v>
      </c>
      <c r="F230" s="19">
        <f>装备!M166</f>
        <v>0</v>
      </c>
      <c r="G230" s="19">
        <f>装备!N166</f>
        <v>0</v>
      </c>
      <c r="H230" s="19">
        <f>装备!O166</f>
        <v>0</v>
      </c>
      <c r="I230" s="19">
        <f>IF(装备!J166=0,0,"'"&amp;装备!J166&amp;"'")</f>
        <v>0</v>
      </c>
      <c r="J230" s="19">
        <f>IF(装备!K166=0,0,"'"&amp;装备!K166&amp;"'")</f>
        <v>0</v>
      </c>
      <c r="K230" s="19">
        <f>IF(装备!L166=0,0,"'"&amp;装备!L166&amp;"'")</f>
        <v>0</v>
      </c>
      <c r="L230" s="19">
        <f>IF(装备!M166=0,0,"'"&amp;装备!M166&amp;"'")</f>
        <v>0</v>
      </c>
      <c r="M230" s="19">
        <f>IF(装备!N166=0,0,"'"&amp;装备!N166&amp;"'")</f>
        <v>0</v>
      </c>
      <c r="N230" s="19">
        <f>IF(装备!O166=0,0,"'"&amp;装备!O166&amp;"'")</f>
        <v>0</v>
      </c>
      <c r="O230" s="19" t="str">
        <f t="shared" si="72"/>
        <v/>
      </c>
      <c r="P230" s="19" t="str">
        <f t="shared" si="71"/>
        <v/>
      </c>
      <c r="Q230" s="23" t="str">
        <f>IFERROR(VLOOKUP(C230,装备!$B:$E,3,FALSE),"")</f>
        <v/>
      </c>
      <c r="R230" s="23" t="str">
        <f>IFERROR(VLOOKUP(D230,装备!$B:$E,3,FALSE),"")</f>
        <v/>
      </c>
      <c r="S230" s="23" t="str">
        <f>IFERROR(VLOOKUP(E230,装备!$B:$E,3,FALSE),"")</f>
        <v/>
      </c>
      <c r="T230" s="23" t="str">
        <f>IFERROR(VLOOKUP(F230,装备!$B:$E,3,FALSE),"")</f>
        <v/>
      </c>
      <c r="U230" s="23" t="str">
        <f>IFERROR(VLOOKUP(G230,装备!$B:$E,3,FALSE),"")</f>
        <v/>
      </c>
      <c r="V230" s="23" t="str">
        <f>IFERROR(VLOOKUP(H230,装备!$B:$E,3,FALSE),"")</f>
        <v/>
      </c>
      <c r="W230" s="18" t="str">
        <f t="shared" si="73"/>
        <v/>
      </c>
      <c r="X230" s="18" t="str">
        <f t="shared" si="74"/>
        <v/>
      </c>
      <c r="Y230" s="18" t="str">
        <f t="shared" si="75"/>
        <v/>
      </c>
      <c r="Z230" s="18" t="str">
        <f t="shared" si="76"/>
        <v/>
      </c>
      <c r="AA230" s="18" t="str">
        <f t="shared" si="77"/>
        <v/>
      </c>
      <c r="AB230" s="18" t="str">
        <f t="shared" si="78"/>
        <v>|n=0</v>
      </c>
    </row>
    <row r="231" spans="1:28">
      <c r="A231" s="19">
        <f>装备!A167</f>
        <v>0</v>
      </c>
      <c r="B231" s="19" t="str">
        <f>"'"&amp;装备!B167&amp;"'"</f>
        <v>''</v>
      </c>
      <c r="C231" s="19">
        <f>装备!J167</f>
        <v>0</v>
      </c>
      <c r="D231" s="19">
        <f>装备!K167</f>
        <v>0</v>
      </c>
      <c r="E231" s="19">
        <f>装备!L167</f>
        <v>0</v>
      </c>
      <c r="F231" s="19">
        <f>装备!M167</f>
        <v>0</v>
      </c>
      <c r="G231" s="19">
        <f>装备!N167</f>
        <v>0</v>
      </c>
      <c r="H231" s="19">
        <f>装备!O167</f>
        <v>0</v>
      </c>
      <c r="I231" s="19">
        <f>IF(装备!J167=0,0,"'"&amp;装备!J167&amp;"'")</f>
        <v>0</v>
      </c>
      <c r="J231" s="19">
        <f>IF(装备!K167=0,0,"'"&amp;装备!K167&amp;"'")</f>
        <v>0</v>
      </c>
      <c r="K231" s="19">
        <f>IF(装备!L167=0,0,"'"&amp;装备!L167&amp;"'")</f>
        <v>0</v>
      </c>
      <c r="L231" s="19">
        <f>IF(装备!M167=0,0,"'"&amp;装备!M167&amp;"'")</f>
        <v>0</v>
      </c>
      <c r="M231" s="19">
        <f>IF(装备!N167=0,0,"'"&amp;装备!N167&amp;"'")</f>
        <v>0</v>
      </c>
      <c r="N231" s="19">
        <f>IF(装备!O167=0,0,"'"&amp;装备!O167&amp;"'")</f>
        <v>0</v>
      </c>
      <c r="O231" s="19" t="str">
        <f t="shared" si="72"/>
        <v/>
      </c>
      <c r="P231" s="19" t="str">
        <f t="shared" si="71"/>
        <v/>
      </c>
      <c r="Q231" s="23" t="str">
        <f>IFERROR(VLOOKUP(C231,装备!$B:$E,3,FALSE),"")</f>
        <v/>
      </c>
      <c r="R231" s="23" t="str">
        <f>IFERROR(VLOOKUP(D231,装备!$B:$E,3,FALSE),"")</f>
        <v/>
      </c>
      <c r="S231" s="23" t="str">
        <f>IFERROR(VLOOKUP(E231,装备!$B:$E,3,FALSE),"")</f>
        <v/>
      </c>
      <c r="T231" s="23" t="str">
        <f>IFERROR(VLOOKUP(F231,装备!$B:$E,3,FALSE),"")</f>
        <v/>
      </c>
      <c r="U231" s="23" t="str">
        <f>IFERROR(VLOOKUP(G231,装备!$B:$E,3,FALSE),"")</f>
        <v/>
      </c>
      <c r="V231" s="23" t="str">
        <f>IFERROR(VLOOKUP(H231,装备!$B:$E,3,FALSE),"")</f>
        <v/>
      </c>
      <c r="W231" s="18" t="str">
        <f t="shared" si="73"/>
        <v/>
      </c>
      <c r="X231" s="18" t="str">
        <f t="shared" si="74"/>
        <v/>
      </c>
      <c r="Y231" s="18" t="str">
        <f t="shared" si="75"/>
        <v/>
      </c>
      <c r="Z231" s="18" t="str">
        <f t="shared" si="76"/>
        <v/>
      </c>
      <c r="AA231" s="18" t="str">
        <f t="shared" si="77"/>
        <v/>
      </c>
      <c r="AB231" s="18" t="str">
        <f t="shared" si="78"/>
        <v>|n=0</v>
      </c>
    </row>
    <row r="232" spans="1:28">
      <c r="A232" s="19">
        <f>装备!A168</f>
        <v>0</v>
      </c>
      <c r="B232" s="19" t="str">
        <f>"'"&amp;装备!B168&amp;"'"</f>
        <v>''</v>
      </c>
      <c r="C232" s="19">
        <f>装备!J168</f>
        <v>0</v>
      </c>
      <c r="D232" s="19">
        <f>装备!K168</f>
        <v>0</v>
      </c>
      <c r="E232" s="19">
        <f>装备!L168</f>
        <v>0</v>
      </c>
      <c r="F232" s="19">
        <f>装备!M168</f>
        <v>0</v>
      </c>
      <c r="G232" s="19">
        <f>装备!N168</f>
        <v>0</v>
      </c>
      <c r="H232" s="19">
        <f>装备!O168</f>
        <v>0</v>
      </c>
      <c r="I232" s="19">
        <f>IF(装备!J168=0,0,"'"&amp;装备!J168&amp;"'")</f>
        <v>0</v>
      </c>
      <c r="J232" s="19">
        <f>IF(装备!K168=0,0,"'"&amp;装备!K168&amp;"'")</f>
        <v>0</v>
      </c>
      <c r="K232" s="19">
        <f>IF(装备!L168=0,0,"'"&amp;装备!L168&amp;"'")</f>
        <v>0</v>
      </c>
      <c r="L232" s="19">
        <f>IF(装备!M168=0,0,"'"&amp;装备!M168&amp;"'")</f>
        <v>0</v>
      </c>
      <c r="M232" s="19">
        <f>IF(装备!N168=0,0,"'"&amp;装备!N168&amp;"'")</f>
        <v>0</v>
      </c>
      <c r="N232" s="19">
        <f>IF(装备!O168=0,0,"'"&amp;装备!O168&amp;"'")</f>
        <v>0</v>
      </c>
      <c r="O232" s="19" t="str">
        <f t="shared" si="72"/>
        <v/>
      </c>
      <c r="P232" s="19" t="str">
        <f t="shared" si="71"/>
        <v/>
      </c>
      <c r="Q232" s="23" t="str">
        <f>IFERROR(VLOOKUP(C232,装备!$B:$E,3,FALSE),"")</f>
        <v/>
      </c>
      <c r="R232" s="23" t="str">
        <f>IFERROR(VLOOKUP(D232,装备!$B:$E,3,FALSE),"")</f>
        <v/>
      </c>
      <c r="S232" s="23" t="str">
        <f>IFERROR(VLOOKUP(E232,装备!$B:$E,3,FALSE),"")</f>
        <v/>
      </c>
      <c r="T232" s="23" t="str">
        <f>IFERROR(VLOOKUP(F232,装备!$B:$E,3,FALSE),"")</f>
        <v/>
      </c>
      <c r="U232" s="23" t="str">
        <f>IFERROR(VLOOKUP(G232,装备!$B:$E,3,FALSE),"")</f>
        <v/>
      </c>
      <c r="V232" s="23" t="str">
        <f>IFERROR(VLOOKUP(H232,装备!$B:$E,3,FALSE),"")</f>
        <v/>
      </c>
      <c r="W232" s="18" t="str">
        <f t="shared" si="73"/>
        <v/>
      </c>
      <c r="X232" s="18" t="str">
        <f t="shared" si="74"/>
        <v/>
      </c>
      <c r="Y232" s="18" t="str">
        <f t="shared" si="75"/>
        <v/>
      </c>
      <c r="Z232" s="18" t="str">
        <f t="shared" si="76"/>
        <v/>
      </c>
      <c r="AA232" s="18" t="str">
        <f t="shared" si="77"/>
        <v/>
      </c>
      <c r="AB232" s="18" t="str">
        <f t="shared" si="78"/>
        <v>|n=0</v>
      </c>
    </row>
    <row r="233" spans="1:28">
      <c r="A233" s="19">
        <f>装备!A169</f>
        <v>0</v>
      </c>
      <c r="B233" s="19" t="str">
        <f>"'"&amp;装备!B169&amp;"'"</f>
        <v>''</v>
      </c>
      <c r="C233" s="19">
        <f>装备!J169</f>
        <v>0</v>
      </c>
      <c r="D233" s="19">
        <f>装备!K169</f>
        <v>0</v>
      </c>
      <c r="E233" s="19">
        <f>装备!L169</f>
        <v>0</v>
      </c>
      <c r="F233" s="19">
        <f>装备!M169</f>
        <v>0</v>
      </c>
      <c r="G233" s="19">
        <f>装备!N169</f>
        <v>0</v>
      </c>
      <c r="H233" s="19">
        <f>装备!O169</f>
        <v>0</v>
      </c>
      <c r="I233" s="19">
        <f>IF(装备!J169=0,0,"'"&amp;装备!J169&amp;"'")</f>
        <v>0</v>
      </c>
      <c r="J233" s="19">
        <f>IF(装备!K169=0,0,"'"&amp;装备!K169&amp;"'")</f>
        <v>0</v>
      </c>
      <c r="K233" s="19">
        <f>IF(装备!L169=0,0,"'"&amp;装备!L169&amp;"'")</f>
        <v>0</v>
      </c>
      <c r="L233" s="19">
        <f>IF(装备!M169=0,0,"'"&amp;装备!M169&amp;"'")</f>
        <v>0</v>
      </c>
      <c r="M233" s="19">
        <f>IF(装备!N169=0,0,"'"&amp;装备!N169&amp;"'")</f>
        <v>0</v>
      </c>
      <c r="N233" s="19">
        <f>IF(装备!O169=0,0,"'"&amp;装备!O169&amp;"'")</f>
        <v>0</v>
      </c>
      <c r="O233" s="19" t="str">
        <f t="shared" si="72"/>
        <v/>
      </c>
      <c r="P233" s="19" t="str">
        <f t="shared" si="71"/>
        <v/>
      </c>
      <c r="Q233" s="23" t="str">
        <f>IFERROR(VLOOKUP(C233,装备!$B:$E,3,FALSE),"")</f>
        <v/>
      </c>
      <c r="R233" s="23" t="str">
        <f>IFERROR(VLOOKUP(D233,装备!$B:$E,3,FALSE),"")</f>
        <v/>
      </c>
      <c r="S233" s="23" t="str">
        <f>IFERROR(VLOOKUP(E233,装备!$B:$E,3,FALSE),"")</f>
        <v/>
      </c>
      <c r="T233" s="23" t="str">
        <f>IFERROR(VLOOKUP(F233,装备!$B:$E,3,FALSE),"")</f>
        <v/>
      </c>
      <c r="U233" s="23" t="str">
        <f>IFERROR(VLOOKUP(G233,装备!$B:$E,3,FALSE),"")</f>
        <v/>
      </c>
      <c r="V233" s="23" t="str">
        <f>IFERROR(VLOOKUP(H233,装备!$B:$E,3,FALSE),"")</f>
        <v/>
      </c>
      <c r="W233" s="18" t="str">
        <f t="shared" si="73"/>
        <v/>
      </c>
      <c r="X233" s="18" t="str">
        <f t="shared" si="74"/>
        <v/>
      </c>
      <c r="Y233" s="18" t="str">
        <f t="shared" si="75"/>
        <v/>
      </c>
      <c r="Z233" s="18" t="str">
        <f t="shared" si="76"/>
        <v/>
      </c>
      <c r="AA233" s="18" t="str">
        <f t="shared" si="77"/>
        <v/>
      </c>
      <c r="AB233" s="18" t="str">
        <f t="shared" si="78"/>
        <v>|n=0</v>
      </c>
    </row>
    <row r="234" spans="1:28">
      <c r="A234" s="19">
        <f>装备!A170</f>
        <v>0</v>
      </c>
      <c r="B234" s="19" t="str">
        <f>"'"&amp;装备!B170&amp;"'"</f>
        <v>''</v>
      </c>
      <c r="C234" s="19">
        <f>装备!J170</f>
        <v>0</v>
      </c>
      <c r="D234" s="19">
        <f>装备!K170</f>
        <v>0</v>
      </c>
      <c r="E234" s="19">
        <f>装备!L170</f>
        <v>0</v>
      </c>
      <c r="F234" s="19">
        <f>装备!M170</f>
        <v>0</v>
      </c>
      <c r="G234" s="19">
        <f>装备!N170</f>
        <v>0</v>
      </c>
      <c r="H234" s="19">
        <f>装备!O170</f>
        <v>0</v>
      </c>
      <c r="I234" s="19">
        <f>IF(装备!J170=0,0,"'"&amp;装备!J170&amp;"'")</f>
        <v>0</v>
      </c>
      <c r="J234" s="19">
        <f>IF(装备!K170=0,0,"'"&amp;装备!K170&amp;"'")</f>
        <v>0</v>
      </c>
      <c r="K234" s="19">
        <f>IF(装备!L170=0,0,"'"&amp;装备!L170&amp;"'")</f>
        <v>0</v>
      </c>
      <c r="L234" s="19">
        <f>IF(装备!M170=0,0,"'"&amp;装备!M170&amp;"'")</f>
        <v>0</v>
      </c>
      <c r="M234" s="19">
        <f>IF(装备!N170=0,0,"'"&amp;装备!N170&amp;"'")</f>
        <v>0</v>
      </c>
      <c r="N234" s="19">
        <f>IF(装备!O170=0,0,"'"&amp;装备!O170&amp;"'")</f>
        <v>0</v>
      </c>
      <c r="O234" s="19" t="str">
        <f t="shared" si="72"/>
        <v/>
      </c>
      <c r="P234" s="19" t="str">
        <f t="shared" si="71"/>
        <v/>
      </c>
      <c r="Q234" s="23" t="str">
        <f>IFERROR(VLOOKUP(C234,装备!$B:$E,3,FALSE),"")</f>
        <v/>
      </c>
      <c r="R234" s="23" t="str">
        <f>IFERROR(VLOOKUP(D234,装备!$B:$E,3,FALSE),"")</f>
        <v/>
      </c>
      <c r="S234" s="23" t="str">
        <f>IFERROR(VLOOKUP(E234,装备!$B:$E,3,FALSE),"")</f>
        <v/>
      </c>
      <c r="T234" s="23" t="str">
        <f>IFERROR(VLOOKUP(F234,装备!$B:$E,3,FALSE),"")</f>
        <v/>
      </c>
      <c r="U234" s="23" t="str">
        <f>IFERROR(VLOOKUP(G234,装备!$B:$E,3,FALSE),"")</f>
        <v/>
      </c>
      <c r="V234" s="23" t="str">
        <f>IFERROR(VLOOKUP(H234,装备!$B:$E,3,FALSE),"")</f>
        <v/>
      </c>
      <c r="W234" s="18" t="str">
        <f t="shared" si="73"/>
        <v/>
      </c>
      <c r="X234" s="18" t="str">
        <f t="shared" si="74"/>
        <v/>
      </c>
      <c r="Y234" s="18" t="str">
        <f t="shared" si="75"/>
        <v/>
      </c>
      <c r="Z234" s="18" t="str">
        <f t="shared" si="76"/>
        <v/>
      </c>
      <c r="AA234" s="18" t="str">
        <f t="shared" si="77"/>
        <v/>
      </c>
      <c r="AB234" s="18" t="str">
        <f t="shared" si="78"/>
        <v>|n=0</v>
      </c>
    </row>
    <row r="235" spans="1:28">
      <c r="A235" s="19">
        <f>装备!A171</f>
        <v>0</v>
      </c>
      <c r="B235" s="19" t="str">
        <f>"'"&amp;装备!B171&amp;"'"</f>
        <v>''</v>
      </c>
      <c r="C235" s="19">
        <f>装备!J171</f>
        <v>0</v>
      </c>
      <c r="D235" s="19">
        <f>装备!K171</f>
        <v>0</v>
      </c>
      <c r="E235" s="19">
        <f>装备!L171</f>
        <v>0</v>
      </c>
      <c r="F235" s="19">
        <f>装备!M171</f>
        <v>0</v>
      </c>
      <c r="G235" s="19">
        <f>装备!N171</f>
        <v>0</v>
      </c>
      <c r="H235" s="19">
        <f>装备!O171</f>
        <v>0</v>
      </c>
      <c r="I235" s="19">
        <f>IF(装备!J171=0,0,"'"&amp;装备!J171&amp;"'")</f>
        <v>0</v>
      </c>
      <c r="J235" s="19">
        <f>IF(装备!K171=0,0,"'"&amp;装备!K171&amp;"'")</f>
        <v>0</v>
      </c>
      <c r="K235" s="19">
        <f>IF(装备!L171=0,0,"'"&amp;装备!L171&amp;"'")</f>
        <v>0</v>
      </c>
      <c r="L235" s="19">
        <f>IF(装备!M171=0,0,"'"&amp;装备!M171&amp;"'")</f>
        <v>0</v>
      </c>
      <c r="M235" s="19">
        <f>IF(装备!N171=0,0,"'"&amp;装备!N171&amp;"'")</f>
        <v>0</v>
      </c>
      <c r="N235" s="19">
        <f>IF(装备!O171=0,0,"'"&amp;装备!O171&amp;"'")</f>
        <v>0</v>
      </c>
      <c r="O235" s="19" t="str">
        <f t="shared" si="72"/>
        <v/>
      </c>
      <c r="P235" s="19" t="str">
        <f t="shared" si="71"/>
        <v/>
      </c>
      <c r="Q235" s="23" t="str">
        <f>IFERROR(VLOOKUP(C235,装备!$B:$E,3,FALSE),"")</f>
        <v/>
      </c>
      <c r="R235" s="23" t="str">
        <f>IFERROR(VLOOKUP(D235,装备!$B:$E,3,FALSE),"")</f>
        <v/>
      </c>
      <c r="S235" s="23" t="str">
        <f>IFERROR(VLOOKUP(E235,装备!$B:$E,3,FALSE),"")</f>
        <v/>
      </c>
      <c r="T235" s="23" t="str">
        <f>IFERROR(VLOOKUP(F235,装备!$B:$E,3,FALSE),"")</f>
        <v/>
      </c>
      <c r="U235" s="23" t="str">
        <f>IFERROR(VLOOKUP(G235,装备!$B:$E,3,FALSE),"")</f>
        <v/>
      </c>
      <c r="V235" s="23" t="str">
        <f>IFERROR(VLOOKUP(H235,装备!$B:$E,3,FALSE),"")</f>
        <v/>
      </c>
      <c r="W235" s="18" t="str">
        <f t="shared" si="73"/>
        <v/>
      </c>
      <c r="X235" s="18" t="str">
        <f t="shared" si="74"/>
        <v/>
      </c>
      <c r="Y235" s="18" t="str">
        <f t="shared" si="75"/>
        <v/>
      </c>
      <c r="Z235" s="18" t="str">
        <f t="shared" si="76"/>
        <v/>
      </c>
      <c r="AA235" s="18" t="str">
        <f t="shared" si="77"/>
        <v/>
      </c>
      <c r="AB235" s="18" t="str">
        <f t="shared" si="78"/>
        <v>|n=0</v>
      </c>
    </row>
    <row r="236" spans="1:28">
      <c r="A236" s="19">
        <f>装备!A172</f>
        <v>0</v>
      </c>
      <c r="B236" s="19" t="str">
        <f>"'"&amp;装备!B172&amp;"'"</f>
        <v>''</v>
      </c>
      <c r="C236" s="19">
        <f>装备!J172</f>
        <v>0</v>
      </c>
      <c r="D236" s="19">
        <f>装备!K172</f>
        <v>0</v>
      </c>
      <c r="E236" s="19">
        <f>装备!L172</f>
        <v>0</v>
      </c>
      <c r="F236" s="19">
        <f>装备!M172</f>
        <v>0</v>
      </c>
      <c r="G236" s="19">
        <f>装备!N172</f>
        <v>0</v>
      </c>
      <c r="H236" s="19">
        <f>装备!O172</f>
        <v>0</v>
      </c>
      <c r="I236" s="19">
        <f>IF(装备!J172=0,0,"'"&amp;装备!J172&amp;"'")</f>
        <v>0</v>
      </c>
      <c r="J236" s="19">
        <f>IF(装备!K172=0,0,"'"&amp;装备!K172&amp;"'")</f>
        <v>0</v>
      </c>
      <c r="K236" s="19">
        <f>IF(装备!L172=0,0,"'"&amp;装备!L172&amp;"'")</f>
        <v>0</v>
      </c>
      <c r="L236" s="19">
        <f>IF(装备!M172=0,0,"'"&amp;装备!M172&amp;"'")</f>
        <v>0</v>
      </c>
      <c r="M236" s="19">
        <f>IF(装备!N172=0,0,"'"&amp;装备!N172&amp;"'")</f>
        <v>0</v>
      </c>
      <c r="N236" s="19">
        <f>IF(装备!O172=0,0,"'"&amp;装备!O172&amp;"'")</f>
        <v>0</v>
      </c>
      <c r="O236" s="19" t="str">
        <f t="shared" si="72"/>
        <v/>
      </c>
      <c r="P236" s="19" t="str">
        <f t="shared" si="71"/>
        <v/>
      </c>
      <c r="Q236" s="23" t="str">
        <f>IFERROR(VLOOKUP(C236,装备!$B:$E,3,FALSE),"")</f>
        <v/>
      </c>
      <c r="R236" s="23" t="str">
        <f>IFERROR(VLOOKUP(D236,装备!$B:$E,3,FALSE),"")</f>
        <v/>
      </c>
      <c r="S236" s="23" t="str">
        <f>IFERROR(VLOOKUP(E236,装备!$B:$E,3,FALSE),"")</f>
        <v/>
      </c>
      <c r="T236" s="23" t="str">
        <f>IFERROR(VLOOKUP(F236,装备!$B:$E,3,FALSE),"")</f>
        <v/>
      </c>
      <c r="U236" s="23" t="str">
        <f>IFERROR(VLOOKUP(G236,装备!$B:$E,3,FALSE),"")</f>
        <v/>
      </c>
      <c r="V236" s="23" t="str">
        <f>IFERROR(VLOOKUP(H236,装备!$B:$E,3,FALSE),"")</f>
        <v/>
      </c>
      <c r="W236" s="18" t="str">
        <f t="shared" si="73"/>
        <v/>
      </c>
      <c r="X236" s="18" t="str">
        <f t="shared" si="74"/>
        <v/>
      </c>
      <c r="Y236" s="18" t="str">
        <f t="shared" si="75"/>
        <v/>
      </c>
      <c r="Z236" s="18" t="str">
        <f t="shared" si="76"/>
        <v/>
      </c>
      <c r="AA236" s="18" t="str">
        <f t="shared" si="77"/>
        <v/>
      </c>
      <c r="AB236" s="18" t="str">
        <f t="shared" si="78"/>
        <v>|n=0</v>
      </c>
    </row>
    <row r="237" spans="1:28">
      <c r="A237" s="19">
        <f>装备!A173</f>
        <v>0</v>
      </c>
      <c r="B237" s="19" t="str">
        <f>"'"&amp;装备!B173&amp;"'"</f>
        <v>''</v>
      </c>
      <c r="C237" s="19">
        <f>装备!J173</f>
        <v>0</v>
      </c>
      <c r="D237" s="19">
        <f>装备!K173</f>
        <v>0</v>
      </c>
      <c r="E237" s="19">
        <f>装备!L173</f>
        <v>0</v>
      </c>
      <c r="F237" s="19">
        <f>装备!M173</f>
        <v>0</v>
      </c>
      <c r="G237" s="19">
        <f>装备!N173</f>
        <v>0</v>
      </c>
      <c r="H237" s="19">
        <f>装备!O173</f>
        <v>0</v>
      </c>
      <c r="I237" s="19">
        <f>IF(装备!J173=0,0,"'"&amp;装备!J173&amp;"'")</f>
        <v>0</v>
      </c>
      <c r="J237" s="19">
        <f>IF(装备!K173=0,0,"'"&amp;装备!K173&amp;"'")</f>
        <v>0</v>
      </c>
      <c r="K237" s="19">
        <f>IF(装备!L173=0,0,"'"&amp;装备!L173&amp;"'")</f>
        <v>0</v>
      </c>
      <c r="L237" s="19">
        <f>IF(装备!M173=0,0,"'"&amp;装备!M173&amp;"'")</f>
        <v>0</v>
      </c>
      <c r="M237" s="19">
        <f>IF(装备!N173=0,0,"'"&amp;装备!N173&amp;"'")</f>
        <v>0</v>
      </c>
      <c r="N237" s="19">
        <f>IF(装备!O173=0,0,"'"&amp;装备!O173&amp;"'")</f>
        <v>0</v>
      </c>
      <c r="O237" s="19" t="str">
        <f t="shared" si="72"/>
        <v/>
      </c>
      <c r="P237" s="19" t="str">
        <f t="shared" si="71"/>
        <v/>
      </c>
      <c r="Q237" s="23" t="str">
        <f>IFERROR(VLOOKUP(C237,装备!$B:$E,3,FALSE),"")</f>
        <v/>
      </c>
      <c r="R237" s="23" t="str">
        <f>IFERROR(VLOOKUP(D237,装备!$B:$E,3,FALSE),"")</f>
        <v/>
      </c>
      <c r="S237" s="23" t="str">
        <f>IFERROR(VLOOKUP(E237,装备!$B:$E,3,FALSE),"")</f>
        <v/>
      </c>
      <c r="T237" s="23" t="str">
        <f>IFERROR(VLOOKUP(F237,装备!$B:$E,3,FALSE),"")</f>
        <v/>
      </c>
      <c r="U237" s="23" t="str">
        <f>IFERROR(VLOOKUP(G237,装备!$B:$E,3,FALSE),"")</f>
        <v/>
      </c>
      <c r="V237" s="23" t="str">
        <f>IFERROR(VLOOKUP(H237,装备!$B:$E,3,FALSE),"")</f>
        <v/>
      </c>
      <c r="W237" s="18" t="str">
        <f t="shared" si="73"/>
        <v/>
      </c>
      <c r="X237" s="18" t="str">
        <f t="shared" si="74"/>
        <v/>
      </c>
      <c r="Y237" s="18" t="str">
        <f t="shared" si="75"/>
        <v/>
      </c>
      <c r="Z237" s="18" t="str">
        <f t="shared" si="76"/>
        <v/>
      </c>
      <c r="AA237" s="18" t="str">
        <f t="shared" si="77"/>
        <v/>
      </c>
      <c r="AB237" s="18" t="str">
        <f t="shared" si="78"/>
        <v>|n=0</v>
      </c>
    </row>
    <row r="238" spans="1:28">
      <c r="A238" s="19">
        <f>装备!A174</f>
        <v>0</v>
      </c>
      <c r="B238" s="19" t="str">
        <f>"'"&amp;装备!B174&amp;"'"</f>
        <v>''</v>
      </c>
      <c r="C238" s="19">
        <f>装备!J174</f>
        <v>0</v>
      </c>
      <c r="D238" s="19">
        <f>装备!K174</f>
        <v>0</v>
      </c>
      <c r="E238" s="19">
        <f>装备!L174</f>
        <v>0</v>
      </c>
      <c r="F238" s="19">
        <f>装备!M174</f>
        <v>0</v>
      </c>
      <c r="G238" s="19">
        <f>装备!N174</f>
        <v>0</v>
      </c>
      <c r="H238" s="19">
        <f>装备!O174</f>
        <v>0</v>
      </c>
      <c r="I238" s="19">
        <f>IF(装备!J174=0,0,"'"&amp;装备!J174&amp;"'")</f>
        <v>0</v>
      </c>
      <c r="J238" s="19">
        <f>IF(装备!K174=0,0,"'"&amp;装备!K174&amp;"'")</f>
        <v>0</v>
      </c>
      <c r="K238" s="19">
        <f>IF(装备!L174=0,0,"'"&amp;装备!L174&amp;"'")</f>
        <v>0</v>
      </c>
      <c r="L238" s="19">
        <f>IF(装备!M174=0,0,"'"&amp;装备!M174&amp;"'")</f>
        <v>0</v>
      </c>
      <c r="M238" s="19">
        <f>IF(装备!N174=0,0,"'"&amp;装备!N174&amp;"'")</f>
        <v>0</v>
      </c>
      <c r="N238" s="19">
        <f>IF(装备!O174=0,0,"'"&amp;装备!O174&amp;"'")</f>
        <v>0</v>
      </c>
      <c r="O238" s="19" t="str">
        <f t="shared" si="72"/>
        <v/>
      </c>
      <c r="P238" s="19" t="str">
        <f t="shared" si="71"/>
        <v/>
      </c>
      <c r="Q238" s="23" t="str">
        <f>IFERROR(VLOOKUP(C238,装备!$B:$E,3,FALSE),"")</f>
        <v/>
      </c>
      <c r="R238" s="23" t="str">
        <f>IFERROR(VLOOKUP(D238,装备!$B:$E,3,FALSE),"")</f>
        <v/>
      </c>
      <c r="S238" s="23" t="str">
        <f>IFERROR(VLOOKUP(E238,装备!$B:$E,3,FALSE),"")</f>
        <v/>
      </c>
      <c r="T238" s="23" t="str">
        <f>IFERROR(VLOOKUP(F238,装备!$B:$E,3,FALSE),"")</f>
        <v/>
      </c>
      <c r="U238" s="23" t="str">
        <f>IFERROR(VLOOKUP(G238,装备!$B:$E,3,FALSE),"")</f>
        <v/>
      </c>
      <c r="V238" s="23" t="str">
        <f>IFERROR(VLOOKUP(H238,装备!$B:$E,3,FALSE),"")</f>
        <v/>
      </c>
      <c r="W238" s="18" t="str">
        <f t="shared" si="73"/>
        <v/>
      </c>
      <c r="X238" s="18" t="str">
        <f t="shared" si="74"/>
        <v/>
      </c>
      <c r="Y238" s="18" t="str">
        <f t="shared" si="75"/>
        <v/>
      </c>
      <c r="Z238" s="18" t="str">
        <f t="shared" si="76"/>
        <v/>
      </c>
      <c r="AA238" s="18" t="str">
        <f t="shared" si="77"/>
        <v/>
      </c>
      <c r="AB238" s="18" t="str">
        <f t="shared" si="78"/>
        <v>|n=0</v>
      </c>
    </row>
    <row r="239" spans="1:28">
      <c r="A239" s="19">
        <f>装备!A175</f>
        <v>0</v>
      </c>
      <c r="B239" s="19" t="str">
        <f>"'"&amp;装备!B175&amp;"'"</f>
        <v>''</v>
      </c>
      <c r="C239" s="19">
        <f>装备!J175</f>
        <v>0</v>
      </c>
      <c r="D239" s="19">
        <f>装备!K175</f>
        <v>0</v>
      </c>
      <c r="E239" s="19">
        <f>装备!L175</f>
        <v>0</v>
      </c>
      <c r="F239" s="19">
        <f>装备!M175</f>
        <v>0</v>
      </c>
      <c r="G239" s="19">
        <f>装备!N175</f>
        <v>0</v>
      </c>
      <c r="H239" s="19">
        <f>装备!O175</f>
        <v>0</v>
      </c>
      <c r="I239" s="19">
        <f>IF(装备!J175=0,0,"'"&amp;装备!J175&amp;"'")</f>
        <v>0</v>
      </c>
      <c r="J239" s="19">
        <f>IF(装备!K175=0,0,"'"&amp;装备!K175&amp;"'")</f>
        <v>0</v>
      </c>
      <c r="K239" s="19">
        <f>IF(装备!L175=0,0,"'"&amp;装备!L175&amp;"'")</f>
        <v>0</v>
      </c>
      <c r="L239" s="19">
        <f>IF(装备!M175=0,0,"'"&amp;装备!M175&amp;"'")</f>
        <v>0</v>
      </c>
      <c r="M239" s="19">
        <f>IF(装备!N175=0,0,"'"&amp;装备!N175&amp;"'")</f>
        <v>0</v>
      </c>
      <c r="N239" s="19">
        <f>IF(装备!O175=0,0,"'"&amp;装备!O175&amp;"'")</f>
        <v>0</v>
      </c>
      <c r="O239" s="19" t="str">
        <f t="shared" si="72"/>
        <v/>
      </c>
      <c r="P239" s="19" t="str">
        <f t="shared" si="71"/>
        <v/>
      </c>
      <c r="Q239" s="23" t="str">
        <f>IFERROR(VLOOKUP(C239,装备!$B:$E,3,FALSE),"")</f>
        <v/>
      </c>
      <c r="R239" s="23" t="str">
        <f>IFERROR(VLOOKUP(D239,装备!$B:$E,3,FALSE),"")</f>
        <v/>
      </c>
      <c r="S239" s="23" t="str">
        <f>IFERROR(VLOOKUP(E239,装备!$B:$E,3,FALSE),"")</f>
        <v/>
      </c>
      <c r="T239" s="23" t="str">
        <f>IFERROR(VLOOKUP(F239,装备!$B:$E,3,FALSE),"")</f>
        <v/>
      </c>
      <c r="U239" s="23" t="str">
        <f>IFERROR(VLOOKUP(G239,装备!$B:$E,3,FALSE),"")</f>
        <v/>
      </c>
      <c r="V239" s="23" t="str">
        <f>IFERROR(VLOOKUP(H239,装备!$B:$E,3,FALSE),"")</f>
        <v/>
      </c>
      <c r="W239" s="18" t="str">
        <f t="shared" si="73"/>
        <v/>
      </c>
      <c r="X239" s="18" t="str">
        <f t="shared" si="74"/>
        <v/>
      </c>
      <c r="Y239" s="18" t="str">
        <f t="shared" si="75"/>
        <v/>
      </c>
      <c r="Z239" s="18" t="str">
        <f t="shared" si="76"/>
        <v/>
      </c>
      <c r="AA239" s="18" t="str">
        <f t="shared" si="77"/>
        <v/>
      </c>
      <c r="AB239" s="18" t="str">
        <f t="shared" si="78"/>
        <v>|n=0</v>
      </c>
    </row>
    <row r="240" spans="1:28">
      <c r="A240" s="19">
        <f>装备!A176</f>
        <v>0</v>
      </c>
      <c r="B240" s="19" t="str">
        <f>"'"&amp;装备!B176&amp;"'"</f>
        <v>''</v>
      </c>
      <c r="C240" s="19">
        <f>装备!J176</f>
        <v>0</v>
      </c>
      <c r="D240" s="19">
        <f>装备!K176</f>
        <v>0</v>
      </c>
      <c r="E240" s="19">
        <f>装备!L176</f>
        <v>0</v>
      </c>
      <c r="F240" s="19">
        <f>装备!M176</f>
        <v>0</v>
      </c>
      <c r="G240" s="19">
        <f>装备!N176</f>
        <v>0</v>
      </c>
      <c r="H240" s="19">
        <f>装备!O176</f>
        <v>0</v>
      </c>
      <c r="I240" s="19">
        <f>IF(装备!J176=0,0,"'"&amp;装备!J176&amp;"'")</f>
        <v>0</v>
      </c>
      <c r="J240" s="19">
        <f>IF(装备!K176=0,0,"'"&amp;装备!K176&amp;"'")</f>
        <v>0</v>
      </c>
      <c r="K240" s="19">
        <f>IF(装备!L176=0,0,"'"&amp;装备!L176&amp;"'")</f>
        <v>0</v>
      </c>
      <c r="L240" s="19">
        <f>IF(装备!M176=0,0,"'"&amp;装备!M176&amp;"'")</f>
        <v>0</v>
      </c>
      <c r="M240" s="19">
        <f>IF(装备!N176=0,0,"'"&amp;装备!N176&amp;"'")</f>
        <v>0</v>
      </c>
      <c r="N240" s="19">
        <f>IF(装备!O176=0,0,"'"&amp;装备!O176&amp;"'")</f>
        <v>0</v>
      </c>
      <c r="O240" s="19" t="str">
        <f t="shared" si="72"/>
        <v/>
      </c>
      <c r="P240" s="19" t="str">
        <f t="shared" si="71"/>
        <v/>
      </c>
      <c r="Q240" s="23" t="str">
        <f>IFERROR(VLOOKUP(C240,装备!$B:$E,3,FALSE),"")</f>
        <v/>
      </c>
      <c r="R240" s="23" t="str">
        <f>IFERROR(VLOOKUP(D240,装备!$B:$E,3,FALSE),"")</f>
        <v/>
      </c>
      <c r="S240" s="23" t="str">
        <f>IFERROR(VLOOKUP(E240,装备!$B:$E,3,FALSE),"")</f>
        <v/>
      </c>
      <c r="T240" s="23" t="str">
        <f>IFERROR(VLOOKUP(F240,装备!$B:$E,3,FALSE),"")</f>
        <v/>
      </c>
      <c r="U240" s="23" t="str">
        <f>IFERROR(VLOOKUP(G240,装备!$B:$E,3,FALSE),"")</f>
        <v/>
      </c>
      <c r="V240" s="23" t="str">
        <f>IFERROR(VLOOKUP(H240,装备!$B:$E,3,FALSE),"")</f>
        <v/>
      </c>
      <c r="W240" s="18" t="str">
        <f t="shared" si="73"/>
        <v/>
      </c>
      <c r="X240" s="18" t="str">
        <f t="shared" si="74"/>
        <v/>
      </c>
      <c r="Y240" s="18" t="str">
        <f t="shared" si="75"/>
        <v/>
      </c>
      <c r="Z240" s="18" t="str">
        <f t="shared" si="76"/>
        <v/>
      </c>
      <c r="AA240" s="18" t="str">
        <f t="shared" si="77"/>
        <v/>
      </c>
      <c r="AB240" s="18" t="str">
        <f t="shared" si="78"/>
        <v>|n=0</v>
      </c>
    </row>
    <row r="241" spans="1:28">
      <c r="A241" s="19">
        <f>装备!A177</f>
        <v>0</v>
      </c>
      <c r="B241" s="19" t="str">
        <f>"'"&amp;装备!B177&amp;"'"</f>
        <v>''</v>
      </c>
      <c r="C241" s="19">
        <f>装备!J177</f>
        <v>0</v>
      </c>
      <c r="D241" s="19">
        <f>装备!K177</f>
        <v>0</v>
      </c>
      <c r="E241" s="19">
        <f>装备!L177</f>
        <v>0</v>
      </c>
      <c r="F241" s="19">
        <f>装备!M177</f>
        <v>0</v>
      </c>
      <c r="G241" s="19">
        <f>装备!N177</f>
        <v>0</v>
      </c>
      <c r="H241" s="19">
        <f>装备!O177</f>
        <v>0</v>
      </c>
      <c r="I241" s="19">
        <f>IF(装备!J177=0,0,"'"&amp;装备!J177&amp;"'")</f>
        <v>0</v>
      </c>
      <c r="J241" s="19">
        <f>IF(装备!K177=0,0,"'"&amp;装备!K177&amp;"'")</f>
        <v>0</v>
      </c>
      <c r="K241" s="19">
        <f>IF(装备!L177=0,0,"'"&amp;装备!L177&amp;"'")</f>
        <v>0</v>
      </c>
      <c r="L241" s="19">
        <f>IF(装备!M177=0,0,"'"&amp;装备!M177&amp;"'")</f>
        <v>0</v>
      </c>
      <c r="M241" s="19">
        <f>IF(装备!N177=0,0,"'"&amp;装备!N177&amp;"'")</f>
        <v>0</v>
      </c>
      <c r="N241" s="19">
        <f>IF(装备!O177=0,0,"'"&amp;装备!O177&amp;"'")</f>
        <v>0</v>
      </c>
      <c r="O241" s="19" t="str">
        <f t="shared" si="72"/>
        <v/>
      </c>
      <c r="P241" s="19" t="str">
        <f t="shared" si="71"/>
        <v/>
      </c>
      <c r="Q241" s="23" t="str">
        <f>IFERROR(VLOOKUP(C241,装备!$B:$E,3,FALSE),"")</f>
        <v/>
      </c>
      <c r="R241" s="23" t="str">
        <f>IFERROR(VLOOKUP(D241,装备!$B:$E,3,FALSE),"")</f>
        <v/>
      </c>
      <c r="S241" s="23" t="str">
        <f>IFERROR(VLOOKUP(E241,装备!$B:$E,3,FALSE),"")</f>
        <v/>
      </c>
      <c r="T241" s="23" t="str">
        <f>IFERROR(VLOOKUP(F241,装备!$B:$E,3,FALSE),"")</f>
        <v/>
      </c>
      <c r="U241" s="23" t="str">
        <f>IFERROR(VLOOKUP(G241,装备!$B:$E,3,FALSE),"")</f>
        <v/>
      </c>
      <c r="V241" s="23" t="str">
        <f>IFERROR(VLOOKUP(H241,装备!$B:$E,3,FALSE),"")</f>
        <v/>
      </c>
      <c r="W241" s="18" t="str">
        <f t="shared" si="73"/>
        <v/>
      </c>
      <c r="X241" s="18" t="str">
        <f t="shared" si="74"/>
        <v/>
      </c>
      <c r="Y241" s="18" t="str">
        <f t="shared" si="75"/>
        <v/>
      </c>
      <c r="Z241" s="18" t="str">
        <f t="shared" si="76"/>
        <v/>
      </c>
      <c r="AA241" s="18" t="str">
        <f t="shared" si="77"/>
        <v/>
      </c>
      <c r="AB241" s="18" t="str">
        <f t="shared" si="78"/>
        <v>|n=0</v>
      </c>
    </row>
    <row r="242" spans="1:28">
      <c r="A242" s="19">
        <f>装备!A178</f>
        <v>0</v>
      </c>
      <c r="B242" s="19" t="str">
        <f>"'"&amp;装备!B178&amp;"'"</f>
        <v>''</v>
      </c>
      <c r="C242" s="19">
        <f>装备!J178</f>
        <v>0</v>
      </c>
      <c r="D242" s="19">
        <f>装备!K178</f>
        <v>0</v>
      </c>
      <c r="E242" s="19">
        <f>装备!L178</f>
        <v>0</v>
      </c>
      <c r="F242" s="19">
        <f>装备!M178</f>
        <v>0</v>
      </c>
      <c r="G242" s="19">
        <f>装备!N178</f>
        <v>0</v>
      </c>
      <c r="H242" s="19">
        <f>装备!O178</f>
        <v>0</v>
      </c>
      <c r="I242" s="19">
        <f>IF(装备!J178=0,0,"'"&amp;装备!J178&amp;"'")</f>
        <v>0</v>
      </c>
      <c r="J242" s="19">
        <f>IF(装备!K178=0,0,"'"&amp;装备!K178&amp;"'")</f>
        <v>0</v>
      </c>
      <c r="K242" s="19">
        <f>IF(装备!L178=0,0,"'"&amp;装备!L178&amp;"'")</f>
        <v>0</v>
      </c>
      <c r="L242" s="19">
        <f>IF(装备!M178=0,0,"'"&amp;装备!M178&amp;"'")</f>
        <v>0</v>
      </c>
      <c r="M242" s="19">
        <f>IF(装备!N178=0,0,"'"&amp;装备!N178&amp;"'")</f>
        <v>0</v>
      </c>
      <c r="N242" s="19">
        <f>IF(装备!O178=0,0,"'"&amp;装备!O178&amp;"'")</f>
        <v>0</v>
      </c>
      <c r="O242" s="19" t="str">
        <f t="shared" si="72"/>
        <v/>
      </c>
      <c r="P242" s="19" t="str">
        <f t="shared" si="71"/>
        <v/>
      </c>
      <c r="Q242" s="23" t="str">
        <f>IFERROR(VLOOKUP(C242,装备!$B:$E,3,FALSE),"")</f>
        <v/>
      </c>
      <c r="R242" s="23" t="str">
        <f>IFERROR(VLOOKUP(D242,装备!$B:$E,3,FALSE),"")</f>
        <v/>
      </c>
      <c r="S242" s="23" t="str">
        <f>IFERROR(VLOOKUP(E242,装备!$B:$E,3,FALSE),"")</f>
        <v/>
      </c>
      <c r="T242" s="23" t="str">
        <f>IFERROR(VLOOKUP(F242,装备!$B:$E,3,FALSE),"")</f>
        <v/>
      </c>
      <c r="U242" s="23" t="str">
        <f>IFERROR(VLOOKUP(G242,装备!$B:$E,3,FALSE),"")</f>
        <v/>
      </c>
      <c r="V242" s="23" t="str">
        <f>IFERROR(VLOOKUP(H242,装备!$B:$E,3,FALSE),"")</f>
        <v/>
      </c>
      <c r="W242" s="18" t="str">
        <f t="shared" si="73"/>
        <v/>
      </c>
      <c r="X242" s="18" t="str">
        <f t="shared" si="74"/>
        <v/>
      </c>
      <c r="Y242" s="18" t="str">
        <f t="shared" si="75"/>
        <v/>
      </c>
      <c r="Z242" s="18" t="str">
        <f t="shared" si="76"/>
        <v/>
      </c>
      <c r="AA242" s="18" t="str">
        <f t="shared" si="77"/>
        <v/>
      </c>
      <c r="AB242" s="18" t="str">
        <f t="shared" si="78"/>
        <v>|n=0</v>
      </c>
    </row>
    <row r="243" spans="1:28">
      <c r="A243" s="19">
        <f>装备!A179</f>
        <v>0</v>
      </c>
      <c r="B243" s="19" t="str">
        <f>"'"&amp;装备!B179&amp;"'"</f>
        <v>''</v>
      </c>
      <c r="C243" s="19">
        <f>装备!J179</f>
        <v>0</v>
      </c>
      <c r="D243" s="19">
        <f>装备!K179</f>
        <v>0</v>
      </c>
      <c r="E243" s="19">
        <f>装备!L179</f>
        <v>0</v>
      </c>
      <c r="F243" s="19">
        <f>装备!M179</f>
        <v>0</v>
      </c>
      <c r="G243" s="19">
        <f>装备!N179</f>
        <v>0</v>
      </c>
      <c r="H243" s="19">
        <f>装备!O179</f>
        <v>0</v>
      </c>
      <c r="I243" s="19">
        <f>IF(装备!J179=0,0,"'"&amp;装备!J179&amp;"'")</f>
        <v>0</v>
      </c>
      <c r="J243" s="19">
        <f>IF(装备!K179=0,0,"'"&amp;装备!K179&amp;"'")</f>
        <v>0</v>
      </c>
      <c r="K243" s="19">
        <f>IF(装备!L179=0,0,"'"&amp;装备!L179&amp;"'")</f>
        <v>0</v>
      </c>
      <c r="L243" s="19">
        <f>IF(装备!M179=0,0,"'"&amp;装备!M179&amp;"'")</f>
        <v>0</v>
      </c>
      <c r="M243" s="19">
        <f>IF(装备!N179=0,0,"'"&amp;装备!N179&amp;"'")</f>
        <v>0</v>
      </c>
      <c r="N243" s="19">
        <f>IF(装备!O179=0,0,"'"&amp;装备!O179&amp;"'")</f>
        <v>0</v>
      </c>
      <c r="O243" s="19" t="str">
        <f t="shared" si="72"/>
        <v/>
      </c>
      <c r="P243" s="19" t="str">
        <f t="shared" si="71"/>
        <v/>
      </c>
      <c r="Q243" s="23" t="str">
        <f>IFERROR(VLOOKUP(C243,装备!$B:$E,3,FALSE),"")</f>
        <v/>
      </c>
      <c r="R243" s="23" t="str">
        <f>IFERROR(VLOOKUP(D243,装备!$B:$E,3,FALSE),"")</f>
        <v/>
      </c>
      <c r="S243" s="23" t="str">
        <f>IFERROR(VLOOKUP(E243,装备!$B:$E,3,FALSE),"")</f>
        <v/>
      </c>
      <c r="T243" s="23" t="str">
        <f>IFERROR(VLOOKUP(F243,装备!$B:$E,3,FALSE),"")</f>
        <v/>
      </c>
      <c r="U243" s="23" t="str">
        <f>IFERROR(VLOOKUP(G243,装备!$B:$E,3,FALSE),"")</f>
        <v/>
      </c>
      <c r="V243" s="23" t="str">
        <f>IFERROR(VLOOKUP(H243,装备!$B:$E,3,FALSE),"")</f>
        <v/>
      </c>
      <c r="W243" s="18" t="str">
        <f t="shared" si="73"/>
        <v/>
      </c>
      <c r="X243" s="18" t="str">
        <f t="shared" si="74"/>
        <v/>
      </c>
      <c r="Y243" s="18" t="str">
        <f t="shared" si="75"/>
        <v/>
      </c>
      <c r="Z243" s="18" t="str">
        <f t="shared" si="76"/>
        <v/>
      </c>
      <c r="AA243" s="18" t="str">
        <f t="shared" si="77"/>
        <v/>
      </c>
      <c r="AB243" s="18" t="str">
        <f t="shared" si="78"/>
        <v>|n=0</v>
      </c>
    </row>
    <row r="244" spans="1:28">
      <c r="A244" s="19">
        <f>装备!A180</f>
        <v>0</v>
      </c>
      <c r="B244" s="19" t="str">
        <f>"'"&amp;装备!B180&amp;"'"</f>
        <v>''</v>
      </c>
      <c r="C244" s="19">
        <f>装备!J180</f>
        <v>0</v>
      </c>
      <c r="D244" s="19">
        <f>装备!K180</f>
        <v>0</v>
      </c>
      <c r="E244" s="19">
        <f>装备!L180</f>
        <v>0</v>
      </c>
      <c r="F244" s="19">
        <f>装备!M180</f>
        <v>0</v>
      </c>
      <c r="G244" s="19">
        <f>装备!N180</f>
        <v>0</v>
      </c>
      <c r="H244" s="19">
        <f>装备!O180</f>
        <v>0</v>
      </c>
      <c r="I244" s="19">
        <f>IF(装备!J180=0,0,"'"&amp;装备!J180&amp;"'")</f>
        <v>0</v>
      </c>
      <c r="J244" s="19">
        <f>IF(装备!K180=0,0,"'"&amp;装备!K180&amp;"'")</f>
        <v>0</v>
      </c>
      <c r="K244" s="19">
        <f>IF(装备!L180=0,0,"'"&amp;装备!L180&amp;"'")</f>
        <v>0</v>
      </c>
      <c r="L244" s="19">
        <f>IF(装备!M180=0,0,"'"&amp;装备!M180&amp;"'")</f>
        <v>0</v>
      </c>
      <c r="M244" s="19">
        <f>IF(装备!N180=0,0,"'"&amp;装备!N180&amp;"'")</f>
        <v>0</v>
      </c>
      <c r="N244" s="19">
        <f>IF(装备!O180=0,0,"'"&amp;装备!O180&amp;"'")</f>
        <v>0</v>
      </c>
      <c r="O244" s="19" t="str">
        <f t="shared" si="72"/>
        <v/>
      </c>
      <c r="P244" s="19" t="str">
        <f t="shared" si="71"/>
        <v/>
      </c>
      <c r="Q244" s="23" t="str">
        <f>IFERROR(VLOOKUP(C244,装备!$B:$E,3,FALSE),"")</f>
        <v/>
      </c>
      <c r="R244" s="23" t="str">
        <f>IFERROR(VLOOKUP(D244,装备!$B:$E,3,FALSE),"")</f>
        <v/>
      </c>
      <c r="S244" s="23" t="str">
        <f>IFERROR(VLOOKUP(E244,装备!$B:$E,3,FALSE),"")</f>
        <v/>
      </c>
      <c r="T244" s="23" t="str">
        <f>IFERROR(VLOOKUP(F244,装备!$B:$E,3,FALSE),"")</f>
        <v/>
      </c>
      <c r="U244" s="23" t="str">
        <f>IFERROR(VLOOKUP(G244,装备!$B:$E,3,FALSE),"")</f>
        <v/>
      </c>
      <c r="V244" s="23" t="str">
        <f>IFERROR(VLOOKUP(H244,装备!$B:$E,3,FALSE),"")</f>
        <v/>
      </c>
      <c r="W244" s="18" t="str">
        <f t="shared" si="73"/>
        <v/>
      </c>
      <c r="X244" s="18" t="str">
        <f t="shared" si="74"/>
        <v/>
      </c>
      <c r="Y244" s="18" t="str">
        <f t="shared" si="75"/>
        <v/>
      </c>
      <c r="Z244" s="18" t="str">
        <f t="shared" si="76"/>
        <v/>
      </c>
      <c r="AA244" s="18" t="str">
        <f t="shared" si="77"/>
        <v/>
      </c>
      <c r="AB244" s="18" t="str">
        <f t="shared" si="78"/>
        <v>|n=0</v>
      </c>
    </row>
    <row r="245" spans="1:28">
      <c r="A245" s="19">
        <f>装备!A181</f>
        <v>0</v>
      </c>
      <c r="B245" s="19" t="str">
        <f>"'"&amp;装备!B181&amp;"'"</f>
        <v>''</v>
      </c>
      <c r="C245" s="19">
        <f>装备!J181</f>
        <v>0</v>
      </c>
      <c r="D245" s="19">
        <f>装备!K181</f>
        <v>0</v>
      </c>
      <c r="E245" s="19">
        <f>装备!L181</f>
        <v>0</v>
      </c>
      <c r="F245" s="19">
        <f>装备!M181</f>
        <v>0</v>
      </c>
      <c r="G245" s="19">
        <f>装备!N181</f>
        <v>0</v>
      </c>
      <c r="H245" s="19">
        <f>装备!O181</f>
        <v>0</v>
      </c>
      <c r="I245" s="19">
        <f>IF(装备!J181=0,0,"'"&amp;装备!J181&amp;"'")</f>
        <v>0</v>
      </c>
      <c r="J245" s="19">
        <f>IF(装备!K181=0,0,"'"&amp;装备!K181&amp;"'")</f>
        <v>0</v>
      </c>
      <c r="K245" s="19">
        <f>IF(装备!L181=0,0,"'"&amp;装备!L181&amp;"'")</f>
        <v>0</v>
      </c>
      <c r="L245" s="19">
        <f>IF(装备!M181=0,0,"'"&amp;装备!M181&amp;"'")</f>
        <v>0</v>
      </c>
      <c r="M245" s="19">
        <f>IF(装备!N181=0,0,"'"&amp;装备!N181&amp;"'")</f>
        <v>0</v>
      </c>
      <c r="N245" s="19">
        <f>IF(装备!O181=0,0,"'"&amp;装备!O181&amp;"'")</f>
        <v>0</v>
      </c>
      <c r="O245" s="19" t="str">
        <f t="shared" ref="O245:O258" si="79">IF(I245=0,"","AddItemFormula("&amp;I245&amp;","&amp;J245&amp;","&amp;K245&amp;","&amp;L245&amp;","&amp;M245&amp;","&amp;N245&amp;","&amp;B245&amp;")")</f>
        <v/>
      </c>
      <c r="P245" s="19" t="str">
        <f t="shared" si="71"/>
        <v/>
      </c>
      <c r="Q245" s="23" t="str">
        <f>IFERROR(VLOOKUP(C245,装备!$B:$E,3,FALSE),"")</f>
        <v/>
      </c>
      <c r="R245" s="23" t="str">
        <f>IFERROR(VLOOKUP(D245,装备!$B:$E,3,FALSE),"")</f>
        <v/>
      </c>
      <c r="S245" s="23" t="str">
        <f>IFERROR(VLOOKUP(E245,装备!$B:$E,3,FALSE),"")</f>
        <v/>
      </c>
      <c r="T245" s="23" t="str">
        <f>IFERROR(VLOOKUP(F245,装备!$B:$E,3,FALSE),"")</f>
        <v/>
      </c>
      <c r="U245" s="23" t="str">
        <f>IFERROR(VLOOKUP(G245,装备!$B:$E,3,FALSE),"")</f>
        <v/>
      </c>
      <c r="V245" s="23" t="str">
        <f>IFERROR(VLOOKUP(H245,装备!$B:$E,3,FALSE),"")</f>
        <v/>
      </c>
      <c r="W245" s="18" t="str">
        <f t="shared" ref="W245:W258" si="80">IF(R245="","","+"&amp;R245)</f>
        <v/>
      </c>
      <c r="X245" s="18" t="str">
        <f t="shared" ref="X245:X258" si="81">IF(S245="","","+"&amp;S245)</f>
        <v/>
      </c>
      <c r="Y245" s="18" t="str">
        <f t="shared" ref="Y245:Y258" si="82">IF(T245="","","+"&amp;T245)</f>
        <v/>
      </c>
      <c r="Z245" s="18" t="str">
        <f t="shared" ref="Z245:Z258" si="83">IF(U245="","","+"&amp;U245)</f>
        <v/>
      </c>
      <c r="AA245" s="18" t="str">
        <f t="shared" ref="AA245:AA258" si="84">IF(V245="","","+"&amp;V245)</f>
        <v/>
      </c>
      <c r="AB245" s="18" t="str">
        <f t="shared" ref="AB245:AB258" si="85">"|n"&amp;Q245&amp;W245&amp;X245&amp;Y245&amp;Z245&amp;AA245&amp;"="&amp;A245</f>
        <v>|n=0</v>
      </c>
    </row>
    <row r="246" spans="1:28">
      <c r="A246" s="19">
        <f>装备!A182</f>
        <v>0</v>
      </c>
      <c r="B246" s="19" t="str">
        <f>"'"&amp;装备!B182&amp;"'"</f>
        <v>''</v>
      </c>
      <c r="C246" s="19">
        <f>装备!J182</f>
        <v>0</v>
      </c>
      <c r="D246" s="19">
        <f>装备!K182</f>
        <v>0</v>
      </c>
      <c r="E246" s="19">
        <f>装备!L182</f>
        <v>0</v>
      </c>
      <c r="F246" s="19">
        <f>装备!M182</f>
        <v>0</v>
      </c>
      <c r="G246" s="19">
        <f>装备!N182</f>
        <v>0</v>
      </c>
      <c r="H246" s="19">
        <f>装备!O182</f>
        <v>0</v>
      </c>
      <c r="I246" s="19">
        <f>IF(装备!J182=0,0,"'"&amp;装备!J182&amp;"'")</f>
        <v>0</v>
      </c>
      <c r="J246" s="19">
        <f>IF(装备!K182=0,0,"'"&amp;装备!K182&amp;"'")</f>
        <v>0</v>
      </c>
      <c r="K246" s="19">
        <f>IF(装备!L182=0,0,"'"&amp;装备!L182&amp;"'")</f>
        <v>0</v>
      </c>
      <c r="L246" s="19">
        <f>IF(装备!M182=0,0,"'"&amp;装备!M182&amp;"'")</f>
        <v>0</v>
      </c>
      <c r="M246" s="19">
        <f>IF(装备!N182=0,0,"'"&amp;装备!N182&amp;"'")</f>
        <v>0</v>
      </c>
      <c r="N246" s="19">
        <f>IF(装备!O182=0,0,"'"&amp;装备!O182&amp;"'")</f>
        <v>0</v>
      </c>
      <c r="O246" s="19" t="str">
        <f t="shared" si="79"/>
        <v/>
      </c>
      <c r="P246" s="19" t="str">
        <f t="shared" si="71"/>
        <v/>
      </c>
      <c r="Q246" s="23" t="str">
        <f>IFERROR(VLOOKUP(C246,装备!$B:$E,3,FALSE),"")</f>
        <v/>
      </c>
      <c r="R246" s="23" t="str">
        <f>IFERROR(VLOOKUP(D246,装备!$B:$E,3,FALSE),"")</f>
        <v/>
      </c>
      <c r="S246" s="23" t="str">
        <f>IFERROR(VLOOKUP(E246,装备!$B:$E,3,FALSE),"")</f>
        <v/>
      </c>
      <c r="T246" s="23" t="str">
        <f>IFERROR(VLOOKUP(F246,装备!$B:$E,3,FALSE),"")</f>
        <v/>
      </c>
      <c r="U246" s="23" t="str">
        <f>IFERROR(VLOOKUP(G246,装备!$B:$E,3,FALSE),"")</f>
        <v/>
      </c>
      <c r="V246" s="23" t="str">
        <f>IFERROR(VLOOKUP(H246,装备!$B:$E,3,FALSE),"")</f>
        <v/>
      </c>
      <c r="W246" s="18" t="str">
        <f t="shared" si="80"/>
        <v/>
      </c>
      <c r="X246" s="18" t="str">
        <f t="shared" si="81"/>
        <v/>
      </c>
      <c r="Y246" s="18" t="str">
        <f t="shared" si="82"/>
        <v/>
      </c>
      <c r="Z246" s="18" t="str">
        <f t="shared" si="83"/>
        <v/>
      </c>
      <c r="AA246" s="18" t="str">
        <f t="shared" si="84"/>
        <v/>
      </c>
      <c r="AB246" s="18" t="str">
        <f t="shared" si="85"/>
        <v>|n=0</v>
      </c>
    </row>
    <row r="247" spans="1:28">
      <c r="A247" s="19">
        <f>装备!A183</f>
        <v>0</v>
      </c>
      <c r="B247" s="19" t="str">
        <f>"'"&amp;装备!B183&amp;"'"</f>
        <v>''</v>
      </c>
      <c r="C247" s="19">
        <f>装备!J183</f>
        <v>0</v>
      </c>
      <c r="D247" s="19">
        <f>装备!K183</f>
        <v>0</v>
      </c>
      <c r="E247" s="19">
        <f>装备!L183</f>
        <v>0</v>
      </c>
      <c r="F247" s="19">
        <f>装备!M183</f>
        <v>0</v>
      </c>
      <c r="G247" s="19">
        <f>装备!N183</f>
        <v>0</v>
      </c>
      <c r="H247" s="19">
        <f>装备!O183</f>
        <v>0</v>
      </c>
      <c r="I247" s="19">
        <f>IF(装备!J183=0,0,"'"&amp;装备!J183&amp;"'")</f>
        <v>0</v>
      </c>
      <c r="J247" s="19">
        <f>IF(装备!K183=0,0,"'"&amp;装备!K183&amp;"'")</f>
        <v>0</v>
      </c>
      <c r="K247" s="19">
        <f>IF(装备!L183=0,0,"'"&amp;装备!L183&amp;"'")</f>
        <v>0</v>
      </c>
      <c r="L247" s="19">
        <f>IF(装备!M183=0,0,"'"&amp;装备!M183&amp;"'")</f>
        <v>0</v>
      </c>
      <c r="M247" s="19">
        <f>IF(装备!N183=0,0,"'"&amp;装备!N183&amp;"'")</f>
        <v>0</v>
      </c>
      <c r="N247" s="19">
        <f>IF(装备!O183=0,0,"'"&amp;装备!O183&amp;"'")</f>
        <v>0</v>
      </c>
      <c r="O247" s="19" t="str">
        <f t="shared" si="79"/>
        <v/>
      </c>
      <c r="P247" s="19" t="str">
        <f t="shared" si="71"/>
        <v/>
      </c>
      <c r="Q247" s="23" t="str">
        <f>IFERROR(VLOOKUP(C247,装备!$B:$E,3,FALSE),"")</f>
        <v/>
      </c>
      <c r="R247" s="23" t="str">
        <f>IFERROR(VLOOKUP(D247,装备!$B:$E,3,FALSE),"")</f>
        <v/>
      </c>
      <c r="S247" s="23" t="str">
        <f>IFERROR(VLOOKUP(E247,装备!$B:$E,3,FALSE),"")</f>
        <v/>
      </c>
      <c r="T247" s="23" t="str">
        <f>IFERROR(VLOOKUP(F247,装备!$B:$E,3,FALSE),"")</f>
        <v/>
      </c>
      <c r="U247" s="23" t="str">
        <f>IFERROR(VLOOKUP(G247,装备!$B:$E,3,FALSE),"")</f>
        <v/>
      </c>
      <c r="V247" s="23" t="str">
        <f>IFERROR(VLOOKUP(H247,装备!$B:$E,3,FALSE),"")</f>
        <v/>
      </c>
      <c r="W247" s="18" t="str">
        <f t="shared" si="80"/>
        <v/>
      </c>
      <c r="X247" s="18" t="str">
        <f t="shared" si="81"/>
        <v/>
      </c>
      <c r="Y247" s="18" t="str">
        <f t="shared" si="82"/>
        <v/>
      </c>
      <c r="Z247" s="18" t="str">
        <f t="shared" si="83"/>
        <v/>
      </c>
      <c r="AA247" s="18" t="str">
        <f t="shared" si="84"/>
        <v/>
      </c>
      <c r="AB247" s="18" t="str">
        <f t="shared" si="85"/>
        <v>|n=0</v>
      </c>
    </row>
    <row r="248" spans="1:28">
      <c r="A248" s="19">
        <f>装备!A184</f>
        <v>0</v>
      </c>
      <c r="B248" s="19" t="str">
        <f>"'"&amp;装备!B184&amp;"'"</f>
        <v>''</v>
      </c>
      <c r="C248" s="19">
        <f>装备!J184</f>
        <v>0</v>
      </c>
      <c r="D248" s="19">
        <f>装备!K184</f>
        <v>0</v>
      </c>
      <c r="E248" s="19">
        <f>装备!L184</f>
        <v>0</v>
      </c>
      <c r="F248" s="19">
        <f>装备!M184</f>
        <v>0</v>
      </c>
      <c r="G248" s="19">
        <f>装备!N184</f>
        <v>0</v>
      </c>
      <c r="H248" s="19">
        <f>装备!O184</f>
        <v>0</v>
      </c>
      <c r="I248" s="19">
        <f>IF(装备!J184=0,0,"'"&amp;装备!J184&amp;"'")</f>
        <v>0</v>
      </c>
      <c r="J248" s="19">
        <f>IF(装备!K184=0,0,"'"&amp;装备!K184&amp;"'")</f>
        <v>0</v>
      </c>
      <c r="K248" s="19">
        <f>IF(装备!L184=0,0,"'"&amp;装备!L184&amp;"'")</f>
        <v>0</v>
      </c>
      <c r="L248" s="19">
        <f>IF(装备!M184=0,0,"'"&amp;装备!M184&amp;"'")</f>
        <v>0</v>
      </c>
      <c r="M248" s="19">
        <f>IF(装备!N184=0,0,"'"&amp;装备!N184&amp;"'")</f>
        <v>0</v>
      </c>
      <c r="N248" s="19">
        <f>IF(装备!O184=0,0,"'"&amp;装备!O184&amp;"'")</f>
        <v>0</v>
      </c>
      <c r="O248" s="19" t="str">
        <f t="shared" si="79"/>
        <v/>
      </c>
      <c r="P248" s="19" t="str">
        <f t="shared" ref="P248:P263" si="86">IFERROR(VLOOKUP(A248,Q:AB,12,FALSE),IFERROR(VLOOKUP(A248,R:AB,11,FALSE),IFERROR(VLOOKUP(A248,S:AB,10,FALSE),"")))</f>
        <v/>
      </c>
      <c r="Q248" s="23" t="str">
        <f>IFERROR(VLOOKUP(C248,装备!$B:$E,3,FALSE),"")</f>
        <v/>
      </c>
      <c r="R248" s="23" t="str">
        <f>IFERROR(VLOOKUP(D248,装备!$B:$E,3,FALSE),"")</f>
        <v/>
      </c>
      <c r="S248" s="23" t="str">
        <f>IFERROR(VLOOKUP(E248,装备!$B:$E,3,FALSE),"")</f>
        <v/>
      </c>
      <c r="T248" s="23" t="str">
        <f>IFERROR(VLOOKUP(F248,装备!$B:$E,3,FALSE),"")</f>
        <v/>
      </c>
      <c r="U248" s="23" t="str">
        <f>IFERROR(VLOOKUP(G248,装备!$B:$E,3,FALSE),"")</f>
        <v/>
      </c>
      <c r="V248" s="23" t="str">
        <f>IFERROR(VLOOKUP(H248,装备!$B:$E,3,FALSE),"")</f>
        <v/>
      </c>
      <c r="W248" s="18" t="str">
        <f t="shared" si="80"/>
        <v/>
      </c>
      <c r="X248" s="18" t="str">
        <f t="shared" si="81"/>
        <v/>
      </c>
      <c r="Y248" s="18" t="str">
        <f t="shared" si="82"/>
        <v/>
      </c>
      <c r="Z248" s="18" t="str">
        <f t="shared" si="83"/>
        <v/>
      </c>
      <c r="AA248" s="18" t="str">
        <f t="shared" si="84"/>
        <v/>
      </c>
      <c r="AB248" s="18" t="str">
        <f t="shared" si="85"/>
        <v>|n=0</v>
      </c>
    </row>
    <row r="249" spans="1:28">
      <c r="A249" s="19">
        <f>装备!A185</f>
        <v>0</v>
      </c>
      <c r="B249" s="19" t="str">
        <f>"'"&amp;装备!B185&amp;"'"</f>
        <v>''</v>
      </c>
      <c r="C249" s="19">
        <f>装备!J185</f>
        <v>0</v>
      </c>
      <c r="D249" s="19">
        <f>装备!K185</f>
        <v>0</v>
      </c>
      <c r="E249" s="19">
        <f>装备!L185</f>
        <v>0</v>
      </c>
      <c r="F249" s="19">
        <f>装备!M185</f>
        <v>0</v>
      </c>
      <c r="G249" s="19">
        <f>装备!N185</f>
        <v>0</v>
      </c>
      <c r="H249" s="19">
        <f>装备!O185</f>
        <v>0</v>
      </c>
      <c r="I249" s="19">
        <f>IF(装备!J185=0,0,"'"&amp;装备!J185&amp;"'")</f>
        <v>0</v>
      </c>
      <c r="J249" s="19">
        <f>IF(装备!K185=0,0,"'"&amp;装备!K185&amp;"'")</f>
        <v>0</v>
      </c>
      <c r="K249" s="19">
        <f>IF(装备!L185=0,0,"'"&amp;装备!L185&amp;"'")</f>
        <v>0</v>
      </c>
      <c r="L249" s="19">
        <f>IF(装备!M185=0,0,"'"&amp;装备!M185&amp;"'")</f>
        <v>0</v>
      </c>
      <c r="M249" s="19">
        <f>IF(装备!N185=0,0,"'"&amp;装备!N185&amp;"'")</f>
        <v>0</v>
      </c>
      <c r="N249" s="19">
        <f>IF(装备!O185=0,0,"'"&amp;装备!O185&amp;"'")</f>
        <v>0</v>
      </c>
      <c r="O249" s="19" t="str">
        <f t="shared" si="79"/>
        <v/>
      </c>
      <c r="P249" s="19" t="str">
        <f t="shared" si="86"/>
        <v/>
      </c>
      <c r="Q249" s="23" t="str">
        <f>IFERROR(VLOOKUP(C249,装备!$B:$E,3,FALSE),"")</f>
        <v/>
      </c>
      <c r="R249" s="23" t="str">
        <f>IFERROR(VLOOKUP(D249,装备!$B:$E,3,FALSE),"")</f>
        <v/>
      </c>
      <c r="S249" s="23" t="str">
        <f>IFERROR(VLOOKUP(E249,装备!$B:$E,3,FALSE),"")</f>
        <v/>
      </c>
      <c r="T249" s="23" t="str">
        <f>IFERROR(VLOOKUP(F249,装备!$B:$E,3,FALSE),"")</f>
        <v/>
      </c>
      <c r="U249" s="23" t="str">
        <f>IFERROR(VLOOKUP(G249,装备!$B:$E,3,FALSE),"")</f>
        <v/>
      </c>
      <c r="V249" s="23" t="str">
        <f>IFERROR(VLOOKUP(H249,装备!$B:$E,3,FALSE),"")</f>
        <v/>
      </c>
      <c r="W249" s="18" t="str">
        <f t="shared" si="80"/>
        <v/>
      </c>
      <c r="X249" s="18" t="str">
        <f t="shared" si="81"/>
        <v/>
      </c>
      <c r="Y249" s="18" t="str">
        <f t="shared" si="82"/>
        <v/>
      </c>
      <c r="Z249" s="18" t="str">
        <f t="shared" si="83"/>
        <v/>
      </c>
      <c r="AA249" s="18" t="str">
        <f t="shared" si="84"/>
        <v/>
      </c>
      <c r="AB249" s="18" t="str">
        <f t="shared" si="85"/>
        <v>|n=0</v>
      </c>
    </row>
    <row r="250" spans="1:28">
      <c r="A250" s="19">
        <f>装备!A186</f>
        <v>0</v>
      </c>
      <c r="B250" s="19" t="str">
        <f>"'"&amp;装备!B186&amp;"'"</f>
        <v>''</v>
      </c>
      <c r="C250" s="19">
        <f>装备!J186</f>
        <v>0</v>
      </c>
      <c r="D250" s="19">
        <f>装备!K186</f>
        <v>0</v>
      </c>
      <c r="E250" s="19">
        <f>装备!L186</f>
        <v>0</v>
      </c>
      <c r="F250" s="19">
        <f>装备!M186</f>
        <v>0</v>
      </c>
      <c r="G250" s="19">
        <f>装备!N186</f>
        <v>0</v>
      </c>
      <c r="H250" s="19">
        <f>装备!O186</f>
        <v>0</v>
      </c>
      <c r="I250" s="19">
        <f>IF(装备!J186=0,0,"'"&amp;装备!J186&amp;"'")</f>
        <v>0</v>
      </c>
      <c r="J250" s="19">
        <f>IF(装备!K186=0,0,"'"&amp;装备!K186&amp;"'")</f>
        <v>0</v>
      </c>
      <c r="K250" s="19">
        <f>IF(装备!L186=0,0,"'"&amp;装备!L186&amp;"'")</f>
        <v>0</v>
      </c>
      <c r="L250" s="19">
        <f>IF(装备!M186=0,0,"'"&amp;装备!M186&amp;"'")</f>
        <v>0</v>
      </c>
      <c r="M250" s="19">
        <f>IF(装备!N186=0,0,"'"&amp;装备!N186&amp;"'")</f>
        <v>0</v>
      </c>
      <c r="N250" s="19">
        <f>IF(装备!O186=0,0,"'"&amp;装备!O186&amp;"'")</f>
        <v>0</v>
      </c>
      <c r="O250" s="19" t="str">
        <f t="shared" si="79"/>
        <v/>
      </c>
      <c r="P250" s="19" t="str">
        <f t="shared" si="86"/>
        <v/>
      </c>
      <c r="Q250" s="23" t="str">
        <f>IFERROR(VLOOKUP(C250,装备!$B:$E,3,FALSE),"")</f>
        <v/>
      </c>
      <c r="R250" s="23" t="str">
        <f>IFERROR(VLOOKUP(D250,装备!$B:$E,3,FALSE),"")</f>
        <v/>
      </c>
      <c r="S250" s="23" t="str">
        <f>IFERROR(VLOOKUP(E250,装备!$B:$E,3,FALSE),"")</f>
        <v/>
      </c>
      <c r="T250" s="23" t="str">
        <f>IFERROR(VLOOKUP(F250,装备!$B:$E,3,FALSE),"")</f>
        <v/>
      </c>
      <c r="U250" s="23" t="str">
        <f>IFERROR(VLOOKUP(G250,装备!$B:$E,3,FALSE),"")</f>
        <v/>
      </c>
      <c r="V250" s="23" t="str">
        <f>IFERROR(VLOOKUP(H250,装备!$B:$E,3,FALSE),"")</f>
        <v/>
      </c>
      <c r="W250" s="18" t="str">
        <f t="shared" si="80"/>
        <v/>
      </c>
      <c r="X250" s="18" t="str">
        <f t="shared" si="81"/>
        <v/>
      </c>
      <c r="Y250" s="18" t="str">
        <f t="shared" si="82"/>
        <v/>
      </c>
      <c r="Z250" s="18" t="str">
        <f t="shared" si="83"/>
        <v/>
      </c>
      <c r="AA250" s="18" t="str">
        <f t="shared" si="84"/>
        <v/>
      </c>
      <c r="AB250" s="18" t="str">
        <f t="shared" si="85"/>
        <v>|n=0</v>
      </c>
    </row>
    <row r="251" spans="1:28">
      <c r="A251" s="19">
        <f>装备!A187</f>
        <v>0</v>
      </c>
      <c r="B251" s="19" t="str">
        <f>"'"&amp;装备!B187&amp;"'"</f>
        <v>''</v>
      </c>
      <c r="C251" s="19">
        <f>装备!J187</f>
        <v>0</v>
      </c>
      <c r="D251" s="19">
        <f>装备!K187</f>
        <v>0</v>
      </c>
      <c r="E251" s="19">
        <f>装备!L187</f>
        <v>0</v>
      </c>
      <c r="F251" s="19">
        <f>装备!M187</f>
        <v>0</v>
      </c>
      <c r="G251" s="19">
        <f>装备!N187</f>
        <v>0</v>
      </c>
      <c r="H251" s="19">
        <f>装备!O187</f>
        <v>0</v>
      </c>
      <c r="I251" s="19">
        <f>IF(装备!J187=0,0,"'"&amp;装备!J187&amp;"'")</f>
        <v>0</v>
      </c>
      <c r="J251" s="19">
        <f>IF(装备!K187=0,0,"'"&amp;装备!K187&amp;"'")</f>
        <v>0</v>
      </c>
      <c r="K251" s="19">
        <f>IF(装备!L187=0,0,"'"&amp;装备!L187&amp;"'")</f>
        <v>0</v>
      </c>
      <c r="L251" s="19">
        <f>IF(装备!M187=0,0,"'"&amp;装备!M187&amp;"'")</f>
        <v>0</v>
      </c>
      <c r="M251" s="19">
        <f>IF(装备!N187=0,0,"'"&amp;装备!N187&amp;"'")</f>
        <v>0</v>
      </c>
      <c r="N251" s="19">
        <f>IF(装备!O187=0,0,"'"&amp;装备!O187&amp;"'")</f>
        <v>0</v>
      </c>
      <c r="O251" s="19" t="str">
        <f t="shared" si="79"/>
        <v/>
      </c>
      <c r="P251" s="19" t="str">
        <f t="shared" si="86"/>
        <v/>
      </c>
      <c r="Q251" s="23" t="str">
        <f>IFERROR(VLOOKUP(C251,装备!$B:$E,3,FALSE),"")</f>
        <v/>
      </c>
      <c r="R251" s="23" t="str">
        <f>IFERROR(VLOOKUP(D251,装备!$B:$E,3,FALSE),"")</f>
        <v/>
      </c>
      <c r="S251" s="23" t="str">
        <f>IFERROR(VLOOKUP(E251,装备!$B:$E,3,FALSE),"")</f>
        <v/>
      </c>
      <c r="T251" s="23" t="str">
        <f>IFERROR(VLOOKUP(F251,装备!$B:$E,3,FALSE),"")</f>
        <v/>
      </c>
      <c r="U251" s="23" t="str">
        <f>IFERROR(VLOOKUP(G251,装备!$B:$E,3,FALSE),"")</f>
        <v/>
      </c>
      <c r="V251" s="23" t="str">
        <f>IFERROR(VLOOKUP(H251,装备!$B:$E,3,FALSE),"")</f>
        <v/>
      </c>
      <c r="W251" s="18" t="str">
        <f t="shared" si="80"/>
        <v/>
      </c>
      <c r="X251" s="18" t="str">
        <f t="shared" si="81"/>
        <v/>
      </c>
      <c r="Y251" s="18" t="str">
        <f t="shared" si="82"/>
        <v/>
      </c>
      <c r="Z251" s="18" t="str">
        <f t="shared" si="83"/>
        <v/>
      </c>
      <c r="AA251" s="18" t="str">
        <f t="shared" si="84"/>
        <v/>
      </c>
      <c r="AB251" s="18" t="str">
        <f t="shared" si="85"/>
        <v>|n=0</v>
      </c>
    </row>
    <row r="252" spans="1:28">
      <c r="A252" s="19">
        <f>装备!A188</f>
        <v>0</v>
      </c>
      <c r="B252" s="19" t="str">
        <f>"'"&amp;装备!B188&amp;"'"</f>
        <v>''</v>
      </c>
      <c r="C252" s="19">
        <f>装备!J188</f>
        <v>0</v>
      </c>
      <c r="D252" s="19">
        <f>装备!K188</f>
        <v>0</v>
      </c>
      <c r="E252" s="19">
        <f>装备!L188</f>
        <v>0</v>
      </c>
      <c r="F252" s="19">
        <f>装备!M188</f>
        <v>0</v>
      </c>
      <c r="G252" s="19">
        <f>装备!N188</f>
        <v>0</v>
      </c>
      <c r="H252" s="19">
        <f>装备!O188</f>
        <v>0</v>
      </c>
      <c r="I252" s="19">
        <f>IF(装备!J188=0,0,"'"&amp;装备!J188&amp;"'")</f>
        <v>0</v>
      </c>
      <c r="J252" s="19">
        <f>IF(装备!K188=0,0,"'"&amp;装备!K188&amp;"'")</f>
        <v>0</v>
      </c>
      <c r="K252" s="19">
        <f>IF(装备!L188=0,0,"'"&amp;装备!L188&amp;"'")</f>
        <v>0</v>
      </c>
      <c r="L252" s="19">
        <f>IF(装备!M188=0,0,"'"&amp;装备!M188&amp;"'")</f>
        <v>0</v>
      </c>
      <c r="M252" s="19">
        <f>IF(装备!N188=0,0,"'"&amp;装备!N188&amp;"'")</f>
        <v>0</v>
      </c>
      <c r="N252" s="19">
        <f>IF(装备!O188=0,0,"'"&amp;装备!O188&amp;"'")</f>
        <v>0</v>
      </c>
      <c r="O252" s="19" t="str">
        <f t="shared" si="79"/>
        <v/>
      </c>
      <c r="P252" s="19" t="str">
        <f t="shared" si="86"/>
        <v/>
      </c>
      <c r="Q252" s="23" t="str">
        <f>IFERROR(VLOOKUP(C252,装备!$B:$E,3,FALSE),"")</f>
        <v/>
      </c>
      <c r="R252" s="23" t="str">
        <f>IFERROR(VLOOKUP(D252,装备!$B:$E,3,FALSE),"")</f>
        <v/>
      </c>
      <c r="S252" s="23" t="str">
        <f>IFERROR(VLOOKUP(E252,装备!$B:$E,3,FALSE),"")</f>
        <v/>
      </c>
      <c r="T252" s="23" t="str">
        <f>IFERROR(VLOOKUP(F252,装备!$B:$E,3,FALSE),"")</f>
        <v/>
      </c>
      <c r="U252" s="23" t="str">
        <f>IFERROR(VLOOKUP(G252,装备!$B:$E,3,FALSE),"")</f>
        <v/>
      </c>
      <c r="V252" s="23" t="str">
        <f>IFERROR(VLOOKUP(H252,装备!$B:$E,3,FALSE),"")</f>
        <v/>
      </c>
      <c r="W252" s="18" t="str">
        <f t="shared" si="80"/>
        <v/>
      </c>
      <c r="X252" s="18" t="str">
        <f t="shared" si="81"/>
        <v/>
      </c>
      <c r="Y252" s="18" t="str">
        <f t="shared" si="82"/>
        <v/>
      </c>
      <c r="Z252" s="18" t="str">
        <f t="shared" si="83"/>
        <v/>
      </c>
      <c r="AA252" s="18" t="str">
        <f t="shared" si="84"/>
        <v/>
      </c>
      <c r="AB252" s="18" t="str">
        <f t="shared" si="85"/>
        <v>|n=0</v>
      </c>
    </row>
    <row r="253" spans="1:28">
      <c r="A253" s="19">
        <f>装备!A189</f>
        <v>0</v>
      </c>
      <c r="B253" s="19" t="str">
        <f>"'"&amp;装备!B189&amp;"'"</f>
        <v>''</v>
      </c>
      <c r="C253" s="19">
        <f>装备!J189</f>
        <v>0</v>
      </c>
      <c r="D253" s="19">
        <f>装备!K189</f>
        <v>0</v>
      </c>
      <c r="E253" s="19">
        <f>装备!L189</f>
        <v>0</v>
      </c>
      <c r="F253" s="19">
        <f>装备!M189</f>
        <v>0</v>
      </c>
      <c r="G253" s="19">
        <f>装备!N189</f>
        <v>0</v>
      </c>
      <c r="H253" s="19">
        <f>装备!O189</f>
        <v>0</v>
      </c>
      <c r="I253" s="19">
        <f>IF(装备!J189=0,0,"'"&amp;装备!J189&amp;"'")</f>
        <v>0</v>
      </c>
      <c r="J253" s="19">
        <f>IF(装备!K189=0,0,"'"&amp;装备!K189&amp;"'")</f>
        <v>0</v>
      </c>
      <c r="K253" s="19">
        <f>IF(装备!L189=0,0,"'"&amp;装备!L189&amp;"'")</f>
        <v>0</v>
      </c>
      <c r="L253" s="19">
        <f>IF(装备!M189=0,0,"'"&amp;装备!M189&amp;"'")</f>
        <v>0</v>
      </c>
      <c r="M253" s="19">
        <f>IF(装备!N189=0,0,"'"&amp;装备!N189&amp;"'")</f>
        <v>0</v>
      </c>
      <c r="N253" s="19">
        <f>IF(装备!O189=0,0,"'"&amp;装备!O189&amp;"'")</f>
        <v>0</v>
      </c>
      <c r="O253" s="19" t="str">
        <f t="shared" si="79"/>
        <v/>
      </c>
      <c r="P253" s="19" t="str">
        <f t="shared" si="86"/>
        <v/>
      </c>
      <c r="Q253" s="23" t="str">
        <f>IFERROR(VLOOKUP(C253,装备!$B:$E,3,FALSE),"")</f>
        <v/>
      </c>
      <c r="R253" s="23" t="str">
        <f>IFERROR(VLOOKUP(D253,装备!$B:$E,3,FALSE),"")</f>
        <v/>
      </c>
      <c r="S253" s="23" t="str">
        <f>IFERROR(VLOOKUP(E253,装备!$B:$E,3,FALSE),"")</f>
        <v/>
      </c>
      <c r="T253" s="23" t="str">
        <f>IFERROR(VLOOKUP(F253,装备!$B:$E,3,FALSE),"")</f>
        <v/>
      </c>
      <c r="U253" s="23" t="str">
        <f>IFERROR(VLOOKUP(G253,装备!$B:$E,3,FALSE),"")</f>
        <v/>
      </c>
      <c r="V253" s="23" t="str">
        <f>IFERROR(VLOOKUP(H253,装备!$B:$E,3,FALSE),"")</f>
        <v/>
      </c>
      <c r="W253" s="18" t="str">
        <f t="shared" si="80"/>
        <v/>
      </c>
      <c r="X253" s="18" t="str">
        <f t="shared" si="81"/>
        <v/>
      </c>
      <c r="Y253" s="18" t="str">
        <f t="shared" si="82"/>
        <v/>
      </c>
      <c r="Z253" s="18" t="str">
        <f t="shared" si="83"/>
        <v/>
      </c>
      <c r="AA253" s="18" t="str">
        <f t="shared" si="84"/>
        <v/>
      </c>
      <c r="AB253" s="18" t="str">
        <f t="shared" si="85"/>
        <v>|n=0</v>
      </c>
    </row>
    <row r="254" spans="1:28">
      <c r="A254" s="19">
        <f>装备!A190</f>
        <v>0</v>
      </c>
      <c r="B254" s="19" t="str">
        <f>"'"&amp;装备!B190&amp;"'"</f>
        <v>''</v>
      </c>
      <c r="C254" s="19">
        <f>装备!J190</f>
        <v>0</v>
      </c>
      <c r="D254" s="19">
        <f>装备!K190</f>
        <v>0</v>
      </c>
      <c r="E254" s="19">
        <f>装备!L190</f>
        <v>0</v>
      </c>
      <c r="F254" s="19">
        <f>装备!M190</f>
        <v>0</v>
      </c>
      <c r="G254" s="19">
        <f>装备!N190</f>
        <v>0</v>
      </c>
      <c r="H254" s="19">
        <f>装备!O190</f>
        <v>0</v>
      </c>
      <c r="I254" s="19">
        <f>IF(装备!J190=0,0,"'"&amp;装备!J190&amp;"'")</f>
        <v>0</v>
      </c>
      <c r="J254" s="19">
        <f>IF(装备!K190=0,0,"'"&amp;装备!K190&amp;"'")</f>
        <v>0</v>
      </c>
      <c r="K254" s="19">
        <f>IF(装备!L190=0,0,"'"&amp;装备!L190&amp;"'")</f>
        <v>0</v>
      </c>
      <c r="L254" s="19">
        <f>IF(装备!M190=0,0,"'"&amp;装备!M190&amp;"'")</f>
        <v>0</v>
      </c>
      <c r="M254" s="19">
        <f>IF(装备!N190=0,0,"'"&amp;装备!N190&amp;"'")</f>
        <v>0</v>
      </c>
      <c r="N254" s="19">
        <f>IF(装备!O190=0,0,"'"&amp;装备!O190&amp;"'")</f>
        <v>0</v>
      </c>
      <c r="O254" s="19" t="str">
        <f t="shared" si="79"/>
        <v/>
      </c>
      <c r="P254" s="19" t="str">
        <f t="shared" si="86"/>
        <v/>
      </c>
      <c r="Q254" s="23" t="str">
        <f>IFERROR(VLOOKUP(C254,装备!$B:$E,3,FALSE),"")</f>
        <v/>
      </c>
      <c r="R254" s="23" t="str">
        <f>IFERROR(VLOOKUP(D254,装备!$B:$E,3,FALSE),"")</f>
        <v/>
      </c>
      <c r="S254" s="23" t="str">
        <f>IFERROR(VLOOKUP(E254,装备!$B:$E,3,FALSE),"")</f>
        <v/>
      </c>
      <c r="T254" s="23" t="str">
        <f>IFERROR(VLOOKUP(F254,装备!$B:$E,3,FALSE),"")</f>
        <v/>
      </c>
      <c r="U254" s="23" t="str">
        <f>IFERROR(VLOOKUP(G254,装备!$B:$E,3,FALSE),"")</f>
        <v/>
      </c>
      <c r="V254" s="23" t="str">
        <f>IFERROR(VLOOKUP(H254,装备!$B:$E,3,FALSE),"")</f>
        <v/>
      </c>
      <c r="W254" s="18" t="str">
        <f t="shared" si="80"/>
        <v/>
      </c>
      <c r="X254" s="18" t="str">
        <f t="shared" si="81"/>
        <v/>
      </c>
      <c r="Y254" s="18" t="str">
        <f t="shared" si="82"/>
        <v/>
      </c>
      <c r="Z254" s="18" t="str">
        <f t="shared" si="83"/>
        <v/>
      </c>
      <c r="AA254" s="18" t="str">
        <f t="shared" si="84"/>
        <v/>
      </c>
      <c r="AB254" s="18" t="str">
        <f t="shared" si="85"/>
        <v>|n=0</v>
      </c>
    </row>
    <row r="255" spans="1:28">
      <c r="A255" s="19">
        <f>装备!A191</f>
        <v>0</v>
      </c>
      <c r="B255" s="19" t="str">
        <f>"'"&amp;装备!B191&amp;"'"</f>
        <v>''</v>
      </c>
      <c r="C255" s="19">
        <f>装备!J191</f>
        <v>0</v>
      </c>
      <c r="D255" s="19">
        <f>装备!K191</f>
        <v>0</v>
      </c>
      <c r="E255" s="19">
        <f>装备!L191</f>
        <v>0</v>
      </c>
      <c r="F255" s="19">
        <f>装备!M191</f>
        <v>0</v>
      </c>
      <c r="G255" s="19">
        <f>装备!N191</f>
        <v>0</v>
      </c>
      <c r="H255" s="19">
        <f>装备!O191</f>
        <v>0</v>
      </c>
      <c r="I255" s="19">
        <f>IF(装备!J191=0,0,"'"&amp;装备!J191&amp;"'")</f>
        <v>0</v>
      </c>
      <c r="J255" s="19">
        <f>IF(装备!K191=0,0,"'"&amp;装备!K191&amp;"'")</f>
        <v>0</v>
      </c>
      <c r="K255" s="19">
        <f>IF(装备!L191=0,0,"'"&amp;装备!L191&amp;"'")</f>
        <v>0</v>
      </c>
      <c r="L255" s="19">
        <f>IF(装备!M191=0,0,"'"&amp;装备!M191&amp;"'")</f>
        <v>0</v>
      </c>
      <c r="M255" s="19">
        <f>IF(装备!N191=0,0,"'"&amp;装备!N191&amp;"'")</f>
        <v>0</v>
      </c>
      <c r="N255" s="19">
        <f>IF(装备!O191=0,0,"'"&amp;装备!O191&amp;"'")</f>
        <v>0</v>
      </c>
      <c r="O255" s="19" t="str">
        <f t="shared" si="79"/>
        <v/>
      </c>
      <c r="P255" s="19" t="str">
        <f t="shared" si="86"/>
        <v/>
      </c>
      <c r="Q255" s="23" t="str">
        <f>IFERROR(VLOOKUP(C255,装备!$B:$E,3,FALSE),"")</f>
        <v/>
      </c>
      <c r="R255" s="23" t="str">
        <f>IFERROR(VLOOKUP(D255,装备!$B:$E,3,FALSE),"")</f>
        <v/>
      </c>
      <c r="S255" s="23" t="str">
        <f>IFERROR(VLOOKUP(E255,装备!$B:$E,3,FALSE),"")</f>
        <v/>
      </c>
      <c r="T255" s="23" t="str">
        <f>IFERROR(VLOOKUP(F255,装备!$B:$E,3,FALSE),"")</f>
        <v/>
      </c>
      <c r="U255" s="23" t="str">
        <f>IFERROR(VLOOKUP(G255,装备!$B:$E,3,FALSE),"")</f>
        <v/>
      </c>
      <c r="V255" s="23" t="str">
        <f>IFERROR(VLOOKUP(H255,装备!$B:$E,3,FALSE),"")</f>
        <v/>
      </c>
      <c r="W255" s="18" t="str">
        <f t="shared" si="80"/>
        <v/>
      </c>
      <c r="X255" s="18" t="str">
        <f t="shared" si="81"/>
        <v/>
      </c>
      <c r="Y255" s="18" t="str">
        <f t="shared" si="82"/>
        <v/>
      </c>
      <c r="Z255" s="18" t="str">
        <f t="shared" si="83"/>
        <v/>
      </c>
      <c r="AA255" s="18" t="str">
        <f t="shared" si="84"/>
        <v/>
      </c>
      <c r="AB255" s="18" t="str">
        <f t="shared" si="85"/>
        <v>|n=0</v>
      </c>
    </row>
    <row r="256" spans="1:28">
      <c r="A256" s="19">
        <f>装备!A192</f>
        <v>0</v>
      </c>
      <c r="B256" s="19" t="str">
        <f>"'"&amp;装备!B192&amp;"'"</f>
        <v>''</v>
      </c>
      <c r="C256" s="19">
        <f>装备!J192</f>
        <v>0</v>
      </c>
      <c r="D256" s="19">
        <f>装备!K192</f>
        <v>0</v>
      </c>
      <c r="E256" s="19">
        <f>装备!L192</f>
        <v>0</v>
      </c>
      <c r="F256" s="19">
        <f>装备!M192</f>
        <v>0</v>
      </c>
      <c r="G256" s="19">
        <f>装备!N192</f>
        <v>0</v>
      </c>
      <c r="H256" s="19">
        <f>装备!O192</f>
        <v>0</v>
      </c>
      <c r="I256" s="19">
        <f>IF(装备!J192=0,0,"'"&amp;装备!J192&amp;"'")</f>
        <v>0</v>
      </c>
      <c r="J256" s="19">
        <f>IF(装备!K192=0,0,"'"&amp;装备!K192&amp;"'")</f>
        <v>0</v>
      </c>
      <c r="K256" s="19">
        <f>IF(装备!L192=0,0,"'"&amp;装备!L192&amp;"'")</f>
        <v>0</v>
      </c>
      <c r="L256" s="19">
        <f>IF(装备!M192=0,0,"'"&amp;装备!M192&amp;"'")</f>
        <v>0</v>
      </c>
      <c r="M256" s="19">
        <f>IF(装备!N192=0,0,"'"&amp;装备!N192&amp;"'")</f>
        <v>0</v>
      </c>
      <c r="N256" s="19">
        <f>IF(装备!O192=0,0,"'"&amp;装备!O192&amp;"'")</f>
        <v>0</v>
      </c>
      <c r="O256" s="19" t="str">
        <f t="shared" si="79"/>
        <v/>
      </c>
      <c r="P256" s="19" t="str">
        <f t="shared" si="86"/>
        <v/>
      </c>
      <c r="Q256" s="23" t="str">
        <f>IFERROR(VLOOKUP(C256,装备!$B:$E,3,FALSE),"")</f>
        <v/>
      </c>
      <c r="R256" s="23" t="str">
        <f>IFERROR(VLOOKUP(D256,装备!$B:$E,3,FALSE),"")</f>
        <v/>
      </c>
      <c r="S256" s="23" t="str">
        <f>IFERROR(VLOOKUP(E256,装备!$B:$E,3,FALSE),"")</f>
        <v/>
      </c>
      <c r="T256" s="23" t="str">
        <f>IFERROR(VLOOKUP(F256,装备!$B:$E,3,FALSE),"")</f>
        <v/>
      </c>
      <c r="U256" s="23" t="str">
        <f>IFERROR(VLOOKUP(G256,装备!$B:$E,3,FALSE),"")</f>
        <v/>
      </c>
      <c r="V256" s="23" t="str">
        <f>IFERROR(VLOOKUP(H256,装备!$B:$E,3,FALSE),"")</f>
        <v/>
      </c>
      <c r="W256" s="18" t="str">
        <f t="shared" si="80"/>
        <v/>
      </c>
      <c r="X256" s="18" t="str">
        <f t="shared" si="81"/>
        <v/>
      </c>
      <c r="Y256" s="18" t="str">
        <f t="shared" si="82"/>
        <v/>
      </c>
      <c r="Z256" s="18" t="str">
        <f t="shared" si="83"/>
        <v/>
      </c>
      <c r="AA256" s="18" t="str">
        <f t="shared" si="84"/>
        <v/>
      </c>
      <c r="AB256" s="18" t="str">
        <f t="shared" si="85"/>
        <v>|n=0</v>
      </c>
    </row>
    <row r="257" spans="1:28">
      <c r="A257" s="19">
        <f>装备!A193</f>
        <v>0</v>
      </c>
      <c r="B257" s="19" t="str">
        <f>"'"&amp;装备!B193&amp;"'"</f>
        <v>''</v>
      </c>
      <c r="C257" s="19">
        <f>装备!J193</f>
        <v>0</v>
      </c>
      <c r="D257" s="19">
        <f>装备!K193</f>
        <v>0</v>
      </c>
      <c r="E257" s="19">
        <f>装备!L193</f>
        <v>0</v>
      </c>
      <c r="F257" s="19">
        <f>装备!M193</f>
        <v>0</v>
      </c>
      <c r="G257" s="19">
        <f>装备!N193</f>
        <v>0</v>
      </c>
      <c r="H257" s="19">
        <f>装备!O193</f>
        <v>0</v>
      </c>
      <c r="I257" s="19">
        <f>IF(装备!J193=0,0,"'"&amp;装备!J193&amp;"'")</f>
        <v>0</v>
      </c>
      <c r="J257" s="19">
        <f>IF(装备!K193=0,0,"'"&amp;装备!K193&amp;"'")</f>
        <v>0</v>
      </c>
      <c r="K257" s="19">
        <f>IF(装备!L193=0,0,"'"&amp;装备!L193&amp;"'")</f>
        <v>0</v>
      </c>
      <c r="L257" s="19">
        <f>IF(装备!M193=0,0,"'"&amp;装备!M193&amp;"'")</f>
        <v>0</v>
      </c>
      <c r="M257" s="19">
        <f>IF(装备!N193=0,0,"'"&amp;装备!N193&amp;"'")</f>
        <v>0</v>
      </c>
      <c r="N257" s="19">
        <f>IF(装备!O193=0,0,"'"&amp;装备!O193&amp;"'")</f>
        <v>0</v>
      </c>
      <c r="O257" s="19" t="str">
        <f t="shared" si="79"/>
        <v/>
      </c>
      <c r="P257" s="19" t="str">
        <f t="shared" si="86"/>
        <v/>
      </c>
      <c r="Q257" s="23" t="str">
        <f>IFERROR(VLOOKUP(C257,装备!$B:$E,3,FALSE),"")</f>
        <v/>
      </c>
      <c r="R257" s="23" t="str">
        <f>IFERROR(VLOOKUP(D257,装备!$B:$E,3,FALSE),"")</f>
        <v/>
      </c>
      <c r="S257" s="23" t="str">
        <f>IFERROR(VLOOKUP(E257,装备!$B:$E,3,FALSE),"")</f>
        <v/>
      </c>
      <c r="T257" s="23" t="str">
        <f>IFERROR(VLOOKUP(F257,装备!$B:$E,3,FALSE),"")</f>
        <v/>
      </c>
      <c r="U257" s="23" t="str">
        <f>IFERROR(VLOOKUP(G257,装备!$B:$E,3,FALSE),"")</f>
        <v/>
      </c>
      <c r="V257" s="23" t="str">
        <f>IFERROR(VLOOKUP(H257,装备!$B:$E,3,FALSE),"")</f>
        <v/>
      </c>
      <c r="W257" s="18" t="str">
        <f t="shared" si="80"/>
        <v/>
      </c>
      <c r="X257" s="18" t="str">
        <f t="shared" si="81"/>
        <v/>
      </c>
      <c r="Y257" s="18" t="str">
        <f t="shared" si="82"/>
        <v/>
      </c>
      <c r="Z257" s="18" t="str">
        <f t="shared" si="83"/>
        <v/>
      </c>
      <c r="AA257" s="18" t="str">
        <f t="shared" si="84"/>
        <v/>
      </c>
      <c r="AB257" s="18" t="str">
        <f t="shared" si="85"/>
        <v>|n=0</v>
      </c>
    </row>
    <row r="258" spans="1:28">
      <c r="A258" s="19">
        <f>装备!A194</f>
        <v>0</v>
      </c>
      <c r="B258" s="19" t="str">
        <f>"'"&amp;装备!B194&amp;"'"</f>
        <v>''</v>
      </c>
      <c r="C258" s="19">
        <f>装备!J194</f>
        <v>0</v>
      </c>
      <c r="D258" s="19">
        <f>装备!K194</f>
        <v>0</v>
      </c>
      <c r="E258" s="19">
        <f>装备!L194</f>
        <v>0</v>
      </c>
      <c r="F258" s="19">
        <f>装备!M194</f>
        <v>0</v>
      </c>
      <c r="G258" s="19">
        <f>装备!N194</f>
        <v>0</v>
      </c>
      <c r="H258" s="19">
        <f>装备!O194</f>
        <v>0</v>
      </c>
      <c r="I258" s="19">
        <f>IF(装备!J194=0,0,"'"&amp;装备!J194&amp;"'")</f>
        <v>0</v>
      </c>
      <c r="J258" s="19">
        <f>IF(装备!K194=0,0,"'"&amp;装备!K194&amp;"'")</f>
        <v>0</v>
      </c>
      <c r="K258" s="19">
        <f>IF(装备!L194=0,0,"'"&amp;装备!L194&amp;"'")</f>
        <v>0</v>
      </c>
      <c r="L258" s="19">
        <f>IF(装备!M194=0,0,"'"&amp;装备!M194&amp;"'")</f>
        <v>0</v>
      </c>
      <c r="M258" s="19">
        <f>IF(装备!N194=0,0,"'"&amp;装备!N194&amp;"'")</f>
        <v>0</v>
      </c>
      <c r="N258" s="19">
        <f>IF(装备!O194=0,0,"'"&amp;装备!O194&amp;"'")</f>
        <v>0</v>
      </c>
      <c r="O258" s="19" t="str">
        <f t="shared" si="79"/>
        <v/>
      </c>
      <c r="P258" s="19" t="str">
        <f t="shared" si="86"/>
        <v/>
      </c>
      <c r="Q258" s="23" t="str">
        <f>IFERROR(VLOOKUP(C258,装备!$B:$E,3,FALSE),"")</f>
        <v/>
      </c>
      <c r="R258" s="23" t="str">
        <f>IFERROR(VLOOKUP(D258,装备!$B:$E,3,FALSE),"")</f>
        <v/>
      </c>
      <c r="S258" s="23" t="str">
        <f>IFERROR(VLOOKUP(E258,装备!$B:$E,3,FALSE),"")</f>
        <v/>
      </c>
      <c r="T258" s="23" t="str">
        <f>IFERROR(VLOOKUP(F258,装备!$B:$E,3,FALSE),"")</f>
        <v/>
      </c>
      <c r="U258" s="23" t="str">
        <f>IFERROR(VLOOKUP(G258,装备!$B:$E,3,FALSE),"")</f>
        <v/>
      </c>
      <c r="V258" s="23" t="str">
        <f>IFERROR(VLOOKUP(H258,装备!$B:$E,3,FALSE),"")</f>
        <v/>
      </c>
      <c r="W258" s="18" t="str">
        <f t="shared" si="80"/>
        <v/>
      </c>
      <c r="X258" s="18" t="str">
        <f t="shared" si="81"/>
        <v/>
      </c>
      <c r="Y258" s="18" t="str">
        <f t="shared" si="82"/>
        <v/>
      </c>
      <c r="Z258" s="18" t="str">
        <f t="shared" si="83"/>
        <v/>
      </c>
      <c r="AA258" s="18" t="str">
        <f t="shared" si="84"/>
        <v/>
      </c>
      <c r="AB258" s="18" t="str">
        <f t="shared" si="85"/>
        <v>|n=0</v>
      </c>
    </row>
    <row r="259" spans="1:28">
      <c r="A259" s="19">
        <f>装备!A195</f>
        <v>0</v>
      </c>
      <c r="B259" s="19" t="str">
        <f>"'"&amp;装备!B195&amp;"'"</f>
        <v>''</v>
      </c>
      <c r="C259" s="19">
        <f>装备!J195</f>
        <v>0</v>
      </c>
      <c r="D259" s="19">
        <f>装备!K195</f>
        <v>0</v>
      </c>
      <c r="E259" s="19">
        <f>装备!L195</f>
        <v>0</v>
      </c>
      <c r="F259" s="19">
        <f>装备!M195</f>
        <v>0</v>
      </c>
      <c r="G259" s="19">
        <f>装备!N195</f>
        <v>0</v>
      </c>
      <c r="H259" s="19">
        <f>装备!O195</f>
        <v>0</v>
      </c>
      <c r="I259" s="19">
        <f>IF(装备!J195=0,0,"'"&amp;装备!J195&amp;"'")</f>
        <v>0</v>
      </c>
      <c r="J259" s="19">
        <f>IF(装备!K195=0,0,"'"&amp;装备!K195&amp;"'")</f>
        <v>0</v>
      </c>
      <c r="K259" s="19">
        <f>IF(装备!L195=0,0,"'"&amp;装备!L195&amp;"'")</f>
        <v>0</v>
      </c>
      <c r="L259" s="19">
        <f>IF(装备!M195=0,0,"'"&amp;装备!M195&amp;"'")</f>
        <v>0</v>
      </c>
      <c r="M259" s="19">
        <f>IF(装备!N195=0,0,"'"&amp;装备!N195&amp;"'")</f>
        <v>0</v>
      </c>
      <c r="N259" s="19">
        <f>IF(装备!O195=0,0,"'"&amp;装备!O195&amp;"'")</f>
        <v>0</v>
      </c>
      <c r="O259" s="19" t="str">
        <f>IF(I259=0,"","AddItemFormula("&amp;I259&amp;","&amp;J259&amp;","&amp;K259&amp;","&amp;L259&amp;","&amp;M259&amp;","&amp;N259&amp;","&amp;B259&amp;")")</f>
        <v/>
      </c>
      <c r="P259" s="19" t="str">
        <f t="shared" si="86"/>
        <v/>
      </c>
      <c r="Q259" s="23" t="str">
        <f>IFERROR(VLOOKUP(C259,装备!$B:$E,3,FALSE),"")</f>
        <v/>
      </c>
      <c r="R259" s="23" t="str">
        <f>IFERROR(VLOOKUP(D259,装备!$B:$E,3,FALSE),"")</f>
        <v/>
      </c>
      <c r="S259" s="23" t="str">
        <f>IFERROR(VLOOKUP(E259,装备!$B:$E,3,FALSE),"")</f>
        <v/>
      </c>
      <c r="T259" s="23" t="str">
        <f>IFERROR(VLOOKUP(F259,装备!$B:$E,3,FALSE),"")</f>
        <v/>
      </c>
      <c r="U259" s="23" t="str">
        <f>IFERROR(VLOOKUP(G259,装备!$B:$E,3,FALSE),"")</f>
        <v/>
      </c>
      <c r="V259" s="23" t="str">
        <f>IFERROR(VLOOKUP(H259,装备!$B:$E,3,FALSE),"")</f>
        <v/>
      </c>
      <c r="W259" s="18" t="str">
        <f t="shared" ref="W259:AA263" si="87">IF(R259="","","+"&amp;R259)</f>
        <v/>
      </c>
      <c r="X259" s="18" t="str">
        <f t="shared" si="87"/>
        <v/>
      </c>
      <c r="Y259" s="18" t="str">
        <f t="shared" si="87"/>
        <v/>
      </c>
      <c r="Z259" s="18" t="str">
        <f t="shared" si="87"/>
        <v/>
      </c>
      <c r="AA259" s="18" t="str">
        <f t="shared" si="87"/>
        <v/>
      </c>
      <c r="AB259" s="18" t="str">
        <f>"|n"&amp;Q259&amp;W259&amp;X259&amp;Y259&amp;Z259&amp;AA259&amp;"="&amp;A259</f>
        <v>|n=0</v>
      </c>
    </row>
    <row r="260" spans="1:28">
      <c r="A260" s="19">
        <f>装备!A196</f>
        <v>0</v>
      </c>
      <c r="B260" s="19" t="str">
        <f>"'"&amp;装备!B196&amp;"'"</f>
        <v>''</v>
      </c>
      <c r="C260" s="19">
        <f>装备!J196</f>
        <v>0</v>
      </c>
      <c r="D260" s="19">
        <f>装备!K196</f>
        <v>0</v>
      </c>
      <c r="E260" s="19">
        <f>装备!L196</f>
        <v>0</v>
      </c>
      <c r="F260" s="19">
        <f>装备!M196</f>
        <v>0</v>
      </c>
      <c r="G260" s="19">
        <f>装备!N196</f>
        <v>0</v>
      </c>
      <c r="H260" s="19">
        <f>装备!O196</f>
        <v>0</v>
      </c>
      <c r="I260" s="19">
        <f>IF(装备!J196=0,0,"'"&amp;装备!J196&amp;"'")</f>
        <v>0</v>
      </c>
      <c r="J260" s="19">
        <f>IF(装备!K196=0,0,"'"&amp;装备!K196&amp;"'")</f>
        <v>0</v>
      </c>
      <c r="K260" s="19">
        <f>IF(装备!L196=0,0,"'"&amp;装备!L196&amp;"'")</f>
        <v>0</v>
      </c>
      <c r="L260" s="19">
        <f>IF(装备!M196=0,0,"'"&amp;装备!M196&amp;"'")</f>
        <v>0</v>
      </c>
      <c r="M260" s="19">
        <f>IF(装备!N196=0,0,"'"&amp;装备!N196&amp;"'")</f>
        <v>0</v>
      </c>
      <c r="N260" s="19">
        <f>IF(装备!O196=0,0,"'"&amp;装备!O196&amp;"'")</f>
        <v>0</v>
      </c>
      <c r="O260" s="19" t="str">
        <f>IF(I260=0,"","AddItemFormula("&amp;I260&amp;","&amp;J260&amp;","&amp;K260&amp;","&amp;L260&amp;","&amp;M260&amp;","&amp;N260&amp;","&amp;B260&amp;")")</f>
        <v/>
      </c>
      <c r="P260" s="19" t="str">
        <f t="shared" si="86"/>
        <v/>
      </c>
      <c r="Q260" s="23" t="str">
        <f>IFERROR(VLOOKUP(C260,装备!$B:$E,3,FALSE),"")</f>
        <v/>
      </c>
      <c r="R260" s="23" t="str">
        <f>IFERROR(VLOOKUP(D260,装备!$B:$E,3,FALSE),"")</f>
        <v/>
      </c>
      <c r="S260" s="23" t="str">
        <f>IFERROR(VLOOKUP(E260,装备!$B:$E,3,FALSE),"")</f>
        <v/>
      </c>
      <c r="T260" s="23" t="str">
        <f>IFERROR(VLOOKUP(F260,装备!$B:$E,3,FALSE),"")</f>
        <v/>
      </c>
      <c r="U260" s="23" t="str">
        <f>IFERROR(VLOOKUP(G260,装备!$B:$E,3,FALSE),"")</f>
        <v/>
      </c>
      <c r="V260" s="23" t="str">
        <f>IFERROR(VLOOKUP(H260,装备!$B:$E,3,FALSE),"")</f>
        <v/>
      </c>
      <c r="W260" s="18" t="str">
        <f t="shared" si="87"/>
        <v/>
      </c>
      <c r="X260" s="18" t="str">
        <f t="shared" si="87"/>
        <v/>
      </c>
      <c r="Y260" s="18" t="str">
        <f t="shared" si="87"/>
        <v/>
      </c>
      <c r="Z260" s="18" t="str">
        <f t="shared" si="87"/>
        <v/>
      </c>
      <c r="AA260" s="18" t="str">
        <f t="shared" si="87"/>
        <v/>
      </c>
      <c r="AB260" s="18" t="str">
        <f>"|n"&amp;Q260&amp;W260&amp;X260&amp;Y260&amp;Z260&amp;AA260&amp;"="&amp;A260</f>
        <v>|n=0</v>
      </c>
    </row>
    <row r="261" spans="1:28">
      <c r="A261" s="19">
        <f>装备!A197</f>
        <v>0</v>
      </c>
      <c r="B261" s="19" t="str">
        <f>"'"&amp;装备!B197&amp;"'"</f>
        <v>''</v>
      </c>
      <c r="C261" s="19">
        <f>装备!J197</f>
        <v>0</v>
      </c>
      <c r="D261" s="19">
        <f>装备!K197</f>
        <v>0</v>
      </c>
      <c r="E261" s="19">
        <f>装备!L197</f>
        <v>0</v>
      </c>
      <c r="F261" s="19">
        <f>装备!M197</f>
        <v>0</v>
      </c>
      <c r="G261" s="19">
        <f>装备!N197</f>
        <v>0</v>
      </c>
      <c r="H261" s="19">
        <f>装备!O197</f>
        <v>0</v>
      </c>
      <c r="I261" s="19">
        <f>IF(装备!J197=0,0,"'"&amp;装备!J197&amp;"'")</f>
        <v>0</v>
      </c>
      <c r="J261" s="19">
        <f>IF(装备!K197=0,0,"'"&amp;装备!K197&amp;"'")</f>
        <v>0</v>
      </c>
      <c r="K261" s="19">
        <f>IF(装备!L197=0,0,"'"&amp;装备!L197&amp;"'")</f>
        <v>0</v>
      </c>
      <c r="L261" s="19">
        <f>IF(装备!M197=0,0,"'"&amp;装备!M197&amp;"'")</f>
        <v>0</v>
      </c>
      <c r="M261" s="19">
        <f>IF(装备!N197=0,0,"'"&amp;装备!N197&amp;"'")</f>
        <v>0</v>
      </c>
      <c r="N261" s="19">
        <f>IF(装备!O197=0,0,"'"&amp;装备!O197&amp;"'")</f>
        <v>0</v>
      </c>
      <c r="O261" s="19" t="str">
        <f>IF(I261=0,"","AddItemFormula("&amp;I261&amp;","&amp;J261&amp;","&amp;K261&amp;","&amp;L261&amp;","&amp;M261&amp;","&amp;N261&amp;","&amp;B261&amp;")")</f>
        <v/>
      </c>
      <c r="P261" s="19" t="str">
        <f t="shared" si="86"/>
        <v/>
      </c>
      <c r="Q261" s="23" t="str">
        <f>IFERROR(VLOOKUP(C261,装备!$B:$E,3,FALSE),"")</f>
        <v/>
      </c>
      <c r="R261" s="23" t="str">
        <f>IFERROR(VLOOKUP(D261,装备!$B:$E,3,FALSE),"")</f>
        <v/>
      </c>
      <c r="S261" s="23" t="str">
        <f>IFERROR(VLOOKUP(E261,装备!$B:$E,3,FALSE),"")</f>
        <v/>
      </c>
      <c r="T261" s="23" t="str">
        <f>IFERROR(VLOOKUP(F261,装备!$B:$E,3,FALSE),"")</f>
        <v/>
      </c>
      <c r="U261" s="23" t="str">
        <f>IFERROR(VLOOKUP(G261,装备!$B:$E,3,FALSE),"")</f>
        <v/>
      </c>
      <c r="V261" s="23" t="str">
        <f>IFERROR(VLOOKUP(H261,装备!$B:$E,3,FALSE),"")</f>
        <v/>
      </c>
      <c r="W261" s="18" t="str">
        <f t="shared" si="87"/>
        <v/>
      </c>
      <c r="X261" s="18" t="str">
        <f t="shared" si="87"/>
        <v/>
      </c>
      <c r="Y261" s="18" t="str">
        <f t="shared" si="87"/>
        <v/>
      </c>
      <c r="Z261" s="18" t="str">
        <f t="shared" si="87"/>
        <v/>
      </c>
      <c r="AA261" s="18" t="str">
        <f t="shared" si="87"/>
        <v/>
      </c>
      <c r="AB261" s="18" t="str">
        <f>"|n"&amp;Q261&amp;W261&amp;X261&amp;Y261&amp;Z261&amp;AA261&amp;"="&amp;A261</f>
        <v>|n=0</v>
      </c>
    </row>
    <row r="262" spans="1:28">
      <c r="A262" s="19">
        <f>装备!A198</f>
        <v>0</v>
      </c>
      <c r="B262" s="19" t="str">
        <f>"'"&amp;装备!B198&amp;"'"</f>
        <v>''</v>
      </c>
      <c r="C262" s="19">
        <f>装备!J198</f>
        <v>0</v>
      </c>
      <c r="D262" s="19">
        <f>装备!K198</f>
        <v>0</v>
      </c>
      <c r="E262" s="19">
        <f>装备!L198</f>
        <v>0</v>
      </c>
      <c r="F262" s="19">
        <f>装备!M198</f>
        <v>0</v>
      </c>
      <c r="G262" s="19">
        <f>装备!N198</f>
        <v>0</v>
      </c>
      <c r="H262" s="19">
        <f>装备!O198</f>
        <v>0</v>
      </c>
      <c r="I262" s="19">
        <f>IF(装备!J198=0,0,"'"&amp;装备!J198&amp;"'")</f>
        <v>0</v>
      </c>
      <c r="J262" s="19">
        <f>IF(装备!K198=0,0,"'"&amp;装备!K198&amp;"'")</f>
        <v>0</v>
      </c>
      <c r="K262" s="19">
        <f>IF(装备!L198=0,0,"'"&amp;装备!L198&amp;"'")</f>
        <v>0</v>
      </c>
      <c r="L262" s="19">
        <f>IF(装备!M198=0,0,"'"&amp;装备!M198&amp;"'")</f>
        <v>0</v>
      </c>
      <c r="M262" s="19">
        <f>IF(装备!N198=0,0,"'"&amp;装备!N198&amp;"'")</f>
        <v>0</v>
      </c>
      <c r="N262" s="19">
        <f>IF(装备!O198=0,0,"'"&amp;装备!O198&amp;"'")</f>
        <v>0</v>
      </c>
      <c r="O262" s="19" t="str">
        <f>IF(I262=0,"","AddItemFormula("&amp;I262&amp;","&amp;J262&amp;","&amp;K262&amp;","&amp;L262&amp;","&amp;M262&amp;","&amp;N262&amp;","&amp;B262&amp;")")</f>
        <v/>
      </c>
      <c r="P262" s="19" t="str">
        <f t="shared" si="86"/>
        <v/>
      </c>
      <c r="Q262" s="23" t="str">
        <f>IFERROR(VLOOKUP(C262,装备!$B:$E,3,FALSE),"")</f>
        <v/>
      </c>
      <c r="R262" s="23" t="str">
        <f>IFERROR(VLOOKUP(D262,装备!$B:$E,3,FALSE),"")</f>
        <v/>
      </c>
      <c r="S262" s="23" t="str">
        <f>IFERROR(VLOOKUP(E262,装备!$B:$E,3,FALSE),"")</f>
        <v/>
      </c>
      <c r="T262" s="23" t="str">
        <f>IFERROR(VLOOKUP(F262,装备!$B:$E,3,FALSE),"")</f>
        <v/>
      </c>
      <c r="U262" s="23" t="str">
        <f>IFERROR(VLOOKUP(G262,装备!$B:$E,3,FALSE),"")</f>
        <v/>
      </c>
      <c r="V262" s="23" t="str">
        <f>IFERROR(VLOOKUP(H262,装备!$B:$E,3,FALSE),"")</f>
        <v/>
      </c>
      <c r="W262" s="18" t="str">
        <f t="shared" si="87"/>
        <v/>
      </c>
      <c r="X262" s="18" t="str">
        <f t="shared" si="87"/>
        <v/>
      </c>
      <c r="Y262" s="18" t="str">
        <f t="shared" si="87"/>
        <v/>
      </c>
      <c r="Z262" s="18" t="str">
        <f t="shared" si="87"/>
        <v/>
      </c>
      <c r="AA262" s="18" t="str">
        <f t="shared" si="87"/>
        <v/>
      </c>
      <c r="AB262" s="18" t="str">
        <f>"|n"&amp;Q262&amp;W262&amp;X262&amp;Y262&amp;Z262&amp;AA262&amp;"="&amp;A262</f>
        <v>|n=0</v>
      </c>
    </row>
    <row r="263" spans="1:28">
      <c r="A263" s="19">
        <f>装备!A199</f>
        <v>0</v>
      </c>
      <c r="B263" s="19" t="str">
        <f>"'"&amp;装备!B199&amp;"'"</f>
        <v>''</v>
      </c>
      <c r="C263" s="19">
        <f>装备!J199</f>
        <v>0</v>
      </c>
      <c r="D263" s="19">
        <f>装备!K199</f>
        <v>0</v>
      </c>
      <c r="E263" s="19">
        <f>装备!L199</f>
        <v>0</v>
      </c>
      <c r="F263" s="19">
        <f>装备!M199</f>
        <v>0</v>
      </c>
      <c r="G263" s="19">
        <f>装备!N199</f>
        <v>0</v>
      </c>
      <c r="H263" s="19">
        <f>装备!O199</f>
        <v>0</v>
      </c>
      <c r="I263" s="19">
        <f>IF(装备!J199=0,0,"'"&amp;装备!J199&amp;"'")</f>
        <v>0</v>
      </c>
      <c r="J263" s="19">
        <f>IF(装备!K199=0,0,"'"&amp;装备!K199&amp;"'")</f>
        <v>0</v>
      </c>
      <c r="K263" s="19">
        <f>IF(装备!L199=0,0,"'"&amp;装备!L199&amp;"'")</f>
        <v>0</v>
      </c>
      <c r="L263" s="19">
        <f>IF(装备!M199=0,0,"'"&amp;装备!M199&amp;"'")</f>
        <v>0</v>
      </c>
      <c r="M263" s="19">
        <f>IF(装备!N199=0,0,"'"&amp;装备!N199&amp;"'")</f>
        <v>0</v>
      </c>
      <c r="N263" s="19">
        <f>IF(装备!O199=0,0,"'"&amp;装备!O199&amp;"'")</f>
        <v>0</v>
      </c>
      <c r="O263" s="19" t="str">
        <f>IF(I263=0,"","AddItemFormula("&amp;I263&amp;","&amp;J263&amp;","&amp;K263&amp;","&amp;L263&amp;","&amp;M263&amp;","&amp;N263&amp;","&amp;B263&amp;")")</f>
        <v/>
      </c>
      <c r="P263" s="19" t="str">
        <f t="shared" si="86"/>
        <v/>
      </c>
      <c r="Q263" s="23" t="str">
        <f>IFERROR(VLOOKUP(C263,装备!$B:$E,3,FALSE),"")</f>
        <v/>
      </c>
      <c r="R263" s="23" t="str">
        <f>IFERROR(VLOOKUP(D263,装备!$B:$E,3,FALSE),"")</f>
        <v/>
      </c>
      <c r="S263" s="23" t="str">
        <f>IFERROR(VLOOKUP(E263,装备!$B:$E,3,FALSE),"")</f>
        <v/>
      </c>
      <c r="T263" s="23" t="str">
        <f>IFERROR(VLOOKUP(F263,装备!$B:$E,3,FALSE),"")</f>
        <v/>
      </c>
      <c r="U263" s="23" t="str">
        <f>IFERROR(VLOOKUP(G263,装备!$B:$E,3,FALSE),"")</f>
        <v/>
      </c>
      <c r="V263" s="23" t="str">
        <f>IFERROR(VLOOKUP(H263,装备!$B:$E,3,FALSE),"")</f>
        <v/>
      </c>
      <c r="W263" s="18" t="str">
        <f t="shared" si="87"/>
        <v/>
      </c>
      <c r="X263" s="18" t="str">
        <f t="shared" si="87"/>
        <v/>
      </c>
      <c r="Y263" s="18" t="str">
        <f t="shared" si="87"/>
        <v/>
      </c>
      <c r="Z263" s="18" t="str">
        <f t="shared" si="87"/>
        <v/>
      </c>
      <c r="AA263" s="18" t="str">
        <f t="shared" si="87"/>
        <v/>
      </c>
      <c r="AB263" s="18" t="str">
        <f>"|n"&amp;Q263&amp;W263&amp;X263&amp;Y263&amp;Z263&amp;AA263&amp;"="&amp;A263</f>
        <v>|n=0</v>
      </c>
    </row>
  </sheetData>
  <phoneticPr fontId="15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workbookViewId="0">
      <selection activeCell="M76" sqref="M3:M76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8" t="s">
        <v>83</v>
      </c>
      <c r="B1" s="8" t="s">
        <v>82</v>
      </c>
      <c r="C1" s="8" t="s">
        <v>84</v>
      </c>
      <c r="D1" s="9" t="s">
        <v>85</v>
      </c>
      <c r="E1" s="9" t="s">
        <v>86</v>
      </c>
      <c r="F1" s="9" t="s">
        <v>850</v>
      </c>
      <c r="G1" s="9" t="s">
        <v>851</v>
      </c>
      <c r="H1" s="10" t="s">
        <v>852</v>
      </c>
      <c r="I1" s="11" t="s">
        <v>853</v>
      </c>
      <c r="J1" s="13" t="s">
        <v>291</v>
      </c>
      <c r="K1" s="14" t="s">
        <v>95</v>
      </c>
      <c r="L1" s="15" t="s">
        <v>96</v>
      </c>
      <c r="M1" s="16" t="s">
        <v>293</v>
      </c>
      <c r="N1" s="17" t="s">
        <v>294</v>
      </c>
    </row>
    <row r="2" spans="1:14">
      <c r="A2" s="89"/>
      <c r="B2" s="89"/>
      <c r="C2" s="89"/>
      <c r="D2" s="90"/>
      <c r="E2" s="90"/>
      <c r="F2" s="90"/>
      <c r="G2" s="90"/>
      <c r="H2" s="91"/>
      <c r="I2" s="91"/>
      <c r="J2" s="92"/>
      <c r="K2" s="93"/>
      <c r="L2" s="94"/>
      <c r="M2" s="95"/>
      <c r="N2" s="96"/>
    </row>
    <row r="3" spans="1:14">
      <c r="A3" t="str">
        <f>IF(装备!B3="",0,"'"&amp;装备!B3&amp;"'")</f>
        <v>'E001'</v>
      </c>
      <c r="B3">
        <f>装备!D4</f>
        <v>0</v>
      </c>
      <c r="C3">
        <f>装备!E3</f>
        <v>0</v>
      </c>
      <c r="D3">
        <f>装备!F3</f>
        <v>6000</v>
      </c>
      <c r="E3">
        <f>IF(ISTEXT(装备!G3)=TRUE,"'"&amp;装备!G3&amp;"'",装备!G3)</f>
        <v>0</v>
      </c>
      <c r="F3">
        <f>IF(ISTEXT(装备!H3)=TRUE,"'"&amp;装备!H3&amp;"'",装备!H3)</f>
        <v>0</v>
      </c>
      <c r="G3" t="str">
        <f>IF(装备!I3="",0,"'"&amp;装备!I3&amp;"'")</f>
        <v>'E002'</v>
      </c>
      <c r="H3">
        <f>IF(装备!R3="",0,装备!R3)</f>
        <v>0</v>
      </c>
      <c r="I3">
        <f>IF(装备!S3="",0,装备!S3)</f>
        <v>0</v>
      </c>
      <c r="J3" t="str">
        <f>IF(装备!C3="",0,""""&amp;装备!C3&amp;"""")</f>
        <v>"武器lv1"</v>
      </c>
      <c r="K3" t="str">
        <f>IF(装备!T3="","""""",""""&amp;装备!T3&amp;"""")</f>
        <v>""</v>
      </c>
      <c r="L3" t="str">
        <f>IF(装备!U3="",0,""""&amp;装备!U3&amp;"""")</f>
        <v>"ReplaceableTextures\\CommandButtons\\BTNE001.blp"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InitEquipData('E001',0,0,6000,0,0,'E002',0,0)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InitTypeIdStrings('E001',"武器lv1","ReplaceableTextures\\CommandButtons\\BTNE001.blp","")</v>
      </c>
    </row>
    <row r="4" spans="1:14">
      <c r="A4" t="str">
        <f>IF(装备!B4="",0,"'"&amp;装备!B4&amp;"'")</f>
        <v>'E002'</v>
      </c>
      <c r="B4">
        <f>装备!D5</f>
        <v>0</v>
      </c>
      <c r="C4">
        <f>装备!E4</f>
        <v>0</v>
      </c>
      <c r="D4">
        <f>装备!F4</f>
        <v>9000</v>
      </c>
      <c r="E4">
        <f>IF(ISTEXT(装备!G4)=TRUE,"'"&amp;装备!G4&amp;"'",装备!G4)</f>
        <v>0</v>
      </c>
      <c r="F4">
        <f>IF(ISTEXT(装备!H4)=TRUE,"'"&amp;装备!H4&amp;"'",装备!H4)</f>
        <v>0</v>
      </c>
      <c r="G4" t="str">
        <f>IF(装备!I4="",0,"'"&amp;装备!I4&amp;"'")</f>
        <v>'E003'</v>
      </c>
      <c r="H4">
        <f>IF(装备!R4="",0,装备!R4)</f>
        <v>0</v>
      </c>
      <c r="I4">
        <f>IF(装备!S4="",0,装备!S4)</f>
        <v>0</v>
      </c>
      <c r="J4" t="str">
        <f>IF(装备!C4="",0,""""&amp;装备!C4&amp;"""")</f>
        <v>"武器lv2"</v>
      </c>
      <c r="K4" t="str">
        <f>IF(装备!T4="","""""",""""&amp;装备!T4&amp;"""")</f>
        <v>""</v>
      </c>
      <c r="L4" t="str">
        <f>IF(装备!U4="",0,""""&amp;装备!U4&amp;"""")</f>
        <v>"ReplaceableTextures\\CommandButtons\\BTNE002.blp"</v>
      </c>
      <c r="M4" t="str">
        <f t="shared" si="0"/>
        <v>InitEquipData('E002',0,0,9000,0,0,'E003',0,0)</v>
      </c>
      <c r="N4" t="str">
        <f t="shared" si="1"/>
        <v>call InitTypeIdStrings('E002',"武器lv2","ReplaceableTextures\\CommandButtons\\BTNE002.blp","")</v>
      </c>
    </row>
    <row r="5" spans="1:14">
      <c r="A5" t="str">
        <f>IF(装备!B5="",0,"'"&amp;装备!B5&amp;"'")</f>
        <v>'E003'</v>
      </c>
      <c r="B5">
        <f>装备!D6</f>
        <v>0</v>
      </c>
      <c r="C5">
        <f>装备!E5</f>
        <v>0</v>
      </c>
      <c r="D5">
        <f>装备!F5</f>
        <v>12000</v>
      </c>
      <c r="E5">
        <f>IF(ISTEXT(装备!G5)=TRUE,"'"&amp;装备!G5&amp;"'",装备!G5)</f>
        <v>0</v>
      </c>
      <c r="F5">
        <f>IF(ISTEXT(装备!H5)=TRUE,"'"&amp;装备!H5&amp;"'",装备!H5)</f>
        <v>0</v>
      </c>
      <c r="G5" t="str">
        <f>IF(装备!I5="",0,"'"&amp;装备!I5&amp;"'")</f>
        <v>'E004'</v>
      </c>
      <c r="H5">
        <f>IF(装备!R5="",0,装备!R5)</f>
        <v>0</v>
      </c>
      <c r="I5">
        <f>IF(装备!S5="",0,装备!S5)</f>
        <v>0</v>
      </c>
      <c r="J5" t="str">
        <f>IF(装备!C5="",0,""""&amp;装备!C5&amp;"""")</f>
        <v>"武器lv3"</v>
      </c>
      <c r="K5" t="str">
        <f>IF(装备!T5="","""""",""""&amp;装备!T5&amp;"""")</f>
        <v>""</v>
      </c>
      <c r="L5" t="str">
        <f>IF(装备!U5="",0,""""&amp;装备!U5&amp;"""")</f>
        <v>"ReplaceableTextures\\CommandButtons\\BTNE003.blp"</v>
      </c>
      <c r="M5" t="str">
        <f t="shared" si="0"/>
        <v>InitEquipData('E003',0,0,12000,0,0,'E004',0,0)</v>
      </c>
      <c r="N5" t="str">
        <f t="shared" si="1"/>
        <v>call InitTypeIdStrings('E003',"武器lv3","ReplaceableTextures\\CommandButtons\\BTNE003.blp","")</v>
      </c>
    </row>
    <row r="6" spans="1:14">
      <c r="A6" t="str">
        <f>IF(装备!B6="",0,"'"&amp;装备!B6&amp;"'")</f>
        <v>'E004'</v>
      </c>
      <c r="B6">
        <f>装备!D7</f>
        <v>0</v>
      </c>
      <c r="C6">
        <f>装备!E6</f>
        <v>0</v>
      </c>
      <c r="D6">
        <f>装备!F6</f>
        <v>15000</v>
      </c>
      <c r="E6">
        <f>IF(ISTEXT(装备!G6)=TRUE,"'"&amp;装备!G6&amp;"'",装备!G6)</f>
        <v>0</v>
      </c>
      <c r="F6">
        <f>IF(ISTEXT(装备!H6)=TRUE,"'"&amp;装备!H6&amp;"'",装备!H6)</f>
        <v>0</v>
      </c>
      <c r="G6" t="str">
        <f>IF(装备!I6="",0,"'"&amp;装备!I6&amp;"'")</f>
        <v>'E005'</v>
      </c>
      <c r="H6">
        <f>IF(装备!R6="",0,装备!R6)</f>
        <v>0</v>
      </c>
      <c r="I6">
        <f>IF(装备!S6="",0,装备!S6)</f>
        <v>0</v>
      </c>
      <c r="J6" t="str">
        <f>IF(装备!C6="",0,""""&amp;装备!C6&amp;"""")</f>
        <v>"武器lv4"</v>
      </c>
      <c r="K6" t="str">
        <f>IF(装备!T6="","""""",""""&amp;装备!T6&amp;"""")</f>
        <v>""</v>
      </c>
      <c r="L6" t="str">
        <f>IF(装备!U6="",0,""""&amp;装备!U6&amp;"""")</f>
        <v>"ReplaceableTextures\\CommandButtons\\BTNE004.blp"</v>
      </c>
      <c r="M6" t="str">
        <f t="shared" si="0"/>
        <v>InitEquipData('E004',0,0,15000,0,0,'E005',0,0)</v>
      </c>
      <c r="N6" t="str">
        <f t="shared" si="1"/>
        <v>call InitTypeIdStrings('E004',"武器lv4","ReplaceableTextures\\CommandButtons\\BTNE004.blp","")</v>
      </c>
    </row>
    <row r="7" spans="1:14">
      <c r="A7" t="str">
        <f>IF(装备!B7="",0,"'"&amp;装备!B7&amp;"'")</f>
        <v>'E005'</v>
      </c>
      <c r="B7">
        <f>装备!D8</f>
        <v>0</v>
      </c>
      <c r="C7">
        <f>装备!E7</f>
        <v>0</v>
      </c>
      <c r="D7">
        <f>装备!F7</f>
        <v>18000</v>
      </c>
      <c r="E7">
        <f>IF(ISTEXT(装备!G7)=TRUE,"'"&amp;装备!G7&amp;"'",装备!G7)</f>
        <v>0</v>
      </c>
      <c r="F7" t="str">
        <f>IF(ISTEXT(装备!H7)=TRUE,"'"&amp;装备!H7&amp;"'",装备!H7)</f>
        <v>'uE01'</v>
      </c>
      <c r="G7" t="str">
        <f>IF(装备!I7="",0,"'"&amp;装备!I7&amp;"'")</f>
        <v>'E006'</v>
      </c>
      <c r="H7">
        <f>IF(装备!R7="",0,装备!R7)</f>
        <v>0</v>
      </c>
      <c r="I7">
        <f>IF(装备!S7="",0,装备!S7)</f>
        <v>0</v>
      </c>
      <c r="J7" t="str">
        <f>IF(装备!C7="",0,""""&amp;装备!C7&amp;"""")</f>
        <v>"武器lv5"</v>
      </c>
      <c r="K7" t="str">
        <f>IF(装备!T7="","""""",""""&amp;装备!T7&amp;"""")</f>
        <v>""</v>
      </c>
      <c r="L7" t="str">
        <f>IF(装备!U7="",0,""""&amp;装备!U7&amp;"""")</f>
        <v>"ReplaceableTextures\\CommandButtons\\BTNE005.blp"</v>
      </c>
      <c r="M7" t="str">
        <f t="shared" si="0"/>
        <v>InitEquipData('E005',0,0,18000,0,'uE01','E006',0,0)</v>
      </c>
      <c r="N7" t="str">
        <f t="shared" si="1"/>
        <v>call InitTypeIdStrings('E005',"武器lv5","ReplaceableTextures\\CommandButtons\\BTNE005.blp","")</v>
      </c>
    </row>
    <row r="8" spans="1:14">
      <c r="A8" t="str">
        <f>IF(装备!B8="",0,"'"&amp;装备!B8&amp;"'")</f>
        <v>'E006'</v>
      </c>
      <c r="B8">
        <f>装备!D9</f>
        <v>0</v>
      </c>
      <c r="C8">
        <f>装备!E8</f>
        <v>0</v>
      </c>
      <c r="D8">
        <f>装备!F8</f>
        <v>18600</v>
      </c>
      <c r="E8">
        <f>IF(ISTEXT(装备!G8)=TRUE,"'"&amp;装备!G8&amp;"'",装备!G8)</f>
        <v>0</v>
      </c>
      <c r="F8">
        <f>IF(ISTEXT(装备!H8)=TRUE,"'"&amp;装备!H8&amp;"'",装备!H8)</f>
        <v>0</v>
      </c>
      <c r="G8" t="str">
        <f>IF(装备!I8="",0,"'"&amp;装备!I8&amp;"'")</f>
        <v>'E007'</v>
      </c>
      <c r="H8">
        <f>IF(装备!R8="",0,装备!R8)</f>
        <v>0</v>
      </c>
      <c r="I8">
        <f>IF(装备!S8="",0,装备!S8)</f>
        <v>0</v>
      </c>
      <c r="J8" t="str">
        <f>IF(装备!C8="",0,""""&amp;装备!C8&amp;"""")</f>
        <v>"武器lv6"</v>
      </c>
      <c r="K8" t="str">
        <f>IF(装备!T8="","""""",""""&amp;装备!T8&amp;"""")</f>
        <v>""</v>
      </c>
      <c r="L8" t="str">
        <f>IF(装备!U8="",0,""""&amp;装备!U8&amp;"""")</f>
        <v>"ReplaceableTextures\\CommandButtons\\BTNE006.blp"</v>
      </c>
      <c r="M8" t="str">
        <f t="shared" si="0"/>
        <v>InitEquipData('E006',0,0,18600,0,0,'E007',0,0)</v>
      </c>
      <c r="N8" t="str">
        <f t="shared" si="1"/>
        <v>call InitTypeIdStrings('E006',"武器lv6","ReplaceableTextures\\CommandButtons\\BTNE006.blp","")</v>
      </c>
    </row>
    <row r="9" spans="1:14">
      <c r="A9" t="str">
        <f>IF(装备!B9="",0,"'"&amp;装备!B9&amp;"'")</f>
        <v>'E007'</v>
      </c>
      <c r="B9">
        <f>装备!D10</f>
        <v>0</v>
      </c>
      <c r="C9">
        <f>装备!E9</f>
        <v>0</v>
      </c>
      <c r="D9">
        <f>装备!F9</f>
        <v>19200</v>
      </c>
      <c r="E9">
        <f>IF(ISTEXT(装备!G9)=TRUE,"'"&amp;装备!G9&amp;"'",装备!G9)</f>
        <v>0</v>
      </c>
      <c r="F9">
        <f>IF(ISTEXT(装备!H9)=TRUE,"'"&amp;装备!H9&amp;"'",装备!H9)</f>
        <v>0</v>
      </c>
      <c r="G9" t="str">
        <f>IF(装备!I9="",0,"'"&amp;装备!I9&amp;"'")</f>
        <v>'E008'</v>
      </c>
      <c r="H9">
        <f>IF(装备!R9="",0,装备!R9)</f>
        <v>0</v>
      </c>
      <c r="I9">
        <f>IF(装备!S9="",0,装备!S9)</f>
        <v>0</v>
      </c>
      <c r="J9" t="str">
        <f>IF(装备!C9="",0,""""&amp;装备!C9&amp;"""")</f>
        <v>"武器lv7"</v>
      </c>
      <c r="K9" t="str">
        <f>IF(装备!T9="","""""",""""&amp;装备!T9&amp;"""")</f>
        <v>""</v>
      </c>
      <c r="L9" t="str">
        <f>IF(装备!U9="",0,""""&amp;装备!U9&amp;"""")</f>
        <v>"ReplaceableTextures\\CommandButtons\\BTNE007.blp"</v>
      </c>
      <c r="M9" t="str">
        <f t="shared" si="0"/>
        <v>InitEquipData('E007',0,0,19200,0,0,'E008',0,0)</v>
      </c>
      <c r="N9" t="str">
        <f t="shared" si="1"/>
        <v>call InitTypeIdStrings('E007',"武器lv7","ReplaceableTextures\\CommandButtons\\BTNE007.blp","")</v>
      </c>
    </row>
    <row r="10" spans="1:14">
      <c r="A10" t="str">
        <f>IF(装备!B10="",0,"'"&amp;装备!B10&amp;"'")</f>
        <v>'E008'</v>
      </c>
      <c r="B10">
        <f>装备!D11</f>
        <v>0</v>
      </c>
      <c r="C10">
        <f>装备!E10</f>
        <v>0</v>
      </c>
      <c r="D10">
        <f>装备!F10</f>
        <v>19800</v>
      </c>
      <c r="E10">
        <f>IF(ISTEXT(装备!G10)=TRUE,"'"&amp;装备!G10&amp;"'",装备!G10)</f>
        <v>0</v>
      </c>
      <c r="F10">
        <f>IF(ISTEXT(装备!H10)=TRUE,"'"&amp;装备!H10&amp;"'",装备!H10)</f>
        <v>0</v>
      </c>
      <c r="G10" t="str">
        <f>IF(装备!I10="",0,"'"&amp;装备!I10&amp;"'")</f>
        <v>'E009'</v>
      </c>
      <c r="H10">
        <f>IF(装备!R10="",0,装备!R10)</f>
        <v>0</v>
      </c>
      <c r="I10">
        <f>IF(装备!S10="",0,装备!S10)</f>
        <v>0</v>
      </c>
      <c r="J10" t="str">
        <f>IF(装备!C10="",0,""""&amp;装备!C10&amp;"""")</f>
        <v>"武器lv8"</v>
      </c>
      <c r="K10" t="str">
        <f>IF(装备!T10="","""""",""""&amp;装备!T10&amp;"""")</f>
        <v>""</v>
      </c>
      <c r="L10" t="str">
        <f>IF(装备!U10="",0,""""&amp;装备!U10&amp;"""")</f>
        <v>"ReplaceableTextures\\CommandButtons\\BTNE008.blp"</v>
      </c>
      <c r="M10" t="str">
        <f t="shared" si="0"/>
        <v>InitEquipData('E008',0,0,19800,0,0,'E009',0,0)</v>
      </c>
      <c r="N10" t="str">
        <f t="shared" si="1"/>
        <v>call InitTypeIdStrings('E008',"武器lv8","ReplaceableTextures\\CommandButtons\\BTNE008.blp","")</v>
      </c>
    </row>
    <row r="11" spans="1:14">
      <c r="A11" t="str">
        <f>IF(装备!B11="",0,"'"&amp;装备!B11&amp;"'")</f>
        <v>'E009'</v>
      </c>
      <c r="B11">
        <f>装备!D12</f>
        <v>0</v>
      </c>
      <c r="C11">
        <f>装备!E11</f>
        <v>0</v>
      </c>
      <c r="D11">
        <f>装备!F11</f>
        <v>20400</v>
      </c>
      <c r="E11">
        <f>IF(ISTEXT(装备!G11)=TRUE,"'"&amp;装备!G11&amp;"'",装备!G11)</f>
        <v>0</v>
      </c>
      <c r="F11">
        <f>IF(ISTEXT(装备!H11)=TRUE,"'"&amp;装备!H11&amp;"'",装备!H11)</f>
        <v>0</v>
      </c>
      <c r="G11" t="str">
        <f>IF(装备!I11="",0,"'"&amp;装备!I11&amp;"'")</f>
        <v>'E010'</v>
      </c>
      <c r="H11">
        <f>IF(装备!R11="",0,装备!R11)</f>
        <v>0</v>
      </c>
      <c r="I11">
        <f>IF(装备!S11="",0,装备!S11)</f>
        <v>0</v>
      </c>
      <c r="J11" t="str">
        <f>IF(装备!C11="",0,""""&amp;装备!C11&amp;"""")</f>
        <v>"武器lv9"</v>
      </c>
      <c r="K11" t="str">
        <f>IF(装备!T11="","""""",""""&amp;装备!T11&amp;"""")</f>
        <v>""</v>
      </c>
      <c r="L11" t="str">
        <f>IF(装备!U11="",0,""""&amp;装备!U11&amp;"""")</f>
        <v>"ReplaceableTextures\\CommandButtons\\BTNE009.blp"</v>
      </c>
      <c r="M11" t="str">
        <f t="shared" si="0"/>
        <v>InitEquipData('E009',0,0,20400,0,0,'E010',0,0)</v>
      </c>
      <c r="N11" t="str">
        <f t="shared" si="1"/>
        <v>call InitTypeIdStrings('E009',"武器lv9","ReplaceableTextures\\CommandButtons\\BTNE009.blp","")</v>
      </c>
    </row>
    <row r="12" spans="1:14">
      <c r="A12" t="str">
        <f>IF(装备!B12="",0,"'"&amp;装备!B12&amp;"'")</f>
        <v>'E010'</v>
      </c>
      <c r="B12">
        <f>装备!D13</f>
        <v>0</v>
      </c>
      <c r="C12">
        <f>装备!E12</f>
        <v>0</v>
      </c>
      <c r="D12">
        <f>装备!F12</f>
        <v>21000</v>
      </c>
      <c r="E12">
        <f>IF(ISTEXT(装备!G12)=TRUE,"'"&amp;装备!G12&amp;"'",装备!G12)</f>
        <v>0</v>
      </c>
      <c r="F12" t="str">
        <f>IF(ISTEXT(装备!H12)=TRUE,"'"&amp;装备!H12&amp;"'",装备!H12)</f>
        <v>'uE02'</v>
      </c>
      <c r="G12" t="str">
        <f>IF(装备!I12="",0,"'"&amp;装备!I12&amp;"'")</f>
        <v>'E011'</v>
      </c>
      <c r="H12">
        <f>IF(装备!R12="",0,装备!R12)</f>
        <v>0</v>
      </c>
      <c r="I12">
        <f>IF(装备!S12="",0,装备!S12)</f>
        <v>0</v>
      </c>
      <c r="J12" t="str">
        <f>IF(装备!C12="",0,""""&amp;装备!C12&amp;"""")</f>
        <v>"武器lv10"</v>
      </c>
      <c r="K12" t="str">
        <f>IF(装备!T12="","""""",""""&amp;装备!T12&amp;"""")</f>
        <v>""</v>
      </c>
      <c r="L12" t="str">
        <f>IF(装备!U12="",0,""""&amp;装备!U12&amp;"""")</f>
        <v>"ReplaceableTextures\\CommandButtons\\BTNE010.blp"</v>
      </c>
      <c r="M12" t="str">
        <f t="shared" si="0"/>
        <v>InitEquipData('E010',0,0,21000,0,'uE02','E011',0,0)</v>
      </c>
      <c r="N12" t="str">
        <f t="shared" si="1"/>
        <v>call InitTypeIdStrings('E010',"武器lv10","ReplaceableTextures\\CommandButtons\\BTNE010.blp","")</v>
      </c>
    </row>
    <row r="13" spans="1:14">
      <c r="A13" t="str">
        <f>IF(装备!B13="",0,"'"&amp;装备!B13&amp;"'")</f>
        <v>'E011'</v>
      </c>
      <c r="B13">
        <f>装备!D14</f>
        <v>0</v>
      </c>
      <c r="C13">
        <f>装备!E13</f>
        <v>0</v>
      </c>
      <c r="D13">
        <f>装备!F13</f>
        <v>21800</v>
      </c>
      <c r="E13">
        <f>IF(ISTEXT(装备!G13)=TRUE,"'"&amp;装备!G13&amp;"'",装备!G13)</f>
        <v>0</v>
      </c>
      <c r="F13">
        <f>IF(ISTEXT(装备!H13)=TRUE,"'"&amp;装备!H13&amp;"'",装备!H13)</f>
        <v>0</v>
      </c>
      <c r="G13" t="str">
        <f>IF(装备!I13="",0,"'"&amp;装备!I13&amp;"'")</f>
        <v>'E012'</v>
      </c>
      <c r="H13">
        <f>IF(装备!R13="",0,装备!R13)</f>
        <v>0</v>
      </c>
      <c r="I13">
        <f>IF(装备!S13="",0,装备!S13)</f>
        <v>0</v>
      </c>
      <c r="J13" t="str">
        <f>IF(装备!C13="",0,""""&amp;装备!C13&amp;"""")</f>
        <v>"武器lv11"</v>
      </c>
      <c r="K13" t="str">
        <f>IF(装备!T13="","""""",""""&amp;装备!T13&amp;"""")</f>
        <v>""</v>
      </c>
      <c r="L13" t="str">
        <f>IF(装备!U13="",0,""""&amp;装备!U13&amp;"""")</f>
        <v>"ReplaceableTextures\\CommandButtons\\BTNE011.blp"</v>
      </c>
      <c r="M13" t="str">
        <f t="shared" si="0"/>
        <v>InitEquipData('E011',0,0,21800,0,0,'E012',0,0)</v>
      </c>
      <c r="N13" t="str">
        <f t="shared" si="1"/>
        <v>call InitTypeIdStrings('E011',"武器lv11","ReplaceableTextures\\CommandButtons\\BTNE011.blp","")</v>
      </c>
    </row>
    <row r="14" spans="1:14">
      <c r="A14" t="str">
        <f>IF(装备!B14="",0,"'"&amp;装备!B14&amp;"'")</f>
        <v>'E012'</v>
      </c>
      <c r="B14">
        <f>装备!D15</f>
        <v>0</v>
      </c>
      <c r="C14">
        <f>装备!E14</f>
        <v>0</v>
      </c>
      <c r="D14">
        <f>装备!F14</f>
        <v>22600</v>
      </c>
      <c r="E14">
        <f>IF(ISTEXT(装备!G14)=TRUE,"'"&amp;装备!G14&amp;"'",装备!G14)</f>
        <v>0</v>
      </c>
      <c r="F14">
        <f>IF(ISTEXT(装备!H14)=TRUE,"'"&amp;装备!H14&amp;"'",装备!H14)</f>
        <v>0</v>
      </c>
      <c r="G14" t="str">
        <f>IF(装备!I14="",0,"'"&amp;装备!I14&amp;"'")</f>
        <v>'E013'</v>
      </c>
      <c r="H14">
        <f>IF(装备!R14="",0,装备!R14)</f>
        <v>0</v>
      </c>
      <c r="I14">
        <f>IF(装备!S14="",0,装备!S14)</f>
        <v>0</v>
      </c>
      <c r="J14" t="str">
        <f>IF(装备!C14="",0,""""&amp;装备!C14&amp;"""")</f>
        <v>"武器lv12"</v>
      </c>
      <c r="K14" t="str">
        <f>IF(装备!T14="","""""",""""&amp;装备!T14&amp;"""")</f>
        <v>""</v>
      </c>
      <c r="L14" t="str">
        <f>IF(装备!U14="",0,""""&amp;装备!U14&amp;"""")</f>
        <v>"ReplaceableTextures\\CommandButtons\\BTNE012.blp"</v>
      </c>
      <c r="M14" t="str">
        <f t="shared" si="0"/>
        <v>InitEquipData('E012',0,0,22600,0,0,'E013',0,0)</v>
      </c>
      <c r="N14" t="str">
        <f t="shared" si="1"/>
        <v>call InitTypeIdStrings('E012',"武器lv12","ReplaceableTextures\\CommandButtons\\BTNE012.blp","")</v>
      </c>
    </row>
    <row r="15" spans="1:14">
      <c r="A15" t="str">
        <f>IF(装备!B15="",0,"'"&amp;装备!B15&amp;"'")</f>
        <v>'E013'</v>
      </c>
      <c r="B15">
        <f>装备!D16</f>
        <v>0</v>
      </c>
      <c r="C15">
        <f>装备!E15</f>
        <v>0</v>
      </c>
      <c r="D15">
        <f>装备!F15</f>
        <v>23400</v>
      </c>
      <c r="E15">
        <f>IF(ISTEXT(装备!G15)=TRUE,"'"&amp;装备!G15&amp;"'",装备!G15)</f>
        <v>0</v>
      </c>
      <c r="F15">
        <f>IF(ISTEXT(装备!H15)=TRUE,"'"&amp;装备!H15&amp;"'",装备!H15)</f>
        <v>0</v>
      </c>
      <c r="G15" t="str">
        <f>IF(装备!I15="",0,"'"&amp;装备!I15&amp;"'")</f>
        <v>'E014'</v>
      </c>
      <c r="H15">
        <f>IF(装备!R15="",0,装备!R15)</f>
        <v>0</v>
      </c>
      <c r="I15">
        <f>IF(装备!S15="",0,装备!S15)</f>
        <v>0</v>
      </c>
      <c r="J15" t="str">
        <f>IF(装备!C15="",0,""""&amp;装备!C15&amp;"""")</f>
        <v>"武器lv13"</v>
      </c>
      <c r="K15" t="str">
        <f>IF(装备!T15="","""""",""""&amp;装备!T15&amp;"""")</f>
        <v>""</v>
      </c>
      <c r="L15" t="str">
        <f>IF(装备!U15="",0,""""&amp;装备!U15&amp;"""")</f>
        <v>"ReplaceableTextures\\CommandButtons\\BTNE013.blp"</v>
      </c>
      <c r="M15" t="str">
        <f t="shared" si="0"/>
        <v>InitEquipData('E013',0,0,23400,0,0,'E014',0,0)</v>
      </c>
      <c r="N15" t="str">
        <f t="shared" si="1"/>
        <v>call InitTypeIdStrings('E013',"武器lv13","ReplaceableTextures\\CommandButtons\\BTNE013.blp","")</v>
      </c>
    </row>
    <row r="16" spans="1:14">
      <c r="A16" t="str">
        <f>IF(装备!B16="",0,"'"&amp;装备!B16&amp;"'")</f>
        <v>'E014'</v>
      </c>
      <c r="B16">
        <f>装备!D17</f>
        <v>0</v>
      </c>
      <c r="C16">
        <f>装备!E16</f>
        <v>0</v>
      </c>
      <c r="D16">
        <f>装备!F16</f>
        <v>24200</v>
      </c>
      <c r="E16">
        <f>IF(ISTEXT(装备!G16)=TRUE,"'"&amp;装备!G16&amp;"'",装备!G16)</f>
        <v>0</v>
      </c>
      <c r="F16">
        <f>IF(ISTEXT(装备!H16)=TRUE,"'"&amp;装备!H16&amp;"'",装备!H16)</f>
        <v>0</v>
      </c>
      <c r="G16" t="str">
        <f>IF(装备!I16="",0,"'"&amp;装备!I16&amp;"'")</f>
        <v>'E015'</v>
      </c>
      <c r="H16">
        <f>IF(装备!R16="",0,装备!R16)</f>
        <v>0</v>
      </c>
      <c r="I16">
        <f>IF(装备!S16="",0,装备!S16)</f>
        <v>0</v>
      </c>
      <c r="J16" t="str">
        <f>IF(装备!C16="",0,""""&amp;装备!C16&amp;"""")</f>
        <v>"武器lv14"</v>
      </c>
      <c r="K16" t="str">
        <f>IF(装备!T16="","""""",""""&amp;装备!T16&amp;"""")</f>
        <v>""</v>
      </c>
      <c r="L16" t="str">
        <f>IF(装备!U16="",0,""""&amp;装备!U16&amp;"""")</f>
        <v>"ReplaceableTextures\\CommandButtons\\BTNE014.blp"</v>
      </c>
      <c r="M16" t="str">
        <f t="shared" si="0"/>
        <v>InitEquipData('E014',0,0,24200,0,0,'E015',0,0)</v>
      </c>
      <c r="N16" t="str">
        <f t="shared" si="1"/>
        <v>call InitTypeIdStrings('E014',"武器lv14","ReplaceableTextures\\CommandButtons\\BTNE014.blp","")</v>
      </c>
    </row>
    <row r="17" spans="1:14">
      <c r="A17" t="str">
        <f>IF(装备!B17="",0,"'"&amp;装备!B17&amp;"'")</f>
        <v>'E015'</v>
      </c>
      <c r="B17">
        <f>装备!D18</f>
        <v>0</v>
      </c>
      <c r="C17">
        <f>装备!E17</f>
        <v>0</v>
      </c>
      <c r="D17">
        <f>装备!F17</f>
        <v>25000</v>
      </c>
      <c r="E17">
        <f>IF(ISTEXT(装备!G17)=TRUE,"'"&amp;装备!G17&amp;"'",装备!G17)</f>
        <v>0</v>
      </c>
      <c r="F17" t="str">
        <f>IF(ISTEXT(装备!H17)=TRUE,"'"&amp;装备!H17&amp;"'",装备!H17)</f>
        <v>'uE03'</v>
      </c>
      <c r="G17" t="str">
        <f>IF(装备!I17="",0,"'"&amp;装备!I17&amp;"'")</f>
        <v>'E016'</v>
      </c>
      <c r="H17">
        <f>IF(装备!R17="",0,装备!R17)</f>
        <v>0</v>
      </c>
      <c r="I17">
        <f>IF(装备!S17="",0,装备!S17)</f>
        <v>0</v>
      </c>
      <c r="J17" t="str">
        <f>IF(装备!C17="",0,""""&amp;装备!C17&amp;"""")</f>
        <v>"武器lv15"</v>
      </c>
      <c r="K17" t="str">
        <f>IF(装备!T17="","""""",""""&amp;装备!T17&amp;"""")</f>
        <v>""</v>
      </c>
      <c r="L17" t="str">
        <f>IF(装备!U17="",0,""""&amp;装备!U17&amp;"""")</f>
        <v>"ReplaceableTextures\\CommandButtons\\BTNE015.blp"</v>
      </c>
      <c r="M17" t="str">
        <f t="shared" si="0"/>
        <v>InitEquipData('E015',0,0,25000,0,'uE03','E016',0,0)</v>
      </c>
      <c r="N17" t="str">
        <f t="shared" si="1"/>
        <v>call InitTypeIdStrings('E015',"武器lv15","ReplaceableTextures\\CommandButtons\\BTNE015.blp","")</v>
      </c>
    </row>
    <row r="18" spans="1:14">
      <c r="A18" t="str">
        <f>IF(装备!B18="",0,"'"&amp;装备!B18&amp;"'")</f>
        <v>'E016'</v>
      </c>
      <c r="B18">
        <f>装备!D19</f>
        <v>0</v>
      </c>
      <c r="C18">
        <f>装备!E18</f>
        <v>0</v>
      </c>
      <c r="D18">
        <f>装备!F18</f>
        <v>26000</v>
      </c>
      <c r="E18">
        <f>IF(ISTEXT(装备!G18)=TRUE,"'"&amp;装备!G18&amp;"'",装备!G18)</f>
        <v>0</v>
      </c>
      <c r="F18">
        <f>IF(ISTEXT(装备!H18)=TRUE,"'"&amp;装备!H18&amp;"'",装备!H18)</f>
        <v>0</v>
      </c>
      <c r="G18" t="str">
        <f>IF(装备!I18="",0,"'"&amp;装备!I18&amp;"'")</f>
        <v>'E017'</v>
      </c>
      <c r="H18">
        <f>IF(装备!R18="",0,装备!R18)</f>
        <v>0</v>
      </c>
      <c r="I18">
        <f>IF(装备!S18="",0,装备!S18)</f>
        <v>0</v>
      </c>
      <c r="J18" t="str">
        <f>IF(装备!C18="",0,""""&amp;装备!C18&amp;"""")</f>
        <v>"武器lv16"</v>
      </c>
      <c r="K18" t="str">
        <f>IF(装备!T18="","""""",""""&amp;装备!T18&amp;"""")</f>
        <v>""</v>
      </c>
      <c r="L18" t="str">
        <f>IF(装备!U18="",0,""""&amp;装备!U18&amp;"""")</f>
        <v>"ReplaceableTextures\\CommandButtons\\BTNE016.blp"</v>
      </c>
      <c r="M18" t="str">
        <f t="shared" si="0"/>
        <v>InitEquipData('E016',0,0,26000,0,0,'E017',0,0)</v>
      </c>
      <c r="N18" t="str">
        <f t="shared" si="1"/>
        <v>call InitTypeIdStrings('E016',"武器lv16","ReplaceableTextures\\CommandButtons\\BTNE016.blp","")</v>
      </c>
    </row>
    <row r="19" spans="1:14">
      <c r="A19" t="str">
        <f>IF(装备!B19="",0,"'"&amp;装备!B19&amp;"'")</f>
        <v>'E017'</v>
      </c>
      <c r="B19">
        <f>装备!D20</f>
        <v>0</v>
      </c>
      <c r="C19">
        <f>装备!E19</f>
        <v>0</v>
      </c>
      <c r="D19">
        <f>装备!F19</f>
        <v>27000</v>
      </c>
      <c r="E19">
        <f>IF(ISTEXT(装备!G19)=TRUE,"'"&amp;装备!G19&amp;"'",装备!G19)</f>
        <v>0</v>
      </c>
      <c r="F19">
        <f>IF(ISTEXT(装备!H19)=TRUE,"'"&amp;装备!H19&amp;"'",装备!H19)</f>
        <v>0</v>
      </c>
      <c r="G19" t="str">
        <f>IF(装备!I19="",0,"'"&amp;装备!I19&amp;"'")</f>
        <v>'E018'</v>
      </c>
      <c r="H19">
        <f>IF(装备!R19="",0,装备!R19)</f>
        <v>0</v>
      </c>
      <c r="I19">
        <f>IF(装备!S19="",0,装备!S19)</f>
        <v>0</v>
      </c>
      <c r="J19" t="str">
        <f>IF(装备!C19="",0,""""&amp;装备!C19&amp;"""")</f>
        <v>"武器lv17"</v>
      </c>
      <c r="K19" t="str">
        <f>IF(装备!T19="","""""",""""&amp;装备!T19&amp;"""")</f>
        <v>""</v>
      </c>
      <c r="L19" t="str">
        <f>IF(装备!U19="",0,""""&amp;装备!U19&amp;"""")</f>
        <v>"ReplaceableTextures\\CommandButtons\\BTNE017.blp"</v>
      </c>
      <c r="M19" t="str">
        <f t="shared" si="0"/>
        <v>InitEquipData('E017',0,0,27000,0,0,'E018',0,0)</v>
      </c>
      <c r="N19" t="str">
        <f t="shared" si="1"/>
        <v>call InitTypeIdStrings('E017',"武器lv17","ReplaceableTextures\\CommandButtons\\BTNE017.blp","")</v>
      </c>
    </row>
    <row r="20" spans="1:14">
      <c r="A20" t="str">
        <f>IF(装备!B20="",0,"'"&amp;装备!B20&amp;"'")</f>
        <v>'E018'</v>
      </c>
      <c r="B20">
        <f>装备!D21</f>
        <v>0</v>
      </c>
      <c r="C20">
        <f>装备!E20</f>
        <v>0</v>
      </c>
      <c r="D20">
        <f>装备!F20</f>
        <v>28000</v>
      </c>
      <c r="E20">
        <f>IF(ISTEXT(装备!G20)=TRUE,"'"&amp;装备!G20&amp;"'",装备!G20)</f>
        <v>0</v>
      </c>
      <c r="F20">
        <f>IF(ISTEXT(装备!H20)=TRUE,"'"&amp;装备!H20&amp;"'",装备!H20)</f>
        <v>0</v>
      </c>
      <c r="G20" t="str">
        <f>IF(装备!I20="",0,"'"&amp;装备!I20&amp;"'")</f>
        <v>'E019'</v>
      </c>
      <c r="H20">
        <f>IF(装备!R20="",0,装备!R20)</f>
        <v>0</v>
      </c>
      <c r="I20">
        <f>IF(装备!S20="",0,装备!S20)</f>
        <v>0</v>
      </c>
      <c r="J20" t="str">
        <f>IF(装备!C20="",0,""""&amp;装备!C20&amp;"""")</f>
        <v>"武器lv18"</v>
      </c>
      <c r="K20" t="str">
        <f>IF(装备!T20="","""""",""""&amp;装备!T20&amp;"""")</f>
        <v>""</v>
      </c>
      <c r="L20" t="str">
        <f>IF(装备!U20="",0,""""&amp;装备!U20&amp;"""")</f>
        <v>"ReplaceableTextures\\CommandButtons\\BTNE018.blp"</v>
      </c>
      <c r="M20" t="str">
        <f t="shared" si="0"/>
        <v>InitEquipData('E018',0,0,28000,0,0,'E019',0,0)</v>
      </c>
      <c r="N20" t="str">
        <f t="shared" si="1"/>
        <v>call InitTypeIdStrings('E018',"武器lv18","ReplaceableTextures\\CommandButtons\\BTNE018.blp","")</v>
      </c>
    </row>
    <row r="21" spans="1:14">
      <c r="A21" t="str">
        <f>IF(装备!B21="",0,"'"&amp;装备!B21&amp;"'")</f>
        <v>'E019'</v>
      </c>
      <c r="B21">
        <f>装备!D22</f>
        <v>0</v>
      </c>
      <c r="C21">
        <f>装备!E21</f>
        <v>0</v>
      </c>
      <c r="D21">
        <f>装备!F21</f>
        <v>29000</v>
      </c>
      <c r="E21">
        <f>IF(ISTEXT(装备!G21)=TRUE,"'"&amp;装备!G21&amp;"'",装备!G21)</f>
        <v>0</v>
      </c>
      <c r="F21">
        <f>IF(ISTEXT(装备!H21)=TRUE,"'"&amp;装备!H21&amp;"'",装备!H21)</f>
        <v>0</v>
      </c>
      <c r="G21" t="str">
        <f>IF(装备!I21="",0,"'"&amp;装备!I21&amp;"'")</f>
        <v>'E020'</v>
      </c>
      <c r="H21">
        <f>IF(装备!R21="",0,装备!R21)</f>
        <v>0</v>
      </c>
      <c r="I21">
        <f>IF(装备!S21="",0,装备!S21)</f>
        <v>0</v>
      </c>
      <c r="J21" t="str">
        <f>IF(装备!C21="",0,""""&amp;装备!C21&amp;"""")</f>
        <v>"武器lv19"</v>
      </c>
      <c r="K21" t="str">
        <f>IF(装备!T21="","""""",""""&amp;装备!T21&amp;"""")</f>
        <v>""</v>
      </c>
      <c r="L21" t="str">
        <f>IF(装备!U21="",0,""""&amp;装备!U21&amp;"""")</f>
        <v>"ReplaceableTextures\\CommandButtons\\BTNE019.blp"</v>
      </c>
      <c r="M21" t="str">
        <f t="shared" si="0"/>
        <v>InitEquipData('E019',0,0,29000,0,0,'E020',0,0)</v>
      </c>
      <c r="N21" t="str">
        <f t="shared" si="1"/>
        <v>call InitTypeIdStrings('E019',"武器lv19","ReplaceableTextures\\CommandButtons\\BTNE019.blp","")</v>
      </c>
    </row>
    <row r="22" spans="1:14">
      <c r="A22" t="str">
        <f>IF(装备!B22="",0,"'"&amp;装备!B22&amp;"'")</f>
        <v>'E020'</v>
      </c>
      <c r="B22">
        <f>装备!D23</f>
        <v>0</v>
      </c>
      <c r="C22">
        <f>装备!E22</f>
        <v>0</v>
      </c>
      <c r="D22">
        <f>装备!F22</f>
        <v>30000</v>
      </c>
      <c r="E22">
        <f>IF(ISTEXT(装备!G22)=TRUE,"'"&amp;装备!G22&amp;"'",装备!G22)</f>
        <v>0</v>
      </c>
      <c r="F22" t="str">
        <f>IF(ISTEXT(装备!H22)=TRUE,"'"&amp;装备!H22&amp;"'",装备!H22)</f>
        <v>'uE04'</v>
      </c>
      <c r="G22" t="str">
        <f>IF(装备!I22="",0,"'"&amp;装备!I22&amp;"'")</f>
        <v>'E021'</v>
      </c>
      <c r="H22">
        <f>IF(装备!R22="",0,装备!R22)</f>
        <v>0</v>
      </c>
      <c r="I22">
        <f>IF(装备!S22="",0,装备!S22)</f>
        <v>0</v>
      </c>
      <c r="J22" t="str">
        <f>IF(装备!C22="",0,""""&amp;装备!C22&amp;"""")</f>
        <v>"武器lv20"</v>
      </c>
      <c r="K22" t="str">
        <f>IF(装备!T22="","""""",""""&amp;装备!T22&amp;"""")</f>
        <v>""</v>
      </c>
      <c r="L22" t="str">
        <f>IF(装备!U22="",0,""""&amp;装备!U22&amp;"""")</f>
        <v>"ReplaceableTextures\\CommandButtons\\BTNE020.blp"</v>
      </c>
      <c r="M22" t="str">
        <f t="shared" si="0"/>
        <v>InitEquipData('E020',0,0,30000,0,'uE04','E021',0,0)</v>
      </c>
      <c r="N22" t="str">
        <f t="shared" si="1"/>
        <v>call InitTypeIdStrings('E020',"武器lv20","ReplaceableTextures\\CommandButtons\\BTNE020.blp","")</v>
      </c>
    </row>
    <row r="23" spans="1:14">
      <c r="A23" t="str">
        <f>IF(装备!B23="",0,"'"&amp;装备!B23&amp;"'")</f>
        <v>'E021'</v>
      </c>
      <c r="B23">
        <f>装备!D24</f>
        <v>0</v>
      </c>
      <c r="C23">
        <f>装备!E23</f>
        <v>0</v>
      </c>
      <c r="D23">
        <f>装备!F23</f>
        <v>31200</v>
      </c>
      <c r="E23">
        <f>IF(ISTEXT(装备!G23)=TRUE,"'"&amp;装备!G23&amp;"'",装备!G23)</f>
        <v>0</v>
      </c>
      <c r="F23">
        <f>IF(ISTEXT(装备!H23)=TRUE,"'"&amp;装备!H23&amp;"'",装备!H23)</f>
        <v>0</v>
      </c>
      <c r="G23" t="str">
        <f>IF(装备!I23="",0,"'"&amp;装备!I23&amp;"'")</f>
        <v>'E022'</v>
      </c>
      <c r="H23">
        <f>IF(装备!R23="",0,装备!R23)</f>
        <v>0</v>
      </c>
      <c r="I23">
        <f>IF(装备!S23="",0,装备!S23)</f>
        <v>0</v>
      </c>
      <c r="J23" t="str">
        <f>IF(装备!C23="",0,""""&amp;装备!C23&amp;"""")</f>
        <v>"武器lv21"</v>
      </c>
      <c r="K23" t="str">
        <f>IF(装备!T23="","""""",""""&amp;装备!T23&amp;"""")</f>
        <v>""</v>
      </c>
      <c r="L23" t="str">
        <f>IF(装备!U23="",0,""""&amp;装备!U23&amp;"""")</f>
        <v>"ReplaceableTextures\\CommandButtons\\BTNE021.blp"</v>
      </c>
      <c r="M23" t="str">
        <f t="shared" si="0"/>
        <v>InitEquipData('E021',0,0,31200,0,0,'E022',0,0)</v>
      </c>
      <c r="N23" t="str">
        <f t="shared" si="1"/>
        <v>call InitTypeIdStrings('E021',"武器lv21","ReplaceableTextures\\CommandButtons\\BTNE021.blp","")</v>
      </c>
    </row>
    <row r="24" spans="1:14">
      <c r="A24" t="str">
        <f>IF(装备!B24="",0,"'"&amp;装备!B24&amp;"'")</f>
        <v>'E022'</v>
      </c>
      <c r="B24">
        <f>装备!D25</f>
        <v>0</v>
      </c>
      <c r="C24">
        <f>装备!E24</f>
        <v>0</v>
      </c>
      <c r="D24">
        <f>装备!F24</f>
        <v>32400</v>
      </c>
      <c r="E24">
        <f>IF(ISTEXT(装备!G24)=TRUE,"'"&amp;装备!G24&amp;"'",装备!G24)</f>
        <v>0</v>
      </c>
      <c r="F24">
        <f>IF(ISTEXT(装备!H24)=TRUE,"'"&amp;装备!H24&amp;"'",装备!H24)</f>
        <v>0</v>
      </c>
      <c r="G24" t="str">
        <f>IF(装备!I24="",0,"'"&amp;装备!I24&amp;"'")</f>
        <v>'E023'</v>
      </c>
      <c r="H24">
        <f>IF(装备!R24="",0,装备!R24)</f>
        <v>0</v>
      </c>
      <c r="I24">
        <f>IF(装备!S24="",0,装备!S24)</f>
        <v>0</v>
      </c>
      <c r="J24" t="str">
        <f>IF(装备!C24="",0,""""&amp;装备!C24&amp;"""")</f>
        <v>"武器lv22"</v>
      </c>
      <c r="K24" t="str">
        <f>IF(装备!T24="","""""",""""&amp;装备!T24&amp;"""")</f>
        <v>""</v>
      </c>
      <c r="L24" t="str">
        <f>IF(装备!U24="",0,""""&amp;装备!U24&amp;"""")</f>
        <v>"ReplaceableTextures\\CommandButtons\\BTNE022.blp"</v>
      </c>
      <c r="M24" t="str">
        <f t="shared" si="0"/>
        <v>InitEquipData('E022',0,0,32400,0,0,'E023',0,0)</v>
      </c>
      <c r="N24" t="str">
        <f t="shared" si="1"/>
        <v>call InitTypeIdStrings('E022',"武器lv22","ReplaceableTextures\\CommandButtons\\BTNE022.blp","")</v>
      </c>
    </row>
    <row r="25" spans="1:14">
      <c r="A25" t="str">
        <f>IF(装备!B25="",0,"'"&amp;装备!B25&amp;"'")</f>
        <v>'E023'</v>
      </c>
      <c r="B25">
        <f>装备!D26</f>
        <v>0</v>
      </c>
      <c r="C25">
        <f>装备!E25</f>
        <v>0</v>
      </c>
      <c r="D25">
        <f>装备!F25</f>
        <v>33600</v>
      </c>
      <c r="E25">
        <f>IF(ISTEXT(装备!G25)=TRUE,"'"&amp;装备!G25&amp;"'",装备!G25)</f>
        <v>0</v>
      </c>
      <c r="F25">
        <f>IF(ISTEXT(装备!H25)=TRUE,"'"&amp;装备!H25&amp;"'",装备!H25)</f>
        <v>0</v>
      </c>
      <c r="G25" t="str">
        <f>IF(装备!I25="",0,"'"&amp;装备!I25&amp;"'")</f>
        <v>'E024'</v>
      </c>
      <c r="H25">
        <f>IF(装备!R25="",0,装备!R25)</f>
        <v>0</v>
      </c>
      <c r="I25">
        <f>IF(装备!S25="",0,装备!S25)</f>
        <v>0</v>
      </c>
      <c r="J25" t="str">
        <f>IF(装备!C25="",0,""""&amp;装备!C25&amp;"""")</f>
        <v>"武器lv23"</v>
      </c>
      <c r="K25" t="str">
        <f>IF(装备!T25="","""""",""""&amp;装备!T25&amp;"""")</f>
        <v>""</v>
      </c>
      <c r="L25" t="str">
        <f>IF(装备!U25="",0,""""&amp;装备!U25&amp;"""")</f>
        <v>"ReplaceableTextures\\CommandButtons\\BTNE023.blp"</v>
      </c>
      <c r="M25" t="str">
        <f t="shared" si="0"/>
        <v>InitEquipData('E023',0,0,33600,0,0,'E024',0,0)</v>
      </c>
      <c r="N25" t="str">
        <f t="shared" si="1"/>
        <v>call InitTypeIdStrings('E023',"武器lv23","ReplaceableTextures\\CommandButtons\\BTNE023.blp","")</v>
      </c>
    </row>
    <row r="26" spans="1:14">
      <c r="A26" t="str">
        <f>IF(装备!B26="",0,"'"&amp;装备!B26&amp;"'")</f>
        <v>'E024'</v>
      </c>
      <c r="B26">
        <f>装备!D27</f>
        <v>0</v>
      </c>
      <c r="C26">
        <f>装备!E26</f>
        <v>0</v>
      </c>
      <c r="D26">
        <f>装备!F26</f>
        <v>34800</v>
      </c>
      <c r="E26">
        <f>IF(ISTEXT(装备!G26)=TRUE,"'"&amp;装备!G26&amp;"'",装备!G26)</f>
        <v>0</v>
      </c>
      <c r="F26">
        <f>IF(ISTEXT(装备!H26)=TRUE,"'"&amp;装备!H26&amp;"'",装备!H26)</f>
        <v>0</v>
      </c>
      <c r="G26" t="str">
        <f>IF(装备!I26="",0,"'"&amp;装备!I26&amp;"'")</f>
        <v>'E025'</v>
      </c>
      <c r="H26">
        <f>IF(装备!R26="",0,装备!R26)</f>
        <v>0</v>
      </c>
      <c r="I26">
        <f>IF(装备!S26="",0,装备!S26)</f>
        <v>0</v>
      </c>
      <c r="J26" t="str">
        <f>IF(装备!C26="",0,""""&amp;装备!C26&amp;"""")</f>
        <v>"武器lv24"</v>
      </c>
      <c r="K26" t="str">
        <f>IF(装备!T26="","""""",""""&amp;装备!T26&amp;"""")</f>
        <v>""</v>
      </c>
      <c r="L26" t="str">
        <f>IF(装备!U26="",0,""""&amp;装备!U26&amp;"""")</f>
        <v>"ReplaceableTextures\\CommandButtons\\BTNE024.blp"</v>
      </c>
      <c r="M26" t="str">
        <f t="shared" si="0"/>
        <v>InitEquipData('E024',0,0,34800,0,0,'E025',0,0)</v>
      </c>
      <c r="N26" t="str">
        <f t="shared" si="1"/>
        <v>call InitTypeIdStrings('E024',"武器lv24","ReplaceableTextures\\CommandButtons\\BTNE024.blp","")</v>
      </c>
    </row>
    <row r="27" spans="1:14">
      <c r="A27" t="str">
        <f>IF(装备!B27="",0,"'"&amp;装备!B27&amp;"'")</f>
        <v>'E025'</v>
      </c>
      <c r="B27">
        <f>装备!D28</f>
        <v>0</v>
      </c>
      <c r="C27">
        <f>装备!E27</f>
        <v>0</v>
      </c>
      <c r="D27">
        <f>装备!F27</f>
        <v>0</v>
      </c>
      <c r="E27">
        <f>IF(ISTEXT(装备!G27)=TRUE,"'"&amp;装备!G27&amp;"'",装备!G27)</f>
        <v>0</v>
      </c>
      <c r="F27">
        <f>IF(ISTEXT(装备!H27)=TRUE,"'"&amp;装备!H27&amp;"'",装备!H27)</f>
        <v>0</v>
      </c>
      <c r="G27">
        <f>IF(装备!I27="",0,"'"&amp;装备!I27&amp;"'")</f>
        <v>0</v>
      </c>
      <c r="H27">
        <f>IF(装备!R27="",0,装备!R27)</f>
        <v>0</v>
      </c>
      <c r="I27">
        <f>IF(装备!S27="",0,装备!S27)</f>
        <v>0</v>
      </c>
      <c r="J27" t="str">
        <f>IF(装备!C27="",0,""""&amp;装备!C27&amp;"""")</f>
        <v>"武器lv25"</v>
      </c>
      <c r="K27" t="str">
        <f>IF(装备!T27="","""""",""""&amp;装备!T27&amp;"""")</f>
        <v>""</v>
      </c>
      <c r="L27" t="str">
        <f>IF(装备!U27="",0,""""&amp;装备!U27&amp;"""")</f>
        <v>"ReplaceableTextures\\CommandButtons\\BTNE025.blp"</v>
      </c>
      <c r="M27" t="str">
        <f t="shared" si="0"/>
        <v/>
      </c>
      <c r="N27" t="str">
        <f t="shared" si="1"/>
        <v>call InitTypeIdStrings('E025',"武器lv25","ReplaceableTextures\\CommandButtons\\BTNE025.blp","")</v>
      </c>
    </row>
    <row r="28" spans="1:14">
      <c r="A28" t="str">
        <f>IF(装备!B28="",0,"'"&amp;装备!B28&amp;"'")</f>
        <v>'E101'</v>
      </c>
      <c r="B28">
        <f>装备!D29</f>
        <v>0</v>
      </c>
      <c r="C28">
        <f>装备!E28</f>
        <v>0</v>
      </c>
      <c r="D28">
        <f>装备!F28</f>
        <v>6000</v>
      </c>
      <c r="E28">
        <f>IF(ISTEXT(装备!G28)=TRUE,"'"&amp;装备!G28&amp;"'",装备!G28)</f>
        <v>0</v>
      </c>
      <c r="F28">
        <f>IF(ISTEXT(装备!H28)=TRUE,"'"&amp;装备!H28&amp;"'",装备!H28)</f>
        <v>0</v>
      </c>
      <c r="G28" t="str">
        <f>IF(装备!I28="",0,"'"&amp;装备!I28&amp;"'")</f>
        <v>'E102'</v>
      </c>
      <c r="H28">
        <f>IF(装备!R28="",0,装备!R28)</f>
        <v>0</v>
      </c>
      <c r="I28">
        <f>IF(装备!S28="",0,装备!S28)</f>
        <v>0</v>
      </c>
      <c r="J28" t="str">
        <f>IF(装备!C28="",0,""""&amp;装备!C28&amp;"""")</f>
        <v>"法杖lv1"</v>
      </c>
      <c r="K28" t="str">
        <f>IF(装备!T28="","""""",""""&amp;装备!T28&amp;"""")</f>
        <v>""</v>
      </c>
      <c r="L28" t="str">
        <f>IF(装备!U28="",0,""""&amp;装备!U28&amp;"""")</f>
        <v>"ReplaceableTextures\\CommandButtons\\BTNE101.blp"</v>
      </c>
      <c r="M28" t="str">
        <f t="shared" si="0"/>
        <v>InitEquipData('E101',0,0,6000,0,0,'E102',0,0)</v>
      </c>
      <c r="N28" t="str">
        <f t="shared" si="1"/>
        <v>call InitTypeIdStrings('E101',"法杖lv1","ReplaceableTextures\\CommandButtons\\BTNE101.blp","")</v>
      </c>
    </row>
    <row r="29" spans="1:14">
      <c r="A29" t="str">
        <f>IF(装备!B29="",0,"'"&amp;装备!B29&amp;"'")</f>
        <v>'E102'</v>
      </c>
      <c r="B29">
        <f>装备!D30</f>
        <v>0</v>
      </c>
      <c r="C29">
        <f>装备!E29</f>
        <v>0</v>
      </c>
      <c r="D29">
        <f>装备!F29</f>
        <v>9000</v>
      </c>
      <c r="E29">
        <f>IF(ISTEXT(装备!G29)=TRUE,"'"&amp;装备!G29&amp;"'",装备!G29)</f>
        <v>0</v>
      </c>
      <c r="F29">
        <f>IF(ISTEXT(装备!H29)=TRUE,"'"&amp;装备!H29&amp;"'",装备!H29)</f>
        <v>0</v>
      </c>
      <c r="G29" t="str">
        <f>IF(装备!I29="",0,"'"&amp;装备!I29&amp;"'")</f>
        <v>'E103'</v>
      </c>
      <c r="H29">
        <f>IF(装备!R29="",0,装备!R29)</f>
        <v>0</v>
      </c>
      <c r="I29">
        <f>IF(装备!S29="",0,装备!S29)</f>
        <v>0</v>
      </c>
      <c r="J29" t="str">
        <f>IF(装备!C29="",0,""""&amp;装备!C29&amp;"""")</f>
        <v>"法杖lv2"</v>
      </c>
      <c r="K29" t="str">
        <f>IF(装备!T29="","""""",""""&amp;装备!T29&amp;"""")</f>
        <v>""</v>
      </c>
      <c r="L29" t="str">
        <f>IF(装备!U29="",0,""""&amp;装备!U29&amp;"""")</f>
        <v>"ReplaceableTextures\\CommandButtons\\BTNE102.blp"</v>
      </c>
      <c r="M29" t="str">
        <f t="shared" si="0"/>
        <v>InitEquipData('E102',0,0,9000,0,0,'E103',0,0)</v>
      </c>
      <c r="N29" t="str">
        <f t="shared" si="1"/>
        <v>call InitTypeIdStrings('E102',"法杖lv2","ReplaceableTextures\\CommandButtons\\BTNE102.blp","")</v>
      </c>
    </row>
    <row r="30" spans="1:14">
      <c r="A30" t="str">
        <f>IF(装备!B30="",0,"'"&amp;装备!B30&amp;"'")</f>
        <v>'E103'</v>
      </c>
      <c r="B30">
        <f>装备!D31</f>
        <v>0</v>
      </c>
      <c r="C30">
        <f>装备!E30</f>
        <v>0</v>
      </c>
      <c r="D30">
        <f>装备!F30</f>
        <v>12000</v>
      </c>
      <c r="E30">
        <f>IF(ISTEXT(装备!G30)=TRUE,"'"&amp;装备!G30&amp;"'",装备!G30)</f>
        <v>0</v>
      </c>
      <c r="F30">
        <f>IF(ISTEXT(装备!H30)=TRUE,"'"&amp;装备!H30&amp;"'",装备!H30)</f>
        <v>0</v>
      </c>
      <c r="G30" t="str">
        <f>IF(装备!I30="",0,"'"&amp;装备!I30&amp;"'")</f>
        <v>'E104'</v>
      </c>
      <c r="H30">
        <f>IF(装备!R30="",0,装备!R30)</f>
        <v>0</v>
      </c>
      <c r="I30">
        <f>IF(装备!S30="",0,装备!S30)</f>
        <v>0</v>
      </c>
      <c r="J30" t="str">
        <f>IF(装备!C30="",0,""""&amp;装备!C30&amp;"""")</f>
        <v>"法杖lv3"</v>
      </c>
      <c r="K30" t="str">
        <f>IF(装备!T30="","""""",""""&amp;装备!T30&amp;"""")</f>
        <v>""</v>
      </c>
      <c r="L30" t="str">
        <f>IF(装备!U30="",0,""""&amp;装备!U30&amp;"""")</f>
        <v>"ReplaceableTextures\\CommandButtons\\BTNE103.blp"</v>
      </c>
      <c r="M30" t="str">
        <f t="shared" si="0"/>
        <v>InitEquipData('E103',0,0,12000,0,0,'E104',0,0)</v>
      </c>
      <c r="N30" t="str">
        <f t="shared" si="1"/>
        <v>call InitTypeIdStrings('E103',"法杖lv3","ReplaceableTextures\\CommandButtons\\BTNE103.blp","")</v>
      </c>
    </row>
    <row r="31" spans="1:14">
      <c r="A31" t="str">
        <f>IF(装备!B31="",0,"'"&amp;装备!B31&amp;"'")</f>
        <v>'E104'</v>
      </c>
      <c r="B31">
        <f>装备!D32</f>
        <v>0</v>
      </c>
      <c r="C31">
        <f>装备!E31</f>
        <v>0</v>
      </c>
      <c r="D31">
        <f>装备!F31</f>
        <v>15000</v>
      </c>
      <c r="E31">
        <f>IF(ISTEXT(装备!G31)=TRUE,"'"&amp;装备!G31&amp;"'",装备!G31)</f>
        <v>0</v>
      </c>
      <c r="F31">
        <f>IF(ISTEXT(装备!H31)=TRUE,"'"&amp;装备!H31&amp;"'",装备!H31)</f>
        <v>0</v>
      </c>
      <c r="G31" t="str">
        <f>IF(装备!I31="",0,"'"&amp;装备!I31&amp;"'")</f>
        <v>'E105'</v>
      </c>
      <c r="H31">
        <f>IF(装备!R31="",0,装备!R31)</f>
        <v>0</v>
      </c>
      <c r="I31">
        <f>IF(装备!S31="",0,装备!S31)</f>
        <v>0</v>
      </c>
      <c r="J31" t="str">
        <f>IF(装备!C31="",0,""""&amp;装备!C31&amp;"""")</f>
        <v>"法杖lv4"</v>
      </c>
      <c r="K31" t="str">
        <f>IF(装备!T31="","""""",""""&amp;装备!T31&amp;"""")</f>
        <v>""</v>
      </c>
      <c r="L31" t="str">
        <f>IF(装备!U31="",0,""""&amp;装备!U31&amp;"""")</f>
        <v>"ReplaceableTextures\\CommandButtons\\BTNE104.blp"</v>
      </c>
      <c r="M31" t="str">
        <f t="shared" si="0"/>
        <v>InitEquipData('E104',0,0,15000,0,0,'E105',0,0)</v>
      </c>
      <c r="N31" t="str">
        <f t="shared" si="1"/>
        <v>call InitTypeIdStrings('E104',"法杖lv4","ReplaceableTextures\\CommandButtons\\BTNE104.blp","")</v>
      </c>
    </row>
    <row r="32" spans="1:14">
      <c r="A32" t="str">
        <f>IF(装备!B32="",0,"'"&amp;装备!B32&amp;"'")</f>
        <v>'E105'</v>
      </c>
      <c r="B32">
        <f>装备!D33</f>
        <v>0</v>
      </c>
      <c r="C32">
        <f>装备!E32</f>
        <v>0</v>
      </c>
      <c r="D32">
        <f>装备!F32</f>
        <v>18000</v>
      </c>
      <c r="E32">
        <f>IF(ISTEXT(装备!G32)=TRUE,"'"&amp;装备!G32&amp;"'",装备!G32)</f>
        <v>0</v>
      </c>
      <c r="F32" t="str">
        <f>IF(ISTEXT(装备!H32)=TRUE,"'"&amp;装备!H32&amp;"'",装备!H32)</f>
        <v>'uE11'</v>
      </c>
      <c r="G32" t="str">
        <f>IF(装备!I32="",0,"'"&amp;装备!I32&amp;"'")</f>
        <v>'E106'</v>
      </c>
      <c r="H32">
        <f>IF(装备!R32="",0,装备!R32)</f>
        <v>0</v>
      </c>
      <c r="I32">
        <f>IF(装备!S32="",0,装备!S32)</f>
        <v>0</v>
      </c>
      <c r="J32" t="str">
        <f>IF(装备!C32="",0,""""&amp;装备!C32&amp;"""")</f>
        <v>"法杖lv5"</v>
      </c>
      <c r="K32" t="str">
        <f>IF(装备!T32="","""""",""""&amp;装备!T32&amp;"""")</f>
        <v>""</v>
      </c>
      <c r="L32" t="str">
        <f>IF(装备!U32="",0,""""&amp;装备!U32&amp;"""")</f>
        <v>"ReplaceableTextures\\CommandButtons\\BTNE105.blp"</v>
      </c>
      <c r="M32" t="str">
        <f t="shared" si="0"/>
        <v>InitEquipData('E105',0,0,18000,0,'uE11','E106',0,0)</v>
      </c>
      <c r="N32" t="str">
        <f t="shared" si="1"/>
        <v>call InitTypeIdStrings('E105',"法杖lv5","ReplaceableTextures\\CommandButtons\\BTNE105.blp","")</v>
      </c>
    </row>
    <row r="33" spans="1:14">
      <c r="A33" t="str">
        <f>IF(装备!B33="",0,"'"&amp;装备!B33&amp;"'")</f>
        <v>'E106'</v>
      </c>
      <c r="B33">
        <f>装备!D34</f>
        <v>0</v>
      </c>
      <c r="C33">
        <f>装备!E33</f>
        <v>0</v>
      </c>
      <c r="D33">
        <f>装备!F33</f>
        <v>18600</v>
      </c>
      <c r="E33">
        <f>IF(ISTEXT(装备!G33)=TRUE,"'"&amp;装备!G33&amp;"'",装备!G33)</f>
        <v>0</v>
      </c>
      <c r="F33">
        <f>IF(ISTEXT(装备!H33)=TRUE,"'"&amp;装备!H33&amp;"'",装备!H33)</f>
        <v>0</v>
      </c>
      <c r="G33" t="str">
        <f>IF(装备!I33="",0,"'"&amp;装备!I33&amp;"'")</f>
        <v>'E107'</v>
      </c>
      <c r="H33">
        <f>IF(装备!R33="",0,装备!R33)</f>
        <v>0</v>
      </c>
      <c r="I33">
        <f>IF(装备!S33="",0,装备!S33)</f>
        <v>0</v>
      </c>
      <c r="J33" t="str">
        <f>IF(装备!C33="",0,""""&amp;装备!C33&amp;"""")</f>
        <v>"法杖lv6"</v>
      </c>
      <c r="K33" t="str">
        <f>IF(装备!T33="","""""",""""&amp;装备!T33&amp;"""")</f>
        <v>""</v>
      </c>
      <c r="L33" t="str">
        <f>IF(装备!U33="",0,""""&amp;装备!U33&amp;"""")</f>
        <v>"ReplaceableTextures\\CommandButtons\\BTNE106.blp"</v>
      </c>
      <c r="M33" t="str">
        <f t="shared" si="0"/>
        <v>InitEquipData('E106',0,0,18600,0,0,'E107',0,0)</v>
      </c>
      <c r="N33" t="str">
        <f t="shared" si="1"/>
        <v>call InitTypeIdStrings('E106',"法杖lv6","ReplaceableTextures\\CommandButtons\\BTNE106.blp","")</v>
      </c>
    </row>
    <row r="34" spans="1:14">
      <c r="A34" t="str">
        <f>IF(装备!B34="",0,"'"&amp;装备!B34&amp;"'")</f>
        <v>'E107'</v>
      </c>
      <c r="B34">
        <f>装备!D35</f>
        <v>0</v>
      </c>
      <c r="C34">
        <f>装备!E34</f>
        <v>0</v>
      </c>
      <c r="D34">
        <f>装备!F34</f>
        <v>19200</v>
      </c>
      <c r="E34">
        <f>IF(ISTEXT(装备!G34)=TRUE,"'"&amp;装备!G34&amp;"'",装备!G34)</f>
        <v>0</v>
      </c>
      <c r="F34">
        <f>IF(ISTEXT(装备!H34)=TRUE,"'"&amp;装备!H34&amp;"'",装备!H34)</f>
        <v>0</v>
      </c>
      <c r="G34" t="str">
        <f>IF(装备!I34="",0,"'"&amp;装备!I34&amp;"'")</f>
        <v>'E108'</v>
      </c>
      <c r="H34">
        <f>IF(装备!R34="",0,装备!R34)</f>
        <v>0</v>
      </c>
      <c r="I34">
        <f>IF(装备!S34="",0,装备!S34)</f>
        <v>0</v>
      </c>
      <c r="J34" t="str">
        <f>IF(装备!C34="",0,""""&amp;装备!C34&amp;"""")</f>
        <v>"法杖lv7"</v>
      </c>
      <c r="K34" t="str">
        <f>IF(装备!T34="","""""",""""&amp;装备!T34&amp;"""")</f>
        <v>""</v>
      </c>
      <c r="L34" t="str">
        <f>IF(装备!U34="",0,""""&amp;装备!U34&amp;"""")</f>
        <v>"ReplaceableTextures\\CommandButtons\\BTNE107.blp"</v>
      </c>
      <c r="M34" t="str">
        <f t="shared" si="0"/>
        <v>InitEquipData('E107',0,0,19200,0,0,'E108',0,0)</v>
      </c>
      <c r="N34" t="str">
        <f t="shared" si="1"/>
        <v>call InitTypeIdStrings('E107',"法杖lv7","ReplaceableTextures\\CommandButtons\\BTNE107.blp","")</v>
      </c>
    </row>
    <row r="35" spans="1:14">
      <c r="A35" t="str">
        <f>IF(装备!B35="",0,"'"&amp;装备!B35&amp;"'")</f>
        <v>'E108'</v>
      </c>
      <c r="B35">
        <f>装备!D36</f>
        <v>0</v>
      </c>
      <c r="C35">
        <f>装备!E35</f>
        <v>0</v>
      </c>
      <c r="D35">
        <f>装备!F35</f>
        <v>19800</v>
      </c>
      <c r="E35">
        <f>IF(ISTEXT(装备!G35)=TRUE,"'"&amp;装备!G35&amp;"'",装备!G35)</f>
        <v>0</v>
      </c>
      <c r="F35">
        <f>IF(ISTEXT(装备!H35)=TRUE,"'"&amp;装备!H35&amp;"'",装备!H35)</f>
        <v>0</v>
      </c>
      <c r="G35" t="str">
        <f>IF(装备!I35="",0,"'"&amp;装备!I35&amp;"'")</f>
        <v>'E109'</v>
      </c>
      <c r="H35">
        <f>IF(装备!R35="",0,装备!R35)</f>
        <v>0</v>
      </c>
      <c r="I35">
        <f>IF(装备!S35="",0,装备!S35)</f>
        <v>0</v>
      </c>
      <c r="J35" t="str">
        <f>IF(装备!C35="",0,""""&amp;装备!C35&amp;"""")</f>
        <v>"法杖lv8"</v>
      </c>
      <c r="K35" t="str">
        <f>IF(装备!T35="","""""",""""&amp;装备!T35&amp;"""")</f>
        <v>""</v>
      </c>
      <c r="L35" t="str">
        <f>IF(装备!U35="",0,""""&amp;装备!U35&amp;"""")</f>
        <v>"ReplaceableTextures\\CommandButtons\\BTNE108.blp"</v>
      </c>
      <c r="M35" t="str">
        <f t="shared" si="0"/>
        <v>InitEquipData('E108',0,0,19800,0,0,'E109',0,0)</v>
      </c>
      <c r="N35" t="str">
        <f t="shared" si="1"/>
        <v>call InitTypeIdStrings('E108',"法杖lv8","ReplaceableTextures\\CommandButtons\\BTNE108.blp","")</v>
      </c>
    </row>
    <row r="36" spans="1:14">
      <c r="A36" t="str">
        <f>IF(装备!B36="",0,"'"&amp;装备!B36&amp;"'")</f>
        <v>'E109'</v>
      </c>
      <c r="B36">
        <f>装备!D37</f>
        <v>0</v>
      </c>
      <c r="C36">
        <f>装备!E36</f>
        <v>0</v>
      </c>
      <c r="D36">
        <f>装备!F36</f>
        <v>20400</v>
      </c>
      <c r="E36">
        <f>IF(ISTEXT(装备!G36)=TRUE,"'"&amp;装备!G36&amp;"'",装备!G36)</f>
        <v>0</v>
      </c>
      <c r="F36">
        <f>IF(ISTEXT(装备!H36)=TRUE,"'"&amp;装备!H36&amp;"'",装备!H36)</f>
        <v>0</v>
      </c>
      <c r="G36" t="str">
        <f>IF(装备!I36="",0,"'"&amp;装备!I36&amp;"'")</f>
        <v>'E110'</v>
      </c>
      <c r="H36">
        <f>IF(装备!R36="",0,装备!R36)</f>
        <v>0</v>
      </c>
      <c r="I36">
        <f>IF(装备!S36="",0,装备!S36)</f>
        <v>0</v>
      </c>
      <c r="J36" t="str">
        <f>IF(装备!C36="",0,""""&amp;装备!C36&amp;"""")</f>
        <v>"法杖lv9"</v>
      </c>
      <c r="K36" t="str">
        <f>IF(装备!T36="","""""",""""&amp;装备!T36&amp;"""")</f>
        <v>""</v>
      </c>
      <c r="L36" t="str">
        <f>IF(装备!U36="",0,""""&amp;装备!U36&amp;"""")</f>
        <v>"ReplaceableTextures\\CommandButtons\\BTNE109.blp"</v>
      </c>
      <c r="M36" t="str">
        <f t="shared" si="0"/>
        <v>InitEquipData('E109',0,0,20400,0,0,'E110',0,0)</v>
      </c>
      <c r="N36" t="str">
        <f t="shared" si="1"/>
        <v>call InitTypeIdStrings('E109',"法杖lv9","ReplaceableTextures\\CommandButtons\\BTNE109.blp","")</v>
      </c>
    </row>
    <row r="37" spans="1:14">
      <c r="A37" t="str">
        <f>IF(装备!B37="",0,"'"&amp;装备!B37&amp;"'")</f>
        <v>'E110'</v>
      </c>
      <c r="B37">
        <f>装备!D38</f>
        <v>0</v>
      </c>
      <c r="C37">
        <f>装备!E37</f>
        <v>0</v>
      </c>
      <c r="D37">
        <f>装备!F37</f>
        <v>21000</v>
      </c>
      <c r="E37">
        <f>IF(ISTEXT(装备!G37)=TRUE,"'"&amp;装备!G37&amp;"'",装备!G37)</f>
        <v>0</v>
      </c>
      <c r="F37" t="str">
        <f>IF(ISTEXT(装备!H37)=TRUE,"'"&amp;装备!H37&amp;"'",装备!H37)</f>
        <v>'uE12'</v>
      </c>
      <c r="G37" t="str">
        <f>IF(装备!I37="",0,"'"&amp;装备!I37&amp;"'")</f>
        <v>'E111'</v>
      </c>
      <c r="H37">
        <f>IF(装备!R37="",0,装备!R37)</f>
        <v>0</v>
      </c>
      <c r="I37">
        <f>IF(装备!S37="",0,装备!S37)</f>
        <v>0</v>
      </c>
      <c r="J37" t="str">
        <f>IF(装备!C37="",0,""""&amp;装备!C37&amp;"""")</f>
        <v>"法杖lv10"</v>
      </c>
      <c r="K37" t="str">
        <f>IF(装备!T37="","""""",""""&amp;装备!T37&amp;"""")</f>
        <v>""</v>
      </c>
      <c r="L37" t="str">
        <f>IF(装备!U37="",0,""""&amp;装备!U37&amp;"""")</f>
        <v>"ReplaceableTextures\\CommandButtons\\BTNE110.blp"</v>
      </c>
      <c r="M37" t="str">
        <f t="shared" si="0"/>
        <v>InitEquipData('E110',0,0,21000,0,'uE12','E111',0,0)</v>
      </c>
      <c r="N37" t="str">
        <f t="shared" si="1"/>
        <v>call InitTypeIdStrings('E110',"法杖lv10","ReplaceableTextures\\CommandButtons\\BTNE110.blp","")</v>
      </c>
    </row>
    <row r="38" spans="1:14">
      <c r="A38" t="str">
        <f>IF(装备!B38="",0,"'"&amp;装备!B38&amp;"'")</f>
        <v>'E111'</v>
      </c>
      <c r="B38">
        <f>装备!D39</f>
        <v>0</v>
      </c>
      <c r="C38">
        <f>装备!E38</f>
        <v>0</v>
      </c>
      <c r="D38">
        <f>装备!F38</f>
        <v>21800</v>
      </c>
      <c r="E38">
        <f>IF(ISTEXT(装备!G38)=TRUE,"'"&amp;装备!G38&amp;"'",装备!G38)</f>
        <v>0</v>
      </c>
      <c r="F38">
        <f>IF(ISTEXT(装备!H38)=TRUE,"'"&amp;装备!H38&amp;"'",装备!H38)</f>
        <v>0</v>
      </c>
      <c r="G38" t="str">
        <f>IF(装备!I38="",0,"'"&amp;装备!I38&amp;"'")</f>
        <v>'E112'</v>
      </c>
      <c r="H38">
        <f>IF(装备!R38="",0,装备!R38)</f>
        <v>0</v>
      </c>
      <c r="I38">
        <f>IF(装备!S38="",0,装备!S38)</f>
        <v>0</v>
      </c>
      <c r="J38" t="str">
        <f>IF(装备!C38="",0,""""&amp;装备!C38&amp;"""")</f>
        <v>"法杖lv11"</v>
      </c>
      <c r="K38" t="str">
        <f>IF(装备!T38="","""""",""""&amp;装备!T38&amp;"""")</f>
        <v>""</v>
      </c>
      <c r="L38" t="str">
        <f>IF(装备!U38="",0,""""&amp;装备!U38&amp;"""")</f>
        <v>"ReplaceableTextures\\CommandButtons\\BTNE111.blp"</v>
      </c>
      <c r="M38" t="str">
        <f t="shared" si="0"/>
        <v>InitEquipData('E111',0,0,21800,0,0,'E112',0,0)</v>
      </c>
      <c r="N38" t="str">
        <f t="shared" si="1"/>
        <v>call InitTypeIdStrings('E111',"法杖lv11","ReplaceableTextures\\CommandButtons\\BTNE111.blp","")</v>
      </c>
    </row>
    <row r="39" spans="1:14">
      <c r="A39" t="str">
        <f>IF(装备!B39="",0,"'"&amp;装备!B39&amp;"'")</f>
        <v>'E112'</v>
      </c>
      <c r="B39">
        <f>装备!D40</f>
        <v>0</v>
      </c>
      <c r="C39">
        <f>装备!E39</f>
        <v>0</v>
      </c>
      <c r="D39">
        <f>装备!F39</f>
        <v>22600</v>
      </c>
      <c r="E39">
        <f>IF(ISTEXT(装备!G39)=TRUE,"'"&amp;装备!G39&amp;"'",装备!G39)</f>
        <v>0</v>
      </c>
      <c r="F39">
        <f>IF(ISTEXT(装备!H39)=TRUE,"'"&amp;装备!H39&amp;"'",装备!H39)</f>
        <v>0</v>
      </c>
      <c r="G39" t="str">
        <f>IF(装备!I39="",0,"'"&amp;装备!I39&amp;"'")</f>
        <v>'E113'</v>
      </c>
      <c r="H39">
        <f>IF(装备!R39="",0,装备!R39)</f>
        <v>0</v>
      </c>
      <c r="I39">
        <f>IF(装备!S39="",0,装备!S39)</f>
        <v>0</v>
      </c>
      <c r="J39" t="str">
        <f>IF(装备!C39="",0,""""&amp;装备!C39&amp;"""")</f>
        <v>"法杖lv12"</v>
      </c>
      <c r="K39" t="str">
        <f>IF(装备!T39="","""""",""""&amp;装备!T39&amp;"""")</f>
        <v>""</v>
      </c>
      <c r="L39" t="str">
        <f>IF(装备!U39="",0,""""&amp;装备!U39&amp;"""")</f>
        <v>"ReplaceableTextures\\CommandButtons\\BTNE112.blp"</v>
      </c>
      <c r="M39" t="str">
        <f t="shared" si="0"/>
        <v>InitEquipData('E112',0,0,22600,0,0,'E113',0,0)</v>
      </c>
      <c r="N39" t="str">
        <f t="shared" si="1"/>
        <v>call InitTypeIdStrings('E112',"法杖lv12","ReplaceableTextures\\CommandButtons\\BTNE112.blp","")</v>
      </c>
    </row>
    <row r="40" spans="1:14">
      <c r="A40" t="str">
        <f>IF(装备!B40="",0,"'"&amp;装备!B40&amp;"'")</f>
        <v>'E113'</v>
      </c>
      <c r="B40">
        <f>装备!D41</f>
        <v>0</v>
      </c>
      <c r="C40">
        <f>装备!E40</f>
        <v>0</v>
      </c>
      <c r="D40">
        <f>装备!F40</f>
        <v>23400</v>
      </c>
      <c r="E40">
        <f>IF(ISTEXT(装备!G40)=TRUE,"'"&amp;装备!G40&amp;"'",装备!G40)</f>
        <v>0</v>
      </c>
      <c r="F40">
        <f>IF(ISTEXT(装备!H40)=TRUE,"'"&amp;装备!H40&amp;"'",装备!H40)</f>
        <v>0</v>
      </c>
      <c r="G40" t="str">
        <f>IF(装备!I40="",0,"'"&amp;装备!I40&amp;"'")</f>
        <v>'E114'</v>
      </c>
      <c r="H40">
        <f>IF(装备!R40="",0,装备!R40)</f>
        <v>0</v>
      </c>
      <c r="I40">
        <f>IF(装备!S40="",0,装备!S40)</f>
        <v>0</v>
      </c>
      <c r="J40" t="str">
        <f>IF(装备!C40="",0,""""&amp;装备!C40&amp;"""")</f>
        <v>"法杖lv13"</v>
      </c>
      <c r="K40" t="str">
        <f>IF(装备!T40="","""""",""""&amp;装备!T40&amp;"""")</f>
        <v>""</v>
      </c>
      <c r="L40" t="str">
        <f>IF(装备!U40="",0,""""&amp;装备!U40&amp;"""")</f>
        <v>"ReplaceableTextures\\CommandButtons\\BTNE113.blp"</v>
      </c>
      <c r="M40" t="str">
        <f t="shared" si="0"/>
        <v>InitEquipData('E113',0,0,23400,0,0,'E114',0,0)</v>
      </c>
      <c r="N40" t="str">
        <f t="shared" si="1"/>
        <v>call InitTypeIdStrings('E113',"法杖lv13","ReplaceableTextures\\CommandButtons\\BTNE113.blp","")</v>
      </c>
    </row>
    <row r="41" spans="1:14">
      <c r="A41" t="str">
        <f>IF(装备!B41="",0,"'"&amp;装备!B41&amp;"'")</f>
        <v>'E114'</v>
      </c>
      <c r="B41">
        <f>装备!D42</f>
        <v>0</v>
      </c>
      <c r="C41">
        <f>装备!E41</f>
        <v>0</v>
      </c>
      <c r="D41">
        <f>装备!F41</f>
        <v>24200</v>
      </c>
      <c r="E41">
        <f>IF(ISTEXT(装备!G41)=TRUE,"'"&amp;装备!G41&amp;"'",装备!G41)</f>
        <v>0</v>
      </c>
      <c r="F41">
        <f>IF(ISTEXT(装备!H41)=TRUE,"'"&amp;装备!H41&amp;"'",装备!H41)</f>
        <v>0</v>
      </c>
      <c r="G41" t="str">
        <f>IF(装备!I41="",0,"'"&amp;装备!I41&amp;"'")</f>
        <v>'E115'</v>
      </c>
      <c r="H41">
        <f>IF(装备!R41="",0,装备!R41)</f>
        <v>0</v>
      </c>
      <c r="I41">
        <f>IF(装备!S41="",0,装备!S41)</f>
        <v>0</v>
      </c>
      <c r="J41" t="str">
        <f>IF(装备!C41="",0,""""&amp;装备!C41&amp;"""")</f>
        <v>"法杖lv14"</v>
      </c>
      <c r="K41" t="str">
        <f>IF(装备!T41="","""""",""""&amp;装备!T41&amp;"""")</f>
        <v>""</v>
      </c>
      <c r="L41" t="str">
        <f>IF(装备!U41="",0,""""&amp;装备!U41&amp;"""")</f>
        <v>"ReplaceableTextures\\CommandButtons\\BTNE114.blp"</v>
      </c>
      <c r="M41" t="str">
        <f t="shared" si="0"/>
        <v>InitEquipData('E114',0,0,24200,0,0,'E115',0,0)</v>
      </c>
      <c r="N41" t="str">
        <f t="shared" si="1"/>
        <v>call InitTypeIdStrings('E114',"法杖lv14","ReplaceableTextures\\CommandButtons\\BTNE114.blp","")</v>
      </c>
    </row>
    <row r="42" spans="1:14">
      <c r="A42" t="str">
        <f>IF(装备!B42="",0,"'"&amp;装备!B42&amp;"'")</f>
        <v>'E115'</v>
      </c>
      <c r="B42">
        <f>装备!D43</f>
        <v>0</v>
      </c>
      <c r="C42">
        <f>装备!E42</f>
        <v>0</v>
      </c>
      <c r="D42">
        <f>装备!F42</f>
        <v>25000</v>
      </c>
      <c r="E42">
        <f>IF(ISTEXT(装备!G42)=TRUE,"'"&amp;装备!G42&amp;"'",装备!G42)</f>
        <v>0</v>
      </c>
      <c r="F42" t="str">
        <f>IF(ISTEXT(装备!H42)=TRUE,"'"&amp;装备!H42&amp;"'",装备!H42)</f>
        <v>'uE13'</v>
      </c>
      <c r="G42" t="str">
        <f>IF(装备!I42="",0,"'"&amp;装备!I42&amp;"'")</f>
        <v>'E116'</v>
      </c>
      <c r="H42">
        <f>IF(装备!R42="",0,装备!R42)</f>
        <v>0</v>
      </c>
      <c r="I42">
        <f>IF(装备!S42="",0,装备!S42)</f>
        <v>0</v>
      </c>
      <c r="J42" t="str">
        <f>IF(装备!C42="",0,""""&amp;装备!C42&amp;"""")</f>
        <v>"法杖lv15"</v>
      </c>
      <c r="K42" t="str">
        <f>IF(装备!T42="","""""",""""&amp;装备!T42&amp;"""")</f>
        <v>""</v>
      </c>
      <c r="L42" t="str">
        <f>IF(装备!U42="",0,""""&amp;装备!U42&amp;"""")</f>
        <v>"ReplaceableTextures\\CommandButtons\\BTNE115.blp"</v>
      </c>
      <c r="M42" t="str">
        <f t="shared" si="0"/>
        <v>InitEquipData('E115',0,0,25000,0,'uE13','E116',0,0)</v>
      </c>
      <c r="N42" t="str">
        <f t="shared" si="1"/>
        <v>call InitTypeIdStrings('E115',"法杖lv15","ReplaceableTextures\\CommandButtons\\BTNE115.blp","")</v>
      </c>
    </row>
    <row r="43" spans="1:14">
      <c r="A43" t="str">
        <f>IF(装备!B43="",0,"'"&amp;装备!B43&amp;"'")</f>
        <v>'E116'</v>
      </c>
      <c r="B43">
        <f>装备!D44</f>
        <v>0</v>
      </c>
      <c r="C43">
        <f>装备!E43</f>
        <v>0</v>
      </c>
      <c r="D43">
        <f>装备!F43</f>
        <v>26000</v>
      </c>
      <c r="E43">
        <f>IF(ISTEXT(装备!G43)=TRUE,"'"&amp;装备!G43&amp;"'",装备!G43)</f>
        <v>0</v>
      </c>
      <c r="F43">
        <f>IF(ISTEXT(装备!H43)=TRUE,"'"&amp;装备!H43&amp;"'",装备!H43)</f>
        <v>0</v>
      </c>
      <c r="G43" t="str">
        <f>IF(装备!I43="",0,"'"&amp;装备!I43&amp;"'")</f>
        <v>'E117'</v>
      </c>
      <c r="H43">
        <f>IF(装备!R43="",0,装备!R43)</f>
        <v>0</v>
      </c>
      <c r="I43">
        <f>IF(装备!S43="",0,装备!S43)</f>
        <v>0</v>
      </c>
      <c r="J43" t="str">
        <f>IF(装备!C43="",0,""""&amp;装备!C43&amp;"""")</f>
        <v>"法杖lv16"</v>
      </c>
      <c r="K43" t="str">
        <f>IF(装备!T43="","""""",""""&amp;装备!T43&amp;"""")</f>
        <v>""</v>
      </c>
      <c r="L43" t="str">
        <f>IF(装备!U43="",0,""""&amp;装备!U43&amp;"""")</f>
        <v>"ReplaceableTextures\\CommandButtons\\BTNE116.blp"</v>
      </c>
      <c r="M43" t="str">
        <f t="shared" si="0"/>
        <v>InitEquipData('E116',0,0,26000,0,0,'E117',0,0)</v>
      </c>
      <c r="N43" t="str">
        <f t="shared" si="1"/>
        <v>call InitTypeIdStrings('E116',"法杖lv16","ReplaceableTextures\\CommandButtons\\BTNE116.blp","")</v>
      </c>
    </row>
    <row r="44" spans="1:14">
      <c r="A44" t="str">
        <f>IF(装备!B44="",0,"'"&amp;装备!B44&amp;"'")</f>
        <v>'E117'</v>
      </c>
      <c r="B44">
        <f>装备!D45</f>
        <v>0</v>
      </c>
      <c r="C44">
        <f>装备!E44</f>
        <v>0</v>
      </c>
      <c r="D44">
        <f>装备!F44</f>
        <v>27000</v>
      </c>
      <c r="E44">
        <f>IF(ISTEXT(装备!G44)=TRUE,"'"&amp;装备!G44&amp;"'",装备!G44)</f>
        <v>0</v>
      </c>
      <c r="F44">
        <f>IF(ISTEXT(装备!H44)=TRUE,"'"&amp;装备!H44&amp;"'",装备!H44)</f>
        <v>0</v>
      </c>
      <c r="G44" t="str">
        <f>IF(装备!I44="",0,"'"&amp;装备!I44&amp;"'")</f>
        <v>'E118'</v>
      </c>
      <c r="H44">
        <f>IF(装备!R44="",0,装备!R44)</f>
        <v>0</v>
      </c>
      <c r="I44">
        <f>IF(装备!S44="",0,装备!S44)</f>
        <v>0</v>
      </c>
      <c r="J44" t="str">
        <f>IF(装备!C44="",0,""""&amp;装备!C44&amp;"""")</f>
        <v>"法杖lv17"</v>
      </c>
      <c r="K44" t="str">
        <f>IF(装备!T44="","""""",""""&amp;装备!T44&amp;"""")</f>
        <v>""</v>
      </c>
      <c r="L44" t="str">
        <f>IF(装备!U44="",0,""""&amp;装备!U44&amp;"""")</f>
        <v>"ReplaceableTextures\\CommandButtons\\BTNE117.blp"</v>
      </c>
      <c r="M44" t="str">
        <f t="shared" si="0"/>
        <v>InitEquipData('E117',0,0,27000,0,0,'E118',0,0)</v>
      </c>
      <c r="N44" t="str">
        <f t="shared" si="1"/>
        <v>call InitTypeIdStrings('E117',"法杖lv17","ReplaceableTextures\\CommandButtons\\BTNE117.blp","")</v>
      </c>
    </row>
    <row r="45" spans="1:14">
      <c r="A45" t="str">
        <f>IF(装备!B45="",0,"'"&amp;装备!B45&amp;"'")</f>
        <v>'E118'</v>
      </c>
      <c r="B45">
        <f>装备!D46</f>
        <v>0</v>
      </c>
      <c r="C45">
        <f>装备!E45</f>
        <v>0</v>
      </c>
      <c r="D45">
        <f>装备!F45</f>
        <v>28000</v>
      </c>
      <c r="E45">
        <f>IF(ISTEXT(装备!G45)=TRUE,"'"&amp;装备!G45&amp;"'",装备!G45)</f>
        <v>0</v>
      </c>
      <c r="F45">
        <f>IF(ISTEXT(装备!H45)=TRUE,"'"&amp;装备!H45&amp;"'",装备!H45)</f>
        <v>0</v>
      </c>
      <c r="G45" t="str">
        <f>IF(装备!I45="",0,"'"&amp;装备!I45&amp;"'")</f>
        <v>'E119'</v>
      </c>
      <c r="H45">
        <f>IF(装备!R45="",0,装备!R45)</f>
        <v>0</v>
      </c>
      <c r="I45">
        <f>IF(装备!S45="",0,装备!S45)</f>
        <v>0</v>
      </c>
      <c r="J45" t="str">
        <f>IF(装备!C45="",0,""""&amp;装备!C45&amp;"""")</f>
        <v>"法杖lv18"</v>
      </c>
      <c r="K45" t="str">
        <f>IF(装备!T45="","""""",""""&amp;装备!T45&amp;"""")</f>
        <v>""</v>
      </c>
      <c r="L45" t="str">
        <f>IF(装备!U45="",0,""""&amp;装备!U45&amp;"""")</f>
        <v>"ReplaceableTextures\\CommandButtons\\BTNE118.blp"</v>
      </c>
      <c r="M45" t="str">
        <f t="shared" si="0"/>
        <v>InitEquipData('E118',0,0,28000,0,0,'E119',0,0)</v>
      </c>
      <c r="N45" t="str">
        <f t="shared" si="1"/>
        <v>call InitTypeIdStrings('E118',"法杖lv18","ReplaceableTextures\\CommandButtons\\BTNE118.blp","")</v>
      </c>
    </row>
    <row r="46" spans="1:14">
      <c r="A46" t="str">
        <f>IF(装备!B46="",0,"'"&amp;装备!B46&amp;"'")</f>
        <v>'E119'</v>
      </c>
      <c r="B46">
        <f>装备!D47</f>
        <v>0</v>
      </c>
      <c r="C46">
        <f>装备!E46</f>
        <v>0</v>
      </c>
      <c r="D46">
        <f>装备!F46</f>
        <v>29000</v>
      </c>
      <c r="E46">
        <f>IF(ISTEXT(装备!G46)=TRUE,"'"&amp;装备!G46&amp;"'",装备!G46)</f>
        <v>0</v>
      </c>
      <c r="F46">
        <f>IF(ISTEXT(装备!H46)=TRUE,"'"&amp;装备!H46&amp;"'",装备!H46)</f>
        <v>0</v>
      </c>
      <c r="G46" t="str">
        <f>IF(装备!I46="",0,"'"&amp;装备!I46&amp;"'")</f>
        <v>'E120'</v>
      </c>
      <c r="H46">
        <f>IF(装备!R46="",0,装备!R46)</f>
        <v>0</v>
      </c>
      <c r="I46">
        <f>IF(装备!S46="",0,装备!S46)</f>
        <v>0</v>
      </c>
      <c r="J46" t="str">
        <f>IF(装备!C46="",0,""""&amp;装备!C46&amp;"""")</f>
        <v>"法杖lv19"</v>
      </c>
      <c r="K46" t="str">
        <f>IF(装备!T46="","""""",""""&amp;装备!T46&amp;"""")</f>
        <v>""</v>
      </c>
      <c r="L46" t="str">
        <f>IF(装备!U46="",0,""""&amp;装备!U46&amp;"""")</f>
        <v>"ReplaceableTextures\\CommandButtons\\BTNE119.blp"</v>
      </c>
      <c r="M46" t="str">
        <f t="shared" si="0"/>
        <v>InitEquipData('E119',0,0,29000,0,0,'E120',0,0)</v>
      </c>
      <c r="N46" t="str">
        <f t="shared" si="1"/>
        <v>call InitTypeIdStrings('E119',"法杖lv19","ReplaceableTextures\\CommandButtons\\BTNE119.blp","")</v>
      </c>
    </row>
    <row r="47" spans="1:14">
      <c r="A47" t="str">
        <f>IF(装备!B47="",0,"'"&amp;装备!B47&amp;"'")</f>
        <v>'E120'</v>
      </c>
      <c r="B47">
        <f>装备!D48</f>
        <v>0</v>
      </c>
      <c r="C47">
        <f>装备!E47</f>
        <v>0</v>
      </c>
      <c r="D47">
        <f>装备!F47</f>
        <v>30000</v>
      </c>
      <c r="E47">
        <f>IF(ISTEXT(装备!G47)=TRUE,"'"&amp;装备!G47&amp;"'",装备!G47)</f>
        <v>0</v>
      </c>
      <c r="F47" t="str">
        <f>IF(ISTEXT(装备!H47)=TRUE,"'"&amp;装备!H47&amp;"'",装备!H47)</f>
        <v>'uE14'</v>
      </c>
      <c r="G47" t="str">
        <f>IF(装备!I47="",0,"'"&amp;装备!I47&amp;"'")</f>
        <v>'E121'</v>
      </c>
      <c r="H47">
        <f>IF(装备!R47="",0,装备!R47)</f>
        <v>0</v>
      </c>
      <c r="I47">
        <f>IF(装备!S47="",0,装备!S47)</f>
        <v>0</v>
      </c>
      <c r="J47" t="str">
        <f>IF(装备!C47="",0,""""&amp;装备!C47&amp;"""")</f>
        <v>"法杖lv20"</v>
      </c>
      <c r="K47" t="str">
        <f>IF(装备!T47="","""""",""""&amp;装备!T47&amp;"""")</f>
        <v>""</v>
      </c>
      <c r="L47" t="str">
        <f>IF(装备!U47="",0,""""&amp;装备!U47&amp;"""")</f>
        <v>"ReplaceableTextures\\CommandButtons\\BTNE120.blp"</v>
      </c>
      <c r="M47" t="str">
        <f t="shared" si="0"/>
        <v>InitEquipData('E120',0,0,30000,0,'uE14','E121',0,0)</v>
      </c>
      <c r="N47" t="str">
        <f t="shared" si="1"/>
        <v>call InitTypeIdStrings('E120',"法杖lv20","ReplaceableTextures\\CommandButtons\\BTNE120.blp","")</v>
      </c>
    </row>
    <row r="48" spans="1:14">
      <c r="A48" t="str">
        <f>IF(装备!B48="",0,"'"&amp;装备!B48&amp;"'")</f>
        <v>'E121'</v>
      </c>
      <c r="B48">
        <f>装备!D49</f>
        <v>0</v>
      </c>
      <c r="C48">
        <f>装备!E48</f>
        <v>0</v>
      </c>
      <c r="D48">
        <f>装备!F48</f>
        <v>31200</v>
      </c>
      <c r="E48">
        <f>IF(ISTEXT(装备!G48)=TRUE,"'"&amp;装备!G48&amp;"'",装备!G48)</f>
        <v>0</v>
      </c>
      <c r="F48">
        <f>IF(ISTEXT(装备!H48)=TRUE,"'"&amp;装备!H48&amp;"'",装备!H48)</f>
        <v>0</v>
      </c>
      <c r="G48" t="str">
        <f>IF(装备!I48="",0,"'"&amp;装备!I48&amp;"'")</f>
        <v>'E122'</v>
      </c>
      <c r="H48">
        <f>IF(装备!R48="",0,装备!R48)</f>
        <v>0</v>
      </c>
      <c r="I48">
        <f>IF(装备!S48="",0,装备!S48)</f>
        <v>0</v>
      </c>
      <c r="J48" t="str">
        <f>IF(装备!C48="",0,""""&amp;装备!C48&amp;"""")</f>
        <v>"法杖lv21"</v>
      </c>
      <c r="K48" t="str">
        <f>IF(装备!T48="","""""",""""&amp;装备!T48&amp;"""")</f>
        <v>""</v>
      </c>
      <c r="L48" t="str">
        <f>IF(装备!U48="",0,""""&amp;装备!U48&amp;"""")</f>
        <v>"ReplaceableTextures\\CommandButtons\\BTNE121.blp"</v>
      </c>
      <c r="M48" t="str">
        <f t="shared" si="0"/>
        <v>InitEquipData('E121',0,0,31200,0,0,'E122',0,0)</v>
      </c>
      <c r="N48" t="str">
        <f t="shared" si="1"/>
        <v>call InitTypeIdStrings('E121',"法杖lv21","ReplaceableTextures\\CommandButtons\\BTNE121.blp","")</v>
      </c>
    </row>
    <row r="49" spans="1:14">
      <c r="A49" t="str">
        <f>IF(装备!B49="",0,"'"&amp;装备!B49&amp;"'")</f>
        <v>'E122'</v>
      </c>
      <c r="B49">
        <f>装备!D50</f>
        <v>0</v>
      </c>
      <c r="C49">
        <f>装备!E49</f>
        <v>0</v>
      </c>
      <c r="D49">
        <f>装备!F49</f>
        <v>32400</v>
      </c>
      <c r="E49">
        <f>IF(ISTEXT(装备!G49)=TRUE,"'"&amp;装备!G49&amp;"'",装备!G49)</f>
        <v>0</v>
      </c>
      <c r="F49">
        <f>IF(ISTEXT(装备!H49)=TRUE,"'"&amp;装备!H49&amp;"'",装备!H49)</f>
        <v>0</v>
      </c>
      <c r="G49" t="str">
        <f>IF(装备!I49="",0,"'"&amp;装备!I49&amp;"'")</f>
        <v>'E123'</v>
      </c>
      <c r="H49">
        <f>IF(装备!R49="",0,装备!R49)</f>
        <v>0</v>
      </c>
      <c r="I49">
        <f>IF(装备!S49="",0,装备!S49)</f>
        <v>0</v>
      </c>
      <c r="J49" t="str">
        <f>IF(装备!C49="",0,""""&amp;装备!C49&amp;"""")</f>
        <v>"法杖lv22"</v>
      </c>
      <c r="K49" t="str">
        <f>IF(装备!T49="","""""",""""&amp;装备!T49&amp;"""")</f>
        <v>""</v>
      </c>
      <c r="L49" t="str">
        <f>IF(装备!U49="",0,""""&amp;装备!U49&amp;"""")</f>
        <v>"ReplaceableTextures\\CommandButtons\\BTNE122.blp"</v>
      </c>
      <c r="M49" t="str">
        <f t="shared" si="0"/>
        <v>InitEquipData('E122',0,0,32400,0,0,'E123',0,0)</v>
      </c>
      <c r="N49" t="str">
        <f t="shared" si="1"/>
        <v>call InitTypeIdStrings('E122',"法杖lv22","ReplaceableTextures\\CommandButtons\\BTNE122.blp","")</v>
      </c>
    </row>
    <row r="50" spans="1:14">
      <c r="A50" t="str">
        <f>IF(装备!B50="",0,"'"&amp;装备!B50&amp;"'")</f>
        <v>'E123'</v>
      </c>
      <c r="B50">
        <f>装备!D51</f>
        <v>0</v>
      </c>
      <c r="C50">
        <f>装备!E50</f>
        <v>0</v>
      </c>
      <c r="D50">
        <f>装备!F50</f>
        <v>33600</v>
      </c>
      <c r="E50">
        <f>IF(ISTEXT(装备!G50)=TRUE,"'"&amp;装备!G50&amp;"'",装备!G50)</f>
        <v>0</v>
      </c>
      <c r="F50">
        <f>IF(ISTEXT(装备!H50)=TRUE,"'"&amp;装备!H50&amp;"'",装备!H50)</f>
        <v>0</v>
      </c>
      <c r="G50" t="str">
        <f>IF(装备!I50="",0,"'"&amp;装备!I50&amp;"'")</f>
        <v>'E124'</v>
      </c>
      <c r="H50">
        <f>IF(装备!R50="",0,装备!R50)</f>
        <v>0</v>
      </c>
      <c r="I50">
        <f>IF(装备!S50="",0,装备!S50)</f>
        <v>0</v>
      </c>
      <c r="J50" t="str">
        <f>IF(装备!C50="",0,""""&amp;装备!C50&amp;"""")</f>
        <v>"法杖lv23"</v>
      </c>
      <c r="K50" t="str">
        <f>IF(装备!T50="","""""",""""&amp;装备!T50&amp;"""")</f>
        <v>""</v>
      </c>
      <c r="L50" t="str">
        <f>IF(装备!U50="",0,""""&amp;装备!U50&amp;"""")</f>
        <v>"ReplaceableTextures\\CommandButtons\\BTNE123.blp"</v>
      </c>
      <c r="M50" t="str">
        <f t="shared" si="0"/>
        <v>InitEquipData('E123',0,0,33600,0,0,'E124',0,0)</v>
      </c>
      <c r="N50" t="str">
        <f t="shared" si="1"/>
        <v>call InitTypeIdStrings('E123',"法杖lv23","ReplaceableTextures\\CommandButtons\\BTNE123.blp","")</v>
      </c>
    </row>
    <row r="51" spans="1:14">
      <c r="A51" t="str">
        <f>IF(装备!B51="",0,"'"&amp;装备!B51&amp;"'")</f>
        <v>'E124'</v>
      </c>
      <c r="B51">
        <f>装备!D52</f>
        <v>0</v>
      </c>
      <c r="C51">
        <f>装备!E51</f>
        <v>0</v>
      </c>
      <c r="D51">
        <f>装备!F51</f>
        <v>34800</v>
      </c>
      <c r="E51">
        <f>IF(ISTEXT(装备!G51)=TRUE,"'"&amp;装备!G51&amp;"'",装备!G51)</f>
        <v>0</v>
      </c>
      <c r="F51">
        <f>IF(ISTEXT(装备!H51)=TRUE,"'"&amp;装备!H51&amp;"'",装备!H51)</f>
        <v>0</v>
      </c>
      <c r="G51" t="str">
        <f>IF(装备!I51="",0,"'"&amp;装备!I51&amp;"'")</f>
        <v>'E125'</v>
      </c>
      <c r="H51">
        <f>IF(装备!R51="",0,装备!R51)</f>
        <v>0</v>
      </c>
      <c r="I51">
        <f>IF(装备!S51="",0,装备!S51)</f>
        <v>0</v>
      </c>
      <c r="J51" t="str">
        <f>IF(装备!C51="",0,""""&amp;装备!C51&amp;"""")</f>
        <v>"法杖lv24"</v>
      </c>
      <c r="K51" t="str">
        <f>IF(装备!T51="","""""",""""&amp;装备!T51&amp;"""")</f>
        <v>""</v>
      </c>
      <c r="L51" t="str">
        <f>IF(装备!U51="",0,""""&amp;装备!U51&amp;"""")</f>
        <v>"ReplaceableTextures\\CommandButtons\\BTNE124.blp"</v>
      </c>
      <c r="M51" t="str">
        <f t="shared" si="0"/>
        <v>InitEquipData('E124',0,0,34800,0,0,'E125',0,0)</v>
      </c>
      <c r="N51" t="str">
        <f t="shared" si="1"/>
        <v>call InitTypeIdStrings('E124',"法杖lv24","ReplaceableTextures\\CommandButtons\\BTNE124.blp","")</v>
      </c>
    </row>
    <row r="52" spans="1:14">
      <c r="A52" t="str">
        <f>IF(装备!B52="",0,"'"&amp;装备!B52&amp;"'")</f>
        <v>'E125'</v>
      </c>
      <c r="B52">
        <f>装备!D53</f>
        <v>0</v>
      </c>
      <c r="C52">
        <f>装备!E52</f>
        <v>0</v>
      </c>
      <c r="D52">
        <f>装备!F52</f>
        <v>0</v>
      </c>
      <c r="E52">
        <f>IF(ISTEXT(装备!G52)=TRUE,"'"&amp;装备!G52&amp;"'",装备!G52)</f>
        <v>0</v>
      </c>
      <c r="F52">
        <f>IF(ISTEXT(装备!H52)=TRUE,"'"&amp;装备!H52&amp;"'",装备!H52)</f>
        <v>0</v>
      </c>
      <c r="G52">
        <f>IF(装备!I52="",0,"'"&amp;装备!I52&amp;"'")</f>
        <v>0</v>
      </c>
      <c r="H52">
        <f>IF(装备!R52="",0,装备!R52)</f>
        <v>0</v>
      </c>
      <c r="I52">
        <f>IF(装备!S52="",0,装备!S52)</f>
        <v>0</v>
      </c>
      <c r="J52" t="str">
        <f>IF(装备!C52="",0,""""&amp;装备!C52&amp;"""")</f>
        <v>"法杖lv25"</v>
      </c>
      <c r="K52" t="str">
        <f>IF(装备!T52="","""""",""""&amp;装备!T52&amp;"""")</f>
        <v>""</v>
      </c>
      <c r="L52" t="str">
        <f>IF(装备!U52="",0,""""&amp;装备!U52&amp;"""")</f>
        <v>"ReplaceableTextures\\CommandButtons\\BTNE125.blp"</v>
      </c>
      <c r="M52" t="str">
        <f t="shared" si="0"/>
        <v/>
      </c>
      <c r="N52" t="str">
        <f t="shared" si="1"/>
        <v>call InitTypeIdStrings('E125',"法杖lv25","ReplaceableTextures\\CommandButtons\\BTNE125.blp","")</v>
      </c>
    </row>
    <row r="53" spans="1:14">
      <c r="A53" t="str">
        <f>IF(装备!B53="",0,"'"&amp;装备!B53&amp;"'")</f>
        <v>'E201'</v>
      </c>
      <c r="B53">
        <f>装备!D54</f>
        <v>0</v>
      </c>
      <c r="C53">
        <f>装备!E53</f>
        <v>0</v>
      </c>
      <c r="D53">
        <f>装备!F53</f>
        <v>6000</v>
      </c>
      <c r="E53">
        <f>IF(ISTEXT(装备!G53)=TRUE,"'"&amp;装备!G53&amp;"'",装备!G53)</f>
        <v>0</v>
      </c>
      <c r="F53">
        <f>IF(ISTEXT(装备!H53)=TRUE,"'"&amp;装备!H53&amp;"'",装备!H53)</f>
        <v>0</v>
      </c>
      <c r="G53" t="str">
        <f>IF(装备!I53="",0,"'"&amp;装备!I53&amp;"'")</f>
        <v>'E202'</v>
      </c>
      <c r="H53">
        <f>IF(装备!R53="",0,装备!R53)</f>
        <v>0</v>
      </c>
      <c r="I53">
        <f>IF(装备!S53="",0,装备!S53)</f>
        <v>0</v>
      </c>
      <c r="J53" t="str">
        <f>IF(装备!C53="",0,""""&amp;装备!C53&amp;"""")</f>
        <v>"护甲lv1"</v>
      </c>
      <c r="K53" t="str">
        <f>IF(装备!T53="","""""",""""&amp;装备!T53&amp;"""")</f>
        <v>""</v>
      </c>
      <c r="L53" t="str">
        <f>IF(装备!U53="",0,""""&amp;装备!U53&amp;"""")</f>
        <v>"ReplaceableTextures\\CommandButtons\\BTNE201.blp"</v>
      </c>
      <c r="M53" t="str">
        <f t="shared" si="0"/>
        <v>InitEquipData('E201',0,0,6000,0,0,'E202',0,0)</v>
      </c>
      <c r="N53" t="str">
        <f t="shared" si="1"/>
        <v>call InitTypeIdStrings('E201',"护甲lv1","ReplaceableTextures\\CommandButtons\\BTNE201.blp","")</v>
      </c>
    </row>
    <row r="54" spans="1:14">
      <c r="A54" t="str">
        <f>IF(装备!B54="",0,"'"&amp;装备!B54&amp;"'")</f>
        <v>'E202'</v>
      </c>
      <c r="B54">
        <f>装备!D55</f>
        <v>0</v>
      </c>
      <c r="C54">
        <f>装备!E54</f>
        <v>0</v>
      </c>
      <c r="D54">
        <f>装备!F54</f>
        <v>9000</v>
      </c>
      <c r="E54">
        <f>IF(ISTEXT(装备!G54)=TRUE,"'"&amp;装备!G54&amp;"'",装备!G54)</f>
        <v>0</v>
      </c>
      <c r="F54">
        <f>IF(ISTEXT(装备!H54)=TRUE,"'"&amp;装备!H54&amp;"'",装备!H54)</f>
        <v>0</v>
      </c>
      <c r="G54" t="str">
        <f>IF(装备!I54="",0,"'"&amp;装备!I54&amp;"'")</f>
        <v>'E203'</v>
      </c>
      <c r="H54">
        <f>IF(装备!R54="",0,装备!R54)</f>
        <v>0</v>
      </c>
      <c r="I54">
        <f>IF(装备!S54="",0,装备!S54)</f>
        <v>0</v>
      </c>
      <c r="J54" t="str">
        <f>IF(装备!C54="",0,""""&amp;装备!C54&amp;"""")</f>
        <v>"护甲lv2"</v>
      </c>
      <c r="K54" t="str">
        <f>IF(装备!T54="","""""",""""&amp;装备!T54&amp;"""")</f>
        <v>""</v>
      </c>
      <c r="L54" t="str">
        <f>IF(装备!U54="",0,""""&amp;装备!U54&amp;"""")</f>
        <v>"ReplaceableTextures\\CommandButtons\\BTNE202.blp"</v>
      </c>
      <c r="M54" t="str">
        <f t="shared" si="0"/>
        <v>InitEquipData('E202',0,0,9000,0,0,'E203',0,0)</v>
      </c>
      <c r="N54" t="str">
        <f t="shared" si="1"/>
        <v>call InitTypeIdStrings('E202',"护甲lv2","ReplaceableTextures\\CommandButtons\\BTNE202.blp","")</v>
      </c>
    </row>
    <row r="55" spans="1:14">
      <c r="A55" t="str">
        <f>IF(装备!B55="",0,"'"&amp;装备!B55&amp;"'")</f>
        <v>'E203'</v>
      </c>
      <c r="B55">
        <f>装备!D56</f>
        <v>0</v>
      </c>
      <c r="C55">
        <f>装备!E55</f>
        <v>0</v>
      </c>
      <c r="D55">
        <f>装备!F55</f>
        <v>12000</v>
      </c>
      <c r="E55">
        <f>IF(ISTEXT(装备!G55)=TRUE,"'"&amp;装备!G55&amp;"'",装备!G55)</f>
        <v>0</v>
      </c>
      <c r="F55">
        <f>IF(ISTEXT(装备!H55)=TRUE,"'"&amp;装备!H55&amp;"'",装备!H55)</f>
        <v>0</v>
      </c>
      <c r="G55" t="str">
        <f>IF(装备!I55="",0,"'"&amp;装备!I55&amp;"'")</f>
        <v>'E204'</v>
      </c>
      <c r="H55">
        <f>IF(装备!R55="",0,装备!R55)</f>
        <v>0</v>
      </c>
      <c r="I55">
        <f>IF(装备!S55="",0,装备!S55)</f>
        <v>0</v>
      </c>
      <c r="J55" t="str">
        <f>IF(装备!C55="",0,""""&amp;装备!C55&amp;"""")</f>
        <v>"护甲lv3"</v>
      </c>
      <c r="K55" t="str">
        <f>IF(装备!T55="","""""",""""&amp;装备!T55&amp;"""")</f>
        <v>""</v>
      </c>
      <c r="L55" t="str">
        <f>IF(装备!U55="",0,""""&amp;装备!U55&amp;"""")</f>
        <v>"ReplaceableTextures\\CommandButtons\\BTNE203.blp"</v>
      </c>
      <c r="M55" t="str">
        <f t="shared" si="0"/>
        <v>InitEquipData('E203',0,0,12000,0,0,'E204',0,0)</v>
      </c>
      <c r="N55" t="str">
        <f t="shared" si="1"/>
        <v>call InitTypeIdStrings('E203',"护甲lv3","ReplaceableTextures\\CommandButtons\\BTNE203.blp","")</v>
      </c>
    </row>
    <row r="56" spans="1:14">
      <c r="A56" t="str">
        <f>IF(装备!B56="",0,"'"&amp;装备!B56&amp;"'")</f>
        <v>'E204'</v>
      </c>
      <c r="B56">
        <f>装备!D57</f>
        <v>0</v>
      </c>
      <c r="C56">
        <f>装备!E56</f>
        <v>0</v>
      </c>
      <c r="D56">
        <f>装备!F56</f>
        <v>15000</v>
      </c>
      <c r="E56">
        <f>IF(ISTEXT(装备!G56)=TRUE,"'"&amp;装备!G56&amp;"'",装备!G56)</f>
        <v>0</v>
      </c>
      <c r="F56">
        <f>IF(ISTEXT(装备!H56)=TRUE,"'"&amp;装备!H56&amp;"'",装备!H56)</f>
        <v>0</v>
      </c>
      <c r="G56" t="str">
        <f>IF(装备!I56="",0,"'"&amp;装备!I56&amp;"'")</f>
        <v>'E205'</v>
      </c>
      <c r="H56">
        <f>IF(装备!R56="",0,装备!R56)</f>
        <v>0</v>
      </c>
      <c r="I56">
        <f>IF(装备!S56="",0,装备!S56)</f>
        <v>0</v>
      </c>
      <c r="J56" t="str">
        <f>IF(装备!C56="",0,""""&amp;装备!C56&amp;"""")</f>
        <v>"护甲lv4"</v>
      </c>
      <c r="K56" t="str">
        <f>IF(装备!T56="","""""",""""&amp;装备!T56&amp;"""")</f>
        <v>""</v>
      </c>
      <c r="L56" t="str">
        <f>IF(装备!U56="",0,""""&amp;装备!U56&amp;"""")</f>
        <v>"ReplaceableTextures\\CommandButtons\\BTNE204.blp"</v>
      </c>
      <c r="M56" t="str">
        <f t="shared" si="0"/>
        <v>InitEquipData('E204',0,0,15000,0,0,'E205',0,0)</v>
      </c>
      <c r="N56" t="str">
        <f t="shared" si="1"/>
        <v>call InitTypeIdStrings('E204',"护甲lv4","ReplaceableTextures\\CommandButtons\\BTNE204.blp","")</v>
      </c>
    </row>
    <row r="57" spans="1:14">
      <c r="A57" t="str">
        <f>IF(装备!B57="",0,"'"&amp;装备!B57&amp;"'")</f>
        <v>'E205'</v>
      </c>
      <c r="B57">
        <f>装备!D58</f>
        <v>0</v>
      </c>
      <c r="C57">
        <f>装备!E57</f>
        <v>0</v>
      </c>
      <c r="D57">
        <f>装备!F57</f>
        <v>18000</v>
      </c>
      <c r="E57">
        <f>IF(ISTEXT(装备!G57)=TRUE,"'"&amp;装备!G57&amp;"'",装备!G57)</f>
        <v>0</v>
      </c>
      <c r="F57" t="str">
        <f>IF(ISTEXT(装备!H57)=TRUE,"'"&amp;装备!H57&amp;"'",装备!H57)</f>
        <v>'uE21'</v>
      </c>
      <c r="G57" t="str">
        <f>IF(装备!I57="",0,"'"&amp;装备!I57&amp;"'")</f>
        <v>'E206'</v>
      </c>
      <c r="H57">
        <f>IF(装备!R57="",0,装备!R57)</f>
        <v>0</v>
      </c>
      <c r="I57">
        <f>IF(装备!S57="",0,装备!S57)</f>
        <v>0</v>
      </c>
      <c r="J57" t="str">
        <f>IF(装备!C57="",0,""""&amp;装备!C57&amp;"""")</f>
        <v>"护甲lv5"</v>
      </c>
      <c r="K57" t="str">
        <f>IF(装备!T57="","""""",""""&amp;装备!T57&amp;"""")</f>
        <v>""</v>
      </c>
      <c r="L57" t="str">
        <f>IF(装备!U57="",0,""""&amp;装备!U57&amp;"""")</f>
        <v>"ReplaceableTextures\\CommandButtons\\BTNE205.blp"</v>
      </c>
      <c r="M57" t="str">
        <f t="shared" si="0"/>
        <v>InitEquipData('E205',0,0,18000,0,'uE21','E206',0,0)</v>
      </c>
      <c r="N57" t="str">
        <f t="shared" si="1"/>
        <v>call InitTypeIdStrings('E205',"护甲lv5","ReplaceableTextures\\CommandButtons\\BTNE205.blp","")</v>
      </c>
    </row>
    <row r="58" spans="1:14">
      <c r="A58" t="str">
        <f>IF(装备!B58="",0,"'"&amp;装备!B58&amp;"'")</f>
        <v>'E206'</v>
      </c>
      <c r="B58">
        <f>装备!D59</f>
        <v>0</v>
      </c>
      <c r="C58">
        <f>装备!E58</f>
        <v>0</v>
      </c>
      <c r="D58">
        <f>装备!F58</f>
        <v>18600</v>
      </c>
      <c r="E58">
        <f>IF(ISTEXT(装备!G58)=TRUE,"'"&amp;装备!G58&amp;"'",装备!G58)</f>
        <v>0</v>
      </c>
      <c r="F58">
        <f>IF(ISTEXT(装备!H58)=TRUE,"'"&amp;装备!H58&amp;"'",装备!H58)</f>
        <v>0</v>
      </c>
      <c r="G58" t="str">
        <f>IF(装备!I58="",0,"'"&amp;装备!I58&amp;"'")</f>
        <v>'E207'</v>
      </c>
      <c r="H58">
        <f>IF(装备!R58="",0,装备!R58)</f>
        <v>0</v>
      </c>
      <c r="I58">
        <f>IF(装备!S58="",0,装备!S58)</f>
        <v>0</v>
      </c>
      <c r="J58" t="str">
        <f>IF(装备!C58="",0,""""&amp;装备!C58&amp;"""")</f>
        <v>"护甲lv6"</v>
      </c>
      <c r="K58" t="str">
        <f>IF(装备!T58="","""""",""""&amp;装备!T58&amp;"""")</f>
        <v>""</v>
      </c>
      <c r="L58" t="str">
        <f>IF(装备!U58="",0,""""&amp;装备!U58&amp;"""")</f>
        <v>"ReplaceableTextures\\CommandButtons\\BTNE206.blp"</v>
      </c>
      <c r="M58" t="str">
        <f t="shared" si="0"/>
        <v>InitEquipData('E206',0,0,18600,0,0,'E207',0,0)</v>
      </c>
      <c r="N58" t="str">
        <f t="shared" si="1"/>
        <v>call InitTypeIdStrings('E206',"护甲lv6","ReplaceableTextures\\CommandButtons\\BTNE206.blp","")</v>
      </c>
    </row>
    <row r="59" spans="1:14">
      <c r="A59" t="str">
        <f>IF(装备!B59="",0,"'"&amp;装备!B59&amp;"'")</f>
        <v>'E207'</v>
      </c>
      <c r="B59">
        <f>装备!D60</f>
        <v>0</v>
      </c>
      <c r="C59">
        <f>装备!E59</f>
        <v>0</v>
      </c>
      <c r="D59">
        <f>装备!F59</f>
        <v>19200</v>
      </c>
      <c r="E59">
        <f>IF(ISTEXT(装备!G59)=TRUE,"'"&amp;装备!G59&amp;"'",装备!G59)</f>
        <v>0</v>
      </c>
      <c r="F59">
        <f>IF(ISTEXT(装备!H59)=TRUE,"'"&amp;装备!H59&amp;"'",装备!H59)</f>
        <v>0</v>
      </c>
      <c r="G59" t="str">
        <f>IF(装备!I59="",0,"'"&amp;装备!I59&amp;"'")</f>
        <v>'E208'</v>
      </c>
      <c r="H59">
        <f>IF(装备!R59="",0,装备!R59)</f>
        <v>0</v>
      </c>
      <c r="I59">
        <f>IF(装备!S59="",0,装备!S59)</f>
        <v>0</v>
      </c>
      <c r="J59" t="str">
        <f>IF(装备!C59="",0,""""&amp;装备!C59&amp;"""")</f>
        <v>"护甲lv7"</v>
      </c>
      <c r="K59" t="str">
        <f>IF(装备!T59="","""""",""""&amp;装备!T59&amp;"""")</f>
        <v>""</v>
      </c>
      <c r="L59" t="str">
        <f>IF(装备!U59="",0,""""&amp;装备!U59&amp;"""")</f>
        <v>"ReplaceableTextures\\CommandButtons\\BTNE207.blp"</v>
      </c>
      <c r="M59" t="str">
        <f t="shared" si="0"/>
        <v>InitEquipData('E207',0,0,19200,0,0,'E208',0,0)</v>
      </c>
      <c r="N59" t="str">
        <f t="shared" si="1"/>
        <v>call InitTypeIdStrings('E207',"护甲lv7","ReplaceableTextures\\CommandButtons\\BTNE207.blp","")</v>
      </c>
    </row>
    <row r="60" spans="1:14">
      <c r="A60" t="str">
        <f>IF(装备!B60="",0,"'"&amp;装备!B60&amp;"'")</f>
        <v>'E208'</v>
      </c>
      <c r="B60">
        <f>装备!D61</f>
        <v>0</v>
      </c>
      <c r="C60">
        <f>装备!E60</f>
        <v>0</v>
      </c>
      <c r="D60">
        <f>装备!F60</f>
        <v>19800</v>
      </c>
      <c r="E60">
        <f>IF(ISTEXT(装备!G60)=TRUE,"'"&amp;装备!G60&amp;"'",装备!G60)</f>
        <v>0</v>
      </c>
      <c r="F60">
        <f>IF(ISTEXT(装备!H60)=TRUE,"'"&amp;装备!H60&amp;"'",装备!H60)</f>
        <v>0</v>
      </c>
      <c r="G60" t="str">
        <f>IF(装备!I60="",0,"'"&amp;装备!I60&amp;"'")</f>
        <v>'E209'</v>
      </c>
      <c r="H60">
        <f>IF(装备!R60="",0,装备!R60)</f>
        <v>0</v>
      </c>
      <c r="I60">
        <f>IF(装备!S60="",0,装备!S60)</f>
        <v>0</v>
      </c>
      <c r="J60" t="str">
        <f>IF(装备!C60="",0,""""&amp;装备!C60&amp;"""")</f>
        <v>"护甲lv8"</v>
      </c>
      <c r="K60" t="str">
        <f>IF(装备!T60="","""""",""""&amp;装备!T60&amp;"""")</f>
        <v>""</v>
      </c>
      <c r="L60" t="str">
        <f>IF(装备!U60="",0,""""&amp;装备!U60&amp;"""")</f>
        <v>"ReplaceableTextures\\CommandButtons\\BTNE208.blp"</v>
      </c>
      <c r="M60" t="str">
        <f t="shared" si="0"/>
        <v>InitEquipData('E208',0,0,19800,0,0,'E209',0,0)</v>
      </c>
      <c r="N60" t="str">
        <f t="shared" si="1"/>
        <v>call InitTypeIdStrings('E208',"护甲lv8","ReplaceableTextures\\CommandButtons\\BTNE208.blp","")</v>
      </c>
    </row>
    <row r="61" spans="1:14">
      <c r="A61" t="str">
        <f>IF(装备!B61="",0,"'"&amp;装备!B61&amp;"'")</f>
        <v>'E209'</v>
      </c>
      <c r="B61">
        <f>装备!D62</f>
        <v>0</v>
      </c>
      <c r="C61">
        <f>装备!E61</f>
        <v>0</v>
      </c>
      <c r="D61">
        <f>装备!F61</f>
        <v>20400</v>
      </c>
      <c r="E61">
        <f>IF(ISTEXT(装备!G61)=TRUE,"'"&amp;装备!G61&amp;"'",装备!G61)</f>
        <v>0</v>
      </c>
      <c r="F61">
        <f>IF(ISTEXT(装备!H61)=TRUE,"'"&amp;装备!H61&amp;"'",装备!H61)</f>
        <v>0</v>
      </c>
      <c r="G61" t="str">
        <f>IF(装备!I61="",0,"'"&amp;装备!I61&amp;"'")</f>
        <v>'E210'</v>
      </c>
      <c r="H61">
        <f>IF(装备!R61="",0,装备!R61)</f>
        <v>0</v>
      </c>
      <c r="I61">
        <f>IF(装备!S61="",0,装备!S61)</f>
        <v>0</v>
      </c>
      <c r="J61" t="str">
        <f>IF(装备!C61="",0,""""&amp;装备!C61&amp;"""")</f>
        <v>"护甲lv9"</v>
      </c>
      <c r="K61" t="str">
        <f>IF(装备!T61="","""""",""""&amp;装备!T61&amp;"""")</f>
        <v>""</v>
      </c>
      <c r="L61" t="str">
        <f>IF(装备!U61="",0,""""&amp;装备!U61&amp;"""")</f>
        <v>"ReplaceableTextures\\CommandButtons\\BTNE209.blp"</v>
      </c>
      <c r="M61" t="str">
        <f t="shared" si="0"/>
        <v>InitEquipData('E209',0,0,20400,0,0,'E210',0,0)</v>
      </c>
      <c r="N61" t="str">
        <f t="shared" si="1"/>
        <v>call InitTypeIdStrings('E209',"护甲lv9","ReplaceableTextures\\CommandButtons\\BTNE209.blp","")</v>
      </c>
    </row>
    <row r="62" spans="1:14">
      <c r="A62" t="str">
        <f>IF(装备!B62="",0,"'"&amp;装备!B62&amp;"'")</f>
        <v>'E210'</v>
      </c>
      <c r="B62">
        <f>装备!D63</f>
        <v>0</v>
      </c>
      <c r="C62">
        <f>装备!E62</f>
        <v>0</v>
      </c>
      <c r="D62">
        <f>装备!F62</f>
        <v>21000</v>
      </c>
      <c r="E62">
        <f>IF(ISTEXT(装备!G62)=TRUE,"'"&amp;装备!G62&amp;"'",装备!G62)</f>
        <v>0</v>
      </c>
      <c r="F62" t="str">
        <f>IF(ISTEXT(装备!H62)=TRUE,"'"&amp;装备!H62&amp;"'",装备!H62)</f>
        <v>'uE22'</v>
      </c>
      <c r="G62" t="str">
        <f>IF(装备!I62="",0,"'"&amp;装备!I62&amp;"'")</f>
        <v>'E211'</v>
      </c>
      <c r="H62">
        <f>IF(装备!R62="",0,装备!R62)</f>
        <v>0</v>
      </c>
      <c r="I62">
        <f>IF(装备!S62="",0,装备!S62)</f>
        <v>0</v>
      </c>
      <c r="J62" t="str">
        <f>IF(装备!C62="",0,""""&amp;装备!C62&amp;"""")</f>
        <v>"护甲lv10"</v>
      </c>
      <c r="K62" t="str">
        <f>IF(装备!T62="","""""",""""&amp;装备!T62&amp;"""")</f>
        <v>""</v>
      </c>
      <c r="L62" t="str">
        <f>IF(装备!U62="",0,""""&amp;装备!U62&amp;"""")</f>
        <v>"ReplaceableTextures\\CommandButtons\\BTNE210.blp"</v>
      </c>
      <c r="M62" t="str">
        <f t="shared" si="0"/>
        <v>InitEquipData('E210',0,0,21000,0,'uE22','E211',0,0)</v>
      </c>
      <c r="N62" t="str">
        <f t="shared" si="1"/>
        <v>call InitTypeIdStrings('E210',"护甲lv10","ReplaceableTextures\\CommandButtons\\BTNE210.blp","")</v>
      </c>
    </row>
    <row r="63" spans="1:14">
      <c r="A63" t="str">
        <f>IF(装备!B63="",0,"'"&amp;装备!B63&amp;"'")</f>
        <v>'E211'</v>
      </c>
      <c r="B63">
        <f>装备!D64</f>
        <v>0</v>
      </c>
      <c r="C63">
        <f>装备!E63</f>
        <v>0</v>
      </c>
      <c r="D63">
        <f>装备!F63</f>
        <v>21800</v>
      </c>
      <c r="E63">
        <f>IF(ISTEXT(装备!G63)=TRUE,"'"&amp;装备!G63&amp;"'",装备!G63)</f>
        <v>0</v>
      </c>
      <c r="F63">
        <f>IF(ISTEXT(装备!H63)=TRUE,"'"&amp;装备!H63&amp;"'",装备!H63)</f>
        <v>0</v>
      </c>
      <c r="G63" t="str">
        <f>IF(装备!I63="",0,"'"&amp;装备!I63&amp;"'")</f>
        <v>'E212'</v>
      </c>
      <c r="H63">
        <f>IF(装备!R63="",0,装备!R63)</f>
        <v>0</v>
      </c>
      <c r="I63">
        <f>IF(装备!S63="",0,装备!S63)</f>
        <v>0</v>
      </c>
      <c r="J63" t="str">
        <f>IF(装备!C63="",0,""""&amp;装备!C63&amp;"""")</f>
        <v>"护甲lv11"</v>
      </c>
      <c r="K63" t="str">
        <f>IF(装备!T63="","""""",""""&amp;装备!T63&amp;"""")</f>
        <v>""</v>
      </c>
      <c r="L63" t="str">
        <f>IF(装备!U63="",0,""""&amp;装备!U63&amp;"""")</f>
        <v>"ReplaceableTextures\\CommandButtons\\BTNE211.blp"</v>
      </c>
      <c r="M63" t="str">
        <f t="shared" si="0"/>
        <v>InitEquipData('E211',0,0,21800,0,0,'E212',0,0)</v>
      </c>
      <c r="N63" t="str">
        <f t="shared" si="1"/>
        <v>call InitTypeIdStrings('E211',"护甲lv11","ReplaceableTextures\\CommandButtons\\BTNE211.blp","")</v>
      </c>
    </row>
    <row r="64" spans="1:14">
      <c r="A64" t="str">
        <f>IF(装备!B64="",0,"'"&amp;装备!B64&amp;"'")</f>
        <v>'E212'</v>
      </c>
      <c r="B64">
        <f>装备!D65</f>
        <v>0</v>
      </c>
      <c r="C64">
        <f>装备!E64</f>
        <v>0</v>
      </c>
      <c r="D64">
        <f>装备!F64</f>
        <v>22600</v>
      </c>
      <c r="E64">
        <f>IF(ISTEXT(装备!G64)=TRUE,"'"&amp;装备!G64&amp;"'",装备!G64)</f>
        <v>0</v>
      </c>
      <c r="F64">
        <f>IF(ISTEXT(装备!H64)=TRUE,"'"&amp;装备!H64&amp;"'",装备!H64)</f>
        <v>0</v>
      </c>
      <c r="G64" t="str">
        <f>IF(装备!I64="",0,"'"&amp;装备!I64&amp;"'")</f>
        <v>'E213'</v>
      </c>
      <c r="H64">
        <f>IF(装备!R64="",0,装备!R64)</f>
        <v>0</v>
      </c>
      <c r="I64">
        <f>IF(装备!S64="",0,装备!S64)</f>
        <v>0</v>
      </c>
      <c r="J64" t="str">
        <f>IF(装备!C64="",0,""""&amp;装备!C64&amp;"""")</f>
        <v>"护甲lv12"</v>
      </c>
      <c r="K64" t="str">
        <f>IF(装备!T64="","""""",""""&amp;装备!T64&amp;"""")</f>
        <v>""</v>
      </c>
      <c r="L64" t="str">
        <f>IF(装备!U64="",0,""""&amp;装备!U64&amp;"""")</f>
        <v>"ReplaceableTextures\\CommandButtons\\BTNE212.blp"</v>
      </c>
      <c r="M64" t="str">
        <f t="shared" si="0"/>
        <v>InitEquipData('E212',0,0,22600,0,0,'E213',0,0)</v>
      </c>
      <c r="N64" t="str">
        <f t="shared" si="1"/>
        <v>call InitTypeIdStrings('E212',"护甲lv12","ReplaceableTextures\\CommandButtons\\BTNE212.blp","")</v>
      </c>
    </row>
    <row r="65" spans="1:14">
      <c r="A65" t="str">
        <f>IF(装备!B65="",0,"'"&amp;装备!B65&amp;"'")</f>
        <v>'E213'</v>
      </c>
      <c r="B65">
        <f>装备!D66</f>
        <v>0</v>
      </c>
      <c r="C65">
        <f>装备!E65</f>
        <v>0</v>
      </c>
      <c r="D65">
        <f>装备!F65</f>
        <v>23400</v>
      </c>
      <c r="E65">
        <f>IF(ISTEXT(装备!G65)=TRUE,"'"&amp;装备!G65&amp;"'",装备!G65)</f>
        <v>0</v>
      </c>
      <c r="F65">
        <f>IF(ISTEXT(装备!H65)=TRUE,"'"&amp;装备!H65&amp;"'",装备!H65)</f>
        <v>0</v>
      </c>
      <c r="G65" t="str">
        <f>IF(装备!I65="",0,"'"&amp;装备!I65&amp;"'")</f>
        <v>'E214'</v>
      </c>
      <c r="H65">
        <f>IF(装备!R65="",0,装备!R65)</f>
        <v>0</v>
      </c>
      <c r="I65">
        <f>IF(装备!S65="",0,装备!S65)</f>
        <v>0</v>
      </c>
      <c r="J65" t="str">
        <f>IF(装备!C65="",0,""""&amp;装备!C65&amp;"""")</f>
        <v>"护甲lv13"</v>
      </c>
      <c r="K65" t="str">
        <f>IF(装备!T65="","""""",""""&amp;装备!T65&amp;"""")</f>
        <v>""</v>
      </c>
      <c r="L65" t="str">
        <f>IF(装备!U65="",0,""""&amp;装备!U65&amp;"""")</f>
        <v>"ReplaceableTextures\\CommandButtons\\BTNE213.blp"</v>
      </c>
      <c r="M65" t="str">
        <f t="shared" si="0"/>
        <v>InitEquipData('E213',0,0,23400,0,0,'E214',0,0)</v>
      </c>
      <c r="N65" t="str">
        <f t="shared" si="1"/>
        <v>call InitTypeIdStrings('E213',"护甲lv13","ReplaceableTextures\\CommandButtons\\BTNE213.blp","")</v>
      </c>
    </row>
    <row r="66" spans="1:14">
      <c r="A66" t="str">
        <f>IF(装备!B66="",0,"'"&amp;装备!B66&amp;"'")</f>
        <v>'E214'</v>
      </c>
      <c r="B66">
        <f>装备!D67</f>
        <v>0</v>
      </c>
      <c r="C66">
        <f>装备!E66</f>
        <v>0</v>
      </c>
      <c r="D66">
        <f>装备!F66</f>
        <v>24200</v>
      </c>
      <c r="E66">
        <f>IF(ISTEXT(装备!G66)=TRUE,"'"&amp;装备!G66&amp;"'",装备!G66)</f>
        <v>0</v>
      </c>
      <c r="F66">
        <f>IF(ISTEXT(装备!H66)=TRUE,"'"&amp;装备!H66&amp;"'",装备!H66)</f>
        <v>0</v>
      </c>
      <c r="G66" t="str">
        <f>IF(装备!I66="",0,"'"&amp;装备!I66&amp;"'")</f>
        <v>'E215'</v>
      </c>
      <c r="H66">
        <f>IF(装备!R66="",0,装备!R66)</f>
        <v>0</v>
      </c>
      <c r="I66">
        <f>IF(装备!S66="",0,装备!S66)</f>
        <v>0</v>
      </c>
      <c r="J66" t="str">
        <f>IF(装备!C66="",0,""""&amp;装备!C66&amp;"""")</f>
        <v>"护甲lv14"</v>
      </c>
      <c r="K66" t="str">
        <f>IF(装备!T66="","""""",""""&amp;装备!T66&amp;"""")</f>
        <v>""</v>
      </c>
      <c r="L66" t="str">
        <f>IF(装备!U66="",0,""""&amp;装备!U66&amp;"""")</f>
        <v>"ReplaceableTextures\\CommandButtons\\BTNE214.blp"</v>
      </c>
      <c r="M66" t="str">
        <f t="shared" si="0"/>
        <v>InitEquipData('E214',0,0,24200,0,0,'E215',0,0)</v>
      </c>
      <c r="N66" t="str">
        <f t="shared" si="1"/>
        <v>call InitTypeIdStrings('E214',"护甲lv14","ReplaceableTextures\\CommandButtons\\BTNE214.blp","")</v>
      </c>
    </row>
    <row r="67" spans="1:14">
      <c r="A67" t="str">
        <f>IF(装备!B67="",0,"'"&amp;装备!B67&amp;"'")</f>
        <v>'E215'</v>
      </c>
      <c r="B67">
        <f>装备!D68</f>
        <v>0</v>
      </c>
      <c r="C67">
        <f>装备!E67</f>
        <v>0</v>
      </c>
      <c r="D67">
        <f>装备!F67</f>
        <v>25000</v>
      </c>
      <c r="E67">
        <f>IF(ISTEXT(装备!G67)=TRUE,"'"&amp;装备!G67&amp;"'",装备!G67)</f>
        <v>0</v>
      </c>
      <c r="F67" t="str">
        <f>IF(ISTEXT(装备!H67)=TRUE,"'"&amp;装备!H67&amp;"'",装备!H67)</f>
        <v>'uE23'</v>
      </c>
      <c r="G67" t="str">
        <f>IF(装备!I67="",0,"'"&amp;装备!I67&amp;"'")</f>
        <v>'E216'</v>
      </c>
      <c r="H67">
        <f>IF(装备!R67="",0,装备!R67)</f>
        <v>0</v>
      </c>
      <c r="I67">
        <f>IF(装备!S67="",0,装备!S67)</f>
        <v>0</v>
      </c>
      <c r="J67" t="str">
        <f>IF(装备!C67="",0,""""&amp;装备!C67&amp;"""")</f>
        <v>"护甲lv15"</v>
      </c>
      <c r="K67" t="str">
        <f>IF(装备!T67="","""""",""""&amp;装备!T67&amp;"""")</f>
        <v>""</v>
      </c>
      <c r="L67" t="str">
        <f>IF(装备!U67="",0,""""&amp;装备!U67&amp;"""")</f>
        <v>"ReplaceableTextures\\CommandButtons\\BTNE215.blp"</v>
      </c>
      <c r="M67" t="str">
        <f t="shared" si="0"/>
        <v>InitEquipData('E215',0,0,25000,0,'uE23','E216',0,0)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InitTypeIdStrings('E215',"护甲lv15","ReplaceableTextures\\CommandButtons\\BTNE215.blp","")</v>
      </c>
    </row>
    <row r="68" spans="1:14">
      <c r="A68" t="str">
        <f>IF(装备!B68="",0,"'"&amp;装备!B68&amp;"'")</f>
        <v>'E216'</v>
      </c>
      <c r="B68">
        <f>装备!D69</f>
        <v>0</v>
      </c>
      <c r="C68">
        <f>装备!E68</f>
        <v>0</v>
      </c>
      <c r="D68">
        <f>装备!F68</f>
        <v>26000</v>
      </c>
      <c r="E68">
        <f>IF(ISTEXT(装备!G68)=TRUE,"'"&amp;装备!G68&amp;"'",装备!G68)</f>
        <v>0</v>
      </c>
      <c r="F68">
        <f>IF(ISTEXT(装备!H68)=TRUE,"'"&amp;装备!H68&amp;"'",装备!H68)</f>
        <v>0</v>
      </c>
      <c r="G68" t="str">
        <f>IF(装备!I68="",0,"'"&amp;装备!I68&amp;"'")</f>
        <v>'E217'</v>
      </c>
      <c r="H68">
        <f>IF(装备!R68="",0,装备!R68)</f>
        <v>0</v>
      </c>
      <c r="I68">
        <f>IF(装备!S68="",0,装备!S68)</f>
        <v>0</v>
      </c>
      <c r="J68" t="str">
        <f>IF(装备!C68="",0,""""&amp;装备!C68&amp;"""")</f>
        <v>"护甲lv16"</v>
      </c>
      <c r="K68" t="str">
        <f>IF(装备!T68="","""""",""""&amp;装备!T68&amp;"""")</f>
        <v>""</v>
      </c>
      <c r="L68" t="str">
        <f>IF(装备!U68="",0,""""&amp;装备!U68&amp;"""")</f>
        <v>"ReplaceableTextures\\CommandButtons\\BTNE216.blp"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InitEquipData('E216',0,0,26000,0,0,'E217',0,0)</v>
      </c>
      <c r="N68" t="str">
        <f t="shared" si="2"/>
        <v>call InitTypeIdStrings('E216',"护甲lv16","ReplaceableTextures\\CommandButtons\\BTNE216.blp","")</v>
      </c>
    </row>
    <row r="69" spans="1:14">
      <c r="A69" t="str">
        <f>IF(装备!B69="",0,"'"&amp;装备!B69&amp;"'")</f>
        <v>'E217'</v>
      </c>
      <c r="B69">
        <f>装备!D70</f>
        <v>0</v>
      </c>
      <c r="C69">
        <f>装备!E69</f>
        <v>0</v>
      </c>
      <c r="D69">
        <f>装备!F69</f>
        <v>27000</v>
      </c>
      <c r="E69">
        <f>IF(ISTEXT(装备!G69)=TRUE,"'"&amp;装备!G69&amp;"'",装备!G69)</f>
        <v>0</v>
      </c>
      <c r="F69">
        <f>IF(ISTEXT(装备!H69)=TRUE,"'"&amp;装备!H69&amp;"'",装备!H69)</f>
        <v>0</v>
      </c>
      <c r="G69" t="str">
        <f>IF(装备!I69="",0,"'"&amp;装备!I69&amp;"'")</f>
        <v>'E218'</v>
      </c>
      <c r="H69">
        <f>IF(装备!R69="",0,装备!R69)</f>
        <v>0</v>
      </c>
      <c r="I69">
        <f>IF(装备!S69="",0,装备!S69)</f>
        <v>0</v>
      </c>
      <c r="J69" t="str">
        <f>IF(装备!C69="",0,""""&amp;装备!C69&amp;"""")</f>
        <v>"护甲lv17"</v>
      </c>
      <c r="K69" t="str">
        <f>IF(装备!T69="","""""",""""&amp;装备!T69&amp;"""")</f>
        <v>""</v>
      </c>
      <c r="L69" t="str">
        <f>IF(装备!U69="",0,""""&amp;装备!U69&amp;"""")</f>
        <v>"ReplaceableTextures\\CommandButtons\\BTNE217.blp"</v>
      </c>
      <c r="M69" t="str">
        <f t="shared" si="3"/>
        <v>InitEquipData('E217',0,0,27000,0,0,'E218',0,0)</v>
      </c>
      <c r="N69" t="str">
        <f t="shared" si="2"/>
        <v>call InitTypeIdStrings('E217',"护甲lv17","ReplaceableTextures\\CommandButtons\\BTNE217.blp","")</v>
      </c>
    </row>
    <row r="70" spans="1:14">
      <c r="A70" t="str">
        <f>IF(装备!B70="",0,"'"&amp;装备!B70&amp;"'")</f>
        <v>'E218'</v>
      </c>
      <c r="B70">
        <f>装备!D71</f>
        <v>0</v>
      </c>
      <c r="C70">
        <f>装备!E70</f>
        <v>0</v>
      </c>
      <c r="D70">
        <f>装备!F70</f>
        <v>28000</v>
      </c>
      <c r="E70">
        <f>IF(ISTEXT(装备!G70)=TRUE,"'"&amp;装备!G70&amp;"'",装备!G70)</f>
        <v>0</v>
      </c>
      <c r="F70">
        <f>IF(ISTEXT(装备!H70)=TRUE,"'"&amp;装备!H70&amp;"'",装备!H70)</f>
        <v>0</v>
      </c>
      <c r="G70" t="str">
        <f>IF(装备!I70="",0,"'"&amp;装备!I70&amp;"'")</f>
        <v>'E219'</v>
      </c>
      <c r="H70">
        <f>IF(装备!R70="",0,装备!R70)</f>
        <v>0</v>
      </c>
      <c r="I70">
        <f>IF(装备!S70="",0,装备!S70)</f>
        <v>0</v>
      </c>
      <c r="J70" t="str">
        <f>IF(装备!C70="",0,""""&amp;装备!C70&amp;"""")</f>
        <v>"护甲lv18"</v>
      </c>
      <c r="K70" t="str">
        <f>IF(装备!T70="","""""",""""&amp;装备!T70&amp;"""")</f>
        <v>""</v>
      </c>
      <c r="L70" t="str">
        <f>IF(装备!U70="",0,""""&amp;装备!U70&amp;"""")</f>
        <v>"ReplaceableTextures\\CommandButtons\\BTNE218.blp"</v>
      </c>
      <c r="M70" t="str">
        <f t="shared" si="3"/>
        <v>InitEquipData('E218',0,0,28000,0,0,'E219',0,0)</v>
      </c>
      <c r="N70" t="str">
        <f t="shared" si="2"/>
        <v>call InitTypeIdStrings('E218',"护甲lv18","ReplaceableTextures\\CommandButtons\\BTNE218.blp","")</v>
      </c>
    </row>
    <row r="71" spans="1:14">
      <c r="A71" t="str">
        <f>IF(装备!B71="",0,"'"&amp;装备!B71&amp;"'")</f>
        <v>'E219'</v>
      </c>
      <c r="B71">
        <f>装备!D72</f>
        <v>0</v>
      </c>
      <c r="C71">
        <f>装备!E71</f>
        <v>0</v>
      </c>
      <c r="D71">
        <f>装备!F71</f>
        <v>29000</v>
      </c>
      <c r="E71">
        <f>IF(ISTEXT(装备!G71)=TRUE,"'"&amp;装备!G71&amp;"'",装备!G71)</f>
        <v>0</v>
      </c>
      <c r="F71">
        <f>IF(ISTEXT(装备!H71)=TRUE,"'"&amp;装备!H71&amp;"'",装备!H71)</f>
        <v>0</v>
      </c>
      <c r="G71" t="str">
        <f>IF(装备!I71="",0,"'"&amp;装备!I71&amp;"'")</f>
        <v>'E220'</v>
      </c>
      <c r="H71">
        <f>IF(装备!R71="",0,装备!R71)</f>
        <v>0</v>
      </c>
      <c r="I71">
        <f>IF(装备!S71="",0,装备!S71)</f>
        <v>0</v>
      </c>
      <c r="J71" t="str">
        <f>IF(装备!C71="",0,""""&amp;装备!C71&amp;"""")</f>
        <v>"护甲lv19"</v>
      </c>
      <c r="K71" t="str">
        <f>IF(装备!T71="","""""",""""&amp;装备!T71&amp;"""")</f>
        <v>""</v>
      </c>
      <c r="L71" t="str">
        <f>IF(装备!U71="",0,""""&amp;装备!U71&amp;"""")</f>
        <v>"ReplaceableTextures\\CommandButtons\\BTNE219.blp"</v>
      </c>
      <c r="M71" t="str">
        <f t="shared" si="3"/>
        <v>InitEquipData('E219',0,0,29000,0,0,'E220',0,0)</v>
      </c>
      <c r="N71" t="str">
        <f t="shared" si="2"/>
        <v>call InitTypeIdStrings('E219',"护甲lv19","ReplaceableTextures\\CommandButtons\\BTNE219.blp","")</v>
      </c>
    </row>
    <row r="72" spans="1:14">
      <c r="A72" t="str">
        <f>IF(装备!B72="",0,"'"&amp;装备!B72&amp;"'")</f>
        <v>'E220'</v>
      </c>
      <c r="B72">
        <f>装备!D73</f>
        <v>0</v>
      </c>
      <c r="C72">
        <f>装备!E72</f>
        <v>0</v>
      </c>
      <c r="D72">
        <f>装备!F72</f>
        <v>30000</v>
      </c>
      <c r="E72">
        <f>IF(ISTEXT(装备!G72)=TRUE,"'"&amp;装备!G72&amp;"'",装备!G72)</f>
        <v>0</v>
      </c>
      <c r="F72" t="str">
        <f>IF(ISTEXT(装备!H72)=TRUE,"'"&amp;装备!H72&amp;"'",装备!H72)</f>
        <v>'uE24'</v>
      </c>
      <c r="G72" t="str">
        <f>IF(装备!I72="",0,"'"&amp;装备!I72&amp;"'")</f>
        <v>'E221'</v>
      </c>
      <c r="H72">
        <f>IF(装备!R72="",0,装备!R72)</f>
        <v>0</v>
      </c>
      <c r="I72">
        <f>IF(装备!S72="",0,装备!S72)</f>
        <v>0</v>
      </c>
      <c r="J72" t="str">
        <f>IF(装备!C72="",0,""""&amp;装备!C72&amp;"""")</f>
        <v>"护甲lv20"</v>
      </c>
      <c r="K72" t="str">
        <f>IF(装备!T72="","""""",""""&amp;装备!T72&amp;"""")</f>
        <v>""</v>
      </c>
      <c r="L72" t="str">
        <f>IF(装备!U72="",0,""""&amp;装备!U72&amp;"""")</f>
        <v>"ReplaceableTextures\\CommandButtons\\BTNE220.blp"</v>
      </c>
      <c r="M72" t="str">
        <f t="shared" si="3"/>
        <v>InitEquipData('E220',0,0,30000,0,'uE24','E221',0,0)</v>
      </c>
      <c r="N72" t="str">
        <f t="shared" si="2"/>
        <v>call InitTypeIdStrings('E220',"护甲lv20","ReplaceableTextures\\CommandButtons\\BTNE220.blp","")</v>
      </c>
    </row>
    <row r="73" spans="1:14">
      <c r="A73" t="str">
        <f>IF(装备!B73="",0,"'"&amp;装备!B73&amp;"'")</f>
        <v>'E221'</v>
      </c>
      <c r="B73">
        <f>装备!D74</f>
        <v>0</v>
      </c>
      <c r="C73">
        <f>装备!E73</f>
        <v>0</v>
      </c>
      <c r="D73">
        <f>装备!F73</f>
        <v>31200</v>
      </c>
      <c r="E73">
        <f>IF(ISTEXT(装备!G73)=TRUE,"'"&amp;装备!G73&amp;"'",装备!G73)</f>
        <v>0</v>
      </c>
      <c r="F73">
        <f>IF(ISTEXT(装备!H73)=TRUE,"'"&amp;装备!H73&amp;"'",装备!H73)</f>
        <v>0</v>
      </c>
      <c r="G73" t="str">
        <f>IF(装备!I73="",0,"'"&amp;装备!I73&amp;"'")</f>
        <v>'E222'</v>
      </c>
      <c r="H73">
        <f>IF(装备!R73="",0,装备!R73)</f>
        <v>0</v>
      </c>
      <c r="I73">
        <f>IF(装备!S73="",0,装备!S73)</f>
        <v>0</v>
      </c>
      <c r="J73" t="str">
        <f>IF(装备!C73="",0,""""&amp;装备!C73&amp;"""")</f>
        <v>"护甲lv21"</v>
      </c>
      <c r="K73" t="str">
        <f>IF(装备!T73="","""""",""""&amp;装备!T73&amp;"""")</f>
        <v>""</v>
      </c>
      <c r="L73" t="str">
        <f>IF(装备!U73="",0,""""&amp;装备!U73&amp;"""")</f>
        <v>"ReplaceableTextures\\CommandButtons\\BTNE221.blp"</v>
      </c>
      <c r="M73" t="str">
        <f t="shared" si="3"/>
        <v>InitEquipData('E221',0,0,31200,0,0,'E222',0,0)</v>
      </c>
      <c r="N73" t="str">
        <f t="shared" si="2"/>
        <v>call InitTypeIdStrings('E221',"护甲lv21","ReplaceableTextures\\CommandButtons\\BTNE221.blp","")</v>
      </c>
    </row>
    <row r="74" spans="1:14">
      <c r="A74" t="str">
        <f>IF(装备!B74="",0,"'"&amp;装备!B74&amp;"'")</f>
        <v>'E222'</v>
      </c>
      <c r="B74">
        <f>装备!D75</f>
        <v>0</v>
      </c>
      <c r="C74">
        <f>装备!E74</f>
        <v>0</v>
      </c>
      <c r="D74">
        <f>装备!F74</f>
        <v>32400</v>
      </c>
      <c r="E74">
        <f>IF(ISTEXT(装备!G74)=TRUE,"'"&amp;装备!G74&amp;"'",装备!G74)</f>
        <v>0</v>
      </c>
      <c r="F74">
        <f>IF(ISTEXT(装备!H74)=TRUE,"'"&amp;装备!H74&amp;"'",装备!H74)</f>
        <v>0</v>
      </c>
      <c r="G74" t="str">
        <f>IF(装备!I74="",0,"'"&amp;装备!I74&amp;"'")</f>
        <v>'E223'</v>
      </c>
      <c r="H74">
        <f>IF(装备!R74="",0,装备!R74)</f>
        <v>0</v>
      </c>
      <c r="I74">
        <f>IF(装备!S74="",0,装备!S74)</f>
        <v>0</v>
      </c>
      <c r="J74" t="str">
        <f>IF(装备!C74="",0,""""&amp;装备!C74&amp;"""")</f>
        <v>"护甲lv22"</v>
      </c>
      <c r="K74" t="str">
        <f>IF(装备!T74="","""""",""""&amp;装备!T74&amp;"""")</f>
        <v>""</v>
      </c>
      <c r="L74" t="str">
        <f>IF(装备!U74="",0,""""&amp;装备!U74&amp;"""")</f>
        <v>"ReplaceableTextures\\CommandButtons\\BTNE222.blp"</v>
      </c>
      <c r="M74" t="str">
        <f t="shared" si="3"/>
        <v>InitEquipData('E222',0,0,32400,0,0,'E223',0,0)</v>
      </c>
      <c r="N74" t="str">
        <f t="shared" si="2"/>
        <v>call InitTypeIdStrings('E222',"护甲lv22","ReplaceableTextures\\CommandButtons\\BTNE222.blp","")</v>
      </c>
    </row>
    <row r="75" spans="1:14">
      <c r="A75" t="str">
        <f>IF(装备!B75="",0,"'"&amp;装备!B75&amp;"'")</f>
        <v>'E223'</v>
      </c>
      <c r="B75">
        <f>装备!D76</f>
        <v>0</v>
      </c>
      <c r="C75">
        <f>装备!E75</f>
        <v>0</v>
      </c>
      <c r="D75">
        <f>装备!F75</f>
        <v>33600</v>
      </c>
      <c r="E75">
        <f>IF(ISTEXT(装备!G75)=TRUE,"'"&amp;装备!G75&amp;"'",装备!G75)</f>
        <v>0</v>
      </c>
      <c r="F75">
        <f>IF(ISTEXT(装备!H75)=TRUE,"'"&amp;装备!H75&amp;"'",装备!H75)</f>
        <v>0</v>
      </c>
      <c r="G75" t="str">
        <f>IF(装备!I75="",0,"'"&amp;装备!I75&amp;"'")</f>
        <v>'E224'</v>
      </c>
      <c r="H75">
        <f>IF(装备!R75="",0,装备!R75)</f>
        <v>0</v>
      </c>
      <c r="I75">
        <f>IF(装备!S75="",0,装备!S75)</f>
        <v>0</v>
      </c>
      <c r="J75" t="str">
        <f>IF(装备!C75="",0,""""&amp;装备!C75&amp;"""")</f>
        <v>"护甲lv23"</v>
      </c>
      <c r="K75" t="str">
        <f>IF(装备!T75="","""""",""""&amp;装备!T75&amp;"""")</f>
        <v>""</v>
      </c>
      <c r="L75" t="str">
        <f>IF(装备!U75="",0,""""&amp;装备!U75&amp;"""")</f>
        <v>"ReplaceableTextures\\CommandButtons\\BTNE223.blp"</v>
      </c>
      <c r="M75" t="str">
        <f t="shared" si="3"/>
        <v>InitEquipData('E223',0,0,33600,0,0,'E224',0,0)</v>
      </c>
      <c r="N75" t="str">
        <f t="shared" si="2"/>
        <v>call InitTypeIdStrings('E223',"护甲lv23","ReplaceableTextures\\CommandButtons\\BTNE223.blp","")</v>
      </c>
    </row>
    <row r="76" spans="1:14">
      <c r="A76" t="str">
        <f>IF(装备!B76="",0,"'"&amp;装备!B76&amp;"'")</f>
        <v>'E224'</v>
      </c>
      <c r="B76">
        <f>装备!D77</f>
        <v>0</v>
      </c>
      <c r="C76">
        <f>装备!E76</f>
        <v>0</v>
      </c>
      <c r="D76">
        <f>装备!F76</f>
        <v>34800</v>
      </c>
      <c r="E76">
        <f>IF(ISTEXT(装备!G76)=TRUE,"'"&amp;装备!G76&amp;"'",装备!G76)</f>
        <v>0</v>
      </c>
      <c r="F76">
        <f>IF(ISTEXT(装备!H76)=TRUE,"'"&amp;装备!H76&amp;"'",装备!H76)</f>
        <v>0</v>
      </c>
      <c r="G76" t="str">
        <f>IF(装备!I76="",0,"'"&amp;装备!I76&amp;"'")</f>
        <v>'E225'</v>
      </c>
      <c r="H76">
        <f>IF(装备!R76="",0,装备!R76)</f>
        <v>0</v>
      </c>
      <c r="I76">
        <f>IF(装备!S76="",0,装备!S76)</f>
        <v>0</v>
      </c>
      <c r="J76" t="str">
        <f>IF(装备!C76="",0,""""&amp;装备!C76&amp;"""")</f>
        <v>"护甲lv24"</v>
      </c>
      <c r="K76" t="str">
        <f>IF(装备!T76="","""""",""""&amp;装备!T76&amp;"""")</f>
        <v>""</v>
      </c>
      <c r="L76" t="str">
        <f>IF(装备!U76="",0,""""&amp;装备!U76&amp;"""")</f>
        <v>"ReplaceableTextures\\CommandButtons\\BTNE224.blp"</v>
      </c>
      <c r="M76" t="str">
        <f t="shared" si="3"/>
        <v>InitEquipData('E224',0,0,34800,0,0,'E225',0,0)</v>
      </c>
      <c r="N76" t="str">
        <f t="shared" si="2"/>
        <v>call InitTypeIdStrings('E224',"护甲lv24","ReplaceableTextures\\CommandButtons\\BTNE224.blp","")</v>
      </c>
    </row>
    <row r="77" spans="1:14">
      <c r="A77" t="str">
        <f>IF(装备!B77="",0,"'"&amp;装备!B77&amp;"'")</f>
        <v>'E225'</v>
      </c>
      <c r="B77">
        <f>装备!D78</f>
        <v>0</v>
      </c>
      <c r="C77">
        <f>装备!E77</f>
        <v>0</v>
      </c>
      <c r="D77">
        <f>装备!F77</f>
        <v>0</v>
      </c>
      <c r="E77">
        <f>IF(ISTEXT(装备!G77)=TRUE,"'"&amp;装备!G77&amp;"'",装备!G77)</f>
        <v>0</v>
      </c>
      <c r="F77">
        <f>IF(ISTEXT(装备!H77)=TRUE,"'"&amp;装备!H77&amp;"'",装备!H77)</f>
        <v>0</v>
      </c>
      <c r="G77">
        <f>IF(装备!I77="",0,"'"&amp;装备!I77&amp;"'")</f>
        <v>0</v>
      </c>
      <c r="H77">
        <f>IF(装备!R77="",0,装备!R77)</f>
        <v>0</v>
      </c>
      <c r="I77">
        <f>IF(装备!S77="",0,装备!S77)</f>
        <v>0</v>
      </c>
      <c r="J77" t="str">
        <f>IF(装备!C77="",0,""""&amp;装备!C77&amp;"""")</f>
        <v>"护甲lv25"</v>
      </c>
      <c r="K77" t="str">
        <f>IF(装备!T77="","""""",""""&amp;装备!T77&amp;"""")</f>
        <v>""</v>
      </c>
      <c r="L77" t="str">
        <f>IF(装备!U77="",0,""""&amp;装备!U77&amp;"""")</f>
        <v>"ReplaceableTextures\\CommandButtons\\BTNE225.blp"</v>
      </c>
      <c r="M77" t="str">
        <f t="shared" si="3"/>
        <v/>
      </c>
      <c r="N77" t="str">
        <f t="shared" si="2"/>
        <v>call InitTypeIdStrings('E225',"护甲lv25","ReplaceableTextures\\CommandButtons\\BTNE225.blp","")</v>
      </c>
    </row>
    <row r="78" spans="1:14">
      <c r="A78" t="str">
        <f>IF(装备!B78="",0,"'"&amp;装备!B78&amp;"'")</f>
        <v>'IJ01'</v>
      </c>
      <c r="B78">
        <f>装备!D79</f>
        <v>0</v>
      </c>
      <c r="C78">
        <f>装备!E78</f>
        <v>0</v>
      </c>
      <c r="D78">
        <f>装备!F78</f>
        <v>0</v>
      </c>
      <c r="E78">
        <f>IF(ISTEXT(装备!G78)=TRUE,"'"&amp;装备!G78&amp;"'",装备!G78)</f>
        <v>0</v>
      </c>
      <c r="F78">
        <f>IF(ISTEXT(装备!H78)=TRUE,"'"&amp;装备!H78&amp;"'",装备!H78)</f>
        <v>0</v>
      </c>
      <c r="G78">
        <f>IF(装备!I78="",0,"'"&amp;装备!I78&amp;"'")</f>
        <v>0</v>
      </c>
      <c r="H78">
        <f>IF(装备!R78="",0,装备!R78)</f>
        <v>0</v>
      </c>
      <c r="I78">
        <f>IF(装备!S78="",0,装备!S78)</f>
        <v>0</v>
      </c>
      <c r="J78" t="str">
        <f>IF(装备!C78="",0,""""&amp;装备!C78&amp;"""")</f>
        <v>"低级道果"</v>
      </c>
      <c r="K78" t="str">
        <f>IF(装备!T78="","""""",""""&amp;装备!T78&amp;"""")</f>
        <v>""</v>
      </c>
      <c r="L78" t="str">
        <f>IF(装备!U78="",0,""""&amp;装备!U78&amp;"""")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InitTypeIdStrings('IJ01',"低级道果","ReplaceableTextures\\CommandButtons\\BTNOrbOfFrost.blp","")</v>
      </c>
    </row>
    <row r="79" spans="1:14">
      <c r="A79" t="str">
        <f>IF(装备!B79="",0,"'"&amp;装备!B79&amp;"'")</f>
        <v>'IJ02'</v>
      </c>
      <c r="B79">
        <f>装备!D80</f>
        <v>0</v>
      </c>
      <c r="C79">
        <f>装备!E79</f>
        <v>0</v>
      </c>
      <c r="D79">
        <f>装备!F79</f>
        <v>0</v>
      </c>
      <c r="E79">
        <f>IF(ISTEXT(装备!G79)=TRUE,"'"&amp;装备!G79&amp;"'",装备!G79)</f>
        <v>0</v>
      </c>
      <c r="F79">
        <f>IF(ISTEXT(装备!H79)=TRUE,"'"&amp;装备!H79&amp;"'",装备!H79)</f>
        <v>0</v>
      </c>
      <c r="G79">
        <f>IF(装备!I79="",0,"'"&amp;装备!I79&amp;"'")</f>
        <v>0</v>
      </c>
      <c r="H79">
        <f>IF(装备!R79="",0,装备!R79)</f>
        <v>0</v>
      </c>
      <c r="I79">
        <f>IF(装备!S79="",0,装备!S79)</f>
        <v>0</v>
      </c>
      <c r="J79" t="str">
        <f>IF(装备!C79="",0,""""&amp;装备!C79&amp;"""")</f>
        <v>"中级道果"</v>
      </c>
      <c r="K79" t="str">
        <f>IF(装备!T79="","""""",""""&amp;装备!T79&amp;"""")</f>
        <v>""</v>
      </c>
      <c r="L79" t="str">
        <f>IF(装备!U79="",0,""""&amp;装备!U79&amp;"""")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InitTypeIdStrings('IJ02',"中级道果","ReplaceableTextures\\CommandButtons\\BTNOrbOfVenom.blp","")</v>
      </c>
    </row>
    <row r="80" spans="1:14">
      <c r="A80" t="str">
        <f>IF(装备!B80="",0,"'"&amp;装备!B80&amp;"'")</f>
        <v>'IJ03'</v>
      </c>
      <c r="B80">
        <f>装备!D81</f>
        <v>0</v>
      </c>
      <c r="C80">
        <f>装备!E80</f>
        <v>0</v>
      </c>
      <c r="D80">
        <f>装备!F80</f>
        <v>0</v>
      </c>
      <c r="E80">
        <f>IF(ISTEXT(装备!G80)=TRUE,"'"&amp;装备!G80&amp;"'",装备!G80)</f>
        <v>0</v>
      </c>
      <c r="F80">
        <f>IF(ISTEXT(装备!H80)=TRUE,"'"&amp;装备!H80&amp;"'",装备!H80)</f>
        <v>0</v>
      </c>
      <c r="G80">
        <f>IF(装备!I80="",0,"'"&amp;装备!I80&amp;"'")</f>
        <v>0</v>
      </c>
      <c r="H80">
        <f>IF(装备!R80="",0,装备!R80)</f>
        <v>0</v>
      </c>
      <c r="I80">
        <f>IF(装备!S80="",0,装备!S80)</f>
        <v>0</v>
      </c>
      <c r="J80" t="str">
        <f>IF(装备!C80="",0,""""&amp;装备!C80&amp;"""")</f>
        <v>"高级道果"</v>
      </c>
      <c r="K80" t="str">
        <f>IF(装备!T80="","""""",""""&amp;装备!T80&amp;"""")</f>
        <v>""</v>
      </c>
      <c r="L80" t="str">
        <f>IF(装备!U80="",0,""""&amp;装备!U80&amp;"""")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InitTypeIdStrings('IJ03',"高级道果","ReplaceableTextures\\CommandButtons\\BTNOrbOfCorruption.blp","")</v>
      </c>
    </row>
    <row r="81" spans="1:14">
      <c r="A81" t="str">
        <f>IF(装备!B81="",0,"'"&amp;装备!B81&amp;"'")</f>
        <v>'IJ04'</v>
      </c>
      <c r="B81">
        <f>装备!D82</f>
        <v>0</v>
      </c>
      <c r="C81">
        <f>装备!E81</f>
        <v>0</v>
      </c>
      <c r="D81">
        <f>装备!F81</f>
        <v>0</v>
      </c>
      <c r="E81">
        <f>IF(ISTEXT(装备!G81)=TRUE,"'"&amp;装备!G81&amp;"'",装备!G81)</f>
        <v>0</v>
      </c>
      <c r="F81">
        <f>IF(ISTEXT(装备!H81)=TRUE,"'"&amp;装备!H81&amp;"'",装备!H81)</f>
        <v>0</v>
      </c>
      <c r="G81">
        <f>IF(装备!I81="",0,"'"&amp;装备!I81&amp;"'")</f>
        <v>0</v>
      </c>
      <c r="H81">
        <f>IF(装备!R81="",0,装备!R81)</f>
        <v>0</v>
      </c>
      <c r="I81">
        <f>IF(装备!S81="",0,装备!S81)</f>
        <v>0</v>
      </c>
      <c r="J81" t="str">
        <f>IF(装备!C81="",0,""""&amp;装备!C81&amp;"""")</f>
        <v>"黄级道果"</v>
      </c>
      <c r="K81" t="str">
        <f>IF(装备!T81="","""""",""""&amp;装备!T81&amp;"""")</f>
        <v>""</v>
      </c>
      <c r="L81" t="str">
        <f>IF(装备!U81="",0,""""&amp;装备!U81&amp;"""")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InitTypeIdStrings('IJ04',"黄级道果","ReplaceableTextures\\CommandButtons\\BTNOrbOfFire.blp","")</v>
      </c>
    </row>
    <row r="82" spans="1:14">
      <c r="A82" t="str">
        <f>IF(装备!B82="",0,"'"&amp;装备!B82&amp;"'")</f>
        <v>'IJ05'</v>
      </c>
      <c r="B82">
        <f>装备!D83</f>
        <v>0</v>
      </c>
      <c r="C82">
        <f>装备!E82</f>
        <v>0</v>
      </c>
      <c r="D82">
        <f>装备!F82</f>
        <v>0</v>
      </c>
      <c r="E82">
        <f>IF(ISTEXT(装备!G82)=TRUE,"'"&amp;装备!G82&amp;"'",装备!G82)</f>
        <v>0</v>
      </c>
      <c r="F82">
        <f>IF(ISTEXT(装备!H82)=TRUE,"'"&amp;装备!H82&amp;"'",装备!H82)</f>
        <v>0</v>
      </c>
      <c r="G82">
        <f>IF(装备!I82="",0,"'"&amp;装备!I82&amp;"'")</f>
        <v>0</v>
      </c>
      <c r="H82">
        <f>IF(装备!R82="",0,装备!R82)</f>
        <v>0</v>
      </c>
      <c r="I82">
        <f>IF(装备!S82="",0,装备!S82)</f>
        <v>0</v>
      </c>
      <c r="J82" t="str">
        <f>IF(装备!C82="",0,""""&amp;装备!C82&amp;"""")</f>
        <v>"玄级道果"</v>
      </c>
      <c r="K82" t="str">
        <f>IF(装备!T82="","""""",""""&amp;装备!T82&amp;"""")</f>
        <v>""</v>
      </c>
      <c r="L82" t="str">
        <f>IF(装备!U82="",0,""""&amp;装备!U82&amp;"""")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InitTypeIdStrings('IJ05',"玄级道果","ReplaceableTextures\\CommandButtons\\BTNUsedSoulGem.blp","")</v>
      </c>
    </row>
    <row r="83" spans="1:14">
      <c r="A83" t="str">
        <f>IF(装备!B83="",0,"'"&amp;装备!B83&amp;"'")</f>
        <v>'IJ06'</v>
      </c>
      <c r="B83">
        <f>装备!D84</f>
        <v>0</v>
      </c>
      <c r="C83">
        <f>装备!E83</f>
        <v>0</v>
      </c>
      <c r="D83">
        <f>装备!F83</f>
        <v>0</v>
      </c>
      <c r="E83">
        <f>IF(ISTEXT(装备!G83)=TRUE,"'"&amp;装备!G83&amp;"'",装备!G83)</f>
        <v>0</v>
      </c>
      <c r="F83">
        <f>IF(ISTEXT(装备!H83)=TRUE,"'"&amp;装备!H83&amp;"'",装备!H83)</f>
        <v>0</v>
      </c>
      <c r="G83">
        <f>IF(装备!I83="",0,"'"&amp;装备!I83&amp;"'")</f>
        <v>0</v>
      </c>
      <c r="H83">
        <f>IF(装备!R83="",0,装备!R83)</f>
        <v>0</v>
      </c>
      <c r="I83">
        <f>IF(装备!S83="",0,装备!S83)</f>
        <v>0</v>
      </c>
      <c r="J83" t="str">
        <f>IF(装备!C83="",0,""""&amp;装备!C83&amp;"""")</f>
        <v>"地级道果"</v>
      </c>
      <c r="K83" t="str">
        <f>IF(装备!T83="","""""",""""&amp;装备!T83&amp;"""")</f>
        <v>""</v>
      </c>
      <c r="L83" t="str">
        <f>IF(装备!U83="",0,""""&amp;装备!U83&amp;"""")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InitTypeIdStrings('IJ06',"地级道果","ReplaceableTextures\\CommandButtons\\BTNOrbofSlowness.blp","")</v>
      </c>
    </row>
    <row r="84" spans="1:14">
      <c r="A84" t="str">
        <f>IF(装备!B84="",0,"'"&amp;装备!B84&amp;"'")</f>
        <v>'IJ07'</v>
      </c>
      <c r="B84">
        <f>装备!D85</f>
        <v>0</v>
      </c>
      <c r="C84">
        <f>装备!E84</f>
        <v>0</v>
      </c>
      <c r="D84">
        <f>装备!F84</f>
        <v>0</v>
      </c>
      <c r="E84">
        <f>IF(ISTEXT(装备!G84)=TRUE,"'"&amp;装备!G84&amp;"'",装备!G84)</f>
        <v>0</v>
      </c>
      <c r="F84">
        <f>IF(ISTEXT(装备!H84)=TRUE,"'"&amp;装备!H84&amp;"'",装备!H84)</f>
        <v>0</v>
      </c>
      <c r="G84">
        <f>IF(装备!I84="",0,"'"&amp;装备!I84&amp;"'")</f>
        <v>0</v>
      </c>
      <c r="H84">
        <f>IF(装备!R84="",0,装备!R84)</f>
        <v>0</v>
      </c>
      <c r="I84">
        <f>IF(装备!S84="",0,装备!S84)</f>
        <v>0</v>
      </c>
      <c r="J84" t="str">
        <f>IF(装备!C84="",0,""""&amp;装备!C84&amp;"""")</f>
        <v>"天级道果"</v>
      </c>
      <c r="K84" t="str">
        <f>IF(装备!T84="","""""",""""&amp;装备!T84&amp;"""")</f>
        <v>""</v>
      </c>
      <c r="L84" t="str">
        <f>IF(装备!U84="",0,""""&amp;装备!U84&amp;"""")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InitTypeIdStrings('IJ07',"天级道果","ReplaceableTextures\\CommandButtons\\BTNOrbOfLightning.blp","")</v>
      </c>
    </row>
    <row r="85" spans="1:14">
      <c r="A85" t="str">
        <f>IF(装备!B85="",0,"'"&amp;装备!B85&amp;"'")</f>
        <v>'IJ08'</v>
      </c>
      <c r="B85">
        <f>装备!D86</f>
        <v>0</v>
      </c>
      <c r="C85">
        <f>装备!E85</f>
        <v>0</v>
      </c>
      <c r="D85">
        <f>装备!F85</f>
        <v>0</v>
      </c>
      <c r="E85">
        <f>IF(ISTEXT(装备!G85)=TRUE,"'"&amp;装备!G85&amp;"'",装备!G85)</f>
        <v>0</v>
      </c>
      <c r="F85">
        <f>IF(ISTEXT(装备!H85)=TRUE,"'"&amp;装备!H85&amp;"'",装备!H85)</f>
        <v>0</v>
      </c>
      <c r="G85">
        <f>IF(装备!I85="",0,"'"&amp;装备!I85&amp;"'")</f>
        <v>0</v>
      </c>
      <c r="H85">
        <f>IF(装备!R85="",0,装备!R85)</f>
        <v>0</v>
      </c>
      <c r="I85">
        <f>IF(装备!S85="",0,装备!S85)</f>
        <v>0</v>
      </c>
      <c r="J85" t="str">
        <f>IF(装备!C85="",0,""""&amp;装备!C85&amp;"""")</f>
        <v>"仙品道果"</v>
      </c>
      <c r="K85" t="str">
        <f>IF(装备!T85="","""""",""""&amp;装备!T85&amp;"""")</f>
        <v>""</v>
      </c>
      <c r="L85" t="str">
        <f>IF(装备!U85="",0,""""&amp;装备!U85&amp;"""")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InitTypeIdStrings('IJ08',"仙品道果","ReplaceableTextures\\CommandButtons\\BTNHeartOfAszune.blp","")</v>
      </c>
    </row>
    <row r="86" spans="1:14">
      <c r="A86" t="str">
        <f>IF(装备!B86="",0,"'"&amp;装备!B86&amp;"'")</f>
        <v>'IJ09'</v>
      </c>
      <c r="B86">
        <f>装备!D87</f>
        <v>0</v>
      </c>
      <c r="C86">
        <f>装备!E86</f>
        <v>0</v>
      </c>
      <c r="D86">
        <f>装备!F86</f>
        <v>0</v>
      </c>
      <c r="E86">
        <f>IF(ISTEXT(装备!G86)=TRUE,"'"&amp;装备!G86&amp;"'",装备!G86)</f>
        <v>0</v>
      </c>
      <c r="F86">
        <f>IF(ISTEXT(装备!H86)=TRUE,"'"&amp;装备!H86&amp;"'",装备!H86)</f>
        <v>0</v>
      </c>
      <c r="G86">
        <f>IF(装备!I86="",0,"'"&amp;装备!I86&amp;"'")</f>
        <v>0</v>
      </c>
      <c r="H86">
        <f>IF(装备!R86="",0,装备!R86)</f>
        <v>0</v>
      </c>
      <c r="I86">
        <f>IF(装备!S86="",0,装备!S86)</f>
        <v>0</v>
      </c>
      <c r="J86" t="str">
        <f>IF(装备!C86="",0,""""&amp;装备!C86&amp;"""")</f>
        <v>"至圣道果"</v>
      </c>
      <c r="K86" t="str">
        <f>IF(装备!T86="","""""",""""&amp;装备!T86&amp;"""")</f>
        <v>""</v>
      </c>
      <c r="L86" t="str">
        <f>IF(装备!U86="",0,""""&amp;装备!U86&amp;"""")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InitTypeIdStrings('IJ09',"至圣道果","ReplaceableTextures\\CommandButtons\\BTNPhilosophersStone.blp","")</v>
      </c>
    </row>
    <row r="87" spans="1:14">
      <c r="A87" t="str">
        <f>IF(装备!B87="",0,"'"&amp;装备!B87&amp;"'")</f>
        <v>'IJ10'</v>
      </c>
      <c r="B87">
        <f>装备!D88</f>
        <v>0</v>
      </c>
      <c r="C87">
        <f>装备!E87</f>
        <v>0</v>
      </c>
      <c r="D87">
        <f>装备!F87</f>
        <v>0</v>
      </c>
      <c r="E87">
        <f>IF(ISTEXT(装备!G87)=TRUE,"'"&amp;装备!G87&amp;"'",装备!G87)</f>
        <v>0</v>
      </c>
      <c r="F87">
        <f>IF(ISTEXT(装备!H87)=TRUE,"'"&amp;装备!H87&amp;"'",装备!H87)</f>
        <v>0</v>
      </c>
      <c r="G87">
        <f>IF(装备!I87="",0,"'"&amp;装备!I87&amp;"'")</f>
        <v>0</v>
      </c>
      <c r="H87">
        <f>IF(装备!R87="",0,装备!R87)</f>
        <v>0</v>
      </c>
      <c r="I87">
        <f>IF(装备!S87="",0,装备!S87)</f>
        <v>0</v>
      </c>
      <c r="J87" t="str">
        <f>IF(装备!C87="",0,""""&amp;装备!C87&amp;"""")</f>
        <v>"混沌道果"</v>
      </c>
      <c r="K87" t="str">
        <f>IF(装备!T87="","""""",""""&amp;装备!T87&amp;"""")</f>
        <v>""</v>
      </c>
      <c r="L87" t="str">
        <f>IF(装备!U87="",0,""""&amp;装备!U87&amp;"""")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InitTypeIdStrings('IJ10',"混沌道果","ReplaceableTextures\\CommandButtons\\BTNOrbOfDarkness.blp","")</v>
      </c>
    </row>
    <row r="88" spans="1:14">
      <c r="A88" t="str">
        <f>IF(装备!B88="",0,"'"&amp;装备!B88&amp;"'")</f>
        <v>'CS01'</v>
      </c>
      <c r="B88">
        <f>装备!D89</f>
        <v>0</v>
      </c>
      <c r="C88">
        <f>装备!E88</f>
        <v>0</v>
      </c>
      <c r="D88">
        <f>装备!F88</f>
        <v>0</v>
      </c>
      <c r="E88">
        <f>IF(ISTEXT(装备!G88)=TRUE,"'"&amp;装备!G88&amp;"'",装备!G88)</f>
        <v>0</v>
      </c>
      <c r="F88">
        <f>IF(ISTEXT(装备!H88)=TRUE,"'"&amp;装备!H88&amp;"'",装备!H88)</f>
        <v>0</v>
      </c>
      <c r="G88">
        <f>IF(装备!I88="",0,"'"&amp;装备!I88&amp;"'")</f>
        <v>0</v>
      </c>
      <c r="H88">
        <f>IF(装备!R88="",0,装备!R88)</f>
        <v>0</v>
      </c>
      <c r="I88">
        <f>IF(装备!S88="",0,装备!S88)</f>
        <v>0</v>
      </c>
      <c r="J88" t="str">
        <f>IF(装备!C88="",0,""""&amp;装备!C88&amp;"""")</f>
        <v>"低阶技能书"</v>
      </c>
      <c r="K88" t="str">
        <f>IF(装备!T88="","""""",""""&amp;装备!T88&amp;"""")</f>
        <v>"随机技能"</v>
      </c>
      <c r="L88" t="str">
        <f>IF(装备!U88="",0,""""&amp;装备!U88&amp;"""")</f>
        <v>"ReplaceableTextures\\CommandButtons\\BTNTome.blp"</v>
      </c>
      <c r="M88" t="str">
        <f t="shared" si="3"/>
        <v/>
      </c>
      <c r="N88" t="str">
        <f t="shared" si="2"/>
        <v>call InitTypeIdStrings('CS01',"低阶技能书","ReplaceableTextures\\CommandButtons\\BTNTome.blp","随机技能")</v>
      </c>
    </row>
    <row r="89" spans="1:14">
      <c r="A89" t="str">
        <f>IF(装备!B89="",0,"'"&amp;装备!B89&amp;"'")</f>
        <v>'CS02'</v>
      </c>
      <c r="B89">
        <f>装备!D90</f>
        <v>0</v>
      </c>
      <c r="C89">
        <f>装备!E89</f>
        <v>0</v>
      </c>
      <c r="D89">
        <f>装备!F89</f>
        <v>0</v>
      </c>
      <c r="E89">
        <f>IF(ISTEXT(装备!G89)=TRUE,"'"&amp;装备!G89&amp;"'",装备!G89)</f>
        <v>0</v>
      </c>
      <c r="F89">
        <f>IF(ISTEXT(装备!H89)=TRUE,"'"&amp;装备!H89&amp;"'",装备!H89)</f>
        <v>0</v>
      </c>
      <c r="G89">
        <f>IF(装备!I89="",0,"'"&amp;装备!I89&amp;"'")</f>
        <v>0</v>
      </c>
      <c r="H89">
        <f>IF(装备!R89="",0,装备!R89)</f>
        <v>0</v>
      </c>
      <c r="I89">
        <f>IF(装备!S89="",0,装备!S89)</f>
        <v>0</v>
      </c>
      <c r="J89" t="str">
        <f>IF(装备!C89="",0,""""&amp;装备!C89&amp;"""")</f>
        <v>"中阶技能书"</v>
      </c>
      <c r="K89" t="str">
        <f>IF(装备!T89="","""""",""""&amp;装备!T89&amp;"""")</f>
        <v>"随机技能"</v>
      </c>
      <c r="L89" t="str">
        <f>IF(装备!U89="",0,""""&amp;装备!U89&amp;"""")</f>
        <v>"ReplaceableTextures\\CommandButtons\\BTNTome.blp"</v>
      </c>
      <c r="M89" t="str">
        <f t="shared" si="3"/>
        <v/>
      </c>
      <c r="N89" t="str">
        <f t="shared" si="2"/>
        <v>call InitTypeIdStrings('CS02',"中阶技能书","ReplaceableTextures\\CommandButtons\\BTNTome.blp","随机技能")</v>
      </c>
    </row>
    <row r="90" spans="1:14">
      <c r="A90" t="str">
        <f>IF(装备!B90="",0,"'"&amp;装备!B90&amp;"'")</f>
        <v>'CS03'</v>
      </c>
      <c r="B90">
        <f>装备!D91</f>
        <v>0</v>
      </c>
      <c r="C90">
        <f>装备!E90</f>
        <v>0</v>
      </c>
      <c r="D90">
        <f>装备!F90</f>
        <v>0</v>
      </c>
      <c r="E90">
        <f>IF(ISTEXT(装备!G90)=TRUE,"'"&amp;装备!G90&amp;"'",装备!G90)</f>
        <v>0</v>
      </c>
      <c r="F90">
        <f>IF(ISTEXT(装备!H90)=TRUE,"'"&amp;装备!H90&amp;"'",装备!H90)</f>
        <v>0</v>
      </c>
      <c r="G90">
        <f>IF(装备!I90="",0,"'"&amp;装备!I90&amp;"'")</f>
        <v>0</v>
      </c>
      <c r="H90">
        <f>IF(装备!R90="",0,装备!R90)</f>
        <v>0</v>
      </c>
      <c r="I90">
        <f>IF(装备!S90="",0,装备!S90)</f>
        <v>0</v>
      </c>
      <c r="J90" t="str">
        <f>IF(装备!C90="",0,""""&amp;装备!C90&amp;"""")</f>
        <v>"高阶技能书"</v>
      </c>
      <c r="K90" t="str">
        <f>IF(装备!T90="","""""",""""&amp;装备!T90&amp;"""")</f>
        <v>"随机技能"</v>
      </c>
      <c r="L90" t="str">
        <f>IF(装备!U90="",0,""""&amp;装备!U90&amp;"""")</f>
        <v>"ReplaceableTextures\\CommandButtons\\BTNTome.blp"</v>
      </c>
      <c r="M90" t="str">
        <f t="shared" si="3"/>
        <v/>
      </c>
      <c r="N90" t="str">
        <f t="shared" si="2"/>
        <v>call InitTypeIdStrings('CS03',"高阶技能书","ReplaceableTextures\\CommandButtons\\BTNTome.blp","随机技能")</v>
      </c>
    </row>
    <row r="91" spans="1:14">
      <c r="A91" t="str">
        <f>IF(装备!B91="",0,"'"&amp;装备!B91&amp;"'")</f>
        <v>'CS04'</v>
      </c>
      <c r="B91">
        <f>装备!D92</f>
        <v>0</v>
      </c>
      <c r="C91">
        <f>装备!E91</f>
        <v>0</v>
      </c>
      <c r="D91">
        <f>装备!F91</f>
        <v>0</v>
      </c>
      <c r="E91">
        <f>IF(ISTEXT(装备!G91)=TRUE,"'"&amp;装备!G91&amp;"'",装备!G91)</f>
        <v>0</v>
      </c>
      <c r="F91">
        <f>IF(ISTEXT(装备!H91)=TRUE,"'"&amp;装备!H91&amp;"'",装备!H91)</f>
        <v>0</v>
      </c>
      <c r="G91">
        <f>IF(装备!I91="",0,"'"&amp;装备!I91&amp;"'")</f>
        <v>0</v>
      </c>
      <c r="H91">
        <f>IF(装备!R91="",0,装备!R91)</f>
        <v>0</v>
      </c>
      <c r="I91">
        <f>IF(装备!S91="",0,装备!S91)</f>
        <v>0</v>
      </c>
      <c r="J91" t="str">
        <f>IF(装备!C91="",0,""""&amp;装备!C91&amp;"""")</f>
        <v>"神阶技能书"</v>
      </c>
      <c r="K91" t="str">
        <f>IF(装备!T91="","""""",""""&amp;装备!T91&amp;"""")</f>
        <v>"随机技能"</v>
      </c>
      <c r="L91" t="str">
        <f>IF(装备!U91="",0,""""&amp;装备!U91&amp;"""")</f>
        <v>"ReplaceableTextures\\CommandButtons\\BTNTome.blp"</v>
      </c>
      <c r="M91" t="str">
        <f t="shared" si="3"/>
        <v/>
      </c>
      <c r="N91" t="str">
        <f t="shared" si="2"/>
        <v>call InitTypeIdStrings('CS04',"神阶技能书","ReplaceableTextures\\CommandButtons\\BTNTome.blp","随机技能")</v>
      </c>
    </row>
    <row r="92" spans="1:14">
      <c r="A92" t="str">
        <f>IF(装备!B92="",0,"'"&amp;装备!B92&amp;"'")</f>
        <v>'CF01'</v>
      </c>
      <c r="B92">
        <f>装备!D99</f>
        <v>0</v>
      </c>
      <c r="C92">
        <f>装备!E92</f>
        <v>0</v>
      </c>
      <c r="D92">
        <f>装备!F92</f>
        <v>0</v>
      </c>
      <c r="E92">
        <f>IF(ISTEXT(装备!G92)=TRUE,"'"&amp;装备!G92&amp;"'",装备!G92)</f>
        <v>0</v>
      </c>
      <c r="F92">
        <f>IF(ISTEXT(装备!H92)=TRUE,"'"&amp;装备!H92&amp;"'",装备!H92)</f>
        <v>0</v>
      </c>
      <c r="G92">
        <f>IF(装备!I92="",0,"'"&amp;装备!I92&amp;"'")</f>
        <v>0</v>
      </c>
      <c r="H92">
        <f>IF(装备!R92="",0,装备!R92)</f>
        <v>0</v>
      </c>
      <c r="I92">
        <f>IF(装备!S92="",0,装备!S92)</f>
        <v>0</v>
      </c>
      <c r="J92" t="str">
        <f>IF(装备!C92="",0,""""&amp;装备!C92&amp;"""")</f>
        <v>"随机法宝"</v>
      </c>
      <c r="K92" t="str">
        <f>IF(装备!T92="","""""",""""&amp;装备!T92&amp;"""")</f>
        <v>"随机法宝"</v>
      </c>
      <c r="L92" t="str">
        <f>IF(装备!U92="",0,""""&amp;装备!U92&amp;"""")</f>
        <v>"ReplaceableTextures\\CommandButtons\\BTNTome.blp"</v>
      </c>
      <c r="M92" t="str">
        <f t="shared" si="3"/>
        <v/>
      </c>
      <c r="N92" t="str">
        <f t="shared" si="2"/>
        <v>call InitTypeIdStrings('CF01',"随机法宝","ReplaceableTextures\\CommandButtons\\BTNTome.blp","随机法宝")</v>
      </c>
    </row>
    <row r="93" spans="1:14">
      <c r="A93" t="str">
        <f>IF(装备!B99="",0,"'"&amp;装备!B99&amp;"'")</f>
        <v>'IP01'</v>
      </c>
      <c r="B93">
        <f>装备!D100</f>
        <v>0</v>
      </c>
      <c r="C93">
        <f>装备!E99</f>
        <v>0</v>
      </c>
      <c r="D93">
        <f>装备!F99</f>
        <v>0</v>
      </c>
      <c r="E93">
        <f>IF(ISTEXT(装备!G99)=TRUE,"'"&amp;装备!G99&amp;"'",装备!G99)</f>
        <v>0</v>
      </c>
      <c r="F93">
        <f>IF(ISTEXT(装备!H99)=TRUE,"'"&amp;装备!H99&amp;"'",装备!H99)</f>
        <v>0</v>
      </c>
      <c r="G93">
        <f>IF(装备!I99="",0,"'"&amp;装备!I99&amp;"'")</f>
        <v>0</v>
      </c>
      <c r="H93">
        <f>IF(装备!R99="",0,装备!R99)</f>
        <v>0</v>
      </c>
      <c r="I93">
        <f>IF(装备!S99="",0,装备!S99)</f>
        <v>0</v>
      </c>
      <c r="J93" t="str">
        <f>IF(装备!C99="",0,""""&amp;装备!C99&amp;"""")</f>
        <v>"时渊碎片"</v>
      </c>
      <c r="K93" t="str">
        <f>IF(装备!T99="","""""",""""&amp;装备!T99&amp;"""")</f>
        <v>"进入时渊副本消耗时渊碎片"</v>
      </c>
      <c r="L93" t="str">
        <f>IF(装备!U99="",0,""""&amp;装备!U99&amp;"""")</f>
        <v>"ReplaceableTextures\\CommandButtons\\BTNTome.blp"</v>
      </c>
      <c r="M93" t="str">
        <f t="shared" si="3"/>
        <v/>
      </c>
      <c r="N93" t="str">
        <f t="shared" si="2"/>
        <v>call InitTypeIdStrings('IP01',"时渊碎片","ReplaceableTextures\\CommandButtons\\BTNTome.blp","进入时渊副本消耗时渊碎片")</v>
      </c>
    </row>
    <row r="94" spans="1:14">
      <c r="A94" t="str">
        <f>IF(装备!B100="",0,"'"&amp;装备!B100&amp;"'")</f>
        <v>'IP02'</v>
      </c>
      <c r="B94">
        <f>装备!D101</f>
        <v>0</v>
      </c>
      <c r="C94">
        <f>装备!E100</f>
        <v>0</v>
      </c>
      <c r="D94">
        <f>装备!F100</f>
        <v>0</v>
      </c>
      <c r="E94">
        <f>IF(ISTEXT(装备!G100)=TRUE,"'"&amp;装备!G100&amp;"'",装备!G100)</f>
        <v>0</v>
      </c>
      <c r="F94">
        <f>IF(ISTEXT(装备!H100)=TRUE,"'"&amp;装备!H100&amp;"'",装备!H100)</f>
        <v>0</v>
      </c>
      <c r="G94">
        <f>IF(装备!I100="",0,"'"&amp;装备!I100&amp;"'")</f>
        <v>0</v>
      </c>
      <c r="H94">
        <f>IF(装备!R100="",0,装备!R100)</f>
        <v>0</v>
      </c>
      <c r="I94">
        <f>IF(装备!S100="",0,装备!S100)</f>
        <v>0</v>
      </c>
      <c r="J94" t="str">
        <f>IF(装备!C100="",0,""""&amp;装备!C100&amp;"""")</f>
        <v>"补天石"</v>
      </c>
      <c r="K94" t="str">
        <f>IF(装备!T100="","""""",""""&amp;装备!T100&amp;"""")</f>
        <v>"消耗补天石，可重铸指定法宝"</v>
      </c>
      <c r="L94" t="str">
        <f>IF(装备!U100="",0,""""&amp;装备!U100&amp;"""")</f>
        <v>"ReplaceableTextures\\CommandButtons\\BTNTome.blp"</v>
      </c>
      <c r="M94" t="str">
        <f t="shared" si="3"/>
        <v/>
      </c>
      <c r="N94" t="str">
        <f t="shared" si="2"/>
        <v>call InitTypeIdStrings('IP02',"补天石","ReplaceableTextures\\CommandButtons\\BTNTome.blp","消耗补天石，可重铸指定法宝")</v>
      </c>
    </row>
    <row r="95" spans="1:14">
      <c r="A95" t="str">
        <f>IF(装备!B101="",0,"'"&amp;装备!B101&amp;"'")</f>
        <v>'IP03'</v>
      </c>
      <c r="B95">
        <f>装备!D102</f>
        <v>0</v>
      </c>
      <c r="C95">
        <f>装备!E101</f>
        <v>0</v>
      </c>
      <c r="D95">
        <f>装备!F101</f>
        <v>0</v>
      </c>
      <c r="E95">
        <f>IF(ISTEXT(装备!G101)=TRUE,"'"&amp;装备!G101&amp;"'",装备!G101)</f>
        <v>0</v>
      </c>
      <c r="F95">
        <f>IF(ISTEXT(装备!H101)=TRUE,"'"&amp;装备!H101&amp;"'",装备!H101)</f>
        <v>0</v>
      </c>
      <c r="G95">
        <f>IF(装备!I101="",0,"'"&amp;装备!I101&amp;"'")</f>
        <v>0</v>
      </c>
      <c r="H95">
        <f>IF(装备!R101="",0,装备!R101)</f>
        <v>0</v>
      </c>
      <c r="I95">
        <f>IF(装备!S101="",0,装备!S101)</f>
        <v>0</v>
      </c>
      <c r="J95" t="str">
        <f>IF(装备!C101="",0,""""&amp;装备!C101&amp;"""")</f>
        <v>"鸿蒙结晶"</v>
      </c>
      <c r="K95" t="str">
        <f>IF(装备!T101="","""""",""""&amp;装备!T101&amp;"""")</f>
        <v>"消耗鸿蒙结晶，可将指定法宝锻造为高一品阶的随机法宝。"</v>
      </c>
      <c r="L95" t="str">
        <f>IF(装备!U101="",0,""""&amp;装备!U101&amp;"""")</f>
        <v>"ReplaceableTextures\\CommandButtons\\BTNTome.blp"</v>
      </c>
      <c r="M95" t="str">
        <f t="shared" si="3"/>
        <v/>
      </c>
      <c r="N95" t="str">
        <f t="shared" si="2"/>
        <v>call InitTypeIdStrings('IP03',"鸿蒙结晶","ReplaceableTextures\\CommandButtons\\BTNTome.blp","消耗鸿蒙结晶，可将指定法宝锻造为高一品阶的随机法宝。")</v>
      </c>
    </row>
    <row r="96" spans="1:14">
      <c r="A96" t="str">
        <f>IF(装备!B102="",0,"'"&amp;装备!B102&amp;"'")</f>
        <v>'IT01'</v>
      </c>
      <c r="B96">
        <f>装备!D103</f>
        <v>0</v>
      </c>
      <c r="C96">
        <f>装备!E102</f>
        <v>0</v>
      </c>
      <c r="D96">
        <f>装备!F102</f>
        <v>0</v>
      </c>
      <c r="E96">
        <f>IF(ISTEXT(装备!G102)=TRUE,"'"&amp;装备!G102&amp;"'",装备!G102)</f>
        <v>0</v>
      </c>
      <c r="F96">
        <f>IF(ISTEXT(装备!H102)=TRUE,"'"&amp;装备!H102&amp;"'",装备!H102)</f>
        <v>0</v>
      </c>
      <c r="G96">
        <f>IF(装备!I102="",0,"'"&amp;装备!I102&amp;"'")</f>
        <v>0</v>
      </c>
      <c r="H96">
        <f>IF(装备!R102="",0,装备!R102)</f>
        <v>-7657</v>
      </c>
      <c r="I96">
        <f>IF(装备!S102="",0,装备!S102)</f>
        <v>-4635</v>
      </c>
      <c r="J96" t="str">
        <f>IF(装备!C102="",0,""""&amp;装备!C102&amp;"""")</f>
        <v>"境界挑战1"</v>
      </c>
      <c r="K96" t="str">
        <f>IF(装备!T102="","""""",""""&amp;装备!T102&amp;"""")</f>
        <v>"境界挑战1"</v>
      </c>
      <c r="L96" t="str">
        <f>IF(装备!U102="",0,""""&amp;装备!U102&amp;"""")</f>
        <v>"ReplaceableTextures\\CommandButtons\\BTNTome.blp"</v>
      </c>
      <c r="M96" t="str">
        <f t="shared" si="3"/>
        <v>InitEquipData('IT01',0,0,0,0,0,0,-7657,-4635)</v>
      </c>
      <c r="N96" t="str">
        <f t="shared" si="2"/>
        <v>call InitTypeIdStrings('IT01',"境界挑战1","ReplaceableTextures\\CommandButtons\\BTNTome.blp","境界挑战1")</v>
      </c>
    </row>
    <row r="97" spans="1:14">
      <c r="A97" t="str">
        <f>IF(装备!B103="",0,"'"&amp;装备!B103&amp;"'")</f>
        <v>'IT02'</v>
      </c>
      <c r="B97">
        <f>装备!D104</f>
        <v>0</v>
      </c>
      <c r="C97">
        <f>装备!E103</f>
        <v>0</v>
      </c>
      <c r="D97">
        <f>装备!F103</f>
        <v>0</v>
      </c>
      <c r="E97">
        <f>IF(ISTEXT(装备!G103)=TRUE,"'"&amp;装备!G103&amp;"'",装备!G103)</f>
        <v>0</v>
      </c>
      <c r="F97">
        <f>IF(ISTEXT(装备!H103)=TRUE,"'"&amp;装备!H103&amp;"'",装备!H103)</f>
        <v>0</v>
      </c>
      <c r="G97">
        <f>IF(装备!I103="",0,"'"&amp;装备!I103&amp;"'")</f>
        <v>0</v>
      </c>
      <c r="H97">
        <f>IF(装备!R103="",0,装备!R103)</f>
        <v>-7872</v>
      </c>
      <c r="I97">
        <f>IF(装备!S103="",0,装备!S103)</f>
        <v>-2816</v>
      </c>
      <c r="J97" t="str">
        <f>IF(装备!C103="",0,""""&amp;装备!C103&amp;"""")</f>
        <v>"境界挑战2"</v>
      </c>
      <c r="K97" t="str">
        <f>IF(装备!T103="","""""",""""&amp;装备!T103&amp;"""")</f>
        <v>"境界挑战2"</v>
      </c>
      <c r="L97" t="str">
        <f>IF(装备!U103="",0,""""&amp;装备!U103&amp;"""")</f>
        <v>"ReplaceableTextures\\CommandButtons\\BTNTome.blp"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InitEquipData('IT02',0,0,0,0,0,0,-7872,-2816)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InitTypeIdStrings('IT02',"境界挑战2","ReplaceableTextures\\CommandButtons\\BTNTome.blp","境界挑战2")</v>
      </c>
    </row>
    <row r="98" spans="1:14">
      <c r="A98" t="str">
        <f>IF(装备!B104="",0,"'"&amp;装备!B104&amp;"'")</f>
        <v>'IT03'</v>
      </c>
      <c r="B98">
        <f>装备!D105</f>
        <v>0</v>
      </c>
      <c r="C98">
        <f>装备!E104</f>
        <v>0</v>
      </c>
      <c r="D98">
        <f>装备!F104</f>
        <v>0</v>
      </c>
      <c r="E98">
        <f>IF(ISTEXT(装备!G104)=TRUE,"'"&amp;装备!G104&amp;"'",装备!G104)</f>
        <v>0</v>
      </c>
      <c r="F98">
        <f>IF(ISTEXT(装备!H104)=TRUE,"'"&amp;装备!H104&amp;"'",装备!H104)</f>
        <v>0</v>
      </c>
      <c r="G98">
        <f>IF(装备!I104="",0,"'"&amp;装备!I104&amp;"'")</f>
        <v>0</v>
      </c>
      <c r="H98">
        <f>IF(装备!R104="",0,装备!R104)</f>
        <v>-8048</v>
      </c>
      <c r="I98">
        <f>IF(装备!S104="",0,装备!S104)</f>
        <v>-1563</v>
      </c>
      <c r="J98" t="str">
        <f>IF(装备!C104="",0,""""&amp;装备!C104&amp;"""")</f>
        <v>"境界挑战3"</v>
      </c>
      <c r="K98" t="str">
        <f>IF(装备!T104="","""""",""""&amp;装备!T104&amp;"""")</f>
        <v>"境界挑战3"</v>
      </c>
      <c r="L98" t="str">
        <f>IF(装备!U104="",0,""""&amp;装备!U104&amp;"""")</f>
        <v>"ReplaceableTextures\\CommandButtons\\BTNTome.blp"</v>
      </c>
      <c r="M98" t="str">
        <f t="shared" si="4"/>
        <v>InitEquipData('IT03',0,0,0,0,0,0,-8048,-1563)</v>
      </c>
      <c r="N98" t="str">
        <f t="shared" si="5"/>
        <v>call InitTypeIdStrings('IT03',"境界挑战3","ReplaceableTextures\\CommandButtons\\BTNTome.blp","境界挑战3")</v>
      </c>
    </row>
    <row r="99" spans="1:14">
      <c r="A99" t="str">
        <f>IF(装备!B105="",0,"'"&amp;装备!B105&amp;"'")</f>
        <v>'IT04'</v>
      </c>
      <c r="B99">
        <f>装备!D106</f>
        <v>0</v>
      </c>
      <c r="C99">
        <f>装备!E105</f>
        <v>0</v>
      </c>
      <c r="D99">
        <f>装备!F105</f>
        <v>0</v>
      </c>
      <c r="E99">
        <f>IF(ISTEXT(装备!G105)=TRUE,"'"&amp;装备!G105&amp;"'",装备!G105)</f>
        <v>0</v>
      </c>
      <c r="F99">
        <f>IF(ISTEXT(装备!H105)=TRUE,"'"&amp;装备!H105&amp;"'",装备!H105)</f>
        <v>0</v>
      </c>
      <c r="G99">
        <f>IF(装备!I105="",0,"'"&amp;装备!I105&amp;"'")</f>
        <v>0</v>
      </c>
      <c r="H99">
        <f>IF(装备!R105="",0,装备!R105)</f>
        <v>-7794</v>
      </c>
      <c r="I99">
        <f>IF(装备!S105="",0,装备!S105)</f>
        <v>195</v>
      </c>
      <c r="J99" t="str">
        <f>IF(装备!C105="",0,""""&amp;装备!C105&amp;"""")</f>
        <v>"境界挑战4"</v>
      </c>
      <c r="K99" t="str">
        <f>IF(装备!T105="","""""",""""&amp;装备!T105&amp;"""")</f>
        <v>"境界挑战4"</v>
      </c>
      <c r="L99" t="str">
        <f>IF(装备!U105="",0,""""&amp;装备!U105&amp;"""")</f>
        <v>"ReplaceableTextures\\CommandButtons\\BTNTome.blp"</v>
      </c>
      <c r="M99" t="str">
        <f t="shared" si="4"/>
        <v>InitEquipData('IT04',0,0,0,0,0,0,-7794,195)</v>
      </c>
      <c r="N99" t="str">
        <f t="shared" si="5"/>
        <v>call InitTypeIdStrings('IT04',"境界挑战4","ReplaceableTextures\\CommandButtons\\BTNTome.blp","境界挑战4")</v>
      </c>
    </row>
    <row r="100" spans="1:14">
      <c r="A100" t="str">
        <f>IF(装备!B106="",0,"'"&amp;装备!B106&amp;"'")</f>
        <v>'IT05'</v>
      </c>
      <c r="B100">
        <f>装备!D107</f>
        <v>0</v>
      </c>
      <c r="C100">
        <f>装备!E106</f>
        <v>0</v>
      </c>
      <c r="D100">
        <f>装备!F106</f>
        <v>0</v>
      </c>
      <c r="E100">
        <f>IF(ISTEXT(装备!G106)=TRUE,"'"&amp;装备!G106&amp;"'",装备!G106)</f>
        <v>0</v>
      </c>
      <c r="F100">
        <f>IF(ISTEXT(装备!H106)=TRUE,"'"&amp;装备!H106&amp;"'",装备!H106)</f>
        <v>0</v>
      </c>
      <c r="G100">
        <f>IF(装备!I106="",0,"'"&amp;装备!I106&amp;"'")</f>
        <v>0</v>
      </c>
      <c r="H100">
        <f>IF(装备!R106="",0,装备!R106)</f>
        <v>-8110</v>
      </c>
      <c r="I100">
        <f>IF(装备!S106="",0,装备!S106)</f>
        <v>1810</v>
      </c>
      <c r="J100" t="str">
        <f>IF(装备!C106="",0,""""&amp;装备!C106&amp;"""")</f>
        <v>"境界挑战5"</v>
      </c>
      <c r="K100" t="str">
        <f>IF(装备!T106="","""""",""""&amp;装备!T106&amp;"""")</f>
        <v>"境界挑战5"</v>
      </c>
      <c r="L100" t="str">
        <f>IF(装备!U106="",0,""""&amp;装备!U106&amp;"""")</f>
        <v>"ReplaceableTextures\\CommandButtons\\BTNTome.blp"</v>
      </c>
      <c r="M100" t="str">
        <f t="shared" si="4"/>
        <v>InitEquipData('IT05',0,0,0,0,0,0,-8110,1810)</v>
      </c>
      <c r="N100" t="str">
        <f t="shared" si="5"/>
        <v>call InitTypeIdStrings('IT05',"境界挑战5","ReplaceableTextures\\CommandButtons\\BTNTome.blp","境界挑战5")</v>
      </c>
    </row>
    <row r="101" spans="1:14">
      <c r="A101" t="str">
        <f>IF(装备!B107="",0,"'"&amp;装备!B107&amp;"'")</f>
        <v>'IT06'</v>
      </c>
      <c r="B101">
        <f>装备!D108</f>
        <v>0</v>
      </c>
      <c r="C101">
        <f>装备!E107</f>
        <v>0</v>
      </c>
      <c r="D101">
        <f>装备!F107</f>
        <v>0</v>
      </c>
      <c r="E101">
        <f>IF(ISTEXT(装备!G107)=TRUE,"'"&amp;装备!G107&amp;"'",装备!G107)</f>
        <v>0</v>
      </c>
      <c r="F101">
        <f>IF(ISTEXT(装备!H107)=TRUE,"'"&amp;装备!H107&amp;"'",装备!H107)</f>
        <v>0</v>
      </c>
      <c r="G101">
        <f>IF(装备!I107="",0,"'"&amp;装备!I107&amp;"'")</f>
        <v>0</v>
      </c>
      <c r="H101">
        <f>IF(装备!R107="",0,装备!R107)</f>
        <v>-7896</v>
      </c>
      <c r="I101">
        <f>IF(装备!S107="",0,装备!S107)</f>
        <v>3839</v>
      </c>
      <c r="J101" t="str">
        <f>IF(装备!C107="",0,""""&amp;装备!C107&amp;"""")</f>
        <v>"境界挑战6"</v>
      </c>
      <c r="K101" t="str">
        <f>IF(装备!T107="","""""",""""&amp;装备!T107&amp;"""")</f>
        <v>"境界挑战6"</v>
      </c>
      <c r="L101" t="str">
        <f>IF(装备!U107="",0,""""&amp;装备!U107&amp;"""")</f>
        <v>"ReplaceableTextures\\CommandButtons\\BTNTome.blp"</v>
      </c>
      <c r="M101" t="str">
        <f t="shared" si="4"/>
        <v>InitEquipData('IT06',0,0,0,0,0,0,-7896,3839)</v>
      </c>
      <c r="N101" t="str">
        <f t="shared" si="5"/>
        <v>call InitTypeIdStrings('IT06',"境界挑战6","ReplaceableTextures\\CommandButtons\\BTNTome.blp","境界挑战6")</v>
      </c>
    </row>
    <row r="102" spans="1:14">
      <c r="A102" t="str">
        <f>IF(装备!B108="",0,"'"&amp;装备!B108&amp;"'")</f>
        <v>'IT07'</v>
      </c>
      <c r="B102">
        <f>装备!D109</f>
        <v>0</v>
      </c>
      <c r="C102">
        <f>装备!E108</f>
        <v>0</v>
      </c>
      <c r="D102">
        <f>装备!F108</f>
        <v>0</v>
      </c>
      <c r="E102">
        <f>IF(ISTEXT(装备!G108)=TRUE,"'"&amp;装备!G108&amp;"'",装备!G108)</f>
        <v>0</v>
      </c>
      <c r="F102">
        <f>IF(ISTEXT(装备!H108)=TRUE,"'"&amp;装备!H108&amp;"'",装备!H108)</f>
        <v>0</v>
      </c>
      <c r="G102">
        <f>IF(装备!I108="",0,"'"&amp;装备!I108&amp;"'")</f>
        <v>0</v>
      </c>
      <c r="H102">
        <f>IF(装备!R108="",0,装备!R108)</f>
        <v>-7896</v>
      </c>
      <c r="I102">
        <f>IF(装备!S108="",0,装备!S108)</f>
        <v>5906</v>
      </c>
      <c r="J102" t="str">
        <f>IF(装备!C108="",0,""""&amp;装备!C108&amp;"""")</f>
        <v>"境界挑战7"</v>
      </c>
      <c r="K102" t="str">
        <f>IF(装备!T108="","""""",""""&amp;装备!T108&amp;"""")</f>
        <v>"境界挑战7"</v>
      </c>
      <c r="L102" t="str">
        <f>IF(装备!U108="",0,""""&amp;装备!U108&amp;"""")</f>
        <v>"ReplaceableTextures\\CommandButtons\\BTNTome.blp"</v>
      </c>
      <c r="M102" t="str">
        <f t="shared" si="4"/>
        <v>InitEquipData('IT07',0,0,0,0,0,0,-7896,5906)</v>
      </c>
      <c r="N102" t="str">
        <f t="shared" si="5"/>
        <v>call InitTypeIdStrings('IT07',"境界挑战7","ReplaceableTextures\\CommandButtons\\BTNTome.blp","境界挑战7")</v>
      </c>
    </row>
    <row r="103" spans="1:14">
      <c r="A103" t="str">
        <f>IF(装备!B109="",0,"'"&amp;装备!B109&amp;"'")</f>
        <v>'IT08'</v>
      </c>
      <c r="B103">
        <f>装备!D110</f>
        <v>0</v>
      </c>
      <c r="C103">
        <f>装备!E109</f>
        <v>0</v>
      </c>
      <c r="D103">
        <f>装备!F109</f>
        <v>0</v>
      </c>
      <c r="E103">
        <f>IF(ISTEXT(装备!G109)=TRUE,"'"&amp;装备!G109&amp;"'",装备!G109)</f>
        <v>0</v>
      </c>
      <c r="F103">
        <f>IF(ISTEXT(装备!H109)=TRUE,"'"&amp;装备!H109&amp;"'",装备!H109)</f>
        <v>0</v>
      </c>
      <c r="G103">
        <f>IF(装备!I109="",0,"'"&amp;装备!I109&amp;"'")</f>
        <v>0</v>
      </c>
      <c r="H103">
        <f>IF(装备!R109="",0,装备!R109)</f>
        <v>-7970</v>
      </c>
      <c r="I103">
        <f>IF(装备!S109="",0,装备!S109)</f>
        <v>7965</v>
      </c>
      <c r="J103" t="str">
        <f>IF(装备!C109="",0,""""&amp;装备!C109&amp;"""")</f>
        <v>"境界挑战8"</v>
      </c>
      <c r="K103" t="str">
        <f>IF(装备!T109="","""""",""""&amp;装备!T109&amp;"""")</f>
        <v>"境界挑战8"</v>
      </c>
      <c r="L103" t="str">
        <f>IF(装备!U109="",0,""""&amp;装备!U109&amp;"""")</f>
        <v>"ReplaceableTextures\\CommandButtons\\BTNTome.blp"</v>
      </c>
      <c r="M103" t="str">
        <f t="shared" si="4"/>
        <v>InitEquipData('IT08',0,0,0,0,0,0,-7970,7965)</v>
      </c>
      <c r="N103" t="str">
        <f t="shared" si="5"/>
        <v>call InitTypeIdStrings('IT08',"境界挑战8","ReplaceableTextures\\CommandButtons\\BTNTome.blp","境界挑战8")</v>
      </c>
    </row>
    <row r="104" spans="1:14">
      <c r="A104" t="str">
        <f>IF(装备!B110="",0,"'"&amp;装备!B110&amp;"'")</f>
        <v>'IT09'</v>
      </c>
      <c r="B104">
        <f>装备!D111</f>
        <v>0</v>
      </c>
      <c r="C104">
        <f>装备!E110</f>
        <v>0</v>
      </c>
      <c r="D104">
        <f>装备!F110</f>
        <v>0</v>
      </c>
      <c r="E104">
        <f>IF(ISTEXT(装备!G110)=TRUE,"'"&amp;装备!G110&amp;"'",装备!G110)</f>
        <v>0</v>
      </c>
      <c r="F104">
        <f>IF(ISTEXT(装备!H110)=TRUE,"'"&amp;装备!H110&amp;"'",装备!H110)</f>
        <v>0</v>
      </c>
      <c r="G104">
        <f>IF(装备!I110="",0,"'"&amp;装备!I110&amp;"'")</f>
        <v>0</v>
      </c>
      <c r="H104">
        <f>IF(装备!R110="",0,装备!R110)</f>
        <v>1891</v>
      </c>
      <c r="I104">
        <f>IF(装备!S110="",0,装备!S110)</f>
        <v>-8026</v>
      </c>
      <c r="J104" t="str">
        <f>IF(装备!C110="",0,""""&amp;装备!C110&amp;"""")</f>
        <v>"境界挑战9"</v>
      </c>
      <c r="K104" t="str">
        <f>IF(装备!T110="","""""",""""&amp;装备!T110&amp;"""")</f>
        <v>"境界挑战9"</v>
      </c>
      <c r="L104" t="str">
        <f>IF(装备!U110="",0,""""&amp;装备!U110&amp;"""")</f>
        <v>"ReplaceableTextures\\CommandButtons\\BTNTome.blp"</v>
      </c>
      <c r="M104" t="str">
        <f t="shared" si="4"/>
        <v>InitEquipData('IT09',0,0,0,0,0,0,1891,-8026)</v>
      </c>
      <c r="N104" t="str">
        <f t="shared" si="5"/>
        <v>call InitTypeIdStrings('IT09',"境界挑战9","ReplaceableTextures\\CommandButtons\\BTNTome.blp","境界挑战9")</v>
      </c>
    </row>
    <row r="105" spans="1:14">
      <c r="A105" t="str">
        <f>IF(装备!B111="",0,"'"&amp;装备!B111&amp;"'")</f>
        <v>'IT10'</v>
      </c>
      <c r="B105">
        <f>装备!D112</f>
        <v>0</v>
      </c>
      <c r="C105">
        <f>装备!E111</f>
        <v>0</v>
      </c>
      <c r="D105">
        <f>装备!F111</f>
        <v>0</v>
      </c>
      <c r="E105">
        <f>IF(ISTEXT(装备!G111)=TRUE,"'"&amp;装备!G111&amp;"'",装备!G111)</f>
        <v>0</v>
      </c>
      <c r="F105">
        <f>IF(ISTEXT(装备!H111)=TRUE,"'"&amp;装备!H111&amp;"'",装备!H111)</f>
        <v>0</v>
      </c>
      <c r="G105">
        <f>IF(装备!I111="",0,"'"&amp;装备!I111&amp;"'")</f>
        <v>0</v>
      </c>
      <c r="H105">
        <f>IF(装备!R111="",0,装备!R111)</f>
        <v>4814</v>
      </c>
      <c r="I105">
        <f>IF(装备!S111="",0,装备!S111)</f>
        <v>-8830</v>
      </c>
      <c r="J105" t="str">
        <f>IF(装备!C111="",0,""""&amp;装备!C111&amp;"""")</f>
        <v>"境界挑战10"</v>
      </c>
      <c r="K105" t="str">
        <f>IF(装备!T111="","""""",""""&amp;装备!T111&amp;"""")</f>
        <v>"境界挑战10"</v>
      </c>
      <c r="L105" t="str">
        <f>IF(装备!U111="",0,""""&amp;装备!U111&amp;"""")</f>
        <v>"ReplaceableTextures\\CommandButtons\\BTNTome.blp"</v>
      </c>
      <c r="M105" t="str">
        <f t="shared" si="4"/>
        <v>InitEquipData('IT10',0,0,0,0,0,0,4814,-8830)</v>
      </c>
      <c r="N105" t="str">
        <f t="shared" si="5"/>
        <v>call InitTypeIdStrings('IT10',"境界挑战10","ReplaceableTextures\\CommandButtons\\BTNTome.blp","境界挑战10")</v>
      </c>
    </row>
    <row r="106" spans="1:14">
      <c r="A106" t="str">
        <f>IF(装备!B112="",0,"'"&amp;装备!B112&amp;"'")</f>
        <v>'IT11'</v>
      </c>
      <c r="B106">
        <f>装备!D113</f>
        <v>0</v>
      </c>
      <c r="C106">
        <f>装备!E112</f>
        <v>0</v>
      </c>
      <c r="D106">
        <f>装备!F112</f>
        <v>0</v>
      </c>
      <c r="E106">
        <f>IF(ISTEXT(装备!G112)=TRUE,"'"&amp;装备!G112&amp;"'",装备!G112)</f>
        <v>0</v>
      </c>
      <c r="F106">
        <f>IF(ISTEXT(装备!H112)=TRUE,"'"&amp;装备!H112&amp;"'",装备!H112)</f>
        <v>0</v>
      </c>
      <c r="G106">
        <f>IF(装备!I112="",0,"'"&amp;装备!I112&amp;"'")</f>
        <v>0</v>
      </c>
      <c r="H106">
        <f>IF(装备!R112="",0,装备!R112)</f>
        <v>7429</v>
      </c>
      <c r="I106">
        <f>IF(装备!S112="",0,装备!S112)</f>
        <v>-8773</v>
      </c>
      <c r="J106" t="str">
        <f>IF(装备!C112="",0,""""&amp;装备!C112&amp;"""")</f>
        <v>"境界挑战11"</v>
      </c>
      <c r="K106" t="str">
        <f>IF(装备!T112="","""""",""""&amp;装备!T112&amp;"""")</f>
        <v>"境界挑战11"</v>
      </c>
      <c r="L106" t="str">
        <f>IF(装备!U112="",0,""""&amp;装备!U112&amp;"""")</f>
        <v>"ReplaceableTextures\\CommandButtons\\BTNTome.blp"</v>
      </c>
      <c r="M106" t="str">
        <f t="shared" si="4"/>
        <v>InitEquipData('IT11',0,0,0,0,0,0,7429,-8773)</v>
      </c>
      <c r="N106" t="str">
        <f t="shared" si="5"/>
        <v>call InitTypeIdStrings('IT11',"境界挑战11","ReplaceableTextures\\CommandButtons\\BTNTome.blp","境界挑战11")</v>
      </c>
    </row>
    <row r="107" spans="1:14">
      <c r="A107" t="str">
        <f>IF(装备!B113="",0,"'"&amp;装备!B113&amp;"'")</f>
        <v>'IT12'</v>
      </c>
      <c r="B107">
        <f>装备!D114</f>
        <v>0</v>
      </c>
      <c r="C107">
        <f>装备!E113</f>
        <v>0</v>
      </c>
      <c r="D107">
        <f>装备!F113</f>
        <v>0</v>
      </c>
      <c r="E107">
        <f>IF(ISTEXT(装备!G113)=TRUE,"'"&amp;装备!G113&amp;"'",装备!G113)</f>
        <v>0</v>
      </c>
      <c r="F107">
        <f>IF(ISTEXT(装备!H113)=TRUE,"'"&amp;装备!H113&amp;"'",装备!H113)</f>
        <v>0</v>
      </c>
      <c r="G107">
        <f>IF(装备!I113="",0,"'"&amp;装备!I113&amp;"'")</f>
        <v>0</v>
      </c>
      <c r="H107">
        <f>IF(装备!R113="",0,装备!R113)</f>
        <v>1840</v>
      </c>
      <c r="I107">
        <f>IF(装备!S113="",0,装备!S113)</f>
        <v>-5224</v>
      </c>
      <c r="J107" t="str">
        <f>IF(装备!C113="",0,""""&amp;装备!C113&amp;"""")</f>
        <v>"境界挑战12"</v>
      </c>
      <c r="K107" t="str">
        <f>IF(装备!T113="","""""",""""&amp;装备!T113&amp;"""")</f>
        <v>"境界挑战12"</v>
      </c>
      <c r="L107" t="str">
        <f>IF(装备!U113="",0,""""&amp;装备!U113&amp;"""")</f>
        <v>"ReplaceableTextures\\CommandButtons\\BTNTome.blp"</v>
      </c>
      <c r="M107" t="str">
        <f t="shared" si="4"/>
        <v>InitEquipData('IT12',0,0,0,0,0,0,1840,-5224)</v>
      </c>
      <c r="N107" t="str">
        <f t="shared" si="5"/>
        <v>call InitTypeIdStrings('IT12',"境界挑战12","ReplaceableTextures\\CommandButtons\\BTNTome.blp","境界挑战12")</v>
      </c>
    </row>
    <row r="108" spans="1:14">
      <c r="A108" t="str">
        <f>IF(装备!B114="",0,"'"&amp;装备!B114&amp;"'")</f>
        <v>'IT13'</v>
      </c>
      <c r="B108">
        <f>装备!D115</f>
        <v>0</v>
      </c>
      <c r="C108">
        <f>装备!E114</f>
        <v>0</v>
      </c>
      <c r="D108">
        <f>装备!F114</f>
        <v>0</v>
      </c>
      <c r="E108">
        <f>IF(ISTEXT(装备!G114)=TRUE,"'"&amp;装备!G114&amp;"'",装备!G114)</f>
        <v>0</v>
      </c>
      <c r="F108">
        <f>IF(ISTEXT(装备!H114)=TRUE,"'"&amp;装备!H114&amp;"'",装备!H114)</f>
        <v>0</v>
      </c>
      <c r="G108">
        <f>IF(装备!I114="",0,"'"&amp;装备!I114&amp;"'")</f>
        <v>0</v>
      </c>
      <c r="H108">
        <f>IF(装备!R114="",0,装备!R114)</f>
        <v>4398</v>
      </c>
      <c r="I108">
        <f>IF(装备!S114="",0,装备!S114)</f>
        <v>-5206</v>
      </c>
      <c r="J108" t="str">
        <f>IF(装备!C114="",0,""""&amp;装备!C114&amp;"""")</f>
        <v>"境界挑战13"</v>
      </c>
      <c r="K108" t="str">
        <f>IF(装备!T114="","""""",""""&amp;装备!T114&amp;"""")</f>
        <v>"境界挑战13"</v>
      </c>
      <c r="L108" t="str">
        <f>IF(装备!U114="",0,""""&amp;装备!U114&amp;"""")</f>
        <v>"ReplaceableTextures\\CommandButtons\\BTNTome.blp"</v>
      </c>
      <c r="M108" t="str">
        <f t="shared" si="4"/>
        <v>InitEquipData('IT13',0,0,0,0,0,0,4398,-5206)</v>
      </c>
      <c r="N108" t="str">
        <f t="shared" si="5"/>
        <v>call InitTypeIdStrings('IT13',"境界挑战13","ReplaceableTextures\\CommandButtons\\BTNTome.blp","境界挑战13")</v>
      </c>
    </row>
    <row r="109" spans="1:14">
      <c r="A109" t="str">
        <f>IF(装备!B115="",0,"'"&amp;装备!B115&amp;"'")</f>
        <v>'IT14'</v>
      </c>
      <c r="B109">
        <f>装备!D116</f>
        <v>0</v>
      </c>
      <c r="C109">
        <f>装备!E115</f>
        <v>0</v>
      </c>
      <c r="D109">
        <f>装备!F115</f>
        <v>0</v>
      </c>
      <c r="E109">
        <f>IF(ISTEXT(装备!G115)=TRUE,"'"&amp;装备!G115&amp;"'",装备!G115)</f>
        <v>0</v>
      </c>
      <c r="F109">
        <f>IF(ISTEXT(装备!H115)=TRUE,"'"&amp;装备!H115&amp;"'",装备!H115)</f>
        <v>0</v>
      </c>
      <c r="G109">
        <f>IF(装备!I115="",0,"'"&amp;装备!I115&amp;"'")</f>
        <v>0</v>
      </c>
      <c r="H109">
        <f>IF(装备!R115="",0,装备!R115)</f>
        <v>7548</v>
      </c>
      <c r="I109">
        <f>IF(装备!S115="",0,装备!S115)</f>
        <v>-6605</v>
      </c>
      <c r="J109" t="str">
        <f>IF(装备!C115="",0,""""&amp;装备!C115&amp;"""")</f>
        <v>"境界挑战14"</v>
      </c>
      <c r="K109" t="str">
        <f>IF(装备!T115="","""""",""""&amp;装备!T115&amp;"""")</f>
        <v>"境界挑战14"</v>
      </c>
      <c r="L109" t="str">
        <f>IF(装备!U115="",0,""""&amp;装备!U115&amp;"""")</f>
        <v>"ReplaceableTextures\\CommandButtons\\BTNTome.blp"</v>
      </c>
      <c r="M109" t="str">
        <f t="shared" si="4"/>
        <v>InitEquipData('IT14',0,0,0,0,0,0,7548,-6605)</v>
      </c>
      <c r="N109" t="str">
        <f t="shared" si="5"/>
        <v>call InitTypeIdStrings('IT14',"境界挑战14","ReplaceableTextures\\CommandButtons\\BTNTome.blp","境界挑战14")</v>
      </c>
    </row>
    <row r="110" spans="1:14">
      <c r="A110" t="str">
        <f>IF(装备!B116="",0,"'"&amp;装备!B116&amp;"'")</f>
        <v>'IS01'</v>
      </c>
      <c r="B110">
        <f>装备!D117</f>
        <v>0</v>
      </c>
      <c r="C110">
        <f>装备!E116</f>
        <v>0</v>
      </c>
      <c r="D110">
        <f>装备!F116</f>
        <v>0</v>
      </c>
      <c r="E110">
        <f>IF(ISTEXT(装备!G116)=TRUE,"'"&amp;装备!G116&amp;"'",装备!G116)</f>
        <v>0</v>
      </c>
      <c r="F110">
        <f>IF(ISTEXT(装备!H116)=TRUE,"'"&amp;装备!H116&amp;"'",装备!H116)</f>
        <v>0</v>
      </c>
      <c r="G110">
        <f>IF(装备!I116="",0,"'"&amp;装备!I116&amp;"'")</f>
        <v>0</v>
      </c>
      <c r="H110">
        <f>IF(装备!R116="",0,装备!R116)</f>
        <v>0</v>
      </c>
      <c r="I110">
        <f>IF(装备!S116="",0,装备!S116)</f>
        <v>0</v>
      </c>
      <c r="J110" t="str">
        <f>IF(装备!C116="",0,""""&amp;装备!C116&amp;"""")</f>
        <v>"抽技能DC"</v>
      </c>
      <c r="K110" t="str">
        <f>IF(装备!T116="","""""",""""&amp;装备!T116&amp;"""")</f>
        <v>"抽技能DC"</v>
      </c>
      <c r="L110" t="str">
        <f>IF(装备!U116="",0,""""&amp;装备!U116&amp;"""")</f>
        <v>"ReplaceableTextures\\CommandButtons\\BTNTome.blp"</v>
      </c>
      <c r="M110" t="str">
        <f t="shared" si="4"/>
        <v/>
      </c>
      <c r="N110" t="str">
        <f t="shared" si="5"/>
        <v>call InitTypeIdStrings('IS01',"抽技能DC","ReplaceableTextures\\CommandButtons\\BTNTome.blp","抽技能DC")</v>
      </c>
    </row>
    <row r="111" spans="1:14">
      <c r="A111" t="str">
        <f>IF(装备!B117="",0,"'"&amp;装备!B117&amp;"'")</f>
        <v>'IS02'</v>
      </c>
      <c r="B111">
        <f>装备!D118</f>
        <v>0</v>
      </c>
      <c r="C111">
        <f>装备!E117</f>
        <v>0</v>
      </c>
      <c r="D111">
        <f>装备!F117</f>
        <v>0</v>
      </c>
      <c r="E111">
        <f>IF(ISTEXT(装备!G117)=TRUE,"'"&amp;装备!G117&amp;"'",装备!G117)</f>
        <v>0</v>
      </c>
      <c r="F111">
        <f>IF(ISTEXT(装备!H117)=TRUE,"'"&amp;装备!H117&amp;"'",装备!H117)</f>
        <v>0</v>
      </c>
      <c r="G111">
        <f>IF(装备!I117="",0,"'"&amp;装备!I117&amp;"'")</f>
        <v>0</v>
      </c>
      <c r="H111">
        <f>IF(装备!R117="",0,装备!R117)</f>
        <v>0</v>
      </c>
      <c r="I111">
        <f>IF(装备!S117="",0,装备!S117)</f>
        <v>0</v>
      </c>
      <c r="J111" t="str">
        <f>IF(装备!C117="",0,""""&amp;装备!C117&amp;"""")</f>
        <v>"抽技能B"</v>
      </c>
      <c r="K111" t="str">
        <f>IF(装备!T117="","""""",""""&amp;装备!T117&amp;"""")</f>
        <v>"抽技能B"</v>
      </c>
      <c r="L111" t="str">
        <f>IF(装备!U117="",0,""""&amp;装备!U117&amp;"""")</f>
        <v>"ReplaceableTextures\\CommandButtons\\BTNTome.blp"</v>
      </c>
      <c r="M111" t="str">
        <f t="shared" si="4"/>
        <v/>
      </c>
      <c r="N111" t="str">
        <f t="shared" si="5"/>
        <v>call InitTypeIdStrings('IS02',"抽技能B","ReplaceableTextures\\CommandButtons\\BTNTome.blp","抽技能B")</v>
      </c>
    </row>
    <row r="112" spans="1:14">
      <c r="A112" t="str">
        <f>IF(装备!B118="",0,"'"&amp;装备!B118&amp;"'")</f>
        <v>'IS03'</v>
      </c>
      <c r="B112">
        <f>装备!D119</f>
        <v>0</v>
      </c>
      <c r="C112">
        <f>装备!E118</f>
        <v>0</v>
      </c>
      <c r="D112">
        <f>装备!F118</f>
        <v>0</v>
      </c>
      <c r="E112">
        <f>IF(ISTEXT(装备!G118)=TRUE,"'"&amp;装备!G118&amp;"'",装备!G118)</f>
        <v>0</v>
      </c>
      <c r="F112">
        <f>IF(ISTEXT(装备!H118)=TRUE,"'"&amp;装备!H118&amp;"'",装备!H118)</f>
        <v>0</v>
      </c>
      <c r="G112">
        <f>IF(装备!I118="",0,"'"&amp;装备!I118&amp;"'")</f>
        <v>0</v>
      </c>
      <c r="H112">
        <f>IF(装备!R118="",0,装备!R118)</f>
        <v>0</v>
      </c>
      <c r="I112">
        <f>IF(装备!S118="",0,装备!S118)</f>
        <v>0</v>
      </c>
      <c r="J112" t="str">
        <f>IF(装备!C118="",0,""""&amp;装备!C118&amp;"""")</f>
        <v>"抽技能A"</v>
      </c>
      <c r="K112" t="str">
        <f>IF(装备!T118="","""""",""""&amp;装备!T118&amp;"""")</f>
        <v>"抽技能A"</v>
      </c>
      <c r="L112" t="str">
        <f>IF(装备!U118="",0,""""&amp;装备!U118&amp;"""")</f>
        <v>"ReplaceableTextures\\CommandButtons\\BTNTome.blp"</v>
      </c>
      <c r="M112" t="str">
        <f t="shared" si="4"/>
        <v/>
      </c>
      <c r="N112" t="str">
        <f t="shared" si="5"/>
        <v>call InitTypeIdStrings('IS03',"抽技能A","ReplaceableTextures\\CommandButtons\\BTNTome.blp","抽技能A")</v>
      </c>
    </row>
    <row r="113" spans="1:14">
      <c r="A113" t="str">
        <f>IF(装备!B119="",0,"'"&amp;装备!B119&amp;"'")</f>
        <v>'IS04'</v>
      </c>
      <c r="B113">
        <f>装备!D121</f>
        <v>0</v>
      </c>
      <c r="C113">
        <f>装备!E119</f>
        <v>0</v>
      </c>
      <c r="D113">
        <f>装备!F119</f>
        <v>0</v>
      </c>
      <c r="E113">
        <f>IF(ISTEXT(装备!G119)=TRUE,"'"&amp;装备!G119&amp;"'",装备!G119)</f>
        <v>0</v>
      </c>
      <c r="F113">
        <f>IF(ISTEXT(装备!H119)=TRUE,"'"&amp;装备!H119&amp;"'",装备!H119)</f>
        <v>0</v>
      </c>
      <c r="G113">
        <f>IF(装备!I119="",0,"'"&amp;装备!I119&amp;"'")</f>
        <v>0</v>
      </c>
      <c r="H113">
        <f>IF(装备!R119="",0,装备!R119)</f>
        <v>0</v>
      </c>
      <c r="I113">
        <f>IF(装备!S119="",0,装备!S119)</f>
        <v>0</v>
      </c>
      <c r="J113" t="str">
        <f>IF(装备!C119="",0,""""&amp;装备!C119&amp;"""")</f>
        <v>"抽技能S"</v>
      </c>
      <c r="K113" t="str">
        <f>IF(装备!T119="","""""",""""&amp;装备!T119&amp;"""")</f>
        <v>"抽技能S"</v>
      </c>
      <c r="L113" t="str">
        <f>IF(装备!U119="",0,""""&amp;装备!U119&amp;"""")</f>
        <v>"ReplaceableTextures\\CommandButtons\\BTNTome.blp"</v>
      </c>
      <c r="M113" t="str">
        <f t="shared" si="4"/>
        <v/>
      </c>
      <c r="N113" t="str">
        <f t="shared" si="5"/>
        <v>call InitTypeIdStrings('IS04',"抽技能S","ReplaceableTextures\\CommandButtons\\BTNTome.blp","抽技能S")</v>
      </c>
    </row>
    <row r="114" spans="1:14">
      <c r="A114" t="str">
        <f>IF(装备!B121="",0,"'"&amp;装备!B121&amp;"'")</f>
        <v>'IH00'</v>
      </c>
      <c r="B114">
        <f>装备!D122</f>
        <v>0</v>
      </c>
      <c r="C114">
        <f>装备!E121</f>
        <v>0</v>
      </c>
      <c r="D114">
        <f>装备!F121</f>
        <v>0</v>
      </c>
      <c r="E114">
        <f>IF(ISTEXT(装备!G121)=TRUE,"'"&amp;装备!G121&amp;"'",装备!G121)</f>
        <v>0</v>
      </c>
      <c r="F114">
        <f>IF(ISTEXT(装备!H121)=TRUE,"'"&amp;装备!H121&amp;"'",装备!H121)</f>
        <v>0</v>
      </c>
      <c r="G114">
        <f>IF(装备!I121="",0,"'"&amp;装备!I121&amp;"'")</f>
        <v>0</v>
      </c>
      <c r="H114">
        <f>IF(装备!R121="",0,装备!R121)</f>
        <v>0</v>
      </c>
      <c r="I114">
        <f>IF(装备!S121="",0,装备!S121)</f>
        <v>0</v>
      </c>
      <c r="J114" t="str">
        <f>IF(装备!C121="",0,""""&amp;装备!C121&amp;"""")</f>
        <v>"觉醒兽魂"</v>
      </c>
      <c r="K114" t="str">
        <f>IF(装备!T121="","""""",""""&amp;装备!T121&amp;"""")</f>
        <v>"觉醒兽魂"</v>
      </c>
      <c r="L114" t="str">
        <f>IF(装备!U121="",0,""""&amp;装备!U121&amp;"""")</f>
        <v>"ReplaceableTextures\\CommandButtons\\BTNTome.blp"</v>
      </c>
      <c r="M114" t="str">
        <f t="shared" si="4"/>
        <v/>
      </c>
      <c r="N114" t="str">
        <f t="shared" si="5"/>
        <v>call InitTypeIdStrings('IH00',"觉醒兽魂","ReplaceableTextures\\CommandButtons\\BTNTome.blp","觉醒兽魂")</v>
      </c>
    </row>
    <row r="115" spans="1:14">
      <c r="A115" t="str">
        <f>IF(装备!B122="",0,"'"&amp;装备!B122&amp;"'")</f>
        <v>'IH01'</v>
      </c>
      <c r="B115">
        <f>装备!D123</f>
        <v>0</v>
      </c>
      <c r="C115">
        <f>装备!E122</f>
        <v>0</v>
      </c>
      <c r="D115">
        <f>装备!F122</f>
        <v>0</v>
      </c>
      <c r="E115">
        <f>IF(ISTEXT(装备!G122)=TRUE,"'"&amp;装备!G122&amp;"'",装备!G122)</f>
        <v>0</v>
      </c>
      <c r="F115">
        <f>IF(ISTEXT(装备!H122)=TRUE,"'"&amp;装备!H122&amp;"'",装备!H122)</f>
        <v>0</v>
      </c>
      <c r="G115">
        <f>IF(装备!I122="",0,"'"&amp;装备!I122&amp;"'")</f>
        <v>0</v>
      </c>
      <c r="H115">
        <f>IF(装备!R122="",0,装备!R122)</f>
        <v>0</v>
      </c>
      <c r="I115">
        <f>IF(装备!S122="",0,装备!S122)</f>
        <v>0</v>
      </c>
      <c r="J115" t="str">
        <f>IF(装备!C122="",0,""""&amp;装备!C122&amp;"""")</f>
        <v>"兽魂1"</v>
      </c>
      <c r="K115" t="str">
        <f>IF(装备!T122="","""""",""""&amp;装备!T122&amp;"""")</f>
        <v>"觉醒兽魂"</v>
      </c>
      <c r="L115" t="str">
        <f>IF(装备!U122="",0,""""&amp;装备!U122&amp;"""")</f>
        <v>"ReplaceableTextures\\CommandButtons\\BTNTome.blp"</v>
      </c>
      <c r="M115" t="str">
        <f t="shared" si="4"/>
        <v/>
      </c>
      <c r="N115" t="str">
        <f t="shared" si="5"/>
        <v>call InitTypeIdStrings('IH01',"兽魂1","ReplaceableTextures\\CommandButtons\\BTNTome.blp","觉醒兽魂")</v>
      </c>
    </row>
    <row r="116" spans="1:14">
      <c r="A116" t="str">
        <f>IF(装备!B123="",0,"'"&amp;装备!B123&amp;"'")</f>
        <v>'IH02'</v>
      </c>
      <c r="B116">
        <f>装备!D124</f>
        <v>0</v>
      </c>
      <c r="C116">
        <f>装备!E123</f>
        <v>0</v>
      </c>
      <c r="D116">
        <f>装备!F123</f>
        <v>0</v>
      </c>
      <c r="E116">
        <f>IF(ISTEXT(装备!G123)=TRUE,"'"&amp;装备!G123&amp;"'",装备!G123)</f>
        <v>0</v>
      </c>
      <c r="F116">
        <f>IF(ISTEXT(装备!H123)=TRUE,"'"&amp;装备!H123&amp;"'",装备!H123)</f>
        <v>0</v>
      </c>
      <c r="G116">
        <f>IF(装备!I123="",0,"'"&amp;装备!I123&amp;"'")</f>
        <v>0</v>
      </c>
      <c r="H116">
        <f>IF(装备!R123="",0,装备!R123)</f>
        <v>0</v>
      </c>
      <c r="I116">
        <f>IF(装备!S123="",0,装备!S123)</f>
        <v>0</v>
      </c>
      <c r="J116" t="str">
        <f>IF(装备!C123="",0,""""&amp;装备!C123&amp;"""")</f>
        <v>"兽魂2"</v>
      </c>
      <c r="K116" t="str">
        <f>IF(装备!T123="","""""",""""&amp;装备!T123&amp;"""")</f>
        <v>"觉醒兽魂"</v>
      </c>
      <c r="L116" t="str">
        <f>IF(装备!U123="",0,""""&amp;装备!U123&amp;"""")</f>
        <v>"ReplaceableTextures\\CommandButtons\\BTNTome.blp"</v>
      </c>
      <c r="M116" t="str">
        <f t="shared" si="4"/>
        <v/>
      </c>
      <c r="N116" t="str">
        <f t="shared" si="5"/>
        <v>call InitTypeIdStrings('IH02',"兽魂2","ReplaceableTextures\\CommandButtons\\BTNTome.blp","觉醒兽魂")</v>
      </c>
    </row>
    <row r="117" spans="1:14">
      <c r="A117" t="str">
        <f>IF(装备!B124="",0,"'"&amp;装备!B124&amp;"'")</f>
        <v>'IH03'</v>
      </c>
      <c r="B117">
        <f>装备!D125</f>
        <v>0</v>
      </c>
      <c r="C117">
        <f>装备!E124</f>
        <v>0</v>
      </c>
      <c r="D117">
        <f>装备!F124</f>
        <v>0</v>
      </c>
      <c r="E117">
        <f>IF(ISTEXT(装备!G124)=TRUE,"'"&amp;装备!G124&amp;"'",装备!G124)</f>
        <v>0</v>
      </c>
      <c r="F117">
        <f>IF(ISTEXT(装备!H124)=TRUE,"'"&amp;装备!H124&amp;"'",装备!H124)</f>
        <v>0</v>
      </c>
      <c r="G117">
        <f>IF(装备!I124="",0,"'"&amp;装备!I124&amp;"'")</f>
        <v>0</v>
      </c>
      <c r="H117">
        <f>IF(装备!R124="",0,装备!R124)</f>
        <v>0</v>
      </c>
      <c r="I117">
        <f>IF(装备!S124="",0,装备!S124)</f>
        <v>0</v>
      </c>
      <c r="J117" t="str">
        <f>IF(装备!C124="",0,""""&amp;装备!C124&amp;"""")</f>
        <v>"兽魂3"</v>
      </c>
      <c r="K117" t="str">
        <f>IF(装备!T124="","""""",""""&amp;装备!T124&amp;"""")</f>
        <v>"觉醒兽魂"</v>
      </c>
      <c r="L117" t="str">
        <f>IF(装备!U124="",0,""""&amp;装备!U124&amp;"""")</f>
        <v>"ReplaceableTextures\\CommandButtons\\BTNTome.blp"</v>
      </c>
      <c r="M117" t="str">
        <f t="shared" si="4"/>
        <v/>
      </c>
      <c r="N117" t="str">
        <f t="shared" si="5"/>
        <v>call InitTypeIdStrings('IH03',"兽魂3","ReplaceableTextures\\CommandButtons\\BTNTome.blp","觉醒兽魂")</v>
      </c>
    </row>
    <row r="118" spans="1:14">
      <c r="A118" t="str">
        <f>IF(装备!B125="",0,"'"&amp;装备!B125&amp;"'")</f>
        <v>'IH04'</v>
      </c>
      <c r="B118">
        <f>装备!D126</f>
        <v>0</v>
      </c>
      <c r="C118">
        <f>装备!E125</f>
        <v>0</v>
      </c>
      <c r="D118">
        <f>装备!F125</f>
        <v>0</v>
      </c>
      <c r="E118">
        <f>IF(ISTEXT(装备!G125)=TRUE,"'"&amp;装备!G125&amp;"'",装备!G125)</f>
        <v>0</v>
      </c>
      <c r="F118">
        <f>IF(ISTEXT(装备!H125)=TRUE,"'"&amp;装备!H125&amp;"'",装备!H125)</f>
        <v>0</v>
      </c>
      <c r="G118">
        <f>IF(装备!I125="",0,"'"&amp;装备!I125&amp;"'")</f>
        <v>0</v>
      </c>
      <c r="H118">
        <f>IF(装备!R125="",0,装备!R125)</f>
        <v>0</v>
      </c>
      <c r="I118">
        <f>IF(装备!S125="",0,装备!S125)</f>
        <v>0</v>
      </c>
      <c r="J118" t="str">
        <f>IF(装备!C125="",0,""""&amp;装备!C125&amp;"""")</f>
        <v>"兽魂4"</v>
      </c>
      <c r="K118" t="str">
        <f>IF(装备!T125="","""""",""""&amp;装备!T125&amp;"""")</f>
        <v>"觉醒兽魂"</v>
      </c>
      <c r="L118" t="str">
        <f>IF(装备!U125="",0,""""&amp;装备!U125&amp;"""")</f>
        <v>"ReplaceableTextures\\CommandButtons\\BTNTome.blp"</v>
      </c>
      <c r="M118" t="str">
        <f t="shared" si="4"/>
        <v/>
      </c>
      <c r="N118" t="str">
        <f t="shared" si="5"/>
        <v>call InitTypeIdStrings('IH04',"兽魂4","ReplaceableTextures\\CommandButtons\\BTNTome.blp","觉醒兽魂")</v>
      </c>
    </row>
    <row r="119" spans="1:14">
      <c r="A119" t="str">
        <f>IF(装备!B126="",0,"'"&amp;装备!B126&amp;"'")</f>
        <v>'IH05'</v>
      </c>
      <c r="B119">
        <f>装备!D127</f>
        <v>0</v>
      </c>
      <c r="C119">
        <f>装备!E126</f>
        <v>0</v>
      </c>
      <c r="D119">
        <f>装备!F126</f>
        <v>0</v>
      </c>
      <c r="E119">
        <f>IF(ISTEXT(装备!G126)=TRUE,"'"&amp;装备!G126&amp;"'",装备!G126)</f>
        <v>0</v>
      </c>
      <c r="F119">
        <f>IF(ISTEXT(装备!H126)=TRUE,"'"&amp;装备!H126&amp;"'",装备!H126)</f>
        <v>0</v>
      </c>
      <c r="G119">
        <f>IF(装备!I126="",0,"'"&amp;装备!I126&amp;"'")</f>
        <v>0</v>
      </c>
      <c r="H119">
        <f>IF(装备!R126="",0,装备!R126)</f>
        <v>0</v>
      </c>
      <c r="I119">
        <f>IF(装备!S126="",0,装备!S126)</f>
        <v>0</v>
      </c>
      <c r="J119" t="str">
        <f>IF(装备!C126="",0,""""&amp;装备!C126&amp;"""")</f>
        <v>"兽魂5"</v>
      </c>
      <c r="K119" t="str">
        <f>IF(装备!T126="","""""",""""&amp;装备!T126&amp;"""")</f>
        <v>"觉醒兽魂"</v>
      </c>
      <c r="L119" t="str">
        <f>IF(装备!U126="",0,""""&amp;装备!U126&amp;"""")</f>
        <v>"ReplaceableTextures\\CommandButtons\\BTNTome.blp"</v>
      </c>
      <c r="M119" t="str">
        <f t="shared" si="4"/>
        <v/>
      </c>
      <c r="N119" t="str">
        <f t="shared" si="5"/>
        <v>call InitTypeIdStrings('IH05',"兽魂5","ReplaceableTextures\\CommandButtons\\BTNTome.blp","觉醒兽魂")</v>
      </c>
    </row>
    <row r="120" spans="1:14">
      <c r="A120" t="str">
        <f>IF(装备!B127="",0,"'"&amp;装备!B127&amp;"'")</f>
        <v>'IH06'</v>
      </c>
      <c r="B120">
        <f>装备!D128</f>
        <v>0</v>
      </c>
      <c r="C120">
        <f>装备!E127</f>
        <v>0</v>
      </c>
      <c r="D120">
        <f>装备!F127</f>
        <v>0</v>
      </c>
      <c r="E120">
        <f>IF(ISTEXT(装备!G127)=TRUE,"'"&amp;装备!G127&amp;"'",装备!G127)</f>
        <v>0</v>
      </c>
      <c r="F120">
        <f>IF(ISTEXT(装备!H127)=TRUE,"'"&amp;装备!H127&amp;"'",装备!H127)</f>
        <v>0</v>
      </c>
      <c r="G120">
        <f>IF(装备!I127="",0,"'"&amp;装备!I127&amp;"'")</f>
        <v>0</v>
      </c>
      <c r="H120">
        <f>IF(装备!R127="",0,装备!R127)</f>
        <v>0</v>
      </c>
      <c r="I120">
        <f>IF(装备!S127="",0,装备!S127)</f>
        <v>0</v>
      </c>
      <c r="J120" t="str">
        <f>IF(装备!C127="",0,""""&amp;装备!C127&amp;"""")</f>
        <v>"兽魂6"</v>
      </c>
      <c r="K120" t="str">
        <f>IF(装备!T127="","""""",""""&amp;装备!T127&amp;"""")</f>
        <v>"觉醒兽魂"</v>
      </c>
      <c r="L120" t="str">
        <f>IF(装备!U127="",0,""""&amp;装备!U127&amp;"""")</f>
        <v>"ReplaceableTextures\\CommandButtons\\BTNTome.blp"</v>
      </c>
      <c r="M120" t="str">
        <f t="shared" si="4"/>
        <v/>
      </c>
      <c r="N120" t="str">
        <f t="shared" si="5"/>
        <v>call InitTypeIdStrings('IH06',"兽魂6","ReplaceableTextures\\CommandButtons\\BTNTome.blp","觉醒兽魂")</v>
      </c>
    </row>
    <row r="121" spans="1:14">
      <c r="A121" t="str">
        <f>IF(装备!B128="",0,"'"&amp;装备!B128&amp;"'")</f>
        <v>'IH07'</v>
      </c>
      <c r="B121">
        <f>装备!D129</f>
        <v>0</v>
      </c>
      <c r="C121">
        <f>装备!E128</f>
        <v>0</v>
      </c>
      <c r="D121">
        <f>装备!F128</f>
        <v>0</v>
      </c>
      <c r="E121">
        <f>IF(ISTEXT(装备!G128)=TRUE,"'"&amp;装备!G128&amp;"'",装备!G128)</f>
        <v>0</v>
      </c>
      <c r="F121">
        <f>IF(ISTEXT(装备!H128)=TRUE,"'"&amp;装备!H128&amp;"'",装备!H128)</f>
        <v>0</v>
      </c>
      <c r="G121">
        <f>IF(装备!I128="",0,"'"&amp;装备!I128&amp;"'")</f>
        <v>0</v>
      </c>
      <c r="H121">
        <f>IF(装备!R128="",0,装备!R128)</f>
        <v>0</v>
      </c>
      <c r="I121">
        <f>IF(装备!S128="",0,装备!S128)</f>
        <v>0</v>
      </c>
      <c r="J121" t="str">
        <f>IF(装备!C128="",0,""""&amp;装备!C128&amp;"""")</f>
        <v>"兽魂7"</v>
      </c>
      <c r="K121" t="str">
        <f>IF(装备!T128="","""""",""""&amp;装备!T128&amp;"""")</f>
        <v>"觉醒兽魂"</v>
      </c>
      <c r="L121" t="str">
        <f>IF(装备!U128="",0,""""&amp;装备!U128&amp;"""")</f>
        <v>"ReplaceableTextures\\CommandButtons\\BTNTome.blp"</v>
      </c>
      <c r="M121" t="str">
        <f t="shared" si="4"/>
        <v/>
      </c>
      <c r="N121" t="str">
        <f t="shared" si="5"/>
        <v>call InitTypeIdStrings('IH07',"兽魂7","ReplaceableTextures\\CommandButtons\\BTNTome.blp","觉醒兽魂")</v>
      </c>
    </row>
    <row r="122" spans="1:14">
      <c r="A122" t="str">
        <f>IF(装备!B129="",0,"'"&amp;装备!B129&amp;"'")</f>
        <v>'IH08'</v>
      </c>
      <c r="B122">
        <f>装备!D130</f>
        <v>0</v>
      </c>
      <c r="C122">
        <f>装备!E129</f>
        <v>0</v>
      </c>
      <c r="D122">
        <f>装备!F129</f>
        <v>0</v>
      </c>
      <c r="E122">
        <f>IF(ISTEXT(装备!G129)=TRUE,"'"&amp;装备!G129&amp;"'",装备!G129)</f>
        <v>0</v>
      </c>
      <c r="F122">
        <f>IF(ISTEXT(装备!H129)=TRUE,"'"&amp;装备!H129&amp;"'",装备!H129)</f>
        <v>0</v>
      </c>
      <c r="G122">
        <f>IF(装备!I129="",0,"'"&amp;装备!I129&amp;"'")</f>
        <v>0</v>
      </c>
      <c r="H122">
        <f>IF(装备!R129="",0,装备!R129)</f>
        <v>0</v>
      </c>
      <c r="I122">
        <f>IF(装备!S129="",0,装备!S129)</f>
        <v>0</v>
      </c>
      <c r="J122" t="str">
        <f>IF(装备!C129="",0,""""&amp;装备!C129&amp;"""")</f>
        <v>"兽魂8"</v>
      </c>
      <c r="K122" t="str">
        <f>IF(装备!T129="","""""",""""&amp;装备!T129&amp;"""")</f>
        <v>"觉醒兽魂"</v>
      </c>
      <c r="L122" t="str">
        <f>IF(装备!U129="",0,""""&amp;装备!U129&amp;"""")</f>
        <v>"ReplaceableTextures\\CommandButtons\\BTNTome.blp"</v>
      </c>
      <c r="M122" t="str">
        <f t="shared" si="4"/>
        <v/>
      </c>
      <c r="N122" t="str">
        <f t="shared" si="5"/>
        <v>call InitTypeIdStrings('IH08',"兽魂8","ReplaceableTextures\\CommandButtons\\BTNTome.blp","觉醒兽魂")</v>
      </c>
    </row>
    <row r="123" spans="1:14">
      <c r="A123" t="str">
        <f>IF(装备!B130="",0,"'"&amp;装备!B130&amp;"'")</f>
        <v>'IB01'</v>
      </c>
      <c r="B123">
        <f>装备!D131</f>
        <v>0</v>
      </c>
      <c r="C123">
        <f>装备!E130</f>
        <v>0</v>
      </c>
      <c r="D123">
        <f>装备!F130</f>
        <v>0</v>
      </c>
      <c r="E123">
        <f>IF(ISTEXT(装备!G130)=TRUE,"'"&amp;装备!G130&amp;"'",装备!G130)</f>
        <v>0</v>
      </c>
      <c r="F123">
        <f>IF(ISTEXT(装备!H130)=TRUE,"'"&amp;装备!H130&amp;"'",装备!H130)</f>
        <v>0</v>
      </c>
      <c r="G123">
        <f>IF(装备!I130="",0,"'"&amp;装备!I130&amp;"'")</f>
        <v>0</v>
      </c>
      <c r="H123">
        <f>IF(装备!R130="",0,装备!R130)</f>
        <v>0</v>
      </c>
      <c r="I123">
        <f>IF(装备!S130="",0,装备!S130)</f>
        <v>0</v>
      </c>
      <c r="J123" t="str">
        <f>IF(装备!C130="",0,""""&amp;装备!C130&amp;"""")</f>
        <v>"入群礼包"</v>
      </c>
      <c r="K123" t="str">
        <f>IF(装备!T130="","""""",""""&amp;装备!T130&amp;"""")</f>
        <v>"入群礼包"</v>
      </c>
      <c r="L123" t="str">
        <f>IF(装备!U130="",0,""""&amp;装备!U130&amp;"""")</f>
        <v>"ReplaceableTextures\\CommandButtons\\BTNTome.blp"</v>
      </c>
      <c r="M123" t="str">
        <f t="shared" si="4"/>
        <v/>
      </c>
      <c r="N123" t="str">
        <f t="shared" si="5"/>
        <v>call InitTypeIdStrings('IB01',"入群礼包","ReplaceableTextures\\CommandButtons\\BTNTome.blp","入群礼包")</v>
      </c>
    </row>
    <row r="124" spans="1:14">
      <c r="A124" t="str">
        <f>IF(装备!B131="",0,"'"&amp;装备!B131&amp;"'")</f>
        <v>'IB02'</v>
      </c>
      <c r="B124">
        <f>装备!D132</f>
        <v>0</v>
      </c>
      <c r="C124">
        <f>装备!E131</f>
        <v>0</v>
      </c>
      <c r="D124">
        <f>装备!F131</f>
        <v>0</v>
      </c>
      <c r="E124">
        <f>IF(ISTEXT(装备!G131)=TRUE,"'"&amp;装备!G131&amp;"'",装备!G131)</f>
        <v>0</v>
      </c>
      <c r="F124">
        <f>IF(ISTEXT(装备!H131)=TRUE,"'"&amp;装备!H131&amp;"'",装备!H131)</f>
        <v>0</v>
      </c>
      <c r="G124">
        <f>IF(装备!I131="",0,"'"&amp;装备!I131&amp;"'")</f>
        <v>0</v>
      </c>
      <c r="H124">
        <f>IF(装备!R131="",0,装备!R131)</f>
        <v>0</v>
      </c>
      <c r="I124">
        <f>IF(装备!S131="",0,装备!S131)</f>
        <v>0</v>
      </c>
      <c r="J124" t="str">
        <f>IF(装备!C131="",0,""""&amp;装备!C131&amp;"""")</f>
        <v>"公众号礼包"</v>
      </c>
      <c r="K124" t="str">
        <f>IF(装备!T131="","""""",""""&amp;装备!T131&amp;"""")</f>
        <v>"公众号礼包"</v>
      </c>
      <c r="L124" t="str">
        <f>IF(装备!U131="",0,""""&amp;装备!U131&amp;"""")</f>
        <v>"ReplaceableTextures\\CommandButtons\\BTNTome.blp"</v>
      </c>
      <c r="M124" t="str">
        <f t="shared" si="4"/>
        <v/>
      </c>
      <c r="N124" t="str">
        <f t="shared" si="5"/>
        <v>call InitTypeIdStrings('IB02',"公众号礼包","ReplaceableTextures\\CommandButtons\\BTNTome.blp","公众号礼包")</v>
      </c>
    </row>
    <row r="125" spans="1:14">
      <c r="A125" t="str">
        <f>IF(装备!B132="",0,"'"&amp;装备!B132&amp;"'")</f>
        <v>'IB03'</v>
      </c>
      <c r="B125">
        <f>装备!D133</f>
        <v>0</v>
      </c>
      <c r="C125">
        <f>装备!E132</f>
        <v>0</v>
      </c>
      <c r="D125">
        <f>装备!F132</f>
        <v>0</v>
      </c>
      <c r="E125">
        <f>IF(ISTEXT(装备!G132)=TRUE,"'"&amp;装备!G132&amp;"'",装备!G132)</f>
        <v>0</v>
      </c>
      <c r="F125">
        <f>IF(ISTEXT(装备!H132)=TRUE,"'"&amp;装备!H132&amp;"'",装备!H132)</f>
        <v>0</v>
      </c>
      <c r="G125">
        <f>IF(装备!I132="",0,"'"&amp;装备!I132&amp;"'")</f>
        <v>0</v>
      </c>
      <c r="H125">
        <f>IF(装备!R132="",0,装备!R132)</f>
        <v>0</v>
      </c>
      <c r="I125">
        <f>IF(装备!S132="",0,装备!S132)</f>
        <v>0</v>
      </c>
      <c r="J125" t="str">
        <f>IF(装备!C132="",0,""""&amp;装备!C132&amp;"""")</f>
        <v>"好评礼包"</v>
      </c>
      <c r="K125" t="str">
        <f>IF(装备!T132="","""""",""""&amp;装备!T132&amp;"""")</f>
        <v>"好评礼包"</v>
      </c>
      <c r="L125" t="str">
        <f>IF(装备!U132="",0,""""&amp;装备!U132&amp;"""")</f>
        <v>"ReplaceableTextures\\CommandButtons\\BTNTome.blp"</v>
      </c>
      <c r="M125" t="str">
        <f t="shared" si="4"/>
        <v/>
      </c>
      <c r="N125" t="str">
        <f t="shared" si="5"/>
        <v>call InitTypeIdStrings('IB03',"好评礼包","ReplaceableTextures\\CommandButtons\\BTNTome.blp","好评礼包")</v>
      </c>
    </row>
    <row r="126" spans="1:14">
      <c r="A126" t="str">
        <f>IF(装备!B133="",0,"'"&amp;装备!B133&amp;"'")</f>
        <v>'IB04'</v>
      </c>
      <c r="B126">
        <f>装备!D134</f>
        <v>0</v>
      </c>
      <c r="C126">
        <f>装备!E133</f>
        <v>0</v>
      </c>
      <c r="D126">
        <f>装备!F133</f>
        <v>0</v>
      </c>
      <c r="E126">
        <f>IF(ISTEXT(装备!G133)=TRUE,"'"&amp;装备!G133&amp;"'",装备!G133)</f>
        <v>0</v>
      </c>
      <c r="F126">
        <f>IF(ISTEXT(装备!H133)=TRUE,"'"&amp;装备!H133&amp;"'",装备!H133)</f>
        <v>0</v>
      </c>
      <c r="G126">
        <f>IF(装备!I133="",0,"'"&amp;装备!I133&amp;"'")</f>
        <v>0</v>
      </c>
      <c r="H126">
        <f>IF(装备!R133="",0,装备!R133)</f>
        <v>0</v>
      </c>
      <c r="I126">
        <f>IF(装备!S133="",0,装备!S133)</f>
        <v>0</v>
      </c>
      <c r="J126" t="str">
        <f>IF(装备!C133="",0,""""&amp;装备!C133&amp;"""")</f>
        <v>"老铁礼包"</v>
      </c>
      <c r="K126" t="str">
        <f>IF(装备!T133="","""""",""""&amp;装备!T133&amp;"""")</f>
        <v>"老铁礼包"</v>
      </c>
      <c r="L126" t="str">
        <f>IF(装备!U133="",0,""""&amp;装备!U133&amp;"""")</f>
        <v>"ReplaceableTextures\\CommandButtons\\BTNTome.blp"</v>
      </c>
      <c r="M126" t="str">
        <f t="shared" si="4"/>
        <v/>
      </c>
      <c r="N126" t="str">
        <f t="shared" si="5"/>
        <v>call InitTypeIdStrings('IB04',"老铁礼包","ReplaceableTextures\\CommandButtons\\BTNTome.blp","老铁礼包")</v>
      </c>
    </row>
    <row r="127" spans="1:14">
      <c r="A127" t="str">
        <f>IF(装备!B134="",0,"'"&amp;装备!B134&amp;"'")</f>
        <v>'IB05'</v>
      </c>
      <c r="B127">
        <f>装备!D135</f>
        <v>0</v>
      </c>
      <c r="C127">
        <f>装备!E134</f>
        <v>0</v>
      </c>
      <c r="D127">
        <f>装备!F134</f>
        <v>0</v>
      </c>
      <c r="E127">
        <f>IF(ISTEXT(装备!G134)=TRUE,"'"&amp;装备!G134&amp;"'",装备!G134)</f>
        <v>0</v>
      </c>
      <c r="F127">
        <f>IF(ISTEXT(装备!H134)=TRUE,"'"&amp;装备!H134&amp;"'",装备!H134)</f>
        <v>0</v>
      </c>
      <c r="G127">
        <f>IF(装备!I134="",0,"'"&amp;装备!I134&amp;"'")</f>
        <v>0</v>
      </c>
      <c r="H127">
        <f>IF(装备!R134="",0,装备!R134)</f>
        <v>0</v>
      </c>
      <c r="I127">
        <f>IF(装备!S134="",0,装备!S134)</f>
        <v>0</v>
      </c>
      <c r="J127" t="str">
        <f>IF(装备!C134="",0,""""&amp;装备!C134&amp;"""")</f>
        <v>"工会礼包"</v>
      </c>
      <c r="K127" t="str">
        <f>IF(装备!T134="","""""",""""&amp;装备!T134&amp;"""")</f>
        <v>"工会礼包"</v>
      </c>
      <c r="L127" t="str">
        <f>IF(装备!U134="",0,""""&amp;装备!U134&amp;"""")</f>
        <v>"ReplaceableTextures\\CommandButtons\\BTNTome.blp"</v>
      </c>
      <c r="M127" t="str">
        <f t="shared" si="4"/>
        <v/>
      </c>
      <c r="N127" t="str">
        <f t="shared" si="5"/>
        <v>call InitTypeIdStrings('IB05',"工会礼包","ReplaceableTextures\\CommandButtons\\BTNTome.blp","工会礼包")</v>
      </c>
    </row>
    <row r="128" spans="1:14">
      <c r="A128">
        <f>IF(装备!B135="",0,"'"&amp;装备!B135&amp;"'")</f>
        <v>0</v>
      </c>
      <c r="B128">
        <f>装备!D136</f>
        <v>0</v>
      </c>
      <c r="C128">
        <f>装备!E135</f>
        <v>0</v>
      </c>
      <c r="D128">
        <f>装备!F135</f>
        <v>0</v>
      </c>
      <c r="E128">
        <f>IF(ISTEXT(装备!G135)=TRUE,"'"&amp;装备!G135&amp;"'",装备!G135)</f>
        <v>0</v>
      </c>
      <c r="F128">
        <f>IF(ISTEXT(装备!H135)=TRUE,"'"&amp;装备!H135&amp;"'",装备!H135)</f>
        <v>0</v>
      </c>
      <c r="G128">
        <f>IF(装备!I135="",0,"'"&amp;装备!I135&amp;"'")</f>
        <v>0</v>
      </c>
      <c r="H128">
        <f>IF(装备!R135="",0,装备!R135)</f>
        <v>0</v>
      </c>
      <c r="I128">
        <f>IF(装备!S135="",0,装备!S135)</f>
        <v>0</v>
      </c>
      <c r="J128">
        <f>IF(装备!C135="",0,""""&amp;装备!C135&amp;"""")</f>
        <v>0</v>
      </c>
      <c r="K128" t="str">
        <f>IF(装备!T135="","""""",""""&amp;装备!T135&amp;"""")</f>
        <v>""</v>
      </c>
      <c r="L128">
        <f>IF(装备!U135="",0,""""&amp;装备!U135&amp;"""")</f>
        <v>0</v>
      </c>
      <c r="M128" t="str">
        <f t="shared" si="4"/>
        <v/>
      </c>
      <c r="N128" t="str">
        <f t="shared" si="5"/>
        <v>call InitTypeIdStrings(0,0,0,"")</v>
      </c>
    </row>
    <row r="129" spans="1:14">
      <c r="A129">
        <f>IF(装备!B136="",0,"'"&amp;装备!B136&amp;"'")</f>
        <v>0</v>
      </c>
      <c r="B129">
        <f>装备!D137</f>
        <v>0</v>
      </c>
      <c r="C129">
        <f>装备!E136</f>
        <v>0</v>
      </c>
      <c r="D129">
        <f>装备!F136</f>
        <v>0</v>
      </c>
      <c r="E129">
        <f>IF(ISTEXT(装备!G136)=TRUE,"'"&amp;装备!G136&amp;"'",装备!G136)</f>
        <v>0</v>
      </c>
      <c r="F129">
        <f>IF(ISTEXT(装备!H136)=TRUE,"'"&amp;装备!H136&amp;"'",装备!H136)</f>
        <v>0</v>
      </c>
      <c r="G129">
        <f>IF(装备!I136="",0,"'"&amp;装备!I136&amp;"'")</f>
        <v>0</v>
      </c>
      <c r="H129">
        <f>IF(装备!R136="",0,装备!R136)</f>
        <v>0</v>
      </c>
      <c r="I129">
        <f>IF(装备!S136="",0,装备!S136)</f>
        <v>0</v>
      </c>
      <c r="J129">
        <f>IF(装备!C136="",0,""""&amp;装备!C136&amp;"""")</f>
        <v>0</v>
      </c>
      <c r="K129" t="str">
        <f>IF(装备!T136="","""""",""""&amp;装备!T136&amp;"""")</f>
        <v>""</v>
      </c>
      <c r="L129">
        <f>IF(装备!U136="",0,""""&amp;装备!U136&amp;"""")</f>
        <v>0</v>
      </c>
      <c r="M129" t="str">
        <f t="shared" si="4"/>
        <v/>
      </c>
      <c r="N129" t="str">
        <f t="shared" si="5"/>
        <v>call InitTypeIdStrings(0,0,0,"")</v>
      </c>
    </row>
    <row r="130" spans="1:14">
      <c r="A130">
        <f>IF(装备!B137="",0,"'"&amp;装备!B137&amp;"'")</f>
        <v>0</v>
      </c>
      <c r="B130">
        <f>装备!D138</f>
        <v>0</v>
      </c>
      <c r="C130">
        <f>装备!E137</f>
        <v>0</v>
      </c>
      <c r="D130">
        <f>装备!F137</f>
        <v>0</v>
      </c>
      <c r="E130">
        <f>IF(ISTEXT(装备!G137)=TRUE,"'"&amp;装备!G137&amp;"'",装备!G137)</f>
        <v>0</v>
      </c>
      <c r="F130">
        <f>IF(ISTEXT(装备!H137)=TRUE,"'"&amp;装备!H137&amp;"'",装备!H137)</f>
        <v>0</v>
      </c>
      <c r="G130">
        <f>IF(装备!I137="",0,"'"&amp;装备!I137&amp;"'")</f>
        <v>0</v>
      </c>
      <c r="H130">
        <f>IF(装备!R137="",0,装备!R137)</f>
        <v>0</v>
      </c>
      <c r="I130">
        <f>IF(装备!S137="",0,装备!S137)</f>
        <v>0</v>
      </c>
      <c r="J130">
        <f>IF(装备!C137="",0,""""&amp;装备!C137&amp;"""")</f>
        <v>0</v>
      </c>
      <c r="K130" t="str">
        <f>IF(装备!T137="","""""",""""&amp;装备!T137&amp;"""")</f>
        <v>""</v>
      </c>
      <c r="L130">
        <f>IF(装备!U137="",0,""""&amp;装备!U137&amp;"""")</f>
        <v>0</v>
      </c>
      <c r="M130" t="str">
        <f t="shared" si="4"/>
        <v/>
      </c>
      <c r="N130" t="str">
        <f t="shared" si="5"/>
        <v>call InitTypeIdStrings(0,0,0,"")</v>
      </c>
    </row>
    <row r="131" spans="1:14">
      <c r="A131">
        <f>IF(装备!B138="",0,"'"&amp;装备!B138&amp;"'")</f>
        <v>0</v>
      </c>
      <c r="B131">
        <f>装备!D139</f>
        <v>0</v>
      </c>
      <c r="C131">
        <f>装备!E138</f>
        <v>0</v>
      </c>
      <c r="D131">
        <f>装备!F138</f>
        <v>0</v>
      </c>
      <c r="E131">
        <f>IF(ISTEXT(装备!G138)=TRUE,"'"&amp;装备!G138&amp;"'",装备!G138)</f>
        <v>0</v>
      </c>
      <c r="F131">
        <f>IF(ISTEXT(装备!H138)=TRUE,"'"&amp;装备!H138&amp;"'",装备!H138)</f>
        <v>0</v>
      </c>
      <c r="G131">
        <f>IF(装备!I138="",0,"'"&amp;装备!I138&amp;"'")</f>
        <v>0</v>
      </c>
      <c r="H131">
        <f>IF(装备!R138="",0,装备!R138)</f>
        <v>0</v>
      </c>
      <c r="I131">
        <f>IF(装备!S138="",0,装备!S138)</f>
        <v>0</v>
      </c>
      <c r="J131">
        <f>IF(装备!C138="",0,""""&amp;装备!C138&amp;"""")</f>
        <v>0</v>
      </c>
      <c r="K131" t="str">
        <f>IF(装备!T138="","""""",""""&amp;装备!T138&amp;"""")</f>
        <v>""</v>
      </c>
      <c r="L131">
        <f>IF(装备!U138="",0,""""&amp;装备!U138&amp;"""")</f>
        <v>0</v>
      </c>
      <c r="M131" t="str">
        <f t="shared" si="4"/>
        <v/>
      </c>
      <c r="N131" t="str">
        <f t="shared" si="5"/>
        <v>call InitTypeIdStrings(0,0,0,"")</v>
      </c>
    </row>
    <row r="132" spans="1:14">
      <c r="A132">
        <f>IF(装备!B139="",0,"'"&amp;装备!B139&amp;"'")</f>
        <v>0</v>
      </c>
      <c r="B132">
        <f>装备!D140</f>
        <v>0</v>
      </c>
      <c r="C132">
        <f>装备!E139</f>
        <v>0</v>
      </c>
      <c r="D132">
        <f>装备!F139</f>
        <v>0</v>
      </c>
      <c r="E132">
        <f>IF(ISTEXT(装备!G139)=TRUE,"'"&amp;装备!G139&amp;"'",装备!G139)</f>
        <v>0</v>
      </c>
      <c r="F132">
        <f>IF(ISTEXT(装备!H139)=TRUE,"'"&amp;装备!H139&amp;"'",装备!H139)</f>
        <v>0</v>
      </c>
      <c r="G132">
        <f>IF(装备!I139="",0,"'"&amp;装备!I139&amp;"'")</f>
        <v>0</v>
      </c>
      <c r="H132">
        <f>IF(装备!R139="",0,装备!R139)</f>
        <v>0</v>
      </c>
      <c r="I132">
        <f>IF(装备!S139="",0,装备!S139)</f>
        <v>0</v>
      </c>
      <c r="J132">
        <f>IF(装备!C139="",0,""""&amp;装备!C139&amp;"""")</f>
        <v>0</v>
      </c>
      <c r="K132" t="str">
        <f>IF(装备!T139="","""""",""""&amp;装备!T139&amp;"""")</f>
        <v>""</v>
      </c>
      <c r="L132">
        <f>IF(装备!U139="",0,""""&amp;装备!U139&amp;"""")</f>
        <v>0</v>
      </c>
      <c r="M132" t="str">
        <f t="shared" si="4"/>
        <v/>
      </c>
      <c r="N132" t="str">
        <f t="shared" si="5"/>
        <v>call InitTypeIdStrings(0,0,0,"")</v>
      </c>
    </row>
    <row r="133" spans="1:14">
      <c r="A133">
        <f>IF(装备!B140="",0,"'"&amp;装备!B140&amp;"'")</f>
        <v>0</v>
      </c>
      <c r="B133">
        <f>装备!D141</f>
        <v>0</v>
      </c>
      <c r="C133">
        <f>装备!E140</f>
        <v>0</v>
      </c>
      <c r="D133">
        <f>装备!F140</f>
        <v>0</v>
      </c>
      <c r="E133">
        <f>IF(ISTEXT(装备!G140)=TRUE,"'"&amp;装备!G140&amp;"'",装备!G140)</f>
        <v>0</v>
      </c>
      <c r="F133">
        <f>IF(ISTEXT(装备!H140)=TRUE,"'"&amp;装备!H140&amp;"'",装备!H140)</f>
        <v>0</v>
      </c>
      <c r="G133">
        <f>IF(装备!I140="",0,"'"&amp;装备!I140&amp;"'")</f>
        <v>0</v>
      </c>
      <c r="H133">
        <f>IF(装备!R140="",0,装备!R140)</f>
        <v>0</v>
      </c>
      <c r="I133">
        <f>IF(装备!S140="",0,装备!S140)</f>
        <v>0</v>
      </c>
      <c r="J133">
        <f>IF(装备!C140="",0,""""&amp;装备!C140&amp;"""")</f>
        <v>0</v>
      </c>
      <c r="K133" t="str">
        <f>IF(装备!T140="","""""",""""&amp;装备!T140&amp;"""")</f>
        <v>""</v>
      </c>
      <c r="L133">
        <f>IF(装备!U140="",0,""""&amp;装备!U140&amp;"""")</f>
        <v>0</v>
      </c>
      <c r="M133" t="str">
        <f t="shared" si="4"/>
        <v/>
      </c>
      <c r="N133" t="str">
        <f t="shared" si="5"/>
        <v>call InitTypeIdStrings(0,0,0,"")</v>
      </c>
    </row>
    <row r="134" spans="1:14">
      <c r="A134">
        <f>IF(装备!B141="",0,"'"&amp;装备!B141&amp;"'")</f>
        <v>0</v>
      </c>
      <c r="B134">
        <f>装备!D142</f>
        <v>0</v>
      </c>
      <c r="C134">
        <f>装备!E141</f>
        <v>0</v>
      </c>
      <c r="D134">
        <f>装备!F141</f>
        <v>0</v>
      </c>
      <c r="E134">
        <f>IF(ISTEXT(装备!G141)=TRUE,"'"&amp;装备!G141&amp;"'",装备!G141)</f>
        <v>0</v>
      </c>
      <c r="F134">
        <f>IF(ISTEXT(装备!H141)=TRUE,"'"&amp;装备!H141&amp;"'",装备!H141)</f>
        <v>0</v>
      </c>
      <c r="G134">
        <f>IF(装备!I141="",0,"'"&amp;装备!I141&amp;"'")</f>
        <v>0</v>
      </c>
      <c r="H134">
        <f>IF(装备!R141="",0,装备!R141)</f>
        <v>0</v>
      </c>
      <c r="I134">
        <f>IF(装备!S141="",0,装备!S141)</f>
        <v>0</v>
      </c>
      <c r="J134">
        <f>IF(装备!C141="",0,""""&amp;装备!C141&amp;"""")</f>
        <v>0</v>
      </c>
      <c r="K134" t="str">
        <f>IF(装备!T141="","""""",""""&amp;装备!T141&amp;"""")</f>
        <v>""</v>
      </c>
      <c r="L134">
        <f>IF(装备!U141="",0,""""&amp;装备!U141&amp;"""")</f>
        <v>0</v>
      </c>
      <c r="M134" t="str">
        <f t="shared" si="4"/>
        <v/>
      </c>
      <c r="N134" t="str">
        <f t="shared" si="5"/>
        <v>call InitTypeIdStrings(0,0,0,"")</v>
      </c>
    </row>
    <row r="135" spans="1:14">
      <c r="A135">
        <f>IF(装备!B142="",0,"'"&amp;装备!B142&amp;"'")</f>
        <v>0</v>
      </c>
      <c r="B135">
        <f>装备!D143</f>
        <v>0</v>
      </c>
      <c r="C135">
        <f>装备!E142</f>
        <v>0</v>
      </c>
      <c r="D135">
        <f>装备!F142</f>
        <v>0</v>
      </c>
      <c r="E135">
        <f>IF(ISTEXT(装备!G142)=TRUE,"'"&amp;装备!G142&amp;"'",装备!G142)</f>
        <v>0</v>
      </c>
      <c r="F135">
        <f>IF(ISTEXT(装备!H142)=TRUE,"'"&amp;装备!H142&amp;"'",装备!H142)</f>
        <v>0</v>
      </c>
      <c r="G135">
        <f>IF(装备!I142="",0,"'"&amp;装备!I142&amp;"'")</f>
        <v>0</v>
      </c>
      <c r="H135">
        <f>IF(装备!R142="",0,装备!R142)</f>
        <v>0</v>
      </c>
      <c r="I135">
        <f>IF(装备!S142="",0,装备!S142)</f>
        <v>0</v>
      </c>
      <c r="J135">
        <f>IF(装备!C142="",0,""""&amp;装备!C142&amp;"""")</f>
        <v>0</v>
      </c>
      <c r="K135" t="str">
        <f>IF(装备!T142="","""""",""""&amp;装备!T142&amp;"""")</f>
        <v>""</v>
      </c>
      <c r="L135">
        <f>IF(装备!U142="",0,""""&amp;装备!U142&amp;"""")</f>
        <v>0</v>
      </c>
      <c r="M135" t="str">
        <f t="shared" si="4"/>
        <v/>
      </c>
      <c r="N135" t="str">
        <f t="shared" si="5"/>
        <v>call InitTypeIdStrings(0,0,0,"")</v>
      </c>
    </row>
    <row r="136" spans="1:14">
      <c r="A136">
        <f>IF(装备!B143="",0,"'"&amp;装备!B143&amp;"'")</f>
        <v>0</v>
      </c>
      <c r="B136">
        <f>装备!D144</f>
        <v>0</v>
      </c>
      <c r="C136">
        <f>装备!E143</f>
        <v>0</v>
      </c>
      <c r="D136">
        <f>装备!F143</f>
        <v>0</v>
      </c>
      <c r="E136">
        <f>IF(ISTEXT(装备!G143)=TRUE,"'"&amp;装备!G143&amp;"'",装备!G143)</f>
        <v>0</v>
      </c>
      <c r="F136">
        <f>IF(ISTEXT(装备!H143)=TRUE,"'"&amp;装备!H143&amp;"'",装备!H143)</f>
        <v>0</v>
      </c>
      <c r="G136">
        <f>IF(装备!I143="",0,"'"&amp;装备!I143&amp;"'")</f>
        <v>0</v>
      </c>
      <c r="H136">
        <f>IF(装备!R143="",0,装备!R143)</f>
        <v>0</v>
      </c>
      <c r="I136">
        <f>IF(装备!S143="",0,装备!S143)</f>
        <v>0</v>
      </c>
      <c r="J136">
        <f>IF(装备!C143="",0,""""&amp;装备!C143&amp;"""")</f>
        <v>0</v>
      </c>
      <c r="K136" t="str">
        <f>IF(装备!T143="","""""",""""&amp;装备!T143&amp;"""")</f>
        <v>""</v>
      </c>
      <c r="L136">
        <f>IF(装备!U143="",0,""""&amp;装备!U143&amp;"""")</f>
        <v>0</v>
      </c>
      <c r="M136" t="str">
        <f t="shared" si="4"/>
        <v/>
      </c>
      <c r="N136" t="str">
        <f t="shared" si="5"/>
        <v>call InitTypeIdStrings(0,0,0,"")</v>
      </c>
    </row>
    <row r="137" spans="1:14">
      <c r="A137">
        <f>IF(装备!B144="",0,"'"&amp;装备!B144&amp;"'")</f>
        <v>0</v>
      </c>
      <c r="B137">
        <f>装备!D145</f>
        <v>0</v>
      </c>
      <c r="C137">
        <f>装备!E144</f>
        <v>0</v>
      </c>
      <c r="D137">
        <f>装备!F144</f>
        <v>0</v>
      </c>
      <c r="E137">
        <f>IF(ISTEXT(装备!G144)=TRUE,"'"&amp;装备!G144&amp;"'",装备!G144)</f>
        <v>0</v>
      </c>
      <c r="F137">
        <f>IF(ISTEXT(装备!H144)=TRUE,"'"&amp;装备!H144&amp;"'",装备!H144)</f>
        <v>0</v>
      </c>
      <c r="G137">
        <f>IF(装备!I144="",0,"'"&amp;装备!I144&amp;"'")</f>
        <v>0</v>
      </c>
      <c r="H137">
        <f>IF(装备!R144="",0,装备!R144)</f>
        <v>0</v>
      </c>
      <c r="I137">
        <f>IF(装备!S144="",0,装备!S144)</f>
        <v>0</v>
      </c>
      <c r="J137">
        <f>IF(装备!C144="",0,""""&amp;装备!C144&amp;"""")</f>
        <v>0</v>
      </c>
      <c r="K137" t="str">
        <f>IF(装备!T144="","""""",""""&amp;装备!T144&amp;"""")</f>
        <v>""</v>
      </c>
      <c r="L137">
        <f>IF(装备!U144="",0,""""&amp;装备!U144&amp;"""")</f>
        <v>0</v>
      </c>
      <c r="M137" t="str">
        <f t="shared" si="4"/>
        <v/>
      </c>
      <c r="N137" t="str">
        <f t="shared" si="5"/>
        <v>call InitTypeIdStrings(0,0,0,"")</v>
      </c>
    </row>
    <row r="138" spans="1:14">
      <c r="A138">
        <f>IF(装备!B145="",0,"'"&amp;装备!B145&amp;"'")</f>
        <v>0</v>
      </c>
      <c r="B138">
        <f>装备!D146</f>
        <v>0</v>
      </c>
      <c r="C138">
        <f>装备!E145</f>
        <v>0</v>
      </c>
      <c r="D138">
        <f>装备!F145</f>
        <v>0</v>
      </c>
      <c r="E138">
        <f>IF(ISTEXT(装备!G145)=TRUE,"'"&amp;装备!G145&amp;"'",装备!G145)</f>
        <v>0</v>
      </c>
      <c r="F138">
        <f>IF(ISTEXT(装备!H145)=TRUE,"'"&amp;装备!H145&amp;"'",装备!H145)</f>
        <v>0</v>
      </c>
      <c r="G138">
        <f>IF(装备!I145="",0,"'"&amp;装备!I145&amp;"'")</f>
        <v>0</v>
      </c>
      <c r="H138">
        <f>IF(装备!R145="",0,装备!R145)</f>
        <v>0</v>
      </c>
      <c r="I138">
        <f>IF(装备!S145="",0,装备!S145)</f>
        <v>0</v>
      </c>
      <c r="J138">
        <f>IF(装备!C145="",0,""""&amp;装备!C145&amp;"""")</f>
        <v>0</v>
      </c>
      <c r="K138" t="str">
        <f>IF(装备!T145="","""""",""""&amp;装备!T145&amp;"""")</f>
        <v>""</v>
      </c>
      <c r="L138">
        <f>IF(装备!U145="",0,""""&amp;装备!U145&amp;"""")</f>
        <v>0</v>
      </c>
      <c r="M138" t="str">
        <f t="shared" si="4"/>
        <v/>
      </c>
      <c r="N138" t="str">
        <f t="shared" si="5"/>
        <v>call InitTypeIdStrings(0,0,0,"")</v>
      </c>
    </row>
    <row r="139" spans="1:14">
      <c r="A139">
        <f>IF(装备!B146="",0,"'"&amp;装备!B146&amp;"'")</f>
        <v>0</v>
      </c>
      <c r="B139">
        <f>装备!D147</f>
        <v>0</v>
      </c>
      <c r="C139">
        <f>装备!E146</f>
        <v>0</v>
      </c>
      <c r="D139">
        <f>装备!F146</f>
        <v>0</v>
      </c>
      <c r="E139">
        <f>IF(ISTEXT(装备!G146)=TRUE,"'"&amp;装备!G146&amp;"'",装备!G146)</f>
        <v>0</v>
      </c>
      <c r="F139">
        <f>IF(ISTEXT(装备!H146)=TRUE,"'"&amp;装备!H146&amp;"'",装备!H146)</f>
        <v>0</v>
      </c>
      <c r="G139">
        <f>IF(装备!I146="",0,"'"&amp;装备!I146&amp;"'")</f>
        <v>0</v>
      </c>
      <c r="H139">
        <f>IF(装备!R146="",0,装备!R146)</f>
        <v>0</v>
      </c>
      <c r="I139">
        <f>IF(装备!S146="",0,装备!S146)</f>
        <v>0</v>
      </c>
      <c r="J139">
        <f>IF(装备!C146="",0,""""&amp;装备!C146&amp;"""")</f>
        <v>0</v>
      </c>
      <c r="K139" t="str">
        <f>IF(装备!T146="","""""",""""&amp;装备!T146&amp;"""")</f>
        <v>""</v>
      </c>
      <c r="L139">
        <f>IF(装备!U146="",0,""""&amp;装备!U146&amp;"""")</f>
        <v>0</v>
      </c>
      <c r="M139" t="str">
        <f t="shared" si="4"/>
        <v/>
      </c>
      <c r="N139" t="str">
        <f t="shared" si="5"/>
        <v>call InitTypeIdStrings(0,0,0,"")</v>
      </c>
    </row>
    <row r="140" spans="1:14">
      <c r="A140">
        <f>IF(装备!B147="",0,"'"&amp;装备!B147&amp;"'")</f>
        <v>0</v>
      </c>
      <c r="B140">
        <f>装备!D148</f>
        <v>0</v>
      </c>
      <c r="C140">
        <f>装备!E147</f>
        <v>0</v>
      </c>
      <c r="D140">
        <f>装备!F147</f>
        <v>0</v>
      </c>
      <c r="E140">
        <f>IF(ISTEXT(装备!G147)=TRUE,"'"&amp;装备!G147&amp;"'",装备!G147)</f>
        <v>0</v>
      </c>
      <c r="F140">
        <f>IF(ISTEXT(装备!H147)=TRUE,"'"&amp;装备!H147&amp;"'",装备!H147)</f>
        <v>0</v>
      </c>
      <c r="G140">
        <f>IF(装备!I147="",0,"'"&amp;装备!I147&amp;"'")</f>
        <v>0</v>
      </c>
      <c r="H140">
        <f>IF(装备!R147="",0,装备!R147)</f>
        <v>0</v>
      </c>
      <c r="I140">
        <f>IF(装备!S147="",0,装备!S147)</f>
        <v>0</v>
      </c>
      <c r="J140">
        <f>IF(装备!C147="",0,""""&amp;装备!C147&amp;"""")</f>
        <v>0</v>
      </c>
      <c r="K140" t="str">
        <f>IF(装备!T147="","""""",""""&amp;装备!T147&amp;"""")</f>
        <v>""</v>
      </c>
      <c r="L140">
        <f>IF(装备!U147="",0,""""&amp;装备!U147&amp;"""")</f>
        <v>0</v>
      </c>
      <c r="M140" t="str">
        <f t="shared" si="4"/>
        <v/>
      </c>
      <c r="N140" t="str">
        <f t="shared" si="5"/>
        <v>call InitTypeIdStrings(0,0,0,"")</v>
      </c>
    </row>
    <row r="141" spans="1:14">
      <c r="A141">
        <f>IF(装备!B148="",0,"'"&amp;装备!B148&amp;"'")</f>
        <v>0</v>
      </c>
      <c r="B141">
        <f>装备!D149</f>
        <v>0</v>
      </c>
      <c r="C141">
        <f>装备!E148</f>
        <v>0</v>
      </c>
      <c r="D141">
        <f>装备!F148</f>
        <v>0</v>
      </c>
      <c r="E141">
        <f>IF(ISTEXT(装备!G148)=TRUE,"'"&amp;装备!G148&amp;"'",装备!G148)</f>
        <v>0</v>
      </c>
      <c r="F141">
        <f>IF(ISTEXT(装备!H148)=TRUE,"'"&amp;装备!H148&amp;"'",装备!H148)</f>
        <v>0</v>
      </c>
      <c r="G141">
        <f>IF(装备!I148="",0,"'"&amp;装备!I148&amp;"'")</f>
        <v>0</v>
      </c>
      <c r="H141">
        <f>IF(装备!R148="",0,装备!R148)</f>
        <v>0</v>
      </c>
      <c r="I141">
        <f>IF(装备!S148="",0,装备!S148)</f>
        <v>0</v>
      </c>
      <c r="J141">
        <f>IF(装备!C148="",0,""""&amp;装备!C148&amp;"""")</f>
        <v>0</v>
      </c>
      <c r="K141" t="str">
        <f>IF(装备!T148="","""""",""""&amp;装备!T148&amp;"""")</f>
        <v>""</v>
      </c>
      <c r="L141">
        <f>IF(装备!U148="",0,""""&amp;装备!U148&amp;"""")</f>
        <v>0</v>
      </c>
      <c r="M141" t="str">
        <f t="shared" si="4"/>
        <v/>
      </c>
      <c r="N141" t="str">
        <f t="shared" si="5"/>
        <v>call InitTypeIdStrings(0,0,0,"")</v>
      </c>
    </row>
    <row r="142" spans="1:14">
      <c r="A142">
        <f>IF(装备!B149="",0,"'"&amp;装备!B149&amp;"'")</f>
        <v>0</v>
      </c>
      <c r="B142">
        <f>装备!D150</f>
        <v>0</v>
      </c>
      <c r="C142">
        <f>装备!E149</f>
        <v>0</v>
      </c>
      <c r="D142">
        <f>装备!F149</f>
        <v>0</v>
      </c>
      <c r="E142">
        <f>IF(ISTEXT(装备!G149)=TRUE,"'"&amp;装备!G149&amp;"'",装备!G149)</f>
        <v>0</v>
      </c>
      <c r="F142">
        <f>IF(ISTEXT(装备!H149)=TRUE,"'"&amp;装备!H149&amp;"'",装备!H149)</f>
        <v>0</v>
      </c>
      <c r="G142">
        <f>IF(装备!I149="",0,"'"&amp;装备!I149&amp;"'")</f>
        <v>0</v>
      </c>
      <c r="H142">
        <f>IF(装备!R149="",0,装备!R149)</f>
        <v>0</v>
      </c>
      <c r="I142">
        <f>IF(装备!S149="",0,装备!S149)</f>
        <v>0</v>
      </c>
      <c r="J142">
        <f>IF(装备!C149="",0,""""&amp;装备!C149&amp;"""")</f>
        <v>0</v>
      </c>
      <c r="K142" t="str">
        <f>IF(装备!T149="","""""",""""&amp;装备!T149&amp;"""")</f>
        <v>""</v>
      </c>
      <c r="L142">
        <f>IF(装备!U149="",0,""""&amp;装备!U149&amp;"""")</f>
        <v>0</v>
      </c>
      <c r="M142" t="str">
        <f t="shared" si="4"/>
        <v/>
      </c>
      <c r="N142" t="str">
        <f t="shared" si="5"/>
        <v>call InitTypeIdStrings(0,0,0,"")</v>
      </c>
    </row>
    <row r="143" spans="1:14">
      <c r="A143">
        <f>IF(装备!B150="",0,"'"&amp;装备!B150&amp;"'")</f>
        <v>0</v>
      </c>
      <c r="B143">
        <f>装备!D151</f>
        <v>0</v>
      </c>
      <c r="C143">
        <f>装备!E150</f>
        <v>0</v>
      </c>
      <c r="D143">
        <f>装备!F150</f>
        <v>0</v>
      </c>
      <c r="E143">
        <f>IF(ISTEXT(装备!G150)=TRUE,"'"&amp;装备!G150&amp;"'",装备!G150)</f>
        <v>0</v>
      </c>
      <c r="F143">
        <f>IF(ISTEXT(装备!H150)=TRUE,"'"&amp;装备!H150&amp;"'",装备!H150)</f>
        <v>0</v>
      </c>
      <c r="G143">
        <f>IF(装备!I150="",0,"'"&amp;装备!I150&amp;"'")</f>
        <v>0</v>
      </c>
      <c r="H143">
        <f>IF(装备!R150="",0,装备!R150)</f>
        <v>0</v>
      </c>
      <c r="I143">
        <f>IF(装备!S150="",0,装备!S150)</f>
        <v>0</v>
      </c>
      <c r="J143">
        <f>IF(装备!C150="",0,""""&amp;装备!C150&amp;"""")</f>
        <v>0</v>
      </c>
      <c r="K143" t="str">
        <f>IF(装备!T150="","""""",""""&amp;装备!T150&amp;"""")</f>
        <v>""</v>
      </c>
      <c r="L143">
        <f>IF(装备!U150="",0,""""&amp;装备!U150&amp;"""")</f>
        <v>0</v>
      </c>
      <c r="M143" t="str">
        <f t="shared" si="4"/>
        <v/>
      </c>
      <c r="N143" t="str">
        <f t="shared" si="5"/>
        <v>call InitTypeIdStrings(0,0,0,"")</v>
      </c>
    </row>
    <row r="144" spans="1:14">
      <c r="A144">
        <f>IF(装备!B151="",0,"'"&amp;装备!B151&amp;"'")</f>
        <v>0</v>
      </c>
      <c r="B144">
        <f>装备!D152</f>
        <v>0</v>
      </c>
      <c r="C144">
        <f>装备!E151</f>
        <v>0</v>
      </c>
      <c r="D144">
        <f>装备!F151</f>
        <v>0</v>
      </c>
      <c r="E144">
        <f>IF(ISTEXT(装备!G151)=TRUE,"'"&amp;装备!G151&amp;"'",装备!G151)</f>
        <v>0</v>
      </c>
      <c r="F144">
        <f>IF(ISTEXT(装备!H151)=TRUE,"'"&amp;装备!H151&amp;"'",装备!H151)</f>
        <v>0</v>
      </c>
      <c r="G144">
        <f>IF(装备!I151="",0,"'"&amp;装备!I151&amp;"'")</f>
        <v>0</v>
      </c>
      <c r="H144">
        <f>IF(装备!R151="",0,装备!R151)</f>
        <v>0</v>
      </c>
      <c r="I144">
        <f>IF(装备!S151="",0,装备!S151)</f>
        <v>0</v>
      </c>
      <c r="J144">
        <f>IF(装备!C151="",0,""""&amp;装备!C151&amp;"""")</f>
        <v>0</v>
      </c>
      <c r="K144" t="str">
        <f>IF(装备!T151="","""""",""""&amp;装备!T151&amp;"""")</f>
        <v>""</v>
      </c>
      <c r="L144">
        <f>IF(装备!U151="",0,""""&amp;装备!U151&amp;"""")</f>
        <v>0</v>
      </c>
      <c r="M144" t="str">
        <f t="shared" si="4"/>
        <v/>
      </c>
      <c r="N144" t="str">
        <f t="shared" si="5"/>
        <v>call InitTypeIdStrings(0,0,0,"")</v>
      </c>
    </row>
    <row r="145" spans="1:14">
      <c r="A145">
        <f>IF(装备!B152="",0,"'"&amp;装备!B152&amp;"'")</f>
        <v>0</v>
      </c>
      <c r="B145">
        <f>装备!D153</f>
        <v>0</v>
      </c>
      <c r="C145">
        <f>装备!E152</f>
        <v>0</v>
      </c>
      <c r="D145">
        <f>装备!F152</f>
        <v>0</v>
      </c>
      <c r="E145">
        <f>IF(ISTEXT(装备!G152)=TRUE,"'"&amp;装备!G152&amp;"'",装备!G152)</f>
        <v>0</v>
      </c>
      <c r="F145">
        <f>IF(ISTEXT(装备!H152)=TRUE,"'"&amp;装备!H152&amp;"'",装备!H152)</f>
        <v>0</v>
      </c>
      <c r="G145">
        <f>IF(装备!I152="",0,"'"&amp;装备!I152&amp;"'")</f>
        <v>0</v>
      </c>
      <c r="H145">
        <f>IF(装备!R152="",0,装备!R152)</f>
        <v>0</v>
      </c>
      <c r="I145">
        <f>IF(装备!S152="",0,装备!S152)</f>
        <v>0</v>
      </c>
      <c r="J145">
        <f>IF(装备!C152="",0,""""&amp;装备!C152&amp;"""")</f>
        <v>0</v>
      </c>
      <c r="K145" t="str">
        <f>IF(装备!T152="","""""",""""&amp;装备!T152&amp;"""")</f>
        <v>""</v>
      </c>
      <c r="L145">
        <f>IF(装备!U152="",0,""""&amp;装备!U152&amp;"""")</f>
        <v>0</v>
      </c>
      <c r="M145" t="str">
        <f t="shared" si="4"/>
        <v/>
      </c>
      <c r="N145" t="str">
        <f t="shared" si="5"/>
        <v>call InitTypeIdStrings(0,0,0,"")</v>
      </c>
    </row>
    <row r="146" spans="1:14">
      <c r="A146">
        <f>IF(装备!B153="",0,"'"&amp;装备!B153&amp;"'")</f>
        <v>0</v>
      </c>
      <c r="B146">
        <f>装备!D154</f>
        <v>0</v>
      </c>
      <c r="C146">
        <f>装备!E153</f>
        <v>0</v>
      </c>
      <c r="D146">
        <f>装备!F153</f>
        <v>0</v>
      </c>
      <c r="E146">
        <f>IF(ISTEXT(装备!G153)=TRUE,"'"&amp;装备!G153&amp;"'",装备!G153)</f>
        <v>0</v>
      </c>
      <c r="F146">
        <f>IF(ISTEXT(装备!H153)=TRUE,"'"&amp;装备!H153&amp;"'",装备!H153)</f>
        <v>0</v>
      </c>
      <c r="G146">
        <f>IF(装备!I153="",0,"'"&amp;装备!I153&amp;"'")</f>
        <v>0</v>
      </c>
      <c r="H146">
        <f>IF(装备!R153="",0,装备!R153)</f>
        <v>0</v>
      </c>
      <c r="I146">
        <f>IF(装备!S153="",0,装备!S153)</f>
        <v>0</v>
      </c>
      <c r="J146">
        <f>IF(装备!C153="",0,""""&amp;装备!C153&amp;"""")</f>
        <v>0</v>
      </c>
      <c r="K146" t="str">
        <f>IF(装备!T153="","""""",""""&amp;装备!T153&amp;"""")</f>
        <v>""</v>
      </c>
      <c r="L146">
        <f>IF(装备!U153="",0,""""&amp;装备!U153&amp;"""")</f>
        <v>0</v>
      </c>
      <c r="M146" t="str">
        <f t="shared" si="4"/>
        <v/>
      </c>
      <c r="N146" t="str">
        <f t="shared" si="5"/>
        <v>call InitTypeIdStrings(0,0,0,"")</v>
      </c>
    </row>
    <row r="147" spans="1:14">
      <c r="A147">
        <f>IF(装备!B154="",0,"'"&amp;装备!B154&amp;"'")</f>
        <v>0</v>
      </c>
      <c r="B147">
        <f>装备!D155</f>
        <v>0</v>
      </c>
      <c r="C147">
        <f>装备!E154</f>
        <v>0</v>
      </c>
      <c r="D147">
        <f>装备!F154</f>
        <v>0</v>
      </c>
      <c r="E147">
        <f>IF(ISTEXT(装备!G154)=TRUE,"'"&amp;装备!G154&amp;"'",装备!G154)</f>
        <v>0</v>
      </c>
      <c r="F147">
        <f>IF(ISTEXT(装备!H154)=TRUE,"'"&amp;装备!H154&amp;"'",装备!H154)</f>
        <v>0</v>
      </c>
      <c r="G147">
        <f>IF(装备!I154="",0,"'"&amp;装备!I154&amp;"'")</f>
        <v>0</v>
      </c>
      <c r="H147">
        <f>IF(装备!R154="",0,装备!R154)</f>
        <v>0</v>
      </c>
      <c r="I147">
        <f>IF(装备!S154="",0,装备!S154)</f>
        <v>0</v>
      </c>
      <c r="J147">
        <f>IF(装备!C154="",0,""""&amp;装备!C154&amp;"""")</f>
        <v>0</v>
      </c>
      <c r="K147" t="str">
        <f>IF(装备!T154="","""""",""""&amp;装备!T154&amp;"""")</f>
        <v>""</v>
      </c>
      <c r="L147">
        <f>IF(装备!U154="",0,""""&amp;装备!U154&amp;"""")</f>
        <v>0</v>
      </c>
      <c r="M147" t="str">
        <f t="shared" si="4"/>
        <v/>
      </c>
      <c r="N147" t="str">
        <f t="shared" si="5"/>
        <v>call InitTypeIdStrings(0,0,0,"")</v>
      </c>
    </row>
    <row r="148" spans="1:14">
      <c r="A148">
        <f>IF(装备!B155="",0,"'"&amp;装备!B155&amp;"'")</f>
        <v>0</v>
      </c>
      <c r="B148">
        <f>装备!D156</f>
        <v>0</v>
      </c>
      <c r="C148">
        <f>装备!E155</f>
        <v>0</v>
      </c>
      <c r="D148">
        <f>装备!F155</f>
        <v>0</v>
      </c>
      <c r="E148">
        <f>IF(ISTEXT(装备!G155)=TRUE,"'"&amp;装备!G155&amp;"'",装备!G155)</f>
        <v>0</v>
      </c>
      <c r="F148">
        <f>IF(ISTEXT(装备!H155)=TRUE,"'"&amp;装备!H155&amp;"'",装备!H155)</f>
        <v>0</v>
      </c>
      <c r="G148">
        <f>IF(装备!I155="",0,"'"&amp;装备!I155&amp;"'")</f>
        <v>0</v>
      </c>
      <c r="H148">
        <f>IF(装备!R155="",0,装备!R155)</f>
        <v>0</v>
      </c>
      <c r="I148">
        <f>IF(装备!S155="",0,装备!S155)</f>
        <v>0</v>
      </c>
      <c r="J148">
        <f>IF(装备!C155="",0,""""&amp;装备!C155&amp;"""")</f>
        <v>0</v>
      </c>
      <c r="K148" t="str">
        <f>IF(装备!T155="","""""",""""&amp;装备!T155&amp;"""")</f>
        <v>""</v>
      </c>
      <c r="L148">
        <f>IF(装备!U155="",0,""""&amp;装备!U155&amp;"""")</f>
        <v>0</v>
      </c>
      <c r="M148" t="str">
        <f t="shared" si="4"/>
        <v/>
      </c>
      <c r="N148" t="str">
        <f t="shared" si="5"/>
        <v>call InitTypeIdStrings(0,0,0,"")</v>
      </c>
    </row>
    <row r="149" spans="1:14">
      <c r="A149">
        <f>IF(装备!B156="",0,"'"&amp;装备!B156&amp;"'")</f>
        <v>0</v>
      </c>
      <c r="B149">
        <f>装备!D157</f>
        <v>0</v>
      </c>
      <c r="C149">
        <f>装备!E156</f>
        <v>0</v>
      </c>
      <c r="D149">
        <f>装备!F156</f>
        <v>0</v>
      </c>
      <c r="E149">
        <f>IF(ISTEXT(装备!G156)=TRUE,"'"&amp;装备!G156&amp;"'",装备!G156)</f>
        <v>0</v>
      </c>
      <c r="F149">
        <f>IF(ISTEXT(装备!H156)=TRUE,"'"&amp;装备!H156&amp;"'",装备!H156)</f>
        <v>0</v>
      </c>
      <c r="G149">
        <f>IF(装备!I156="",0,"'"&amp;装备!I156&amp;"'")</f>
        <v>0</v>
      </c>
      <c r="H149">
        <f>IF(装备!R156="",0,装备!R156)</f>
        <v>0</v>
      </c>
      <c r="I149">
        <f>IF(装备!S156="",0,装备!S156)</f>
        <v>0</v>
      </c>
      <c r="J149">
        <f>IF(装备!C156="",0,""""&amp;装备!C156&amp;"""")</f>
        <v>0</v>
      </c>
      <c r="K149" t="str">
        <f>IF(装备!T156="","""""",""""&amp;装备!T156&amp;"""")</f>
        <v>""</v>
      </c>
      <c r="L149">
        <f>IF(装备!U156="",0,""""&amp;装备!U156&amp;"""")</f>
        <v>0</v>
      </c>
      <c r="M149" t="str">
        <f t="shared" si="4"/>
        <v/>
      </c>
      <c r="N149" t="str">
        <f t="shared" si="5"/>
        <v>call InitTypeIdStrings(0,0,0,"")</v>
      </c>
    </row>
    <row r="150" spans="1:14">
      <c r="A150">
        <f>IF(装备!B157="",0,"'"&amp;装备!B157&amp;"'")</f>
        <v>0</v>
      </c>
      <c r="B150">
        <f>装备!D158</f>
        <v>0</v>
      </c>
      <c r="C150">
        <f>装备!E157</f>
        <v>0</v>
      </c>
      <c r="D150">
        <f>装备!F157</f>
        <v>0</v>
      </c>
      <c r="E150">
        <f>IF(ISTEXT(装备!G157)=TRUE,"'"&amp;装备!G157&amp;"'",装备!G157)</f>
        <v>0</v>
      </c>
      <c r="F150">
        <f>IF(ISTEXT(装备!H157)=TRUE,"'"&amp;装备!H157&amp;"'",装备!H157)</f>
        <v>0</v>
      </c>
      <c r="G150">
        <f>IF(装备!I157="",0,"'"&amp;装备!I157&amp;"'")</f>
        <v>0</v>
      </c>
      <c r="H150">
        <f>IF(装备!R157="",0,装备!R157)</f>
        <v>0</v>
      </c>
      <c r="I150">
        <f>IF(装备!S157="",0,装备!S157)</f>
        <v>0</v>
      </c>
      <c r="J150">
        <f>IF(装备!C157="",0,""""&amp;装备!C157&amp;"""")</f>
        <v>0</v>
      </c>
      <c r="K150" t="str">
        <f>IF(装备!T157="","""""",""""&amp;装备!T157&amp;"""")</f>
        <v>""</v>
      </c>
      <c r="L150">
        <f>IF(装备!U157="",0,""""&amp;装备!U157&amp;"""")</f>
        <v>0</v>
      </c>
      <c r="M150" t="str">
        <f t="shared" si="4"/>
        <v/>
      </c>
      <c r="N150" t="str">
        <f t="shared" si="5"/>
        <v>call InitTypeIdStrings(0,0,0,"")</v>
      </c>
    </row>
    <row r="151" spans="1:14">
      <c r="A151">
        <f>IF(装备!B158="",0,"'"&amp;装备!B158&amp;"'")</f>
        <v>0</v>
      </c>
      <c r="B151">
        <f>装备!D159</f>
        <v>0</v>
      </c>
      <c r="C151">
        <f>装备!E158</f>
        <v>0</v>
      </c>
      <c r="D151">
        <f>装备!F158</f>
        <v>0</v>
      </c>
      <c r="E151">
        <f>IF(ISTEXT(装备!G158)=TRUE,"'"&amp;装备!G158&amp;"'",装备!G158)</f>
        <v>0</v>
      </c>
      <c r="F151">
        <f>IF(ISTEXT(装备!H158)=TRUE,"'"&amp;装备!H158&amp;"'",装备!H158)</f>
        <v>0</v>
      </c>
      <c r="G151">
        <f>IF(装备!I158="",0,"'"&amp;装备!I158&amp;"'")</f>
        <v>0</v>
      </c>
      <c r="H151">
        <f>IF(装备!R158="",0,装备!R158)</f>
        <v>0</v>
      </c>
      <c r="I151">
        <f>IF(装备!S158="",0,装备!S158)</f>
        <v>0</v>
      </c>
      <c r="J151">
        <f>IF(装备!C158="",0,""""&amp;装备!C158&amp;"""")</f>
        <v>0</v>
      </c>
      <c r="K151" t="str">
        <f>IF(装备!T158="","""""",""""&amp;装备!T158&amp;"""")</f>
        <v>""</v>
      </c>
      <c r="L151">
        <f>IF(装备!U158="",0,""""&amp;装备!U158&amp;"""")</f>
        <v>0</v>
      </c>
      <c r="M151" t="str">
        <f t="shared" si="4"/>
        <v/>
      </c>
      <c r="N151" t="str">
        <f t="shared" si="5"/>
        <v>call InitTypeIdStrings(0,0,0,"")</v>
      </c>
    </row>
    <row r="152" spans="1:14">
      <c r="A152">
        <f>IF(装备!B159="",0,"'"&amp;装备!B159&amp;"'")</f>
        <v>0</v>
      </c>
      <c r="B152">
        <f>装备!D160</f>
        <v>0</v>
      </c>
      <c r="C152">
        <f>装备!E159</f>
        <v>0</v>
      </c>
      <c r="D152">
        <f>装备!F159</f>
        <v>0</v>
      </c>
      <c r="E152">
        <f>IF(ISTEXT(装备!G159)=TRUE,"'"&amp;装备!G159&amp;"'",装备!G159)</f>
        <v>0</v>
      </c>
      <c r="F152">
        <f>IF(ISTEXT(装备!H159)=TRUE,"'"&amp;装备!H159&amp;"'",装备!H159)</f>
        <v>0</v>
      </c>
      <c r="G152">
        <f>IF(装备!I159="",0,"'"&amp;装备!I159&amp;"'")</f>
        <v>0</v>
      </c>
      <c r="H152">
        <f>IF(装备!R159="",0,装备!R159)</f>
        <v>0</v>
      </c>
      <c r="I152">
        <f>IF(装备!S159="",0,装备!S159)</f>
        <v>0</v>
      </c>
      <c r="J152">
        <f>IF(装备!C159="",0,""""&amp;装备!C159&amp;"""")</f>
        <v>0</v>
      </c>
      <c r="K152" t="str">
        <f>IF(装备!T159="","""""",""""&amp;装备!T159&amp;"""")</f>
        <v>""</v>
      </c>
      <c r="L152">
        <f>IF(装备!U159="",0,""""&amp;装备!U159&amp;"""")</f>
        <v>0</v>
      </c>
      <c r="M152" t="str">
        <f t="shared" si="4"/>
        <v/>
      </c>
      <c r="N152" t="str">
        <f t="shared" si="5"/>
        <v>call InitTypeIdStrings(0,0,0,"")</v>
      </c>
    </row>
    <row r="153" spans="1:14">
      <c r="A153">
        <f>IF(装备!B160="",0,"'"&amp;装备!B160&amp;"'")</f>
        <v>0</v>
      </c>
      <c r="B153">
        <f>装备!D161</f>
        <v>0</v>
      </c>
      <c r="C153">
        <f>装备!E160</f>
        <v>0</v>
      </c>
      <c r="D153">
        <f>装备!F160</f>
        <v>0</v>
      </c>
      <c r="E153">
        <f>IF(ISTEXT(装备!G160)=TRUE,"'"&amp;装备!G160&amp;"'",装备!G160)</f>
        <v>0</v>
      </c>
      <c r="F153">
        <f>IF(ISTEXT(装备!H160)=TRUE,"'"&amp;装备!H160&amp;"'",装备!H160)</f>
        <v>0</v>
      </c>
      <c r="G153">
        <f>IF(装备!I160="",0,"'"&amp;装备!I160&amp;"'")</f>
        <v>0</v>
      </c>
      <c r="H153">
        <f>IF(装备!R160="",0,装备!R160)</f>
        <v>0</v>
      </c>
      <c r="I153">
        <f>IF(装备!S160="",0,装备!S160)</f>
        <v>0</v>
      </c>
      <c r="J153">
        <f>IF(装备!C160="",0,""""&amp;装备!C160&amp;"""")</f>
        <v>0</v>
      </c>
      <c r="K153" t="str">
        <f>IF(装备!T160="","""""",""""&amp;装备!T160&amp;"""")</f>
        <v>""</v>
      </c>
      <c r="L153">
        <f>IF(装备!U160="",0,""""&amp;装备!U160&amp;"""")</f>
        <v>0</v>
      </c>
      <c r="M153" t="str">
        <f t="shared" si="4"/>
        <v/>
      </c>
      <c r="N153" t="str">
        <f t="shared" si="5"/>
        <v>call InitTypeIdStrings(0,0,0,"")</v>
      </c>
    </row>
    <row r="154" spans="1:14">
      <c r="A154">
        <f>IF(装备!B161="",0,"'"&amp;装备!B161&amp;"'")</f>
        <v>0</v>
      </c>
      <c r="B154">
        <f>装备!D162</f>
        <v>0</v>
      </c>
      <c r="C154">
        <f>装备!E161</f>
        <v>0</v>
      </c>
      <c r="D154">
        <f>装备!F161</f>
        <v>0</v>
      </c>
      <c r="E154">
        <f>IF(ISTEXT(装备!G161)=TRUE,"'"&amp;装备!G161&amp;"'",装备!G161)</f>
        <v>0</v>
      </c>
      <c r="F154">
        <f>IF(ISTEXT(装备!H161)=TRUE,"'"&amp;装备!H161&amp;"'",装备!H161)</f>
        <v>0</v>
      </c>
      <c r="G154">
        <f>IF(装备!I161="",0,"'"&amp;装备!I161&amp;"'")</f>
        <v>0</v>
      </c>
      <c r="H154">
        <f>IF(装备!R161="",0,装备!R161)</f>
        <v>0</v>
      </c>
      <c r="I154">
        <f>IF(装备!S161="",0,装备!S161)</f>
        <v>0</v>
      </c>
      <c r="J154">
        <f>IF(装备!C161="",0,""""&amp;装备!C161&amp;"""")</f>
        <v>0</v>
      </c>
      <c r="K154" t="str">
        <f>IF(装备!T161="","""""",""""&amp;装备!T161&amp;"""")</f>
        <v>""</v>
      </c>
      <c r="L154">
        <f>IF(装备!U161="",0,""""&amp;装备!U161&amp;"""")</f>
        <v>0</v>
      </c>
      <c r="M154" t="str">
        <f t="shared" si="4"/>
        <v/>
      </c>
      <c r="N154" t="str">
        <f t="shared" si="5"/>
        <v>call InitTypeIdStrings(0,0,0,"")</v>
      </c>
    </row>
    <row r="155" spans="1:14">
      <c r="A155">
        <f>IF(装备!B162="",0,"'"&amp;装备!B162&amp;"'")</f>
        <v>0</v>
      </c>
      <c r="B155">
        <f>装备!D163</f>
        <v>0</v>
      </c>
      <c r="C155">
        <f>装备!E162</f>
        <v>0</v>
      </c>
      <c r="D155">
        <f>装备!F162</f>
        <v>0</v>
      </c>
      <c r="E155">
        <f>IF(ISTEXT(装备!G162)=TRUE,"'"&amp;装备!G162&amp;"'",装备!G162)</f>
        <v>0</v>
      </c>
      <c r="F155">
        <f>IF(ISTEXT(装备!H162)=TRUE,"'"&amp;装备!H162&amp;"'",装备!H162)</f>
        <v>0</v>
      </c>
      <c r="G155">
        <f>IF(装备!I162="",0,"'"&amp;装备!I162&amp;"'")</f>
        <v>0</v>
      </c>
      <c r="H155">
        <f>IF(装备!R162="",0,装备!R162)</f>
        <v>0</v>
      </c>
      <c r="I155">
        <f>IF(装备!S162="",0,装备!S162)</f>
        <v>0</v>
      </c>
      <c r="J155">
        <f>IF(装备!C162="",0,""""&amp;装备!C162&amp;"""")</f>
        <v>0</v>
      </c>
      <c r="K155" t="str">
        <f>IF(装备!T162="","""""",""""&amp;装备!T162&amp;"""")</f>
        <v>""</v>
      </c>
      <c r="L155">
        <f>IF(装备!U162="",0,""""&amp;装备!U162&amp;"""")</f>
        <v>0</v>
      </c>
      <c r="M155" t="str">
        <f t="shared" si="4"/>
        <v/>
      </c>
      <c r="N155" t="str">
        <f t="shared" si="5"/>
        <v>call InitTypeIdStrings(0,0,0,"")</v>
      </c>
    </row>
    <row r="156" spans="1:14">
      <c r="A156">
        <f>IF(装备!B163="",0,"'"&amp;装备!B163&amp;"'")</f>
        <v>0</v>
      </c>
      <c r="B156">
        <f>装备!D164</f>
        <v>0</v>
      </c>
      <c r="C156">
        <f>装备!E163</f>
        <v>0</v>
      </c>
      <c r="D156">
        <f>装备!F163</f>
        <v>0</v>
      </c>
      <c r="E156">
        <f>IF(ISTEXT(装备!G163)=TRUE,"'"&amp;装备!G163&amp;"'",装备!G163)</f>
        <v>0</v>
      </c>
      <c r="F156">
        <f>IF(ISTEXT(装备!H163)=TRUE,"'"&amp;装备!H163&amp;"'",装备!H163)</f>
        <v>0</v>
      </c>
      <c r="G156">
        <f>IF(装备!I163="",0,"'"&amp;装备!I163&amp;"'")</f>
        <v>0</v>
      </c>
      <c r="H156">
        <f>IF(装备!R163="",0,装备!R163)</f>
        <v>0</v>
      </c>
      <c r="I156">
        <f>IF(装备!S163="",0,装备!S163)</f>
        <v>0</v>
      </c>
      <c r="J156">
        <f>IF(装备!C163="",0,""""&amp;装备!C163&amp;"""")</f>
        <v>0</v>
      </c>
      <c r="K156" t="str">
        <f>IF(装备!T163="","""""",""""&amp;装备!T163&amp;"""")</f>
        <v>""</v>
      </c>
      <c r="L156">
        <f>IF(装备!U163="",0,""""&amp;装备!U163&amp;"""")</f>
        <v>0</v>
      </c>
      <c r="M156" t="str">
        <f t="shared" si="4"/>
        <v/>
      </c>
      <c r="N156" t="str">
        <f t="shared" si="5"/>
        <v>call InitTypeIdStrings(0,0,0,"")</v>
      </c>
    </row>
    <row r="157" spans="1:14">
      <c r="A157">
        <f>IF(装备!B164="",0,"'"&amp;装备!B164&amp;"'")</f>
        <v>0</v>
      </c>
      <c r="B157">
        <f>装备!D165</f>
        <v>0</v>
      </c>
      <c r="C157">
        <f>装备!E164</f>
        <v>0</v>
      </c>
      <c r="D157">
        <f>装备!F164</f>
        <v>0</v>
      </c>
      <c r="E157">
        <f>IF(ISTEXT(装备!G164)=TRUE,"'"&amp;装备!G164&amp;"'",装备!G164)</f>
        <v>0</v>
      </c>
      <c r="F157">
        <f>IF(ISTEXT(装备!H164)=TRUE,"'"&amp;装备!H164&amp;"'",装备!H164)</f>
        <v>0</v>
      </c>
      <c r="G157">
        <f>IF(装备!I164="",0,"'"&amp;装备!I164&amp;"'")</f>
        <v>0</v>
      </c>
      <c r="H157">
        <f>IF(装备!R164="",0,装备!R164)</f>
        <v>0</v>
      </c>
      <c r="I157">
        <f>IF(装备!S164="",0,装备!S164)</f>
        <v>0</v>
      </c>
      <c r="J157">
        <f>IF(装备!C164="",0,""""&amp;装备!C164&amp;"""")</f>
        <v>0</v>
      </c>
      <c r="K157" t="str">
        <f>IF(装备!T164="","""""",""""&amp;装备!T164&amp;"""")</f>
        <v>""</v>
      </c>
      <c r="L157">
        <f>IF(装备!U164="",0,""""&amp;装备!U164&amp;"""")</f>
        <v>0</v>
      </c>
      <c r="M157" t="str">
        <f t="shared" si="4"/>
        <v/>
      </c>
      <c r="N157" t="str">
        <f t="shared" si="5"/>
        <v>call InitTypeIdStrings(0,0,0,"")</v>
      </c>
    </row>
    <row r="158" spans="1:14">
      <c r="A158">
        <f>IF(装备!B165="",0,"'"&amp;装备!B165&amp;"'")</f>
        <v>0</v>
      </c>
      <c r="B158">
        <f>装备!D166</f>
        <v>0</v>
      </c>
      <c r="C158">
        <f>装备!E165</f>
        <v>0</v>
      </c>
      <c r="D158">
        <f>装备!F165</f>
        <v>0</v>
      </c>
      <c r="E158">
        <f>IF(ISTEXT(装备!G165)=TRUE,"'"&amp;装备!G165&amp;"'",装备!G165)</f>
        <v>0</v>
      </c>
      <c r="F158">
        <f>IF(ISTEXT(装备!H165)=TRUE,"'"&amp;装备!H165&amp;"'",装备!H165)</f>
        <v>0</v>
      </c>
      <c r="G158">
        <f>IF(装备!I165="",0,"'"&amp;装备!I165&amp;"'")</f>
        <v>0</v>
      </c>
      <c r="H158">
        <f>IF(装备!R165="",0,装备!R165)</f>
        <v>0</v>
      </c>
      <c r="I158">
        <f>IF(装备!S165="",0,装备!S165)</f>
        <v>0</v>
      </c>
      <c r="J158">
        <f>IF(装备!C165="",0,""""&amp;装备!C165&amp;"""")</f>
        <v>0</v>
      </c>
      <c r="K158" t="str">
        <f>IF(装备!T165="","""""",""""&amp;装备!T165&amp;"""")</f>
        <v>""</v>
      </c>
      <c r="L158">
        <f>IF(装备!U165="",0,""""&amp;装备!U165&amp;"""")</f>
        <v>0</v>
      </c>
      <c r="M158" t="str">
        <f t="shared" si="4"/>
        <v/>
      </c>
      <c r="N158" t="str">
        <f t="shared" si="5"/>
        <v>call InitTypeIdStrings(0,0,0,"")</v>
      </c>
    </row>
    <row r="159" spans="1:14">
      <c r="A159">
        <f>IF(装备!B166="",0,"'"&amp;装备!B166&amp;"'")</f>
        <v>0</v>
      </c>
      <c r="B159">
        <f>装备!D167</f>
        <v>0</v>
      </c>
      <c r="C159">
        <f>装备!E166</f>
        <v>0</v>
      </c>
      <c r="D159">
        <f>装备!F166</f>
        <v>0</v>
      </c>
      <c r="E159">
        <f>IF(ISTEXT(装备!G166)=TRUE,"'"&amp;装备!G166&amp;"'",装备!G166)</f>
        <v>0</v>
      </c>
      <c r="F159">
        <f>IF(ISTEXT(装备!H166)=TRUE,"'"&amp;装备!H166&amp;"'",装备!H166)</f>
        <v>0</v>
      </c>
      <c r="G159">
        <f>IF(装备!I166="",0,"'"&amp;装备!I166&amp;"'")</f>
        <v>0</v>
      </c>
      <c r="H159">
        <f>IF(装备!R166="",0,装备!R166)</f>
        <v>0</v>
      </c>
      <c r="I159">
        <f>IF(装备!S166="",0,装备!S166)</f>
        <v>0</v>
      </c>
      <c r="J159">
        <f>IF(装备!C166="",0,""""&amp;装备!C166&amp;"""")</f>
        <v>0</v>
      </c>
      <c r="K159" t="str">
        <f>IF(装备!T166="","""""",""""&amp;装备!T166&amp;"""")</f>
        <v>""</v>
      </c>
      <c r="L159">
        <f>IF(装备!U166="",0,""""&amp;装备!U166&amp;"""")</f>
        <v>0</v>
      </c>
      <c r="M159" t="str">
        <f t="shared" si="4"/>
        <v/>
      </c>
      <c r="N159" t="str">
        <f t="shared" si="5"/>
        <v>call InitTypeIdStrings(0,0,0,"")</v>
      </c>
    </row>
    <row r="160" spans="1:14">
      <c r="A160">
        <f>IF(装备!B167="",0,"'"&amp;装备!B167&amp;"'")</f>
        <v>0</v>
      </c>
      <c r="B160">
        <f>装备!D168</f>
        <v>0</v>
      </c>
      <c r="C160">
        <f>装备!E167</f>
        <v>0</v>
      </c>
      <c r="D160">
        <f>装备!F167</f>
        <v>0</v>
      </c>
      <c r="E160">
        <f>IF(ISTEXT(装备!G167)=TRUE,"'"&amp;装备!G167&amp;"'",装备!G167)</f>
        <v>0</v>
      </c>
      <c r="F160">
        <f>IF(ISTEXT(装备!H167)=TRUE,"'"&amp;装备!H167&amp;"'",装备!H167)</f>
        <v>0</v>
      </c>
      <c r="G160">
        <f>IF(装备!I167="",0,"'"&amp;装备!I167&amp;"'")</f>
        <v>0</v>
      </c>
      <c r="H160">
        <f>IF(装备!R167="",0,装备!R167)</f>
        <v>0</v>
      </c>
      <c r="I160">
        <f>IF(装备!S167="",0,装备!S167)</f>
        <v>0</v>
      </c>
      <c r="J160">
        <f>IF(装备!C167="",0,""""&amp;装备!C167&amp;"""")</f>
        <v>0</v>
      </c>
      <c r="K160" t="str">
        <f>IF(装备!T167="","""""",""""&amp;装备!T167&amp;"""")</f>
        <v>""</v>
      </c>
      <c r="L160">
        <f>IF(装备!U167="",0,""""&amp;装备!U167&amp;"""")</f>
        <v>0</v>
      </c>
      <c r="M160" t="str">
        <f t="shared" si="4"/>
        <v/>
      </c>
      <c r="N160" t="str">
        <f t="shared" si="5"/>
        <v>call InitTypeIdStrings(0,0,0,"")</v>
      </c>
    </row>
    <row r="161" spans="1:14">
      <c r="A161">
        <f>IF(装备!B168="",0,"'"&amp;装备!B168&amp;"'")</f>
        <v>0</v>
      </c>
      <c r="B161">
        <f>装备!D169</f>
        <v>0</v>
      </c>
      <c r="C161">
        <f>装备!E168</f>
        <v>0</v>
      </c>
      <c r="D161">
        <f>装备!F168</f>
        <v>0</v>
      </c>
      <c r="E161">
        <f>IF(ISTEXT(装备!G168)=TRUE,"'"&amp;装备!G168&amp;"'",装备!G168)</f>
        <v>0</v>
      </c>
      <c r="F161">
        <f>IF(ISTEXT(装备!H168)=TRUE,"'"&amp;装备!H168&amp;"'",装备!H168)</f>
        <v>0</v>
      </c>
      <c r="G161">
        <f>IF(装备!I168="",0,"'"&amp;装备!I168&amp;"'")</f>
        <v>0</v>
      </c>
      <c r="H161">
        <f>IF(装备!R168="",0,装备!R168)</f>
        <v>0</v>
      </c>
      <c r="I161">
        <f>IF(装备!S168="",0,装备!S168)</f>
        <v>0</v>
      </c>
      <c r="J161">
        <f>IF(装备!C168="",0,""""&amp;装备!C168&amp;"""")</f>
        <v>0</v>
      </c>
      <c r="K161" t="str">
        <f>IF(装备!T168="","""""",""""&amp;装备!T168&amp;"""")</f>
        <v>""</v>
      </c>
      <c r="L161">
        <f>IF(装备!U168="",0,""""&amp;装备!U168&amp;"""")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InitTypeIdStrings(0,0,0,"")</v>
      </c>
    </row>
    <row r="162" spans="1:14">
      <c r="A162">
        <f>IF(装备!B169="",0,"'"&amp;装备!B169&amp;"'")</f>
        <v>0</v>
      </c>
      <c r="B162">
        <f>装备!D170</f>
        <v>0</v>
      </c>
      <c r="C162">
        <f>装备!E169</f>
        <v>0</v>
      </c>
      <c r="D162">
        <f>装备!F169</f>
        <v>0</v>
      </c>
      <c r="E162">
        <f>IF(ISTEXT(装备!G169)=TRUE,"'"&amp;装备!G169&amp;"'",装备!G169)</f>
        <v>0</v>
      </c>
      <c r="F162">
        <f>IF(ISTEXT(装备!H169)=TRUE,"'"&amp;装备!H169&amp;"'",装备!H169)</f>
        <v>0</v>
      </c>
      <c r="G162">
        <f>IF(装备!I169="",0,"'"&amp;装备!I169&amp;"'")</f>
        <v>0</v>
      </c>
      <c r="H162">
        <f>IF(装备!R169="",0,装备!R169)</f>
        <v>0</v>
      </c>
      <c r="I162">
        <f>IF(装备!S169="",0,装备!S169)</f>
        <v>0</v>
      </c>
      <c r="J162">
        <f>IF(装备!C169="",0,""""&amp;装备!C169&amp;"""")</f>
        <v>0</v>
      </c>
      <c r="K162" t="str">
        <f>IF(装备!T169="","""""",""""&amp;装备!T169&amp;"""")</f>
        <v>""</v>
      </c>
      <c r="L162">
        <f>IF(装备!U169="",0,""""&amp;装备!U169&amp;"""")</f>
        <v>0</v>
      </c>
      <c r="M162" t="str">
        <f t="shared" si="6"/>
        <v/>
      </c>
      <c r="N162" t="str">
        <f t="shared" si="7"/>
        <v>call InitTypeIdStrings(0,0,0,"")</v>
      </c>
    </row>
    <row r="163" spans="1:14">
      <c r="A163">
        <f>IF(装备!B170="",0,"'"&amp;装备!B170&amp;"'")</f>
        <v>0</v>
      </c>
      <c r="B163">
        <f>装备!D171</f>
        <v>0</v>
      </c>
      <c r="C163">
        <f>装备!E170</f>
        <v>0</v>
      </c>
      <c r="D163">
        <f>装备!F170</f>
        <v>0</v>
      </c>
      <c r="E163">
        <f>IF(ISTEXT(装备!G170)=TRUE,"'"&amp;装备!G170&amp;"'",装备!G170)</f>
        <v>0</v>
      </c>
      <c r="F163">
        <f>IF(ISTEXT(装备!H170)=TRUE,"'"&amp;装备!H170&amp;"'",装备!H170)</f>
        <v>0</v>
      </c>
      <c r="G163">
        <f>IF(装备!I170="",0,"'"&amp;装备!I170&amp;"'")</f>
        <v>0</v>
      </c>
      <c r="H163">
        <f>IF(装备!R170="",0,装备!R170)</f>
        <v>0</v>
      </c>
      <c r="I163">
        <f>IF(装备!S170="",0,装备!S170)</f>
        <v>0</v>
      </c>
      <c r="J163">
        <f>IF(装备!C170="",0,""""&amp;装备!C170&amp;"""")</f>
        <v>0</v>
      </c>
      <c r="K163" t="str">
        <f>IF(装备!T170="","""""",""""&amp;装备!T170&amp;"""")</f>
        <v>""</v>
      </c>
      <c r="L163">
        <f>IF(装备!U170="",0,""""&amp;装备!U170&amp;"""")</f>
        <v>0</v>
      </c>
      <c r="M163" t="str">
        <f t="shared" si="6"/>
        <v/>
      </c>
      <c r="N163" t="str">
        <f t="shared" si="7"/>
        <v>call InitTypeIdStrings(0,0,0,"")</v>
      </c>
    </row>
    <row r="164" spans="1:14">
      <c r="A164">
        <f>IF(装备!B171="",0,"'"&amp;装备!B171&amp;"'")</f>
        <v>0</v>
      </c>
      <c r="B164">
        <f>装备!D172</f>
        <v>0</v>
      </c>
      <c r="C164">
        <f>装备!E171</f>
        <v>0</v>
      </c>
      <c r="D164">
        <f>装备!F171</f>
        <v>0</v>
      </c>
      <c r="E164">
        <f>IF(ISTEXT(装备!G171)=TRUE,"'"&amp;装备!G171&amp;"'",装备!G171)</f>
        <v>0</v>
      </c>
      <c r="F164">
        <f>IF(ISTEXT(装备!H171)=TRUE,"'"&amp;装备!H171&amp;"'",装备!H171)</f>
        <v>0</v>
      </c>
      <c r="G164">
        <f>IF(装备!I171="",0,"'"&amp;装备!I171&amp;"'")</f>
        <v>0</v>
      </c>
      <c r="H164">
        <f>IF(装备!R171="",0,装备!R171)</f>
        <v>0</v>
      </c>
      <c r="I164">
        <f>IF(装备!S171="",0,装备!S171)</f>
        <v>0</v>
      </c>
      <c r="J164">
        <f>IF(装备!C171="",0,""""&amp;装备!C171&amp;"""")</f>
        <v>0</v>
      </c>
      <c r="K164" t="str">
        <f>IF(装备!T171="","""""",""""&amp;装备!T171&amp;"""")</f>
        <v>""</v>
      </c>
      <c r="L164">
        <f>IF(装备!U171="",0,""""&amp;装备!U171&amp;"""")</f>
        <v>0</v>
      </c>
      <c r="M164" t="str">
        <f t="shared" si="6"/>
        <v/>
      </c>
      <c r="N164" t="str">
        <f t="shared" si="7"/>
        <v>call InitTypeIdStrings(0,0,0,"")</v>
      </c>
    </row>
    <row r="165" spans="1:14">
      <c r="A165">
        <f>IF(装备!B172="",0,"'"&amp;装备!B172&amp;"'")</f>
        <v>0</v>
      </c>
      <c r="B165">
        <f>装备!D173</f>
        <v>0</v>
      </c>
      <c r="C165">
        <f>装备!E172</f>
        <v>0</v>
      </c>
      <c r="D165">
        <f>装备!F172</f>
        <v>0</v>
      </c>
      <c r="E165">
        <f>IF(ISTEXT(装备!G172)=TRUE,"'"&amp;装备!G172&amp;"'",装备!G172)</f>
        <v>0</v>
      </c>
      <c r="F165">
        <f>IF(ISTEXT(装备!H172)=TRUE,"'"&amp;装备!H172&amp;"'",装备!H172)</f>
        <v>0</v>
      </c>
      <c r="G165">
        <f>IF(装备!I172="",0,"'"&amp;装备!I172&amp;"'")</f>
        <v>0</v>
      </c>
      <c r="H165">
        <f>IF(装备!R172="",0,装备!R172)</f>
        <v>0</v>
      </c>
      <c r="I165">
        <f>IF(装备!S172="",0,装备!S172)</f>
        <v>0</v>
      </c>
      <c r="J165">
        <f>IF(装备!C172="",0,""""&amp;装备!C172&amp;"""")</f>
        <v>0</v>
      </c>
      <c r="K165" t="str">
        <f>IF(装备!T172="","""""",""""&amp;装备!T172&amp;"""")</f>
        <v>""</v>
      </c>
      <c r="L165">
        <f>IF(装备!U172="",0,""""&amp;装备!U172&amp;"""")</f>
        <v>0</v>
      </c>
      <c r="M165" t="str">
        <f t="shared" si="6"/>
        <v/>
      </c>
      <c r="N165" t="str">
        <f t="shared" si="7"/>
        <v>call InitTypeIdStrings(0,0,0,"")</v>
      </c>
    </row>
    <row r="166" spans="1:14">
      <c r="A166">
        <f>IF(装备!B173="",0,"'"&amp;装备!B173&amp;"'")</f>
        <v>0</v>
      </c>
      <c r="B166">
        <f>装备!D174</f>
        <v>0</v>
      </c>
      <c r="C166">
        <f>装备!E173</f>
        <v>0</v>
      </c>
      <c r="D166">
        <f>装备!F173</f>
        <v>0</v>
      </c>
      <c r="E166">
        <f>IF(ISTEXT(装备!G173)=TRUE,"'"&amp;装备!G173&amp;"'",装备!G173)</f>
        <v>0</v>
      </c>
      <c r="F166">
        <f>IF(ISTEXT(装备!H173)=TRUE,"'"&amp;装备!H173&amp;"'",装备!H173)</f>
        <v>0</v>
      </c>
      <c r="G166">
        <f>IF(装备!I173="",0,"'"&amp;装备!I173&amp;"'")</f>
        <v>0</v>
      </c>
      <c r="H166">
        <f>IF(装备!R173="",0,装备!R173)</f>
        <v>0</v>
      </c>
      <c r="I166">
        <f>IF(装备!S173="",0,装备!S173)</f>
        <v>0</v>
      </c>
      <c r="J166">
        <f>IF(装备!C173="",0,""""&amp;装备!C173&amp;"""")</f>
        <v>0</v>
      </c>
      <c r="K166" t="str">
        <f>IF(装备!T173="","""""",""""&amp;装备!T173&amp;"""")</f>
        <v>""</v>
      </c>
      <c r="L166">
        <f>IF(装备!U173="",0,""""&amp;装备!U173&amp;"""")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IF(装备!B174="",0,"'"&amp;装备!B174&amp;"'")</f>
        <v>0</v>
      </c>
      <c r="B167">
        <f>装备!D175</f>
        <v>0</v>
      </c>
      <c r="C167">
        <f>装备!E174</f>
        <v>0</v>
      </c>
      <c r="D167">
        <f>装备!F174</f>
        <v>0</v>
      </c>
      <c r="E167">
        <f>IF(ISTEXT(装备!G174)=TRUE,"'"&amp;装备!G174&amp;"'",装备!G174)</f>
        <v>0</v>
      </c>
      <c r="F167">
        <f>IF(ISTEXT(装备!H174)=TRUE,"'"&amp;装备!H174&amp;"'",装备!H174)</f>
        <v>0</v>
      </c>
      <c r="G167">
        <f>IF(装备!I174="",0,"'"&amp;装备!I174&amp;"'")</f>
        <v>0</v>
      </c>
      <c r="H167">
        <f>IF(装备!R174="",0,装备!R174)</f>
        <v>0</v>
      </c>
      <c r="I167">
        <f>IF(装备!S174="",0,装备!S174)</f>
        <v>0</v>
      </c>
      <c r="J167">
        <f>IF(装备!C174="",0,""""&amp;装备!C174&amp;"""")</f>
        <v>0</v>
      </c>
      <c r="K167" t="str">
        <f>IF(装备!T174="","""""",""""&amp;装备!T174&amp;"""")</f>
        <v>""</v>
      </c>
      <c r="L167">
        <f>IF(装备!U174="",0,""""&amp;装备!U174&amp;"""")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IF(装备!B175="",0,"'"&amp;装备!B175&amp;"'")</f>
        <v>0</v>
      </c>
      <c r="B168">
        <f>装备!D176</f>
        <v>0</v>
      </c>
      <c r="C168">
        <f>装备!E175</f>
        <v>0</v>
      </c>
      <c r="D168">
        <f>装备!F175</f>
        <v>0</v>
      </c>
      <c r="E168">
        <f>IF(ISTEXT(装备!G175)=TRUE,"'"&amp;装备!G175&amp;"'",装备!G175)</f>
        <v>0</v>
      </c>
      <c r="F168">
        <f>IF(ISTEXT(装备!H175)=TRUE,"'"&amp;装备!H175&amp;"'",装备!H175)</f>
        <v>0</v>
      </c>
      <c r="G168">
        <f>IF(装备!I175="",0,"'"&amp;装备!I175&amp;"'")</f>
        <v>0</v>
      </c>
      <c r="H168">
        <f>IF(装备!R175="",0,装备!R175)</f>
        <v>0</v>
      </c>
      <c r="I168">
        <f>IF(装备!S175="",0,装备!S175)</f>
        <v>0</v>
      </c>
      <c r="J168">
        <f>IF(装备!C175="",0,""""&amp;装备!C175&amp;"""")</f>
        <v>0</v>
      </c>
      <c r="K168" t="str">
        <f>IF(装备!T175="","""""",""""&amp;装备!T175&amp;"""")</f>
        <v>""</v>
      </c>
      <c r="L168">
        <f>IF(装备!U175="",0,""""&amp;装备!U175&amp;"""")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IF(装备!B176="",0,"'"&amp;装备!B176&amp;"'")</f>
        <v>0</v>
      </c>
      <c r="B169">
        <f>装备!D177</f>
        <v>0</v>
      </c>
      <c r="C169">
        <f>装备!E176</f>
        <v>0</v>
      </c>
      <c r="D169">
        <f>装备!F176</f>
        <v>0</v>
      </c>
      <c r="E169">
        <f>IF(ISTEXT(装备!G176)=TRUE,"'"&amp;装备!G176&amp;"'",装备!G176)</f>
        <v>0</v>
      </c>
      <c r="F169">
        <f>IF(ISTEXT(装备!H176)=TRUE,"'"&amp;装备!H176&amp;"'",装备!H176)</f>
        <v>0</v>
      </c>
      <c r="G169">
        <f>IF(装备!I176="",0,"'"&amp;装备!I176&amp;"'")</f>
        <v>0</v>
      </c>
      <c r="H169">
        <f>IF(装备!R176="",0,装备!R176)</f>
        <v>0</v>
      </c>
      <c r="I169">
        <f>IF(装备!S176="",0,装备!S176)</f>
        <v>0</v>
      </c>
      <c r="J169">
        <f>IF(装备!C176="",0,""""&amp;装备!C176&amp;"""")</f>
        <v>0</v>
      </c>
      <c r="K169" t="str">
        <f>IF(装备!T176="","""""",""""&amp;装备!T176&amp;"""")</f>
        <v>""</v>
      </c>
      <c r="L169">
        <f>IF(装备!U176="",0,""""&amp;装备!U176&amp;"""")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IF(装备!B177="",0,"'"&amp;装备!B177&amp;"'")</f>
        <v>0</v>
      </c>
      <c r="B170">
        <f>装备!D178</f>
        <v>0</v>
      </c>
      <c r="C170">
        <f>装备!E177</f>
        <v>0</v>
      </c>
      <c r="D170">
        <f>装备!F177</f>
        <v>0</v>
      </c>
      <c r="E170">
        <f>IF(ISTEXT(装备!G177)=TRUE,"'"&amp;装备!G177&amp;"'",装备!G177)</f>
        <v>0</v>
      </c>
      <c r="F170">
        <f>IF(ISTEXT(装备!H177)=TRUE,"'"&amp;装备!H177&amp;"'",装备!H177)</f>
        <v>0</v>
      </c>
      <c r="G170">
        <f>IF(装备!I177="",0,"'"&amp;装备!I177&amp;"'")</f>
        <v>0</v>
      </c>
      <c r="H170">
        <f>IF(装备!R177="",0,装备!R177)</f>
        <v>0</v>
      </c>
      <c r="I170">
        <f>IF(装备!S177="",0,装备!S177)</f>
        <v>0</v>
      </c>
      <c r="J170">
        <f>IF(装备!C177="",0,""""&amp;装备!C177&amp;"""")</f>
        <v>0</v>
      </c>
      <c r="K170" t="str">
        <f>IF(装备!T177="","""""",""""&amp;装备!T177&amp;"""")</f>
        <v>""</v>
      </c>
      <c r="L170">
        <f>IF(装备!U177="",0,""""&amp;装备!U177&amp;"""")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IF(装备!B178="",0,"'"&amp;装备!B178&amp;"'")</f>
        <v>0</v>
      </c>
      <c r="B171">
        <f>装备!D179</f>
        <v>0</v>
      </c>
      <c r="C171">
        <f>装备!E178</f>
        <v>0</v>
      </c>
      <c r="D171">
        <f>装备!F178</f>
        <v>0</v>
      </c>
      <c r="E171">
        <f>IF(ISTEXT(装备!G178)=TRUE,"'"&amp;装备!G178&amp;"'",装备!G178)</f>
        <v>0</v>
      </c>
      <c r="F171">
        <f>IF(ISTEXT(装备!H178)=TRUE,"'"&amp;装备!H178&amp;"'",装备!H178)</f>
        <v>0</v>
      </c>
      <c r="G171">
        <f>IF(装备!I178="",0,"'"&amp;装备!I178&amp;"'")</f>
        <v>0</v>
      </c>
      <c r="H171">
        <f>IF(装备!R178="",0,装备!R178)</f>
        <v>0</v>
      </c>
      <c r="I171">
        <f>IF(装备!S178="",0,装备!S178)</f>
        <v>0</v>
      </c>
      <c r="J171">
        <f>IF(装备!C178="",0,""""&amp;装备!C178&amp;"""")</f>
        <v>0</v>
      </c>
      <c r="K171" t="str">
        <f>IF(装备!T178="","""""",""""&amp;装备!T178&amp;"""")</f>
        <v>""</v>
      </c>
      <c r="L171">
        <f>IF(装备!U178="",0,""""&amp;装备!U178&amp;"""")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IF(装备!B179="",0,"'"&amp;装备!B179&amp;"'")</f>
        <v>0</v>
      </c>
      <c r="B172">
        <f>装备!D180</f>
        <v>0</v>
      </c>
      <c r="C172">
        <f>装备!E179</f>
        <v>0</v>
      </c>
      <c r="D172">
        <f>装备!F179</f>
        <v>0</v>
      </c>
      <c r="E172">
        <f>IF(ISTEXT(装备!G179)=TRUE,"'"&amp;装备!G179&amp;"'",装备!G179)</f>
        <v>0</v>
      </c>
      <c r="F172">
        <f>IF(ISTEXT(装备!H179)=TRUE,"'"&amp;装备!H179&amp;"'",装备!H179)</f>
        <v>0</v>
      </c>
      <c r="G172">
        <f>IF(装备!I179="",0,"'"&amp;装备!I179&amp;"'")</f>
        <v>0</v>
      </c>
      <c r="H172">
        <f>IF(装备!R179="",0,装备!R179)</f>
        <v>0</v>
      </c>
      <c r="I172">
        <f>IF(装备!S179="",0,装备!S179)</f>
        <v>0</v>
      </c>
      <c r="J172">
        <f>IF(装备!C179="",0,""""&amp;装备!C179&amp;"""")</f>
        <v>0</v>
      </c>
      <c r="K172" t="str">
        <f>IF(装备!T179="","""""",""""&amp;装备!T179&amp;"""")</f>
        <v>""</v>
      </c>
      <c r="L172">
        <f>IF(装备!U179="",0,""""&amp;装备!U179&amp;"""")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IF(装备!B180="",0,"'"&amp;装备!B180&amp;"'")</f>
        <v>0</v>
      </c>
      <c r="B173">
        <f>装备!D181</f>
        <v>0</v>
      </c>
      <c r="C173">
        <f>装备!E180</f>
        <v>0</v>
      </c>
      <c r="D173">
        <f>装备!F180</f>
        <v>0</v>
      </c>
      <c r="E173">
        <f>IF(ISTEXT(装备!G180)=TRUE,"'"&amp;装备!G180&amp;"'",装备!G180)</f>
        <v>0</v>
      </c>
      <c r="F173">
        <f>IF(ISTEXT(装备!H180)=TRUE,"'"&amp;装备!H180&amp;"'",装备!H180)</f>
        <v>0</v>
      </c>
      <c r="G173">
        <f>IF(装备!I180="",0,"'"&amp;装备!I180&amp;"'")</f>
        <v>0</v>
      </c>
      <c r="H173">
        <f>IF(装备!R180="",0,装备!R180)</f>
        <v>0</v>
      </c>
      <c r="I173">
        <f>IF(装备!S180="",0,装备!S180)</f>
        <v>0</v>
      </c>
      <c r="J173">
        <f>IF(装备!C180="",0,""""&amp;装备!C180&amp;"""")</f>
        <v>0</v>
      </c>
      <c r="K173" t="str">
        <f>IF(装备!T180="","""""",""""&amp;装备!T180&amp;"""")</f>
        <v>""</v>
      </c>
      <c r="L173">
        <f>IF(装备!U180="",0,""""&amp;装备!U180&amp;"""")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IF(装备!B181="",0,"'"&amp;装备!B181&amp;"'")</f>
        <v>0</v>
      </c>
      <c r="B174">
        <f>装备!D182</f>
        <v>0</v>
      </c>
      <c r="C174">
        <f>装备!E181</f>
        <v>0</v>
      </c>
      <c r="D174">
        <f>装备!F181</f>
        <v>0</v>
      </c>
      <c r="E174">
        <f>IF(ISTEXT(装备!G181)=TRUE,"'"&amp;装备!G181&amp;"'",装备!G181)</f>
        <v>0</v>
      </c>
      <c r="F174">
        <f>IF(ISTEXT(装备!H181)=TRUE,"'"&amp;装备!H181&amp;"'",装备!H181)</f>
        <v>0</v>
      </c>
      <c r="G174">
        <f>IF(装备!I181="",0,"'"&amp;装备!I181&amp;"'")</f>
        <v>0</v>
      </c>
      <c r="H174">
        <f>IF(装备!R181="",0,装备!R181)</f>
        <v>0</v>
      </c>
      <c r="I174">
        <f>IF(装备!S181="",0,装备!S181)</f>
        <v>0</v>
      </c>
      <c r="J174">
        <f>IF(装备!C181="",0,""""&amp;装备!C181&amp;"""")</f>
        <v>0</v>
      </c>
      <c r="K174" t="str">
        <f>IF(装备!T181="","""""",""""&amp;装备!T181&amp;"""")</f>
        <v>""</v>
      </c>
      <c r="L174">
        <f>IF(装备!U181="",0,""""&amp;装备!U181&amp;"""")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IF(装备!B182="",0,"'"&amp;装备!B182&amp;"'")</f>
        <v>0</v>
      </c>
      <c r="B175">
        <f>装备!D183</f>
        <v>0</v>
      </c>
      <c r="C175">
        <f>装备!E182</f>
        <v>0</v>
      </c>
      <c r="D175">
        <f>装备!F182</f>
        <v>0</v>
      </c>
      <c r="E175">
        <f>IF(ISTEXT(装备!G182)=TRUE,"'"&amp;装备!G182&amp;"'",装备!G182)</f>
        <v>0</v>
      </c>
      <c r="F175">
        <f>IF(ISTEXT(装备!H182)=TRUE,"'"&amp;装备!H182&amp;"'",装备!H182)</f>
        <v>0</v>
      </c>
      <c r="G175">
        <f>IF(装备!I182="",0,"'"&amp;装备!I182&amp;"'")</f>
        <v>0</v>
      </c>
      <c r="H175">
        <f>IF(装备!R182="",0,装备!R182)</f>
        <v>0</v>
      </c>
      <c r="I175">
        <f>IF(装备!S182="",0,装备!S182)</f>
        <v>0</v>
      </c>
      <c r="J175">
        <f>IF(装备!C182="",0,""""&amp;装备!C182&amp;"""")</f>
        <v>0</v>
      </c>
      <c r="K175" t="str">
        <f>IF(装备!T182="","""""",""""&amp;装备!T182&amp;"""")</f>
        <v>""</v>
      </c>
      <c r="L175">
        <f>IF(装备!U182="",0,""""&amp;装备!U182&amp;"""")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IF(装备!B183="",0,"'"&amp;装备!B183&amp;"'")</f>
        <v>0</v>
      </c>
      <c r="B176">
        <f>装备!D184</f>
        <v>0</v>
      </c>
      <c r="C176">
        <f>装备!E183</f>
        <v>0</v>
      </c>
      <c r="D176">
        <f>装备!F183</f>
        <v>0</v>
      </c>
      <c r="E176">
        <f>IF(ISTEXT(装备!G183)=TRUE,"'"&amp;装备!G183&amp;"'",装备!G183)</f>
        <v>0</v>
      </c>
      <c r="F176">
        <f>IF(ISTEXT(装备!H183)=TRUE,"'"&amp;装备!H183&amp;"'",装备!H183)</f>
        <v>0</v>
      </c>
      <c r="G176">
        <f>IF(装备!I183="",0,"'"&amp;装备!I183&amp;"'")</f>
        <v>0</v>
      </c>
      <c r="H176">
        <f>IF(装备!R183="",0,装备!R183)</f>
        <v>0</v>
      </c>
      <c r="I176">
        <f>IF(装备!S183="",0,装备!S183)</f>
        <v>0</v>
      </c>
      <c r="J176">
        <f>IF(装备!C183="",0,""""&amp;装备!C183&amp;"""")</f>
        <v>0</v>
      </c>
      <c r="K176" t="str">
        <f>IF(装备!T183="","""""",""""&amp;装备!T183&amp;"""")</f>
        <v>""</v>
      </c>
      <c r="L176">
        <f>IF(装备!U183="",0,""""&amp;装备!U183&amp;"""")</f>
        <v>0</v>
      </c>
      <c r="M176" t="str">
        <f t="shared" si="6"/>
        <v/>
      </c>
      <c r="N176" t="str">
        <f t="shared" si="7"/>
        <v>call InitTypeIdStrings(0,0,0,"")</v>
      </c>
    </row>
    <row r="177" spans="1:14">
      <c r="A177">
        <f>IF(装备!B184="",0,"'"&amp;装备!B184&amp;"'")</f>
        <v>0</v>
      </c>
      <c r="B177">
        <f>装备!D185</f>
        <v>0</v>
      </c>
      <c r="C177">
        <f>装备!E184</f>
        <v>0</v>
      </c>
      <c r="D177">
        <f>装备!F184</f>
        <v>0</v>
      </c>
      <c r="E177">
        <f>IF(ISTEXT(装备!G184)=TRUE,"'"&amp;装备!G184&amp;"'",装备!G184)</f>
        <v>0</v>
      </c>
      <c r="F177">
        <f>IF(ISTEXT(装备!H184)=TRUE,"'"&amp;装备!H184&amp;"'",装备!H184)</f>
        <v>0</v>
      </c>
      <c r="G177">
        <f>IF(装备!I184="",0,"'"&amp;装备!I184&amp;"'")</f>
        <v>0</v>
      </c>
      <c r="H177">
        <f>IF(装备!R184="",0,装备!R184)</f>
        <v>0</v>
      </c>
      <c r="I177">
        <f>IF(装备!S184="",0,装备!S184)</f>
        <v>0</v>
      </c>
      <c r="J177">
        <f>IF(装备!C184="",0,""""&amp;装备!C184&amp;"""")</f>
        <v>0</v>
      </c>
      <c r="K177" t="str">
        <f>IF(装备!T184="","""""",""""&amp;装备!T184&amp;"""")</f>
        <v>""</v>
      </c>
      <c r="L177">
        <f>IF(装备!U184="",0,""""&amp;装备!U184&amp;"""")</f>
        <v>0</v>
      </c>
      <c r="M177" t="str">
        <f t="shared" si="6"/>
        <v/>
      </c>
      <c r="N177" t="str">
        <f t="shared" si="7"/>
        <v>call InitTypeIdStrings(0,0,0,"")</v>
      </c>
    </row>
    <row r="178" spans="1:14">
      <c r="A178">
        <f>IF(装备!B185="",0,"'"&amp;装备!B185&amp;"'")</f>
        <v>0</v>
      </c>
      <c r="B178">
        <f>装备!D186</f>
        <v>0</v>
      </c>
      <c r="C178">
        <f>装备!E185</f>
        <v>0</v>
      </c>
      <c r="D178">
        <f>装备!F185</f>
        <v>0</v>
      </c>
      <c r="E178">
        <f>IF(ISTEXT(装备!G185)=TRUE,"'"&amp;装备!G185&amp;"'",装备!G185)</f>
        <v>0</v>
      </c>
      <c r="F178">
        <f>IF(ISTEXT(装备!H185)=TRUE,"'"&amp;装备!H185&amp;"'",装备!H185)</f>
        <v>0</v>
      </c>
      <c r="G178">
        <f>IF(装备!I185="",0,"'"&amp;装备!I185&amp;"'")</f>
        <v>0</v>
      </c>
      <c r="H178">
        <f>IF(装备!R185="",0,装备!R185)</f>
        <v>0</v>
      </c>
      <c r="I178">
        <f>IF(装备!S185="",0,装备!S185)</f>
        <v>0</v>
      </c>
      <c r="J178">
        <f>IF(装备!C185="",0,""""&amp;装备!C185&amp;"""")</f>
        <v>0</v>
      </c>
      <c r="K178" t="str">
        <f>IF(装备!T185="","""""",""""&amp;装备!T185&amp;"""")</f>
        <v>""</v>
      </c>
      <c r="L178">
        <f>IF(装备!U185="",0,""""&amp;装备!U185&amp;"""")</f>
        <v>0</v>
      </c>
      <c r="M178" t="str">
        <f t="shared" si="6"/>
        <v/>
      </c>
      <c r="N178" t="str">
        <f t="shared" si="7"/>
        <v>call InitTypeIdStrings(0,0,0,"")</v>
      </c>
    </row>
    <row r="179" spans="1:14">
      <c r="A179">
        <f>IF(装备!B186="",0,"'"&amp;装备!B186&amp;"'")</f>
        <v>0</v>
      </c>
      <c r="B179">
        <f>装备!D187</f>
        <v>0</v>
      </c>
      <c r="C179">
        <f>装备!E186</f>
        <v>0</v>
      </c>
      <c r="D179">
        <f>装备!F186</f>
        <v>0</v>
      </c>
      <c r="E179">
        <f>IF(ISTEXT(装备!G186)=TRUE,"'"&amp;装备!G186&amp;"'",装备!G186)</f>
        <v>0</v>
      </c>
      <c r="F179">
        <f>IF(ISTEXT(装备!H186)=TRUE,"'"&amp;装备!H186&amp;"'",装备!H186)</f>
        <v>0</v>
      </c>
      <c r="G179">
        <f>IF(装备!I186="",0,"'"&amp;装备!I186&amp;"'")</f>
        <v>0</v>
      </c>
      <c r="H179">
        <f>IF(装备!R186="",0,装备!R186)</f>
        <v>0</v>
      </c>
      <c r="I179">
        <f>IF(装备!S186="",0,装备!S186)</f>
        <v>0</v>
      </c>
      <c r="J179">
        <f>IF(装备!C186="",0,""""&amp;装备!C186&amp;"""")</f>
        <v>0</v>
      </c>
      <c r="K179" t="str">
        <f>IF(装备!T186="","""""",""""&amp;装备!T186&amp;"""")</f>
        <v>""</v>
      </c>
      <c r="L179">
        <f>IF(装备!U186="",0,""""&amp;装备!U186&amp;"""")</f>
        <v>0</v>
      </c>
      <c r="M179" t="str">
        <f t="shared" si="6"/>
        <v/>
      </c>
      <c r="N179" t="str">
        <f t="shared" si="7"/>
        <v>call InitTypeIdStrings(0,0,0,"")</v>
      </c>
    </row>
    <row r="180" spans="1:14">
      <c r="A180">
        <f>IF(装备!B187="",0,"'"&amp;装备!B187&amp;"'")</f>
        <v>0</v>
      </c>
      <c r="B180">
        <f>装备!D188</f>
        <v>0</v>
      </c>
      <c r="C180">
        <f>装备!E187</f>
        <v>0</v>
      </c>
      <c r="D180">
        <f>装备!F187</f>
        <v>0</v>
      </c>
      <c r="E180">
        <f>IF(ISTEXT(装备!G187)=TRUE,"'"&amp;装备!G187&amp;"'",装备!G187)</f>
        <v>0</v>
      </c>
      <c r="F180">
        <f>IF(ISTEXT(装备!H187)=TRUE,"'"&amp;装备!H187&amp;"'",装备!H187)</f>
        <v>0</v>
      </c>
      <c r="G180">
        <f>IF(装备!I187="",0,"'"&amp;装备!I187&amp;"'")</f>
        <v>0</v>
      </c>
      <c r="H180">
        <f>IF(装备!R187="",0,装备!R187)</f>
        <v>0</v>
      </c>
      <c r="I180">
        <f>IF(装备!S187="",0,装备!S187)</f>
        <v>0</v>
      </c>
      <c r="J180">
        <f>IF(装备!C187="",0,""""&amp;装备!C187&amp;"""")</f>
        <v>0</v>
      </c>
      <c r="K180" t="str">
        <f>IF(装备!T187="","""""",""""&amp;装备!T187&amp;"""")</f>
        <v>""</v>
      </c>
      <c r="L180">
        <f>IF(装备!U187="",0,""""&amp;装备!U187&amp;"""")</f>
        <v>0</v>
      </c>
      <c r="M180" t="str">
        <f t="shared" si="6"/>
        <v/>
      </c>
      <c r="N180" t="str">
        <f t="shared" si="7"/>
        <v>call InitTypeIdStrings(0,0,0,"")</v>
      </c>
    </row>
    <row r="181" spans="1:14">
      <c r="A181">
        <f>IF(装备!B188="",0,"'"&amp;装备!B188&amp;"'")</f>
        <v>0</v>
      </c>
      <c r="B181">
        <f>装备!D189</f>
        <v>0</v>
      </c>
      <c r="C181">
        <f>装备!E188</f>
        <v>0</v>
      </c>
      <c r="D181">
        <f>装备!F188</f>
        <v>0</v>
      </c>
      <c r="E181">
        <f>IF(ISTEXT(装备!G188)=TRUE,"'"&amp;装备!G188&amp;"'",装备!G188)</f>
        <v>0</v>
      </c>
      <c r="F181">
        <f>IF(ISTEXT(装备!H188)=TRUE,"'"&amp;装备!H188&amp;"'",装备!H188)</f>
        <v>0</v>
      </c>
      <c r="G181">
        <f>IF(装备!I188="",0,"'"&amp;装备!I188&amp;"'")</f>
        <v>0</v>
      </c>
      <c r="H181">
        <f>IF(装备!R188="",0,装备!R188)</f>
        <v>0</v>
      </c>
      <c r="I181">
        <f>IF(装备!S188="",0,装备!S188)</f>
        <v>0</v>
      </c>
      <c r="J181">
        <f>IF(装备!C188="",0,""""&amp;装备!C188&amp;"""")</f>
        <v>0</v>
      </c>
      <c r="K181" t="str">
        <f>IF(装备!T188="","""""",""""&amp;装备!T188&amp;"""")</f>
        <v>""</v>
      </c>
      <c r="L181">
        <f>IF(装备!U188="",0,""""&amp;装备!U188&amp;"""")</f>
        <v>0</v>
      </c>
      <c r="M181" t="str">
        <f t="shared" si="6"/>
        <v/>
      </c>
      <c r="N181" t="str">
        <f t="shared" si="7"/>
        <v>call InitTypeIdStrings(0,0,0,"")</v>
      </c>
    </row>
    <row r="182" spans="1:14">
      <c r="A182">
        <f>IF(装备!B189="",0,"'"&amp;装备!B189&amp;"'")</f>
        <v>0</v>
      </c>
      <c r="B182">
        <f>装备!D190</f>
        <v>0</v>
      </c>
      <c r="C182">
        <f>装备!E189</f>
        <v>0</v>
      </c>
      <c r="D182">
        <f>装备!F189</f>
        <v>0</v>
      </c>
      <c r="E182">
        <f>IF(ISTEXT(装备!G189)=TRUE,"'"&amp;装备!G189&amp;"'",装备!G189)</f>
        <v>0</v>
      </c>
      <c r="F182">
        <f>IF(ISTEXT(装备!H189)=TRUE,"'"&amp;装备!H189&amp;"'",装备!H189)</f>
        <v>0</v>
      </c>
      <c r="G182">
        <f>IF(装备!I189="",0,"'"&amp;装备!I189&amp;"'")</f>
        <v>0</v>
      </c>
      <c r="H182">
        <f>IF(装备!R189="",0,装备!R189)</f>
        <v>0</v>
      </c>
      <c r="I182">
        <f>IF(装备!S189="",0,装备!S189)</f>
        <v>0</v>
      </c>
      <c r="J182">
        <f>IF(装备!C189="",0,""""&amp;装备!C189&amp;"""")</f>
        <v>0</v>
      </c>
      <c r="K182" t="str">
        <f>IF(装备!T189="","""""",""""&amp;装备!T189&amp;"""")</f>
        <v>""</v>
      </c>
      <c r="L182">
        <f>IF(装备!U189="",0,""""&amp;装备!U189&amp;"""")</f>
        <v>0</v>
      </c>
      <c r="M182" t="str">
        <f t="shared" si="6"/>
        <v/>
      </c>
      <c r="N182" t="str">
        <f t="shared" si="7"/>
        <v>call InitTypeIdStrings(0,0,0,"")</v>
      </c>
    </row>
    <row r="183" spans="1:14">
      <c r="A183">
        <f>IF(装备!B190="",0,"'"&amp;装备!B190&amp;"'")</f>
        <v>0</v>
      </c>
      <c r="B183">
        <f>装备!D191</f>
        <v>0</v>
      </c>
      <c r="C183">
        <f>装备!E190</f>
        <v>0</v>
      </c>
      <c r="D183">
        <f>装备!F190</f>
        <v>0</v>
      </c>
      <c r="E183">
        <f>IF(ISTEXT(装备!G190)=TRUE,"'"&amp;装备!G190&amp;"'",装备!G190)</f>
        <v>0</v>
      </c>
      <c r="F183">
        <f>IF(ISTEXT(装备!H190)=TRUE,"'"&amp;装备!H190&amp;"'",装备!H190)</f>
        <v>0</v>
      </c>
      <c r="G183">
        <f>IF(装备!I190="",0,"'"&amp;装备!I190&amp;"'")</f>
        <v>0</v>
      </c>
      <c r="H183">
        <f>IF(装备!R190="",0,装备!R190)</f>
        <v>0</v>
      </c>
      <c r="I183">
        <f>IF(装备!S190="",0,装备!S190)</f>
        <v>0</v>
      </c>
      <c r="J183">
        <f>IF(装备!C190="",0,""""&amp;装备!C190&amp;"""")</f>
        <v>0</v>
      </c>
      <c r="K183" t="str">
        <f>IF(装备!T190="","""""",""""&amp;装备!T190&amp;"""")</f>
        <v>""</v>
      </c>
      <c r="L183">
        <f>IF(装备!U190="",0,""""&amp;装备!U190&amp;"""")</f>
        <v>0</v>
      </c>
      <c r="M183" t="str">
        <f t="shared" si="6"/>
        <v/>
      </c>
      <c r="N183" t="str">
        <f t="shared" si="7"/>
        <v>call InitTypeIdStrings(0,0,0,"")</v>
      </c>
    </row>
    <row r="184" spans="1:14">
      <c r="A184">
        <f>IF(装备!B191="",0,"'"&amp;装备!B191&amp;"'")</f>
        <v>0</v>
      </c>
      <c r="B184">
        <f>装备!D192</f>
        <v>0</v>
      </c>
      <c r="C184">
        <f>装备!E191</f>
        <v>0</v>
      </c>
      <c r="D184">
        <f>装备!F191</f>
        <v>0</v>
      </c>
      <c r="E184">
        <f>IF(ISTEXT(装备!G191)=TRUE,"'"&amp;装备!G191&amp;"'",装备!G191)</f>
        <v>0</v>
      </c>
      <c r="F184">
        <f>IF(ISTEXT(装备!H191)=TRUE,"'"&amp;装备!H191&amp;"'",装备!H191)</f>
        <v>0</v>
      </c>
      <c r="G184">
        <f>IF(装备!I191="",0,"'"&amp;装备!I191&amp;"'")</f>
        <v>0</v>
      </c>
      <c r="H184">
        <f>IF(装备!R191="",0,装备!R191)</f>
        <v>0</v>
      </c>
      <c r="I184">
        <f>IF(装备!S191="",0,装备!S191)</f>
        <v>0</v>
      </c>
      <c r="J184">
        <f>IF(装备!C191="",0,""""&amp;装备!C191&amp;"""")</f>
        <v>0</v>
      </c>
      <c r="K184" t="str">
        <f>IF(装备!T191="","""""",""""&amp;装备!T191&amp;"""")</f>
        <v>""</v>
      </c>
      <c r="L184">
        <f>IF(装备!U191="",0,""""&amp;装备!U191&amp;"""")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IF(装备!B201="",0,"'"&amp;装备!B201&amp;"'")</f>
        <v>0</v>
      </c>
      <c r="B185">
        <f>装备!D202</f>
        <v>0</v>
      </c>
      <c r="C185">
        <f>装备!E201</f>
        <v>0</v>
      </c>
      <c r="D185">
        <f>装备!F201</f>
        <v>0</v>
      </c>
      <c r="E185">
        <f>IF(ISTEXT(装备!G192)=TRUE,"'"&amp;装备!G192&amp;"'",装备!G192)</f>
        <v>0</v>
      </c>
      <c r="F185">
        <f>IF(ISTEXT(装备!H192)=TRUE,"'"&amp;装备!H192&amp;"'",装备!H192)</f>
        <v>0</v>
      </c>
      <c r="G185">
        <f>IF(装备!I201="",0,"'"&amp;装备!I201&amp;"'")</f>
        <v>0</v>
      </c>
      <c r="H185">
        <f>IF(装备!R192="",0,装备!R192)</f>
        <v>0</v>
      </c>
      <c r="I185">
        <f>IF(装备!S192="",0,装备!S192)</f>
        <v>0</v>
      </c>
      <c r="J185">
        <f>IF(装备!C201="",0,""""&amp;装备!C201&amp;"""")</f>
        <v>0</v>
      </c>
      <c r="K185" t="str">
        <f>IF(装备!T201="","""""",""""&amp;装备!T201&amp;"""")</f>
        <v>""</v>
      </c>
      <c r="L185">
        <f>IF(装备!U201="",0,""""&amp;装备!U201&amp;"""")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IF(装备!B202="",0,"'"&amp;装备!B202&amp;"'")</f>
        <v>0</v>
      </c>
      <c r="B186">
        <f>装备!D203</f>
        <v>0</v>
      </c>
      <c r="C186">
        <f>装备!E202</f>
        <v>0</v>
      </c>
      <c r="D186">
        <f>装备!F202</f>
        <v>0</v>
      </c>
      <c r="E186">
        <f>IF(ISTEXT(装备!G193)=TRUE,"'"&amp;装备!G193&amp;"'",装备!G193)</f>
        <v>0</v>
      </c>
      <c r="F186">
        <f>IF(ISTEXT(装备!H193)=TRUE,"'"&amp;装备!H193&amp;"'",装备!H193)</f>
        <v>0</v>
      </c>
      <c r="G186">
        <f>IF(装备!I202="",0,"'"&amp;装备!I202&amp;"'")</f>
        <v>0</v>
      </c>
      <c r="H186">
        <f>IF(装备!R193="",0,装备!R193)</f>
        <v>0</v>
      </c>
      <c r="I186">
        <f>IF(装备!S193="",0,装备!S193)</f>
        <v>0</v>
      </c>
      <c r="J186">
        <f>IF(装备!C202="",0,""""&amp;装备!C202&amp;"""")</f>
        <v>0</v>
      </c>
      <c r="K186" t="str">
        <f>IF(装备!T202="","""""",""""&amp;装备!T202&amp;"""")</f>
        <v>""</v>
      </c>
      <c r="L186">
        <f>IF(装备!U202="",0,""""&amp;装备!U202&amp;"""")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IF(装备!B203="",0,"'"&amp;装备!B203&amp;"'")</f>
        <v>0</v>
      </c>
      <c r="B187">
        <f>装备!D204</f>
        <v>0</v>
      </c>
      <c r="C187">
        <f>装备!E203</f>
        <v>0</v>
      </c>
      <c r="D187">
        <f>装备!F203</f>
        <v>0</v>
      </c>
      <c r="E187">
        <f>IF(ISTEXT(装备!G194)=TRUE,"'"&amp;装备!G194&amp;"'",装备!G194)</f>
        <v>0</v>
      </c>
      <c r="F187">
        <f>IF(ISTEXT(装备!H194)=TRUE,"'"&amp;装备!H194&amp;"'",装备!H194)</f>
        <v>0</v>
      </c>
      <c r="G187">
        <f>IF(装备!I203="",0,"'"&amp;装备!I203&amp;"'")</f>
        <v>0</v>
      </c>
      <c r="H187">
        <f>IF(装备!R194="",0,装备!R194)</f>
        <v>0</v>
      </c>
      <c r="I187">
        <f>IF(装备!S194="",0,装备!S194)</f>
        <v>0</v>
      </c>
      <c r="J187">
        <f>IF(装备!C203="",0,""""&amp;装备!C203&amp;"""")</f>
        <v>0</v>
      </c>
      <c r="K187" t="str">
        <f>IF(装备!T203="","""""",""""&amp;装备!T203&amp;"""")</f>
        <v>""</v>
      </c>
      <c r="L187">
        <f>IF(装备!U203="",0,""""&amp;装备!U203&amp;"""")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IF(装备!B204="",0,"'"&amp;装备!B204&amp;"'")</f>
        <v>0</v>
      </c>
      <c r="B188">
        <f>装备!D205</f>
        <v>0</v>
      </c>
      <c r="C188">
        <f>装备!E204</f>
        <v>0</v>
      </c>
      <c r="D188">
        <f>装备!F204</f>
        <v>0</v>
      </c>
      <c r="E188">
        <f>IF(ISTEXT(装备!G195)=TRUE,"'"&amp;装备!G195&amp;"'",装备!G195)</f>
        <v>0</v>
      </c>
      <c r="F188">
        <f>IF(ISTEXT(装备!H195)=TRUE,"'"&amp;装备!H195&amp;"'",装备!H195)</f>
        <v>0</v>
      </c>
      <c r="G188">
        <f>IF(装备!I204="",0,"'"&amp;装备!I204&amp;"'")</f>
        <v>0</v>
      </c>
      <c r="H188">
        <f>IF(装备!R195="",0,装备!R195)</f>
        <v>0</v>
      </c>
      <c r="I188">
        <f>IF(装备!S195="",0,装备!S195)</f>
        <v>0</v>
      </c>
      <c r="J188">
        <f>IF(装备!C204="",0,""""&amp;装备!C204&amp;"""")</f>
        <v>0</v>
      </c>
      <c r="K188" t="str">
        <f>IF(装备!T204="","""""",""""&amp;装备!T204&amp;"""")</f>
        <v>""</v>
      </c>
      <c r="L188">
        <f>IF(装备!U204="",0,""""&amp;装备!U204&amp;"""")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IF(装备!B205="",0,"'"&amp;装备!B205&amp;"'")</f>
        <v>0</v>
      </c>
      <c r="B189">
        <f>装备!D206</f>
        <v>0</v>
      </c>
      <c r="C189">
        <f>装备!E205</f>
        <v>0</v>
      </c>
      <c r="D189">
        <f>装备!F205</f>
        <v>0</v>
      </c>
      <c r="E189">
        <f>IF(ISTEXT(装备!G196)=TRUE,"'"&amp;装备!G196&amp;"'",装备!G196)</f>
        <v>0</v>
      </c>
      <c r="F189">
        <f>IF(ISTEXT(装备!H196)=TRUE,"'"&amp;装备!H196&amp;"'",装备!H196)</f>
        <v>0</v>
      </c>
      <c r="G189">
        <f>IF(装备!I205="",0,"'"&amp;装备!I205&amp;"'")</f>
        <v>0</v>
      </c>
      <c r="H189">
        <f>IF(装备!R196="",0,装备!R196)</f>
        <v>0</v>
      </c>
      <c r="I189">
        <f>IF(装备!S196="",0,装备!S196)</f>
        <v>0</v>
      </c>
      <c r="J189">
        <f>IF(装备!C205="",0,""""&amp;装备!C205&amp;"""")</f>
        <v>0</v>
      </c>
      <c r="K189" t="str">
        <f>IF(装备!T205="","""""",""""&amp;装备!T205&amp;"""")</f>
        <v>""</v>
      </c>
      <c r="L189">
        <f>IF(装备!U205="",0,""""&amp;装备!U205&amp;"""")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IF(装备!B206="",0,"'"&amp;装备!B206&amp;"'")</f>
        <v>0</v>
      </c>
      <c r="B190">
        <f>装备!D207</f>
        <v>0</v>
      </c>
      <c r="C190">
        <f>装备!E206</f>
        <v>0</v>
      </c>
      <c r="D190">
        <f>装备!F206</f>
        <v>0</v>
      </c>
      <c r="E190">
        <f>IF(ISTEXT(装备!G197)=TRUE,"'"&amp;装备!G197&amp;"'",装备!G197)</f>
        <v>0</v>
      </c>
      <c r="F190">
        <f>IF(ISTEXT(装备!H197)=TRUE,"'"&amp;装备!H197&amp;"'",装备!H197)</f>
        <v>0</v>
      </c>
      <c r="G190">
        <f>IF(装备!I206="",0,"'"&amp;装备!I206&amp;"'")</f>
        <v>0</v>
      </c>
      <c r="H190">
        <f>IF(装备!R197="",0,装备!R197)</f>
        <v>0</v>
      </c>
      <c r="I190">
        <f>IF(装备!S197="",0,装备!S197)</f>
        <v>0</v>
      </c>
      <c r="J190">
        <f>IF(装备!C206="",0,""""&amp;装备!C206&amp;"""")</f>
        <v>0</v>
      </c>
      <c r="K190" t="str">
        <f>IF(装备!T206="","""""",""""&amp;装备!T206&amp;"""")</f>
        <v>""</v>
      </c>
      <c r="L190">
        <f>IF(装备!U206="",0,""""&amp;装备!U206&amp;"""")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IF(装备!B207="",0,"'"&amp;装备!B207&amp;"'")</f>
        <v>0</v>
      </c>
      <c r="B191">
        <f>装备!D208</f>
        <v>0</v>
      </c>
      <c r="C191">
        <f>装备!E207</f>
        <v>0</v>
      </c>
      <c r="D191">
        <f>装备!F207</f>
        <v>0</v>
      </c>
      <c r="E191">
        <f>IF(ISTEXT(装备!G198)=TRUE,"'"&amp;装备!G198&amp;"'",装备!G198)</f>
        <v>0</v>
      </c>
      <c r="F191">
        <f>IF(ISTEXT(装备!H198)=TRUE,"'"&amp;装备!H198&amp;"'",装备!H198)</f>
        <v>0</v>
      </c>
      <c r="G191">
        <f>IF(装备!I207="",0,"'"&amp;装备!I207&amp;"'")</f>
        <v>0</v>
      </c>
      <c r="H191">
        <f>IF(装备!R198="",0,装备!R198)</f>
        <v>0</v>
      </c>
      <c r="I191">
        <f>IF(装备!S198="",0,装备!S198)</f>
        <v>0</v>
      </c>
      <c r="J191">
        <f>IF(装备!C207="",0,""""&amp;装备!C207&amp;"""")</f>
        <v>0</v>
      </c>
      <c r="K191" t="str">
        <f>IF(装备!T207="","""""",""""&amp;装备!T207&amp;"""")</f>
        <v>""</v>
      </c>
      <c r="L191">
        <f>IF(装备!U207="",0,""""&amp;装备!U207&amp;"""")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IF(装备!B208="",0,"'"&amp;装备!B208&amp;"'")</f>
        <v>0</v>
      </c>
      <c r="B192">
        <f>装备!D209</f>
        <v>0</v>
      </c>
      <c r="C192">
        <f>装备!E208</f>
        <v>0</v>
      </c>
      <c r="D192">
        <f>装备!F208</f>
        <v>0</v>
      </c>
      <c r="E192">
        <f>IF(ISTEXT(装备!G199)=TRUE,"'"&amp;装备!G199&amp;"'",装备!G199)</f>
        <v>0</v>
      </c>
      <c r="F192">
        <f>IF(ISTEXT(装备!H199)=TRUE,"'"&amp;装备!H199&amp;"'",装备!H199)</f>
        <v>0</v>
      </c>
      <c r="G192">
        <f>IF(装备!I208="",0,"'"&amp;装备!I208&amp;"'")</f>
        <v>0</v>
      </c>
      <c r="H192">
        <f>IF(装备!R199="",0,装备!R199)</f>
        <v>0</v>
      </c>
      <c r="I192">
        <f>IF(装备!S199="",0,装备!S199)</f>
        <v>0</v>
      </c>
      <c r="J192">
        <f>IF(装备!C208="",0,""""&amp;装备!C208&amp;"""")</f>
        <v>0</v>
      </c>
      <c r="K192" t="str">
        <f>IF(装备!T208="","""""",""""&amp;装备!T208&amp;"""")</f>
        <v>""</v>
      </c>
      <c r="L192">
        <f>IF(装备!U208="",0,""""&amp;装备!U208&amp;"""")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IF(装备!B209="",0,"'"&amp;装备!B209&amp;"'")</f>
        <v>0</v>
      </c>
      <c r="B193">
        <f>装备!D210</f>
        <v>0</v>
      </c>
      <c r="C193">
        <f>装备!E209</f>
        <v>0</v>
      </c>
      <c r="D193">
        <f>装备!F209</f>
        <v>0</v>
      </c>
      <c r="E193">
        <f>IF(ISTEXT(装备!G200)=TRUE,"'"&amp;装备!G200&amp;"'",装备!G200)</f>
        <v>0</v>
      </c>
      <c r="F193">
        <f>IF(ISTEXT(装备!H200)=TRUE,"'"&amp;装备!H200&amp;"'",装备!H200)</f>
        <v>0</v>
      </c>
      <c r="G193">
        <f>IF(装备!I209="",0,"'"&amp;装备!I209&amp;"'")</f>
        <v>0</v>
      </c>
      <c r="H193">
        <f>IF(装备!R200="",0,装备!R200)</f>
        <v>0</v>
      </c>
      <c r="I193">
        <f>IF(装备!S200="",0,装备!S200)</f>
        <v>0</v>
      </c>
      <c r="J193">
        <f>IF(装备!C209="",0,""""&amp;装备!C209&amp;"""")</f>
        <v>0</v>
      </c>
      <c r="K193" t="str">
        <f>IF(装备!T209="","""""",""""&amp;装备!T209&amp;"""")</f>
        <v>""</v>
      </c>
      <c r="L193">
        <f>IF(装备!U209="",0,""""&amp;装备!U209&amp;"""")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IF(装备!B210="",0,"'"&amp;装备!B210&amp;"'")</f>
        <v>0</v>
      </c>
      <c r="B194">
        <f>装备!D211</f>
        <v>0</v>
      </c>
      <c r="C194">
        <f>装备!E210</f>
        <v>0</v>
      </c>
      <c r="D194">
        <f>装备!F210</f>
        <v>0</v>
      </c>
      <c r="E194">
        <f>IF(ISTEXT(装备!G201)=TRUE,"'"&amp;装备!G201&amp;"'",装备!G201)</f>
        <v>0</v>
      </c>
      <c r="F194">
        <f>IF(ISTEXT(装备!H201)=TRUE,"'"&amp;装备!H201&amp;"'",装备!H201)</f>
        <v>0</v>
      </c>
      <c r="G194">
        <f>IF(装备!I210="",0,"'"&amp;装备!I210&amp;"'")</f>
        <v>0</v>
      </c>
      <c r="H194">
        <f>IF(装备!R201="",0,装备!R201)</f>
        <v>0</v>
      </c>
      <c r="I194">
        <f>IF(装备!S201="",0,装备!S201)</f>
        <v>0</v>
      </c>
      <c r="J194">
        <f>IF(装备!C210="",0,""""&amp;装备!C210&amp;"""")</f>
        <v>0</v>
      </c>
      <c r="K194" t="str">
        <f>IF(装备!T210="","""""",""""&amp;装备!T210&amp;"""")</f>
        <v>""</v>
      </c>
      <c r="L194">
        <f>IF(装备!U210="",0,""""&amp;装备!U210&amp;"""")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IF(装备!B211="",0,"'"&amp;装备!B211&amp;"'")</f>
        <v>0</v>
      </c>
      <c r="B195">
        <f>装备!D212</f>
        <v>0</v>
      </c>
      <c r="C195">
        <f>装备!E211</f>
        <v>0</v>
      </c>
      <c r="D195">
        <f>装备!F211</f>
        <v>0</v>
      </c>
      <c r="E195">
        <f>IF(ISTEXT(装备!G202)=TRUE,"'"&amp;装备!G202&amp;"'",装备!G202)</f>
        <v>0</v>
      </c>
      <c r="F195">
        <f>IF(ISTEXT(装备!H202)=TRUE,"'"&amp;装备!H202&amp;"'",装备!H202)</f>
        <v>0</v>
      </c>
      <c r="G195">
        <f>IF(装备!I211="",0,"'"&amp;装备!I211&amp;"'")</f>
        <v>0</v>
      </c>
      <c r="H195">
        <f>IF(装备!R202="",0,装备!R202)</f>
        <v>0</v>
      </c>
      <c r="I195">
        <f>IF(装备!S202="",0,装备!S202)</f>
        <v>0</v>
      </c>
      <c r="J195">
        <f>IF(装备!C211="",0,""""&amp;装备!C211&amp;"""")</f>
        <v>0</v>
      </c>
      <c r="K195" t="str">
        <f>IF(装备!T211="","""""",""""&amp;装备!T211&amp;"""")</f>
        <v>""</v>
      </c>
      <c r="L195">
        <f>IF(装备!U211="",0,""""&amp;装备!U211&amp;"""")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IF(装备!B212="",0,"'"&amp;装备!B212&amp;"'")</f>
        <v>0</v>
      </c>
      <c r="B196">
        <f>装备!D213</f>
        <v>0</v>
      </c>
      <c r="C196">
        <f>装备!E212</f>
        <v>0</v>
      </c>
      <c r="D196">
        <f>装备!F212</f>
        <v>0</v>
      </c>
      <c r="E196">
        <f>IF(ISTEXT(装备!G203)=TRUE,"'"&amp;装备!G203&amp;"'",装备!G203)</f>
        <v>0</v>
      </c>
      <c r="F196">
        <f>IF(ISTEXT(装备!H203)=TRUE,"'"&amp;装备!H203&amp;"'",装备!H203)</f>
        <v>0</v>
      </c>
      <c r="G196">
        <f>IF(装备!I212="",0,"'"&amp;装备!I212&amp;"'")</f>
        <v>0</v>
      </c>
      <c r="H196">
        <f>IF(装备!R203="",0,装备!R203)</f>
        <v>0</v>
      </c>
      <c r="I196">
        <f>IF(装备!S203="",0,装备!S203)</f>
        <v>0</v>
      </c>
      <c r="J196">
        <f>IF(装备!C212="",0,""""&amp;装备!C212&amp;"""")</f>
        <v>0</v>
      </c>
      <c r="K196" t="str">
        <f>IF(装备!T212="","""""",""""&amp;装备!T212&amp;"""")</f>
        <v>""</v>
      </c>
      <c r="L196">
        <f>IF(装备!U212="",0,""""&amp;装备!U212&amp;"""")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IF(装备!B213="",0,"'"&amp;装备!B213&amp;"'")</f>
        <v>0</v>
      </c>
      <c r="B197">
        <f>装备!D214</f>
        <v>0</v>
      </c>
      <c r="C197">
        <f>装备!E213</f>
        <v>0</v>
      </c>
      <c r="D197">
        <f>装备!F213</f>
        <v>0</v>
      </c>
      <c r="E197">
        <f>IF(ISTEXT(装备!G204)=TRUE,"'"&amp;装备!G204&amp;"'",装备!G204)</f>
        <v>0</v>
      </c>
      <c r="F197">
        <f>IF(ISTEXT(装备!H204)=TRUE,"'"&amp;装备!H204&amp;"'",装备!H204)</f>
        <v>0</v>
      </c>
      <c r="G197">
        <f>IF(装备!I213="",0,"'"&amp;装备!I213&amp;"'")</f>
        <v>0</v>
      </c>
      <c r="H197">
        <f>IF(装备!R204="",0,装备!R204)</f>
        <v>0</v>
      </c>
      <c r="I197">
        <f>IF(装备!S204="",0,装备!S204)</f>
        <v>0</v>
      </c>
      <c r="J197">
        <f>IF(装备!C213="",0,""""&amp;装备!C213&amp;"""")</f>
        <v>0</v>
      </c>
      <c r="K197" t="str">
        <f>IF(装备!T213="","""""",""""&amp;装备!T213&amp;"""")</f>
        <v>""</v>
      </c>
      <c r="L197">
        <f>IF(装备!U213="",0,""""&amp;装备!U213&amp;"""")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IF(装备!B214="",0,"'"&amp;装备!B214&amp;"'")</f>
        <v>0</v>
      </c>
      <c r="B198">
        <f>装备!D215</f>
        <v>0</v>
      </c>
      <c r="C198">
        <f>装备!E214</f>
        <v>0</v>
      </c>
      <c r="D198">
        <f>装备!F214</f>
        <v>0</v>
      </c>
      <c r="E198">
        <f>IF(ISTEXT(装备!G205)=TRUE,"'"&amp;装备!G205&amp;"'",装备!G205)</f>
        <v>0</v>
      </c>
      <c r="F198">
        <f>IF(ISTEXT(装备!H205)=TRUE,"'"&amp;装备!H205&amp;"'",装备!H205)</f>
        <v>0</v>
      </c>
      <c r="G198">
        <f>IF(装备!I214="",0,"'"&amp;装备!I214&amp;"'")</f>
        <v>0</v>
      </c>
      <c r="H198">
        <f>IF(装备!R205="",0,装备!R205)</f>
        <v>0</v>
      </c>
      <c r="I198">
        <f>IF(装备!S205="",0,装备!S205)</f>
        <v>0</v>
      </c>
      <c r="J198">
        <f>IF(装备!C214="",0,""""&amp;装备!C214&amp;"""")</f>
        <v>0</v>
      </c>
      <c r="K198" t="str">
        <f>IF(装备!T214="","""""",""""&amp;装备!T214&amp;"""")</f>
        <v>""</v>
      </c>
      <c r="L198">
        <f>IF(装备!U214="",0,""""&amp;装备!U214&amp;"""")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IF(装备!B215="",0,"'"&amp;装备!B215&amp;"'")</f>
        <v>0</v>
      </c>
      <c r="B199">
        <f>装备!D216</f>
        <v>0</v>
      </c>
      <c r="C199">
        <f>装备!E215</f>
        <v>0</v>
      </c>
      <c r="D199">
        <f>装备!F215</f>
        <v>0</v>
      </c>
      <c r="E199">
        <f>IF(ISTEXT(装备!G206)=TRUE,"'"&amp;装备!G206&amp;"'",装备!G206)</f>
        <v>0</v>
      </c>
      <c r="F199">
        <f>IF(ISTEXT(装备!H206)=TRUE,"'"&amp;装备!H206&amp;"'",装备!H206)</f>
        <v>0</v>
      </c>
      <c r="G199">
        <f>IF(装备!I215="",0,"'"&amp;装备!I215&amp;"'")</f>
        <v>0</v>
      </c>
      <c r="H199">
        <f>IF(装备!R206="",0,装备!R206)</f>
        <v>0</v>
      </c>
      <c r="I199">
        <f>IF(装备!S206="",0,装备!S206)</f>
        <v>0</v>
      </c>
      <c r="J199">
        <f>IF(装备!C215="",0,""""&amp;装备!C215&amp;"""")</f>
        <v>0</v>
      </c>
      <c r="K199" t="str">
        <f>IF(装备!T215="","""""",""""&amp;装备!T215&amp;"""")</f>
        <v>""</v>
      </c>
      <c r="L199">
        <f>IF(装备!U215="",0,""""&amp;装备!U215&amp;"""")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IF(装备!B216="",0,"'"&amp;装备!B216&amp;"'")</f>
        <v>0</v>
      </c>
      <c r="B200">
        <f>装备!D217</f>
        <v>0</v>
      </c>
      <c r="C200">
        <f>装备!E216</f>
        <v>0</v>
      </c>
      <c r="D200">
        <f>装备!F216</f>
        <v>0</v>
      </c>
      <c r="E200">
        <f>IF(ISTEXT(装备!G207)=TRUE,"'"&amp;装备!G207&amp;"'",装备!G207)</f>
        <v>0</v>
      </c>
      <c r="F200">
        <f>IF(ISTEXT(装备!H207)=TRUE,"'"&amp;装备!H207&amp;"'",装备!H207)</f>
        <v>0</v>
      </c>
      <c r="G200">
        <f>IF(装备!I216="",0,"'"&amp;装备!I216&amp;"'")</f>
        <v>0</v>
      </c>
      <c r="H200">
        <f>IF(装备!R207="",0,装备!R207)</f>
        <v>0</v>
      </c>
      <c r="I200">
        <f>IF(装备!S207="",0,装备!S207)</f>
        <v>0</v>
      </c>
      <c r="J200">
        <f>IF(装备!C216="",0,""""&amp;装备!C216&amp;"""")</f>
        <v>0</v>
      </c>
      <c r="K200" t="str">
        <f>IF(装备!T216="","""""",""""&amp;装备!T216&amp;"""")</f>
        <v>""</v>
      </c>
      <c r="L200">
        <f>IF(装备!U216="",0,""""&amp;装备!U216&amp;"""")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IF(装备!B217="",0,"'"&amp;装备!B217&amp;"'")</f>
        <v>0</v>
      </c>
      <c r="B201">
        <f>装备!D218</f>
        <v>0</v>
      </c>
      <c r="C201">
        <f>装备!E217</f>
        <v>0</v>
      </c>
      <c r="D201">
        <f>装备!F217</f>
        <v>0</v>
      </c>
      <c r="E201">
        <f>IF(ISTEXT(装备!G208)=TRUE,"'"&amp;装备!G208&amp;"'",装备!G208)</f>
        <v>0</v>
      </c>
      <c r="F201">
        <f>IF(ISTEXT(装备!H208)=TRUE,"'"&amp;装备!H208&amp;"'",装备!H208)</f>
        <v>0</v>
      </c>
      <c r="G201">
        <f>IF(装备!I217="",0,"'"&amp;装备!I217&amp;"'")</f>
        <v>0</v>
      </c>
      <c r="H201">
        <f>IF(装备!R208="",0,装备!R208)</f>
        <v>0</v>
      </c>
      <c r="I201">
        <f>IF(装备!S208="",0,装备!S208)</f>
        <v>0</v>
      </c>
      <c r="J201">
        <f>IF(装备!C217="",0,""""&amp;装备!C217&amp;"""")</f>
        <v>0</v>
      </c>
      <c r="K201" t="str">
        <f>IF(装备!T217="","""""",""""&amp;装备!T217&amp;"""")</f>
        <v>""</v>
      </c>
      <c r="L201">
        <f>IF(装备!U217="",0,""""&amp;装备!U217&amp;"""")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IF(装备!B218="",0,"'"&amp;装备!B218&amp;"'")</f>
        <v>0</v>
      </c>
      <c r="B202">
        <f>装备!D219</f>
        <v>0</v>
      </c>
      <c r="C202">
        <f>装备!E218</f>
        <v>0</v>
      </c>
      <c r="D202">
        <f>装备!F218</f>
        <v>0</v>
      </c>
      <c r="E202">
        <f>IF(ISTEXT(装备!G209)=TRUE,"'"&amp;装备!G209&amp;"'",装备!G209)</f>
        <v>0</v>
      </c>
      <c r="F202">
        <f>IF(ISTEXT(装备!H209)=TRUE,"'"&amp;装备!H209&amp;"'",装备!H209)</f>
        <v>0</v>
      </c>
      <c r="G202">
        <f>IF(装备!I218="",0,"'"&amp;装备!I218&amp;"'")</f>
        <v>0</v>
      </c>
      <c r="H202">
        <f>IF(装备!R209="",0,装备!R209)</f>
        <v>0</v>
      </c>
      <c r="I202">
        <f>IF(装备!S209="",0,装备!S209)</f>
        <v>0</v>
      </c>
      <c r="J202">
        <f>IF(装备!C218="",0,""""&amp;装备!C218&amp;"""")</f>
        <v>0</v>
      </c>
      <c r="K202" t="str">
        <f>IF(装备!T218="","""""",""""&amp;装备!T218&amp;"""")</f>
        <v>""</v>
      </c>
      <c r="L202">
        <f>IF(装备!U218="",0,""""&amp;装备!U218&amp;"""")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IF(装备!B219="",0,"'"&amp;装备!B219&amp;"'")</f>
        <v>0</v>
      </c>
      <c r="B203">
        <f>装备!D220</f>
        <v>0</v>
      </c>
      <c r="C203">
        <f>装备!E219</f>
        <v>0</v>
      </c>
      <c r="D203">
        <f>装备!F219</f>
        <v>0</v>
      </c>
      <c r="E203">
        <f>IF(ISTEXT(装备!G210)=TRUE,"'"&amp;装备!G210&amp;"'",装备!G210)</f>
        <v>0</v>
      </c>
      <c r="F203">
        <f>IF(ISTEXT(装备!H210)=TRUE,"'"&amp;装备!H210&amp;"'",装备!H210)</f>
        <v>0</v>
      </c>
      <c r="G203">
        <f>IF(装备!I219="",0,"'"&amp;装备!I219&amp;"'")</f>
        <v>0</v>
      </c>
      <c r="H203">
        <f>IF(装备!R210="",0,装备!R210)</f>
        <v>0</v>
      </c>
      <c r="I203">
        <f>IF(装备!S210="",0,装备!S210)</f>
        <v>0</v>
      </c>
      <c r="J203">
        <f>IF(装备!C219="",0,""""&amp;装备!C219&amp;"""")</f>
        <v>0</v>
      </c>
      <c r="K203" t="str">
        <f>IF(装备!T219="","""""",""""&amp;装备!T219&amp;"""")</f>
        <v>""</v>
      </c>
      <c r="L203">
        <f>IF(装备!U219="",0,""""&amp;装备!U219&amp;"""")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IF(装备!B220="",0,"'"&amp;装备!B220&amp;"'")</f>
        <v>0</v>
      </c>
      <c r="B204">
        <f>装备!D221</f>
        <v>0</v>
      </c>
      <c r="C204">
        <f>装备!E220</f>
        <v>0</v>
      </c>
      <c r="D204">
        <f>装备!F220</f>
        <v>0</v>
      </c>
      <c r="E204">
        <f>IF(ISTEXT(装备!G211)=TRUE,"'"&amp;装备!G211&amp;"'",装备!G211)</f>
        <v>0</v>
      </c>
      <c r="F204">
        <f>IF(ISTEXT(装备!H211)=TRUE,"'"&amp;装备!H211&amp;"'",装备!H211)</f>
        <v>0</v>
      </c>
      <c r="G204">
        <f>IF(装备!I220="",0,"'"&amp;装备!I220&amp;"'")</f>
        <v>0</v>
      </c>
      <c r="H204">
        <f>IF(装备!R211="",0,装备!R211)</f>
        <v>0</v>
      </c>
      <c r="I204">
        <f>IF(装备!S211="",0,装备!S211)</f>
        <v>0</v>
      </c>
      <c r="J204">
        <f>IF(装备!C220="",0,""""&amp;装备!C220&amp;"""")</f>
        <v>0</v>
      </c>
      <c r="K204" t="str">
        <f>IF(装备!T220="","""""",""""&amp;装备!T220&amp;"""")</f>
        <v>""</v>
      </c>
      <c r="L204">
        <f>IF(装备!U220="",0,""""&amp;装备!U220&amp;"""")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IF(装备!B221="",0,"'"&amp;装备!B221&amp;"'")</f>
        <v>0</v>
      </c>
      <c r="B205">
        <f>装备!D222</f>
        <v>0</v>
      </c>
      <c r="C205">
        <f>装备!E221</f>
        <v>0</v>
      </c>
      <c r="D205">
        <f>装备!F221</f>
        <v>0</v>
      </c>
      <c r="E205">
        <f>IF(ISTEXT(装备!G212)=TRUE,"'"&amp;装备!G212&amp;"'",装备!G212)</f>
        <v>0</v>
      </c>
      <c r="F205">
        <f>IF(ISTEXT(装备!H212)=TRUE,"'"&amp;装备!H212&amp;"'",装备!H212)</f>
        <v>0</v>
      </c>
      <c r="G205">
        <f>IF(装备!I221="",0,"'"&amp;装备!I221&amp;"'")</f>
        <v>0</v>
      </c>
      <c r="H205">
        <f>IF(装备!R212="",0,装备!R212)</f>
        <v>0</v>
      </c>
      <c r="I205">
        <f>IF(装备!S212="",0,装备!S212)</f>
        <v>0</v>
      </c>
      <c r="J205">
        <f>IF(装备!C221="",0,""""&amp;装备!C221&amp;"""")</f>
        <v>0</v>
      </c>
      <c r="K205" t="str">
        <f>IF(装备!T221="","""""",""""&amp;装备!T221&amp;"""")</f>
        <v>""</v>
      </c>
      <c r="L205">
        <f>IF(装备!U221="",0,""""&amp;装备!U221&amp;"""")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IF(装备!B222="",0,"'"&amp;装备!B222&amp;"'")</f>
        <v>0</v>
      </c>
      <c r="B206">
        <f>装备!D223</f>
        <v>0</v>
      </c>
      <c r="C206">
        <f>装备!E222</f>
        <v>0</v>
      </c>
      <c r="D206">
        <f>装备!F222</f>
        <v>0</v>
      </c>
      <c r="E206">
        <f>IF(ISTEXT(装备!G213)=TRUE,"'"&amp;装备!G213&amp;"'",装备!G213)</f>
        <v>0</v>
      </c>
      <c r="F206">
        <f>IF(ISTEXT(装备!H213)=TRUE,"'"&amp;装备!H213&amp;"'",装备!H213)</f>
        <v>0</v>
      </c>
      <c r="G206">
        <f>IF(装备!I222="",0,"'"&amp;装备!I222&amp;"'")</f>
        <v>0</v>
      </c>
      <c r="H206">
        <f>IF(装备!R213="",0,装备!R213)</f>
        <v>0</v>
      </c>
      <c r="I206">
        <f>IF(装备!S213="",0,装备!S213)</f>
        <v>0</v>
      </c>
      <c r="J206">
        <f>IF(装备!C222="",0,""""&amp;装备!C222&amp;"""")</f>
        <v>0</v>
      </c>
      <c r="K206" t="str">
        <f>IF(装备!T222="","""""",""""&amp;装备!T222&amp;"""")</f>
        <v>""</v>
      </c>
      <c r="L206">
        <f>IF(装备!U222="",0,""""&amp;装备!U222&amp;"""")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IF(装备!B223="",0,"'"&amp;装备!B223&amp;"'")</f>
        <v>0</v>
      </c>
      <c r="B207">
        <f>装备!D224</f>
        <v>0</v>
      </c>
      <c r="C207">
        <f>装备!E223</f>
        <v>0</v>
      </c>
      <c r="D207">
        <f>装备!F223</f>
        <v>0</v>
      </c>
      <c r="E207">
        <f>IF(ISTEXT(装备!G214)=TRUE,"'"&amp;装备!G214&amp;"'",装备!G214)</f>
        <v>0</v>
      </c>
      <c r="F207">
        <f>IF(ISTEXT(装备!H214)=TRUE,"'"&amp;装备!H214&amp;"'",装备!H214)</f>
        <v>0</v>
      </c>
      <c r="G207">
        <f>IF(装备!I223="",0,"'"&amp;装备!I223&amp;"'")</f>
        <v>0</v>
      </c>
      <c r="H207">
        <f>IF(装备!R214="",0,装备!R214)</f>
        <v>0</v>
      </c>
      <c r="I207">
        <f>IF(装备!S214="",0,装备!S214)</f>
        <v>0</v>
      </c>
      <c r="J207">
        <f>IF(装备!C223="",0,""""&amp;装备!C223&amp;"""")</f>
        <v>0</v>
      </c>
      <c r="K207" t="str">
        <f>IF(装备!T223="","""""",""""&amp;装备!T223&amp;"""")</f>
        <v>""</v>
      </c>
      <c r="L207">
        <f>IF(装备!U223="",0,""""&amp;装备!U223&amp;"""")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IF(装备!B224="",0,"'"&amp;装备!B224&amp;"'")</f>
        <v>0</v>
      </c>
      <c r="B208">
        <f>装备!D225</f>
        <v>0</v>
      </c>
      <c r="C208">
        <f>装备!E224</f>
        <v>0</v>
      </c>
      <c r="D208">
        <f>装备!F224</f>
        <v>0</v>
      </c>
      <c r="E208">
        <f>IF(ISTEXT(装备!G215)=TRUE,"'"&amp;装备!G215&amp;"'",装备!G215)</f>
        <v>0</v>
      </c>
      <c r="F208">
        <f>IF(ISTEXT(装备!H215)=TRUE,"'"&amp;装备!H215&amp;"'",装备!H215)</f>
        <v>0</v>
      </c>
      <c r="G208">
        <f>IF(装备!I224="",0,"'"&amp;装备!I224&amp;"'")</f>
        <v>0</v>
      </c>
      <c r="H208">
        <f>IF(装备!R215="",0,装备!R215)</f>
        <v>0</v>
      </c>
      <c r="I208">
        <f>IF(装备!S215="",0,装备!S215)</f>
        <v>0</v>
      </c>
      <c r="J208">
        <f>IF(装备!C224="",0,""""&amp;装备!C224&amp;"""")</f>
        <v>0</v>
      </c>
      <c r="K208" t="str">
        <f>IF(装备!T224="","""""",""""&amp;装备!T224&amp;"""")</f>
        <v>""</v>
      </c>
      <c r="L208">
        <f>IF(装备!U224="",0,""""&amp;装备!U224&amp;"""")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IF(装备!B225="",0,"'"&amp;装备!B225&amp;"'")</f>
        <v>0</v>
      </c>
      <c r="B209">
        <f>装备!D226</f>
        <v>0</v>
      </c>
      <c r="C209">
        <f>装备!E225</f>
        <v>0</v>
      </c>
      <c r="D209">
        <f>装备!F225</f>
        <v>0</v>
      </c>
      <c r="E209">
        <f>IF(ISTEXT(装备!G216)=TRUE,"'"&amp;装备!G216&amp;"'",装备!G216)</f>
        <v>0</v>
      </c>
      <c r="F209">
        <f>IF(ISTEXT(装备!H216)=TRUE,"'"&amp;装备!H216&amp;"'",装备!H216)</f>
        <v>0</v>
      </c>
      <c r="G209">
        <f>IF(装备!I225="",0,"'"&amp;装备!I225&amp;"'")</f>
        <v>0</v>
      </c>
      <c r="H209">
        <f>IF(装备!R216="",0,装备!R216)</f>
        <v>0</v>
      </c>
      <c r="I209">
        <f>IF(装备!S216="",0,装备!S216)</f>
        <v>0</v>
      </c>
      <c r="J209">
        <f>IF(装备!C225="",0,""""&amp;装备!C225&amp;"""")</f>
        <v>0</v>
      </c>
      <c r="K209" t="str">
        <f>IF(装备!T225="","""""",""""&amp;装备!T225&amp;"""")</f>
        <v>""</v>
      </c>
      <c r="L209">
        <f>IF(装备!U225="",0,""""&amp;装备!U225&amp;"""")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IF(装备!B226="",0,"'"&amp;装备!B226&amp;"'")</f>
        <v>0</v>
      </c>
      <c r="B210">
        <f>装备!D227</f>
        <v>0</v>
      </c>
      <c r="C210">
        <f>装备!E226</f>
        <v>0</v>
      </c>
      <c r="D210">
        <f>装备!F226</f>
        <v>0</v>
      </c>
      <c r="E210">
        <f>IF(ISTEXT(装备!G217)=TRUE,"'"&amp;装备!G217&amp;"'",装备!G217)</f>
        <v>0</v>
      </c>
      <c r="F210">
        <f>IF(ISTEXT(装备!H217)=TRUE,"'"&amp;装备!H217&amp;"'",装备!H217)</f>
        <v>0</v>
      </c>
      <c r="G210">
        <f>IF(装备!I226="",0,"'"&amp;装备!I226&amp;"'")</f>
        <v>0</v>
      </c>
      <c r="H210">
        <f>IF(装备!R217="",0,装备!R217)</f>
        <v>0</v>
      </c>
      <c r="I210">
        <f>IF(装备!S217="",0,装备!S217)</f>
        <v>0</v>
      </c>
      <c r="J210">
        <f>IF(装备!C226="",0,""""&amp;装备!C226&amp;"""")</f>
        <v>0</v>
      </c>
      <c r="K210" t="str">
        <f>IF(装备!T226="","""""",""""&amp;装备!T226&amp;"""")</f>
        <v>""</v>
      </c>
      <c r="L210">
        <f>IF(装备!U226="",0,""""&amp;装备!U226&amp;"""")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IF(装备!B227="",0,"'"&amp;装备!B227&amp;"'")</f>
        <v>0</v>
      </c>
      <c r="B211">
        <f>装备!D228</f>
        <v>0</v>
      </c>
      <c r="C211">
        <f>装备!E227</f>
        <v>0</v>
      </c>
      <c r="D211">
        <f>装备!F227</f>
        <v>0</v>
      </c>
      <c r="E211">
        <f>IF(ISTEXT(装备!G218)=TRUE,"'"&amp;装备!G218&amp;"'",装备!G218)</f>
        <v>0</v>
      </c>
      <c r="F211">
        <f>IF(ISTEXT(装备!H218)=TRUE,"'"&amp;装备!H218&amp;"'",装备!H218)</f>
        <v>0</v>
      </c>
      <c r="G211">
        <f>IF(装备!I227="",0,"'"&amp;装备!I227&amp;"'")</f>
        <v>0</v>
      </c>
      <c r="H211">
        <f>IF(装备!R218="",0,装备!R218)</f>
        <v>0</v>
      </c>
      <c r="I211">
        <f>IF(装备!S218="",0,装备!S218)</f>
        <v>0</v>
      </c>
      <c r="J211">
        <f>IF(装备!C227="",0,""""&amp;装备!C227&amp;"""")</f>
        <v>0</v>
      </c>
      <c r="K211" t="str">
        <f>IF(装备!T227="","""""",""""&amp;装备!T227&amp;"""")</f>
        <v>""</v>
      </c>
      <c r="L211">
        <f>IF(装备!U227="",0,""""&amp;装备!U227&amp;"""")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IF(装备!B228="",0,"'"&amp;装备!B228&amp;"'")</f>
        <v>0</v>
      </c>
      <c r="B212">
        <f>装备!D229</f>
        <v>0</v>
      </c>
      <c r="C212">
        <f>装备!E228</f>
        <v>0</v>
      </c>
      <c r="D212">
        <f>装备!F228</f>
        <v>0</v>
      </c>
      <c r="E212">
        <f>IF(ISTEXT(装备!G219)=TRUE,"'"&amp;装备!G219&amp;"'",装备!G219)</f>
        <v>0</v>
      </c>
      <c r="F212">
        <f>IF(ISTEXT(装备!H219)=TRUE,"'"&amp;装备!H219&amp;"'",装备!H219)</f>
        <v>0</v>
      </c>
      <c r="G212">
        <f>IF(装备!I228="",0,"'"&amp;装备!I228&amp;"'")</f>
        <v>0</v>
      </c>
      <c r="H212">
        <f>IF(装备!R219="",0,装备!R219)</f>
        <v>0</v>
      </c>
      <c r="I212">
        <f>IF(装备!S219="",0,装备!S219)</f>
        <v>0</v>
      </c>
      <c r="J212">
        <f>IF(装备!C228="",0,""""&amp;装备!C228&amp;"""")</f>
        <v>0</v>
      </c>
      <c r="K212" t="str">
        <f>IF(装备!T228="","""""",""""&amp;装备!T228&amp;"""")</f>
        <v>""</v>
      </c>
      <c r="L212">
        <f>IF(装备!U228="",0,""""&amp;装备!U228&amp;"""")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IF(装备!B229="",0,"'"&amp;装备!B229&amp;"'")</f>
        <v>0</v>
      </c>
      <c r="B213">
        <f>装备!D230</f>
        <v>0</v>
      </c>
      <c r="C213">
        <f>装备!E229</f>
        <v>0</v>
      </c>
      <c r="D213">
        <f>装备!F229</f>
        <v>0</v>
      </c>
      <c r="E213">
        <f>IF(ISTEXT(装备!G220)=TRUE,"'"&amp;装备!G220&amp;"'",装备!G220)</f>
        <v>0</v>
      </c>
      <c r="F213">
        <f>IF(ISTEXT(装备!H220)=TRUE,"'"&amp;装备!H220&amp;"'",装备!H220)</f>
        <v>0</v>
      </c>
      <c r="G213">
        <f>IF(装备!I229="",0,"'"&amp;装备!I229&amp;"'")</f>
        <v>0</v>
      </c>
      <c r="H213">
        <f>IF(装备!R220="",0,装备!R220)</f>
        <v>0</v>
      </c>
      <c r="I213">
        <f>IF(装备!S220="",0,装备!S220)</f>
        <v>0</v>
      </c>
      <c r="J213">
        <f>IF(装备!C229="",0,""""&amp;装备!C229&amp;"""")</f>
        <v>0</v>
      </c>
      <c r="K213" t="str">
        <f>IF(装备!T229="","""""",""""&amp;装备!T229&amp;"""")</f>
        <v>""</v>
      </c>
      <c r="L213">
        <f>IF(装备!U229="",0,""""&amp;装备!U229&amp;"""")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IF(装备!B230="",0,"'"&amp;装备!B230&amp;"'")</f>
        <v>0</v>
      </c>
      <c r="B214">
        <f>装备!D231</f>
        <v>0</v>
      </c>
      <c r="C214">
        <f>装备!E230</f>
        <v>0</v>
      </c>
      <c r="D214">
        <f>装备!F230</f>
        <v>0</v>
      </c>
      <c r="E214">
        <f>IF(ISTEXT(装备!G221)=TRUE,"'"&amp;装备!G221&amp;"'",装备!G221)</f>
        <v>0</v>
      </c>
      <c r="F214">
        <f>IF(ISTEXT(装备!H221)=TRUE,"'"&amp;装备!H221&amp;"'",装备!H221)</f>
        <v>0</v>
      </c>
      <c r="G214">
        <f>IF(装备!I230="",0,"'"&amp;装备!I230&amp;"'")</f>
        <v>0</v>
      </c>
      <c r="H214">
        <f>IF(装备!R221="",0,装备!R221)</f>
        <v>0</v>
      </c>
      <c r="I214">
        <f>IF(装备!S221="",0,装备!S221)</f>
        <v>0</v>
      </c>
      <c r="J214">
        <f>IF(装备!C230="",0,""""&amp;装备!C230&amp;"""")</f>
        <v>0</v>
      </c>
      <c r="K214" t="str">
        <f>IF(装备!T230="","""""",""""&amp;装备!T230&amp;"""")</f>
        <v>""</v>
      </c>
      <c r="L214">
        <f>IF(装备!U230="",0,""""&amp;装备!U230&amp;"""")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IF(装备!B231="",0,"'"&amp;装备!B231&amp;"'")</f>
        <v>0</v>
      </c>
      <c r="B215">
        <f>装备!D232</f>
        <v>0</v>
      </c>
      <c r="C215">
        <f>装备!E231</f>
        <v>0</v>
      </c>
      <c r="D215">
        <f>装备!F231</f>
        <v>0</v>
      </c>
      <c r="E215">
        <f>IF(ISTEXT(装备!G222)=TRUE,"'"&amp;装备!G222&amp;"'",装备!G222)</f>
        <v>0</v>
      </c>
      <c r="F215">
        <f>IF(ISTEXT(装备!H222)=TRUE,"'"&amp;装备!H222&amp;"'",装备!H222)</f>
        <v>0</v>
      </c>
      <c r="G215">
        <f>IF(装备!I231="",0,"'"&amp;装备!I231&amp;"'")</f>
        <v>0</v>
      </c>
      <c r="H215">
        <f>IF(装备!R222="",0,装备!R222)</f>
        <v>0</v>
      </c>
      <c r="I215">
        <f>IF(装备!S222="",0,装备!S222)</f>
        <v>0</v>
      </c>
      <c r="J215">
        <f>IF(装备!C231="",0,""""&amp;装备!C231&amp;"""")</f>
        <v>0</v>
      </c>
      <c r="K215" t="str">
        <f>IF(装备!T231="","""""",""""&amp;装备!T231&amp;"""")</f>
        <v>""</v>
      </c>
      <c r="L215">
        <f>IF(装备!U231="",0,""""&amp;装备!U231&amp;"""")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IF(装备!B232="",0,"'"&amp;装备!B232&amp;"'")</f>
        <v>0</v>
      </c>
      <c r="B216">
        <f>装备!D233</f>
        <v>0</v>
      </c>
      <c r="C216">
        <f>装备!E232</f>
        <v>0</v>
      </c>
      <c r="D216">
        <f>装备!F232</f>
        <v>0</v>
      </c>
      <c r="E216">
        <f>IF(ISTEXT(装备!G223)=TRUE,"'"&amp;装备!G223&amp;"'",装备!G223)</f>
        <v>0</v>
      </c>
      <c r="F216">
        <f>IF(ISTEXT(装备!H223)=TRUE,"'"&amp;装备!H223&amp;"'",装备!H223)</f>
        <v>0</v>
      </c>
      <c r="G216">
        <f>IF(装备!I232="",0,"'"&amp;装备!I232&amp;"'")</f>
        <v>0</v>
      </c>
      <c r="H216">
        <f>IF(装备!R223="",0,装备!R223)</f>
        <v>0</v>
      </c>
      <c r="I216">
        <f>IF(装备!S223="",0,装备!S223)</f>
        <v>0</v>
      </c>
      <c r="J216">
        <f>IF(装备!C232="",0,""""&amp;装备!C232&amp;"""")</f>
        <v>0</v>
      </c>
      <c r="K216" t="str">
        <f>IF(装备!T232="","""""",""""&amp;装备!T232&amp;"""")</f>
        <v>""</v>
      </c>
      <c r="L216">
        <f>IF(装备!U232="",0,""""&amp;装备!U232&amp;"""")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IF(装备!B233="",0,"'"&amp;装备!B233&amp;"'")</f>
        <v>0</v>
      </c>
      <c r="B217">
        <f>装备!D234</f>
        <v>0</v>
      </c>
      <c r="C217">
        <f>装备!E233</f>
        <v>0</v>
      </c>
      <c r="D217">
        <f>装备!F233</f>
        <v>0</v>
      </c>
      <c r="E217">
        <f>IF(ISTEXT(装备!G224)=TRUE,"'"&amp;装备!G224&amp;"'",装备!G224)</f>
        <v>0</v>
      </c>
      <c r="F217">
        <f>IF(ISTEXT(装备!H224)=TRUE,"'"&amp;装备!H224&amp;"'",装备!H224)</f>
        <v>0</v>
      </c>
      <c r="G217">
        <f>IF(装备!I233="",0,"'"&amp;装备!I233&amp;"'")</f>
        <v>0</v>
      </c>
      <c r="H217">
        <f>IF(装备!R224="",0,装备!R224)</f>
        <v>0</v>
      </c>
      <c r="I217">
        <f>IF(装备!S224="",0,装备!S224)</f>
        <v>0</v>
      </c>
      <c r="J217">
        <f>IF(装备!C233="",0,""""&amp;装备!C233&amp;"""")</f>
        <v>0</v>
      </c>
      <c r="K217" t="str">
        <f>IF(装备!T233="","""""",""""&amp;装备!T233&amp;"""")</f>
        <v>""</v>
      </c>
      <c r="L217">
        <f>IF(装备!U233="",0,""""&amp;装备!U233&amp;"""")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IF(装备!B234="",0,"'"&amp;装备!B234&amp;"'")</f>
        <v>0</v>
      </c>
      <c r="B218">
        <f>装备!D235</f>
        <v>0</v>
      </c>
      <c r="C218">
        <f>装备!E234</f>
        <v>0</v>
      </c>
      <c r="D218">
        <f>装备!F234</f>
        <v>0</v>
      </c>
      <c r="E218">
        <f>IF(ISTEXT(装备!G225)=TRUE,"'"&amp;装备!G225&amp;"'",装备!G225)</f>
        <v>0</v>
      </c>
      <c r="F218">
        <f>IF(ISTEXT(装备!H225)=TRUE,"'"&amp;装备!H225&amp;"'",装备!H225)</f>
        <v>0</v>
      </c>
      <c r="G218">
        <f>IF(装备!I234="",0,"'"&amp;装备!I234&amp;"'")</f>
        <v>0</v>
      </c>
      <c r="H218">
        <f>IF(装备!R225="",0,装备!R225)</f>
        <v>0</v>
      </c>
      <c r="I218">
        <f>IF(装备!S225="",0,装备!S225)</f>
        <v>0</v>
      </c>
      <c r="J218">
        <f>IF(装备!C234="",0,""""&amp;装备!C234&amp;"""")</f>
        <v>0</v>
      </c>
      <c r="K218" t="str">
        <f>IF(装备!T234="","""""",""""&amp;装备!T234&amp;"""")</f>
        <v>""</v>
      </c>
      <c r="L218">
        <f>IF(装备!U234="",0,""""&amp;装备!U234&amp;"""")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IF(装备!B235="",0,"'"&amp;装备!B235&amp;"'")</f>
        <v>0</v>
      </c>
      <c r="B219">
        <f>装备!D236</f>
        <v>0</v>
      </c>
      <c r="C219">
        <f>装备!E235</f>
        <v>0</v>
      </c>
      <c r="D219">
        <f>装备!F235</f>
        <v>0</v>
      </c>
      <c r="E219">
        <f>IF(ISTEXT(装备!G226)=TRUE,"'"&amp;装备!G226&amp;"'",装备!G226)</f>
        <v>0</v>
      </c>
      <c r="F219">
        <f>IF(ISTEXT(装备!H226)=TRUE,"'"&amp;装备!H226&amp;"'",装备!H226)</f>
        <v>0</v>
      </c>
      <c r="G219">
        <f>IF(装备!I235="",0,"'"&amp;装备!I235&amp;"'")</f>
        <v>0</v>
      </c>
      <c r="H219">
        <f>IF(装备!R226="",0,装备!R226)</f>
        <v>0</v>
      </c>
      <c r="I219">
        <f>IF(装备!S226="",0,装备!S226)</f>
        <v>0</v>
      </c>
      <c r="J219">
        <f>IF(装备!C235="",0,""""&amp;装备!C235&amp;"""")</f>
        <v>0</v>
      </c>
      <c r="K219" t="str">
        <f>IF(装备!T235="","""""",""""&amp;装备!T235&amp;"""")</f>
        <v>""</v>
      </c>
      <c r="L219">
        <f>IF(装备!U235="",0,""""&amp;装备!U235&amp;"""")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IF(装备!B236="",0,"'"&amp;装备!B236&amp;"'")</f>
        <v>0</v>
      </c>
      <c r="B220">
        <f>装备!D237</f>
        <v>0</v>
      </c>
      <c r="C220">
        <f>装备!E236</f>
        <v>0</v>
      </c>
      <c r="D220">
        <f>装备!F236</f>
        <v>0</v>
      </c>
      <c r="E220">
        <f>IF(ISTEXT(装备!G227)=TRUE,"'"&amp;装备!G227&amp;"'",装备!G227)</f>
        <v>0</v>
      </c>
      <c r="F220">
        <f>IF(ISTEXT(装备!H227)=TRUE,"'"&amp;装备!H227&amp;"'",装备!H227)</f>
        <v>0</v>
      </c>
      <c r="G220">
        <f>IF(装备!I236="",0,"'"&amp;装备!I236&amp;"'")</f>
        <v>0</v>
      </c>
      <c r="H220">
        <f>IF(装备!R227="",0,装备!R227)</f>
        <v>0</v>
      </c>
      <c r="I220">
        <f>IF(装备!S227="",0,装备!S227)</f>
        <v>0</v>
      </c>
      <c r="J220">
        <f>IF(装备!C236="",0,""""&amp;装备!C236&amp;"""")</f>
        <v>0</v>
      </c>
      <c r="K220" t="str">
        <f>IF(装备!T236="","""""",""""&amp;装备!T236&amp;"""")</f>
        <v>""</v>
      </c>
      <c r="L220">
        <f>IF(装备!U236="",0,""""&amp;装备!U236&amp;"""")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IF(装备!B237="",0,"'"&amp;装备!B237&amp;"'")</f>
        <v>0</v>
      </c>
      <c r="B221">
        <f>装备!D238</f>
        <v>0</v>
      </c>
      <c r="C221">
        <f>装备!E237</f>
        <v>0</v>
      </c>
      <c r="D221">
        <f>装备!F237</f>
        <v>0</v>
      </c>
      <c r="E221">
        <f>IF(ISTEXT(装备!G228)=TRUE,"'"&amp;装备!G228&amp;"'",装备!G228)</f>
        <v>0</v>
      </c>
      <c r="F221">
        <f>IF(ISTEXT(装备!H228)=TRUE,"'"&amp;装备!H228&amp;"'",装备!H228)</f>
        <v>0</v>
      </c>
      <c r="G221">
        <f>IF(装备!I237="",0,"'"&amp;装备!I237&amp;"'")</f>
        <v>0</v>
      </c>
      <c r="H221">
        <f>IF(装备!R228="",0,装备!R228)</f>
        <v>0</v>
      </c>
      <c r="I221">
        <f>IF(装备!S228="",0,装备!S228)</f>
        <v>0</v>
      </c>
      <c r="J221">
        <f>IF(装备!C237="",0,""""&amp;装备!C237&amp;"""")</f>
        <v>0</v>
      </c>
      <c r="K221" t="str">
        <f>IF(装备!T237="","""""",""""&amp;装备!T237&amp;"""")</f>
        <v>""</v>
      </c>
      <c r="L221">
        <f>IF(装备!U237="",0,""""&amp;装备!U237&amp;"""")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IF(装备!B238="",0,"'"&amp;装备!B238&amp;"'")</f>
        <v>0</v>
      </c>
      <c r="B222">
        <f>装备!D239</f>
        <v>0</v>
      </c>
      <c r="C222">
        <f>装备!E238</f>
        <v>0</v>
      </c>
      <c r="D222">
        <f>装备!F238</f>
        <v>0</v>
      </c>
      <c r="E222">
        <f>IF(ISTEXT(装备!G229)=TRUE,"'"&amp;装备!G229&amp;"'",装备!G229)</f>
        <v>0</v>
      </c>
      <c r="F222">
        <f>IF(ISTEXT(装备!H229)=TRUE,"'"&amp;装备!H229&amp;"'",装备!H229)</f>
        <v>0</v>
      </c>
      <c r="G222">
        <f>IF(装备!I238="",0,"'"&amp;装备!I238&amp;"'")</f>
        <v>0</v>
      </c>
      <c r="H222">
        <f>IF(装备!R229="",0,装备!R229)</f>
        <v>0</v>
      </c>
      <c r="I222">
        <f>IF(装备!S229="",0,装备!S229)</f>
        <v>0</v>
      </c>
      <c r="J222">
        <f>IF(装备!C238="",0,""""&amp;装备!C238&amp;"""")</f>
        <v>0</v>
      </c>
      <c r="K222" t="str">
        <f>IF(装备!T238="","""""",""""&amp;装备!T238&amp;"""")</f>
        <v>""</v>
      </c>
      <c r="L222">
        <f>IF(装备!U238="",0,""""&amp;装备!U238&amp;"""")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IF(装备!B239="",0,"'"&amp;装备!B239&amp;"'")</f>
        <v>0</v>
      </c>
      <c r="B223">
        <f>装备!D240</f>
        <v>0</v>
      </c>
      <c r="C223">
        <f>装备!E239</f>
        <v>0</v>
      </c>
      <c r="D223">
        <f>装备!F239</f>
        <v>0</v>
      </c>
      <c r="E223">
        <f>IF(ISTEXT(装备!G230)=TRUE,"'"&amp;装备!G230&amp;"'",装备!G230)</f>
        <v>0</v>
      </c>
      <c r="F223">
        <f>IF(ISTEXT(装备!H230)=TRUE,"'"&amp;装备!H230&amp;"'",装备!H230)</f>
        <v>0</v>
      </c>
      <c r="G223">
        <f>IF(装备!I239="",0,"'"&amp;装备!I239&amp;"'")</f>
        <v>0</v>
      </c>
      <c r="H223">
        <f>IF(装备!R230="",0,装备!R230)</f>
        <v>0</v>
      </c>
      <c r="I223">
        <f>IF(装备!S230="",0,装备!S230)</f>
        <v>0</v>
      </c>
      <c r="J223">
        <f>IF(装备!C239="",0,""""&amp;装备!C239&amp;"""")</f>
        <v>0</v>
      </c>
      <c r="K223" t="str">
        <f>IF(装备!T239="","""""",""""&amp;装备!T239&amp;"""")</f>
        <v>""</v>
      </c>
      <c r="L223">
        <f>IF(装备!U239="",0,""""&amp;装备!U239&amp;"""")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IF(装备!B240="",0,"'"&amp;装备!B240&amp;"'")</f>
        <v>0</v>
      </c>
      <c r="B224">
        <f>装备!D241</f>
        <v>0</v>
      </c>
      <c r="C224">
        <f>装备!E240</f>
        <v>0</v>
      </c>
      <c r="D224">
        <f>装备!F240</f>
        <v>0</v>
      </c>
      <c r="E224">
        <f>IF(ISTEXT(装备!G231)=TRUE,"'"&amp;装备!G231&amp;"'",装备!G231)</f>
        <v>0</v>
      </c>
      <c r="F224">
        <f>IF(ISTEXT(装备!H231)=TRUE,"'"&amp;装备!H231&amp;"'",装备!H231)</f>
        <v>0</v>
      </c>
      <c r="G224">
        <f>IF(装备!I240="",0,"'"&amp;装备!I240&amp;"'")</f>
        <v>0</v>
      </c>
      <c r="H224">
        <f>IF(装备!R231="",0,装备!R231)</f>
        <v>0</v>
      </c>
      <c r="I224">
        <f>IF(装备!S231="",0,装备!S231)</f>
        <v>0</v>
      </c>
      <c r="J224">
        <f>IF(装备!C240="",0,""""&amp;装备!C240&amp;"""")</f>
        <v>0</v>
      </c>
      <c r="K224" t="str">
        <f>IF(装备!T240="","""""",""""&amp;装备!T240&amp;"""")</f>
        <v>""</v>
      </c>
      <c r="L224">
        <f>IF(装备!U240="",0,""""&amp;装备!U240&amp;"""")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IF(装备!B241="",0,"'"&amp;装备!B241&amp;"'")</f>
        <v>0</v>
      </c>
      <c r="B225">
        <f>装备!D242</f>
        <v>0</v>
      </c>
      <c r="C225">
        <f>装备!E241</f>
        <v>0</v>
      </c>
      <c r="D225">
        <f>装备!F241</f>
        <v>0</v>
      </c>
      <c r="E225">
        <f>IF(ISTEXT(装备!G232)=TRUE,"'"&amp;装备!G232&amp;"'",装备!G232)</f>
        <v>0</v>
      </c>
      <c r="F225">
        <f>IF(ISTEXT(装备!H232)=TRUE,"'"&amp;装备!H232&amp;"'",装备!H232)</f>
        <v>0</v>
      </c>
      <c r="G225">
        <f>IF(装备!I241="",0,"'"&amp;装备!I241&amp;"'")</f>
        <v>0</v>
      </c>
      <c r="H225">
        <f>IF(装备!R232="",0,装备!R232)</f>
        <v>0</v>
      </c>
      <c r="I225">
        <f>IF(装备!S232="",0,装备!S232)</f>
        <v>0</v>
      </c>
      <c r="J225">
        <f>IF(装备!C241="",0,""""&amp;装备!C241&amp;"""")</f>
        <v>0</v>
      </c>
      <c r="K225" t="str">
        <f>IF(装备!T241="","""""",""""&amp;装备!T241&amp;"""")</f>
        <v>""</v>
      </c>
      <c r="L225">
        <f>IF(装备!U241="",0,""""&amp;装备!U241&amp;"""")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15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7"/>
      <c r="CC1" s="1" t="s">
        <v>295</v>
      </c>
      <c r="CD1" s="1" t="s">
        <v>295</v>
      </c>
      <c r="CE1" s="1" t="s">
        <v>295</v>
      </c>
      <c r="CF1" s="1" t="s">
        <v>295</v>
      </c>
      <c r="CH1" s="1" t="s">
        <v>295</v>
      </c>
    </row>
    <row r="2" spans="1:86">
      <c r="C2" t="str">
        <f>装备!V2</f>
        <v>攻击</v>
      </c>
      <c r="D2" t="str">
        <f>装备!W2</f>
        <v>法强</v>
      </c>
      <c r="E2" t="str">
        <f>装备!X2</f>
        <v>护甲</v>
      </c>
      <c r="F2" t="str">
        <f>装备!Y2</f>
        <v>法抗</v>
      </c>
      <c r="G2" t="str">
        <f>装备!Z2</f>
        <v>生命值</v>
      </c>
      <c r="H2" t="str">
        <f>装备!AA2</f>
        <v>魔法值</v>
      </c>
      <c r="I2" t="str">
        <f>装备!AB2</f>
        <v>生命回复</v>
      </c>
      <c r="J2" t="str">
        <f>装备!AC2</f>
        <v>魔法回复</v>
      </c>
      <c r="K2" t="str">
        <f>装备!AD2</f>
        <v>攻速</v>
      </c>
      <c r="L2" t="str">
        <f>装备!AE2</f>
        <v>闪避</v>
      </c>
      <c r="N2" t="str">
        <f>装备!AF2</f>
        <v>免伤</v>
      </c>
      <c r="O2" t="str">
        <f>装备!AG2</f>
        <v>普攻伤害</v>
      </c>
      <c r="P2" t="str">
        <f>装备!AH2</f>
        <v>物理穿透</v>
      </c>
      <c r="Q2" t="str">
        <f>装备!AI2</f>
        <v>法术穿透</v>
      </c>
      <c r="R2" t="str">
        <f>装备!AJ2</f>
        <v>物理伤害</v>
      </c>
      <c r="S2" t="str">
        <f>装备!AK2</f>
        <v>法术伤害</v>
      </c>
      <c r="T2" t="str">
        <f>装备!AL2</f>
        <v>伤害加成</v>
      </c>
      <c r="U2" t="str">
        <f>装备!AM2</f>
        <v>伤害减免</v>
      </c>
      <c r="V2" t="str">
        <f>装备!AN2</f>
        <v>暴击</v>
      </c>
      <c r="W2" t="str">
        <f>装备!AO2</f>
        <v>暴伤</v>
      </c>
      <c r="Y2" t="str">
        <f>装备!AP2</f>
        <v>伤害吸取</v>
      </c>
      <c r="Z2" t="str">
        <f>装备!AQ2</f>
        <v>分裂</v>
      </c>
      <c r="AA2" t="str">
        <f>装备!AR2</f>
        <v>致命概率</v>
      </c>
      <c r="AB2" t="str">
        <f>装备!AS2</f>
        <v>致命倍率</v>
      </c>
      <c r="AC2" t="str">
        <f>装备!AT2</f>
        <v>冷却缩减</v>
      </c>
      <c r="AD2" t="str">
        <f>装备!AU2</f>
        <v>冷却降低</v>
      </c>
      <c r="AE2" t="str">
        <f>装备!AV2</f>
        <v>元神力</v>
      </c>
      <c r="AF2">
        <f>装备!AW2</f>
        <v>0</v>
      </c>
      <c r="AG2">
        <f>装备!AX2</f>
        <v>0</v>
      </c>
      <c r="AH2">
        <f>装备!AY2</f>
        <v>0</v>
      </c>
      <c r="AJ2" t="str">
        <f>装备!AZ2</f>
        <v>生命</v>
      </c>
      <c r="AK2" t="str">
        <f>装备!BA2</f>
        <v>攻击</v>
      </c>
      <c r="AL2" t="str">
        <f>装备!BB2</f>
        <v>法强</v>
      </c>
      <c r="AM2">
        <f>装备!BC2</f>
        <v>0</v>
      </c>
      <c r="AN2">
        <f>装备!BD2</f>
        <v>0</v>
      </c>
      <c r="AO2">
        <f>装备!BE2</f>
        <v>0</v>
      </c>
      <c r="AP2">
        <f>装备!BF2</f>
        <v>0</v>
      </c>
      <c r="AQ2">
        <f>装备!BG2</f>
        <v>0</v>
      </c>
      <c r="AR2">
        <f>装备!BH2</f>
        <v>0</v>
      </c>
      <c r="AS2">
        <f>装备!BI2</f>
        <v>0</v>
      </c>
      <c r="AU2">
        <f>装备!BJ2</f>
        <v>0</v>
      </c>
      <c r="AV2">
        <f>装备!BK2</f>
        <v>0</v>
      </c>
      <c r="AW2">
        <f>装备!BL2</f>
        <v>0</v>
      </c>
      <c r="AX2">
        <f>装备!BM2</f>
        <v>0</v>
      </c>
      <c r="AY2">
        <f>装备!BN2</f>
        <v>0</v>
      </c>
      <c r="AZ2">
        <f>装备!BO2</f>
        <v>0</v>
      </c>
      <c r="BA2">
        <f>装备!BP2</f>
        <v>0</v>
      </c>
      <c r="BB2">
        <f>装备!BQ2</f>
        <v>0</v>
      </c>
      <c r="BC2">
        <f>装备!BR2</f>
        <v>0</v>
      </c>
      <c r="BD2">
        <f>装备!BS2</f>
        <v>0</v>
      </c>
      <c r="BF2">
        <f>装备!BT2</f>
        <v>0</v>
      </c>
      <c r="BG2">
        <f>装备!BU2</f>
        <v>0</v>
      </c>
      <c r="BH2">
        <f>装备!BV2</f>
        <v>0</v>
      </c>
      <c r="BI2">
        <f>装备!BW2</f>
        <v>0</v>
      </c>
      <c r="BJ2">
        <f>装备!BX2</f>
        <v>0</v>
      </c>
      <c r="BK2">
        <f>装备!BY2</f>
        <v>0</v>
      </c>
      <c r="BL2">
        <f>装备!BZ2</f>
        <v>0</v>
      </c>
      <c r="BM2">
        <f>装备!CA2</f>
        <v>0</v>
      </c>
      <c r="BN2">
        <f>装备!CB2</f>
        <v>0</v>
      </c>
      <c r="BO2">
        <f>装备!CC2</f>
        <v>0</v>
      </c>
      <c r="BQ2">
        <f>装备!CD2</f>
        <v>0</v>
      </c>
      <c r="BR2">
        <f>装备!CE2</f>
        <v>0</v>
      </c>
      <c r="BS2">
        <f>装备!CF2</f>
        <v>0</v>
      </c>
      <c r="BT2">
        <f>装备!CG2</f>
        <v>0</v>
      </c>
      <c r="BU2">
        <f>装备!CH2</f>
        <v>0</v>
      </c>
      <c r="BV2">
        <f>装备!CI2</f>
        <v>0</v>
      </c>
      <c r="BW2">
        <f>装备!CJ2</f>
        <v>0</v>
      </c>
      <c r="BX2">
        <f>装备!CK2</f>
        <v>0</v>
      </c>
      <c r="BY2">
        <f>装备!CL2</f>
        <v>0</v>
      </c>
      <c r="BZ2">
        <f>装备!CM2</f>
        <v>0</v>
      </c>
      <c r="CB2" s="1" t="s">
        <v>296</v>
      </c>
      <c r="CC2" s="1" t="s">
        <v>297</v>
      </c>
      <c r="CD2" s="1" t="s">
        <v>298</v>
      </c>
      <c r="CE2" s="1" t="s">
        <v>299</v>
      </c>
      <c r="CF2" s="1" t="s">
        <v>300</v>
      </c>
      <c r="CG2" s="1" t="s">
        <v>301</v>
      </c>
    </row>
    <row r="3" spans="1:86">
      <c r="A3" t="e">
        <f>装备!#REF!</f>
        <v>#REF!</v>
      </c>
      <c r="B3" t="e">
        <f>装备!#REF!</f>
        <v>#REF!</v>
      </c>
      <c r="C3" t="e">
        <f>装备!#REF!</f>
        <v>#REF!</v>
      </c>
      <c r="D3" t="e">
        <f>装备!#REF!</f>
        <v>#REF!</v>
      </c>
      <c r="E3" t="e">
        <f>装备!#REF!</f>
        <v>#REF!</v>
      </c>
      <c r="F3" t="e">
        <f>装备!#REF!</f>
        <v>#REF!</v>
      </c>
      <c r="G3" t="e">
        <f>装备!#REF!</f>
        <v>#REF!</v>
      </c>
      <c r="H3" t="e">
        <f>装备!#REF!</f>
        <v>#REF!</v>
      </c>
      <c r="I3" t="e">
        <f>装备!#REF!</f>
        <v>#REF!</v>
      </c>
      <c r="J3" t="e">
        <f>装备!#REF!</f>
        <v>#REF!</v>
      </c>
      <c r="K3" t="e">
        <f>装备!#REF!</f>
        <v>#REF!</v>
      </c>
      <c r="L3" t="e">
        <f>装备!#REF!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装备!#REF!</f>
        <v>#REF!</v>
      </c>
      <c r="O3" t="e">
        <f>装备!#REF!</f>
        <v>#REF!</v>
      </c>
      <c r="P3" t="e">
        <f>装备!#REF!</f>
        <v>#REF!</v>
      </c>
      <c r="Q3" t="e">
        <f>装备!#REF!</f>
        <v>#REF!</v>
      </c>
      <c r="R3" t="e">
        <f>装备!#REF!</f>
        <v>#REF!</v>
      </c>
      <c r="S3" t="e">
        <f>装备!#REF!</f>
        <v>#REF!</v>
      </c>
      <c r="T3" t="e">
        <f>装备!#REF!</f>
        <v>#REF!</v>
      </c>
      <c r="U3" t="e">
        <f>装备!#REF!</f>
        <v>#REF!</v>
      </c>
      <c r="V3" t="e">
        <f>装备!#REF!</f>
        <v>#REF!</v>
      </c>
      <c r="W3" t="e">
        <f>装备!#REF!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装备!#REF!</f>
        <v>#REF!</v>
      </c>
      <c r="Z3" t="e">
        <f>装备!#REF!</f>
        <v>#REF!</v>
      </c>
      <c r="AA3" t="e">
        <f>装备!#REF!</f>
        <v>#REF!</v>
      </c>
      <c r="AB3" t="e">
        <f>装备!#REF!</f>
        <v>#REF!</v>
      </c>
      <c r="AC3" t="e">
        <f>装备!#REF!</f>
        <v>#REF!</v>
      </c>
      <c r="AD3" t="e">
        <f>装备!#REF!</f>
        <v>#REF!</v>
      </c>
      <c r="AE3" t="e">
        <f>装备!#REF!</f>
        <v>#REF!</v>
      </c>
      <c r="AF3" t="e">
        <f>装备!#REF!</f>
        <v>#REF!</v>
      </c>
      <c r="AG3" t="e">
        <f>装备!#REF!</f>
        <v>#REF!</v>
      </c>
      <c r="AH3" t="e">
        <f>装备!#REF!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装备!#REF!</f>
        <v>#REF!</v>
      </c>
      <c r="AK3" t="e">
        <f>装备!#REF!</f>
        <v>#REF!</v>
      </c>
      <c r="AL3" t="e">
        <f>装备!#REF!</f>
        <v>#REF!</v>
      </c>
      <c r="AM3" t="e">
        <f>装备!#REF!</f>
        <v>#REF!</v>
      </c>
      <c r="AN3" t="e">
        <f>装备!#REF!</f>
        <v>#REF!</v>
      </c>
      <c r="AO3" t="e">
        <f>装备!#REF!</f>
        <v>#REF!</v>
      </c>
      <c r="AP3" t="e">
        <f>装备!#REF!</f>
        <v>#REF!</v>
      </c>
      <c r="AQ3" t="e">
        <f>装备!#REF!</f>
        <v>#REF!</v>
      </c>
      <c r="AR3" t="e">
        <f>装备!#REF!</f>
        <v>#REF!</v>
      </c>
      <c r="AS3" t="e">
        <f>装备!#REF!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装备!#REF!</f>
        <v>#REF!</v>
      </c>
      <c r="AV3" t="e">
        <f>装备!#REF!</f>
        <v>#REF!</v>
      </c>
      <c r="AW3" t="e">
        <f>装备!#REF!</f>
        <v>#REF!</v>
      </c>
      <c r="AX3" t="e">
        <f>装备!#REF!</f>
        <v>#REF!</v>
      </c>
      <c r="AY3" t="e">
        <f>装备!#REF!</f>
        <v>#REF!</v>
      </c>
      <c r="AZ3" t="e">
        <f>装备!#REF!</f>
        <v>#REF!</v>
      </c>
      <c r="BA3" t="e">
        <f>装备!#REF!</f>
        <v>#REF!</v>
      </c>
      <c r="BB3" t="e">
        <f>装备!#REF!</f>
        <v>#REF!</v>
      </c>
      <c r="BC3" t="e">
        <f>装备!#REF!</f>
        <v>#REF!</v>
      </c>
      <c r="BD3" t="e">
        <f>装备!#REF!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装备!#REF!</f>
        <v>#REF!</v>
      </c>
      <c r="BG3" t="e">
        <f>装备!#REF!</f>
        <v>#REF!</v>
      </c>
      <c r="BH3" t="e">
        <f>装备!#REF!</f>
        <v>#REF!</v>
      </c>
      <c r="BI3" t="e">
        <f>装备!#REF!</f>
        <v>#REF!</v>
      </c>
      <c r="BJ3" t="e">
        <f>装备!#REF!</f>
        <v>#REF!</v>
      </c>
      <c r="BK3" t="e">
        <f>装备!#REF!</f>
        <v>#REF!</v>
      </c>
      <c r="BL3" t="e">
        <f>装备!#REF!</f>
        <v>#REF!</v>
      </c>
      <c r="BM3" t="e">
        <f>装备!#REF!</f>
        <v>#REF!</v>
      </c>
      <c r="BN3" t="e">
        <f>装备!#REF!</f>
        <v>#REF!</v>
      </c>
      <c r="BO3" t="e">
        <f>装备!#REF!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装备!#REF!</f>
        <v>#REF!</v>
      </c>
      <c r="BR3" t="e">
        <f>装备!#REF!</f>
        <v>#REF!</v>
      </c>
      <c r="BS3" t="e">
        <f>装备!#REF!</f>
        <v>#REF!</v>
      </c>
      <c r="BT3" t="e">
        <f>装备!#REF!</f>
        <v>#REF!</v>
      </c>
      <c r="BU3" t="e">
        <f>装备!#REF!</f>
        <v>#REF!</v>
      </c>
      <c r="BV3" t="e">
        <f>装备!#REF!</f>
        <v>#REF!</v>
      </c>
      <c r="BW3" t="e">
        <f>装备!#REF!</f>
        <v>#REF!</v>
      </c>
      <c r="BX3" t="e">
        <f>装备!#REF!</f>
        <v>#REF!</v>
      </c>
      <c r="BY3" t="e">
        <f>装备!#REF!</f>
        <v>#REF!</v>
      </c>
      <c r="BZ3" t="e">
        <f>装备!#REF!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装备!#REF!</f>
        <v>#REF!</v>
      </c>
      <c r="B4" t="e">
        <f>装备!#REF!</f>
        <v>#REF!</v>
      </c>
      <c r="C4" t="e">
        <f>装备!#REF!</f>
        <v>#REF!</v>
      </c>
      <c r="D4" t="e">
        <f>装备!#REF!</f>
        <v>#REF!</v>
      </c>
      <c r="E4" t="e">
        <f>装备!#REF!</f>
        <v>#REF!</v>
      </c>
      <c r="F4" t="e">
        <f>装备!#REF!</f>
        <v>#REF!</v>
      </c>
      <c r="G4" t="e">
        <f>装备!#REF!</f>
        <v>#REF!</v>
      </c>
      <c r="H4" t="e">
        <f>装备!#REF!</f>
        <v>#REF!</v>
      </c>
      <c r="I4" t="e">
        <f>装备!#REF!</f>
        <v>#REF!</v>
      </c>
      <c r="J4" t="e">
        <f>装备!#REF!</f>
        <v>#REF!</v>
      </c>
      <c r="K4" t="e">
        <f>装备!#REF!</f>
        <v>#REF!</v>
      </c>
      <c r="L4" t="e">
        <f>装备!#REF!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装备!#REF!</f>
        <v>#REF!</v>
      </c>
      <c r="O4" t="e">
        <f>装备!#REF!</f>
        <v>#REF!</v>
      </c>
      <c r="P4" t="e">
        <f>装备!#REF!</f>
        <v>#REF!</v>
      </c>
      <c r="Q4" t="e">
        <f>装备!#REF!</f>
        <v>#REF!</v>
      </c>
      <c r="R4" t="e">
        <f>装备!#REF!</f>
        <v>#REF!</v>
      </c>
      <c r="S4" t="e">
        <f>装备!#REF!</f>
        <v>#REF!</v>
      </c>
      <c r="T4" t="e">
        <f>装备!#REF!</f>
        <v>#REF!</v>
      </c>
      <c r="U4" t="e">
        <f>装备!#REF!</f>
        <v>#REF!</v>
      </c>
      <c r="V4" t="e">
        <f>装备!#REF!</f>
        <v>#REF!</v>
      </c>
      <c r="W4" t="e">
        <f>装备!#REF!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装备!#REF!</f>
        <v>#REF!</v>
      </c>
      <c r="Z4" t="e">
        <f>装备!#REF!</f>
        <v>#REF!</v>
      </c>
      <c r="AA4" t="e">
        <f>装备!#REF!</f>
        <v>#REF!</v>
      </c>
      <c r="AB4" t="e">
        <f>装备!#REF!</f>
        <v>#REF!</v>
      </c>
      <c r="AC4" t="e">
        <f>装备!#REF!</f>
        <v>#REF!</v>
      </c>
      <c r="AD4" t="e">
        <f>装备!#REF!</f>
        <v>#REF!</v>
      </c>
      <c r="AE4" t="e">
        <f>装备!#REF!</f>
        <v>#REF!</v>
      </c>
      <c r="AF4" t="e">
        <f>装备!#REF!</f>
        <v>#REF!</v>
      </c>
      <c r="AG4" t="e">
        <f>装备!#REF!</f>
        <v>#REF!</v>
      </c>
      <c r="AH4" t="e">
        <f>装备!#REF!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装备!#REF!</f>
        <v>#REF!</v>
      </c>
      <c r="AK4" t="e">
        <f>装备!#REF!</f>
        <v>#REF!</v>
      </c>
      <c r="AL4" t="e">
        <f>装备!#REF!</f>
        <v>#REF!</v>
      </c>
      <c r="AM4" t="e">
        <f>装备!#REF!</f>
        <v>#REF!</v>
      </c>
      <c r="AN4" t="e">
        <f>装备!#REF!</f>
        <v>#REF!</v>
      </c>
      <c r="AO4" t="e">
        <f>装备!#REF!</f>
        <v>#REF!</v>
      </c>
      <c r="AP4" t="e">
        <f>装备!#REF!</f>
        <v>#REF!</v>
      </c>
      <c r="AQ4" t="e">
        <f>装备!#REF!</f>
        <v>#REF!</v>
      </c>
      <c r="AR4" t="e">
        <f>装备!#REF!</f>
        <v>#REF!</v>
      </c>
      <c r="AS4" t="e">
        <f>装备!#REF!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装备!#REF!</f>
        <v>#REF!</v>
      </c>
      <c r="AV4" t="e">
        <f>装备!#REF!</f>
        <v>#REF!</v>
      </c>
      <c r="AW4" t="e">
        <f>装备!#REF!</f>
        <v>#REF!</v>
      </c>
      <c r="AX4" t="e">
        <f>装备!#REF!</f>
        <v>#REF!</v>
      </c>
      <c r="AY4" t="e">
        <f>装备!#REF!</f>
        <v>#REF!</v>
      </c>
      <c r="AZ4" t="e">
        <f>装备!#REF!</f>
        <v>#REF!</v>
      </c>
      <c r="BA4" t="e">
        <f>装备!#REF!</f>
        <v>#REF!</v>
      </c>
      <c r="BB4" t="e">
        <f>装备!#REF!</f>
        <v>#REF!</v>
      </c>
      <c r="BC4" t="e">
        <f>装备!#REF!</f>
        <v>#REF!</v>
      </c>
      <c r="BD4" t="e">
        <f>装备!#REF!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装备!#REF!</f>
        <v>#REF!</v>
      </c>
      <c r="BG4" t="e">
        <f>装备!#REF!</f>
        <v>#REF!</v>
      </c>
      <c r="BH4" t="e">
        <f>装备!#REF!</f>
        <v>#REF!</v>
      </c>
      <c r="BI4" t="e">
        <f>装备!#REF!</f>
        <v>#REF!</v>
      </c>
      <c r="BJ4" t="e">
        <f>装备!#REF!</f>
        <v>#REF!</v>
      </c>
      <c r="BK4" t="e">
        <f>装备!#REF!</f>
        <v>#REF!</v>
      </c>
      <c r="BL4" t="e">
        <f>装备!#REF!</f>
        <v>#REF!</v>
      </c>
      <c r="BM4" t="e">
        <f>装备!#REF!</f>
        <v>#REF!</v>
      </c>
      <c r="BN4" t="e">
        <f>装备!#REF!</f>
        <v>#REF!</v>
      </c>
      <c r="BO4" t="e">
        <f>装备!#REF!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装备!#REF!</f>
        <v>#REF!</v>
      </c>
      <c r="BR4" t="e">
        <f>装备!#REF!</f>
        <v>#REF!</v>
      </c>
      <c r="BS4" t="e">
        <f>装备!#REF!</f>
        <v>#REF!</v>
      </c>
      <c r="BT4" t="e">
        <f>装备!#REF!</f>
        <v>#REF!</v>
      </c>
      <c r="BU4" t="e">
        <f>装备!#REF!</f>
        <v>#REF!</v>
      </c>
      <c r="BV4" t="e">
        <f>装备!#REF!</f>
        <v>#REF!</v>
      </c>
      <c r="BW4" t="e">
        <f>装备!#REF!</f>
        <v>#REF!</v>
      </c>
      <c r="BX4" t="e">
        <f>装备!#REF!</f>
        <v>#REF!</v>
      </c>
      <c r="BY4" t="e">
        <f>装备!#REF!</f>
        <v>#REF!</v>
      </c>
      <c r="BZ4" t="e">
        <f>装备!#REF!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装备!#REF!</f>
        <v>#REF!</v>
      </c>
      <c r="B5" t="e">
        <f>装备!#REF!</f>
        <v>#REF!</v>
      </c>
      <c r="C5" t="e">
        <f>装备!#REF!</f>
        <v>#REF!</v>
      </c>
      <c r="D5" t="e">
        <f>装备!#REF!</f>
        <v>#REF!</v>
      </c>
      <c r="E5" t="e">
        <f>装备!#REF!</f>
        <v>#REF!</v>
      </c>
      <c r="F5" t="e">
        <f>装备!#REF!</f>
        <v>#REF!</v>
      </c>
      <c r="G5" t="e">
        <f>装备!#REF!</f>
        <v>#REF!</v>
      </c>
      <c r="H5" t="e">
        <f>装备!#REF!</f>
        <v>#REF!</v>
      </c>
      <c r="I5" t="e">
        <f>装备!#REF!</f>
        <v>#REF!</v>
      </c>
      <c r="J5" t="e">
        <f>装备!#REF!</f>
        <v>#REF!</v>
      </c>
      <c r="K5" t="e">
        <f>装备!#REF!</f>
        <v>#REF!</v>
      </c>
      <c r="L5" t="e">
        <f>装备!#REF!</f>
        <v>#REF!</v>
      </c>
      <c r="M5" t="e">
        <f t="shared" si="0"/>
        <v>#REF!</v>
      </c>
      <c r="N5" t="e">
        <f>装备!#REF!</f>
        <v>#REF!</v>
      </c>
      <c r="O5" t="e">
        <f>装备!#REF!</f>
        <v>#REF!</v>
      </c>
      <c r="P5" t="e">
        <f>装备!#REF!</f>
        <v>#REF!</v>
      </c>
      <c r="Q5" t="e">
        <f>装备!#REF!</f>
        <v>#REF!</v>
      </c>
      <c r="R5" t="e">
        <f>装备!#REF!</f>
        <v>#REF!</v>
      </c>
      <c r="S5" t="e">
        <f>装备!#REF!</f>
        <v>#REF!</v>
      </c>
      <c r="T5" t="e">
        <f>装备!#REF!</f>
        <v>#REF!</v>
      </c>
      <c r="U5" t="e">
        <f>装备!#REF!</f>
        <v>#REF!</v>
      </c>
      <c r="V5" t="e">
        <f>装备!#REF!</f>
        <v>#REF!</v>
      </c>
      <c r="W5" t="e">
        <f>装备!#REF!</f>
        <v>#REF!</v>
      </c>
      <c r="X5" t="e">
        <f t="shared" si="1"/>
        <v>#REF!</v>
      </c>
      <c r="Y5" t="e">
        <f>装备!#REF!</f>
        <v>#REF!</v>
      </c>
      <c r="Z5" t="e">
        <f>装备!#REF!</f>
        <v>#REF!</v>
      </c>
      <c r="AA5" t="e">
        <f>装备!#REF!</f>
        <v>#REF!</v>
      </c>
      <c r="AB5" t="e">
        <f>装备!#REF!</f>
        <v>#REF!</v>
      </c>
      <c r="AC5" t="e">
        <f>装备!#REF!</f>
        <v>#REF!</v>
      </c>
      <c r="AD5" t="e">
        <f>装备!#REF!</f>
        <v>#REF!</v>
      </c>
      <c r="AE5" t="e">
        <f>装备!#REF!</f>
        <v>#REF!</v>
      </c>
      <c r="AF5" t="e">
        <f>装备!#REF!</f>
        <v>#REF!</v>
      </c>
      <c r="AG5" t="e">
        <f>装备!#REF!</f>
        <v>#REF!</v>
      </c>
      <c r="AH5" t="e">
        <f>装备!#REF!</f>
        <v>#REF!</v>
      </c>
      <c r="AI5" t="e">
        <f t="shared" si="2"/>
        <v>#REF!</v>
      </c>
      <c r="AJ5" t="e">
        <f>装备!#REF!</f>
        <v>#REF!</v>
      </c>
      <c r="AK5" t="e">
        <f>装备!#REF!</f>
        <v>#REF!</v>
      </c>
      <c r="AL5" t="e">
        <f>装备!#REF!</f>
        <v>#REF!</v>
      </c>
      <c r="AM5" t="e">
        <f>装备!#REF!</f>
        <v>#REF!</v>
      </c>
      <c r="AN5" t="e">
        <f>装备!#REF!</f>
        <v>#REF!</v>
      </c>
      <c r="AO5" t="e">
        <f>装备!#REF!</f>
        <v>#REF!</v>
      </c>
      <c r="AP5" t="e">
        <f>装备!#REF!</f>
        <v>#REF!</v>
      </c>
      <c r="AQ5" t="e">
        <f>装备!#REF!</f>
        <v>#REF!</v>
      </c>
      <c r="AR5" t="e">
        <f>装备!#REF!</f>
        <v>#REF!</v>
      </c>
      <c r="AS5" t="e">
        <f>装备!#REF!</f>
        <v>#REF!</v>
      </c>
      <c r="AT5" t="e">
        <f t="shared" si="3"/>
        <v>#REF!</v>
      </c>
      <c r="AU5" t="e">
        <f>装备!#REF!</f>
        <v>#REF!</v>
      </c>
      <c r="AV5" t="e">
        <f>装备!#REF!</f>
        <v>#REF!</v>
      </c>
      <c r="AW5" t="e">
        <f>装备!#REF!</f>
        <v>#REF!</v>
      </c>
      <c r="AX5" t="e">
        <f>装备!#REF!</f>
        <v>#REF!</v>
      </c>
      <c r="AY5" t="e">
        <f>装备!#REF!</f>
        <v>#REF!</v>
      </c>
      <c r="AZ5" t="e">
        <f>装备!#REF!</f>
        <v>#REF!</v>
      </c>
      <c r="BA5" t="e">
        <f>装备!#REF!</f>
        <v>#REF!</v>
      </c>
      <c r="BB5" t="e">
        <f>装备!#REF!</f>
        <v>#REF!</v>
      </c>
      <c r="BC5" t="e">
        <f>装备!#REF!</f>
        <v>#REF!</v>
      </c>
      <c r="BD5" t="e">
        <f>装备!#REF!</f>
        <v>#REF!</v>
      </c>
      <c r="BE5" t="e">
        <f t="shared" si="4"/>
        <v>#REF!</v>
      </c>
      <c r="BF5" t="e">
        <f>装备!#REF!</f>
        <v>#REF!</v>
      </c>
      <c r="BG5" t="e">
        <f>装备!#REF!</f>
        <v>#REF!</v>
      </c>
      <c r="BH5" t="e">
        <f>装备!#REF!</f>
        <v>#REF!</v>
      </c>
      <c r="BI5" t="e">
        <f>装备!#REF!</f>
        <v>#REF!</v>
      </c>
      <c r="BJ5" t="e">
        <f>装备!#REF!</f>
        <v>#REF!</v>
      </c>
      <c r="BK5" t="e">
        <f>装备!#REF!</f>
        <v>#REF!</v>
      </c>
      <c r="BL5" t="e">
        <f>装备!#REF!</f>
        <v>#REF!</v>
      </c>
      <c r="BM5" t="e">
        <f>装备!#REF!</f>
        <v>#REF!</v>
      </c>
      <c r="BN5" t="e">
        <f>装备!#REF!</f>
        <v>#REF!</v>
      </c>
      <c r="BO5" t="e">
        <f>装备!#REF!</f>
        <v>#REF!</v>
      </c>
      <c r="BP5" t="e">
        <f t="shared" si="5"/>
        <v>#REF!</v>
      </c>
      <c r="BQ5" t="e">
        <f>装备!#REF!</f>
        <v>#REF!</v>
      </c>
      <c r="BR5" t="e">
        <f>装备!#REF!</f>
        <v>#REF!</v>
      </c>
      <c r="BS5" t="e">
        <f>装备!#REF!</f>
        <v>#REF!</v>
      </c>
      <c r="BT5" t="e">
        <f>装备!#REF!</f>
        <v>#REF!</v>
      </c>
      <c r="BU5" t="e">
        <f>装备!#REF!</f>
        <v>#REF!</v>
      </c>
      <c r="BV5" t="e">
        <f>装备!#REF!</f>
        <v>#REF!</v>
      </c>
      <c r="BW5" t="e">
        <f>装备!#REF!</f>
        <v>#REF!</v>
      </c>
      <c r="BX5" t="e">
        <f>装备!#REF!</f>
        <v>#REF!</v>
      </c>
      <c r="BY5" t="e">
        <f>装备!#REF!</f>
        <v>#REF!</v>
      </c>
      <c r="BZ5" t="e">
        <f>装备!#REF!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装备!#REF!</f>
        <v>#REF!</v>
      </c>
      <c r="B6" t="e">
        <f>装备!#REF!</f>
        <v>#REF!</v>
      </c>
      <c r="C6" t="e">
        <f>装备!#REF!</f>
        <v>#REF!</v>
      </c>
      <c r="D6" t="e">
        <f>装备!#REF!</f>
        <v>#REF!</v>
      </c>
      <c r="E6" t="e">
        <f>装备!#REF!</f>
        <v>#REF!</v>
      </c>
      <c r="F6" t="e">
        <f>装备!#REF!</f>
        <v>#REF!</v>
      </c>
      <c r="G6" t="e">
        <f>装备!#REF!</f>
        <v>#REF!</v>
      </c>
      <c r="H6" t="e">
        <f>装备!#REF!</f>
        <v>#REF!</v>
      </c>
      <c r="I6" t="e">
        <f>装备!#REF!</f>
        <v>#REF!</v>
      </c>
      <c r="J6" t="e">
        <f>装备!#REF!</f>
        <v>#REF!</v>
      </c>
      <c r="K6" t="e">
        <f>装备!#REF!</f>
        <v>#REF!</v>
      </c>
      <c r="L6" t="e">
        <f>装备!#REF!</f>
        <v>#REF!</v>
      </c>
      <c r="M6" t="e">
        <f t="shared" si="0"/>
        <v>#REF!</v>
      </c>
      <c r="N6" t="e">
        <f>装备!#REF!</f>
        <v>#REF!</v>
      </c>
      <c r="O6" t="e">
        <f>装备!#REF!</f>
        <v>#REF!</v>
      </c>
      <c r="P6" t="e">
        <f>装备!#REF!</f>
        <v>#REF!</v>
      </c>
      <c r="Q6" t="e">
        <f>装备!#REF!</f>
        <v>#REF!</v>
      </c>
      <c r="R6" t="e">
        <f>装备!#REF!</f>
        <v>#REF!</v>
      </c>
      <c r="S6" t="e">
        <f>装备!#REF!</f>
        <v>#REF!</v>
      </c>
      <c r="T6" t="e">
        <f>装备!#REF!</f>
        <v>#REF!</v>
      </c>
      <c r="U6" t="e">
        <f>装备!#REF!</f>
        <v>#REF!</v>
      </c>
      <c r="V6" t="e">
        <f>装备!#REF!</f>
        <v>#REF!</v>
      </c>
      <c r="W6" t="e">
        <f>装备!#REF!</f>
        <v>#REF!</v>
      </c>
      <c r="X6" t="e">
        <f t="shared" si="1"/>
        <v>#REF!</v>
      </c>
      <c r="Y6" t="e">
        <f>装备!#REF!</f>
        <v>#REF!</v>
      </c>
      <c r="Z6" t="e">
        <f>装备!#REF!</f>
        <v>#REF!</v>
      </c>
      <c r="AA6" t="e">
        <f>装备!#REF!</f>
        <v>#REF!</v>
      </c>
      <c r="AB6" t="e">
        <f>装备!#REF!</f>
        <v>#REF!</v>
      </c>
      <c r="AC6" t="e">
        <f>装备!#REF!</f>
        <v>#REF!</v>
      </c>
      <c r="AD6" t="e">
        <f>装备!#REF!</f>
        <v>#REF!</v>
      </c>
      <c r="AE6" t="e">
        <f>装备!#REF!</f>
        <v>#REF!</v>
      </c>
      <c r="AF6" t="e">
        <f>装备!#REF!</f>
        <v>#REF!</v>
      </c>
      <c r="AG6" t="e">
        <f>装备!#REF!</f>
        <v>#REF!</v>
      </c>
      <c r="AH6" t="e">
        <f>装备!#REF!</f>
        <v>#REF!</v>
      </c>
      <c r="AI6" t="e">
        <f t="shared" si="2"/>
        <v>#REF!</v>
      </c>
      <c r="AJ6" t="e">
        <f>装备!#REF!</f>
        <v>#REF!</v>
      </c>
      <c r="AK6" t="e">
        <f>装备!#REF!</f>
        <v>#REF!</v>
      </c>
      <c r="AL6" t="e">
        <f>装备!#REF!</f>
        <v>#REF!</v>
      </c>
      <c r="AM6" t="e">
        <f>装备!#REF!</f>
        <v>#REF!</v>
      </c>
      <c r="AN6" t="e">
        <f>装备!#REF!</f>
        <v>#REF!</v>
      </c>
      <c r="AO6" t="e">
        <f>装备!#REF!</f>
        <v>#REF!</v>
      </c>
      <c r="AP6" t="e">
        <f>装备!#REF!</f>
        <v>#REF!</v>
      </c>
      <c r="AQ6" t="e">
        <f>装备!#REF!</f>
        <v>#REF!</v>
      </c>
      <c r="AR6" t="e">
        <f>装备!#REF!</f>
        <v>#REF!</v>
      </c>
      <c r="AS6" t="e">
        <f>装备!#REF!</f>
        <v>#REF!</v>
      </c>
      <c r="AT6" t="e">
        <f t="shared" si="3"/>
        <v>#REF!</v>
      </c>
      <c r="AU6" t="e">
        <f>装备!#REF!</f>
        <v>#REF!</v>
      </c>
      <c r="AV6" t="e">
        <f>装备!#REF!</f>
        <v>#REF!</v>
      </c>
      <c r="AW6" t="e">
        <f>装备!#REF!</f>
        <v>#REF!</v>
      </c>
      <c r="AX6" t="e">
        <f>装备!#REF!</f>
        <v>#REF!</v>
      </c>
      <c r="AY6" t="e">
        <f>装备!#REF!</f>
        <v>#REF!</v>
      </c>
      <c r="AZ6" t="e">
        <f>装备!#REF!</f>
        <v>#REF!</v>
      </c>
      <c r="BA6" t="e">
        <f>装备!#REF!</f>
        <v>#REF!</v>
      </c>
      <c r="BB6" t="e">
        <f>装备!#REF!</f>
        <v>#REF!</v>
      </c>
      <c r="BC6" t="e">
        <f>装备!#REF!</f>
        <v>#REF!</v>
      </c>
      <c r="BD6" t="e">
        <f>装备!#REF!</f>
        <v>#REF!</v>
      </c>
      <c r="BE6" t="e">
        <f t="shared" si="4"/>
        <v>#REF!</v>
      </c>
      <c r="BF6" t="e">
        <f>装备!#REF!</f>
        <v>#REF!</v>
      </c>
      <c r="BG6" t="e">
        <f>装备!#REF!</f>
        <v>#REF!</v>
      </c>
      <c r="BH6" t="e">
        <f>装备!#REF!</f>
        <v>#REF!</v>
      </c>
      <c r="BI6" t="e">
        <f>装备!#REF!</f>
        <v>#REF!</v>
      </c>
      <c r="BJ6" t="e">
        <f>装备!#REF!</f>
        <v>#REF!</v>
      </c>
      <c r="BK6" t="e">
        <f>装备!#REF!</f>
        <v>#REF!</v>
      </c>
      <c r="BL6" t="e">
        <f>装备!#REF!</f>
        <v>#REF!</v>
      </c>
      <c r="BM6" t="e">
        <f>装备!#REF!</f>
        <v>#REF!</v>
      </c>
      <c r="BN6" t="e">
        <f>装备!#REF!</f>
        <v>#REF!</v>
      </c>
      <c r="BO6" t="e">
        <f>装备!#REF!</f>
        <v>#REF!</v>
      </c>
      <c r="BP6" t="e">
        <f t="shared" si="5"/>
        <v>#REF!</v>
      </c>
      <c r="BQ6" t="e">
        <f>装备!#REF!</f>
        <v>#REF!</v>
      </c>
      <c r="BR6" t="e">
        <f>装备!#REF!</f>
        <v>#REF!</v>
      </c>
      <c r="BS6" t="e">
        <f>装备!#REF!</f>
        <v>#REF!</v>
      </c>
      <c r="BT6" t="e">
        <f>装备!#REF!</f>
        <v>#REF!</v>
      </c>
      <c r="BU6" t="e">
        <f>装备!#REF!</f>
        <v>#REF!</v>
      </c>
      <c r="BV6" t="e">
        <f>装备!#REF!</f>
        <v>#REF!</v>
      </c>
      <c r="BW6" t="e">
        <f>装备!#REF!</f>
        <v>#REF!</v>
      </c>
      <c r="BX6" t="e">
        <f>装备!#REF!</f>
        <v>#REF!</v>
      </c>
      <c r="BY6" t="e">
        <f>装备!#REF!</f>
        <v>#REF!</v>
      </c>
      <c r="BZ6" t="e">
        <f>装备!#REF!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装备!#REF!</f>
        <v>#REF!</v>
      </c>
      <c r="B7" t="e">
        <f>装备!#REF!</f>
        <v>#REF!</v>
      </c>
      <c r="C7" t="e">
        <f>装备!#REF!</f>
        <v>#REF!</v>
      </c>
      <c r="D7" t="e">
        <f>装备!#REF!</f>
        <v>#REF!</v>
      </c>
      <c r="E7" t="e">
        <f>装备!#REF!</f>
        <v>#REF!</v>
      </c>
      <c r="F7" t="e">
        <f>装备!#REF!</f>
        <v>#REF!</v>
      </c>
      <c r="G7" t="e">
        <f>装备!#REF!</f>
        <v>#REF!</v>
      </c>
      <c r="H7" t="e">
        <f>装备!#REF!</f>
        <v>#REF!</v>
      </c>
      <c r="I7" t="e">
        <f>装备!#REF!</f>
        <v>#REF!</v>
      </c>
      <c r="J7" t="e">
        <f>装备!#REF!</f>
        <v>#REF!</v>
      </c>
      <c r="K7" t="e">
        <f>装备!#REF!</f>
        <v>#REF!</v>
      </c>
      <c r="L7" t="e">
        <f>装备!#REF!</f>
        <v>#REF!</v>
      </c>
      <c r="M7" t="e">
        <f t="shared" si="0"/>
        <v>#REF!</v>
      </c>
      <c r="N7" t="e">
        <f>装备!#REF!</f>
        <v>#REF!</v>
      </c>
      <c r="O7" t="e">
        <f>装备!#REF!</f>
        <v>#REF!</v>
      </c>
      <c r="P7" t="e">
        <f>装备!#REF!</f>
        <v>#REF!</v>
      </c>
      <c r="Q7" t="e">
        <f>装备!#REF!</f>
        <v>#REF!</v>
      </c>
      <c r="R7" t="e">
        <f>装备!#REF!</f>
        <v>#REF!</v>
      </c>
      <c r="S7" t="e">
        <f>装备!#REF!</f>
        <v>#REF!</v>
      </c>
      <c r="T7" t="e">
        <f>装备!#REF!</f>
        <v>#REF!</v>
      </c>
      <c r="U7" t="e">
        <f>装备!#REF!</f>
        <v>#REF!</v>
      </c>
      <c r="V7" t="e">
        <f>装备!#REF!</f>
        <v>#REF!</v>
      </c>
      <c r="W7" t="e">
        <f>装备!#REF!</f>
        <v>#REF!</v>
      </c>
      <c r="X7" t="e">
        <f t="shared" si="1"/>
        <v>#REF!</v>
      </c>
      <c r="Y7" t="e">
        <f>装备!#REF!</f>
        <v>#REF!</v>
      </c>
      <c r="Z7" t="e">
        <f>装备!#REF!</f>
        <v>#REF!</v>
      </c>
      <c r="AA7" t="e">
        <f>装备!#REF!</f>
        <v>#REF!</v>
      </c>
      <c r="AB7" t="e">
        <f>装备!#REF!</f>
        <v>#REF!</v>
      </c>
      <c r="AC7" t="e">
        <f>装备!#REF!</f>
        <v>#REF!</v>
      </c>
      <c r="AD7" t="e">
        <f>装备!#REF!</f>
        <v>#REF!</v>
      </c>
      <c r="AE7" t="e">
        <f>装备!#REF!</f>
        <v>#REF!</v>
      </c>
      <c r="AF7" t="e">
        <f>装备!#REF!</f>
        <v>#REF!</v>
      </c>
      <c r="AG7" t="e">
        <f>装备!#REF!</f>
        <v>#REF!</v>
      </c>
      <c r="AH7" t="e">
        <f>装备!#REF!</f>
        <v>#REF!</v>
      </c>
      <c r="AI7" t="e">
        <f t="shared" si="2"/>
        <v>#REF!</v>
      </c>
      <c r="AJ7" t="e">
        <f>装备!#REF!</f>
        <v>#REF!</v>
      </c>
      <c r="AK7" t="e">
        <f>装备!#REF!</f>
        <v>#REF!</v>
      </c>
      <c r="AL7" t="e">
        <f>装备!#REF!</f>
        <v>#REF!</v>
      </c>
      <c r="AM7" t="e">
        <f>装备!#REF!</f>
        <v>#REF!</v>
      </c>
      <c r="AN7" t="e">
        <f>装备!#REF!</f>
        <v>#REF!</v>
      </c>
      <c r="AO7" t="e">
        <f>装备!#REF!</f>
        <v>#REF!</v>
      </c>
      <c r="AP7" t="e">
        <f>装备!#REF!</f>
        <v>#REF!</v>
      </c>
      <c r="AQ7" t="e">
        <f>装备!#REF!</f>
        <v>#REF!</v>
      </c>
      <c r="AR7" t="e">
        <f>装备!#REF!</f>
        <v>#REF!</v>
      </c>
      <c r="AS7" t="e">
        <f>装备!#REF!</f>
        <v>#REF!</v>
      </c>
      <c r="AT7" t="e">
        <f t="shared" si="3"/>
        <v>#REF!</v>
      </c>
      <c r="AU7" t="e">
        <f>装备!#REF!</f>
        <v>#REF!</v>
      </c>
      <c r="AV7" t="e">
        <f>装备!#REF!</f>
        <v>#REF!</v>
      </c>
      <c r="AW7" t="e">
        <f>装备!#REF!</f>
        <v>#REF!</v>
      </c>
      <c r="AX7" t="e">
        <f>装备!#REF!</f>
        <v>#REF!</v>
      </c>
      <c r="AY7" t="e">
        <f>装备!#REF!</f>
        <v>#REF!</v>
      </c>
      <c r="AZ7" t="e">
        <f>装备!#REF!</f>
        <v>#REF!</v>
      </c>
      <c r="BA7" t="e">
        <f>装备!#REF!</f>
        <v>#REF!</v>
      </c>
      <c r="BB7" t="e">
        <f>装备!#REF!</f>
        <v>#REF!</v>
      </c>
      <c r="BC7" t="e">
        <f>装备!#REF!</f>
        <v>#REF!</v>
      </c>
      <c r="BD7" t="e">
        <f>装备!#REF!</f>
        <v>#REF!</v>
      </c>
      <c r="BE7" t="e">
        <f t="shared" si="4"/>
        <v>#REF!</v>
      </c>
      <c r="BF7" t="e">
        <f>装备!#REF!</f>
        <v>#REF!</v>
      </c>
      <c r="BG7" t="e">
        <f>装备!#REF!</f>
        <v>#REF!</v>
      </c>
      <c r="BH7" t="e">
        <f>装备!#REF!</f>
        <v>#REF!</v>
      </c>
      <c r="BI7" t="e">
        <f>装备!#REF!</f>
        <v>#REF!</v>
      </c>
      <c r="BJ7" t="e">
        <f>装备!#REF!</f>
        <v>#REF!</v>
      </c>
      <c r="BK7" t="e">
        <f>装备!#REF!</f>
        <v>#REF!</v>
      </c>
      <c r="BL7" t="e">
        <f>装备!#REF!</f>
        <v>#REF!</v>
      </c>
      <c r="BM7" t="e">
        <f>装备!#REF!</f>
        <v>#REF!</v>
      </c>
      <c r="BN7" t="e">
        <f>装备!#REF!</f>
        <v>#REF!</v>
      </c>
      <c r="BO7" t="e">
        <f>装备!#REF!</f>
        <v>#REF!</v>
      </c>
      <c r="BP7" t="e">
        <f t="shared" si="5"/>
        <v>#REF!</v>
      </c>
      <c r="BQ7" t="e">
        <f>装备!#REF!</f>
        <v>#REF!</v>
      </c>
      <c r="BR7" t="e">
        <f>装备!#REF!</f>
        <v>#REF!</v>
      </c>
      <c r="BS7" t="e">
        <f>装备!#REF!</f>
        <v>#REF!</v>
      </c>
      <c r="BT7" t="e">
        <f>装备!#REF!</f>
        <v>#REF!</v>
      </c>
      <c r="BU7" t="e">
        <f>装备!#REF!</f>
        <v>#REF!</v>
      </c>
      <c r="BV7" t="e">
        <f>装备!#REF!</f>
        <v>#REF!</v>
      </c>
      <c r="BW7" t="e">
        <f>装备!#REF!</f>
        <v>#REF!</v>
      </c>
      <c r="BX7" t="e">
        <f>装备!#REF!</f>
        <v>#REF!</v>
      </c>
      <c r="BY7" t="e">
        <f>装备!#REF!</f>
        <v>#REF!</v>
      </c>
      <c r="BZ7" t="e">
        <f>装备!#REF!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装备!#REF!</f>
        <v>#REF!</v>
      </c>
      <c r="B8" t="e">
        <f>装备!#REF!</f>
        <v>#REF!</v>
      </c>
      <c r="C8" t="e">
        <f>装备!#REF!</f>
        <v>#REF!</v>
      </c>
      <c r="D8" t="e">
        <f>装备!#REF!</f>
        <v>#REF!</v>
      </c>
      <c r="E8" t="e">
        <f>装备!#REF!</f>
        <v>#REF!</v>
      </c>
      <c r="F8" t="e">
        <f>装备!#REF!</f>
        <v>#REF!</v>
      </c>
      <c r="G8" t="e">
        <f>装备!#REF!</f>
        <v>#REF!</v>
      </c>
      <c r="H8" t="e">
        <f>装备!#REF!</f>
        <v>#REF!</v>
      </c>
      <c r="I8" t="e">
        <f>装备!#REF!</f>
        <v>#REF!</v>
      </c>
      <c r="J8" t="e">
        <f>装备!#REF!</f>
        <v>#REF!</v>
      </c>
      <c r="K8" t="e">
        <f>装备!#REF!</f>
        <v>#REF!</v>
      </c>
      <c r="L8" t="e">
        <f>装备!#REF!</f>
        <v>#REF!</v>
      </c>
      <c r="M8" t="e">
        <f t="shared" si="0"/>
        <v>#REF!</v>
      </c>
      <c r="N8" t="e">
        <f>装备!#REF!</f>
        <v>#REF!</v>
      </c>
      <c r="O8" t="e">
        <f>装备!#REF!</f>
        <v>#REF!</v>
      </c>
      <c r="P8" t="e">
        <f>装备!#REF!</f>
        <v>#REF!</v>
      </c>
      <c r="Q8" t="e">
        <f>装备!#REF!</f>
        <v>#REF!</v>
      </c>
      <c r="R8" t="e">
        <f>装备!#REF!</f>
        <v>#REF!</v>
      </c>
      <c r="S8" t="e">
        <f>装备!#REF!</f>
        <v>#REF!</v>
      </c>
      <c r="T8" t="e">
        <f>装备!#REF!</f>
        <v>#REF!</v>
      </c>
      <c r="U8" t="e">
        <f>装备!#REF!</f>
        <v>#REF!</v>
      </c>
      <c r="V8" t="e">
        <f>装备!#REF!</f>
        <v>#REF!</v>
      </c>
      <c r="W8" t="e">
        <f>装备!#REF!</f>
        <v>#REF!</v>
      </c>
      <c r="X8" t="e">
        <f t="shared" si="1"/>
        <v>#REF!</v>
      </c>
      <c r="Y8" t="e">
        <f>装备!#REF!</f>
        <v>#REF!</v>
      </c>
      <c r="Z8" t="e">
        <f>装备!#REF!</f>
        <v>#REF!</v>
      </c>
      <c r="AA8" t="e">
        <f>装备!#REF!</f>
        <v>#REF!</v>
      </c>
      <c r="AB8" t="e">
        <f>装备!#REF!</f>
        <v>#REF!</v>
      </c>
      <c r="AC8" t="e">
        <f>装备!#REF!</f>
        <v>#REF!</v>
      </c>
      <c r="AD8" t="e">
        <f>装备!#REF!</f>
        <v>#REF!</v>
      </c>
      <c r="AE8" t="e">
        <f>装备!#REF!</f>
        <v>#REF!</v>
      </c>
      <c r="AF8" t="e">
        <f>装备!#REF!</f>
        <v>#REF!</v>
      </c>
      <c r="AG8" t="e">
        <f>装备!#REF!</f>
        <v>#REF!</v>
      </c>
      <c r="AH8" t="e">
        <f>装备!#REF!</f>
        <v>#REF!</v>
      </c>
      <c r="AI8" t="e">
        <f t="shared" si="2"/>
        <v>#REF!</v>
      </c>
      <c r="AJ8" t="e">
        <f>装备!#REF!</f>
        <v>#REF!</v>
      </c>
      <c r="AK8" t="e">
        <f>装备!#REF!</f>
        <v>#REF!</v>
      </c>
      <c r="AL8" t="e">
        <f>装备!#REF!</f>
        <v>#REF!</v>
      </c>
      <c r="AM8" t="e">
        <f>装备!#REF!</f>
        <v>#REF!</v>
      </c>
      <c r="AN8" t="e">
        <f>装备!#REF!</f>
        <v>#REF!</v>
      </c>
      <c r="AO8" t="e">
        <f>装备!#REF!</f>
        <v>#REF!</v>
      </c>
      <c r="AP8" t="e">
        <f>装备!#REF!</f>
        <v>#REF!</v>
      </c>
      <c r="AQ8" t="e">
        <f>装备!#REF!</f>
        <v>#REF!</v>
      </c>
      <c r="AR8" t="e">
        <f>装备!#REF!</f>
        <v>#REF!</v>
      </c>
      <c r="AS8" t="e">
        <f>装备!#REF!</f>
        <v>#REF!</v>
      </c>
      <c r="AT8" t="e">
        <f t="shared" si="3"/>
        <v>#REF!</v>
      </c>
      <c r="AU8" t="e">
        <f>装备!#REF!</f>
        <v>#REF!</v>
      </c>
      <c r="AV8" t="e">
        <f>装备!#REF!</f>
        <v>#REF!</v>
      </c>
      <c r="AW8" t="e">
        <f>装备!#REF!</f>
        <v>#REF!</v>
      </c>
      <c r="AX8" t="e">
        <f>装备!#REF!</f>
        <v>#REF!</v>
      </c>
      <c r="AY8" t="e">
        <f>装备!#REF!</f>
        <v>#REF!</v>
      </c>
      <c r="AZ8" t="e">
        <f>装备!#REF!</f>
        <v>#REF!</v>
      </c>
      <c r="BA8" t="e">
        <f>装备!#REF!</f>
        <v>#REF!</v>
      </c>
      <c r="BB8" t="e">
        <f>装备!#REF!</f>
        <v>#REF!</v>
      </c>
      <c r="BC8" t="e">
        <f>装备!#REF!</f>
        <v>#REF!</v>
      </c>
      <c r="BD8" t="e">
        <f>装备!#REF!</f>
        <v>#REF!</v>
      </c>
      <c r="BE8" t="e">
        <f t="shared" si="4"/>
        <v>#REF!</v>
      </c>
      <c r="BF8" t="e">
        <f>装备!#REF!</f>
        <v>#REF!</v>
      </c>
      <c r="BG8" t="e">
        <f>装备!#REF!</f>
        <v>#REF!</v>
      </c>
      <c r="BH8" t="e">
        <f>装备!#REF!</f>
        <v>#REF!</v>
      </c>
      <c r="BI8" t="e">
        <f>装备!#REF!</f>
        <v>#REF!</v>
      </c>
      <c r="BJ8" t="e">
        <f>装备!#REF!</f>
        <v>#REF!</v>
      </c>
      <c r="BK8" t="e">
        <f>装备!#REF!</f>
        <v>#REF!</v>
      </c>
      <c r="BL8" t="e">
        <f>装备!#REF!</f>
        <v>#REF!</v>
      </c>
      <c r="BM8" t="e">
        <f>装备!#REF!</f>
        <v>#REF!</v>
      </c>
      <c r="BN8" t="e">
        <f>装备!#REF!</f>
        <v>#REF!</v>
      </c>
      <c r="BO8" t="e">
        <f>装备!#REF!</f>
        <v>#REF!</v>
      </c>
      <c r="BP8" t="e">
        <f t="shared" si="5"/>
        <v>#REF!</v>
      </c>
      <c r="BQ8" t="e">
        <f>装备!#REF!</f>
        <v>#REF!</v>
      </c>
      <c r="BR8" t="e">
        <f>装备!#REF!</f>
        <v>#REF!</v>
      </c>
      <c r="BS8" t="e">
        <f>装备!#REF!</f>
        <v>#REF!</v>
      </c>
      <c r="BT8" t="e">
        <f>装备!#REF!</f>
        <v>#REF!</v>
      </c>
      <c r="BU8" t="e">
        <f>装备!#REF!</f>
        <v>#REF!</v>
      </c>
      <c r="BV8" t="e">
        <f>装备!#REF!</f>
        <v>#REF!</v>
      </c>
      <c r="BW8" t="e">
        <f>装备!#REF!</f>
        <v>#REF!</v>
      </c>
      <c r="BX8" t="e">
        <f>装备!#REF!</f>
        <v>#REF!</v>
      </c>
      <c r="BY8" t="e">
        <f>装备!#REF!</f>
        <v>#REF!</v>
      </c>
      <c r="BZ8" t="e">
        <f>装备!#REF!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装备!#REF!</f>
        <v>#REF!</v>
      </c>
      <c r="B9" t="e">
        <f>装备!#REF!</f>
        <v>#REF!</v>
      </c>
      <c r="C9" t="e">
        <f>装备!#REF!</f>
        <v>#REF!</v>
      </c>
      <c r="D9" t="e">
        <f>装备!#REF!</f>
        <v>#REF!</v>
      </c>
      <c r="E9" t="e">
        <f>装备!#REF!</f>
        <v>#REF!</v>
      </c>
      <c r="F9" t="e">
        <f>装备!#REF!</f>
        <v>#REF!</v>
      </c>
      <c r="G9" t="e">
        <f>装备!#REF!</f>
        <v>#REF!</v>
      </c>
      <c r="H9" t="e">
        <f>装备!#REF!</f>
        <v>#REF!</v>
      </c>
      <c r="I9" t="e">
        <f>装备!#REF!</f>
        <v>#REF!</v>
      </c>
      <c r="J9" t="e">
        <f>装备!#REF!</f>
        <v>#REF!</v>
      </c>
      <c r="K9" t="e">
        <f>装备!#REF!</f>
        <v>#REF!</v>
      </c>
      <c r="L9" t="e">
        <f>装备!#REF!</f>
        <v>#REF!</v>
      </c>
      <c r="M9" t="e">
        <f t="shared" si="0"/>
        <v>#REF!</v>
      </c>
      <c r="N9" t="e">
        <f>装备!#REF!</f>
        <v>#REF!</v>
      </c>
      <c r="O9" t="e">
        <f>装备!#REF!</f>
        <v>#REF!</v>
      </c>
      <c r="P9" t="e">
        <f>装备!#REF!</f>
        <v>#REF!</v>
      </c>
      <c r="Q9" t="e">
        <f>装备!#REF!</f>
        <v>#REF!</v>
      </c>
      <c r="R9" t="e">
        <f>装备!#REF!</f>
        <v>#REF!</v>
      </c>
      <c r="S9" t="e">
        <f>装备!#REF!</f>
        <v>#REF!</v>
      </c>
      <c r="T9" t="e">
        <f>装备!#REF!</f>
        <v>#REF!</v>
      </c>
      <c r="U9" t="e">
        <f>装备!#REF!</f>
        <v>#REF!</v>
      </c>
      <c r="V9" t="e">
        <f>装备!#REF!</f>
        <v>#REF!</v>
      </c>
      <c r="W9" t="e">
        <f>装备!#REF!</f>
        <v>#REF!</v>
      </c>
      <c r="X9" t="e">
        <f t="shared" si="1"/>
        <v>#REF!</v>
      </c>
      <c r="Y9" t="e">
        <f>装备!#REF!</f>
        <v>#REF!</v>
      </c>
      <c r="Z9" t="e">
        <f>装备!#REF!</f>
        <v>#REF!</v>
      </c>
      <c r="AA9" t="e">
        <f>装备!#REF!</f>
        <v>#REF!</v>
      </c>
      <c r="AB9" t="e">
        <f>装备!#REF!</f>
        <v>#REF!</v>
      </c>
      <c r="AC9" t="e">
        <f>装备!#REF!</f>
        <v>#REF!</v>
      </c>
      <c r="AD9" t="e">
        <f>装备!#REF!</f>
        <v>#REF!</v>
      </c>
      <c r="AE9" t="e">
        <f>装备!#REF!</f>
        <v>#REF!</v>
      </c>
      <c r="AF9" t="e">
        <f>装备!#REF!</f>
        <v>#REF!</v>
      </c>
      <c r="AG9" t="e">
        <f>装备!#REF!</f>
        <v>#REF!</v>
      </c>
      <c r="AH9" t="e">
        <f>装备!#REF!</f>
        <v>#REF!</v>
      </c>
      <c r="AI9" t="e">
        <f t="shared" si="2"/>
        <v>#REF!</v>
      </c>
      <c r="AJ9" t="e">
        <f>装备!#REF!</f>
        <v>#REF!</v>
      </c>
      <c r="AK9" t="e">
        <f>装备!#REF!</f>
        <v>#REF!</v>
      </c>
      <c r="AL9" t="e">
        <f>装备!#REF!</f>
        <v>#REF!</v>
      </c>
      <c r="AM9" t="e">
        <f>装备!#REF!</f>
        <v>#REF!</v>
      </c>
      <c r="AN9" t="e">
        <f>装备!#REF!</f>
        <v>#REF!</v>
      </c>
      <c r="AO9" t="e">
        <f>装备!#REF!</f>
        <v>#REF!</v>
      </c>
      <c r="AP9" t="e">
        <f>装备!#REF!</f>
        <v>#REF!</v>
      </c>
      <c r="AQ9" t="e">
        <f>装备!#REF!</f>
        <v>#REF!</v>
      </c>
      <c r="AR9" t="e">
        <f>装备!#REF!</f>
        <v>#REF!</v>
      </c>
      <c r="AS9" t="e">
        <f>装备!#REF!</f>
        <v>#REF!</v>
      </c>
      <c r="AT9" t="e">
        <f t="shared" si="3"/>
        <v>#REF!</v>
      </c>
      <c r="AU9" t="e">
        <f>装备!#REF!</f>
        <v>#REF!</v>
      </c>
      <c r="AV9" t="e">
        <f>装备!#REF!</f>
        <v>#REF!</v>
      </c>
      <c r="AW9" t="e">
        <f>装备!#REF!</f>
        <v>#REF!</v>
      </c>
      <c r="AX9" t="e">
        <f>装备!#REF!</f>
        <v>#REF!</v>
      </c>
      <c r="AY9" t="e">
        <f>装备!#REF!</f>
        <v>#REF!</v>
      </c>
      <c r="AZ9" t="e">
        <f>装备!#REF!</f>
        <v>#REF!</v>
      </c>
      <c r="BA9" t="e">
        <f>装备!#REF!</f>
        <v>#REF!</v>
      </c>
      <c r="BB9" t="e">
        <f>装备!#REF!</f>
        <v>#REF!</v>
      </c>
      <c r="BC9" t="e">
        <f>装备!#REF!</f>
        <v>#REF!</v>
      </c>
      <c r="BD9" t="e">
        <f>装备!#REF!</f>
        <v>#REF!</v>
      </c>
      <c r="BE9" t="e">
        <f t="shared" si="4"/>
        <v>#REF!</v>
      </c>
      <c r="BF9" t="e">
        <f>装备!#REF!</f>
        <v>#REF!</v>
      </c>
      <c r="BG9" t="e">
        <f>装备!#REF!</f>
        <v>#REF!</v>
      </c>
      <c r="BH9" t="e">
        <f>装备!#REF!</f>
        <v>#REF!</v>
      </c>
      <c r="BI9" t="e">
        <f>装备!#REF!</f>
        <v>#REF!</v>
      </c>
      <c r="BJ9" t="e">
        <f>装备!#REF!</f>
        <v>#REF!</v>
      </c>
      <c r="BK9" t="e">
        <f>装备!#REF!</f>
        <v>#REF!</v>
      </c>
      <c r="BL9" t="e">
        <f>装备!#REF!</f>
        <v>#REF!</v>
      </c>
      <c r="BM9" t="e">
        <f>装备!#REF!</f>
        <v>#REF!</v>
      </c>
      <c r="BN9" t="e">
        <f>装备!#REF!</f>
        <v>#REF!</v>
      </c>
      <c r="BO9" t="e">
        <f>装备!#REF!</f>
        <v>#REF!</v>
      </c>
      <c r="BP9" t="e">
        <f t="shared" si="5"/>
        <v>#REF!</v>
      </c>
      <c r="BQ9" t="e">
        <f>装备!#REF!</f>
        <v>#REF!</v>
      </c>
      <c r="BR9" t="e">
        <f>装备!#REF!</f>
        <v>#REF!</v>
      </c>
      <c r="BS9" t="e">
        <f>装备!#REF!</f>
        <v>#REF!</v>
      </c>
      <c r="BT9" t="e">
        <f>装备!#REF!</f>
        <v>#REF!</v>
      </c>
      <c r="BU9" t="e">
        <f>装备!#REF!</f>
        <v>#REF!</v>
      </c>
      <c r="BV9" t="e">
        <f>装备!#REF!</f>
        <v>#REF!</v>
      </c>
      <c r="BW9" t="e">
        <f>装备!#REF!</f>
        <v>#REF!</v>
      </c>
      <c r="BX9" t="e">
        <f>装备!#REF!</f>
        <v>#REF!</v>
      </c>
      <c r="BY9" t="e">
        <f>装备!#REF!</f>
        <v>#REF!</v>
      </c>
      <c r="BZ9" t="e">
        <f>装备!#REF!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装备!#REF!</f>
        <v>#REF!</v>
      </c>
      <c r="B10" t="e">
        <f>装备!#REF!</f>
        <v>#REF!</v>
      </c>
      <c r="C10" t="e">
        <f>装备!#REF!</f>
        <v>#REF!</v>
      </c>
      <c r="D10" t="e">
        <f>装备!#REF!</f>
        <v>#REF!</v>
      </c>
      <c r="E10" t="e">
        <f>装备!#REF!</f>
        <v>#REF!</v>
      </c>
      <c r="F10" t="e">
        <f>装备!#REF!</f>
        <v>#REF!</v>
      </c>
      <c r="G10" t="e">
        <f>装备!#REF!</f>
        <v>#REF!</v>
      </c>
      <c r="H10" t="e">
        <f>装备!#REF!</f>
        <v>#REF!</v>
      </c>
      <c r="I10" t="e">
        <f>装备!#REF!</f>
        <v>#REF!</v>
      </c>
      <c r="J10" t="e">
        <f>装备!#REF!</f>
        <v>#REF!</v>
      </c>
      <c r="K10" t="e">
        <f>装备!#REF!</f>
        <v>#REF!</v>
      </c>
      <c r="L10" t="e">
        <f>装备!#REF!</f>
        <v>#REF!</v>
      </c>
      <c r="M10" t="e">
        <f t="shared" si="0"/>
        <v>#REF!</v>
      </c>
      <c r="N10" t="e">
        <f>装备!#REF!</f>
        <v>#REF!</v>
      </c>
      <c r="O10" t="e">
        <f>装备!#REF!</f>
        <v>#REF!</v>
      </c>
      <c r="P10" t="e">
        <f>装备!#REF!</f>
        <v>#REF!</v>
      </c>
      <c r="Q10" t="e">
        <f>装备!#REF!</f>
        <v>#REF!</v>
      </c>
      <c r="R10" t="e">
        <f>装备!#REF!</f>
        <v>#REF!</v>
      </c>
      <c r="S10" t="e">
        <f>装备!#REF!</f>
        <v>#REF!</v>
      </c>
      <c r="T10" t="e">
        <f>装备!#REF!</f>
        <v>#REF!</v>
      </c>
      <c r="U10" t="e">
        <f>装备!#REF!</f>
        <v>#REF!</v>
      </c>
      <c r="V10" t="e">
        <f>装备!#REF!</f>
        <v>#REF!</v>
      </c>
      <c r="W10" t="e">
        <f>装备!#REF!</f>
        <v>#REF!</v>
      </c>
      <c r="X10" t="e">
        <f t="shared" si="1"/>
        <v>#REF!</v>
      </c>
      <c r="Y10" t="e">
        <f>装备!#REF!</f>
        <v>#REF!</v>
      </c>
      <c r="Z10" t="e">
        <f>装备!#REF!</f>
        <v>#REF!</v>
      </c>
      <c r="AA10" t="e">
        <f>装备!#REF!</f>
        <v>#REF!</v>
      </c>
      <c r="AB10" t="e">
        <f>装备!#REF!</f>
        <v>#REF!</v>
      </c>
      <c r="AC10" t="e">
        <f>装备!#REF!</f>
        <v>#REF!</v>
      </c>
      <c r="AD10" t="e">
        <f>装备!#REF!</f>
        <v>#REF!</v>
      </c>
      <c r="AE10" t="e">
        <f>装备!#REF!</f>
        <v>#REF!</v>
      </c>
      <c r="AF10" t="e">
        <f>装备!#REF!</f>
        <v>#REF!</v>
      </c>
      <c r="AG10" t="e">
        <f>装备!#REF!</f>
        <v>#REF!</v>
      </c>
      <c r="AH10" t="e">
        <f>装备!#REF!</f>
        <v>#REF!</v>
      </c>
      <c r="AI10" t="e">
        <f t="shared" si="2"/>
        <v>#REF!</v>
      </c>
      <c r="AJ10" t="e">
        <f>装备!#REF!</f>
        <v>#REF!</v>
      </c>
      <c r="AK10" t="e">
        <f>装备!#REF!</f>
        <v>#REF!</v>
      </c>
      <c r="AL10" t="e">
        <f>装备!#REF!</f>
        <v>#REF!</v>
      </c>
      <c r="AM10" t="e">
        <f>装备!#REF!</f>
        <v>#REF!</v>
      </c>
      <c r="AN10" t="e">
        <f>装备!#REF!</f>
        <v>#REF!</v>
      </c>
      <c r="AO10" t="e">
        <f>装备!#REF!</f>
        <v>#REF!</v>
      </c>
      <c r="AP10" t="e">
        <f>装备!#REF!</f>
        <v>#REF!</v>
      </c>
      <c r="AQ10" t="e">
        <f>装备!#REF!</f>
        <v>#REF!</v>
      </c>
      <c r="AR10" t="e">
        <f>装备!#REF!</f>
        <v>#REF!</v>
      </c>
      <c r="AS10" t="e">
        <f>装备!#REF!</f>
        <v>#REF!</v>
      </c>
      <c r="AT10" t="e">
        <f t="shared" si="3"/>
        <v>#REF!</v>
      </c>
      <c r="AU10" t="e">
        <f>装备!#REF!</f>
        <v>#REF!</v>
      </c>
      <c r="AV10" t="e">
        <f>装备!#REF!</f>
        <v>#REF!</v>
      </c>
      <c r="AW10" t="e">
        <f>装备!#REF!</f>
        <v>#REF!</v>
      </c>
      <c r="AX10" t="e">
        <f>装备!#REF!</f>
        <v>#REF!</v>
      </c>
      <c r="AY10" t="e">
        <f>装备!#REF!</f>
        <v>#REF!</v>
      </c>
      <c r="AZ10" t="e">
        <f>装备!#REF!</f>
        <v>#REF!</v>
      </c>
      <c r="BA10" t="e">
        <f>装备!#REF!</f>
        <v>#REF!</v>
      </c>
      <c r="BB10" t="e">
        <f>装备!#REF!</f>
        <v>#REF!</v>
      </c>
      <c r="BC10" t="e">
        <f>装备!#REF!</f>
        <v>#REF!</v>
      </c>
      <c r="BD10" t="e">
        <f>装备!#REF!</f>
        <v>#REF!</v>
      </c>
      <c r="BE10" t="e">
        <f t="shared" si="4"/>
        <v>#REF!</v>
      </c>
      <c r="BF10" t="e">
        <f>装备!#REF!</f>
        <v>#REF!</v>
      </c>
      <c r="BG10" t="e">
        <f>装备!#REF!</f>
        <v>#REF!</v>
      </c>
      <c r="BH10" t="e">
        <f>装备!#REF!</f>
        <v>#REF!</v>
      </c>
      <c r="BI10" t="e">
        <f>装备!#REF!</f>
        <v>#REF!</v>
      </c>
      <c r="BJ10" t="e">
        <f>装备!#REF!</f>
        <v>#REF!</v>
      </c>
      <c r="BK10" t="e">
        <f>装备!#REF!</f>
        <v>#REF!</v>
      </c>
      <c r="BL10" t="e">
        <f>装备!#REF!</f>
        <v>#REF!</v>
      </c>
      <c r="BM10" t="e">
        <f>装备!#REF!</f>
        <v>#REF!</v>
      </c>
      <c r="BN10" t="e">
        <f>装备!#REF!</f>
        <v>#REF!</v>
      </c>
      <c r="BO10" t="e">
        <f>装备!#REF!</f>
        <v>#REF!</v>
      </c>
      <c r="BP10" t="e">
        <f t="shared" si="5"/>
        <v>#REF!</v>
      </c>
      <c r="BQ10" t="e">
        <f>装备!#REF!</f>
        <v>#REF!</v>
      </c>
      <c r="BR10" t="e">
        <f>装备!#REF!</f>
        <v>#REF!</v>
      </c>
      <c r="BS10" t="e">
        <f>装备!#REF!</f>
        <v>#REF!</v>
      </c>
      <c r="BT10" t="e">
        <f>装备!#REF!</f>
        <v>#REF!</v>
      </c>
      <c r="BU10" t="e">
        <f>装备!#REF!</f>
        <v>#REF!</v>
      </c>
      <c r="BV10" t="e">
        <f>装备!#REF!</f>
        <v>#REF!</v>
      </c>
      <c r="BW10" t="e">
        <f>装备!#REF!</f>
        <v>#REF!</v>
      </c>
      <c r="BX10" t="e">
        <f>装备!#REF!</f>
        <v>#REF!</v>
      </c>
      <c r="BY10" t="e">
        <f>装备!#REF!</f>
        <v>#REF!</v>
      </c>
      <c r="BZ10" t="e">
        <f>装备!#REF!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装备!#REF!</f>
        <v>#REF!</v>
      </c>
      <c r="B11" t="e">
        <f>装备!#REF!</f>
        <v>#REF!</v>
      </c>
      <c r="C11" t="e">
        <f>装备!#REF!</f>
        <v>#REF!</v>
      </c>
      <c r="D11" t="e">
        <f>装备!#REF!</f>
        <v>#REF!</v>
      </c>
      <c r="E11" t="e">
        <f>装备!#REF!</f>
        <v>#REF!</v>
      </c>
      <c r="F11" t="e">
        <f>装备!#REF!</f>
        <v>#REF!</v>
      </c>
      <c r="G11" t="e">
        <f>装备!#REF!</f>
        <v>#REF!</v>
      </c>
      <c r="H11" t="e">
        <f>装备!#REF!</f>
        <v>#REF!</v>
      </c>
      <c r="I11" t="e">
        <f>装备!#REF!</f>
        <v>#REF!</v>
      </c>
      <c r="J11" t="e">
        <f>装备!#REF!</f>
        <v>#REF!</v>
      </c>
      <c r="K11" t="e">
        <f>装备!#REF!</f>
        <v>#REF!</v>
      </c>
      <c r="L11" t="e">
        <f>装备!#REF!</f>
        <v>#REF!</v>
      </c>
      <c r="M11" t="e">
        <f t="shared" si="0"/>
        <v>#REF!</v>
      </c>
      <c r="N11" t="e">
        <f>装备!#REF!</f>
        <v>#REF!</v>
      </c>
      <c r="O11" t="e">
        <f>装备!#REF!</f>
        <v>#REF!</v>
      </c>
      <c r="P11" t="e">
        <f>装备!#REF!</f>
        <v>#REF!</v>
      </c>
      <c r="Q11" t="e">
        <f>装备!#REF!</f>
        <v>#REF!</v>
      </c>
      <c r="R11" t="e">
        <f>装备!#REF!</f>
        <v>#REF!</v>
      </c>
      <c r="S11" t="e">
        <f>装备!#REF!</f>
        <v>#REF!</v>
      </c>
      <c r="T11" t="e">
        <f>装备!#REF!</f>
        <v>#REF!</v>
      </c>
      <c r="U11" t="e">
        <f>装备!#REF!</f>
        <v>#REF!</v>
      </c>
      <c r="V11" t="e">
        <f>装备!#REF!</f>
        <v>#REF!</v>
      </c>
      <c r="W11" t="e">
        <f>装备!#REF!</f>
        <v>#REF!</v>
      </c>
      <c r="X11" t="e">
        <f t="shared" si="1"/>
        <v>#REF!</v>
      </c>
      <c r="Y11" t="e">
        <f>装备!#REF!</f>
        <v>#REF!</v>
      </c>
      <c r="Z11" t="e">
        <f>装备!#REF!</f>
        <v>#REF!</v>
      </c>
      <c r="AA11" t="e">
        <f>装备!#REF!</f>
        <v>#REF!</v>
      </c>
      <c r="AB11" t="e">
        <f>装备!#REF!</f>
        <v>#REF!</v>
      </c>
      <c r="AC11" t="e">
        <f>装备!#REF!</f>
        <v>#REF!</v>
      </c>
      <c r="AD11" t="e">
        <f>装备!#REF!</f>
        <v>#REF!</v>
      </c>
      <c r="AE11" t="e">
        <f>装备!#REF!</f>
        <v>#REF!</v>
      </c>
      <c r="AF11" t="e">
        <f>装备!#REF!</f>
        <v>#REF!</v>
      </c>
      <c r="AG11" t="e">
        <f>装备!#REF!</f>
        <v>#REF!</v>
      </c>
      <c r="AH11" t="e">
        <f>装备!#REF!</f>
        <v>#REF!</v>
      </c>
      <c r="AI11" t="e">
        <f t="shared" si="2"/>
        <v>#REF!</v>
      </c>
      <c r="AJ11" t="e">
        <f>装备!#REF!</f>
        <v>#REF!</v>
      </c>
      <c r="AK11" t="e">
        <f>装备!#REF!</f>
        <v>#REF!</v>
      </c>
      <c r="AL11" t="e">
        <f>装备!#REF!</f>
        <v>#REF!</v>
      </c>
      <c r="AM11" t="e">
        <f>装备!#REF!</f>
        <v>#REF!</v>
      </c>
      <c r="AN11" t="e">
        <f>装备!#REF!</f>
        <v>#REF!</v>
      </c>
      <c r="AO11" t="e">
        <f>装备!#REF!</f>
        <v>#REF!</v>
      </c>
      <c r="AP11" t="e">
        <f>装备!#REF!</f>
        <v>#REF!</v>
      </c>
      <c r="AQ11" t="e">
        <f>装备!#REF!</f>
        <v>#REF!</v>
      </c>
      <c r="AR11" t="e">
        <f>装备!#REF!</f>
        <v>#REF!</v>
      </c>
      <c r="AS11" t="e">
        <f>装备!#REF!</f>
        <v>#REF!</v>
      </c>
      <c r="AT11" t="e">
        <f t="shared" si="3"/>
        <v>#REF!</v>
      </c>
      <c r="AU11" t="e">
        <f>装备!#REF!</f>
        <v>#REF!</v>
      </c>
      <c r="AV11" t="e">
        <f>装备!#REF!</f>
        <v>#REF!</v>
      </c>
      <c r="AW11" t="e">
        <f>装备!#REF!</f>
        <v>#REF!</v>
      </c>
      <c r="AX11" t="e">
        <f>装备!#REF!</f>
        <v>#REF!</v>
      </c>
      <c r="AY11" t="e">
        <f>装备!#REF!</f>
        <v>#REF!</v>
      </c>
      <c r="AZ11" t="e">
        <f>装备!#REF!</f>
        <v>#REF!</v>
      </c>
      <c r="BA11" t="e">
        <f>装备!#REF!</f>
        <v>#REF!</v>
      </c>
      <c r="BB11" t="e">
        <f>装备!#REF!</f>
        <v>#REF!</v>
      </c>
      <c r="BC11" t="e">
        <f>装备!#REF!</f>
        <v>#REF!</v>
      </c>
      <c r="BD11" t="e">
        <f>装备!#REF!</f>
        <v>#REF!</v>
      </c>
      <c r="BE11" t="e">
        <f t="shared" si="4"/>
        <v>#REF!</v>
      </c>
      <c r="BF11" t="e">
        <f>装备!#REF!</f>
        <v>#REF!</v>
      </c>
      <c r="BG11" t="e">
        <f>装备!#REF!</f>
        <v>#REF!</v>
      </c>
      <c r="BH11" t="e">
        <f>装备!#REF!</f>
        <v>#REF!</v>
      </c>
      <c r="BI11" t="e">
        <f>装备!#REF!</f>
        <v>#REF!</v>
      </c>
      <c r="BJ11" t="e">
        <f>装备!#REF!</f>
        <v>#REF!</v>
      </c>
      <c r="BK11" t="e">
        <f>装备!#REF!</f>
        <v>#REF!</v>
      </c>
      <c r="BL11" t="e">
        <f>装备!#REF!</f>
        <v>#REF!</v>
      </c>
      <c r="BM11" t="e">
        <f>装备!#REF!</f>
        <v>#REF!</v>
      </c>
      <c r="BN11" t="e">
        <f>装备!#REF!</f>
        <v>#REF!</v>
      </c>
      <c r="BO11" t="e">
        <f>装备!#REF!</f>
        <v>#REF!</v>
      </c>
      <c r="BP11" t="e">
        <f t="shared" si="5"/>
        <v>#REF!</v>
      </c>
      <c r="BQ11" t="e">
        <f>装备!#REF!</f>
        <v>#REF!</v>
      </c>
      <c r="BR11" t="e">
        <f>装备!#REF!</f>
        <v>#REF!</v>
      </c>
      <c r="BS11" t="e">
        <f>装备!#REF!</f>
        <v>#REF!</v>
      </c>
      <c r="BT11" t="e">
        <f>装备!#REF!</f>
        <v>#REF!</v>
      </c>
      <c r="BU11" t="e">
        <f>装备!#REF!</f>
        <v>#REF!</v>
      </c>
      <c r="BV11" t="e">
        <f>装备!#REF!</f>
        <v>#REF!</v>
      </c>
      <c r="BW11" t="e">
        <f>装备!#REF!</f>
        <v>#REF!</v>
      </c>
      <c r="BX11" t="e">
        <f>装备!#REF!</f>
        <v>#REF!</v>
      </c>
      <c r="BY11" t="e">
        <f>装备!#REF!</f>
        <v>#REF!</v>
      </c>
      <c r="BZ11" t="e">
        <f>装备!#REF!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装备!#REF!</f>
        <v>#REF!</v>
      </c>
      <c r="B12" t="e">
        <f>装备!#REF!</f>
        <v>#REF!</v>
      </c>
      <c r="C12" t="e">
        <f>装备!#REF!</f>
        <v>#REF!</v>
      </c>
      <c r="D12" t="e">
        <f>装备!#REF!</f>
        <v>#REF!</v>
      </c>
      <c r="E12" t="e">
        <f>装备!#REF!</f>
        <v>#REF!</v>
      </c>
      <c r="F12" t="e">
        <f>装备!#REF!</f>
        <v>#REF!</v>
      </c>
      <c r="G12" t="e">
        <f>装备!#REF!</f>
        <v>#REF!</v>
      </c>
      <c r="H12" t="e">
        <f>装备!#REF!</f>
        <v>#REF!</v>
      </c>
      <c r="I12" t="e">
        <f>装备!#REF!</f>
        <v>#REF!</v>
      </c>
      <c r="J12" t="e">
        <f>装备!#REF!</f>
        <v>#REF!</v>
      </c>
      <c r="K12" t="e">
        <f>装备!#REF!</f>
        <v>#REF!</v>
      </c>
      <c r="L12" t="e">
        <f>装备!#REF!</f>
        <v>#REF!</v>
      </c>
      <c r="M12" t="e">
        <f t="shared" si="0"/>
        <v>#REF!</v>
      </c>
      <c r="N12" t="e">
        <f>装备!#REF!</f>
        <v>#REF!</v>
      </c>
      <c r="O12" t="e">
        <f>装备!#REF!</f>
        <v>#REF!</v>
      </c>
      <c r="P12" t="e">
        <f>装备!#REF!</f>
        <v>#REF!</v>
      </c>
      <c r="Q12" t="e">
        <f>装备!#REF!</f>
        <v>#REF!</v>
      </c>
      <c r="R12" t="e">
        <f>装备!#REF!</f>
        <v>#REF!</v>
      </c>
      <c r="S12" t="e">
        <f>装备!#REF!</f>
        <v>#REF!</v>
      </c>
      <c r="T12" t="e">
        <f>装备!#REF!</f>
        <v>#REF!</v>
      </c>
      <c r="U12" t="e">
        <f>装备!#REF!</f>
        <v>#REF!</v>
      </c>
      <c r="V12" t="e">
        <f>装备!#REF!</f>
        <v>#REF!</v>
      </c>
      <c r="W12" t="e">
        <f>装备!#REF!</f>
        <v>#REF!</v>
      </c>
      <c r="X12" t="e">
        <f t="shared" si="1"/>
        <v>#REF!</v>
      </c>
      <c r="Y12" t="e">
        <f>装备!#REF!</f>
        <v>#REF!</v>
      </c>
      <c r="Z12" t="e">
        <f>装备!#REF!</f>
        <v>#REF!</v>
      </c>
      <c r="AA12" t="e">
        <f>装备!#REF!</f>
        <v>#REF!</v>
      </c>
      <c r="AB12" t="e">
        <f>装备!#REF!</f>
        <v>#REF!</v>
      </c>
      <c r="AC12" t="e">
        <f>装备!#REF!</f>
        <v>#REF!</v>
      </c>
      <c r="AD12" t="e">
        <f>装备!#REF!</f>
        <v>#REF!</v>
      </c>
      <c r="AE12" t="e">
        <f>装备!#REF!</f>
        <v>#REF!</v>
      </c>
      <c r="AF12" t="e">
        <f>装备!#REF!</f>
        <v>#REF!</v>
      </c>
      <c r="AG12" t="e">
        <f>装备!#REF!</f>
        <v>#REF!</v>
      </c>
      <c r="AH12" t="e">
        <f>装备!#REF!</f>
        <v>#REF!</v>
      </c>
      <c r="AI12" t="e">
        <f t="shared" si="2"/>
        <v>#REF!</v>
      </c>
      <c r="AJ12" t="e">
        <f>装备!#REF!</f>
        <v>#REF!</v>
      </c>
      <c r="AK12" t="e">
        <f>装备!#REF!</f>
        <v>#REF!</v>
      </c>
      <c r="AL12" t="e">
        <f>装备!#REF!</f>
        <v>#REF!</v>
      </c>
      <c r="AM12" t="e">
        <f>装备!#REF!</f>
        <v>#REF!</v>
      </c>
      <c r="AN12" t="e">
        <f>装备!#REF!</f>
        <v>#REF!</v>
      </c>
      <c r="AO12" t="e">
        <f>装备!#REF!</f>
        <v>#REF!</v>
      </c>
      <c r="AP12" t="e">
        <f>装备!#REF!</f>
        <v>#REF!</v>
      </c>
      <c r="AQ12" t="e">
        <f>装备!#REF!</f>
        <v>#REF!</v>
      </c>
      <c r="AR12" t="e">
        <f>装备!#REF!</f>
        <v>#REF!</v>
      </c>
      <c r="AS12" t="e">
        <f>装备!#REF!</f>
        <v>#REF!</v>
      </c>
      <c r="AT12" t="e">
        <f t="shared" si="3"/>
        <v>#REF!</v>
      </c>
      <c r="AU12" t="e">
        <f>装备!#REF!</f>
        <v>#REF!</v>
      </c>
      <c r="AV12" t="e">
        <f>装备!#REF!</f>
        <v>#REF!</v>
      </c>
      <c r="AW12" t="e">
        <f>装备!#REF!</f>
        <v>#REF!</v>
      </c>
      <c r="AX12" t="e">
        <f>装备!#REF!</f>
        <v>#REF!</v>
      </c>
      <c r="AY12" t="e">
        <f>装备!#REF!</f>
        <v>#REF!</v>
      </c>
      <c r="AZ12" t="e">
        <f>装备!#REF!</f>
        <v>#REF!</v>
      </c>
      <c r="BA12" t="e">
        <f>装备!#REF!</f>
        <v>#REF!</v>
      </c>
      <c r="BB12" t="e">
        <f>装备!#REF!</f>
        <v>#REF!</v>
      </c>
      <c r="BC12" t="e">
        <f>装备!#REF!</f>
        <v>#REF!</v>
      </c>
      <c r="BD12" t="e">
        <f>装备!#REF!</f>
        <v>#REF!</v>
      </c>
      <c r="BE12" t="e">
        <f t="shared" si="4"/>
        <v>#REF!</v>
      </c>
      <c r="BF12" t="e">
        <f>装备!#REF!</f>
        <v>#REF!</v>
      </c>
      <c r="BG12" t="e">
        <f>装备!#REF!</f>
        <v>#REF!</v>
      </c>
      <c r="BH12" t="e">
        <f>装备!#REF!</f>
        <v>#REF!</v>
      </c>
      <c r="BI12" t="e">
        <f>装备!#REF!</f>
        <v>#REF!</v>
      </c>
      <c r="BJ12" t="e">
        <f>装备!#REF!</f>
        <v>#REF!</v>
      </c>
      <c r="BK12" t="e">
        <f>装备!#REF!</f>
        <v>#REF!</v>
      </c>
      <c r="BL12" t="e">
        <f>装备!#REF!</f>
        <v>#REF!</v>
      </c>
      <c r="BM12" t="e">
        <f>装备!#REF!</f>
        <v>#REF!</v>
      </c>
      <c r="BN12" t="e">
        <f>装备!#REF!</f>
        <v>#REF!</v>
      </c>
      <c r="BO12" t="e">
        <f>装备!#REF!</f>
        <v>#REF!</v>
      </c>
      <c r="BP12" t="e">
        <f t="shared" si="5"/>
        <v>#REF!</v>
      </c>
      <c r="BQ12" t="e">
        <f>装备!#REF!</f>
        <v>#REF!</v>
      </c>
      <c r="BR12" t="e">
        <f>装备!#REF!</f>
        <v>#REF!</v>
      </c>
      <c r="BS12" t="e">
        <f>装备!#REF!</f>
        <v>#REF!</v>
      </c>
      <c r="BT12" t="e">
        <f>装备!#REF!</f>
        <v>#REF!</v>
      </c>
      <c r="BU12" t="e">
        <f>装备!#REF!</f>
        <v>#REF!</v>
      </c>
      <c r="BV12" t="e">
        <f>装备!#REF!</f>
        <v>#REF!</v>
      </c>
      <c r="BW12" t="e">
        <f>装备!#REF!</f>
        <v>#REF!</v>
      </c>
      <c r="BX12" t="e">
        <f>装备!#REF!</f>
        <v>#REF!</v>
      </c>
      <c r="BY12" t="e">
        <f>装备!#REF!</f>
        <v>#REF!</v>
      </c>
      <c r="BZ12" t="e">
        <f>装备!#REF!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装备!#REF!</f>
        <v>#REF!</v>
      </c>
      <c r="B13" t="e">
        <f>装备!#REF!</f>
        <v>#REF!</v>
      </c>
      <c r="C13" t="e">
        <f>装备!#REF!</f>
        <v>#REF!</v>
      </c>
      <c r="D13" t="e">
        <f>装备!#REF!</f>
        <v>#REF!</v>
      </c>
      <c r="E13" t="e">
        <f>装备!#REF!</f>
        <v>#REF!</v>
      </c>
      <c r="F13" t="e">
        <f>装备!#REF!</f>
        <v>#REF!</v>
      </c>
      <c r="G13" t="e">
        <f>装备!#REF!</f>
        <v>#REF!</v>
      </c>
      <c r="H13" t="e">
        <f>装备!#REF!</f>
        <v>#REF!</v>
      </c>
      <c r="I13" t="e">
        <f>装备!#REF!</f>
        <v>#REF!</v>
      </c>
      <c r="J13" t="e">
        <f>装备!#REF!</f>
        <v>#REF!</v>
      </c>
      <c r="K13" t="e">
        <f>装备!#REF!</f>
        <v>#REF!</v>
      </c>
      <c r="L13" t="e">
        <f>装备!#REF!</f>
        <v>#REF!</v>
      </c>
      <c r="M13" t="e">
        <f t="shared" si="0"/>
        <v>#REF!</v>
      </c>
      <c r="N13" t="e">
        <f>装备!#REF!</f>
        <v>#REF!</v>
      </c>
      <c r="O13" t="e">
        <f>装备!#REF!</f>
        <v>#REF!</v>
      </c>
      <c r="P13" t="e">
        <f>装备!#REF!</f>
        <v>#REF!</v>
      </c>
      <c r="Q13" t="e">
        <f>装备!#REF!</f>
        <v>#REF!</v>
      </c>
      <c r="R13" t="e">
        <f>装备!#REF!</f>
        <v>#REF!</v>
      </c>
      <c r="S13" t="e">
        <f>装备!#REF!</f>
        <v>#REF!</v>
      </c>
      <c r="T13" t="e">
        <f>装备!#REF!</f>
        <v>#REF!</v>
      </c>
      <c r="U13" t="e">
        <f>装备!#REF!</f>
        <v>#REF!</v>
      </c>
      <c r="V13" t="e">
        <f>装备!#REF!</f>
        <v>#REF!</v>
      </c>
      <c r="W13" t="e">
        <f>装备!#REF!</f>
        <v>#REF!</v>
      </c>
      <c r="X13" t="e">
        <f t="shared" si="1"/>
        <v>#REF!</v>
      </c>
      <c r="Y13" t="e">
        <f>装备!#REF!</f>
        <v>#REF!</v>
      </c>
      <c r="Z13" t="e">
        <f>装备!#REF!</f>
        <v>#REF!</v>
      </c>
      <c r="AA13" t="e">
        <f>装备!#REF!</f>
        <v>#REF!</v>
      </c>
      <c r="AB13" t="e">
        <f>装备!#REF!</f>
        <v>#REF!</v>
      </c>
      <c r="AC13" t="e">
        <f>装备!#REF!</f>
        <v>#REF!</v>
      </c>
      <c r="AD13" t="e">
        <f>装备!#REF!</f>
        <v>#REF!</v>
      </c>
      <c r="AE13" t="e">
        <f>装备!#REF!</f>
        <v>#REF!</v>
      </c>
      <c r="AF13" t="e">
        <f>装备!#REF!</f>
        <v>#REF!</v>
      </c>
      <c r="AG13" t="e">
        <f>装备!#REF!</f>
        <v>#REF!</v>
      </c>
      <c r="AH13" t="e">
        <f>装备!#REF!</f>
        <v>#REF!</v>
      </c>
      <c r="AI13" t="e">
        <f t="shared" si="2"/>
        <v>#REF!</v>
      </c>
      <c r="AJ13" t="e">
        <f>装备!#REF!</f>
        <v>#REF!</v>
      </c>
      <c r="AK13" t="e">
        <f>装备!#REF!</f>
        <v>#REF!</v>
      </c>
      <c r="AL13" t="e">
        <f>装备!#REF!</f>
        <v>#REF!</v>
      </c>
      <c r="AM13" t="e">
        <f>装备!#REF!</f>
        <v>#REF!</v>
      </c>
      <c r="AN13" t="e">
        <f>装备!#REF!</f>
        <v>#REF!</v>
      </c>
      <c r="AO13" t="e">
        <f>装备!#REF!</f>
        <v>#REF!</v>
      </c>
      <c r="AP13" t="e">
        <f>装备!#REF!</f>
        <v>#REF!</v>
      </c>
      <c r="AQ13" t="e">
        <f>装备!#REF!</f>
        <v>#REF!</v>
      </c>
      <c r="AR13" t="e">
        <f>装备!#REF!</f>
        <v>#REF!</v>
      </c>
      <c r="AS13" t="e">
        <f>装备!#REF!</f>
        <v>#REF!</v>
      </c>
      <c r="AT13" t="e">
        <f t="shared" si="3"/>
        <v>#REF!</v>
      </c>
      <c r="AU13" t="e">
        <f>装备!#REF!</f>
        <v>#REF!</v>
      </c>
      <c r="AV13" t="e">
        <f>装备!#REF!</f>
        <v>#REF!</v>
      </c>
      <c r="AW13" t="e">
        <f>装备!#REF!</f>
        <v>#REF!</v>
      </c>
      <c r="AX13" t="e">
        <f>装备!#REF!</f>
        <v>#REF!</v>
      </c>
      <c r="AY13" t="e">
        <f>装备!#REF!</f>
        <v>#REF!</v>
      </c>
      <c r="AZ13" t="e">
        <f>装备!#REF!</f>
        <v>#REF!</v>
      </c>
      <c r="BA13" t="e">
        <f>装备!#REF!</f>
        <v>#REF!</v>
      </c>
      <c r="BB13" t="e">
        <f>装备!#REF!</f>
        <v>#REF!</v>
      </c>
      <c r="BC13" t="e">
        <f>装备!#REF!</f>
        <v>#REF!</v>
      </c>
      <c r="BD13" t="e">
        <f>装备!#REF!</f>
        <v>#REF!</v>
      </c>
      <c r="BE13" t="e">
        <f t="shared" si="4"/>
        <v>#REF!</v>
      </c>
      <c r="BF13" t="e">
        <f>装备!#REF!</f>
        <v>#REF!</v>
      </c>
      <c r="BG13" t="e">
        <f>装备!#REF!</f>
        <v>#REF!</v>
      </c>
      <c r="BH13" t="e">
        <f>装备!#REF!</f>
        <v>#REF!</v>
      </c>
      <c r="BI13" t="e">
        <f>装备!#REF!</f>
        <v>#REF!</v>
      </c>
      <c r="BJ13" t="e">
        <f>装备!#REF!</f>
        <v>#REF!</v>
      </c>
      <c r="BK13" t="e">
        <f>装备!#REF!</f>
        <v>#REF!</v>
      </c>
      <c r="BL13" t="e">
        <f>装备!#REF!</f>
        <v>#REF!</v>
      </c>
      <c r="BM13" t="e">
        <f>装备!#REF!</f>
        <v>#REF!</v>
      </c>
      <c r="BN13" t="e">
        <f>装备!#REF!</f>
        <v>#REF!</v>
      </c>
      <c r="BO13" t="e">
        <f>装备!#REF!</f>
        <v>#REF!</v>
      </c>
      <c r="BP13" t="e">
        <f t="shared" si="5"/>
        <v>#REF!</v>
      </c>
      <c r="BQ13" t="e">
        <f>装备!#REF!</f>
        <v>#REF!</v>
      </c>
      <c r="BR13" t="e">
        <f>装备!#REF!</f>
        <v>#REF!</v>
      </c>
      <c r="BS13" t="e">
        <f>装备!#REF!</f>
        <v>#REF!</v>
      </c>
      <c r="BT13" t="e">
        <f>装备!#REF!</f>
        <v>#REF!</v>
      </c>
      <c r="BU13" t="e">
        <f>装备!#REF!</f>
        <v>#REF!</v>
      </c>
      <c r="BV13" t="e">
        <f>装备!#REF!</f>
        <v>#REF!</v>
      </c>
      <c r="BW13" t="e">
        <f>装备!#REF!</f>
        <v>#REF!</v>
      </c>
      <c r="BX13" t="e">
        <f>装备!#REF!</f>
        <v>#REF!</v>
      </c>
      <c r="BY13" t="e">
        <f>装备!#REF!</f>
        <v>#REF!</v>
      </c>
      <c r="BZ13" t="e">
        <f>装备!#REF!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装备!#REF!</f>
        <v>#REF!</v>
      </c>
      <c r="B14" t="e">
        <f>装备!#REF!</f>
        <v>#REF!</v>
      </c>
      <c r="C14" t="e">
        <f>装备!#REF!</f>
        <v>#REF!</v>
      </c>
      <c r="D14" t="e">
        <f>装备!#REF!</f>
        <v>#REF!</v>
      </c>
      <c r="E14" t="e">
        <f>装备!#REF!</f>
        <v>#REF!</v>
      </c>
      <c r="F14" t="e">
        <f>装备!#REF!</f>
        <v>#REF!</v>
      </c>
      <c r="G14" t="e">
        <f>装备!#REF!</f>
        <v>#REF!</v>
      </c>
      <c r="H14" t="e">
        <f>装备!#REF!</f>
        <v>#REF!</v>
      </c>
      <c r="I14" t="e">
        <f>装备!#REF!</f>
        <v>#REF!</v>
      </c>
      <c r="J14" t="e">
        <f>装备!#REF!</f>
        <v>#REF!</v>
      </c>
      <c r="K14" t="e">
        <f>装备!#REF!</f>
        <v>#REF!</v>
      </c>
      <c r="L14" t="e">
        <f>装备!#REF!</f>
        <v>#REF!</v>
      </c>
      <c r="M14" t="e">
        <f t="shared" si="0"/>
        <v>#REF!</v>
      </c>
      <c r="N14" t="e">
        <f>装备!#REF!</f>
        <v>#REF!</v>
      </c>
      <c r="O14" t="e">
        <f>装备!#REF!</f>
        <v>#REF!</v>
      </c>
      <c r="P14" t="e">
        <f>装备!#REF!</f>
        <v>#REF!</v>
      </c>
      <c r="Q14" t="e">
        <f>装备!#REF!</f>
        <v>#REF!</v>
      </c>
      <c r="R14" t="e">
        <f>装备!#REF!</f>
        <v>#REF!</v>
      </c>
      <c r="S14" t="e">
        <f>装备!#REF!</f>
        <v>#REF!</v>
      </c>
      <c r="T14" t="e">
        <f>装备!#REF!</f>
        <v>#REF!</v>
      </c>
      <c r="U14" t="e">
        <f>装备!#REF!</f>
        <v>#REF!</v>
      </c>
      <c r="V14" t="e">
        <f>装备!#REF!</f>
        <v>#REF!</v>
      </c>
      <c r="W14" t="e">
        <f>装备!#REF!</f>
        <v>#REF!</v>
      </c>
      <c r="X14" t="e">
        <f t="shared" si="1"/>
        <v>#REF!</v>
      </c>
      <c r="Y14" t="e">
        <f>装备!#REF!</f>
        <v>#REF!</v>
      </c>
      <c r="Z14" t="e">
        <f>装备!#REF!</f>
        <v>#REF!</v>
      </c>
      <c r="AA14" t="e">
        <f>装备!#REF!</f>
        <v>#REF!</v>
      </c>
      <c r="AB14" t="e">
        <f>装备!#REF!</f>
        <v>#REF!</v>
      </c>
      <c r="AC14" t="e">
        <f>装备!#REF!</f>
        <v>#REF!</v>
      </c>
      <c r="AD14" t="e">
        <f>装备!#REF!</f>
        <v>#REF!</v>
      </c>
      <c r="AE14" t="e">
        <f>装备!#REF!</f>
        <v>#REF!</v>
      </c>
      <c r="AF14" t="e">
        <f>装备!#REF!</f>
        <v>#REF!</v>
      </c>
      <c r="AG14" t="e">
        <f>装备!#REF!</f>
        <v>#REF!</v>
      </c>
      <c r="AH14" t="e">
        <f>装备!#REF!</f>
        <v>#REF!</v>
      </c>
      <c r="AI14" t="e">
        <f t="shared" si="2"/>
        <v>#REF!</v>
      </c>
      <c r="AJ14" t="e">
        <f>装备!#REF!</f>
        <v>#REF!</v>
      </c>
      <c r="AK14" t="e">
        <f>装备!#REF!</f>
        <v>#REF!</v>
      </c>
      <c r="AL14" t="e">
        <f>装备!#REF!</f>
        <v>#REF!</v>
      </c>
      <c r="AM14" t="e">
        <f>装备!#REF!</f>
        <v>#REF!</v>
      </c>
      <c r="AN14" t="e">
        <f>装备!#REF!</f>
        <v>#REF!</v>
      </c>
      <c r="AO14" t="e">
        <f>装备!#REF!</f>
        <v>#REF!</v>
      </c>
      <c r="AP14" t="e">
        <f>装备!#REF!</f>
        <v>#REF!</v>
      </c>
      <c r="AQ14" t="e">
        <f>装备!#REF!</f>
        <v>#REF!</v>
      </c>
      <c r="AR14" t="e">
        <f>装备!#REF!</f>
        <v>#REF!</v>
      </c>
      <c r="AS14" t="e">
        <f>装备!#REF!</f>
        <v>#REF!</v>
      </c>
      <c r="AT14" t="e">
        <f t="shared" si="3"/>
        <v>#REF!</v>
      </c>
      <c r="AU14" t="e">
        <f>装备!#REF!</f>
        <v>#REF!</v>
      </c>
      <c r="AV14" t="e">
        <f>装备!#REF!</f>
        <v>#REF!</v>
      </c>
      <c r="AW14" t="e">
        <f>装备!#REF!</f>
        <v>#REF!</v>
      </c>
      <c r="AX14" t="e">
        <f>装备!#REF!</f>
        <v>#REF!</v>
      </c>
      <c r="AY14" t="e">
        <f>装备!#REF!</f>
        <v>#REF!</v>
      </c>
      <c r="AZ14" t="e">
        <f>装备!#REF!</f>
        <v>#REF!</v>
      </c>
      <c r="BA14" t="e">
        <f>装备!#REF!</f>
        <v>#REF!</v>
      </c>
      <c r="BB14" t="e">
        <f>装备!#REF!</f>
        <v>#REF!</v>
      </c>
      <c r="BC14" t="e">
        <f>装备!#REF!</f>
        <v>#REF!</v>
      </c>
      <c r="BD14" t="e">
        <f>装备!#REF!</f>
        <v>#REF!</v>
      </c>
      <c r="BE14" t="e">
        <f t="shared" si="4"/>
        <v>#REF!</v>
      </c>
      <c r="BF14" t="e">
        <f>装备!#REF!</f>
        <v>#REF!</v>
      </c>
      <c r="BG14" t="e">
        <f>装备!#REF!</f>
        <v>#REF!</v>
      </c>
      <c r="BH14" t="e">
        <f>装备!#REF!</f>
        <v>#REF!</v>
      </c>
      <c r="BI14" t="e">
        <f>装备!#REF!</f>
        <v>#REF!</v>
      </c>
      <c r="BJ14" t="e">
        <f>装备!#REF!</f>
        <v>#REF!</v>
      </c>
      <c r="BK14" t="e">
        <f>装备!#REF!</f>
        <v>#REF!</v>
      </c>
      <c r="BL14" t="e">
        <f>装备!#REF!</f>
        <v>#REF!</v>
      </c>
      <c r="BM14" t="e">
        <f>装备!#REF!</f>
        <v>#REF!</v>
      </c>
      <c r="BN14" t="e">
        <f>装备!#REF!</f>
        <v>#REF!</v>
      </c>
      <c r="BO14" t="e">
        <f>装备!#REF!</f>
        <v>#REF!</v>
      </c>
      <c r="BP14" t="e">
        <f t="shared" si="5"/>
        <v>#REF!</v>
      </c>
      <c r="BQ14" t="e">
        <f>装备!#REF!</f>
        <v>#REF!</v>
      </c>
      <c r="BR14" t="e">
        <f>装备!#REF!</f>
        <v>#REF!</v>
      </c>
      <c r="BS14" t="e">
        <f>装备!#REF!</f>
        <v>#REF!</v>
      </c>
      <c r="BT14" t="e">
        <f>装备!#REF!</f>
        <v>#REF!</v>
      </c>
      <c r="BU14" t="e">
        <f>装备!#REF!</f>
        <v>#REF!</v>
      </c>
      <c r="BV14" t="e">
        <f>装备!#REF!</f>
        <v>#REF!</v>
      </c>
      <c r="BW14" t="e">
        <f>装备!#REF!</f>
        <v>#REF!</v>
      </c>
      <c r="BX14" t="e">
        <f>装备!#REF!</f>
        <v>#REF!</v>
      </c>
      <c r="BY14" t="e">
        <f>装备!#REF!</f>
        <v>#REF!</v>
      </c>
      <c r="BZ14" t="e">
        <f>装备!#REF!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装备!#REF!</f>
        <v>#REF!</v>
      </c>
      <c r="B15" t="e">
        <f>装备!#REF!</f>
        <v>#REF!</v>
      </c>
      <c r="C15" t="e">
        <f>装备!#REF!</f>
        <v>#REF!</v>
      </c>
      <c r="D15" t="e">
        <f>装备!#REF!</f>
        <v>#REF!</v>
      </c>
      <c r="E15" t="e">
        <f>装备!#REF!</f>
        <v>#REF!</v>
      </c>
      <c r="F15" t="e">
        <f>装备!#REF!</f>
        <v>#REF!</v>
      </c>
      <c r="G15" t="e">
        <f>装备!#REF!</f>
        <v>#REF!</v>
      </c>
      <c r="H15" t="e">
        <f>装备!#REF!</f>
        <v>#REF!</v>
      </c>
      <c r="I15" t="e">
        <f>装备!#REF!</f>
        <v>#REF!</v>
      </c>
      <c r="J15" t="e">
        <f>装备!#REF!</f>
        <v>#REF!</v>
      </c>
      <c r="K15" t="e">
        <f>装备!#REF!</f>
        <v>#REF!</v>
      </c>
      <c r="L15" t="e">
        <f>装备!#REF!</f>
        <v>#REF!</v>
      </c>
      <c r="M15" t="e">
        <f t="shared" si="0"/>
        <v>#REF!</v>
      </c>
      <c r="N15" t="e">
        <f>装备!#REF!</f>
        <v>#REF!</v>
      </c>
      <c r="O15" t="e">
        <f>装备!#REF!</f>
        <v>#REF!</v>
      </c>
      <c r="P15" t="e">
        <f>装备!#REF!</f>
        <v>#REF!</v>
      </c>
      <c r="Q15" t="e">
        <f>装备!#REF!</f>
        <v>#REF!</v>
      </c>
      <c r="R15" t="e">
        <f>装备!#REF!</f>
        <v>#REF!</v>
      </c>
      <c r="S15" t="e">
        <f>装备!#REF!</f>
        <v>#REF!</v>
      </c>
      <c r="T15" t="e">
        <f>装备!#REF!</f>
        <v>#REF!</v>
      </c>
      <c r="U15" t="e">
        <f>装备!#REF!</f>
        <v>#REF!</v>
      </c>
      <c r="V15" t="e">
        <f>装备!#REF!</f>
        <v>#REF!</v>
      </c>
      <c r="W15" t="e">
        <f>装备!#REF!</f>
        <v>#REF!</v>
      </c>
      <c r="X15" t="e">
        <f t="shared" si="1"/>
        <v>#REF!</v>
      </c>
      <c r="Y15" t="e">
        <f>装备!#REF!</f>
        <v>#REF!</v>
      </c>
      <c r="Z15" t="e">
        <f>装备!#REF!</f>
        <v>#REF!</v>
      </c>
      <c r="AA15" t="e">
        <f>装备!#REF!</f>
        <v>#REF!</v>
      </c>
      <c r="AB15" t="e">
        <f>装备!#REF!</f>
        <v>#REF!</v>
      </c>
      <c r="AC15" t="e">
        <f>装备!#REF!</f>
        <v>#REF!</v>
      </c>
      <c r="AD15" t="e">
        <f>装备!#REF!</f>
        <v>#REF!</v>
      </c>
      <c r="AE15" t="e">
        <f>装备!#REF!</f>
        <v>#REF!</v>
      </c>
      <c r="AF15" t="e">
        <f>装备!#REF!</f>
        <v>#REF!</v>
      </c>
      <c r="AG15" t="e">
        <f>装备!#REF!</f>
        <v>#REF!</v>
      </c>
      <c r="AH15" t="e">
        <f>装备!#REF!</f>
        <v>#REF!</v>
      </c>
      <c r="AI15" t="e">
        <f t="shared" si="2"/>
        <v>#REF!</v>
      </c>
      <c r="AJ15" t="e">
        <f>装备!#REF!</f>
        <v>#REF!</v>
      </c>
      <c r="AK15" t="e">
        <f>装备!#REF!</f>
        <v>#REF!</v>
      </c>
      <c r="AL15" t="e">
        <f>装备!#REF!</f>
        <v>#REF!</v>
      </c>
      <c r="AM15" t="e">
        <f>装备!#REF!</f>
        <v>#REF!</v>
      </c>
      <c r="AN15" t="e">
        <f>装备!#REF!</f>
        <v>#REF!</v>
      </c>
      <c r="AO15" t="e">
        <f>装备!#REF!</f>
        <v>#REF!</v>
      </c>
      <c r="AP15" t="e">
        <f>装备!#REF!</f>
        <v>#REF!</v>
      </c>
      <c r="AQ15" t="e">
        <f>装备!#REF!</f>
        <v>#REF!</v>
      </c>
      <c r="AR15" t="e">
        <f>装备!#REF!</f>
        <v>#REF!</v>
      </c>
      <c r="AS15" t="e">
        <f>装备!#REF!</f>
        <v>#REF!</v>
      </c>
      <c r="AT15" t="e">
        <f t="shared" si="3"/>
        <v>#REF!</v>
      </c>
      <c r="AU15" t="e">
        <f>装备!#REF!</f>
        <v>#REF!</v>
      </c>
      <c r="AV15" t="e">
        <f>装备!#REF!</f>
        <v>#REF!</v>
      </c>
      <c r="AW15" t="e">
        <f>装备!#REF!</f>
        <v>#REF!</v>
      </c>
      <c r="AX15" t="e">
        <f>装备!#REF!</f>
        <v>#REF!</v>
      </c>
      <c r="AY15" t="e">
        <f>装备!#REF!</f>
        <v>#REF!</v>
      </c>
      <c r="AZ15" t="e">
        <f>装备!#REF!</f>
        <v>#REF!</v>
      </c>
      <c r="BA15" t="e">
        <f>装备!#REF!</f>
        <v>#REF!</v>
      </c>
      <c r="BB15" t="e">
        <f>装备!#REF!</f>
        <v>#REF!</v>
      </c>
      <c r="BC15" t="e">
        <f>装备!#REF!</f>
        <v>#REF!</v>
      </c>
      <c r="BD15" t="e">
        <f>装备!#REF!</f>
        <v>#REF!</v>
      </c>
      <c r="BE15" t="e">
        <f t="shared" si="4"/>
        <v>#REF!</v>
      </c>
      <c r="BF15" t="e">
        <f>装备!#REF!</f>
        <v>#REF!</v>
      </c>
      <c r="BG15" t="e">
        <f>装备!#REF!</f>
        <v>#REF!</v>
      </c>
      <c r="BH15" t="e">
        <f>装备!#REF!</f>
        <v>#REF!</v>
      </c>
      <c r="BI15" t="e">
        <f>装备!#REF!</f>
        <v>#REF!</v>
      </c>
      <c r="BJ15" t="e">
        <f>装备!#REF!</f>
        <v>#REF!</v>
      </c>
      <c r="BK15" t="e">
        <f>装备!#REF!</f>
        <v>#REF!</v>
      </c>
      <c r="BL15" t="e">
        <f>装备!#REF!</f>
        <v>#REF!</v>
      </c>
      <c r="BM15" t="e">
        <f>装备!#REF!</f>
        <v>#REF!</v>
      </c>
      <c r="BN15" t="e">
        <f>装备!#REF!</f>
        <v>#REF!</v>
      </c>
      <c r="BO15" t="e">
        <f>装备!#REF!</f>
        <v>#REF!</v>
      </c>
      <c r="BP15" t="e">
        <f t="shared" si="5"/>
        <v>#REF!</v>
      </c>
      <c r="BQ15" t="e">
        <f>装备!#REF!</f>
        <v>#REF!</v>
      </c>
      <c r="BR15" t="e">
        <f>装备!#REF!</f>
        <v>#REF!</v>
      </c>
      <c r="BS15" t="e">
        <f>装备!#REF!</f>
        <v>#REF!</v>
      </c>
      <c r="BT15" t="e">
        <f>装备!#REF!</f>
        <v>#REF!</v>
      </c>
      <c r="BU15" t="e">
        <f>装备!#REF!</f>
        <v>#REF!</v>
      </c>
      <c r="BV15" t="e">
        <f>装备!#REF!</f>
        <v>#REF!</v>
      </c>
      <c r="BW15" t="e">
        <f>装备!#REF!</f>
        <v>#REF!</v>
      </c>
      <c r="BX15" t="e">
        <f>装备!#REF!</f>
        <v>#REF!</v>
      </c>
      <c r="BY15" t="e">
        <f>装备!#REF!</f>
        <v>#REF!</v>
      </c>
      <c r="BZ15" t="e">
        <f>装备!#REF!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装备!#REF!</f>
        <v>#REF!</v>
      </c>
      <c r="B16" t="e">
        <f>装备!#REF!</f>
        <v>#REF!</v>
      </c>
      <c r="C16" t="e">
        <f>装备!#REF!</f>
        <v>#REF!</v>
      </c>
      <c r="D16" t="e">
        <f>装备!#REF!</f>
        <v>#REF!</v>
      </c>
      <c r="E16" t="e">
        <f>装备!#REF!</f>
        <v>#REF!</v>
      </c>
      <c r="F16" t="e">
        <f>装备!#REF!</f>
        <v>#REF!</v>
      </c>
      <c r="G16" t="e">
        <f>装备!#REF!</f>
        <v>#REF!</v>
      </c>
      <c r="H16" t="e">
        <f>装备!#REF!</f>
        <v>#REF!</v>
      </c>
      <c r="I16" t="e">
        <f>装备!#REF!</f>
        <v>#REF!</v>
      </c>
      <c r="J16" t="e">
        <f>装备!#REF!</f>
        <v>#REF!</v>
      </c>
      <c r="K16" t="e">
        <f>装备!#REF!</f>
        <v>#REF!</v>
      </c>
      <c r="L16" t="e">
        <f>装备!#REF!</f>
        <v>#REF!</v>
      </c>
      <c r="M16" t="e">
        <f t="shared" si="0"/>
        <v>#REF!</v>
      </c>
      <c r="N16" t="e">
        <f>装备!#REF!</f>
        <v>#REF!</v>
      </c>
      <c r="O16" t="e">
        <f>装备!#REF!</f>
        <v>#REF!</v>
      </c>
      <c r="P16" t="e">
        <f>装备!#REF!</f>
        <v>#REF!</v>
      </c>
      <c r="Q16" t="e">
        <f>装备!#REF!</f>
        <v>#REF!</v>
      </c>
      <c r="R16" t="e">
        <f>装备!#REF!</f>
        <v>#REF!</v>
      </c>
      <c r="S16" t="e">
        <f>装备!#REF!</f>
        <v>#REF!</v>
      </c>
      <c r="T16" t="e">
        <f>装备!#REF!</f>
        <v>#REF!</v>
      </c>
      <c r="U16" t="e">
        <f>装备!#REF!</f>
        <v>#REF!</v>
      </c>
      <c r="V16" t="e">
        <f>装备!#REF!</f>
        <v>#REF!</v>
      </c>
      <c r="W16" t="e">
        <f>装备!#REF!</f>
        <v>#REF!</v>
      </c>
      <c r="X16" t="e">
        <f t="shared" si="1"/>
        <v>#REF!</v>
      </c>
      <c r="Y16" t="e">
        <f>装备!#REF!</f>
        <v>#REF!</v>
      </c>
      <c r="Z16" t="e">
        <f>装备!#REF!</f>
        <v>#REF!</v>
      </c>
      <c r="AA16" t="e">
        <f>装备!#REF!</f>
        <v>#REF!</v>
      </c>
      <c r="AB16" t="e">
        <f>装备!#REF!</f>
        <v>#REF!</v>
      </c>
      <c r="AC16" t="e">
        <f>装备!#REF!</f>
        <v>#REF!</v>
      </c>
      <c r="AD16" t="e">
        <f>装备!#REF!</f>
        <v>#REF!</v>
      </c>
      <c r="AE16" t="e">
        <f>装备!#REF!</f>
        <v>#REF!</v>
      </c>
      <c r="AF16" t="e">
        <f>装备!#REF!</f>
        <v>#REF!</v>
      </c>
      <c r="AG16" t="e">
        <f>装备!#REF!</f>
        <v>#REF!</v>
      </c>
      <c r="AH16" t="e">
        <f>装备!#REF!</f>
        <v>#REF!</v>
      </c>
      <c r="AI16" t="e">
        <f t="shared" si="2"/>
        <v>#REF!</v>
      </c>
      <c r="AJ16" t="e">
        <f>装备!#REF!</f>
        <v>#REF!</v>
      </c>
      <c r="AK16" t="e">
        <f>装备!#REF!</f>
        <v>#REF!</v>
      </c>
      <c r="AL16" t="e">
        <f>装备!#REF!</f>
        <v>#REF!</v>
      </c>
      <c r="AM16" t="e">
        <f>装备!#REF!</f>
        <v>#REF!</v>
      </c>
      <c r="AN16" t="e">
        <f>装备!#REF!</f>
        <v>#REF!</v>
      </c>
      <c r="AO16" t="e">
        <f>装备!#REF!</f>
        <v>#REF!</v>
      </c>
      <c r="AP16" t="e">
        <f>装备!#REF!</f>
        <v>#REF!</v>
      </c>
      <c r="AQ16" t="e">
        <f>装备!#REF!</f>
        <v>#REF!</v>
      </c>
      <c r="AR16" t="e">
        <f>装备!#REF!</f>
        <v>#REF!</v>
      </c>
      <c r="AS16" t="e">
        <f>装备!#REF!</f>
        <v>#REF!</v>
      </c>
      <c r="AT16" t="e">
        <f t="shared" si="3"/>
        <v>#REF!</v>
      </c>
      <c r="AU16" t="e">
        <f>装备!#REF!</f>
        <v>#REF!</v>
      </c>
      <c r="AV16" t="e">
        <f>装备!#REF!</f>
        <v>#REF!</v>
      </c>
      <c r="AW16" t="e">
        <f>装备!#REF!</f>
        <v>#REF!</v>
      </c>
      <c r="AX16" t="e">
        <f>装备!#REF!</f>
        <v>#REF!</v>
      </c>
      <c r="AY16" t="e">
        <f>装备!#REF!</f>
        <v>#REF!</v>
      </c>
      <c r="AZ16" t="e">
        <f>装备!#REF!</f>
        <v>#REF!</v>
      </c>
      <c r="BA16" t="e">
        <f>装备!#REF!</f>
        <v>#REF!</v>
      </c>
      <c r="BB16" t="e">
        <f>装备!#REF!</f>
        <v>#REF!</v>
      </c>
      <c r="BC16" t="e">
        <f>装备!#REF!</f>
        <v>#REF!</v>
      </c>
      <c r="BD16" t="e">
        <f>装备!#REF!</f>
        <v>#REF!</v>
      </c>
      <c r="BE16" t="e">
        <f t="shared" si="4"/>
        <v>#REF!</v>
      </c>
      <c r="BF16" t="e">
        <f>装备!#REF!</f>
        <v>#REF!</v>
      </c>
      <c r="BG16" t="e">
        <f>装备!#REF!</f>
        <v>#REF!</v>
      </c>
      <c r="BH16" t="e">
        <f>装备!#REF!</f>
        <v>#REF!</v>
      </c>
      <c r="BI16" t="e">
        <f>装备!#REF!</f>
        <v>#REF!</v>
      </c>
      <c r="BJ16" t="e">
        <f>装备!#REF!</f>
        <v>#REF!</v>
      </c>
      <c r="BK16" t="e">
        <f>装备!#REF!</f>
        <v>#REF!</v>
      </c>
      <c r="BL16" t="e">
        <f>装备!#REF!</f>
        <v>#REF!</v>
      </c>
      <c r="BM16" t="e">
        <f>装备!#REF!</f>
        <v>#REF!</v>
      </c>
      <c r="BN16" t="e">
        <f>装备!#REF!</f>
        <v>#REF!</v>
      </c>
      <c r="BO16" t="e">
        <f>装备!#REF!</f>
        <v>#REF!</v>
      </c>
      <c r="BP16" t="e">
        <f t="shared" si="5"/>
        <v>#REF!</v>
      </c>
      <c r="BQ16" t="e">
        <f>装备!#REF!</f>
        <v>#REF!</v>
      </c>
      <c r="BR16" t="e">
        <f>装备!#REF!</f>
        <v>#REF!</v>
      </c>
      <c r="BS16" t="e">
        <f>装备!#REF!</f>
        <v>#REF!</v>
      </c>
      <c r="BT16" t="e">
        <f>装备!#REF!</f>
        <v>#REF!</v>
      </c>
      <c r="BU16" t="e">
        <f>装备!#REF!</f>
        <v>#REF!</v>
      </c>
      <c r="BV16" t="e">
        <f>装备!#REF!</f>
        <v>#REF!</v>
      </c>
      <c r="BW16" t="e">
        <f>装备!#REF!</f>
        <v>#REF!</v>
      </c>
      <c r="BX16" t="e">
        <f>装备!#REF!</f>
        <v>#REF!</v>
      </c>
      <c r="BY16" t="e">
        <f>装备!#REF!</f>
        <v>#REF!</v>
      </c>
      <c r="BZ16" t="e">
        <f>装备!#REF!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装备!#REF!</f>
        <v>#REF!</v>
      </c>
      <c r="B17" t="e">
        <f>装备!#REF!</f>
        <v>#REF!</v>
      </c>
      <c r="C17" t="e">
        <f>装备!#REF!</f>
        <v>#REF!</v>
      </c>
      <c r="D17" t="e">
        <f>装备!#REF!</f>
        <v>#REF!</v>
      </c>
      <c r="E17" t="e">
        <f>装备!#REF!</f>
        <v>#REF!</v>
      </c>
      <c r="F17" t="e">
        <f>装备!#REF!</f>
        <v>#REF!</v>
      </c>
      <c r="G17" t="e">
        <f>装备!#REF!</f>
        <v>#REF!</v>
      </c>
      <c r="H17" t="e">
        <f>装备!#REF!</f>
        <v>#REF!</v>
      </c>
      <c r="I17" t="e">
        <f>装备!#REF!</f>
        <v>#REF!</v>
      </c>
      <c r="J17" t="e">
        <f>装备!#REF!</f>
        <v>#REF!</v>
      </c>
      <c r="K17" t="e">
        <f>装备!#REF!</f>
        <v>#REF!</v>
      </c>
      <c r="L17" t="e">
        <f>装备!#REF!</f>
        <v>#REF!</v>
      </c>
      <c r="M17" t="e">
        <f t="shared" si="0"/>
        <v>#REF!</v>
      </c>
      <c r="N17" t="e">
        <f>装备!#REF!</f>
        <v>#REF!</v>
      </c>
      <c r="O17" t="e">
        <f>装备!#REF!</f>
        <v>#REF!</v>
      </c>
      <c r="P17" t="e">
        <f>装备!#REF!</f>
        <v>#REF!</v>
      </c>
      <c r="Q17" t="e">
        <f>装备!#REF!</f>
        <v>#REF!</v>
      </c>
      <c r="R17" t="e">
        <f>装备!#REF!</f>
        <v>#REF!</v>
      </c>
      <c r="S17" t="e">
        <f>装备!#REF!</f>
        <v>#REF!</v>
      </c>
      <c r="T17" t="e">
        <f>装备!#REF!</f>
        <v>#REF!</v>
      </c>
      <c r="U17" t="e">
        <f>装备!#REF!</f>
        <v>#REF!</v>
      </c>
      <c r="V17" t="e">
        <f>装备!#REF!</f>
        <v>#REF!</v>
      </c>
      <c r="W17" t="e">
        <f>装备!#REF!</f>
        <v>#REF!</v>
      </c>
      <c r="X17" t="e">
        <f t="shared" si="1"/>
        <v>#REF!</v>
      </c>
      <c r="Y17" t="e">
        <f>装备!#REF!</f>
        <v>#REF!</v>
      </c>
      <c r="Z17" t="e">
        <f>装备!#REF!</f>
        <v>#REF!</v>
      </c>
      <c r="AA17" t="e">
        <f>装备!#REF!</f>
        <v>#REF!</v>
      </c>
      <c r="AB17" t="e">
        <f>装备!#REF!</f>
        <v>#REF!</v>
      </c>
      <c r="AC17" t="e">
        <f>装备!#REF!</f>
        <v>#REF!</v>
      </c>
      <c r="AD17" t="e">
        <f>装备!#REF!</f>
        <v>#REF!</v>
      </c>
      <c r="AE17" t="e">
        <f>装备!#REF!</f>
        <v>#REF!</v>
      </c>
      <c r="AF17" t="e">
        <f>装备!#REF!</f>
        <v>#REF!</v>
      </c>
      <c r="AG17" t="e">
        <f>装备!#REF!</f>
        <v>#REF!</v>
      </c>
      <c r="AH17" t="e">
        <f>装备!#REF!</f>
        <v>#REF!</v>
      </c>
      <c r="AI17" t="e">
        <f t="shared" si="2"/>
        <v>#REF!</v>
      </c>
      <c r="AJ17" t="e">
        <f>装备!#REF!</f>
        <v>#REF!</v>
      </c>
      <c r="AK17" t="e">
        <f>装备!#REF!</f>
        <v>#REF!</v>
      </c>
      <c r="AL17" t="e">
        <f>装备!#REF!</f>
        <v>#REF!</v>
      </c>
      <c r="AM17" t="e">
        <f>装备!#REF!</f>
        <v>#REF!</v>
      </c>
      <c r="AN17" t="e">
        <f>装备!#REF!</f>
        <v>#REF!</v>
      </c>
      <c r="AO17" t="e">
        <f>装备!#REF!</f>
        <v>#REF!</v>
      </c>
      <c r="AP17" t="e">
        <f>装备!#REF!</f>
        <v>#REF!</v>
      </c>
      <c r="AQ17" t="e">
        <f>装备!#REF!</f>
        <v>#REF!</v>
      </c>
      <c r="AR17" t="e">
        <f>装备!#REF!</f>
        <v>#REF!</v>
      </c>
      <c r="AS17" t="e">
        <f>装备!#REF!</f>
        <v>#REF!</v>
      </c>
      <c r="AT17" t="e">
        <f t="shared" si="3"/>
        <v>#REF!</v>
      </c>
      <c r="AU17" t="e">
        <f>装备!#REF!</f>
        <v>#REF!</v>
      </c>
      <c r="AV17" t="e">
        <f>装备!#REF!</f>
        <v>#REF!</v>
      </c>
      <c r="AW17" t="e">
        <f>装备!#REF!</f>
        <v>#REF!</v>
      </c>
      <c r="AX17" t="e">
        <f>装备!#REF!</f>
        <v>#REF!</v>
      </c>
      <c r="AY17" t="e">
        <f>装备!#REF!</f>
        <v>#REF!</v>
      </c>
      <c r="AZ17" t="e">
        <f>装备!#REF!</f>
        <v>#REF!</v>
      </c>
      <c r="BA17" t="e">
        <f>装备!#REF!</f>
        <v>#REF!</v>
      </c>
      <c r="BB17" t="e">
        <f>装备!#REF!</f>
        <v>#REF!</v>
      </c>
      <c r="BC17" t="e">
        <f>装备!#REF!</f>
        <v>#REF!</v>
      </c>
      <c r="BD17" t="e">
        <f>装备!#REF!</f>
        <v>#REF!</v>
      </c>
      <c r="BE17" t="e">
        <f t="shared" si="4"/>
        <v>#REF!</v>
      </c>
      <c r="BF17" t="e">
        <f>装备!#REF!</f>
        <v>#REF!</v>
      </c>
      <c r="BG17" t="e">
        <f>装备!#REF!</f>
        <v>#REF!</v>
      </c>
      <c r="BH17" t="e">
        <f>装备!#REF!</f>
        <v>#REF!</v>
      </c>
      <c r="BI17" t="e">
        <f>装备!#REF!</f>
        <v>#REF!</v>
      </c>
      <c r="BJ17" t="e">
        <f>装备!#REF!</f>
        <v>#REF!</v>
      </c>
      <c r="BK17" t="e">
        <f>装备!#REF!</f>
        <v>#REF!</v>
      </c>
      <c r="BL17" t="e">
        <f>装备!#REF!</f>
        <v>#REF!</v>
      </c>
      <c r="BM17" t="e">
        <f>装备!#REF!</f>
        <v>#REF!</v>
      </c>
      <c r="BN17" t="e">
        <f>装备!#REF!</f>
        <v>#REF!</v>
      </c>
      <c r="BO17" t="e">
        <f>装备!#REF!</f>
        <v>#REF!</v>
      </c>
      <c r="BP17" t="e">
        <f t="shared" si="5"/>
        <v>#REF!</v>
      </c>
      <c r="BQ17" t="e">
        <f>装备!#REF!</f>
        <v>#REF!</v>
      </c>
      <c r="BR17" t="e">
        <f>装备!#REF!</f>
        <v>#REF!</v>
      </c>
      <c r="BS17" t="e">
        <f>装备!#REF!</f>
        <v>#REF!</v>
      </c>
      <c r="BT17" t="e">
        <f>装备!#REF!</f>
        <v>#REF!</v>
      </c>
      <c r="BU17" t="e">
        <f>装备!#REF!</f>
        <v>#REF!</v>
      </c>
      <c r="BV17" t="e">
        <f>装备!#REF!</f>
        <v>#REF!</v>
      </c>
      <c r="BW17" t="e">
        <f>装备!#REF!</f>
        <v>#REF!</v>
      </c>
      <c r="BX17" t="e">
        <f>装备!#REF!</f>
        <v>#REF!</v>
      </c>
      <c r="BY17" t="e">
        <f>装备!#REF!</f>
        <v>#REF!</v>
      </c>
      <c r="BZ17" t="e">
        <f>装备!#REF!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装备!#REF!</f>
        <v>#REF!</v>
      </c>
      <c r="B18" t="e">
        <f>装备!#REF!</f>
        <v>#REF!</v>
      </c>
      <c r="C18" t="e">
        <f>装备!#REF!</f>
        <v>#REF!</v>
      </c>
      <c r="D18" t="e">
        <f>装备!#REF!</f>
        <v>#REF!</v>
      </c>
      <c r="E18" t="e">
        <f>装备!#REF!</f>
        <v>#REF!</v>
      </c>
      <c r="F18" t="e">
        <f>装备!#REF!</f>
        <v>#REF!</v>
      </c>
      <c r="G18" t="e">
        <f>装备!#REF!</f>
        <v>#REF!</v>
      </c>
      <c r="H18" t="e">
        <f>装备!#REF!</f>
        <v>#REF!</v>
      </c>
      <c r="I18" t="e">
        <f>装备!#REF!</f>
        <v>#REF!</v>
      </c>
      <c r="J18" t="e">
        <f>装备!#REF!</f>
        <v>#REF!</v>
      </c>
      <c r="K18" t="e">
        <f>装备!#REF!</f>
        <v>#REF!</v>
      </c>
      <c r="L18" t="e">
        <f>装备!#REF!</f>
        <v>#REF!</v>
      </c>
      <c r="M18" t="e">
        <f t="shared" si="0"/>
        <v>#REF!</v>
      </c>
      <c r="N18" t="e">
        <f>装备!#REF!</f>
        <v>#REF!</v>
      </c>
      <c r="O18" t="e">
        <f>装备!#REF!</f>
        <v>#REF!</v>
      </c>
      <c r="P18" t="e">
        <f>装备!#REF!</f>
        <v>#REF!</v>
      </c>
      <c r="Q18" t="e">
        <f>装备!#REF!</f>
        <v>#REF!</v>
      </c>
      <c r="R18" t="e">
        <f>装备!#REF!</f>
        <v>#REF!</v>
      </c>
      <c r="S18" t="e">
        <f>装备!#REF!</f>
        <v>#REF!</v>
      </c>
      <c r="T18" t="e">
        <f>装备!#REF!</f>
        <v>#REF!</v>
      </c>
      <c r="U18" t="e">
        <f>装备!#REF!</f>
        <v>#REF!</v>
      </c>
      <c r="V18" t="e">
        <f>装备!#REF!</f>
        <v>#REF!</v>
      </c>
      <c r="W18" t="e">
        <f>装备!#REF!</f>
        <v>#REF!</v>
      </c>
      <c r="X18" t="e">
        <f t="shared" si="1"/>
        <v>#REF!</v>
      </c>
      <c r="Y18" t="e">
        <f>装备!#REF!</f>
        <v>#REF!</v>
      </c>
      <c r="Z18" t="e">
        <f>装备!#REF!</f>
        <v>#REF!</v>
      </c>
      <c r="AA18" t="e">
        <f>装备!#REF!</f>
        <v>#REF!</v>
      </c>
      <c r="AB18" t="e">
        <f>装备!#REF!</f>
        <v>#REF!</v>
      </c>
      <c r="AC18" t="e">
        <f>装备!#REF!</f>
        <v>#REF!</v>
      </c>
      <c r="AD18" t="e">
        <f>装备!#REF!</f>
        <v>#REF!</v>
      </c>
      <c r="AE18" t="e">
        <f>装备!#REF!</f>
        <v>#REF!</v>
      </c>
      <c r="AF18" t="e">
        <f>装备!#REF!</f>
        <v>#REF!</v>
      </c>
      <c r="AG18" t="e">
        <f>装备!#REF!</f>
        <v>#REF!</v>
      </c>
      <c r="AH18" t="e">
        <f>装备!#REF!</f>
        <v>#REF!</v>
      </c>
      <c r="AI18" t="e">
        <f t="shared" si="2"/>
        <v>#REF!</v>
      </c>
      <c r="AJ18" t="e">
        <f>装备!#REF!</f>
        <v>#REF!</v>
      </c>
      <c r="AK18" t="e">
        <f>装备!#REF!</f>
        <v>#REF!</v>
      </c>
      <c r="AL18" t="e">
        <f>装备!#REF!</f>
        <v>#REF!</v>
      </c>
      <c r="AM18" t="e">
        <f>装备!#REF!</f>
        <v>#REF!</v>
      </c>
      <c r="AN18" t="e">
        <f>装备!#REF!</f>
        <v>#REF!</v>
      </c>
      <c r="AO18" t="e">
        <f>装备!#REF!</f>
        <v>#REF!</v>
      </c>
      <c r="AP18" t="e">
        <f>装备!#REF!</f>
        <v>#REF!</v>
      </c>
      <c r="AQ18" t="e">
        <f>装备!#REF!</f>
        <v>#REF!</v>
      </c>
      <c r="AR18" t="e">
        <f>装备!#REF!</f>
        <v>#REF!</v>
      </c>
      <c r="AS18" t="e">
        <f>装备!#REF!</f>
        <v>#REF!</v>
      </c>
      <c r="AT18" t="e">
        <f t="shared" si="3"/>
        <v>#REF!</v>
      </c>
      <c r="AU18" t="e">
        <f>装备!#REF!</f>
        <v>#REF!</v>
      </c>
      <c r="AV18" t="e">
        <f>装备!#REF!</f>
        <v>#REF!</v>
      </c>
      <c r="AW18" t="e">
        <f>装备!#REF!</f>
        <v>#REF!</v>
      </c>
      <c r="AX18" t="e">
        <f>装备!#REF!</f>
        <v>#REF!</v>
      </c>
      <c r="AY18" t="e">
        <f>装备!#REF!</f>
        <v>#REF!</v>
      </c>
      <c r="AZ18" t="e">
        <f>装备!#REF!</f>
        <v>#REF!</v>
      </c>
      <c r="BA18" t="e">
        <f>装备!#REF!</f>
        <v>#REF!</v>
      </c>
      <c r="BB18" t="e">
        <f>装备!#REF!</f>
        <v>#REF!</v>
      </c>
      <c r="BC18" t="e">
        <f>装备!#REF!</f>
        <v>#REF!</v>
      </c>
      <c r="BD18" t="e">
        <f>装备!#REF!</f>
        <v>#REF!</v>
      </c>
      <c r="BE18" t="e">
        <f t="shared" si="4"/>
        <v>#REF!</v>
      </c>
      <c r="BF18" t="e">
        <f>装备!#REF!</f>
        <v>#REF!</v>
      </c>
      <c r="BG18" t="e">
        <f>装备!#REF!</f>
        <v>#REF!</v>
      </c>
      <c r="BH18" t="e">
        <f>装备!#REF!</f>
        <v>#REF!</v>
      </c>
      <c r="BI18" t="e">
        <f>装备!#REF!</f>
        <v>#REF!</v>
      </c>
      <c r="BJ18" t="e">
        <f>装备!#REF!</f>
        <v>#REF!</v>
      </c>
      <c r="BK18" t="e">
        <f>装备!#REF!</f>
        <v>#REF!</v>
      </c>
      <c r="BL18" t="e">
        <f>装备!#REF!</f>
        <v>#REF!</v>
      </c>
      <c r="BM18" t="e">
        <f>装备!#REF!</f>
        <v>#REF!</v>
      </c>
      <c r="BN18" t="e">
        <f>装备!#REF!</f>
        <v>#REF!</v>
      </c>
      <c r="BO18" t="e">
        <f>装备!#REF!</f>
        <v>#REF!</v>
      </c>
      <c r="BP18" t="e">
        <f t="shared" si="5"/>
        <v>#REF!</v>
      </c>
      <c r="BQ18" t="e">
        <f>装备!#REF!</f>
        <v>#REF!</v>
      </c>
      <c r="BR18" t="e">
        <f>装备!#REF!</f>
        <v>#REF!</v>
      </c>
      <c r="BS18" t="e">
        <f>装备!#REF!</f>
        <v>#REF!</v>
      </c>
      <c r="BT18" t="e">
        <f>装备!#REF!</f>
        <v>#REF!</v>
      </c>
      <c r="BU18" t="e">
        <f>装备!#REF!</f>
        <v>#REF!</v>
      </c>
      <c r="BV18" t="e">
        <f>装备!#REF!</f>
        <v>#REF!</v>
      </c>
      <c r="BW18" t="e">
        <f>装备!#REF!</f>
        <v>#REF!</v>
      </c>
      <c r="BX18" t="e">
        <f>装备!#REF!</f>
        <v>#REF!</v>
      </c>
      <c r="BY18" t="e">
        <f>装备!#REF!</f>
        <v>#REF!</v>
      </c>
      <c r="BZ18" t="e">
        <f>装备!#REF!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装备!#REF!</f>
        <v>#REF!</v>
      </c>
      <c r="B19" t="e">
        <f>装备!#REF!</f>
        <v>#REF!</v>
      </c>
      <c r="C19" t="e">
        <f>装备!#REF!</f>
        <v>#REF!</v>
      </c>
      <c r="D19" t="e">
        <f>装备!#REF!</f>
        <v>#REF!</v>
      </c>
      <c r="E19" t="e">
        <f>装备!#REF!</f>
        <v>#REF!</v>
      </c>
      <c r="F19" t="e">
        <f>装备!#REF!</f>
        <v>#REF!</v>
      </c>
      <c r="G19" t="e">
        <f>装备!#REF!</f>
        <v>#REF!</v>
      </c>
      <c r="H19" t="e">
        <f>装备!#REF!</f>
        <v>#REF!</v>
      </c>
      <c r="I19" t="e">
        <f>装备!#REF!</f>
        <v>#REF!</v>
      </c>
      <c r="J19" t="e">
        <f>装备!#REF!</f>
        <v>#REF!</v>
      </c>
      <c r="K19" t="e">
        <f>装备!#REF!</f>
        <v>#REF!</v>
      </c>
      <c r="L19" t="e">
        <f>装备!#REF!</f>
        <v>#REF!</v>
      </c>
      <c r="M19" t="e">
        <f t="shared" si="0"/>
        <v>#REF!</v>
      </c>
      <c r="N19" t="e">
        <f>装备!#REF!</f>
        <v>#REF!</v>
      </c>
      <c r="O19" t="e">
        <f>装备!#REF!</f>
        <v>#REF!</v>
      </c>
      <c r="P19" t="e">
        <f>装备!#REF!</f>
        <v>#REF!</v>
      </c>
      <c r="Q19" t="e">
        <f>装备!#REF!</f>
        <v>#REF!</v>
      </c>
      <c r="R19" t="e">
        <f>装备!#REF!</f>
        <v>#REF!</v>
      </c>
      <c r="S19" t="e">
        <f>装备!#REF!</f>
        <v>#REF!</v>
      </c>
      <c r="T19" t="e">
        <f>装备!#REF!</f>
        <v>#REF!</v>
      </c>
      <c r="U19" t="e">
        <f>装备!#REF!</f>
        <v>#REF!</v>
      </c>
      <c r="V19" t="e">
        <f>装备!#REF!</f>
        <v>#REF!</v>
      </c>
      <c r="W19" t="e">
        <f>装备!#REF!</f>
        <v>#REF!</v>
      </c>
      <c r="X19" t="e">
        <f t="shared" si="1"/>
        <v>#REF!</v>
      </c>
      <c r="Y19" t="e">
        <f>装备!#REF!</f>
        <v>#REF!</v>
      </c>
      <c r="Z19" t="e">
        <f>装备!#REF!</f>
        <v>#REF!</v>
      </c>
      <c r="AA19" t="e">
        <f>装备!#REF!</f>
        <v>#REF!</v>
      </c>
      <c r="AB19" t="e">
        <f>装备!#REF!</f>
        <v>#REF!</v>
      </c>
      <c r="AC19" t="e">
        <f>装备!#REF!</f>
        <v>#REF!</v>
      </c>
      <c r="AD19" t="e">
        <f>装备!#REF!</f>
        <v>#REF!</v>
      </c>
      <c r="AE19" t="e">
        <f>装备!#REF!</f>
        <v>#REF!</v>
      </c>
      <c r="AF19" t="e">
        <f>装备!#REF!</f>
        <v>#REF!</v>
      </c>
      <c r="AG19" t="e">
        <f>装备!#REF!</f>
        <v>#REF!</v>
      </c>
      <c r="AH19" t="e">
        <f>装备!#REF!</f>
        <v>#REF!</v>
      </c>
      <c r="AI19" t="e">
        <f t="shared" si="2"/>
        <v>#REF!</v>
      </c>
      <c r="AJ19" t="e">
        <f>装备!#REF!</f>
        <v>#REF!</v>
      </c>
      <c r="AK19" t="e">
        <f>装备!#REF!</f>
        <v>#REF!</v>
      </c>
      <c r="AL19" t="e">
        <f>装备!#REF!</f>
        <v>#REF!</v>
      </c>
      <c r="AM19" t="e">
        <f>装备!#REF!</f>
        <v>#REF!</v>
      </c>
      <c r="AN19" t="e">
        <f>装备!#REF!</f>
        <v>#REF!</v>
      </c>
      <c r="AO19" t="e">
        <f>装备!#REF!</f>
        <v>#REF!</v>
      </c>
      <c r="AP19" t="e">
        <f>装备!#REF!</f>
        <v>#REF!</v>
      </c>
      <c r="AQ19" t="e">
        <f>装备!#REF!</f>
        <v>#REF!</v>
      </c>
      <c r="AR19" t="e">
        <f>装备!#REF!</f>
        <v>#REF!</v>
      </c>
      <c r="AS19" t="e">
        <f>装备!#REF!</f>
        <v>#REF!</v>
      </c>
      <c r="AT19" t="e">
        <f t="shared" si="3"/>
        <v>#REF!</v>
      </c>
      <c r="AU19" t="e">
        <f>装备!#REF!</f>
        <v>#REF!</v>
      </c>
      <c r="AV19" t="e">
        <f>装备!#REF!</f>
        <v>#REF!</v>
      </c>
      <c r="AW19" t="e">
        <f>装备!#REF!</f>
        <v>#REF!</v>
      </c>
      <c r="AX19" t="e">
        <f>装备!#REF!</f>
        <v>#REF!</v>
      </c>
      <c r="AY19" t="e">
        <f>装备!#REF!</f>
        <v>#REF!</v>
      </c>
      <c r="AZ19" t="e">
        <f>装备!#REF!</f>
        <v>#REF!</v>
      </c>
      <c r="BA19" t="e">
        <f>装备!#REF!</f>
        <v>#REF!</v>
      </c>
      <c r="BB19" t="e">
        <f>装备!#REF!</f>
        <v>#REF!</v>
      </c>
      <c r="BC19" t="e">
        <f>装备!#REF!</f>
        <v>#REF!</v>
      </c>
      <c r="BD19" t="e">
        <f>装备!#REF!</f>
        <v>#REF!</v>
      </c>
      <c r="BE19" t="e">
        <f t="shared" si="4"/>
        <v>#REF!</v>
      </c>
      <c r="BF19" t="e">
        <f>装备!#REF!</f>
        <v>#REF!</v>
      </c>
      <c r="BG19" t="e">
        <f>装备!#REF!</f>
        <v>#REF!</v>
      </c>
      <c r="BH19" t="e">
        <f>装备!#REF!</f>
        <v>#REF!</v>
      </c>
      <c r="BI19" t="e">
        <f>装备!#REF!</f>
        <v>#REF!</v>
      </c>
      <c r="BJ19" t="e">
        <f>装备!#REF!</f>
        <v>#REF!</v>
      </c>
      <c r="BK19" t="e">
        <f>装备!#REF!</f>
        <v>#REF!</v>
      </c>
      <c r="BL19" t="e">
        <f>装备!#REF!</f>
        <v>#REF!</v>
      </c>
      <c r="BM19" t="e">
        <f>装备!#REF!</f>
        <v>#REF!</v>
      </c>
      <c r="BN19" t="e">
        <f>装备!#REF!</f>
        <v>#REF!</v>
      </c>
      <c r="BO19" t="e">
        <f>装备!#REF!</f>
        <v>#REF!</v>
      </c>
      <c r="BP19" t="e">
        <f t="shared" si="5"/>
        <v>#REF!</v>
      </c>
      <c r="BQ19" t="e">
        <f>装备!#REF!</f>
        <v>#REF!</v>
      </c>
      <c r="BR19" t="e">
        <f>装备!#REF!</f>
        <v>#REF!</v>
      </c>
      <c r="BS19" t="e">
        <f>装备!#REF!</f>
        <v>#REF!</v>
      </c>
      <c r="BT19" t="e">
        <f>装备!#REF!</f>
        <v>#REF!</v>
      </c>
      <c r="BU19" t="e">
        <f>装备!#REF!</f>
        <v>#REF!</v>
      </c>
      <c r="BV19" t="e">
        <f>装备!#REF!</f>
        <v>#REF!</v>
      </c>
      <c r="BW19" t="e">
        <f>装备!#REF!</f>
        <v>#REF!</v>
      </c>
      <c r="BX19" t="e">
        <f>装备!#REF!</f>
        <v>#REF!</v>
      </c>
      <c r="BY19" t="e">
        <f>装备!#REF!</f>
        <v>#REF!</v>
      </c>
      <c r="BZ19" t="e">
        <f>装备!#REF!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装备!#REF!</f>
        <v>#REF!</v>
      </c>
      <c r="B20" t="e">
        <f>装备!#REF!</f>
        <v>#REF!</v>
      </c>
      <c r="C20" t="e">
        <f>装备!#REF!</f>
        <v>#REF!</v>
      </c>
      <c r="D20" t="e">
        <f>装备!#REF!</f>
        <v>#REF!</v>
      </c>
      <c r="E20" t="e">
        <f>装备!#REF!</f>
        <v>#REF!</v>
      </c>
      <c r="F20" t="e">
        <f>装备!#REF!</f>
        <v>#REF!</v>
      </c>
      <c r="G20" t="e">
        <f>装备!#REF!</f>
        <v>#REF!</v>
      </c>
      <c r="H20" t="e">
        <f>装备!#REF!</f>
        <v>#REF!</v>
      </c>
      <c r="I20" t="e">
        <f>装备!#REF!</f>
        <v>#REF!</v>
      </c>
      <c r="J20" t="e">
        <f>装备!#REF!</f>
        <v>#REF!</v>
      </c>
      <c r="K20" t="e">
        <f>装备!#REF!</f>
        <v>#REF!</v>
      </c>
      <c r="L20" t="e">
        <f>装备!#REF!</f>
        <v>#REF!</v>
      </c>
      <c r="M20" t="e">
        <f t="shared" si="0"/>
        <v>#REF!</v>
      </c>
      <c r="N20" t="e">
        <f>装备!#REF!</f>
        <v>#REF!</v>
      </c>
      <c r="O20" t="e">
        <f>装备!#REF!</f>
        <v>#REF!</v>
      </c>
      <c r="P20" t="e">
        <f>装备!#REF!</f>
        <v>#REF!</v>
      </c>
      <c r="Q20" t="e">
        <f>装备!#REF!</f>
        <v>#REF!</v>
      </c>
      <c r="R20" t="e">
        <f>装备!#REF!</f>
        <v>#REF!</v>
      </c>
      <c r="S20" t="e">
        <f>装备!#REF!</f>
        <v>#REF!</v>
      </c>
      <c r="T20" t="e">
        <f>装备!#REF!</f>
        <v>#REF!</v>
      </c>
      <c r="U20" t="e">
        <f>装备!#REF!</f>
        <v>#REF!</v>
      </c>
      <c r="V20" t="e">
        <f>装备!#REF!</f>
        <v>#REF!</v>
      </c>
      <c r="W20" t="e">
        <f>装备!#REF!</f>
        <v>#REF!</v>
      </c>
      <c r="X20" t="e">
        <f t="shared" si="1"/>
        <v>#REF!</v>
      </c>
      <c r="Y20" t="e">
        <f>装备!#REF!</f>
        <v>#REF!</v>
      </c>
      <c r="Z20" t="e">
        <f>装备!#REF!</f>
        <v>#REF!</v>
      </c>
      <c r="AA20" t="e">
        <f>装备!#REF!</f>
        <v>#REF!</v>
      </c>
      <c r="AB20" t="e">
        <f>装备!#REF!</f>
        <v>#REF!</v>
      </c>
      <c r="AC20" t="e">
        <f>装备!#REF!</f>
        <v>#REF!</v>
      </c>
      <c r="AD20" t="e">
        <f>装备!#REF!</f>
        <v>#REF!</v>
      </c>
      <c r="AE20" t="e">
        <f>装备!#REF!</f>
        <v>#REF!</v>
      </c>
      <c r="AF20" t="e">
        <f>装备!#REF!</f>
        <v>#REF!</v>
      </c>
      <c r="AG20" t="e">
        <f>装备!#REF!</f>
        <v>#REF!</v>
      </c>
      <c r="AH20" t="e">
        <f>装备!#REF!</f>
        <v>#REF!</v>
      </c>
      <c r="AI20" t="e">
        <f t="shared" si="2"/>
        <v>#REF!</v>
      </c>
      <c r="AJ20" t="e">
        <f>装备!#REF!</f>
        <v>#REF!</v>
      </c>
      <c r="AK20" t="e">
        <f>装备!#REF!</f>
        <v>#REF!</v>
      </c>
      <c r="AL20" t="e">
        <f>装备!#REF!</f>
        <v>#REF!</v>
      </c>
      <c r="AM20" t="e">
        <f>装备!#REF!</f>
        <v>#REF!</v>
      </c>
      <c r="AN20" t="e">
        <f>装备!#REF!</f>
        <v>#REF!</v>
      </c>
      <c r="AO20" t="e">
        <f>装备!#REF!</f>
        <v>#REF!</v>
      </c>
      <c r="AP20" t="e">
        <f>装备!#REF!</f>
        <v>#REF!</v>
      </c>
      <c r="AQ20" t="e">
        <f>装备!#REF!</f>
        <v>#REF!</v>
      </c>
      <c r="AR20" t="e">
        <f>装备!#REF!</f>
        <v>#REF!</v>
      </c>
      <c r="AS20" t="e">
        <f>装备!#REF!</f>
        <v>#REF!</v>
      </c>
      <c r="AT20" t="e">
        <f t="shared" si="3"/>
        <v>#REF!</v>
      </c>
      <c r="AU20" t="e">
        <f>装备!#REF!</f>
        <v>#REF!</v>
      </c>
      <c r="AV20" t="e">
        <f>装备!#REF!</f>
        <v>#REF!</v>
      </c>
      <c r="AW20" t="e">
        <f>装备!#REF!</f>
        <v>#REF!</v>
      </c>
      <c r="AX20" t="e">
        <f>装备!#REF!</f>
        <v>#REF!</v>
      </c>
      <c r="AY20" t="e">
        <f>装备!#REF!</f>
        <v>#REF!</v>
      </c>
      <c r="AZ20" t="e">
        <f>装备!#REF!</f>
        <v>#REF!</v>
      </c>
      <c r="BA20" t="e">
        <f>装备!#REF!</f>
        <v>#REF!</v>
      </c>
      <c r="BB20" t="e">
        <f>装备!#REF!</f>
        <v>#REF!</v>
      </c>
      <c r="BC20" t="e">
        <f>装备!#REF!</f>
        <v>#REF!</v>
      </c>
      <c r="BD20" t="e">
        <f>装备!#REF!</f>
        <v>#REF!</v>
      </c>
      <c r="BE20" t="e">
        <f t="shared" si="4"/>
        <v>#REF!</v>
      </c>
      <c r="BF20" t="e">
        <f>装备!#REF!</f>
        <v>#REF!</v>
      </c>
      <c r="BG20" t="e">
        <f>装备!#REF!</f>
        <v>#REF!</v>
      </c>
      <c r="BH20" t="e">
        <f>装备!#REF!</f>
        <v>#REF!</v>
      </c>
      <c r="BI20" t="e">
        <f>装备!#REF!</f>
        <v>#REF!</v>
      </c>
      <c r="BJ20" t="e">
        <f>装备!#REF!</f>
        <v>#REF!</v>
      </c>
      <c r="BK20" t="e">
        <f>装备!#REF!</f>
        <v>#REF!</v>
      </c>
      <c r="BL20" t="e">
        <f>装备!#REF!</f>
        <v>#REF!</v>
      </c>
      <c r="BM20" t="e">
        <f>装备!#REF!</f>
        <v>#REF!</v>
      </c>
      <c r="BN20" t="e">
        <f>装备!#REF!</f>
        <v>#REF!</v>
      </c>
      <c r="BO20" t="e">
        <f>装备!#REF!</f>
        <v>#REF!</v>
      </c>
      <c r="BP20" t="e">
        <f t="shared" si="5"/>
        <v>#REF!</v>
      </c>
      <c r="BQ20" t="e">
        <f>装备!#REF!</f>
        <v>#REF!</v>
      </c>
      <c r="BR20" t="e">
        <f>装备!#REF!</f>
        <v>#REF!</v>
      </c>
      <c r="BS20" t="e">
        <f>装备!#REF!</f>
        <v>#REF!</v>
      </c>
      <c r="BT20" t="e">
        <f>装备!#REF!</f>
        <v>#REF!</v>
      </c>
      <c r="BU20" t="e">
        <f>装备!#REF!</f>
        <v>#REF!</v>
      </c>
      <c r="BV20" t="e">
        <f>装备!#REF!</f>
        <v>#REF!</v>
      </c>
      <c r="BW20" t="e">
        <f>装备!#REF!</f>
        <v>#REF!</v>
      </c>
      <c r="BX20" t="e">
        <f>装备!#REF!</f>
        <v>#REF!</v>
      </c>
      <c r="BY20" t="e">
        <f>装备!#REF!</f>
        <v>#REF!</v>
      </c>
      <c r="BZ20" t="e">
        <f>装备!#REF!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装备!#REF!</f>
        <v>#REF!</v>
      </c>
      <c r="B21" t="e">
        <f>装备!#REF!</f>
        <v>#REF!</v>
      </c>
      <c r="C21" t="e">
        <f>装备!#REF!</f>
        <v>#REF!</v>
      </c>
      <c r="D21" t="e">
        <f>装备!#REF!</f>
        <v>#REF!</v>
      </c>
      <c r="E21" t="e">
        <f>装备!#REF!</f>
        <v>#REF!</v>
      </c>
      <c r="F21" t="e">
        <f>装备!#REF!</f>
        <v>#REF!</v>
      </c>
      <c r="G21" t="e">
        <f>装备!#REF!</f>
        <v>#REF!</v>
      </c>
      <c r="H21" t="e">
        <f>装备!#REF!</f>
        <v>#REF!</v>
      </c>
      <c r="I21" t="e">
        <f>装备!#REF!</f>
        <v>#REF!</v>
      </c>
      <c r="J21" t="e">
        <f>装备!#REF!</f>
        <v>#REF!</v>
      </c>
      <c r="K21" t="e">
        <f>装备!#REF!</f>
        <v>#REF!</v>
      </c>
      <c r="L21" t="e">
        <f>装备!#REF!</f>
        <v>#REF!</v>
      </c>
      <c r="M21" t="e">
        <f t="shared" si="0"/>
        <v>#REF!</v>
      </c>
      <c r="N21" t="e">
        <f>装备!#REF!</f>
        <v>#REF!</v>
      </c>
      <c r="O21" t="e">
        <f>装备!#REF!</f>
        <v>#REF!</v>
      </c>
      <c r="P21" t="e">
        <f>装备!#REF!</f>
        <v>#REF!</v>
      </c>
      <c r="Q21" t="e">
        <f>装备!#REF!</f>
        <v>#REF!</v>
      </c>
      <c r="R21" t="e">
        <f>装备!#REF!</f>
        <v>#REF!</v>
      </c>
      <c r="S21" t="e">
        <f>装备!#REF!</f>
        <v>#REF!</v>
      </c>
      <c r="T21" t="e">
        <f>装备!#REF!</f>
        <v>#REF!</v>
      </c>
      <c r="U21" t="e">
        <f>装备!#REF!</f>
        <v>#REF!</v>
      </c>
      <c r="V21" t="e">
        <f>装备!#REF!</f>
        <v>#REF!</v>
      </c>
      <c r="W21" t="e">
        <f>装备!#REF!</f>
        <v>#REF!</v>
      </c>
      <c r="X21" t="e">
        <f t="shared" si="1"/>
        <v>#REF!</v>
      </c>
      <c r="Y21" t="e">
        <f>装备!#REF!</f>
        <v>#REF!</v>
      </c>
      <c r="Z21" t="e">
        <f>装备!#REF!</f>
        <v>#REF!</v>
      </c>
      <c r="AA21" t="e">
        <f>装备!#REF!</f>
        <v>#REF!</v>
      </c>
      <c r="AB21" t="e">
        <f>装备!#REF!</f>
        <v>#REF!</v>
      </c>
      <c r="AC21" t="e">
        <f>装备!#REF!</f>
        <v>#REF!</v>
      </c>
      <c r="AD21" t="e">
        <f>装备!#REF!</f>
        <v>#REF!</v>
      </c>
      <c r="AE21" t="e">
        <f>装备!#REF!</f>
        <v>#REF!</v>
      </c>
      <c r="AF21" t="e">
        <f>装备!#REF!</f>
        <v>#REF!</v>
      </c>
      <c r="AG21" t="e">
        <f>装备!#REF!</f>
        <v>#REF!</v>
      </c>
      <c r="AH21" t="e">
        <f>装备!#REF!</f>
        <v>#REF!</v>
      </c>
      <c r="AI21" t="e">
        <f t="shared" si="2"/>
        <v>#REF!</v>
      </c>
      <c r="AJ21" t="e">
        <f>装备!#REF!</f>
        <v>#REF!</v>
      </c>
      <c r="AK21" t="e">
        <f>装备!#REF!</f>
        <v>#REF!</v>
      </c>
      <c r="AL21" t="e">
        <f>装备!#REF!</f>
        <v>#REF!</v>
      </c>
      <c r="AM21" t="e">
        <f>装备!#REF!</f>
        <v>#REF!</v>
      </c>
      <c r="AN21" t="e">
        <f>装备!#REF!</f>
        <v>#REF!</v>
      </c>
      <c r="AO21" t="e">
        <f>装备!#REF!</f>
        <v>#REF!</v>
      </c>
      <c r="AP21" t="e">
        <f>装备!#REF!</f>
        <v>#REF!</v>
      </c>
      <c r="AQ21" t="e">
        <f>装备!#REF!</f>
        <v>#REF!</v>
      </c>
      <c r="AR21" t="e">
        <f>装备!#REF!</f>
        <v>#REF!</v>
      </c>
      <c r="AS21" t="e">
        <f>装备!#REF!</f>
        <v>#REF!</v>
      </c>
      <c r="AT21" t="e">
        <f t="shared" si="3"/>
        <v>#REF!</v>
      </c>
      <c r="AU21" t="e">
        <f>装备!#REF!</f>
        <v>#REF!</v>
      </c>
      <c r="AV21" t="e">
        <f>装备!#REF!</f>
        <v>#REF!</v>
      </c>
      <c r="AW21" t="e">
        <f>装备!#REF!</f>
        <v>#REF!</v>
      </c>
      <c r="AX21" t="e">
        <f>装备!#REF!</f>
        <v>#REF!</v>
      </c>
      <c r="AY21" t="e">
        <f>装备!#REF!</f>
        <v>#REF!</v>
      </c>
      <c r="AZ21" t="e">
        <f>装备!#REF!</f>
        <v>#REF!</v>
      </c>
      <c r="BA21" t="e">
        <f>装备!#REF!</f>
        <v>#REF!</v>
      </c>
      <c r="BB21" t="e">
        <f>装备!#REF!</f>
        <v>#REF!</v>
      </c>
      <c r="BC21" t="e">
        <f>装备!#REF!</f>
        <v>#REF!</v>
      </c>
      <c r="BD21" t="e">
        <f>装备!#REF!</f>
        <v>#REF!</v>
      </c>
      <c r="BE21" t="e">
        <f t="shared" si="4"/>
        <v>#REF!</v>
      </c>
      <c r="BF21" t="e">
        <f>装备!#REF!</f>
        <v>#REF!</v>
      </c>
      <c r="BG21" t="e">
        <f>装备!#REF!</f>
        <v>#REF!</v>
      </c>
      <c r="BH21" t="e">
        <f>装备!#REF!</f>
        <v>#REF!</v>
      </c>
      <c r="BI21" t="e">
        <f>装备!#REF!</f>
        <v>#REF!</v>
      </c>
      <c r="BJ21" t="e">
        <f>装备!#REF!</f>
        <v>#REF!</v>
      </c>
      <c r="BK21" t="e">
        <f>装备!#REF!</f>
        <v>#REF!</v>
      </c>
      <c r="BL21" t="e">
        <f>装备!#REF!</f>
        <v>#REF!</v>
      </c>
      <c r="BM21" t="e">
        <f>装备!#REF!</f>
        <v>#REF!</v>
      </c>
      <c r="BN21" t="e">
        <f>装备!#REF!</f>
        <v>#REF!</v>
      </c>
      <c r="BO21" t="e">
        <f>装备!#REF!</f>
        <v>#REF!</v>
      </c>
      <c r="BP21" t="e">
        <f t="shared" si="5"/>
        <v>#REF!</v>
      </c>
      <c r="BQ21" t="e">
        <f>装备!#REF!</f>
        <v>#REF!</v>
      </c>
      <c r="BR21" t="e">
        <f>装备!#REF!</f>
        <v>#REF!</v>
      </c>
      <c r="BS21" t="e">
        <f>装备!#REF!</f>
        <v>#REF!</v>
      </c>
      <c r="BT21" t="e">
        <f>装备!#REF!</f>
        <v>#REF!</v>
      </c>
      <c r="BU21" t="e">
        <f>装备!#REF!</f>
        <v>#REF!</v>
      </c>
      <c r="BV21" t="e">
        <f>装备!#REF!</f>
        <v>#REF!</v>
      </c>
      <c r="BW21" t="e">
        <f>装备!#REF!</f>
        <v>#REF!</v>
      </c>
      <c r="BX21" t="e">
        <f>装备!#REF!</f>
        <v>#REF!</v>
      </c>
      <c r="BY21" t="e">
        <f>装备!#REF!</f>
        <v>#REF!</v>
      </c>
      <c r="BZ21" t="e">
        <f>装备!#REF!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装备!#REF!</f>
        <v>#REF!</v>
      </c>
      <c r="B22" t="e">
        <f>装备!#REF!</f>
        <v>#REF!</v>
      </c>
      <c r="C22" t="e">
        <f>装备!#REF!</f>
        <v>#REF!</v>
      </c>
      <c r="D22" t="e">
        <f>装备!#REF!</f>
        <v>#REF!</v>
      </c>
      <c r="E22" t="e">
        <f>装备!#REF!</f>
        <v>#REF!</v>
      </c>
      <c r="F22" t="e">
        <f>装备!#REF!</f>
        <v>#REF!</v>
      </c>
      <c r="G22" t="e">
        <f>装备!#REF!</f>
        <v>#REF!</v>
      </c>
      <c r="H22" t="e">
        <f>装备!#REF!</f>
        <v>#REF!</v>
      </c>
      <c r="I22" t="e">
        <f>装备!#REF!</f>
        <v>#REF!</v>
      </c>
      <c r="J22" t="e">
        <f>装备!#REF!</f>
        <v>#REF!</v>
      </c>
      <c r="K22" t="e">
        <f>装备!#REF!</f>
        <v>#REF!</v>
      </c>
      <c r="L22" t="e">
        <f>装备!#REF!</f>
        <v>#REF!</v>
      </c>
      <c r="M22" t="e">
        <f t="shared" si="0"/>
        <v>#REF!</v>
      </c>
      <c r="N22" t="e">
        <f>装备!#REF!</f>
        <v>#REF!</v>
      </c>
      <c r="O22" t="e">
        <f>装备!#REF!</f>
        <v>#REF!</v>
      </c>
      <c r="P22" t="e">
        <f>装备!#REF!</f>
        <v>#REF!</v>
      </c>
      <c r="Q22" t="e">
        <f>装备!#REF!</f>
        <v>#REF!</v>
      </c>
      <c r="R22" t="e">
        <f>装备!#REF!</f>
        <v>#REF!</v>
      </c>
      <c r="S22" t="e">
        <f>装备!#REF!</f>
        <v>#REF!</v>
      </c>
      <c r="T22" t="e">
        <f>装备!#REF!</f>
        <v>#REF!</v>
      </c>
      <c r="U22" t="e">
        <f>装备!#REF!</f>
        <v>#REF!</v>
      </c>
      <c r="V22" t="e">
        <f>装备!#REF!</f>
        <v>#REF!</v>
      </c>
      <c r="W22" t="e">
        <f>装备!#REF!</f>
        <v>#REF!</v>
      </c>
      <c r="X22" t="e">
        <f t="shared" si="1"/>
        <v>#REF!</v>
      </c>
      <c r="Y22" t="e">
        <f>装备!#REF!</f>
        <v>#REF!</v>
      </c>
      <c r="Z22" t="e">
        <f>装备!#REF!</f>
        <v>#REF!</v>
      </c>
      <c r="AA22" t="e">
        <f>装备!#REF!</f>
        <v>#REF!</v>
      </c>
      <c r="AB22" t="e">
        <f>装备!#REF!</f>
        <v>#REF!</v>
      </c>
      <c r="AC22" t="e">
        <f>装备!#REF!</f>
        <v>#REF!</v>
      </c>
      <c r="AD22" t="e">
        <f>装备!#REF!</f>
        <v>#REF!</v>
      </c>
      <c r="AE22" t="e">
        <f>装备!#REF!</f>
        <v>#REF!</v>
      </c>
      <c r="AF22" t="e">
        <f>装备!#REF!</f>
        <v>#REF!</v>
      </c>
      <c r="AG22" t="e">
        <f>装备!#REF!</f>
        <v>#REF!</v>
      </c>
      <c r="AH22" t="e">
        <f>装备!#REF!</f>
        <v>#REF!</v>
      </c>
      <c r="AI22" t="e">
        <f t="shared" si="2"/>
        <v>#REF!</v>
      </c>
      <c r="AJ22" t="e">
        <f>装备!#REF!</f>
        <v>#REF!</v>
      </c>
      <c r="AK22" t="e">
        <f>装备!#REF!</f>
        <v>#REF!</v>
      </c>
      <c r="AL22" t="e">
        <f>装备!#REF!</f>
        <v>#REF!</v>
      </c>
      <c r="AM22" t="e">
        <f>装备!#REF!</f>
        <v>#REF!</v>
      </c>
      <c r="AN22" t="e">
        <f>装备!#REF!</f>
        <v>#REF!</v>
      </c>
      <c r="AO22" t="e">
        <f>装备!#REF!</f>
        <v>#REF!</v>
      </c>
      <c r="AP22" t="e">
        <f>装备!#REF!</f>
        <v>#REF!</v>
      </c>
      <c r="AQ22" t="e">
        <f>装备!#REF!</f>
        <v>#REF!</v>
      </c>
      <c r="AR22" t="e">
        <f>装备!#REF!</f>
        <v>#REF!</v>
      </c>
      <c r="AS22" t="e">
        <f>装备!#REF!</f>
        <v>#REF!</v>
      </c>
      <c r="AT22" t="e">
        <f t="shared" si="3"/>
        <v>#REF!</v>
      </c>
      <c r="AU22" t="e">
        <f>装备!#REF!</f>
        <v>#REF!</v>
      </c>
      <c r="AV22" t="e">
        <f>装备!#REF!</f>
        <v>#REF!</v>
      </c>
      <c r="AW22" t="e">
        <f>装备!#REF!</f>
        <v>#REF!</v>
      </c>
      <c r="AX22" t="e">
        <f>装备!#REF!</f>
        <v>#REF!</v>
      </c>
      <c r="AY22" t="e">
        <f>装备!#REF!</f>
        <v>#REF!</v>
      </c>
      <c r="AZ22" t="e">
        <f>装备!#REF!</f>
        <v>#REF!</v>
      </c>
      <c r="BA22" t="e">
        <f>装备!#REF!</f>
        <v>#REF!</v>
      </c>
      <c r="BB22" t="e">
        <f>装备!#REF!</f>
        <v>#REF!</v>
      </c>
      <c r="BC22" t="e">
        <f>装备!#REF!</f>
        <v>#REF!</v>
      </c>
      <c r="BD22" t="e">
        <f>装备!#REF!</f>
        <v>#REF!</v>
      </c>
      <c r="BE22" t="e">
        <f t="shared" si="4"/>
        <v>#REF!</v>
      </c>
      <c r="BF22" t="e">
        <f>装备!#REF!</f>
        <v>#REF!</v>
      </c>
      <c r="BG22" t="e">
        <f>装备!#REF!</f>
        <v>#REF!</v>
      </c>
      <c r="BH22" t="e">
        <f>装备!#REF!</f>
        <v>#REF!</v>
      </c>
      <c r="BI22" t="e">
        <f>装备!#REF!</f>
        <v>#REF!</v>
      </c>
      <c r="BJ22" t="e">
        <f>装备!#REF!</f>
        <v>#REF!</v>
      </c>
      <c r="BK22" t="e">
        <f>装备!#REF!</f>
        <v>#REF!</v>
      </c>
      <c r="BL22" t="e">
        <f>装备!#REF!</f>
        <v>#REF!</v>
      </c>
      <c r="BM22" t="e">
        <f>装备!#REF!</f>
        <v>#REF!</v>
      </c>
      <c r="BN22" t="e">
        <f>装备!#REF!</f>
        <v>#REF!</v>
      </c>
      <c r="BO22" t="e">
        <f>装备!#REF!</f>
        <v>#REF!</v>
      </c>
      <c r="BP22" t="e">
        <f t="shared" si="5"/>
        <v>#REF!</v>
      </c>
      <c r="BQ22" t="e">
        <f>装备!#REF!</f>
        <v>#REF!</v>
      </c>
      <c r="BR22" t="e">
        <f>装备!#REF!</f>
        <v>#REF!</v>
      </c>
      <c r="BS22" t="e">
        <f>装备!#REF!</f>
        <v>#REF!</v>
      </c>
      <c r="BT22" t="e">
        <f>装备!#REF!</f>
        <v>#REF!</v>
      </c>
      <c r="BU22" t="e">
        <f>装备!#REF!</f>
        <v>#REF!</v>
      </c>
      <c r="BV22" t="e">
        <f>装备!#REF!</f>
        <v>#REF!</v>
      </c>
      <c r="BW22" t="e">
        <f>装备!#REF!</f>
        <v>#REF!</v>
      </c>
      <c r="BX22" t="e">
        <f>装备!#REF!</f>
        <v>#REF!</v>
      </c>
      <c r="BY22" t="e">
        <f>装备!#REF!</f>
        <v>#REF!</v>
      </c>
      <c r="BZ22" t="e">
        <f>装备!#REF!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装备!#REF!</f>
        <v>#REF!</v>
      </c>
      <c r="B23" t="e">
        <f>装备!#REF!</f>
        <v>#REF!</v>
      </c>
      <c r="C23" t="e">
        <f>装备!#REF!</f>
        <v>#REF!</v>
      </c>
      <c r="D23" t="e">
        <f>装备!#REF!</f>
        <v>#REF!</v>
      </c>
      <c r="E23" t="e">
        <f>装备!#REF!</f>
        <v>#REF!</v>
      </c>
      <c r="F23" t="e">
        <f>装备!#REF!</f>
        <v>#REF!</v>
      </c>
      <c r="G23" t="e">
        <f>装备!#REF!</f>
        <v>#REF!</v>
      </c>
      <c r="H23" t="e">
        <f>装备!#REF!</f>
        <v>#REF!</v>
      </c>
      <c r="I23" t="e">
        <f>装备!#REF!</f>
        <v>#REF!</v>
      </c>
      <c r="J23" t="e">
        <f>装备!#REF!</f>
        <v>#REF!</v>
      </c>
      <c r="K23" t="e">
        <f>装备!#REF!</f>
        <v>#REF!</v>
      </c>
      <c r="L23" t="e">
        <f>装备!#REF!</f>
        <v>#REF!</v>
      </c>
      <c r="M23" t="e">
        <f t="shared" si="0"/>
        <v>#REF!</v>
      </c>
      <c r="N23" t="e">
        <f>装备!#REF!</f>
        <v>#REF!</v>
      </c>
      <c r="O23" t="e">
        <f>装备!#REF!</f>
        <v>#REF!</v>
      </c>
      <c r="P23" t="e">
        <f>装备!#REF!</f>
        <v>#REF!</v>
      </c>
      <c r="Q23" t="e">
        <f>装备!#REF!</f>
        <v>#REF!</v>
      </c>
      <c r="R23" t="e">
        <f>装备!#REF!</f>
        <v>#REF!</v>
      </c>
      <c r="S23" t="e">
        <f>装备!#REF!</f>
        <v>#REF!</v>
      </c>
      <c r="T23" t="e">
        <f>装备!#REF!</f>
        <v>#REF!</v>
      </c>
      <c r="U23" t="e">
        <f>装备!#REF!</f>
        <v>#REF!</v>
      </c>
      <c r="V23" t="e">
        <f>装备!#REF!</f>
        <v>#REF!</v>
      </c>
      <c r="W23" t="e">
        <f>装备!#REF!</f>
        <v>#REF!</v>
      </c>
      <c r="X23" t="e">
        <f t="shared" si="1"/>
        <v>#REF!</v>
      </c>
      <c r="Y23" t="e">
        <f>装备!#REF!</f>
        <v>#REF!</v>
      </c>
      <c r="Z23" t="e">
        <f>装备!#REF!</f>
        <v>#REF!</v>
      </c>
      <c r="AA23" t="e">
        <f>装备!#REF!</f>
        <v>#REF!</v>
      </c>
      <c r="AB23" t="e">
        <f>装备!#REF!</f>
        <v>#REF!</v>
      </c>
      <c r="AC23" t="e">
        <f>装备!#REF!</f>
        <v>#REF!</v>
      </c>
      <c r="AD23" t="e">
        <f>装备!#REF!</f>
        <v>#REF!</v>
      </c>
      <c r="AE23" t="e">
        <f>装备!#REF!</f>
        <v>#REF!</v>
      </c>
      <c r="AF23" t="e">
        <f>装备!#REF!</f>
        <v>#REF!</v>
      </c>
      <c r="AG23" t="e">
        <f>装备!#REF!</f>
        <v>#REF!</v>
      </c>
      <c r="AH23" t="e">
        <f>装备!#REF!</f>
        <v>#REF!</v>
      </c>
      <c r="AI23" t="e">
        <f t="shared" si="2"/>
        <v>#REF!</v>
      </c>
      <c r="AJ23" t="e">
        <f>装备!#REF!</f>
        <v>#REF!</v>
      </c>
      <c r="AK23" t="e">
        <f>装备!#REF!</f>
        <v>#REF!</v>
      </c>
      <c r="AL23" t="e">
        <f>装备!#REF!</f>
        <v>#REF!</v>
      </c>
      <c r="AM23" t="e">
        <f>装备!#REF!</f>
        <v>#REF!</v>
      </c>
      <c r="AN23" t="e">
        <f>装备!#REF!</f>
        <v>#REF!</v>
      </c>
      <c r="AO23" t="e">
        <f>装备!#REF!</f>
        <v>#REF!</v>
      </c>
      <c r="AP23" t="e">
        <f>装备!#REF!</f>
        <v>#REF!</v>
      </c>
      <c r="AQ23" t="e">
        <f>装备!#REF!</f>
        <v>#REF!</v>
      </c>
      <c r="AR23" t="e">
        <f>装备!#REF!</f>
        <v>#REF!</v>
      </c>
      <c r="AS23" t="e">
        <f>装备!#REF!</f>
        <v>#REF!</v>
      </c>
      <c r="AT23" t="e">
        <f t="shared" si="3"/>
        <v>#REF!</v>
      </c>
      <c r="AU23" t="e">
        <f>装备!#REF!</f>
        <v>#REF!</v>
      </c>
      <c r="AV23" t="e">
        <f>装备!#REF!</f>
        <v>#REF!</v>
      </c>
      <c r="AW23" t="e">
        <f>装备!#REF!</f>
        <v>#REF!</v>
      </c>
      <c r="AX23" t="e">
        <f>装备!#REF!</f>
        <v>#REF!</v>
      </c>
      <c r="AY23" t="e">
        <f>装备!#REF!</f>
        <v>#REF!</v>
      </c>
      <c r="AZ23" t="e">
        <f>装备!#REF!</f>
        <v>#REF!</v>
      </c>
      <c r="BA23" t="e">
        <f>装备!#REF!</f>
        <v>#REF!</v>
      </c>
      <c r="BB23" t="e">
        <f>装备!#REF!</f>
        <v>#REF!</v>
      </c>
      <c r="BC23" t="e">
        <f>装备!#REF!</f>
        <v>#REF!</v>
      </c>
      <c r="BD23" t="e">
        <f>装备!#REF!</f>
        <v>#REF!</v>
      </c>
      <c r="BE23" t="e">
        <f t="shared" si="4"/>
        <v>#REF!</v>
      </c>
      <c r="BF23" t="e">
        <f>装备!#REF!</f>
        <v>#REF!</v>
      </c>
      <c r="BG23" t="e">
        <f>装备!#REF!</f>
        <v>#REF!</v>
      </c>
      <c r="BH23" t="e">
        <f>装备!#REF!</f>
        <v>#REF!</v>
      </c>
      <c r="BI23" t="e">
        <f>装备!#REF!</f>
        <v>#REF!</v>
      </c>
      <c r="BJ23" t="e">
        <f>装备!#REF!</f>
        <v>#REF!</v>
      </c>
      <c r="BK23" t="e">
        <f>装备!#REF!</f>
        <v>#REF!</v>
      </c>
      <c r="BL23" t="e">
        <f>装备!#REF!</f>
        <v>#REF!</v>
      </c>
      <c r="BM23" t="e">
        <f>装备!#REF!</f>
        <v>#REF!</v>
      </c>
      <c r="BN23" t="e">
        <f>装备!#REF!</f>
        <v>#REF!</v>
      </c>
      <c r="BO23" t="e">
        <f>装备!#REF!</f>
        <v>#REF!</v>
      </c>
      <c r="BP23" t="e">
        <f t="shared" si="5"/>
        <v>#REF!</v>
      </c>
      <c r="BQ23" t="e">
        <f>装备!#REF!</f>
        <v>#REF!</v>
      </c>
      <c r="BR23" t="e">
        <f>装备!#REF!</f>
        <v>#REF!</v>
      </c>
      <c r="BS23" t="e">
        <f>装备!#REF!</f>
        <v>#REF!</v>
      </c>
      <c r="BT23" t="e">
        <f>装备!#REF!</f>
        <v>#REF!</v>
      </c>
      <c r="BU23" t="e">
        <f>装备!#REF!</f>
        <v>#REF!</v>
      </c>
      <c r="BV23" t="e">
        <f>装备!#REF!</f>
        <v>#REF!</v>
      </c>
      <c r="BW23" t="e">
        <f>装备!#REF!</f>
        <v>#REF!</v>
      </c>
      <c r="BX23" t="e">
        <f>装备!#REF!</f>
        <v>#REF!</v>
      </c>
      <c r="BY23" t="e">
        <f>装备!#REF!</f>
        <v>#REF!</v>
      </c>
      <c r="BZ23" t="e">
        <f>装备!#REF!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装备!#REF!</f>
        <v>#REF!</v>
      </c>
      <c r="B24" t="e">
        <f>装备!#REF!</f>
        <v>#REF!</v>
      </c>
      <c r="C24" t="e">
        <f>装备!#REF!</f>
        <v>#REF!</v>
      </c>
      <c r="D24" t="e">
        <f>装备!#REF!</f>
        <v>#REF!</v>
      </c>
      <c r="E24" t="e">
        <f>装备!#REF!</f>
        <v>#REF!</v>
      </c>
      <c r="F24" t="e">
        <f>装备!#REF!</f>
        <v>#REF!</v>
      </c>
      <c r="G24" t="e">
        <f>装备!#REF!</f>
        <v>#REF!</v>
      </c>
      <c r="H24" t="e">
        <f>装备!#REF!</f>
        <v>#REF!</v>
      </c>
      <c r="I24" t="e">
        <f>装备!#REF!</f>
        <v>#REF!</v>
      </c>
      <c r="J24" t="e">
        <f>装备!#REF!</f>
        <v>#REF!</v>
      </c>
      <c r="K24" t="e">
        <f>装备!#REF!</f>
        <v>#REF!</v>
      </c>
      <c r="L24" t="e">
        <f>装备!#REF!</f>
        <v>#REF!</v>
      </c>
      <c r="M24" t="e">
        <f t="shared" si="0"/>
        <v>#REF!</v>
      </c>
      <c r="N24" t="e">
        <f>装备!#REF!</f>
        <v>#REF!</v>
      </c>
      <c r="O24" t="e">
        <f>装备!#REF!</f>
        <v>#REF!</v>
      </c>
      <c r="P24" t="e">
        <f>装备!#REF!</f>
        <v>#REF!</v>
      </c>
      <c r="Q24" t="e">
        <f>装备!#REF!</f>
        <v>#REF!</v>
      </c>
      <c r="R24" t="e">
        <f>装备!#REF!</f>
        <v>#REF!</v>
      </c>
      <c r="S24" t="e">
        <f>装备!#REF!</f>
        <v>#REF!</v>
      </c>
      <c r="T24" t="e">
        <f>装备!#REF!</f>
        <v>#REF!</v>
      </c>
      <c r="U24" t="e">
        <f>装备!#REF!</f>
        <v>#REF!</v>
      </c>
      <c r="V24" t="e">
        <f>装备!#REF!</f>
        <v>#REF!</v>
      </c>
      <c r="W24" t="e">
        <f>装备!#REF!</f>
        <v>#REF!</v>
      </c>
      <c r="X24" t="e">
        <f t="shared" si="1"/>
        <v>#REF!</v>
      </c>
      <c r="Y24" t="e">
        <f>装备!#REF!</f>
        <v>#REF!</v>
      </c>
      <c r="Z24" t="e">
        <f>装备!#REF!</f>
        <v>#REF!</v>
      </c>
      <c r="AA24" t="e">
        <f>装备!#REF!</f>
        <v>#REF!</v>
      </c>
      <c r="AB24" t="e">
        <f>装备!#REF!</f>
        <v>#REF!</v>
      </c>
      <c r="AC24" t="e">
        <f>装备!#REF!</f>
        <v>#REF!</v>
      </c>
      <c r="AD24" t="e">
        <f>装备!#REF!</f>
        <v>#REF!</v>
      </c>
      <c r="AE24" t="e">
        <f>装备!#REF!</f>
        <v>#REF!</v>
      </c>
      <c r="AF24" t="e">
        <f>装备!#REF!</f>
        <v>#REF!</v>
      </c>
      <c r="AG24" t="e">
        <f>装备!#REF!</f>
        <v>#REF!</v>
      </c>
      <c r="AH24" t="e">
        <f>装备!#REF!</f>
        <v>#REF!</v>
      </c>
      <c r="AI24" t="e">
        <f t="shared" si="2"/>
        <v>#REF!</v>
      </c>
      <c r="AJ24" t="e">
        <f>装备!#REF!</f>
        <v>#REF!</v>
      </c>
      <c r="AK24" t="e">
        <f>装备!#REF!</f>
        <v>#REF!</v>
      </c>
      <c r="AL24" t="e">
        <f>装备!#REF!</f>
        <v>#REF!</v>
      </c>
      <c r="AM24" t="e">
        <f>装备!#REF!</f>
        <v>#REF!</v>
      </c>
      <c r="AN24" t="e">
        <f>装备!#REF!</f>
        <v>#REF!</v>
      </c>
      <c r="AO24" t="e">
        <f>装备!#REF!</f>
        <v>#REF!</v>
      </c>
      <c r="AP24" t="e">
        <f>装备!#REF!</f>
        <v>#REF!</v>
      </c>
      <c r="AQ24" t="e">
        <f>装备!#REF!</f>
        <v>#REF!</v>
      </c>
      <c r="AR24" t="e">
        <f>装备!#REF!</f>
        <v>#REF!</v>
      </c>
      <c r="AS24" t="e">
        <f>装备!#REF!</f>
        <v>#REF!</v>
      </c>
      <c r="AT24" t="e">
        <f t="shared" si="3"/>
        <v>#REF!</v>
      </c>
      <c r="AU24" t="e">
        <f>装备!#REF!</f>
        <v>#REF!</v>
      </c>
      <c r="AV24" t="e">
        <f>装备!#REF!</f>
        <v>#REF!</v>
      </c>
      <c r="AW24" t="e">
        <f>装备!#REF!</f>
        <v>#REF!</v>
      </c>
      <c r="AX24" t="e">
        <f>装备!#REF!</f>
        <v>#REF!</v>
      </c>
      <c r="AY24" t="e">
        <f>装备!#REF!</f>
        <v>#REF!</v>
      </c>
      <c r="AZ24" t="e">
        <f>装备!#REF!</f>
        <v>#REF!</v>
      </c>
      <c r="BA24" t="e">
        <f>装备!#REF!</f>
        <v>#REF!</v>
      </c>
      <c r="BB24" t="e">
        <f>装备!#REF!</f>
        <v>#REF!</v>
      </c>
      <c r="BC24" t="e">
        <f>装备!#REF!</f>
        <v>#REF!</v>
      </c>
      <c r="BD24" t="e">
        <f>装备!#REF!</f>
        <v>#REF!</v>
      </c>
      <c r="BE24" t="e">
        <f t="shared" si="4"/>
        <v>#REF!</v>
      </c>
      <c r="BF24" t="e">
        <f>装备!#REF!</f>
        <v>#REF!</v>
      </c>
      <c r="BG24" t="e">
        <f>装备!#REF!</f>
        <v>#REF!</v>
      </c>
      <c r="BH24" t="e">
        <f>装备!#REF!</f>
        <v>#REF!</v>
      </c>
      <c r="BI24" t="e">
        <f>装备!#REF!</f>
        <v>#REF!</v>
      </c>
      <c r="BJ24" t="e">
        <f>装备!#REF!</f>
        <v>#REF!</v>
      </c>
      <c r="BK24" t="e">
        <f>装备!#REF!</f>
        <v>#REF!</v>
      </c>
      <c r="BL24" t="e">
        <f>装备!#REF!</f>
        <v>#REF!</v>
      </c>
      <c r="BM24" t="e">
        <f>装备!#REF!</f>
        <v>#REF!</v>
      </c>
      <c r="BN24" t="e">
        <f>装备!#REF!</f>
        <v>#REF!</v>
      </c>
      <c r="BO24" t="e">
        <f>装备!#REF!</f>
        <v>#REF!</v>
      </c>
      <c r="BP24" t="e">
        <f t="shared" si="5"/>
        <v>#REF!</v>
      </c>
      <c r="BQ24" t="e">
        <f>装备!#REF!</f>
        <v>#REF!</v>
      </c>
      <c r="BR24" t="e">
        <f>装备!#REF!</f>
        <v>#REF!</v>
      </c>
      <c r="BS24" t="e">
        <f>装备!#REF!</f>
        <v>#REF!</v>
      </c>
      <c r="BT24" t="e">
        <f>装备!#REF!</f>
        <v>#REF!</v>
      </c>
      <c r="BU24" t="e">
        <f>装备!#REF!</f>
        <v>#REF!</v>
      </c>
      <c r="BV24" t="e">
        <f>装备!#REF!</f>
        <v>#REF!</v>
      </c>
      <c r="BW24" t="e">
        <f>装备!#REF!</f>
        <v>#REF!</v>
      </c>
      <c r="BX24" t="e">
        <f>装备!#REF!</f>
        <v>#REF!</v>
      </c>
      <c r="BY24" t="e">
        <f>装备!#REF!</f>
        <v>#REF!</v>
      </c>
      <c r="BZ24" t="e">
        <f>装备!#REF!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装备!#REF!</f>
        <v>#REF!</v>
      </c>
      <c r="B25" t="e">
        <f>装备!#REF!</f>
        <v>#REF!</v>
      </c>
      <c r="C25" t="e">
        <f>装备!#REF!</f>
        <v>#REF!</v>
      </c>
      <c r="D25" t="e">
        <f>装备!#REF!</f>
        <v>#REF!</v>
      </c>
      <c r="E25" t="e">
        <f>装备!#REF!</f>
        <v>#REF!</v>
      </c>
      <c r="F25" t="e">
        <f>装备!#REF!</f>
        <v>#REF!</v>
      </c>
      <c r="G25" t="e">
        <f>装备!#REF!</f>
        <v>#REF!</v>
      </c>
      <c r="H25" t="e">
        <f>装备!#REF!</f>
        <v>#REF!</v>
      </c>
      <c r="I25" t="e">
        <f>装备!#REF!</f>
        <v>#REF!</v>
      </c>
      <c r="J25" t="e">
        <f>装备!#REF!</f>
        <v>#REF!</v>
      </c>
      <c r="K25" t="e">
        <f>装备!#REF!</f>
        <v>#REF!</v>
      </c>
      <c r="L25" t="e">
        <f>装备!#REF!</f>
        <v>#REF!</v>
      </c>
      <c r="M25" t="e">
        <f t="shared" si="0"/>
        <v>#REF!</v>
      </c>
      <c r="N25" t="e">
        <f>装备!#REF!</f>
        <v>#REF!</v>
      </c>
      <c r="O25" t="e">
        <f>装备!#REF!</f>
        <v>#REF!</v>
      </c>
      <c r="P25" t="e">
        <f>装备!#REF!</f>
        <v>#REF!</v>
      </c>
      <c r="Q25" t="e">
        <f>装备!#REF!</f>
        <v>#REF!</v>
      </c>
      <c r="R25" t="e">
        <f>装备!#REF!</f>
        <v>#REF!</v>
      </c>
      <c r="S25" t="e">
        <f>装备!#REF!</f>
        <v>#REF!</v>
      </c>
      <c r="T25" t="e">
        <f>装备!#REF!</f>
        <v>#REF!</v>
      </c>
      <c r="U25" t="e">
        <f>装备!#REF!</f>
        <v>#REF!</v>
      </c>
      <c r="V25" t="e">
        <f>装备!#REF!</f>
        <v>#REF!</v>
      </c>
      <c r="W25" t="e">
        <f>装备!#REF!</f>
        <v>#REF!</v>
      </c>
      <c r="X25" t="e">
        <f t="shared" si="1"/>
        <v>#REF!</v>
      </c>
      <c r="Y25" t="e">
        <f>装备!#REF!</f>
        <v>#REF!</v>
      </c>
      <c r="Z25" t="e">
        <f>装备!#REF!</f>
        <v>#REF!</v>
      </c>
      <c r="AA25" t="e">
        <f>装备!#REF!</f>
        <v>#REF!</v>
      </c>
      <c r="AB25" t="e">
        <f>装备!#REF!</f>
        <v>#REF!</v>
      </c>
      <c r="AC25" t="e">
        <f>装备!#REF!</f>
        <v>#REF!</v>
      </c>
      <c r="AD25" t="e">
        <f>装备!#REF!</f>
        <v>#REF!</v>
      </c>
      <c r="AE25" t="e">
        <f>装备!#REF!</f>
        <v>#REF!</v>
      </c>
      <c r="AF25" t="e">
        <f>装备!#REF!</f>
        <v>#REF!</v>
      </c>
      <c r="AG25" t="e">
        <f>装备!#REF!</f>
        <v>#REF!</v>
      </c>
      <c r="AH25" t="e">
        <f>装备!#REF!</f>
        <v>#REF!</v>
      </c>
      <c r="AI25" t="e">
        <f t="shared" si="2"/>
        <v>#REF!</v>
      </c>
      <c r="AJ25" t="e">
        <f>装备!#REF!</f>
        <v>#REF!</v>
      </c>
      <c r="AK25" t="e">
        <f>装备!#REF!</f>
        <v>#REF!</v>
      </c>
      <c r="AL25" t="e">
        <f>装备!#REF!</f>
        <v>#REF!</v>
      </c>
      <c r="AM25" t="e">
        <f>装备!#REF!</f>
        <v>#REF!</v>
      </c>
      <c r="AN25" t="e">
        <f>装备!#REF!</f>
        <v>#REF!</v>
      </c>
      <c r="AO25" t="e">
        <f>装备!#REF!</f>
        <v>#REF!</v>
      </c>
      <c r="AP25" t="e">
        <f>装备!#REF!</f>
        <v>#REF!</v>
      </c>
      <c r="AQ25" t="e">
        <f>装备!#REF!</f>
        <v>#REF!</v>
      </c>
      <c r="AR25" t="e">
        <f>装备!#REF!</f>
        <v>#REF!</v>
      </c>
      <c r="AS25" t="e">
        <f>装备!#REF!</f>
        <v>#REF!</v>
      </c>
      <c r="AT25" t="e">
        <f t="shared" si="3"/>
        <v>#REF!</v>
      </c>
      <c r="AU25" t="e">
        <f>装备!#REF!</f>
        <v>#REF!</v>
      </c>
      <c r="AV25" t="e">
        <f>装备!#REF!</f>
        <v>#REF!</v>
      </c>
      <c r="AW25" t="e">
        <f>装备!#REF!</f>
        <v>#REF!</v>
      </c>
      <c r="AX25" t="e">
        <f>装备!#REF!</f>
        <v>#REF!</v>
      </c>
      <c r="AY25" t="e">
        <f>装备!#REF!</f>
        <v>#REF!</v>
      </c>
      <c r="AZ25" t="e">
        <f>装备!#REF!</f>
        <v>#REF!</v>
      </c>
      <c r="BA25" t="e">
        <f>装备!#REF!</f>
        <v>#REF!</v>
      </c>
      <c r="BB25" t="e">
        <f>装备!#REF!</f>
        <v>#REF!</v>
      </c>
      <c r="BC25" t="e">
        <f>装备!#REF!</f>
        <v>#REF!</v>
      </c>
      <c r="BD25" t="e">
        <f>装备!#REF!</f>
        <v>#REF!</v>
      </c>
      <c r="BE25" t="e">
        <f t="shared" si="4"/>
        <v>#REF!</v>
      </c>
      <c r="BF25" t="e">
        <f>装备!#REF!</f>
        <v>#REF!</v>
      </c>
      <c r="BG25" t="e">
        <f>装备!#REF!</f>
        <v>#REF!</v>
      </c>
      <c r="BH25" t="e">
        <f>装备!#REF!</f>
        <v>#REF!</v>
      </c>
      <c r="BI25" t="e">
        <f>装备!#REF!</f>
        <v>#REF!</v>
      </c>
      <c r="BJ25" t="e">
        <f>装备!#REF!</f>
        <v>#REF!</v>
      </c>
      <c r="BK25" t="e">
        <f>装备!#REF!</f>
        <v>#REF!</v>
      </c>
      <c r="BL25" t="e">
        <f>装备!#REF!</f>
        <v>#REF!</v>
      </c>
      <c r="BM25" t="e">
        <f>装备!#REF!</f>
        <v>#REF!</v>
      </c>
      <c r="BN25" t="e">
        <f>装备!#REF!</f>
        <v>#REF!</v>
      </c>
      <c r="BO25" t="e">
        <f>装备!#REF!</f>
        <v>#REF!</v>
      </c>
      <c r="BP25" t="e">
        <f t="shared" si="5"/>
        <v>#REF!</v>
      </c>
      <c r="BQ25" t="e">
        <f>装备!#REF!</f>
        <v>#REF!</v>
      </c>
      <c r="BR25" t="e">
        <f>装备!#REF!</f>
        <v>#REF!</v>
      </c>
      <c r="BS25" t="e">
        <f>装备!#REF!</f>
        <v>#REF!</v>
      </c>
      <c r="BT25" t="e">
        <f>装备!#REF!</f>
        <v>#REF!</v>
      </c>
      <c r="BU25" t="e">
        <f>装备!#REF!</f>
        <v>#REF!</v>
      </c>
      <c r="BV25" t="e">
        <f>装备!#REF!</f>
        <v>#REF!</v>
      </c>
      <c r="BW25" t="e">
        <f>装备!#REF!</f>
        <v>#REF!</v>
      </c>
      <c r="BX25" t="e">
        <f>装备!#REF!</f>
        <v>#REF!</v>
      </c>
      <c r="BY25" t="e">
        <f>装备!#REF!</f>
        <v>#REF!</v>
      </c>
      <c r="BZ25" t="e">
        <f>装备!#REF!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装备!#REF!</f>
        <v>#REF!</v>
      </c>
      <c r="B26" t="e">
        <f>装备!#REF!</f>
        <v>#REF!</v>
      </c>
      <c r="C26" t="e">
        <f>装备!#REF!</f>
        <v>#REF!</v>
      </c>
      <c r="D26" t="e">
        <f>装备!#REF!</f>
        <v>#REF!</v>
      </c>
      <c r="E26" t="e">
        <f>装备!#REF!</f>
        <v>#REF!</v>
      </c>
      <c r="F26" t="e">
        <f>装备!#REF!</f>
        <v>#REF!</v>
      </c>
      <c r="G26" t="e">
        <f>装备!#REF!</f>
        <v>#REF!</v>
      </c>
      <c r="H26" t="e">
        <f>装备!#REF!</f>
        <v>#REF!</v>
      </c>
      <c r="I26" t="e">
        <f>装备!#REF!</f>
        <v>#REF!</v>
      </c>
      <c r="J26" t="e">
        <f>装备!#REF!</f>
        <v>#REF!</v>
      </c>
      <c r="K26" t="e">
        <f>装备!#REF!</f>
        <v>#REF!</v>
      </c>
      <c r="L26" t="e">
        <f>装备!#REF!</f>
        <v>#REF!</v>
      </c>
      <c r="M26" t="e">
        <f t="shared" si="0"/>
        <v>#REF!</v>
      </c>
      <c r="N26" t="e">
        <f>装备!#REF!</f>
        <v>#REF!</v>
      </c>
      <c r="O26" t="e">
        <f>装备!#REF!</f>
        <v>#REF!</v>
      </c>
      <c r="P26" t="e">
        <f>装备!#REF!</f>
        <v>#REF!</v>
      </c>
      <c r="Q26" t="e">
        <f>装备!#REF!</f>
        <v>#REF!</v>
      </c>
      <c r="R26" t="e">
        <f>装备!#REF!</f>
        <v>#REF!</v>
      </c>
      <c r="S26" t="e">
        <f>装备!#REF!</f>
        <v>#REF!</v>
      </c>
      <c r="T26" t="e">
        <f>装备!#REF!</f>
        <v>#REF!</v>
      </c>
      <c r="U26" t="e">
        <f>装备!#REF!</f>
        <v>#REF!</v>
      </c>
      <c r="V26" t="e">
        <f>装备!#REF!</f>
        <v>#REF!</v>
      </c>
      <c r="W26" t="e">
        <f>装备!#REF!</f>
        <v>#REF!</v>
      </c>
      <c r="X26" t="e">
        <f t="shared" si="1"/>
        <v>#REF!</v>
      </c>
      <c r="Y26" t="e">
        <f>装备!#REF!</f>
        <v>#REF!</v>
      </c>
      <c r="Z26" t="e">
        <f>装备!#REF!</f>
        <v>#REF!</v>
      </c>
      <c r="AA26" t="e">
        <f>装备!#REF!</f>
        <v>#REF!</v>
      </c>
      <c r="AB26" t="e">
        <f>装备!#REF!</f>
        <v>#REF!</v>
      </c>
      <c r="AC26" t="e">
        <f>装备!#REF!</f>
        <v>#REF!</v>
      </c>
      <c r="AD26" t="e">
        <f>装备!#REF!</f>
        <v>#REF!</v>
      </c>
      <c r="AE26" t="e">
        <f>装备!#REF!</f>
        <v>#REF!</v>
      </c>
      <c r="AF26" t="e">
        <f>装备!#REF!</f>
        <v>#REF!</v>
      </c>
      <c r="AG26" t="e">
        <f>装备!#REF!</f>
        <v>#REF!</v>
      </c>
      <c r="AH26" t="e">
        <f>装备!#REF!</f>
        <v>#REF!</v>
      </c>
      <c r="AI26" t="e">
        <f t="shared" si="2"/>
        <v>#REF!</v>
      </c>
      <c r="AJ26" t="e">
        <f>装备!#REF!</f>
        <v>#REF!</v>
      </c>
      <c r="AK26" t="e">
        <f>装备!#REF!</f>
        <v>#REF!</v>
      </c>
      <c r="AL26" t="e">
        <f>装备!#REF!</f>
        <v>#REF!</v>
      </c>
      <c r="AM26" t="e">
        <f>装备!#REF!</f>
        <v>#REF!</v>
      </c>
      <c r="AN26" t="e">
        <f>装备!#REF!</f>
        <v>#REF!</v>
      </c>
      <c r="AO26" t="e">
        <f>装备!#REF!</f>
        <v>#REF!</v>
      </c>
      <c r="AP26" t="e">
        <f>装备!#REF!</f>
        <v>#REF!</v>
      </c>
      <c r="AQ26" t="e">
        <f>装备!#REF!</f>
        <v>#REF!</v>
      </c>
      <c r="AR26" t="e">
        <f>装备!#REF!</f>
        <v>#REF!</v>
      </c>
      <c r="AS26" t="e">
        <f>装备!#REF!</f>
        <v>#REF!</v>
      </c>
      <c r="AT26" t="e">
        <f t="shared" si="3"/>
        <v>#REF!</v>
      </c>
      <c r="AU26" t="e">
        <f>装备!#REF!</f>
        <v>#REF!</v>
      </c>
      <c r="AV26" t="e">
        <f>装备!#REF!</f>
        <v>#REF!</v>
      </c>
      <c r="AW26" t="e">
        <f>装备!#REF!</f>
        <v>#REF!</v>
      </c>
      <c r="AX26" t="e">
        <f>装备!#REF!</f>
        <v>#REF!</v>
      </c>
      <c r="AY26" t="e">
        <f>装备!#REF!</f>
        <v>#REF!</v>
      </c>
      <c r="AZ26" t="e">
        <f>装备!#REF!</f>
        <v>#REF!</v>
      </c>
      <c r="BA26" t="e">
        <f>装备!#REF!</f>
        <v>#REF!</v>
      </c>
      <c r="BB26" t="e">
        <f>装备!#REF!</f>
        <v>#REF!</v>
      </c>
      <c r="BC26" t="e">
        <f>装备!#REF!</f>
        <v>#REF!</v>
      </c>
      <c r="BD26" t="e">
        <f>装备!#REF!</f>
        <v>#REF!</v>
      </c>
      <c r="BE26" t="e">
        <f t="shared" si="4"/>
        <v>#REF!</v>
      </c>
      <c r="BF26" t="e">
        <f>装备!#REF!</f>
        <v>#REF!</v>
      </c>
      <c r="BG26" t="e">
        <f>装备!#REF!</f>
        <v>#REF!</v>
      </c>
      <c r="BH26" t="e">
        <f>装备!#REF!</f>
        <v>#REF!</v>
      </c>
      <c r="BI26" t="e">
        <f>装备!#REF!</f>
        <v>#REF!</v>
      </c>
      <c r="BJ26" t="e">
        <f>装备!#REF!</f>
        <v>#REF!</v>
      </c>
      <c r="BK26" t="e">
        <f>装备!#REF!</f>
        <v>#REF!</v>
      </c>
      <c r="BL26" t="e">
        <f>装备!#REF!</f>
        <v>#REF!</v>
      </c>
      <c r="BM26" t="e">
        <f>装备!#REF!</f>
        <v>#REF!</v>
      </c>
      <c r="BN26" t="e">
        <f>装备!#REF!</f>
        <v>#REF!</v>
      </c>
      <c r="BO26" t="e">
        <f>装备!#REF!</f>
        <v>#REF!</v>
      </c>
      <c r="BP26" t="e">
        <f t="shared" si="5"/>
        <v>#REF!</v>
      </c>
      <c r="BQ26" t="e">
        <f>装备!#REF!</f>
        <v>#REF!</v>
      </c>
      <c r="BR26" t="e">
        <f>装备!#REF!</f>
        <v>#REF!</v>
      </c>
      <c r="BS26" t="e">
        <f>装备!#REF!</f>
        <v>#REF!</v>
      </c>
      <c r="BT26" t="e">
        <f>装备!#REF!</f>
        <v>#REF!</v>
      </c>
      <c r="BU26" t="e">
        <f>装备!#REF!</f>
        <v>#REF!</v>
      </c>
      <c r="BV26" t="e">
        <f>装备!#REF!</f>
        <v>#REF!</v>
      </c>
      <c r="BW26" t="e">
        <f>装备!#REF!</f>
        <v>#REF!</v>
      </c>
      <c r="BX26" t="e">
        <f>装备!#REF!</f>
        <v>#REF!</v>
      </c>
      <c r="BY26" t="e">
        <f>装备!#REF!</f>
        <v>#REF!</v>
      </c>
      <c r="BZ26" t="e">
        <f>装备!#REF!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装备!#REF!</f>
        <v>#REF!</v>
      </c>
      <c r="B27" t="e">
        <f>装备!#REF!</f>
        <v>#REF!</v>
      </c>
      <c r="C27" t="e">
        <f>装备!#REF!</f>
        <v>#REF!</v>
      </c>
      <c r="D27" t="e">
        <f>装备!#REF!</f>
        <v>#REF!</v>
      </c>
      <c r="E27" t="e">
        <f>装备!#REF!</f>
        <v>#REF!</v>
      </c>
      <c r="F27" t="e">
        <f>装备!#REF!</f>
        <v>#REF!</v>
      </c>
      <c r="G27" t="e">
        <f>装备!#REF!</f>
        <v>#REF!</v>
      </c>
      <c r="H27" t="e">
        <f>装备!#REF!</f>
        <v>#REF!</v>
      </c>
      <c r="I27" t="e">
        <f>装备!#REF!</f>
        <v>#REF!</v>
      </c>
      <c r="J27" t="e">
        <f>装备!#REF!</f>
        <v>#REF!</v>
      </c>
      <c r="K27" t="e">
        <f>装备!#REF!</f>
        <v>#REF!</v>
      </c>
      <c r="L27" t="e">
        <f>装备!#REF!</f>
        <v>#REF!</v>
      </c>
      <c r="M27" t="e">
        <f t="shared" si="0"/>
        <v>#REF!</v>
      </c>
      <c r="N27" t="e">
        <f>装备!#REF!</f>
        <v>#REF!</v>
      </c>
      <c r="O27" t="e">
        <f>装备!#REF!</f>
        <v>#REF!</v>
      </c>
      <c r="P27" t="e">
        <f>装备!#REF!</f>
        <v>#REF!</v>
      </c>
      <c r="Q27" t="e">
        <f>装备!#REF!</f>
        <v>#REF!</v>
      </c>
      <c r="R27" t="e">
        <f>装备!#REF!</f>
        <v>#REF!</v>
      </c>
      <c r="S27" t="e">
        <f>装备!#REF!</f>
        <v>#REF!</v>
      </c>
      <c r="T27" t="e">
        <f>装备!#REF!</f>
        <v>#REF!</v>
      </c>
      <c r="U27" t="e">
        <f>装备!#REF!</f>
        <v>#REF!</v>
      </c>
      <c r="V27" t="e">
        <f>装备!#REF!</f>
        <v>#REF!</v>
      </c>
      <c r="W27" t="e">
        <f>装备!#REF!</f>
        <v>#REF!</v>
      </c>
      <c r="X27" t="e">
        <f t="shared" si="1"/>
        <v>#REF!</v>
      </c>
      <c r="Y27" t="e">
        <f>装备!#REF!</f>
        <v>#REF!</v>
      </c>
      <c r="Z27" t="e">
        <f>装备!#REF!</f>
        <v>#REF!</v>
      </c>
      <c r="AA27" t="e">
        <f>装备!#REF!</f>
        <v>#REF!</v>
      </c>
      <c r="AB27" t="e">
        <f>装备!#REF!</f>
        <v>#REF!</v>
      </c>
      <c r="AC27" t="e">
        <f>装备!#REF!</f>
        <v>#REF!</v>
      </c>
      <c r="AD27" t="e">
        <f>装备!#REF!</f>
        <v>#REF!</v>
      </c>
      <c r="AE27" t="e">
        <f>装备!#REF!</f>
        <v>#REF!</v>
      </c>
      <c r="AF27" t="e">
        <f>装备!#REF!</f>
        <v>#REF!</v>
      </c>
      <c r="AG27" t="e">
        <f>装备!#REF!</f>
        <v>#REF!</v>
      </c>
      <c r="AH27" t="e">
        <f>装备!#REF!</f>
        <v>#REF!</v>
      </c>
      <c r="AI27" t="e">
        <f t="shared" si="2"/>
        <v>#REF!</v>
      </c>
      <c r="AJ27" t="e">
        <f>装备!#REF!</f>
        <v>#REF!</v>
      </c>
      <c r="AK27" t="e">
        <f>装备!#REF!</f>
        <v>#REF!</v>
      </c>
      <c r="AL27" t="e">
        <f>装备!#REF!</f>
        <v>#REF!</v>
      </c>
      <c r="AM27" t="e">
        <f>装备!#REF!</f>
        <v>#REF!</v>
      </c>
      <c r="AN27" t="e">
        <f>装备!#REF!</f>
        <v>#REF!</v>
      </c>
      <c r="AO27" t="e">
        <f>装备!#REF!</f>
        <v>#REF!</v>
      </c>
      <c r="AP27" t="e">
        <f>装备!#REF!</f>
        <v>#REF!</v>
      </c>
      <c r="AQ27" t="e">
        <f>装备!#REF!</f>
        <v>#REF!</v>
      </c>
      <c r="AR27" t="e">
        <f>装备!#REF!</f>
        <v>#REF!</v>
      </c>
      <c r="AS27" t="e">
        <f>装备!#REF!</f>
        <v>#REF!</v>
      </c>
      <c r="AT27" t="e">
        <f t="shared" si="3"/>
        <v>#REF!</v>
      </c>
      <c r="AU27" t="e">
        <f>装备!#REF!</f>
        <v>#REF!</v>
      </c>
      <c r="AV27" t="e">
        <f>装备!#REF!</f>
        <v>#REF!</v>
      </c>
      <c r="AW27" t="e">
        <f>装备!#REF!</f>
        <v>#REF!</v>
      </c>
      <c r="AX27" t="e">
        <f>装备!#REF!</f>
        <v>#REF!</v>
      </c>
      <c r="AY27" t="e">
        <f>装备!#REF!</f>
        <v>#REF!</v>
      </c>
      <c r="AZ27" t="e">
        <f>装备!#REF!</f>
        <v>#REF!</v>
      </c>
      <c r="BA27" t="e">
        <f>装备!#REF!</f>
        <v>#REF!</v>
      </c>
      <c r="BB27" t="e">
        <f>装备!#REF!</f>
        <v>#REF!</v>
      </c>
      <c r="BC27" t="e">
        <f>装备!#REF!</f>
        <v>#REF!</v>
      </c>
      <c r="BD27" t="e">
        <f>装备!#REF!</f>
        <v>#REF!</v>
      </c>
      <c r="BE27" t="e">
        <f t="shared" si="4"/>
        <v>#REF!</v>
      </c>
      <c r="BF27" t="e">
        <f>装备!#REF!</f>
        <v>#REF!</v>
      </c>
      <c r="BG27" t="e">
        <f>装备!#REF!</f>
        <v>#REF!</v>
      </c>
      <c r="BH27" t="e">
        <f>装备!#REF!</f>
        <v>#REF!</v>
      </c>
      <c r="BI27" t="e">
        <f>装备!#REF!</f>
        <v>#REF!</v>
      </c>
      <c r="BJ27" t="e">
        <f>装备!#REF!</f>
        <v>#REF!</v>
      </c>
      <c r="BK27" t="e">
        <f>装备!#REF!</f>
        <v>#REF!</v>
      </c>
      <c r="BL27" t="e">
        <f>装备!#REF!</f>
        <v>#REF!</v>
      </c>
      <c r="BM27" t="e">
        <f>装备!#REF!</f>
        <v>#REF!</v>
      </c>
      <c r="BN27" t="e">
        <f>装备!#REF!</f>
        <v>#REF!</v>
      </c>
      <c r="BO27" t="e">
        <f>装备!#REF!</f>
        <v>#REF!</v>
      </c>
      <c r="BP27" t="e">
        <f t="shared" si="5"/>
        <v>#REF!</v>
      </c>
      <c r="BQ27" t="e">
        <f>装备!#REF!</f>
        <v>#REF!</v>
      </c>
      <c r="BR27" t="e">
        <f>装备!#REF!</f>
        <v>#REF!</v>
      </c>
      <c r="BS27" t="e">
        <f>装备!#REF!</f>
        <v>#REF!</v>
      </c>
      <c r="BT27" t="e">
        <f>装备!#REF!</f>
        <v>#REF!</v>
      </c>
      <c r="BU27" t="e">
        <f>装备!#REF!</f>
        <v>#REF!</v>
      </c>
      <c r="BV27" t="e">
        <f>装备!#REF!</f>
        <v>#REF!</v>
      </c>
      <c r="BW27" t="e">
        <f>装备!#REF!</f>
        <v>#REF!</v>
      </c>
      <c r="BX27" t="e">
        <f>装备!#REF!</f>
        <v>#REF!</v>
      </c>
      <c r="BY27" t="e">
        <f>装备!#REF!</f>
        <v>#REF!</v>
      </c>
      <c r="BZ27" t="e">
        <f>装备!#REF!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装备!#REF!</f>
        <v>#REF!</v>
      </c>
      <c r="B28" t="e">
        <f>装备!#REF!</f>
        <v>#REF!</v>
      </c>
      <c r="C28" t="e">
        <f>装备!#REF!</f>
        <v>#REF!</v>
      </c>
      <c r="D28" t="e">
        <f>装备!#REF!</f>
        <v>#REF!</v>
      </c>
      <c r="E28" t="e">
        <f>装备!#REF!</f>
        <v>#REF!</v>
      </c>
      <c r="F28" t="e">
        <f>装备!#REF!</f>
        <v>#REF!</v>
      </c>
      <c r="G28" t="e">
        <f>装备!#REF!</f>
        <v>#REF!</v>
      </c>
      <c r="H28" t="e">
        <f>装备!#REF!</f>
        <v>#REF!</v>
      </c>
      <c r="I28" t="e">
        <f>装备!#REF!</f>
        <v>#REF!</v>
      </c>
      <c r="J28" t="e">
        <f>装备!#REF!</f>
        <v>#REF!</v>
      </c>
      <c r="K28" t="e">
        <f>装备!#REF!</f>
        <v>#REF!</v>
      </c>
      <c r="L28" t="e">
        <f>装备!#REF!</f>
        <v>#REF!</v>
      </c>
      <c r="M28" t="e">
        <f t="shared" si="0"/>
        <v>#REF!</v>
      </c>
      <c r="N28" t="e">
        <f>装备!#REF!</f>
        <v>#REF!</v>
      </c>
      <c r="O28" t="e">
        <f>装备!#REF!</f>
        <v>#REF!</v>
      </c>
      <c r="P28" t="e">
        <f>装备!#REF!</f>
        <v>#REF!</v>
      </c>
      <c r="Q28" t="e">
        <f>装备!#REF!</f>
        <v>#REF!</v>
      </c>
      <c r="R28" t="e">
        <f>装备!#REF!</f>
        <v>#REF!</v>
      </c>
      <c r="S28" t="e">
        <f>装备!#REF!</f>
        <v>#REF!</v>
      </c>
      <c r="T28" t="e">
        <f>装备!#REF!</f>
        <v>#REF!</v>
      </c>
      <c r="U28" t="e">
        <f>装备!#REF!</f>
        <v>#REF!</v>
      </c>
      <c r="V28" t="e">
        <f>装备!#REF!</f>
        <v>#REF!</v>
      </c>
      <c r="W28" t="e">
        <f>装备!#REF!</f>
        <v>#REF!</v>
      </c>
      <c r="X28" t="e">
        <f t="shared" si="1"/>
        <v>#REF!</v>
      </c>
      <c r="Y28" t="e">
        <f>装备!#REF!</f>
        <v>#REF!</v>
      </c>
      <c r="Z28" t="e">
        <f>装备!#REF!</f>
        <v>#REF!</v>
      </c>
      <c r="AA28" t="e">
        <f>装备!#REF!</f>
        <v>#REF!</v>
      </c>
      <c r="AB28" t="e">
        <f>装备!#REF!</f>
        <v>#REF!</v>
      </c>
      <c r="AC28" t="e">
        <f>装备!#REF!</f>
        <v>#REF!</v>
      </c>
      <c r="AD28" t="e">
        <f>装备!#REF!</f>
        <v>#REF!</v>
      </c>
      <c r="AE28" t="e">
        <f>装备!#REF!</f>
        <v>#REF!</v>
      </c>
      <c r="AF28" t="e">
        <f>装备!#REF!</f>
        <v>#REF!</v>
      </c>
      <c r="AG28" t="e">
        <f>装备!#REF!</f>
        <v>#REF!</v>
      </c>
      <c r="AH28" t="e">
        <f>装备!#REF!</f>
        <v>#REF!</v>
      </c>
      <c r="AI28" t="e">
        <f t="shared" si="2"/>
        <v>#REF!</v>
      </c>
      <c r="AJ28" t="e">
        <f>装备!#REF!</f>
        <v>#REF!</v>
      </c>
      <c r="AK28" t="e">
        <f>装备!#REF!</f>
        <v>#REF!</v>
      </c>
      <c r="AL28" t="e">
        <f>装备!#REF!</f>
        <v>#REF!</v>
      </c>
      <c r="AM28" t="e">
        <f>装备!#REF!</f>
        <v>#REF!</v>
      </c>
      <c r="AN28" t="e">
        <f>装备!#REF!</f>
        <v>#REF!</v>
      </c>
      <c r="AO28" t="e">
        <f>装备!#REF!</f>
        <v>#REF!</v>
      </c>
      <c r="AP28" t="e">
        <f>装备!#REF!</f>
        <v>#REF!</v>
      </c>
      <c r="AQ28" t="e">
        <f>装备!#REF!</f>
        <v>#REF!</v>
      </c>
      <c r="AR28" t="e">
        <f>装备!#REF!</f>
        <v>#REF!</v>
      </c>
      <c r="AS28" t="e">
        <f>装备!#REF!</f>
        <v>#REF!</v>
      </c>
      <c r="AT28" t="e">
        <f t="shared" si="3"/>
        <v>#REF!</v>
      </c>
      <c r="AU28" t="e">
        <f>装备!#REF!</f>
        <v>#REF!</v>
      </c>
      <c r="AV28" t="e">
        <f>装备!#REF!</f>
        <v>#REF!</v>
      </c>
      <c r="AW28" t="e">
        <f>装备!#REF!</f>
        <v>#REF!</v>
      </c>
      <c r="AX28" t="e">
        <f>装备!#REF!</f>
        <v>#REF!</v>
      </c>
      <c r="AY28" t="e">
        <f>装备!#REF!</f>
        <v>#REF!</v>
      </c>
      <c r="AZ28" t="e">
        <f>装备!#REF!</f>
        <v>#REF!</v>
      </c>
      <c r="BA28" t="e">
        <f>装备!#REF!</f>
        <v>#REF!</v>
      </c>
      <c r="BB28" t="e">
        <f>装备!#REF!</f>
        <v>#REF!</v>
      </c>
      <c r="BC28" t="e">
        <f>装备!#REF!</f>
        <v>#REF!</v>
      </c>
      <c r="BD28" t="e">
        <f>装备!#REF!</f>
        <v>#REF!</v>
      </c>
      <c r="BE28" t="e">
        <f t="shared" si="4"/>
        <v>#REF!</v>
      </c>
      <c r="BF28" t="e">
        <f>装备!#REF!</f>
        <v>#REF!</v>
      </c>
      <c r="BG28" t="e">
        <f>装备!#REF!</f>
        <v>#REF!</v>
      </c>
      <c r="BH28" t="e">
        <f>装备!#REF!</f>
        <v>#REF!</v>
      </c>
      <c r="BI28" t="e">
        <f>装备!#REF!</f>
        <v>#REF!</v>
      </c>
      <c r="BJ28" t="e">
        <f>装备!#REF!</f>
        <v>#REF!</v>
      </c>
      <c r="BK28" t="e">
        <f>装备!#REF!</f>
        <v>#REF!</v>
      </c>
      <c r="BL28" t="e">
        <f>装备!#REF!</f>
        <v>#REF!</v>
      </c>
      <c r="BM28" t="e">
        <f>装备!#REF!</f>
        <v>#REF!</v>
      </c>
      <c r="BN28" t="e">
        <f>装备!#REF!</f>
        <v>#REF!</v>
      </c>
      <c r="BO28" t="e">
        <f>装备!#REF!</f>
        <v>#REF!</v>
      </c>
      <c r="BP28" t="e">
        <f t="shared" si="5"/>
        <v>#REF!</v>
      </c>
      <c r="BQ28" t="e">
        <f>装备!#REF!</f>
        <v>#REF!</v>
      </c>
      <c r="BR28" t="e">
        <f>装备!#REF!</f>
        <v>#REF!</v>
      </c>
      <c r="BS28" t="e">
        <f>装备!#REF!</f>
        <v>#REF!</v>
      </c>
      <c r="BT28" t="e">
        <f>装备!#REF!</f>
        <v>#REF!</v>
      </c>
      <c r="BU28" t="e">
        <f>装备!#REF!</f>
        <v>#REF!</v>
      </c>
      <c r="BV28" t="e">
        <f>装备!#REF!</f>
        <v>#REF!</v>
      </c>
      <c r="BW28" t="e">
        <f>装备!#REF!</f>
        <v>#REF!</v>
      </c>
      <c r="BX28" t="e">
        <f>装备!#REF!</f>
        <v>#REF!</v>
      </c>
      <c r="BY28" t="e">
        <f>装备!#REF!</f>
        <v>#REF!</v>
      </c>
      <c r="BZ28" t="e">
        <f>装备!#REF!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装备!#REF!</f>
        <v>#REF!</v>
      </c>
      <c r="B29" t="e">
        <f>装备!#REF!</f>
        <v>#REF!</v>
      </c>
      <c r="C29" t="e">
        <f>装备!#REF!</f>
        <v>#REF!</v>
      </c>
      <c r="D29" t="e">
        <f>装备!#REF!</f>
        <v>#REF!</v>
      </c>
      <c r="E29" t="e">
        <f>装备!#REF!</f>
        <v>#REF!</v>
      </c>
      <c r="F29" t="e">
        <f>装备!#REF!</f>
        <v>#REF!</v>
      </c>
      <c r="G29" t="e">
        <f>装备!#REF!</f>
        <v>#REF!</v>
      </c>
      <c r="H29" t="e">
        <f>装备!#REF!</f>
        <v>#REF!</v>
      </c>
      <c r="I29" t="e">
        <f>装备!#REF!</f>
        <v>#REF!</v>
      </c>
      <c r="J29" t="e">
        <f>装备!#REF!</f>
        <v>#REF!</v>
      </c>
      <c r="K29" t="e">
        <f>装备!#REF!</f>
        <v>#REF!</v>
      </c>
      <c r="L29" t="e">
        <f>装备!#REF!</f>
        <v>#REF!</v>
      </c>
      <c r="M29" t="e">
        <f t="shared" si="0"/>
        <v>#REF!</v>
      </c>
      <c r="N29" t="e">
        <f>装备!#REF!</f>
        <v>#REF!</v>
      </c>
      <c r="O29" t="e">
        <f>装备!#REF!</f>
        <v>#REF!</v>
      </c>
      <c r="P29" t="e">
        <f>装备!#REF!</f>
        <v>#REF!</v>
      </c>
      <c r="Q29" t="e">
        <f>装备!#REF!</f>
        <v>#REF!</v>
      </c>
      <c r="R29" t="e">
        <f>装备!#REF!</f>
        <v>#REF!</v>
      </c>
      <c r="S29" t="e">
        <f>装备!#REF!</f>
        <v>#REF!</v>
      </c>
      <c r="T29" t="e">
        <f>装备!#REF!</f>
        <v>#REF!</v>
      </c>
      <c r="U29" t="e">
        <f>装备!#REF!</f>
        <v>#REF!</v>
      </c>
      <c r="V29" t="e">
        <f>装备!#REF!</f>
        <v>#REF!</v>
      </c>
      <c r="W29" t="e">
        <f>装备!#REF!</f>
        <v>#REF!</v>
      </c>
      <c r="X29" t="e">
        <f t="shared" si="1"/>
        <v>#REF!</v>
      </c>
      <c r="Y29" t="e">
        <f>装备!#REF!</f>
        <v>#REF!</v>
      </c>
      <c r="Z29" t="e">
        <f>装备!#REF!</f>
        <v>#REF!</v>
      </c>
      <c r="AA29" t="e">
        <f>装备!#REF!</f>
        <v>#REF!</v>
      </c>
      <c r="AB29" t="e">
        <f>装备!#REF!</f>
        <v>#REF!</v>
      </c>
      <c r="AC29" t="e">
        <f>装备!#REF!</f>
        <v>#REF!</v>
      </c>
      <c r="AD29" t="e">
        <f>装备!#REF!</f>
        <v>#REF!</v>
      </c>
      <c r="AE29" t="e">
        <f>装备!#REF!</f>
        <v>#REF!</v>
      </c>
      <c r="AF29" t="e">
        <f>装备!#REF!</f>
        <v>#REF!</v>
      </c>
      <c r="AG29" t="e">
        <f>装备!#REF!</f>
        <v>#REF!</v>
      </c>
      <c r="AH29" t="e">
        <f>装备!#REF!</f>
        <v>#REF!</v>
      </c>
      <c r="AI29" t="e">
        <f t="shared" si="2"/>
        <v>#REF!</v>
      </c>
      <c r="AJ29" t="e">
        <f>装备!#REF!</f>
        <v>#REF!</v>
      </c>
      <c r="AK29" t="e">
        <f>装备!#REF!</f>
        <v>#REF!</v>
      </c>
      <c r="AL29" t="e">
        <f>装备!#REF!</f>
        <v>#REF!</v>
      </c>
      <c r="AM29" t="e">
        <f>装备!#REF!</f>
        <v>#REF!</v>
      </c>
      <c r="AN29" t="e">
        <f>装备!#REF!</f>
        <v>#REF!</v>
      </c>
      <c r="AO29" t="e">
        <f>装备!#REF!</f>
        <v>#REF!</v>
      </c>
      <c r="AP29" t="e">
        <f>装备!#REF!</f>
        <v>#REF!</v>
      </c>
      <c r="AQ29" t="e">
        <f>装备!#REF!</f>
        <v>#REF!</v>
      </c>
      <c r="AR29" t="e">
        <f>装备!#REF!</f>
        <v>#REF!</v>
      </c>
      <c r="AS29" t="e">
        <f>装备!#REF!</f>
        <v>#REF!</v>
      </c>
      <c r="AT29" t="e">
        <f t="shared" si="3"/>
        <v>#REF!</v>
      </c>
      <c r="AU29" t="e">
        <f>装备!#REF!</f>
        <v>#REF!</v>
      </c>
      <c r="AV29" t="e">
        <f>装备!#REF!</f>
        <v>#REF!</v>
      </c>
      <c r="AW29" t="e">
        <f>装备!#REF!</f>
        <v>#REF!</v>
      </c>
      <c r="AX29" t="e">
        <f>装备!#REF!</f>
        <v>#REF!</v>
      </c>
      <c r="AY29" t="e">
        <f>装备!#REF!</f>
        <v>#REF!</v>
      </c>
      <c r="AZ29" t="e">
        <f>装备!#REF!</f>
        <v>#REF!</v>
      </c>
      <c r="BA29" t="e">
        <f>装备!#REF!</f>
        <v>#REF!</v>
      </c>
      <c r="BB29" t="e">
        <f>装备!#REF!</f>
        <v>#REF!</v>
      </c>
      <c r="BC29" t="e">
        <f>装备!#REF!</f>
        <v>#REF!</v>
      </c>
      <c r="BD29" t="e">
        <f>装备!#REF!</f>
        <v>#REF!</v>
      </c>
      <c r="BE29" t="e">
        <f t="shared" si="4"/>
        <v>#REF!</v>
      </c>
      <c r="BF29" t="e">
        <f>装备!#REF!</f>
        <v>#REF!</v>
      </c>
      <c r="BG29" t="e">
        <f>装备!#REF!</f>
        <v>#REF!</v>
      </c>
      <c r="BH29" t="e">
        <f>装备!#REF!</f>
        <v>#REF!</v>
      </c>
      <c r="BI29" t="e">
        <f>装备!#REF!</f>
        <v>#REF!</v>
      </c>
      <c r="BJ29" t="e">
        <f>装备!#REF!</f>
        <v>#REF!</v>
      </c>
      <c r="BK29" t="e">
        <f>装备!#REF!</f>
        <v>#REF!</v>
      </c>
      <c r="BL29" t="e">
        <f>装备!#REF!</f>
        <v>#REF!</v>
      </c>
      <c r="BM29" t="e">
        <f>装备!#REF!</f>
        <v>#REF!</v>
      </c>
      <c r="BN29" t="e">
        <f>装备!#REF!</f>
        <v>#REF!</v>
      </c>
      <c r="BO29" t="e">
        <f>装备!#REF!</f>
        <v>#REF!</v>
      </c>
      <c r="BP29" t="e">
        <f t="shared" si="5"/>
        <v>#REF!</v>
      </c>
      <c r="BQ29" t="e">
        <f>装备!#REF!</f>
        <v>#REF!</v>
      </c>
      <c r="BR29" t="e">
        <f>装备!#REF!</f>
        <v>#REF!</v>
      </c>
      <c r="BS29" t="e">
        <f>装备!#REF!</f>
        <v>#REF!</v>
      </c>
      <c r="BT29" t="e">
        <f>装备!#REF!</f>
        <v>#REF!</v>
      </c>
      <c r="BU29" t="e">
        <f>装备!#REF!</f>
        <v>#REF!</v>
      </c>
      <c r="BV29" t="e">
        <f>装备!#REF!</f>
        <v>#REF!</v>
      </c>
      <c r="BW29" t="e">
        <f>装备!#REF!</f>
        <v>#REF!</v>
      </c>
      <c r="BX29" t="e">
        <f>装备!#REF!</f>
        <v>#REF!</v>
      </c>
      <c r="BY29" t="e">
        <f>装备!#REF!</f>
        <v>#REF!</v>
      </c>
      <c r="BZ29" t="e">
        <f>装备!#REF!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装备!#REF!</f>
        <v>#REF!</v>
      </c>
      <c r="B30" t="e">
        <f>装备!#REF!</f>
        <v>#REF!</v>
      </c>
      <c r="C30" t="e">
        <f>装备!#REF!</f>
        <v>#REF!</v>
      </c>
      <c r="D30" t="e">
        <f>装备!#REF!</f>
        <v>#REF!</v>
      </c>
      <c r="E30" t="e">
        <f>装备!#REF!</f>
        <v>#REF!</v>
      </c>
      <c r="F30" t="e">
        <f>装备!#REF!</f>
        <v>#REF!</v>
      </c>
      <c r="G30" t="e">
        <f>装备!#REF!</f>
        <v>#REF!</v>
      </c>
      <c r="H30" t="e">
        <f>装备!#REF!</f>
        <v>#REF!</v>
      </c>
      <c r="I30" t="e">
        <f>装备!#REF!</f>
        <v>#REF!</v>
      </c>
      <c r="J30" t="e">
        <f>装备!#REF!</f>
        <v>#REF!</v>
      </c>
      <c r="K30" t="e">
        <f>装备!#REF!</f>
        <v>#REF!</v>
      </c>
      <c r="L30" t="e">
        <f>装备!#REF!</f>
        <v>#REF!</v>
      </c>
      <c r="M30" t="e">
        <f t="shared" si="0"/>
        <v>#REF!</v>
      </c>
      <c r="N30" t="e">
        <f>装备!#REF!</f>
        <v>#REF!</v>
      </c>
      <c r="O30" t="e">
        <f>装备!#REF!</f>
        <v>#REF!</v>
      </c>
      <c r="P30" t="e">
        <f>装备!#REF!</f>
        <v>#REF!</v>
      </c>
      <c r="Q30" t="e">
        <f>装备!#REF!</f>
        <v>#REF!</v>
      </c>
      <c r="R30" t="e">
        <f>装备!#REF!</f>
        <v>#REF!</v>
      </c>
      <c r="S30" t="e">
        <f>装备!#REF!</f>
        <v>#REF!</v>
      </c>
      <c r="T30" t="e">
        <f>装备!#REF!</f>
        <v>#REF!</v>
      </c>
      <c r="U30" t="e">
        <f>装备!#REF!</f>
        <v>#REF!</v>
      </c>
      <c r="V30" t="e">
        <f>装备!#REF!</f>
        <v>#REF!</v>
      </c>
      <c r="W30" t="e">
        <f>装备!#REF!</f>
        <v>#REF!</v>
      </c>
      <c r="X30" t="e">
        <f t="shared" si="1"/>
        <v>#REF!</v>
      </c>
      <c r="Y30" t="e">
        <f>装备!#REF!</f>
        <v>#REF!</v>
      </c>
      <c r="Z30" t="e">
        <f>装备!#REF!</f>
        <v>#REF!</v>
      </c>
      <c r="AA30" t="e">
        <f>装备!#REF!</f>
        <v>#REF!</v>
      </c>
      <c r="AB30" t="e">
        <f>装备!#REF!</f>
        <v>#REF!</v>
      </c>
      <c r="AC30" t="e">
        <f>装备!#REF!</f>
        <v>#REF!</v>
      </c>
      <c r="AD30" t="e">
        <f>装备!#REF!</f>
        <v>#REF!</v>
      </c>
      <c r="AE30" t="e">
        <f>装备!#REF!</f>
        <v>#REF!</v>
      </c>
      <c r="AF30" t="e">
        <f>装备!#REF!</f>
        <v>#REF!</v>
      </c>
      <c r="AG30" t="e">
        <f>装备!#REF!</f>
        <v>#REF!</v>
      </c>
      <c r="AH30" t="e">
        <f>装备!#REF!</f>
        <v>#REF!</v>
      </c>
      <c r="AI30" t="e">
        <f t="shared" si="2"/>
        <v>#REF!</v>
      </c>
      <c r="AJ30" t="e">
        <f>装备!#REF!</f>
        <v>#REF!</v>
      </c>
      <c r="AK30" t="e">
        <f>装备!#REF!</f>
        <v>#REF!</v>
      </c>
      <c r="AL30" t="e">
        <f>装备!#REF!</f>
        <v>#REF!</v>
      </c>
      <c r="AM30" t="e">
        <f>装备!#REF!</f>
        <v>#REF!</v>
      </c>
      <c r="AN30" t="e">
        <f>装备!#REF!</f>
        <v>#REF!</v>
      </c>
      <c r="AO30" t="e">
        <f>装备!#REF!</f>
        <v>#REF!</v>
      </c>
      <c r="AP30" t="e">
        <f>装备!#REF!</f>
        <v>#REF!</v>
      </c>
      <c r="AQ30" t="e">
        <f>装备!#REF!</f>
        <v>#REF!</v>
      </c>
      <c r="AR30" t="e">
        <f>装备!#REF!</f>
        <v>#REF!</v>
      </c>
      <c r="AS30" t="e">
        <f>装备!#REF!</f>
        <v>#REF!</v>
      </c>
      <c r="AT30" t="e">
        <f t="shared" si="3"/>
        <v>#REF!</v>
      </c>
      <c r="AU30" t="e">
        <f>装备!#REF!</f>
        <v>#REF!</v>
      </c>
      <c r="AV30" t="e">
        <f>装备!#REF!</f>
        <v>#REF!</v>
      </c>
      <c r="AW30" t="e">
        <f>装备!#REF!</f>
        <v>#REF!</v>
      </c>
      <c r="AX30" t="e">
        <f>装备!#REF!</f>
        <v>#REF!</v>
      </c>
      <c r="AY30" t="e">
        <f>装备!#REF!</f>
        <v>#REF!</v>
      </c>
      <c r="AZ30" t="e">
        <f>装备!#REF!</f>
        <v>#REF!</v>
      </c>
      <c r="BA30" t="e">
        <f>装备!#REF!</f>
        <v>#REF!</v>
      </c>
      <c r="BB30" t="e">
        <f>装备!#REF!</f>
        <v>#REF!</v>
      </c>
      <c r="BC30" t="e">
        <f>装备!#REF!</f>
        <v>#REF!</v>
      </c>
      <c r="BD30" t="e">
        <f>装备!#REF!</f>
        <v>#REF!</v>
      </c>
      <c r="BE30" t="e">
        <f t="shared" si="4"/>
        <v>#REF!</v>
      </c>
      <c r="BF30" t="e">
        <f>装备!#REF!</f>
        <v>#REF!</v>
      </c>
      <c r="BG30" t="e">
        <f>装备!#REF!</f>
        <v>#REF!</v>
      </c>
      <c r="BH30" t="e">
        <f>装备!#REF!</f>
        <v>#REF!</v>
      </c>
      <c r="BI30" t="e">
        <f>装备!#REF!</f>
        <v>#REF!</v>
      </c>
      <c r="BJ30" t="e">
        <f>装备!#REF!</f>
        <v>#REF!</v>
      </c>
      <c r="BK30" t="e">
        <f>装备!#REF!</f>
        <v>#REF!</v>
      </c>
      <c r="BL30" t="e">
        <f>装备!#REF!</f>
        <v>#REF!</v>
      </c>
      <c r="BM30" t="e">
        <f>装备!#REF!</f>
        <v>#REF!</v>
      </c>
      <c r="BN30" t="e">
        <f>装备!#REF!</f>
        <v>#REF!</v>
      </c>
      <c r="BO30" t="e">
        <f>装备!#REF!</f>
        <v>#REF!</v>
      </c>
      <c r="BP30" t="e">
        <f t="shared" si="5"/>
        <v>#REF!</v>
      </c>
      <c r="BQ30" t="e">
        <f>装备!#REF!</f>
        <v>#REF!</v>
      </c>
      <c r="BR30" t="e">
        <f>装备!#REF!</f>
        <v>#REF!</v>
      </c>
      <c r="BS30" t="e">
        <f>装备!#REF!</f>
        <v>#REF!</v>
      </c>
      <c r="BT30" t="e">
        <f>装备!#REF!</f>
        <v>#REF!</v>
      </c>
      <c r="BU30" t="e">
        <f>装备!#REF!</f>
        <v>#REF!</v>
      </c>
      <c r="BV30" t="e">
        <f>装备!#REF!</f>
        <v>#REF!</v>
      </c>
      <c r="BW30" t="e">
        <f>装备!#REF!</f>
        <v>#REF!</v>
      </c>
      <c r="BX30" t="e">
        <f>装备!#REF!</f>
        <v>#REF!</v>
      </c>
      <c r="BY30" t="e">
        <f>装备!#REF!</f>
        <v>#REF!</v>
      </c>
      <c r="BZ30" t="e">
        <f>装备!#REF!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装备!#REF!</f>
        <v>#REF!</v>
      </c>
      <c r="B31" t="e">
        <f>装备!#REF!</f>
        <v>#REF!</v>
      </c>
      <c r="C31" t="e">
        <f>装备!#REF!</f>
        <v>#REF!</v>
      </c>
      <c r="D31" t="e">
        <f>装备!#REF!</f>
        <v>#REF!</v>
      </c>
      <c r="E31" t="e">
        <f>装备!#REF!</f>
        <v>#REF!</v>
      </c>
      <c r="F31" t="e">
        <f>装备!#REF!</f>
        <v>#REF!</v>
      </c>
      <c r="G31" t="e">
        <f>装备!#REF!</f>
        <v>#REF!</v>
      </c>
      <c r="H31" t="e">
        <f>装备!#REF!</f>
        <v>#REF!</v>
      </c>
      <c r="I31" t="e">
        <f>装备!#REF!</f>
        <v>#REF!</v>
      </c>
      <c r="J31" t="e">
        <f>装备!#REF!</f>
        <v>#REF!</v>
      </c>
      <c r="K31" t="e">
        <f>装备!#REF!</f>
        <v>#REF!</v>
      </c>
      <c r="L31" t="e">
        <f>装备!#REF!</f>
        <v>#REF!</v>
      </c>
      <c r="M31" t="e">
        <f t="shared" si="0"/>
        <v>#REF!</v>
      </c>
      <c r="N31" t="e">
        <f>装备!#REF!</f>
        <v>#REF!</v>
      </c>
      <c r="O31" t="e">
        <f>装备!#REF!</f>
        <v>#REF!</v>
      </c>
      <c r="P31" t="e">
        <f>装备!#REF!</f>
        <v>#REF!</v>
      </c>
      <c r="Q31" t="e">
        <f>装备!#REF!</f>
        <v>#REF!</v>
      </c>
      <c r="R31" t="e">
        <f>装备!#REF!</f>
        <v>#REF!</v>
      </c>
      <c r="S31" t="e">
        <f>装备!#REF!</f>
        <v>#REF!</v>
      </c>
      <c r="T31" t="e">
        <f>装备!#REF!</f>
        <v>#REF!</v>
      </c>
      <c r="U31" t="e">
        <f>装备!#REF!</f>
        <v>#REF!</v>
      </c>
      <c r="V31" t="e">
        <f>装备!#REF!</f>
        <v>#REF!</v>
      </c>
      <c r="W31" t="e">
        <f>装备!#REF!</f>
        <v>#REF!</v>
      </c>
      <c r="X31" t="e">
        <f t="shared" si="1"/>
        <v>#REF!</v>
      </c>
      <c r="Y31" t="e">
        <f>装备!#REF!</f>
        <v>#REF!</v>
      </c>
      <c r="Z31" t="e">
        <f>装备!#REF!</f>
        <v>#REF!</v>
      </c>
      <c r="AA31" t="e">
        <f>装备!#REF!</f>
        <v>#REF!</v>
      </c>
      <c r="AB31" t="e">
        <f>装备!#REF!</f>
        <v>#REF!</v>
      </c>
      <c r="AC31" t="e">
        <f>装备!#REF!</f>
        <v>#REF!</v>
      </c>
      <c r="AD31" t="e">
        <f>装备!#REF!</f>
        <v>#REF!</v>
      </c>
      <c r="AE31" t="e">
        <f>装备!#REF!</f>
        <v>#REF!</v>
      </c>
      <c r="AF31" t="e">
        <f>装备!#REF!</f>
        <v>#REF!</v>
      </c>
      <c r="AG31" t="e">
        <f>装备!#REF!</f>
        <v>#REF!</v>
      </c>
      <c r="AH31" t="e">
        <f>装备!#REF!</f>
        <v>#REF!</v>
      </c>
      <c r="AI31" t="e">
        <f t="shared" si="2"/>
        <v>#REF!</v>
      </c>
      <c r="AJ31" t="e">
        <f>装备!#REF!</f>
        <v>#REF!</v>
      </c>
      <c r="AK31" t="e">
        <f>装备!#REF!</f>
        <v>#REF!</v>
      </c>
      <c r="AL31" t="e">
        <f>装备!#REF!</f>
        <v>#REF!</v>
      </c>
      <c r="AM31" t="e">
        <f>装备!#REF!</f>
        <v>#REF!</v>
      </c>
      <c r="AN31" t="e">
        <f>装备!#REF!</f>
        <v>#REF!</v>
      </c>
      <c r="AO31" t="e">
        <f>装备!#REF!</f>
        <v>#REF!</v>
      </c>
      <c r="AP31" t="e">
        <f>装备!#REF!</f>
        <v>#REF!</v>
      </c>
      <c r="AQ31" t="e">
        <f>装备!#REF!</f>
        <v>#REF!</v>
      </c>
      <c r="AR31" t="e">
        <f>装备!#REF!</f>
        <v>#REF!</v>
      </c>
      <c r="AS31" t="e">
        <f>装备!#REF!</f>
        <v>#REF!</v>
      </c>
      <c r="AT31" t="e">
        <f t="shared" si="3"/>
        <v>#REF!</v>
      </c>
      <c r="AU31" t="e">
        <f>装备!#REF!</f>
        <v>#REF!</v>
      </c>
      <c r="AV31" t="e">
        <f>装备!#REF!</f>
        <v>#REF!</v>
      </c>
      <c r="AW31" t="e">
        <f>装备!#REF!</f>
        <v>#REF!</v>
      </c>
      <c r="AX31" t="e">
        <f>装备!#REF!</f>
        <v>#REF!</v>
      </c>
      <c r="AY31" t="e">
        <f>装备!#REF!</f>
        <v>#REF!</v>
      </c>
      <c r="AZ31" t="e">
        <f>装备!#REF!</f>
        <v>#REF!</v>
      </c>
      <c r="BA31" t="e">
        <f>装备!#REF!</f>
        <v>#REF!</v>
      </c>
      <c r="BB31" t="e">
        <f>装备!#REF!</f>
        <v>#REF!</v>
      </c>
      <c r="BC31" t="e">
        <f>装备!#REF!</f>
        <v>#REF!</v>
      </c>
      <c r="BD31" t="e">
        <f>装备!#REF!</f>
        <v>#REF!</v>
      </c>
      <c r="BE31" t="e">
        <f t="shared" si="4"/>
        <v>#REF!</v>
      </c>
      <c r="BF31" t="e">
        <f>装备!#REF!</f>
        <v>#REF!</v>
      </c>
      <c r="BG31" t="e">
        <f>装备!#REF!</f>
        <v>#REF!</v>
      </c>
      <c r="BH31" t="e">
        <f>装备!#REF!</f>
        <v>#REF!</v>
      </c>
      <c r="BI31" t="e">
        <f>装备!#REF!</f>
        <v>#REF!</v>
      </c>
      <c r="BJ31" t="e">
        <f>装备!#REF!</f>
        <v>#REF!</v>
      </c>
      <c r="BK31" t="e">
        <f>装备!#REF!</f>
        <v>#REF!</v>
      </c>
      <c r="BL31" t="e">
        <f>装备!#REF!</f>
        <v>#REF!</v>
      </c>
      <c r="BM31" t="e">
        <f>装备!#REF!</f>
        <v>#REF!</v>
      </c>
      <c r="BN31" t="e">
        <f>装备!#REF!</f>
        <v>#REF!</v>
      </c>
      <c r="BO31" t="e">
        <f>装备!#REF!</f>
        <v>#REF!</v>
      </c>
      <c r="BP31" t="e">
        <f t="shared" si="5"/>
        <v>#REF!</v>
      </c>
      <c r="BQ31" t="e">
        <f>装备!#REF!</f>
        <v>#REF!</v>
      </c>
      <c r="BR31" t="e">
        <f>装备!#REF!</f>
        <v>#REF!</v>
      </c>
      <c r="BS31" t="e">
        <f>装备!#REF!</f>
        <v>#REF!</v>
      </c>
      <c r="BT31" t="e">
        <f>装备!#REF!</f>
        <v>#REF!</v>
      </c>
      <c r="BU31" t="e">
        <f>装备!#REF!</f>
        <v>#REF!</v>
      </c>
      <c r="BV31" t="e">
        <f>装备!#REF!</f>
        <v>#REF!</v>
      </c>
      <c r="BW31" t="e">
        <f>装备!#REF!</f>
        <v>#REF!</v>
      </c>
      <c r="BX31" t="e">
        <f>装备!#REF!</f>
        <v>#REF!</v>
      </c>
      <c r="BY31" t="e">
        <f>装备!#REF!</f>
        <v>#REF!</v>
      </c>
      <c r="BZ31" t="e">
        <f>装备!#REF!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装备!#REF!</f>
        <v>#REF!</v>
      </c>
      <c r="B32" t="e">
        <f>装备!#REF!</f>
        <v>#REF!</v>
      </c>
      <c r="C32" t="e">
        <f>装备!#REF!</f>
        <v>#REF!</v>
      </c>
      <c r="D32" t="e">
        <f>装备!#REF!</f>
        <v>#REF!</v>
      </c>
      <c r="E32" t="e">
        <f>装备!#REF!</f>
        <v>#REF!</v>
      </c>
      <c r="F32" t="e">
        <f>装备!#REF!</f>
        <v>#REF!</v>
      </c>
      <c r="G32" t="e">
        <f>装备!#REF!</f>
        <v>#REF!</v>
      </c>
      <c r="H32" t="e">
        <f>装备!#REF!</f>
        <v>#REF!</v>
      </c>
      <c r="I32" t="e">
        <f>装备!#REF!</f>
        <v>#REF!</v>
      </c>
      <c r="J32" t="e">
        <f>装备!#REF!</f>
        <v>#REF!</v>
      </c>
      <c r="K32" t="e">
        <f>装备!#REF!</f>
        <v>#REF!</v>
      </c>
      <c r="L32" t="e">
        <f>装备!#REF!</f>
        <v>#REF!</v>
      </c>
      <c r="M32" t="e">
        <f t="shared" si="0"/>
        <v>#REF!</v>
      </c>
      <c r="N32" t="e">
        <f>装备!#REF!</f>
        <v>#REF!</v>
      </c>
      <c r="O32" t="e">
        <f>装备!#REF!</f>
        <v>#REF!</v>
      </c>
      <c r="P32" t="e">
        <f>装备!#REF!</f>
        <v>#REF!</v>
      </c>
      <c r="Q32" t="e">
        <f>装备!#REF!</f>
        <v>#REF!</v>
      </c>
      <c r="R32" t="e">
        <f>装备!#REF!</f>
        <v>#REF!</v>
      </c>
      <c r="S32" t="e">
        <f>装备!#REF!</f>
        <v>#REF!</v>
      </c>
      <c r="T32" t="e">
        <f>装备!#REF!</f>
        <v>#REF!</v>
      </c>
      <c r="U32" t="e">
        <f>装备!#REF!</f>
        <v>#REF!</v>
      </c>
      <c r="V32" t="e">
        <f>装备!#REF!</f>
        <v>#REF!</v>
      </c>
      <c r="W32" t="e">
        <f>装备!#REF!</f>
        <v>#REF!</v>
      </c>
      <c r="X32" t="e">
        <f t="shared" si="1"/>
        <v>#REF!</v>
      </c>
      <c r="Y32" t="e">
        <f>装备!#REF!</f>
        <v>#REF!</v>
      </c>
      <c r="Z32" t="e">
        <f>装备!#REF!</f>
        <v>#REF!</v>
      </c>
      <c r="AA32" t="e">
        <f>装备!#REF!</f>
        <v>#REF!</v>
      </c>
      <c r="AB32" t="e">
        <f>装备!#REF!</f>
        <v>#REF!</v>
      </c>
      <c r="AC32" t="e">
        <f>装备!#REF!</f>
        <v>#REF!</v>
      </c>
      <c r="AD32" t="e">
        <f>装备!#REF!</f>
        <v>#REF!</v>
      </c>
      <c r="AE32" t="e">
        <f>装备!#REF!</f>
        <v>#REF!</v>
      </c>
      <c r="AF32" t="e">
        <f>装备!#REF!</f>
        <v>#REF!</v>
      </c>
      <c r="AG32" t="e">
        <f>装备!#REF!</f>
        <v>#REF!</v>
      </c>
      <c r="AH32" t="e">
        <f>装备!#REF!</f>
        <v>#REF!</v>
      </c>
      <c r="AI32" t="e">
        <f t="shared" si="2"/>
        <v>#REF!</v>
      </c>
      <c r="AJ32" t="e">
        <f>装备!#REF!</f>
        <v>#REF!</v>
      </c>
      <c r="AK32" t="e">
        <f>装备!#REF!</f>
        <v>#REF!</v>
      </c>
      <c r="AL32" t="e">
        <f>装备!#REF!</f>
        <v>#REF!</v>
      </c>
      <c r="AM32" t="e">
        <f>装备!#REF!</f>
        <v>#REF!</v>
      </c>
      <c r="AN32" t="e">
        <f>装备!#REF!</f>
        <v>#REF!</v>
      </c>
      <c r="AO32" t="e">
        <f>装备!#REF!</f>
        <v>#REF!</v>
      </c>
      <c r="AP32" t="e">
        <f>装备!#REF!</f>
        <v>#REF!</v>
      </c>
      <c r="AQ32" t="e">
        <f>装备!#REF!</f>
        <v>#REF!</v>
      </c>
      <c r="AR32" t="e">
        <f>装备!#REF!</f>
        <v>#REF!</v>
      </c>
      <c r="AS32" t="e">
        <f>装备!#REF!</f>
        <v>#REF!</v>
      </c>
      <c r="AT32" t="e">
        <f t="shared" si="3"/>
        <v>#REF!</v>
      </c>
      <c r="AU32" t="e">
        <f>装备!#REF!</f>
        <v>#REF!</v>
      </c>
      <c r="AV32" t="e">
        <f>装备!#REF!</f>
        <v>#REF!</v>
      </c>
      <c r="AW32" t="e">
        <f>装备!#REF!</f>
        <v>#REF!</v>
      </c>
      <c r="AX32" t="e">
        <f>装备!#REF!</f>
        <v>#REF!</v>
      </c>
      <c r="AY32" t="e">
        <f>装备!#REF!</f>
        <v>#REF!</v>
      </c>
      <c r="AZ32" t="e">
        <f>装备!#REF!</f>
        <v>#REF!</v>
      </c>
      <c r="BA32" t="e">
        <f>装备!#REF!</f>
        <v>#REF!</v>
      </c>
      <c r="BB32" t="e">
        <f>装备!#REF!</f>
        <v>#REF!</v>
      </c>
      <c r="BC32" t="e">
        <f>装备!#REF!</f>
        <v>#REF!</v>
      </c>
      <c r="BD32" t="e">
        <f>装备!#REF!</f>
        <v>#REF!</v>
      </c>
      <c r="BE32" t="e">
        <f t="shared" si="4"/>
        <v>#REF!</v>
      </c>
      <c r="BF32" t="e">
        <f>装备!#REF!</f>
        <v>#REF!</v>
      </c>
      <c r="BG32" t="e">
        <f>装备!#REF!</f>
        <v>#REF!</v>
      </c>
      <c r="BH32" t="e">
        <f>装备!#REF!</f>
        <v>#REF!</v>
      </c>
      <c r="BI32" t="e">
        <f>装备!#REF!</f>
        <v>#REF!</v>
      </c>
      <c r="BJ32" t="e">
        <f>装备!#REF!</f>
        <v>#REF!</v>
      </c>
      <c r="BK32" t="e">
        <f>装备!#REF!</f>
        <v>#REF!</v>
      </c>
      <c r="BL32" t="e">
        <f>装备!#REF!</f>
        <v>#REF!</v>
      </c>
      <c r="BM32" t="e">
        <f>装备!#REF!</f>
        <v>#REF!</v>
      </c>
      <c r="BN32" t="e">
        <f>装备!#REF!</f>
        <v>#REF!</v>
      </c>
      <c r="BO32" t="e">
        <f>装备!#REF!</f>
        <v>#REF!</v>
      </c>
      <c r="BP32" t="e">
        <f t="shared" si="5"/>
        <v>#REF!</v>
      </c>
      <c r="BQ32" t="e">
        <f>装备!#REF!</f>
        <v>#REF!</v>
      </c>
      <c r="BR32" t="e">
        <f>装备!#REF!</f>
        <v>#REF!</v>
      </c>
      <c r="BS32" t="e">
        <f>装备!#REF!</f>
        <v>#REF!</v>
      </c>
      <c r="BT32" t="e">
        <f>装备!#REF!</f>
        <v>#REF!</v>
      </c>
      <c r="BU32" t="e">
        <f>装备!#REF!</f>
        <v>#REF!</v>
      </c>
      <c r="BV32" t="e">
        <f>装备!#REF!</f>
        <v>#REF!</v>
      </c>
      <c r="BW32" t="e">
        <f>装备!#REF!</f>
        <v>#REF!</v>
      </c>
      <c r="BX32" t="e">
        <f>装备!#REF!</f>
        <v>#REF!</v>
      </c>
      <c r="BY32" t="e">
        <f>装备!#REF!</f>
        <v>#REF!</v>
      </c>
      <c r="BZ32" t="e">
        <f>装备!#REF!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装备!#REF!</f>
        <v>#REF!</v>
      </c>
      <c r="B33" t="e">
        <f>装备!#REF!</f>
        <v>#REF!</v>
      </c>
      <c r="C33" t="e">
        <f>装备!#REF!</f>
        <v>#REF!</v>
      </c>
      <c r="D33" t="e">
        <f>装备!#REF!</f>
        <v>#REF!</v>
      </c>
      <c r="E33" t="e">
        <f>装备!#REF!</f>
        <v>#REF!</v>
      </c>
      <c r="F33" t="e">
        <f>装备!#REF!</f>
        <v>#REF!</v>
      </c>
      <c r="G33" t="e">
        <f>装备!#REF!</f>
        <v>#REF!</v>
      </c>
      <c r="H33" t="e">
        <f>装备!#REF!</f>
        <v>#REF!</v>
      </c>
      <c r="I33" t="e">
        <f>装备!#REF!</f>
        <v>#REF!</v>
      </c>
      <c r="J33" t="e">
        <f>装备!#REF!</f>
        <v>#REF!</v>
      </c>
      <c r="K33" t="e">
        <f>装备!#REF!</f>
        <v>#REF!</v>
      </c>
      <c r="L33" t="e">
        <f>装备!#REF!</f>
        <v>#REF!</v>
      </c>
      <c r="M33" t="e">
        <f t="shared" si="0"/>
        <v>#REF!</v>
      </c>
      <c r="N33" t="e">
        <f>装备!#REF!</f>
        <v>#REF!</v>
      </c>
      <c r="O33" t="e">
        <f>装备!#REF!</f>
        <v>#REF!</v>
      </c>
      <c r="P33" t="e">
        <f>装备!#REF!</f>
        <v>#REF!</v>
      </c>
      <c r="Q33" t="e">
        <f>装备!#REF!</f>
        <v>#REF!</v>
      </c>
      <c r="R33" t="e">
        <f>装备!#REF!</f>
        <v>#REF!</v>
      </c>
      <c r="S33" t="e">
        <f>装备!#REF!</f>
        <v>#REF!</v>
      </c>
      <c r="T33" t="e">
        <f>装备!#REF!</f>
        <v>#REF!</v>
      </c>
      <c r="U33" t="e">
        <f>装备!#REF!</f>
        <v>#REF!</v>
      </c>
      <c r="V33" t="e">
        <f>装备!#REF!</f>
        <v>#REF!</v>
      </c>
      <c r="W33" t="e">
        <f>装备!#REF!</f>
        <v>#REF!</v>
      </c>
      <c r="X33" t="e">
        <f t="shared" si="1"/>
        <v>#REF!</v>
      </c>
      <c r="Y33" t="e">
        <f>装备!#REF!</f>
        <v>#REF!</v>
      </c>
      <c r="Z33" t="e">
        <f>装备!#REF!</f>
        <v>#REF!</v>
      </c>
      <c r="AA33" t="e">
        <f>装备!#REF!</f>
        <v>#REF!</v>
      </c>
      <c r="AB33" t="e">
        <f>装备!#REF!</f>
        <v>#REF!</v>
      </c>
      <c r="AC33" t="e">
        <f>装备!#REF!</f>
        <v>#REF!</v>
      </c>
      <c r="AD33" t="e">
        <f>装备!#REF!</f>
        <v>#REF!</v>
      </c>
      <c r="AE33" t="e">
        <f>装备!#REF!</f>
        <v>#REF!</v>
      </c>
      <c r="AF33" t="e">
        <f>装备!#REF!</f>
        <v>#REF!</v>
      </c>
      <c r="AG33" t="e">
        <f>装备!#REF!</f>
        <v>#REF!</v>
      </c>
      <c r="AH33" t="e">
        <f>装备!#REF!</f>
        <v>#REF!</v>
      </c>
      <c r="AI33" t="e">
        <f t="shared" si="2"/>
        <v>#REF!</v>
      </c>
      <c r="AJ33" t="e">
        <f>装备!#REF!</f>
        <v>#REF!</v>
      </c>
      <c r="AK33" t="e">
        <f>装备!#REF!</f>
        <v>#REF!</v>
      </c>
      <c r="AL33" t="e">
        <f>装备!#REF!</f>
        <v>#REF!</v>
      </c>
      <c r="AM33" t="e">
        <f>装备!#REF!</f>
        <v>#REF!</v>
      </c>
      <c r="AN33" t="e">
        <f>装备!#REF!</f>
        <v>#REF!</v>
      </c>
      <c r="AO33" t="e">
        <f>装备!#REF!</f>
        <v>#REF!</v>
      </c>
      <c r="AP33" t="e">
        <f>装备!#REF!</f>
        <v>#REF!</v>
      </c>
      <c r="AQ33" t="e">
        <f>装备!#REF!</f>
        <v>#REF!</v>
      </c>
      <c r="AR33" t="e">
        <f>装备!#REF!</f>
        <v>#REF!</v>
      </c>
      <c r="AS33" t="e">
        <f>装备!#REF!</f>
        <v>#REF!</v>
      </c>
      <c r="AT33" t="e">
        <f t="shared" si="3"/>
        <v>#REF!</v>
      </c>
      <c r="AU33" t="e">
        <f>装备!#REF!</f>
        <v>#REF!</v>
      </c>
      <c r="AV33" t="e">
        <f>装备!#REF!</f>
        <v>#REF!</v>
      </c>
      <c r="AW33" t="e">
        <f>装备!#REF!</f>
        <v>#REF!</v>
      </c>
      <c r="AX33" t="e">
        <f>装备!#REF!</f>
        <v>#REF!</v>
      </c>
      <c r="AY33" t="e">
        <f>装备!#REF!</f>
        <v>#REF!</v>
      </c>
      <c r="AZ33" t="e">
        <f>装备!#REF!</f>
        <v>#REF!</v>
      </c>
      <c r="BA33" t="e">
        <f>装备!#REF!</f>
        <v>#REF!</v>
      </c>
      <c r="BB33" t="e">
        <f>装备!#REF!</f>
        <v>#REF!</v>
      </c>
      <c r="BC33" t="e">
        <f>装备!#REF!</f>
        <v>#REF!</v>
      </c>
      <c r="BD33" t="e">
        <f>装备!#REF!</f>
        <v>#REF!</v>
      </c>
      <c r="BE33" t="e">
        <f t="shared" si="4"/>
        <v>#REF!</v>
      </c>
      <c r="BF33" t="e">
        <f>装备!#REF!</f>
        <v>#REF!</v>
      </c>
      <c r="BG33" t="e">
        <f>装备!#REF!</f>
        <v>#REF!</v>
      </c>
      <c r="BH33" t="e">
        <f>装备!#REF!</f>
        <v>#REF!</v>
      </c>
      <c r="BI33" t="e">
        <f>装备!#REF!</f>
        <v>#REF!</v>
      </c>
      <c r="BJ33" t="e">
        <f>装备!#REF!</f>
        <v>#REF!</v>
      </c>
      <c r="BK33" t="e">
        <f>装备!#REF!</f>
        <v>#REF!</v>
      </c>
      <c r="BL33" t="e">
        <f>装备!#REF!</f>
        <v>#REF!</v>
      </c>
      <c r="BM33" t="e">
        <f>装备!#REF!</f>
        <v>#REF!</v>
      </c>
      <c r="BN33" t="e">
        <f>装备!#REF!</f>
        <v>#REF!</v>
      </c>
      <c r="BO33" t="e">
        <f>装备!#REF!</f>
        <v>#REF!</v>
      </c>
      <c r="BP33" t="e">
        <f t="shared" si="5"/>
        <v>#REF!</v>
      </c>
      <c r="BQ33" t="e">
        <f>装备!#REF!</f>
        <v>#REF!</v>
      </c>
      <c r="BR33" t="e">
        <f>装备!#REF!</f>
        <v>#REF!</v>
      </c>
      <c r="BS33" t="e">
        <f>装备!#REF!</f>
        <v>#REF!</v>
      </c>
      <c r="BT33" t="e">
        <f>装备!#REF!</f>
        <v>#REF!</v>
      </c>
      <c r="BU33" t="e">
        <f>装备!#REF!</f>
        <v>#REF!</v>
      </c>
      <c r="BV33" t="e">
        <f>装备!#REF!</f>
        <v>#REF!</v>
      </c>
      <c r="BW33" t="e">
        <f>装备!#REF!</f>
        <v>#REF!</v>
      </c>
      <c r="BX33" t="e">
        <f>装备!#REF!</f>
        <v>#REF!</v>
      </c>
      <c r="BY33" t="e">
        <f>装备!#REF!</f>
        <v>#REF!</v>
      </c>
      <c r="BZ33" t="e">
        <f>装备!#REF!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装备!#REF!</f>
        <v>#REF!</v>
      </c>
      <c r="B34" t="e">
        <f>装备!#REF!</f>
        <v>#REF!</v>
      </c>
      <c r="C34" t="e">
        <f>装备!#REF!</f>
        <v>#REF!</v>
      </c>
      <c r="D34" t="e">
        <f>装备!#REF!</f>
        <v>#REF!</v>
      </c>
      <c r="E34" t="e">
        <f>装备!#REF!</f>
        <v>#REF!</v>
      </c>
      <c r="F34" t="e">
        <f>装备!#REF!</f>
        <v>#REF!</v>
      </c>
      <c r="G34" t="e">
        <f>装备!#REF!</f>
        <v>#REF!</v>
      </c>
      <c r="H34" t="e">
        <f>装备!#REF!</f>
        <v>#REF!</v>
      </c>
      <c r="I34" t="e">
        <f>装备!#REF!</f>
        <v>#REF!</v>
      </c>
      <c r="J34" t="e">
        <f>装备!#REF!</f>
        <v>#REF!</v>
      </c>
      <c r="K34" t="e">
        <f>装备!#REF!</f>
        <v>#REF!</v>
      </c>
      <c r="L34" t="e">
        <f>装备!#REF!</f>
        <v>#REF!</v>
      </c>
      <c r="M34" t="e">
        <f t="shared" si="0"/>
        <v>#REF!</v>
      </c>
      <c r="N34" t="e">
        <f>装备!#REF!</f>
        <v>#REF!</v>
      </c>
      <c r="O34" t="e">
        <f>装备!#REF!</f>
        <v>#REF!</v>
      </c>
      <c r="P34" t="e">
        <f>装备!#REF!</f>
        <v>#REF!</v>
      </c>
      <c r="Q34" t="e">
        <f>装备!#REF!</f>
        <v>#REF!</v>
      </c>
      <c r="R34" t="e">
        <f>装备!#REF!</f>
        <v>#REF!</v>
      </c>
      <c r="S34" t="e">
        <f>装备!#REF!</f>
        <v>#REF!</v>
      </c>
      <c r="T34" t="e">
        <f>装备!#REF!</f>
        <v>#REF!</v>
      </c>
      <c r="U34" t="e">
        <f>装备!#REF!</f>
        <v>#REF!</v>
      </c>
      <c r="V34" t="e">
        <f>装备!#REF!</f>
        <v>#REF!</v>
      </c>
      <c r="W34" t="e">
        <f>装备!#REF!</f>
        <v>#REF!</v>
      </c>
      <c r="X34" t="e">
        <f t="shared" si="1"/>
        <v>#REF!</v>
      </c>
      <c r="Y34" t="e">
        <f>装备!#REF!</f>
        <v>#REF!</v>
      </c>
      <c r="Z34" t="e">
        <f>装备!#REF!</f>
        <v>#REF!</v>
      </c>
      <c r="AA34" t="e">
        <f>装备!#REF!</f>
        <v>#REF!</v>
      </c>
      <c r="AB34" t="e">
        <f>装备!#REF!</f>
        <v>#REF!</v>
      </c>
      <c r="AC34" t="e">
        <f>装备!#REF!</f>
        <v>#REF!</v>
      </c>
      <c r="AD34" t="e">
        <f>装备!#REF!</f>
        <v>#REF!</v>
      </c>
      <c r="AE34" t="e">
        <f>装备!#REF!</f>
        <v>#REF!</v>
      </c>
      <c r="AF34" t="e">
        <f>装备!#REF!</f>
        <v>#REF!</v>
      </c>
      <c r="AG34" t="e">
        <f>装备!#REF!</f>
        <v>#REF!</v>
      </c>
      <c r="AH34" t="e">
        <f>装备!#REF!</f>
        <v>#REF!</v>
      </c>
      <c r="AI34" t="e">
        <f t="shared" si="2"/>
        <v>#REF!</v>
      </c>
      <c r="AJ34" t="e">
        <f>装备!#REF!</f>
        <v>#REF!</v>
      </c>
      <c r="AK34" t="e">
        <f>装备!#REF!</f>
        <v>#REF!</v>
      </c>
      <c r="AL34" t="e">
        <f>装备!#REF!</f>
        <v>#REF!</v>
      </c>
      <c r="AM34" t="e">
        <f>装备!#REF!</f>
        <v>#REF!</v>
      </c>
      <c r="AN34" t="e">
        <f>装备!#REF!</f>
        <v>#REF!</v>
      </c>
      <c r="AO34" t="e">
        <f>装备!#REF!</f>
        <v>#REF!</v>
      </c>
      <c r="AP34" t="e">
        <f>装备!#REF!</f>
        <v>#REF!</v>
      </c>
      <c r="AQ34" t="e">
        <f>装备!#REF!</f>
        <v>#REF!</v>
      </c>
      <c r="AR34" t="e">
        <f>装备!#REF!</f>
        <v>#REF!</v>
      </c>
      <c r="AS34" t="e">
        <f>装备!#REF!</f>
        <v>#REF!</v>
      </c>
      <c r="AT34" t="e">
        <f t="shared" si="3"/>
        <v>#REF!</v>
      </c>
      <c r="AU34" t="e">
        <f>装备!#REF!</f>
        <v>#REF!</v>
      </c>
      <c r="AV34" t="e">
        <f>装备!#REF!</f>
        <v>#REF!</v>
      </c>
      <c r="AW34" t="e">
        <f>装备!#REF!</f>
        <v>#REF!</v>
      </c>
      <c r="AX34" t="e">
        <f>装备!#REF!</f>
        <v>#REF!</v>
      </c>
      <c r="AY34" t="e">
        <f>装备!#REF!</f>
        <v>#REF!</v>
      </c>
      <c r="AZ34" t="e">
        <f>装备!#REF!</f>
        <v>#REF!</v>
      </c>
      <c r="BA34" t="e">
        <f>装备!#REF!</f>
        <v>#REF!</v>
      </c>
      <c r="BB34" t="e">
        <f>装备!#REF!</f>
        <v>#REF!</v>
      </c>
      <c r="BC34" t="e">
        <f>装备!#REF!</f>
        <v>#REF!</v>
      </c>
      <c r="BD34" t="e">
        <f>装备!#REF!</f>
        <v>#REF!</v>
      </c>
      <c r="BE34" t="e">
        <f t="shared" si="4"/>
        <v>#REF!</v>
      </c>
      <c r="BF34" t="e">
        <f>装备!#REF!</f>
        <v>#REF!</v>
      </c>
      <c r="BG34" t="e">
        <f>装备!#REF!</f>
        <v>#REF!</v>
      </c>
      <c r="BH34" t="e">
        <f>装备!#REF!</f>
        <v>#REF!</v>
      </c>
      <c r="BI34" t="e">
        <f>装备!#REF!</f>
        <v>#REF!</v>
      </c>
      <c r="BJ34" t="e">
        <f>装备!#REF!</f>
        <v>#REF!</v>
      </c>
      <c r="BK34" t="e">
        <f>装备!#REF!</f>
        <v>#REF!</v>
      </c>
      <c r="BL34" t="e">
        <f>装备!#REF!</f>
        <v>#REF!</v>
      </c>
      <c r="BM34" t="e">
        <f>装备!#REF!</f>
        <v>#REF!</v>
      </c>
      <c r="BN34" t="e">
        <f>装备!#REF!</f>
        <v>#REF!</v>
      </c>
      <c r="BO34" t="e">
        <f>装备!#REF!</f>
        <v>#REF!</v>
      </c>
      <c r="BP34" t="e">
        <f t="shared" si="5"/>
        <v>#REF!</v>
      </c>
      <c r="BQ34" t="e">
        <f>装备!#REF!</f>
        <v>#REF!</v>
      </c>
      <c r="BR34" t="e">
        <f>装备!#REF!</f>
        <v>#REF!</v>
      </c>
      <c r="BS34" t="e">
        <f>装备!#REF!</f>
        <v>#REF!</v>
      </c>
      <c r="BT34" t="e">
        <f>装备!#REF!</f>
        <v>#REF!</v>
      </c>
      <c r="BU34" t="e">
        <f>装备!#REF!</f>
        <v>#REF!</v>
      </c>
      <c r="BV34" t="e">
        <f>装备!#REF!</f>
        <v>#REF!</v>
      </c>
      <c r="BW34" t="e">
        <f>装备!#REF!</f>
        <v>#REF!</v>
      </c>
      <c r="BX34" t="e">
        <f>装备!#REF!</f>
        <v>#REF!</v>
      </c>
      <c r="BY34" t="e">
        <f>装备!#REF!</f>
        <v>#REF!</v>
      </c>
      <c r="BZ34" t="e">
        <f>装备!#REF!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装备!#REF!</f>
        <v>#REF!</v>
      </c>
      <c r="B35" t="e">
        <f>装备!#REF!</f>
        <v>#REF!</v>
      </c>
      <c r="C35" t="e">
        <f>装备!#REF!</f>
        <v>#REF!</v>
      </c>
      <c r="D35" t="e">
        <f>装备!#REF!</f>
        <v>#REF!</v>
      </c>
      <c r="E35" t="e">
        <f>装备!#REF!</f>
        <v>#REF!</v>
      </c>
      <c r="F35" t="e">
        <f>装备!#REF!</f>
        <v>#REF!</v>
      </c>
      <c r="G35" t="e">
        <f>装备!#REF!</f>
        <v>#REF!</v>
      </c>
      <c r="H35" t="e">
        <f>装备!#REF!</f>
        <v>#REF!</v>
      </c>
      <c r="I35" t="e">
        <f>装备!#REF!</f>
        <v>#REF!</v>
      </c>
      <c r="J35" t="e">
        <f>装备!#REF!</f>
        <v>#REF!</v>
      </c>
      <c r="K35" t="e">
        <f>装备!#REF!</f>
        <v>#REF!</v>
      </c>
      <c r="L35" t="e">
        <f>装备!#REF!</f>
        <v>#REF!</v>
      </c>
      <c r="M35" t="e">
        <f t="shared" si="0"/>
        <v>#REF!</v>
      </c>
      <c r="N35" t="e">
        <f>装备!#REF!</f>
        <v>#REF!</v>
      </c>
      <c r="O35" t="e">
        <f>装备!#REF!</f>
        <v>#REF!</v>
      </c>
      <c r="P35" t="e">
        <f>装备!#REF!</f>
        <v>#REF!</v>
      </c>
      <c r="Q35" t="e">
        <f>装备!#REF!</f>
        <v>#REF!</v>
      </c>
      <c r="R35" t="e">
        <f>装备!#REF!</f>
        <v>#REF!</v>
      </c>
      <c r="S35" t="e">
        <f>装备!#REF!</f>
        <v>#REF!</v>
      </c>
      <c r="T35" t="e">
        <f>装备!#REF!</f>
        <v>#REF!</v>
      </c>
      <c r="U35" t="e">
        <f>装备!#REF!</f>
        <v>#REF!</v>
      </c>
      <c r="V35" t="e">
        <f>装备!#REF!</f>
        <v>#REF!</v>
      </c>
      <c r="W35" t="e">
        <f>装备!#REF!</f>
        <v>#REF!</v>
      </c>
      <c r="X35" t="e">
        <f t="shared" si="1"/>
        <v>#REF!</v>
      </c>
      <c r="Y35" t="e">
        <f>装备!#REF!</f>
        <v>#REF!</v>
      </c>
      <c r="Z35" t="e">
        <f>装备!#REF!</f>
        <v>#REF!</v>
      </c>
      <c r="AA35" t="e">
        <f>装备!#REF!</f>
        <v>#REF!</v>
      </c>
      <c r="AB35" t="e">
        <f>装备!#REF!</f>
        <v>#REF!</v>
      </c>
      <c r="AC35" t="e">
        <f>装备!#REF!</f>
        <v>#REF!</v>
      </c>
      <c r="AD35" t="e">
        <f>装备!#REF!</f>
        <v>#REF!</v>
      </c>
      <c r="AE35" t="e">
        <f>装备!#REF!</f>
        <v>#REF!</v>
      </c>
      <c r="AF35" t="e">
        <f>装备!#REF!</f>
        <v>#REF!</v>
      </c>
      <c r="AG35" t="e">
        <f>装备!#REF!</f>
        <v>#REF!</v>
      </c>
      <c r="AH35" t="e">
        <f>装备!#REF!</f>
        <v>#REF!</v>
      </c>
      <c r="AI35" t="e">
        <f t="shared" si="2"/>
        <v>#REF!</v>
      </c>
      <c r="AJ35" t="e">
        <f>装备!#REF!</f>
        <v>#REF!</v>
      </c>
      <c r="AK35" t="e">
        <f>装备!#REF!</f>
        <v>#REF!</v>
      </c>
      <c r="AL35" t="e">
        <f>装备!#REF!</f>
        <v>#REF!</v>
      </c>
      <c r="AM35" t="e">
        <f>装备!#REF!</f>
        <v>#REF!</v>
      </c>
      <c r="AN35" t="e">
        <f>装备!#REF!</f>
        <v>#REF!</v>
      </c>
      <c r="AO35" t="e">
        <f>装备!#REF!</f>
        <v>#REF!</v>
      </c>
      <c r="AP35" t="e">
        <f>装备!#REF!</f>
        <v>#REF!</v>
      </c>
      <c r="AQ35" t="e">
        <f>装备!#REF!</f>
        <v>#REF!</v>
      </c>
      <c r="AR35" t="e">
        <f>装备!#REF!</f>
        <v>#REF!</v>
      </c>
      <c r="AS35" t="e">
        <f>装备!#REF!</f>
        <v>#REF!</v>
      </c>
      <c r="AT35" t="e">
        <f t="shared" si="3"/>
        <v>#REF!</v>
      </c>
      <c r="AU35" t="e">
        <f>装备!#REF!</f>
        <v>#REF!</v>
      </c>
      <c r="AV35" t="e">
        <f>装备!#REF!</f>
        <v>#REF!</v>
      </c>
      <c r="AW35" t="e">
        <f>装备!#REF!</f>
        <v>#REF!</v>
      </c>
      <c r="AX35" t="e">
        <f>装备!#REF!</f>
        <v>#REF!</v>
      </c>
      <c r="AY35" t="e">
        <f>装备!#REF!</f>
        <v>#REF!</v>
      </c>
      <c r="AZ35" t="e">
        <f>装备!#REF!</f>
        <v>#REF!</v>
      </c>
      <c r="BA35" t="e">
        <f>装备!#REF!</f>
        <v>#REF!</v>
      </c>
      <c r="BB35" t="e">
        <f>装备!#REF!</f>
        <v>#REF!</v>
      </c>
      <c r="BC35" t="e">
        <f>装备!#REF!</f>
        <v>#REF!</v>
      </c>
      <c r="BD35" t="e">
        <f>装备!#REF!</f>
        <v>#REF!</v>
      </c>
      <c r="BE35" t="e">
        <f t="shared" si="4"/>
        <v>#REF!</v>
      </c>
      <c r="BF35" t="e">
        <f>装备!#REF!</f>
        <v>#REF!</v>
      </c>
      <c r="BG35" t="e">
        <f>装备!#REF!</f>
        <v>#REF!</v>
      </c>
      <c r="BH35" t="e">
        <f>装备!#REF!</f>
        <v>#REF!</v>
      </c>
      <c r="BI35" t="e">
        <f>装备!#REF!</f>
        <v>#REF!</v>
      </c>
      <c r="BJ35" t="e">
        <f>装备!#REF!</f>
        <v>#REF!</v>
      </c>
      <c r="BK35" t="e">
        <f>装备!#REF!</f>
        <v>#REF!</v>
      </c>
      <c r="BL35" t="e">
        <f>装备!#REF!</f>
        <v>#REF!</v>
      </c>
      <c r="BM35" t="e">
        <f>装备!#REF!</f>
        <v>#REF!</v>
      </c>
      <c r="BN35" t="e">
        <f>装备!#REF!</f>
        <v>#REF!</v>
      </c>
      <c r="BO35" t="e">
        <f>装备!#REF!</f>
        <v>#REF!</v>
      </c>
      <c r="BP35" t="e">
        <f t="shared" si="5"/>
        <v>#REF!</v>
      </c>
      <c r="BQ35" t="e">
        <f>装备!#REF!</f>
        <v>#REF!</v>
      </c>
      <c r="BR35" t="e">
        <f>装备!#REF!</f>
        <v>#REF!</v>
      </c>
      <c r="BS35" t="e">
        <f>装备!#REF!</f>
        <v>#REF!</v>
      </c>
      <c r="BT35" t="e">
        <f>装备!#REF!</f>
        <v>#REF!</v>
      </c>
      <c r="BU35" t="e">
        <f>装备!#REF!</f>
        <v>#REF!</v>
      </c>
      <c r="BV35" t="e">
        <f>装备!#REF!</f>
        <v>#REF!</v>
      </c>
      <c r="BW35" t="e">
        <f>装备!#REF!</f>
        <v>#REF!</v>
      </c>
      <c r="BX35" t="e">
        <f>装备!#REF!</f>
        <v>#REF!</v>
      </c>
      <c r="BY35" t="e">
        <f>装备!#REF!</f>
        <v>#REF!</v>
      </c>
      <c r="BZ35" t="e">
        <f>装备!#REF!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装备!#REF!</f>
        <v>#REF!</v>
      </c>
      <c r="B36" t="e">
        <f>装备!#REF!</f>
        <v>#REF!</v>
      </c>
      <c r="C36" t="e">
        <f>装备!#REF!</f>
        <v>#REF!</v>
      </c>
      <c r="D36" t="e">
        <f>装备!#REF!</f>
        <v>#REF!</v>
      </c>
      <c r="E36" t="e">
        <f>装备!#REF!</f>
        <v>#REF!</v>
      </c>
      <c r="F36" t="e">
        <f>装备!#REF!</f>
        <v>#REF!</v>
      </c>
      <c r="G36" t="e">
        <f>装备!#REF!</f>
        <v>#REF!</v>
      </c>
      <c r="H36" t="e">
        <f>装备!#REF!</f>
        <v>#REF!</v>
      </c>
      <c r="I36" t="e">
        <f>装备!#REF!</f>
        <v>#REF!</v>
      </c>
      <c r="J36" t="e">
        <f>装备!#REF!</f>
        <v>#REF!</v>
      </c>
      <c r="K36" t="e">
        <f>装备!#REF!</f>
        <v>#REF!</v>
      </c>
      <c r="L36" t="e">
        <f>装备!#REF!</f>
        <v>#REF!</v>
      </c>
      <c r="M36" t="e">
        <f t="shared" si="0"/>
        <v>#REF!</v>
      </c>
      <c r="N36" t="e">
        <f>装备!#REF!</f>
        <v>#REF!</v>
      </c>
      <c r="O36" t="e">
        <f>装备!#REF!</f>
        <v>#REF!</v>
      </c>
      <c r="P36" t="e">
        <f>装备!#REF!</f>
        <v>#REF!</v>
      </c>
      <c r="Q36" t="e">
        <f>装备!#REF!</f>
        <v>#REF!</v>
      </c>
      <c r="R36" t="e">
        <f>装备!#REF!</f>
        <v>#REF!</v>
      </c>
      <c r="S36" t="e">
        <f>装备!#REF!</f>
        <v>#REF!</v>
      </c>
      <c r="T36" t="e">
        <f>装备!#REF!</f>
        <v>#REF!</v>
      </c>
      <c r="U36" t="e">
        <f>装备!#REF!</f>
        <v>#REF!</v>
      </c>
      <c r="V36" t="e">
        <f>装备!#REF!</f>
        <v>#REF!</v>
      </c>
      <c r="W36" t="e">
        <f>装备!#REF!</f>
        <v>#REF!</v>
      </c>
      <c r="X36" t="e">
        <f t="shared" si="1"/>
        <v>#REF!</v>
      </c>
      <c r="Y36" t="e">
        <f>装备!#REF!</f>
        <v>#REF!</v>
      </c>
      <c r="Z36" t="e">
        <f>装备!#REF!</f>
        <v>#REF!</v>
      </c>
      <c r="AA36" t="e">
        <f>装备!#REF!</f>
        <v>#REF!</v>
      </c>
      <c r="AB36" t="e">
        <f>装备!#REF!</f>
        <v>#REF!</v>
      </c>
      <c r="AC36" t="e">
        <f>装备!#REF!</f>
        <v>#REF!</v>
      </c>
      <c r="AD36" t="e">
        <f>装备!#REF!</f>
        <v>#REF!</v>
      </c>
      <c r="AE36" t="e">
        <f>装备!#REF!</f>
        <v>#REF!</v>
      </c>
      <c r="AF36" t="e">
        <f>装备!#REF!</f>
        <v>#REF!</v>
      </c>
      <c r="AG36" t="e">
        <f>装备!#REF!</f>
        <v>#REF!</v>
      </c>
      <c r="AH36" t="e">
        <f>装备!#REF!</f>
        <v>#REF!</v>
      </c>
      <c r="AI36" t="e">
        <f t="shared" si="2"/>
        <v>#REF!</v>
      </c>
      <c r="AJ36" t="e">
        <f>装备!#REF!</f>
        <v>#REF!</v>
      </c>
      <c r="AK36" t="e">
        <f>装备!#REF!</f>
        <v>#REF!</v>
      </c>
      <c r="AL36" t="e">
        <f>装备!#REF!</f>
        <v>#REF!</v>
      </c>
      <c r="AM36" t="e">
        <f>装备!#REF!</f>
        <v>#REF!</v>
      </c>
      <c r="AN36" t="e">
        <f>装备!#REF!</f>
        <v>#REF!</v>
      </c>
      <c r="AO36" t="e">
        <f>装备!#REF!</f>
        <v>#REF!</v>
      </c>
      <c r="AP36" t="e">
        <f>装备!#REF!</f>
        <v>#REF!</v>
      </c>
      <c r="AQ36" t="e">
        <f>装备!#REF!</f>
        <v>#REF!</v>
      </c>
      <c r="AR36" t="e">
        <f>装备!#REF!</f>
        <v>#REF!</v>
      </c>
      <c r="AS36" t="e">
        <f>装备!#REF!</f>
        <v>#REF!</v>
      </c>
      <c r="AT36" t="e">
        <f t="shared" si="3"/>
        <v>#REF!</v>
      </c>
      <c r="AU36" t="e">
        <f>装备!#REF!</f>
        <v>#REF!</v>
      </c>
      <c r="AV36" t="e">
        <f>装备!#REF!</f>
        <v>#REF!</v>
      </c>
      <c r="AW36" t="e">
        <f>装备!#REF!</f>
        <v>#REF!</v>
      </c>
      <c r="AX36" t="e">
        <f>装备!#REF!</f>
        <v>#REF!</v>
      </c>
      <c r="AY36" t="e">
        <f>装备!#REF!</f>
        <v>#REF!</v>
      </c>
      <c r="AZ36" t="e">
        <f>装备!#REF!</f>
        <v>#REF!</v>
      </c>
      <c r="BA36" t="e">
        <f>装备!#REF!</f>
        <v>#REF!</v>
      </c>
      <c r="BB36" t="e">
        <f>装备!#REF!</f>
        <v>#REF!</v>
      </c>
      <c r="BC36" t="e">
        <f>装备!#REF!</f>
        <v>#REF!</v>
      </c>
      <c r="BD36" t="e">
        <f>装备!#REF!</f>
        <v>#REF!</v>
      </c>
      <c r="BE36" t="e">
        <f t="shared" si="4"/>
        <v>#REF!</v>
      </c>
      <c r="BF36" t="e">
        <f>装备!#REF!</f>
        <v>#REF!</v>
      </c>
      <c r="BG36" t="e">
        <f>装备!#REF!</f>
        <v>#REF!</v>
      </c>
      <c r="BH36" t="e">
        <f>装备!#REF!</f>
        <v>#REF!</v>
      </c>
      <c r="BI36" t="e">
        <f>装备!#REF!</f>
        <v>#REF!</v>
      </c>
      <c r="BJ36" t="e">
        <f>装备!#REF!</f>
        <v>#REF!</v>
      </c>
      <c r="BK36" t="e">
        <f>装备!#REF!</f>
        <v>#REF!</v>
      </c>
      <c r="BL36" t="e">
        <f>装备!#REF!</f>
        <v>#REF!</v>
      </c>
      <c r="BM36" t="e">
        <f>装备!#REF!</f>
        <v>#REF!</v>
      </c>
      <c r="BN36" t="e">
        <f>装备!#REF!</f>
        <v>#REF!</v>
      </c>
      <c r="BO36" t="e">
        <f>装备!#REF!</f>
        <v>#REF!</v>
      </c>
      <c r="BP36" t="e">
        <f t="shared" si="5"/>
        <v>#REF!</v>
      </c>
      <c r="BQ36" t="e">
        <f>装备!#REF!</f>
        <v>#REF!</v>
      </c>
      <c r="BR36" t="e">
        <f>装备!#REF!</f>
        <v>#REF!</v>
      </c>
      <c r="BS36" t="e">
        <f>装备!#REF!</f>
        <v>#REF!</v>
      </c>
      <c r="BT36" t="e">
        <f>装备!#REF!</f>
        <v>#REF!</v>
      </c>
      <c r="BU36" t="e">
        <f>装备!#REF!</f>
        <v>#REF!</v>
      </c>
      <c r="BV36" t="e">
        <f>装备!#REF!</f>
        <v>#REF!</v>
      </c>
      <c r="BW36" t="e">
        <f>装备!#REF!</f>
        <v>#REF!</v>
      </c>
      <c r="BX36" t="e">
        <f>装备!#REF!</f>
        <v>#REF!</v>
      </c>
      <c r="BY36" t="e">
        <f>装备!#REF!</f>
        <v>#REF!</v>
      </c>
      <c r="BZ36" t="e">
        <f>装备!#REF!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装备!#REF!</f>
        <v>#REF!</v>
      </c>
      <c r="B37" t="e">
        <f>装备!#REF!</f>
        <v>#REF!</v>
      </c>
      <c r="C37" t="e">
        <f>装备!#REF!</f>
        <v>#REF!</v>
      </c>
      <c r="D37" t="e">
        <f>装备!#REF!</f>
        <v>#REF!</v>
      </c>
      <c r="E37" t="e">
        <f>装备!#REF!</f>
        <v>#REF!</v>
      </c>
      <c r="F37" t="e">
        <f>装备!#REF!</f>
        <v>#REF!</v>
      </c>
      <c r="G37" t="e">
        <f>装备!#REF!</f>
        <v>#REF!</v>
      </c>
      <c r="H37" t="e">
        <f>装备!#REF!</f>
        <v>#REF!</v>
      </c>
      <c r="I37" t="e">
        <f>装备!#REF!</f>
        <v>#REF!</v>
      </c>
      <c r="J37" t="e">
        <f>装备!#REF!</f>
        <v>#REF!</v>
      </c>
      <c r="K37" t="e">
        <f>装备!#REF!</f>
        <v>#REF!</v>
      </c>
      <c r="L37" t="e">
        <f>装备!#REF!</f>
        <v>#REF!</v>
      </c>
      <c r="M37" t="e">
        <f t="shared" si="0"/>
        <v>#REF!</v>
      </c>
      <c r="N37" t="e">
        <f>装备!#REF!</f>
        <v>#REF!</v>
      </c>
      <c r="O37" t="e">
        <f>装备!#REF!</f>
        <v>#REF!</v>
      </c>
      <c r="P37" t="e">
        <f>装备!#REF!</f>
        <v>#REF!</v>
      </c>
      <c r="Q37" t="e">
        <f>装备!#REF!</f>
        <v>#REF!</v>
      </c>
      <c r="R37" t="e">
        <f>装备!#REF!</f>
        <v>#REF!</v>
      </c>
      <c r="S37" t="e">
        <f>装备!#REF!</f>
        <v>#REF!</v>
      </c>
      <c r="T37" t="e">
        <f>装备!#REF!</f>
        <v>#REF!</v>
      </c>
      <c r="U37" t="e">
        <f>装备!#REF!</f>
        <v>#REF!</v>
      </c>
      <c r="V37" t="e">
        <f>装备!#REF!</f>
        <v>#REF!</v>
      </c>
      <c r="W37" t="e">
        <f>装备!#REF!</f>
        <v>#REF!</v>
      </c>
      <c r="X37" t="e">
        <f t="shared" si="1"/>
        <v>#REF!</v>
      </c>
      <c r="Y37" t="e">
        <f>装备!#REF!</f>
        <v>#REF!</v>
      </c>
      <c r="Z37" t="e">
        <f>装备!#REF!</f>
        <v>#REF!</v>
      </c>
      <c r="AA37" t="e">
        <f>装备!#REF!</f>
        <v>#REF!</v>
      </c>
      <c r="AB37" t="e">
        <f>装备!#REF!</f>
        <v>#REF!</v>
      </c>
      <c r="AC37" t="e">
        <f>装备!#REF!</f>
        <v>#REF!</v>
      </c>
      <c r="AD37" t="e">
        <f>装备!#REF!</f>
        <v>#REF!</v>
      </c>
      <c r="AE37" t="e">
        <f>装备!#REF!</f>
        <v>#REF!</v>
      </c>
      <c r="AF37" t="e">
        <f>装备!#REF!</f>
        <v>#REF!</v>
      </c>
      <c r="AG37" t="e">
        <f>装备!#REF!</f>
        <v>#REF!</v>
      </c>
      <c r="AH37" t="e">
        <f>装备!#REF!</f>
        <v>#REF!</v>
      </c>
      <c r="AI37" t="e">
        <f t="shared" si="2"/>
        <v>#REF!</v>
      </c>
      <c r="AJ37" t="e">
        <f>装备!#REF!</f>
        <v>#REF!</v>
      </c>
      <c r="AK37" t="e">
        <f>装备!#REF!</f>
        <v>#REF!</v>
      </c>
      <c r="AL37" t="e">
        <f>装备!#REF!</f>
        <v>#REF!</v>
      </c>
      <c r="AM37" t="e">
        <f>装备!#REF!</f>
        <v>#REF!</v>
      </c>
      <c r="AN37" t="e">
        <f>装备!#REF!</f>
        <v>#REF!</v>
      </c>
      <c r="AO37" t="e">
        <f>装备!#REF!</f>
        <v>#REF!</v>
      </c>
      <c r="AP37" t="e">
        <f>装备!#REF!</f>
        <v>#REF!</v>
      </c>
      <c r="AQ37" t="e">
        <f>装备!#REF!</f>
        <v>#REF!</v>
      </c>
      <c r="AR37" t="e">
        <f>装备!#REF!</f>
        <v>#REF!</v>
      </c>
      <c r="AS37" t="e">
        <f>装备!#REF!</f>
        <v>#REF!</v>
      </c>
      <c r="AT37" t="e">
        <f t="shared" si="3"/>
        <v>#REF!</v>
      </c>
      <c r="AU37" t="e">
        <f>装备!#REF!</f>
        <v>#REF!</v>
      </c>
      <c r="AV37" t="e">
        <f>装备!#REF!</f>
        <v>#REF!</v>
      </c>
      <c r="AW37" t="e">
        <f>装备!#REF!</f>
        <v>#REF!</v>
      </c>
      <c r="AX37" t="e">
        <f>装备!#REF!</f>
        <v>#REF!</v>
      </c>
      <c r="AY37" t="e">
        <f>装备!#REF!</f>
        <v>#REF!</v>
      </c>
      <c r="AZ37" t="e">
        <f>装备!#REF!</f>
        <v>#REF!</v>
      </c>
      <c r="BA37" t="e">
        <f>装备!#REF!</f>
        <v>#REF!</v>
      </c>
      <c r="BB37" t="e">
        <f>装备!#REF!</f>
        <v>#REF!</v>
      </c>
      <c r="BC37" t="e">
        <f>装备!#REF!</f>
        <v>#REF!</v>
      </c>
      <c r="BD37" t="e">
        <f>装备!#REF!</f>
        <v>#REF!</v>
      </c>
      <c r="BE37" t="e">
        <f t="shared" si="4"/>
        <v>#REF!</v>
      </c>
      <c r="BF37" t="e">
        <f>装备!#REF!</f>
        <v>#REF!</v>
      </c>
      <c r="BG37" t="e">
        <f>装备!#REF!</f>
        <v>#REF!</v>
      </c>
      <c r="BH37" t="e">
        <f>装备!#REF!</f>
        <v>#REF!</v>
      </c>
      <c r="BI37" t="e">
        <f>装备!#REF!</f>
        <v>#REF!</v>
      </c>
      <c r="BJ37" t="e">
        <f>装备!#REF!</f>
        <v>#REF!</v>
      </c>
      <c r="BK37" t="e">
        <f>装备!#REF!</f>
        <v>#REF!</v>
      </c>
      <c r="BL37" t="e">
        <f>装备!#REF!</f>
        <v>#REF!</v>
      </c>
      <c r="BM37" t="e">
        <f>装备!#REF!</f>
        <v>#REF!</v>
      </c>
      <c r="BN37" t="e">
        <f>装备!#REF!</f>
        <v>#REF!</v>
      </c>
      <c r="BO37" t="e">
        <f>装备!#REF!</f>
        <v>#REF!</v>
      </c>
      <c r="BP37" t="e">
        <f t="shared" si="5"/>
        <v>#REF!</v>
      </c>
      <c r="BQ37" t="e">
        <f>装备!#REF!</f>
        <v>#REF!</v>
      </c>
      <c r="BR37" t="e">
        <f>装备!#REF!</f>
        <v>#REF!</v>
      </c>
      <c r="BS37" t="e">
        <f>装备!#REF!</f>
        <v>#REF!</v>
      </c>
      <c r="BT37" t="e">
        <f>装备!#REF!</f>
        <v>#REF!</v>
      </c>
      <c r="BU37" t="e">
        <f>装备!#REF!</f>
        <v>#REF!</v>
      </c>
      <c r="BV37" t="e">
        <f>装备!#REF!</f>
        <v>#REF!</v>
      </c>
      <c r="BW37" t="e">
        <f>装备!#REF!</f>
        <v>#REF!</v>
      </c>
      <c r="BX37" t="e">
        <f>装备!#REF!</f>
        <v>#REF!</v>
      </c>
      <c r="BY37" t="e">
        <f>装备!#REF!</f>
        <v>#REF!</v>
      </c>
      <c r="BZ37" t="e">
        <f>装备!#REF!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装备!#REF!</f>
        <v>#REF!</v>
      </c>
      <c r="B38" t="e">
        <f>装备!#REF!</f>
        <v>#REF!</v>
      </c>
      <c r="C38" t="e">
        <f>装备!#REF!</f>
        <v>#REF!</v>
      </c>
      <c r="D38" t="e">
        <f>装备!#REF!</f>
        <v>#REF!</v>
      </c>
      <c r="E38" t="e">
        <f>装备!#REF!</f>
        <v>#REF!</v>
      </c>
      <c r="F38" t="e">
        <f>装备!#REF!</f>
        <v>#REF!</v>
      </c>
      <c r="G38" t="e">
        <f>装备!#REF!</f>
        <v>#REF!</v>
      </c>
      <c r="H38" t="e">
        <f>装备!#REF!</f>
        <v>#REF!</v>
      </c>
      <c r="I38" t="e">
        <f>装备!#REF!</f>
        <v>#REF!</v>
      </c>
      <c r="J38" t="e">
        <f>装备!#REF!</f>
        <v>#REF!</v>
      </c>
      <c r="K38" t="e">
        <f>装备!#REF!</f>
        <v>#REF!</v>
      </c>
      <c r="L38" t="e">
        <f>装备!#REF!</f>
        <v>#REF!</v>
      </c>
      <c r="M38" t="e">
        <f t="shared" si="0"/>
        <v>#REF!</v>
      </c>
      <c r="N38" t="e">
        <f>装备!#REF!</f>
        <v>#REF!</v>
      </c>
      <c r="O38" t="e">
        <f>装备!#REF!</f>
        <v>#REF!</v>
      </c>
      <c r="P38" t="e">
        <f>装备!#REF!</f>
        <v>#REF!</v>
      </c>
      <c r="Q38" t="e">
        <f>装备!#REF!</f>
        <v>#REF!</v>
      </c>
      <c r="R38" t="e">
        <f>装备!#REF!</f>
        <v>#REF!</v>
      </c>
      <c r="S38" t="e">
        <f>装备!#REF!</f>
        <v>#REF!</v>
      </c>
      <c r="T38" t="e">
        <f>装备!#REF!</f>
        <v>#REF!</v>
      </c>
      <c r="U38" t="e">
        <f>装备!#REF!</f>
        <v>#REF!</v>
      </c>
      <c r="V38" t="e">
        <f>装备!#REF!</f>
        <v>#REF!</v>
      </c>
      <c r="W38" t="e">
        <f>装备!#REF!</f>
        <v>#REF!</v>
      </c>
      <c r="X38" t="e">
        <f t="shared" si="1"/>
        <v>#REF!</v>
      </c>
      <c r="Y38" t="e">
        <f>装备!#REF!</f>
        <v>#REF!</v>
      </c>
      <c r="Z38" t="e">
        <f>装备!#REF!</f>
        <v>#REF!</v>
      </c>
      <c r="AA38" t="e">
        <f>装备!#REF!</f>
        <v>#REF!</v>
      </c>
      <c r="AB38" t="e">
        <f>装备!#REF!</f>
        <v>#REF!</v>
      </c>
      <c r="AC38" t="e">
        <f>装备!#REF!</f>
        <v>#REF!</v>
      </c>
      <c r="AD38" t="e">
        <f>装备!#REF!</f>
        <v>#REF!</v>
      </c>
      <c r="AE38" t="e">
        <f>装备!#REF!</f>
        <v>#REF!</v>
      </c>
      <c r="AF38" t="e">
        <f>装备!#REF!</f>
        <v>#REF!</v>
      </c>
      <c r="AG38" t="e">
        <f>装备!#REF!</f>
        <v>#REF!</v>
      </c>
      <c r="AH38" t="e">
        <f>装备!#REF!</f>
        <v>#REF!</v>
      </c>
      <c r="AI38" t="e">
        <f t="shared" si="2"/>
        <v>#REF!</v>
      </c>
      <c r="AJ38" t="e">
        <f>装备!#REF!</f>
        <v>#REF!</v>
      </c>
      <c r="AK38" t="e">
        <f>装备!#REF!</f>
        <v>#REF!</v>
      </c>
      <c r="AL38" t="e">
        <f>装备!#REF!</f>
        <v>#REF!</v>
      </c>
      <c r="AM38" t="e">
        <f>装备!#REF!</f>
        <v>#REF!</v>
      </c>
      <c r="AN38" t="e">
        <f>装备!#REF!</f>
        <v>#REF!</v>
      </c>
      <c r="AO38" t="e">
        <f>装备!#REF!</f>
        <v>#REF!</v>
      </c>
      <c r="AP38" t="e">
        <f>装备!#REF!</f>
        <v>#REF!</v>
      </c>
      <c r="AQ38" t="e">
        <f>装备!#REF!</f>
        <v>#REF!</v>
      </c>
      <c r="AR38" t="e">
        <f>装备!#REF!</f>
        <v>#REF!</v>
      </c>
      <c r="AS38" t="e">
        <f>装备!#REF!</f>
        <v>#REF!</v>
      </c>
      <c r="AT38" t="e">
        <f t="shared" si="3"/>
        <v>#REF!</v>
      </c>
      <c r="AU38" t="e">
        <f>装备!#REF!</f>
        <v>#REF!</v>
      </c>
      <c r="AV38" t="e">
        <f>装备!#REF!</f>
        <v>#REF!</v>
      </c>
      <c r="AW38" t="e">
        <f>装备!#REF!</f>
        <v>#REF!</v>
      </c>
      <c r="AX38" t="e">
        <f>装备!#REF!</f>
        <v>#REF!</v>
      </c>
      <c r="AY38" t="e">
        <f>装备!#REF!</f>
        <v>#REF!</v>
      </c>
      <c r="AZ38" t="e">
        <f>装备!#REF!</f>
        <v>#REF!</v>
      </c>
      <c r="BA38" t="e">
        <f>装备!#REF!</f>
        <v>#REF!</v>
      </c>
      <c r="BB38" t="e">
        <f>装备!#REF!</f>
        <v>#REF!</v>
      </c>
      <c r="BC38" t="e">
        <f>装备!#REF!</f>
        <v>#REF!</v>
      </c>
      <c r="BD38" t="e">
        <f>装备!#REF!</f>
        <v>#REF!</v>
      </c>
      <c r="BE38" t="e">
        <f t="shared" si="4"/>
        <v>#REF!</v>
      </c>
      <c r="BF38" t="e">
        <f>装备!#REF!</f>
        <v>#REF!</v>
      </c>
      <c r="BG38" t="e">
        <f>装备!#REF!</f>
        <v>#REF!</v>
      </c>
      <c r="BH38" t="e">
        <f>装备!#REF!</f>
        <v>#REF!</v>
      </c>
      <c r="BI38" t="e">
        <f>装备!#REF!</f>
        <v>#REF!</v>
      </c>
      <c r="BJ38" t="e">
        <f>装备!#REF!</f>
        <v>#REF!</v>
      </c>
      <c r="BK38" t="e">
        <f>装备!#REF!</f>
        <v>#REF!</v>
      </c>
      <c r="BL38" t="e">
        <f>装备!#REF!</f>
        <v>#REF!</v>
      </c>
      <c r="BM38" t="e">
        <f>装备!#REF!</f>
        <v>#REF!</v>
      </c>
      <c r="BN38" t="e">
        <f>装备!#REF!</f>
        <v>#REF!</v>
      </c>
      <c r="BO38" t="e">
        <f>装备!#REF!</f>
        <v>#REF!</v>
      </c>
      <c r="BP38" t="e">
        <f t="shared" si="5"/>
        <v>#REF!</v>
      </c>
      <c r="BQ38" t="e">
        <f>装备!#REF!</f>
        <v>#REF!</v>
      </c>
      <c r="BR38" t="e">
        <f>装备!#REF!</f>
        <v>#REF!</v>
      </c>
      <c r="BS38" t="e">
        <f>装备!#REF!</f>
        <v>#REF!</v>
      </c>
      <c r="BT38" t="e">
        <f>装备!#REF!</f>
        <v>#REF!</v>
      </c>
      <c r="BU38" t="e">
        <f>装备!#REF!</f>
        <v>#REF!</v>
      </c>
      <c r="BV38" t="e">
        <f>装备!#REF!</f>
        <v>#REF!</v>
      </c>
      <c r="BW38" t="e">
        <f>装备!#REF!</f>
        <v>#REF!</v>
      </c>
      <c r="BX38" t="e">
        <f>装备!#REF!</f>
        <v>#REF!</v>
      </c>
      <c r="BY38" t="e">
        <f>装备!#REF!</f>
        <v>#REF!</v>
      </c>
      <c r="BZ38" t="e">
        <f>装备!#REF!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装备!#REF!</f>
        <v>#REF!</v>
      </c>
      <c r="B39" t="e">
        <f>装备!#REF!</f>
        <v>#REF!</v>
      </c>
      <c r="C39" t="e">
        <f>装备!#REF!</f>
        <v>#REF!</v>
      </c>
      <c r="D39" t="e">
        <f>装备!#REF!</f>
        <v>#REF!</v>
      </c>
      <c r="E39" t="e">
        <f>装备!#REF!</f>
        <v>#REF!</v>
      </c>
      <c r="F39" t="e">
        <f>装备!#REF!</f>
        <v>#REF!</v>
      </c>
      <c r="G39" t="e">
        <f>装备!#REF!</f>
        <v>#REF!</v>
      </c>
      <c r="H39" t="e">
        <f>装备!#REF!</f>
        <v>#REF!</v>
      </c>
      <c r="I39" t="e">
        <f>装备!#REF!</f>
        <v>#REF!</v>
      </c>
      <c r="J39" t="e">
        <f>装备!#REF!</f>
        <v>#REF!</v>
      </c>
      <c r="K39" t="e">
        <f>装备!#REF!</f>
        <v>#REF!</v>
      </c>
      <c r="L39" t="e">
        <f>装备!#REF!</f>
        <v>#REF!</v>
      </c>
      <c r="M39" t="e">
        <f t="shared" si="0"/>
        <v>#REF!</v>
      </c>
      <c r="N39" t="e">
        <f>装备!#REF!</f>
        <v>#REF!</v>
      </c>
      <c r="O39" t="e">
        <f>装备!#REF!</f>
        <v>#REF!</v>
      </c>
      <c r="P39" t="e">
        <f>装备!#REF!</f>
        <v>#REF!</v>
      </c>
      <c r="Q39" t="e">
        <f>装备!#REF!</f>
        <v>#REF!</v>
      </c>
      <c r="R39" t="e">
        <f>装备!#REF!</f>
        <v>#REF!</v>
      </c>
      <c r="S39" t="e">
        <f>装备!#REF!</f>
        <v>#REF!</v>
      </c>
      <c r="T39" t="e">
        <f>装备!#REF!</f>
        <v>#REF!</v>
      </c>
      <c r="U39" t="e">
        <f>装备!#REF!</f>
        <v>#REF!</v>
      </c>
      <c r="V39" t="e">
        <f>装备!#REF!</f>
        <v>#REF!</v>
      </c>
      <c r="W39" t="e">
        <f>装备!#REF!</f>
        <v>#REF!</v>
      </c>
      <c r="X39" t="e">
        <f t="shared" si="1"/>
        <v>#REF!</v>
      </c>
      <c r="Y39" t="e">
        <f>装备!#REF!</f>
        <v>#REF!</v>
      </c>
      <c r="Z39" t="e">
        <f>装备!#REF!</f>
        <v>#REF!</v>
      </c>
      <c r="AA39" t="e">
        <f>装备!#REF!</f>
        <v>#REF!</v>
      </c>
      <c r="AB39" t="e">
        <f>装备!#REF!</f>
        <v>#REF!</v>
      </c>
      <c r="AC39" t="e">
        <f>装备!#REF!</f>
        <v>#REF!</v>
      </c>
      <c r="AD39" t="e">
        <f>装备!#REF!</f>
        <v>#REF!</v>
      </c>
      <c r="AE39" t="e">
        <f>装备!#REF!</f>
        <v>#REF!</v>
      </c>
      <c r="AF39" t="e">
        <f>装备!#REF!</f>
        <v>#REF!</v>
      </c>
      <c r="AG39" t="e">
        <f>装备!#REF!</f>
        <v>#REF!</v>
      </c>
      <c r="AH39" t="e">
        <f>装备!#REF!</f>
        <v>#REF!</v>
      </c>
      <c r="AI39" t="e">
        <f t="shared" si="2"/>
        <v>#REF!</v>
      </c>
      <c r="AJ39" t="e">
        <f>装备!#REF!</f>
        <v>#REF!</v>
      </c>
      <c r="AK39" t="e">
        <f>装备!#REF!</f>
        <v>#REF!</v>
      </c>
      <c r="AL39" t="e">
        <f>装备!#REF!</f>
        <v>#REF!</v>
      </c>
      <c r="AM39" t="e">
        <f>装备!#REF!</f>
        <v>#REF!</v>
      </c>
      <c r="AN39" t="e">
        <f>装备!#REF!</f>
        <v>#REF!</v>
      </c>
      <c r="AO39" t="e">
        <f>装备!#REF!</f>
        <v>#REF!</v>
      </c>
      <c r="AP39" t="e">
        <f>装备!#REF!</f>
        <v>#REF!</v>
      </c>
      <c r="AQ39" t="e">
        <f>装备!#REF!</f>
        <v>#REF!</v>
      </c>
      <c r="AR39" t="e">
        <f>装备!#REF!</f>
        <v>#REF!</v>
      </c>
      <c r="AS39" t="e">
        <f>装备!#REF!</f>
        <v>#REF!</v>
      </c>
      <c r="AT39" t="e">
        <f t="shared" si="3"/>
        <v>#REF!</v>
      </c>
      <c r="AU39" t="e">
        <f>装备!#REF!</f>
        <v>#REF!</v>
      </c>
      <c r="AV39" t="e">
        <f>装备!#REF!</f>
        <v>#REF!</v>
      </c>
      <c r="AW39" t="e">
        <f>装备!#REF!</f>
        <v>#REF!</v>
      </c>
      <c r="AX39" t="e">
        <f>装备!#REF!</f>
        <v>#REF!</v>
      </c>
      <c r="AY39" t="e">
        <f>装备!#REF!</f>
        <v>#REF!</v>
      </c>
      <c r="AZ39" t="e">
        <f>装备!#REF!</f>
        <v>#REF!</v>
      </c>
      <c r="BA39" t="e">
        <f>装备!#REF!</f>
        <v>#REF!</v>
      </c>
      <c r="BB39" t="e">
        <f>装备!#REF!</f>
        <v>#REF!</v>
      </c>
      <c r="BC39" t="e">
        <f>装备!#REF!</f>
        <v>#REF!</v>
      </c>
      <c r="BD39" t="e">
        <f>装备!#REF!</f>
        <v>#REF!</v>
      </c>
      <c r="BE39" t="e">
        <f t="shared" si="4"/>
        <v>#REF!</v>
      </c>
      <c r="BF39" t="e">
        <f>装备!#REF!</f>
        <v>#REF!</v>
      </c>
      <c r="BG39" t="e">
        <f>装备!#REF!</f>
        <v>#REF!</v>
      </c>
      <c r="BH39" t="e">
        <f>装备!#REF!</f>
        <v>#REF!</v>
      </c>
      <c r="BI39" t="e">
        <f>装备!#REF!</f>
        <v>#REF!</v>
      </c>
      <c r="BJ39" t="e">
        <f>装备!#REF!</f>
        <v>#REF!</v>
      </c>
      <c r="BK39" t="e">
        <f>装备!#REF!</f>
        <v>#REF!</v>
      </c>
      <c r="BL39" t="e">
        <f>装备!#REF!</f>
        <v>#REF!</v>
      </c>
      <c r="BM39" t="e">
        <f>装备!#REF!</f>
        <v>#REF!</v>
      </c>
      <c r="BN39" t="e">
        <f>装备!#REF!</f>
        <v>#REF!</v>
      </c>
      <c r="BO39" t="e">
        <f>装备!#REF!</f>
        <v>#REF!</v>
      </c>
      <c r="BP39" t="e">
        <f t="shared" si="5"/>
        <v>#REF!</v>
      </c>
      <c r="BQ39" t="e">
        <f>装备!#REF!</f>
        <v>#REF!</v>
      </c>
      <c r="BR39" t="e">
        <f>装备!#REF!</f>
        <v>#REF!</v>
      </c>
      <c r="BS39" t="e">
        <f>装备!#REF!</f>
        <v>#REF!</v>
      </c>
      <c r="BT39" t="e">
        <f>装备!#REF!</f>
        <v>#REF!</v>
      </c>
      <c r="BU39" t="e">
        <f>装备!#REF!</f>
        <v>#REF!</v>
      </c>
      <c r="BV39" t="e">
        <f>装备!#REF!</f>
        <v>#REF!</v>
      </c>
      <c r="BW39" t="e">
        <f>装备!#REF!</f>
        <v>#REF!</v>
      </c>
      <c r="BX39" t="e">
        <f>装备!#REF!</f>
        <v>#REF!</v>
      </c>
      <c r="BY39" t="e">
        <f>装备!#REF!</f>
        <v>#REF!</v>
      </c>
      <c r="BZ39" t="e">
        <f>装备!#REF!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装备!#REF!</f>
        <v>#REF!</v>
      </c>
      <c r="B40" t="e">
        <f>装备!#REF!</f>
        <v>#REF!</v>
      </c>
      <c r="C40" t="e">
        <f>装备!#REF!</f>
        <v>#REF!</v>
      </c>
      <c r="D40" t="e">
        <f>装备!#REF!</f>
        <v>#REF!</v>
      </c>
      <c r="E40" t="e">
        <f>装备!#REF!</f>
        <v>#REF!</v>
      </c>
      <c r="F40" t="e">
        <f>装备!#REF!</f>
        <v>#REF!</v>
      </c>
      <c r="G40" t="e">
        <f>装备!#REF!</f>
        <v>#REF!</v>
      </c>
      <c r="H40" t="e">
        <f>装备!#REF!</f>
        <v>#REF!</v>
      </c>
      <c r="I40" t="e">
        <f>装备!#REF!</f>
        <v>#REF!</v>
      </c>
      <c r="J40" t="e">
        <f>装备!#REF!</f>
        <v>#REF!</v>
      </c>
      <c r="K40" t="e">
        <f>装备!#REF!</f>
        <v>#REF!</v>
      </c>
      <c r="L40" t="e">
        <f>装备!#REF!</f>
        <v>#REF!</v>
      </c>
      <c r="M40" t="e">
        <f t="shared" si="0"/>
        <v>#REF!</v>
      </c>
      <c r="N40" t="e">
        <f>装备!#REF!</f>
        <v>#REF!</v>
      </c>
      <c r="O40" t="e">
        <f>装备!#REF!</f>
        <v>#REF!</v>
      </c>
      <c r="P40" t="e">
        <f>装备!#REF!</f>
        <v>#REF!</v>
      </c>
      <c r="Q40" t="e">
        <f>装备!#REF!</f>
        <v>#REF!</v>
      </c>
      <c r="R40" t="e">
        <f>装备!#REF!</f>
        <v>#REF!</v>
      </c>
      <c r="S40" t="e">
        <f>装备!#REF!</f>
        <v>#REF!</v>
      </c>
      <c r="T40" t="e">
        <f>装备!#REF!</f>
        <v>#REF!</v>
      </c>
      <c r="U40" t="e">
        <f>装备!#REF!</f>
        <v>#REF!</v>
      </c>
      <c r="V40" t="e">
        <f>装备!#REF!</f>
        <v>#REF!</v>
      </c>
      <c r="W40" t="e">
        <f>装备!#REF!</f>
        <v>#REF!</v>
      </c>
      <c r="X40" t="e">
        <f t="shared" si="1"/>
        <v>#REF!</v>
      </c>
      <c r="Y40" t="e">
        <f>装备!#REF!</f>
        <v>#REF!</v>
      </c>
      <c r="Z40" t="e">
        <f>装备!#REF!</f>
        <v>#REF!</v>
      </c>
      <c r="AA40" t="e">
        <f>装备!#REF!</f>
        <v>#REF!</v>
      </c>
      <c r="AB40" t="e">
        <f>装备!#REF!</f>
        <v>#REF!</v>
      </c>
      <c r="AC40" t="e">
        <f>装备!#REF!</f>
        <v>#REF!</v>
      </c>
      <c r="AD40" t="e">
        <f>装备!#REF!</f>
        <v>#REF!</v>
      </c>
      <c r="AE40" t="e">
        <f>装备!#REF!</f>
        <v>#REF!</v>
      </c>
      <c r="AF40" t="e">
        <f>装备!#REF!</f>
        <v>#REF!</v>
      </c>
      <c r="AG40" t="e">
        <f>装备!#REF!</f>
        <v>#REF!</v>
      </c>
      <c r="AH40" t="e">
        <f>装备!#REF!</f>
        <v>#REF!</v>
      </c>
      <c r="AI40" t="e">
        <f t="shared" si="2"/>
        <v>#REF!</v>
      </c>
      <c r="AJ40" t="e">
        <f>装备!#REF!</f>
        <v>#REF!</v>
      </c>
      <c r="AK40" t="e">
        <f>装备!#REF!</f>
        <v>#REF!</v>
      </c>
      <c r="AL40" t="e">
        <f>装备!#REF!</f>
        <v>#REF!</v>
      </c>
      <c r="AM40" t="e">
        <f>装备!#REF!</f>
        <v>#REF!</v>
      </c>
      <c r="AN40" t="e">
        <f>装备!#REF!</f>
        <v>#REF!</v>
      </c>
      <c r="AO40" t="e">
        <f>装备!#REF!</f>
        <v>#REF!</v>
      </c>
      <c r="AP40" t="e">
        <f>装备!#REF!</f>
        <v>#REF!</v>
      </c>
      <c r="AQ40" t="e">
        <f>装备!#REF!</f>
        <v>#REF!</v>
      </c>
      <c r="AR40" t="e">
        <f>装备!#REF!</f>
        <v>#REF!</v>
      </c>
      <c r="AS40" t="e">
        <f>装备!#REF!</f>
        <v>#REF!</v>
      </c>
      <c r="AT40" t="e">
        <f t="shared" si="3"/>
        <v>#REF!</v>
      </c>
      <c r="AU40" t="e">
        <f>装备!#REF!</f>
        <v>#REF!</v>
      </c>
      <c r="AV40" t="e">
        <f>装备!#REF!</f>
        <v>#REF!</v>
      </c>
      <c r="AW40" t="e">
        <f>装备!#REF!</f>
        <v>#REF!</v>
      </c>
      <c r="AX40" t="e">
        <f>装备!#REF!</f>
        <v>#REF!</v>
      </c>
      <c r="AY40" t="e">
        <f>装备!#REF!</f>
        <v>#REF!</v>
      </c>
      <c r="AZ40" t="e">
        <f>装备!#REF!</f>
        <v>#REF!</v>
      </c>
      <c r="BA40" t="e">
        <f>装备!#REF!</f>
        <v>#REF!</v>
      </c>
      <c r="BB40" t="e">
        <f>装备!#REF!</f>
        <v>#REF!</v>
      </c>
      <c r="BC40" t="e">
        <f>装备!#REF!</f>
        <v>#REF!</v>
      </c>
      <c r="BD40" t="e">
        <f>装备!#REF!</f>
        <v>#REF!</v>
      </c>
      <c r="BE40" t="e">
        <f t="shared" si="4"/>
        <v>#REF!</v>
      </c>
      <c r="BF40" t="e">
        <f>装备!#REF!</f>
        <v>#REF!</v>
      </c>
      <c r="BG40" t="e">
        <f>装备!#REF!</f>
        <v>#REF!</v>
      </c>
      <c r="BH40" t="e">
        <f>装备!#REF!</f>
        <v>#REF!</v>
      </c>
      <c r="BI40" t="e">
        <f>装备!#REF!</f>
        <v>#REF!</v>
      </c>
      <c r="BJ40" t="e">
        <f>装备!#REF!</f>
        <v>#REF!</v>
      </c>
      <c r="BK40" t="e">
        <f>装备!#REF!</f>
        <v>#REF!</v>
      </c>
      <c r="BL40" t="e">
        <f>装备!#REF!</f>
        <v>#REF!</v>
      </c>
      <c r="BM40" t="e">
        <f>装备!#REF!</f>
        <v>#REF!</v>
      </c>
      <c r="BN40" t="e">
        <f>装备!#REF!</f>
        <v>#REF!</v>
      </c>
      <c r="BO40" t="e">
        <f>装备!#REF!</f>
        <v>#REF!</v>
      </c>
      <c r="BP40" t="e">
        <f t="shared" si="5"/>
        <v>#REF!</v>
      </c>
      <c r="BQ40" t="e">
        <f>装备!#REF!</f>
        <v>#REF!</v>
      </c>
      <c r="BR40" t="e">
        <f>装备!#REF!</f>
        <v>#REF!</v>
      </c>
      <c r="BS40" t="e">
        <f>装备!#REF!</f>
        <v>#REF!</v>
      </c>
      <c r="BT40" t="e">
        <f>装备!#REF!</f>
        <v>#REF!</v>
      </c>
      <c r="BU40" t="e">
        <f>装备!#REF!</f>
        <v>#REF!</v>
      </c>
      <c r="BV40" t="e">
        <f>装备!#REF!</f>
        <v>#REF!</v>
      </c>
      <c r="BW40" t="e">
        <f>装备!#REF!</f>
        <v>#REF!</v>
      </c>
      <c r="BX40" t="e">
        <f>装备!#REF!</f>
        <v>#REF!</v>
      </c>
      <c r="BY40" t="e">
        <f>装备!#REF!</f>
        <v>#REF!</v>
      </c>
      <c r="BZ40" t="e">
        <f>装备!#REF!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装备!#REF!</f>
        <v>#REF!</v>
      </c>
      <c r="B41" t="e">
        <f>装备!#REF!</f>
        <v>#REF!</v>
      </c>
      <c r="C41" t="e">
        <f>装备!#REF!</f>
        <v>#REF!</v>
      </c>
      <c r="D41" t="e">
        <f>装备!#REF!</f>
        <v>#REF!</v>
      </c>
      <c r="E41" t="e">
        <f>装备!#REF!</f>
        <v>#REF!</v>
      </c>
      <c r="F41" t="e">
        <f>装备!#REF!</f>
        <v>#REF!</v>
      </c>
      <c r="G41" t="e">
        <f>装备!#REF!</f>
        <v>#REF!</v>
      </c>
      <c r="H41" t="e">
        <f>装备!#REF!</f>
        <v>#REF!</v>
      </c>
      <c r="I41" t="e">
        <f>装备!#REF!</f>
        <v>#REF!</v>
      </c>
      <c r="J41" t="e">
        <f>装备!#REF!</f>
        <v>#REF!</v>
      </c>
      <c r="K41" t="e">
        <f>装备!#REF!</f>
        <v>#REF!</v>
      </c>
      <c r="L41" t="e">
        <f>装备!#REF!</f>
        <v>#REF!</v>
      </c>
      <c r="M41" t="e">
        <f t="shared" si="0"/>
        <v>#REF!</v>
      </c>
      <c r="N41" t="e">
        <f>装备!#REF!</f>
        <v>#REF!</v>
      </c>
      <c r="O41" t="e">
        <f>装备!#REF!</f>
        <v>#REF!</v>
      </c>
      <c r="P41" t="e">
        <f>装备!#REF!</f>
        <v>#REF!</v>
      </c>
      <c r="Q41" t="e">
        <f>装备!#REF!</f>
        <v>#REF!</v>
      </c>
      <c r="R41" t="e">
        <f>装备!#REF!</f>
        <v>#REF!</v>
      </c>
      <c r="S41" t="e">
        <f>装备!#REF!</f>
        <v>#REF!</v>
      </c>
      <c r="T41" t="e">
        <f>装备!#REF!</f>
        <v>#REF!</v>
      </c>
      <c r="U41" t="e">
        <f>装备!#REF!</f>
        <v>#REF!</v>
      </c>
      <c r="V41" t="e">
        <f>装备!#REF!</f>
        <v>#REF!</v>
      </c>
      <c r="W41" t="e">
        <f>装备!#REF!</f>
        <v>#REF!</v>
      </c>
      <c r="X41" t="e">
        <f t="shared" si="1"/>
        <v>#REF!</v>
      </c>
      <c r="Y41" t="e">
        <f>装备!#REF!</f>
        <v>#REF!</v>
      </c>
      <c r="Z41" t="e">
        <f>装备!#REF!</f>
        <v>#REF!</v>
      </c>
      <c r="AA41" t="e">
        <f>装备!#REF!</f>
        <v>#REF!</v>
      </c>
      <c r="AB41" t="e">
        <f>装备!#REF!</f>
        <v>#REF!</v>
      </c>
      <c r="AC41" t="e">
        <f>装备!#REF!</f>
        <v>#REF!</v>
      </c>
      <c r="AD41" t="e">
        <f>装备!#REF!</f>
        <v>#REF!</v>
      </c>
      <c r="AE41" t="e">
        <f>装备!#REF!</f>
        <v>#REF!</v>
      </c>
      <c r="AF41" t="e">
        <f>装备!#REF!</f>
        <v>#REF!</v>
      </c>
      <c r="AG41" t="e">
        <f>装备!#REF!</f>
        <v>#REF!</v>
      </c>
      <c r="AH41" t="e">
        <f>装备!#REF!</f>
        <v>#REF!</v>
      </c>
      <c r="AI41" t="e">
        <f t="shared" si="2"/>
        <v>#REF!</v>
      </c>
      <c r="AJ41" t="e">
        <f>装备!#REF!</f>
        <v>#REF!</v>
      </c>
      <c r="AK41" t="e">
        <f>装备!#REF!</f>
        <v>#REF!</v>
      </c>
      <c r="AL41" t="e">
        <f>装备!#REF!</f>
        <v>#REF!</v>
      </c>
      <c r="AM41" t="e">
        <f>装备!#REF!</f>
        <v>#REF!</v>
      </c>
      <c r="AN41" t="e">
        <f>装备!#REF!</f>
        <v>#REF!</v>
      </c>
      <c r="AO41" t="e">
        <f>装备!#REF!</f>
        <v>#REF!</v>
      </c>
      <c r="AP41" t="e">
        <f>装备!#REF!</f>
        <v>#REF!</v>
      </c>
      <c r="AQ41" t="e">
        <f>装备!#REF!</f>
        <v>#REF!</v>
      </c>
      <c r="AR41" t="e">
        <f>装备!#REF!</f>
        <v>#REF!</v>
      </c>
      <c r="AS41" t="e">
        <f>装备!#REF!</f>
        <v>#REF!</v>
      </c>
      <c r="AT41" t="e">
        <f t="shared" si="3"/>
        <v>#REF!</v>
      </c>
      <c r="AU41" t="e">
        <f>装备!#REF!</f>
        <v>#REF!</v>
      </c>
      <c r="AV41" t="e">
        <f>装备!#REF!</f>
        <v>#REF!</v>
      </c>
      <c r="AW41" t="e">
        <f>装备!#REF!</f>
        <v>#REF!</v>
      </c>
      <c r="AX41" t="e">
        <f>装备!#REF!</f>
        <v>#REF!</v>
      </c>
      <c r="AY41" t="e">
        <f>装备!#REF!</f>
        <v>#REF!</v>
      </c>
      <c r="AZ41" t="e">
        <f>装备!#REF!</f>
        <v>#REF!</v>
      </c>
      <c r="BA41" t="e">
        <f>装备!#REF!</f>
        <v>#REF!</v>
      </c>
      <c r="BB41" t="e">
        <f>装备!#REF!</f>
        <v>#REF!</v>
      </c>
      <c r="BC41" t="e">
        <f>装备!#REF!</f>
        <v>#REF!</v>
      </c>
      <c r="BD41" t="e">
        <f>装备!#REF!</f>
        <v>#REF!</v>
      </c>
      <c r="BE41" t="e">
        <f t="shared" si="4"/>
        <v>#REF!</v>
      </c>
      <c r="BF41" t="e">
        <f>装备!#REF!</f>
        <v>#REF!</v>
      </c>
      <c r="BG41" t="e">
        <f>装备!#REF!</f>
        <v>#REF!</v>
      </c>
      <c r="BH41" t="e">
        <f>装备!#REF!</f>
        <v>#REF!</v>
      </c>
      <c r="BI41" t="e">
        <f>装备!#REF!</f>
        <v>#REF!</v>
      </c>
      <c r="BJ41" t="e">
        <f>装备!#REF!</f>
        <v>#REF!</v>
      </c>
      <c r="BK41" t="e">
        <f>装备!#REF!</f>
        <v>#REF!</v>
      </c>
      <c r="BL41" t="e">
        <f>装备!#REF!</f>
        <v>#REF!</v>
      </c>
      <c r="BM41" t="e">
        <f>装备!#REF!</f>
        <v>#REF!</v>
      </c>
      <c r="BN41" t="e">
        <f>装备!#REF!</f>
        <v>#REF!</v>
      </c>
      <c r="BO41" t="e">
        <f>装备!#REF!</f>
        <v>#REF!</v>
      </c>
      <c r="BP41" t="e">
        <f t="shared" si="5"/>
        <v>#REF!</v>
      </c>
      <c r="BQ41" t="e">
        <f>装备!#REF!</f>
        <v>#REF!</v>
      </c>
      <c r="BR41" t="e">
        <f>装备!#REF!</f>
        <v>#REF!</v>
      </c>
      <c r="BS41" t="e">
        <f>装备!#REF!</f>
        <v>#REF!</v>
      </c>
      <c r="BT41" t="e">
        <f>装备!#REF!</f>
        <v>#REF!</v>
      </c>
      <c r="BU41" t="e">
        <f>装备!#REF!</f>
        <v>#REF!</v>
      </c>
      <c r="BV41" t="e">
        <f>装备!#REF!</f>
        <v>#REF!</v>
      </c>
      <c r="BW41" t="e">
        <f>装备!#REF!</f>
        <v>#REF!</v>
      </c>
      <c r="BX41" t="e">
        <f>装备!#REF!</f>
        <v>#REF!</v>
      </c>
      <c r="BY41" t="e">
        <f>装备!#REF!</f>
        <v>#REF!</v>
      </c>
      <c r="BZ41" t="e">
        <f>装备!#REF!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装备!#REF!</f>
        <v>#REF!</v>
      </c>
      <c r="B42" t="e">
        <f>装备!#REF!</f>
        <v>#REF!</v>
      </c>
      <c r="C42" t="e">
        <f>装备!#REF!</f>
        <v>#REF!</v>
      </c>
      <c r="D42" t="e">
        <f>装备!#REF!</f>
        <v>#REF!</v>
      </c>
      <c r="E42" t="e">
        <f>装备!#REF!</f>
        <v>#REF!</v>
      </c>
      <c r="F42" t="e">
        <f>装备!#REF!</f>
        <v>#REF!</v>
      </c>
      <c r="G42" t="e">
        <f>装备!#REF!</f>
        <v>#REF!</v>
      </c>
      <c r="H42" t="e">
        <f>装备!#REF!</f>
        <v>#REF!</v>
      </c>
      <c r="I42" t="e">
        <f>装备!#REF!</f>
        <v>#REF!</v>
      </c>
      <c r="J42" t="e">
        <f>装备!#REF!</f>
        <v>#REF!</v>
      </c>
      <c r="K42" t="e">
        <f>装备!#REF!</f>
        <v>#REF!</v>
      </c>
      <c r="L42" t="e">
        <f>装备!#REF!</f>
        <v>#REF!</v>
      </c>
      <c r="M42" t="e">
        <f t="shared" si="0"/>
        <v>#REF!</v>
      </c>
      <c r="N42" t="e">
        <f>装备!#REF!</f>
        <v>#REF!</v>
      </c>
      <c r="O42" t="e">
        <f>装备!#REF!</f>
        <v>#REF!</v>
      </c>
      <c r="P42" t="e">
        <f>装备!#REF!</f>
        <v>#REF!</v>
      </c>
      <c r="Q42" t="e">
        <f>装备!#REF!</f>
        <v>#REF!</v>
      </c>
      <c r="R42" t="e">
        <f>装备!#REF!</f>
        <v>#REF!</v>
      </c>
      <c r="S42" t="e">
        <f>装备!#REF!</f>
        <v>#REF!</v>
      </c>
      <c r="T42" t="e">
        <f>装备!#REF!</f>
        <v>#REF!</v>
      </c>
      <c r="U42" t="e">
        <f>装备!#REF!</f>
        <v>#REF!</v>
      </c>
      <c r="V42" t="e">
        <f>装备!#REF!</f>
        <v>#REF!</v>
      </c>
      <c r="W42" t="e">
        <f>装备!#REF!</f>
        <v>#REF!</v>
      </c>
      <c r="X42" t="e">
        <f t="shared" si="1"/>
        <v>#REF!</v>
      </c>
      <c r="Y42" t="e">
        <f>装备!#REF!</f>
        <v>#REF!</v>
      </c>
      <c r="Z42" t="e">
        <f>装备!#REF!</f>
        <v>#REF!</v>
      </c>
      <c r="AA42" t="e">
        <f>装备!#REF!</f>
        <v>#REF!</v>
      </c>
      <c r="AB42" t="e">
        <f>装备!#REF!</f>
        <v>#REF!</v>
      </c>
      <c r="AC42" t="e">
        <f>装备!#REF!</f>
        <v>#REF!</v>
      </c>
      <c r="AD42" t="e">
        <f>装备!#REF!</f>
        <v>#REF!</v>
      </c>
      <c r="AE42" t="e">
        <f>装备!#REF!</f>
        <v>#REF!</v>
      </c>
      <c r="AF42" t="e">
        <f>装备!#REF!</f>
        <v>#REF!</v>
      </c>
      <c r="AG42" t="e">
        <f>装备!#REF!</f>
        <v>#REF!</v>
      </c>
      <c r="AH42" t="e">
        <f>装备!#REF!</f>
        <v>#REF!</v>
      </c>
      <c r="AI42" t="e">
        <f t="shared" si="2"/>
        <v>#REF!</v>
      </c>
      <c r="AJ42" t="e">
        <f>装备!#REF!</f>
        <v>#REF!</v>
      </c>
      <c r="AK42" t="e">
        <f>装备!#REF!</f>
        <v>#REF!</v>
      </c>
      <c r="AL42" t="e">
        <f>装备!#REF!</f>
        <v>#REF!</v>
      </c>
      <c r="AM42" t="e">
        <f>装备!#REF!</f>
        <v>#REF!</v>
      </c>
      <c r="AN42" t="e">
        <f>装备!#REF!</f>
        <v>#REF!</v>
      </c>
      <c r="AO42" t="e">
        <f>装备!#REF!</f>
        <v>#REF!</v>
      </c>
      <c r="AP42" t="e">
        <f>装备!#REF!</f>
        <v>#REF!</v>
      </c>
      <c r="AQ42" t="e">
        <f>装备!#REF!</f>
        <v>#REF!</v>
      </c>
      <c r="AR42" t="e">
        <f>装备!#REF!</f>
        <v>#REF!</v>
      </c>
      <c r="AS42" t="e">
        <f>装备!#REF!</f>
        <v>#REF!</v>
      </c>
      <c r="AT42" t="e">
        <f t="shared" si="3"/>
        <v>#REF!</v>
      </c>
      <c r="AU42" t="e">
        <f>装备!#REF!</f>
        <v>#REF!</v>
      </c>
      <c r="AV42" t="e">
        <f>装备!#REF!</f>
        <v>#REF!</v>
      </c>
      <c r="AW42" t="e">
        <f>装备!#REF!</f>
        <v>#REF!</v>
      </c>
      <c r="AX42" t="e">
        <f>装备!#REF!</f>
        <v>#REF!</v>
      </c>
      <c r="AY42" t="e">
        <f>装备!#REF!</f>
        <v>#REF!</v>
      </c>
      <c r="AZ42" t="e">
        <f>装备!#REF!</f>
        <v>#REF!</v>
      </c>
      <c r="BA42" t="e">
        <f>装备!#REF!</f>
        <v>#REF!</v>
      </c>
      <c r="BB42" t="e">
        <f>装备!#REF!</f>
        <v>#REF!</v>
      </c>
      <c r="BC42" t="e">
        <f>装备!#REF!</f>
        <v>#REF!</v>
      </c>
      <c r="BD42" t="e">
        <f>装备!#REF!</f>
        <v>#REF!</v>
      </c>
      <c r="BE42" t="e">
        <f t="shared" si="4"/>
        <v>#REF!</v>
      </c>
      <c r="BF42" t="e">
        <f>装备!#REF!</f>
        <v>#REF!</v>
      </c>
      <c r="BG42" t="e">
        <f>装备!#REF!</f>
        <v>#REF!</v>
      </c>
      <c r="BH42" t="e">
        <f>装备!#REF!</f>
        <v>#REF!</v>
      </c>
      <c r="BI42" t="e">
        <f>装备!#REF!</f>
        <v>#REF!</v>
      </c>
      <c r="BJ42" t="e">
        <f>装备!#REF!</f>
        <v>#REF!</v>
      </c>
      <c r="BK42" t="e">
        <f>装备!#REF!</f>
        <v>#REF!</v>
      </c>
      <c r="BL42" t="e">
        <f>装备!#REF!</f>
        <v>#REF!</v>
      </c>
      <c r="BM42" t="e">
        <f>装备!#REF!</f>
        <v>#REF!</v>
      </c>
      <c r="BN42" t="e">
        <f>装备!#REF!</f>
        <v>#REF!</v>
      </c>
      <c r="BO42" t="e">
        <f>装备!#REF!</f>
        <v>#REF!</v>
      </c>
      <c r="BP42" t="e">
        <f t="shared" si="5"/>
        <v>#REF!</v>
      </c>
      <c r="BQ42" t="e">
        <f>装备!#REF!</f>
        <v>#REF!</v>
      </c>
      <c r="BR42" t="e">
        <f>装备!#REF!</f>
        <v>#REF!</v>
      </c>
      <c r="BS42" t="e">
        <f>装备!#REF!</f>
        <v>#REF!</v>
      </c>
      <c r="BT42" t="e">
        <f>装备!#REF!</f>
        <v>#REF!</v>
      </c>
      <c r="BU42" t="e">
        <f>装备!#REF!</f>
        <v>#REF!</v>
      </c>
      <c r="BV42" t="e">
        <f>装备!#REF!</f>
        <v>#REF!</v>
      </c>
      <c r="BW42" t="e">
        <f>装备!#REF!</f>
        <v>#REF!</v>
      </c>
      <c r="BX42" t="e">
        <f>装备!#REF!</f>
        <v>#REF!</v>
      </c>
      <c r="BY42" t="e">
        <f>装备!#REF!</f>
        <v>#REF!</v>
      </c>
      <c r="BZ42" t="e">
        <f>装备!#REF!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装备!#REF!</f>
        <v>#REF!</v>
      </c>
      <c r="B43" t="e">
        <f>装备!#REF!</f>
        <v>#REF!</v>
      </c>
      <c r="C43" t="e">
        <f>装备!#REF!</f>
        <v>#REF!</v>
      </c>
      <c r="D43" t="e">
        <f>装备!#REF!</f>
        <v>#REF!</v>
      </c>
      <c r="E43" t="e">
        <f>装备!#REF!</f>
        <v>#REF!</v>
      </c>
      <c r="F43" t="e">
        <f>装备!#REF!</f>
        <v>#REF!</v>
      </c>
      <c r="G43" t="e">
        <f>装备!#REF!</f>
        <v>#REF!</v>
      </c>
      <c r="H43" t="e">
        <f>装备!#REF!</f>
        <v>#REF!</v>
      </c>
      <c r="I43" t="e">
        <f>装备!#REF!</f>
        <v>#REF!</v>
      </c>
      <c r="J43" t="e">
        <f>装备!#REF!</f>
        <v>#REF!</v>
      </c>
      <c r="K43" t="e">
        <f>装备!#REF!</f>
        <v>#REF!</v>
      </c>
      <c r="L43" t="e">
        <f>装备!#REF!</f>
        <v>#REF!</v>
      </c>
      <c r="M43" t="e">
        <f t="shared" si="0"/>
        <v>#REF!</v>
      </c>
      <c r="N43" t="e">
        <f>装备!#REF!</f>
        <v>#REF!</v>
      </c>
      <c r="O43" t="e">
        <f>装备!#REF!</f>
        <v>#REF!</v>
      </c>
      <c r="P43" t="e">
        <f>装备!#REF!</f>
        <v>#REF!</v>
      </c>
      <c r="Q43" t="e">
        <f>装备!#REF!</f>
        <v>#REF!</v>
      </c>
      <c r="R43" t="e">
        <f>装备!#REF!</f>
        <v>#REF!</v>
      </c>
      <c r="S43" t="e">
        <f>装备!#REF!</f>
        <v>#REF!</v>
      </c>
      <c r="T43" t="e">
        <f>装备!#REF!</f>
        <v>#REF!</v>
      </c>
      <c r="U43" t="e">
        <f>装备!#REF!</f>
        <v>#REF!</v>
      </c>
      <c r="V43" t="e">
        <f>装备!#REF!</f>
        <v>#REF!</v>
      </c>
      <c r="W43" t="e">
        <f>装备!#REF!</f>
        <v>#REF!</v>
      </c>
      <c r="X43" t="e">
        <f t="shared" si="1"/>
        <v>#REF!</v>
      </c>
      <c r="Y43" t="e">
        <f>装备!#REF!</f>
        <v>#REF!</v>
      </c>
      <c r="Z43" t="e">
        <f>装备!#REF!</f>
        <v>#REF!</v>
      </c>
      <c r="AA43" t="e">
        <f>装备!#REF!</f>
        <v>#REF!</v>
      </c>
      <c r="AB43" t="e">
        <f>装备!#REF!</f>
        <v>#REF!</v>
      </c>
      <c r="AC43" t="e">
        <f>装备!#REF!</f>
        <v>#REF!</v>
      </c>
      <c r="AD43" t="e">
        <f>装备!#REF!</f>
        <v>#REF!</v>
      </c>
      <c r="AE43" t="e">
        <f>装备!#REF!</f>
        <v>#REF!</v>
      </c>
      <c r="AF43" t="e">
        <f>装备!#REF!</f>
        <v>#REF!</v>
      </c>
      <c r="AG43" t="e">
        <f>装备!#REF!</f>
        <v>#REF!</v>
      </c>
      <c r="AH43" t="e">
        <f>装备!#REF!</f>
        <v>#REF!</v>
      </c>
      <c r="AI43" t="e">
        <f t="shared" si="2"/>
        <v>#REF!</v>
      </c>
      <c r="AJ43" t="e">
        <f>装备!#REF!</f>
        <v>#REF!</v>
      </c>
      <c r="AK43" t="e">
        <f>装备!#REF!</f>
        <v>#REF!</v>
      </c>
      <c r="AL43" t="e">
        <f>装备!#REF!</f>
        <v>#REF!</v>
      </c>
      <c r="AM43" t="e">
        <f>装备!#REF!</f>
        <v>#REF!</v>
      </c>
      <c r="AN43" t="e">
        <f>装备!#REF!</f>
        <v>#REF!</v>
      </c>
      <c r="AO43" t="e">
        <f>装备!#REF!</f>
        <v>#REF!</v>
      </c>
      <c r="AP43" t="e">
        <f>装备!#REF!</f>
        <v>#REF!</v>
      </c>
      <c r="AQ43" t="e">
        <f>装备!#REF!</f>
        <v>#REF!</v>
      </c>
      <c r="AR43" t="e">
        <f>装备!#REF!</f>
        <v>#REF!</v>
      </c>
      <c r="AS43" t="e">
        <f>装备!#REF!</f>
        <v>#REF!</v>
      </c>
      <c r="AT43" t="e">
        <f t="shared" si="3"/>
        <v>#REF!</v>
      </c>
      <c r="AU43" t="e">
        <f>装备!#REF!</f>
        <v>#REF!</v>
      </c>
      <c r="AV43" t="e">
        <f>装备!#REF!</f>
        <v>#REF!</v>
      </c>
      <c r="AW43" t="e">
        <f>装备!#REF!</f>
        <v>#REF!</v>
      </c>
      <c r="AX43" t="e">
        <f>装备!#REF!</f>
        <v>#REF!</v>
      </c>
      <c r="AY43" t="e">
        <f>装备!#REF!</f>
        <v>#REF!</v>
      </c>
      <c r="AZ43" t="e">
        <f>装备!#REF!</f>
        <v>#REF!</v>
      </c>
      <c r="BA43" t="e">
        <f>装备!#REF!</f>
        <v>#REF!</v>
      </c>
      <c r="BB43" t="e">
        <f>装备!#REF!</f>
        <v>#REF!</v>
      </c>
      <c r="BC43" t="e">
        <f>装备!#REF!</f>
        <v>#REF!</v>
      </c>
      <c r="BD43" t="e">
        <f>装备!#REF!</f>
        <v>#REF!</v>
      </c>
      <c r="BE43" t="e">
        <f t="shared" si="4"/>
        <v>#REF!</v>
      </c>
      <c r="BF43" t="e">
        <f>装备!#REF!</f>
        <v>#REF!</v>
      </c>
      <c r="BG43" t="e">
        <f>装备!#REF!</f>
        <v>#REF!</v>
      </c>
      <c r="BH43" t="e">
        <f>装备!#REF!</f>
        <v>#REF!</v>
      </c>
      <c r="BI43" t="e">
        <f>装备!#REF!</f>
        <v>#REF!</v>
      </c>
      <c r="BJ43" t="e">
        <f>装备!#REF!</f>
        <v>#REF!</v>
      </c>
      <c r="BK43" t="e">
        <f>装备!#REF!</f>
        <v>#REF!</v>
      </c>
      <c r="BL43" t="e">
        <f>装备!#REF!</f>
        <v>#REF!</v>
      </c>
      <c r="BM43" t="e">
        <f>装备!#REF!</f>
        <v>#REF!</v>
      </c>
      <c r="BN43" t="e">
        <f>装备!#REF!</f>
        <v>#REF!</v>
      </c>
      <c r="BO43" t="e">
        <f>装备!#REF!</f>
        <v>#REF!</v>
      </c>
      <c r="BP43" t="e">
        <f t="shared" si="5"/>
        <v>#REF!</v>
      </c>
      <c r="BQ43" t="e">
        <f>装备!#REF!</f>
        <v>#REF!</v>
      </c>
      <c r="BR43" t="e">
        <f>装备!#REF!</f>
        <v>#REF!</v>
      </c>
      <c r="BS43" t="e">
        <f>装备!#REF!</f>
        <v>#REF!</v>
      </c>
      <c r="BT43" t="e">
        <f>装备!#REF!</f>
        <v>#REF!</v>
      </c>
      <c r="BU43" t="e">
        <f>装备!#REF!</f>
        <v>#REF!</v>
      </c>
      <c r="BV43" t="e">
        <f>装备!#REF!</f>
        <v>#REF!</v>
      </c>
      <c r="BW43" t="e">
        <f>装备!#REF!</f>
        <v>#REF!</v>
      </c>
      <c r="BX43" t="e">
        <f>装备!#REF!</f>
        <v>#REF!</v>
      </c>
      <c r="BY43" t="e">
        <f>装备!#REF!</f>
        <v>#REF!</v>
      </c>
      <c r="BZ43" t="e">
        <f>装备!#REF!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装备!#REF!</f>
        <v>#REF!</v>
      </c>
      <c r="B44" t="e">
        <f>装备!#REF!</f>
        <v>#REF!</v>
      </c>
      <c r="C44" t="e">
        <f>装备!#REF!</f>
        <v>#REF!</v>
      </c>
      <c r="D44" t="e">
        <f>装备!#REF!</f>
        <v>#REF!</v>
      </c>
      <c r="E44" t="e">
        <f>装备!#REF!</f>
        <v>#REF!</v>
      </c>
      <c r="F44" t="e">
        <f>装备!#REF!</f>
        <v>#REF!</v>
      </c>
      <c r="G44" t="e">
        <f>装备!#REF!</f>
        <v>#REF!</v>
      </c>
      <c r="H44" t="e">
        <f>装备!#REF!</f>
        <v>#REF!</v>
      </c>
      <c r="I44" t="e">
        <f>装备!#REF!</f>
        <v>#REF!</v>
      </c>
      <c r="J44" t="e">
        <f>装备!#REF!</f>
        <v>#REF!</v>
      </c>
      <c r="K44" t="e">
        <f>装备!#REF!</f>
        <v>#REF!</v>
      </c>
      <c r="L44" t="e">
        <f>装备!#REF!</f>
        <v>#REF!</v>
      </c>
      <c r="M44" t="e">
        <f t="shared" si="0"/>
        <v>#REF!</v>
      </c>
      <c r="N44" t="e">
        <f>装备!#REF!</f>
        <v>#REF!</v>
      </c>
      <c r="O44" t="e">
        <f>装备!#REF!</f>
        <v>#REF!</v>
      </c>
      <c r="P44" t="e">
        <f>装备!#REF!</f>
        <v>#REF!</v>
      </c>
      <c r="Q44" t="e">
        <f>装备!#REF!</f>
        <v>#REF!</v>
      </c>
      <c r="R44" t="e">
        <f>装备!#REF!</f>
        <v>#REF!</v>
      </c>
      <c r="S44" t="e">
        <f>装备!#REF!</f>
        <v>#REF!</v>
      </c>
      <c r="T44" t="e">
        <f>装备!#REF!</f>
        <v>#REF!</v>
      </c>
      <c r="U44" t="e">
        <f>装备!#REF!</f>
        <v>#REF!</v>
      </c>
      <c r="V44" t="e">
        <f>装备!#REF!</f>
        <v>#REF!</v>
      </c>
      <c r="W44" t="e">
        <f>装备!#REF!</f>
        <v>#REF!</v>
      </c>
      <c r="X44" t="e">
        <f t="shared" si="1"/>
        <v>#REF!</v>
      </c>
      <c r="Y44" t="e">
        <f>装备!#REF!</f>
        <v>#REF!</v>
      </c>
      <c r="Z44" t="e">
        <f>装备!#REF!</f>
        <v>#REF!</v>
      </c>
      <c r="AA44" t="e">
        <f>装备!#REF!</f>
        <v>#REF!</v>
      </c>
      <c r="AB44" t="e">
        <f>装备!#REF!</f>
        <v>#REF!</v>
      </c>
      <c r="AC44" t="e">
        <f>装备!#REF!</f>
        <v>#REF!</v>
      </c>
      <c r="AD44" t="e">
        <f>装备!#REF!</f>
        <v>#REF!</v>
      </c>
      <c r="AE44" t="e">
        <f>装备!#REF!</f>
        <v>#REF!</v>
      </c>
      <c r="AF44" t="e">
        <f>装备!#REF!</f>
        <v>#REF!</v>
      </c>
      <c r="AG44" t="e">
        <f>装备!#REF!</f>
        <v>#REF!</v>
      </c>
      <c r="AH44" t="e">
        <f>装备!#REF!</f>
        <v>#REF!</v>
      </c>
      <c r="AI44" t="e">
        <f t="shared" si="2"/>
        <v>#REF!</v>
      </c>
      <c r="AJ44" t="e">
        <f>装备!#REF!</f>
        <v>#REF!</v>
      </c>
      <c r="AK44" t="e">
        <f>装备!#REF!</f>
        <v>#REF!</v>
      </c>
      <c r="AL44" t="e">
        <f>装备!#REF!</f>
        <v>#REF!</v>
      </c>
      <c r="AM44" t="e">
        <f>装备!#REF!</f>
        <v>#REF!</v>
      </c>
      <c r="AN44" t="e">
        <f>装备!#REF!</f>
        <v>#REF!</v>
      </c>
      <c r="AO44" t="e">
        <f>装备!#REF!</f>
        <v>#REF!</v>
      </c>
      <c r="AP44" t="e">
        <f>装备!#REF!</f>
        <v>#REF!</v>
      </c>
      <c r="AQ44" t="e">
        <f>装备!#REF!</f>
        <v>#REF!</v>
      </c>
      <c r="AR44" t="e">
        <f>装备!#REF!</f>
        <v>#REF!</v>
      </c>
      <c r="AS44" t="e">
        <f>装备!#REF!</f>
        <v>#REF!</v>
      </c>
      <c r="AT44" t="e">
        <f t="shared" si="3"/>
        <v>#REF!</v>
      </c>
      <c r="AU44" t="e">
        <f>装备!#REF!</f>
        <v>#REF!</v>
      </c>
      <c r="AV44" t="e">
        <f>装备!#REF!</f>
        <v>#REF!</v>
      </c>
      <c r="AW44" t="e">
        <f>装备!#REF!</f>
        <v>#REF!</v>
      </c>
      <c r="AX44" t="e">
        <f>装备!#REF!</f>
        <v>#REF!</v>
      </c>
      <c r="AY44" t="e">
        <f>装备!#REF!</f>
        <v>#REF!</v>
      </c>
      <c r="AZ44" t="e">
        <f>装备!#REF!</f>
        <v>#REF!</v>
      </c>
      <c r="BA44" t="e">
        <f>装备!#REF!</f>
        <v>#REF!</v>
      </c>
      <c r="BB44" t="e">
        <f>装备!#REF!</f>
        <v>#REF!</v>
      </c>
      <c r="BC44" t="e">
        <f>装备!#REF!</f>
        <v>#REF!</v>
      </c>
      <c r="BD44" t="e">
        <f>装备!#REF!</f>
        <v>#REF!</v>
      </c>
      <c r="BE44" t="e">
        <f t="shared" si="4"/>
        <v>#REF!</v>
      </c>
      <c r="BF44" t="e">
        <f>装备!#REF!</f>
        <v>#REF!</v>
      </c>
      <c r="BG44" t="e">
        <f>装备!#REF!</f>
        <v>#REF!</v>
      </c>
      <c r="BH44" t="e">
        <f>装备!#REF!</f>
        <v>#REF!</v>
      </c>
      <c r="BI44" t="e">
        <f>装备!#REF!</f>
        <v>#REF!</v>
      </c>
      <c r="BJ44" t="e">
        <f>装备!#REF!</f>
        <v>#REF!</v>
      </c>
      <c r="BK44" t="e">
        <f>装备!#REF!</f>
        <v>#REF!</v>
      </c>
      <c r="BL44" t="e">
        <f>装备!#REF!</f>
        <v>#REF!</v>
      </c>
      <c r="BM44" t="e">
        <f>装备!#REF!</f>
        <v>#REF!</v>
      </c>
      <c r="BN44" t="e">
        <f>装备!#REF!</f>
        <v>#REF!</v>
      </c>
      <c r="BO44" t="e">
        <f>装备!#REF!</f>
        <v>#REF!</v>
      </c>
      <c r="BP44" t="e">
        <f t="shared" si="5"/>
        <v>#REF!</v>
      </c>
      <c r="BQ44" t="e">
        <f>装备!#REF!</f>
        <v>#REF!</v>
      </c>
      <c r="BR44" t="e">
        <f>装备!#REF!</f>
        <v>#REF!</v>
      </c>
      <c r="BS44" t="e">
        <f>装备!#REF!</f>
        <v>#REF!</v>
      </c>
      <c r="BT44" t="e">
        <f>装备!#REF!</f>
        <v>#REF!</v>
      </c>
      <c r="BU44" t="e">
        <f>装备!#REF!</f>
        <v>#REF!</v>
      </c>
      <c r="BV44" t="e">
        <f>装备!#REF!</f>
        <v>#REF!</v>
      </c>
      <c r="BW44" t="e">
        <f>装备!#REF!</f>
        <v>#REF!</v>
      </c>
      <c r="BX44" t="e">
        <f>装备!#REF!</f>
        <v>#REF!</v>
      </c>
      <c r="BY44" t="e">
        <f>装备!#REF!</f>
        <v>#REF!</v>
      </c>
      <c r="BZ44" t="e">
        <f>装备!#REF!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装备!#REF!</f>
        <v>#REF!</v>
      </c>
      <c r="B45" t="e">
        <f>装备!#REF!</f>
        <v>#REF!</v>
      </c>
      <c r="C45" t="e">
        <f>装备!#REF!</f>
        <v>#REF!</v>
      </c>
      <c r="D45" t="e">
        <f>装备!#REF!</f>
        <v>#REF!</v>
      </c>
      <c r="E45" t="e">
        <f>装备!#REF!</f>
        <v>#REF!</v>
      </c>
      <c r="F45" t="e">
        <f>装备!#REF!</f>
        <v>#REF!</v>
      </c>
      <c r="G45" t="e">
        <f>装备!#REF!</f>
        <v>#REF!</v>
      </c>
      <c r="H45" t="e">
        <f>装备!#REF!</f>
        <v>#REF!</v>
      </c>
      <c r="I45" t="e">
        <f>装备!#REF!</f>
        <v>#REF!</v>
      </c>
      <c r="J45" t="e">
        <f>装备!#REF!</f>
        <v>#REF!</v>
      </c>
      <c r="K45" t="e">
        <f>装备!#REF!</f>
        <v>#REF!</v>
      </c>
      <c r="L45" t="e">
        <f>装备!#REF!</f>
        <v>#REF!</v>
      </c>
      <c r="M45" t="e">
        <f t="shared" si="0"/>
        <v>#REF!</v>
      </c>
      <c r="N45" t="e">
        <f>装备!#REF!</f>
        <v>#REF!</v>
      </c>
      <c r="O45" t="e">
        <f>装备!#REF!</f>
        <v>#REF!</v>
      </c>
      <c r="P45" t="e">
        <f>装备!#REF!</f>
        <v>#REF!</v>
      </c>
      <c r="Q45" t="e">
        <f>装备!#REF!</f>
        <v>#REF!</v>
      </c>
      <c r="R45" t="e">
        <f>装备!#REF!</f>
        <v>#REF!</v>
      </c>
      <c r="S45" t="e">
        <f>装备!#REF!</f>
        <v>#REF!</v>
      </c>
      <c r="T45" t="e">
        <f>装备!#REF!</f>
        <v>#REF!</v>
      </c>
      <c r="U45" t="e">
        <f>装备!#REF!</f>
        <v>#REF!</v>
      </c>
      <c r="V45" t="e">
        <f>装备!#REF!</f>
        <v>#REF!</v>
      </c>
      <c r="W45" t="e">
        <f>装备!#REF!</f>
        <v>#REF!</v>
      </c>
      <c r="X45" t="e">
        <f t="shared" si="1"/>
        <v>#REF!</v>
      </c>
      <c r="Y45" t="e">
        <f>装备!#REF!</f>
        <v>#REF!</v>
      </c>
      <c r="Z45" t="e">
        <f>装备!#REF!</f>
        <v>#REF!</v>
      </c>
      <c r="AA45" t="e">
        <f>装备!#REF!</f>
        <v>#REF!</v>
      </c>
      <c r="AB45" t="e">
        <f>装备!#REF!</f>
        <v>#REF!</v>
      </c>
      <c r="AC45" t="e">
        <f>装备!#REF!</f>
        <v>#REF!</v>
      </c>
      <c r="AD45" t="e">
        <f>装备!#REF!</f>
        <v>#REF!</v>
      </c>
      <c r="AE45" t="e">
        <f>装备!#REF!</f>
        <v>#REF!</v>
      </c>
      <c r="AF45" t="e">
        <f>装备!#REF!</f>
        <v>#REF!</v>
      </c>
      <c r="AG45" t="e">
        <f>装备!#REF!</f>
        <v>#REF!</v>
      </c>
      <c r="AH45" t="e">
        <f>装备!#REF!</f>
        <v>#REF!</v>
      </c>
      <c r="AI45" t="e">
        <f t="shared" si="2"/>
        <v>#REF!</v>
      </c>
      <c r="AJ45" t="e">
        <f>装备!#REF!</f>
        <v>#REF!</v>
      </c>
      <c r="AK45" t="e">
        <f>装备!#REF!</f>
        <v>#REF!</v>
      </c>
      <c r="AL45" t="e">
        <f>装备!#REF!</f>
        <v>#REF!</v>
      </c>
      <c r="AM45" t="e">
        <f>装备!#REF!</f>
        <v>#REF!</v>
      </c>
      <c r="AN45" t="e">
        <f>装备!#REF!</f>
        <v>#REF!</v>
      </c>
      <c r="AO45" t="e">
        <f>装备!#REF!</f>
        <v>#REF!</v>
      </c>
      <c r="AP45" t="e">
        <f>装备!#REF!</f>
        <v>#REF!</v>
      </c>
      <c r="AQ45" t="e">
        <f>装备!#REF!</f>
        <v>#REF!</v>
      </c>
      <c r="AR45" t="e">
        <f>装备!#REF!</f>
        <v>#REF!</v>
      </c>
      <c r="AS45" t="e">
        <f>装备!#REF!</f>
        <v>#REF!</v>
      </c>
      <c r="AT45" t="e">
        <f t="shared" si="3"/>
        <v>#REF!</v>
      </c>
      <c r="AU45" t="e">
        <f>装备!#REF!</f>
        <v>#REF!</v>
      </c>
      <c r="AV45" t="e">
        <f>装备!#REF!</f>
        <v>#REF!</v>
      </c>
      <c r="AW45" t="e">
        <f>装备!#REF!</f>
        <v>#REF!</v>
      </c>
      <c r="AX45" t="e">
        <f>装备!#REF!</f>
        <v>#REF!</v>
      </c>
      <c r="AY45" t="e">
        <f>装备!#REF!</f>
        <v>#REF!</v>
      </c>
      <c r="AZ45" t="e">
        <f>装备!#REF!</f>
        <v>#REF!</v>
      </c>
      <c r="BA45" t="e">
        <f>装备!#REF!</f>
        <v>#REF!</v>
      </c>
      <c r="BB45" t="e">
        <f>装备!#REF!</f>
        <v>#REF!</v>
      </c>
      <c r="BC45" t="e">
        <f>装备!#REF!</f>
        <v>#REF!</v>
      </c>
      <c r="BD45" t="e">
        <f>装备!#REF!</f>
        <v>#REF!</v>
      </c>
      <c r="BE45" t="e">
        <f t="shared" si="4"/>
        <v>#REF!</v>
      </c>
      <c r="BF45" t="e">
        <f>装备!#REF!</f>
        <v>#REF!</v>
      </c>
      <c r="BG45" t="e">
        <f>装备!#REF!</f>
        <v>#REF!</v>
      </c>
      <c r="BH45" t="e">
        <f>装备!#REF!</f>
        <v>#REF!</v>
      </c>
      <c r="BI45" t="e">
        <f>装备!#REF!</f>
        <v>#REF!</v>
      </c>
      <c r="BJ45" t="e">
        <f>装备!#REF!</f>
        <v>#REF!</v>
      </c>
      <c r="BK45" t="e">
        <f>装备!#REF!</f>
        <v>#REF!</v>
      </c>
      <c r="BL45" t="e">
        <f>装备!#REF!</f>
        <v>#REF!</v>
      </c>
      <c r="BM45" t="e">
        <f>装备!#REF!</f>
        <v>#REF!</v>
      </c>
      <c r="BN45" t="e">
        <f>装备!#REF!</f>
        <v>#REF!</v>
      </c>
      <c r="BO45" t="e">
        <f>装备!#REF!</f>
        <v>#REF!</v>
      </c>
      <c r="BP45" t="e">
        <f t="shared" si="5"/>
        <v>#REF!</v>
      </c>
      <c r="BQ45" t="e">
        <f>装备!#REF!</f>
        <v>#REF!</v>
      </c>
      <c r="BR45" t="e">
        <f>装备!#REF!</f>
        <v>#REF!</v>
      </c>
      <c r="BS45" t="e">
        <f>装备!#REF!</f>
        <v>#REF!</v>
      </c>
      <c r="BT45" t="e">
        <f>装备!#REF!</f>
        <v>#REF!</v>
      </c>
      <c r="BU45" t="e">
        <f>装备!#REF!</f>
        <v>#REF!</v>
      </c>
      <c r="BV45" t="e">
        <f>装备!#REF!</f>
        <v>#REF!</v>
      </c>
      <c r="BW45" t="e">
        <f>装备!#REF!</f>
        <v>#REF!</v>
      </c>
      <c r="BX45" t="e">
        <f>装备!#REF!</f>
        <v>#REF!</v>
      </c>
      <c r="BY45" t="e">
        <f>装备!#REF!</f>
        <v>#REF!</v>
      </c>
      <c r="BZ45" t="e">
        <f>装备!#REF!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装备!#REF!</f>
        <v>#REF!</v>
      </c>
      <c r="B46" t="e">
        <f>装备!#REF!</f>
        <v>#REF!</v>
      </c>
      <c r="C46" t="e">
        <f>装备!#REF!</f>
        <v>#REF!</v>
      </c>
      <c r="D46" t="e">
        <f>装备!#REF!</f>
        <v>#REF!</v>
      </c>
      <c r="E46" t="e">
        <f>装备!#REF!</f>
        <v>#REF!</v>
      </c>
      <c r="F46" t="e">
        <f>装备!#REF!</f>
        <v>#REF!</v>
      </c>
      <c r="G46" t="e">
        <f>装备!#REF!</f>
        <v>#REF!</v>
      </c>
      <c r="H46" t="e">
        <f>装备!#REF!</f>
        <v>#REF!</v>
      </c>
      <c r="I46" t="e">
        <f>装备!#REF!</f>
        <v>#REF!</v>
      </c>
      <c r="J46" t="e">
        <f>装备!#REF!</f>
        <v>#REF!</v>
      </c>
      <c r="K46" t="e">
        <f>装备!#REF!</f>
        <v>#REF!</v>
      </c>
      <c r="L46" t="e">
        <f>装备!#REF!</f>
        <v>#REF!</v>
      </c>
      <c r="M46" t="e">
        <f t="shared" si="0"/>
        <v>#REF!</v>
      </c>
      <c r="N46" t="e">
        <f>装备!#REF!</f>
        <v>#REF!</v>
      </c>
      <c r="O46" t="e">
        <f>装备!#REF!</f>
        <v>#REF!</v>
      </c>
      <c r="P46" t="e">
        <f>装备!#REF!</f>
        <v>#REF!</v>
      </c>
      <c r="Q46" t="e">
        <f>装备!#REF!</f>
        <v>#REF!</v>
      </c>
      <c r="R46" t="e">
        <f>装备!#REF!</f>
        <v>#REF!</v>
      </c>
      <c r="S46" t="e">
        <f>装备!#REF!</f>
        <v>#REF!</v>
      </c>
      <c r="T46" t="e">
        <f>装备!#REF!</f>
        <v>#REF!</v>
      </c>
      <c r="U46" t="e">
        <f>装备!#REF!</f>
        <v>#REF!</v>
      </c>
      <c r="V46" t="e">
        <f>装备!#REF!</f>
        <v>#REF!</v>
      </c>
      <c r="W46" t="e">
        <f>装备!#REF!</f>
        <v>#REF!</v>
      </c>
      <c r="X46" t="e">
        <f t="shared" si="1"/>
        <v>#REF!</v>
      </c>
      <c r="Y46" t="e">
        <f>装备!#REF!</f>
        <v>#REF!</v>
      </c>
      <c r="Z46" t="e">
        <f>装备!#REF!</f>
        <v>#REF!</v>
      </c>
      <c r="AA46" t="e">
        <f>装备!#REF!</f>
        <v>#REF!</v>
      </c>
      <c r="AB46" t="e">
        <f>装备!#REF!</f>
        <v>#REF!</v>
      </c>
      <c r="AC46" t="e">
        <f>装备!#REF!</f>
        <v>#REF!</v>
      </c>
      <c r="AD46" t="e">
        <f>装备!#REF!</f>
        <v>#REF!</v>
      </c>
      <c r="AE46" t="e">
        <f>装备!#REF!</f>
        <v>#REF!</v>
      </c>
      <c r="AF46" t="e">
        <f>装备!#REF!</f>
        <v>#REF!</v>
      </c>
      <c r="AG46" t="e">
        <f>装备!#REF!</f>
        <v>#REF!</v>
      </c>
      <c r="AH46" t="e">
        <f>装备!#REF!</f>
        <v>#REF!</v>
      </c>
      <c r="AI46" t="e">
        <f t="shared" si="2"/>
        <v>#REF!</v>
      </c>
      <c r="AJ46" t="e">
        <f>装备!#REF!</f>
        <v>#REF!</v>
      </c>
      <c r="AK46" t="e">
        <f>装备!#REF!</f>
        <v>#REF!</v>
      </c>
      <c r="AL46" t="e">
        <f>装备!#REF!</f>
        <v>#REF!</v>
      </c>
      <c r="AM46" t="e">
        <f>装备!#REF!</f>
        <v>#REF!</v>
      </c>
      <c r="AN46" t="e">
        <f>装备!#REF!</f>
        <v>#REF!</v>
      </c>
      <c r="AO46" t="e">
        <f>装备!#REF!</f>
        <v>#REF!</v>
      </c>
      <c r="AP46" t="e">
        <f>装备!#REF!</f>
        <v>#REF!</v>
      </c>
      <c r="AQ46" t="e">
        <f>装备!#REF!</f>
        <v>#REF!</v>
      </c>
      <c r="AR46" t="e">
        <f>装备!#REF!</f>
        <v>#REF!</v>
      </c>
      <c r="AS46" t="e">
        <f>装备!#REF!</f>
        <v>#REF!</v>
      </c>
      <c r="AT46" t="e">
        <f t="shared" si="3"/>
        <v>#REF!</v>
      </c>
      <c r="AU46" t="e">
        <f>装备!#REF!</f>
        <v>#REF!</v>
      </c>
      <c r="AV46" t="e">
        <f>装备!#REF!</f>
        <v>#REF!</v>
      </c>
      <c r="AW46" t="e">
        <f>装备!#REF!</f>
        <v>#REF!</v>
      </c>
      <c r="AX46" t="e">
        <f>装备!#REF!</f>
        <v>#REF!</v>
      </c>
      <c r="AY46" t="e">
        <f>装备!#REF!</f>
        <v>#REF!</v>
      </c>
      <c r="AZ46" t="e">
        <f>装备!#REF!</f>
        <v>#REF!</v>
      </c>
      <c r="BA46" t="e">
        <f>装备!#REF!</f>
        <v>#REF!</v>
      </c>
      <c r="BB46" t="e">
        <f>装备!#REF!</f>
        <v>#REF!</v>
      </c>
      <c r="BC46" t="e">
        <f>装备!#REF!</f>
        <v>#REF!</v>
      </c>
      <c r="BD46" t="e">
        <f>装备!#REF!</f>
        <v>#REF!</v>
      </c>
      <c r="BE46" t="e">
        <f t="shared" si="4"/>
        <v>#REF!</v>
      </c>
      <c r="BF46" t="e">
        <f>装备!#REF!</f>
        <v>#REF!</v>
      </c>
      <c r="BG46" t="e">
        <f>装备!#REF!</f>
        <v>#REF!</v>
      </c>
      <c r="BH46" t="e">
        <f>装备!#REF!</f>
        <v>#REF!</v>
      </c>
      <c r="BI46" t="e">
        <f>装备!#REF!</f>
        <v>#REF!</v>
      </c>
      <c r="BJ46" t="e">
        <f>装备!#REF!</f>
        <v>#REF!</v>
      </c>
      <c r="BK46" t="e">
        <f>装备!#REF!</f>
        <v>#REF!</v>
      </c>
      <c r="BL46" t="e">
        <f>装备!#REF!</f>
        <v>#REF!</v>
      </c>
      <c r="BM46" t="e">
        <f>装备!#REF!</f>
        <v>#REF!</v>
      </c>
      <c r="BN46" t="e">
        <f>装备!#REF!</f>
        <v>#REF!</v>
      </c>
      <c r="BO46" t="e">
        <f>装备!#REF!</f>
        <v>#REF!</v>
      </c>
      <c r="BP46" t="e">
        <f t="shared" si="5"/>
        <v>#REF!</v>
      </c>
      <c r="BQ46" t="e">
        <f>装备!#REF!</f>
        <v>#REF!</v>
      </c>
      <c r="BR46" t="e">
        <f>装备!#REF!</f>
        <v>#REF!</v>
      </c>
      <c r="BS46" t="e">
        <f>装备!#REF!</f>
        <v>#REF!</v>
      </c>
      <c r="BT46" t="e">
        <f>装备!#REF!</f>
        <v>#REF!</v>
      </c>
      <c r="BU46" t="e">
        <f>装备!#REF!</f>
        <v>#REF!</v>
      </c>
      <c r="BV46" t="e">
        <f>装备!#REF!</f>
        <v>#REF!</v>
      </c>
      <c r="BW46" t="e">
        <f>装备!#REF!</f>
        <v>#REF!</v>
      </c>
      <c r="BX46" t="e">
        <f>装备!#REF!</f>
        <v>#REF!</v>
      </c>
      <c r="BY46" t="e">
        <f>装备!#REF!</f>
        <v>#REF!</v>
      </c>
      <c r="BZ46" t="e">
        <f>装备!#REF!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装备!#REF!</f>
        <v>#REF!</v>
      </c>
      <c r="B47" t="e">
        <f>装备!#REF!</f>
        <v>#REF!</v>
      </c>
      <c r="C47" t="e">
        <f>装备!#REF!</f>
        <v>#REF!</v>
      </c>
      <c r="D47" t="e">
        <f>装备!#REF!</f>
        <v>#REF!</v>
      </c>
      <c r="E47" t="e">
        <f>装备!#REF!</f>
        <v>#REF!</v>
      </c>
      <c r="F47" t="e">
        <f>装备!#REF!</f>
        <v>#REF!</v>
      </c>
      <c r="G47" t="e">
        <f>装备!#REF!</f>
        <v>#REF!</v>
      </c>
      <c r="H47" t="e">
        <f>装备!#REF!</f>
        <v>#REF!</v>
      </c>
      <c r="I47" t="e">
        <f>装备!#REF!</f>
        <v>#REF!</v>
      </c>
      <c r="J47" t="e">
        <f>装备!#REF!</f>
        <v>#REF!</v>
      </c>
      <c r="K47" t="e">
        <f>装备!#REF!</f>
        <v>#REF!</v>
      </c>
      <c r="L47" t="e">
        <f>装备!#REF!</f>
        <v>#REF!</v>
      </c>
      <c r="M47" t="e">
        <f t="shared" si="0"/>
        <v>#REF!</v>
      </c>
      <c r="N47" t="e">
        <f>装备!#REF!</f>
        <v>#REF!</v>
      </c>
      <c r="O47" t="e">
        <f>装备!#REF!</f>
        <v>#REF!</v>
      </c>
      <c r="P47" t="e">
        <f>装备!#REF!</f>
        <v>#REF!</v>
      </c>
      <c r="Q47" t="e">
        <f>装备!#REF!</f>
        <v>#REF!</v>
      </c>
      <c r="R47" t="e">
        <f>装备!#REF!</f>
        <v>#REF!</v>
      </c>
      <c r="S47" t="e">
        <f>装备!#REF!</f>
        <v>#REF!</v>
      </c>
      <c r="T47" t="e">
        <f>装备!#REF!</f>
        <v>#REF!</v>
      </c>
      <c r="U47" t="e">
        <f>装备!#REF!</f>
        <v>#REF!</v>
      </c>
      <c r="V47" t="e">
        <f>装备!#REF!</f>
        <v>#REF!</v>
      </c>
      <c r="W47" t="e">
        <f>装备!#REF!</f>
        <v>#REF!</v>
      </c>
      <c r="X47" t="e">
        <f t="shared" si="1"/>
        <v>#REF!</v>
      </c>
      <c r="Y47" t="e">
        <f>装备!#REF!</f>
        <v>#REF!</v>
      </c>
      <c r="Z47" t="e">
        <f>装备!#REF!</f>
        <v>#REF!</v>
      </c>
      <c r="AA47" t="e">
        <f>装备!#REF!</f>
        <v>#REF!</v>
      </c>
      <c r="AB47" t="e">
        <f>装备!#REF!</f>
        <v>#REF!</v>
      </c>
      <c r="AC47" t="e">
        <f>装备!#REF!</f>
        <v>#REF!</v>
      </c>
      <c r="AD47" t="e">
        <f>装备!#REF!</f>
        <v>#REF!</v>
      </c>
      <c r="AE47" t="e">
        <f>装备!#REF!</f>
        <v>#REF!</v>
      </c>
      <c r="AF47" t="e">
        <f>装备!#REF!</f>
        <v>#REF!</v>
      </c>
      <c r="AG47" t="e">
        <f>装备!#REF!</f>
        <v>#REF!</v>
      </c>
      <c r="AH47" t="e">
        <f>装备!#REF!</f>
        <v>#REF!</v>
      </c>
      <c r="AI47" t="e">
        <f t="shared" si="2"/>
        <v>#REF!</v>
      </c>
      <c r="AJ47" t="e">
        <f>装备!#REF!</f>
        <v>#REF!</v>
      </c>
      <c r="AK47" t="e">
        <f>装备!#REF!</f>
        <v>#REF!</v>
      </c>
      <c r="AL47" t="e">
        <f>装备!#REF!</f>
        <v>#REF!</v>
      </c>
      <c r="AM47" t="e">
        <f>装备!#REF!</f>
        <v>#REF!</v>
      </c>
      <c r="AN47" t="e">
        <f>装备!#REF!</f>
        <v>#REF!</v>
      </c>
      <c r="AO47" t="e">
        <f>装备!#REF!</f>
        <v>#REF!</v>
      </c>
      <c r="AP47" t="e">
        <f>装备!#REF!</f>
        <v>#REF!</v>
      </c>
      <c r="AQ47" t="e">
        <f>装备!#REF!</f>
        <v>#REF!</v>
      </c>
      <c r="AR47" t="e">
        <f>装备!#REF!</f>
        <v>#REF!</v>
      </c>
      <c r="AS47" t="e">
        <f>装备!#REF!</f>
        <v>#REF!</v>
      </c>
      <c r="AT47" t="e">
        <f t="shared" si="3"/>
        <v>#REF!</v>
      </c>
      <c r="AU47" t="e">
        <f>装备!#REF!</f>
        <v>#REF!</v>
      </c>
      <c r="AV47" t="e">
        <f>装备!#REF!</f>
        <v>#REF!</v>
      </c>
      <c r="AW47" t="e">
        <f>装备!#REF!</f>
        <v>#REF!</v>
      </c>
      <c r="AX47" t="e">
        <f>装备!#REF!</f>
        <v>#REF!</v>
      </c>
      <c r="AY47" t="e">
        <f>装备!#REF!</f>
        <v>#REF!</v>
      </c>
      <c r="AZ47" t="e">
        <f>装备!#REF!</f>
        <v>#REF!</v>
      </c>
      <c r="BA47" t="e">
        <f>装备!#REF!</f>
        <v>#REF!</v>
      </c>
      <c r="BB47" t="e">
        <f>装备!#REF!</f>
        <v>#REF!</v>
      </c>
      <c r="BC47" t="e">
        <f>装备!#REF!</f>
        <v>#REF!</v>
      </c>
      <c r="BD47" t="e">
        <f>装备!#REF!</f>
        <v>#REF!</v>
      </c>
      <c r="BE47" t="e">
        <f t="shared" si="4"/>
        <v>#REF!</v>
      </c>
      <c r="BF47" t="e">
        <f>装备!#REF!</f>
        <v>#REF!</v>
      </c>
      <c r="BG47" t="e">
        <f>装备!#REF!</f>
        <v>#REF!</v>
      </c>
      <c r="BH47" t="e">
        <f>装备!#REF!</f>
        <v>#REF!</v>
      </c>
      <c r="BI47" t="e">
        <f>装备!#REF!</f>
        <v>#REF!</v>
      </c>
      <c r="BJ47" t="e">
        <f>装备!#REF!</f>
        <v>#REF!</v>
      </c>
      <c r="BK47" t="e">
        <f>装备!#REF!</f>
        <v>#REF!</v>
      </c>
      <c r="BL47" t="e">
        <f>装备!#REF!</f>
        <v>#REF!</v>
      </c>
      <c r="BM47" t="e">
        <f>装备!#REF!</f>
        <v>#REF!</v>
      </c>
      <c r="BN47" t="e">
        <f>装备!#REF!</f>
        <v>#REF!</v>
      </c>
      <c r="BO47" t="e">
        <f>装备!#REF!</f>
        <v>#REF!</v>
      </c>
      <c r="BP47" t="e">
        <f t="shared" si="5"/>
        <v>#REF!</v>
      </c>
      <c r="BQ47" t="e">
        <f>装备!#REF!</f>
        <v>#REF!</v>
      </c>
      <c r="BR47" t="e">
        <f>装备!#REF!</f>
        <v>#REF!</v>
      </c>
      <c r="BS47" t="e">
        <f>装备!#REF!</f>
        <v>#REF!</v>
      </c>
      <c r="BT47" t="e">
        <f>装备!#REF!</f>
        <v>#REF!</v>
      </c>
      <c r="BU47" t="e">
        <f>装备!#REF!</f>
        <v>#REF!</v>
      </c>
      <c r="BV47" t="e">
        <f>装备!#REF!</f>
        <v>#REF!</v>
      </c>
      <c r="BW47" t="e">
        <f>装备!#REF!</f>
        <v>#REF!</v>
      </c>
      <c r="BX47" t="e">
        <f>装备!#REF!</f>
        <v>#REF!</v>
      </c>
      <c r="BY47" t="e">
        <f>装备!#REF!</f>
        <v>#REF!</v>
      </c>
      <c r="BZ47" t="e">
        <f>装备!#REF!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装备!#REF!</f>
        <v>#REF!</v>
      </c>
      <c r="B48" t="e">
        <f>装备!#REF!</f>
        <v>#REF!</v>
      </c>
      <c r="C48" t="e">
        <f>装备!#REF!</f>
        <v>#REF!</v>
      </c>
      <c r="D48" t="e">
        <f>装备!#REF!</f>
        <v>#REF!</v>
      </c>
      <c r="E48" t="e">
        <f>装备!#REF!</f>
        <v>#REF!</v>
      </c>
      <c r="F48" t="e">
        <f>装备!#REF!</f>
        <v>#REF!</v>
      </c>
      <c r="G48" t="e">
        <f>装备!#REF!</f>
        <v>#REF!</v>
      </c>
      <c r="H48" t="e">
        <f>装备!#REF!</f>
        <v>#REF!</v>
      </c>
      <c r="I48" t="e">
        <f>装备!#REF!</f>
        <v>#REF!</v>
      </c>
      <c r="J48" t="e">
        <f>装备!#REF!</f>
        <v>#REF!</v>
      </c>
      <c r="K48" t="e">
        <f>装备!#REF!</f>
        <v>#REF!</v>
      </c>
      <c r="L48" t="e">
        <f>装备!#REF!</f>
        <v>#REF!</v>
      </c>
      <c r="M48" t="e">
        <f t="shared" si="0"/>
        <v>#REF!</v>
      </c>
      <c r="N48" t="e">
        <f>装备!#REF!</f>
        <v>#REF!</v>
      </c>
      <c r="O48" t="e">
        <f>装备!#REF!</f>
        <v>#REF!</v>
      </c>
      <c r="P48" t="e">
        <f>装备!#REF!</f>
        <v>#REF!</v>
      </c>
      <c r="Q48" t="e">
        <f>装备!#REF!</f>
        <v>#REF!</v>
      </c>
      <c r="R48" t="e">
        <f>装备!#REF!</f>
        <v>#REF!</v>
      </c>
      <c r="S48" t="e">
        <f>装备!#REF!</f>
        <v>#REF!</v>
      </c>
      <c r="T48" t="e">
        <f>装备!#REF!</f>
        <v>#REF!</v>
      </c>
      <c r="U48" t="e">
        <f>装备!#REF!</f>
        <v>#REF!</v>
      </c>
      <c r="V48" t="e">
        <f>装备!#REF!</f>
        <v>#REF!</v>
      </c>
      <c r="W48" t="e">
        <f>装备!#REF!</f>
        <v>#REF!</v>
      </c>
      <c r="X48" t="e">
        <f t="shared" si="1"/>
        <v>#REF!</v>
      </c>
      <c r="Y48" t="e">
        <f>装备!#REF!</f>
        <v>#REF!</v>
      </c>
      <c r="Z48" t="e">
        <f>装备!#REF!</f>
        <v>#REF!</v>
      </c>
      <c r="AA48" t="e">
        <f>装备!#REF!</f>
        <v>#REF!</v>
      </c>
      <c r="AB48" t="e">
        <f>装备!#REF!</f>
        <v>#REF!</v>
      </c>
      <c r="AC48" t="e">
        <f>装备!#REF!</f>
        <v>#REF!</v>
      </c>
      <c r="AD48" t="e">
        <f>装备!#REF!</f>
        <v>#REF!</v>
      </c>
      <c r="AE48" t="e">
        <f>装备!#REF!</f>
        <v>#REF!</v>
      </c>
      <c r="AF48" t="e">
        <f>装备!#REF!</f>
        <v>#REF!</v>
      </c>
      <c r="AG48" t="e">
        <f>装备!#REF!</f>
        <v>#REF!</v>
      </c>
      <c r="AH48" t="e">
        <f>装备!#REF!</f>
        <v>#REF!</v>
      </c>
      <c r="AI48" t="e">
        <f t="shared" si="2"/>
        <v>#REF!</v>
      </c>
      <c r="AJ48" t="e">
        <f>装备!#REF!</f>
        <v>#REF!</v>
      </c>
      <c r="AK48" t="e">
        <f>装备!#REF!</f>
        <v>#REF!</v>
      </c>
      <c r="AL48" t="e">
        <f>装备!#REF!</f>
        <v>#REF!</v>
      </c>
      <c r="AM48" t="e">
        <f>装备!#REF!</f>
        <v>#REF!</v>
      </c>
      <c r="AN48" t="e">
        <f>装备!#REF!</f>
        <v>#REF!</v>
      </c>
      <c r="AO48" t="e">
        <f>装备!#REF!</f>
        <v>#REF!</v>
      </c>
      <c r="AP48" t="e">
        <f>装备!#REF!</f>
        <v>#REF!</v>
      </c>
      <c r="AQ48" t="e">
        <f>装备!#REF!</f>
        <v>#REF!</v>
      </c>
      <c r="AR48" t="e">
        <f>装备!#REF!</f>
        <v>#REF!</v>
      </c>
      <c r="AS48" t="e">
        <f>装备!#REF!</f>
        <v>#REF!</v>
      </c>
      <c r="AT48" t="e">
        <f t="shared" si="3"/>
        <v>#REF!</v>
      </c>
      <c r="AU48" t="e">
        <f>装备!#REF!</f>
        <v>#REF!</v>
      </c>
      <c r="AV48" t="e">
        <f>装备!#REF!</f>
        <v>#REF!</v>
      </c>
      <c r="AW48" t="e">
        <f>装备!#REF!</f>
        <v>#REF!</v>
      </c>
      <c r="AX48" t="e">
        <f>装备!#REF!</f>
        <v>#REF!</v>
      </c>
      <c r="AY48" t="e">
        <f>装备!#REF!</f>
        <v>#REF!</v>
      </c>
      <c r="AZ48" t="e">
        <f>装备!#REF!</f>
        <v>#REF!</v>
      </c>
      <c r="BA48" t="e">
        <f>装备!#REF!</f>
        <v>#REF!</v>
      </c>
      <c r="BB48" t="e">
        <f>装备!#REF!</f>
        <v>#REF!</v>
      </c>
      <c r="BC48" t="e">
        <f>装备!#REF!</f>
        <v>#REF!</v>
      </c>
      <c r="BD48" t="e">
        <f>装备!#REF!</f>
        <v>#REF!</v>
      </c>
      <c r="BE48" t="e">
        <f t="shared" si="4"/>
        <v>#REF!</v>
      </c>
      <c r="BF48" t="e">
        <f>装备!#REF!</f>
        <v>#REF!</v>
      </c>
      <c r="BG48" t="e">
        <f>装备!#REF!</f>
        <v>#REF!</v>
      </c>
      <c r="BH48" t="e">
        <f>装备!#REF!</f>
        <v>#REF!</v>
      </c>
      <c r="BI48" t="e">
        <f>装备!#REF!</f>
        <v>#REF!</v>
      </c>
      <c r="BJ48" t="e">
        <f>装备!#REF!</f>
        <v>#REF!</v>
      </c>
      <c r="BK48" t="e">
        <f>装备!#REF!</f>
        <v>#REF!</v>
      </c>
      <c r="BL48" t="e">
        <f>装备!#REF!</f>
        <v>#REF!</v>
      </c>
      <c r="BM48" t="e">
        <f>装备!#REF!</f>
        <v>#REF!</v>
      </c>
      <c r="BN48" t="e">
        <f>装备!#REF!</f>
        <v>#REF!</v>
      </c>
      <c r="BO48" t="e">
        <f>装备!#REF!</f>
        <v>#REF!</v>
      </c>
      <c r="BP48" t="e">
        <f t="shared" si="5"/>
        <v>#REF!</v>
      </c>
      <c r="BQ48" t="e">
        <f>装备!#REF!</f>
        <v>#REF!</v>
      </c>
      <c r="BR48" t="e">
        <f>装备!#REF!</f>
        <v>#REF!</v>
      </c>
      <c r="BS48" t="e">
        <f>装备!#REF!</f>
        <v>#REF!</v>
      </c>
      <c r="BT48" t="e">
        <f>装备!#REF!</f>
        <v>#REF!</v>
      </c>
      <c r="BU48" t="e">
        <f>装备!#REF!</f>
        <v>#REF!</v>
      </c>
      <c r="BV48" t="e">
        <f>装备!#REF!</f>
        <v>#REF!</v>
      </c>
      <c r="BW48" t="e">
        <f>装备!#REF!</f>
        <v>#REF!</v>
      </c>
      <c r="BX48" t="e">
        <f>装备!#REF!</f>
        <v>#REF!</v>
      </c>
      <c r="BY48" t="e">
        <f>装备!#REF!</f>
        <v>#REF!</v>
      </c>
      <c r="BZ48" t="e">
        <f>装备!#REF!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装备!#REF!</f>
        <v>#REF!</v>
      </c>
      <c r="B49" t="e">
        <f>装备!#REF!</f>
        <v>#REF!</v>
      </c>
      <c r="C49" t="e">
        <f>装备!#REF!</f>
        <v>#REF!</v>
      </c>
      <c r="D49" t="e">
        <f>装备!#REF!</f>
        <v>#REF!</v>
      </c>
      <c r="E49" t="e">
        <f>装备!#REF!</f>
        <v>#REF!</v>
      </c>
      <c r="F49" t="e">
        <f>装备!#REF!</f>
        <v>#REF!</v>
      </c>
      <c r="G49" t="e">
        <f>装备!#REF!</f>
        <v>#REF!</v>
      </c>
      <c r="H49" t="e">
        <f>装备!#REF!</f>
        <v>#REF!</v>
      </c>
      <c r="I49" t="e">
        <f>装备!#REF!</f>
        <v>#REF!</v>
      </c>
      <c r="J49" t="e">
        <f>装备!#REF!</f>
        <v>#REF!</v>
      </c>
      <c r="K49" t="e">
        <f>装备!#REF!</f>
        <v>#REF!</v>
      </c>
      <c r="L49" t="e">
        <f>装备!#REF!</f>
        <v>#REF!</v>
      </c>
      <c r="M49" t="e">
        <f t="shared" si="0"/>
        <v>#REF!</v>
      </c>
      <c r="N49" t="e">
        <f>装备!#REF!</f>
        <v>#REF!</v>
      </c>
      <c r="O49" t="e">
        <f>装备!#REF!</f>
        <v>#REF!</v>
      </c>
      <c r="P49" t="e">
        <f>装备!#REF!</f>
        <v>#REF!</v>
      </c>
      <c r="Q49" t="e">
        <f>装备!#REF!</f>
        <v>#REF!</v>
      </c>
      <c r="R49" t="e">
        <f>装备!#REF!</f>
        <v>#REF!</v>
      </c>
      <c r="S49" t="e">
        <f>装备!#REF!</f>
        <v>#REF!</v>
      </c>
      <c r="T49" t="e">
        <f>装备!#REF!</f>
        <v>#REF!</v>
      </c>
      <c r="U49" t="e">
        <f>装备!#REF!</f>
        <v>#REF!</v>
      </c>
      <c r="V49" t="e">
        <f>装备!#REF!</f>
        <v>#REF!</v>
      </c>
      <c r="W49" t="e">
        <f>装备!#REF!</f>
        <v>#REF!</v>
      </c>
      <c r="X49" t="e">
        <f t="shared" si="1"/>
        <v>#REF!</v>
      </c>
      <c r="Y49" t="e">
        <f>装备!#REF!</f>
        <v>#REF!</v>
      </c>
      <c r="Z49" t="e">
        <f>装备!#REF!</f>
        <v>#REF!</v>
      </c>
      <c r="AA49" t="e">
        <f>装备!#REF!</f>
        <v>#REF!</v>
      </c>
      <c r="AB49" t="e">
        <f>装备!#REF!</f>
        <v>#REF!</v>
      </c>
      <c r="AC49" t="e">
        <f>装备!#REF!</f>
        <v>#REF!</v>
      </c>
      <c r="AD49" t="e">
        <f>装备!#REF!</f>
        <v>#REF!</v>
      </c>
      <c r="AE49" t="e">
        <f>装备!#REF!</f>
        <v>#REF!</v>
      </c>
      <c r="AF49" t="e">
        <f>装备!#REF!</f>
        <v>#REF!</v>
      </c>
      <c r="AG49" t="e">
        <f>装备!#REF!</f>
        <v>#REF!</v>
      </c>
      <c r="AH49" t="e">
        <f>装备!#REF!</f>
        <v>#REF!</v>
      </c>
      <c r="AI49" t="e">
        <f t="shared" si="2"/>
        <v>#REF!</v>
      </c>
      <c r="AJ49" t="e">
        <f>装备!#REF!</f>
        <v>#REF!</v>
      </c>
      <c r="AK49" t="e">
        <f>装备!#REF!</f>
        <v>#REF!</v>
      </c>
      <c r="AL49" t="e">
        <f>装备!#REF!</f>
        <v>#REF!</v>
      </c>
      <c r="AM49" t="e">
        <f>装备!#REF!</f>
        <v>#REF!</v>
      </c>
      <c r="AN49" t="e">
        <f>装备!#REF!</f>
        <v>#REF!</v>
      </c>
      <c r="AO49" t="e">
        <f>装备!#REF!</f>
        <v>#REF!</v>
      </c>
      <c r="AP49" t="e">
        <f>装备!#REF!</f>
        <v>#REF!</v>
      </c>
      <c r="AQ49" t="e">
        <f>装备!#REF!</f>
        <v>#REF!</v>
      </c>
      <c r="AR49" t="e">
        <f>装备!#REF!</f>
        <v>#REF!</v>
      </c>
      <c r="AS49" t="e">
        <f>装备!#REF!</f>
        <v>#REF!</v>
      </c>
      <c r="AT49" t="e">
        <f t="shared" si="3"/>
        <v>#REF!</v>
      </c>
      <c r="AU49" t="e">
        <f>装备!#REF!</f>
        <v>#REF!</v>
      </c>
      <c r="AV49" t="e">
        <f>装备!#REF!</f>
        <v>#REF!</v>
      </c>
      <c r="AW49" t="e">
        <f>装备!#REF!</f>
        <v>#REF!</v>
      </c>
      <c r="AX49" t="e">
        <f>装备!#REF!</f>
        <v>#REF!</v>
      </c>
      <c r="AY49" t="e">
        <f>装备!#REF!</f>
        <v>#REF!</v>
      </c>
      <c r="AZ49" t="e">
        <f>装备!#REF!</f>
        <v>#REF!</v>
      </c>
      <c r="BA49" t="e">
        <f>装备!#REF!</f>
        <v>#REF!</v>
      </c>
      <c r="BB49" t="e">
        <f>装备!#REF!</f>
        <v>#REF!</v>
      </c>
      <c r="BC49" t="e">
        <f>装备!#REF!</f>
        <v>#REF!</v>
      </c>
      <c r="BD49" t="e">
        <f>装备!#REF!</f>
        <v>#REF!</v>
      </c>
      <c r="BE49" t="e">
        <f t="shared" si="4"/>
        <v>#REF!</v>
      </c>
      <c r="BF49" t="e">
        <f>装备!#REF!</f>
        <v>#REF!</v>
      </c>
      <c r="BG49" t="e">
        <f>装备!#REF!</f>
        <v>#REF!</v>
      </c>
      <c r="BH49" t="e">
        <f>装备!#REF!</f>
        <v>#REF!</v>
      </c>
      <c r="BI49" t="e">
        <f>装备!#REF!</f>
        <v>#REF!</v>
      </c>
      <c r="BJ49" t="e">
        <f>装备!#REF!</f>
        <v>#REF!</v>
      </c>
      <c r="BK49" t="e">
        <f>装备!#REF!</f>
        <v>#REF!</v>
      </c>
      <c r="BL49" t="e">
        <f>装备!#REF!</f>
        <v>#REF!</v>
      </c>
      <c r="BM49" t="e">
        <f>装备!#REF!</f>
        <v>#REF!</v>
      </c>
      <c r="BN49" t="e">
        <f>装备!#REF!</f>
        <v>#REF!</v>
      </c>
      <c r="BO49" t="e">
        <f>装备!#REF!</f>
        <v>#REF!</v>
      </c>
      <c r="BP49" t="e">
        <f t="shared" si="5"/>
        <v>#REF!</v>
      </c>
      <c r="BQ49" t="e">
        <f>装备!#REF!</f>
        <v>#REF!</v>
      </c>
      <c r="BR49" t="e">
        <f>装备!#REF!</f>
        <v>#REF!</v>
      </c>
      <c r="BS49" t="e">
        <f>装备!#REF!</f>
        <v>#REF!</v>
      </c>
      <c r="BT49" t="e">
        <f>装备!#REF!</f>
        <v>#REF!</v>
      </c>
      <c r="BU49" t="e">
        <f>装备!#REF!</f>
        <v>#REF!</v>
      </c>
      <c r="BV49" t="e">
        <f>装备!#REF!</f>
        <v>#REF!</v>
      </c>
      <c r="BW49" t="e">
        <f>装备!#REF!</f>
        <v>#REF!</v>
      </c>
      <c r="BX49" t="e">
        <f>装备!#REF!</f>
        <v>#REF!</v>
      </c>
      <c r="BY49" t="e">
        <f>装备!#REF!</f>
        <v>#REF!</v>
      </c>
      <c r="BZ49" t="e">
        <f>装备!#REF!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装备!#REF!</f>
        <v>#REF!</v>
      </c>
      <c r="B50" t="e">
        <f>装备!#REF!</f>
        <v>#REF!</v>
      </c>
      <c r="C50" t="e">
        <f>装备!#REF!</f>
        <v>#REF!</v>
      </c>
      <c r="D50" t="e">
        <f>装备!#REF!</f>
        <v>#REF!</v>
      </c>
      <c r="E50" t="e">
        <f>装备!#REF!</f>
        <v>#REF!</v>
      </c>
      <c r="F50" t="e">
        <f>装备!#REF!</f>
        <v>#REF!</v>
      </c>
      <c r="G50" t="e">
        <f>装备!#REF!</f>
        <v>#REF!</v>
      </c>
      <c r="H50" t="e">
        <f>装备!#REF!</f>
        <v>#REF!</v>
      </c>
      <c r="I50" t="e">
        <f>装备!#REF!</f>
        <v>#REF!</v>
      </c>
      <c r="J50" t="e">
        <f>装备!#REF!</f>
        <v>#REF!</v>
      </c>
      <c r="K50" t="e">
        <f>装备!#REF!</f>
        <v>#REF!</v>
      </c>
      <c r="L50" t="e">
        <f>装备!#REF!</f>
        <v>#REF!</v>
      </c>
      <c r="M50" t="e">
        <f t="shared" si="0"/>
        <v>#REF!</v>
      </c>
      <c r="N50" t="e">
        <f>装备!#REF!</f>
        <v>#REF!</v>
      </c>
      <c r="O50" t="e">
        <f>装备!#REF!</f>
        <v>#REF!</v>
      </c>
      <c r="P50" t="e">
        <f>装备!#REF!</f>
        <v>#REF!</v>
      </c>
      <c r="Q50" t="e">
        <f>装备!#REF!</f>
        <v>#REF!</v>
      </c>
      <c r="R50" t="e">
        <f>装备!#REF!</f>
        <v>#REF!</v>
      </c>
      <c r="S50" t="e">
        <f>装备!#REF!</f>
        <v>#REF!</v>
      </c>
      <c r="T50" t="e">
        <f>装备!#REF!</f>
        <v>#REF!</v>
      </c>
      <c r="U50" t="e">
        <f>装备!#REF!</f>
        <v>#REF!</v>
      </c>
      <c r="V50" t="e">
        <f>装备!#REF!</f>
        <v>#REF!</v>
      </c>
      <c r="W50" t="e">
        <f>装备!#REF!</f>
        <v>#REF!</v>
      </c>
      <c r="X50" t="e">
        <f t="shared" si="1"/>
        <v>#REF!</v>
      </c>
      <c r="Y50" t="e">
        <f>装备!#REF!</f>
        <v>#REF!</v>
      </c>
      <c r="Z50" t="e">
        <f>装备!#REF!</f>
        <v>#REF!</v>
      </c>
      <c r="AA50" t="e">
        <f>装备!#REF!</f>
        <v>#REF!</v>
      </c>
      <c r="AB50" t="e">
        <f>装备!#REF!</f>
        <v>#REF!</v>
      </c>
      <c r="AC50" t="e">
        <f>装备!#REF!</f>
        <v>#REF!</v>
      </c>
      <c r="AD50" t="e">
        <f>装备!#REF!</f>
        <v>#REF!</v>
      </c>
      <c r="AE50" t="e">
        <f>装备!#REF!</f>
        <v>#REF!</v>
      </c>
      <c r="AF50" t="e">
        <f>装备!#REF!</f>
        <v>#REF!</v>
      </c>
      <c r="AG50" t="e">
        <f>装备!#REF!</f>
        <v>#REF!</v>
      </c>
      <c r="AH50" t="e">
        <f>装备!#REF!</f>
        <v>#REF!</v>
      </c>
      <c r="AI50" t="e">
        <f t="shared" si="2"/>
        <v>#REF!</v>
      </c>
      <c r="AJ50" t="e">
        <f>装备!#REF!</f>
        <v>#REF!</v>
      </c>
      <c r="AK50" t="e">
        <f>装备!#REF!</f>
        <v>#REF!</v>
      </c>
      <c r="AL50" t="e">
        <f>装备!#REF!</f>
        <v>#REF!</v>
      </c>
      <c r="AM50" t="e">
        <f>装备!#REF!</f>
        <v>#REF!</v>
      </c>
      <c r="AN50" t="e">
        <f>装备!#REF!</f>
        <v>#REF!</v>
      </c>
      <c r="AO50" t="e">
        <f>装备!#REF!</f>
        <v>#REF!</v>
      </c>
      <c r="AP50" t="e">
        <f>装备!#REF!</f>
        <v>#REF!</v>
      </c>
      <c r="AQ50" t="e">
        <f>装备!#REF!</f>
        <v>#REF!</v>
      </c>
      <c r="AR50" t="e">
        <f>装备!#REF!</f>
        <v>#REF!</v>
      </c>
      <c r="AS50" t="e">
        <f>装备!#REF!</f>
        <v>#REF!</v>
      </c>
      <c r="AT50" t="e">
        <f t="shared" si="3"/>
        <v>#REF!</v>
      </c>
      <c r="AU50" t="e">
        <f>装备!#REF!</f>
        <v>#REF!</v>
      </c>
      <c r="AV50" t="e">
        <f>装备!#REF!</f>
        <v>#REF!</v>
      </c>
      <c r="AW50" t="e">
        <f>装备!#REF!</f>
        <v>#REF!</v>
      </c>
      <c r="AX50" t="e">
        <f>装备!#REF!</f>
        <v>#REF!</v>
      </c>
      <c r="AY50" t="e">
        <f>装备!#REF!</f>
        <v>#REF!</v>
      </c>
      <c r="AZ50" t="e">
        <f>装备!#REF!</f>
        <v>#REF!</v>
      </c>
      <c r="BA50" t="e">
        <f>装备!#REF!</f>
        <v>#REF!</v>
      </c>
      <c r="BB50" t="e">
        <f>装备!#REF!</f>
        <v>#REF!</v>
      </c>
      <c r="BC50" t="e">
        <f>装备!#REF!</f>
        <v>#REF!</v>
      </c>
      <c r="BD50" t="e">
        <f>装备!#REF!</f>
        <v>#REF!</v>
      </c>
      <c r="BE50" t="e">
        <f t="shared" si="4"/>
        <v>#REF!</v>
      </c>
      <c r="BF50" t="e">
        <f>装备!#REF!</f>
        <v>#REF!</v>
      </c>
      <c r="BG50" t="e">
        <f>装备!#REF!</f>
        <v>#REF!</v>
      </c>
      <c r="BH50" t="e">
        <f>装备!#REF!</f>
        <v>#REF!</v>
      </c>
      <c r="BI50" t="e">
        <f>装备!#REF!</f>
        <v>#REF!</v>
      </c>
      <c r="BJ50" t="e">
        <f>装备!#REF!</f>
        <v>#REF!</v>
      </c>
      <c r="BK50" t="e">
        <f>装备!#REF!</f>
        <v>#REF!</v>
      </c>
      <c r="BL50" t="e">
        <f>装备!#REF!</f>
        <v>#REF!</v>
      </c>
      <c r="BM50" t="e">
        <f>装备!#REF!</f>
        <v>#REF!</v>
      </c>
      <c r="BN50" t="e">
        <f>装备!#REF!</f>
        <v>#REF!</v>
      </c>
      <c r="BO50" t="e">
        <f>装备!#REF!</f>
        <v>#REF!</v>
      </c>
      <c r="BP50" t="e">
        <f t="shared" si="5"/>
        <v>#REF!</v>
      </c>
      <c r="BQ50" t="e">
        <f>装备!#REF!</f>
        <v>#REF!</v>
      </c>
      <c r="BR50" t="e">
        <f>装备!#REF!</f>
        <v>#REF!</v>
      </c>
      <c r="BS50" t="e">
        <f>装备!#REF!</f>
        <v>#REF!</v>
      </c>
      <c r="BT50" t="e">
        <f>装备!#REF!</f>
        <v>#REF!</v>
      </c>
      <c r="BU50" t="e">
        <f>装备!#REF!</f>
        <v>#REF!</v>
      </c>
      <c r="BV50" t="e">
        <f>装备!#REF!</f>
        <v>#REF!</v>
      </c>
      <c r="BW50" t="e">
        <f>装备!#REF!</f>
        <v>#REF!</v>
      </c>
      <c r="BX50" t="e">
        <f>装备!#REF!</f>
        <v>#REF!</v>
      </c>
      <c r="BY50" t="e">
        <f>装备!#REF!</f>
        <v>#REF!</v>
      </c>
      <c r="BZ50" t="e">
        <f>装备!#REF!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装备!#REF!</f>
        <v>#REF!</v>
      </c>
      <c r="B51" t="e">
        <f>装备!#REF!</f>
        <v>#REF!</v>
      </c>
      <c r="C51" t="e">
        <f>装备!#REF!</f>
        <v>#REF!</v>
      </c>
      <c r="D51" t="e">
        <f>装备!#REF!</f>
        <v>#REF!</v>
      </c>
      <c r="E51" t="e">
        <f>装备!#REF!</f>
        <v>#REF!</v>
      </c>
      <c r="F51" t="e">
        <f>装备!#REF!</f>
        <v>#REF!</v>
      </c>
      <c r="G51" t="e">
        <f>装备!#REF!</f>
        <v>#REF!</v>
      </c>
      <c r="H51" t="e">
        <f>装备!#REF!</f>
        <v>#REF!</v>
      </c>
      <c r="I51" t="e">
        <f>装备!#REF!</f>
        <v>#REF!</v>
      </c>
      <c r="J51" t="e">
        <f>装备!#REF!</f>
        <v>#REF!</v>
      </c>
      <c r="K51" t="e">
        <f>装备!#REF!</f>
        <v>#REF!</v>
      </c>
      <c r="L51" t="e">
        <f>装备!#REF!</f>
        <v>#REF!</v>
      </c>
      <c r="M51" t="e">
        <f t="shared" si="0"/>
        <v>#REF!</v>
      </c>
      <c r="N51" t="e">
        <f>装备!#REF!</f>
        <v>#REF!</v>
      </c>
      <c r="O51" t="e">
        <f>装备!#REF!</f>
        <v>#REF!</v>
      </c>
      <c r="P51" t="e">
        <f>装备!#REF!</f>
        <v>#REF!</v>
      </c>
      <c r="Q51" t="e">
        <f>装备!#REF!</f>
        <v>#REF!</v>
      </c>
      <c r="R51" t="e">
        <f>装备!#REF!</f>
        <v>#REF!</v>
      </c>
      <c r="S51" t="e">
        <f>装备!#REF!</f>
        <v>#REF!</v>
      </c>
      <c r="T51" t="e">
        <f>装备!#REF!</f>
        <v>#REF!</v>
      </c>
      <c r="U51" t="e">
        <f>装备!#REF!</f>
        <v>#REF!</v>
      </c>
      <c r="V51" t="e">
        <f>装备!#REF!</f>
        <v>#REF!</v>
      </c>
      <c r="W51" t="e">
        <f>装备!#REF!</f>
        <v>#REF!</v>
      </c>
      <c r="X51" t="e">
        <f t="shared" si="1"/>
        <v>#REF!</v>
      </c>
      <c r="Y51" t="e">
        <f>装备!#REF!</f>
        <v>#REF!</v>
      </c>
      <c r="Z51" t="e">
        <f>装备!#REF!</f>
        <v>#REF!</v>
      </c>
      <c r="AA51" t="e">
        <f>装备!#REF!</f>
        <v>#REF!</v>
      </c>
      <c r="AB51" t="e">
        <f>装备!#REF!</f>
        <v>#REF!</v>
      </c>
      <c r="AC51" t="e">
        <f>装备!#REF!</f>
        <v>#REF!</v>
      </c>
      <c r="AD51" t="e">
        <f>装备!#REF!</f>
        <v>#REF!</v>
      </c>
      <c r="AE51" t="e">
        <f>装备!#REF!</f>
        <v>#REF!</v>
      </c>
      <c r="AF51" t="e">
        <f>装备!#REF!</f>
        <v>#REF!</v>
      </c>
      <c r="AG51" t="e">
        <f>装备!#REF!</f>
        <v>#REF!</v>
      </c>
      <c r="AH51" t="e">
        <f>装备!#REF!</f>
        <v>#REF!</v>
      </c>
      <c r="AI51" t="e">
        <f t="shared" si="2"/>
        <v>#REF!</v>
      </c>
      <c r="AJ51" t="e">
        <f>装备!#REF!</f>
        <v>#REF!</v>
      </c>
      <c r="AK51" t="e">
        <f>装备!#REF!</f>
        <v>#REF!</v>
      </c>
      <c r="AL51" t="e">
        <f>装备!#REF!</f>
        <v>#REF!</v>
      </c>
      <c r="AM51" t="e">
        <f>装备!#REF!</f>
        <v>#REF!</v>
      </c>
      <c r="AN51" t="e">
        <f>装备!#REF!</f>
        <v>#REF!</v>
      </c>
      <c r="AO51" t="e">
        <f>装备!#REF!</f>
        <v>#REF!</v>
      </c>
      <c r="AP51" t="e">
        <f>装备!#REF!</f>
        <v>#REF!</v>
      </c>
      <c r="AQ51" t="e">
        <f>装备!#REF!</f>
        <v>#REF!</v>
      </c>
      <c r="AR51" t="e">
        <f>装备!#REF!</f>
        <v>#REF!</v>
      </c>
      <c r="AS51" t="e">
        <f>装备!#REF!</f>
        <v>#REF!</v>
      </c>
      <c r="AT51" t="e">
        <f t="shared" si="3"/>
        <v>#REF!</v>
      </c>
      <c r="AU51" t="e">
        <f>装备!#REF!</f>
        <v>#REF!</v>
      </c>
      <c r="AV51" t="e">
        <f>装备!#REF!</f>
        <v>#REF!</v>
      </c>
      <c r="AW51" t="e">
        <f>装备!#REF!</f>
        <v>#REF!</v>
      </c>
      <c r="AX51" t="e">
        <f>装备!#REF!</f>
        <v>#REF!</v>
      </c>
      <c r="AY51" t="e">
        <f>装备!#REF!</f>
        <v>#REF!</v>
      </c>
      <c r="AZ51" t="e">
        <f>装备!#REF!</f>
        <v>#REF!</v>
      </c>
      <c r="BA51" t="e">
        <f>装备!#REF!</f>
        <v>#REF!</v>
      </c>
      <c r="BB51" t="e">
        <f>装备!#REF!</f>
        <v>#REF!</v>
      </c>
      <c r="BC51" t="e">
        <f>装备!#REF!</f>
        <v>#REF!</v>
      </c>
      <c r="BD51" t="e">
        <f>装备!#REF!</f>
        <v>#REF!</v>
      </c>
      <c r="BE51" t="e">
        <f t="shared" si="4"/>
        <v>#REF!</v>
      </c>
      <c r="BF51" t="e">
        <f>装备!#REF!</f>
        <v>#REF!</v>
      </c>
      <c r="BG51" t="e">
        <f>装备!#REF!</f>
        <v>#REF!</v>
      </c>
      <c r="BH51" t="e">
        <f>装备!#REF!</f>
        <v>#REF!</v>
      </c>
      <c r="BI51" t="e">
        <f>装备!#REF!</f>
        <v>#REF!</v>
      </c>
      <c r="BJ51" t="e">
        <f>装备!#REF!</f>
        <v>#REF!</v>
      </c>
      <c r="BK51" t="e">
        <f>装备!#REF!</f>
        <v>#REF!</v>
      </c>
      <c r="BL51" t="e">
        <f>装备!#REF!</f>
        <v>#REF!</v>
      </c>
      <c r="BM51" t="e">
        <f>装备!#REF!</f>
        <v>#REF!</v>
      </c>
      <c r="BN51" t="e">
        <f>装备!#REF!</f>
        <v>#REF!</v>
      </c>
      <c r="BO51" t="e">
        <f>装备!#REF!</f>
        <v>#REF!</v>
      </c>
      <c r="BP51" t="e">
        <f t="shared" si="5"/>
        <v>#REF!</v>
      </c>
      <c r="BQ51" t="e">
        <f>装备!#REF!</f>
        <v>#REF!</v>
      </c>
      <c r="BR51" t="e">
        <f>装备!#REF!</f>
        <v>#REF!</v>
      </c>
      <c r="BS51" t="e">
        <f>装备!#REF!</f>
        <v>#REF!</v>
      </c>
      <c r="BT51" t="e">
        <f>装备!#REF!</f>
        <v>#REF!</v>
      </c>
      <c r="BU51" t="e">
        <f>装备!#REF!</f>
        <v>#REF!</v>
      </c>
      <c r="BV51" t="e">
        <f>装备!#REF!</f>
        <v>#REF!</v>
      </c>
      <c r="BW51" t="e">
        <f>装备!#REF!</f>
        <v>#REF!</v>
      </c>
      <c r="BX51" t="e">
        <f>装备!#REF!</f>
        <v>#REF!</v>
      </c>
      <c r="BY51" t="e">
        <f>装备!#REF!</f>
        <v>#REF!</v>
      </c>
      <c r="BZ51" t="e">
        <f>装备!#REF!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装备!#REF!</f>
        <v>#REF!</v>
      </c>
      <c r="B52" t="e">
        <f>装备!#REF!</f>
        <v>#REF!</v>
      </c>
      <c r="C52" t="e">
        <f>装备!#REF!</f>
        <v>#REF!</v>
      </c>
      <c r="D52" t="e">
        <f>装备!#REF!</f>
        <v>#REF!</v>
      </c>
      <c r="E52" t="e">
        <f>装备!#REF!</f>
        <v>#REF!</v>
      </c>
      <c r="F52" t="e">
        <f>装备!#REF!</f>
        <v>#REF!</v>
      </c>
      <c r="G52" t="e">
        <f>装备!#REF!</f>
        <v>#REF!</v>
      </c>
      <c r="H52" t="e">
        <f>装备!#REF!</f>
        <v>#REF!</v>
      </c>
      <c r="I52" t="e">
        <f>装备!#REF!</f>
        <v>#REF!</v>
      </c>
      <c r="J52" t="e">
        <f>装备!#REF!</f>
        <v>#REF!</v>
      </c>
      <c r="K52" t="e">
        <f>装备!#REF!</f>
        <v>#REF!</v>
      </c>
      <c r="L52" t="e">
        <f>装备!#REF!</f>
        <v>#REF!</v>
      </c>
      <c r="M52" t="e">
        <f t="shared" si="0"/>
        <v>#REF!</v>
      </c>
      <c r="N52" t="e">
        <f>装备!#REF!</f>
        <v>#REF!</v>
      </c>
      <c r="O52" t="e">
        <f>装备!#REF!</f>
        <v>#REF!</v>
      </c>
      <c r="P52" t="e">
        <f>装备!#REF!</f>
        <v>#REF!</v>
      </c>
      <c r="Q52" t="e">
        <f>装备!#REF!</f>
        <v>#REF!</v>
      </c>
      <c r="R52" t="e">
        <f>装备!#REF!</f>
        <v>#REF!</v>
      </c>
      <c r="S52" t="e">
        <f>装备!#REF!</f>
        <v>#REF!</v>
      </c>
      <c r="T52" t="e">
        <f>装备!#REF!</f>
        <v>#REF!</v>
      </c>
      <c r="U52" t="e">
        <f>装备!#REF!</f>
        <v>#REF!</v>
      </c>
      <c r="V52" t="e">
        <f>装备!#REF!</f>
        <v>#REF!</v>
      </c>
      <c r="W52" t="e">
        <f>装备!#REF!</f>
        <v>#REF!</v>
      </c>
      <c r="X52" t="e">
        <f t="shared" si="1"/>
        <v>#REF!</v>
      </c>
      <c r="Y52" t="e">
        <f>装备!#REF!</f>
        <v>#REF!</v>
      </c>
      <c r="Z52" t="e">
        <f>装备!#REF!</f>
        <v>#REF!</v>
      </c>
      <c r="AA52" t="e">
        <f>装备!#REF!</f>
        <v>#REF!</v>
      </c>
      <c r="AB52" t="e">
        <f>装备!#REF!</f>
        <v>#REF!</v>
      </c>
      <c r="AC52" t="e">
        <f>装备!#REF!</f>
        <v>#REF!</v>
      </c>
      <c r="AD52" t="e">
        <f>装备!#REF!</f>
        <v>#REF!</v>
      </c>
      <c r="AE52" t="e">
        <f>装备!#REF!</f>
        <v>#REF!</v>
      </c>
      <c r="AF52" t="e">
        <f>装备!#REF!</f>
        <v>#REF!</v>
      </c>
      <c r="AG52" t="e">
        <f>装备!#REF!</f>
        <v>#REF!</v>
      </c>
      <c r="AH52" t="e">
        <f>装备!#REF!</f>
        <v>#REF!</v>
      </c>
      <c r="AI52" t="e">
        <f t="shared" si="2"/>
        <v>#REF!</v>
      </c>
      <c r="AJ52" t="e">
        <f>装备!#REF!</f>
        <v>#REF!</v>
      </c>
      <c r="AK52" t="e">
        <f>装备!#REF!</f>
        <v>#REF!</v>
      </c>
      <c r="AL52" t="e">
        <f>装备!#REF!</f>
        <v>#REF!</v>
      </c>
      <c r="AM52" t="e">
        <f>装备!#REF!</f>
        <v>#REF!</v>
      </c>
      <c r="AN52" t="e">
        <f>装备!#REF!</f>
        <v>#REF!</v>
      </c>
      <c r="AO52" t="e">
        <f>装备!#REF!</f>
        <v>#REF!</v>
      </c>
      <c r="AP52" t="e">
        <f>装备!#REF!</f>
        <v>#REF!</v>
      </c>
      <c r="AQ52" t="e">
        <f>装备!#REF!</f>
        <v>#REF!</v>
      </c>
      <c r="AR52" t="e">
        <f>装备!#REF!</f>
        <v>#REF!</v>
      </c>
      <c r="AS52" t="e">
        <f>装备!#REF!</f>
        <v>#REF!</v>
      </c>
      <c r="AT52" t="e">
        <f t="shared" si="3"/>
        <v>#REF!</v>
      </c>
      <c r="AU52" t="e">
        <f>装备!#REF!</f>
        <v>#REF!</v>
      </c>
      <c r="AV52" t="e">
        <f>装备!#REF!</f>
        <v>#REF!</v>
      </c>
      <c r="AW52" t="e">
        <f>装备!#REF!</f>
        <v>#REF!</v>
      </c>
      <c r="AX52" t="e">
        <f>装备!#REF!</f>
        <v>#REF!</v>
      </c>
      <c r="AY52" t="e">
        <f>装备!#REF!</f>
        <v>#REF!</v>
      </c>
      <c r="AZ52" t="e">
        <f>装备!#REF!</f>
        <v>#REF!</v>
      </c>
      <c r="BA52" t="e">
        <f>装备!#REF!</f>
        <v>#REF!</v>
      </c>
      <c r="BB52" t="e">
        <f>装备!#REF!</f>
        <v>#REF!</v>
      </c>
      <c r="BC52" t="e">
        <f>装备!#REF!</f>
        <v>#REF!</v>
      </c>
      <c r="BD52" t="e">
        <f>装备!#REF!</f>
        <v>#REF!</v>
      </c>
      <c r="BE52" t="e">
        <f t="shared" si="4"/>
        <v>#REF!</v>
      </c>
      <c r="BF52" t="e">
        <f>装备!#REF!</f>
        <v>#REF!</v>
      </c>
      <c r="BG52" t="e">
        <f>装备!#REF!</f>
        <v>#REF!</v>
      </c>
      <c r="BH52" t="e">
        <f>装备!#REF!</f>
        <v>#REF!</v>
      </c>
      <c r="BI52" t="e">
        <f>装备!#REF!</f>
        <v>#REF!</v>
      </c>
      <c r="BJ52" t="e">
        <f>装备!#REF!</f>
        <v>#REF!</v>
      </c>
      <c r="BK52" t="e">
        <f>装备!#REF!</f>
        <v>#REF!</v>
      </c>
      <c r="BL52" t="e">
        <f>装备!#REF!</f>
        <v>#REF!</v>
      </c>
      <c r="BM52" t="e">
        <f>装备!#REF!</f>
        <v>#REF!</v>
      </c>
      <c r="BN52" t="e">
        <f>装备!#REF!</f>
        <v>#REF!</v>
      </c>
      <c r="BO52" t="e">
        <f>装备!#REF!</f>
        <v>#REF!</v>
      </c>
      <c r="BP52" t="e">
        <f t="shared" si="5"/>
        <v>#REF!</v>
      </c>
      <c r="BQ52" t="e">
        <f>装备!#REF!</f>
        <v>#REF!</v>
      </c>
      <c r="BR52" t="e">
        <f>装备!#REF!</f>
        <v>#REF!</v>
      </c>
      <c r="BS52" t="e">
        <f>装备!#REF!</f>
        <v>#REF!</v>
      </c>
      <c r="BT52" t="e">
        <f>装备!#REF!</f>
        <v>#REF!</v>
      </c>
      <c r="BU52" t="e">
        <f>装备!#REF!</f>
        <v>#REF!</v>
      </c>
      <c r="BV52" t="e">
        <f>装备!#REF!</f>
        <v>#REF!</v>
      </c>
      <c r="BW52" t="e">
        <f>装备!#REF!</f>
        <v>#REF!</v>
      </c>
      <c r="BX52" t="e">
        <f>装备!#REF!</f>
        <v>#REF!</v>
      </c>
      <c r="BY52" t="e">
        <f>装备!#REF!</f>
        <v>#REF!</v>
      </c>
      <c r="BZ52" t="e">
        <f>装备!#REF!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装备!#REF!</f>
        <v>#REF!</v>
      </c>
      <c r="B53" t="e">
        <f>装备!#REF!</f>
        <v>#REF!</v>
      </c>
      <c r="C53" t="e">
        <f>装备!#REF!</f>
        <v>#REF!</v>
      </c>
      <c r="D53" t="e">
        <f>装备!#REF!</f>
        <v>#REF!</v>
      </c>
      <c r="E53" t="e">
        <f>装备!#REF!</f>
        <v>#REF!</v>
      </c>
      <c r="F53" t="e">
        <f>装备!#REF!</f>
        <v>#REF!</v>
      </c>
      <c r="G53" t="e">
        <f>装备!#REF!</f>
        <v>#REF!</v>
      </c>
      <c r="H53" t="e">
        <f>装备!#REF!</f>
        <v>#REF!</v>
      </c>
      <c r="I53" t="e">
        <f>装备!#REF!</f>
        <v>#REF!</v>
      </c>
      <c r="J53" t="e">
        <f>装备!#REF!</f>
        <v>#REF!</v>
      </c>
      <c r="K53" t="e">
        <f>装备!#REF!</f>
        <v>#REF!</v>
      </c>
      <c r="L53" t="e">
        <f>装备!#REF!</f>
        <v>#REF!</v>
      </c>
      <c r="M53" t="e">
        <f t="shared" si="0"/>
        <v>#REF!</v>
      </c>
      <c r="N53" t="e">
        <f>装备!#REF!</f>
        <v>#REF!</v>
      </c>
      <c r="O53" t="e">
        <f>装备!#REF!</f>
        <v>#REF!</v>
      </c>
      <c r="P53" t="e">
        <f>装备!#REF!</f>
        <v>#REF!</v>
      </c>
      <c r="Q53" t="e">
        <f>装备!#REF!</f>
        <v>#REF!</v>
      </c>
      <c r="R53" t="e">
        <f>装备!#REF!</f>
        <v>#REF!</v>
      </c>
      <c r="S53" t="e">
        <f>装备!#REF!</f>
        <v>#REF!</v>
      </c>
      <c r="T53" t="e">
        <f>装备!#REF!</f>
        <v>#REF!</v>
      </c>
      <c r="U53" t="e">
        <f>装备!#REF!</f>
        <v>#REF!</v>
      </c>
      <c r="V53" t="e">
        <f>装备!#REF!</f>
        <v>#REF!</v>
      </c>
      <c r="W53" t="e">
        <f>装备!#REF!</f>
        <v>#REF!</v>
      </c>
      <c r="X53" t="e">
        <f t="shared" si="1"/>
        <v>#REF!</v>
      </c>
      <c r="Y53" t="e">
        <f>装备!#REF!</f>
        <v>#REF!</v>
      </c>
      <c r="Z53" t="e">
        <f>装备!#REF!</f>
        <v>#REF!</v>
      </c>
      <c r="AA53" t="e">
        <f>装备!#REF!</f>
        <v>#REF!</v>
      </c>
      <c r="AB53" t="e">
        <f>装备!#REF!</f>
        <v>#REF!</v>
      </c>
      <c r="AC53" t="e">
        <f>装备!#REF!</f>
        <v>#REF!</v>
      </c>
      <c r="AD53" t="e">
        <f>装备!#REF!</f>
        <v>#REF!</v>
      </c>
      <c r="AE53" t="e">
        <f>装备!#REF!</f>
        <v>#REF!</v>
      </c>
      <c r="AF53" t="e">
        <f>装备!#REF!</f>
        <v>#REF!</v>
      </c>
      <c r="AG53" t="e">
        <f>装备!#REF!</f>
        <v>#REF!</v>
      </c>
      <c r="AH53" t="e">
        <f>装备!#REF!</f>
        <v>#REF!</v>
      </c>
      <c r="AI53" t="e">
        <f t="shared" si="2"/>
        <v>#REF!</v>
      </c>
      <c r="AJ53" t="e">
        <f>装备!#REF!</f>
        <v>#REF!</v>
      </c>
      <c r="AK53" t="e">
        <f>装备!#REF!</f>
        <v>#REF!</v>
      </c>
      <c r="AL53" t="e">
        <f>装备!#REF!</f>
        <v>#REF!</v>
      </c>
      <c r="AM53" t="e">
        <f>装备!#REF!</f>
        <v>#REF!</v>
      </c>
      <c r="AN53" t="e">
        <f>装备!#REF!</f>
        <v>#REF!</v>
      </c>
      <c r="AO53" t="e">
        <f>装备!#REF!</f>
        <v>#REF!</v>
      </c>
      <c r="AP53" t="e">
        <f>装备!#REF!</f>
        <v>#REF!</v>
      </c>
      <c r="AQ53" t="e">
        <f>装备!#REF!</f>
        <v>#REF!</v>
      </c>
      <c r="AR53" t="e">
        <f>装备!#REF!</f>
        <v>#REF!</v>
      </c>
      <c r="AS53" t="e">
        <f>装备!#REF!</f>
        <v>#REF!</v>
      </c>
      <c r="AT53" t="e">
        <f t="shared" si="3"/>
        <v>#REF!</v>
      </c>
      <c r="AU53" t="e">
        <f>装备!#REF!</f>
        <v>#REF!</v>
      </c>
      <c r="AV53" t="e">
        <f>装备!#REF!</f>
        <v>#REF!</v>
      </c>
      <c r="AW53" t="e">
        <f>装备!#REF!</f>
        <v>#REF!</v>
      </c>
      <c r="AX53" t="e">
        <f>装备!#REF!</f>
        <v>#REF!</v>
      </c>
      <c r="AY53" t="e">
        <f>装备!#REF!</f>
        <v>#REF!</v>
      </c>
      <c r="AZ53" t="e">
        <f>装备!#REF!</f>
        <v>#REF!</v>
      </c>
      <c r="BA53" t="e">
        <f>装备!#REF!</f>
        <v>#REF!</v>
      </c>
      <c r="BB53" t="e">
        <f>装备!#REF!</f>
        <v>#REF!</v>
      </c>
      <c r="BC53" t="e">
        <f>装备!#REF!</f>
        <v>#REF!</v>
      </c>
      <c r="BD53" t="e">
        <f>装备!#REF!</f>
        <v>#REF!</v>
      </c>
      <c r="BE53" t="e">
        <f t="shared" si="4"/>
        <v>#REF!</v>
      </c>
      <c r="BF53" t="e">
        <f>装备!#REF!</f>
        <v>#REF!</v>
      </c>
      <c r="BG53" t="e">
        <f>装备!#REF!</f>
        <v>#REF!</v>
      </c>
      <c r="BH53" t="e">
        <f>装备!#REF!</f>
        <v>#REF!</v>
      </c>
      <c r="BI53" t="e">
        <f>装备!#REF!</f>
        <v>#REF!</v>
      </c>
      <c r="BJ53" t="e">
        <f>装备!#REF!</f>
        <v>#REF!</v>
      </c>
      <c r="BK53" t="e">
        <f>装备!#REF!</f>
        <v>#REF!</v>
      </c>
      <c r="BL53" t="e">
        <f>装备!#REF!</f>
        <v>#REF!</v>
      </c>
      <c r="BM53" t="e">
        <f>装备!#REF!</f>
        <v>#REF!</v>
      </c>
      <c r="BN53" t="e">
        <f>装备!#REF!</f>
        <v>#REF!</v>
      </c>
      <c r="BO53" t="e">
        <f>装备!#REF!</f>
        <v>#REF!</v>
      </c>
      <c r="BP53" t="e">
        <f t="shared" si="5"/>
        <v>#REF!</v>
      </c>
      <c r="BQ53" t="e">
        <f>装备!#REF!</f>
        <v>#REF!</v>
      </c>
      <c r="BR53" t="e">
        <f>装备!#REF!</f>
        <v>#REF!</v>
      </c>
      <c r="BS53" t="e">
        <f>装备!#REF!</f>
        <v>#REF!</v>
      </c>
      <c r="BT53" t="e">
        <f>装备!#REF!</f>
        <v>#REF!</v>
      </c>
      <c r="BU53" t="e">
        <f>装备!#REF!</f>
        <v>#REF!</v>
      </c>
      <c r="BV53" t="e">
        <f>装备!#REF!</f>
        <v>#REF!</v>
      </c>
      <c r="BW53" t="e">
        <f>装备!#REF!</f>
        <v>#REF!</v>
      </c>
      <c r="BX53" t="e">
        <f>装备!#REF!</f>
        <v>#REF!</v>
      </c>
      <c r="BY53" t="e">
        <f>装备!#REF!</f>
        <v>#REF!</v>
      </c>
      <c r="BZ53" t="e">
        <f>装备!#REF!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装备!#REF!</f>
        <v>#REF!</v>
      </c>
      <c r="B54" t="e">
        <f>装备!#REF!</f>
        <v>#REF!</v>
      </c>
      <c r="C54" t="e">
        <f>装备!#REF!</f>
        <v>#REF!</v>
      </c>
      <c r="D54" t="e">
        <f>装备!#REF!</f>
        <v>#REF!</v>
      </c>
      <c r="E54" t="e">
        <f>装备!#REF!</f>
        <v>#REF!</v>
      </c>
      <c r="F54" t="e">
        <f>装备!#REF!</f>
        <v>#REF!</v>
      </c>
      <c r="G54" t="e">
        <f>装备!#REF!</f>
        <v>#REF!</v>
      </c>
      <c r="H54" t="e">
        <f>装备!#REF!</f>
        <v>#REF!</v>
      </c>
      <c r="I54" t="e">
        <f>装备!#REF!</f>
        <v>#REF!</v>
      </c>
      <c r="J54" t="e">
        <f>装备!#REF!</f>
        <v>#REF!</v>
      </c>
      <c r="K54" t="e">
        <f>装备!#REF!</f>
        <v>#REF!</v>
      </c>
      <c r="L54" t="e">
        <f>装备!#REF!</f>
        <v>#REF!</v>
      </c>
      <c r="M54" t="e">
        <f t="shared" si="0"/>
        <v>#REF!</v>
      </c>
      <c r="N54" t="e">
        <f>装备!#REF!</f>
        <v>#REF!</v>
      </c>
      <c r="O54" t="e">
        <f>装备!#REF!</f>
        <v>#REF!</v>
      </c>
      <c r="P54" t="e">
        <f>装备!#REF!</f>
        <v>#REF!</v>
      </c>
      <c r="Q54" t="e">
        <f>装备!#REF!</f>
        <v>#REF!</v>
      </c>
      <c r="R54" t="e">
        <f>装备!#REF!</f>
        <v>#REF!</v>
      </c>
      <c r="S54" t="e">
        <f>装备!#REF!</f>
        <v>#REF!</v>
      </c>
      <c r="T54" t="e">
        <f>装备!#REF!</f>
        <v>#REF!</v>
      </c>
      <c r="U54" t="e">
        <f>装备!#REF!</f>
        <v>#REF!</v>
      </c>
      <c r="V54" t="e">
        <f>装备!#REF!</f>
        <v>#REF!</v>
      </c>
      <c r="W54" t="e">
        <f>装备!#REF!</f>
        <v>#REF!</v>
      </c>
      <c r="X54" t="e">
        <f t="shared" si="1"/>
        <v>#REF!</v>
      </c>
      <c r="Y54" t="e">
        <f>装备!#REF!</f>
        <v>#REF!</v>
      </c>
      <c r="Z54" t="e">
        <f>装备!#REF!</f>
        <v>#REF!</v>
      </c>
      <c r="AA54" t="e">
        <f>装备!#REF!</f>
        <v>#REF!</v>
      </c>
      <c r="AB54" t="e">
        <f>装备!#REF!</f>
        <v>#REF!</v>
      </c>
      <c r="AC54" t="e">
        <f>装备!#REF!</f>
        <v>#REF!</v>
      </c>
      <c r="AD54" t="e">
        <f>装备!#REF!</f>
        <v>#REF!</v>
      </c>
      <c r="AE54" t="e">
        <f>装备!#REF!</f>
        <v>#REF!</v>
      </c>
      <c r="AF54" t="e">
        <f>装备!#REF!</f>
        <v>#REF!</v>
      </c>
      <c r="AG54" t="e">
        <f>装备!#REF!</f>
        <v>#REF!</v>
      </c>
      <c r="AH54" t="e">
        <f>装备!#REF!</f>
        <v>#REF!</v>
      </c>
      <c r="AI54" t="e">
        <f t="shared" si="2"/>
        <v>#REF!</v>
      </c>
      <c r="AJ54" t="e">
        <f>装备!#REF!</f>
        <v>#REF!</v>
      </c>
      <c r="AK54" t="e">
        <f>装备!#REF!</f>
        <v>#REF!</v>
      </c>
      <c r="AL54" t="e">
        <f>装备!#REF!</f>
        <v>#REF!</v>
      </c>
      <c r="AM54" t="e">
        <f>装备!#REF!</f>
        <v>#REF!</v>
      </c>
      <c r="AN54" t="e">
        <f>装备!#REF!</f>
        <v>#REF!</v>
      </c>
      <c r="AO54" t="e">
        <f>装备!#REF!</f>
        <v>#REF!</v>
      </c>
      <c r="AP54" t="e">
        <f>装备!#REF!</f>
        <v>#REF!</v>
      </c>
      <c r="AQ54" t="e">
        <f>装备!#REF!</f>
        <v>#REF!</v>
      </c>
      <c r="AR54" t="e">
        <f>装备!#REF!</f>
        <v>#REF!</v>
      </c>
      <c r="AS54" t="e">
        <f>装备!#REF!</f>
        <v>#REF!</v>
      </c>
      <c r="AT54" t="e">
        <f t="shared" si="3"/>
        <v>#REF!</v>
      </c>
      <c r="AU54" t="e">
        <f>装备!#REF!</f>
        <v>#REF!</v>
      </c>
      <c r="AV54" t="e">
        <f>装备!#REF!</f>
        <v>#REF!</v>
      </c>
      <c r="AW54" t="e">
        <f>装备!#REF!</f>
        <v>#REF!</v>
      </c>
      <c r="AX54" t="e">
        <f>装备!#REF!</f>
        <v>#REF!</v>
      </c>
      <c r="AY54" t="e">
        <f>装备!#REF!</f>
        <v>#REF!</v>
      </c>
      <c r="AZ54" t="e">
        <f>装备!#REF!</f>
        <v>#REF!</v>
      </c>
      <c r="BA54" t="e">
        <f>装备!#REF!</f>
        <v>#REF!</v>
      </c>
      <c r="BB54" t="e">
        <f>装备!#REF!</f>
        <v>#REF!</v>
      </c>
      <c r="BC54" t="e">
        <f>装备!#REF!</f>
        <v>#REF!</v>
      </c>
      <c r="BD54" t="e">
        <f>装备!#REF!</f>
        <v>#REF!</v>
      </c>
      <c r="BE54" t="e">
        <f t="shared" si="4"/>
        <v>#REF!</v>
      </c>
      <c r="BF54" t="e">
        <f>装备!#REF!</f>
        <v>#REF!</v>
      </c>
      <c r="BG54" t="e">
        <f>装备!#REF!</f>
        <v>#REF!</v>
      </c>
      <c r="BH54" t="e">
        <f>装备!#REF!</f>
        <v>#REF!</v>
      </c>
      <c r="BI54" t="e">
        <f>装备!#REF!</f>
        <v>#REF!</v>
      </c>
      <c r="BJ54" t="e">
        <f>装备!#REF!</f>
        <v>#REF!</v>
      </c>
      <c r="BK54" t="e">
        <f>装备!#REF!</f>
        <v>#REF!</v>
      </c>
      <c r="BL54" t="e">
        <f>装备!#REF!</f>
        <v>#REF!</v>
      </c>
      <c r="BM54" t="e">
        <f>装备!#REF!</f>
        <v>#REF!</v>
      </c>
      <c r="BN54" t="e">
        <f>装备!#REF!</f>
        <v>#REF!</v>
      </c>
      <c r="BO54" t="e">
        <f>装备!#REF!</f>
        <v>#REF!</v>
      </c>
      <c r="BP54" t="e">
        <f t="shared" si="5"/>
        <v>#REF!</v>
      </c>
      <c r="BQ54" t="e">
        <f>装备!#REF!</f>
        <v>#REF!</v>
      </c>
      <c r="BR54" t="e">
        <f>装备!#REF!</f>
        <v>#REF!</v>
      </c>
      <c r="BS54" t="e">
        <f>装备!#REF!</f>
        <v>#REF!</v>
      </c>
      <c r="BT54" t="e">
        <f>装备!#REF!</f>
        <v>#REF!</v>
      </c>
      <c r="BU54" t="e">
        <f>装备!#REF!</f>
        <v>#REF!</v>
      </c>
      <c r="BV54" t="e">
        <f>装备!#REF!</f>
        <v>#REF!</v>
      </c>
      <c r="BW54" t="e">
        <f>装备!#REF!</f>
        <v>#REF!</v>
      </c>
      <c r="BX54" t="e">
        <f>装备!#REF!</f>
        <v>#REF!</v>
      </c>
      <c r="BY54" t="e">
        <f>装备!#REF!</f>
        <v>#REF!</v>
      </c>
      <c r="BZ54" t="e">
        <f>装备!#REF!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装备!#REF!</f>
        <v>#REF!</v>
      </c>
      <c r="B55" t="e">
        <f>装备!#REF!</f>
        <v>#REF!</v>
      </c>
      <c r="C55" t="e">
        <f>装备!#REF!</f>
        <v>#REF!</v>
      </c>
      <c r="D55" t="e">
        <f>装备!#REF!</f>
        <v>#REF!</v>
      </c>
      <c r="E55" t="e">
        <f>装备!#REF!</f>
        <v>#REF!</v>
      </c>
      <c r="F55" t="e">
        <f>装备!#REF!</f>
        <v>#REF!</v>
      </c>
      <c r="G55" t="e">
        <f>装备!#REF!</f>
        <v>#REF!</v>
      </c>
      <c r="H55" t="e">
        <f>装备!#REF!</f>
        <v>#REF!</v>
      </c>
      <c r="I55" t="e">
        <f>装备!#REF!</f>
        <v>#REF!</v>
      </c>
      <c r="J55" t="e">
        <f>装备!#REF!</f>
        <v>#REF!</v>
      </c>
      <c r="K55" t="e">
        <f>装备!#REF!</f>
        <v>#REF!</v>
      </c>
      <c r="L55" t="e">
        <f>装备!#REF!</f>
        <v>#REF!</v>
      </c>
      <c r="M55" t="e">
        <f t="shared" si="0"/>
        <v>#REF!</v>
      </c>
      <c r="N55" t="e">
        <f>装备!#REF!</f>
        <v>#REF!</v>
      </c>
      <c r="O55" t="e">
        <f>装备!#REF!</f>
        <v>#REF!</v>
      </c>
      <c r="P55" t="e">
        <f>装备!#REF!</f>
        <v>#REF!</v>
      </c>
      <c r="Q55" t="e">
        <f>装备!#REF!</f>
        <v>#REF!</v>
      </c>
      <c r="R55" t="e">
        <f>装备!#REF!</f>
        <v>#REF!</v>
      </c>
      <c r="S55" t="e">
        <f>装备!#REF!</f>
        <v>#REF!</v>
      </c>
      <c r="T55" t="e">
        <f>装备!#REF!</f>
        <v>#REF!</v>
      </c>
      <c r="U55" t="e">
        <f>装备!#REF!</f>
        <v>#REF!</v>
      </c>
      <c r="V55" t="e">
        <f>装备!#REF!</f>
        <v>#REF!</v>
      </c>
      <c r="W55" t="e">
        <f>装备!#REF!</f>
        <v>#REF!</v>
      </c>
      <c r="X55" t="e">
        <f t="shared" si="1"/>
        <v>#REF!</v>
      </c>
      <c r="Y55" t="e">
        <f>装备!#REF!</f>
        <v>#REF!</v>
      </c>
      <c r="Z55" t="e">
        <f>装备!#REF!</f>
        <v>#REF!</v>
      </c>
      <c r="AA55" t="e">
        <f>装备!#REF!</f>
        <v>#REF!</v>
      </c>
      <c r="AB55" t="e">
        <f>装备!#REF!</f>
        <v>#REF!</v>
      </c>
      <c r="AC55" t="e">
        <f>装备!#REF!</f>
        <v>#REF!</v>
      </c>
      <c r="AD55" t="e">
        <f>装备!#REF!</f>
        <v>#REF!</v>
      </c>
      <c r="AE55" t="e">
        <f>装备!#REF!</f>
        <v>#REF!</v>
      </c>
      <c r="AF55" t="e">
        <f>装备!#REF!</f>
        <v>#REF!</v>
      </c>
      <c r="AG55" t="e">
        <f>装备!#REF!</f>
        <v>#REF!</v>
      </c>
      <c r="AH55" t="e">
        <f>装备!#REF!</f>
        <v>#REF!</v>
      </c>
      <c r="AI55" t="e">
        <f t="shared" si="2"/>
        <v>#REF!</v>
      </c>
      <c r="AJ55" t="e">
        <f>装备!#REF!</f>
        <v>#REF!</v>
      </c>
      <c r="AK55" t="e">
        <f>装备!#REF!</f>
        <v>#REF!</v>
      </c>
      <c r="AL55" t="e">
        <f>装备!#REF!</f>
        <v>#REF!</v>
      </c>
      <c r="AM55" t="e">
        <f>装备!#REF!</f>
        <v>#REF!</v>
      </c>
      <c r="AN55" t="e">
        <f>装备!#REF!</f>
        <v>#REF!</v>
      </c>
      <c r="AO55" t="e">
        <f>装备!#REF!</f>
        <v>#REF!</v>
      </c>
      <c r="AP55" t="e">
        <f>装备!#REF!</f>
        <v>#REF!</v>
      </c>
      <c r="AQ55" t="e">
        <f>装备!#REF!</f>
        <v>#REF!</v>
      </c>
      <c r="AR55" t="e">
        <f>装备!#REF!</f>
        <v>#REF!</v>
      </c>
      <c r="AS55" t="e">
        <f>装备!#REF!</f>
        <v>#REF!</v>
      </c>
      <c r="AT55" t="e">
        <f t="shared" si="3"/>
        <v>#REF!</v>
      </c>
      <c r="AU55" t="e">
        <f>装备!#REF!</f>
        <v>#REF!</v>
      </c>
      <c r="AV55" t="e">
        <f>装备!#REF!</f>
        <v>#REF!</v>
      </c>
      <c r="AW55" t="e">
        <f>装备!#REF!</f>
        <v>#REF!</v>
      </c>
      <c r="AX55" t="e">
        <f>装备!#REF!</f>
        <v>#REF!</v>
      </c>
      <c r="AY55" t="e">
        <f>装备!#REF!</f>
        <v>#REF!</v>
      </c>
      <c r="AZ55" t="e">
        <f>装备!#REF!</f>
        <v>#REF!</v>
      </c>
      <c r="BA55" t="e">
        <f>装备!#REF!</f>
        <v>#REF!</v>
      </c>
      <c r="BB55" t="e">
        <f>装备!#REF!</f>
        <v>#REF!</v>
      </c>
      <c r="BC55" t="e">
        <f>装备!#REF!</f>
        <v>#REF!</v>
      </c>
      <c r="BD55" t="e">
        <f>装备!#REF!</f>
        <v>#REF!</v>
      </c>
      <c r="BE55" t="e">
        <f t="shared" si="4"/>
        <v>#REF!</v>
      </c>
      <c r="BF55" t="e">
        <f>装备!#REF!</f>
        <v>#REF!</v>
      </c>
      <c r="BG55" t="e">
        <f>装备!#REF!</f>
        <v>#REF!</v>
      </c>
      <c r="BH55" t="e">
        <f>装备!#REF!</f>
        <v>#REF!</v>
      </c>
      <c r="BI55" t="e">
        <f>装备!#REF!</f>
        <v>#REF!</v>
      </c>
      <c r="BJ55" t="e">
        <f>装备!#REF!</f>
        <v>#REF!</v>
      </c>
      <c r="BK55" t="e">
        <f>装备!#REF!</f>
        <v>#REF!</v>
      </c>
      <c r="BL55" t="e">
        <f>装备!#REF!</f>
        <v>#REF!</v>
      </c>
      <c r="BM55" t="e">
        <f>装备!#REF!</f>
        <v>#REF!</v>
      </c>
      <c r="BN55" t="e">
        <f>装备!#REF!</f>
        <v>#REF!</v>
      </c>
      <c r="BO55" t="e">
        <f>装备!#REF!</f>
        <v>#REF!</v>
      </c>
      <c r="BP55" t="e">
        <f t="shared" si="5"/>
        <v>#REF!</v>
      </c>
      <c r="BQ55" t="e">
        <f>装备!#REF!</f>
        <v>#REF!</v>
      </c>
      <c r="BR55" t="e">
        <f>装备!#REF!</f>
        <v>#REF!</v>
      </c>
      <c r="BS55" t="e">
        <f>装备!#REF!</f>
        <v>#REF!</v>
      </c>
      <c r="BT55" t="e">
        <f>装备!#REF!</f>
        <v>#REF!</v>
      </c>
      <c r="BU55" t="e">
        <f>装备!#REF!</f>
        <v>#REF!</v>
      </c>
      <c r="BV55" t="e">
        <f>装备!#REF!</f>
        <v>#REF!</v>
      </c>
      <c r="BW55" t="e">
        <f>装备!#REF!</f>
        <v>#REF!</v>
      </c>
      <c r="BX55" t="e">
        <f>装备!#REF!</f>
        <v>#REF!</v>
      </c>
      <c r="BY55" t="e">
        <f>装备!#REF!</f>
        <v>#REF!</v>
      </c>
      <c r="BZ55" t="e">
        <f>装备!#REF!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装备!#REF!</f>
        <v>#REF!</v>
      </c>
      <c r="B56" t="e">
        <f>装备!#REF!</f>
        <v>#REF!</v>
      </c>
      <c r="C56" t="e">
        <f>装备!#REF!</f>
        <v>#REF!</v>
      </c>
      <c r="D56" t="e">
        <f>装备!#REF!</f>
        <v>#REF!</v>
      </c>
      <c r="E56" t="e">
        <f>装备!#REF!</f>
        <v>#REF!</v>
      </c>
      <c r="F56" t="e">
        <f>装备!#REF!</f>
        <v>#REF!</v>
      </c>
      <c r="G56" t="e">
        <f>装备!#REF!</f>
        <v>#REF!</v>
      </c>
      <c r="H56" t="e">
        <f>装备!#REF!</f>
        <v>#REF!</v>
      </c>
      <c r="I56" t="e">
        <f>装备!#REF!</f>
        <v>#REF!</v>
      </c>
      <c r="J56" t="e">
        <f>装备!#REF!</f>
        <v>#REF!</v>
      </c>
      <c r="K56" t="e">
        <f>装备!#REF!</f>
        <v>#REF!</v>
      </c>
      <c r="L56" t="e">
        <f>装备!#REF!</f>
        <v>#REF!</v>
      </c>
      <c r="M56" t="e">
        <f t="shared" si="0"/>
        <v>#REF!</v>
      </c>
      <c r="N56" t="e">
        <f>装备!#REF!</f>
        <v>#REF!</v>
      </c>
      <c r="O56" t="e">
        <f>装备!#REF!</f>
        <v>#REF!</v>
      </c>
      <c r="P56" t="e">
        <f>装备!#REF!</f>
        <v>#REF!</v>
      </c>
      <c r="Q56" t="e">
        <f>装备!#REF!</f>
        <v>#REF!</v>
      </c>
      <c r="R56" t="e">
        <f>装备!#REF!</f>
        <v>#REF!</v>
      </c>
      <c r="S56" t="e">
        <f>装备!#REF!</f>
        <v>#REF!</v>
      </c>
      <c r="T56" t="e">
        <f>装备!#REF!</f>
        <v>#REF!</v>
      </c>
      <c r="U56" t="e">
        <f>装备!#REF!</f>
        <v>#REF!</v>
      </c>
      <c r="V56" t="e">
        <f>装备!#REF!</f>
        <v>#REF!</v>
      </c>
      <c r="W56" t="e">
        <f>装备!#REF!</f>
        <v>#REF!</v>
      </c>
      <c r="X56" t="e">
        <f t="shared" si="1"/>
        <v>#REF!</v>
      </c>
      <c r="Y56" t="e">
        <f>装备!#REF!</f>
        <v>#REF!</v>
      </c>
      <c r="Z56" t="e">
        <f>装备!#REF!</f>
        <v>#REF!</v>
      </c>
      <c r="AA56" t="e">
        <f>装备!#REF!</f>
        <v>#REF!</v>
      </c>
      <c r="AB56" t="e">
        <f>装备!#REF!</f>
        <v>#REF!</v>
      </c>
      <c r="AC56" t="e">
        <f>装备!#REF!</f>
        <v>#REF!</v>
      </c>
      <c r="AD56" t="e">
        <f>装备!#REF!</f>
        <v>#REF!</v>
      </c>
      <c r="AE56" t="e">
        <f>装备!#REF!</f>
        <v>#REF!</v>
      </c>
      <c r="AF56" t="e">
        <f>装备!#REF!</f>
        <v>#REF!</v>
      </c>
      <c r="AG56" t="e">
        <f>装备!#REF!</f>
        <v>#REF!</v>
      </c>
      <c r="AH56" t="e">
        <f>装备!#REF!</f>
        <v>#REF!</v>
      </c>
      <c r="AI56" t="e">
        <f t="shared" si="2"/>
        <v>#REF!</v>
      </c>
      <c r="AJ56" t="e">
        <f>装备!#REF!</f>
        <v>#REF!</v>
      </c>
      <c r="AK56" t="e">
        <f>装备!#REF!</f>
        <v>#REF!</v>
      </c>
      <c r="AL56" t="e">
        <f>装备!#REF!</f>
        <v>#REF!</v>
      </c>
      <c r="AM56" t="e">
        <f>装备!#REF!</f>
        <v>#REF!</v>
      </c>
      <c r="AN56" t="e">
        <f>装备!#REF!</f>
        <v>#REF!</v>
      </c>
      <c r="AO56" t="e">
        <f>装备!#REF!</f>
        <v>#REF!</v>
      </c>
      <c r="AP56" t="e">
        <f>装备!#REF!</f>
        <v>#REF!</v>
      </c>
      <c r="AQ56" t="e">
        <f>装备!#REF!</f>
        <v>#REF!</v>
      </c>
      <c r="AR56" t="e">
        <f>装备!#REF!</f>
        <v>#REF!</v>
      </c>
      <c r="AS56" t="e">
        <f>装备!#REF!</f>
        <v>#REF!</v>
      </c>
      <c r="AT56" t="e">
        <f t="shared" si="3"/>
        <v>#REF!</v>
      </c>
      <c r="AU56" t="e">
        <f>装备!#REF!</f>
        <v>#REF!</v>
      </c>
      <c r="AV56" t="e">
        <f>装备!#REF!</f>
        <v>#REF!</v>
      </c>
      <c r="AW56" t="e">
        <f>装备!#REF!</f>
        <v>#REF!</v>
      </c>
      <c r="AX56" t="e">
        <f>装备!#REF!</f>
        <v>#REF!</v>
      </c>
      <c r="AY56" t="e">
        <f>装备!#REF!</f>
        <v>#REF!</v>
      </c>
      <c r="AZ56" t="e">
        <f>装备!#REF!</f>
        <v>#REF!</v>
      </c>
      <c r="BA56" t="e">
        <f>装备!#REF!</f>
        <v>#REF!</v>
      </c>
      <c r="BB56" t="e">
        <f>装备!#REF!</f>
        <v>#REF!</v>
      </c>
      <c r="BC56" t="e">
        <f>装备!#REF!</f>
        <v>#REF!</v>
      </c>
      <c r="BD56" t="e">
        <f>装备!#REF!</f>
        <v>#REF!</v>
      </c>
      <c r="BE56" t="e">
        <f t="shared" si="4"/>
        <v>#REF!</v>
      </c>
      <c r="BF56" t="e">
        <f>装备!#REF!</f>
        <v>#REF!</v>
      </c>
      <c r="BG56" t="e">
        <f>装备!#REF!</f>
        <v>#REF!</v>
      </c>
      <c r="BH56" t="e">
        <f>装备!#REF!</f>
        <v>#REF!</v>
      </c>
      <c r="BI56" t="e">
        <f>装备!#REF!</f>
        <v>#REF!</v>
      </c>
      <c r="BJ56" t="e">
        <f>装备!#REF!</f>
        <v>#REF!</v>
      </c>
      <c r="BK56" t="e">
        <f>装备!#REF!</f>
        <v>#REF!</v>
      </c>
      <c r="BL56" t="e">
        <f>装备!#REF!</f>
        <v>#REF!</v>
      </c>
      <c r="BM56" t="e">
        <f>装备!#REF!</f>
        <v>#REF!</v>
      </c>
      <c r="BN56" t="e">
        <f>装备!#REF!</f>
        <v>#REF!</v>
      </c>
      <c r="BO56" t="e">
        <f>装备!#REF!</f>
        <v>#REF!</v>
      </c>
      <c r="BP56" t="e">
        <f t="shared" si="5"/>
        <v>#REF!</v>
      </c>
      <c r="BQ56" t="e">
        <f>装备!#REF!</f>
        <v>#REF!</v>
      </c>
      <c r="BR56" t="e">
        <f>装备!#REF!</f>
        <v>#REF!</v>
      </c>
      <c r="BS56" t="e">
        <f>装备!#REF!</f>
        <v>#REF!</v>
      </c>
      <c r="BT56" t="e">
        <f>装备!#REF!</f>
        <v>#REF!</v>
      </c>
      <c r="BU56" t="e">
        <f>装备!#REF!</f>
        <v>#REF!</v>
      </c>
      <c r="BV56" t="e">
        <f>装备!#REF!</f>
        <v>#REF!</v>
      </c>
      <c r="BW56" t="e">
        <f>装备!#REF!</f>
        <v>#REF!</v>
      </c>
      <c r="BX56" t="e">
        <f>装备!#REF!</f>
        <v>#REF!</v>
      </c>
      <c r="BY56" t="e">
        <f>装备!#REF!</f>
        <v>#REF!</v>
      </c>
      <c r="BZ56" t="e">
        <f>装备!#REF!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装备!#REF!</f>
        <v>#REF!</v>
      </c>
      <c r="B57" t="e">
        <f>装备!#REF!</f>
        <v>#REF!</v>
      </c>
      <c r="C57" t="e">
        <f>装备!#REF!</f>
        <v>#REF!</v>
      </c>
      <c r="D57" t="e">
        <f>装备!#REF!</f>
        <v>#REF!</v>
      </c>
      <c r="E57" t="e">
        <f>装备!#REF!</f>
        <v>#REF!</v>
      </c>
      <c r="F57" t="e">
        <f>装备!#REF!</f>
        <v>#REF!</v>
      </c>
      <c r="G57" t="e">
        <f>装备!#REF!</f>
        <v>#REF!</v>
      </c>
      <c r="H57" t="e">
        <f>装备!#REF!</f>
        <v>#REF!</v>
      </c>
      <c r="I57" t="e">
        <f>装备!#REF!</f>
        <v>#REF!</v>
      </c>
      <c r="J57" t="e">
        <f>装备!#REF!</f>
        <v>#REF!</v>
      </c>
      <c r="K57" t="e">
        <f>装备!#REF!</f>
        <v>#REF!</v>
      </c>
      <c r="L57" t="e">
        <f>装备!#REF!</f>
        <v>#REF!</v>
      </c>
      <c r="M57" t="e">
        <f t="shared" si="0"/>
        <v>#REF!</v>
      </c>
      <c r="N57" t="e">
        <f>装备!#REF!</f>
        <v>#REF!</v>
      </c>
      <c r="O57" t="e">
        <f>装备!#REF!</f>
        <v>#REF!</v>
      </c>
      <c r="P57" t="e">
        <f>装备!#REF!</f>
        <v>#REF!</v>
      </c>
      <c r="Q57" t="e">
        <f>装备!#REF!</f>
        <v>#REF!</v>
      </c>
      <c r="R57" t="e">
        <f>装备!#REF!</f>
        <v>#REF!</v>
      </c>
      <c r="S57" t="e">
        <f>装备!#REF!</f>
        <v>#REF!</v>
      </c>
      <c r="T57" t="e">
        <f>装备!#REF!</f>
        <v>#REF!</v>
      </c>
      <c r="U57" t="e">
        <f>装备!#REF!</f>
        <v>#REF!</v>
      </c>
      <c r="V57" t="e">
        <f>装备!#REF!</f>
        <v>#REF!</v>
      </c>
      <c r="W57" t="e">
        <f>装备!#REF!</f>
        <v>#REF!</v>
      </c>
      <c r="X57" t="e">
        <f t="shared" si="1"/>
        <v>#REF!</v>
      </c>
      <c r="Y57" t="e">
        <f>装备!#REF!</f>
        <v>#REF!</v>
      </c>
      <c r="Z57" t="e">
        <f>装备!#REF!</f>
        <v>#REF!</v>
      </c>
      <c r="AA57" t="e">
        <f>装备!#REF!</f>
        <v>#REF!</v>
      </c>
      <c r="AB57" t="e">
        <f>装备!#REF!</f>
        <v>#REF!</v>
      </c>
      <c r="AC57" t="e">
        <f>装备!#REF!</f>
        <v>#REF!</v>
      </c>
      <c r="AD57" t="e">
        <f>装备!#REF!</f>
        <v>#REF!</v>
      </c>
      <c r="AE57" t="e">
        <f>装备!#REF!</f>
        <v>#REF!</v>
      </c>
      <c r="AF57" t="e">
        <f>装备!#REF!</f>
        <v>#REF!</v>
      </c>
      <c r="AG57" t="e">
        <f>装备!#REF!</f>
        <v>#REF!</v>
      </c>
      <c r="AH57" t="e">
        <f>装备!#REF!</f>
        <v>#REF!</v>
      </c>
      <c r="AI57" t="e">
        <f t="shared" si="2"/>
        <v>#REF!</v>
      </c>
      <c r="AJ57" t="e">
        <f>装备!#REF!</f>
        <v>#REF!</v>
      </c>
      <c r="AK57" t="e">
        <f>装备!#REF!</f>
        <v>#REF!</v>
      </c>
      <c r="AL57" t="e">
        <f>装备!#REF!</f>
        <v>#REF!</v>
      </c>
      <c r="AM57" t="e">
        <f>装备!#REF!</f>
        <v>#REF!</v>
      </c>
      <c r="AN57" t="e">
        <f>装备!#REF!</f>
        <v>#REF!</v>
      </c>
      <c r="AO57" t="e">
        <f>装备!#REF!</f>
        <v>#REF!</v>
      </c>
      <c r="AP57" t="e">
        <f>装备!#REF!</f>
        <v>#REF!</v>
      </c>
      <c r="AQ57" t="e">
        <f>装备!#REF!</f>
        <v>#REF!</v>
      </c>
      <c r="AR57" t="e">
        <f>装备!#REF!</f>
        <v>#REF!</v>
      </c>
      <c r="AS57" t="e">
        <f>装备!#REF!</f>
        <v>#REF!</v>
      </c>
      <c r="AT57" t="e">
        <f t="shared" si="3"/>
        <v>#REF!</v>
      </c>
      <c r="AU57" t="e">
        <f>装备!#REF!</f>
        <v>#REF!</v>
      </c>
      <c r="AV57" t="e">
        <f>装备!#REF!</f>
        <v>#REF!</v>
      </c>
      <c r="AW57" t="e">
        <f>装备!#REF!</f>
        <v>#REF!</v>
      </c>
      <c r="AX57" t="e">
        <f>装备!#REF!</f>
        <v>#REF!</v>
      </c>
      <c r="AY57" t="e">
        <f>装备!#REF!</f>
        <v>#REF!</v>
      </c>
      <c r="AZ57" t="e">
        <f>装备!#REF!</f>
        <v>#REF!</v>
      </c>
      <c r="BA57" t="e">
        <f>装备!#REF!</f>
        <v>#REF!</v>
      </c>
      <c r="BB57" t="e">
        <f>装备!#REF!</f>
        <v>#REF!</v>
      </c>
      <c r="BC57" t="e">
        <f>装备!#REF!</f>
        <v>#REF!</v>
      </c>
      <c r="BD57" t="e">
        <f>装备!#REF!</f>
        <v>#REF!</v>
      </c>
      <c r="BE57" t="e">
        <f t="shared" si="4"/>
        <v>#REF!</v>
      </c>
      <c r="BF57" t="e">
        <f>装备!#REF!</f>
        <v>#REF!</v>
      </c>
      <c r="BG57" t="e">
        <f>装备!#REF!</f>
        <v>#REF!</v>
      </c>
      <c r="BH57" t="e">
        <f>装备!#REF!</f>
        <v>#REF!</v>
      </c>
      <c r="BI57" t="e">
        <f>装备!#REF!</f>
        <v>#REF!</v>
      </c>
      <c r="BJ57" t="e">
        <f>装备!#REF!</f>
        <v>#REF!</v>
      </c>
      <c r="BK57" t="e">
        <f>装备!#REF!</f>
        <v>#REF!</v>
      </c>
      <c r="BL57" t="e">
        <f>装备!#REF!</f>
        <v>#REF!</v>
      </c>
      <c r="BM57" t="e">
        <f>装备!#REF!</f>
        <v>#REF!</v>
      </c>
      <c r="BN57" t="e">
        <f>装备!#REF!</f>
        <v>#REF!</v>
      </c>
      <c r="BO57" t="e">
        <f>装备!#REF!</f>
        <v>#REF!</v>
      </c>
      <c r="BP57" t="e">
        <f t="shared" si="5"/>
        <v>#REF!</v>
      </c>
      <c r="BQ57" t="e">
        <f>装备!#REF!</f>
        <v>#REF!</v>
      </c>
      <c r="BR57" t="e">
        <f>装备!#REF!</f>
        <v>#REF!</v>
      </c>
      <c r="BS57" t="e">
        <f>装备!#REF!</f>
        <v>#REF!</v>
      </c>
      <c r="BT57" t="e">
        <f>装备!#REF!</f>
        <v>#REF!</v>
      </c>
      <c r="BU57" t="e">
        <f>装备!#REF!</f>
        <v>#REF!</v>
      </c>
      <c r="BV57" t="e">
        <f>装备!#REF!</f>
        <v>#REF!</v>
      </c>
      <c r="BW57" t="e">
        <f>装备!#REF!</f>
        <v>#REF!</v>
      </c>
      <c r="BX57" t="e">
        <f>装备!#REF!</f>
        <v>#REF!</v>
      </c>
      <c r="BY57" t="e">
        <f>装备!#REF!</f>
        <v>#REF!</v>
      </c>
      <c r="BZ57" t="e">
        <f>装备!#REF!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装备!#REF!</f>
        <v>#REF!</v>
      </c>
      <c r="B58" t="e">
        <f>装备!#REF!</f>
        <v>#REF!</v>
      </c>
      <c r="C58" t="e">
        <f>装备!#REF!</f>
        <v>#REF!</v>
      </c>
      <c r="D58" t="e">
        <f>装备!#REF!</f>
        <v>#REF!</v>
      </c>
      <c r="E58" t="e">
        <f>装备!#REF!</f>
        <v>#REF!</v>
      </c>
      <c r="F58" t="e">
        <f>装备!#REF!</f>
        <v>#REF!</v>
      </c>
      <c r="G58" t="e">
        <f>装备!#REF!</f>
        <v>#REF!</v>
      </c>
      <c r="H58" t="e">
        <f>装备!#REF!</f>
        <v>#REF!</v>
      </c>
      <c r="I58" t="e">
        <f>装备!#REF!</f>
        <v>#REF!</v>
      </c>
      <c r="J58" t="e">
        <f>装备!#REF!</f>
        <v>#REF!</v>
      </c>
      <c r="K58" t="e">
        <f>装备!#REF!</f>
        <v>#REF!</v>
      </c>
      <c r="L58" t="e">
        <f>装备!#REF!</f>
        <v>#REF!</v>
      </c>
      <c r="M58" t="e">
        <f t="shared" si="0"/>
        <v>#REF!</v>
      </c>
      <c r="N58" t="e">
        <f>装备!#REF!</f>
        <v>#REF!</v>
      </c>
      <c r="O58" t="e">
        <f>装备!#REF!</f>
        <v>#REF!</v>
      </c>
      <c r="P58" t="e">
        <f>装备!#REF!</f>
        <v>#REF!</v>
      </c>
      <c r="Q58" t="e">
        <f>装备!#REF!</f>
        <v>#REF!</v>
      </c>
      <c r="R58" t="e">
        <f>装备!#REF!</f>
        <v>#REF!</v>
      </c>
      <c r="S58" t="e">
        <f>装备!#REF!</f>
        <v>#REF!</v>
      </c>
      <c r="T58" t="e">
        <f>装备!#REF!</f>
        <v>#REF!</v>
      </c>
      <c r="U58" t="e">
        <f>装备!#REF!</f>
        <v>#REF!</v>
      </c>
      <c r="V58" t="e">
        <f>装备!#REF!</f>
        <v>#REF!</v>
      </c>
      <c r="W58" t="e">
        <f>装备!#REF!</f>
        <v>#REF!</v>
      </c>
      <c r="X58" t="e">
        <f t="shared" si="1"/>
        <v>#REF!</v>
      </c>
      <c r="Y58" t="e">
        <f>装备!#REF!</f>
        <v>#REF!</v>
      </c>
      <c r="Z58" t="e">
        <f>装备!#REF!</f>
        <v>#REF!</v>
      </c>
      <c r="AA58" t="e">
        <f>装备!#REF!</f>
        <v>#REF!</v>
      </c>
      <c r="AB58" t="e">
        <f>装备!#REF!</f>
        <v>#REF!</v>
      </c>
      <c r="AC58" t="e">
        <f>装备!#REF!</f>
        <v>#REF!</v>
      </c>
      <c r="AD58" t="e">
        <f>装备!#REF!</f>
        <v>#REF!</v>
      </c>
      <c r="AE58" t="e">
        <f>装备!#REF!</f>
        <v>#REF!</v>
      </c>
      <c r="AF58" t="e">
        <f>装备!#REF!</f>
        <v>#REF!</v>
      </c>
      <c r="AG58" t="e">
        <f>装备!#REF!</f>
        <v>#REF!</v>
      </c>
      <c r="AH58" t="e">
        <f>装备!#REF!</f>
        <v>#REF!</v>
      </c>
      <c r="AI58" t="e">
        <f t="shared" si="2"/>
        <v>#REF!</v>
      </c>
      <c r="AJ58" t="e">
        <f>装备!#REF!</f>
        <v>#REF!</v>
      </c>
      <c r="AK58" t="e">
        <f>装备!#REF!</f>
        <v>#REF!</v>
      </c>
      <c r="AL58" t="e">
        <f>装备!#REF!</f>
        <v>#REF!</v>
      </c>
      <c r="AM58" t="e">
        <f>装备!#REF!</f>
        <v>#REF!</v>
      </c>
      <c r="AN58" t="e">
        <f>装备!#REF!</f>
        <v>#REF!</v>
      </c>
      <c r="AO58" t="e">
        <f>装备!#REF!</f>
        <v>#REF!</v>
      </c>
      <c r="AP58" t="e">
        <f>装备!#REF!</f>
        <v>#REF!</v>
      </c>
      <c r="AQ58" t="e">
        <f>装备!#REF!</f>
        <v>#REF!</v>
      </c>
      <c r="AR58" t="e">
        <f>装备!#REF!</f>
        <v>#REF!</v>
      </c>
      <c r="AS58" t="e">
        <f>装备!#REF!</f>
        <v>#REF!</v>
      </c>
      <c r="AT58" t="e">
        <f t="shared" si="3"/>
        <v>#REF!</v>
      </c>
      <c r="AU58" t="e">
        <f>装备!#REF!</f>
        <v>#REF!</v>
      </c>
      <c r="AV58" t="e">
        <f>装备!#REF!</f>
        <v>#REF!</v>
      </c>
      <c r="AW58" t="e">
        <f>装备!#REF!</f>
        <v>#REF!</v>
      </c>
      <c r="AX58" t="e">
        <f>装备!#REF!</f>
        <v>#REF!</v>
      </c>
      <c r="AY58" t="e">
        <f>装备!#REF!</f>
        <v>#REF!</v>
      </c>
      <c r="AZ58" t="e">
        <f>装备!#REF!</f>
        <v>#REF!</v>
      </c>
      <c r="BA58" t="e">
        <f>装备!#REF!</f>
        <v>#REF!</v>
      </c>
      <c r="BB58" t="e">
        <f>装备!#REF!</f>
        <v>#REF!</v>
      </c>
      <c r="BC58" t="e">
        <f>装备!#REF!</f>
        <v>#REF!</v>
      </c>
      <c r="BD58" t="e">
        <f>装备!#REF!</f>
        <v>#REF!</v>
      </c>
      <c r="BE58" t="e">
        <f t="shared" si="4"/>
        <v>#REF!</v>
      </c>
      <c r="BF58" t="e">
        <f>装备!#REF!</f>
        <v>#REF!</v>
      </c>
      <c r="BG58" t="e">
        <f>装备!#REF!</f>
        <v>#REF!</v>
      </c>
      <c r="BH58" t="e">
        <f>装备!#REF!</f>
        <v>#REF!</v>
      </c>
      <c r="BI58" t="e">
        <f>装备!#REF!</f>
        <v>#REF!</v>
      </c>
      <c r="BJ58" t="e">
        <f>装备!#REF!</f>
        <v>#REF!</v>
      </c>
      <c r="BK58" t="e">
        <f>装备!#REF!</f>
        <v>#REF!</v>
      </c>
      <c r="BL58" t="e">
        <f>装备!#REF!</f>
        <v>#REF!</v>
      </c>
      <c r="BM58" t="e">
        <f>装备!#REF!</f>
        <v>#REF!</v>
      </c>
      <c r="BN58" t="e">
        <f>装备!#REF!</f>
        <v>#REF!</v>
      </c>
      <c r="BO58" t="e">
        <f>装备!#REF!</f>
        <v>#REF!</v>
      </c>
      <c r="BP58" t="e">
        <f t="shared" si="5"/>
        <v>#REF!</v>
      </c>
      <c r="BQ58" t="e">
        <f>装备!#REF!</f>
        <v>#REF!</v>
      </c>
      <c r="BR58" t="e">
        <f>装备!#REF!</f>
        <v>#REF!</v>
      </c>
      <c r="BS58" t="e">
        <f>装备!#REF!</f>
        <v>#REF!</v>
      </c>
      <c r="BT58" t="e">
        <f>装备!#REF!</f>
        <v>#REF!</v>
      </c>
      <c r="BU58" t="e">
        <f>装备!#REF!</f>
        <v>#REF!</v>
      </c>
      <c r="BV58" t="e">
        <f>装备!#REF!</f>
        <v>#REF!</v>
      </c>
      <c r="BW58" t="e">
        <f>装备!#REF!</f>
        <v>#REF!</v>
      </c>
      <c r="BX58" t="e">
        <f>装备!#REF!</f>
        <v>#REF!</v>
      </c>
      <c r="BY58" t="e">
        <f>装备!#REF!</f>
        <v>#REF!</v>
      </c>
      <c r="BZ58" t="e">
        <f>装备!#REF!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装备!#REF!</f>
        <v>#REF!</v>
      </c>
      <c r="B59" t="e">
        <f>装备!#REF!</f>
        <v>#REF!</v>
      </c>
      <c r="C59" t="e">
        <f>装备!#REF!</f>
        <v>#REF!</v>
      </c>
      <c r="D59" t="e">
        <f>装备!#REF!</f>
        <v>#REF!</v>
      </c>
      <c r="E59" t="e">
        <f>装备!#REF!</f>
        <v>#REF!</v>
      </c>
      <c r="F59" t="e">
        <f>装备!#REF!</f>
        <v>#REF!</v>
      </c>
      <c r="G59" t="e">
        <f>装备!#REF!</f>
        <v>#REF!</v>
      </c>
      <c r="H59" t="e">
        <f>装备!#REF!</f>
        <v>#REF!</v>
      </c>
      <c r="I59" t="e">
        <f>装备!#REF!</f>
        <v>#REF!</v>
      </c>
      <c r="J59" t="e">
        <f>装备!#REF!</f>
        <v>#REF!</v>
      </c>
      <c r="K59" t="e">
        <f>装备!#REF!</f>
        <v>#REF!</v>
      </c>
      <c r="L59" t="e">
        <f>装备!#REF!</f>
        <v>#REF!</v>
      </c>
      <c r="M59" t="e">
        <f t="shared" si="0"/>
        <v>#REF!</v>
      </c>
      <c r="N59" t="e">
        <f>装备!#REF!</f>
        <v>#REF!</v>
      </c>
      <c r="O59" t="e">
        <f>装备!#REF!</f>
        <v>#REF!</v>
      </c>
      <c r="P59" t="e">
        <f>装备!#REF!</f>
        <v>#REF!</v>
      </c>
      <c r="Q59" t="e">
        <f>装备!#REF!</f>
        <v>#REF!</v>
      </c>
      <c r="R59" t="e">
        <f>装备!#REF!</f>
        <v>#REF!</v>
      </c>
      <c r="S59" t="e">
        <f>装备!#REF!</f>
        <v>#REF!</v>
      </c>
      <c r="T59" t="e">
        <f>装备!#REF!</f>
        <v>#REF!</v>
      </c>
      <c r="U59" t="e">
        <f>装备!#REF!</f>
        <v>#REF!</v>
      </c>
      <c r="V59" t="e">
        <f>装备!#REF!</f>
        <v>#REF!</v>
      </c>
      <c r="W59" t="e">
        <f>装备!#REF!</f>
        <v>#REF!</v>
      </c>
      <c r="X59" t="e">
        <f t="shared" si="1"/>
        <v>#REF!</v>
      </c>
      <c r="Y59" t="e">
        <f>装备!#REF!</f>
        <v>#REF!</v>
      </c>
      <c r="Z59" t="e">
        <f>装备!#REF!</f>
        <v>#REF!</v>
      </c>
      <c r="AA59" t="e">
        <f>装备!#REF!</f>
        <v>#REF!</v>
      </c>
      <c r="AB59" t="e">
        <f>装备!#REF!</f>
        <v>#REF!</v>
      </c>
      <c r="AC59" t="e">
        <f>装备!#REF!</f>
        <v>#REF!</v>
      </c>
      <c r="AD59" t="e">
        <f>装备!#REF!</f>
        <v>#REF!</v>
      </c>
      <c r="AE59" t="e">
        <f>装备!#REF!</f>
        <v>#REF!</v>
      </c>
      <c r="AF59" t="e">
        <f>装备!#REF!</f>
        <v>#REF!</v>
      </c>
      <c r="AG59" t="e">
        <f>装备!#REF!</f>
        <v>#REF!</v>
      </c>
      <c r="AH59" t="e">
        <f>装备!#REF!</f>
        <v>#REF!</v>
      </c>
      <c r="AI59" t="e">
        <f t="shared" si="2"/>
        <v>#REF!</v>
      </c>
      <c r="AJ59" t="e">
        <f>装备!#REF!</f>
        <v>#REF!</v>
      </c>
      <c r="AK59" t="e">
        <f>装备!#REF!</f>
        <v>#REF!</v>
      </c>
      <c r="AL59" t="e">
        <f>装备!#REF!</f>
        <v>#REF!</v>
      </c>
      <c r="AM59" t="e">
        <f>装备!#REF!</f>
        <v>#REF!</v>
      </c>
      <c r="AN59" t="e">
        <f>装备!#REF!</f>
        <v>#REF!</v>
      </c>
      <c r="AO59" t="e">
        <f>装备!#REF!</f>
        <v>#REF!</v>
      </c>
      <c r="AP59" t="e">
        <f>装备!#REF!</f>
        <v>#REF!</v>
      </c>
      <c r="AQ59" t="e">
        <f>装备!#REF!</f>
        <v>#REF!</v>
      </c>
      <c r="AR59" t="e">
        <f>装备!#REF!</f>
        <v>#REF!</v>
      </c>
      <c r="AS59" t="e">
        <f>装备!#REF!</f>
        <v>#REF!</v>
      </c>
      <c r="AT59" t="e">
        <f t="shared" si="3"/>
        <v>#REF!</v>
      </c>
      <c r="AU59" t="e">
        <f>装备!#REF!</f>
        <v>#REF!</v>
      </c>
      <c r="AV59" t="e">
        <f>装备!#REF!</f>
        <v>#REF!</v>
      </c>
      <c r="AW59" t="e">
        <f>装备!#REF!</f>
        <v>#REF!</v>
      </c>
      <c r="AX59" t="e">
        <f>装备!#REF!</f>
        <v>#REF!</v>
      </c>
      <c r="AY59" t="e">
        <f>装备!#REF!</f>
        <v>#REF!</v>
      </c>
      <c r="AZ59" t="e">
        <f>装备!#REF!</f>
        <v>#REF!</v>
      </c>
      <c r="BA59" t="e">
        <f>装备!#REF!</f>
        <v>#REF!</v>
      </c>
      <c r="BB59" t="e">
        <f>装备!#REF!</f>
        <v>#REF!</v>
      </c>
      <c r="BC59" t="e">
        <f>装备!#REF!</f>
        <v>#REF!</v>
      </c>
      <c r="BD59" t="e">
        <f>装备!#REF!</f>
        <v>#REF!</v>
      </c>
      <c r="BE59" t="e">
        <f t="shared" si="4"/>
        <v>#REF!</v>
      </c>
      <c r="BF59" t="e">
        <f>装备!#REF!</f>
        <v>#REF!</v>
      </c>
      <c r="BG59" t="e">
        <f>装备!#REF!</f>
        <v>#REF!</v>
      </c>
      <c r="BH59" t="e">
        <f>装备!#REF!</f>
        <v>#REF!</v>
      </c>
      <c r="BI59" t="e">
        <f>装备!#REF!</f>
        <v>#REF!</v>
      </c>
      <c r="BJ59" t="e">
        <f>装备!#REF!</f>
        <v>#REF!</v>
      </c>
      <c r="BK59" t="e">
        <f>装备!#REF!</f>
        <v>#REF!</v>
      </c>
      <c r="BL59" t="e">
        <f>装备!#REF!</f>
        <v>#REF!</v>
      </c>
      <c r="BM59" t="e">
        <f>装备!#REF!</f>
        <v>#REF!</v>
      </c>
      <c r="BN59" t="e">
        <f>装备!#REF!</f>
        <v>#REF!</v>
      </c>
      <c r="BO59" t="e">
        <f>装备!#REF!</f>
        <v>#REF!</v>
      </c>
      <c r="BP59" t="e">
        <f t="shared" si="5"/>
        <v>#REF!</v>
      </c>
      <c r="BQ59" t="e">
        <f>装备!#REF!</f>
        <v>#REF!</v>
      </c>
      <c r="BR59" t="e">
        <f>装备!#REF!</f>
        <v>#REF!</v>
      </c>
      <c r="BS59" t="e">
        <f>装备!#REF!</f>
        <v>#REF!</v>
      </c>
      <c r="BT59" t="e">
        <f>装备!#REF!</f>
        <v>#REF!</v>
      </c>
      <c r="BU59" t="e">
        <f>装备!#REF!</f>
        <v>#REF!</v>
      </c>
      <c r="BV59" t="e">
        <f>装备!#REF!</f>
        <v>#REF!</v>
      </c>
      <c r="BW59" t="e">
        <f>装备!#REF!</f>
        <v>#REF!</v>
      </c>
      <c r="BX59" t="e">
        <f>装备!#REF!</f>
        <v>#REF!</v>
      </c>
      <c r="BY59" t="e">
        <f>装备!#REF!</f>
        <v>#REF!</v>
      </c>
      <c r="BZ59" t="e">
        <f>装备!#REF!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装备!#REF!</f>
        <v>#REF!</v>
      </c>
      <c r="B60" t="e">
        <f>装备!#REF!</f>
        <v>#REF!</v>
      </c>
      <c r="C60" t="e">
        <f>装备!#REF!</f>
        <v>#REF!</v>
      </c>
      <c r="D60" t="e">
        <f>装备!#REF!</f>
        <v>#REF!</v>
      </c>
      <c r="E60" t="e">
        <f>装备!#REF!</f>
        <v>#REF!</v>
      </c>
      <c r="F60" t="e">
        <f>装备!#REF!</f>
        <v>#REF!</v>
      </c>
      <c r="G60" t="e">
        <f>装备!#REF!</f>
        <v>#REF!</v>
      </c>
      <c r="H60" t="e">
        <f>装备!#REF!</f>
        <v>#REF!</v>
      </c>
      <c r="I60" t="e">
        <f>装备!#REF!</f>
        <v>#REF!</v>
      </c>
      <c r="J60" t="e">
        <f>装备!#REF!</f>
        <v>#REF!</v>
      </c>
      <c r="K60" t="e">
        <f>装备!#REF!</f>
        <v>#REF!</v>
      </c>
      <c r="L60" t="e">
        <f>装备!#REF!</f>
        <v>#REF!</v>
      </c>
      <c r="M60" t="e">
        <f t="shared" si="0"/>
        <v>#REF!</v>
      </c>
      <c r="N60" t="e">
        <f>装备!#REF!</f>
        <v>#REF!</v>
      </c>
      <c r="O60" t="e">
        <f>装备!#REF!</f>
        <v>#REF!</v>
      </c>
      <c r="P60" t="e">
        <f>装备!#REF!</f>
        <v>#REF!</v>
      </c>
      <c r="Q60" t="e">
        <f>装备!#REF!</f>
        <v>#REF!</v>
      </c>
      <c r="R60" t="e">
        <f>装备!#REF!</f>
        <v>#REF!</v>
      </c>
      <c r="S60" t="e">
        <f>装备!#REF!</f>
        <v>#REF!</v>
      </c>
      <c r="T60" t="e">
        <f>装备!#REF!</f>
        <v>#REF!</v>
      </c>
      <c r="U60" t="e">
        <f>装备!#REF!</f>
        <v>#REF!</v>
      </c>
      <c r="V60" t="e">
        <f>装备!#REF!</f>
        <v>#REF!</v>
      </c>
      <c r="W60" t="e">
        <f>装备!#REF!</f>
        <v>#REF!</v>
      </c>
      <c r="X60" t="e">
        <f t="shared" si="1"/>
        <v>#REF!</v>
      </c>
      <c r="Y60" t="e">
        <f>装备!#REF!</f>
        <v>#REF!</v>
      </c>
      <c r="Z60" t="e">
        <f>装备!#REF!</f>
        <v>#REF!</v>
      </c>
      <c r="AA60" t="e">
        <f>装备!#REF!</f>
        <v>#REF!</v>
      </c>
      <c r="AB60" t="e">
        <f>装备!#REF!</f>
        <v>#REF!</v>
      </c>
      <c r="AC60" t="e">
        <f>装备!#REF!</f>
        <v>#REF!</v>
      </c>
      <c r="AD60" t="e">
        <f>装备!#REF!</f>
        <v>#REF!</v>
      </c>
      <c r="AE60" t="e">
        <f>装备!#REF!</f>
        <v>#REF!</v>
      </c>
      <c r="AF60" t="e">
        <f>装备!#REF!</f>
        <v>#REF!</v>
      </c>
      <c r="AG60" t="e">
        <f>装备!#REF!</f>
        <v>#REF!</v>
      </c>
      <c r="AH60" t="e">
        <f>装备!#REF!</f>
        <v>#REF!</v>
      </c>
      <c r="AI60" t="e">
        <f t="shared" si="2"/>
        <v>#REF!</v>
      </c>
      <c r="AJ60" t="e">
        <f>装备!#REF!</f>
        <v>#REF!</v>
      </c>
      <c r="AK60" t="e">
        <f>装备!#REF!</f>
        <v>#REF!</v>
      </c>
      <c r="AL60" t="e">
        <f>装备!#REF!</f>
        <v>#REF!</v>
      </c>
      <c r="AM60" t="e">
        <f>装备!#REF!</f>
        <v>#REF!</v>
      </c>
      <c r="AN60" t="e">
        <f>装备!#REF!</f>
        <v>#REF!</v>
      </c>
      <c r="AO60" t="e">
        <f>装备!#REF!</f>
        <v>#REF!</v>
      </c>
      <c r="AP60" t="e">
        <f>装备!#REF!</f>
        <v>#REF!</v>
      </c>
      <c r="AQ60" t="e">
        <f>装备!#REF!</f>
        <v>#REF!</v>
      </c>
      <c r="AR60" t="e">
        <f>装备!#REF!</f>
        <v>#REF!</v>
      </c>
      <c r="AS60" t="e">
        <f>装备!#REF!</f>
        <v>#REF!</v>
      </c>
      <c r="AT60" t="e">
        <f t="shared" si="3"/>
        <v>#REF!</v>
      </c>
      <c r="AU60" t="e">
        <f>装备!#REF!</f>
        <v>#REF!</v>
      </c>
      <c r="AV60" t="e">
        <f>装备!#REF!</f>
        <v>#REF!</v>
      </c>
      <c r="AW60" t="e">
        <f>装备!#REF!</f>
        <v>#REF!</v>
      </c>
      <c r="AX60" t="e">
        <f>装备!#REF!</f>
        <v>#REF!</v>
      </c>
      <c r="AY60" t="e">
        <f>装备!#REF!</f>
        <v>#REF!</v>
      </c>
      <c r="AZ60" t="e">
        <f>装备!#REF!</f>
        <v>#REF!</v>
      </c>
      <c r="BA60" t="e">
        <f>装备!#REF!</f>
        <v>#REF!</v>
      </c>
      <c r="BB60" t="e">
        <f>装备!#REF!</f>
        <v>#REF!</v>
      </c>
      <c r="BC60" t="e">
        <f>装备!#REF!</f>
        <v>#REF!</v>
      </c>
      <c r="BD60" t="e">
        <f>装备!#REF!</f>
        <v>#REF!</v>
      </c>
      <c r="BE60" t="e">
        <f t="shared" si="4"/>
        <v>#REF!</v>
      </c>
      <c r="BF60" t="e">
        <f>装备!#REF!</f>
        <v>#REF!</v>
      </c>
      <c r="BG60" t="e">
        <f>装备!#REF!</f>
        <v>#REF!</v>
      </c>
      <c r="BH60" t="e">
        <f>装备!#REF!</f>
        <v>#REF!</v>
      </c>
      <c r="BI60" t="e">
        <f>装备!#REF!</f>
        <v>#REF!</v>
      </c>
      <c r="BJ60" t="e">
        <f>装备!#REF!</f>
        <v>#REF!</v>
      </c>
      <c r="BK60" t="e">
        <f>装备!#REF!</f>
        <v>#REF!</v>
      </c>
      <c r="BL60" t="e">
        <f>装备!#REF!</f>
        <v>#REF!</v>
      </c>
      <c r="BM60" t="e">
        <f>装备!#REF!</f>
        <v>#REF!</v>
      </c>
      <c r="BN60" t="e">
        <f>装备!#REF!</f>
        <v>#REF!</v>
      </c>
      <c r="BO60" t="e">
        <f>装备!#REF!</f>
        <v>#REF!</v>
      </c>
      <c r="BP60" t="e">
        <f t="shared" si="5"/>
        <v>#REF!</v>
      </c>
      <c r="BQ60" t="e">
        <f>装备!#REF!</f>
        <v>#REF!</v>
      </c>
      <c r="BR60" t="e">
        <f>装备!#REF!</f>
        <v>#REF!</v>
      </c>
      <c r="BS60" t="e">
        <f>装备!#REF!</f>
        <v>#REF!</v>
      </c>
      <c r="BT60" t="e">
        <f>装备!#REF!</f>
        <v>#REF!</v>
      </c>
      <c r="BU60" t="e">
        <f>装备!#REF!</f>
        <v>#REF!</v>
      </c>
      <c r="BV60" t="e">
        <f>装备!#REF!</f>
        <v>#REF!</v>
      </c>
      <c r="BW60" t="e">
        <f>装备!#REF!</f>
        <v>#REF!</v>
      </c>
      <c r="BX60" t="e">
        <f>装备!#REF!</f>
        <v>#REF!</v>
      </c>
      <c r="BY60" t="e">
        <f>装备!#REF!</f>
        <v>#REF!</v>
      </c>
      <c r="BZ60" t="e">
        <f>装备!#REF!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装备!#REF!</f>
        <v>#REF!</v>
      </c>
      <c r="B61" t="e">
        <f>装备!#REF!</f>
        <v>#REF!</v>
      </c>
      <c r="C61" t="e">
        <f>装备!#REF!</f>
        <v>#REF!</v>
      </c>
      <c r="D61" t="e">
        <f>装备!#REF!</f>
        <v>#REF!</v>
      </c>
      <c r="E61" t="e">
        <f>装备!#REF!</f>
        <v>#REF!</v>
      </c>
      <c r="F61" t="e">
        <f>装备!#REF!</f>
        <v>#REF!</v>
      </c>
      <c r="G61" t="e">
        <f>装备!#REF!</f>
        <v>#REF!</v>
      </c>
      <c r="H61" t="e">
        <f>装备!#REF!</f>
        <v>#REF!</v>
      </c>
      <c r="I61" t="e">
        <f>装备!#REF!</f>
        <v>#REF!</v>
      </c>
      <c r="J61" t="e">
        <f>装备!#REF!</f>
        <v>#REF!</v>
      </c>
      <c r="K61" t="e">
        <f>装备!#REF!</f>
        <v>#REF!</v>
      </c>
      <c r="L61" t="e">
        <f>装备!#REF!</f>
        <v>#REF!</v>
      </c>
      <c r="M61" t="e">
        <f t="shared" si="0"/>
        <v>#REF!</v>
      </c>
      <c r="N61" t="e">
        <f>装备!#REF!</f>
        <v>#REF!</v>
      </c>
      <c r="O61" t="e">
        <f>装备!#REF!</f>
        <v>#REF!</v>
      </c>
      <c r="P61" t="e">
        <f>装备!#REF!</f>
        <v>#REF!</v>
      </c>
      <c r="Q61" t="e">
        <f>装备!#REF!</f>
        <v>#REF!</v>
      </c>
      <c r="R61" t="e">
        <f>装备!#REF!</f>
        <v>#REF!</v>
      </c>
      <c r="S61" t="e">
        <f>装备!#REF!</f>
        <v>#REF!</v>
      </c>
      <c r="T61" t="e">
        <f>装备!#REF!</f>
        <v>#REF!</v>
      </c>
      <c r="U61" t="e">
        <f>装备!#REF!</f>
        <v>#REF!</v>
      </c>
      <c r="V61" t="e">
        <f>装备!#REF!</f>
        <v>#REF!</v>
      </c>
      <c r="W61" t="e">
        <f>装备!#REF!</f>
        <v>#REF!</v>
      </c>
      <c r="X61" t="e">
        <f t="shared" si="1"/>
        <v>#REF!</v>
      </c>
      <c r="Y61" t="e">
        <f>装备!#REF!</f>
        <v>#REF!</v>
      </c>
      <c r="Z61" t="e">
        <f>装备!#REF!</f>
        <v>#REF!</v>
      </c>
      <c r="AA61" t="e">
        <f>装备!#REF!</f>
        <v>#REF!</v>
      </c>
      <c r="AB61" t="e">
        <f>装备!#REF!</f>
        <v>#REF!</v>
      </c>
      <c r="AC61" t="e">
        <f>装备!#REF!</f>
        <v>#REF!</v>
      </c>
      <c r="AD61" t="e">
        <f>装备!#REF!</f>
        <v>#REF!</v>
      </c>
      <c r="AE61" t="e">
        <f>装备!#REF!</f>
        <v>#REF!</v>
      </c>
      <c r="AF61" t="e">
        <f>装备!#REF!</f>
        <v>#REF!</v>
      </c>
      <c r="AG61" t="e">
        <f>装备!#REF!</f>
        <v>#REF!</v>
      </c>
      <c r="AH61" t="e">
        <f>装备!#REF!</f>
        <v>#REF!</v>
      </c>
      <c r="AI61" t="e">
        <f t="shared" si="2"/>
        <v>#REF!</v>
      </c>
      <c r="AJ61" t="e">
        <f>装备!#REF!</f>
        <v>#REF!</v>
      </c>
      <c r="AK61" t="e">
        <f>装备!#REF!</f>
        <v>#REF!</v>
      </c>
      <c r="AL61" t="e">
        <f>装备!#REF!</f>
        <v>#REF!</v>
      </c>
      <c r="AM61" t="e">
        <f>装备!#REF!</f>
        <v>#REF!</v>
      </c>
      <c r="AN61" t="e">
        <f>装备!#REF!</f>
        <v>#REF!</v>
      </c>
      <c r="AO61" t="e">
        <f>装备!#REF!</f>
        <v>#REF!</v>
      </c>
      <c r="AP61" t="e">
        <f>装备!#REF!</f>
        <v>#REF!</v>
      </c>
      <c r="AQ61" t="e">
        <f>装备!#REF!</f>
        <v>#REF!</v>
      </c>
      <c r="AR61" t="e">
        <f>装备!#REF!</f>
        <v>#REF!</v>
      </c>
      <c r="AS61" t="e">
        <f>装备!#REF!</f>
        <v>#REF!</v>
      </c>
      <c r="AT61" t="e">
        <f t="shared" si="3"/>
        <v>#REF!</v>
      </c>
      <c r="AU61" t="e">
        <f>装备!#REF!</f>
        <v>#REF!</v>
      </c>
      <c r="AV61" t="e">
        <f>装备!#REF!</f>
        <v>#REF!</v>
      </c>
      <c r="AW61" t="e">
        <f>装备!#REF!</f>
        <v>#REF!</v>
      </c>
      <c r="AX61" t="e">
        <f>装备!#REF!</f>
        <v>#REF!</v>
      </c>
      <c r="AY61" t="e">
        <f>装备!#REF!</f>
        <v>#REF!</v>
      </c>
      <c r="AZ61" t="e">
        <f>装备!#REF!</f>
        <v>#REF!</v>
      </c>
      <c r="BA61" t="e">
        <f>装备!#REF!</f>
        <v>#REF!</v>
      </c>
      <c r="BB61" t="e">
        <f>装备!#REF!</f>
        <v>#REF!</v>
      </c>
      <c r="BC61" t="e">
        <f>装备!#REF!</f>
        <v>#REF!</v>
      </c>
      <c r="BD61" t="e">
        <f>装备!#REF!</f>
        <v>#REF!</v>
      </c>
      <c r="BE61" t="e">
        <f t="shared" si="4"/>
        <v>#REF!</v>
      </c>
      <c r="BF61" t="e">
        <f>装备!#REF!</f>
        <v>#REF!</v>
      </c>
      <c r="BG61" t="e">
        <f>装备!#REF!</f>
        <v>#REF!</v>
      </c>
      <c r="BH61" t="e">
        <f>装备!#REF!</f>
        <v>#REF!</v>
      </c>
      <c r="BI61" t="e">
        <f>装备!#REF!</f>
        <v>#REF!</v>
      </c>
      <c r="BJ61" t="e">
        <f>装备!#REF!</f>
        <v>#REF!</v>
      </c>
      <c r="BK61" t="e">
        <f>装备!#REF!</f>
        <v>#REF!</v>
      </c>
      <c r="BL61" t="e">
        <f>装备!#REF!</f>
        <v>#REF!</v>
      </c>
      <c r="BM61" t="e">
        <f>装备!#REF!</f>
        <v>#REF!</v>
      </c>
      <c r="BN61" t="e">
        <f>装备!#REF!</f>
        <v>#REF!</v>
      </c>
      <c r="BO61" t="e">
        <f>装备!#REF!</f>
        <v>#REF!</v>
      </c>
      <c r="BP61" t="e">
        <f t="shared" si="5"/>
        <v>#REF!</v>
      </c>
      <c r="BQ61" t="e">
        <f>装备!#REF!</f>
        <v>#REF!</v>
      </c>
      <c r="BR61" t="e">
        <f>装备!#REF!</f>
        <v>#REF!</v>
      </c>
      <c r="BS61" t="e">
        <f>装备!#REF!</f>
        <v>#REF!</v>
      </c>
      <c r="BT61" t="e">
        <f>装备!#REF!</f>
        <v>#REF!</v>
      </c>
      <c r="BU61" t="e">
        <f>装备!#REF!</f>
        <v>#REF!</v>
      </c>
      <c r="BV61" t="e">
        <f>装备!#REF!</f>
        <v>#REF!</v>
      </c>
      <c r="BW61" t="e">
        <f>装备!#REF!</f>
        <v>#REF!</v>
      </c>
      <c r="BX61" t="e">
        <f>装备!#REF!</f>
        <v>#REF!</v>
      </c>
      <c r="BY61" t="e">
        <f>装备!#REF!</f>
        <v>#REF!</v>
      </c>
      <c r="BZ61" t="e">
        <f>装备!#REF!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装备!#REF!</f>
        <v>#REF!</v>
      </c>
      <c r="B62" t="e">
        <f>装备!#REF!</f>
        <v>#REF!</v>
      </c>
      <c r="C62" t="e">
        <f>装备!#REF!</f>
        <v>#REF!</v>
      </c>
      <c r="D62" t="e">
        <f>装备!#REF!</f>
        <v>#REF!</v>
      </c>
      <c r="E62" t="e">
        <f>装备!#REF!</f>
        <v>#REF!</v>
      </c>
      <c r="F62" t="e">
        <f>装备!#REF!</f>
        <v>#REF!</v>
      </c>
      <c r="G62" t="e">
        <f>装备!#REF!</f>
        <v>#REF!</v>
      </c>
      <c r="H62" t="e">
        <f>装备!#REF!</f>
        <v>#REF!</v>
      </c>
      <c r="I62" t="e">
        <f>装备!#REF!</f>
        <v>#REF!</v>
      </c>
      <c r="J62" t="e">
        <f>装备!#REF!</f>
        <v>#REF!</v>
      </c>
      <c r="K62" t="e">
        <f>装备!#REF!</f>
        <v>#REF!</v>
      </c>
      <c r="L62" t="e">
        <f>装备!#REF!</f>
        <v>#REF!</v>
      </c>
      <c r="M62" t="e">
        <f t="shared" si="0"/>
        <v>#REF!</v>
      </c>
      <c r="N62" t="e">
        <f>装备!#REF!</f>
        <v>#REF!</v>
      </c>
      <c r="O62" t="e">
        <f>装备!#REF!</f>
        <v>#REF!</v>
      </c>
      <c r="P62" t="e">
        <f>装备!#REF!</f>
        <v>#REF!</v>
      </c>
      <c r="Q62" t="e">
        <f>装备!#REF!</f>
        <v>#REF!</v>
      </c>
      <c r="R62" t="e">
        <f>装备!#REF!</f>
        <v>#REF!</v>
      </c>
      <c r="S62" t="e">
        <f>装备!#REF!</f>
        <v>#REF!</v>
      </c>
      <c r="T62" t="e">
        <f>装备!#REF!</f>
        <v>#REF!</v>
      </c>
      <c r="U62" t="e">
        <f>装备!#REF!</f>
        <v>#REF!</v>
      </c>
      <c r="V62" t="e">
        <f>装备!#REF!</f>
        <v>#REF!</v>
      </c>
      <c r="W62" t="e">
        <f>装备!#REF!</f>
        <v>#REF!</v>
      </c>
      <c r="X62" t="e">
        <f t="shared" si="1"/>
        <v>#REF!</v>
      </c>
      <c r="Y62" t="e">
        <f>装备!#REF!</f>
        <v>#REF!</v>
      </c>
      <c r="Z62" t="e">
        <f>装备!#REF!</f>
        <v>#REF!</v>
      </c>
      <c r="AA62" t="e">
        <f>装备!#REF!</f>
        <v>#REF!</v>
      </c>
      <c r="AB62" t="e">
        <f>装备!#REF!</f>
        <v>#REF!</v>
      </c>
      <c r="AC62" t="e">
        <f>装备!#REF!</f>
        <v>#REF!</v>
      </c>
      <c r="AD62" t="e">
        <f>装备!#REF!</f>
        <v>#REF!</v>
      </c>
      <c r="AE62" t="e">
        <f>装备!#REF!</f>
        <v>#REF!</v>
      </c>
      <c r="AF62" t="e">
        <f>装备!#REF!</f>
        <v>#REF!</v>
      </c>
      <c r="AG62" t="e">
        <f>装备!#REF!</f>
        <v>#REF!</v>
      </c>
      <c r="AH62" t="e">
        <f>装备!#REF!</f>
        <v>#REF!</v>
      </c>
      <c r="AI62" t="e">
        <f t="shared" si="2"/>
        <v>#REF!</v>
      </c>
      <c r="AJ62" t="e">
        <f>装备!#REF!</f>
        <v>#REF!</v>
      </c>
      <c r="AK62" t="e">
        <f>装备!#REF!</f>
        <v>#REF!</v>
      </c>
      <c r="AL62" t="e">
        <f>装备!#REF!</f>
        <v>#REF!</v>
      </c>
      <c r="AM62" t="e">
        <f>装备!#REF!</f>
        <v>#REF!</v>
      </c>
      <c r="AN62" t="e">
        <f>装备!#REF!</f>
        <v>#REF!</v>
      </c>
      <c r="AO62" t="e">
        <f>装备!#REF!</f>
        <v>#REF!</v>
      </c>
      <c r="AP62" t="e">
        <f>装备!#REF!</f>
        <v>#REF!</v>
      </c>
      <c r="AQ62" t="e">
        <f>装备!#REF!</f>
        <v>#REF!</v>
      </c>
      <c r="AR62" t="e">
        <f>装备!#REF!</f>
        <v>#REF!</v>
      </c>
      <c r="AS62" t="e">
        <f>装备!#REF!</f>
        <v>#REF!</v>
      </c>
      <c r="AT62" t="e">
        <f t="shared" si="3"/>
        <v>#REF!</v>
      </c>
      <c r="AU62" t="e">
        <f>装备!#REF!</f>
        <v>#REF!</v>
      </c>
      <c r="AV62" t="e">
        <f>装备!#REF!</f>
        <v>#REF!</v>
      </c>
      <c r="AW62" t="e">
        <f>装备!#REF!</f>
        <v>#REF!</v>
      </c>
      <c r="AX62" t="e">
        <f>装备!#REF!</f>
        <v>#REF!</v>
      </c>
      <c r="AY62" t="e">
        <f>装备!#REF!</f>
        <v>#REF!</v>
      </c>
      <c r="AZ62" t="e">
        <f>装备!#REF!</f>
        <v>#REF!</v>
      </c>
      <c r="BA62" t="e">
        <f>装备!#REF!</f>
        <v>#REF!</v>
      </c>
      <c r="BB62" t="e">
        <f>装备!#REF!</f>
        <v>#REF!</v>
      </c>
      <c r="BC62" t="e">
        <f>装备!#REF!</f>
        <v>#REF!</v>
      </c>
      <c r="BD62" t="e">
        <f>装备!#REF!</f>
        <v>#REF!</v>
      </c>
      <c r="BE62" t="e">
        <f t="shared" si="4"/>
        <v>#REF!</v>
      </c>
      <c r="BF62" t="e">
        <f>装备!#REF!</f>
        <v>#REF!</v>
      </c>
      <c r="BG62" t="e">
        <f>装备!#REF!</f>
        <v>#REF!</v>
      </c>
      <c r="BH62" t="e">
        <f>装备!#REF!</f>
        <v>#REF!</v>
      </c>
      <c r="BI62" t="e">
        <f>装备!#REF!</f>
        <v>#REF!</v>
      </c>
      <c r="BJ62" t="e">
        <f>装备!#REF!</f>
        <v>#REF!</v>
      </c>
      <c r="BK62" t="e">
        <f>装备!#REF!</f>
        <v>#REF!</v>
      </c>
      <c r="BL62" t="e">
        <f>装备!#REF!</f>
        <v>#REF!</v>
      </c>
      <c r="BM62" t="e">
        <f>装备!#REF!</f>
        <v>#REF!</v>
      </c>
      <c r="BN62" t="e">
        <f>装备!#REF!</f>
        <v>#REF!</v>
      </c>
      <c r="BO62" t="e">
        <f>装备!#REF!</f>
        <v>#REF!</v>
      </c>
      <c r="BP62" t="e">
        <f t="shared" si="5"/>
        <v>#REF!</v>
      </c>
      <c r="BQ62" t="e">
        <f>装备!#REF!</f>
        <v>#REF!</v>
      </c>
      <c r="BR62" t="e">
        <f>装备!#REF!</f>
        <v>#REF!</v>
      </c>
      <c r="BS62" t="e">
        <f>装备!#REF!</f>
        <v>#REF!</v>
      </c>
      <c r="BT62" t="e">
        <f>装备!#REF!</f>
        <v>#REF!</v>
      </c>
      <c r="BU62" t="e">
        <f>装备!#REF!</f>
        <v>#REF!</v>
      </c>
      <c r="BV62" t="e">
        <f>装备!#REF!</f>
        <v>#REF!</v>
      </c>
      <c r="BW62" t="e">
        <f>装备!#REF!</f>
        <v>#REF!</v>
      </c>
      <c r="BX62" t="e">
        <f>装备!#REF!</f>
        <v>#REF!</v>
      </c>
      <c r="BY62" t="e">
        <f>装备!#REF!</f>
        <v>#REF!</v>
      </c>
      <c r="BZ62" t="e">
        <f>装备!#REF!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装备!#REF!</f>
        <v>#REF!</v>
      </c>
      <c r="B63" t="e">
        <f>装备!#REF!</f>
        <v>#REF!</v>
      </c>
      <c r="C63" t="e">
        <f>装备!#REF!</f>
        <v>#REF!</v>
      </c>
      <c r="D63" t="e">
        <f>装备!#REF!</f>
        <v>#REF!</v>
      </c>
      <c r="E63" t="e">
        <f>装备!#REF!</f>
        <v>#REF!</v>
      </c>
      <c r="F63" t="e">
        <f>装备!#REF!</f>
        <v>#REF!</v>
      </c>
      <c r="G63" t="e">
        <f>装备!#REF!</f>
        <v>#REF!</v>
      </c>
      <c r="H63" t="e">
        <f>装备!#REF!</f>
        <v>#REF!</v>
      </c>
      <c r="I63" t="e">
        <f>装备!#REF!</f>
        <v>#REF!</v>
      </c>
      <c r="J63" t="e">
        <f>装备!#REF!</f>
        <v>#REF!</v>
      </c>
      <c r="K63" t="e">
        <f>装备!#REF!</f>
        <v>#REF!</v>
      </c>
      <c r="L63" t="e">
        <f>装备!#REF!</f>
        <v>#REF!</v>
      </c>
      <c r="M63" t="e">
        <f t="shared" si="0"/>
        <v>#REF!</v>
      </c>
      <c r="N63" t="e">
        <f>装备!#REF!</f>
        <v>#REF!</v>
      </c>
      <c r="O63" t="e">
        <f>装备!#REF!</f>
        <v>#REF!</v>
      </c>
      <c r="P63" t="e">
        <f>装备!#REF!</f>
        <v>#REF!</v>
      </c>
      <c r="Q63" t="e">
        <f>装备!#REF!</f>
        <v>#REF!</v>
      </c>
      <c r="R63" t="e">
        <f>装备!#REF!</f>
        <v>#REF!</v>
      </c>
      <c r="S63" t="e">
        <f>装备!#REF!</f>
        <v>#REF!</v>
      </c>
      <c r="T63" t="e">
        <f>装备!#REF!</f>
        <v>#REF!</v>
      </c>
      <c r="U63" t="e">
        <f>装备!#REF!</f>
        <v>#REF!</v>
      </c>
      <c r="V63" t="e">
        <f>装备!#REF!</f>
        <v>#REF!</v>
      </c>
      <c r="W63" t="e">
        <f>装备!#REF!</f>
        <v>#REF!</v>
      </c>
      <c r="X63" t="e">
        <f t="shared" si="1"/>
        <v>#REF!</v>
      </c>
      <c r="Y63" t="e">
        <f>装备!#REF!</f>
        <v>#REF!</v>
      </c>
      <c r="Z63" t="e">
        <f>装备!#REF!</f>
        <v>#REF!</v>
      </c>
      <c r="AA63" t="e">
        <f>装备!#REF!</f>
        <v>#REF!</v>
      </c>
      <c r="AB63" t="e">
        <f>装备!#REF!</f>
        <v>#REF!</v>
      </c>
      <c r="AC63" t="e">
        <f>装备!#REF!</f>
        <v>#REF!</v>
      </c>
      <c r="AD63" t="e">
        <f>装备!#REF!</f>
        <v>#REF!</v>
      </c>
      <c r="AE63" t="e">
        <f>装备!#REF!</f>
        <v>#REF!</v>
      </c>
      <c r="AF63" t="e">
        <f>装备!#REF!</f>
        <v>#REF!</v>
      </c>
      <c r="AG63" t="e">
        <f>装备!#REF!</f>
        <v>#REF!</v>
      </c>
      <c r="AH63" t="e">
        <f>装备!#REF!</f>
        <v>#REF!</v>
      </c>
      <c r="AI63" t="e">
        <f t="shared" si="2"/>
        <v>#REF!</v>
      </c>
      <c r="AJ63" t="e">
        <f>装备!#REF!</f>
        <v>#REF!</v>
      </c>
      <c r="AK63" t="e">
        <f>装备!#REF!</f>
        <v>#REF!</v>
      </c>
      <c r="AL63" t="e">
        <f>装备!#REF!</f>
        <v>#REF!</v>
      </c>
      <c r="AM63" t="e">
        <f>装备!#REF!</f>
        <v>#REF!</v>
      </c>
      <c r="AN63" t="e">
        <f>装备!#REF!</f>
        <v>#REF!</v>
      </c>
      <c r="AO63" t="e">
        <f>装备!#REF!</f>
        <v>#REF!</v>
      </c>
      <c r="AP63" t="e">
        <f>装备!#REF!</f>
        <v>#REF!</v>
      </c>
      <c r="AQ63" t="e">
        <f>装备!#REF!</f>
        <v>#REF!</v>
      </c>
      <c r="AR63" t="e">
        <f>装备!#REF!</f>
        <v>#REF!</v>
      </c>
      <c r="AS63" t="e">
        <f>装备!#REF!</f>
        <v>#REF!</v>
      </c>
      <c r="AT63" t="e">
        <f t="shared" si="3"/>
        <v>#REF!</v>
      </c>
      <c r="AU63" t="e">
        <f>装备!#REF!</f>
        <v>#REF!</v>
      </c>
      <c r="AV63" t="e">
        <f>装备!#REF!</f>
        <v>#REF!</v>
      </c>
      <c r="AW63" t="e">
        <f>装备!#REF!</f>
        <v>#REF!</v>
      </c>
      <c r="AX63" t="e">
        <f>装备!#REF!</f>
        <v>#REF!</v>
      </c>
      <c r="AY63" t="e">
        <f>装备!#REF!</f>
        <v>#REF!</v>
      </c>
      <c r="AZ63" t="e">
        <f>装备!#REF!</f>
        <v>#REF!</v>
      </c>
      <c r="BA63" t="e">
        <f>装备!#REF!</f>
        <v>#REF!</v>
      </c>
      <c r="BB63" t="e">
        <f>装备!#REF!</f>
        <v>#REF!</v>
      </c>
      <c r="BC63" t="e">
        <f>装备!#REF!</f>
        <v>#REF!</v>
      </c>
      <c r="BD63" t="e">
        <f>装备!#REF!</f>
        <v>#REF!</v>
      </c>
      <c r="BE63" t="e">
        <f t="shared" si="4"/>
        <v>#REF!</v>
      </c>
      <c r="BF63" t="e">
        <f>装备!#REF!</f>
        <v>#REF!</v>
      </c>
      <c r="BG63" t="e">
        <f>装备!#REF!</f>
        <v>#REF!</v>
      </c>
      <c r="BH63" t="e">
        <f>装备!#REF!</f>
        <v>#REF!</v>
      </c>
      <c r="BI63" t="e">
        <f>装备!#REF!</f>
        <v>#REF!</v>
      </c>
      <c r="BJ63" t="e">
        <f>装备!#REF!</f>
        <v>#REF!</v>
      </c>
      <c r="BK63" t="e">
        <f>装备!#REF!</f>
        <v>#REF!</v>
      </c>
      <c r="BL63" t="e">
        <f>装备!#REF!</f>
        <v>#REF!</v>
      </c>
      <c r="BM63" t="e">
        <f>装备!#REF!</f>
        <v>#REF!</v>
      </c>
      <c r="BN63" t="e">
        <f>装备!#REF!</f>
        <v>#REF!</v>
      </c>
      <c r="BO63" t="e">
        <f>装备!#REF!</f>
        <v>#REF!</v>
      </c>
      <c r="BP63" t="e">
        <f t="shared" si="5"/>
        <v>#REF!</v>
      </c>
      <c r="BQ63" t="e">
        <f>装备!#REF!</f>
        <v>#REF!</v>
      </c>
      <c r="BR63" t="e">
        <f>装备!#REF!</f>
        <v>#REF!</v>
      </c>
      <c r="BS63" t="e">
        <f>装备!#REF!</f>
        <v>#REF!</v>
      </c>
      <c r="BT63" t="e">
        <f>装备!#REF!</f>
        <v>#REF!</v>
      </c>
      <c r="BU63" t="e">
        <f>装备!#REF!</f>
        <v>#REF!</v>
      </c>
      <c r="BV63" t="e">
        <f>装备!#REF!</f>
        <v>#REF!</v>
      </c>
      <c r="BW63" t="e">
        <f>装备!#REF!</f>
        <v>#REF!</v>
      </c>
      <c r="BX63" t="e">
        <f>装备!#REF!</f>
        <v>#REF!</v>
      </c>
      <c r="BY63" t="e">
        <f>装备!#REF!</f>
        <v>#REF!</v>
      </c>
      <c r="BZ63" t="e">
        <f>装备!#REF!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装备!#REF!</f>
        <v>#REF!</v>
      </c>
      <c r="B64" t="e">
        <f>装备!#REF!</f>
        <v>#REF!</v>
      </c>
      <c r="C64" t="e">
        <f>装备!#REF!</f>
        <v>#REF!</v>
      </c>
      <c r="D64" t="e">
        <f>装备!#REF!</f>
        <v>#REF!</v>
      </c>
      <c r="E64" t="e">
        <f>装备!#REF!</f>
        <v>#REF!</v>
      </c>
      <c r="F64" t="e">
        <f>装备!#REF!</f>
        <v>#REF!</v>
      </c>
      <c r="G64" t="e">
        <f>装备!#REF!</f>
        <v>#REF!</v>
      </c>
      <c r="H64" t="e">
        <f>装备!#REF!</f>
        <v>#REF!</v>
      </c>
      <c r="I64" t="e">
        <f>装备!#REF!</f>
        <v>#REF!</v>
      </c>
      <c r="J64" t="e">
        <f>装备!#REF!</f>
        <v>#REF!</v>
      </c>
      <c r="K64" t="e">
        <f>装备!#REF!</f>
        <v>#REF!</v>
      </c>
      <c r="L64" t="e">
        <f>装备!#REF!</f>
        <v>#REF!</v>
      </c>
      <c r="M64" t="e">
        <f t="shared" si="0"/>
        <v>#REF!</v>
      </c>
      <c r="N64" t="e">
        <f>装备!#REF!</f>
        <v>#REF!</v>
      </c>
      <c r="O64" t="e">
        <f>装备!#REF!</f>
        <v>#REF!</v>
      </c>
      <c r="P64" t="e">
        <f>装备!#REF!</f>
        <v>#REF!</v>
      </c>
      <c r="Q64" t="e">
        <f>装备!#REF!</f>
        <v>#REF!</v>
      </c>
      <c r="R64" t="e">
        <f>装备!#REF!</f>
        <v>#REF!</v>
      </c>
      <c r="S64" t="e">
        <f>装备!#REF!</f>
        <v>#REF!</v>
      </c>
      <c r="T64" t="e">
        <f>装备!#REF!</f>
        <v>#REF!</v>
      </c>
      <c r="U64" t="e">
        <f>装备!#REF!</f>
        <v>#REF!</v>
      </c>
      <c r="V64" t="e">
        <f>装备!#REF!</f>
        <v>#REF!</v>
      </c>
      <c r="W64" t="e">
        <f>装备!#REF!</f>
        <v>#REF!</v>
      </c>
      <c r="X64" t="e">
        <f t="shared" si="1"/>
        <v>#REF!</v>
      </c>
      <c r="Y64" t="e">
        <f>装备!#REF!</f>
        <v>#REF!</v>
      </c>
      <c r="Z64" t="e">
        <f>装备!#REF!</f>
        <v>#REF!</v>
      </c>
      <c r="AA64" t="e">
        <f>装备!#REF!</f>
        <v>#REF!</v>
      </c>
      <c r="AB64" t="e">
        <f>装备!#REF!</f>
        <v>#REF!</v>
      </c>
      <c r="AC64" t="e">
        <f>装备!#REF!</f>
        <v>#REF!</v>
      </c>
      <c r="AD64" t="e">
        <f>装备!#REF!</f>
        <v>#REF!</v>
      </c>
      <c r="AE64" t="e">
        <f>装备!#REF!</f>
        <v>#REF!</v>
      </c>
      <c r="AF64" t="e">
        <f>装备!#REF!</f>
        <v>#REF!</v>
      </c>
      <c r="AG64" t="e">
        <f>装备!#REF!</f>
        <v>#REF!</v>
      </c>
      <c r="AH64" t="e">
        <f>装备!#REF!</f>
        <v>#REF!</v>
      </c>
      <c r="AI64" t="e">
        <f t="shared" si="2"/>
        <v>#REF!</v>
      </c>
      <c r="AJ64" t="e">
        <f>装备!#REF!</f>
        <v>#REF!</v>
      </c>
      <c r="AK64" t="e">
        <f>装备!#REF!</f>
        <v>#REF!</v>
      </c>
      <c r="AL64" t="e">
        <f>装备!#REF!</f>
        <v>#REF!</v>
      </c>
      <c r="AM64" t="e">
        <f>装备!#REF!</f>
        <v>#REF!</v>
      </c>
      <c r="AN64" t="e">
        <f>装备!#REF!</f>
        <v>#REF!</v>
      </c>
      <c r="AO64" t="e">
        <f>装备!#REF!</f>
        <v>#REF!</v>
      </c>
      <c r="AP64" t="e">
        <f>装备!#REF!</f>
        <v>#REF!</v>
      </c>
      <c r="AQ64" t="e">
        <f>装备!#REF!</f>
        <v>#REF!</v>
      </c>
      <c r="AR64" t="e">
        <f>装备!#REF!</f>
        <v>#REF!</v>
      </c>
      <c r="AS64" t="e">
        <f>装备!#REF!</f>
        <v>#REF!</v>
      </c>
      <c r="AT64" t="e">
        <f t="shared" si="3"/>
        <v>#REF!</v>
      </c>
      <c r="AU64" t="e">
        <f>装备!#REF!</f>
        <v>#REF!</v>
      </c>
      <c r="AV64" t="e">
        <f>装备!#REF!</f>
        <v>#REF!</v>
      </c>
      <c r="AW64" t="e">
        <f>装备!#REF!</f>
        <v>#REF!</v>
      </c>
      <c r="AX64" t="e">
        <f>装备!#REF!</f>
        <v>#REF!</v>
      </c>
      <c r="AY64" t="e">
        <f>装备!#REF!</f>
        <v>#REF!</v>
      </c>
      <c r="AZ64" t="e">
        <f>装备!#REF!</f>
        <v>#REF!</v>
      </c>
      <c r="BA64" t="e">
        <f>装备!#REF!</f>
        <v>#REF!</v>
      </c>
      <c r="BB64" t="e">
        <f>装备!#REF!</f>
        <v>#REF!</v>
      </c>
      <c r="BC64" t="e">
        <f>装备!#REF!</f>
        <v>#REF!</v>
      </c>
      <c r="BD64" t="e">
        <f>装备!#REF!</f>
        <v>#REF!</v>
      </c>
      <c r="BE64" t="e">
        <f t="shared" si="4"/>
        <v>#REF!</v>
      </c>
      <c r="BF64" t="e">
        <f>装备!#REF!</f>
        <v>#REF!</v>
      </c>
      <c r="BG64" t="e">
        <f>装备!#REF!</f>
        <v>#REF!</v>
      </c>
      <c r="BH64" t="e">
        <f>装备!#REF!</f>
        <v>#REF!</v>
      </c>
      <c r="BI64" t="e">
        <f>装备!#REF!</f>
        <v>#REF!</v>
      </c>
      <c r="BJ64" t="e">
        <f>装备!#REF!</f>
        <v>#REF!</v>
      </c>
      <c r="BK64" t="e">
        <f>装备!#REF!</f>
        <v>#REF!</v>
      </c>
      <c r="BL64" t="e">
        <f>装备!#REF!</f>
        <v>#REF!</v>
      </c>
      <c r="BM64" t="e">
        <f>装备!#REF!</f>
        <v>#REF!</v>
      </c>
      <c r="BN64" t="e">
        <f>装备!#REF!</f>
        <v>#REF!</v>
      </c>
      <c r="BO64" t="e">
        <f>装备!#REF!</f>
        <v>#REF!</v>
      </c>
      <c r="BP64" t="e">
        <f t="shared" si="5"/>
        <v>#REF!</v>
      </c>
      <c r="BQ64" t="e">
        <f>装备!#REF!</f>
        <v>#REF!</v>
      </c>
      <c r="BR64" t="e">
        <f>装备!#REF!</f>
        <v>#REF!</v>
      </c>
      <c r="BS64" t="e">
        <f>装备!#REF!</f>
        <v>#REF!</v>
      </c>
      <c r="BT64" t="e">
        <f>装备!#REF!</f>
        <v>#REF!</v>
      </c>
      <c r="BU64" t="e">
        <f>装备!#REF!</f>
        <v>#REF!</v>
      </c>
      <c r="BV64" t="e">
        <f>装备!#REF!</f>
        <v>#REF!</v>
      </c>
      <c r="BW64" t="e">
        <f>装备!#REF!</f>
        <v>#REF!</v>
      </c>
      <c r="BX64" t="e">
        <f>装备!#REF!</f>
        <v>#REF!</v>
      </c>
      <c r="BY64" t="e">
        <f>装备!#REF!</f>
        <v>#REF!</v>
      </c>
      <c r="BZ64" t="e">
        <f>装备!#REF!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装备!#REF!</f>
        <v>#REF!</v>
      </c>
      <c r="B65" t="e">
        <f>装备!#REF!</f>
        <v>#REF!</v>
      </c>
      <c r="C65" t="e">
        <f>装备!#REF!</f>
        <v>#REF!</v>
      </c>
      <c r="D65" t="e">
        <f>装备!#REF!</f>
        <v>#REF!</v>
      </c>
      <c r="E65" t="e">
        <f>装备!#REF!</f>
        <v>#REF!</v>
      </c>
      <c r="F65" t="e">
        <f>装备!#REF!</f>
        <v>#REF!</v>
      </c>
      <c r="G65" t="e">
        <f>装备!#REF!</f>
        <v>#REF!</v>
      </c>
      <c r="H65" t="e">
        <f>装备!#REF!</f>
        <v>#REF!</v>
      </c>
      <c r="I65" t="e">
        <f>装备!#REF!</f>
        <v>#REF!</v>
      </c>
      <c r="J65" t="e">
        <f>装备!#REF!</f>
        <v>#REF!</v>
      </c>
      <c r="K65" t="e">
        <f>装备!#REF!</f>
        <v>#REF!</v>
      </c>
      <c r="L65" t="e">
        <f>装备!#REF!</f>
        <v>#REF!</v>
      </c>
      <c r="M65" t="e">
        <f t="shared" si="0"/>
        <v>#REF!</v>
      </c>
      <c r="N65" t="e">
        <f>装备!#REF!</f>
        <v>#REF!</v>
      </c>
      <c r="O65" t="e">
        <f>装备!#REF!</f>
        <v>#REF!</v>
      </c>
      <c r="P65" t="e">
        <f>装备!#REF!</f>
        <v>#REF!</v>
      </c>
      <c r="Q65" t="e">
        <f>装备!#REF!</f>
        <v>#REF!</v>
      </c>
      <c r="R65" t="e">
        <f>装备!#REF!</f>
        <v>#REF!</v>
      </c>
      <c r="S65" t="e">
        <f>装备!#REF!</f>
        <v>#REF!</v>
      </c>
      <c r="T65" t="e">
        <f>装备!#REF!</f>
        <v>#REF!</v>
      </c>
      <c r="U65" t="e">
        <f>装备!#REF!</f>
        <v>#REF!</v>
      </c>
      <c r="V65" t="e">
        <f>装备!#REF!</f>
        <v>#REF!</v>
      </c>
      <c r="W65" t="e">
        <f>装备!#REF!</f>
        <v>#REF!</v>
      </c>
      <c r="X65" t="e">
        <f t="shared" si="1"/>
        <v>#REF!</v>
      </c>
      <c r="Y65" t="e">
        <f>装备!#REF!</f>
        <v>#REF!</v>
      </c>
      <c r="Z65" t="e">
        <f>装备!#REF!</f>
        <v>#REF!</v>
      </c>
      <c r="AA65" t="e">
        <f>装备!#REF!</f>
        <v>#REF!</v>
      </c>
      <c r="AB65" t="e">
        <f>装备!#REF!</f>
        <v>#REF!</v>
      </c>
      <c r="AC65" t="e">
        <f>装备!#REF!</f>
        <v>#REF!</v>
      </c>
      <c r="AD65" t="e">
        <f>装备!#REF!</f>
        <v>#REF!</v>
      </c>
      <c r="AE65" t="e">
        <f>装备!#REF!</f>
        <v>#REF!</v>
      </c>
      <c r="AF65" t="e">
        <f>装备!#REF!</f>
        <v>#REF!</v>
      </c>
      <c r="AG65" t="e">
        <f>装备!#REF!</f>
        <v>#REF!</v>
      </c>
      <c r="AH65" t="e">
        <f>装备!#REF!</f>
        <v>#REF!</v>
      </c>
      <c r="AI65" t="e">
        <f t="shared" si="2"/>
        <v>#REF!</v>
      </c>
      <c r="AJ65" t="e">
        <f>装备!#REF!</f>
        <v>#REF!</v>
      </c>
      <c r="AK65" t="e">
        <f>装备!#REF!</f>
        <v>#REF!</v>
      </c>
      <c r="AL65" t="e">
        <f>装备!#REF!</f>
        <v>#REF!</v>
      </c>
      <c r="AM65" t="e">
        <f>装备!#REF!</f>
        <v>#REF!</v>
      </c>
      <c r="AN65" t="e">
        <f>装备!#REF!</f>
        <v>#REF!</v>
      </c>
      <c r="AO65" t="e">
        <f>装备!#REF!</f>
        <v>#REF!</v>
      </c>
      <c r="AP65" t="e">
        <f>装备!#REF!</f>
        <v>#REF!</v>
      </c>
      <c r="AQ65" t="e">
        <f>装备!#REF!</f>
        <v>#REF!</v>
      </c>
      <c r="AR65" t="e">
        <f>装备!#REF!</f>
        <v>#REF!</v>
      </c>
      <c r="AS65" t="e">
        <f>装备!#REF!</f>
        <v>#REF!</v>
      </c>
      <c r="AT65" t="e">
        <f t="shared" si="3"/>
        <v>#REF!</v>
      </c>
      <c r="AU65" t="e">
        <f>装备!#REF!</f>
        <v>#REF!</v>
      </c>
      <c r="AV65" t="e">
        <f>装备!#REF!</f>
        <v>#REF!</v>
      </c>
      <c r="AW65" t="e">
        <f>装备!#REF!</f>
        <v>#REF!</v>
      </c>
      <c r="AX65" t="e">
        <f>装备!#REF!</f>
        <v>#REF!</v>
      </c>
      <c r="AY65" t="e">
        <f>装备!#REF!</f>
        <v>#REF!</v>
      </c>
      <c r="AZ65" t="e">
        <f>装备!#REF!</f>
        <v>#REF!</v>
      </c>
      <c r="BA65" t="e">
        <f>装备!#REF!</f>
        <v>#REF!</v>
      </c>
      <c r="BB65" t="e">
        <f>装备!#REF!</f>
        <v>#REF!</v>
      </c>
      <c r="BC65" t="e">
        <f>装备!#REF!</f>
        <v>#REF!</v>
      </c>
      <c r="BD65" t="e">
        <f>装备!#REF!</f>
        <v>#REF!</v>
      </c>
      <c r="BE65" t="e">
        <f t="shared" si="4"/>
        <v>#REF!</v>
      </c>
      <c r="BF65" t="e">
        <f>装备!#REF!</f>
        <v>#REF!</v>
      </c>
      <c r="BG65" t="e">
        <f>装备!#REF!</f>
        <v>#REF!</v>
      </c>
      <c r="BH65" t="e">
        <f>装备!#REF!</f>
        <v>#REF!</v>
      </c>
      <c r="BI65" t="e">
        <f>装备!#REF!</f>
        <v>#REF!</v>
      </c>
      <c r="BJ65" t="e">
        <f>装备!#REF!</f>
        <v>#REF!</v>
      </c>
      <c r="BK65" t="e">
        <f>装备!#REF!</f>
        <v>#REF!</v>
      </c>
      <c r="BL65" t="e">
        <f>装备!#REF!</f>
        <v>#REF!</v>
      </c>
      <c r="BM65" t="e">
        <f>装备!#REF!</f>
        <v>#REF!</v>
      </c>
      <c r="BN65" t="e">
        <f>装备!#REF!</f>
        <v>#REF!</v>
      </c>
      <c r="BO65" t="e">
        <f>装备!#REF!</f>
        <v>#REF!</v>
      </c>
      <c r="BP65" t="e">
        <f t="shared" si="5"/>
        <v>#REF!</v>
      </c>
      <c r="BQ65" t="e">
        <f>装备!#REF!</f>
        <v>#REF!</v>
      </c>
      <c r="BR65" t="e">
        <f>装备!#REF!</f>
        <v>#REF!</v>
      </c>
      <c r="BS65" t="e">
        <f>装备!#REF!</f>
        <v>#REF!</v>
      </c>
      <c r="BT65" t="e">
        <f>装备!#REF!</f>
        <v>#REF!</v>
      </c>
      <c r="BU65" t="e">
        <f>装备!#REF!</f>
        <v>#REF!</v>
      </c>
      <c r="BV65" t="e">
        <f>装备!#REF!</f>
        <v>#REF!</v>
      </c>
      <c r="BW65" t="e">
        <f>装备!#REF!</f>
        <v>#REF!</v>
      </c>
      <c r="BX65" t="e">
        <f>装备!#REF!</f>
        <v>#REF!</v>
      </c>
      <c r="BY65" t="e">
        <f>装备!#REF!</f>
        <v>#REF!</v>
      </c>
      <c r="BZ65" t="e">
        <f>装备!#REF!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装备!#REF!</f>
        <v>#REF!</v>
      </c>
      <c r="B66" t="e">
        <f>装备!#REF!</f>
        <v>#REF!</v>
      </c>
      <c r="C66" t="e">
        <f>装备!#REF!</f>
        <v>#REF!</v>
      </c>
      <c r="D66" t="e">
        <f>装备!#REF!</f>
        <v>#REF!</v>
      </c>
      <c r="E66" t="e">
        <f>装备!#REF!</f>
        <v>#REF!</v>
      </c>
      <c r="F66" t="e">
        <f>装备!#REF!</f>
        <v>#REF!</v>
      </c>
      <c r="G66" t="e">
        <f>装备!#REF!</f>
        <v>#REF!</v>
      </c>
      <c r="H66" t="e">
        <f>装备!#REF!</f>
        <v>#REF!</v>
      </c>
      <c r="I66" t="e">
        <f>装备!#REF!</f>
        <v>#REF!</v>
      </c>
      <c r="J66" t="e">
        <f>装备!#REF!</f>
        <v>#REF!</v>
      </c>
      <c r="K66" t="e">
        <f>装备!#REF!</f>
        <v>#REF!</v>
      </c>
      <c r="L66" t="e">
        <f>装备!#REF!</f>
        <v>#REF!</v>
      </c>
      <c r="M66" t="e">
        <f t="shared" si="0"/>
        <v>#REF!</v>
      </c>
      <c r="N66" t="e">
        <f>装备!#REF!</f>
        <v>#REF!</v>
      </c>
      <c r="O66" t="e">
        <f>装备!#REF!</f>
        <v>#REF!</v>
      </c>
      <c r="P66" t="e">
        <f>装备!#REF!</f>
        <v>#REF!</v>
      </c>
      <c r="Q66" t="e">
        <f>装备!#REF!</f>
        <v>#REF!</v>
      </c>
      <c r="R66" t="e">
        <f>装备!#REF!</f>
        <v>#REF!</v>
      </c>
      <c r="S66" t="e">
        <f>装备!#REF!</f>
        <v>#REF!</v>
      </c>
      <c r="T66" t="e">
        <f>装备!#REF!</f>
        <v>#REF!</v>
      </c>
      <c r="U66" t="e">
        <f>装备!#REF!</f>
        <v>#REF!</v>
      </c>
      <c r="V66" t="e">
        <f>装备!#REF!</f>
        <v>#REF!</v>
      </c>
      <c r="W66" t="e">
        <f>装备!#REF!</f>
        <v>#REF!</v>
      </c>
      <c r="X66" t="e">
        <f t="shared" si="1"/>
        <v>#REF!</v>
      </c>
      <c r="Y66" t="e">
        <f>装备!#REF!</f>
        <v>#REF!</v>
      </c>
      <c r="Z66" t="e">
        <f>装备!#REF!</f>
        <v>#REF!</v>
      </c>
      <c r="AA66" t="e">
        <f>装备!#REF!</f>
        <v>#REF!</v>
      </c>
      <c r="AB66" t="e">
        <f>装备!#REF!</f>
        <v>#REF!</v>
      </c>
      <c r="AC66" t="e">
        <f>装备!#REF!</f>
        <v>#REF!</v>
      </c>
      <c r="AD66" t="e">
        <f>装备!#REF!</f>
        <v>#REF!</v>
      </c>
      <c r="AE66" t="e">
        <f>装备!#REF!</f>
        <v>#REF!</v>
      </c>
      <c r="AF66" t="e">
        <f>装备!#REF!</f>
        <v>#REF!</v>
      </c>
      <c r="AG66" t="e">
        <f>装备!#REF!</f>
        <v>#REF!</v>
      </c>
      <c r="AH66" t="e">
        <f>装备!#REF!</f>
        <v>#REF!</v>
      </c>
      <c r="AI66" t="e">
        <f t="shared" si="2"/>
        <v>#REF!</v>
      </c>
      <c r="AJ66" t="e">
        <f>装备!#REF!</f>
        <v>#REF!</v>
      </c>
      <c r="AK66" t="e">
        <f>装备!#REF!</f>
        <v>#REF!</v>
      </c>
      <c r="AL66" t="e">
        <f>装备!#REF!</f>
        <v>#REF!</v>
      </c>
      <c r="AM66" t="e">
        <f>装备!#REF!</f>
        <v>#REF!</v>
      </c>
      <c r="AN66" t="e">
        <f>装备!#REF!</f>
        <v>#REF!</v>
      </c>
      <c r="AO66" t="e">
        <f>装备!#REF!</f>
        <v>#REF!</v>
      </c>
      <c r="AP66" t="e">
        <f>装备!#REF!</f>
        <v>#REF!</v>
      </c>
      <c r="AQ66" t="e">
        <f>装备!#REF!</f>
        <v>#REF!</v>
      </c>
      <c r="AR66" t="e">
        <f>装备!#REF!</f>
        <v>#REF!</v>
      </c>
      <c r="AS66" t="e">
        <f>装备!#REF!</f>
        <v>#REF!</v>
      </c>
      <c r="AT66" t="e">
        <f t="shared" si="3"/>
        <v>#REF!</v>
      </c>
      <c r="AU66" t="e">
        <f>装备!#REF!</f>
        <v>#REF!</v>
      </c>
      <c r="AV66" t="e">
        <f>装备!#REF!</f>
        <v>#REF!</v>
      </c>
      <c r="AW66" t="e">
        <f>装备!#REF!</f>
        <v>#REF!</v>
      </c>
      <c r="AX66" t="e">
        <f>装备!#REF!</f>
        <v>#REF!</v>
      </c>
      <c r="AY66" t="e">
        <f>装备!#REF!</f>
        <v>#REF!</v>
      </c>
      <c r="AZ66" t="e">
        <f>装备!#REF!</f>
        <v>#REF!</v>
      </c>
      <c r="BA66" t="e">
        <f>装备!#REF!</f>
        <v>#REF!</v>
      </c>
      <c r="BB66" t="e">
        <f>装备!#REF!</f>
        <v>#REF!</v>
      </c>
      <c r="BC66" t="e">
        <f>装备!#REF!</f>
        <v>#REF!</v>
      </c>
      <c r="BD66" t="e">
        <f>装备!#REF!</f>
        <v>#REF!</v>
      </c>
      <c r="BE66" t="e">
        <f t="shared" si="4"/>
        <v>#REF!</v>
      </c>
      <c r="BF66" t="e">
        <f>装备!#REF!</f>
        <v>#REF!</v>
      </c>
      <c r="BG66" t="e">
        <f>装备!#REF!</f>
        <v>#REF!</v>
      </c>
      <c r="BH66" t="e">
        <f>装备!#REF!</f>
        <v>#REF!</v>
      </c>
      <c r="BI66" t="e">
        <f>装备!#REF!</f>
        <v>#REF!</v>
      </c>
      <c r="BJ66" t="e">
        <f>装备!#REF!</f>
        <v>#REF!</v>
      </c>
      <c r="BK66" t="e">
        <f>装备!#REF!</f>
        <v>#REF!</v>
      </c>
      <c r="BL66" t="e">
        <f>装备!#REF!</f>
        <v>#REF!</v>
      </c>
      <c r="BM66" t="e">
        <f>装备!#REF!</f>
        <v>#REF!</v>
      </c>
      <c r="BN66" t="e">
        <f>装备!#REF!</f>
        <v>#REF!</v>
      </c>
      <c r="BO66" t="e">
        <f>装备!#REF!</f>
        <v>#REF!</v>
      </c>
      <c r="BP66" t="e">
        <f t="shared" si="5"/>
        <v>#REF!</v>
      </c>
      <c r="BQ66" t="e">
        <f>装备!#REF!</f>
        <v>#REF!</v>
      </c>
      <c r="BR66" t="e">
        <f>装备!#REF!</f>
        <v>#REF!</v>
      </c>
      <c r="BS66" t="e">
        <f>装备!#REF!</f>
        <v>#REF!</v>
      </c>
      <c r="BT66" t="e">
        <f>装备!#REF!</f>
        <v>#REF!</v>
      </c>
      <c r="BU66" t="e">
        <f>装备!#REF!</f>
        <v>#REF!</v>
      </c>
      <c r="BV66" t="e">
        <f>装备!#REF!</f>
        <v>#REF!</v>
      </c>
      <c r="BW66" t="e">
        <f>装备!#REF!</f>
        <v>#REF!</v>
      </c>
      <c r="BX66" t="e">
        <f>装备!#REF!</f>
        <v>#REF!</v>
      </c>
      <c r="BY66" t="e">
        <f>装备!#REF!</f>
        <v>#REF!</v>
      </c>
      <c r="BZ66" t="e">
        <f>装备!#REF!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装备!#REF!</f>
        <v>#REF!</v>
      </c>
      <c r="B67" t="e">
        <f>装备!#REF!</f>
        <v>#REF!</v>
      </c>
      <c r="C67" t="e">
        <f>装备!#REF!</f>
        <v>#REF!</v>
      </c>
      <c r="D67" t="e">
        <f>装备!#REF!</f>
        <v>#REF!</v>
      </c>
      <c r="E67" t="e">
        <f>装备!#REF!</f>
        <v>#REF!</v>
      </c>
      <c r="F67" t="e">
        <f>装备!#REF!</f>
        <v>#REF!</v>
      </c>
      <c r="G67" t="e">
        <f>装备!#REF!</f>
        <v>#REF!</v>
      </c>
      <c r="H67" t="e">
        <f>装备!#REF!</f>
        <v>#REF!</v>
      </c>
      <c r="I67" t="e">
        <f>装备!#REF!</f>
        <v>#REF!</v>
      </c>
      <c r="J67" t="e">
        <f>装备!#REF!</f>
        <v>#REF!</v>
      </c>
      <c r="K67" t="e">
        <f>装备!#REF!</f>
        <v>#REF!</v>
      </c>
      <c r="L67" t="e">
        <f>装备!#REF!</f>
        <v>#REF!</v>
      </c>
      <c r="M67" t="e">
        <f t="shared" si="0"/>
        <v>#REF!</v>
      </c>
      <c r="N67" t="e">
        <f>装备!#REF!</f>
        <v>#REF!</v>
      </c>
      <c r="O67" t="e">
        <f>装备!#REF!</f>
        <v>#REF!</v>
      </c>
      <c r="P67" t="e">
        <f>装备!#REF!</f>
        <v>#REF!</v>
      </c>
      <c r="Q67" t="e">
        <f>装备!#REF!</f>
        <v>#REF!</v>
      </c>
      <c r="R67" t="e">
        <f>装备!#REF!</f>
        <v>#REF!</v>
      </c>
      <c r="S67" t="e">
        <f>装备!#REF!</f>
        <v>#REF!</v>
      </c>
      <c r="T67" t="e">
        <f>装备!#REF!</f>
        <v>#REF!</v>
      </c>
      <c r="U67" t="e">
        <f>装备!#REF!</f>
        <v>#REF!</v>
      </c>
      <c r="V67" t="e">
        <f>装备!#REF!</f>
        <v>#REF!</v>
      </c>
      <c r="W67" t="e">
        <f>装备!#REF!</f>
        <v>#REF!</v>
      </c>
      <c r="X67" t="e">
        <f t="shared" si="1"/>
        <v>#REF!</v>
      </c>
      <c r="Y67" t="e">
        <f>装备!#REF!</f>
        <v>#REF!</v>
      </c>
      <c r="Z67" t="e">
        <f>装备!#REF!</f>
        <v>#REF!</v>
      </c>
      <c r="AA67" t="e">
        <f>装备!#REF!</f>
        <v>#REF!</v>
      </c>
      <c r="AB67" t="e">
        <f>装备!#REF!</f>
        <v>#REF!</v>
      </c>
      <c r="AC67" t="e">
        <f>装备!#REF!</f>
        <v>#REF!</v>
      </c>
      <c r="AD67" t="e">
        <f>装备!#REF!</f>
        <v>#REF!</v>
      </c>
      <c r="AE67" t="e">
        <f>装备!#REF!</f>
        <v>#REF!</v>
      </c>
      <c r="AF67" t="e">
        <f>装备!#REF!</f>
        <v>#REF!</v>
      </c>
      <c r="AG67" t="e">
        <f>装备!#REF!</f>
        <v>#REF!</v>
      </c>
      <c r="AH67" t="e">
        <f>装备!#REF!</f>
        <v>#REF!</v>
      </c>
      <c r="AI67" t="e">
        <f t="shared" si="2"/>
        <v>#REF!</v>
      </c>
      <c r="AJ67" t="e">
        <f>装备!#REF!</f>
        <v>#REF!</v>
      </c>
      <c r="AK67" t="e">
        <f>装备!#REF!</f>
        <v>#REF!</v>
      </c>
      <c r="AL67" t="e">
        <f>装备!#REF!</f>
        <v>#REF!</v>
      </c>
      <c r="AM67" t="e">
        <f>装备!#REF!</f>
        <v>#REF!</v>
      </c>
      <c r="AN67" t="e">
        <f>装备!#REF!</f>
        <v>#REF!</v>
      </c>
      <c r="AO67" t="e">
        <f>装备!#REF!</f>
        <v>#REF!</v>
      </c>
      <c r="AP67" t="e">
        <f>装备!#REF!</f>
        <v>#REF!</v>
      </c>
      <c r="AQ67" t="e">
        <f>装备!#REF!</f>
        <v>#REF!</v>
      </c>
      <c r="AR67" t="e">
        <f>装备!#REF!</f>
        <v>#REF!</v>
      </c>
      <c r="AS67" t="e">
        <f>装备!#REF!</f>
        <v>#REF!</v>
      </c>
      <c r="AT67" t="e">
        <f t="shared" si="3"/>
        <v>#REF!</v>
      </c>
      <c r="AU67" t="e">
        <f>装备!#REF!</f>
        <v>#REF!</v>
      </c>
      <c r="AV67" t="e">
        <f>装备!#REF!</f>
        <v>#REF!</v>
      </c>
      <c r="AW67" t="e">
        <f>装备!#REF!</f>
        <v>#REF!</v>
      </c>
      <c r="AX67" t="e">
        <f>装备!#REF!</f>
        <v>#REF!</v>
      </c>
      <c r="AY67" t="e">
        <f>装备!#REF!</f>
        <v>#REF!</v>
      </c>
      <c r="AZ67" t="e">
        <f>装备!#REF!</f>
        <v>#REF!</v>
      </c>
      <c r="BA67" t="e">
        <f>装备!#REF!</f>
        <v>#REF!</v>
      </c>
      <c r="BB67" t="e">
        <f>装备!#REF!</f>
        <v>#REF!</v>
      </c>
      <c r="BC67" t="e">
        <f>装备!#REF!</f>
        <v>#REF!</v>
      </c>
      <c r="BD67" t="e">
        <f>装备!#REF!</f>
        <v>#REF!</v>
      </c>
      <c r="BE67" t="e">
        <f t="shared" si="4"/>
        <v>#REF!</v>
      </c>
      <c r="BF67" t="e">
        <f>装备!#REF!</f>
        <v>#REF!</v>
      </c>
      <c r="BG67" t="e">
        <f>装备!#REF!</f>
        <v>#REF!</v>
      </c>
      <c r="BH67" t="e">
        <f>装备!#REF!</f>
        <v>#REF!</v>
      </c>
      <c r="BI67" t="e">
        <f>装备!#REF!</f>
        <v>#REF!</v>
      </c>
      <c r="BJ67" t="e">
        <f>装备!#REF!</f>
        <v>#REF!</v>
      </c>
      <c r="BK67" t="e">
        <f>装备!#REF!</f>
        <v>#REF!</v>
      </c>
      <c r="BL67" t="e">
        <f>装备!#REF!</f>
        <v>#REF!</v>
      </c>
      <c r="BM67" t="e">
        <f>装备!#REF!</f>
        <v>#REF!</v>
      </c>
      <c r="BN67" t="e">
        <f>装备!#REF!</f>
        <v>#REF!</v>
      </c>
      <c r="BO67" t="e">
        <f>装备!#REF!</f>
        <v>#REF!</v>
      </c>
      <c r="BP67" t="e">
        <f t="shared" si="5"/>
        <v>#REF!</v>
      </c>
      <c r="BQ67" t="e">
        <f>装备!#REF!</f>
        <v>#REF!</v>
      </c>
      <c r="BR67" t="e">
        <f>装备!#REF!</f>
        <v>#REF!</v>
      </c>
      <c r="BS67" t="e">
        <f>装备!#REF!</f>
        <v>#REF!</v>
      </c>
      <c r="BT67" t="e">
        <f>装备!#REF!</f>
        <v>#REF!</v>
      </c>
      <c r="BU67" t="e">
        <f>装备!#REF!</f>
        <v>#REF!</v>
      </c>
      <c r="BV67" t="e">
        <f>装备!#REF!</f>
        <v>#REF!</v>
      </c>
      <c r="BW67" t="e">
        <f>装备!#REF!</f>
        <v>#REF!</v>
      </c>
      <c r="BX67" t="e">
        <f>装备!#REF!</f>
        <v>#REF!</v>
      </c>
      <c r="BY67" t="e">
        <f>装备!#REF!</f>
        <v>#REF!</v>
      </c>
      <c r="BZ67" t="e">
        <f>装备!#REF!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装备!#REF!</f>
        <v>#REF!</v>
      </c>
      <c r="B68" t="e">
        <f>装备!#REF!</f>
        <v>#REF!</v>
      </c>
      <c r="C68" t="e">
        <f>装备!#REF!</f>
        <v>#REF!</v>
      </c>
      <c r="D68" t="e">
        <f>装备!#REF!</f>
        <v>#REF!</v>
      </c>
      <c r="E68" t="e">
        <f>装备!#REF!</f>
        <v>#REF!</v>
      </c>
      <c r="F68" t="e">
        <f>装备!#REF!</f>
        <v>#REF!</v>
      </c>
      <c r="G68" t="e">
        <f>装备!#REF!</f>
        <v>#REF!</v>
      </c>
      <c r="H68" t="e">
        <f>装备!#REF!</f>
        <v>#REF!</v>
      </c>
      <c r="I68" t="e">
        <f>装备!#REF!</f>
        <v>#REF!</v>
      </c>
      <c r="J68" t="e">
        <f>装备!#REF!</f>
        <v>#REF!</v>
      </c>
      <c r="K68" t="e">
        <f>装备!#REF!</f>
        <v>#REF!</v>
      </c>
      <c r="L68" t="e">
        <f>装备!#REF!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装备!#REF!</f>
        <v>#REF!</v>
      </c>
      <c r="O68" t="e">
        <f>装备!#REF!</f>
        <v>#REF!</v>
      </c>
      <c r="P68" t="e">
        <f>装备!#REF!</f>
        <v>#REF!</v>
      </c>
      <c r="Q68" t="e">
        <f>装备!#REF!</f>
        <v>#REF!</v>
      </c>
      <c r="R68" t="e">
        <f>装备!#REF!</f>
        <v>#REF!</v>
      </c>
      <c r="S68" t="e">
        <f>装备!#REF!</f>
        <v>#REF!</v>
      </c>
      <c r="T68" t="e">
        <f>装备!#REF!</f>
        <v>#REF!</v>
      </c>
      <c r="U68" t="e">
        <f>装备!#REF!</f>
        <v>#REF!</v>
      </c>
      <c r="V68" t="e">
        <f>装备!#REF!</f>
        <v>#REF!</v>
      </c>
      <c r="W68" t="e">
        <f>装备!#REF!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装备!#REF!</f>
        <v>#REF!</v>
      </c>
      <c r="Z68" t="e">
        <f>装备!#REF!</f>
        <v>#REF!</v>
      </c>
      <c r="AA68" t="e">
        <f>装备!#REF!</f>
        <v>#REF!</v>
      </c>
      <c r="AB68" t="e">
        <f>装备!#REF!</f>
        <v>#REF!</v>
      </c>
      <c r="AC68" t="e">
        <f>装备!#REF!</f>
        <v>#REF!</v>
      </c>
      <c r="AD68" t="e">
        <f>装备!#REF!</f>
        <v>#REF!</v>
      </c>
      <c r="AE68" t="e">
        <f>装备!#REF!</f>
        <v>#REF!</v>
      </c>
      <c r="AF68" t="e">
        <f>装备!#REF!</f>
        <v>#REF!</v>
      </c>
      <c r="AG68" t="e">
        <f>装备!#REF!</f>
        <v>#REF!</v>
      </c>
      <c r="AH68" t="e">
        <f>装备!#REF!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装备!#REF!</f>
        <v>#REF!</v>
      </c>
      <c r="AK68" t="e">
        <f>装备!#REF!</f>
        <v>#REF!</v>
      </c>
      <c r="AL68" t="e">
        <f>装备!#REF!</f>
        <v>#REF!</v>
      </c>
      <c r="AM68" t="e">
        <f>装备!#REF!</f>
        <v>#REF!</v>
      </c>
      <c r="AN68" t="e">
        <f>装备!#REF!</f>
        <v>#REF!</v>
      </c>
      <c r="AO68" t="e">
        <f>装备!#REF!</f>
        <v>#REF!</v>
      </c>
      <c r="AP68" t="e">
        <f>装备!#REF!</f>
        <v>#REF!</v>
      </c>
      <c r="AQ68" t="e">
        <f>装备!#REF!</f>
        <v>#REF!</v>
      </c>
      <c r="AR68" t="e">
        <f>装备!#REF!</f>
        <v>#REF!</v>
      </c>
      <c r="AS68" t="e">
        <f>装备!#REF!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装备!#REF!</f>
        <v>#REF!</v>
      </c>
      <c r="AV68" t="e">
        <f>装备!#REF!</f>
        <v>#REF!</v>
      </c>
      <c r="AW68" t="e">
        <f>装备!#REF!</f>
        <v>#REF!</v>
      </c>
      <c r="AX68" t="e">
        <f>装备!#REF!</f>
        <v>#REF!</v>
      </c>
      <c r="AY68" t="e">
        <f>装备!#REF!</f>
        <v>#REF!</v>
      </c>
      <c r="AZ68" t="e">
        <f>装备!#REF!</f>
        <v>#REF!</v>
      </c>
      <c r="BA68" t="e">
        <f>装备!#REF!</f>
        <v>#REF!</v>
      </c>
      <c r="BB68" t="e">
        <f>装备!#REF!</f>
        <v>#REF!</v>
      </c>
      <c r="BC68" t="e">
        <f>装备!#REF!</f>
        <v>#REF!</v>
      </c>
      <c r="BD68" t="e">
        <f>装备!#REF!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装备!#REF!</f>
        <v>#REF!</v>
      </c>
      <c r="BG68" t="e">
        <f>装备!#REF!</f>
        <v>#REF!</v>
      </c>
      <c r="BH68" t="e">
        <f>装备!#REF!</f>
        <v>#REF!</v>
      </c>
      <c r="BI68" t="e">
        <f>装备!#REF!</f>
        <v>#REF!</v>
      </c>
      <c r="BJ68" t="e">
        <f>装备!#REF!</f>
        <v>#REF!</v>
      </c>
      <c r="BK68" t="e">
        <f>装备!#REF!</f>
        <v>#REF!</v>
      </c>
      <c r="BL68" t="e">
        <f>装备!#REF!</f>
        <v>#REF!</v>
      </c>
      <c r="BM68" t="e">
        <f>装备!#REF!</f>
        <v>#REF!</v>
      </c>
      <c r="BN68" t="e">
        <f>装备!#REF!</f>
        <v>#REF!</v>
      </c>
      <c r="BO68" t="e">
        <f>装备!#REF!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装备!#REF!</f>
        <v>#REF!</v>
      </c>
      <c r="BR68" t="e">
        <f>装备!#REF!</f>
        <v>#REF!</v>
      </c>
      <c r="BS68" t="e">
        <f>装备!#REF!</f>
        <v>#REF!</v>
      </c>
      <c r="BT68" t="e">
        <f>装备!#REF!</f>
        <v>#REF!</v>
      </c>
      <c r="BU68" t="e">
        <f>装备!#REF!</f>
        <v>#REF!</v>
      </c>
      <c r="BV68" t="e">
        <f>装备!#REF!</f>
        <v>#REF!</v>
      </c>
      <c r="BW68" t="e">
        <f>装备!#REF!</f>
        <v>#REF!</v>
      </c>
      <c r="BX68" t="e">
        <f>装备!#REF!</f>
        <v>#REF!</v>
      </c>
      <c r="BY68" t="e">
        <f>装备!#REF!</f>
        <v>#REF!</v>
      </c>
      <c r="BZ68" t="e">
        <f>装备!#REF!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装备!#REF!</f>
        <v>#REF!</v>
      </c>
      <c r="B69" t="e">
        <f>装备!#REF!</f>
        <v>#REF!</v>
      </c>
      <c r="C69" t="e">
        <f>装备!#REF!</f>
        <v>#REF!</v>
      </c>
      <c r="D69" t="e">
        <f>装备!#REF!</f>
        <v>#REF!</v>
      </c>
      <c r="E69" t="e">
        <f>装备!#REF!</f>
        <v>#REF!</v>
      </c>
      <c r="F69" t="e">
        <f>装备!#REF!</f>
        <v>#REF!</v>
      </c>
      <c r="G69" t="e">
        <f>装备!#REF!</f>
        <v>#REF!</v>
      </c>
      <c r="H69" t="e">
        <f>装备!#REF!</f>
        <v>#REF!</v>
      </c>
      <c r="I69" t="e">
        <f>装备!#REF!</f>
        <v>#REF!</v>
      </c>
      <c r="J69" t="e">
        <f>装备!#REF!</f>
        <v>#REF!</v>
      </c>
      <c r="K69" t="e">
        <f>装备!#REF!</f>
        <v>#REF!</v>
      </c>
      <c r="L69" t="e">
        <f>装备!#REF!</f>
        <v>#REF!</v>
      </c>
      <c r="M69" t="e">
        <f t="shared" si="14"/>
        <v>#REF!</v>
      </c>
      <c r="N69" t="e">
        <f>装备!#REF!</f>
        <v>#REF!</v>
      </c>
      <c r="O69" t="e">
        <f>装备!#REF!</f>
        <v>#REF!</v>
      </c>
      <c r="P69" t="e">
        <f>装备!#REF!</f>
        <v>#REF!</v>
      </c>
      <c r="Q69" t="e">
        <f>装备!#REF!</f>
        <v>#REF!</v>
      </c>
      <c r="R69" t="e">
        <f>装备!#REF!</f>
        <v>#REF!</v>
      </c>
      <c r="S69" t="e">
        <f>装备!#REF!</f>
        <v>#REF!</v>
      </c>
      <c r="T69" t="e">
        <f>装备!#REF!</f>
        <v>#REF!</v>
      </c>
      <c r="U69" t="e">
        <f>装备!#REF!</f>
        <v>#REF!</v>
      </c>
      <c r="V69" t="e">
        <f>装备!#REF!</f>
        <v>#REF!</v>
      </c>
      <c r="W69" t="e">
        <f>装备!#REF!</f>
        <v>#REF!</v>
      </c>
      <c r="X69" t="e">
        <f t="shared" si="15"/>
        <v>#REF!</v>
      </c>
      <c r="Y69" t="e">
        <f>装备!#REF!</f>
        <v>#REF!</v>
      </c>
      <c r="Z69" t="e">
        <f>装备!#REF!</f>
        <v>#REF!</v>
      </c>
      <c r="AA69" t="e">
        <f>装备!#REF!</f>
        <v>#REF!</v>
      </c>
      <c r="AB69" t="e">
        <f>装备!#REF!</f>
        <v>#REF!</v>
      </c>
      <c r="AC69" t="e">
        <f>装备!#REF!</f>
        <v>#REF!</v>
      </c>
      <c r="AD69" t="e">
        <f>装备!#REF!</f>
        <v>#REF!</v>
      </c>
      <c r="AE69" t="e">
        <f>装备!#REF!</f>
        <v>#REF!</v>
      </c>
      <c r="AF69" t="e">
        <f>装备!#REF!</f>
        <v>#REF!</v>
      </c>
      <c r="AG69" t="e">
        <f>装备!#REF!</f>
        <v>#REF!</v>
      </c>
      <c r="AH69" t="e">
        <f>装备!#REF!</f>
        <v>#REF!</v>
      </c>
      <c r="AI69" t="e">
        <f t="shared" si="16"/>
        <v>#REF!</v>
      </c>
      <c r="AJ69" t="e">
        <f>装备!#REF!</f>
        <v>#REF!</v>
      </c>
      <c r="AK69" t="e">
        <f>装备!#REF!</f>
        <v>#REF!</v>
      </c>
      <c r="AL69" t="e">
        <f>装备!#REF!</f>
        <v>#REF!</v>
      </c>
      <c r="AM69" t="e">
        <f>装备!#REF!</f>
        <v>#REF!</v>
      </c>
      <c r="AN69" t="e">
        <f>装备!#REF!</f>
        <v>#REF!</v>
      </c>
      <c r="AO69" t="e">
        <f>装备!#REF!</f>
        <v>#REF!</v>
      </c>
      <c r="AP69" t="e">
        <f>装备!#REF!</f>
        <v>#REF!</v>
      </c>
      <c r="AQ69" t="e">
        <f>装备!#REF!</f>
        <v>#REF!</v>
      </c>
      <c r="AR69" t="e">
        <f>装备!#REF!</f>
        <v>#REF!</v>
      </c>
      <c r="AS69" t="e">
        <f>装备!#REF!</f>
        <v>#REF!</v>
      </c>
      <c r="AT69" t="e">
        <f t="shared" si="17"/>
        <v>#REF!</v>
      </c>
      <c r="AU69" t="e">
        <f>装备!#REF!</f>
        <v>#REF!</v>
      </c>
      <c r="AV69" t="e">
        <f>装备!#REF!</f>
        <v>#REF!</v>
      </c>
      <c r="AW69" t="e">
        <f>装备!#REF!</f>
        <v>#REF!</v>
      </c>
      <c r="AX69" t="e">
        <f>装备!#REF!</f>
        <v>#REF!</v>
      </c>
      <c r="AY69" t="e">
        <f>装备!#REF!</f>
        <v>#REF!</v>
      </c>
      <c r="AZ69" t="e">
        <f>装备!#REF!</f>
        <v>#REF!</v>
      </c>
      <c r="BA69" t="e">
        <f>装备!#REF!</f>
        <v>#REF!</v>
      </c>
      <c r="BB69" t="e">
        <f>装备!#REF!</f>
        <v>#REF!</v>
      </c>
      <c r="BC69" t="e">
        <f>装备!#REF!</f>
        <v>#REF!</v>
      </c>
      <c r="BD69" t="e">
        <f>装备!#REF!</f>
        <v>#REF!</v>
      </c>
      <c r="BE69" t="e">
        <f t="shared" si="18"/>
        <v>#REF!</v>
      </c>
      <c r="BF69" t="e">
        <f>装备!#REF!</f>
        <v>#REF!</v>
      </c>
      <c r="BG69" t="e">
        <f>装备!#REF!</f>
        <v>#REF!</v>
      </c>
      <c r="BH69" t="e">
        <f>装备!#REF!</f>
        <v>#REF!</v>
      </c>
      <c r="BI69" t="e">
        <f>装备!#REF!</f>
        <v>#REF!</v>
      </c>
      <c r="BJ69" t="e">
        <f>装备!#REF!</f>
        <v>#REF!</v>
      </c>
      <c r="BK69" t="e">
        <f>装备!#REF!</f>
        <v>#REF!</v>
      </c>
      <c r="BL69" t="e">
        <f>装备!#REF!</f>
        <v>#REF!</v>
      </c>
      <c r="BM69" t="e">
        <f>装备!#REF!</f>
        <v>#REF!</v>
      </c>
      <c r="BN69" t="e">
        <f>装备!#REF!</f>
        <v>#REF!</v>
      </c>
      <c r="BO69" t="e">
        <f>装备!#REF!</f>
        <v>#REF!</v>
      </c>
      <c r="BP69" t="e">
        <f t="shared" si="19"/>
        <v>#REF!</v>
      </c>
      <c r="BQ69" t="e">
        <f>装备!#REF!</f>
        <v>#REF!</v>
      </c>
      <c r="BR69" t="e">
        <f>装备!#REF!</f>
        <v>#REF!</v>
      </c>
      <c r="BS69" t="e">
        <f>装备!#REF!</f>
        <v>#REF!</v>
      </c>
      <c r="BT69" t="e">
        <f>装备!#REF!</f>
        <v>#REF!</v>
      </c>
      <c r="BU69" t="e">
        <f>装备!#REF!</f>
        <v>#REF!</v>
      </c>
      <c r="BV69" t="e">
        <f>装备!#REF!</f>
        <v>#REF!</v>
      </c>
      <c r="BW69" t="e">
        <f>装备!#REF!</f>
        <v>#REF!</v>
      </c>
      <c r="BX69" t="e">
        <f>装备!#REF!</f>
        <v>#REF!</v>
      </c>
      <c r="BY69" t="e">
        <f>装备!#REF!</f>
        <v>#REF!</v>
      </c>
      <c r="BZ69" t="e">
        <f>装备!#REF!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装备!#REF!</f>
        <v>#REF!</v>
      </c>
      <c r="B70" t="e">
        <f>装备!#REF!</f>
        <v>#REF!</v>
      </c>
      <c r="C70" t="e">
        <f>装备!#REF!</f>
        <v>#REF!</v>
      </c>
      <c r="D70" t="e">
        <f>装备!#REF!</f>
        <v>#REF!</v>
      </c>
      <c r="E70" t="e">
        <f>装备!#REF!</f>
        <v>#REF!</v>
      </c>
      <c r="F70" t="e">
        <f>装备!#REF!</f>
        <v>#REF!</v>
      </c>
      <c r="G70" t="e">
        <f>装备!#REF!</f>
        <v>#REF!</v>
      </c>
      <c r="H70" t="e">
        <f>装备!#REF!</f>
        <v>#REF!</v>
      </c>
      <c r="I70" t="e">
        <f>装备!#REF!</f>
        <v>#REF!</v>
      </c>
      <c r="J70" t="e">
        <f>装备!#REF!</f>
        <v>#REF!</v>
      </c>
      <c r="K70" t="e">
        <f>装备!#REF!</f>
        <v>#REF!</v>
      </c>
      <c r="L70" t="e">
        <f>装备!#REF!</f>
        <v>#REF!</v>
      </c>
      <c r="M70" t="e">
        <f t="shared" si="14"/>
        <v>#REF!</v>
      </c>
      <c r="N70" t="e">
        <f>装备!#REF!</f>
        <v>#REF!</v>
      </c>
      <c r="O70" t="e">
        <f>装备!#REF!</f>
        <v>#REF!</v>
      </c>
      <c r="P70" t="e">
        <f>装备!#REF!</f>
        <v>#REF!</v>
      </c>
      <c r="Q70" t="e">
        <f>装备!#REF!</f>
        <v>#REF!</v>
      </c>
      <c r="R70" t="e">
        <f>装备!#REF!</f>
        <v>#REF!</v>
      </c>
      <c r="S70" t="e">
        <f>装备!#REF!</f>
        <v>#REF!</v>
      </c>
      <c r="T70" t="e">
        <f>装备!#REF!</f>
        <v>#REF!</v>
      </c>
      <c r="U70" t="e">
        <f>装备!#REF!</f>
        <v>#REF!</v>
      </c>
      <c r="V70" t="e">
        <f>装备!#REF!</f>
        <v>#REF!</v>
      </c>
      <c r="W70" t="e">
        <f>装备!#REF!</f>
        <v>#REF!</v>
      </c>
      <c r="X70" t="e">
        <f t="shared" si="15"/>
        <v>#REF!</v>
      </c>
      <c r="Y70" t="e">
        <f>装备!#REF!</f>
        <v>#REF!</v>
      </c>
      <c r="Z70" t="e">
        <f>装备!#REF!</f>
        <v>#REF!</v>
      </c>
      <c r="AA70" t="e">
        <f>装备!#REF!</f>
        <v>#REF!</v>
      </c>
      <c r="AB70" t="e">
        <f>装备!#REF!</f>
        <v>#REF!</v>
      </c>
      <c r="AC70" t="e">
        <f>装备!#REF!</f>
        <v>#REF!</v>
      </c>
      <c r="AD70" t="e">
        <f>装备!#REF!</f>
        <v>#REF!</v>
      </c>
      <c r="AE70" t="e">
        <f>装备!#REF!</f>
        <v>#REF!</v>
      </c>
      <c r="AF70" t="e">
        <f>装备!#REF!</f>
        <v>#REF!</v>
      </c>
      <c r="AG70" t="e">
        <f>装备!#REF!</f>
        <v>#REF!</v>
      </c>
      <c r="AH70" t="e">
        <f>装备!#REF!</f>
        <v>#REF!</v>
      </c>
      <c r="AI70" t="e">
        <f t="shared" si="16"/>
        <v>#REF!</v>
      </c>
      <c r="AJ70" t="e">
        <f>装备!#REF!</f>
        <v>#REF!</v>
      </c>
      <c r="AK70" t="e">
        <f>装备!#REF!</f>
        <v>#REF!</v>
      </c>
      <c r="AL70" t="e">
        <f>装备!#REF!</f>
        <v>#REF!</v>
      </c>
      <c r="AM70" t="e">
        <f>装备!#REF!</f>
        <v>#REF!</v>
      </c>
      <c r="AN70" t="e">
        <f>装备!#REF!</f>
        <v>#REF!</v>
      </c>
      <c r="AO70" t="e">
        <f>装备!#REF!</f>
        <v>#REF!</v>
      </c>
      <c r="AP70" t="e">
        <f>装备!#REF!</f>
        <v>#REF!</v>
      </c>
      <c r="AQ70" t="e">
        <f>装备!#REF!</f>
        <v>#REF!</v>
      </c>
      <c r="AR70" t="e">
        <f>装备!#REF!</f>
        <v>#REF!</v>
      </c>
      <c r="AS70" t="e">
        <f>装备!#REF!</f>
        <v>#REF!</v>
      </c>
      <c r="AT70" t="e">
        <f t="shared" si="17"/>
        <v>#REF!</v>
      </c>
      <c r="AU70" t="e">
        <f>装备!#REF!</f>
        <v>#REF!</v>
      </c>
      <c r="AV70" t="e">
        <f>装备!#REF!</f>
        <v>#REF!</v>
      </c>
      <c r="AW70" t="e">
        <f>装备!#REF!</f>
        <v>#REF!</v>
      </c>
      <c r="AX70" t="e">
        <f>装备!#REF!</f>
        <v>#REF!</v>
      </c>
      <c r="AY70" t="e">
        <f>装备!#REF!</f>
        <v>#REF!</v>
      </c>
      <c r="AZ70" t="e">
        <f>装备!#REF!</f>
        <v>#REF!</v>
      </c>
      <c r="BA70" t="e">
        <f>装备!#REF!</f>
        <v>#REF!</v>
      </c>
      <c r="BB70" t="e">
        <f>装备!#REF!</f>
        <v>#REF!</v>
      </c>
      <c r="BC70" t="e">
        <f>装备!#REF!</f>
        <v>#REF!</v>
      </c>
      <c r="BD70" t="e">
        <f>装备!#REF!</f>
        <v>#REF!</v>
      </c>
      <c r="BE70" t="e">
        <f t="shared" si="18"/>
        <v>#REF!</v>
      </c>
      <c r="BF70" t="e">
        <f>装备!#REF!</f>
        <v>#REF!</v>
      </c>
      <c r="BG70" t="e">
        <f>装备!#REF!</f>
        <v>#REF!</v>
      </c>
      <c r="BH70" t="e">
        <f>装备!#REF!</f>
        <v>#REF!</v>
      </c>
      <c r="BI70" t="e">
        <f>装备!#REF!</f>
        <v>#REF!</v>
      </c>
      <c r="BJ70" t="e">
        <f>装备!#REF!</f>
        <v>#REF!</v>
      </c>
      <c r="BK70" t="e">
        <f>装备!#REF!</f>
        <v>#REF!</v>
      </c>
      <c r="BL70" t="e">
        <f>装备!#REF!</f>
        <v>#REF!</v>
      </c>
      <c r="BM70" t="e">
        <f>装备!#REF!</f>
        <v>#REF!</v>
      </c>
      <c r="BN70" t="e">
        <f>装备!#REF!</f>
        <v>#REF!</v>
      </c>
      <c r="BO70" t="e">
        <f>装备!#REF!</f>
        <v>#REF!</v>
      </c>
      <c r="BP70" t="e">
        <f t="shared" si="19"/>
        <v>#REF!</v>
      </c>
      <c r="BQ70" t="e">
        <f>装备!#REF!</f>
        <v>#REF!</v>
      </c>
      <c r="BR70" t="e">
        <f>装备!#REF!</f>
        <v>#REF!</v>
      </c>
      <c r="BS70" t="e">
        <f>装备!#REF!</f>
        <v>#REF!</v>
      </c>
      <c r="BT70" t="e">
        <f>装备!#REF!</f>
        <v>#REF!</v>
      </c>
      <c r="BU70" t="e">
        <f>装备!#REF!</f>
        <v>#REF!</v>
      </c>
      <c r="BV70" t="e">
        <f>装备!#REF!</f>
        <v>#REF!</v>
      </c>
      <c r="BW70" t="e">
        <f>装备!#REF!</f>
        <v>#REF!</v>
      </c>
      <c r="BX70" t="e">
        <f>装备!#REF!</f>
        <v>#REF!</v>
      </c>
      <c r="BY70" t="e">
        <f>装备!#REF!</f>
        <v>#REF!</v>
      </c>
      <c r="BZ70" t="e">
        <f>装备!#REF!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装备!#REF!</f>
        <v>#REF!</v>
      </c>
      <c r="B71" t="e">
        <f>装备!#REF!</f>
        <v>#REF!</v>
      </c>
      <c r="C71" t="e">
        <f>装备!#REF!</f>
        <v>#REF!</v>
      </c>
      <c r="D71" t="e">
        <f>装备!#REF!</f>
        <v>#REF!</v>
      </c>
      <c r="E71" t="e">
        <f>装备!#REF!</f>
        <v>#REF!</v>
      </c>
      <c r="F71" t="e">
        <f>装备!#REF!</f>
        <v>#REF!</v>
      </c>
      <c r="G71" t="e">
        <f>装备!#REF!</f>
        <v>#REF!</v>
      </c>
      <c r="H71" t="e">
        <f>装备!#REF!</f>
        <v>#REF!</v>
      </c>
      <c r="I71" t="e">
        <f>装备!#REF!</f>
        <v>#REF!</v>
      </c>
      <c r="J71" t="e">
        <f>装备!#REF!</f>
        <v>#REF!</v>
      </c>
      <c r="K71" t="e">
        <f>装备!#REF!</f>
        <v>#REF!</v>
      </c>
      <c r="L71" t="e">
        <f>装备!#REF!</f>
        <v>#REF!</v>
      </c>
      <c r="M71" t="e">
        <f t="shared" si="14"/>
        <v>#REF!</v>
      </c>
      <c r="N71" t="e">
        <f>装备!#REF!</f>
        <v>#REF!</v>
      </c>
      <c r="O71" t="e">
        <f>装备!#REF!</f>
        <v>#REF!</v>
      </c>
      <c r="P71" t="e">
        <f>装备!#REF!</f>
        <v>#REF!</v>
      </c>
      <c r="Q71" t="e">
        <f>装备!#REF!</f>
        <v>#REF!</v>
      </c>
      <c r="R71" t="e">
        <f>装备!#REF!</f>
        <v>#REF!</v>
      </c>
      <c r="S71" t="e">
        <f>装备!#REF!</f>
        <v>#REF!</v>
      </c>
      <c r="T71" t="e">
        <f>装备!#REF!</f>
        <v>#REF!</v>
      </c>
      <c r="U71" t="e">
        <f>装备!#REF!</f>
        <v>#REF!</v>
      </c>
      <c r="V71" t="e">
        <f>装备!#REF!</f>
        <v>#REF!</v>
      </c>
      <c r="W71" t="e">
        <f>装备!#REF!</f>
        <v>#REF!</v>
      </c>
      <c r="X71" t="e">
        <f t="shared" si="15"/>
        <v>#REF!</v>
      </c>
      <c r="Y71" t="e">
        <f>装备!#REF!</f>
        <v>#REF!</v>
      </c>
      <c r="Z71" t="e">
        <f>装备!#REF!</f>
        <v>#REF!</v>
      </c>
      <c r="AA71" t="e">
        <f>装备!#REF!</f>
        <v>#REF!</v>
      </c>
      <c r="AB71" t="e">
        <f>装备!#REF!</f>
        <v>#REF!</v>
      </c>
      <c r="AC71" t="e">
        <f>装备!#REF!</f>
        <v>#REF!</v>
      </c>
      <c r="AD71" t="e">
        <f>装备!#REF!</f>
        <v>#REF!</v>
      </c>
      <c r="AE71" t="e">
        <f>装备!#REF!</f>
        <v>#REF!</v>
      </c>
      <c r="AF71" t="e">
        <f>装备!#REF!</f>
        <v>#REF!</v>
      </c>
      <c r="AG71" t="e">
        <f>装备!#REF!</f>
        <v>#REF!</v>
      </c>
      <c r="AH71" t="e">
        <f>装备!#REF!</f>
        <v>#REF!</v>
      </c>
      <c r="AI71" t="e">
        <f t="shared" si="16"/>
        <v>#REF!</v>
      </c>
      <c r="AJ71" t="e">
        <f>装备!#REF!</f>
        <v>#REF!</v>
      </c>
      <c r="AK71" t="e">
        <f>装备!#REF!</f>
        <v>#REF!</v>
      </c>
      <c r="AL71" t="e">
        <f>装备!#REF!</f>
        <v>#REF!</v>
      </c>
      <c r="AM71" t="e">
        <f>装备!#REF!</f>
        <v>#REF!</v>
      </c>
      <c r="AN71" t="e">
        <f>装备!#REF!</f>
        <v>#REF!</v>
      </c>
      <c r="AO71" t="e">
        <f>装备!#REF!</f>
        <v>#REF!</v>
      </c>
      <c r="AP71" t="e">
        <f>装备!#REF!</f>
        <v>#REF!</v>
      </c>
      <c r="AQ71" t="e">
        <f>装备!#REF!</f>
        <v>#REF!</v>
      </c>
      <c r="AR71" t="e">
        <f>装备!#REF!</f>
        <v>#REF!</v>
      </c>
      <c r="AS71" t="e">
        <f>装备!#REF!</f>
        <v>#REF!</v>
      </c>
      <c r="AT71" t="e">
        <f t="shared" si="17"/>
        <v>#REF!</v>
      </c>
      <c r="AU71" t="e">
        <f>装备!#REF!</f>
        <v>#REF!</v>
      </c>
      <c r="AV71" t="e">
        <f>装备!#REF!</f>
        <v>#REF!</v>
      </c>
      <c r="AW71" t="e">
        <f>装备!#REF!</f>
        <v>#REF!</v>
      </c>
      <c r="AX71" t="e">
        <f>装备!#REF!</f>
        <v>#REF!</v>
      </c>
      <c r="AY71" t="e">
        <f>装备!#REF!</f>
        <v>#REF!</v>
      </c>
      <c r="AZ71" t="e">
        <f>装备!#REF!</f>
        <v>#REF!</v>
      </c>
      <c r="BA71" t="e">
        <f>装备!#REF!</f>
        <v>#REF!</v>
      </c>
      <c r="BB71" t="e">
        <f>装备!#REF!</f>
        <v>#REF!</v>
      </c>
      <c r="BC71" t="e">
        <f>装备!#REF!</f>
        <v>#REF!</v>
      </c>
      <c r="BD71" t="e">
        <f>装备!#REF!</f>
        <v>#REF!</v>
      </c>
      <c r="BE71" t="e">
        <f t="shared" si="18"/>
        <v>#REF!</v>
      </c>
      <c r="BF71" t="e">
        <f>装备!#REF!</f>
        <v>#REF!</v>
      </c>
      <c r="BG71" t="e">
        <f>装备!#REF!</f>
        <v>#REF!</v>
      </c>
      <c r="BH71" t="e">
        <f>装备!#REF!</f>
        <v>#REF!</v>
      </c>
      <c r="BI71" t="e">
        <f>装备!#REF!</f>
        <v>#REF!</v>
      </c>
      <c r="BJ71" t="e">
        <f>装备!#REF!</f>
        <v>#REF!</v>
      </c>
      <c r="BK71" t="e">
        <f>装备!#REF!</f>
        <v>#REF!</v>
      </c>
      <c r="BL71" t="e">
        <f>装备!#REF!</f>
        <v>#REF!</v>
      </c>
      <c r="BM71" t="e">
        <f>装备!#REF!</f>
        <v>#REF!</v>
      </c>
      <c r="BN71" t="e">
        <f>装备!#REF!</f>
        <v>#REF!</v>
      </c>
      <c r="BO71" t="e">
        <f>装备!#REF!</f>
        <v>#REF!</v>
      </c>
      <c r="BP71" t="e">
        <f t="shared" si="19"/>
        <v>#REF!</v>
      </c>
      <c r="BQ71" t="e">
        <f>装备!#REF!</f>
        <v>#REF!</v>
      </c>
      <c r="BR71" t="e">
        <f>装备!#REF!</f>
        <v>#REF!</v>
      </c>
      <c r="BS71" t="e">
        <f>装备!#REF!</f>
        <v>#REF!</v>
      </c>
      <c r="BT71" t="e">
        <f>装备!#REF!</f>
        <v>#REF!</v>
      </c>
      <c r="BU71" t="e">
        <f>装备!#REF!</f>
        <v>#REF!</v>
      </c>
      <c r="BV71" t="e">
        <f>装备!#REF!</f>
        <v>#REF!</v>
      </c>
      <c r="BW71" t="e">
        <f>装备!#REF!</f>
        <v>#REF!</v>
      </c>
      <c r="BX71" t="e">
        <f>装备!#REF!</f>
        <v>#REF!</v>
      </c>
      <c r="BY71" t="e">
        <f>装备!#REF!</f>
        <v>#REF!</v>
      </c>
      <c r="BZ71" t="e">
        <f>装备!#REF!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装备!#REF!</f>
        <v>#REF!</v>
      </c>
      <c r="B72" t="e">
        <f>装备!#REF!</f>
        <v>#REF!</v>
      </c>
      <c r="C72" t="e">
        <f>装备!#REF!</f>
        <v>#REF!</v>
      </c>
      <c r="D72" t="e">
        <f>装备!#REF!</f>
        <v>#REF!</v>
      </c>
      <c r="E72" t="e">
        <f>装备!#REF!</f>
        <v>#REF!</v>
      </c>
      <c r="F72" t="e">
        <f>装备!#REF!</f>
        <v>#REF!</v>
      </c>
      <c r="G72" t="e">
        <f>装备!#REF!</f>
        <v>#REF!</v>
      </c>
      <c r="H72" t="e">
        <f>装备!#REF!</f>
        <v>#REF!</v>
      </c>
      <c r="I72" t="e">
        <f>装备!#REF!</f>
        <v>#REF!</v>
      </c>
      <c r="J72" t="e">
        <f>装备!#REF!</f>
        <v>#REF!</v>
      </c>
      <c r="K72" t="e">
        <f>装备!#REF!</f>
        <v>#REF!</v>
      </c>
      <c r="L72" t="e">
        <f>装备!#REF!</f>
        <v>#REF!</v>
      </c>
      <c r="M72" t="e">
        <f t="shared" si="14"/>
        <v>#REF!</v>
      </c>
      <c r="N72" t="e">
        <f>装备!#REF!</f>
        <v>#REF!</v>
      </c>
      <c r="O72" t="e">
        <f>装备!#REF!</f>
        <v>#REF!</v>
      </c>
      <c r="P72" t="e">
        <f>装备!#REF!</f>
        <v>#REF!</v>
      </c>
      <c r="Q72" t="e">
        <f>装备!#REF!</f>
        <v>#REF!</v>
      </c>
      <c r="R72" t="e">
        <f>装备!#REF!</f>
        <v>#REF!</v>
      </c>
      <c r="S72" t="e">
        <f>装备!#REF!</f>
        <v>#REF!</v>
      </c>
      <c r="T72" t="e">
        <f>装备!#REF!</f>
        <v>#REF!</v>
      </c>
      <c r="U72" t="e">
        <f>装备!#REF!</f>
        <v>#REF!</v>
      </c>
      <c r="V72" t="e">
        <f>装备!#REF!</f>
        <v>#REF!</v>
      </c>
      <c r="W72" t="e">
        <f>装备!#REF!</f>
        <v>#REF!</v>
      </c>
      <c r="X72" t="e">
        <f t="shared" si="15"/>
        <v>#REF!</v>
      </c>
      <c r="Y72" t="e">
        <f>装备!#REF!</f>
        <v>#REF!</v>
      </c>
      <c r="Z72" t="e">
        <f>装备!#REF!</f>
        <v>#REF!</v>
      </c>
      <c r="AA72" t="e">
        <f>装备!#REF!</f>
        <v>#REF!</v>
      </c>
      <c r="AB72" t="e">
        <f>装备!#REF!</f>
        <v>#REF!</v>
      </c>
      <c r="AC72" t="e">
        <f>装备!#REF!</f>
        <v>#REF!</v>
      </c>
      <c r="AD72" t="e">
        <f>装备!#REF!</f>
        <v>#REF!</v>
      </c>
      <c r="AE72" t="e">
        <f>装备!#REF!</f>
        <v>#REF!</v>
      </c>
      <c r="AF72" t="e">
        <f>装备!#REF!</f>
        <v>#REF!</v>
      </c>
      <c r="AG72" t="e">
        <f>装备!#REF!</f>
        <v>#REF!</v>
      </c>
      <c r="AH72" t="e">
        <f>装备!#REF!</f>
        <v>#REF!</v>
      </c>
      <c r="AI72" t="e">
        <f t="shared" si="16"/>
        <v>#REF!</v>
      </c>
      <c r="AJ72" t="e">
        <f>装备!#REF!</f>
        <v>#REF!</v>
      </c>
      <c r="AK72" t="e">
        <f>装备!#REF!</f>
        <v>#REF!</v>
      </c>
      <c r="AL72" t="e">
        <f>装备!#REF!</f>
        <v>#REF!</v>
      </c>
      <c r="AM72" t="e">
        <f>装备!#REF!</f>
        <v>#REF!</v>
      </c>
      <c r="AN72" t="e">
        <f>装备!#REF!</f>
        <v>#REF!</v>
      </c>
      <c r="AO72" t="e">
        <f>装备!#REF!</f>
        <v>#REF!</v>
      </c>
      <c r="AP72" t="e">
        <f>装备!#REF!</f>
        <v>#REF!</v>
      </c>
      <c r="AQ72" t="e">
        <f>装备!#REF!</f>
        <v>#REF!</v>
      </c>
      <c r="AR72" t="e">
        <f>装备!#REF!</f>
        <v>#REF!</v>
      </c>
      <c r="AS72" t="e">
        <f>装备!#REF!</f>
        <v>#REF!</v>
      </c>
      <c r="AT72" t="e">
        <f t="shared" si="17"/>
        <v>#REF!</v>
      </c>
      <c r="AU72" t="e">
        <f>装备!#REF!</f>
        <v>#REF!</v>
      </c>
      <c r="AV72" t="e">
        <f>装备!#REF!</f>
        <v>#REF!</v>
      </c>
      <c r="AW72" t="e">
        <f>装备!#REF!</f>
        <v>#REF!</v>
      </c>
      <c r="AX72" t="e">
        <f>装备!#REF!</f>
        <v>#REF!</v>
      </c>
      <c r="AY72" t="e">
        <f>装备!#REF!</f>
        <v>#REF!</v>
      </c>
      <c r="AZ72" t="e">
        <f>装备!#REF!</f>
        <v>#REF!</v>
      </c>
      <c r="BA72" t="e">
        <f>装备!#REF!</f>
        <v>#REF!</v>
      </c>
      <c r="BB72" t="e">
        <f>装备!#REF!</f>
        <v>#REF!</v>
      </c>
      <c r="BC72" t="e">
        <f>装备!#REF!</f>
        <v>#REF!</v>
      </c>
      <c r="BD72" t="e">
        <f>装备!#REF!</f>
        <v>#REF!</v>
      </c>
      <c r="BE72" t="e">
        <f t="shared" si="18"/>
        <v>#REF!</v>
      </c>
      <c r="BF72" t="e">
        <f>装备!#REF!</f>
        <v>#REF!</v>
      </c>
      <c r="BG72" t="e">
        <f>装备!#REF!</f>
        <v>#REF!</v>
      </c>
      <c r="BH72" t="e">
        <f>装备!#REF!</f>
        <v>#REF!</v>
      </c>
      <c r="BI72" t="e">
        <f>装备!#REF!</f>
        <v>#REF!</v>
      </c>
      <c r="BJ72" t="e">
        <f>装备!#REF!</f>
        <v>#REF!</v>
      </c>
      <c r="BK72" t="e">
        <f>装备!#REF!</f>
        <v>#REF!</v>
      </c>
      <c r="BL72" t="e">
        <f>装备!#REF!</f>
        <v>#REF!</v>
      </c>
      <c r="BM72" t="e">
        <f>装备!#REF!</f>
        <v>#REF!</v>
      </c>
      <c r="BN72" t="e">
        <f>装备!#REF!</f>
        <v>#REF!</v>
      </c>
      <c r="BO72" t="e">
        <f>装备!#REF!</f>
        <v>#REF!</v>
      </c>
      <c r="BP72" t="e">
        <f t="shared" si="19"/>
        <v>#REF!</v>
      </c>
      <c r="BQ72" t="e">
        <f>装备!#REF!</f>
        <v>#REF!</v>
      </c>
      <c r="BR72" t="e">
        <f>装备!#REF!</f>
        <v>#REF!</v>
      </c>
      <c r="BS72" t="e">
        <f>装备!#REF!</f>
        <v>#REF!</v>
      </c>
      <c r="BT72" t="e">
        <f>装备!#REF!</f>
        <v>#REF!</v>
      </c>
      <c r="BU72" t="e">
        <f>装备!#REF!</f>
        <v>#REF!</v>
      </c>
      <c r="BV72" t="e">
        <f>装备!#REF!</f>
        <v>#REF!</v>
      </c>
      <c r="BW72" t="e">
        <f>装备!#REF!</f>
        <v>#REF!</v>
      </c>
      <c r="BX72" t="e">
        <f>装备!#REF!</f>
        <v>#REF!</v>
      </c>
      <c r="BY72" t="e">
        <f>装备!#REF!</f>
        <v>#REF!</v>
      </c>
      <c r="BZ72" t="e">
        <f>装备!#REF!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装备!#REF!</f>
        <v>#REF!</v>
      </c>
      <c r="B73" t="e">
        <f>装备!#REF!</f>
        <v>#REF!</v>
      </c>
      <c r="C73" t="e">
        <f>装备!#REF!</f>
        <v>#REF!</v>
      </c>
      <c r="D73" t="e">
        <f>装备!#REF!</f>
        <v>#REF!</v>
      </c>
      <c r="E73" t="e">
        <f>装备!#REF!</f>
        <v>#REF!</v>
      </c>
      <c r="F73" t="e">
        <f>装备!#REF!</f>
        <v>#REF!</v>
      </c>
      <c r="G73" t="e">
        <f>装备!#REF!</f>
        <v>#REF!</v>
      </c>
      <c r="H73" t="e">
        <f>装备!#REF!</f>
        <v>#REF!</v>
      </c>
      <c r="I73" t="e">
        <f>装备!#REF!</f>
        <v>#REF!</v>
      </c>
      <c r="J73" t="e">
        <f>装备!#REF!</f>
        <v>#REF!</v>
      </c>
      <c r="K73" t="e">
        <f>装备!#REF!</f>
        <v>#REF!</v>
      </c>
      <c r="L73" t="e">
        <f>装备!#REF!</f>
        <v>#REF!</v>
      </c>
      <c r="M73" t="e">
        <f t="shared" si="14"/>
        <v>#REF!</v>
      </c>
      <c r="N73" t="e">
        <f>装备!#REF!</f>
        <v>#REF!</v>
      </c>
      <c r="O73" t="e">
        <f>装备!#REF!</f>
        <v>#REF!</v>
      </c>
      <c r="P73" t="e">
        <f>装备!#REF!</f>
        <v>#REF!</v>
      </c>
      <c r="Q73" t="e">
        <f>装备!#REF!</f>
        <v>#REF!</v>
      </c>
      <c r="R73" t="e">
        <f>装备!#REF!</f>
        <v>#REF!</v>
      </c>
      <c r="S73" t="e">
        <f>装备!#REF!</f>
        <v>#REF!</v>
      </c>
      <c r="T73" t="e">
        <f>装备!#REF!</f>
        <v>#REF!</v>
      </c>
      <c r="U73" t="e">
        <f>装备!#REF!</f>
        <v>#REF!</v>
      </c>
      <c r="V73" t="e">
        <f>装备!#REF!</f>
        <v>#REF!</v>
      </c>
      <c r="W73" t="e">
        <f>装备!#REF!</f>
        <v>#REF!</v>
      </c>
      <c r="X73" t="e">
        <f t="shared" si="15"/>
        <v>#REF!</v>
      </c>
      <c r="Y73" t="e">
        <f>装备!#REF!</f>
        <v>#REF!</v>
      </c>
      <c r="Z73" t="e">
        <f>装备!#REF!</f>
        <v>#REF!</v>
      </c>
      <c r="AA73" t="e">
        <f>装备!#REF!</f>
        <v>#REF!</v>
      </c>
      <c r="AB73" t="e">
        <f>装备!#REF!</f>
        <v>#REF!</v>
      </c>
      <c r="AC73" t="e">
        <f>装备!#REF!</f>
        <v>#REF!</v>
      </c>
      <c r="AD73" t="e">
        <f>装备!#REF!</f>
        <v>#REF!</v>
      </c>
      <c r="AE73" t="e">
        <f>装备!#REF!</f>
        <v>#REF!</v>
      </c>
      <c r="AF73" t="e">
        <f>装备!#REF!</f>
        <v>#REF!</v>
      </c>
      <c r="AG73" t="e">
        <f>装备!#REF!</f>
        <v>#REF!</v>
      </c>
      <c r="AH73" t="e">
        <f>装备!#REF!</f>
        <v>#REF!</v>
      </c>
      <c r="AI73" t="e">
        <f t="shared" si="16"/>
        <v>#REF!</v>
      </c>
      <c r="AJ73" t="e">
        <f>装备!#REF!</f>
        <v>#REF!</v>
      </c>
      <c r="AK73" t="e">
        <f>装备!#REF!</f>
        <v>#REF!</v>
      </c>
      <c r="AL73" t="e">
        <f>装备!#REF!</f>
        <v>#REF!</v>
      </c>
      <c r="AM73" t="e">
        <f>装备!#REF!</f>
        <v>#REF!</v>
      </c>
      <c r="AN73" t="e">
        <f>装备!#REF!</f>
        <v>#REF!</v>
      </c>
      <c r="AO73" t="e">
        <f>装备!#REF!</f>
        <v>#REF!</v>
      </c>
      <c r="AP73" t="e">
        <f>装备!#REF!</f>
        <v>#REF!</v>
      </c>
      <c r="AQ73" t="e">
        <f>装备!#REF!</f>
        <v>#REF!</v>
      </c>
      <c r="AR73" t="e">
        <f>装备!#REF!</f>
        <v>#REF!</v>
      </c>
      <c r="AS73" t="e">
        <f>装备!#REF!</f>
        <v>#REF!</v>
      </c>
      <c r="AT73" t="e">
        <f t="shared" si="17"/>
        <v>#REF!</v>
      </c>
      <c r="AU73" t="e">
        <f>装备!#REF!</f>
        <v>#REF!</v>
      </c>
      <c r="AV73" t="e">
        <f>装备!#REF!</f>
        <v>#REF!</v>
      </c>
      <c r="AW73" t="e">
        <f>装备!#REF!</f>
        <v>#REF!</v>
      </c>
      <c r="AX73" t="e">
        <f>装备!#REF!</f>
        <v>#REF!</v>
      </c>
      <c r="AY73" t="e">
        <f>装备!#REF!</f>
        <v>#REF!</v>
      </c>
      <c r="AZ73" t="e">
        <f>装备!#REF!</f>
        <v>#REF!</v>
      </c>
      <c r="BA73" t="e">
        <f>装备!#REF!</f>
        <v>#REF!</v>
      </c>
      <c r="BB73" t="e">
        <f>装备!#REF!</f>
        <v>#REF!</v>
      </c>
      <c r="BC73" t="e">
        <f>装备!#REF!</f>
        <v>#REF!</v>
      </c>
      <c r="BD73" t="e">
        <f>装备!#REF!</f>
        <v>#REF!</v>
      </c>
      <c r="BE73" t="e">
        <f t="shared" si="18"/>
        <v>#REF!</v>
      </c>
      <c r="BF73" t="e">
        <f>装备!#REF!</f>
        <v>#REF!</v>
      </c>
      <c r="BG73" t="e">
        <f>装备!#REF!</f>
        <v>#REF!</v>
      </c>
      <c r="BH73" t="e">
        <f>装备!#REF!</f>
        <v>#REF!</v>
      </c>
      <c r="BI73" t="e">
        <f>装备!#REF!</f>
        <v>#REF!</v>
      </c>
      <c r="BJ73" t="e">
        <f>装备!#REF!</f>
        <v>#REF!</v>
      </c>
      <c r="BK73" t="e">
        <f>装备!#REF!</f>
        <v>#REF!</v>
      </c>
      <c r="BL73" t="e">
        <f>装备!#REF!</f>
        <v>#REF!</v>
      </c>
      <c r="BM73" t="e">
        <f>装备!#REF!</f>
        <v>#REF!</v>
      </c>
      <c r="BN73" t="e">
        <f>装备!#REF!</f>
        <v>#REF!</v>
      </c>
      <c r="BO73" t="e">
        <f>装备!#REF!</f>
        <v>#REF!</v>
      </c>
      <c r="BP73" t="e">
        <f t="shared" si="19"/>
        <v>#REF!</v>
      </c>
      <c r="BQ73" t="e">
        <f>装备!#REF!</f>
        <v>#REF!</v>
      </c>
      <c r="BR73" t="e">
        <f>装备!#REF!</f>
        <v>#REF!</v>
      </c>
      <c r="BS73" t="e">
        <f>装备!#REF!</f>
        <v>#REF!</v>
      </c>
      <c r="BT73" t="e">
        <f>装备!#REF!</f>
        <v>#REF!</v>
      </c>
      <c r="BU73" t="e">
        <f>装备!#REF!</f>
        <v>#REF!</v>
      </c>
      <c r="BV73" t="e">
        <f>装备!#REF!</f>
        <v>#REF!</v>
      </c>
      <c r="BW73" t="e">
        <f>装备!#REF!</f>
        <v>#REF!</v>
      </c>
      <c r="BX73" t="e">
        <f>装备!#REF!</f>
        <v>#REF!</v>
      </c>
      <c r="BY73" t="e">
        <f>装备!#REF!</f>
        <v>#REF!</v>
      </c>
      <c r="BZ73" t="e">
        <f>装备!#REF!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装备!#REF!</f>
        <v>#REF!</v>
      </c>
      <c r="B74" t="e">
        <f>装备!#REF!</f>
        <v>#REF!</v>
      </c>
      <c r="C74" t="e">
        <f>装备!#REF!</f>
        <v>#REF!</v>
      </c>
      <c r="D74" t="e">
        <f>装备!#REF!</f>
        <v>#REF!</v>
      </c>
      <c r="E74" t="e">
        <f>装备!#REF!</f>
        <v>#REF!</v>
      </c>
      <c r="F74" t="e">
        <f>装备!#REF!</f>
        <v>#REF!</v>
      </c>
      <c r="G74" t="e">
        <f>装备!#REF!</f>
        <v>#REF!</v>
      </c>
      <c r="H74" t="e">
        <f>装备!#REF!</f>
        <v>#REF!</v>
      </c>
      <c r="I74" t="e">
        <f>装备!#REF!</f>
        <v>#REF!</v>
      </c>
      <c r="J74" t="e">
        <f>装备!#REF!</f>
        <v>#REF!</v>
      </c>
      <c r="K74" t="e">
        <f>装备!#REF!</f>
        <v>#REF!</v>
      </c>
      <c r="L74" t="e">
        <f>装备!#REF!</f>
        <v>#REF!</v>
      </c>
      <c r="M74" t="e">
        <f t="shared" si="14"/>
        <v>#REF!</v>
      </c>
      <c r="N74" t="e">
        <f>装备!#REF!</f>
        <v>#REF!</v>
      </c>
      <c r="O74" t="e">
        <f>装备!#REF!</f>
        <v>#REF!</v>
      </c>
      <c r="P74" t="e">
        <f>装备!#REF!</f>
        <v>#REF!</v>
      </c>
      <c r="Q74" t="e">
        <f>装备!#REF!</f>
        <v>#REF!</v>
      </c>
      <c r="R74" t="e">
        <f>装备!#REF!</f>
        <v>#REF!</v>
      </c>
      <c r="S74" t="e">
        <f>装备!#REF!</f>
        <v>#REF!</v>
      </c>
      <c r="T74" t="e">
        <f>装备!#REF!</f>
        <v>#REF!</v>
      </c>
      <c r="U74" t="e">
        <f>装备!#REF!</f>
        <v>#REF!</v>
      </c>
      <c r="V74" t="e">
        <f>装备!#REF!</f>
        <v>#REF!</v>
      </c>
      <c r="W74" t="e">
        <f>装备!#REF!</f>
        <v>#REF!</v>
      </c>
      <c r="X74" t="e">
        <f t="shared" si="15"/>
        <v>#REF!</v>
      </c>
      <c r="Y74" t="e">
        <f>装备!#REF!</f>
        <v>#REF!</v>
      </c>
      <c r="Z74" t="e">
        <f>装备!#REF!</f>
        <v>#REF!</v>
      </c>
      <c r="AA74" t="e">
        <f>装备!#REF!</f>
        <v>#REF!</v>
      </c>
      <c r="AB74" t="e">
        <f>装备!#REF!</f>
        <v>#REF!</v>
      </c>
      <c r="AC74" t="e">
        <f>装备!#REF!</f>
        <v>#REF!</v>
      </c>
      <c r="AD74" t="e">
        <f>装备!#REF!</f>
        <v>#REF!</v>
      </c>
      <c r="AE74" t="e">
        <f>装备!#REF!</f>
        <v>#REF!</v>
      </c>
      <c r="AF74" t="e">
        <f>装备!#REF!</f>
        <v>#REF!</v>
      </c>
      <c r="AG74" t="e">
        <f>装备!#REF!</f>
        <v>#REF!</v>
      </c>
      <c r="AH74" t="e">
        <f>装备!#REF!</f>
        <v>#REF!</v>
      </c>
      <c r="AI74" t="e">
        <f t="shared" si="16"/>
        <v>#REF!</v>
      </c>
      <c r="AJ74" t="e">
        <f>装备!#REF!</f>
        <v>#REF!</v>
      </c>
      <c r="AK74" t="e">
        <f>装备!#REF!</f>
        <v>#REF!</v>
      </c>
      <c r="AL74" t="e">
        <f>装备!#REF!</f>
        <v>#REF!</v>
      </c>
      <c r="AM74" t="e">
        <f>装备!#REF!</f>
        <v>#REF!</v>
      </c>
      <c r="AN74" t="e">
        <f>装备!#REF!</f>
        <v>#REF!</v>
      </c>
      <c r="AO74" t="e">
        <f>装备!#REF!</f>
        <v>#REF!</v>
      </c>
      <c r="AP74" t="e">
        <f>装备!#REF!</f>
        <v>#REF!</v>
      </c>
      <c r="AQ74" t="e">
        <f>装备!#REF!</f>
        <v>#REF!</v>
      </c>
      <c r="AR74" t="e">
        <f>装备!#REF!</f>
        <v>#REF!</v>
      </c>
      <c r="AS74" t="e">
        <f>装备!#REF!</f>
        <v>#REF!</v>
      </c>
      <c r="AT74" t="e">
        <f t="shared" si="17"/>
        <v>#REF!</v>
      </c>
      <c r="AU74" t="e">
        <f>装备!#REF!</f>
        <v>#REF!</v>
      </c>
      <c r="AV74" t="e">
        <f>装备!#REF!</f>
        <v>#REF!</v>
      </c>
      <c r="AW74" t="e">
        <f>装备!#REF!</f>
        <v>#REF!</v>
      </c>
      <c r="AX74" t="e">
        <f>装备!#REF!</f>
        <v>#REF!</v>
      </c>
      <c r="AY74" t="e">
        <f>装备!#REF!</f>
        <v>#REF!</v>
      </c>
      <c r="AZ74" t="e">
        <f>装备!#REF!</f>
        <v>#REF!</v>
      </c>
      <c r="BA74" t="e">
        <f>装备!#REF!</f>
        <v>#REF!</v>
      </c>
      <c r="BB74" t="e">
        <f>装备!#REF!</f>
        <v>#REF!</v>
      </c>
      <c r="BC74" t="e">
        <f>装备!#REF!</f>
        <v>#REF!</v>
      </c>
      <c r="BD74" t="e">
        <f>装备!#REF!</f>
        <v>#REF!</v>
      </c>
      <c r="BE74" t="e">
        <f t="shared" si="18"/>
        <v>#REF!</v>
      </c>
      <c r="BF74" t="e">
        <f>装备!#REF!</f>
        <v>#REF!</v>
      </c>
      <c r="BG74" t="e">
        <f>装备!#REF!</f>
        <v>#REF!</v>
      </c>
      <c r="BH74" t="e">
        <f>装备!#REF!</f>
        <v>#REF!</v>
      </c>
      <c r="BI74" t="e">
        <f>装备!#REF!</f>
        <v>#REF!</v>
      </c>
      <c r="BJ74" t="e">
        <f>装备!#REF!</f>
        <v>#REF!</v>
      </c>
      <c r="BK74" t="e">
        <f>装备!#REF!</f>
        <v>#REF!</v>
      </c>
      <c r="BL74" t="e">
        <f>装备!#REF!</f>
        <v>#REF!</v>
      </c>
      <c r="BM74" t="e">
        <f>装备!#REF!</f>
        <v>#REF!</v>
      </c>
      <c r="BN74" t="e">
        <f>装备!#REF!</f>
        <v>#REF!</v>
      </c>
      <c r="BO74" t="e">
        <f>装备!#REF!</f>
        <v>#REF!</v>
      </c>
      <c r="BP74" t="e">
        <f t="shared" si="19"/>
        <v>#REF!</v>
      </c>
      <c r="BQ74" t="e">
        <f>装备!#REF!</f>
        <v>#REF!</v>
      </c>
      <c r="BR74" t="e">
        <f>装备!#REF!</f>
        <v>#REF!</v>
      </c>
      <c r="BS74" t="e">
        <f>装备!#REF!</f>
        <v>#REF!</v>
      </c>
      <c r="BT74" t="e">
        <f>装备!#REF!</f>
        <v>#REF!</v>
      </c>
      <c r="BU74" t="e">
        <f>装备!#REF!</f>
        <v>#REF!</v>
      </c>
      <c r="BV74" t="e">
        <f>装备!#REF!</f>
        <v>#REF!</v>
      </c>
      <c r="BW74" t="e">
        <f>装备!#REF!</f>
        <v>#REF!</v>
      </c>
      <c r="BX74" t="e">
        <f>装备!#REF!</f>
        <v>#REF!</v>
      </c>
      <c r="BY74" t="e">
        <f>装备!#REF!</f>
        <v>#REF!</v>
      </c>
      <c r="BZ74" t="e">
        <f>装备!#REF!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装备!#REF!</f>
        <v>#REF!</v>
      </c>
      <c r="B75" t="e">
        <f>装备!#REF!</f>
        <v>#REF!</v>
      </c>
      <c r="C75" t="e">
        <f>装备!#REF!</f>
        <v>#REF!</v>
      </c>
      <c r="D75" t="e">
        <f>装备!#REF!</f>
        <v>#REF!</v>
      </c>
      <c r="E75" t="e">
        <f>装备!#REF!</f>
        <v>#REF!</v>
      </c>
      <c r="F75" t="e">
        <f>装备!#REF!</f>
        <v>#REF!</v>
      </c>
      <c r="G75" t="e">
        <f>装备!#REF!</f>
        <v>#REF!</v>
      </c>
      <c r="H75" t="e">
        <f>装备!#REF!</f>
        <v>#REF!</v>
      </c>
      <c r="I75" t="e">
        <f>装备!#REF!</f>
        <v>#REF!</v>
      </c>
      <c r="J75" t="e">
        <f>装备!#REF!</f>
        <v>#REF!</v>
      </c>
      <c r="K75" t="e">
        <f>装备!#REF!</f>
        <v>#REF!</v>
      </c>
      <c r="L75" t="e">
        <f>装备!#REF!</f>
        <v>#REF!</v>
      </c>
      <c r="M75" t="e">
        <f t="shared" si="14"/>
        <v>#REF!</v>
      </c>
      <c r="N75" t="e">
        <f>装备!#REF!</f>
        <v>#REF!</v>
      </c>
      <c r="O75" t="e">
        <f>装备!#REF!</f>
        <v>#REF!</v>
      </c>
      <c r="P75" t="e">
        <f>装备!#REF!</f>
        <v>#REF!</v>
      </c>
      <c r="Q75" t="e">
        <f>装备!#REF!</f>
        <v>#REF!</v>
      </c>
      <c r="R75" t="e">
        <f>装备!#REF!</f>
        <v>#REF!</v>
      </c>
      <c r="S75" t="e">
        <f>装备!#REF!</f>
        <v>#REF!</v>
      </c>
      <c r="T75" t="e">
        <f>装备!#REF!</f>
        <v>#REF!</v>
      </c>
      <c r="U75" t="e">
        <f>装备!#REF!</f>
        <v>#REF!</v>
      </c>
      <c r="V75" t="e">
        <f>装备!#REF!</f>
        <v>#REF!</v>
      </c>
      <c r="W75" t="e">
        <f>装备!#REF!</f>
        <v>#REF!</v>
      </c>
      <c r="X75" t="e">
        <f t="shared" si="15"/>
        <v>#REF!</v>
      </c>
      <c r="Y75" t="e">
        <f>装备!#REF!</f>
        <v>#REF!</v>
      </c>
      <c r="Z75" t="e">
        <f>装备!#REF!</f>
        <v>#REF!</v>
      </c>
      <c r="AA75" t="e">
        <f>装备!#REF!</f>
        <v>#REF!</v>
      </c>
      <c r="AB75" t="e">
        <f>装备!#REF!</f>
        <v>#REF!</v>
      </c>
      <c r="AC75" t="e">
        <f>装备!#REF!</f>
        <v>#REF!</v>
      </c>
      <c r="AD75" t="e">
        <f>装备!#REF!</f>
        <v>#REF!</v>
      </c>
      <c r="AE75" t="e">
        <f>装备!#REF!</f>
        <v>#REF!</v>
      </c>
      <c r="AF75" t="e">
        <f>装备!#REF!</f>
        <v>#REF!</v>
      </c>
      <c r="AG75" t="e">
        <f>装备!#REF!</f>
        <v>#REF!</v>
      </c>
      <c r="AH75" t="e">
        <f>装备!#REF!</f>
        <v>#REF!</v>
      </c>
      <c r="AI75" t="e">
        <f t="shared" si="16"/>
        <v>#REF!</v>
      </c>
      <c r="AJ75" t="e">
        <f>装备!#REF!</f>
        <v>#REF!</v>
      </c>
      <c r="AK75" t="e">
        <f>装备!#REF!</f>
        <v>#REF!</v>
      </c>
      <c r="AL75" t="e">
        <f>装备!#REF!</f>
        <v>#REF!</v>
      </c>
      <c r="AM75" t="e">
        <f>装备!#REF!</f>
        <v>#REF!</v>
      </c>
      <c r="AN75" t="e">
        <f>装备!#REF!</f>
        <v>#REF!</v>
      </c>
      <c r="AO75" t="e">
        <f>装备!#REF!</f>
        <v>#REF!</v>
      </c>
      <c r="AP75" t="e">
        <f>装备!#REF!</f>
        <v>#REF!</v>
      </c>
      <c r="AQ75" t="e">
        <f>装备!#REF!</f>
        <v>#REF!</v>
      </c>
      <c r="AR75" t="e">
        <f>装备!#REF!</f>
        <v>#REF!</v>
      </c>
      <c r="AS75" t="e">
        <f>装备!#REF!</f>
        <v>#REF!</v>
      </c>
      <c r="AT75" t="e">
        <f t="shared" si="17"/>
        <v>#REF!</v>
      </c>
      <c r="AU75" t="e">
        <f>装备!#REF!</f>
        <v>#REF!</v>
      </c>
      <c r="AV75" t="e">
        <f>装备!#REF!</f>
        <v>#REF!</v>
      </c>
      <c r="AW75" t="e">
        <f>装备!#REF!</f>
        <v>#REF!</v>
      </c>
      <c r="AX75" t="e">
        <f>装备!#REF!</f>
        <v>#REF!</v>
      </c>
      <c r="AY75" t="e">
        <f>装备!#REF!</f>
        <v>#REF!</v>
      </c>
      <c r="AZ75" t="e">
        <f>装备!#REF!</f>
        <v>#REF!</v>
      </c>
      <c r="BA75" t="e">
        <f>装备!#REF!</f>
        <v>#REF!</v>
      </c>
      <c r="BB75" t="e">
        <f>装备!#REF!</f>
        <v>#REF!</v>
      </c>
      <c r="BC75" t="e">
        <f>装备!#REF!</f>
        <v>#REF!</v>
      </c>
      <c r="BD75" t="e">
        <f>装备!#REF!</f>
        <v>#REF!</v>
      </c>
      <c r="BE75" t="e">
        <f t="shared" si="18"/>
        <v>#REF!</v>
      </c>
      <c r="BF75" t="e">
        <f>装备!#REF!</f>
        <v>#REF!</v>
      </c>
      <c r="BG75" t="e">
        <f>装备!#REF!</f>
        <v>#REF!</v>
      </c>
      <c r="BH75" t="e">
        <f>装备!#REF!</f>
        <v>#REF!</v>
      </c>
      <c r="BI75" t="e">
        <f>装备!#REF!</f>
        <v>#REF!</v>
      </c>
      <c r="BJ75" t="e">
        <f>装备!#REF!</f>
        <v>#REF!</v>
      </c>
      <c r="BK75" t="e">
        <f>装备!#REF!</f>
        <v>#REF!</v>
      </c>
      <c r="BL75" t="e">
        <f>装备!#REF!</f>
        <v>#REF!</v>
      </c>
      <c r="BM75" t="e">
        <f>装备!#REF!</f>
        <v>#REF!</v>
      </c>
      <c r="BN75" t="e">
        <f>装备!#REF!</f>
        <v>#REF!</v>
      </c>
      <c r="BO75" t="e">
        <f>装备!#REF!</f>
        <v>#REF!</v>
      </c>
      <c r="BP75" t="e">
        <f t="shared" si="19"/>
        <v>#REF!</v>
      </c>
      <c r="BQ75" t="e">
        <f>装备!#REF!</f>
        <v>#REF!</v>
      </c>
      <c r="BR75" t="e">
        <f>装备!#REF!</f>
        <v>#REF!</v>
      </c>
      <c r="BS75" t="e">
        <f>装备!#REF!</f>
        <v>#REF!</v>
      </c>
      <c r="BT75" t="e">
        <f>装备!#REF!</f>
        <v>#REF!</v>
      </c>
      <c r="BU75" t="e">
        <f>装备!#REF!</f>
        <v>#REF!</v>
      </c>
      <c r="BV75" t="e">
        <f>装备!#REF!</f>
        <v>#REF!</v>
      </c>
      <c r="BW75" t="e">
        <f>装备!#REF!</f>
        <v>#REF!</v>
      </c>
      <c r="BX75" t="e">
        <f>装备!#REF!</f>
        <v>#REF!</v>
      </c>
      <c r="BY75" t="e">
        <f>装备!#REF!</f>
        <v>#REF!</v>
      </c>
      <c r="BZ75" t="e">
        <f>装备!#REF!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装备!#REF!</f>
        <v>#REF!</v>
      </c>
      <c r="B76" t="e">
        <f>装备!#REF!</f>
        <v>#REF!</v>
      </c>
      <c r="C76" t="e">
        <f>装备!#REF!</f>
        <v>#REF!</v>
      </c>
      <c r="D76" t="e">
        <f>装备!#REF!</f>
        <v>#REF!</v>
      </c>
      <c r="E76" t="e">
        <f>装备!#REF!</f>
        <v>#REF!</v>
      </c>
      <c r="F76" t="e">
        <f>装备!#REF!</f>
        <v>#REF!</v>
      </c>
      <c r="G76" t="e">
        <f>装备!#REF!</f>
        <v>#REF!</v>
      </c>
      <c r="H76" t="e">
        <f>装备!#REF!</f>
        <v>#REF!</v>
      </c>
      <c r="I76" t="e">
        <f>装备!#REF!</f>
        <v>#REF!</v>
      </c>
      <c r="J76" t="e">
        <f>装备!#REF!</f>
        <v>#REF!</v>
      </c>
      <c r="K76" t="e">
        <f>装备!#REF!</f>
        <v>#REF!</v>
      </c>
      <c r="L76" t="e">
        <f>装备!#REF!</f>
        <v>#REF!</v>
      </c>
      <c r="M76" t="e">
        <f t="shared" si="14"/>
        <v>#REF!</v>
      </c>
      <c r="N76" t="e">
        <f>装备!#REF!</f>
        <v>#REF!</v>
      </c>
      <c r="O76" t="e">
        <f>装备!#REF!</f>
        <v>#REF!</v>
      </c>
      <c r="P76" t="e">
        <f>装备!#REF!</f>
        <v>#REF!</v>
      </c>
      <c r="Q76" t="e">
        <f>装备!#REF!</f>
        <v>#REF!</v>
      </c>
      <c r="R76" t="e">
        <f>装备!#REF!</f>
        <v>#REF!</v>
      </c>
      <c r="S76" t="e">
        <f>装备!#REF!</f>
        <v>#REF!</v>
      </c>
      <c r="T76" t="e">
        <f>装备!#REF!</f>
        <v>#REF!</v>
      </c>
      <c r="U76" t="e">
        <f>装备!#REF!</f>
        <v>#REF!</v>
      </c>
      <c r="V76" t="e">
        <f>装备!#REF!</f>
        <v>#REF!</v>
      </c>
      <c r="W76" t="e">
        <f>装备!#REF!</f>
        <v>#REF!</v>
      </c>
      <c r="X76" t="e">
        <f t="shared" si="15"/>
        <v>#REF!</v>
      </c>
      <c r="Y76" t="e">
        <f>装备!#REF!</f>
        <v>#REF!</v>
      </c>
      <c r="Z76" t="e">
        <f>装备!#REF!</f>
        <v>#REF!</v>
      </c>
      <c r="AA76" t="e">
        <f>装备!#REF!</f>
        <v>#REF!</v>
      </c>
      <c r="AB76" t="e">
        <f>装备!#REF!</f>
        <v>#REF!</v>
      </c>
      <c r="AC76" t="e">
        <f>装备!#REF!</f>
        <v>#REF!</v>
      </c>
      <c r="AD76" t="e">
        <f>装备!#REF!</f>
        <v>#REF!</v>
      </c>
      <c r="AE76" t="e">
        <f>装备!#REF!</f>
        <v>#REF!</v>
      </c>
      <c r="AF76" t="e">
        <f>装备!#REF!</f>
        <v>#REF!</v>
      </c>
      <c r="AG76" t="e">
        <f>装备!#REF!</f>
        <v>#REF!</v>
      </c>
      <c r="AH76" t="e">
        <f>装备!#REF!</f>
        <v>#REF!</v>
      </c>
      <c r="AI76" t="e">
        <f t="shared" si="16"/>
        <v>#REF!</v>
      </c>
      <c r="AJ76" t="e">
        <f>装备!#REF!</f>
        <v>#REF!</v>
      </c>
      <c r="AK76" t="e">
        <f>装备!#REF!</f>
        <v>#REF!</v>
      </c>
      <c r="AL76" t="e">
        <f>装备!#REF!</f>
        <v>#REF!</v>
      </c>
      <c r="AM76" t="e">
        <f>装备!#REF!</f>
        <v>#REF!</v>
      </c>
      <c r="AN76" t="e">
        <f>装备!#REF!</f>
        <v>#REF!</v>
      </c>
      <c r="AO76" t="e">
        <f>装备!#REF!</f>
        <v>#REF!</v>
      </c>
      <c r="AP76" t="e">
        <f>装备!#REF!</f>
        <v>#REF!</v>
      </c>
      <c r="AQ76" t="e">
        <f>装备!#REF!</f>
        <v>#REF!</v>
      </c>
      <c r="AR76" t="e">
        <f>装备!#REF!</f>
        <v>#REF!</v>
      </c>
      <c r="AS76" t="e">
        <f>装备!#REF!</f>
        <v>#REF!</v>
      </c>
      <c r="AT76" t="e">
        <f t="shared" si="17"/>
        <v>#REF!</v>
      </c>
      <c r="AU76" t="e">
        <f>装备!#REF!</f>
        <v>#REF!</v>
      </c>
      <c r="AV76" t="e">
        <f>装备!#REF!</f>
        <v>#REF!</v>
      </c>
      <c r="AW76" t="e">
        <f>装备!#REF!</f>
        <v>#REF!</v>
      </c>
      <c r="AX76" t="e">
        <f>装备!#REF!</f>
        <v>#REF!</v>
      </c>
      <c r="AY76" t="e">
        <f>装备!#REF!</f>
        <v>#REF!</v>
      </c>
      <c r="AZ76" t="e">
        <f>装备!#REF!</f>
        <v>#REF!</v>
      </c>
      <c r="BA76" t="e">
        <f>装备!#REF!</f>
        <v>#REF!</v>
      </c>
      <c r="BB76" t="e">
        <f>装备!#REF!</f>
        <v>#REF!</v>
      </c>
      <c r="BC76" t="e">
        <f>装备!#REF!</f>
        <v>#REF!</v>
      </c>
      <c r="BD76" t="e">
        <f>装备!#REF!</f>
        <v>#REF!</v>
      </c>
      <c r="BE76" t="e">
        <f t="shared" si="18"/>
        <v>#REF!</v>
      </c>
      <c r="BF76" t="e">
        <f>装备!#REF!</f>
        <v>#REF!</v>
      </c>
      <c r="BG76" t="e">
        <f>装备!#REF!</f>
        <v>#REF!</v>
      </c>
      <c r="BH76" t="e">
        <f>装备!#REF!</f>
        <v>#REF!</v>
      </c>
      <c r="BI76" t="e">
        <f>装备!#REF!</f>
        <v>#REF!</v>
      </c>
      <c r="BJ76" t="e">
        <f>装备!#REF!</f>
        <v>#REF!</v>
      </c>
      <c r="BK76" t="e">
        <f>装备!#REF!</f>
        <v>#REF!</v>
      </c>
      <c r="BL76" t="e">
        <f>装备!#REF!</f>
        <v>#REF!</v>
      </c>
      <c r="BM76" t="e">
        <f>装备!#REF!</f>
        <v>#REF!</v>
      </c>
      <c r="BN76" t="e">
        <f>装备!#REF!</f>
        <v>#REF!</v>
      </c>
      <c r="BO76" t="e">
        <f>装备!#REF!</f>
        <v>#REF!</v>
      </c>
      <c r="BP76" t="e">
        <f t="shared" si="19"/>
        <v>#REF!</v>
      </c>
      <c r="BQ76" t="e">
        <f>装备!#REF!</f>
        <v>#REF!</v>
      </c>
      <c r="BR76" t="e">
        <f>装备!#REF!</f>
        <v>#REF!</v>
      </c>
      <c r="BS76" t="e">
        <f>装备!#REF!</f>
        <v>#REF!</v>
      </c>
      <c r="BT76" t="e">
        <f>装备!#REF!</f>
        <v>#REF!</v>
      </c>
      <c r="BU76" t="e">
        <f>装备!#REF!</f>
        <v>#REF!</v>
      </c>
      <c r="BV76" t="e">
        <f>装备!#REF!</f>
        <v>#REF!</v>
      </c>
      <c r="BW76" t="e">
        <f>装备!#REF!</f>
        <v>#REF!</v>
      </c>
      <c r="BX76" t="e">
        <f>装备!#REF!</f>
        <v>#REF!</v>
      </c>
      <c r="BY76" t="e">
        <f>装备!#REF!</f>
        <v>#REF!</v>
      </c>
      <c r="BZ76" t="e">
        <f>装备!#REF!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装备!#REF!</f>
        <v>#REF!</v>
      </c>
      <c r="B77" t="e">
        <f>装备!#REF!</f>
        <v>#REF!</v>
      </c>
      <c r="C77" t="e">
        <f>装备!#REF!</f>
        <v>#REF!</v>
      </c>
      <c r="D77" t="e">
        <f>装备!#REF!</f>
        <v>#REF!</v>
      </c>
      <c r="E77" t="e">
        <f>装备!#REF!</f>
        <v>#REF!</v>
      </c>
      <c r="F77" t="e">
        <f>装备!#REF!</f>
        <v>#REF!</v>
      </c>
      <c r="G77" t="e">
        <f>装备!#REF!</f>
        <v>#REF!</v>
      </c>
      <c r="H77" t="e">
        <f>装备!#REF!</f>
        <v>#REF!</v>
      </c>
      <c r="I77" t="e">
        <f>装备!#REF!</f>
        <v>#REF!</v>
      </c>
      <c r="J77" t="e">
        <f>装备!#REF!</f>
        <v>#REF!</v>
      </c>
      <c r="K77" t="e">
        <f>装备!#REF!</f>
        <v>#REF!</v>
      </c>
      <c r="L77" t="e">
        <f>装备!#REF!</f>
        <v>#REF!</v>
      </c>
      <c r="M77" t="e">
        <f t="shared" si="14"/>
        <v>#REF!</v>
      </c>
      <c r="N77" t="e">
        <f>装备!#REF!</f>
        <v>#REF!</v>
      </c>
      <c r="O77" t="e">
        <f>装备!#REF!</f>
        <v>#REF!</v>
      </c>
      <c r="P77" t="e">
        <f>装备!#REF!</f>
        <v>#REF!</v>
      </c>
      <c r="Q77" t="e">
        <f>装备!#REF!</f>
        <v>#REF!</v>
      </c>
      <c r="R77" t="e">
        <f>装备!#REF!</f>
        <v>#REF!</v>
      </c>
      <c r="S77" t="e">
        <f>装备!#REF!</f>
        <v>#REF!</v>
      </c>
      <c r="T77" t="e">
        <f>装备!#REF!</f>
        <v>#REF!</v>
      </c>
      <c r="U77" t="e">
        <f>装备!#REF!</f>
        <v>#REF!</v>
      </c>
      <c r="V77" t="e">
        <f>装备!#REF!</f>
        <v>#REF!</v>
      </c>
      <c r="W77" t="e">
        <f>装备!#REF!</f>
        <v>#REF!</v>
      </c>
      <c r="X77" t="e">
        <f t="shared" si="15"/>
        <v>#REF!</v>
      </c>
      <c r="Y77" t="e">
        <f>装备!#REF!</f>
        <v>#REF!</v>
      </c>
      <c r="Z77" t="e">
        <f>装备!#REF!</f>
        <v>#REF!</v>
      </c>
      <c r="AA77" t="e">
        <f>装备!#REF!</f>
        <v>#REF!</v>
      </c>
      <c r="AB77" t="e">
        <f>装备!#REF!</f>
        <v>#REF!</v>
      </c>
      <c r="AC77" t="e">
        <f>装备!#REF!</f>
        <v>#REF!</v>
      </c>
      <c r="AD77" t="e">
        <f>装备!#REF!</f>
        <v>#REF!</v>
      </c>
      <c r="AE77" t="e">
        <f>装备!#REF!</f>
        <v>#REF!</v>
      </c>
      <c r="AF77" t="e">
        <f>装备!#REF!</f>
        <v>#REF!</v>
      </c>
      <c r="AG77" t="e">
        <f>装备!#REF!</f>
        <v>#REF!</v>
      </c>
      <c r="AH77" t="e">
        <f>装备!#REF!</f>
        <v>#REF!</v>
      </c>
      <c r="AI77" t="e">
        <f t="shared" si="16"/>
        <v>#REF!</v>
      </c>
      <c r="AJ77" t="e">
        <f>装备!#REF!</f>
        <v>#REF!</v>
      </c>
      <c r="AK77" t="e">
        <f>装备!#REF!</f>
        <v>#REF!</v>
      </c>
      <c r="AL77" t="e">
        <f>装备!#REF!</f>
        <v>#REF!</v>
      </c>
      <c r="AM77" t="e">
        <f>装备!#REF!</f>
        <v>#REF!</v>
      </c>
      <c r="AN77" t="e">
        <f>装备!#REF!</f>
        <v>#REF!</v>
      </c>
      <c r="AO77" t="e">
        <f>装备!#REF!</f>
        <v>#REF!</v>
      </c>
      <c r="AP77" t="e">
        <f>装备!#REF!</f>
        <v>#REF!</v>
      </c>
      <c r="AQ77" t="e">
        <f>装备!#REF!</f>
        <v>#REF!</v>
      </c>
      <c r="AR77" t="e">
        <f>装备!#REF!</f>
        <v>#REF!</v>
      </c>
      <c r="AS77" t="e">
        <f>装备!#REF!</f>
        <v>#REF!</v>
      </c>
      <c r="AT77" t="e">
        <f t="shared" si="17"/>
        <v>#REF!</v>
      </c>
      <c r="AU77" t="e">
        <f>装备!#REF!</f>
        <v>#REF!</v>
      </c>
      <c r="AV77" t="e">
        <f>装备!#REF!</f>
        <v>#REF!</v>
      </c>
      <c r="AW77" t="e">
        <f>装备!#REF!</f>
        <v>#REF!</v>
      </c>
      <c r="AX77" t="e">
        <f>装备!#REF!</f>
        <v>#REF!</v>
      </c>
      <c r="AY77" t="e">
        <f>装备!#REF!</f>
        <v>#REF!</v>
      </c>
      <c r="AZ77" t="e">
        <f>装备!#REF!</f>
        <v>#REF!</v>
      </c>
      <c r="BA77" t="e">
        <f>装备!#REF!</f>
        <v>#REF!</v>
      </c>
      <c r="BB77" t="e">
        <f>装备!#REF!</f>
        <v>#REF!</v>
      </c>
      <c r="BC77" t="e">
        <f>装备!#REF!</f>
        <v>#REF!</v>
      </c>
      <c r="BD77" t="e">
        <f>装备!#REF!</f>
        <v>#REF!</v>
      </c>
      <c r="BE77" t="e">
        <f t="shared" si="18"/>
        <v>#REF!</v>
      </c>
      <c r="BF77" t="e">
        <f>装备!#REF!</f>
        <v>#REF!</v>
      </c>
      <c r="BG77" t="e">
        <f>装备!#REF!</f>
        <v>#REF!</v>
      </c>
      <c r="BH77" t="e">
        <f>装备!#REF!</f>
        <v>#REF!</v>
      </c>
      <c r="BI77" t="e">
        <f>装备!#REF!</f>
        <v>#REF!</v>
      </c>
      <c r="BJ77" t="e">
        <f>装备!#REF!</f>
        <v>#REF!</v>
      </c>
      <c r="BK77" t="e">
        <f>装备!#REF!</f>
        <v>#REF!</v>
      </c>
      <c r="BL77" t="e">
        <f>装备!#REF!</f>
        <v>#REF!</v>
      </c>
      <c r="BM77" t="e">
        <f>装备!#REF!</f>
        <v>#REF!</v>
      </c>
      <c r="BN77" t="e">
        <f>装备!#REF!</f>
        <v>#REF!</v>
      </c>
      <c r="BO77" t="e">
        <f>装备!#REF!</f>
        <v>#REF!</v>
      </c>
      <c r="BP77" t="e">
        <f t="shared" si="19"/>
        <v>#REF!</v>
      </c>
      <c r="BQ77" t="e">
        <f>装备!#REF!</f>
        <v>#REF!</v>
      </c>
      <c r="BR77" t="e">
        <f>装备!#REF!</f>
        <v>#REF!</v>
      </c>
      <c r="BS77" t="e">
        <f>装备!#REF!</f>
        <v>#REF!</v>
      </c>
      <c r="BT77" t="e">
        <f>装备!#REF!</f>
        <v>#REF!</v>
      </c>
      <c r="BU77" t="e">
        <f>装备!#REF!</f>
        <v>#REF!</v>
      </c>
      <c r="BV77" t="e">
        <f>装备!#REF!</f>
        <v>#REF!</v>
      </c>
      <c r="BW77" t="e">
        <f>装备!#REF!</f>
        <v>#REF!</v>
      </c>
      <c r="BX77" t="e">
        <f>装备!#REF!</f>
        <v>#REF!</v>
      </c>
      <c r="BY77" t="e">
        <f>装备!#REF!</f>
        <v>#REF!</v>
      </c>
      <c r="BZ77" t="e">
        <f>装备!#REF!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装备!#REF!</f>
        <v>#REF!</v>
      </c>
      <c r="B78" t="e">
        <f>装备!#REF!</f>
        <v>#REF!</v>
      </c>
      <c r="C78" t="e">
        <f>装备!#REF!</f>
        <v>#REF!</v>
      </c>
      <c r="D78" t="e">
        <f>装备!#REF!</f>
        <v>#REF!</v>
      </c>
      <c r="E78" t="e">
        <f>装备!#REF!</f>
        <v>#REF!</v>
      </c>
      <c r="F78" t="e">
        <f>装备!#REF!</f>
        <v>#REF!</v>
      </c>
      <c r="G78" t="e">
        <f>装备!#REF!</f>
        <v>#REF!</v>
      </c>
      <c r="H78" t="e">
        <f>装备!#REF!</f>
        <v>#REF!</v>
      </c>
      <c r="I78" t="e">
        <f>装备!#REF!</f>
        <v>#REF!</v>
      </c>
      <c r="J78" t="e">
        <f>装备!#REF!</f>
        <v>#REF!</v>
      </c>
      <c r="K78" t="e">
        <f>装备!#REF!</f>
        <v>#REF!</v>
      </c>
      <c r="L78" t="e">
        <f>装备!#REF!</f>
        <v>#REF!</v>
      </c>
      <c r="M78" t="e">
        <f t="shared" si="14"/>
        <v>#REF!</v>
      </c>
      <c r="N78" t="e">
        <f>装备!#REF!</f>
        <v>#REF!</v>
      </c>
      <c r="O78" t="e">
        <f>装备!#REF!</f>
        <v>#REF!</v>
      </c>
      <c r="P78" t="e">
        <f>装备!#REF!</f>
        <v>#REF!</v>
      </c>
      <c r="Q78" t="e">
        <f>装备!#REF!</f>
        <v>#REF!</v>
      </c>
      <c r="R78" t="e">
        <f>装备!#REF!</f>
        <v>#REF!</v>
      </c>
      <c r="S78" t="e">
        <f>装备!#REF!</f>
        <v>#REF!</v>
      </c>
      <c r="T78" t="e">
        <f>装备!#REF!</f>
        <v>#REF!</v>
      </c>
      <c r="U78" t="e">
        <f>装备!#REF!</f>
        <v>#REF!</v>
      </c>
      <c r="V78" t="e">
        <f>装备!#REF!</f>
        <v>#REF!</v>
      </c>
      <c r="W78" t="e">
        <f>装备!#REF!</f>
        <v>#REF!</v>
      </c>
      <c r="X78" t="e">
        <f t="shared" si="15"/>
        <v>#REF!</v>
      </c>
      <c r="Y78" t="e">
        <f>装备!#REF!</f>
        <v>#REF!</v>
      </c>
      <c r="Z78" t="e">
        <f>装备!#REF!</f>
        <v>#REF!</v>
      </c>
      <c r="AA78" t="e">
        <f>装备!#REF!</f>
        <v>#REF!</v>
      </c>
      <c r="AB78" t="e">
        <f>装备!#REF!</f>
        <v>#REF!</v>
      </c>
      <c r="AC78" t="e">
        <f>装备!#REF!</f>
        <v>#REF!</v>
      </c>
      <c r="AD78" t="e">
        <f>装备!#REF!</f>
        <v>#REF!</v>
      </c>
      <c r="AE78" t="e">
        <f>装备!#REF!</f>
        <v>#REF!</v>
      </c>
      <c r="AF78" t="e">
        <f>装备!#REF!</f>
        <v>#REF!</v>
      </c>
      <c r="AG78" t="e">
        <f>装备!#REF!</f>
        <v>#REF!</v>
      </c>
      <c r="AH78" t="e">
        <f>装备!#REF!</f>
        <v>#REF!</v>
      </c>
      <c r="AI78" t="e">
        <f t="shared" si="16"/>
        <v>#REF!</v>
      </c>
      <c r="AJ78" t="e">
        <f>装备!#REF!</f>
        <v>#REF!</v>
      </c>
      <c r="AK78" t="e">
        <f>装备!#REF!</f>
        <v>#REF!</v>
      </c>
      <c r="AL78" t="e">
        <f>装备!#REF!</f>
        <v>#REF!</v>
      </c>
      <c r="AM78" t="e">
        <f>装备!#REF!</f>
        <v>#REF!</v>
      </c>
      <c r="AN78" t="e">
        <f>装备!#REF!</f>
        <v>#REF!</v>
      </c>
      <c r="AO78" t="e">
        <f>装备!#REF!</f>
        <v>#REF!</v>
      </c>
      <c r="AP78" t="e">
        <f>装备!#REF!</f>
        <v>#REF!</v>
      </c>
      <c r="AQ78" t="e">
        <f>装备!#REF!</f>
        <v>#REF!</v>
      </c>
      <c r="AR78" t="e">
        <f>装备!#REF!</f>
        <v>#REF!</v>
      </c>
      <c r="AS78" t="e">
        <f>装备!#REF!</f>
        <v>#REF!</v>
      </c>
      <c r="AT78" t="e">
        <f t="shared" si="17"/>
        <v>#REF!</v>
      </c>
      <c r="AU78" t="e">
        <f>装备!#REF!</f>
        <v>#REF!</v>
      </c>
      <c r="AV78" t="e">
        <f>装备!#REF!</f>
        <v>#REF!</v>
      </c>
      <c r="AW78" t="e">
        <f>装备!#REF!</f>
        <v>#REF!</v>
      </c>
      <c r="AX78" t="e">
        <f>装备!#REF!</f>
        <v>#REF!</v>
      </c>
      <c r="AY78" t="e">
        <f>装备!#REF!</f>
        <v>#REF!</v>
      </c>
      <c r="AZ78" t="e">
        <f>装备!#REF!</f>
        <v>#REF!</v>
      </c>
      <c r="BA78" t="e">
        <f>装备!#REF!</f>
        <v>#REF!</v>
      </c>
      <c r="BB78" t="e">
        <f>装备!#REF!</f>
        <v>#REF!</v>
      </c>
      <c r="BC78" t="e">
        <f>装备!#REF!</f>
        <v>#REF!</v>
      </c>
      <c r="BD78" t="e">
        <f>装备!#REF!</f>
        <v>#REF!</v>
      </c>
      <c r="BE78" t="e">
        <f t="shared" si="18"/>
        <v>#REF!</v>
      </c>
      <c r="BF78" t="e">
        <f>装备!#REF!</f>
        <v>#REF!</v>
      </c>
      <c r="BG78" t="e">
        <f>装备!#REF!</f>
        <v>#REF!</v>
      </c>
      <c r="BH78" t="e">
        <f>装备!#REF!</f>
        <v>#REF!</v>
      </c>
      <c r="BI78" t="e">
        <f>装备!#REF!</f>
        <v>#REF!</v>
      </c>
      <c r="BJ78" t="e">
        <f>装备!#REF!</f>
        <v>#REF!</v>
      </c>
      <c r="BK78" t="e">
        <f>装备!#REF!</f>
        <v>#REF!</v>
      </c>
      <c r="BL78" t="e">
        <f>装备!#REF!</f>
        <v>#REF!</v>
      </c>
      <c r="BM78" t="e">
        <f>装备!#REF!</f>
        <v>#REF!</v>
      </c>
      <c r="BN78" t="e">
        <f>装备!#REF!</f>
        <v>#REF!</v>
      </c>
      <c r="BO78" t="e">
        <f>装备!#REF!</f>
        <v>#REF!</v>
      </c>
      <c r="BP78" t="e">
        <f t="shared" si="19"/>
        <v>#REF!</v>
      </c>
      <c r="BQ78" t="e">
        <f>装备!#REF!</f>
        <v>#REF!</v>
      </c>
      <c r="BR78" t="e">
        <f>装备!#REF!</f>
        <v>#REF!</v>
      </c>
      <c r="BS78" t="e">
        <f>装备!#REF!</f>
        <v>#REF!</v>
      </c>
      <c r="BT78" t="e">
        <f>装备!#REF!</f>
        <v>#REF!</v>
      </c>
      <c r="BU78" t="e">
        <f>装备!#REF!</f>
        <v>#REF!</v>
      </c>
      <c r="BV78" t="e">
        <f>装备!#REF!</f>
        <v>#REF!</v>
      </c>
      <c r="BW78" t="e">
        <f>装备!#REF!</f>
        <v>#REF!</v>
      </c>
      <c r="BX78" t="e">
        <f>装备!#REF!</f>
        <v>#REF!</v>
      </c>
      <c r="BY78" t="e">
        <f>装备!#REF!</f>
        <v>#REF!</v>
      </c>
      <c r="BZ78" t="e">
        <f>装备!#REF!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装备!#REF!</f>
        <v>#REF!</v>
      </c>
      <c r="B79" t="e">
        <f>装备!#REF!</f>
        <v>#REF!</v>
      </c>
      <c r="C79" t="e">
        <f>装备!#REF!</f>
        <v>#REF!</v>
      </c>
      <c r="D79" t="e">
        <f>装备!#REF!</f>
        <v>#REF!</v>
      </c>
      <c r="E79" t="e">
        <f>装备!#REF!</f>
        <v>#REF!</v>
      </c>
      <c r="F79" t="e">
        <f>装备!#REF!</f>
        <v>#REF!</v>
      </c>
      <c r="G79" t="e">
        <f>装备!#REF!</f>
        <v>#REF!</v>
      </c>
      <c r="H79" t="e">
        <f>装备!#REF!</f>
        <v>#REF!</v>
      </c>
      <c r="I79" t="e">
        <f>装备!#REF!</f>
        <v>#REF!</v>
      </c>
      <c r="J79" t="e">
        <f>装备!#REF!</f>
        <v>#REF!</v>
      </c>
      <c r="K79" t="e">
        <f>装备!#REF!</f>
        <v>#REF!</v>
      </c>
      <c r="L79" t="e">
        <f>装备!#REF!</f>
        <v>#REF!</v>
      </c>
      <c r="M79" t="e">
        <f t="shared" si="14"/>
        <v>#REF!</v>
      </c>
      <c r="N79" t="e">
        <f>装备!#REF!</f>
        <v>#REF!</v>
      </c>
      <c r="O79" t="e">
        <f>装备!#REF!</f>
        <v>#REF!</v>
      </c>
      <c r="P79" t="e">
        <f>装备!#REF!</f>
        <v>#REF!</v>
      </c>
      <c r="Q79" t="e">
        <f>装备!#REF!</f>
        <v>#REF!</v>
      </c>
      <c r="R79" t="e">
        <f>装备!#REF!</f>
        <v>#REF!</v>
      </c>
      <c r="S79" t="e">
        <f>装备!#REF!</f>
        <v>#REF!</v>
      </c>
      <c r="T79" t="e">
        <f>装备!#REF!</f>
        <v>#REF!</v>
      </c>
      <c r="U79" t="e">
        <f>装备!#REF!</f>
        <v>#REF!</v>
      </c>
      <c r="V79" t="e">
        <f>装备!#REF!</f>
        <v>#REF!</v>
      </c>
      <c r="W79" t="e">
        <f>装备!#REF!</f>
        <v>#REF!</v>
      </c>
      <c r="X79" t="e">
        <f t="shared" si="15"/>
        <v>#REF!</v>
      </c>
      <c r="Y79" t="e">
        <f>装备!#REF!</f>
        <v>#REF!</v>
      </c>
      <c r="Z79" t="e">
        <f>装备!#REF!</f>
        <v>#REF!</v>
      </c>
      <c r="AA79" t="e">
        <f>装备!#REF!</f>
        <v>#REF!</v>
      </c>
      <c r="AB79" t="e">
        <f>装备!#REF!</f>
        <v>#REF!</v>
      </c>
      <c r="AC79" t="e">
        <f>装备!#REF!</f>
        <v>#REF!</v>
      </c>
      <c r="AD79" t="e">
        <f>装备!#REF!</f>
        <v>#REF!</v>
      </c>
      <c r="AE79" t="e">
        <f>装备!#REF!</f>
        <v>#REF!</v>
      </c>
      <c r="AF79" t="e">
        <f>装备!#REF!</f>
        <v>#REF!</v>
      </c>
      <c r="AG79" t="e">
        <f>装备!#REF!</f>
        <v>#REF!</v>
      </c>
      <c r="AH79" t="e">
        <f>装备!#REF!</f>
        <v>#REF!</v>
      </c>
      <c r="AI79" t="e">
        <f t="shared" si="16"/>
        <v>#REF!</v>
      </c>
      <c r="AJ79" t="e">
        <f>装备!#REF!</f>
        <v>#REF!</v>
      </c>
      <c r="AK79" t="e">
        <f>装备!#REF!</f>
        <v>#REF!</v>
      </c>
      <c r="AL79" t="e">
        <f>装备!#REF!</f>
        <v>#REF!</v>
      </c>
      <c r="AM79" t="e">
        <f>装备!#REF!</f>
        <v>#REF!</v>
      </c>
      <c r="AN79" t="e">
        <f>装备!#REF!</f>
        <v>#REF!</v>
      </c>
      <c r="AO79" t="e">
        <f>装备!#REF!</f>
        <v>#REF!</v>
      </c>
      <c r="AP79" t="e">
        <f>装备!#REF!</f>
        <v>#REF!</v>
      </c>
      <c r="AQ79" t="e">
        <f>装备!#REF!</f>
        <v>#REF!</v>
      </c>
      <c r="AR79" t="e">
        <f>装备!#REF!</f>
        <v>#REF!</v>
      </c>
      <c r="AS79" t="e">
        <f>装备!#REF!</f>
        <v>#REF!</v>
      </c>
      <c r="AT79" t="e">
        <f t="shared" si="17"/>
        <v>#REF!</v>
      </c>
      <c r="AU79" t="e">
        <f>装备!#REF!</f>
        <v>#REF!</v>
      </c>
      <c r="AV79" t="e">
        <f>装备!#REF!</f>
        <v>#REF!</v>
      </c>
      <c r="AW79" t="e">
        <f>装备!#REF!</f>
        <v>#REF!</v>
      </c>
      <c r="AX79" t="e">
        <f>装备!#REF!</f>
        <v>#REF!</v>
      </c>
      <c r="AY79" t="e">
        <f>装备!#REF!</f>
        <v>#REF!</v>
      </c>
      <c r="AZ79" t="e">
        <f>装备!#REF!</f>
        <v>#REF!</v>
      </c>
      <c r="BA79" t="e">
        <f>装备!#REF!</f>
        <v>#REF!</v>
      </c>
      <c r="BB79" t="e">
        <f>装备!#REF!</f>
        <v>#REF!</v>
      </c>
      <c r="BC79" t="e">
        <f>装备!#REF!</f>
        <v>#REF!</v>
      </c>
      <c r="BD79" t="e">
        <f>装备!#REF!</f>
        <v>#REF!</v>
      </c>
      <c r="BE79" t="e">
        <f t="shared" si="18"/>
        <v>#REF!</v>
      </c>
      <c r="BF79" t="e">
        <f>装备!#REF!</f>
        <v>#REF!</v>
      </c>
      <c r="BG79" t="e">
        <f>装备!#REF!</f>
        <v>#REF!</v>
      </c>
      <c r="BH79" t="e">
        <f>装备!#REF!</f>
        <v>#REF!</v>
      </c>
      <c r="BI79" t="e">
        <f>装备!#REF!</f>
        <v>#REF!</v>
      </c>
      <c r="BJ79" t="e">
        <f>装备!#REF!</f>
        <v>#REF!</v>
      </c>
      <c r="BK79" t="e">
        <f>装备!#REF!</f>
        <v>#REF!</v>
      </c>
      <c r="BL79" t="e">
        <f>装备!#REF!</f>
        <v>#REF!</v>
      </c>
      <c r="BM79" t="e">
        <f>装备!#REF!</f>
        <v>#REF!</v>
      </c>
      <c r="BN79" t="e">
        <f>装备!#REF!</f>
        <v>#REF!</v>
      </c>
      <c r="BO79" t="e">
        <f>装备!#REF!</f>
        <v>#REF!</v>
      </c>
      <c r="BP79" t="e">
        <f t="shared" si="19"/>
        <v>#REF!</v>
      </c>
      <c r="BQ79" t="e">
        <f>装备!#REF!</f>
        <v>#REF!</v>
      </c>
      <c r="BR79" t="e">
        <f>装备!#REF!</f>
        <v>#REF!</v>
      </c>
      <c r="BS79" t="e">
        <f>装备!#REF!</f>
        <v>#REF!</v>
      </c>
      <c r="BT79" t="e">
        <f>装备!#REF!</f>
        <v>#REF!</v>
      </c>
      <c r="BU79" t="e">
        <f>装备!#REF!</f>
        <v>#REF!</v>
      </c>
      <c r="BV79" t="e">
        <f>装备!#REF!</f>
        <v>#REF!</v>
      </c>
      <c r="BW79" t="e">
        <f>装备!#REF!</f>
        <v>#REF!</v>
      </c>
      <c r="BX79" t="e">
        <f>装备!#REF!</f>
        <v>#REF!</v>
      </c>
      <c r="BY79" t="e">
        <f>装备!#REF!</f>
        <v>#REF!</v>
      </c>
      <c r="BZ79" t="e">
        <f>装备!#REF!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装备!#REF!</f>
        <v>#REF!</v>
      </c>
      <c r="B80" t="e">
        <f>装备!#REF!</f>
        <v>#REF!</v>
      </c>
      <c r="C80" t="e">
        <f>装备!#REF!</f>
        <v>#REF!</v>
      </c>
      <c r="D80" t="e">
        <f>装备!#REF!</f>
        <v>#REF!</v>
      </c>
      <c r="E80" t="e">
        <f>装备!#REF!</f>
        <v>#REF!</v>
      </c>
      <c r="F80" t="e">
        <f>装备!#REF!</f>
        <v>#REF!</v>
      </c>
      <c r="G80" t="e">
        <f>装备!#REF!</f>
        <v>#REF!</v>
      </c>
      <c r="H80" t="e">
        <f>装备!#REF!</f>
        <v>#REF!</v>
      </c>
      <c r="I80" t="e">
        <f>装备!#REF!</f>
        <v>#REF!</v>
      </c>
      <c r="J80" t="e">
        <f>装备!#REF!</f>
        <v>#REF!</v>
      </c>
      <c r="K80" t="e">
        <f>装备!#REF!</f>
        <v>#REF!</v>
      </c>
      <c r="L80" t="e">
        <f>装备!#REF!</f>
        <v>#REF!</v>
      </c>
      <c r="M80" t="e">
        <f t="shared" si="14"/>
        <v>#REF!</v>
      </c>
      <c r="N80" t="e">
        <f>装备!#REF!</f>
        <v>#REF!</v>
      </c>
      <c r="O80" t="e">
        <f>装备!#REF!</f>
        <v>#REF!</v>
      </c>
      <c r="P80" t="e">
        <f>装备!#REF!</f>
        <v>#REF!</v>
      </c>
      <c r="Q80" t="e">
        <f>装备!#REF!</f>
        <v>#REF!</v>
      </c>
      <c r="R80" t="e">
        <f>装备!#REF!</f>
        <v>#REF!</v>
      </c>
      <c r="S80" t="e">
        <f>装备!#REF!</f>
        <v>#REF!</v>
      </c>
      <c r="T80" t="e">
        <f>装备!#REF!</f>
        <v>#REF!</v>
      </c>
      <c r="U80" t="e">
        <f>装备!#REF!</f>
        <v>#REF!</v>
      </c>
      <c r="V80" t="e">
        <f>装备!#REF!</f>
        <v>#REF!</v>
      </c>
      <c r="W80" t="e">
        <f>装备!#REF!</f>
        <v>#REF!</v>
      </c>
      <c r="X80" t="e">
        <f t="shared" si="15"/>
        <v>#REF!</v>
      </c>
      <c r="Y80" t="e">
        <f>装备!#REF!</f>
        <v>#REF!</v>
      </c>
      <c r="Z80" t="e">
        <f>装备!#REF!</f>
        <v>#REF!</v>
      </c>
      <c r="AA80" t="e">
        <f>装备!#REF!</f>
        <v>#REF!</v>
      </c>
      <c r="AB80" t="e">
        <f>装备!#REF!</f>
        <v>#REF!</v>
      </c>
      <c r="AC80" t="e">
        <f>装备!#REF!</f>
        <v>#REF!</v>
      </c>
      <c r="AD80" t="e">
        <f>装备!#REF!</f>
        <v>#REF!</v>
      </c>
      <c r="AE80" t="e">
        <f>装备!#REF!</f>
        <v>#REF!</v>
      </c>
      <c r="AF80" t="e">
        <f>装备!#REF!</f>
        <v>#REF!</v>
      </c>
      <c r="AG80" t="e">
        <f>装备!#REF!</f>
        <v>#REF!</v>
      </c>
      <c r="AH80" t="e">
        <f>装备!#REF!</f>
        <v>#REF!</v>
      </c>
      <c r="AI80" t="e">
        <f t="shared" si="16"/>
        <v>#REF!</v>
      </c>
      <c r="AJ80" t="e">
        <f>装备!#REF!</f>
        <v>#REF!</v>
      </c>
      <c r="AK80" t="e">
        <f>装备!#REF!</f>
        <v>#REF!</v>
      </c>
      <c r="AL80" t="e">
        <f>装备!#REF!</f>
        <v>#REF!</v>
      </c>
      <c r="AM80" t="e">
        <f>装备!#REF!</f>
        <v>#REF!</v>
      </c>
      <c r="AN80" t="e">
        <f>装备!#REF!</f>
        <v>#REF!</v>
      </c>
      <c r="AO80" t="e">
        <f>装备!#REF!</f>
        <v>#REF!</v>
      </c>
      <c r="AP80" t="e">
        <f>装备!#REF!</f>
        <v>#REF!</v>
      </c>
      <c r="AQ80" t="e">
        <f>装备!#REF!</f>
        <v>#REF!</v>
      </c>
      <c r="AR80" t="e">
        <f>装备!#REF!</f>
        <v>#REF!</v>
      </c>
      <c r="AS80" t="e">
        <f>装备!#REF!</f>
        <v>#REF!</v>
      </c>
      <c r="AT80" t="e">
        <f t="shared" si="17"/>
        <v>#REF!</v>
      </c>
      <c r="AU80" t="e">
        <f>装备!#REF!</f>
        <v>#REF!</v>
      </c>
      <c r="AV80" t="e">
        <f>装备!#REF!</f>
        <v>#REF!</v>
      </c>
      <c r="AW80" t="e">
        <f>装备!#REF!</f>
        <v>#REF!</v>
      </c>
      <c r="AX80" t="e">
        <f>装备!#REF!</f>
        <v>#REF!</v>
      </c>
      <c r="AY80" t="e">
        <f>装备!#REF!</f>
        <v>#REF!</v>
      </c>
      <c r="AZ80" t="e">
        <f>装备!#REF!</f>
        <v>#REF!</v>
      </c>
      <c r="BA80" t="e">
        <f>装备!#REF!</f>
        <v>#REF!</v>
      </c>
      <c r="BB80" t="e">
        <f>装备!#REF!</f>
        <v>#REF!</v>
      </c>
      <c r="BC80" t="e">
        <f>装备!#REF!</f>
        <v>#REF!</v>
      </c>
      <c r="BD80" t="e">
        <f>装备!#REF!</f>
        <v>#REF!</v>
      </c>
      <c r="BE80" t="e">
        <f t="shared" si="18"/>
        <v>#REF!</v>
      </c>
      <c r="BF80" t="e">
        <f>装备!#REF!</f>
        <v>#REF!</v>
      </c>
      <c r="BG80" t="e">
        <f>装备!#REF!</f>
        <v>#REF!</v>
      </c>
      <c r="BH80" t="e">
        <f>装备!#REF!</f>
        <v>#REF!</v>
      </c>
      <c r="BI80" t="e">
        <f>装备!#REF!</f>
        <v>#REF!</v>
      </c>
      <c r="BJ80" t="e">
        <f>装备!#REF!</f>
        <v>#REF!</v>
      </c>
      <c r="BK80" t="e">
        <f>装备!#REF!</f>
        <v>#REF!</v>
      </c>
      <c r="BL80" t="e">
        <f>装备!#REF!</f>
        <v>#REF!</v>
      </c>
      <c r="BM80" t="e">
        <f>装备!#REF!</f>
        <v>#REF!</v>
      </c>
      <c r="BN80" t="e">
        <f>装备!#REF!</f>
        <v>#REF!</v>
      </c>
      <c r="BO80" t="e">
        <f>装备!#REF!</f>
        <v>#REF!</v>
      </c>
      <c r="BP80" t="e">
        <f t="shared" si="19"/>
        <v>#REF!</v>
      </c>
      <c r="BQ80" t="e">
        <f>装备!#REF!</f>
        <v>#REF!</v>
      </c>
      <c r="BR80" t="e">
        <f>装备!#REF!</f>
        <v>#REF!</v>
      </c>
      <c r="BS80" t="e">
        <f>装备!#REF!</f>
        <v>#REF!</v>
      </c>
      <c r="BT80" t="e">
        <f>装备!#REF!</f>
        <v>#REF!</v>
      </c>
      <c r="BU80" t="e">
        <f>装备!#REF!</f>
        <v>#REF!</v>
      </c>
      <c r="BV80" t="e">
        <f>装备!#REF!</f>
        <v>#REF!</v>
      </c>
      <c r="BW80" t="e">
        <f>装备!#REF!</f>
        <v>#REF!</v>
      </c>
      <c r="BX80" t="e">
        <f>装备!#REF!</f>
        <v>#REF!</v>
      </c>
      <c r="BY80" t="e">
        <f>装备!#REF!</f>
        <v>#REF!</v>
      </c>
      <c r="BZ80" t="e">
        <f>装备!#REF!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装备!#REF!</f>
        <v>#REF!</v>
      </c>
      <c r="B81" t="e">
        <f>装备!#REF!</f>
        <v>#REF!</v>
      </c>
      <c r="C81" t="e">
        <f>装备!#REF!</f>
        <v>#REF!</v>
      </c>
      <c r="D81" t="e">
        <f>装备!#REF!</f>
        <v>#REF!</v>
      </c>
      <c r="E81" t="e">
        <f>装备!#REF!</f>
        <v>#REF!</v>
      </c>
      <c r="F81" t="e">
        <f>装备!#REF!</f>
        <v>#REF!</v>
      </c>
      <c r="G81" t="e">
        <f>装备!#REF!</f>
        <v>#REF!</v>
      </c>
      <c r="H81" t="e">
        <f>装备!#REF!</f>
        <v>#REF!</v>
      </c>
      <c r="I81" t="e">
        <f>装备!#REF!</f>
        <v>#REF!</v>
      </c>
      <c r="J81" t="e">
        <f>装备!#REF!</f>
        <v>#REF!</v>
      </c>
      <c r="K81" t="e">
        <f>装备!#REF!</f>
        <v>#REF!</v>
      </c>
      <c r="L81" t="e">
        <f>装备!#REF!</f>
        <v>#REF!</v>
      </c>
      <c r="M81" t="e">
        <f t="shared" si="14"/>
        <v>#REF!</v>
      </c>
      <c r="N81" t="e">
        <f>装备!#REF!</f>
        <v>#REF!</v>
      </c>
      <c r="O81" t="e">
        <f>装备!#REF!</f>
        <v>#REF!</v>
      </c>
      <c r="P81" t="e">
        <f>装备!#REF!</f>
        <v>#REF!</v>
      </c>
      <c r="Q81" t="e">
        <f>装备!#REF!</f>
        <v>#REF!</v>
      </c>
      <c r="R81" t="e">
        <f>装备!#REF!</f>
        <v>#REF!</v>
      </c>
      <c r="S81" t="e">
        <f>装备!#REF!</f>
        <v>#REF!</v>
      </c>
      <c r="T81" t="e">
        <f>装备!#REF!</f>
        <v>#REF!</v>
      </c>
      <c r="U81" t="e">
        <f>装备!#REF!</f>
        <v>#REF!</v>
      </c>
      <c r="V81" t="e">
        <f>装备!#REF!</f>
        <v>#REF!</v>
      </c>
      <c r="W81" t="e">
        <f>装备!#REF!</f>
        <v>#REF!</v>
      </c>
      <c r="X81" t="e">
        <f t="shared" si="15"/>
        <v>#REF!</v>
      </c>
      <c r="Y81" t="e">
        <f>装备!#REF!</f>
        <v>#REF!</v>
      </c>
      <c r="Z81" t="e">
        <f>装备!#REF!</f>
        <v>#REF!</v>
      </c>
      <c r="AA81" t="e">
        <f>装备!#REF!</f>
        <v>#REF!</v>
      </c>
      <c r="AB81" t="e">
        <f>装备!#REF!</f>
        <v>#REF!</v>
      </c>
      <c r="AC81" t="e">
        <f>装备!#REF!</f>
        <v>#REF!</v>
      </c>
      <c r="AD81" t="e">
        <f>装备!#REF!</f>
        <v>#REF!</v>
      </c>
      <c r="AE81" t="e">
        <f>装备!#REF!</f>
        <v>#REF!</v>
      </c>
      <c r="AF81" t="e">
        <f>装备!#REF!</f>
        <v>#REF!</v>
      </c>
      <c r="AG81" t="e">
        <f>装备!#REF!</f>
        <v>#REF!</v>
      </c>
      <c r="AH81" t="e">
        <f>装备!#REF!</f>
        <v>#REF!</v>
      </c>
      <c r="AI81" t="e">
        <f t="shared" si="16"/>
        <v>#REF!</v>
      </c>
      <c r="AJ81" t="e">
        <f>装备!#REF!</f>
        <v>#REF!</v>
      </c>
      <c r="AK81" t="e">
        <f>装备!#REF!</f>
        <v>#REF!</v>
      </c>
      <c r="AL81" t="e">
        <f>装备!#REF!</f>
        <v>#REF!</v>
      </c>
      <c r="AM81" t="e">
        <f>装备!#REF!</f>
        <v>#REF!</v>
      </c>
      <c r="AN81" t="e">
        <f>装备!#REF!</f>
        <v>#REF!</v>
      </c>
      <c r="AO81" t="e">
        <f>装备!#REF!</f>
        <v>#REF!</v>
      </c>
      <c r="AP81" t="e">
        <f>装备!#REF!</f>
        <v>#REF!</v>
      </c>
      <c r="AQ81" t="e">
        <f>装备!#REF!</f>
        <v>#REF!</v>
      </c>
      <c r="AR81" t="e">
        <f>装备!#REF!</f>
        <v>#REF!</v>
      </c>
      <c r="AS81" t="e">
        <f>装备!#REF!</f>
        <v>#REF!</v>
      </c>
      <c r="AT81" t="e">
        <f t="shared" si="17"/>
        <v>#REF!</v>
      </c>
      <c r="AU81" t="e">
        <f>装备!#REF!</f>
        <v>#REF!</v>
      </c>
      <c r="AV81" t="e">
        <f>装备!#REF!</f>
        <v>#REF!</v>
      </c>
      <c r="AW81" t="e">
        <f>装备!#REF!</f>
        <v>#REF!</v>
      </c>
      <c r="AX81" t="e">
        <f>装备!#REF!</f>
        <v>#REF!</v>
      </c>
      <c r="AY81" t="e">
        <f>装备!#REF!</f>
        <v>#REF!</v>
      </c>
      <c r="AZ81" t="e">
        <f>装备!#REF!</f>
        <v>#REF!</v>
      </c>
      <c r="BA81" t="e">
        <f>装备!#REF!</f>
        <v>#REF!</v>
      </c>
      <c r="BB81" t="e">
        <f>装备!#REF!</f>
        <v>#REF!</v>
      </c>
      <c r="BC81" t="e">
        <f>装备!#REF!</f>
        <v>#REF!</v>
      </c>
      <c r="BD81" t="e">
        <f>装备!#REF!</f>
        <v>#REF!</v>
      </c>
      <c r="BE81" t="e">
        <f t="shared" si="18"/>
        <v>#REF!</v>
      </c>
      <c r="BF81" t="e">
        <f>装备!#REF!</f>
        <v>#REF!</v>
      </c>
      <c r="BG81" t="e">
        <f>装备!#REF!</f>
        <v>#REF!</v>
      </c>
      <c r="BH81" t="e">
        <f>装备!#REF!</f>
        <v>#REF!</v>
      </c>
      <c r="BI81" t="e">
        <f>装备!#REF!</f>
        <v>#REF!</v>
      </c>
      <c r="BJ81" t="e">
        <f>装备!#REF!</f>
        <v>#REF!</v>
      </c>
      <c r="BK81" t="e">
        <f>装备!#REF!</f>
        <v>#REF!</v>
      </c>
      <c r="BL81" t="e">
        <f>装备!#REF!</f>
        <v>#REF!</v>
      </c>
      <c r="BM81" t="e">
        <f>装备!#REF!</f>
        <v>#REF!</v>
      </c>
      <c r="BN81" t="e">
        <f>装备!#REF!</f>
        <v>#REF!</v>
      </c>
      <c r="BO81" t="e">
        <f>装备!#REF!</f>
        <v>#REF!</v>
      </c>
      <c r="BP81" t="e">
        <f t="shared" si="19"/>
        <v>#REF!</v>
      </c>
      <c r="BQ81" t="e">
        <f>装备!#REF!</f>
        <v>#REF!</v>
      </c>
      <c r="BR81" t="e">
        <f>装备!#REF!</f>
        <v>#REF!</v>
      </c>
      <c r="BS81" t="e">
        <f>装备!#REF!</f>
        <v>#REF!</v>
      </c>
      <c r="BT81" t="e">
        <f>装备!#REF!</f>
        <v>#REF!</v>
      </c>
      <c r="BU81" t="e">
        <f>装备!#REF!</f>
        <v>#REF!</v>
      </c>
      <c r="BV81" t="e">
        <f>装备!#REF!</f>
        <v>#REF!</v>
      </c>
      <c r="BW81" t="e">
        <f>装备!#REF!</f>
        <v>#REF!</v>
      </c>
      <c r="BX81" t="e">
        <f>装备!#REF!</f>
        <v>#REF!</v>
      </c>
      <c r="BY81" t="e">
        <f>装备!#REF!</f>
        <v>#REF!</v>
      </c>
      <c r="BZ81" t="e">
        <f>装备!#REF!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装备!#REF!</f>
        <v>#REF!</v>
      </c>
      <c r="B82" t="e">
        <f>装备!#REF!</f>
        <v>#REF!</v>
      </c>
      <c r="C82" t="e">
        <f>装备!#REF!</f>
        <v>#REF!</v>
      </c>
      <c r="D82" t="e">
        <f>装备!#REF!</f>
        <v>#REF!</v>
      </c>
      <c r="E82" t="e">
        <f>装备!#REF!</f>
        <v>#REF!</v>
      </c>
      <c r="F82" t="e">
        <f>装备!#REF!</f>
        <v>#REF!</v>
      </c>
      <c r="G82" t="e">
        <f>装备!#REF!</f>
        <v>#REF!</v>
      </c>
      <c r="H82" t="e">
        <f>装备!#REF!</f>
        <v>#REF!</v>
      </c>
      <c r="I82" t="e">
        <f>装备!#REF!</f>
        <v>#REF!</v>
      </c>
      <c r="J82" t="e">
        <f>装备!#REF!</f>
        <v>#REF!</v>
      </c>
      <c r="K82" t="e">
        <f>装备!#REF!</f>
        <v>#REF!</v>
      </c>
      <c r="L82" t="e">
        <f>装备!#REF!</f>
        <v>#REF!</v>
      </c>
      <c r="M82" t="e">
        <f t="shared" si="14"/>
        <v>#REF!</v>
      </c>
      <c r="N82" t="e">
        <f>装备!#REF!</f>
        <v>#REF!</v>
      </c>
      <c r="O82" t="e">
        <f>装备!#REF!</f>
        <v>#REF!</v>
      </c>
      <c r="P82" t="e">
        <f>装备!#REF!</f>
        <v>#REF!</v>
      </c>
      <c r="Q82" t="e">
        <f>装备!#REF!</f>
        <v>#REF!</v>
      </c>
      <c r="R82" t="e">
        <f>装备!#REF!</f>
        <v>#REF!</v>
      </c>
      <c r="S82" t="e">
        <f>装备!#REF!</f>
        <v>#REF!</v>
      </c>
      <c r="T82" t="e">
        <f>装备!#REF!</f>
        <v>#REF!</v>
      </c>
      <c r="U82" t="e">
        <f>装备!#REF!</f>
        <v>#REF!</v>
      </c>
      <c r="V82" t="e">
        <f>装备!#REF!</f>
        <v>#REF!</v>
      </c>
      <c r="W82" t="e">
        <f>装备!#REF!</f>
        <v>#REF!</v>
      </c>
      <c r="X82" t="e">
        <f t="shared" si="15"/>
        <v>#REF!</v>
      </c>
      <c r="Y82" t="e">
        <f>装备!#REF!</f>
        <v>#REF!</v>
      </c>
      <c r="Z82" t="e">
        <f>装备!#REF!</f>
        <v>#REF!</v>
      </c>
      <c r="AA82" t="e">
        <f>装备!#REF!</f>
        <v>#REF!</v>
      </c>
      <c r="AB82" t="e">
        <f>装备!#REF!</f>
        <v>#REF!</v>
      </c>
      <c r="AC82" t="e">
        <f>装备!#REF!</f>
        <v>#REF!</v>
      </c>
      <c r="AD82" t="e">
        <f>装备!#REF!</f>
        <v>#REF!</v>
      </c>
      <c r="AE82" t="e">
        <f>装备!#REF!</f>
        <v>#REF!</v>
      </c>
      <c r="AF82" t="e">
        <f>装备!#REF!</f>
        <v>#REF!</v>
      </c>
      <c r="AG82" t="e">
        <f>装备!#REF!</f>
        <v>#REF!</v>
      </c>
      <c r="AH82" t="e">
        <f>装备!#REF!</f>
        <v>#REF!</v>
      </c>
      <c r="AI82" t="e">
        <f t="shared" si="16"/>
        <v>#REF!</v>
      </c>
      <c r="AJ82" t="e">
        <f>装备!#REF!</f>
        <v>#REF!</v>
      </c>
      <c r="AK82" t="e">
        <f>装备!#REF!</f>
        <v>#REF!</v>
      </c>
      <c r="AL82" t="e">
        <f>装备!#REF!</f>
        <v>#REF!</v>
      </c>
      <c r="AM82" t="e">
        <f>装备!#REF!</f>
        <v>#REF!</v>
      </c>
      <c r="AN82" t="e">
        <f>装备!#REF!</f>
        <v>#REF!</v>
      </c>
      <c r="AO82" t="e">
        <f>装备!#REF!</f>
        <v>#REF!</v>
      </c>
      <c r="AP82" t="e">
        <f>装备!#REF!</f>
        <v>#REF!</v>
      </c>
      <c r="AQ82" t="e">
        <f>装备!#REF!</f>
        <v>#REF!</v>
      </c>
      <c r="AR82" t="e">
        <f>装备!#REF!</f>
        <v>#REF!</v>
      </c>
      <c r="AS82" t="e">
        <f>装备!#REF!</f>
        <v>#REF!</v>
      </c>
      <c r="AT82" t="e">
        <f t="shared" si="17"/>
        <v>#REF!</v>
      </c>
      <c r="AU82" t="e">
        <f>装备!#REF!</f>
        <v>#REF!</v>
      </c>
      <c r="AV82" t="e">
        <f>装备!#REF!</f>
        <v>#REF!</v>
      </c>
      <c r="AW82" t="e">
        <f>装备!#REF!</f>
        <v>#REF!</v>
      </c>
      <c r="AX82" t="e">
        <f>装备!#REF!</f>
        <v>#REF!</v>
      </c>
      <c r="AY82" t="e">
        <f>装备!#REF!</f>
        <v>#REF!</v>
      </c>
      <c r="AZ82" t="e">
        <f>装备!#REF!</f>
        <v>#REF!</v>
      </c>
      <c r="BA82" t="e">
        <f>装备!#REF!</f>
        <v>#REF!</v>
      </c>
      <c r="BB82" t="e">
        <f>装备!#REF!</f>
        <v>#REF!</v>
      </c>
      <c r="BC82" t="e">
        <f>装备!#REF!</f>
        <v>#REF!</v>
      </c>
      <c r="BD82" t="e">
        <f>装备!#REF!</f>
        <v>#REF!</v>
      </c>
      <c r="BE82" t="e">
        <f t="shared" si="18"/>
        <v>#REF!</v>
      </c>
      <c r="BF82" t="e">
        <f>装备!#REF!</f>
        <v>#REF!</v>
      </c>
      <c r="BG82" t="e">
        <f>装备!#REF!</f>
        <v>#REF!</v>
      </c>
      <c r="BH82" t="e">
        <f>装备!#REF!</f>
        <v>#REF!</v>
      </c>
      <c r="BI82" t="e">
        <f>装备!#REF!</f>
        <v>#REF!</v>
      </c>
      <c r="BJ82" t="e">
        <f>装备!#REF!</f>
        <v>#REF!</v>
      </c>
      <c r="BK82" t="e">
        <f>装备!#REF!</f>
        <v>#REF!</v>
      </c>
      <c r="BL82" t="e">
        <f>装备!#REF!</f>
        <v>#REF!</v>
      </c>
      <c r="BM82" t="e">
        <f>装备!#REF!</f>
        <v>#REF!</v>
      </c>
      <c r="BN82" t="e">
        <f>装备!#REF!</f>
        <v>#REF!</v>
      </c>
      <c r="BO82" t="e">
        <f>装备!#REF!</f>
        <v>#REF!</v>
      </c>
      <c r="BP82" t="e">
        <f t="shared" si="19"/>
        <v>#REF!</v>
      </c>
      <c r="BQ82" t="e">
        <f>装备!#REF!</f>
        <v>#REF!</v>
      </c>
      <c r="BR82" t="e">
        <f>装备!#REF!</f>
        <v>#REF!</v>
      </c>
      <c r="BS82" t="e">
        <f>装备!#REF!</f>
        <v>#REF!</v>
      </c>
      <c r="BT82" t="e">
        <f>装备!#REF!</f>
        <v>#REF!</v>
      </c>
      <c r="BU82" t="e">
        <f>装备!#REF!</f>
        <v>#REF!</v>
      </c>
      <c r="BV82" t="e">
        <f>装备!#REF!</f>
        <v>#REF!</v>
      </c>
      <c r="BW82" t="e">
        <f>装备!#REF!</f>
        <v>#REF!</v>
      </c>
      <c r="BX82" t="e">
        <f>装备!#REF!</f>
        <v>#REF!</v>
      </c>
      <c r="BY82" t="e">
        <f>装备!#REF!</f>
        <v>#REF!</v>
      </c>
      <c r="BZ82" t="e">
        <f>装备!#REF!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装备!#REF!</f>
        <v>#REF!</v>
      </c>
      <c r="B83" t="e">
        <f>装备!#REF!</f>
        <v>#REF!</v>
      </c>
      <c r="C83" t="e">
        <f>装备!#REF!</f>
        <v>#REF!</v>
      </c>
      <c r="D83" t="e">
        <f>装备!#REF!</f>
        <v>#REF!</v>
      </c>
      <c r="E83" t="e">
        <f>装备!#REF!</f>
        <v>#REF!</v>
      </c>
      <c r="F83" t="e">
        <f>装备!#REF!</f>
        <v>#REF!</v>
      </c>
      <c r="G83" t="e">
        <f>装备!#REF!</f>
        <v>#REF!</v>
      </c>
      <c r="H83" t="e">
        <f>装备!#REF!</f>
        <v>#REF!</v>
      </c>
      <c r="I83" t="e">
        <f>装备!#REF!</f>
        <v>#REF!</v>
      </c>
      <c r="J83" t="e">
        <f>装备!#REF!</f>
        <v>#REF!</v>
      </c>
      <c r="K83" t="e">
        <f>装备!#REF!</f>
        <v>#REF!</v>
      </c>
      <c r="L83" t="e">
        <f>装备!#REF!</f>
        <v>#REF!</v>
      </c>
      <c r="M83" t="e">
        <f t="shared" si="14"/>
        <v>#REF!</v>
      </c>
      <c r="N83" t="e">
        <f>装备!#REF!</f>
        <v>#REF!</v>
      </c>
      <c r="O83" t="e">
        <f>装备!#REF!</f>
        <v>#REF!</v>
      </c>
      <c r="P83" t="e">
        <f>装备!#REF!</f>
        <v>#REF!</v>
      </c>
      <c r="Q83" t="e">
        <f>装备!#REF!</f>
        <v>#REF!</v>
      </c>
      <c r="R83" t="e">
        <f>装备!#REF!</f>
        <v>#REF!</v>
      </c>
      <c r="S83" t="e">
        <f>装备!#REF!</f>
        <v>#REF!</v>
      </c>
      <c r="T83" t="e">
        <f>装备!#REF!</f>
        <v>#REF!</v>
      </c>
      <c r="U83" t="e">
        <f>装备!#REF!</f>
        <v>#REF!</v>
      </c>
      <c r="V83" t="e">
        <f>装备!#REF!</f>
        <v>#REF!</v>
      </c>
      <c r="W83" t="e">
        <f>装备!#REF!</f>
        <v>#REF!</v>
      </c>
      <c r="X83" t="e">
        <f t="shared" si="15"/>
        <v>#REF!</v>
      </c>
      <c r="Y83" t="e">
        <f>装备!#REF!</f>
        <v>#REF!</v>
      </c>
      <c r="Z83" t="e">
        <f>装备!#REF!</f>
        <v>#REF!</v>
      </c>
      <c r="AA83" t="e">
        <f>装备!#REF!</f>
        <v>#REF!</v>
      </c>
      <c r="AB83" t="e">
        <f>装备!#REF!</f>
        <v>#REF!</v>
      </c>
      <c r="AC83" t="e">
        <f>装备!#REF!</f>
        <v>#REF!</v>
      </c>
      <c r="AD83" t="e">
        <f>装备!#REF!</f>
        <v>#REF!</v>
      </c>
      <c r="AE83" t="e">
        <f>装备!#REF!</f>
        <v>#REF!</v>
      </c>
      <c r="AF83" t="e">
        <f>装备!#REF!</f>
        <v>#REF!</v>
      </c>
      <c r="AG83" t="e">
        <f>装备!#REF!</f>
        <v>#REF!</v>
      </c>
      <c r="AH83" t="e">
        <f>装备!#REF!</f>
        <v>#REF!</v>
      </c>
      <c r="AI83" t="e">
        <f t="shared" si="16"/>
        <v>#REF!</v>
      </c>
      <c r="AJ83" t="e">
        <f>装备!#REF!</f>
        <v>#REF!</v>
      </c>
      <c r="AK83" t="e">
        <f>装备!#REF!</f>
        <v>#REF!</v>
      </c>
      <c r="AL83" t="e">
        <f>装备!#REF!</f>
        <v>#REF!</v>
      </c>
      <c r="AM83" t="e">
        <f>装备!#REF!</f>
        <v>#REF!</v>
      </c>
      <c r="AN83" t="e">
        <f>装备!#REF!</f>
        <v>#REF!</v>
      </c>
      <c r="AO83" t="e">
        <f>装备!#REF!</f>
        <v>#REF!</v>
      </c>
      <c r="AP83" t="e">
        <f>装备!#REF!</f>
        <v>#REF!</v>
      </c>
      <c r="AQ83" t="e">
        <f>装备!#REF!</f>
        <v>#REF!</v>
      </c>
      <c r="AR83" t="e">
        <f>装备!#REF!</f>
        <v>#REF!</v>
      </c>
      <c r="AS83" t="e">
        <f>装备!#REF!</f>
        <v>#REF!</v>
      </c>
      <c r="AT83" t="e">
        <f t="shared" si="17"/>
        <v>#REF!</v>
      </c>
      <c r="AU83" t="e">
        <f>装备!#REF!</f>
        <v>#REF!</v>
      </c>
      <c r="AV83" t="e">
        <f>装备!#REF!</f>
        <v>#REF!</v>
      </c>
      <c r="AW83" t="e">
        <f>装备!#REF!</f>
        <v>#REF!</v>
      </c>
      <c r="AX83" t="e">
        <f>装备!#REF!</f>
        <v>#REF!</v>
      </c>
      <c r="AY83" t="e">
        <f>装备!#REF!</f>
        <v>#REF!</v>
      </c>
      <c r="AZ83" t="e">
        <f>装备!#REF!</f>
        <v>#REF!</v>
      </c>
      <c r="BA83" t="e">
        <f>装备!#REF!</f>
        <v>#REF!</v>
      </c>
      <c r="BB83" t="e">
        <f>装备!#REF!</f>
        <v>#REF!</v>
      </c>
      <c r="BC83" t="e">
        <f>装备!#REF!</f>
        <v>#REF!</v>
      </c>
      <c r="BD83" t="e">
        <f>装备!#REF!</f>
        <v>#REF!</v>
      </c>
      <c r="BE83" t="e">
        <f t="shared" si="18"/>
        <v>#REF!</v>
      </c>
      <c r="BF83" t="e">
        <f>装备!#REF!</f>
        <v>#REF!</v>
      </c>
      <c r="BG83" t="e">
        <f>装备!#REF!</f>
        <v>#REF!</v>
      </c>
      <c r="BH83" t="e">
        <f>装备!#REF!</f>
        <v>#REF!</v>
      </c>
      <c r="BI83" t="e">
        <f>装备!#REF!</f>
        <v>#REF!</v>
      </c>
      <c r="BJ83" t="e">
        <f>装备!#REF!</f>
        <v>#REF!</v>
      </c>
      <c r="BK83" t="e">
        <f>装备!#REF!</f>
        <v>#REF!</v>
      </c>
      <c r="BL83" t="e">
        <f>装备!#REF!</f>
        <v>#REF!</v>
      </c>
      <c r="BM83" t="e">
        <f>装备!#REF!</f>
        <v>#REF!</v>
      </c>
      <c r="BN83" t="e">
        <f>装备!#REF!</f>
        <v>#REF!</v>
      </c>
      <c r="BO83" t="e">
        <f>装备!#REF!</f>
        <v>#REF!</v>
      </c>
      <c r="BP83" t="e">
        <f t="shared" si="19"/>
        <v>#REF!</v>
      </c>
      <c r="BQ83" t="e">
        <f>装备!#REF!</f>
        <v>#REF!</v>
      </c>
      <c r="BR83" t="e">
        <f>装备!#REF!</f>
        <v>#REF!</v>
      </c>
      <c r="BS83" t="e">
        <f>装备!#REF!</f>
        <v>#REF!</v>
      </c>
      <c r="BT83" t="e">
        <f>装备!#REF!</f>
        <v>#REF!</v>
      </c>
      <c r="BU83" t="e">
        <f>装备!#REF!</f>
        <v>#REF!</v>
      </c>
      <c r="BV83" t="e">
        <f>装备!#REF!</f>
        <v>#REF!</v>
      </c>
      <c r="BW83" t="e">
        <f>装备!#REF!</f>
        <v>#REF!</v>
      </c>
      <c r="BX83" t="e">
        <f>装备!#REF!</f>
        <v>#REF!</v>
      </c>
      <c r="BY83" t="e">
        <f>装备!#REF!</f>
        <v>#REF!</v>
      </c>
      <c r="BZ83" t="e">
        <f>装备!#REF!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装备!#REF!</f>
        <v>#REF!</v>
      </c>
      <c r="B84" t="e">
        <f>装备!#REF!</f>
        <v>#REF!</v>
      </c>
      <c r="C84" t="e">
        <f>装备!#REF!</f>
        <v>#REF!</v>
      </c>
      <c r="D84" t="e">
        <f>装备!#REF!</f>
        <v>#REF!</v>
      </c>
      <c r="E84" t="e">
        <f>装备!#REF!</f>
        <v>#REF!</v>
      </c>
      <c r="F84" t="e">
        <f>装备!#REF!</f>
        <v>#REF!</v>
      </c>
      <c r="G84" t="e">
        <f>装备!#REF!</f>
        <v>#REF!</v>
      </c>
      <c r="H84" t="e">
        <f>装备!#REF!</f>
        <v>#REF!</v>
      </c>
      <c r="I84" t="e">
        <f>装备!#REF!</f>
        <v>#REF!</v>
      </c>
      <c r="J84" t="e">
        <f>装备!#REF!</f>
        <v>#REF!</v>
      </c>
      <c r="K84" t="e">
        <f>装备!#REF!</f>
        <v>#REF!</v>
      </c>
      <c r="L84" t="e">
        <f>装备!#REF!</f>
        <v>#REF!</v>
      </c>
      <c r="M84" t="e">
        <f t="shared" si="14"/>
        <v>#REF!</v>
      </c>
      <c r="N84" t="e">
        <f>装备!#REF!</f>
        <v>#REF!</v>
      </c>
      <c r="O84" t="e">
        <f>装备!#REF!</f>
        <v>#REF!</v>
      </c>
      <c r="P84" t="e">
        <f>装备!#REF!</f>
        <v>#REF!</v>
      </c>
      <c r="Q84" t="e">
        <f>装备!#REF!</f>
        <v>#REF!</v>
      </c>
      <c r="R84" t="e">
        <f>装备!#REF!</f>
        <v>#REF!</v>
      </c>
      <c r="S84" t="e">
        <f>装备!#REF!</f>
        <v>#REF!</v>
      </c>
      <c r="T84" t="e">
        <f>装备!#REF!</f>
        <v>#REF!</v>
      </c>
      <c r="U84" t="e">
        <f>装备!#REF!</f>
        <v>#REF!</v>
      </c>
      <c r="V84" t="e">
        <f>装备!#REF!</f>
        <v>#REF!</v>
      </c>
      <c r="W84" t="e">
        <f>装备!#REF!</f>
        <v>#REF!</v>
      </c>
      <c r="X84" t="e">
        <f t="shared" si="15"/>
        <v>#REF!</v>
      </c>
      <c r="Y84" t="e">
        <f>装备!#REF!</f>
        <v>#REF!</v>
      </c>
      <c r="Z84" t="e">
        <f>装备!#REF!</f>
        <v>#REF!</v>
      </c>
      <c r="AA84" t="e">
        <f>装备!#REF!</f>
        <v>#REF!</v>
      </c>
      <c r="AB84" t="e">
        <f>装备!#REF!</f>
        <v>#REF!</v>
      </c>
      <c r="AC84" t="e">
        <f>装备!#REF!</f>
        <v>#REF!</v>
      </c>
      <c r="AD84" t="e">
        <f>装备!#REF!</f>
        <v>#REF!</v>
      </c>
      <c r="AE84" t="e">
        <f>装备!#REF!</f>
        <v>#REF!</v>
      </c>
      <c r="AF84" t="e">
        <f>装备!#REF!</f>
        <v>#REF!</v>
      </c>
      <c r="AG84" t="e">
        <f>装备!#REF!</f>
        <v>#REF!</v>
      </c>
      <c r="AH84" t="e">
        <f>装备!#REF!</f>
        <v>#REF!</v>
      </c>
      <c r="AI84" t="e">
        <f t="shared" si="16"/>
        <v>#REF!</v>
      </c>
      <c r="AJ84" t="e">
        <f>装备!#REF!</f>
        <v>#REF!</v>
      </c>
      <c r="AK84" t="e">
        <f>装备!#REF!</f>
        <v>#REF!</v>
      </c>
      <c r="AL84" t="e">
        <f>装备!#REF!</f>
        <v>#REF!</v>
      </c>
      <c r="AM84" t="e">
        <f>装备!#REF!</f>
        <v>#REF!</v>
      </c>
      <c r="AN84" t="e">
        <f>装备!#REF!</f>
        <v>#REF!</v>
      </c>
      <c r="AO84" t="e">
        <f>装备!#REF!</f>
        <v>#REF!</v>
      </c>
      <c r="AP84" t="e">
        <f>装备!#REF!</f>
        <v>#REF!</v>
      </c>
      <c r="AQ84" t="e">
        <f>装备!#REF!</f>
        <v>#REF!</v>
      </c>
      <c r="AR84" t="e">
        <f>装备!#REF!</f>
        <v>#REF!</v>
      </c>
      <c r="AS84" t="e">
        <f>装备!#REF!</f>
        <v>#REF!</v>
      </c>
      <c r="AT84" t="e">
        <f t="shared" si="17"/>
        <v>#REF!</v>
      </c>
      <c r="AU84" t="e">
        <f>装备!#REF!</f>
        <v>#REF!</v>
      </c>
      <c r="AV84" t="e">
        <f>装备!#REF!</f>
        <v>#REF!</v>
      </c>
      <c r="AW84" t="e">
        <f>装备!#REF!</f>
        <v>#REF!</v>
      </c>
      <c r="AX84" t="e">
        <f>装备!#REF!</f>
        <v>#REF!</v>
      </c>
      <c r="AY84" t="e">
        <f>装备!#REF!</f>
        <v>#REF!</v>
      </c>
      <c r="AZ84" t="e">
        <f>装备!#REF!</f>
        <v>#REF!</v>
      </c>
      <c r="BA84" t="e">
        <f>装备!#REF!</f>
        <v>#REF!</v>
      </c>
      <c r="BB84" t="e">
        <f>装备!#REF!</f>
        <v>#REF!</v>
      </c>
      <c r="BC84" t="e">
        <f>装备!#REF!</f>
        <v>#REF!</v>
      </c>
      <c r="BD84" t="e">
        <f>装备!#REF!</f>
        <v>#REF!</v>
      </c>
      <c r="BE84" t="e">
        <f t="shared" si="18"/>
        <v>#REF!</v>
      </c>
      <c r="BF84" t="e">
        <f>装备!#REF!</f>
        <v>#REF!</v>
      </c>
      <c r="BG84" t="e">
        <f>装备!#REF!</f>
        <v>#REF!</v>
      </c>
      <c r="BH84" t="e">
        <f>装备!#REF!</f>
        <v>#REF!</v>
      </c>
      <c r="BI84" t="e">
        <f>装备!#REF!</f>
        <v>#REF!</v>
      </c>
      <c r="BJ84" t="e">
        <f>装备!#REF!</f>
        <v>#REF!</v>
      </c>
      <c r="BK84" t="e">
        <f>装备!#REF!</f>
        <v>#REF!</v>
      </c>
      <c r="BL84" t="e">
        <f>装备!#REF!</f>
        <v>#REF!</v>
      </c>
      <c r="BM84" t="e">
        <f>装备!#REF!</f>
        <v>#REF!</v>
      </c>
      <c r="BN84" t="e">
        <f>装备!#REF!</f>
        <v>#REF!</v>
      </c>
      <c r="BO84" t="e">
        <f>装备!#REF!</f>
        <v>#REF!</v>
      </c>
      <c r="BP84" t="e">
        <f t="shared" si="19"/>
        <v>#REF!</v>
      </c>
      <c r="BQ84" t="e">
        <f>装备!#REF!</f>
        <v>#REF!</v>
      </c>
      <c r="BR84" t="e">
        <f>装备!#REF!</f>
        <v>#REF!</v>
      </c>
      <c r="BS84" t="e">
        <f>装备!#REF!</f>
        <v>#REF!</v>
      </c>
      <c r="BT84" t="e">
        <f>装备!#REF!</f>
        <v>#REF!</v>
      </c>
      <c r="BU84" t="e">
        <f>装备!#REF!</f>
        <v>#REF!</v>
      </c>
      <c r="BV84" t="e">
        <f>装备!#REF!</f>
        <v>#REF!</v>
      </c>
      <c r="BW84" t="e">
        <f>装备!#REF!</f>
        <v>#REF!</v>
      </c>
      <c r="BX84" t="e">
        <f>装备!#REF!</f>
        <v>#REF!</v>
      </c>
      <c r="BY84" t="e">
        <f>装备!#REF!</f>
        <v>#REF!</v>
      </c>
      <c r="BZ84" t="e">
        <f>装备!#REF!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装备!#REF!</f>
        <v>#REF!</v>
      </c>
      <c r="B85" t="e">
        <f>装备!#REF!</f>
        <v>#REF!</v>
      </c>
      <c r="C85" t="e">
        <f>装备!#REF!</f>
        <v>#REF!</v>
      </c>
      <c r="D85" t="e">
        <f>装备!#REF!</f>
        <v>#REF!</v>
      </c>
      <c r="E85" t="e">
        <f>装备!#REF!</f>
        <v>#REF!</v>
      </c>
      <c r="F85" t="e">
        <f>装备!#REF!</f>
        <v>#REF!</v>
      </c>
      <c r="G85" t="e">
        <f>装备!#REF!</f>
        <v>#REF!</v>
      </c>
      <c r="H85" t="e">
        <f>装备!#REF!</f>
        <v>#REF!</v>
      </c>
      <c r="I85" t="e">
        <f>装备!#REF!</f>
        <v>#REF!</v>
      </c>
      <c r="J85" t="e">
        <f>装备!#REF!</f>
        <v>#REF!</v>
      </c>
      <c r="K85" t="e">
        <f>装备!#REF!</f>
        <v>#REF!</v>
      </c>
      <c r="L85" t="e">
        <f>装备!#REF!</f>
        <v>#REF!</v>
      </c>
      <c r="M85" t="e">
        <f t="shared" si="14"/>
        <v>#REF!</v>
      </c>
      <c r="N85" t="e">
        <f>装备!#REF!</f>
        <v>#REF!</v>
      </c>
      <c r="O85" t="e">
        <f>装备!#REF!</f>
        <v>#REF!</v>
      </c>
      <c r="P85" t="e">
        <f>装备!#REF!</f>
        <v>#REF!</v>
      </c>
      <c r="Q85" t="e">
        <f>装备!#REF!</f>
        <v>#REF!</v>
      </c>
      <c r="R85" t="e">
        <f>装备!#REF!</f>
        <v>#REF!</v>
      </c>
      <c r="S85" t="e">
        <f>装备!#REF!</f>
        <v>#REF!</v>
      </c>
      <c r="T85" t="e">
        <f>装备!#REF!</f>
        <v>#REF!</v>
      </c>
      <c r="U85" t="e">
        <f>装备!#REF!</f>
        <v>#REF!</v>
      </c>
      <c r="V85" t="e">
        <f>装备!#REF!</f>
        <v>#REF!</v>
      </c>
      <c r="W85" t="e">
        <f>装备!#REF!</f>
        <v>#REF!</v>
      </c>
      <c r="X85" t="e">
        <f t="shared" si="15"/>
        <v>#REF!</v>
      </c>
      <c r="Y85" t="e">
        <f>装备!#REF!</f>
        <v>#REF!</v>
      </c>
      <c r="Z85" t="e">
        <f>装备!#REF!</f>
        <v>#REF!</v>
      </c>
      <c r="AA85" t="e">
        <f>装备!#REF!</f>
        <v>#REF!</v>
      </c>
      <c r="AB85" t="e">
        <f>装备!#REF!</f>
        <v>#REF!</v>
      </c>
      <c r="AC85" t="e">
        <f>装备!#REF!</f>
        <v>#REF!</v>
      </c>
      <c r="AD85" t="e">
        <f>装备!#REF!</f>
        <v>#REF!</v>
      </c>
      <c r="AE85" t="e">
        <f>装备!#REF!</f>
        <v>#REF!</v>
      </c>
      <c r="AF85" t="e">
        <f>装备!#REF!</f>
        <v>#REF!</v>
      </c>
      <c r="AG85" t="e">
        <f>装备!#REF!</f>
        <v>#REF!</v>
      </c>
      <c r="AH85" t="e">
        <f>装备!#REF!</f>
        <v>#REF!</v>
      </c>
      <c r="AI85" t="e">
        <f t="shared" si="16"/>
        <v>#REF!</v>
      </c>
      <c r="AJ85" t="e">
        <f>装备!#REF!</f>
        <v>#REF!</v>
      </c>
      <c r="AK85" t="e">
        <f>装备!#REF!</f>
        <v>#REF!</v>
      </c>
      <c r="AL85" t="e">
        <f>装备!#REF!</f>
        <v>#REF!</v>
      </c>
      <c r="AM85" t="e">
        <f>装备!#REF!</f>
        <v>#REF!</v>
      </c>
      <c r="AN85" t="e">
        <f>装备!#REF!</f>
        <v>#REF!</v>
      </c>
      <c r="AO85" t="e">
        <f>装备!#REF!</f>
        <v>#REF!</v>
      </c>
      <c r="AP85" t="e">
        <f>装备!#REF!</f>
        <v>#REF!</v>
      </c>
      <c r="AQ85" t="e">
        <f>装备!#REF!</f>
        <v>#REF!</v>
      </c>
      <c r="AR85" t="e">
        <f>装备!#REF!</f>
        <v>#REF!</v>
      </c>
      <c r="AS85" t="e">
        <f>装备!#REF!</f>
        <v>#REF!</v>
      </c>
      <c r="AT85" t="e">
        <f t="shared" si="17"/>
        <v>#REF!</v>
      </c>
      <c r="AU85" t="e">
        <f>装备!#REF!</f>
        <v>#REF!</v>
      </c>
      <c r="AV85" t="e">
        <f>装备!#REF!</f>
        <v>#REF!</v>
      </c>
      <c r="AW85" t="e">
        <f>装备!#REF!</f>
        <v>#REF!</v>
      </c>
      <c r="AX85" t="e">
        <f>装备!#REF!</f>
        <v>#REF!</v>
      </c>
      <c r="AY85" t="e">
        <f>装备!#REF!</f>
        <v>#REF!</v>
      </c>
      <c r="AZ85" t="e">
        <f>装备!#REF!</f>
        <v>#REF!</v>
      </c>
      <c r="BA85" t="e">
        <f>装备!#REF!</f>
        <v>#REF!</v>
      </c>
      <c r="BB85" t="e">
        <f>装备!#REF!</f>
        <v>#REF!</v>
      </c>
      <c r="BC85" t="e">
        <f>装备!#REF!</f>
        <v>#REF!</v>
      </c>
      <c r="BD85" t="e">
        <f>装备!#REF!</f>
        <v>#REF!</v>
      </c>
      <c r="BE85" t="e">
        <f t="shared" si="18"/>
        <v>#REF!</v>
      </c>
      <c r="BF85" t="e">
        <f>装备!#REF!</f>
        <v>#REF!</v>
      </c>
      <c r="BG85" t="e">
        <f>装备!#REF!</f>
        <v>#REF!</v>
      </c>
      <c r="BH85" t="e">
        <f>装备!#REF!</f>
        <v>#REF!</v>
      </c>
      <c r="BI85" t="e">
        <f>装备!#REF!</f>
        <v>#REF!</v>
      </c>
      <c r="BJ85" t="e">
        <f>装备!#REF!</f>
        <v>#REF!</v>
      </c>
      <c r="BK85" t="e">
        <f>装备!#REF!</f>
        <v>#REF!</v>
      </c>
      <c r="BL85" t="e">
        <f>装备!#REF!</f>
        <v>#REF!</v>
      </c>
      <c r="BM85" t="e">
        <f>装备!#REF!</f>
        <v>#REF!</v>
      </c>
      <c r="BN85" t="e">
        <f>装备!#REF!</f>
        <v>#REF!</v>
      </c>
      <c r="BO85" t="e">
        <f>装备!#REF!</f>
        <v>#REF!</v>
      </c>
      <c r="BP85" t="e">
        <f t="shared" si="19"/>
        <v>#REF!</v>
      </c>
      <c r="BQ85" t="e">
        <f>装备!#REF!</f>
        <v>#REF!</v>
      </c>
      <c r="BR85" t="e">
        <f>装备!#REF!</f>
        <v>#REF!</v>
      </c>
      <c r="BS85" t="e">
        <f>装备!#REF!</f>
        <v>#REF!</v>
      </c>
      <c r="BT85" t="e">
        <f>装备!#REF!</f>
        <v>#REF!</v>
      </c>
      <c r="BU85" t="e">
        <f>装备!#REF!</f>
        <v>#REF!</v>
      </c>
      <c r="BV85" t="e">
        <f>装备!#REF!</f>
        <v>#REF!</v>
      </c>
      <c r="BW85" t="e">
        <f>装备!#REF!</f>
        <v>#REF!</v>
      </c>
      <c r="BX85" t="e">
        <f>装备!#REF!</f>
        <v>#REF!</v>
      </c>
      <c r="BY85" t="e">
        <f>装备!#REF!</f>
        <v>#REF!</v>
      </c>
      <c r="BZ85" t="e">
        <f>装备!#REF!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装备!#REF!</f>
        <v>#REF!</v>
      </c>
      <c r="B86" t="e">
        <f>装备!#REF!</f>
        <v>#REF!</v>
      </c>
      <c r="C86" t="e">
        <f>装备!#REF!</f>
        <v>#REF!</v>
      </c>
      <c r="D86" t="e">
        <f>装备!#REF!</f>
        <v>#REF!</v>
      </c>
      <c r="E86" t="e">
        <f>装备!#REF!</f>
        <v>#REF!</v>
      </c>
      <c r="F86" t="e">
        <f>装备!#REF!</f>
        <v>#REF!</v>
      </c>
      <c r="G86" t="e">
        <f>装备!#REF!</f>
        <v>#REF!</v>
      </c>
      <c r="H86" t="e">
        <f>装备!#REF!</f>
        <v>#REF!</v>
      </c>
      <c r="I86" t="e">
        <f>装备!#REF!</f>
        <v>#REF!</v>
      </c>
      <c r="J86" t="e">
        <f>装备!#REF!</f>
        <v>#REF!</v>
      </c>
      <c r="K86" t="e">
        <f>装备!#REF!</f>
        <v>#REF!</v>
      </c>
      <c r="L86" t="e">
        <f>装备!#REF!</f>
        <v>#REF!</v>
      </c>
      <c r="M86" t="e">
        <f t="shared" si="14"/>
        <v>#REF!</v>
      </c>
      <c r="N86" t="e">
        <f>装备!#REF!</f>
        <v>#REF!</v>
      </c>
      <c r="O86" t="e">
        <f>装备!#REF!</f>
        <v>#REF!</v>
      </c>
      <c r="P86" t="e">
        <f>装备!#REF!</f>
        <v>#REF!</v>
      </c>
      <c r="Q86" t="e">
        <f>装备!#REF!</f>
        <v>#REF!</v>
      </c>
      <c r="R86" t="e">
        <f>装备!#REF!</f>
        <v>#REF!</v>
      </c>
      <c r="S86" t="e">
        <f>装备!#REF!</f>
        <v>#REF!</v>
      </c>
      <c r="T86" t="e">
        <f>装备!#REF!</f>
        <v>#REF!</v>
      </c>
      <c r="U86" t="e">
        <f>装备!#REF!</f>
        <v>#REF!</v>
      </c>
      <c r="V86" t="e">
        <f>装备!#REF!</f>
        <v>#REF!</v>
      </c>
      <c r="W86" t="e">
        <f>装备!#REF!</f>
        <v>#REF!</v>
      </c>
      <c r="X86" t="e">
        <f t="shared" si="15"/>
        <v>#REF!</v>
      </c>
      <c r="Y86" t="e">
        <f>装备!#REF!</f>
        <v>#REF!</v>
      </c>
      <c r="Z86" t="e">
        <f>装备!#REF!</f>
        <v>#REF!</v>
      </c>
      <c r="AA86" t="e">
        <f>装备!#REF!</f>
        <v>#REF!</v>
      </c>
      <c r="AB86" t="e">
        <f>装备!#REF!</f>
        <v>#REF!</v>
      </c>
      <c r="AC86" t="e">
        <f>装备!#REF!</f>
        <v>#REF!</v>
      </c>
      <c r="AD86" t="e">
        <f>装备!#REF!</f>
        <v>#REF!</v>
      </c>
      <c r="AE86" t="e">
        <f>装备!#REF!</f>
        <v>#REF!</v>
      </c>
      <c r="AF86" t="e">
        <f>装备!#REF!</f>
        <v>#REF!</v>
      </c>
      <c r="AG86" t="e">
        <f>装备!#REF!</f>
        <v>#REF!</v>
      </c>
      <c r="AH86" t="e">
        <f>装备!#REF!</f>
        <v>#REF!</v>
      </c>
      <c r="AI86" t="e">
        <f t="shared" si="16"/>
        <v>#REF!</v>
      </c>
      <c r="AJ86" t="e">
        <f>装备!#REF!</f>
        <v>#REF!</v>
      </c>
      <c r="AK86" t="e">
        <f>装备!#REF!</f>
        <v>#REF!</v>
      </c>
      <c r="AL86" t="e">
        <f>装备!#REF!</f>
        <v>#REF!</v>
      </c>
      <c r="AM86" t="e">
        <f>装备!#REF!</f>
        <v>#REF!</v>
      </c>
      <c r="AN86" t="e">
        <f>装备!#REF!</f>
        <v>#REF!</v>
      </c>
      <c r="AO86" t="e">
        <f>装备!#REF!</f>
        <v>#REF!</v>
      </c>
      <c r="AP86" t="e">
        <f>装备!#REF!</f>
        <v>#REF!</v>
      </c>
      <c r="AQ86" t="e">
        <f>装备!#REF!</f>
        <v>#REF!</v>
      </c>
      <c r="AR86" t="e">
        <f>装备!#REF!</f>
        <v>#REF!</v>
      </c>
      <c r="AS86" t="e">
        <f>装备!#REF!</f>
        <v>#REF!</v>
      </c>
      <c r="AT86" t="e">
        <f t="shared" si="17"/>
        <v>#REF!</v>
      </c>
      <c r="AU86" t="e">
        <f>装备!#REF!</f>
        <v>#REF!</v>
      </c>
      <c r="AV86" t="e">
        <f>装备!#REF!</f>
        <v>#REF!</v>
      </c>
      <c r="AW86" t="e">
        <f>装备!#REF!</f>
        <v>#REF!</v>
      </c>
      <c r="AX86" t="e">
        <f>装备!#REF!</f>
        <v>#REF!</v>
      </c>
      <c r="AY86" t="e">
        <f>装备!#REF!</f>
        <v>#REF!</v>
      </c>
      <c r="AZ86" t="e">
        <f>装备!#REF!</f>
        <v>#REF!</v>
      </c>
      <c r="BA86" t="e">
        <f>装备!#REF!</f>
        <v>#REF!</v>
      </c>
      <c r="BB86" t="e">
        <f>装备!#REF!</f>
        <v>#REF!</v>
      </c>
      <c r="BC86" t="e">
        <f>装备!#REF!</f>
        <v>#REF!</v>
      </c>
      <c r="BD86" t="e">
        <f>装备!#REF!</f>
        <v>#REF!</v>
      </c>
      <c r="BE86" t="e">
        <f t="shared" si="18"/>
        <v>#REF!</v>
      </c>
      <c r="BF86" t="e">
        <f>装备!#REF!</f>
        <v>#REF!</v>
      </c>
      <c r="BG86" t="e">
        <f>装备!#REF!</f>
        <v>#REF!</v>
      </c>
      <c r="BH86" t="e">
        <f>装备!#REF!</f>
        <v>#REF!</v>
      </c>
      <c r="BI86" t="e">
        <f>装备!#REF!</f>
        <v>#REF!</v>
      </c>
      <c r="BJ86" t="e">
        <f>装备!#REF!</f>
        <v>#REF!</v>
      </c>
      <c r="BK86" t="e">
        <f>装备!#REF!</f>
        <v>#REF!</v>
      </c>
      <c r="BL86" t="e">
        <f>装备!#REF!</f>
        <v>#REF!</v>
      </c>
      <c r="BM86" t="e">
        <f>装备!#REF!</f>
        <v>#REF!</v>
      </c>
      <c r="BN86" t="e">
        <f>装备!#REF!</f>
        <v>#REF!</v>
      </c>
      <c r="BO86" t="e">
        <f>装备!#REF!</f>
        <v>#REF!</v>
      </c>
      <c r="BP86" t="e">
        <f t="shared" si="19"/>
        <v>#REF!</v>
      </c>
      <c r="BQ86" t="e">
        <f>装备!#REF!</f>
        <v>#REF!</v>
      </c>
      <c r="BR86" t="e">
        <f>装备!#REF!</f>
        <v>#REF!</v>
      </c>
      <c r="BS86" t="e">
        <f>装备!#REF!</f>
        <v>#REF!</v>
      </c>
      <c r="BT86" t="e">
        <f>装备!#REF!</f>
        <v>#REF!</v>
      </c>
      <c r="BU86" t="e">
        <f>装备!#REF!</f>
        <v>#REF!</v>
      </c>
      <c r="BV86" t="e">
        <f>装备!#REF!</f>
        <v>#REF!</v>
      </c>
      <c r="BW86" t="e">
        <f>装备!#REF!</f>
        <v>#REF!</v>
      </c>
      <c r="BX86" t="e">
        <f>装备!#REF!</f>
        <v>#REF!</v>
      </c>
      <c r="BY86" t="e">
        <f>装备!#REF!</f>
        <v>#REF!</v>
      </c>
      <c r="BZ86" t="e">
        <f>装备!#REF!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装备!#REF!</f>
        <v>#REF!</v>
      </c>
      <c r="B87" t="e">
        <f>装备!#REF!</f>
        <v>#REF!</v>
      </c>
      <c r="C87" t="e">
        <f>装备!#REF!</f>
        <v>#REF!</v>
      </c>
      <c r="D87" t="e">
        <f>装备!#REF!</f>
        <v>#REF!</v>
      </c>
      <c r="E87" t="e">
        <f>装备!#REF!</f>
        <v>#REF!</v>
      </c>
      <c r="F87" t="e">
        <f>装备!#REF!</f>
        <v>#REF!</v>
      </c>
      <c r="G87" t="e">
        <f>装备!#REF!</f>
        <v>#REF!</v>
      </c>
      <c r="H87" t="e">
        <f>装备!#REF!</f>
        <v>#REF!</v>
      </c>
      <c r="I87" t="e">
        <f>装备!#REF!</f>
        <v>#REF!</v>
      </c>
      <c r="J87" t="e">
        <f>装备!#REF!</f>
        <v>#REF!</v>
      </c>
      <c r="K87" t="e">
        <f>装备!#REF!</f>
        <v>#REF!</v>
      </c>
      <c r="L87" t="e">
        <f>装备!#REF!</f>
        <v>#REF!</v>
      </c>
      <c r="M87" t="e">
        <f t="shared" si="14"/>
        <v>#REF!</v>
      </c>
      <c r="N87" t="e">
        <f>装备!#REF!</f>
        <v>#REF!</v>
      </c>
      <c r="O87" t="e">
        <f>装备!#REF!</f>
        <v>#REF!</v>
      </c>
      <c r="P87" t="e">
        <f>装备!#REF!</f>
        <v>#REF!</v>
      </c>
      <c r="Q87" t="e">
        <f>装备!#REF!</f>
        <v>#REF!</v>
      </c>
      <c r="R87" t="e">
        <f>装备!#REF!</f>
        <v>#REF!</v>
      </c>
      <c r="S87" t="e">
        <f>装备!#REF!</f>
        <v>#REF!</v>
      </c>
      <c r="T87" t="e">
        <f>装备!#REF!</f>
        <v>#REF!</v>
      </c>
      <c r="U87" t="e">
        <f>装备!#REF!</f>
        <v>#REF!</v>
      </c>
      <c r="V87" t="e">
        <f>装备!#REF!</f>
        <v>#REF!</v>
      </c>
      <c r="W87" t="e">
        <f>装备!#REF!</f>
        <v>#REF!</v>
      </c>
      <c r="X87" t="e">
        <f t="shared" si="15"/>
        <v>#REF!</v>
      </c>
      <c r="Y87" t="e">
        <f>装备!#REF!</f>
        <v>#REF!</v>
      </c>
      <c r="Z87" t="e">
        <f>装备!#REF!</f>
        <v>#REF!</v>
      </c>
      <c r="AA87" t="e">
        <f>装备!#REF!</f>
        <v>#REF!</v>
      </c>
      <c r="AB87" t="e">
        <f>装备!#REF!</f>
        <v>#REF!</v>
      </c>
      <c r="AC87" t="e">
        <f>装备!#REF!</f>
        <v>#REF!</v>
      </c>
      <c r="AD87" t="e">
        <f>装备!#REF!</f>
        <v>#REF!</v>
      </c>
      <c r="AE87" t="e">
        <f>装备!#REF!</f>
        <v>#REF!</v>
      </c>
      <c r="AF87" t="e">
        <f>装备!#REF!</f>
        <v>#REF!</v>
      </c>
      <c r="AG87" t="e">
        <f>装备!#REF!</f>
        <v>#REF!</v>
      </c>
      <c r="AH87" t="e">
        <f>装备!#REF!</f>
        <v>#REF!</v>
      </c>
      <c r="AI87" t="e">
        <f t="shared" si="16"/>
        <v>#REF!</v>
      </c>
      <c r="AJ87" t="e">
        <f>装备!#REF!</f>
        <v>#REF!</v>
      </c>
      <c r="AK87" t="e">
        <f>装备!#REF!</f>
        <v>#REF!</v>
      </c>
      <c r="AL87" t="e">
        <f>装备!#REF!</f>
        <v>#REF!</v>
      </c>
      <c r="AM87" t="e">
        <f>装备!#REF!</f>
        <v>#REF!</v>
      </c>
      <c r="AN87" t="e">
        <f>装备!#REF!</f>
        <v>#REF!</v>
      </c>
      <c r="AO87" t="e">
        <f>装备!#REF!</f>
        <v>#REF!</v>
      </c>
      <c r="AP87" t="e">
        <f>装备!#REF!</f>
        <v>#REF!</v>
      </c>
      <c r="AQ87" t="e">
        <f>装备!#REF!</f>
        <v>#REF!</v>
      </c>
      <c r="AR87" t="e">
        <f>装备!#REF!</f>
        <v>#REF!</v>
      </c>
      <c r="AS87" t="e">
        <f>装备!#REF!</f>
        <v>#REF!</v>
      </c>
      <c r="AT87" t="e">
        <f t="shared" si="17"/>
        <v>#REF!</v>
      </c>
      <c r="AU87" t="e">
        <f>装备!#REF!</f>
        <v>#REF!</v>
      </c>
      <c r="AV87" t="e">
        <f>装备!#REF!</f>
        <v>#REF!</v>
      </c>
      <c r="AW87" t="e">
        <f>装备!#REF!</f>
        <v>#REF!</v>
      </c>
      <c r="AX87" t="e">
        <f>装备!#REF!</f>
        <v>#REF!</v>
      </c>
      <c r="AY87" t="e">
        <f>装备!#REF!</f>
        <v>#REF!</v>
      </c>
      <c r="AZ87" t="e">
        <f>装备!#REF!</f>
        <v>#REF!</v>
      </c>
      <c r="BA87" t="e">
        <f>装备!#REF!</f>
        <v>#REF!</v>
      </c>
      <c r="BB87" t="e">
        <f>装备!#REF!</f>
        <v>#REF!</v>
      </c>
      <c r="BC87" t="e">
        <f>装备!#REF!</f>
        <v>#REF!</v>
      </c>
      <c r="BD87" t="e">
        <f>装备!#REF!</f>
        <v>#REF!</v>
      </c>
      <c r="BE87" t="e">
        <f t="shared" si="18"/>
        <v>#REF!</v>
      </c>
      <c r="BF87" t="e">
        <f>装备!#REF!</f>
        <v>#REF!</v>
      </c>
      <c r="BG87" t="e">
        <f>装备!#REF!</f>
        <v>#REF!</v>
      </c>
      <c r="BH87" t="e">
        <f>装备!#REF!</f>
        <v>#REF!</v>
      </c>
      <c r="BI87" t="e">
        <f>装备!#REF!</f>
        <v>#REF!</v>
      </c>
      <c r="BJ87" t="e">
        <f>装备!#REF!</f>
        <v>#REF!</v>
      </c>
      <c r="BK87" t="e">
        <f>装备!#REF!</f>
        <v>#REF!</v>
      </c>
      <c r="BL87" t="e">
        <f>装备!#REF!</f>
        <v>#REF!</v>
      </c>
      <c r="BM87" t="e">
        <f>装备!#REF!</f>
        <v>#REF!</v>
      </c>
      <c r="BN87" t="e">
        <f>装备!#REF!</f>
        <v>#REF!</v>
      </c>
      <c r="BO87" t="e">
        <f>装备!#REF!</f>
        <v>#REF!</v>
      </c>
      <c r="BP87" t="e">
        <f t="shared" si="19"/>
        <v>#REF!</v>
      </c>
      <c r="BQ87" t="e">
        <f>装备!#REF!</f>
        <v>#REF!</v>
      </c>
      <c r="BR87" t="e">
        <f>装备!#REF!</f>
        <v>#REF!</v>
      </c>
      <c r="BS87" t="e">
        <f>装备!#REF!</f>
        <v>#REF!</v>
      </c>
      <c r="BT87" t="e">
        <f>装备!#REF!</f>
        <v>#REF!</v>
      </c>
      <c r="BU87" t="e">
        <f>装备!#REF!</f>
        <v>#REF!</v>
      </c>
      <c r="BV87" t="e">
        <f>装备!#REF!</f>
        <v>#REF!</v>
      </c>
      <c r="BW87" t="e">
        <f>装备!#REF!</f>
        <v>#REF!</v>
      </c>
      <c r="BX87" t="e">
        <f>装备!#REF!</f>
        <v>#REF!</v>
      </c>
      <c r="BY87" t="e">
        <f>装备!#REF!</f>
        <v>#REF!</v>
      </c>
      <c r="BZ87" t="e">
        <f>装备!#REF!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装备!#REF!</f>
        <v>#REF!</v>
      </c>
      <c r="B88" t="e">
        <f>装备!#REF!</f>
        <v>#REF!</v>
      </c>
      <c r="C88" t="e">
        <f>装备!#REF!</f>
        <v>#REF!</v>
      </c>
      <c r="D88" t="e">
        <f>装备!#REF!</f>
        <v>#REF!</v>
      </c>
      <c r="E88" t="e">
        <f>装备!#REF!</f>
        <v>#REF!</v>
      </c>
      <c r="F88" t="e">
        <f>装备!#REF!</f>
        <v>#REF!</v>
      </c>
      <c r="G88" t="e">
        <f>装备!#REF!</f>
        <v>#REF!</v>
      </c>
      <c r="H88" t="e">
        <f>装备!#REF!</f>
        <v>#REF!</v>
      </c>
      <c r="I88" t="e">
        <f>装备!#REF!</f>
        <v>#REF!</v>
      </c>
      <c r="J88" t="e">
        <f>装备!#REF!</f>
        <v>#REF!</v>
      </c>
      <c r="K88" t="e">
        <f>装备!#REF!</f>
        <v>#REF!</v>
      </c>
      <c r="L88" t="e">
        <f>装备!#REF!</f>
        <v>#REF!</v>
      </c>
      <c r="M88" t="e">
        <f t="shared" si="14"/>
        <v>#REF!</v>
      </c>
      <c r="N88" t="e">
        <f>装备!#REF!</f>
        <v>#REF!</v>
      </c>
      <c r="O88" t="e">
        <f>装备!#REF!</f>
        <v>#REF!</v>
      </c>
      <c r="P88" t="e">
        <f>装备!#REF!</f>
        <v>#REF!</v>
      </c>
      <c r="Q88" t="e">
        <f>装备!#REF!</f>
        <v>#REF!</v>
      </c>
      <c r="R88" t="e">
        <f>装备!#REF!</f>
        <v>#REF!</v>
      </c>
      <c r="S88" t="e">
        <f>装备!#REF!</f>
        <v>#REF!</v>
      </c>
      <c r="T88" t="e">
        <f>装备!#REF!</f>
        <v>#REF!</v>
      </c>
      <c r="U88" t="e">
        <f>装备!#REF!</f>
        <v>#REF!</v>
      </c>
      <c r="V88" t="e">
        <f>装备!#REF!</f>
        <v>#REF!</v>
      </c>
      <c r="W88" t="e">
        <f>装备!#REF!</f>
        <v>#REF!</v>
      </c>
      <c r="X88" t="e">
        <f t="shared" si="15"/>
        <v>#REF!</v>
      </c>
      <c r="Y88" t="e">
        <f>装备!#REF!</f>
        <v>#REF!</v>
      </c>
      <c r="Z88" t="e">
        <f>装备!#REF!</f>
        <v>#REF!</v>
      </c>
      <c r="AA88" t="e">
        <f>装备!#REF!</f>
        <v>#REF!</v>
      </c>
      <c r="AB88" t="e">
        <f>装备!#REF!</f>
        <v>#REF!</v>
      </c>
      <c r="AC88" t="e">
        <f>装备!#REF!</f>
        <v>#REF!</v>
      </c>
      <c r="AD88" t="e">
        <f>装备!#REF!</f>
        <v>#REF!</v>
      </c>
      <c r="AE88" t="e">
        <f>装备!#REF!</f>
        <v>#REF!</v>
      </c>
      <c r="AF88" t="e">
        <f>装备!#REF!</f>
        <v>#REF!</v>
      </c>
      <c r="AG88" t="e">
        <f>装备!#REF!</f>
        <v>#REF!</v>
      </c>
      <c r="AH88" t="e">
        <f>装备!#REF!</f>
        <v>#REF!</v>
      </c>
      <c r="AI88" t="e">
        <f t="shared" si="16"/>
        <v>#REF!</v>
      </c>
      <c r="AJ88" t="e">
        <f>装备!#REF!</f>
        <v>#REF!</v>
      </c>
      <c r="AK88" t="e">
        <f>装备!#REF!</f>
        <v>#REF!</v>
      </c>
      <c r="AL88" t="e">
        <f>装备!#REF!</f>
        <v>#REF!</v>
      </c>
      <c r="AM88" t="e">
        <f>装备!#REF!</f>
        <v>#REF!</v>
      </c>
      <c r="AN88" t="e">
        <f>装备!#REF!</f>
        <v>#REF!</v>
      </c>
      <c r="AO88" t="e">
        <f>装备!#REF!</f>
        <v>#REF!</v>
      </c>
      <c r="AP88" t="e">
        <f>装备!#REF!</f>
        <v>#REF!</v>
      </c>
      <c r="AQ88" t="e">
        <f>装备!#REF!</f>
        <v>#REF!</v>
      </c>
      <c r="AR88" t="e">
        <f>装备!#REF!</f>
        <v>#REF!</v>
      </c>
      <c r="AS88" t="e">
        <f>装备!#REF!</f>
        <v>#REF!</v>
      </c>
      <c r="AT88" t="e">
        <f t="shared" si="17"/>
        <v>#REF!</v>
      </c>
      <c r="AU88" t="e">
        <f>装备!#REF!</f>
        <v>#REF!</v>
      </c>
      <c r="AV88" t="e">
        <f>装备!#REF!</f>
        <v>#REF!</v>
      </c>
      <c r="AW88" t="e">
        <f>装备!#REF!</f>
        <v>#REF!</v>
      </c>
      <c r="AX88" t="e">
        <f>装备!#REF!</f>
        <v>#REF!</v>
      </c>
      <c r="AY88" t="e">
        <f>装备!#REF!</f>
        <v>#REF!</v>
      </c>
      <c r="AZ88" t="e">
        <f>装备!#REF!</f>
        <v>#REF!</v>
      </c>
      <c r="BA88" t="e">
        <f>装备!#REF!</f>
        <v>#REF!</v>
      </c>
      <c r="BB88" t="e">
        <f>装备!#REF!</f>
        <v>#REF!</v>
      </c>
      <c r="BC88" t="e">
        <f>装备!#REF!</f>
        <v>#REF!</v>
      </c>
      <c r="BD88" t="e">
        <f>装备!#REF!</f>
        <v>#REF!</v>
      </c>
      <c r="BE88" t="e">
        <f t="shared" si="18"/>
        <v>#REF!</v>
      </c>
      <c r="BF88" t="e">
        <f>装备!#REF!</f>
        <v>#REF!</v>
      </c>
      <c r="BG88" t="e">
        <f>装备!#REF!</f>
        <v>#REF!</v>
      </c>
      <c r="BH88" t="e">
        <f>装备!#REF!</f>
        <v>#REF!</v>
      </c>
      <c r="BI88" t="e">
        <f>装备!#REF!</f>
        <v>#REF!</v>
      </c>
      <c r="BJ88" t="e">
        <f>装备!#REF!</f>
        <v>#REF!</v>
      </c>
      <c r="BK88" t="e">
        <f>装备!#REF!</f>
        <v>#REF!</v>
      </c>
      <c r="BL88" t="e">
        <f>装备!#REF!</f>
        <v>#REF!</v>
      </c>
      <c r="BM88" t="e">
        <f>装备!#REF!</f>
        <v>#REF!</v>
      </c>
      <c r="BN88" t="e">
        <f>装备!#REF!</f>
        <v>#REF!</v>
      </c>
      <c r="BO88" t="e">
        <f>装备!#REF!</f>
        <v>#REF!</v>
      </c>
      <c r="BP88" t="e">
        <f t="shared" si="19"/>
        <v>#REF!</v>
      </c>
      <c r="BQ88" t="e">
        <f>装备!#REF!</f>
        <v>#REF!</v>
      </c>
      <c r="BR88" t="e">
        <f>装备!#REF!</f>
        <v>#REF!</v>
      </c>
      <c r="BS88" t="e">
        <f>装备!#REF!</f>
        <v>#REF!</v>
      </c>
      <c r="BT88" t="e">
        <f>装备!#REF!</f>
        <v>#REF!</v>
      </c>
      <c r="BU88" t="e">
        <f>装备!#REF!</f>
        <v>#REF!</v>
      </c>
      <c r="BV88" t="e">
        <f>装备!#REF!</f>
        <v>#REF!</v>
      </c>
      <c r="BW88" t="e">
        <f>装备!#REF!</f>
        <v>#REF!</v>
      </c>
      <c r="BX88" t="e">
        <f>装备!#REF!</f>
        <v>#REF!</v>
      </c>
      <c r="BY88" t="e">
        <f>装备!#REF!</f>
        <v>#REF!</v>
      </c>
      <c r="BZ88" t="e">
        <f>装备!#REF!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装备!#REF!</f>
        <v>#REF!</v>
      </c>
      <c r="B89" t="e">
        <f>装备!#REF!</f>
        <v>#REF!</v>
      </c>
      <c r="C89" t="e">
        <f>装备!#REF!</f>
        <v>#REF!</v>
      </c>
      <c r="D89" t="e">
        <f>装备!#REF!</f>
        <v>#REF!</v>
      </c>
      <c r="E89" t="e">
        <f>装备!#REF!</f>
        <v>#REF!</v>
      </c>
      <c r="F89" t="e">
        <f>装备!#REF!</f>
        <v>#REF!</v>
      </c>
      <c r="G89" t="e">
        <f>装备!#REF!</f>
        <v>#REF!</v>
      </c>
      <c r="H89" t="e">
        <f>装备!#REF!</f>
        <v>#REF!</v>
      </c>
      <c r="I89" t="e">
        <f>装备!#REF!</f>
        <v>#REF!</v>
      </c>
      <c r="J89" t="e">
        <f>装备!#REF!</f>
        <v>#REF!</v>
      </c>
      <c r="K89" t="e">
        <f>装备!#REF!</f>
        <v>#REF!</v>
      </c>
      <c r="L89" t="e">
        <f>装备!#REF!</f>
        <v>#REF!</v>
      </c>
      <c r="M89" t="e">
        <f t="shared" si="14"/>
        <v>#REF!</v>
      </c>
      <c r="N89" t="e">
        <f>装备!#REF!</f>
        <v>#REF!</v>
      </c>
      <c r="O89" t="e">
        <f>装备!#REF!</f>
        <v>#REF!</v>
      </c>
      <c r="P89" t="e">
        <f>装备!#REF!</f>
        <v>#REF!</v>
      </c>
      <c r="Q89" t="e">
        <f>装备!#REF!</f>
        <v>#REF!</v>
      </c>
      <c r="R89" t="e">
        <f>装备!#REF!</f>
        <v>#REF!</v>
      </c>
      <c r="S89" t="e">
        <f>装备!#REF!</f>
        <v>#REF!</v>
      </c>
      <c r="T89" t="e">
        <f>装备!#REF!</f>
        <v>#REF!</v>
      </c>
      <c r="U89" t="e">
        <f>装备!#REF!</f>
        <v>#REF!</v>
      </c>
      <c r="V89" t="e">
        <f>装备!#REF!</f>
        <v>#REF!</v>
      </c>
      <c r="W89" t="e">
        <f>装备!#REF!</f>
        <v>#REF!</v>
      </c>
      <c r="X89" t="e">
        <f t="shared" si="15"/>
        <v>#REF!</v>
      </c>
      <c r="Y89" t="e">
        <f>装备!#REF!</f>
        <v>#REF!</v>
      </c>
      <c r="Z89" t="e">
        <f>装备!#REF!</f>
        <v>#REF!</v>
      </c>
      <c r="AA89" t="e">
        <f>装备!#REF!</f>
        <v>#REF!</v>
      </c>
      <c r="AB89" t="e">
        <f>装备!#REF!</f>
        <v>#REF!</v>
      </c>
      <c r="AC89" t="e">
        <f>装备!#REF!</f>
        <v>#REF!</v>
      </c>
      <c r="AD89" t="e">
        <f>装备!#REF!</f>
        <v>#REF!</v>
      </c>
      <c r="AE89" t="e">
        <f>装备!#REF!</f>
        <v>#REF!</v>
      </c>
      <c r="AF89" t="e">
        <f>装备!#REF!</f>
        <v>#REF!</v>
      </c>
      <c r="AG89" t="e">
        <f>装备!#REF!</f>
        <v>#REF!</v>
      </c>
      <c r="AH89" t="e">
        <f>装备!#REF!</f>
        <v>#REF!</v>
      </c>
      <c r="AI89" t="e">
        <f t="shared" si="16"/>
        <v>#REF!</v>
      </c>
      <c r="AJ89" t="e">
        <f>装备!#REF!</f>
        <v>#REF!</v>
      </c>
      <c r="AK89" t="e">
        <f>装备!#REF!</f>
        <v>#REF!</v>
      </c>
      <c r="AL89" t="e">
        <f>装备!#REF!</f>
        <v>#REF!</v>
      </c>
      <c r="AM89" t="e">
        <f>装备!#REF!</f>
        <v>#REF!</v>
      </c>
      <c r="AN89" t="e">
        <f>装备!#REF!</f>
        <v>#REF!</v>
      </c>
      <c r="AO89" t="e">
        <f>装备!#REF!</f>
        <v>#REF!</v>
      </c>
      <c r="AP89" t="e">
        <f>装备!#REF!</f>
        <v>#REF!</v>
      </c>
      <c r="AQ89" t="e">
        <f>装备!#REF!</f>
        <v>#REF!</v>
      </c>
      <c r="AR89" t="e">
        <f>装备!#REF!</f>
        <v>#REF!</v>
      </c>
      <c r="AS89" t="e">
        <f>装备!#REF!</f>
        <v>#REF!</v>
      </c>
      <c r="AT89" t="e">
        <f t="shared" si="17"/>
        <v>#REF!</v>
      </c>
      <c r="AU89" t="e">
        <f>装备!#REF!</f>
        <v>#REF!</v>
      </c>
      <c r="AV89" t="e">
        <f>装备!#REF!</f>
        <v>#REF!</v>
      </c>
      <c r="AW89" t="e">
        <f>装备!#REF!</f>
        <v>#REF!</v>
      </c>
      <c r="AX89" t="e">
        <f>装备!#REF!</f>
        <v>#REF!</v>
      </c>
      <c r="AY89" t="e">
        <f>装备!#REF!</f>
        <v>#REF!</v>
      </c>
      <c r="AZ89" t="e">
        <f>装备!#REF!</f>
        <v>#REF!</v>
      </c>
      <c r="BA89" t="e">
        <f>装备!#REF!</f>
        <v>#REF!</v>
      </c>
      <c r="BB89" t="e">
        <f>装备!#REF!</f>
        <v>#REF!</v>
      </c>
      <c r="BC89" t="e">
        <f>装备!#REF!</f>
        <v>#REF!</v>
      </c>
      <c r="BD89" t="e">
        <f>装备!#REF!</f>
        <v>#REF!</v>
      </c>
      <c r="BE89" t="e">
        <f t="shared" si="18"/>
        <v>#REF!</v>
      </c>
      <c r="BF89" t="e">
        <f>装备!#REF!</f>
        <v>#REF!</v>
      </c>
      <c r="BG89" t="e">
        <f>装备!#REF!</f>
        <v>#REF!</v>
      </c>
      <c r="BH89" t="e">
        <f>装备!#REF!</f>
        <v>#REF!</v>
      </c>
      <c r="BI89" t="e">
        <f>装备!#REF!</f>
        <v>#REF!</v>
      </c>
      <c r="BJ89" t="e">
        <f>装备!#REF!</f>
        <v>#REF!</v>
      </c>
      <c r="BK89" t="e">
        <f>装备!#REF!</f>
        <v>#REF!</v>
      </c>
      <c r="BL89" t="e">
        <f>装备!#REF!</f>
        <v>#REF!</v>
      </c>
      <c r="BM89" t="e">
        <f>装备!#REF!</f>
        <v>#REF!</v>
      </c>
      <c r="BN89" t="e">
        <f>装备!#REF!</f>
        <v>#REF!</v>
      </c>
      <c r="BO89" t="e">
        <f>装备!#REF!</f>
        <v>#REF!</v>
      </c>
      <c r="BP89" t="e">
        <f t="shared" si="19"/>
        <v>#REF!</v>
      </c>
      <c r="BQ89" t="e">
        <f>装备!#REF!</f>
        <v>#REF!</v>
      </c>
      <c r="BR89" t="e">
        <f>装备!#REF!</f>
        <v>#REF!</v>
      </c>
      <c r="BS89" t="e">
        <f>装备!#REF!</f>
        <v>#REF!</v>
      </c>
      <c r="BT89" t="e">
        <f>装备!#REF!</f>
        <v>#REF!</v>
      </c>
      <c r="BU89" t="e">
        <f>装备!#REF!</f>
        <v>#REF!</v>
      </c>
      <c r="BV89" t="e">
        <f>装备!#REF!</f>
        <v>#REF!</v>
      </c>
      <c r="BW89" t="e">
        <f>装备!#REF!</f>
        <v>#REF!</v>
      </c>
      <c r="BX89" t="e">
        <f>装备!#REF!</f>
        <v>#REF!</v>
      </c>
      <c r="BY89" t="e">
        <f>装备!#REF!</f>
        <v>#REF!</v>
      </c>
      <c r="BZ89" t="e">
        <f>装备!#REF!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装备!#REF!</f>
        <v>#REF!</v>
      </c>
      <c r="B90" t="e">
        <f>装备!#REF!</f>
        <v>#REF!</v>
      </c>
      <c r="C90" t="e">
        <f>装备!#REF!</f>
        <v>#REF!</v>
      </c>
      <c r="D90" t="e">
        <f>装备!#REF!</f>
        <v>#REF!</v>
      </c>
      <c r="E90" t="e">
        <f>装备!#REF!</f>
        <v>#REF!</v>
      </c>
      <c r="F90" t="e">
        <f>装备!#REF!</f>
        <v>#REF!</v>
      </c>
      <c r="G90" t="e">
        <f>装备!#REF!</f>
        <v>#REF!</v>
      </c>
      <c r="H90" t="e">
        <f>装备!#REF!</f>
        <v>#REF!</v>
      </c>
      <c r="I90" t="e">
        <f>装备!#REF!</f>
        <v>#REF!</v>
      </c>
      <c r="J90" t="e">
        <f>装备!#REF!</f>
        <v>#REF!</v>
      </c>
      <c r="K90" t="e">
        <f>装备!#REF!</f>
        <v>#REF!</v>
      </c>
      <c r="L90" t="e">
        <f>装备!#REF!</f>
        <v>#REF!</v>
      </c>
      <c r="M90" t="e">
        <f t="shared" si="14"/>
        <v>#REF!</v>
      </c>
      <c r="N90" t="e">
        <f>装备!#REF!</f>
        <v>#REF!</v>
      </c>
      <c r="O90" t="e">
        <f>装备!#REF!</f>
        <v>#REF!</v>
      </c>
      <c r="P90" t="e">
        <f>装备!#REF!</f>
        <v>#REF!</v>
      </c>
      <c r="Q90" t="e">
        <f>装备!#REF!</f>
        <v>#REF!</v>
      </c>
      <c r="R90" t="e">
        <f>装备!#REF!</f>
        <v>#REF!</v>
      </c>
      <c r="S90" t="e">
        <f>装备!#REF!</f>
        <v>#REF!</v>
      </c>
      <c r="T90" t="e">
        <f>装备!#REF!</f>
        <v>#REF!</v>
      </c>
      <c r="U90" t="e">
        <f>装备!#REF!</f>
        <v>#REF!</v>
      </c>
      <c r="V90" t="e">
        <f>装备!#REF!</f>
        <v>#REF!</v>
      </c>
      <c r="W90" t="e">
        <f>装备!#REF!</f>
        <v>#REF!</v>
      </c>
      <c r="X90" t="e">
        <f t="shared" si="15"/>
        <v>#REF!</v>
      </c>
      <c r="Y90" t="e">
        <f>装备!#REF!</f>
        <v>#REF!</v>
      </c>
      <c r="Z90" t="e">
        <f>装备!#REF!</f>
        <v>#REF!</v>
      </c>
      <c r="AA90" t="e">
        <f>装备!#REF!</f>
        <v>#REF!</v>
      </c>
      <c r="AB90" t="e">
        <f>装备!#REF!</f>
        <v>#REF!</v>
      </c>
      <c r="AC90" t="e">
        <f>装备!#REF!</f>
        <v>#REF!</v>
      </c>
      <c r="AD90" t="e">
        <f>装备!#REF!</f>
        <v>#REF!</v>
      </c>
      <c r="AE90" t="e">
        <f>装备!#REF!</f>
        <v>#REF!</v>
      </c>
      <c r="AF90" t="e">
        <f>装备!#REF!</f>
        <v>#REF!</v>
      </c>
      <c r="AG90" t="e">
        <f>装备!#REF!</f>
        <v>#REF!</v>
      </c>
      <c r="AH90" t="e">
        <f>装备!#REF!</f>
        <v>#REF!</v>
      </c>
      <c r="AI90" t="e">
        <f t="shared" si="16"/>
        <v>#REF!</v>
      </c>
      <c r="AJ90" t="e">
        <f>装备!#REF!</f>
        <v>#REF!</v>
      </c>
      <c r="AK90" t="e">
        <f>装备!#REF!</f>
        <v>#REF!</v>
      </c>
      <c r="AL90" t="e">
        <f>装备!#REF!</f>
        <v>#REF!</v>
      </c>
      <c r="AM90" t="e">
        <f>装备!#REF!</f>
        <v>#REF!</v>
      </c>
      <c r="AN90" t="e">
        <f>装备!#REF!</f>
        <v>#REF!</v>
      </c>
      <c r="AO90" t="e">
        <f>装备!#REF!</f>
        <v>#REF!</v>
      </c>
      <c r="AP90" t="e">
        <f>装备!#REF!</f>
        <v>#REF!</v>
      </c>
      <c r="AQ90" t="e">
        <f>装备!#REF!</f>
        <v>#REF!</v>
      </c>
      <c r="AR90" t="e">
        <f>装备!#REF!</f>
        <v>#REF!</v>
      </c>
      <c r="AS90" t="e">
        <f>装备!#REF!</f>
        <v>#REF!</v>
      </c>
      <c r="AT90" t="e">
        <f t="shared" si="17"/>
        <v>#REF!</v>
      </c>
      <c r="AU90" t="e">
        <f>装备!#REF!</f>
        <v>#REF!</v>
      </c>
      <c r="AV90" t="e">
        <f>装备!#REF!</f>
        <v>#REF!</v>
      </c>
      <c r="AW90" t="e">
        <f>装备!#REF!</f>
        <v>#REF!</v>
      </c>
      <c r="AX90" t="e">
        <f>装备!#REF!</f>
        <v>#REF!</v>
      </c>
      <c r="AY90" t="e">
        <f>装备!#REF!</f>
        <v>#REF!</v>
      </c>
      <c r="AZ90" t="e">
        <f>装备!#REF!</f>
        <v>#REF!</v>
      </c>
      <c r="BA90" t="e">
        <f>装备!#REF!</f>
        <v>#REF!</v>
      </c>
      <c r="BB90" t="e">
        <f>装备!#REF!</f>
        <v>#REF!</v>
      </c>
      <c r="BC90" t="e">
        <f>装备!#REF!</f>
        <v>#REF!</v>
      </c>
      <c r="BD90" t="e">
        <f>装备!#REF!</f>
        <v>#REF!</v>
      </c>
      <c r="BE90" t="e">
        <f t="shared" si="18"/>
        <v>#REF!</v>
      </c>
      <c r="BF90" t="e">
        <f>装备!#REF!</f>
        <v>#REF!</v>
      </c>
      <c r="BG90" t="e">
        <f>装备!#REF!</f>
        <v>#REF!</v>
      </c>
      <c r="BH90" t="e">
        <f>装备!#REF!</f>
        <v>#REF!</v>
      </c>
      <c r="BI90" t="e">
        <f>装备!#REF!</f>
        <v>#REF!</v>
      </c>
      <c r="BJ90" t="e">
        <f>装备!#REF!</f>
        <v>#REF!</v>
      </c>
      <c r="BK90" t="e">
        <f>装备!#REF!</f>
        <v>#REF!</v>
      </c>
      <c r="BL90" t="e">
        <f>装备!#REF!</f>
        <v>#REF!</v>
      </c>
      <c r="BM90" t="e">
        <f>装备!#REF!</f>
        <v>#REF!</v>
      </c>
      <c r="BN90" t="e">
        <f>装备!#REF!</f>
        <v>#REF!</v>
      </c>
      <c r="BO90" t="e">
        <f>装备!#REF!</f>
        <v>#REF!</v>
      </c>
      <c r="BP90" t="e">
        <f t="shared" si="19"/>
        <v>#REF!</v>
      </c>
      <c r="BQ90" t="e">
        <f>装备!#REF!</f>
        <v>#REF!</v>
      </c>
      <c r="BR90" t="e">
        <f>装备!#REF!</f>
        <v>#REF!</v>
      </c>
      <c r="BS90" t="e">
        <f>装备!#REF!</f>
        <v>#REF!</v>
      </c>
      <c r="BT90" t="e">
        <f>装备!#REF!</f>
        <v>#REF!</v>
      </c>
      <c r="BU90" t="e">
        <f>装备!#REF!</f>
        <v>#REF!</v>
      </c>
      <c r="BV90" t="e">
        <f>装备!#REF!</f>
        <v>#REF!</v>
      </c>
      <c r="BW90" t="e">
        <f>装备!#REF!</f>
        <v>#REF!</v>
      </c>
      <c r="BX90" t="e">
        <f>装备!#REF!</f>
        <v>#REF!</v>
      </c>
      <c r="BY90" t="e">
        <f>装备!#REF!</f>
        <v>#REF!</v>
      </c>
      <c r="BZ90" t="e">
        <f>装备!#REF!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装备!#REF!</f>
        <v>#REF!</v>
      </c>
      <c r="B91" t="e">
        <f>装备!#REF!</f>
        <v>#REF!</v>
      </c>
      <c r="C91" t="e">
        <f>装备!#REF!</f>
        <v>#REF!</v>
      </c>
      <c r="D91" t="e">
        <f>装备!#REF!</f>
        <v>#REF!</v>
      </c>
      <c r="E91" t="e">
        <f>装备!#REF!</f>
        <v>#REF!</v>
      </c>
      <c r="F91" t="e">
        <f>装备!#REF!</f>
        <v>#REF!</v>
      </c>
      <c r="G91" t="e">
        <f>装备!#REF!</f>
        <v>#REF!</v>
      </c>
      <c r="H91" t="e">
        <f>装备!#REF!</f>
        <v>#REF!</v>
      </c>
      <c r="I91" t="e">
        <f>装备!#REF!</f>
        <v>#REF!</v>
      </c>
      <c r="J91" t="e">
        <f>装备!#REF!</f>
        <v>#REF!</v>
      </c>
      <c r="K91" t="e">
        <f>装备!#REF!</f>
        <v>#REF!</v>
      </c>
      <c r="L91" t="e">
        <f>装备!#REF!</f>
        <v>#REF!</v>
      </c>
      <c r="M91" t="e">
        <f t="shared" si="14"/>
        <v>#REF!</v>
      </c>
      <c r="N91" t="e">
        <f>装备!#REF!</f>
        <v>#REF!</v>
      </c>
      <c r="O91" t="e">
        <f>装备!#REF!</f>
        <v>#REF!</v>
      </c>
      <c r="P91" t="e">
        <f>装备!#REF!</f>
        <v>#REF!</v>
      </c>
      <c r="Q91" t="e">
        <f>装备!#REF!</f>
        <v>#REF!</v>
      </c>
      <c r="R91" t="e">
        <f>装备!#REF!</f>
        <v>#REF!</v>
      </c>
      <c r="S91" t="e">
        <f>装备!#REF!</f>
        <v>#REF!</v>
      </c>
      <c r="T91" t="e">
        <f>装备!#REF!</f>
        <v>#REF!</v>
      </c>
      <c r="U91" t="e">
        <f>装备!#REF!</f>
        <v>#REF!</v>
      </c>
      <c r="V91" t="e">
        <f>装备!#REF!</f>
        <v>#REF!</v>
      </c>
      <c r="W91" t="e">
        <f>装备!#REF!</f>
        <v>#REF!</v>
      </c>
      <c r="X91" t="e">
        <f t="shared" si="15"/>
        <v>#REF!</v>
      </c>
      <c r="Y91" t="e">
        <f>装备!#REF!</f>
        <v>#REF!</v>
      </c>
      <c r="Z91" t="e">
        <f>装备!#REF!</f>
        <v>#REF!</v>
      </c>
      <c r="AA91" t="e">
        <f>装备!#REF!</f>
        <v>#REF!</v>
      </c>
      <c r="AB91" t="e">
        <f>装备!#REF!</f>
        <v>#REF!</v>
      </c>
      <c r="AC91" t="e">
        <f>装备!#REF!</f>
        <v>#REF!</v>
      </c>
      <c r="AD91" t="e">
        <f>装备!#REF!</f>
        <v>#REF!</v>
      </c>
      <c r="AE91" t="e">
        <f>装备!#REF!</f>
        <v>#REF!</v>
      </c>
      <c r="AF91" t="e">
        <f>装备!#REF!</f>
        <v>#REF!</v>
      </c>
      <c r="AG91" t="e">
        <f>装备!#REF!</f>
        <v>#REF!</v>
      </c>
      <c r="AH91" t="e">
        <f>装备!#REF!</f>
        <v>#REF!</v>
      </c>
      <c r="AI91" t="e">
        <f t="shared" si="16"/>
        <v>#REF!</v>
      </c>
      <c r="AJ91" t="e">
        <f>装备!#REF!</f>
        <v>#REF!</v>
      </c>
      <c r="AK91" t="e">
        <f>装备!#REF!</f>
        <v>#REF!</v>
      </c>
      <c r="AL91" t="e">
        <f>装备!#REF!</f>
        <v>#REF!</v>
      </c>
      <c r="AM91" t="e">
        <f>装备!#REF!</f>
        <v>#REF!</v>
      </c>
      <c r="AN91" t="e">
        <f>装备!#REF!</f>
        <v>#REF!</v>
      </c>
      <c r="AO91" t="e">
        <f>装备!#REF!</f>
        <v>#REF!</v>
      </c>
      <c r="AP91" t="e">
        <f>装备!#REF!</f>
        <v>#REF!</v>
      </c>
      <c r="AQ91" t="e">
        <f>装备!#REF!</f>
        <v>#REF!</v>
      </c>
      <c r="AR91" t="e">
        <f>装备!#REF!</f>
        <v>#REF!</v>
      </c>
      <c r="AS91" t="e">
        <f>装备!#REF!</f>
        <v>#REF!</v>
      </c>
      <c r="AT91" t="e">
        <f t="shared" si="17"/>
        <v>#REF!</v>
      </c>
      <c r="AU91" t="e">
        <f>装备!#REF!</f>
        <v>#REF!</v>
      </c>
      <c r="AV91" t="e">
        <f>装备!#REF!</f>
        <v>#REF!</v>
      </c>
      <c r="AW91" t="e">
        <f>装备!#REF!</f>
        <v>#REF!</v>
      </c>
      <c r="AX91" t="e">
        <f>装备!#REF!</f>
        <v>#REF!</v>
      </c>
      <c r="AY91" t="e">
        <f>装备!#REF!</f>
        <v>#REF!</v>
      </c>
      <c r="AZ91" t="e">
        <f>装备!#REF!</f>
        <v>#REF!</v>
      </c>
      <c r="BA91" t="e">
        <f>装备!#REF!</f>
        <v>#REF!</v>
      </c>
      <c r="BB91" t="e">
        <f>装备!#REF!</f>
        <v>#REF!</v>
      </c>
      <c r="BC91" t="e">
        <f>装备!#REF!</f>
        <v>#REF!</v>
      </c>
      <c r="BD91" t="e">
        <f>装备!#REF!</f>
        <v>#REF!</v>
      </c>
      <c r="BE91" t="e">
        <f t="shared" si="18"/>
        <v>#REF!</v>
      </c>
      <c r="BF91" t="e">
        <f>装备!#REF!</f>
        <v>#REF!</v>
      </c>
      <c r="BG91" t="e">
        <f>装备!#REF!</f>
        <v>#REF!</v>
      </c>
      <c r="BH91" t="e">
        <f>装备!#REF!</f>
        <v>#REF!</v>
      </c>
      <c r="BI91" t="e">
        <f>装备!#REF!</f>
        <v>#REF!</v>
      </c>
      <c r="BJ91" t="e">
        <f>装备!#REF!</f>
        <v>#REF!</v>
      </c>
      <c r="BK91" t="e">
        <f>装备!#REF!</f>
        <v>#REF!</v>
      </c>
      <c r="BL91" t="e">
        <f>装备!#REF!</f>
        <v>#REF!</v>
      </c>
      <c r="BM91" t="e">
        <f>装备!#REF!</f>
        <v>#REF!</v>
      </c>
      <c r="BN91" t="e">
        <f>装备!#REF!</f>
        <v>#REF!</v>
      </c>
      <c r="BO91" t="e">
        <f>装备!#REF!</f>
        <v>#REF!</v>
      </c>
      <c r="BP91" t="e">
        <f t="shared" si="19"/>
        <v>#REF!</v>
      </c>
      <c r="BQ91" t="e">
        <f>装备!#REF!</f>
        <v>#REF!</v>
      </c>
      <c r="BR91" t="e">
        <f>装备!#REF!</f>
        <v>#REF!</v>
      </c>
      <c r="BS91" t="e">
        <f>装备!#REF!</f>
        <v>#REF!</v>
      </c>
      <c r="BT91" t="e">
        <f>装备!#REF!</f>
        <v>#REF!</v>
      </c>
      <c r="BU91" t="e">
        <f>装备!#REF!</f>
        <v>#REF!</v>
      </c>
      <c r="BV91" t="e">
        <f>装备!#REF!</f>
        <v>#REF!</v>
      </c>
      <c r="BW91" t="e">
        <f>装备!#REF!</f>
        <v>#REF!</v>
      </c>
      <c r="BX91" t="e">
        <f>装备!#REF!</f>
        <v>#REF!</v>
      </c>
      <c r="BY91" t="e">
        <f>装备!#REF!</f>
        <v>#REF!</v>
      </c>
      <c r="BZ91" t="e">
        <f>装备!#REF!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装备!#REF!</f>
        <v>#REF!</v>
      </c>
      <c r="B92" t="e">
        <f>装备!#REF!</f>
        <v>#REF!</v>
      </c>
      <c r="C92" t="e">
        <f>装备!#REF!</f>
        <v>#REF!</v>
      </c>
      <c r="D92" t="e">
        <f>装备!#REF!</f>
        <v>#REF!</v>
      </c>
      <c r="E92" t="e">
        <f>装备!#REF!</f>
        <v>#REF!</v>
      </c>
      <c r="F92" t="e">
        <f>装备!#REF!</f>
        <v>#REF!</v>
      </c>
      <c r="G92" t="e">
        <f>装备!#REF!</f>
        <v>#REF!</v>
      </c>
      <c r="H92" t="e">
        <f>装备!#REF!</f>
        <v>#REF!</v>
      </c>
      <c r="I92" t="e">
        <f>装备!#REF!</f>
        <v>#REF!</v>
      </c>
      <c r="J92" t="e">
        <f>装备!#REF!</f>
        <v>#REF!</v>
      </c>
      <c r="K92" t="e">
        <f>装备!#REF!</f>
        <v>#REF!</v>
      </c>
      <c r="L92" t="e">
        <f>装备!#REF!</f>
        <v>#REF!</v>
      </c>
      <c r="M92" t="e">
        <f t="shared" si="14"/>
        <v>#REF!</v>
      </c>
      <c r="N92" t="e">
        <f>装备!#REF!</f>
        <v>#REF!</v>
      </c>
      <c r="O92" t="e">
        <f>装备!#REF!</f>
        <v>#REF!</v>
      </c>
      <c r="P92" t="e">
        <f>装备!#REF!</f>
        <v>#REF!</v>
      </c>
      <c r="Q92" t="e">
        <f>装备!#REF!</f>
        <v>#REF!</v>
      </c>
      <c r="R92" t="e">
        <f>装备!#REF!</f>
        <v>#REF!</v>
      </c>
      <c r="S92" t="e">
        <f>装备!#REF!</f>
        <v>#REF!</v>
      </c>
      <c r="T92" t="e">
        <f>装备!#REF!</f>
        <v>#REF!</v>
      </c>
      <c r="U92" t="e">
        <f>装备!#REF!</f>
        <v>#REF!</v>
      </c>
      <c r="V92" t="e">
        <f>装备!#REF!</f>
        <v>#REF!</v>
      </c>
      <c r="W92" t="e">
        <f>装备!#REF!</f>
        <v>#REF!</v>
      </c>
      <c r="X92" t="e">
        <f t="shared" si="15"/>
        <v>#REF!</v>
      </c>
      <c r="Y92" t="e">
        <f>装备!#REF!</f>
        <v>#REF!</v>
      </c>
      <c r="Z92" t="e">
        <f>装备!#REF!</f>
        <v>#REF!</v>
      </c>
      <c r="AA92" t="e">
        <f>装备!#REF!</f>
        <v>#REF!</v>
      </c>
      <c r="AB92" t="e">
        <f>装备!#REF!</f>
        <v>#REF!</v>
      </c>
      <c r="AC92" t="e">
        <f>装备!#REF!</f>
        <v>#REF!</v>
      </c>
      <c r="AD92" t="e">
        <f>装备!#REF!</f>
        <v>#REF!</v>
      </c>
      <c r="AE92" t="e">
        <f>装备!#REF!</f>
        <v>#REF!</v>
      </c>
      <c r="AF92" t="e">
        <f>装备!#REF!</f>
        <v>#REF!</v>
      </c>
      <c r="AG92" t="e">
        <f>装备!#REF!</f>
        <v>#REF!</v>
      </c>
      <c r="AH92" t="e">
        <f>装备!#REF!</f>
        <v>#REF!</v>
      </c>
      <c r="AI92" t="e">
        <f t="shared" si="16"/>
        <v>#REF!</v>
      </c>
      <c r="AJ92" t="e">
        <f>装备!#REF!</f>
        <v>#REF!</v>
      </c>
      <c r="AK92" t="e">
        <f>装备!#REF!</f>
        <v>#REF!</v>
      </c>
      <c r="AL92" t="e">
        <f>装备!#REF!</f>
        <v>#REF!</v>
      </c>
      <c r="AM92" t="e">
        <f>装备!#REF!</f>
        <v>#REF!</v>
      </c>
      <c r="AN92" t="e">
        <f>装备!#REF!</f>
        <v>#REF!</v>
      </c>
      <c r="AO92" t="e">
        <f>装备!#REF!</f>
        <v>#REF!</v>
      </c>
      <c r="AP92" t="e">
        <f>装备!#REF!</f>
        <v>#REF!</v>
      </c>
      <c r="AQ92" t="e">
        <f>装备!#REF!</f>
        <v>#REF!</v>
      </c>
      <c r="AR92" t="e">
        <f>装备!#REF!</f>
        <v>#REF!</v>
      </c>
      <c r="AS92" t="e">
        <f>装备!#REF!</f>
        <v>#REF!</v>
      </c>
      <c r="AT92" t="e">
        <f t="shared" si="17"/>
        <v>#REF!</v>
      </c>
      <c r="AU92" t="e">
        <f>装备!#REF!</f>
        <v>#REF!</v>
      </c>
      <c r="AV92" t="e">
        <f>装备!#REF!</f>
        <v>#REF!</v>
      </c>
      <c r="AW92" t="e">
        <f>装备!#REF!</f>
        <v>#REF!</v>
      </c>
      <c r="AX92" t="e">
        <f>装备!#REF!</f>
        <v>#REF!</v>
      </c>
      <c r="AY92" t="e">
        <f>装备!#REF!</f>
        <v>#REF!</v>
      </c>
      <c r="AZ92" t="e">
        <f>装备!#REF!</f>
        <v>#REF!</v>
      </c>
      <c r="BA92" t="e">
        <f>装备!#REF!</f>
        <v>#REF!</v>
      </c>
      <c r="BB92" t="e">
        <f>装备!#REF!</f>
        <v>#REF!</v>
      </c>
      <c r="BC92" t="e">
        <f>装备!#REF!</f>
        <v>#REF!</v>
      </c>
      <c r="BD92" t="e">
        <f>装备!#REF!</f>
        <v>#REF!</v>
      </c>
      <c r="BE92" t="e">
        <f t="shared" si="18"/>
        <v>#REF!</v>
      </c>
      <c r="BF92" t="e">
        <f>装备!#REF!</f>
        <v>#REF!</v>
      </c>
      <c r="BG92" t="e">
        <f>装备!#REF!</f>
        <v>#REF!</v>
      </c>
      <c r="BH92" t="e">
        <f>装备!#REF!</f>
        <v>#REF!</v>
      </c>
      <c r="BI92" t="e">
        <f>装备!#REF!</f>
        <v>#REF!</v>
      </c>
      <c r="BJ92" t="e">
        <f>装备!#REF!</f>
        <v>#REF!</v>
      </c>
      <c r="BK92" t="e">
        <f>装备!#REF!</f>
        <v>#REF!</v>
      </c>
      <c r="BL92" t="e">
        <f>装备!#REF!</f>
        <v>#REF!</v>
      </c>
      <c r="BM92" t="e">
        <f>装备!#REF!</f>
        <v>#REF!</v>
      </c>
      <c r="BN92" t="e">
        <f>装备!#REF!</f>
        <v>#REF!</v>
      </c>
      <c r="BO92" t="e">
        <f>装备!#REF!</f>
        <v>#REF!</v>
      </c>
      <c r="BP92" t="e">
        <f t="shared" si="19"/>
        <v>#REF!</v>
      </c>
      <c r="BQ92" t="e">
        <f>装备!#REF!</f>
        <v>#REF!</v>
      </c>
      <c r="BR92" t="e">
        <f>装备!#REF!</f>
        <v>#REF!</v>
      </c>
      <c r="BS92" t="e">
        <f>装备!#REF!</f>
        <v>#REF!</v>
      </c>
      <c r="BT92" t="e">
        <f>装备!#REF!</f>
        <v>#REF!</v>
      </c>
      <c r="BU92" t="e">
        <f>装备!#REF!</f>
        <v>#REF!</v>
      </c>
      <c r="BV92" t="e">
        <f>装备!#REF!</f>
        <v>#REF!</v>
      </c>
      <c r="BW92" t="e">
        <f>装备!#REF!</f>
        <v>#REF!</v>
      </c>
      <c r="BX92" t="e">
        <f>装备!#REF!</f>
        <v>#REF!</v>
      </c>
      <c r="BY92" t="e">
        <f>装备!#REF!</f>
        <v>#REF!</v>
      </c>
      <c r="BZ92" t="e">
        <f>装备!#REF!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装备!#REF!</f>
        <v>#REF!</v>
      </c>
      <c r="B93" t="e">
        <f>装备!#REF!</f>
        <v>#REF!</v>
      </c>
      <c r="C93" t="e">
        <f>装备!#REF!</f>
        <v>#REF!</v>
      </c>
      <c r="D93" t="e">
        <f>装备!#REF!</f>
        <v>#REF!</v>
      </c>
      <c r="E93" t="e">
        <f>装备!#REF!</f>
        <v>#REF!</v>
      </c>
      <c r="F93" t="e">
        <f>装备!#REF!</f>
        <v>#REF!</v>
      </c>
      <c r="G93" t="e">
        <f>装备!#REF!</f>
        <v>#REF!</v>
      </c>
      <c r="H93" t="e">
        <f>装备!#REF!</f>
        <v>#REF!</v>
      </c>
      <c r="I93" t="e">
        <f>装备!#REF!</f>
        <v>#REF!</v>
      </c>
      <c r="J93" t="e">
        <f>装备!#REF!</f>
        <v>#REF!</v>
      </c>
      <c r="K93" t="e">
        <f>装备!#REF!</f>
        <v>#REF!</v>
      </c>
      <c r="L93" t="e">
        <f>装备!#REF!</f>
        <v>#REF!</v>
      </c>
      <c r="M93" t="e">
        <f t="shared" si="14"/>
        <v>#REF!</v>
      </c>
      <c r="N93" t="e">
        <f>装备!#REF!</f>
        <v>#REF!</v>
      </c>
      <c r="O93" t="e">
        <f>装备!#REF!</f>
        <v>#REF!</v>
      </c>
      <c r="P93" t="e">
        <f>装备!#REF!</f>
        <v>#REF!</v>
      </c>
      <c r="Q93" t="e">
        <f>装备!#REF!</f>
        <v>#REF!</v>
      </c>
      <c r="R93" t="e">
        <f>装备!#REF!</f>
        <v>#REF!</v>
      </c>
      <c r="S93" t="e">
        <f>装备!#REF!</f>
        <v>#REF!</v>
      </c>
      <c r="T93" t="e">
        <f>装备!#REF!</f>
        <v>#REF!</v>
      </c>
      <c r="U93" t="e">
        <f>装备!#REF!</f>
        <v>#REF!</v>
      </c>
      <c r="V93" t="e">
        <f>装备!#REF!</f>
        <v>#REF!</v>
      </c>
      <c r="W93" t="e">
        <f>装备!#REF!</f>
        <v>#REF!</v>
      </c>
      <c r="X93" t="e">
        <f t="shared" si="15"/>
        <v>#REF!</v>
      </c>
      <c r="Y93" t="e">
        <f>装备!#REF!</f>
        <v>#REF!</v>
      </c>
      <c r="Z93" t="e">
        <f>装备!#REF!</f>
        <v>#REF!</v>
      </c>
      <c r="AA93" t="e">
        <f>装备!#REF!</f>
        <v>#REF!</v>
      </c>
      <c r="AB93" t="e">
        <f>装备!#REF!</f>
        <v>#REF!</v>
      </c>
      <c r="AC93" t="e">
        <f>装备!#REF!</f>
        <v>#REF!</v>
      </c>
      <c r="AD93" t="e">
        <f>装备!#REF!</f>
        <v>#REF!</v>
      </c>
      <c r="AE93" t="e">
        <f>装备!#REF!</f>
        <v>#REF!</v>
      </c>
      <c r="AF93" t="e">
        <f>装备!#REF!</f>
        <v>#REF!</v>
      </c>
      <c r="AG93" t="e">
        <f>装备!#REF!</f>
        <v>#REF!</v>
      </c>
      <c r="AH93" t="e">
        <f>装备!#REF!</f>
        <v>#REF!</v>
      </c>
      <c r="AI93" t="e">
        <f t="shared" si="16"/>
        <v>#REF!</v>
      </c>
      <c r="AJ93" t="e">
        <f>装备!#REF!</f>
        <v>#REF!</v>
      </c>
      <c r="AK93" t="e">
        <f>装备!#REF!</f>
        <v>#REF!</v>
      </c>
      <c r="AL93" t="e">
        <f>装备!#REF!</f>
        <v>#REF!</v>
      </c>
      <c r="AM93" t="e">
        <f>装备!#REF!</f>
        <v>#REF!</v>
      </c>
      <c r="AN93" t="e">
        <f>装备!#REF!</f>
        <v>#REF!</v>
      </c>
      <c r="AO93" t="e">
        <f>装备!#REF!</f>
        <v>#REF!</v>
      </c>
      <c r="AP93" t="e">
        <f>装备!#REF!</f>
        <v>#REF!</v>
      </c>
      <c r="AQ93" t="e">
        <f>装备!#REF!</f>
        <v>#REF!</v>
      </c>
      <c r="AR93" t="e">
        <f>装备!#REF!</f>
        <v>#REF!</v>
      </c>
      <c r="AS93" t="e">
        <f>装备!#REF!</f>
        <v>#REF!</v>
      </c>
      <c r="AT93" t="e">
        <f t="shared" si="17"/>
        <v>#REF!</v>
      </c>
      <c r="AU93" t="e">
        <f>装备!#REF!</f>
        <v>#REF!</v>
      </c>
      <c r="AV93" t="e">
        <f>装备!#REF!</f>
        <v>#REF!</v>
      </c>
      <c r="AW93" t="e">
        <f>装备!#REF!</f>
        <v>#REF!</v>
      </c>
      <c r="AX93" t="e">
        <f>装备!#REF!</f>
        <v>#REF!</v>
      </c>
      <c r="AY93" t="e">
        <f>装备!#REF!</f>
        <v>#REF!</v>
      </c>
      <c r="AZ93" t="e">
        <f>装备!#REF!</f>
        <v>#REF!</v>
      </c>
      <c r="BA93" t="e">
        <f>装备!#REF!</f>
        <v>#REF!</v>
      </c>
      <c r="BB93" t="e">
        <f>装备!#REF!</f>
        <v>#REF!</v>
      </c>
      <c r="BC93" t="e">
        <f>装备!#REF!</f>
        <v>#REF!</v>
      </c>
      <c r="BD93" t="e">
        <f>装备!#REF!</f>
        <v>#REF!</v>
      </c>
      <c r="BE93" t="e">
        <f t="shared" si="18"/>
        <v>#REF!</v>
      </c>
      <c r="BF93" t="e">
        <f>装备!#REF!</f>
        <v>#REF!</v>
      </c>
      <c r="BG93" t="e">
        <f>装备!#REF!</f>
        <v>#REF!</v>
      </c>
      <c r="BH93" t="e">
        <f>装备!#REF!</f>
        <v>#REF!</v>
      </c>
      <c r="BI93" t="e">
        <f>装备!#REF!</f>
        <v>#REF!</v>
      </c>
      <c r="BJ93" t="e">
        <f>装备!#REF!</f>
        <v>#REF!</v>
      </c>
      <c r="BK93" t="e">
        <f>装备!#REF!</f>
        <v>#REF!</v>
      </c>
      <c r="BL93" t="e">
        <f>装备!#REF!</f>
        <v>#REF!</v>
      </c>
      <c r="BM93" t="e">
        <f>装备!#REF!</f>
        <v>#REF!</v>
      </c>
      <c r="BN93" t="e">
        <f>装备!#REF!</f>
        <v>#REF!</v>
      </c>
      <c r="BO93" t="e">
        <f>装备!#REF!</f>
        <v>#REF!</v>
      </c>
      <c r="BP93" t="e">
        <f t="shared" si="19"/>
        <v>#REF!</v>
      </c>
      <c r="BQ93" t="e">
        <f>装备!#REF!</f>
        <v>#REF!</v>
      </c>
      <c r="BR93" t="e">
        <f>装备!#REF!</f>
        <v>#REF!</v>
      </c>
      <c r="BS93" t="e">
        <f>装备!#REF!</f>
        <v>#REF!</v>
      </c>
      <c r="BT93" t="e">
        <f>装备!#REF!</f>
        <v>#REF!</v>
      </c>
      <c r="BU93" t="e">
        <f>装备!#REF!</f>
        <v>#REF!</v>
      </c>
      <c r="BV93" t="e">
        <f>装备!#REF!</f>
        <v>#REF!</v>
      </c>
      <c r="BW93" t="e">
        <f>装备!#REF!</f>
        <v>#REF!</v>
      </c>
      <c r="BX93" t="e">
        <f>装备!#REF!</f>
        <v>#REF!</v>
      </c>
      <c r="BY93" t="e">
        <f>装备!#REF!</f>
        <v>#REF!</v>
      </c>
      <c r="BZ93" t="e">
        <f>装备!#REF!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装备!#REF!</f>
        <v>#REF!</v>
      </c>
      <c r="B94" t="e">
        <f>装备!#REF!</f>
        <v>#REF!</v>
      </c>
      <c r="C94" t="e">
        <f>装备!#REF!</f>
        <v>#REF!</v>
      </c>
      <c r="D94" t="e">
        <f>装备!#REF!</f>
        <v>#REF!</v>
      </c>
      <c r="E94" t="e">
        <f>装备!#REF!</f>
        <v>#REF!</v>
      </c>
      <c r="F94" t="e">
        <f>装备!#REF!</f>
        <v>#REF!</v>
      </c>
      <c r="G94" t="e">
        <f>装备!#REF!</f>
        <v>#REF!</v>
      </c>
      <c r="H94" t="e">
        <f>装备!#REF!</f>
        <v>#REF!</v>
      </c>
      <c r="I94" t="e">
        <f>装备!#REF!</f>
        <v>#REF!</v>
      </c>
      <c r="J94" t="e">
        <f>装备!#REF!</f>
        <v>#REF!</v>
      </c>
      <c r="K94" t="e">
        <f>装备!#REF!</f>
        <v>#REF!</v>
      </c>
      <c r="L94" t="e">
        <f>装备!#REF!</f>
        <v>#REF!</v>
      </c>
      <c r="M94" t="e">
        <f t="shared" si="14"/>
        <v>#REF!</v>
      </c>
      <c r="N94" t="e">
        <f>装备!#REF!</f>
        <v>#REF!</v>
      </c>
      <c r="O94" t="e">
        <f>装备!#REF!</f>
        <v>#REF!</v>
      </c>
      <c r="P94" t="e">
        <f>装备!#REF!</f>
        <v>#REF!</v>
      </c>
      <c r="Q94" t="e">
        <f>装备!#REF!</f>
        <v>#REF!</v>
      </c>
      <c r="R94" t="e">
        <f>装备!#REF!</f>
        <v>#REF!</v>
      </c>
      <c r="S94" t="e">
        <f>装备!#REF!</f>
        <v>#REF!</v>
      </c>
      <c r="T94" t="e">
        <f>装备!#REF!</f>
        <v>#REF!</v>
      </c>
      <c r="U94" t="e">
        <f>装备!#REF!</f>
        <v>#REF!</v>
      </c>
      <c r="V94" t="e">
        <f>装备!#REF!</f>
        <v>#REF!</v>
      </c>
      <c r="W94" t="e">
        <f>装备!#REF!</f>
        <v>#REF!</v>
      </c>
      <c r="X94" t="e">
        <f t="shared" si="15"/>
        <v>#REF!</v>
      </c>
      <c r="Y94" t="e">
        <f>装备!#REF!</f>
        <v>#REF!</v>
      </c>
      <c r="Z94" t="e">
        <f>装备!#REF!</f>
        <v>#REF!</v>
      </c>
      <c r="AA94" t="e">
        <f>装备!#REF!</f>
        <v>#REF!</v>
      </c>
      <c r="AB94" t="e">
        <f>装备!#REF!</f>
        <v>#REF!</v>
      </c>
      <c r="AC94" t="e">
        <f>装备!#REF!</f>
        <v>#REF!</v>
      </c>
      <c r="AD94" t="e">
        <f>装备!#REF!</f>
        <v>#REF!</v>
      </c>
      <c r="AE94" t="e">
        <f>装备!#REF!</f>
        <v>#REF!</v>
      </c>
      <c r="AF94" t="e">
        <f>装备!#REF!</f>
        <v>#REF!</v>
      </c>
      <c r="AG94" t="e">
        <f>装备!#REF!</f>
        <v>#REF!</v>
      </c>
      <c r="AH94" t="e">
        <f>装备!#REF!</f>
        <v>#REF!</v>
      </c>
      <c r="AI94" t="e">
        <f t="shared" si="16"/>
        <v>#REF!</v>
      </c>
      <c r="AJ94" t="e">
        <f>装备!#REF!</f>
        <v>#REF!</v>
      </c>
      <c r="AK94" t="e">
        <f>装备!#REF!</f>
        <v>#REF!</v>
      </c>
      <c r="AL94" t="e">
        <f>装备!#REF!</f>
        <v>#REF!</v>
      </c>
      <c r="AM94" t="e">
        <f>装备!#REF!</f>
        <v>#REF!</v>
      </c>
      <c r="AN94" t="e">
        <f>装备!#REF!</f>
        <v>#REF!</v>
      </c>
      <c r="AO94" t="e">
        <f>装备!#REF!</f>
        <v>#REF!</v>
      </c>
      <c r="AP94" t="e">
        <f>装备!#REF!</f>
        <v>#REF!</v>
      </c>
      <c r="AQ94" t="e">
        <f>装备!#REF!</f>
        <v>#REF!</v>
      </c>
      <c r="AR94" t="e">
        <f>装备!#REF!</f>
        <v>#REF!</v>
      </c>
      <c r="AS94" t="e">
        <f>装备!#REF!</f>
        <v>#REF!</v>
      </c>
      <c r="AT94" t="e">
        <f t="shared" si="17"/>
        <v>#REF!</v>
      </c>
      <c r="AU94" t="e">
        <f>装备!#REF!</f>
        <v>#REF!</v>
      </c>
      <c r="AV94" t="e">
        <f>装备!#REF!</f>
        <v>#REF!</v>
      </c>
      <c r="AW94" t="e">
        <f>装备!#REF!</f>
        <v>#REF!</v>
      </c>
      <c r="AX94" t="e">
        <f>装备!#REF!</f>
        <v>#REF!</v>
      </c>
      <c r="AY94" t="e">
        <f>装备!#REF!</f>
        <v>#REF!</v>
      </c>
      <c r="AZ94" t="e">
        <f>装备!#REF!</f>
        <v>#REF!</v>
      </c>
      <c r="BA94" t="e">
        <f>装备!#REF!</f>
        <v>#REF!</v>
      </c>
      <c r="BB94" t="e">
        <f>装备!#REF!</f>
        <v>#REF!</v>
      </c>
      <c r="BC94" t="e">
        <f>装备!#REF!</f>
        <v>#REF!</v>
      </c>
      <c r="BD94" t="e">
        <f>装备!#REF!</f>
        <v>#REF!</v>
      </c>
      <c r="BE94" t="e">
        <f t="shared" si="18"/>
        <v>#REF!</v>
      </c>
      <c r="BF94" t="e">
        <f>装备!#REF!</f>
        <v>#REF!</v>
      </c>
      <c r="BG94" t="e">
        <f>装备!#REF!</f>
        <v>#REF!</v>
      </c>
      <c r="BH94" t="e">
        <f>装备!#REF!</f>
        <v>#REF!</v>
      </c>
      <c r="BI94" t="e">
        <f>装备!#REF!</f>
        <v>#REF!</v>
      </c>
      <c r="BJ94" t="e">
        <f>装备!#REF!</f>
        <v>#REF!</v>
      </c>
      <c r="BK94" t="e">
        <f>装备!#REF!</f>
        <v>#REF!</v>
      </c>
      <c r="BL94" t="e">
        <f>装备!#REF!</f>
        <v>#REF!</v>
      </c>
      <c r="BM94" t="e">
        <f>装备!#REF!</f>
        <v>#REF!</v>
      </c>
      <c r="BN94" t="e">
        <f>装备!#REF!</f>
        <v>#REF!</v>
      </c>
      <c r="BO94" t="e">
        <f>装备!#REF!</f>
        <v>#REF!</v>
      </c>
      <c r="BP94" t="e">
        <f t="shared" si="19"/>
        <v>#REF!</v>
      </c>
      <c r="BQ94" t="e">
        <f>装备!#REF!</f>
        <v>#REF!</v>
      </c>
      <c r="BR94" t="e">
        <f>装备!#REF!</f>
        <v>#REF!</v>
      </c>
      <c r="BS94" t="e">
        <f>装备!#REF!</f>
        <v>#REF!</v>
      </c>
      <c r="BT94" t="e">
        <f>装备!#REF!</f>
        <v>#REF!</v>
      </c>
      <c r="BU94" t="e">
        <f>装备!#REF!</f>
        <v>#REF!</v>
      </c>
      <c r="BV94" t="e">
        <f>装备!#REF!</f>
        <v>#REF!</v>
      </c>
      <c r="BW94" t="e">
        <f>装备!#REF!</f>
        <v>#REF!</v>
      </c>
      <c r="BX94" t="e">
        <f>装备!#REF!</f>
        <v>#REF!</v>
      </c>
      <c r="BY94" t="e">
        <f>装备!#REF!</f>
        <v>#REF!</v>
      </c>
      <c r="BZ94" t="e">
        <f>装备!#REF!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装备!#REF!</f>
        <v>#REF!</v>
      </c>
      <c r="B95" t="e">
        <f>装备!#REF!</f>
        <v>#REF!</v>
      </c>
      <c r="C95" t="e">
        <f>装备!#REF!</f>
        <v>#REF!</v>
      </c>
      <c r="D95" t="e">
        <f>装备!#REF!</f>
        <v>#REF!</v>
      </c>
      <c r="E95" t="e">
        <f>装备!#REF!</f>
        <v>#REF!</v>
      </c>
      <c r="F95" t="e">
        <f>装备!#REF!</f>
        <v>#REF!</v>
      </c>
      <c r="G95" t="e">
        <f>装备!#REF!</f>
        <v>#REF!</v>
      </c>
      <c r="H95" t="e">
        <f>装备!#REF!</f>
        <v>#REF!</v>
      </c>
      <c r="I95" t="e">
        <f>装备!#REF!</f>
        <v>#REF!</v>
      </c>
      <c r="J95" t="e">
        <f>装备!#REF!</f>
        <v>#REF!</v>
      </c>
      <c r="K95" t="e">
        <f>装备!#REF!</f>
        <v>#REF!</v>
      </c>
      <c r="L95" t="e">
        <f>装备!#REF!</f>
        <v>#REF!</v>
      </c>
      <c r="M95" t="e">
        <f t="shared" si="14"/>
        <v>#REF!</v>
      </c>
      <c r="N95" t="e">
        <f>装备!#REF!</f>
        <v>#REF!</v>
      </c>
      <c r="O95" t="e">
        <f>装备!#REF!</f>
        <v>#REF!</v>
      </c>
      <c r="P95" t="e">
        <f>装备!#REF!</f>
        <v>#REF!</v>
      </c>
      <c r="Q95" t="e">
        <f>装备!#REF!</f>
        <v>#REF!</v>
      </c>
      <c r="R95" t="e">
        <f>装备!#REF!</f>
        <v>#REF!</v>
      </c>
      <c r="S95" t="e">
        <f>装备!#REF!</f>
        <v>#REF!</v>
      </c>
      <c r="T95" t="e">
        <f>装备!#REF!</f>
        <v>#REF!</v>
      </c>
      <c r="U95" t="e">
        <f>装备!#REF!</f>
        <v>#REF!</v>
      </c>
      <c r="V95" t="e">
        <f>装备!#REF!</f>
        <v>#REF!</v>
      </c>
      <c r="W95" t="e">
        <f>装备!#REF!</f>
        <v>#REF!</v>
      </c>
      <c r="X95" t="e">
        <f t="shared" si="15"/>
        <v>#REF!</v>
      </c>
      <c r="Y95" t="e">
        <f>装备!#REF!</f>
        <v>#REF!</v>
      </c>
      <c r="Z95" t="e">
        <f>装备!#REF!</f>
        <v>#REF!</v>
      </c>
      <c r="AA95" t="e">
        <f>装备!#REF!</f>
        <v>#REF!</v>
      </c>
      <c r="AB95" t="e">
        <f>装备!#REF!</f>
        <v>#REF!</v>
      </c>
      <c r="AC95" t="e">
        <f>装备!#REF!</f>
        <v>#REF!</v>
      </c>
      <c r="AD95" t="e">
        <f>装备!#REF!</f>
        <v>#REF!</v>
      </c>
      <c r="AE95" t="e">
        <f>装备!#REF!</f>
        <v>#REF!</v>
      </c>
      <c r="AF95" t="e">
        <f>装备!#REF!</f>
        <v>#REF!</v>
      </c>
      <c r="AG95" t="e">
        <f>装备!#REF!</f>
        <v>#REF!</v>
      </c>
      <c r="AH95" t="e">
        <f>装备!#REF!</f>
        <v>#REF!</v>
      </c>
      <c r="AI95" t="e">
        <f t="shared" si="16"/>
        <v>#REF!</v>
      </c>
      <c r="AJ95" t="e">
        <f>装备!#REF!</f>
        <v>#REF!</v>
      </c>
      <c r="AK95" t="e">
        <f>装备!#REF!</f>
        <v>#REF!</v>
      </c>
      <c r="AL95" t="e">
        <f>装备!#REF!</f>
        <v>#REF!</v>
      </c>
      <c r="AM95" t="e">
        <f>装备!#REF!</f>
        <v>#REF!</v>
      </c>
      <c r="AN95" t="e">
        <f>装备!#REF!</f>
        <v>#REF!</v>
      </c>
      <c r="AO95" t="e">
        <f>装备!#REF!</f>
        <v>#REF!</v>
      </c>
      <c r="AP95" t="e">
        <f>装备!#REF!</f>
        <v>#REF!</v>
      </c>
      <c r="AQ95" t="e">
        <f>装备!#REF!</f>
        <v>#REF!</v>
      </c>
      <c r="AR95" t="e">
        <f>装备!#REF!</f>
        <v>#REF!</v>
      </c>
      <c r="AS95" t="e">
        <f>装备!#REF!</f>
        <v>#REF!</v>
      </c>
      <c r="AT95" t="e">
        <f t="shared" si="17"/>
        <v>#REF!</v>
      </c>
      <c r="AU95" t="e">
        <f>装备!#REF!</f>
        <v>#REF!</v>
      </c>
      <c r="AV95" t="e">
        <f>装备!#REF!</f>
        <v>#REF!</v>
      </c>
      <c r="AW95" t="e">
        <f>装备!#REF!</f>
        <v>#REF!</v>
      </c>
      <c r="AX95" t="e">
        <f>装备!#REF!</f>
        <v>#REF!</v>
      </c>
      <c r="AY95" t="e">
        <f>装备!#REF!</f>
        <v>#REF!</v>
      </c>
      <c r="AZ95" t="e">
        <f>装备!#REF!</f>
        <v>#REF!</v>
      </c>
      <c r="BA95" t="e">
        <f>装备!#REF!</f>
        <v>#REF!</v>
      </c>
      <c r="BB95" t="e">
        <f>装备!#REF!</f>
        <v>#REF!</v>
      </c>
      <c r="BC95" t="e">
        <f>装备!#REF!</f>
        <v>#REF!</v>
      </c>
      <c r="BD95" t="e">
        <f>装备!#REF!</f>
        <v>#REF!</v>
      </c>
      <c r="BE95" t="e">
        <f t="shared" si="18"/>
        <v>#REF!</v>
      </c>
      <c r="BF95" t="e">
        <f>装备!#REF!</f>
        <v>#REF!</v>
      </c>
      <c r="BG95" t="e">
        <f>装备!#REF!</f>
        <v>#REF!</v>
      </c>
      <c r="BH95" t="e">
        <f>装备!#REF!</f>
        <v>#REF!</v>
      </c>
      <c r="BI95" t="e">
        <f>装备!#REF!</f>
        <v>#REF!</v>
      </c>
      <c r="BJ95" t="e">
        <f>装备!#REF!</f>
        <v>#REF!</v>
      </c>
      <c r="BK95" t="e">
        <f>装备!#REF!</f>
        <v>#REF!</v>
      </c>
      <c r="BL95" t="e">
        <f>装备!#REF!</f>
        <v>#REF!</v>
      </c>
      <c r="BM95" t="e">
        <f>装备!#REF!</f>
        <v>#REF!</v>
      </c>
      <c r="BN95" t="e">
        <f>装备!#REF!</f>
        <v>#REF!</v>
      </c>
      <c r="BO95" t="e">
        <f>装备!#REF!</f>
        <v>#REF!</v>
      </c>
      <c r="BP95" t="e">
        <f t="shared" si="19"/>
        <v>#REF!</v>
      </c>
      <c r="BQ95" t="e">
        <f>装备!#REF!</f>
        <v>#REF!</v>
      </c>
      <c r="BR95" t="e">
        <f>装备!#REF!</f>
        <v>#REF!</v>
      </c>
      <c r="BS95" t="e">
        <f>装备!#REF!</f>
        <v>#REF!</v>
      </c>
      <c r="BT95" t="e">
        <f>装备!#REF!</f>
        <v>#REF!</v>
      </c>
      <c r="BU95" t="e">
        <f>装备!#REF!</f>
        <v>#REF!</v>
      </c>
      <c r="BV95" t="e">
        <f>装备!#REF!</f>
        <v>#REF!</v>
      </c>
      <c r="BW95" t="e">
        <f>装备!#REF!</f>
        <v>#REF!</v>
      </c>
      <c r="BX95" t="e">
        <f>装备!#REF!</f>
        <v>#REF!</v>
      </c>
      <c r="BY95" t="e">
        <f>装备!#REF!</f>
        <v>#REF!</v>
      </c>
      <c r="BZ95" t="e">
        <f>装备!#REF!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装备!#REF!</f>
        <v>#REF!</v>
      </c>
      <c r="B96" t="e">
        <f>装备!#REF!</f>
        <v>#REF!</v>
      </c>
      <c r="C96" t="e">
        <f>装备!#REF!</f>
        <v>#REF!</v>
      </c>
      <c r="D96" t="e">
        <f>装备!#REF!</f>
        <v>#REF!</v>
      </c>
      <c r="E96" t="e">
        <f>装备!#REF!</f>
        <v>#REF!</v>
      </c>
      <c r="F96" t="e">
        <f>装备!#REF!</f>
        <v>#REF!</v>
      </c>
      <c r="G96" t="e">
        <f>装备!#REF!</f>
        <v>#REF!</v>
      </c>
      <c r="H96" t="e">
        <f>装备!#REF!</f>
        <v>#REF!</v>
      </c>
      <c r="I96" t="e">
        <f>装备!#REF!</f>
        <v>#REF!</v>
      </c>
      <c r="J96" t="e">
        <f>装备!#REF!</f>
        <v>#REF!</v>
      </c>
      <c r="K96" t="e">
        <f>装备!#REF!</f>
        <v>#REF!</v>
      </c>
      <c r="L96" t="e">
        <f>装备!#REF!</f>
        <v>#REF!</v>
      </c>
      <c r="M96" t="e">
        <f t="shared" si="14"/>
        <v>#REF!</v>
      </c>
      <c r="N96" t="e">
        <f>装备!#REF!</f>
        <v>#REF!</v>
      </c>
      <c r="O96" t="e">
        <f>装备!#REF!</f>
        <v>#REF!</v>
      </c>
      <c r="P96" t="e">
        <f>装备!#REF!</f>
        <v>#REF!</v>
      </c>
      <c r="Q96" t="e">
        <f>装备!#REF!</f>
        <v>#REF!</v>
      </c>
      <c r="R96" t="e">
        <f>装备!#REF!</f>
        <v>#REF!</v>
      </c>
      <c r="S96" t="e">
        <f>装备!#REF!</f>
        <v>#REF!</v>
      </c>
      <c r="T96" t="e">
        <f>装备!#REF!</f>
        <v>#REF!</v>
      </c>
      <c r="U96" t="e">
        <f>装备!#REF!</f>
        <v>#REF!</v>
      </c>
      <c r="V96" t="e">
        <f>装备!#REF!</f>
        <v>#REF!</v>
      </c>
      <c r="W96" t="e">
        <f>装备!#REF!</f>
        <v>#REF!</v>
      </c>
      <c r="X96" t="e">
        <f t="shared" si="15"/>
        <v>#REF!</v>
      </c>
      <c r="Y96" t="e">
        <f>装备!#REF!</f>
        <v>#REF!</v>
      </c>
      <c r="Z96" t="e">
        <f>装备!#REF!</f>
        <v>#REF!</v>
      </c>
      <c r="AA96" t="e">
        <f>装备!#REF!</f>
        <v>#REF!</v>
      </c>
      <c r="AB96" t="e">
        <f>装备!#REF!</f>
        <v>#REF!</v>
      </c>
      <c r="AC96" t="e">
        <f>装备!#REF!</f>
        <v>#REF!</v>
      </c>
      <c r="AD96" t="e">
        <f>装备!#REF!</f>
        <v>#REF!</v>
      </c>
      <c r="AE96" t="e">
        <f>装备!#REF!</f>
        <v>#REF!</v>
      </c>
      <c r="AF96" t="e">
        <f>装备!#REF!</f>
        <v>#REF!</v>
      </c>
      <c r="AG96" t="e">
        <f>装备!#REF!</f>
        <v>#REF!</v>
      </c>
      <c r="AH96" t="e">
        <f>装备!#REF!</f>
        <v>#REF!</v>
      </c>
      <c r="AI96" t="e">
        <f t="shared" si="16"/>
        <v>#REF!</v>
      </c>
      <c r="AJ96" t="e">
        <f>装备!#REF!</f>
        <v>#REF!</v>
      </c>
      <c r="AK96" t="e">
        <f>装备!#REF!</f>
        <v>#REF!</v>
      </c>
      <c r="AL96" t="e">
        <f>装备!#REF!</f>
        <v>#REF!</v>
      </c>
      <c r="AM96" t="e">
        <f>装备!#REF!</f>
        <v>#REF!</v>
      </c>
      <c r="AN96" t="e">
        <f>装备!#REF!</f>
        <v>#REF!</v>
      </c>
      <c r="AO96" t="e">
        <f>装备!#REF!</f>
        <v>#REF!</v>
      </c>
      <c r="AP96" t="e">
        <f>装备!#REF!</f>
        <v>#REF!</v>
      </c>
      <c r="AQ96" t="e">
        <f>装备!#REF!</f>
        <v>#REF!</v>
      </c>
      <c r="AR96" t="e">
        <f>装备!#REF!</f>
        <v>#REF!</v>
      </c>
      <c r="AS96" t="e">
        <f>装备!#REF!</f>
        <v>#REF!</v>
      </c>
      <c r="AT96" t="e">
        <f t="shared" si="17"/>
        <v>#REF!</v>
      </c>
      <c r="AU96" t="e">
        <f>装备!#REF!</f>
        <v>#REF!</v>
      </c>
      <c r="AV96" t="e">
        <f>装备!#REF!</f>
        <v>#REF!</v>
      </c>
      <c r="AW96" t="e">
        <f>装备!#REF!</f>
        <v>#REF!</v>
      </c>
      <c r="AX96" t="e">
        <f>装备!#REF!</f>
        <v>#REF!</v>
      </c>
      <c r="AY96" t="e">
        <f>装备!#REF!</f>
        <v>#REF!</v>
      </c>
      <c r="AZ96" t="e">
        <f>装备!#REF!</f>
        <v>#REF!</v>
      </c>
      <c r="BA96" t="e">
        <f>装备!#REF!</f>
        <v>#REF!</v>
      </c>
      <c r="BB96" t="e">
        <f>装备!#REF!</f>
        <v>#REF!</v>
      </c>
      <c r="BC96" t="e">
        <f>装备!#REF!</f>
        <v>#REF!</v>
      </c>
      <c r="BD96" t="e">
        <f>装备!#REF!</f>
        <v>#REF!</v>
      </c>
      <c r="BE96" t="e">
        <f t="shared" si="18"/>
        <v>#REF!</v>
      </c>
      <c r="BF96" t="e">
        <f>装备!#REF!</f>
        <v>#REF!</v>
      </c>
      <c r="BG96" t="e">
        <f>装备!#REF!</f>
        <v>#REF!</v>
      </c>
      <c r="BH96" t="e">
        <f>装备!#REF!</f>
        <v>#REF!</v>
      </c>
      <c r="BI96" t="e">
        <f>装备!#REF!</f>
        <v>#REF!</v>
      </c>
      <c r="BJ96" t="e">
        <f>装备!#REF!</f>
        <v>#REF!</v>
      </c>
      <c r="BK96" t="e">
        <f>装备!#REF!</f>
        <v>#REF!</v>
      </c>
      <c r="BL96" t="e">
        <f>装备!#REF!</f>
        <v>#REF!</v>
      </c>
      <c r="BM96" t="e">
        <f>装备!#REF!</f>
        <v>#REF!</v>
      </c>
      <c r="BN96" t="e">
        <f>装备!#REF!</f>
        <v>#REF!</v>
      </c>
      <c r="BO96" t="e">
        <f>装备!#REF!</f>
        <v>#REF!</v>
      </c>
      <c r="BP96" t="e">
        <f t="shared" si="19"/>
        <v>#REF!</v>
      </c>
      <c r="BQ96" t="e">
        <f>装备!#REF!</f>
        <v>#REF!</v>
      </c>
      <c r="BR96" t="e">
        <f>装备!#REF!</f>
        <v>#REF!</v>
      </c>
      <c r="BS96" t="e">
        <f>装备!#REF!</f>
        <v>#REF!</v>
      </c>
      <c r="BT96" t="e">
        <f>装备!#REF!</f>
        <v>#REF!</v>
      </c>
      <c r="BU96" t="e">
        <f>装备!#REF!</f>
        <v>#REF!</v>
      </c>
      <c r="BV96" t="e">
        <f>装备!#REF!</f>
        <v>#REF!</v>
      </c>
      <c r="BW96" t="e">
        <f>装备!#REF!</f>
        <v>#REF!</v>
      </c>
      <c r="BX96" t="e">
        <f>装备!#REF!</f>
        <v>#REF!</v>
      </c>
      <c r="BY96" t="e">
        <f>装备!#REF!</f>
        <v>#REF!</v>
      </c>
      <c r="BZ96" t="e">
        <f>装备!#REF!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装备!#REF!</f>
        <v>#REF!</v>
      </c>
      <c r="B97" t="e">
        <f>装备!#REF!</f>
        <v>#REF!</v>
      </c>
      <c r="C97" t="e">
        <f>装备!#REF!</f>
        <v>#REF!</v>
      </c>
      <c r="D97" t="e">
        <f>装备!#REF!</f>
        <v>#REF!</v>
      </c>
      <c r="E97" t="e">
        <f>装备!#REF!</f>
        <v>#REF!</v>
      </c>
      <c r="F97" t="e">
        <f>装备!#REF!</f>
        <v>#REF!</v>
      </c>
      <c r="G97" t="e">
        <f>装备!#REF!</f>
        <v>#REF!</v>
      </c>
      <c r="H97" t="e">
        <f>装备!#REF!</f>
        <v>#REF!</v>
      </c>
      <c r="I97" t="e">
        <f>装备!#REF!</f>
        <v>#REF!</v>
      </c>
      <c r="J97" t="e">
        <f>装备!#REF!</f>
        <v>#REF!</v>
      </c>
      <c r="K97" t="e">
        <f>装备!#REF!</f>
        <v>#REF!</v>
      </c>
      <c r="L97" t="e">
        <f>装备!#REF!</f>
        <v>#REF!</v>
      </c>
      <c r="M97" t="e">
        <f t="shared" si="14"/>
        <v>#REF!</v>
      </c>
      <c r="N97" t="e">
        <f>装备!#REF!</f>
        <v>#REF!</v>
      </c>
      <c r="O97" t="e">
        <f>装备!#REF!</f>
        <v>#REF!</v>
      </c>
      <c r="P97" t="e">
        <f>装备!#REF!</f>
        <v>#REF!</v>
      </c>
      <c r="Q97" t="e">
        <f>装备!#REF!</f>
        <v>#REF!</v>
      </c>
      <c r="R97" t="e">
        <f>装备!#REF!</f>
        <v>#REF!</v>
      </c>
      <c r="S97" t="e">
        <f>装备!#REF!</f>
        <v>#REF!</v>
      </c>
      <c r="T97" t="e">
        <f>装备!#REF!</f>
        <v>#REF!</v>
      </c>
      <c r="U97" t="e">
        <f>装备!#REF!</f>
        <v>#REF!</v>
      </c>
      <c r="V97" t="e">
        <f>装备!#REF!</f>
        <v>#REF!</v>
      </c>
      <c r="W97" t="e">
        <f>装备!#REF!</f>
        <v>#REF!</v>
      </c>
      <c r="X97" t="e">
        <f t="shared" si="15"/>
        <v>#REF!</v>
      </c>
      <c r="Y97" t="e">
        <f>装备!#REF!</f>
        <v>#REF!</v>
      </c>
      <c r="Z97" t="e">
        <f>装备!#REF!</f>
        <v>#REF!</v>
      </c>
      <c r="AA97" t="e">
        <f>装备!#REF!</f>
        <v>#REF!</v>
      </c>
      <c r="AB97" t="e">
        <f>装备!#REF!</f>
        <v>#REF!</v>
      </c>
      <c r="AC97" t="e">
        <f>装备!#REF!</f>
        <v>#REF!</v>
      </c>
      <c r="AD97" t="e">
        <f>装备!#REF!</f>
        <v>#REF!</v>
      </c>
      <c r="AE97" t="e">
        <f>装备!#REF!</f>
        <v>#REF!</v>
      </c>
      <c r="AF97" t="e">
        <f>装备!#REF!</f>
        <v>#REF!</v>
      </c>
      <c r="AG97" t="e">
        <f>装备!#REF!</f>
        <v>#REF!</v>
      </c>
      <c r="AH97" t="e">
        <f>装备!#REF!</f>
        <v>#REF!</v>
      </c>
      <c r="AI97" t="e">
        <f t="shared" si="16"/>
        <v>#REF!</v>
      </c>
      <c r="AJ97" t="e">
        <f>装备!#REF!</f>
        <v>#REF!</v>
      </c>
      <c r="AK97" t="e">
        <f>装备!#REF!</f>
        <v>#REF!</v>
      </c>
      <c r="AL97" t="e">
        <f>装备!#REF!</f>
        <v>#REF!</v>
      </c>
      <c r="AM97" t="e">
        <f>装备!#REF!</f>
        <v>#REF!</v>
      </c>
      <c r="AN97" t="e">
        <f>装备!#REF!</f>
        <v>#REF!</v>
      </c>
      <c r="AO97" t="e">
        <f>装备!#REF!</f>
        <v>#REF!</v>
      </c>
      <c r="AP97" t="e">
        <f>装备!#REF!</f>
        <v>#REF!</v>
      </c>
      <c r="AQ97" t="e">
        <f>装备!#REF!</f>
        <v>#REF!</v>
      </c>
      <c r="AR97" t="e">
        <f>装备!#REF!</f>
        <v>#REF!</v>
      </c>
      <c r="AS97" t="e">
        <f>装备!#REF!</f>
        <v>#REF!</v>
      </c>
      <c r="AT97" t="e">
        <f t="shared" si="17"/>
        <v>#REF!</v>
      </c>
      <c r="AU97" t="e">
        <f>装备!#REF!</f>
        <v>#REF!</v>
      </c>
      <c r="AV97" t="e">
        <f>装备!#REF!</f>
        <v>#REF!</v>
      </c>
      <c r="AW97" t="e">
        <f>装备!#REF!</f>
        <v>#REF!</v>
      </c>
      <c r="AX97" t="e">
        <f>装备!#REF!</f>
        <v>#REF!</v>
      </c>
      <c r="AY97" t="e">
        <f>装备!#REF!</f>
        <v>#REF!</v>
      </c>
      <c r="AZ97" t="e">
        <f>装备!#REF!</f>
        <v>#REF!</v>
      </c>
      <c r="BA97" t="e">
        <f>装备!#REF!</f>
        <v>#REF!</v>
      </c>
      <c r="BB97" t="e">
        <f>装备!#REF!</f>
        <v>#REF!</v>
      </c>
      <c r="BC97" t="e">
        <f>装备!#REF!</f>
        <v>#REF!</v>
      </c>
      <c r="BD97" t="e">
        <f>装备!#REF!</f>
        <v>#REF!</v>
      </c>
      <c r="BE97" t="e">
        <f t="shared" si="18"/>
        <v>#REF!</v>
      </c>
      <c r="BF97" t="e">
        <f>装备!#REF!</f>
        <v>#REF!</v>
      </c>
      <c r="BG97" t="e">
        <f>装备!#REF!</f>
        <v>#REF!</v>
      </c>
      <c r="BH97" t="e">
        <f>装备!#REF!</f>
        <v>#REF!</v>
      </c>
      <c r="BI97" t="e">
        <f>装备!#REF!</f>
        <v>#REF!</v>
      </c>
      <c r="BJ97" t="e">
        <f>装备!#REF!</f>
        <v>#REF!</v>
      </c>
      <c r="BK97" t="e">
        <f>装备!#REF!</f>
        <v>#REF!</v>
      </c>
      <c r="BL97" t="e">
        <f>装备!#REF!</f>
        <v>#REF!</v>
      </c>
      <c r="BM97" t="e">
        <f>装备!#REF!</f>
        <v>#REF!</v>
      </c>
      <c r="BN97" t="e">
        <f>装备!#REF!</f>
        <v>#REF!</v>
      </c>
      <c r="BO97" t="e">
        <f>装备!#REF!</f>
        <v>#REF!</v>
      </c>
      <c r="BP97" t="e">
        <f t="shared" si="19"/>
        <v>#REF!</v>
      </c>
      <c r="BQ97" t="e">
        <f>装备!#REF!</f>
        <v>#REF!</v>
      </c>
      <c r="BR97" t="e">
        <f>装备!#REF!</f>
        <v>#REF!</v>
      </c>
      <c r="BS97" t="e">
        <f>装备!#REF!</f>
        <v>#REF!</v>
      </c>
      <c r="BT97" t="e">
        <f>装备!#REF!</f>
        <v>#REF!</v>
      </c>
      <c r="BU97" t="e">
        <f>装备!#REF!</f>
        <v>#REF!</v>
      </c>
      <c r="BV97" t="e">
        <f>装备!#REF!</f>
        <v>#REF!</v>
      </c>
      <c r="BW97" t="e">
        <f>装备!#REF!</f>
        <v>#REF!</v>
      </c>
      <c r="BX97" t="e">
        <f>装备!#REF!</f>
        <v>#REF!</v>
      </c>
      <c r="BY97" t="e">
        <f>装备!#REF!</f>
        <v>#REF!</v>
      </c>
      <c r="BZ97" t="e">
        <f>装备!#REF!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装备!#REF!</f>
        <v>#REF!</v>
      </c>
      <c r="B98" t="e">
        <f>装备!#REF!</f>
        <v>#REF!</v>
      </c>
      <c r="C98" t="e">
        <f>装备!#REF!</f>
        <v>#REF!</v>
      </c>
      <c r="D98" t="e">
        <f>装备!#REF!</f>
        <v>#REF!</v>
      </c>
      <c r="E98" t="e">
        <f>装备!#REF!</f>
        <v>#REF!</v>
      </c>
      <c r="F98" t="e">
        <f>装备!#REF!</f>
        <v>#REF!</v>
      </c>
      <c r="G98" t="e">
        <f>装备!#REF!</f>
        <v>#REF!</v>
      </c>
      <c r="H98" t="e">
        <f>装备!#REF!</f>
        <v>#REF!</v>
      </c>
      <c r="I98" t="e">
        <f>装备!#REF!</f>
        <v>#REF!</v>
      </c>
      <c r="J98" t="e">
        <f>装备!#REF!</f>
        <v>#REF!</v>
      </c>
      <c r="K98" t="e">
        <f>装备!#REF!</f>
        <v>#REF!</v>
      </c>
      <c r="L98" t="e">
        <f>装备!#REF!</f>
        <v>#REF!</v>
      </c>
      <c r="M98" t="e">
        <f t="shared" si="14"/>
        <v>#REF!</v>
      </c>
      <c r="N98" t="e">
        <f>装备!#REF!</f>
        <v>#REF!</v>
      </c>
      <c r="O98" t="e">
        <f>装备!#REF!</f>
        <v>#REF!</v>
      </c>
      <c r="P98" t="e">
        <f>装备!#REF!</f>
        <v>#REF!</v>
      </c>
      <c r="Q98" t="e">
        <f>装备!#REF!</f>
        <v>#REF!</v>
      </c>
      <c r="R98" t="e">
        <f>装备!#REF!</f>
        <v>#REF!</v>
      </c>
      <c r="S98" t="e">
        <f>装备!#REF!</f>
        <v>#REF!</v>
      </c>
      <c r="T98" t="e">
        <f>装备!#REF!</f>
        <v>#REF!</v>
      </c>
      <c r="U98" t="e">
        <f>装备!#REF!</f>
        <v>#REF!</v>
      </c>
      <c r="V98" t="e">
        <f>装备!#REF!</f>
        <v>#REF!</v>
      </c>
      <c r="W98" t="e">
        <f>装备!#REF!</f>
        <v>#REF!</v>
      </c>
      <c r="X98" t="e">
        <f t="shared" si="15"/>
        <v>#REF!</v>
      </c>
      <c r="Y98" t="e">
        <f>装备!#REF!</f>
        <v>#REF!</v>
      </c>
      <c r="Z98" t="e">
        <f>装备!#REF!</f>
        <v>#REF!</v>
      </c>
      <c r="AA98" t="e">
        <f>装备!#REF!</f>
        <v>#REF!</v>
      </c>
      <c r="AB98" t="e">
        <f>装备!#REF!</f>
        <v>#REF!</v>
      </c>
      <c r="AC98" t="e">
        <f>装备!#REF!</f>
        <v>#REF!</v>
      </c>
      <c r="AD98" t="e">
        <f>装备!#REF!</f>
        <v>#REF!</v>
      </c>
      <c r="AE98" t="e">
        <f>装备!#REF!</f>
        <v>#REF!</v>
      </c>
      <c r="AF98" t="e">
        <f>装备!#REF!</f>
        <v>#REF!</v>
      </c>
      <c r="AG98" t="e">
        <f>装备!#REF!</f>
        <v>#REF!</v>
      </c>
      <c r="AH98" t="e">
        <f>装备!#REF!</f>
        <v>#REF!</v>
      </c>
      <c r="AI98" t="e">
        <f t="shared" si="16"/>
        <v>#REF!</v>
      </c>
      <c r="AJ98" t="e">
        <f>装备!#REF!</f>
        <v>#REF!</v>
      </c>
      <c r="AK98" t="e">
        <f>装备!#REF!</f>
        <v>#REF!</v>
      </c>
      <c r="AL98" t="e">
        <f>装备!#REF!</f>
        <v>#REF!</v>
      </c>
      <c r="AM98" t="e">
        <f>装备!#REF!</f>
        <v>#REF!</v>
      </c>
      <c r="AN98" t="e">
        <f>装备!#REF!</f>
        <v>#REF!</v>
      </c>
      <c r="AO98" t="e">
        <f>装备!#REF!</f>
        <v>#REF!</v>
      </c>
      <c r="AP98" t="e">
        <f>装备!#REF!</f>
        <v>#REF!</v>
      </c>
      <c r="AQ98" t="e">
        <f>装备!#REF!</f>
        <v>#REF!</v>
      </c>
      <c r="AR98" t="e">
        <f>装备!#REF!</f>
        <v>#REF!</v>
      </c>
      <c r="AS98" t="e">
        <f>装备!#REF!</f>
        <v>#REF!</v>
      </c>
      <c r="AT98" t="e">
        <f t="shared" si="17"/>
        <v>#REF!</v>
      </c>
      <c r="AU98" t="e">
        <f>装备!#REF!</f>
        <v>#REF!</v>
      </c>
      <c r="AV98" t="e">
        <f>装备!#REF!</f>
        <v>#REF!</v>
      </c>
      <c r="AW98" t="e">
        <f>装备!#REF!</f>
        <v>#REF!</v>
      </c>
      <c r="AX98" t="e">
        <f>装备!#REF!</f>
        <v>#REF!</v>
      </c>
      <c r="AY98" t="e">
        <f>装备!#REF!</f>
        <v>#REF!</v>
      </c>
      <c r="AZ98" t="e">
        <f>装备!#REF!</f>
        <v>#REF!</v>
      </c>
      <c r="BA98" t="e">
        <f>装备!#REF!</f>
        <v>#REF!</v>
      </c>
      <c r="BB98" t="e">
        <f>装备!#REF!</f>
        <v>#REF!</v>
      </c>
      <c r="BC98" t="e">
        <f>装备!#REF!</f>
        <v>#REF!</v>
      </c>
      <c r="BD98" t="e">
        <f>装备!#REF!</f>
        <v>#REF!</v>
      </c>
      <c r="BE98" t="e">
        <f t="shared" si="18"/>
        <v>#REF!</v>
      </c>
      <c r="BF98" t="e">
        <f>装备!#REF!</f>
        <v>#REF!</v>
      </c>
      <c r="BG98" t="e">
        <f>装备!#REF!</f>
        <v>#REF!</v>
      </c>
      <c r="BH98" t="e">
        <f>装备!#REF!</f>
        <v>#REF!</v>
      </c>
      <c r="BI98" t="e">
        <f>装备!#REF!</f>
        <v>#REF!</v>
      </c>
      <c r="BJ98" t="e">
        <f>装备!#REF!</f>
        <v>#REF!</v>
      </c>
      <c r="BK98" t="e">
        <f>装备!#REF!</f>
        <v>#REF!</v>
      </c>
      <c r="BL98" t="e">
        <f>装备!#REF!</f>
        <v>#REF!</v>
      </c>
      <c r="BM98" t="e">
        <f>装备!#REF!</f>
        <v>#REF!</v>
      </c>
      <c r="BN98" t="e">
        <f>装备!#REF!</f>
        <v>#REF!</v>
      </c>
      <c r="BO98" t="e">
        <f>装备!#REF!</f>
        <v>#REF!</v>
      </c>
      <c r="BP98" t="e">
        <f t="shared" si="19"/>
        <v>#REF!</v>
      </c>
      <c r="BQ98" t="e">
        <f>装备!#REF!</f>
        <v>#REF!</v>
      </c>
      <c r="BR98" t="e">
        <f>装备!#REF!</f>
        <v>#REF!</v>
      </c>
      <c r="BS98" t="e">
        <f>装备!#REF!</f>
        <v>#REF!</v>
      </c>
      <c r="BT98" t="e">
        <f>装备!#REF!</f>
        <v>#REF!</v>
      </c>
      <c r="BU98" t="e">
        <f>装备!#REF!</f>
        <v>#REF!</v>
      </c>
      <c r="BV98" t="e">
        <f>装备!#REF!</f>
        <v>#REF!</v>
      </c>
      <c r="BW98" t="e">
        <f>装备!#REF!</f>
        <v>#REF!</v>
      </c>
      <c r="BX98" t="e">
        <f>装备!#REF!</f>
        <v>#REF!</v>
      </c>
      <c r="BY98" t="e">
        <f>装备!#REF!</f>
        <v>#REF!</v>
      </c>
      <c r="BZ98" t="e">
        <f>装备!#REF!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装备!#REF!</f>
        <v>#REF!</v>
      </c>
      <c r="B99" t="e">
        <f>装备!#REF!</f>
        <v>#REF!</v>
      </c>
      <c r="C99" t="e">
        <f>装备!#REF!</f>
        <v>#REF!</v>
      </c>
      <c r="D99" t="e">
        <f>装备!#REF!</f>
        <v>#REF!</v>
      </c>
      <c r="E99" t="e">
        <f>装备!#REF!</f>
        <v>#REF!</v>
      </c>
      <c r="F99" t="e">
        <f>装备!#REF!</f>
        <v>#REF!</v>
      </c>
      <c r="G99" t="e">
        <f>装备!#REF!</f>
        <v>#REF!</v>
      </c>
      <c r="H99" t="e">
        <f>装备!#REF!</f>
        <v>#REF!</v>
      </c>
      <c r="I99" t="e">
        <f>装备!#REF!</f>
        <v>#REF!</v>
      </c>
      <c r="J99" t="e">
        <f>装备!#REF!</f>
        <v>#REF!</v>
      </c>
      <c r="K99" t="e">
        <f>装备!#REF!</f>
        <v>#REF!</v>
      </c>
      <c r="L99" t="e">
        <f>装备!#REF!</f>
        <v>#REF!</v>
      </c>
      <c r="M99" t="e">
        <f t="shared" si="14"/>
        <v>#REF!</v>
      </c>
      <c r="N99" t="e">
        <f>装备!#REF!</f>
        <v>#REF!</v>
      </c>
      <c r="O99" t="e">
        <f>装备!#REF!</f>
        <v>#REF!</v>
      </c>
      <c r="P99" t="e">
        <f>装备!#REF!</f>
        <v>#REF!</v>
      </c>
      <c r="Q99" t="e">
        <f>装备!#REF!</f>
        <v>#REF!</v>
      </c>
      <c r="R99" t="e">
        <f>装备!#REF!</f>
        <v>#REF!</v>
      </c>
      <c r="S99" t="e">
        <f>装备!#REF!</f>
        <v>#REF!</v>
      </c>
      <c r="T99" t="e">
        <f>装备!#REF!</f>
        <v>#REF!</v>
      </c>
      <c r="U99" t="e">
        <f>装备!#REF!</f>
        <v>#REF!</v>
      </c>
      <c r="V99" t="e">
        <f>装备!#REF!</f>
        <v>#REF!</v>
      </c>
      <c r="W99" t="e">
        <f>装备!#REF!</f>
        <v>#REF!</v>
      </c>
      <c r="X99" t="e">
        <f t="shared" si="15"/>
        <v>#REF!</v>
      </c>
      <c r="Y99" t="e">
        <f>装备!#REF!</f>
        <v>#REF!</v>
      </c>
      <c r="Z99" t="e">
        <f>装备!#REF!</f>
        <v>#REF!</v>
      </c>
      <c r="AA99" t="e">
        <f>装备!#REF!</f>
        <v>#REF!</v>
      </c>
      <c r="AB99" t="e">
        <f>装备!#REF!</f>
        <v>#REF!</v>
      </c>
      <c r="AC99" t="e">
        <f>装备!#REF!</f>
        <v>#REF!</v>
      </c>
      <c r="AD99" t="e">
        <f>装备!#REF!</f>
        <v>#REF!</v>
      </c>
      <c r="AE99" t="e">
        <f>装备!#REF!</f>
        <v>#REF!</v>
      </c>
      <c r="AF99" t="e">
        <f>装备!#REF!</f>
        <v>#REF!</v>
      </c>
      <c r="AG99" t="e">
        <f>装备!#REF!</f>
        <v>#REF!</v>
      </c>
      <c r="AH99" t="e">
        <f>装备!#REF!</f>
        <v>#REF!</v>
      </c>
      <c r="AI99" t="e">
        <f t="shared" si="16"/>
        <v>#REF!</v>
      </c>
      <c r="AJ99" t="e">
        <f>装备!#REF!</f>
        <v>#REF!</v>
      </c>
      <c r="AK99" t="e">
        <f>装备!#REF!</f>
        <v>#REF!</v>
      </c>
      <c r="AL99" t="e">
        <f>装备!#REF!</f>
        <v>#REF!</v>
      </c>
      <c r="AM99" t="e">
        <f>装备!#REF!</f>
        <v>#REF!</v>
      </c>
      <c r="AN99" t="e">
        <f>装备!#REF!</f>
        <v>#REF!</v>
      </c>
      <c r="AO99" t="e">
        <f>装备!#REF!</f>
        <v>#REF!</v>
      </c>
      <c r="AP99" t="e">
        <f>装备!#REF!</f>
        <v>#REF!</v>
      </c>
      <c r="AQ99" t="e">
        <f>装备!#REF!</f>
        <v>#REF!</v>
      </c>
      <c r="AR99" t="e">
        <f>装备!#REF!</f>
        <v>#REF!</v>
      </c>
      <c r="AS99" t="e">
        <f>装备!#REF!</f>
        <v>#REF!</v>
      </c>
      <c r="AT99" t="e">
        <f t="shared" si="17"/>
        <v>#REF!</v>
      </c>
      <c r="AU99" t="e">
        <f>装备!#REF!</f>
        <v>#REF!</v>
      </c>
      <c r="AV99" t="e">
        <f>装备!#REF!</f>
        <v>#REF!</v>
      </c>
      <c r="AW99" t="e">
        <f>装备!#REF!</f>
        <v>#REF!</v>
      </c>
      <c r="AX99" t="e">
        <f>装备!#REF!</f>
        <v>#REF!</v>
      </c>
      <c r="AY99" t="e">
        <f>装备!#REF!</f>
        <v>#REF!</v>
      </c>
      <c r="AZ99" t="e">
        <f>装备!#REF!</f>
        <v>#REF!</v>
      </c>
      <c r="BA99" t="e">
        <f>装备!#REF!</f>
        <v>#REF!</v>
      </c>
      <c r="BB99" t="e">
        <f>装备!#REF!</f>
        <v>#REF!</v>
      </c>
      <c r="BC99" t="e">
        <f>装备!#REF!</f>
        <v>#REF!</v>
      </c>
      <c r="BD99" t="e">
        <f>装备!#REF!</f>
        <v>#REF!</v>
      </c>
      <c r="BE99" t="e">
        <f t="shared" si="18"/>
        <v>#REF!</v>
      </c>
      <c r="BF99" t="e">
        <f>装备!#REF!</f>
        <v>#REF!</v>
      </c>
      <c r="BG99" t="e">
        <f>装备!#REF!</f>
        <v>#REF!</v>
      </c>
      <c r="BH99" t="e">
        <f>装备!#REF!</f>
        <v>#REF!</v>
      </c>
      <c r="BI99" t="e">
        <f>装备!#REF!</f>
        <v>#REF!</v>
      </c>
      <c r="BJ99" t="e">
        <f>装备!#REF!</f>
        <v>#REF!</v>
      </c>
      <c r="BK99" t="e">
        <f>装备!#REF!</f>
        <v>#REF!</v>
      </c>
      <c r="BL99" t="e">
        <f>装备!#REF!</f>
        <v>#REF!</v>
      </c>
      <c r="BM99" t="e">
        <f>装备!#REF!</f>
        <v>#REF!</v>
      </c>
      <c r="BN99" t="e">
        <f>装备!#REF!</f>
        <v>#REF!</v>
      </c>
      <c r="BO99" t="e">
        <f>装备!#REF!</f>
        <v>#REF!</v>
      </c>
      <c r="BP99" t="e">
        <f t="shared" si="19"/>
        <v>#REF!</v>
      </c>
      <c r="BQ99" t="e">
        <f>装备!#REF!</f>
        <v>#REF!</v>
      </c>
      <c r="BR99" t="e">
        <f>装备!#REF!</f>
        <v>#REF!</v>
      </c>
      <c r="BS99" t="e">
        <f>装备!#REF!</f>
        <v>#REF!</v>
      </c>
      <c r="BT99" t="e">
        <f>装备!#REF!</f>
        <v>#REF!</v>
      </c>
      <c r="BU99" t="e">
        <f>装备!#REF!</f>
        <v>#REF!</v>
      </c>
      <c r="BV99" t="e">
        <f>装备!#REF!</f>
        <v>#REF!</v>
      </c>
      <c r="BW99" t="e">
        <f>装备!#REF!</f>
        <v>#REF!</v>
      </c>
      <c r="BX99" t="e">
        <f>装备!#REF!</f>
        <v>#REF!</v>
      </c>
      <c r="BY99" t="e">
        <f>装备!#REF!</f>
        <v>#REF!</v>
      </c>
      <c r="BZ99" t="e">
        <f>装备!#REF!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装备!#REF!</f>
        <v>#REF!</v>
      </c>
      <c r="B100" t="e">
        <f>装备!#REF!</f>
        <v>#REF!</v>
      </c>
      <c r="C100" t="e">
        <f>装备!#REF!</f>
        <v>#REF!</v>
      </c>
      <c r="D100" t="e">
        <f>装备!#REF!</f>
        <v>#REF!</v>
      </c>
      <c r="E100" t="e">
        <f>装备!#REF!</f>
        <v>#REF!</v>
      </c>
      <c r="F100" t="e">
        <f>装备!#REF!</f>
        <v>#REF!</v>
      </c>
      <c r="G100" t="e">
        <f>装备!#REF!</f>
        <v>#REF!</v>
      </c>
      <c r="H100" t="e">
        <f>装备!#REF!</f>
        <v>#REF!</v>
      </c>
      <c r="I100" t="e">
        <f>装备!#REF!</f>
        <v>#REF!</v>
      </c>
      <c r="J100" t="e">
        <f>装备!#REF!</f>
        <v>#REF!</v>
      </c>
      <c r="K100" t="e">
        <f>装备!#REF!</f>
        <v>#REF!</v>
      </c>
      <c r="L100" t="e">
        <f>装备!#REF!</f>
        <v>#REF!</v>
      </c>
      <c r="M100" t="e">
        <f t="shared" si="14"/>
        <v>#REF!</v>
      </c>
      <c r="N100" t="e">
        <f>装备!#REF!</f>
        <v>#REF!</v>
      </c>
      <c r="O100" t="e">
        <f>装备!#REF!</f>
        <v>#REF!</v>
      </c>
      <c r="P100" t="e">
        <f>装备!#REF!</f>
        <v>#REF!</v>
      </c>
      <c r="Q100" t="e">
        <f>装备!#REF!</f>
        <v>#REF!</v>
      </c>
      <c r="R100" t="e">
        <f>装备!#REF!</f>
        <v>#REF!</v>
      </c>
      <c r="S100" t="e">
        <f>装备!#REF!</f>
        <v>#REF!</v>
      </c>
      <c r="T100" t="e">
        <f>装备!#REF!</f>
        <v>#REF!</v>
      </c>
      <c r="U100" t="e">
        <f>装备!#REF!</f>
        <v>#REF!</v>
      </c>
      <c r="V100" t="e">
        <f>装备!#REF!</f>
        <v>#REF!</v>
      </c>
      <c r="W100" t="e">
        <f>装备!#REF!</f>
        <v>#REF!</v>
      </c>
      <c r="X100" t="e">
        <f t="shared" si="15"/>
        <v>#REF!</v>
      </c>
      <c r="Y100" t="e">
        <f>装备!#REF!</f>
        <v>#REF!</v>
      </c>
      <c r="Z100" t="e">
        <f>装备!#REF!</f>
        <v>#REF!</v>
      </c>
      <c r="AA100" t="e">
        <f>装备!#REF!</f>
        <v>#REF!</v>
      </c>
      <c r="AB100" t="e">
        <f>装备!#REF!</f>
        <v>#REF!</v>
      </c>
      <c r="AC100" t="e">
        <f>装备!#REF!</f>
        <v>#REF!</v>
      </c>
      <c r="AD100" t="e">
        <f>装备!#REF!</f>
        <v>#REF!</v>
      </c>
      <c r="AE100" t="e">
        <f>装备!#REF!</f>
        <v>#REF!</v>
      </c>
      <c r="AF100" t="e">
        <f>装备!#REF!</f>
        <v>#REF!</v>
      </c>
      <c r="AG100" t="e">
        <f>装备!#REF!</f>
        <v>#REF!</v>
      </c>
      <c r="AH100" t="e">
        <f>装备!#REF!</f>
        <v>#REF!</v>
      </c>
      <c r="AI100" t="e">
        <f t="shared" si="16"/>
        <v>#REF!</v>
      </c>
      <c r="AJ100" t="e">
        <f>装备!#REF!</f>
        <v>#REF!</v>
      </c>
      <c r="AK100" t="e">
        <f>装备!#REF!</f>
        <v>#REF!</v>
      </c>
      <c r="AL100" t="e">
        <f>装备!#REF!</f>
        <v>#REF!</v>
      </c>
      <c r="AM100" t="e">
        <f>装备!#REF!</f>
        <v>#REF!</v>
      </c>
      <c r="AN100" t="e">
        <f>装备!#REF!</f>
        <v>#REF!</v>
      </c>
      <c r="AO100" t="e">
        <f>装备!#REF!</f>
        <v>#REF!</v>
      </c>
      <c r="AP100" t="e">
        <f>装备!#REF!</f>
        <v>#REF!</v>
      </c>
      <c r="AQ100" t="e">
        <f>装备!#REF!</f>
        <v>#REF!</v>
      </c>
      <c r="AR100" t="e">
        <f>装备!#REF!</f>
        <v>#REF!</v>
      </c>
      <c r="AS100" t="e">
        <f>装备!#REF!</f>
        <v>#REF!</v>
      </c>
      <c r="AT100" t="e">
        <f t="shared" si="17"/>
        <v>#REF!</v>
      </c>
      <c r="AU100" t="e">
        <f>装备!#REF!</f>
        <v>#REF!</v>
      </c>
      <c r="AV100" t="e">
        <f>装备!#REF!</f>
        <v>#REF!</v>
      </c>
      <c r="AW100" t="e">
        <f>装备!#REF!</f>
        <v>#REF!</v>
      </c>
      <c r="AX100" t="e">
        <f>装备!#REF!</f>
        <v>#REF!</v>
      </c>
      <c r="AY100" t="e">
        <f>装备!#REF!</f>
        <v>#REF!</v>
      </c>
      <c r="AZ100" t="e">
        <f>装备!#REF!</f>
        <v>#REF!</v>
      </c>
      <c r="BA100" t="e">
        <f>装备!#REF!</f>
        <v>#REF!</v>
      </c>
      <c r="BB100" t="e">
        <f>装备!#REF!</f>
        <v>#REF!</v>
      </c>
      <c r="BC100" t="e">
        <f>装备!#REF!</f>
        <v>#REF!</v>
      </c>
      <c r="BD100" t="e">
        <f>装备!#REF!</f>
        <v>#REF!</v>
      </c>
      <c r="BE100" t="e">
        <f t="shared" si="18"/>
        <v>#REF!</v>
      </c>
      <c r="BF100" t="e">
        <f>装备!#REF!</f>
        <v>#REF!</v>
      </c>
      <c r="BG100" t="e">
        <f>装备!#REF!</f>
        <v>#REF!</v>
      </c>
      <c r="BH100" t="e">
        <f>装备!#REF!</f>
        <v>#REF!</v>
      </c>
      <c r="BI100" t="e">
        <f>装备!#REF!</f>
        <v>#REF!</v>
      </c>
      <c r="BJ100" t="e">
        <f>装备!#REF!</f>
        <v>#REF!</v>
      </c>
      <c r="BK100" t="e">
        <f>装备!#REF!</f>
        <v>#REF!</v>
      </c>
      <c r="BL100" t="e">
        <f>装备!#REF!</f>
        <v>#REF!</v>
      </c>
      <c r="BM100" t="e">
        <f>装备!#REF!</f>
        <v>#REF!</v>
      </c>
      <c r="BN100" t="e">
        <f>装备!#REF!</f>
        <v>#REF!</v>
      </c>
      <c r="BO100" t="e">
        <f>装备!#REF!</f>
        <v>#REF!</v>
      </c>
      <c r="BP100" t="e">
        <f t="shared" si="19"/>
        <v>#REF!</v>
      </c>
      <c r="BQ100" t="e">
        <f>装备!#REF!</f>
        <v>#REF!</v>
      </c>
      <c r="BR100" t="e">
        <f>装备!#REF!</f>
        <v>#REF!</v>
      </c>
      <c r="BS100" t="e">
        <f>装备!#REF!</f>
        <v>#REF!</v>
      </c>
      <c r="BT100" t="e">
        <f>装备!#REF!</f>
        <v>#REF!</v>
      </c>
      <c r="BU100" t="e">
        <f>装备!#REF!</f>
        <v>#REF!</v>
      </c>
      <c r="BV100" t="e">
        <f>装备!#REF!</f>
        <v>#REF!</v>
      </c>
      <c r="BW100" t="e">
        <f>装备!#REF!</f>
        <v>#REF!</v>
      </c>
      <c r="BX100" t="e">
        <f>装备!#REF!</f>
        <v>#REF!</v>
      </c>
      <c r="BY100" t="e">
        <f>装备!#REF!</f>
        <v>#REF!</v>
      </c>
      <c r="BZ100" t="e">
        <f>装备!#REF!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装备!#REF!</f>
        <v>#REF!</v>
      </c>
      <c r="B101" t="e">
        <f>装备!#REF!</f>
        <v>#REF!</v>
      </c>
      <c r="C101" t="e">
        <f>装备!#REF!</f>
        <v>#REF!</v>
      </c>
      <c r="D101" t="e">
        <f>装备!#REF!</f>
        <v>#REF!</v>
      </c>
      <c r="E101" t="e">
        <f>装备!#REF!</f>
        <v>#REF!</v>
      </c>
      <c r="F101" t="e">
        <f>装备!#REF!</f>
        <v>#REF!</v>
      </c>
      <c r="G101" t="e">
        <f>装备!#REF!</f>
        <v>#REF!</v>
      </c>
      <c r="H101" t="e">
        <f>装备!#REF!</f>
        <v>#REF!</v>
      </c>
      <c r="I101" t="e">
        <f>装备!#REF!</f>
        <v>#REF!</v>
      </c>
      <c r="J101" t="e">
        <f>装备!#REF!</f>
        <v>#REF!</v>
      </c>
      <c r="K101" t="e">
        <f>装备!#REF!</f>
        <v>#REF!</v>
      </c>
      <c r="L101" t="e">
        <f>装备!#REF!</f>
        <v>#REF!</v>
      </c>
      <c r="M101" t="e">
        <f t="shared" si="14"/>
        <v>#REF!</v>
      </c>
      <c r="N101" t="e">
        <f>装备!#REF!</f>
        <v>#REF!</v>
      </c>
      <c r="O101" t="e">
        <f>装备!#REF!</f>
        <v>#REF!</v>
      </c>
      <c r="P101" t="e">
        <f>装备!#REF!</f>
        <v>#REF!</v>
      </c>
      <c r="Q101" t="e">
        <f>装备!#REF!</f>
        <v>#REF!</v>
      </c>
      <c r="R101" t="e">
        <f>装备!#REF!</f>
        <v>#REF!</v>
      </c>
      <c r="S101" t="e">
        <f>装备!#REF!</f>
        <v>#REF!</v>
      </c>
      <c r="T101" t="e">
        <f>装备!#REF!</f>
        <v>#REF!</v>
      </c>
      <c r="U101" t="e">
        <f>装备!#REF!</f>
        <v>#REF!</v>
      </c>
      <c r="V101" t="e">
        <f>装备!#REF!</f>
        <v>#REF!</v>
      </c>
      <c r="W101" t="e">
        <f>装备!#REF!</f>
        <v>#REF!</v>
      </c>
      <c r="X101" t="e">
        <f t="shared" si="15"/>
        <v>#REF!</v>
      </c>
      <c r="Y101" t="e">
        <f>装备!#REF!</f>
        <v>#REF!</v>
      </c>
      <c r="Z101" t="e">
        <f>装备!#REF!</f>
        <v>#REF!</v>
      </c>
      <c r="AA101" t="e">
        <f>装备!#REF!</f>
        <v>#REF!</v>
      </c>
      <c r="AB101" t="e">
        <f>装备!#REF!</f>
        <v>#REF!</v>
      </c>
      <c r="AC101" t="e">
        <f>装备!#REF!</f>
        <v>#REF!</v>
      </c>
      <c r="AD101" t="e">
        <f>装备!#REF!</f>
        <v>#REF!</v>
      </c>
      <c r="AE101" t="e">
        <f>装备!#REF!</f>
        <v>#REF!</v>
      </c>
      <c r="AF101" t="e">
        <f>装备!#REF!</f>
        <v>#REF!</v>
      </c>
      <c r="AG101" t="e">
        <f>装备!#REF!</f>
        <v>#REF!</v>
      </c>
      <c r="AH101" t="e">
        <f>装备!#REF!</f>
        <v>#REF!</v>
      </c>
      <c r="AI101" t="e">
        <f t="shared" si="16"/>
        <v>#REF!</v>
      </c>
      <c r="AJ101" t="e">
        <f>装备!#REF!</f>
        <v>#REF!</v>
      </c>
      <c r="AK101" t="e">
        <f>装备!#REF!</f>
        <v>#REF!</v>
      </c>
      <c r="AL101" t="e">
        <f>装备!#REF!</f>
        <v>#REF!</v>
      </c>
      <c r="AM101" t="e">
        <f>装备!#REF!</f>
        <v>#REF!</v>
      </c>
      <c r="AN101" t="e">
        <f>装备!#REF!</f>
        <v>#REF!</v>
      </c>
      <c r="AO101" t="e">
        <f>装备!#REF!</f>
        <v>#REF!</v>
      </c>
      <c r="AP101" t="e">
        <f>装备!#REF!</f>
        <v>#REF!</v>
      </c>
      <c r="AQ101" t="e">
        <f>装备!#REF!</f>
        <v>#REF!</v>
      </c>
      <c r="AR101" t="e">
        <f>装备!#REF!</f>
        <v>#REF!</v>
      </c>
      <c r="AS101" t="e">
        <f>装备!#REF!</f>
        <v>#REF!</v>
      </c>
      <c r="AT101" t="e">
        <f t="shared" si="17"/>
        <v>#REF!</v>
      </c>
      <c r="AU101" t="e">
        <f>装备!#REF!</f>
        <v>#REF!</v>
      </c>
      <c r="AV101" t="e">
        <f>装备!#REF!</f>
        <v>#REF!</v>
      </c>
      <c r="AW101" t="e">
        <f>装备!#REF!</f>
        <v>#REF!</v>
      </c>
      <c r="AX101" t="e">
        <f>装备!#REF!</f>
        <v>#REF!</v>
      </c>
      <c r="AY101" t="e">
        <f>装备!#REF!</f>
        <v>#REF!</v>
      </c>
      <c r="AZ101" t="e">
        <f>装备!#REF!</f>
        <v>#REF!</v>
      </c>
      <c r="BA101" t="e">
        <f>装备!#REF!</f>
        <v>#REF!</v>
      </c>
      <c r="BB101" t="e">
        <f>装备!#REF!</f>
        <v>#REF!</v>
      </c>
      <c r="BC101" t="e">
        <f>装备!#REF!</f>
        <v>#REF!</v>
      </c>
      <c r="BD101" t="e">
        <f>装备!#REF!</f>
        <v>#REF!</v>
      </c>
      <c r="BE101" t="e">
        <f t="shared" si="18"/>
        <v>#REF!</v>
      </c>
      <c r="BF101" t="e">
        <f>装备!#REF!</f>
        <v>#REF!</v>
      </c>
      <c r="BG101" t="e">
        <f>装备!#REF!</f>
        <v>#REF!</v>
      </c>
      <c r="BH101" t="e">
        <f>装备!#REF!</f>
        <v>#REF!</v>
      </c>
      <c r="BI101" t="e">
        <f>装备!#REF!</f>
        <v>#REF!</v>
      </c>
      <c r="BJ101" t="e">
        <f>装备!#REF!</f>
        <v>#REF!</v>
      </c>
      <c r="BK101" t="e">
        <f>装备!#REF!</f>
        <v>#REF!</v>
      </c>
      <c r="BL101" t="e">
        <f>装备!#REF!</f>
        <v>#REF!</v>
      </c>
      <c r="BM101" t="e">
        <f>装备!#REF!</f>
        <v>#REF!</v>
      </c>
      <c r="BN101" t="e">
        <f>装备!#REF!</f>
        <v>#REF!</v>
      </c>
      <c r="BO101" t="e">
        <f>装备!#REF!</f>
        <v>#REF!</v>
      </c>
      <c r="BP101" t="e">
        <f t="shared" si="19"/>
        <v>#REF!</v>
      </c>
      <c r="BQ101" t="e">
        <f>装备!#REF!</f>
        <v>#REF!</v>
      </c>
      <c r="BR101" t="e">
        <f>装备!#REF!</f>
        <v>#REF!</v>
      </c>
      <c r="BS101" t="e">
        <f>装备!#REF!</f>
        <v>#REF!</v>
      </c>
      <c r="BT101" t="e">
        <f>装备!#REF!</f>
        <v>#REF!</v>
      </c>
      <c r="BU101" t="e">
        <f>装备!#REF!</f>
        <v>#REF!</v>
      </c>
      <c r="BV101" t="e">
        <f>装备!#REF!</f>
        <v>#REF!</v>
      </c>
      <c r="BW101" t="e">
        <f>装备!#REF!</f>
        <v>#REF!</v>
      </c>
      <c r="BX101" t="e">
        <f>装备!#REF!</f>
        <v>#REF!</v>
      </c>
      <c r="BY101" t="e">
        <f>装备!#REF!</f>
        <v>#REF!</v>
      </c>
      <c r="BZ101" t="e">
        <f>装备!#REF!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装备!#REF!</f>
        <v>#REF!</v>
      </c>
      <c r="B102" t="e">
        <f>装备!#REF!</f>
        <v>#REF!</v>
      </c>
      <c r="C102" t="e">
        <f>装备!#REF!</f>
        <v>#REF!</v>
      </c>
      <c r="D102" t="e">
        <f>装备!#REF!</f>
        <v>#REF!</v>
      </c>
      <c r="E102" t="e">
        <f>装备!#REF!</f>
        <v>#REF!</v>
      </c>
      <c r="F102" t="e">
        <f>装备!#REF!</f>
        <v>#REF!</v>
      </c>
      <c r="G102" t="e">
        <f>装备!#REF!</f>
        <v>#REF!</v>
      </c>
      <c r="H102" t="e">
        <f>装备!#REF!</f>
        <v>#REF!</v>
      </c>
      <c r="I102" t="e">
        <f>装备!#REF!</f>
        <v>#REF!</v>
      </c>
      <c r="J102" t="e">
        <f>装备!#REF!</f>
        <v>#REF!</v>
      </c>
      <c r="K102" t="e">
        <f>装备!#REF!</f>
        <v>#REF!</v>
      </c>
      <c r="L102" t="e">
        <f>装备!#REF!</f>
        <v>#REF!</v>
      </c>
      <c r="M102" t="e">
        <f t="shared" si="14"/>
        <v>#REF!</v>
      </c>
      <c r="N102" t="e">
        <f>装备!#REF!</f>
        <v>#REF!</v>
      </c>
      <c r="O102" t="e">
        <f>装备!#REF!</f>
        <v>#REF!</v>
      </c>
      <c r="P102" t="e">
        <f>装备!#REF!</f>
        <v>#REF!</v>
      </c>
      <c r="Q102" t="e">
        <f>装备!#REF!</f>
        <v>#REF!</v>
      </c>
      <c r="R102" t="e">
        <f>装备!#REF!</f>
        <v>#REF!</v>
      </c>
      <c r="S102" t="e">
        <f>装备!#REF!</f>
        <v>#REF!</v>
      </c>
      <c r="T102" t="e">
        <f>装备!#REF!</f>
        <v>#REF!</v>
      </c>
      <c r="U102" t="e">
        <f>装备!#REF!</f>
        <v>#REF!</v>
      </c>
      <c r="V102" t="e">
        <f>装备!#REF!</f>
        <v>#REF!</v>
      </c>
      <c r="W102" t="e">
        <f>装备!#REF!</f>
        <v>#REF!</v>
      </c>
      <c r="X102" t="e">
        <f t="shared" si="15"/>
        <v>#REF!</v>
      </c>
      <c r="Y102" t="e">
        <f>装备!#REF!</f>
        <v>#REF!</v>
      </c>
      <c r="Z102" t="e">
        <f>装备!#REF!</f>
        <v>#REF!</v>
      </c>
      <c r="AA102" t="e">
        <f>装备!#REF!</f>
        <v>#REF!</v>
      </c>
      <c r="AB102" t="e">
        <f>装备!#REF!</f>
        <v>#REF!</v>
      </c>
      <c r="AC102" t="e">
        <f>装备!#REF!</f>
        <v>#REF!</v>
      </c>
      <c r="AD102" t="e">
        <f>装备!#REF!</f>
        <v>#REF!</v>
      </c>
      <c r="AE102" t="e">
        <f>装备!#REF!</f>
        <v>#REF!</v>
      </c>
      <c r="AF102" t="e">
        <f>装备!#REF!</f>
        <v>#REF!</v>
      </c>
      <c r="AG102" t="e">
        <f>装备!#REF!</f>
        <v>#REF!</v>
      </c>
      <c r="AH102" t="e">
        <f>装备!#REF!</f>
        <v>#REF!</v>
      </c>
      <c r="AI102" t="e">
        <f t="shared" si="16"/>
        <v>#REF!</v>
      </c>
      <c r="AJ102" t="e">
        <f>装备!#REF!</f>
        <v>#REF!</v>
      </c>
      <c r="AK102" t="e">
        <f>装备!#REF!</f>
        <v>#REF!</v>
      </c>
      <c r="AL102" t="e">
        <f>装备!#REF!</f>
        <v>#REF!</v>
      </c>
      <c r="AM102" t="e">
        <f>装备!#REF!</f>
        <v>#REF!</v>
      </c>
      <c r="AN102" t="e">
        <f>装备!#REF!</f>
        <v>#REF!</v>
      </c>
      <c r="AO102" t="e">
        <f>装备!#REF!</f>
        <v>#REF!</v>
      </c>
      <c r="AP102" t="e">
        <f>装备!#REF!</f>
        <v>#REF!</v>
      </c>
      <c r="AQ102" t="e">
        <f>装备!#REF!</f>
        <v>#REF!</v>
      </c>
      <c r="AR102" t="e">
        <f>装备!#REF!</f>
        <v>#REF!</v>
      </c>
      <c r="AS102" t="e">
        <f>装备!#REF!</f>
        <v>#REF!</v>
      </c>
      <c r="AT102" t="e">
        <f t="shared" si="17"/>
        <v>#REF!</v>
      </c>
      <c r="AU102" t="e">
        <f>装备!#REF!</f>
        <v>#REF!</v>
      </c>
      <c r="AV102" t="e">
        <f>装备!#REF!</f>
        <v>#REF!</v>
      </c>
      <c r="AW102" t="e">
        <f>装备!#REF!</f>
        <v>#REF!</v>
      </c>
      <c r="AX102" t="e">
        <f>装备!#REF!</f>
        <v>#REF!</v>
      </c>
      <c r="AY102" t="e">
        <f>装备!#REF!</f>
        <v>#REF!</v>
      </c>
      <c r="AZ102" t="e">
        <f>装备!#REF!</f>
        <v>#REF!</v>
      </c>
      <c r="BA102" t="e">
        <f>装备!#REF!</f>
        <v>#REF!</v>
      </c>
      <c r="BB102" t="e">
        <f>装备!#REF!</f>
        <v>#REF!</v>
      </c>
      <c r="BC102" t="e">
        <f>装备!#REF!</f>
        <v>#REF!</v>
      </c>
      <c r="BD102" t="e">
        <f>装备!#REF!</f>
        <v>#REF!</v>
      </c>
      <c r="BE102" t="e">
        <f t="shared" si="18"/>
        <v>#REF!</v>
      </c>
      <c r="BF102" t="e">
        <f>装备!#REF!</f>
        <v>#REF!</v>
      </c>
      <c r="BG102" t="e">
        <f>装备!#REF!</f>
        <v>#REF!</v>
      </c>
      <c r="BH102" t="e">
        <f>装备!#REF!</f>
        <v>#REF!</v>
      </c>
      <c r="BI102" t="e">
        <f>装备!#REF!</f>
        <v>#REF!</v>
      </c>
      <c r="BJ102" t="e">
        <f>装备!#REF!</f>
        <v>#REF!</v>
      </c>
      <c r="BK102" t="e">
        <f>装备!#REF!</f>
        <v>#REF!</v>
      </c>
      <c r="BL102" t="e">
        <f>装备!#REF!</f>
        <v>#REF!</v>
      </c>
      <c r="BM102" t="e">
        <f>装备!#REF!</f>
        <v>#REF!</v>
      </c>
      <c r="BN102" t="e">
        <f>装备!#REF!</f>
        <v>#REF!</v>
      </c>
      <c r="BO102" t="e">
        <f>装备!#REF!</f>
        <v>#REF!</v>
      </c>
      <c r="BP102" t="e">
        <f t="shared" si="19"/>
        <v>#REF!</v>
      </c>
      <c r="BQ102" t="e">
        <f>装备!#REF!</f>
        <v>#REF!</v>
      </c>
      <c r="BR102" t="e">
        <f>装备!#REF!</f>
        <v>#REF!</v>
      </c>
      <c r="BS102" t="e">
        <f>装备!#REF!</f>
        <v>#REF!</v>
      </c>
      <c r="BT102" t="e">
        <f>装备!#REF!</f>
        <v>#REF!</v>
      </c>
      <c r="BU102" t="e">
        <f>装备!#REF!</f>
        <v>#REF!</v>
      </c>
      <c r="BV102" t="e">
        <f>装备!#REF!</f>
        <v>#REF!</v>
      </c>
      <c r="BW102" t="e">
        <f>装备!#REF!</f>
        <v>#REF!</v>
      </c>
      <c r="BX102" t="e">
        <f>装备!#REF!</f>
        <v>#REF!</v>
      </c>
      <c r="BY102" t="e">
        <f>装备!#REF!</f>
        <v>#REF!</v>
      </c>
      <c r="BZ102" t="e">
        <f>装备!#REF!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装备!#REF!</f>
        <v>#REF!</v>
      </c>
      <c r="B103" t="e">
        <f>装备!#REF!</f>
        <v>#REF!</v>
      </c>
      <c r="C103" t="e">
        <f>装备!#REF!</f>
        <v>#REF!</v>
      </c>
      <c r="D103" t="e">
        <f>装备!#REF!</f>
        <v>#REF!</v>
      </c>
      <c r="E103" t="e">
        <f>装备!#REF!</f>
        <v>#REF!</v>
      </c>
      <c r="F103" t="e">
        <f>装备!#REF!</f>
        <v>#REF!</v>
      </c>
      <c r="G103" t="e">
        <f>装备!#REF!</f>
        <v>#REF!</v>
      </c>
      <c r="H103" t="e">
        <f>装备!#REF!</f>
        <v>#REF!</v>
      </c>
      <c r="I103" t="e">
        <f>装备!#REF!</f>
        <v>#REF!</v>
      </c>
      <c r="J103" t="e">
        <f>装备!#REF!</f>
        <v>#REF!</v>
      </c>
      <c r="K103" t="e">
        <f>装备!#REF!</f>
        <v>#REF!</v>
      </c>
      <c r="L103" t="e">
        <f>装备!#REF!</f>
        <v>#REF!</v>
      </c>
      <c r="M103" t="e">
        <f t="shared" si="14"/>
        <v>#REF!</v>
      </c>
      <c r="N103" t="e">
        <f>装备!#REF!</f>
        <v>#REF!</v>
      </c>
      <c r="O103" t="e">
        <f>装备!#REF!</f>
        <v>#REF!</v>
      </c>
      <c r="P103" t="e">
        <f>装备!#REF!</f>
        <v>#REF!</v>
      </c>
      <c r="Q103" t="e">
        <f>装备!#REF!</f>
        <v>#REF!</v>
      </c>
      <c r="R103" t="e">
        <f>装备!#REF!</f>
        <v>#REF!</v>
      </c>
      <c r="S103" t="e">
        <f>装备!#REF!</f>
        <v>#REF!</v>
      </c>
      <c r="T103" t="e">
        <f>装备!#REF!</f>
        <v>#REF!</v>
      </c>
      <c r="U103" t="e">
        <f>装备!#REF!</f>
        <v>#REF!</v>
      </c>
      <c r="V103" t="e">
        <f>装备!#REF!</f>
        <v>#REF!</v>
      </c>
      <c r="W103" t="e">
        <f>装备!#REF!</f>
        <v>#REF!</v>
      </c>
      <c r="X103" t="e">
        <f t="shared" si="15"/>
        <v>#REF!</v>
      </c>
      <c r="Y103" t="e">
        <f>装备!#REF!</f>
        <v>#REF!</v>
      </c>
      <c r="Z103" t="e">
        <f>装备!#REF!</f>
        <v>#REF!</v>
      </c>
      <c r="AA103" t="e">
        <f>装备!#REF!</f>
        <v>#REF!</v>
      </c>
      <c r="AB103" t="e">
        <f>装备!#REF!</f>
        <v>#REF!</v>
      </c>
      <c r="AC103" t="e">
        <f>装备!#REF!</f>
        <v>#REF!</v>
      </c>
      <c r="AD103" t="e">
        <f>装备!#REF!</f>
        <v>#REF!</v>
      </c>
      <c r="AE103" t="e">
        <f>装备!#REF!</f>
        <v>#REF!</v>
      </c>
      <c r="AF103" t="e">
        <f>装备!#REF!</f>
        <v>#REF!</v>
      </c>
      <c r="AG103" t="e">
        <f>装备!#REF!</f>
        <v>#REF!</v>
      </c>
      <c r="AH103" t="e">
        <f>装备!#REF!</f>
        <v>#REF!</v>
      </c>
      <c r="AI103" t="e">
        <f t="shared" si="16"/>
        <v>#REF!</v>
      </c>
      <c r="AJ103" t="e">
        <f>装备!#REF!</f>
        <v>#REF!</v>
      </c>
      <c r="AK103" t="e">
        <f>装备!#REF!</f>
        <v>#REF!</v>
      </c>
      <c r="AL103" t="e">
        <f>装备!#REF!</f>
        <v>#REF!</v>
      </c>
      <c r="AM103" t="e">
        <f>装备!#REF!</f>
        <v>#REF!</v>
      </c>
      <c r="AN103" t="e">
        <f>装备!#REF!</f>
        <v>#REF!</v>
      </c>
      <c r="AO103" t="e">
        <f>装备!#REF!</f>
        <v>#REF!</v>
      </c>
      <c r="AP103" t="e">
        <f>装备!#REF!</f>
        <v>#REF!</v>
      </c>
      <c r="AQ103" t="e">
        <f>装备!#REF!</f>
        <v>#REF!</v>
      </c>
      <c r="AR103" t="e">
        <f>装备!#REF!</f>
        <v>#REF!</v>
      </c>
      <c r="AS103" t="e">
        <f>装备!#REF!</f>
        <v>#REF!</v>
      </c>
      <c r="AT103" t="e">
        <f t="shared" si="17"/>
        <v>#REF!</v>
      </c>
      <c r="AU103" t="e">
        <f>装备!#REF!</f>
        <v>#REF!</v>
      </c>
      <c r="AV103" t="e">
        <f>装备!#REF!</f>
        <v>#REF!</v>
      </c>
      <c r="AW103" t="e">
        <f>装备!#REF!</f>
        <v>#REF!</v>
      </c>
      <c r="AX103" t="e">
        <f>装备!#REF!</f>
        <v>#REF!</v>
      </c>
      <c r="AY103" t="e">
        <f>装备!#REF!</f>
        <v>#REF!</v>
      </c>
      <c r="AZ103" t="e">
        <f>装备!#REF!</f>
        <v>#REF!</v>
      </c>
      <c r="BA103" t="e">
        <f>装备!#REF!</f>
        <v>#REF!</v>
      </c>
      <c r="BB103" t="e">
        <f>装备!#REF!</f>
        <v>#REF!</v>
      </c>
      <c r="BC103" t="e">
        <f>装备!#REF!</f>
        <v>#REF!</v>
      </c>
      <c r="BD103" t="e">
        <f>装备!#REF!</f>
        <v>#REF!</v>
      </c>
      <c r="BE103" t="e">
        <f t="shared" si="18"/>
        <v>#REF!</v>
      </c>
      <c r="BF103" t="e">
        <f>装备!#REF!</f>
        <v>#REF!</v>
      </c>
      <c r="BG103" t="e">
        <f>装备!#REF!</f>
        <v>#REF!</v>
      </c>
      <c r="BH103" t="e">
        <f>装备!#REF!</f>
        <v>#REF!</v>
      </c>
      <c r="BI103" t="e">
        <f>装备!#REF!</f>
        <v>#REF!</v>
      </c>
      <c r="BJ103" t="e">
        <f>装备!#REF!</f>
        <v>#REF!</v>
      </c>
      <c r="BK103" t="e">
        <f>装备!#REF!</f>
        <v>#REF!</v>
      </c>
      <c r="BL103" t="e">
        <f>装备!#REF!</f>
        <v>#REF!</v>
      </c>
      <c r="BM103" t="e">
        <f>装备!#REF!</f>
        <v>#REF!</v>
      </c>
      <c r="BN103" t="e">
        <f>装备!#REF!</f>
        <v>#REF!</v>
      </c>
      <c r="BO103" t="e">
        <f>装备!#REF!</f>
        <v>#REF!</v>
      </c>
      <c r="BP103" t="e">
        <f t="shared" si="19"/>
        <v>#REF!</v>
      </c>
      <c r="BQ103" t="e">
        <f>装备!#REF!</f>
        <v>#REF!</v>
      </c>
      <c r="BR103" t="e">
        <f>装备!#REF!</f>
        <v>#REF!</v>
      </c>
      <c r="BS103" t="e">
        <f>装备!#REF!</f>
        <v>#REF!</v>
      </c>
      <c r="BT103" t="e">
        <f>装备!#REF!</f>
        <v>#REF!</v>
      </c>
      <c r="BU103" t="e">
        <f>装备!#REF!</f>
        <v>#REF!</v>
      </c>
      <c r="BV103" t="e">
        <f>装备!#REF!</f>
        <v>#REF!</v>
      </c>
      <c r="BW103" t="e">
        <f>装备!#REF!</f>
        <v>#REF!</v>
      </c>
      <c r="BX103" t="e">
        <f>装备!#REF!</f>
        <v>#REF!</v>
      </c>
      <c r="BY103" t="e">
        <f>装备!#REF!</f>
        <v>#REF!</v>
      </c>
      <c r="BZ103" t="e">
        <f>装备!#REF!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装备!#REF!</f>
        <v>#REF!</v>
      </c>
      <c r="B104" t="e">
        <f>装备!#REF!</f>
        <v>#REF!</v>
      </c>
      <c r="C104" t="e">
        <f>装备!#REF!</f>
        <v>#REF!</v>
      </c>
      <c r="D104" t="e">
        <f>装备!#REF!</f>
        <v>#REF!</v>
      </c>
      <c r="E104" t="e">
        <f>装备!#REF!</f>
        <v>#REF!</v>
      </c>
      <c r="F104" t="e">
        <f>装备!#REF!</f>
        <v>#REF!</v>
      </c>
      <c r="G104" t="e">
        <f>装备!#REF!</f>
        <v>#REF!</v>
      </c>
      <c r="H104" t="e">
        <f>装备!#REF!</f>
        <v>#REF!</v>
      </c>
      <c r="I104" t="e">
        <f>装备!#REF!</f>
        <v>#REF!</v>
      </c>
      <c r="J104" t="e">
        <f>装备!#REF!</f>
        <v>#REF!</v>
      </c>
      <c r="K104" t="e">
        <f>装备!#REF!</f>
        <v>#REF!</v>
      </c>
      <c r="L104" t="e">
        <f>装备!#REF!</f>
        <v>#REF!</v>
      </c>
      <c r="M104" t="e">
        <f t="shared" si="14"/>
        <v>#REF!</v>
      </c>
      <c r="N104" t="e">
        <f>装备!#REF!</f>
        <v>#REF!</v>
      </c>
      <c r="O104" t="e">
        <f>装备!#REF!</f>
        <v>#REF!</v>
      </c>
      <c r="P104" t="e">
        <f>装备!#REF!</f>
        <v>#REF!</v>
      </c>
      <c r="Q104" t="e">
        <f>装备!#REF!</f>
        <v>#REF!</v>
      </c>
      <c r="R104" t="e">
        <f>装备!#REF!</f>
        <v>#REF!</v>
      </c>
      <c r="S104" t="e">
        <f>装备!#REF!</f>
        <v>#REF!</v>
      </c>
      <c r="T104" t="e">
        <f>装备!#REF!</f>
        <v>#REF!</v>
      </c>
      <c r="U104" t="e">
        <f>装备!#REF!</f>
        <v>#REF!</v>
      </c>
      <c r="V104" t="e">
        <f>装备!#REF!</f>
        <v>#REF!</v>
      </c>
      <c r="W104" t="e">
        <f>装备!#REF!</f>
        <v>#REF!</v>
      </c>
      <c r="X104" t="e">
        <f t="shared" si="15"/>
        <v>#REF!</v>
      </c>
      <c r="Y104" t="e">
        <f>装备!#REF!</f>
        <v>#REF!</v>
      </c>
      <c r="Z104" t="e">
        <f>装备!#REF!</f>
        <v>#REF!</v>
      </c>
      <c r="AA104" t="e">
        <f>装备!#REF!</f>
        <v>#REF!</v>
      </c>
      <c r="AB104" t="e">
        <f>装备!#REF!</f>
        <v>#REF!</v>
      </c>
      <c r="AC104" t="e">
        <f>装备!#REF!</f>
        <v>#REF!</v>
      </c>
      <c r="AD104" t="e">
        <f>装备!#REF!</f>
        <v>#REF!</v>
      </c>
      <c r="AE104" t="e">
        <f>装备!#REF!</f>
        <v>#REF!</v>
      </c>
      <c r="AF104" t="e">
        <f>装备!#REF!</f>
        <v>#REF!</v>
      </c>
      <c r="AG104" t="e">
        <f>装备!#REF!</f>
        <v>#REF!</v>
      </c>
      <c r="AH104" t="e">
        <f>装备!#REF!</f>
        <v>#REF!</v>
      </c>
      <c r="AI104" t="e">
        <f t="shared" si="16"/>
        <v>#REF!</v>
      </c>
      <c r="AJ104" t="e">
        <f>装备!#REF!</f>
        <v>#REF!</v>
      </c>
      <c r="AK104" t="e">
        <f>装备!#REF!</f>
        <v>#REF!</v>
      </c>
      <c r="AL104" t="e">
        <f>装备!#REF!</f>
        <v>#REF!</v>
      </c>
      <c r="AM104" t="e">
        <f>装备!#REF!</f>
        <v>#REF!</v>
      </c>
      <c r="AN104" t="e">
        <f>装备!#REF!</f>
        <v>#REF!</v>
      </c>
      <c r="AO104" t="e">
        <f>装备!#REF!</f>
        <v>#REF!</v>
      </c>
      <c r="AP104" t="e">
        <f>装备!#REF!</f>
        <v>#REF!</v>
      </c>
      <c r="AQ104" t="e">
        <f>装备!#REF!</f>
        <v>#REF!</v>
      </c>
      <c r="AR104" t="e">
        <f>装备!#REF!</f>
        <v>#REF!</v>
      </c>
      <c r="AS104" t="e">
        <f>装备!#REF!</f>
        <v>#REF!</v>
      </c>
      <c r="AT104" t="e">
        <f t="shared" si="17"/>
        <v>#REF!</v>
      </c>
      <c r="AU104" t="e">
        <f>装备!#REF!</f>
        <v>#REF!</v>
      </c>
      <c r="AV104" t="e">
        <f>装备!#REF!</f>
        <v>#REF!</v>
      </c>
      <c r="AW104" t="e">
        <f>装备!#REF!</f>
        <v>#REF!</v>
      </c>
      <c r="AX104" t="e">
        <f>装备!#REF!</f>
        <v>#REF!</v>
      </c>
      <c r="AY104" t="e">
        <f>装备!#REF!</f>
        <v>#REF!</v>
      </c>
      <c r="AZ104" t="e">
        <f>装备!#REF!</f>
        <v>#REF!</v>
      </c>
      <c r="BA104" t="e">
        <f>装备!#REF!</f>
        <v>#REF!</v>
      </c>
      <c r="BB104" t="e">
        <f>装备!#REF!</f>
        <v>#REF!</v>
      </c>
      <c r="BC104" t="e">
        <f>装备!#REF!</f>
        <v>#REF!</v>
      </c>
      <c r="BD104" t="e">
        <f>装备!#REF!</f>
        <v>#REF!</v>
      </c>
      <c r="BE104" t="e">
        <f t="shared" si="18"/>
        <v>#REF!</v>
      </c>
      <c r="BF104" t="e">
        <f>装备!#REF!</f>
        <v>#REF!</v>
      </c>
      <c r="BG104" t="e">
        <f>装备!#REF!</f>
        <v>#REF!</v>
      </c>
      <c r="BH104" t="e">
        <f>装备!#REF!</f>
        <v>#REF!</v>
      </c>
      <c r="BI104" t="e">
        <f>装备!#REF!</f>
        <v>#REF!</v>
      </c>
      <c r="BJ104" t="e">
        <f>装备!#REF!</f>
        <v>#REF!</v>
      </c>
      <c r="BK104" t="e">
        <f>装备!#REF!</f>
        <v>#REF!</v>
      </c>
      <c r="BL104" t="e">
        <f>装备!#REF!</f>
        <v>#REF!</v>
      </c>
      <c r="BM104" t="e">
        <f>装备!#REF!</f>
        <v>#REF!</v>
      </c>
      <c r="BN104" t="e">
        <f>装备!#REF!</f>
        <v>#REF!</v>
      </c>
      <c r="BO104" t="e">
        <f>装备!#REF!</f>
        <v>#REF!</v>
      </c>
      <c r="BP104" t="e">
        <f t="shared" si="19"/>
        <v>#REF!</v>
      </c>
      <c r="BQ104" t="e">
        <f>装备!#REF!</f>
        <v>#REF!</v>
      </c>
      <c r="BR104" t="e">
        <f>装备!#REF!</f>
        <v>#REF!</v>
      </c>
      <c r="BS104" t="e">
        <f>装备!#REF!</f>
        <v>#REF!</v>
      </c>
      <c r="BT104" t="e">
        <f>装备!#REF!</f>
        <v>#REF!</v>
      </c>
      <c r="BU104" t="e">
        <f>装备!#REF!</f>
        <v>#REF!</v>
      </c>
      <c r="BV104" t="e">
        <f>装备!#REF!</f>
        <v>#REF!</v>
      </c>
      <c r="BW104" t="e">
        <f>装备!#REF!</f>
        <v>#REF!</v>
      </c>
      <c r="BX104" t="e">
        <f>装备!#REF!</f>
        <v>#REF!</v>
      </c>
      <c r="BY104" t="e">
        <f>装备!#REF!</f>
        <v>#REF!</v>
      </c>
      <c r="BZ104" t="e">
        <f>装备!#REF!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装备!#REF!</f>
        <v>#REF!</v>
      </c>
      <c r="B105" t="e">
        <f>装备!#REF!</f>
        <v>#REF!</v>
      </c>
      <c r="C105" t="e">
        <f>装备!#REF!</f>
        <v>#REF!</v>
      </c>
      <c r="D105" t="e">
        <f>装备!#REF!</f>
        <v>#REF!</v>
      </c>
      <c r="E105" t="e">
        <f>装备!#REF!</f>
        <v>#REF!</v>
      </c>
      <c r="F105" t="e">
        <f>装备!#REF!</f>
        <v>#REF!</v>
      </c>
      <c r="G105" t="e">
        <f>装备!#REF!</f>
        <v>#REF!</v>
      </c>
      <c r="H105" t="e">
        <f>装备!#REF!</f>
        <v>#REF!</v>
      </c>
      <c r="I105" t="e">
        <f>装备!#REF!</f>
        <v>#REF!</v>
      </c>
      <c r="J105" t="e">
        <f>装备!#REF!</f>
        <v>#REF!</v>
      </c>
      <c r="K105" t="e">
        <f>装备!#REF!</f>
        <v>#REF!</v>
      </c>
      <c r="L105" t="e">
        <f>装备!#REF!</f>
        <v>#REF!</v>
      </c>
      <c r="M105" t="e">
        <f t="shared" si="14"/>
        <v>#REF!</v>
      </c>
      <c r="N105" t="e">
        <f>装备!#REF!</f>
        <v>#REF!</v>
      </c>
      <c r="O105" t="e">
        <f>装备!#REF!</f>
        <v>#REF!</v>
      </c>
      <c r="P105" t="e">
        <f>装备!#REF!</f>
        <v>#REF!</v>
      </c>
      <c r="Q105" t="e">
        <f>装备!#REF!</f>
        <v>#REF!</v>
      </c>
      <c r="R105" t="e">
        <f>装备!#REF!</f>
        <v>#REF!</v>
      </c>
      <c r="S105" t="e">
        <f>装备!#REF!</f>
        <v>#REF!</v>
      </c>
      <c r="T105" t="e">
        <f>装备!#REF!</f>
        <v>#REF!</v>
      </c>
      <c r="U105" t="e">
        <f>装备!#REF!</f>
        <v>#REF!</v>
      </c>
      <c r="V105" t="e">
        <f>装备!#REF!</f>
        <v>#REF!</v>
      </c>
      <c r="W105" t="e">
        <f>装备!#REF!</f>
        <v>#REF!</v>
      </c>
      <c r="X105" t="e">
        <f t="shared" si="15"/>
        <v>#REF!</v>
      </c>
      <c r="Y105" t="e">
        <f>装备!#REF!</f>
        <v>#REF!</v>
      </c>
      <c r="Z105" t="e">
        <f>装备!#REF!</f>
        <v>#REF!</v>
      </c>
      <c r="AA105" t="e">
        <f>装备!#REF!</f>
        <v>#REF!</v>
      </c>
      <c r="AB105" t="e">
        <f>装备!#REF!</f>
        <v>#REF!</v>
      </c>
      <c r="AC105" t="e">
        <f>装备!#REF!</f>
        <v>#REF!</v>
      </c>
      <c r="AD105" t="e">
        <f>装备!#REF!</f>
        <v>#REF!</v>
      </c>
      <c r="AE105" t="e">
        <f>装备!#REF!</f>
        <v>#REF!</v>
      </c>
      <c r="AF105" t="e">
        <f>装备!#REF!</f>
        <v>#REF!</v>
      </c>
      <c r="AG105" t="e">
        <f>装备!#REF!</f>
        <v>#REF!</v>
      </c>
      <c r="AH105" t="e">
        <f>装备!#REF!</f>
        <v>#REF!</v>
      </c>
      <c r="AI105" t="e">
        <f t="shared" si="16"/>
        <v>#REF!</v>
      </c>
      <c r="AJ105" t="e">
        <f>装备!#REF!</f>
        <v>#REF!</v>
      </c>
      <c r="AK105" t="e">
        <f>装备!#REF!</f>
        <v>#REF!</v>
      </c>
      <c r="AL105" t="e">
        <f>装备!#REF!</f>
        <v>#REF!</v>
      </c>
      <c r="AM105" t="e">
        <f>装备!#REF!</f>
        <v>#REF!</v>
      </c>
      <c r="AN105" t="e">
        <f>装备!#REF!</f>
        <v>#REF!</v>
      </c>
      <c r="AO105" t="e">
        <f>装备!#REF!</f>
        <v>#REF!</v>
      </c>
      <c r="AP105" t="e">
        <f>装备!#REF!</f>
        <v>#REF!</v>
      </c>
      <c r="AQ105" t="e">
        <f>装备!#REF!</f>
        <v>#REF!</v>
      </c>
      <c r="AR105" t="e">
        <f>装备!#REF!</f>
        <v>#REF!</v>
      </c>
      <c r="AS105" t="e">
        <f>装备!#REF!</f>
        <v>#REF!</v>
      </c>
      <c r="AT105" t="e">
        <f t="shared" si="17"/>
        <v>#REF!</v>
      </c>
      <c r="AU105" t="e">
        <f>装备!#REF!</f>
        <v>#REF!</v>
      </c>
      <c r="AV105" t="e">
        <f>装备!#REF!</f>
        <v>#REF!</v>
      </c>
      <c r="AW105" t="e">
        <f>装备!#REF!</f>
        <v>#REF!</v>
      </c>
      <c r="AX105" t="e">
        <f>装备!#REF!</f>
        <v>#REF!</v>
      </c>
      <c r="AY105" t="e">
        <f>装备!#REF!</f>
        <v>#REF!</v>
      </c>
      <c r="AZ105" t="e">
        <f>装备!#REF!</f>
        <v>#REF!</v>
      </c>
      <c r="BA105" t="e">
        <f>装备!#REF!</f>
        <v>#REF!</v>
      </c>
      <c r="BB105" t="e">
        <f>装备!#REF!</f>
        <v>#REF!</v>
      </c>
      <c r="BC105" t="e">
        <f>装备!#REF!</f>
        <v>#REF!</v>
      </c>
      <c r="BD105" t="e">
        <f>装备!#REF!</f>
        <v>#REF!</v>
      </c>
      <c r="BE105" t="e">
        <f t="shared" si="18"/>
        <v>#REF!</v>
      </c>
      <c r="BF105" t="e">
        <f>装备!#REF!</f>
        <v>#REF!</v>
      </c>
      <c r="BG105" t="e">
        <f>装备!#REF!</f>
        <v>#REF!</v>
      </c>
      <c r="BH105" t="e">
        <f>装备!#REF!</f>
        <v>#REF!</v>
      </c>
      <c r="BI105" t="e">
        <f>装备!#REF!</f>
        <v>#REF!</v>
      </c>
      <c r="BJ105" t="e">
        <f>装备!#REF!</f>
        <v>#REF!</v>
      </c>
      <c r="BK105" t="e">
        <f>装备!#REF!</f>
        <v>#REF!</v>
      </c>
      <c r="BL105" t="e">
        <f>装备!#REF!</f>
        <v>#REF!</v>
      </c>
      <c r="BM105" t="e">
        <f>装备!#REF!</f>
        <v>#REF!</v>
      </c>
      <c r="BN105" t="e">
        <f>装备!#REF!</f>
        <v>#REF!</v>
      </c>
      <c r="BO105" t="e">
        <f>装备!#REF!</f>
        <v>#REF!</v>
      </c>
      <c r="BP105" t="e">
        <f t="shared" si="19"/>
        <v>#REF!</v>
      </c>
      <c r="BQ105" t="e">
        <f>装备!#REF!</f>
        <v>#REF!</v>
      </c>
      <c r="BR105" t="e">
        <f>装备!#REF!</f>
        <v>#REF!</v>
      </c>
      <c r="BS105" t="e">
        <f>装备!#REF!</f>
        <v>#REF!</v>
      </c>
      <c r="BT105" t="e">
        <f>装备!#REF!</f>
        <v>#REF!</v>
      </c>
      <c r="BU105" t="e">
        <f>装备!#REF!</f>
        <v>#REF!</v>
      </c>
      <c r="BV105" t="e">
        <f>装备!#REF!</f>
        <v>#REF!</v>
      </c>
      <c r="BW105" t="e">
        <f>装备!#REF!</f>
        <v>#REF!</v>
      </c>
      <c r="BX105" t="e">
        <f>装备!#REF!</f>
        <v>#REF!</v>
      </c>
      <c r="BY105" t="e">
        <f>装备!#REF!</f>
        <v>#REF!</v>
      </c>
      <c r="BZ105" t="e">
        <f>装备!#REF!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装备!#REF!</f>
        <v>#REF!</v>
      </c>
      <c r="B106" t="e">
        <f>装备!#REF!</f>
        <v>#REF!</v>
      </c>
      <c r="C106" t="e">
        <f>装备!#REF!</f>
        <v>#REF!</v>
      </c>
      <c r="D106" t="e">
        <f>装备!#REF!</f>
        <v>#REF!</v>
      </c>
      <c r="E106" t="e">
        <f>装备!#REF!</f>
        <v>#REF!</v>
      </c>
      <c r="F106" t="e">
        <f>装备!#REF!</f>
        <v>#REF!</v>
      </c>
      <c r="G106" t="e">
        <f>装备!#REF!</f>
        <v>#REF!</v>
      </c>
      <c r="H106" t="e">
        <f>装备!#REF!</f>
        <v>#REF!</v>
      </c>
      <c r="I106" t="e">
        <f>装备!#REF!</f>
        <v>#REF!</v>
      </c>
      <c r="J106" t="e">
        <f>装备!#REF!</f>
        <v>#REF!</v>
      </c>
      <c r="K106" t="e">
        <f>装备!#REF!</f>
        <v>#REF!</v>
      </c>
      <c r="L106" t="e">
        <f>装备!#REF!</f>
        <v>#REF!</v>
      </c>
      <c r="M106" t="e">
        <f t="shared" si="14"/>
        <v>#REF!</v>
      </c>
      <c r="N106" t="e">
        <f>装备!#REF!</f>
        <v>#REF!</v>
      </c>
      <c r="O106" t="e">
        <f>装备!#REF!</f>
        <v>#REF!</v>
      </c>
      <c r="P106" t="e">
        <f>装备!#REF!</f>
        <v>#REF!</v>
      </c>
      <c r="Q106" t="e">
        <f>装备!#REF!</f>
        <v>#REF!</v>
      </c>
      <c r="R106" t="e">
        <f>装备!#REF!</f>
        <v>#REF!</v>
      </c>
      <c r="S106" t="e">
        <f>装备!#REF!</f>
        <v>#REF!</v>
      </c>
      <c r="T106" t="e">
        <f>装备!#REF!</f>
        <v>#REF!</v>
      </c>
      <c r="U106" t="e">
        <f>装备!#REF!</f>
        <v>#REF!</v>
      </c>
      <c r="V106" t="e">
        <f>装备!#REF!</f>
        <v>#REF!</v>
      </c>
      <c r="W106" t="e">
        <f>装备!#REF!</f>
        <v>#REF!</v>
      </c>
      <c r="X106" t="e">
        <f t="shared" si="15"/>
        <v>#REF!</v>
      </c>
      <c r="Y106" t="e">
        <f>装备!#REF!</f>
        <v>#REF!</v>
      </c>
      <c r="Z106" t="e">
        <f>装备!#REF!</f>
        <v>#REF!</v>
      </c>
      <c r="AA106" t="e">
        <f>装备!#REF!</f>
        <v>#REF!</v>
      </c>
      <c r="AB106" t="e">
        <f>装备!#REF!</f>
        <v>#REF!</v>
      </c>
      <c r="AC106" t="e">
        <f>装备!#REF!</f>
        <v>#REF!</v>
      </c>
      <c r="AD106" t="e">
        <f>装备!#REF!</f>
        <v>#REF!</v>
      </c>
      <c r="AE106" t="e">
        <f>装备!#REF!</f>
        <v>#REF!</v>
      </c>
      <c r="AF106" t="e">
        <f>装备!#REF!</f>
        <v>#REF!</v>
      </c>
      <c r="AG106" t="e">
        <f>装备!#REF!</f>
        <v>#REF!</v>
      </c>
      <c r="AH106" t="e">
        <f>装备!#REF!</f>
        <v>#REF!</v>
      </c>
      <c r="AI106" t="e">
        <f t="shared" si="16"/>
        <v>#REF!</v>
      </c>
      <c r="AJ106" t="e">
        <f>装备!#REF!</f>
        <v>#REF!</v>
      </c>
      <c r="AK106" t="e">
        <f>装备!#REF!</f>
        <v>#REF!</v>
      </c>
      <c r="AL106" t="e">
        <f>装备!#REF!</f>
        <v>#REF!</v>
      </c>
      <c r="AM106" t="e">
        <f>装备!#REF!</f>
        <v>#REF!</v>
      </c>
      <c r="AN106" t="e">
        <f>装备!#REF!</f>
        <v>#REF!</v>
      </c>
      <c r="AO106" t="e">
        <f>装备!#REF!</f>
        <v>#REF!</v>
      </c>
      <c r="AP106" t="e">
        <f>装备!#REF!</f>
        <v>#REF!</v>
      </c>
      <c r="AQ106" t="e">
        <f>装备!#REF!</f>
        <v>#REF!</v>
      </c>
      <c r="AR106" t="e">
        <f>装备!#REF!</f>
        <v>#REF!</v>
      </c>
      <c r="AS106" t="e">
        <f>装备!#REF!</f>
        <v>#REF!</v>
      </c>
      <c r="AT106" t="e">
        <f t="shared" si="17"/>
        <v>#REF!</v>
      </c>
      <c r="AU106" t="e">
        <f>装备!#REF!</f>
        <v>#REF!</v>
      </c>
      <c r="AV106" t="e">
        <f>装备!#REF!</f>
        <v>#REF!</v>
      </c>
      <c r="AW106" t="e">
        <f>装备!#REF!</f>
        <v>#REF!</v>
      </c>
      <c r="AX106" t="e">
        <f>装备!#REF!</f>
        <v>#REF!</v>
      </c>
      <c r="AY106" t="e">
        <f>装备!#REF!</f>
        <v>#REF!</v>
      </c>
      <c r="AZ106" t="e">
        <f>装备!#REF!</f>
        <v>#REF!</v>
      </c>
      <c r="BA106" t="e">
        <f>装备!#REF!</f>
        <v>#REF!</v>
      </c>
      <c r="BB106" t="e">
        <f>装备!#REF!</f>
        <v>#REF!</v>
      </c>
      <c r="BC106" t="e">
        <f>装备!#REF!</f>
        <v>#REF!</v>
      </c>
      <c r="BD106" t="e">
        <f>装备!#REF!</f>
        <v>#REF!</v>
      </c>
      <c r="BE106" t="e">
        <f t="shared" si="18"/>
        <v>#REF!</v>
      </c>
      <c r="BF106" t="e">
        <f>装备!#REF!</f>
        <v>#REF!</v>
      </c>
      <c r="BG106" t="e">
        <f>装备!#REF!</f>
        <v>#REF!</v>
      </c>
      <c r="BH106" t="e">
        <f>装备!#REF!</f>
        <v>#REF!</v>
      </c>
      <c r="BI106" t="e">
        <f>装备!#REF!</f>
        <v>#REF!</v>
      </c>
      <c r="BJ106" t="e">
        <f>装备!#REF!</f>
        <v>#REF!</v>
      </c>
      <c r="BK106" t="e">
        <f>装备!#REF!</f>
        <v>#REF!</v>
      </c>
      <c r="BL106" t="e">
        <f>装备!#REF!</f>
        <v>#REF!</v>
      </c>
      <c r="BM106" t="e">
        <f>装备!#REF!</f>
        <v>#REF!</v>
      </c>
      <c r="BN106" t="e">
        <f>装备!#REF!</f>
        <v>#REF!</v>
      </c>
      <c r="BO106" t="e">
        <f>装备!#REF!</f>
        <v>#REF!</v>
      </c>
      <c r="BP106" t="e">
        <f t="shared" si="19"/>
        <v>#REF!</v>
      </c>
      <c r="BQ106" t="e">
        <f>装备!#REF!</f>
        <v>#REF!</v>
      </c>
      <c r="BR106" t="e">
        <f>装备!#REF!</f>
        <v>#REF!</v>
      </c>
      <c r="BS106" t="e">
        <f>装备!#REF!</f>
        <v>#REF!</v>
      </c>
      <c r="BT106" t="e">
        <f>装备!#REF!</f>
        <v>#REF!</v>
      </c>
      <c r="BU106" t="e">
        <f>装备!#REF!</f>
        <v>#REF!</v>
      </c>
      <c r="BV106" t="e">
        <f>装备!#REF!</f>
        <v>#REF!</v>
      </c>
      <c r="BW106" t="e">
        <f>装备!#REF!</f>
        <v>#REF!</v>
      </c>
      <c r="BX106" t="e">
        <f>装备!#REF!</f>
        <v>#REF!</v>
      </c>
      <c r="BY106" t="e">
        <f>装备!#REF!</f>
        <v>#REF!</v>
      </c>
      <c r="BZ106" t="e">
        <f>装备!#REF!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装备!#REF!</f>
        <v>#REF!</v>
      </c>
      <c r="B107" t="e">
        <f>装备!#REF!</f>
        <v>#REF!</v>
      </c>
      <c r="C107" t="e">
        <f>装备!#REF!</f>
        <v>#REF!</v>
      </c>
      <c r="D107" t="e">
        <f>装备!#REF!</f>
        <v>#REF!</v>
      </c>
      <c r="E107" t="e">
        <f>装备!#REF!</f>
        <v>#REF!</v>
      </c>
      <c r="F107" t="e">
        <f>装备!#REF!</f>
        <v>#REF!</v>
      </c>
      <c r="G107" t="e">
        <f>装备!#REF!</f>
        <v>#REF!</v>
      </c>
      <c r="H107" t="e">
        <f>装备!#REF!</f>
        <v>#REF!</v>
      </c>
      <c r="I107" t="e">
        <f>装备!#REF!</f>
        <v>#REF!</v>
      </c>
      <c r="J107" t="e">
        <f>装备!#REF!</f>
        <v>#REF!</v>
      </c>
      <c r="K107" t="e">
        <f>装备!#REF!</f>
        <v>#REF!</v>
      </c>
      <c r="L107" t="e">
        <f>装备!#REF!</f>
        <v>#REF!</v>
      </c>
      <c r="M107" t="e">
        <f t="shared" si="14"/>
        <v>#REF!</v>
      </c>
      <c r="N107" t="e">
        <f>装备!#REF!</f>
        <v>#REF!</v>
      </c>
      <c r="O107" t="e">
        <f>装备!#REF!</f>
        <v>#REF!</v>
      </c>
      <c r="P107" t="e">
        <f>装备!#REF!</f>
        <v>#REF!</v>
      </c>
      <c r="Q107" t="e">
        <f>装备!#REF!</f>
        <v>#REF!</v>
      </c>
      <c r="R107" t="e">
        <f>装备!#REF!</f>
        <v>#REF!</v>
      </c>
      <c r="S107" t="e">
        <f>装备!#REF!</f>
        <v>#REF!</v>
      </c>
      <c r="T107" t="e">
        <f>装备!#REF!</f>
        <v>#REF!</v>
      </c>
      <c r="U107" t="e">
        <f>装备!#REF!</f>
        <v>#REF!</v>
      </c>
      <c r="V107" t="e">
        <f>装备!#REF!</f>
        <v>#REF!</v>
      </c>
      <c r="W107" t="e">
        <f>装备!#REF!</f>
        <v>#REF!</v>
      </c>
      <c r="X107" t="e">
        <f t="shared" si="15"/>
        <v>#REF!</v>
      </c>
      <c r="Y107" t="e">
        <f>装备!#REF!</f>
        <v>#REF!</v>
      </c>
      <c r="Z107" t="e">
        <f>装备!#REF!</f>
        <v>#REF!</v>
      </c>
      <c r="AA107" t="e">
        <f>装备!#REF!</f>
        <v>#REF!</v>
      </c>
      <c r="AB107" t="e">
        <f>装备!#REF!</f>
        <v>#REF!</v>
      </c>
      <c r="AC107" t="e">
        <f>装备!#REF!</f>
        <v>#REF!</v>
      </c>
      <c r="AD107" t="e">
        <f>装备!#REF!</f>
        <v>#REF!</v>
      </c>
      <c r="AE107" t="e">
        <f>装备!#REF!</f>
        <v>#REF!</v>
      </c>
      <c r="AF107" t="e">
        <f>装备!#REF!</f>
        <v>#REF!</v>
      </c>
      <c r="AG107" t="e">
        <f>装备!#REF!</f>
        <v>#REF!</v>
      </c>
      <c r="AH107" t="e">
        <f>装备!#REF!</f>
        <v>#REF!</v>
      </c>
      <c r="AI107" t="e">
        <f t="shared" si="16"/>
        <v>#REF!</v>
      </c>
      <c r="AJ107" t="e">
        <f>装备!#REF!</f>
        <v>#REF!</v>
      </c>
      <c r="AK107" t="e">
        <f>装备!#REF!</f>
        <v>#REF!</v>
      </c>
      <c r="AL107" t="e">
        <f>装备!#REF!</f>
        <v>#REF!</v>
      </c>
      <c r="AM107" t="e">
        <f>装备!#REF!</f>
        <v>#REF!</v>
      </c>
      <c r="AN107" t="e">
        <f>装备!#REF!</f>
        <v>#REF!</v>
      </c>
      <c r="AO107" t="e">
        <f>装备!#REF!</f>
        <v>#REF!</v>
      </c>
      <c r="AP107" t="e">
        <f>装备!#REF!</f>
        <v>#REF!</v>
      </c>
      <c r="AQ107" t="e">
        <f>装备!#REF!</f>
        <v>#REF!</v>
      </c>
      <c r="AR107" t="e">
        <f>装备!#REF!</f>
        <v>#REF!</v>
      </c>
      <c r="AS107" t="e">
        <f>装备!#REF!</f>
        <v>#REF!</v>
      </c>
      <c r="AT107" t="e">
        <f t="shared" si="17"/>
        <v>#REF!</v>
      </c>
      <c r="AU107" t="e">
        <f>装备!#REF!</f>
        <v>#REF!</v>
      </c>
      <c r="AV107" t="e">
        <f>装备!#REF!</f>
        <v>#REF!</v>
      </c>
      <c r="AW107" t="e">
        <f>装备!#REF!</f>
        <v>#REF!</v>
      </c>
      <c r="AX107" t="e">
        <f>装备!#REF!</f>
        <v>#REF!</v>
      </c>
      <c r="AY107" t="e">
        <f>装备!#REF!</f>
        <v>#REF!</v>
      </c>
      <c r="AZ107" t="e">
        <f>装备!#REF!</f>
        <v>#REF!</v>
      </c>
      <c r="BA107" t="e">
        <f>装备!#REF!</f>
        <v>#REF!</v>
      </c>
      <c r="BB107" t="e">
        <f>装备!#REF!</f>
        <v>#REF!</v>
      </c>
      <c r="BC107" t="e">
        <f>装备!#REF!</f>
        <v>#REF!</v>
      </c>
      <c r="BD107" t="e">
        <f>装备!#REF!</f>
        <v>#REF!</v>
      </c>
      <c r="BE107" t="e">
        <f t="shared" si="18"/>
        <v>#REF!</v>
      </c>
      <c r="BF107" t="e">
        <f>装备!#REF!</f>
        <v>#REF!</v>
      </c>
      <c r="BG107" t="e">
        <f>装备!#REF!</f>
        <v>#REF!</v>
      </c>
      <c r="BH107" t="e">
        <f>装备!#REF!</f>
        <v>#REF!</v>
      </c>
      <c r="BI107" t="e">
        <f>装备!#REF!</f>
        <v>#REF!</v>
      </c>
      <c r="BJ107" t="e">
        <f>装备!#REF!</f>
        <v>#REF!</v>
      </c>
      <c r="BK107" t="e">
        <f>装备!#REF!</f>
        <v>#REF!</v>
      </c>
      <c r="BL107" t="e">
        <f>装备!#REF!</f>
        <v>#REF!</v>
      </c>
      <c r="BM107" t="e">
        <f>装备!#REF!</f>
        <v>#REF!</v>
      </c>
      <c r="BN107" t="e">
        <f>装备!#REF!</f>
        <v>#REF!</v>
      </c>
      <c r="BO107" t="e">
        <f>装备!#REF!</f>
        <v>#REF!</v>
      </c>
      <c r="BP107" t="e">
        <f t="shared" si="19"/>
        <v>#REF!</v>
      </c>
      <c r="BQ107" t="e">
        <f>装备!#REF!</f>
        <v>#REF!</v>
      </c>
      <c r="BR107" t="e">
        <f>装备!#REF!</f>
        <v>#REF!</v>
      </c>
      <c r="BS107" t="e">
        <f>装备!#REF!</f>
        <v>#REF!</v>
      </c>
      <c r="BT107" t="e">
        <f>装备!#REF!</f>
        <v>#REF!</v>
      </c>
      <c r="BU107" t="e">
        <f>装备!#REF!</f>
        <v>#REF!</v>
      </c>
      <c r="BV107" t="e">
        <f>装备!#REF!</f>
        <v>#REF!</v>
      </c>
      <c r="BW107" t="e">
        <f>装备!#REF!</f>
        <v>#REF!</v>
      </c>
      <c r="BX107" t="e">
        <f>装备!#REF!</f>
        <v>#REF!</v>
      </c>
      <c r="BY107" t="e">
        <f>装备!#REF!</f>
        <v>#REF!</v>
      </c>
      <c r="BZ107" t="e">
        <f>装备!#REF!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装备!#REF!</f>
        <v>#REF!</v>
      </c>
      <c r="B108" t="e">
        <f>装备!#REF!</f>
        <v>#REF!</v>
      </c>
      <c r="C108" t="e">
        <f>装备!#REF!</f>
        <v>#REF!</v>
      </c>
      <c r="D108" t="e">
        <f>装备!#REF!</f>
        <v>#REF!</v>
      </c>
      <c r="E108" t="e">
        <f>装备!#REF!</f>
        <v>#REF!</v>
      </c>
      <c r="F108" t="e">
        <f>装备!#REF!</f>
        <v>#REF!</v>
      </c>
      <c r="G108" t="e">
        <f>装备!#REF!</f>
        <v>#REF!</v>
      </c>
      <c r="H108" t="e">
        <f>装备!#REF!</f>
        <v>#REF!</v>
      </c>
      <c r="I108" t="e">
        <f>装备!#REF!</f>
        <v>#REF!</v>
      </c>
      <c r="J108" t="e">
        <f>装备!#REF!</f>
        <v>#REF!</v>
      </c>
      <c r="K108" t="e">
        <f>装备!#REF!</f>
        <v>#REF!</v>
      </c>
      <c r="L108" t="e">
        <f>装备!#REF!</f>
        <v>#REF!</v>
      </c>
      <c r="M108" t="e">
        <f t="shared" si="14"/>
        <v>#REF!</v>
      </c>
      <c r="N108" t="e">
        <f>装备!#REF!</f>
        <v>#REF!</v>
      </c>
      <c r="O108" t="e">
        <f>装备!#REF!</f>
        <v>#REF!</v>
      </c>
      <c r="P108" t="e">
        <f>装备!#REF!</f>
        <v>#REF!</v>
      </c>
      <c r="Q108" t="e">
        <f>装备!#REF!</f>
        <v>#REF!</v>
      </c>
      <c r="R108" t="e">
        <f>装备!#REF!</f>
        <v>#REF!</v>
      </c>
      <c r="S108" t="e">
        <f>装备!#REF!</f>
        <v>#REF!</v>
      </c>
      <c r="T108" t="e">
        <f>装备!#REF!</f>
        <v>#REF!</v>
      </c>
      <c r="U108" t="e">
        <f>装备!#REF!</f>
        <v>#REF!</v>
      </c>
      <c r="V108" t="e">
        <f>装备!#REF!</f>
        <v>#REF!</v>
      </c>
      <c r="W108" t="e">
        <f>装备!#REF!</f>
        <v>#REF!</v>
      </c>
      <c r="X108" t="e">
        <f t="shared" si="15"/>
        <v>#REF!</v>
      </c>
      <c r="Y108" t="e">
        <f>装备!#REF!</f>
        <v>#REF!</v>
      </c>
      <c r="Z108" t="e">
        <f>装备!#REF!</f>
        <v>#REF!</v>
      </c>
      <c r="AA108" t="e">
        <f>装备!#REF!</f>
        <v>#REF!</v>
      </c>
      <c r="AB108" t="e">
        <f>装备!#REF!</f>
        <v>#REF!</v>
      </c>
      <c r="AC108" t="e">
        <f>装备!#REF!</f>
        <v>#REF!</v>
      </c>
      <c r="AD108" t="e">
        <f>装备!#REF!</f>
        <v>#REF!</v>
      </c>
      <c r="AE108" t="e">
        <f>装备!#REF!</f>
        <v>#REF!</v>
      </c>
      <c r="AF108" t="e">
        <f>装备!#REF!</f>
        <v>#REF!</v>
      </c>
      <c r="AG108" t="e">
        <f>装备!#REF!</f>
        <v>#REF!</v>
      </c>
      <c r="AH108" t="e">
        <f>装备!#REF!</f>
        <v>#REF!</v>
      </c>
      <c r="AI108" t="e">
        <f t="shared" si="16"/>
        <v>#REF!</v>
      </c>
      <c r="AJ108" t="e">
        <f>装备!#REF!</f>
        <v>#REF!</v>
      </c>
      <c r="AK108" t="e">
        <f>装备!#REF!</f>
        <v>#REF!</v>
      </c>
      <c r="AL108" t="e">
        <f>装备!#REF!</f>
        <v>#REF!</v>
      </c>
      <c r="AM108" t="e">
        <f>装备!#REF!</f>
        <v>#REF!</v>
      </c>
      <c r="AN108" t="e">
        <f>装备!#REF!</f>
        <v>#REF!</v>
      </c>
      <c r="AO108" t="e">
        <f>装备!#REF!</f>
        <v>#REF!</v>
      </c>
      <c r="AP108" t="e">
        <f>装备!#REF!</f>
        <v>#REF!</v>
      </c>
      <c r="AQ108" t="e">
        <f>装备!#REF!</f>
        <v>#REF!</v>
      </c>
      <c r="AR108" t="e">
        <f>装备!#REF!</f>
        <v>#REF!</v>
      </c>
      <c r="AS108" t="e">
        <f>装备!#REF!</f>
        <v>#REF!</v>
      </c>
      <c r="AT108" t="e">
        <f t="shared" si="17"/>
        <v>#REF!</v>
      </c>
      <c r="AU108" t="e">
        <f>装备!#REF!</f>
        <v>#REF!</v>
      </c>
      <c r="AV108" t="e">
        <f>装备!#REF!</f>
        <v>#REF!</v>
      </c>
      <c r="AW108" t="e">
        <f>装备!#REF!</f>
        <v>#REF!</v>
      </c>
      <c r="AX108" t="e">
        <f>装备!#REF!</f>
        <v>#REF!</v>
      </c>
      <c r="AY108" t="e">
        <f>装备!#REF!</f>
        <v>#REF!</v>
      </c>
      <c r="AZ108" t="e">
        <f>装备!#REF!</f>
        <v>#REF!</v>
      </c>
      <c r="BA108" t="e">
        <f>装备!#REF!</f>
        <v>#REF!</v>
      </c>
      <c r="BB108" t="e">
        <f>装备!#REF!</f>
        <v>#REF!</v>
      </c>
      <c r="BC108" t="e">
        <f>装备!#REF!</f>
        <v>#REF!</v>
      </c>
      <c r="BD108" t="e">
        <f>装备!#REF!</f>
        <v>#REF!</v>
      </c>
      <c r="BE108" t="e">
        <f t="shared" si="18"/>
        <v>#REF!</v>
      </c>
      <c r="BF108" t="e">
        <f>装备!#REF!</f>
        <v>#REF!</v>
      </c>
      <c r="BG108" t="e">
        <f>装备!#REF!</f>
        <v>#REF!</v>
      </c>
      <c r="BH108" t="e">
        <f>装备!#REF!</f>
        <v>#REF!</v>
      </c>
      <c r="BI108" t="e">
        <f>装备!#REF!</f>
        <v>#REF!</v>
      </c>
      <c r="BJ108" t="e">
        <f>装备!#REF!</f>
        <v>#REF!</v>
      </c>
      <c r="BK108" t="e">
        <f>装备!#REF!</f>
        <v>#REF!</v>
      </c>
      <c r="BL108" t="e">
        <f>装备!#REF!</f>
        <v>#REF!</v>
      </c>
      <c r="BM108" t="e">
        <f>装备!#REF!</f>
        <v>#REF!</v>
      </c>
      <c r="BN108" t="e">
        <f>装备!#REF!</f>
        <v>#REF!</v>
      </c>
      <c r="BO108" t="e">
        <f>装备!#REF!</f>
        <v>#REF!</v>
      </c>
      <c r="BP108" t="e">
        <f t="shared" si="19"/>
        <v>#REF!</v>
      </c>
      <c r="BQ108" t="e">
        <f>装备!#REF!</f>
        <v>#REF!</v>
      </c>
      <c r="BR108" t="e">
        <f>装备!#REF!</f>
        <v>#REF!</v>
      </c>
      <c r="BS108" t="e">
        <f>装备!#REF!</f>
        <v>#REF!</v>
      </c>
      <c r="BT108" t="e">
        <f>装备!#REF!</f>
        <v>#REF!</v>
      </c>
      <c r="BU108" t="e">
        <f>装备!#REF!</f>
        <v>#REF!</v>
      </c>
      <c r="BV108" t="e">
        <f>装备!#REF!</f>
        <v>#REF!</v>
      </c>
      <c r="BW108" t="e">
        <f>装备!#REF!</f>
        <v>#REF!</v>
      </c>
      <c r="BX108" t="e">
        <f>装备!#REF!</f>
        <v>#REF!</v>
      </c>
      <c r="BY108" t="e">
        <f>装备!#REF!</f>
        <v>#REF!</v>
      </c>
      <c r="BZ108" t="e">
        <f>装备!#REF!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装备!#REF!</f>
        <v>#REF!</v>
      </c>
      <c r="B109" t="e">
        <f>装备!#REF!</f>
        <v>#REF!</v>
      </c>
      <c r="C109" t="e">
        <f>装备!#REF!</f>
        <v>#REF!</v>
      </c>
      <c r="D109" t="e">
        <f>装备!#REF!</f>
        <v>#REF!</v>
      </c>
      <c r="E109" t="e">
        <f>装备!#REF!</f>
        <v>#REF!</v>
      </c>
      <c r="F109" t="e">
        <f>装备!#REF!</f>
        <v>#REF!</v>
      </c>
      <c r="G109" t="e">
        <f>装备!#REF!</f>
        <v>#REF!</v>
      </c>
      <c r="H109" t="e">
        <f>装备!#REF!</f>
        <v>#REF!</v>
      </c>
      <c r="I109" t="e">
        <f>装备!#REF!</f>
        <v>#REF!</v>
      </c>
      <c r="J109" t="e">
        <f>装备!#REF!</f>
        <v>#REF!</v>
      </c>
      <c r="K109" t="e">
        <f>装备!#REF!</f>
        <v>#REF!</v>
      </c>
      <c r="L109" t="e">
        <f>装备!#REF!</f>
        <v>#REF!</v>
      </c>
      <c r="M109" t="e">
        <f t="shared" si="14"/>
        <v>#REF!</v>
      </c>
      <c r="N109" t="e">
        <f>装备!#REF!</f>
        <v>#REF!</v>
      </c>
      <c r="O109" t="e">
        <f>装备!#REF!</f>
        <v>#REF!</v>
      </c>
      <c r="P109" t="e">
        <f>装备!#REF!</f>
        <v>#REF!</v>
      </c>
      <c r="Q109" t="e">
        <f>装备!#REF!</f>
        <v>#REF!</v>
      </c>
      <c r="R109" t="e">
        <f>装备!#REF!</f>
        <v>#REF!</v>
      </c>
      <c r="S109" t="e">
        <f>装备!#REF!</f>
        <v>#REF!</v>
      </c>
      <c r="T109" t="e">
        <f>装备!#REF!</f>
        <v>#REF!</v>
      </c>
      <c r="U109" t="e">
        <f>装备!#REF!</f>
        <v>#REF!</v>
      </c>
      <c r="V109" t="e">
        <f>装备!#REF!</f>
        <v>#REF!</v>
      </c>
      <c r="W109" t="e">
        <f>装备!#REF!</f>
        <v>#REF!</v>
      </c>
      <c r="X109" t="e">
        <f t="shared" si="15"/>
        <v>#REF!</v>
      </c>
      <c r="Y109" t="e">
        <f>装备!#REF!</f>
        <v>#REF!</v>
      </c>
      <c r="Z109" t="e">
        <f>装备!#REF!</f>
        <v>#REF!</v>
      </c>
      <c r="AA109" t="e">
        <f>装备!#REF!</f>
        <v>#REF!</v>
      </c>
      <c r="AB109" t="e">
        <f>装备!#REF!</f>
        <v>#REF!</v>
      </c>
      <c r="AC109" t="e">
        <f>装备!#REF!</f>
        <v>#REF!</v>
      </c>
      <c r="AD109" t="e">
        <f>装备!#REF!</f>
        <v>#REF!</v>
      </c>
      <c r="AE109" t="e">
        <f>装备!#REF!</f>
        <v>#REF!</v>
      </c>
      <c r="AF109" t="e">
        <f>装备!#REF!</f>
        <v>#REF!</v>
      </c>
      <c r="AG109" t="e">
        <f>装备!#REF!</f>
        <v>#REF!</v>
      </c>
      <c r="AH109" t="e">
        <f>装备!#REF!</f>
        <v>#REF!</v>
      </c>
      <c r="AI109" t="e">
        <f t="shared" si="16"/>
        <v>#REF!</v>
      </c>
      <c r="AJ109" t="e">
        <f>装备!#REF!</f>
        <v>#REF!</v>
      </c>
      <c r="AK109" t="e">
        <f>装备!#REF!</f>
        <v>#REF!</v>
      </c>
      <c r="AL109" t="e">
        <f>装备!#REF!</f>
        <v>#REF!</v>
      </c>
      <c r="AM109" t="e">
        <f>装备!#REF!</f>
        <v>#REF!</v>
      </c>
      <c r="AN109" t="e">
        <f>装备!#REF!</f>
        <v>#REF!</v>
      </c>
      <c r="AO109" t="e">
        <f>装备!#REF!</f>
        <v>#REF!</v>
      </c>
      <c r="AP109" t="e">
        <f>装备!#REF!</f>
        <v>#REF!</v>
      </c>
      <c r="AQ109" t="e">
        <f>装备!#REF!</f>
        <v>#REF!</v>
      </c>
      <c r="AR109" t="e">
        <f>装备!#REF!</f>
        <v>#REF!</v>
      </c>
      <c r="AS109" t="e">
        <f>装备!#REF!</f>
        <v>#REF!</v>
      </c>
      <c r="AT109" t="e">
        <f t="shared" si="17"/>
        <v>#REF!</v>
      </c>
      <c r="AU109" t="e">
        <f>装备!#REF!</f>
        <v>#REF!</v>
      </c>
      <c r="AV109" t="e">
        <f>装备!#REF!</f>
        <v>#REF!</v>
      </c>
      <c r="AW109" t="e">
        <f>装备!#REF!</f>
        <v>#REF!</v>
      </c>
      <c r="AX109" t="e">
        <f>装备!#REF!</f>
        <v>#REF!</v>
      </c>
      <c r="AY109" t="e">
        <f>装备!#REF!</f>
        <v>#REF!</v>
      </c>
      <c r="AZ109" t="e">
        <f>装备!#REF!</f>
        <v>#REF!</v>
      </c>
      <c r="BA109" t="e">
        <f>装备!#REF!</f>
        <v>#REF!</v>
      </c>
      <c r="BB109" t="e">
        <f>装备!#REF!</f>
        <v>#REF!</v>
      </c>
      <c r="BC109" t="e">
        <f>装备!#REF!</f>
        <v>#REF!</v>
      </c>
      <c r="BD109" t="e">
        <f>装备!#REF!</f>
        <v>#REF!</v>
      </c>
      <c r="BE109" t="e">
        <f t="shared" si="18"/>
        <v>#REF!</v>
      </c>
      <c r="BF109" t="e">
        <f>装备!#REF!</f>
        <v>#REF!</v>
      </c>
      <c r="BG109" t="e">
        <f>装备!#REF!</f>
        <v>#REF!</v>
      </c>
      <c r="BH109" t="e">
        <f>装备!#REF!</f>
        <v>#REF!</v>
      </c>
      <c r="BI109" t="e">
        <f>装备!#REF!</f>
        <v>#REF!</v>
      </c>
      <c r="BJ109" t="e">
        <f>装备!#REF!</f>
        <v>#REF!</v>
      </c>
      <c r="BK109" t="e">
        <f>装备!#REF!</f>
        <v>#REF!</v>
      </c>
      <c r="BL109" t="e">
        <f>装备!#REF!</f>
        <v>#REF!</v>
      </c>
      <c r="BM109" t="e">
        <f>装备!#REF!</f>
        <v>#REF!</v>
      </c>
      <c r="BN109" t="e">
        <f>装备!#REF!</f>
        <v>#REF!</v>
      </c>
      <c r="BO109" t="e">
        <f>装备!#REF!</f>
        <v>#REF!</v>
      </c>
      <c r="BP109" t="e">
        <f t="shared" si="19"/>
        <v>#REF!</v>
      </c>
      <c r="BQ109" t="e">
        <f>装备!#REF!</f>
        <v>#REF!</v>
      </c>
      <c r="BR109" t="e">
        <f>装备!#REF!</f>
        <v>#REF!</v>
      </c>
      <c r="BS109" t="e">
        <f>装备!#REF!</f>
        <v>#REF!</v>
      </c>
      <c r="BT109" t="e">
        <f>装备!#REF!</f>
        <v>#REF!</v>
      </c>
      <c r="BU109" t="e">
        <f>装备!#REF!</f>
        <v>#REF!</v>
      </c>
      <c r="BV109" t="e">
        <f>装备!#REF!</f>
        <v>#REF!</v>
      </c>
      <c r="BW109" t="e">
        <f>装备!#REF!</f>
        <v>#REF!</v>
      </c>
      <c r="BX109" t="e">
        <f>装备!#REF!</f>
        <v>#REF!</v>
      </c>
      <c r="BY109" t="e">
        <f>装备!#REF!</f>
        <v>#REF!</v>
      </c>
      <c r="BZ109" t="e">
        <f>装备!#REF!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装备!#REF!</f>
        <v>#REF!</v>
      </c>
      <c r="B110" t="e">
        <f>装备!#REF!</f>
        <v>#REF!</v>
      </c>
      <c r="C110" t="e">
        <f>装备!#REF!</f>
        <v>#REF!</v>
      </c>
      <c r="D110" t="e">
        <f>装备!#REF!</f>
        <v>#REF!</v>
      </c>
      <c r="E110" t="e">
        <f>装备!#REF!</f>
        <v>#REF!</v>
      </c>
      <c r="F110" t="e">
        <f>装备!#REF!</f>
        <v>#REF!</v>
      </c>
      <c r="G110" t="e">
        <f>装备!#REF!</f>
        <v>#REF!</v>
      </c>
      <c r="H110" t="e">
        <f>装备!#REF!</f>
        <v>#REF!</v>
      </c>
      <c r="I110" t="e">
        <f>装备!#REF!</f>
        <v>#REF!</v>
      </c>
      <c r="J110" t="e">
        <f>装备!#REF!</f>
        <v>#REF!</v>
      </c>
      <c r="K110" t="e">
        <f>装备!#REF!</f>
        <v>#REF!</v>
      </c>
      <c r="L110" t="e">
        <f>装备!#REF!</f>
        <v>#REF!</v>
      </c>
      <c r="M110" t="e">
        <f t="shared" si="14"/>
        <v>#REF!</v>
      </c>
      <c r="N110" t="e">
        <f>装备!#REF!</f>
        <v>#REF!</v>
      </c>
      <c r="O110" t="e">
        <f>装备!#REF!</f>
        <v>#REF!</v>
      </c>
      <c r="P110" t="e">
        <f>装备!#REF!</f>
        <v>#REF!</v>
      </c>
      <c r="Q110" t="e">
        <f>装备!#REF!</f>
        <v>#REF!</v>
      </c>
      <c r="R110" t="e">
        <f>装备!#REF!</f>
        <v>#REF!</v>
      </c>
      <c r="S110" t="e">
        <f>装备!#REF!</f>
        <v>#REF!</v>
      </c>
      <c r="T110" t="e">
        <f>装备!#REF!</f>
        <v>#REF!</v>
      </c>
      <c r="U110" t="e">
        <f>装备!#REF!</f>
        <v>#REF!</v>
      </c>
      <c r="V110" t="e">
        <f>装备!#REF!</f>
        <v>#REF!</v>
      </c>
      <c r="W110" t="e">
        <f>装备!#REF!</f>
        <v>#REF!</v>
      </c>
      <c r="X110" t="e">
        <f t="shared" si="15"/>
        <v>#REF!</v>
      </c>
      <c r="Y110" t="e">
        <f>装备!#REF!</f>
        <v>#REF!</v>
      </c>
      <c r="Z110" t="e">
        <f>装备!#REF!</f>
        <v>#REF!</v>
      </c>
      <c r="AA110" t="e">
        <f>装备!#REF!</f>
        <v>#REF!</v>
      </c>
      <c r="AB110" t="e">
        <f>装备!#REF!</f>
        <v>#REF!</v>
      </c>
      <c r="AC110" t="e">
        <f>装备!#REF!</f>
        <v>#REF!</v>
      </c>
      <c r="AD110" t="e">
        <f>装备!#REF!</f>
        <v>#REF!</v>
      </c>
      <c r="AE110" t="e">
        <f>装备!#REF!</f>
        <v>#REF!</v>
      </c>
      <c r="AF110" t="e">
        <f>装备!#REF!</f>
        <v>#REF!</v>
      </c>
      <c r="AG110" t="e">
        <f>装备!#REF!</f>
        <v>#REF!</v>
      </c>
      <c r="AH110" t="e">
        <f>装备!#REF!</f>
        <v>#REF!</v>
      </c>
      <c r="AI110" t="e">
        <f t="shared" si="16"/>
        <v>#REF!</v>
      </c>
      <c r="AJ110" t="e">
        <f>装备!#REF!</f>
        <v>#REF!</v>
      </c>
      <c r="AK110" t="e">
        <f>装备!#REF!</f>
        <v>#REF!</v>
      </c>
      <c r="AL110" t="e">
        <f>装备!#REF!</f>
        <v>#REF!</v>
      </c>
      <c r="AM110" t="e">
        <f>装备!#REF!</f>
        <v>#REF!</v>
      </c>
      <c r="AN110" t="e">
        <f>装备!#REF!</f>
        <v>#REF!</v>
      </c>
      <c r="AO110" t="e">
        <f>装备!#REF!</f>
        <v>#REF!</v>
      </c>
      <c r="AP110" t="e">
        <f>装备!#REF!</f>
        <v>#REF!</v>
      </c>
      <c r="AQ110" t="e">
        <f>装备!#REF!</f>
        <v>#REF!</v>
      </c>
      <c r="AR110" t="e">
        <f>装备!#REF!</f>
        <v>#REF!</v>
      </c>
      <c r="AS110" t="e">
        <f>装备!#REF!</f>
        <v>#REF!</v>
      </c>
      <c r="AT110" t="e">
        <f t="shared" si="17"/>
        <v>#REF!</v>
      </c>
      <c r="AU110" t="e">
        <f>装备!#REF!</f>
        <v>#REF!</v>
      </c>
      <c r="AV110" t="e">
        <f>装备!#REF!</f>
        <v>#REF!</v>
      </c>
      <c r="AW110" t="e">
        <f>装备!#REF!</f>
        <v>#REF!</v>
      </c>
      <c r="AX110" t="e">
        <f>装备!#REF!</f>
        <v>#REF!</v>
      </c>
      <c r="AY110" t="e">
        <f>装备!#REF!</f>
        <v>#REF!</v>
      </c>
      <c r="AZ110" t="e">
        <f>装备!#REF!</f>
        <v>#REF!</v>
      </c>
      <c r="BA110" t="e">
        <f>装备!#REF!</f>
        <v>#REF!</v>
      </c>
      <c r="BB110" t="e">
        <f>装备!#REF!</f>
        <v>#REF!</v>
      </c>
      <c r="BC110" t="e">
        <f>装备!#REF!</f>
        <v>#REF!</v>
      </c>
      <c r="BD110" t="e">
        <f>装备!#REF!</f>
        <v>#REF!</v>
      </c>
      <c r="BE110" t="e">
        <f t="shared" si="18"/>
        <v>#REF!</v>
      </c>
      <c r="BF110" t="e">
        <f>装备!#REF!</f>
        <v>#REF!</v>
      </c>
      <c r="BG110" t="e">
        <f>装备!#REF!</f>
        <v>#REF!</v>
      </c>
      <c r="BH110" t="e">
        <f>装备!#REF!</f>
        <v>#REF!</v>
      </c>
      <c r="BI110" t="e">
        <f>装备!#REF!</f>
        <v>#REF!</v>
      </c>
      <c r="BJ110" t="e">
        <f>装备!#REF!</f>
        <v>#REF!</v>
      </c>
      <c r="BK110" t="e">
        <f>装备!#REF!</f>
        <v>#REF!</v>
      </c>
      <c r="BL110" t="e">
        <f>装备!#REF!</f>
        <v>#REF!</v>
      </c>
      <c r="BM110" t="e">
        <f>装备!#REF!</f>
        <v>#REF!</v>
      </c>
      <c r="BN110" t="e">
        <f>装备!#REF!</f>
        <v>#REF!</v>
      </c>
      <c r="BO110" t="e">
        <f>装备!#REF!</f>
        <v>#REF!</v>
      </c>
      <c r="BP110" t="e">
        <f t="shared" si="19"/>
        <v>#REF!</v>
      </c>
      <c r="BQ110" t="e">
        <f>装备!#REF!</f>
        <v>#REF!</v>
      </c>
      <c r="BR110" t="e">
        <f>装备!#REF!</f>
        <v>#REF!</v>
      </c>
      <c r="BS110" t="e">
        <f>装备!#REF!</f>
        <v>#REF!</v>
      </c>
      <c r="BT110" t="e">
        <f>装备!#REF!</f>
        <v>#REF!</v>
      </c>
      <c r="BU110" t="e">
        <f>装备!#REF!</f>
        <v>#REF!</v>
      </c>
      <c r="BV110" t="e">
        <f>装备!#REF!</f>
        <v>#REF!</v>
      </c>
      <c r="BW110" t="e">
        <f>装备!#REF!</f>
        <v>#REF!</v>
      </c>
      <c r="BX110" t="e">
        <f>装备!#REF!</f>
        <v>#REF!</v>
      </c>
      <c r="BY110" t="e">
        <f>装备!#REF!</f>
        <v>#REF!</v>
      </c>
      <c r="BZ110" t="e">
        <f>装备!#REF!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装备!#REF!</f>
        <v>#REF!</v>
      </c>
      <c r="B111" t="e">
        <f>装备!#REF!</f>
        <v>#REF!</v>
      </c>
      <c r="C111" t="e">
        <f>装备!#REF!</f>
        <v>#REF!</v>
      </c>
      <c r="D111" t="e">
        <f>装备!#REF!</f>
        <v>#REF!</v>
      </c>
      <c r="E111" t="e">
        <f>装备!#REF!</f>
        <v>#REF!</v>
      </c>
      <c r="F111" t="e">
        <f>装备!#REF!</f>
        <v>#REF!</v>
      </c>
      <c r="G111" t="e">
        <f>装备!#REF!</f>
        <v>#REF!</v>
      </c>
      <c r="H111" t="e">
        <f>装备!#REF!</f>
        <v>#REF!</v>
      </c>
      <c r="I111" t="e">
        <f>装备!#REF!</f>
        <v>#REF!</v>
      </c>
      <c r="J111" t="e">
        <f>装备!#REF!</f>
        <v>#REF!</v>
      </c>
      <c r="K111" t="e">
        <f>装备!#REF!</f>
        <v>#REF!</v>
      </c>
      <c r="L111" t="e">
        <f>装备!#REF!</f>
        <v>#REF!</v>
      </c>
      <c r="M111" t="e">
        <f t="shared" si="14"/>
        <v>#REF!</v>
      </c>
      <c r="N111" t="e">
        <f>装备!#REF!</f>
        <v>#REF!</v>
      </c>
      <c r="O111" t="e">
        <f>装备!#REF!</f>
        <v>#REF!</v>
      </c>
      <c r="P111" t="e">
        <f>装备!#REF!</f>
        <v>#REF!</v>
      </c>
      <c r="Q111" t="e">
        <f>装备!#REF!</f>
        <v>#REF!</v>
      </c>
      <c r="R111" t="e">
        <f>装备!#REF!</f>
        <v>#REF!</v>
      </c>
      <c r="S111" t="e">
        <f>装备!#REF!</f>
        <v>#REF!</v>
      </c>
      <c r="T111" t="e">
        <f>装备!#REF!</f>
        <v>#REF!</v>
      </c>
      <c r="U111" t="e">
        <f>装备!#REF!</f>
        <v>#REF!</v>
      </c>
      <c r="V111" t="e">
        <f>装备!#REF!</f>
        <v>#REF!</v>
      </c>
      <c r="W111" t="e">
        <f>装备!#REF!</f>
        <v>#REF!</v>
      </c>
      <c r="X111" t="e">
        <f t="shared" si="15"/>
        <v>#REF!</v>
      </c>
      <c r="Y111" t="e">
        <f>装备!#REF!</f>
        <v>#REF!</v>
      </c>
      <c r="Z111" t="e">
        <f>装备!#REF!</f>
        <v>#REF!</v>
      </c>
      <c r="AA111" t="e">
        <f>装备!#REF!</f>
        <v>#REF!</v>
      </c>
      <c r="AB111" t="e">
        <f>装备!#REF!</f>
        <v>#REF!</v>
      </c>
      <c r="AC111" t="e">
        <f>装备!#REF!</f>
        <v>#REF!</v>
      </c>
      <c r="AD111" t="e">
        <f>装备!#REF!</f>
        <v>#REF!</v>
      </c>
      <c r="AE111" t="e">
        <f>装备!#REF!</f>
        <v>#REF!</v>
      </c>
      <c r="AF111" t="e">
        <f>装备!#REF!</f>
        <v>#REF!</v>
      </c>
      <c r="AG111" t="e">
        <f>装备!#REF!</f>
        <v>#REF!</v>
      </c>
      <c r="AH111" t="e">
        <f>装备!#REF!</f>
        <v>#REF!</v>
      </c>
      <c r="AI111" t="e">
        <f t="shared" si="16"/>
        <v>#REF!</v>
      </c>
      <c r="AJ111" t="e">
        <f>装备!#REF!</f>
        <v>#REF!</v>
      </c>
      <c r="AK111" t="e">
        <f>装备!#REF!</f>
        <v>#REF!</v>
      </c>
      <c r="AL111" t="e">
        <f>装备!#REF!</f>
        <v>#REF!</v>
      </c>
      <c r="AM111" t="e">
        <f>装备!#REF!</f>
        <v>#REF!</v>
      </c>
      <c r="AN111" t="e">
        <f>装备!#REF!</f>
        <v>#REF!</v>
      </c>
      <c r="AO111" t="e">
        <f>装备!#REF!</f>
        <v>#REF!</v>
      </c>
      <c r="AP111" t="e">
        <f>装备!#REF!</f>
        <v>#REF!</v>
      </c>
      <c r="AQ111" t="e">
        <f>装备!#REF!</f>
        <v>#REF!</v>
      </c>
      <c r="AR111" t="e">
        <f>装备!#REF!</f>
        <v>#REF!</v>
      </c>
      <c r="AS111" t="e">
        <f>装备!#REF!</f>
        <v>#REF!</v>
      </c>
      <c r="AT111" t="e">
        <f t="shared" si="17"/>
        <v>#REF!</v>
      </c>
      <c r="AU111" t="e">
        <f>装备!#REF!</f>
        <v>#REF!</v>
      </c>
      <c r="AV111" t="e">
        <f>装备!#REF!</f>
        <v>#REF!</v>
      </c>
      <c r="AW111" t="e">
        <f>装备!#REF!</f>
        <v>#REF!</v>
      </c>
      <c r="AX111" t="e">
        <f>装备!#REF!</f>
        <v>#REF!</v>
      </c>
      <c r="AY111" t="e">
        <f>装备!#REF!</f>
        <v>#REF!</v>
      </c>
      <c r="AZ111" t="e">
        <f>装备!#REF!</f>
        <v>#REF!</v>
      </c>
      <c r="BA111" t="e">
        <f>装备!#REF!</f>
        <v>#REF!</v>
      </c>
      <c r="BB111" t="e">
        <f>装备!#REF!</f>
        <v>#REF!</v>
      </c>
      <c r="BC111" t="e">
        <f>装备!#REF!</f>
        <v>#REF!</v>
      </c>
      <c r="BD111" t="e">
        <f>装备!#REF!</f>
        <v>#REF!</v>
      </c>
      <c r="BE111" t="e">
        <f t="shared" si="18"/>
        <v>#REF!</v>
      </c>
      <c r="BF111" t="e">
        <f>装备!#REF!</f>
        <v>#REF!</v>
      </c>
      <c r="BG111" t="e">
        <f>装备!#REF!</f>
        <v>#REF!</v>
      </c>
      <c r="BH111" t="e">
        <f>装备!#REF!</f>
        <v>#REF!</v>
      </c>
      <c r="BI111" t="e">
        <f>装备!#REF!</f>
        <v>#REF!</v>
      </c>
      <c r="BJ111" t="e">
        <f>装备!#REF!</f>
        <v>#REF!</v>
      </c>
      <c r="BK111" t="e">
        <f>装备!#REF!</f>
        <v>#REF!</v>
      </c>
      <c r="BL111" t="e">
        <f>装备!#REF!</f>
        <v>#REF!</v>
      </c>
      <c r="BM111" t="e">
        <f>装备!#REF!</f>
        <v>#REF!</v>
      </c>
      <c r="BN111" t="e">
        <f>装备!#REF!</f>
        <v>#REF!</v>
      </c>
      <c r="BO111" t="e">
        <f>装备!#REF!</f>
        <v>#REF!</v>
      </c>
      <c r="BP111" t="e">
        <f t="shared" si="19"/>
        <v>#REF!</v>
      </c>
      <c r="BQ111" t="e">
        <f>装备!#REF!</f>
        <v>#REF!</v>
      </c>
      <c r="BR111" t="e">
        <f>装备!#REF!</f>
        <v>#REF!</v>
      </c>
      <c r="BS111" t="e">
        <f>装备!#REF!</f>
        <v>#REF!</v>
      </c>
      <c r="BT111" t="e">
        <f>装备!#REF!</f>
        <v>#REF!</v>
      </c>
      <c r="BU111" t="e">
        <f>装备!#REF!</f>
        <v>#REF!</v>
      </c>
      <c r="BV111" t="e">
        <f>装备!#REF!</f>
        <v>#REF!</v>
      </c>
      <c r="BW111" t="e">
        <f>装备!#REF!</f>
        <v>#REF!</v>
      </c>
      <c r="BX111" t="e">
        <f>装备!#REF!</f>
        <v>#REF!</v>
      </c>
      <c r="BY111" t="e">
        <f>装备!#REF!</f>
        <v>#REF!</v>
      </c>
      <c r="BZ111" t="e">
        <f>装备!#REF!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装备!#REF!</f>
        <v>#REF!</v>
      </c>
      <c r="B112" t="e">
        <f>装备!#REF!</f>
        <v>#REF!</v>
      </c>
      <c r="C112" t="e">
        <f>装备!#REF!</f>
        <v>#REF!</v>
      </c>
      <c r="D112" t="e">
        <f>装备!#REF!</f>
        <v>#REF!</v>
      </c>
      <c r="E112" t="e">
        <f>装备!#REF!</f>
        <v>#REF!</v>
      </c>
      <c r="F112" t="e">
        <f>装备!#REF!</f>
        <v>#REF!</v>
      </c>
      <c r="G112" t="e">
        <f>装备!#REF!</f>
        <v>#REF!</v>
      </c>
      <c r="H112" t="e">
        <f>装备!#REF!</f>
        <v>#REF!</v>
      </c>
      <c r="I112" t="e">
        <f>装备!#REF!</f>
        <v>#REF!</v>
      </c>
      <c r="J112" t="e">
        <f>装备!#REF!</f>
        <v>#REF!</v>
      </c>
      <c r="K112" t="e">
        <f>装备!#REF!</f>
        <v>#REF!</v>
      </c>
      <c r="L112" t="e">
        <f>装备!#REF!</f>
        <v>#REF!</v>
      </c>
      <c r="M112" t="e">
        <f t="shared" si="14"/>
        <v>#REF!</v>
      </c>
      <c r="N112" t="e">
        <f>装备!#REF!</f>
        <v>#REF!</v>
      </c>
      <c r="O112" t="e">
        <f>装备!#REF!</f>
        <v>#REF!</v>
      </c>
      <c r="P112" t="e">
        <f>装备!#REF!</f>
        <v>#REF!</v>
      </c>
      <c r="Q112" t="e">
        <f>装备!#REF!</f>
        <v>#REF!</v>
      </c>
      <c r="R112" t="e">
        <f>装备!#REF!</f>
        <v>#REF!</v>
      </c>
      <c r="S112" t="e">
        <f>装备!#REF!</f>
        <v>#REF!</v>
      </c>
      <c r="T112" t="e">
        <f>装备!#REF!</f>
        <v>#REF!</v>
      </c>
      <c r="U112" t="e">
        <f>装备!#REF!</f>
        <v>#REF!</v>
      </c>
      <c r="V112" t="e">
        <f>装备!#REF!</f>
        <v>#REF!</v>
      </c>
      <c r="W112" t="e">
        <f>装备!#REF!</f>
        <v>#REF!</v>
      </c>
      <c r="X112" t="e">
        <f t="shared" si="15"/>
        <v>#REF!</v>
      </c>
      <c r="Y112" t="e">
        <f>装备!#REF!</f>
        <v>#REF!</v>
      </c>
      <c r="Z112" t="e">
        <f>装备!#REF!</f>
        <v>#REF!</v>
      </c>
      <c r="AA112" t="e">
        <f>装备!#REF!</f>
        <v>#REF!</v>
      </c>
      <c r="AB112" t="e">
        <f>装备!#REF!</f>
        <v>#REF!</v>
      </c>
      <c r="AC112" t="e">
        <f>装备!#REF!</f>
        <v>#REF!</v>
      </c>
      <c r="AD112" t="e">
        <f>装备!#REF!</f>
        <v>#REF!</v>
      </c>
      <c r="AE112" t="e">
        <f>装备!#REF!</f>
        <v>#REF!</v>
      </c>
      <c r="AF112" t="e">
        <f>装备!#REF!</f>
        <v>#REF!</v>
      </c>
      <c r="AG112" t="e">
        <f>装备!#REF!</f>
        <v>#REF!</v>
      </c>
      <c r="AH112" t="e">
        <f>装备!#REF!</f>
        <v>#REF!</v>
      </c>
      <c r="AI112" t="e">
        <f t="shared" si="16"/>
        <v>#REF!</v>
      </c>
      <c r="AJ112" t="e">
        <f>装备!#REF!</f>
        <v>#REF!</v>
      </c>
      <c r="AK112" t="e">
        <f>装备!#REF!</f>
        <v>#REF!</v>
      </c>
      <c r="AL112" t="e">
        <f>装备!#REF!</f>
        <v>#REF!</v>
      </c>
      <c r="AM112" t="e">
        <f>装备!#REF!</f>
        <v>#REF!</v>
      </c>
      <c r="AN112" t="e">
        <f>装备!#REF!</f>
        <v>#REF!</v>
      </c>
      <c r="AO112" t="e">
        <f>装备!#REF!</f>
        <v>#REF!</v>
      </c>
      <c r="AP112" t="e">
        <f>装备!#REF!</f>
        <v>#REF!</v>
      </c>
      <c r="AQ112" t="e">
        <f>装备!#REF!</f>
        <v>#REF!</v>
      </c>
      <c r="AR112" t="e">
        <f>装备!#REF!</f>
        <v>#REF!</v>
      </c>
      <c r="AS112" t="e">
        <f>装备!#REF!</f>
        <v>#REF!</v>
      </c>
      <c r="AT112" t="e">
        <f t="shared" si="17"/>
        <v>#REF!</v>
      </c>
      <c r="AU112" t="e">
        <f>装备!#REF!</f>
        <v>#REF!</v>
      </c>
      <c r="AV112" t="e">
        <f>装备!#REF!</f>
        <v>#REF!</v>
      </c>
      <c r="AW112" t="e">
        <f>装备!#REF!</f>
        <v>#REF!</v>
      </c>
      <c r="AX112" t="e">
        <f>装备!#REF!</f>
        <v>#REF!</v>
      </c>
      <c r="AY112" t="e">
        <f>装备!#REF!</f>
        <v>#REF!</v>
      </c>
      <c r="AZ112" t="e">
        <f>装备!#REF!</f>
        <v>#REF!</v>
      </c>
      <c r="BA112" t="e">
        <f>装备!#REF!</f>
        <v>#REF!</v>
      </c>
      <c r="BB112" t="e">
        <f>装备!#REF!</f>
        <v>#REF!</v>
      </c>
      <c r="BC112" t="e">
        <f>装备!#REF!</f>
        <v>#REF!</v>
      </c>
      <c r="BD112" t="e">
        <f>装备!#REF!</f>
        <v>#REF!</v>
      </c>
      <c r="BE112" t="e">
        <f t="shared" si="18"/>
        <v>#REF!</v>
      </c>
      <c r="BF112" t="e">
        <f>装备!#REF!</f>
        <v>#REF!</v>
      </c>
      <c r="BG112" t="e">
        <f>装备!#REF!</f>
        <v>#REF!</v>
      </c>
      <c r="BH112" t="e">
        <f>装备!#REF!</f>
        <v>#REF!</v>
      </c>
      <c r="BI112" t="e">
        <f>装备!#REF!</f>
        <v>#REF!</v>
      </c>
      <c r="BJ112" t="e">
        <f>装备!#REF!</f>
        <v>#REF!</v>
      </c>
      <c r="BK112" t="e">
        <f>装备!#REF!</f>
        <v>#REF!</v>
      </c>
      <c r="BL112" t="e">
        <f>装备!#REF!</f>
        <v>#REF!</v>
      </c>
      <c r="BM112" t="e">
        <f>装备!#REF!</f>
        <v>#REF!</v>
      </c>
      <c r="BN112" t="e">
        <f>装备!#REF!</f>
        <v>#REF!</v>
      </c>
      <c r="BO112" t="e">
        <f>装备!#REF!</f>
        <v>#REF!</v>
      </c>
      <c r="BP112" t="e">
        <f t="shared" si="19"/>
        <v>#REF!</v>
      </c>
      <c r="BQ112" t="e">
        <f>装备!#REF!</f>
        <v>#REF!</v>
      </c>
      <c r="BR112" t="e">
        <f>装备!#REF!</f>
        <v>#REF!</v>
      </c>
      <c r="BS112" t="e">
        <f>装备!#REF!</f>
        <v>#REF!</v>
      </c>
      <c r="BT112" t="e">
        <f>装备!#REF!</f>
        <v>#REF!</v>
      </c>
      <c r="BU112" t="e">
        <f>装备!#REF!</f>
        <v>#REF!</v>
      </c>
      <c r="BV112" t="e">
        <f>装备!#REF!</f>
        <v>#REF!</v>
      </c>
      <c r="BW112" t="e">
        <f>装备!#REF!</f>
        <v>#REF!</v>
      </c>
      <c r="BX112" t="e">
        <f>装备!#REF!</f>
        <v>#REF!</v>
      </c>
      <c r="BY112" t="e">
        <f>装备!#REF!</f>
        <v>#REF!</v>
      </c>
      <c r="BZ112" t="e">
        <f>装备!#REF!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装备!#REF!</f>
        <v>#REF!</v>
      </c>
      <c r="B113" t="e">
        <f>装备!#REF!</f>
        <v>#REF!</v>
      </c>
      <c r="C113" t="e">
        <f>装备!#REF!</f>
        <v>#REF!</v>
      </c>
      <c r="D113" t="e">
        <f>装备!#REF!</f>
        <v>#REF!</v>
      </c>
      <c r="E113" t="e">
        <f>装备!#REF!</f>
        <v>#REF!</v>
      </c>
      <c r="F113" t="e">
        <f>装备!#REF!</f>
        <v>#REF!</v>
      </c>
      <c r="G113" t="e">
        <f>装备!#REF!</f>
        <v>#REF!</v>
      </c>
      <c r="H113" t="e">
        <f>装备!#REF!</f>
        <v>#REF!</v>
      </c>
      <c r="I113" t="e">
        <f>装备!#REF!</f>
        <v>#REF!</v>
      </c>
      <c r="J113" t="e">
        <f>装备!#REF!</f>
        <v>#REF!</v>
      </c>
      <c r="K113" t="e">
        <f>装备!#REF!</f>
        <v>#REF!</v>
      </c>
      <c r="L113" t="e">
        <f>装备!#REF!</f>
        <v>#REF!</v>
      </c>
      <c r="M113" t="e">
        <f t="shared" si="14"/>
        <v>#REF!</v>
      </c>
      <c r="N113" t="e">
        <f>装备!#REF!</f>
        <v>#REF!</v>
      </c>
      <c r="O113" t="e">
        <f>装备!#REF!</f>
        <v>#REF!</v>
      </c>
      <c r="P113" t="e">
        <f>装备!#REF!</f>
        <v>#REF!</v>
      </c>
      <c r="Q113" t="e">
        <f>装备!#REF!</f>
        <v>#REF!</v>
      </c>
      <c r="R113" t="e">
        <f>装备!#REF!</f>
        <v>#REF!</v>
      </c>
      <c r="S113" t="e">
        <f>装备!#REF!</f>
        <v>#REF!</v>
      </c>
      <c r="T113" t="e">
        <f>装备!#REF!</f>
        <v>#REF!</v>
      </c>
      <c r="U113" t="e">
        <f>装备!#REF!</f>
        <v>#REF!</v>
      </c>
      <c r="V113" t="e">
        <f>装备!#REF!</f>
        <v>#REF!</v>
      </c>
      <c r="W113" t="e">
        <f>装备!#REF!</f>
        <v>#REF!</v>
      </c>
      <c r="X113" t="e">
        <f t="shared" si="15"/>
        <v>#REF!</v>
      </c>
      <c r="Y113" t="e">
        <f>装备!#REF!</f>
        <v>#REF!</v>
      </c>
      <c r="Z113" t="e">
        <f>装备!#REF!</f>
        <v>#REF!</v>
      </c>
      <c r="AA113" t="e">
        <f>装备!#REF!</f>
        <v>#REF!</v>
      </c>
      <c r="AB113" t="e">
        <f>装备!#REF!</f>
        <v>#REF!</v>
      </c>
      <c r="AC113" t="e">
        <f>装备!#REF!</f>
        <v>#REF!</v>
      </c>
      <c r="AD113" t="e">
        <f>装备!#REF!</f>
        <v>#REF!</v>
      </c>
      <c r="AE113" t="e">
        <f>装备!#REF!</f>
        <v>#REF!</v>
      </c>
      <c r="AF113" t="e">
        <f>装备!#REF!</f>
        <v>#REF!</v>
      </c>
      <c r="AG113" t="e">
        <f>装备!#REF!</f>
        <v>#REF!</v>
      </c>
      <c r="AH113" t="e">
        <f>装备!#REF!</f>
        <v>#REF!</v>
      </c>
      <c r="AI113" t="e">
        <f t="shared" si="16"/>
        <v>#REF!</v>
      </c>
      <c r="AJ113" t="e">
        <f>装备!#REF!</f>
        <v>#REF!</v>
      </c>
      <c r="AK113" t="e">
        <f>装备!#REF!</f>
        <v>#REF!</v>
      </c>
      <c r="AL113" t="e">
        <f>装备!#REF!</f>
        <v>#REF!</v>
      </c>
      <c r="AM113" t="e">
        <f>装备!#REF!</f>
        <v>#REF!</v>
      </c>
      <c r="AN113" t="e">
        <f>装备!#REF!</f>
        <v>#REF!</v>
      </c>
      <c r="AO113" t="e">
        <f>装备!#REF!</f>
        <v>#REF!</v>
      </c>
      <c r="AP113" t="e">
        <f>装备!#REF!</f>
        <v>#REF!</v>
      </c>
      <c r="AQ113" t="e">
        <f>装备!#REF!</f>
        <v>#REF!</v>
      </c>
      <c r="AR113" t="e">
        <f>装备!#REF!</f>
        <v>#REF!</v>
      </c>
      <c r="AS113" t="e">
        <f>装备!#REF!</f>
        <v>#REF!</v>
      </c>
      <c r="AT113" t="e">
        <f t="shared" si="17"/>
        <v>#REF!</v>
      </c>
      <c r="AU113" t="e">
        <f>装备!#REF!</f>
        <v>#REF!</v>
      </c>
      <c r="AV113" t="e">
        <f>装备!#REF!</f>
        <v>#REF!</v>
      </c>
      <c r="AW113" t="e">
        <f>装备!#REF!</f>
        <v>#REF!</v>
      </c>
      <c r="AX113" t="e">
        <f>装备!#REF!</f>
        <v>#REF!</v>
      </c>
      <c r="AY113" t="e">
        <f>装备!#REF!</f>
        <v>#REF!</v>
      </c>
      <c r="AZ113" t="e">
        <f>装备!#REF!</f>
        <v>#REF!</v>
      </c>
      <c r="BA113" t="e">
        <f>装备!#REF!</f>
        <v>#REF!</v>
      </c>
      <c r="BB113" t="e">
        <f>装备!#REF!</f>
        <v>#REF!</v>
      </c>
      <c r="BC113" t="e">
        <f>装备!#REF!</f>
        <v>#REF!</v>
      </c>
      <c r="BD113" t="e">
        <f>装备!#REF!</f>
        <v>#REF!</v>
      </c>
      <c r="BE113" t="e">
        <f t="shared" si="18"/>
        <v>#REF!</v>
      </c>
      <c r="BF113" t="e">
        <f>装备!#REF!</f>
        <v>#REF!</v>
      </c>
      <c r="BG113" t="e">
        <f>装备!#REF!</f>
        <v>#REF!</v>
      </c>
      <c r="BH113" t="e">
        <f>装备!#REF!</f>
        <v>#REF!</v>
      </c>
      <c r="BI113" t="e">
        <f>装备!#REF!</f>
        <v>#REF!</v>
      </c>
      <c r="BJ113" t="e">
        <f>装备!#REF!</f>
        <v>#REF!</v>
      </c>
      <c r="BK113" t="e">
        <f>装备!#REF!</f>
        <v>#REF!</v>
      </c>
      <c r="BL113" t="e">
        <f>装备!#REF!</f>
        <v>#REF!</v>
      </c>
      <c r="BM113" t="e">
        <f>装备!#REF!</f>
        <v>#REF!</v>
      </c>
      <c r="BN113" t="e">
        <f>装备!#REF!</f>
        <v>#REF!</v>
      </c>
      <c r="BO113" t="e">
        <f>装备!#REF!</f>
        <v>#REF!</v>
      </c>
      <c r="BP113" t="e">
        <f t="shared" si="19"/>
        <v>#REF!</v>
      </c>
      <c r="BQ113" t="e">
        <f>装备!#REF!</f>
        <v>#REF!</v>
      </c>
      <c r="BR113" t="e">
        <f>装备!#REF!</f>
        <v>#REF!</v>
      </c>
      <c r="BS113" t="e">
        <f>装备!#REF!</f>
        <v>#REF!</v>
      </c>
      <c r="BT113" t="e">
        <f>装备!#REF!</f>
        <v>#REF!</v>
      </c>
      <c r="BU113" t="e">
        <f>装备!#REF!</f>
        <v>#REF!</v>
      </c>
      <c r="BV113" t="e">
        <f>装备!#REF!</f>
        <v>#REF!</v>
      </c>
      <c r="BW113" t="e">
        <f>装备!#REF!</f>
        <v>#REF!</v>
      </c>
      <c r="BX113" t="e">
        <f>装备!#REF!</f>
        <v>#REF!</v>
      </c>
      <c r="BY113" t="e">
        <f>装备!#REF!</f>
        <v>#REF!</v>
      </c>
      <c r="BZ113" t="e">
        <f>装备!#REF!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装备!#REF!</f>
        <v>#REF!</v>
      </c>
      <c r="B114" t="e">
        <f>装备!#REF!</f>
        <v>#REF!</v>
      </c>
      <c r="C114" t="e">
        <f>装备!#REF!</f>
        <v>#REF!</v>
      </c>
      <c r="D114" t="e">
        <f>装备!#REF!</f>
        <v>#REF!</v>
      </c>
      <c r="E114" t="e">
        <f>装备!#REF!</f>
        <v>#REF!</v>
      </c>
      <c r="F114" t="e">
        <f>装备!#REF!</f>
        <v>#REF!</v>
      </c>
      <c r="G114" t="e">
        <f>装备!#REF!</f>
        <v>#REF!</v>
      </c>
      <c r="H114" t="e">
        <f>装备!#REF!</f>
        <v>#REF!</v>
      </c>
      <c r="I114" t="e">
        <f>装备!#REF!</f>
        <v>#REF!</v>
      </c>
      <c r="J114" t="e">
        <f>装备!#REF!</f>
        <v>#REF!</v>
      </c>
      <c r="K114" t="e">
        <f>装备!#REF!</f>
        <v>#REF!</v>
      </c>
      <c r="L114" t="e">
        <f>装备!#REF!</f>
        <v>#REF!</v>
      </c>
      <c r="M114" t="e">
        <f t="shared" si="14"/>
        <v>#REF!</v>
      </c>
      <c r="N114" t="e">
        <f>装备!#REF!</f>
        <v>#REF!</v>
      </c>
      <c r="O114" t="e">
        <f>装备!#REF!</f>
        <v>#REF!</v>
      </c>
      <c r="P114" t="e">
        <f>装备!#REF!</f>
        <v>#REF!</v>
      </c>
      <c r="Q114" t="e">
        <f>装备!#REF!</f>
        <v>#REF!</v>
      </c>
      <c r="R114" t="e">
        <f>装备!#REF!</f>
        <v>#REF!</v>
      </c>
      <c r="S114" t="e">
        <f>装备!#REF!</f>
        <v>#REF!</v>
      </c>
      <c r="T114" t="e">
        <f>装备!#REF!</f>
        <v>#REF!</v>
      </c>
      <c r="U114" t="e">
        <f>装备!#REF!</f>
        <v>#REF!</v>
      </c>
      <c r="V114" t="e">
        <f>装备!#REF!</f>
        <v>#REF!</v>
      </c>
      <c r="W114" t="e">
        <f>装备!#REF!</f>
        <v>#REF!</v>
      </c>
      <c r="X114" t="e">
        <f t="shared" si="15"/>
        <v>#REF!</v>
      </c>
      <c r="Y114" t="e">
        <f>装备!#REF!</f>
        <v>#REF!</v>
      </c>
      <c r="Z114" t="e">
        <f>装备!#REF!</f>
        <v>#REF!</v>
      </c>
      <c r="AA114" t="e">
        <f>装备!#REF!</f>
        <v>#REF!</v>
      </c>
      <c r="AB114" t="e">
        <f>装备!#REF!</f>
        <v>#REF!</v>
      </c>
      <c r="AC114" t="e">
        <f>装备!#REF!</f>
        <v>#REF!</v>
      </c>
      <c r="AD114" t="e">
        <f>装备!#REF!</f>
        <v>#REF!</v>
      </c>
      <c r="AE114" t="e">
        <f>装备!#REF!</f>
        <v>#REF!</v>
      </c>
      <c r="AF114" t="e">
        <f>装备!#REF!</f>
        <v>#REF!</v>
      </c>
      <c r="AG114" t="e">
        <f>装备!#REF!</f>
        <v>#REF!</v>
      </c>
      <c r="AH114" t="e">
        <f>装备!#REF!</f>
        <v>#REF!</v>
      </c>
      <c r="AI114" t="e">
        <f t="shared" si="16"/>
        <v>#REF!</v>
      </c>
      <c r="AJ114" t="e">
        <f>装备!#REF!</f>
        <v>#REF!</v>
      </c>
      <c r="AK114" t="e">
        <f>装备!#REF!</f>
        <v>#REF!</v>
      </c>
      <c r="AL114" t="e">
        <f>装备!#REF!</f>
        <v>#REF!</v>
      </c>
      <c r="AM114" t="e">
        <f>装备!#REF!</f>
        <v>#REF!</v>
      </c>
      <c r="AN114" t="e">
        <f>装备!#REF!</f>
        <v>#REF!</v>
      </c>
      <c r="AO114" t="e">
        <f>装备!#REF!</f>
        <v>#REF!</v>
      </c>
      <c r="AP114" t="e">
        <f>装备!#REF!</f>
        <v>#REF!</v>
      </c>
      <c r="AQ114" t="e">
        <f>装备!#REF!</f>
        <v>#REF!</v>
      </c>
      <c r="AR114" t="e">
        <f>装备!#REF!</f>
        <v>#REF!</v>
      </c>
      <c r="AS114" t="e">
        <f>装备!#REF!</f>
        <v>#REF!</v>
      </c>
      <c r="AT114" t="e">
        <f t="shared" si="17"/>
        <v>#REF!</v>
      </c>
      <c r="AU114" t="e">
        <f>装备!#REF!</f>
        <v>#REF!</v>
      </c>
      <c r="AV114" t="e">
        <f>装备!#REF!</f>
        <v>#REF!</v>
      </c>
      <c r="AW114" t="e">
        <f>装备!#REF!</f>
        <v>#REF!</v>
      </c>
      <c r="AX114" t="e">
        <f>装备!#REF!</f>
        <v>#REF!</v>
      </c>
      <c r="AY114" t="e">
        <f>装备!#REF!</f>
        <v>#REF!</v>
      </c>
      <c r="AZ114" t="e">
        <f>装备!#REF!</f>
        <v>#REF!</v>
      </c>
      <c r="BA114" t="e">
        <f>装备!#REF!</f>
        <v>#REF!</v>
      </c>
      <c r="BB114" t="e">
        <f>装备!#REF!</f>
        <v>#REF!</v>
      </c>
      <c r="BC114" t="e">
        <f>装备!#REF!</f>
        <v>#REF!</v>
      </c>
      <c r="BD114" t="e">
        <f>装备!#REF!</f>
        <v>#REF!</v>
      </c>
      <c r="BE114" t="e">
        <f t="shared" si="18"/>
        <v>#REF!</v>
      </c>
      <c r="BF114" t="e">
        <f>装备!#REF!</f>
        <v>#REF!</v>
      </c>
      <c r="BG114" t="e">
        <f>装备!#REF!</f>
        <v>#REF!</v>
      </c>
      <c r="BH114" t="e">
        <f>装备!#REF!</f>
        <v>#REF!</v>
      </c>
      <c r="BI114" t="e">
        <f>装备!#REF!</f>
        <v>#REF!</v>
      </c>
      <c r="BJ114" t="e">
        <f>装备!#REF!</f>
        <v>#REF!</v>
      </c>
      <c r="BK114" t="e">
        <f>装备!#REF!</f>
        <v>#REF!</v>
      </c>
      <c r="BL114" t="e">
        <f>装备!#REF!</f>
        <v>#REF!</v>
      </c>
      <c r="BM114" t="e">
        <f>装备!#REF!</f>
        <v>#REF!</v>
      </c>
      <c r="BN114" t="e">
        <f>装备!#REF!</f>
        <v>#REF!</v>
      </c>
      <c r="BO114" t="e">
        <f>装备!#REF!</f>
        <v>#REF!</v>
      </c>
      <c r="BP114" t="e">
        <f t="shared" si="19"/>
        <v>#REF!</v>
      </c>
      <c r="BQ114" t="e">
        <f>装备!#REF!</f>
        <v>#REF!</v>
      </c>
      <c r="BR114" t="e">
        <f>装备!#REF!</f>
        <v>#REF!</v>
      </c>
      <c r="BS114" t="e">
        <f>装备!#REF!</f>
        <v>#REF!</v>
      </c>
      <c r="BT114" t="e">
        <f>装备!#REF!</f>
        <v>#REF!</v>
      </c>
      <c r="BU114" t="e">
        <f>装备!#REF!</f>
        <v>#REF!</v>
      </c>
      <c r="BV114" t="e">
        <f>装备!#REF!</f>
        <v>#REF!</v>
      </c>
      <c r="BW114" t="e">
        <f>装备!#REF!</f>
        <v>#REF!</v>
      </c>
      <c r="BX114" t="e">
        <f>装备!#REF!</f>
        <v>#REF!</v>
      </c>
      <c r="BY114" t="e">
        <f>装备!#REF!</f>
        <v>#REF!</v>
      </c>
      <c r="BZ114" t="e">
        <f>装备!#REF!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装备!#REF!</f>
        <v>#REF!</v>
      </c>
      <c r="B115" t="e">
        <f>装备!#REF!</f>
        <v>#REF!</v>
      </c>
      <c r="C115" t="e">
        <f>装备!#REF!</f>
        <v>#REF!</v>
      </c>
      <c r="D115" t="e">
        <f>装备!#REF!</f>
        <v>#REF!</v>
      </c>
      <c r="E115" t="e">
        <f>装备!#REF!</f>
        <v>#REF!</v>
      </c>
      <c r="F115" t="e">
        <f>装备!#REF!</f>
        <v>#REF!</v>
      </c>
      <c r="G115" t="e">
        <f>装备!#REF!</f>
        <v>#REF!</v>
      </c>
      <c r="H115" t="e">
        <f>装备!#REF!</f>
        <v>#REF!</v>
      </c>
      <c r="I115" t="e">
        <f>装备!#REF!</f>
        <v>#REF!</v>
      </c>
      <c r="J115" t="e">
        <f>装备!#REF!</f>
        <v>#REF!</v>
      </c>
      <c r="K115" t="e">
        <f>装备!#REF!</f>
        <v>#REF!</v>
      </c>
      <c r="L115" t="e">
        <f>装备!#REF!</f>
        <v>#REF!</v>
      </c>
      <c r="M115" t="e">
        <f t="shared" si="14"/>
        <v>#REF!</v>
      </c>
      <c r="N115" t="e">
        <f>装备!#REF!</f>
        <v>#REF!</v>
      </c>
      <c r="O115" t="e">
        <f>装备!#REF!</f>
        <v>#REF!</v>
      </c>
      <c r="P115" t="e">
        <f>装备!#REF!</f>
        <v>#REF!</v>
      </c>
      <c r="Q115" t="e">
        <f>装备!#REF!</f>
        <v>#REF!</v>
      </c>
      <c r="R115" t="e">
        <f>装备!#REF!</f>
        <v>#REF!</v>
      </c>
      <c r="S115" t="e">
        <f>装备!#REF!</f>
        <v>#REF!</v>
      </c>
      <c r="T115" t="e">
        <f>装备!#REF!</f>
        <v>#REF!</v>
      </c>
      <c r="U115" t="e">
        <f>装备!#REF!</f>
        <v>#REF!</v>
      </c>
      <c r="V115" t="e">
        <f>装备!#REF!</f>
        <v>#REF!</v>
      </c>
      <c r="W115" t="e">
        <f>装备!#REF!</f>
        <v>#REF!</v>
      </c>
      <c r="X115" t="e">
        <f t="shared" si="15"/>
        <v>#REF!</v>
      </c>
      <c r="Y115" t="e">
        <f>装备!#REF!</f>
        <v>#REF!</v>
      </c>
      <c r="Z115" t="e">
        <f>装备!#REF!</f>
        <v>#REF!</v>
      </c>
      <c r="AA115" t="e">
        <f>装备!#REF!</f>
        <v>#REF!</v>
      </c>
      <c r="AB115" t="e">
        <f>装备!#REF!</f>
        <v>#REF!</v>
      </c>
      <c r="AC115" t="e">
        <f>装备!#REF!</f>
        <v>#REF!</v>
      </c>
      <c r="AD115" t="e">
        <f>装备!#REF!</f>
        <v>#REF!</v>
      </c>
      <c r="AE115" t="e">
        <f>装备!#REF!</f>
        <v>#REF!</v>
      </c>
      <c r="AF115" t="e">
        <f>装备!#REF!</f>
        <v>#REF!</v>
      </c>
      <c r="AG115" t="e">
        <f>装备!#REF!</f>
        <v>#REF!</v>
      </c>
      <c r="AH115" t="e">
        <f>装备!#REF!</f>
        <v>#REF!</v>
      </c>
      <c r="AI115" t="e">
        <f t="shared" si="16"/>
        <v>#REF!</v>
      </c>
      <c r="AJ115" t="e">
        <f>装备!#REF!</f>
        <v>#REF!</v>
      </c>
      <c r="AK115" t="e">
        <f>装备!#REF!</f>
        <v>#REF!</v>
      </c>
      <c r="AL115" t="e">
        <f>装备!#REF!</f>
        <v>#REF!</v>
      </c>
      <c r="AM115" t="e">
        <f>装备!#REF!</f>
        <v>#REF!</v>
      </c>
      <c r="AN115" t="e">
        <f>装备!#REF!</f>
        <v>#REF!</v>
      </c>
      <c r="AO115" t="e">
        <f>装备!#REF!</f>
        <v>#REF!</v>
      </c>
      <c r="AP115" t="e">
        <f>装备!#REF!</f>
        <v>#REF!</v>
      </c>
      <c r="AQ115" t="e">
        <f>装备!#REF!</f>
        <v>#REF!</v>
      </c>
      <c r="AR115" t="e">
        <f>装备!#REF!</f>
        <v>#REF!</v>
      </c>
      <c r="AS115" t="e">
        <f>装备!#REF!</f>
        <v>#REF!</v>
      </c>
      <c r="AT115" t="e">
        <f t="shared" si="17"/>
        <v>#REF!</v>
      </c>
      <c r="AU115" t="e">
        <f>装备!#REF!</f>
        <v>#REF!</v>
      </c>
      <c r="AV115" t="e">
        <f>装备!#REF!</f>
        <v>#REF!</v>
      </c>
      <c r="AW115" t="e">
        <f>装备!#REF!</f>
        <v>#REF!</v>
      </c>
      <c r="AX115" t="e">
        <f>装备!#REF!</f>
        <v>#REF!</v>
      </c>
      <c r="AY115" t="e">
        <f>装备!#REF!</f>
        <v>#REF!</v>
      </c>
      <c r="AZ115" t="e">
        <f>装备!#REF!</f>
        <v>#REF!</v>
      </c>
      <c r="BA115" t="e">
        <f>装备!#REF!</f>
        <v>#REF!</v>
      </c>
      <c r="BB115" t="e">
        <f>装备!#REF!</f>
        <v>#REF!</v>
      </c>
      <c r="BC115" t="e">
        <f>装备!#REF!</f>
        <v>#REF!</v>
      </c>
      <c r="BD115" t="e">
        <f>装备!#REF!</f>
        <v>#REF!</v>
      </c>
      <c r="BE115" t="e">
        <f t="shared" si="18"/>
        <v>#REF!</v>
      </c>
      <c r="BF115" t="e">
        <f>装备!#REF!</f>
        <v>#REF!</v>
      </c>
      <c r="BG115" t="e">
        <f>装备!#REF!</f>
        <v>#REF!</v>
      </c>
      <c r="BH115" t="e">
        <f>装备!#REF!</f>
        <v>#REF!</v>
      </c>
      <c r="BI115" t="e">
        <f>装备!#REF!</f>
        <v>#REF!</v>
      </c>
      <c r="BJ115" t="e">
        <f>装备!#REF!</f>
        <v>#REF!</v>
      </c>
      <c r="BK115" t="e">
        <f>装备!#REF!</f>
        <v>#REF!</v>
      </c>
      <c r="BL115" t="e">
        <f>装备!#REF!</f>
        <v>#REF!</v>
      </c>
      <c r="BM115" t="e">
        <f>装备!#REF!</f>
        <v>#REF!</v>
      </c>
      <c r="BN115" t="e">
        <f>装备!#REF!</f>
        <v>#REF!</v>
      </c>
      <c r="BO115" t="e">
        <f>装备!#REF!</f>
        <v>#REF!</v>
      </c>
      <c r="BP115" t="e">
        <f t="shared" si="19"/>
        <v>#REF!</v>
      </c>
      <c r="BQ115" t="e">
        <f>装备!#REF!</f>
        <v>#REF!</v>
      </c>
      <c r="BR115" t="e">
        <f>装备!#REF!</f>
        <v>#REF!</v>
      </c>
      <c r="BS115" t="e">
        <f>装备!#REF!</f>
        <v>#REF!</v>
      </c>
      <c r="BT115" t="e">
        <f>装备!#REF!</f>
        <v>#REF!</v>
      </c>
      <c r="BU115" t="e">
        <f>装备!#REF!</f>
        <v>#REF!</v>
      </c>
      <c r="BV115" t="e">
        <f>装备!#REF!</f>
        <v>#REF!</v>
      </c>
      <c r="BW115" t="e">
        <f>装备!#REF!</f>
        <v>#REF!</v>
      </c>
      <c r="BX115" t="e">
        <f>装备!#REF!</f>
        <v>#REF!</v>
      </c>
      <c r="BY115" t="e">
        <f>装备!#REF!</f>
        <v>#REF!</v>
      </c>
      <c r="BZ115" t="e">
        <f>装备!#REF!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装备!#REF!</f>
        <v>#REF!</v>
      </c>
      <c r="B116" t="e">
        <f>装备!#REF!</f>
        <v>#REF!</v>
      </c>
      <c r="C116" t="e">
        <f>装备!#REF!</f>
        <v>#REF!</v>
      </c>
      <c r="D116" t="e">
        <f>装备!#REF!</f>
        <v>#REF!</v>
      </c>
      <c r="E116" t="e">
        <f>装备!#REF!</f>
        <v>#REF!</v>
      </c>
      <c r="F116" t="e">
        <f>装备!#REF!</f>
        <v>#REF!</v>
      </c>
      <c r="G116" t="e">
        <f>装备!#REF!</f>
        <v>#REF!</v>
      </c>
      <c r="H116" t="e">
        <f>装备!#REF!</f>
        <v>#REF!</v>
      </c>
      <c r="I116" t="e">
        <f>装备!#REF!</f>
        <v>#REF!</v>
      </c>
      <c r="J116" t="e">
        <f>装备!#REF!</f>
        <v>#REF!</v>
      </c>
      <c r="K116" t="e">
        <f>装备!#REF!</f>
        <v>#REF!</v>
      </c>
      <c r="L116" t="e">
        <f>装备!#REF!</f>
        <v>#REF!</v>
      </c>
      <c r="M116" t="e">
        <f t="shared" si="14"/>
        <v>#REF!</v>
      </c>
      <c r="N116" t="e">
        <f>装备!#REF!</f>
        <v>#REF!</v>
      </c>
      <c r="O116" t="e">
        <f>装备!#REF!</f>
        <v>#REF!</v>
      </c>
      <c r="P116" t="e">
        <f>装备!#REF!</f>
        <v>#REF!</v>
      </c>
      <c r="Q116" t="e">
        <f>装备!#REF!</f>
        <v>#REF!</v>
      </c>
      <c r="R116" t="e">
        <f>装备!#REF!</f>
        <v>#REF!</v>
      </c>
      <c r="S116" t="e">
        <f>装备!#REF!</f>
        <v>#REF!</v>
      </c>
      <c r="T116" t="e">
        <f>装备!#REF!</f>
        <v>#REF!</v>
      </c>
      <c r="U116" t="e">
        <f>装备!#REF!</f>
        <v>#REF!</v>
      </c>
      <c r="V116" t="e">
        <f>装备!#REF!</f>
        <v>#REF!</v>
      </c>
      <c r="W116" t="e">
        <f>装备!#REF!</f>
        <v>#REF!</v>
      </c>
      <c r="X116" t="e">
        <f t="shared" si="15"/>
        <v>#REF!</v>
      </c>
      <c r="Y116" t="e">
        <f>装备!#REF!</f>
        <v>#REF!</v>
      </c>
      <c r="Z116" t="e">
        <f>装备!#REF!</f>
        <v>#REF!</v>
      </c>
      <c r="AA116" t="e">
        <f>装备!#REF!</f>
        <v>#REF!</v>
      </c>
      <c r="AB116" t="e">
        <f>装备!#REF!</f>
        <v>#REF!</v>
      </c>
      <c r="AC116" t="e">
        <f>装备!#REF!</f>
        <v>#REF!</v>
      </c>
      <c r="AD116" t="e">
        <f>装备!#REF!</f>
        <v>#REF!</v>
      </c>
      <c r="AE116" t="e">
        <f>装备!#REF!</f>
        <v>#REF!</v>
      </c>
      <c r="AF116" t="e">
        <f>装备!#REF!</f>
        <v>#REF!</v>
      </c>
      <c r="AG116" t="e">
        <f>装备!#REF!</f>
        <v>#REF!</v>
      </c>
      <c r="AH116" t="e">
        <f>装备!#REF!</f>
        <v>#REF!</v>
      </c>
      <c r="AI116" t="e">
        <f t="shared" si="16"/>
        <v>#REF!</v>
      </c>
      <c r="AJ116" t="e">
        <f>装备!#REF!</f>
        <v>#REF!</v>
      </c>
      <c r="AK116" t="e">
        <f>装备!#REF!</f>
        <v>#REF!</v>
      </c>
      <c r="AL116" t="e">
        <f>装备!#REF!</f>
        <v>#REF!</v>
      </c>
      <c r="AM116" t="e">
        <f>装备!#REF!</f>
        <v>#REF!</v>
      </c>
      <c r="AN116" t="e">
        <f>装备!#REF!</f>
        <v>#REF!</v>
      </c>
      <c r="AO116" t="e">
        <f>装备!#REF!</f>
        <v>#REF!</v>
      </c>
      <c r="AP116" t="e">
        <f>装备!#REF!</f>
        <v>#REF!</v>
      </c>
      <c r="AQ116" t="e">
        <f>装备!#REF!</f>
        <v>#REF!</v>
      </c>
      <c r="AR116" t="e">
        <f>装备!#REF!</f>
        <v>#REF!</v>
      </c>
      <c r="AS116" t="e">
        <f>装备!#REF!</f>
        <v>#REF!</v>
      </c>
      <c r="AT116" t="e">
        <f t="shared" si="17"/>
        <v>#REF!</v>
      </c>
      <c r="AU116" t="e">
        <f>装备!#REF!</f>
        <v>#REF!</v>
      </c>
      <c r="AV116" t="e">
        <f>装备!#REF!</f>
        <v>#REF!</v>
      </c>
      <c r="AW116" t="e">
        <f>装备!#REF!</f>
        <v>#REF!</v>
      </c>
      <c r="AX116" t="e">
        <f>装备!#REF!</f>
        <v>#REF!</v>
      </c>
      <c r="AY116" t="e">
        <f>装备!#REF!</f>
        <v>#REF!</v>
      </c>
      <c r="AZ116" t="e">
        <f>装备!#REF!</f>
        <v>#REF!</v>
      </c>
      <c r="BA116" t="e">
        <f>装备!#REF!</f>
        <v>#REF!</v>
      </c>
      <c r="BB116" t="e">
        <f>装备!#REF!</f>
        <v>#REF!</v>
      </c>
      <c r="BC116" t="e">
        <f>装备!#REF!</f>
        <v>#REF!</v>
      </c>
      <c r="BD116" t="e">
        <f>装备!#REF!</f>
        <v>#REF!</v>
      </c>
      <c r="BE116" t="e">
        <f t="shared" si="18"/>
        <v>#REF!</v>
      </c>
      <c r="BF116" t="e">
        <f>装备!#REF!</f>
        <v>#REF!</v>
      </c>
      <c r="BG116" t="e">
        <f>装备!#REF!</f>
        <v>#REF!</v>
      </c>
      <c r="BH116" t="e">
        <f>装备!#REF!</f>
        <v>#REF!</v>
      </c>
      <c r="BI116" t="e">
        <f>装备!#REF!</f>
        <v>#REF!</v>
      </c>
      <c r="BJ116" t="e">
        <f>装备!#REF!</f>
        <v>#REF!</v>
      </c>
      <c r="BK116" t="e">
        <f>装备!#REF!</f>
        <v>#REF!</v>
      </c>
      <c r="BL116" t="e">
        <f>装备!#REF!</f>
        <v>#REF!</v>
      </c>
      <c r="BM116" t="e">
        <f>装备!#REF!</f>
        <v>#REF!</v>
      </c>
      <c r="BN116" t="e">
        <f>装备!#REF!</f>
        <v>#REF!</v>
      </c>
      <c r="BO116" t="e">
        <f>装备!#REF!</f>
        <v>#REF!</v>
      </c>
      <c r="BP116" t="e">
        <f t="shared" si="19"/>
        <v>#REF!</v>
      </c>
      <c r="BQ116" t="e">
        <f>装备!#REF!</f>
        <v>#REF!</v>
      </c>
      <c r="BR116" t="e">
        <f>装备!#REF!</f>
        <v>#REF!</v>
      </c>
      <c r="BS116" t="e">
        <f>装备!#REF!</f>
        <v>#REF!</v>
      </c>
      <c r="BT116" t="e">
        <f>装备!#REF!</f>
        <v>#REF!</v>
      </c>
      <c r="BU116" t="e">
        <f>装备!#REF!</f>
        <v>#REF!</v>
      </c>
      <c r="BV116" t="e">
        <f>装备!#REF!</f>
        <v>#REF!</v>
      </c>
      <c r="BW116" t="e">
        <f>装备!#REF!</f>
        <v>#REF!</v>
      </c>
      <c r="BX116" t="e">
        <f>装备!#REF!</f>
        <v>#REF!</v>
      </c>
      <c r="BY116" t="e">
        <f>装备!#REF!</f>
        <v>#REF!</v>
      </c>
      <c r="BZ116" t="e">
        <f>装备!#REF!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装备!#REF!</f>
        <v>#REF!</v>
      </c>
      <c r="B117" t="e">
        <f>装备!#REF!</f>
        <v>#REF!</v>
      </c>
      <c r="C117" t="e">
        <f>装备!#REF!</f>
        <v>#REF!</v>
      </c>
      <c r="D117" t="e">
        <f>装备!#REF!</f>
        <v>#REF!</v>
      </c>
      <c r="E117" t="e">
        <f>装备!#REF!</f>
        <v>#REF!</v>
      </c>
      <c r="F117" t="e">
        <f>装备!#REF!</f>
        <v>#REF!</v>
      </c>
      <c r="G117" t="e">
        <f>装备!#REF!</f>
        <v>#REF!</v>
      </c>
      <c r="H117" t="e">
        <f>装备!#REF!</f>
        <v>#REF!</v>
      </c>
      <c r="I117" t="e">
        <f>装备!#REF!</f>
        <v>#REF!</v>
      </c>
      <c r="J117" t="e">
        <f>装备!#REF!</f>
        <v>#REF!</v>
      </c>
      <c r="K117" t="e">
        <f>装备!#REF!</f>
        <v>#REF!</v>
      </c>
      <c r="L117" t="e">
        <f>装备!#REF!</f>
        <v>#REF!</v>
      </c>
      <c r="M117" t="e">
        <f t="shared" si="14"/>
        <v>#REF!</v>
      </c>
      <c r="N117" t="e">
        <f>装备!#REF!</f>
        <v>#REF!</v>
      </c>
      <c r="O117" t="e">
        <f>装备!#REF!</f>
        <v>#REF!</v>
      </c>
      <c r="P117" t="e">
        <f>装备!#REF!</f>
        <v>#REF!</v>
      </c>
      <c r="Q117" t="e">
        <f>装备!#REF!</f>
        <v>#REF!</v>
      </c>
      <c r="R117" t="e">
        <f>装备!#REF!</f>
        <v>#REF!</v>
      </c>
      <c r="S117" t="e">
        <f>装备!#REF!</f>
        <v>#REF!</v>
      </c>
      <c r="T117" t="e">
        <f>装备!#REF!</f>
        <v>#REF!</v>
      </c>
      <c r="U117" t="e">
        <f>装备!#REF!</f>
        <v>#REF!</v>
      </c>
      <c r="V117" t="e">
        <f>装备!#REF!</f>
        <v>#REF!</v>
      </c>
      <c r="W117" t="e">
        <f>装备!#REF!</f>
        <v>#REF!</v>
      </c>
      <c r="X117" t="e">
        <f t="shared" si="15"/>
        <v>#REF!</v>
      </c>
      <c r="Y117" t="e">
        <f>装备!#REF!</f>
        <v>#REF!</v>
      </c>
      <c r="Z117" t="e">
        <f>装备!#REF!</f>
        <v>#REF!</v>
      </c>
      <c r="AA117" t="e">
        <f>装备!#REF!</f>
        <v>#REF!</v>
      </c>
      <c r="AB117" t="e">
        <f>装备!#REF!</f>
        <v>#REF!</v>
      </c>
      <c r="AC117" t="e">
        <f>装备!#REF!</f>
        <v>#REF!</v>
      </c>
      <c r="AD117" t="e">
        <f>装备!#REF!</f>
        <v>#REF!</v>
      </c>
      <c r="AE117" t="e">
        <f>装备!#REF!</f>
        <v>#REF!</v>
      </c>
      <c r="AF117" t="e">
        <f>装备!#REF!</f>
        <v>#REF!</v>
      </c>
      <c r="AG117" t="e">
        <f>装备!#REF!</f>
        <v>#REF!</v>
      </c>
      <c r="AH117" t="e">
        <f>装备!#REF!</f>
        <v>#REF!</v>
      </c>
      <c r="AI117" t="e">
        <f t="shared" si="16"/>
        <v>#REF!</v>
      </c>
      <c r="AJ117" t="e">
        <f>装备!#REF!</f>
        <v>#REF!</v>
      </c>
      <c r="AK117" t="e">
        <f>装备!#REF!</f>
        <v>#REF!</v>
      </c>
      <c r="AL117" t="e">
        <f>装备!#REF!</f>
        <v>#REF!</v>
      </c>
      <c r="AM117" t="e">
        <f>装备!#REF!</f>
        <v>#REF!</v>
      </c>
      <c r="AN117" t="e">
        <f>装备!#REF!</f>
        <v>#REF!</v>
      </c>
      <c r="AO117" t="e">
        <f>装备!#REF!</f>
        <v>#REF!</v>
      </c>
      <c r="AP117" t="e">
        <f>装备!#REF!</f>
        <v>#REF!</v>
      </c>
      <c r="AQ117" t="e">
        <f>装备!#REF!</f>
        <v>#REF!</v>
      </c>
      <c r="AR117" t="e">
        <f>装备!#REF!</f>
        <v>#REF!</v>
      </c>
      <c r="AS117" t="e">
        <f>装备!#REF!</f>
        <v>#REF!</v>
      </c>
      <c r="AT117" t="e">
        <f t="shared" si="17"/>
        <v>#REF!</v>
      </c>
      <c r="AU117" t="e">
        <f>装备!#REF!</f>
        <v>#REF!</v>
      </c>
      <c r="AV117" t="e">
        <f>装备!#REF!</f>
        <v>#REF!</v>
      </c>
      <c r="AW117" t="e">
        <f>装备!#REF!</f>
        <v>#REF!</v>
      </c>
      <c r="AX117" t="e">
        <f>装备!#REF!</f>
        <v>#REF!</v>
      </c>
      <c r="AY117" t="e">
        <f>装备!#REF!</f>
        <v>#REF!</v>
      </c>
      <c r="AZ117" t="e">
        <f>装备!#REF!</f>
        <v>#REF!</v>
      </c>
      <c r="BA117" t="e">
        <f>装备!#REF!</f>
        <v>#REF!</v>
      </c>
      <c r="BB117" t="e">
        <f>装备!#REF!</f>
        <v>#REF!</v>
      </c>
      <c r="BC117" t="e">
        <f>装备!#REF!</f>
        <v>#REF!</v>
      </c>
      <c r="BD117" t="e">
        <f>装备!#REF!</f>
        <v>#REF!</v>
      </c>
      <c r="BE117" t="e">
        <f t="shared" si="18"/>
        <v>#REF!</v>
      </c>
      <c r="BF117" t="e">
        <f>装备!#REF!</f>
        <v>#REF!</v>
      </c>
      <c r="BG117" t="e">
        <f>装备!#REF!</f>
        <v>#REF!</v>
      </c>
      <c r="BH117" t="e">
        <f>装备!#REF!</f>
        <v>#REF!</v>
      </c>
      <c r="BI117" t="e">
        <f>装备!#REF!</f>
        <v>#REF!</v>
      </c>
      <c r="BJ117" t="e">
        <f>装备!#REF!</f>
        <v>#REF!</v>
      </c>
      <c r="BK117" t="e">
        <f>装备!#REF!</f>
        <v>#REF!</v>
      </c>
      <c r="BL117" t="e">
        <f>装备!#REF!</f>
        <v>#REF!</v>
      </c>
      <c r="BM117" t="e">
        <f>装备!#REF!</f>
        <v>#REF!</v>
      </c>
      <c r="BN117" t="e">
        <f>装备!#REF!</f>
        <v>#REF!</v>
      </c>
      <c r="BO117" t="e">
        <f>装备!#REF!</f>
        <v>#REF!</v>
      </c>
      <c r="BP117" t="e">
        <f t="shared" si="19"/>
        <v>#REF!</v>
      </c>
      <c r="BQ117" t="e">
        <f>装备!#REF!</f>
        <v>#REF!</v>
      </c>
      <c r="BR117" t="e">
        <f>装备!#REF!</f>
        <v>#REF!</v>
      </c>
      <c r="BS117" t="e">
        <f>装备!#REF!</f>
        <v>#REF!</v>
      </c>
      <c r="BT117" t="e">
        <f>装备!#REF!</f>
        <v>#REF!</v>
      </c>
      <c r="BU117" t="e">
        <f>装备!#REF!</f>
        <v>#REF!</v>
      </c>
      <c r="BV117" t="e">
        <f>装备!#REF!</f>
        <v>#REF!</v>
      </c>
      <c r="BW117" t="e">
        <f>装备!#REF!</f>
        <v>#REF!</v>
      </c>
      <c r="BX117" t="e">
        <f>装备!#REF!</f>
        <v>#REF!</v>
      </c>
      <c r="BY117" t="e">
        <f>装备!#REF!</f>
        <v>#REF!</v>
      </c>
      <c r="BZ117" t="e">
        <f>装备!#REF!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装备!#REF!</f>
        <v>#REF!</v>
      </c>
      <c r="B118" t="e">
        <f>装备!#REF!</f>
        <v>#REF!</v>
      </c>
      <c r="C118" t="e">
        <f>装备!#REF!</f>
        <v>#REF!</v>
      </c>
      <c r="D118" t="e">
        <f>装备!#REF!</f>
        <v>#REF!</v>
      </c>
      <c r="E118" t="e">
        <f>装备!#REF!</f>
        <v>#REF!</v>
      </c>
      <c r="F118" t="e">
        <f>装备!#REF!</f>
        <v>#REF!</v>
      </c>
      <c r="G118" t="e">
        <f>装备!#REF!</f>
        <v>#REF!</v>
      </c>
      <c r="H118" t="e">
        <f>装备!#REF!</f>
        <v>#REF!</v>
      </c>
      <c r="I118" t="e">
        <f>装备!#REF!</f>
        <v>#REF!</v>
      </c>
      <c r="J118" t="e">
        <f>装备!#REF!</f>
        <v>#REF!</v>
      </c>
      <c r="K118" t="e">
        <f>装备!#REF!</f>
        <v>#REF!</v>
      </c>
      <c r="L118" t="e">
        <f>装备!#REF!</f>
        <v>#REF!</v>
      </c>
      <c r="M118" t="e">
        <f t="shared" si="14"/>
        <v>#REF!</v>
      </c>
      <c r="N118" t="e">
        <f>装备!#REF!</f>
        <v>#REF!</v>
      </c>
      <c r="O118" t="e">
        <f>装备!#REF!</f>
        <v>#REF!</v>
      </c>
      <c r="P118" t="e">
        <f>装备!#REF!</f>
        <v>#REF!</v>
      </c>
      <c r="Q118" t="e">
        <f>装备!#REF!</f>
        <v>#REF!</v>
      </c>
      <c r="R118" t="e">
        <f>装备!#REF!</f>
        <v>#REF!</v>
      </c>
      <c r="S118" t="e">
        <f>装备!#REF!</f>
        <v>#REF!</v>
      </c>
      <c r="T118" t="e">
        <f>装备!#REF!</f>
        <v>#REF!</v>
      </c>
      <c r="U118" t="e">
        <f>装备!#REF!</f>
        <v>#REF!</v>
      </c>
      <c r="V118" t="e">
        <f>装备!#REF!</f>
        <v>#REF!</v>
      </c>
      <c r="W118" t="e">
        <f>装备!#REF!</f>
        <v>#REF!</v>
      </c>
      <c r="X118" t="e">
        <f t="shared" si="15"/>
        <v>#REF!</v>
      </c>
      <c r="Y118" t="e">
        <f>装备!#REF!</f>
        <v>#REF!</v>
      </c>
      <c r="Z118" t="e">
        <f>装备!#REF!</f>
        <v>#REF!</v>
      </c>
      <c r="AA118" t="e">
        <f>装备!#REF!</f>
        <v>#REF!</v>
      </c>
      <c r="AB118" t="e">
        <f>装备!#REF!</f>
        <v>#REF!</v>
      </c>
      <c r="AC118" t="e">
        <f>装备!#REF!</f>
        <v>#REF!</v>
      </c>
      <c r="AD118" t="e">
        <f>装备!#REF!</f>
        <v>#REF!</v>
      </c>
      <c r="AE118" t="e">
        <f>装备!#REF!</f>
        <v>#REF!</v>
      </c>
      <c r="AF118" t="e">
        <f>装备!#REF!</f>
        <v>#REF!</v>
      </c>
      <c r="AG118" t="e">
        <f>装备!#REF!</f>
        <v>#REF!</v>
      </c>
      <c r="AH118" t="e">
        <f>装备!#REF!</f>
        <v>#REF!</v>
      </c>
      <c r="AI118" t="e">
        <f t="shared" si="16"/>
        <v>#REF!</v>
      </c>
      <c r="AJ118" t="e">
        <f>装备!#REF!</f>
        <v>#REF!</v>
      </c>
      <c r="AK118" t="e">
        <f>装备!#REF!</f>
        <v>#REF!</v>
      </c>
      <c r="AL118" t="e">
        <f>装备!#REF!</f>
        <v>#REF!</v>
      </c>
      <c r="AM118" t="e">
        <f>装备!#REF!</f>
        <v>#REF!</v>
      </c>
      <c r="AN118" t="e">
        <f>装备!#REF!</f>
        <v>#REF!</v>
      </c>
      <c r="AO118" t="e">
        <f>装备!#REF!</f>
        <v>#REF!</v>
      </c>
      <c r="AP118" t="e">
        <f>装备!#REF!</f>
        <v>#REF!</v>
      </c>
      <c r="AQ118" t="e">
        <f>装备!#REF!</f>
        <v>#REF!</v>
      </c>
      <c r="AR118" t="e">
        <f>装备!#REF!</f>
        <v>#REF!</v>
      </c>
      <c r="AS118" t="e">
        <f>装备!#REF!</f>
        <v>#REF!</v>
      </c>
      <c r="AT118" t="e">
        <f t="shared" si="17"/>
        <v>#REF!</v>
      </c>
      <c r="AU118" t="e">
        <f>装备!#REF!</f>
        <v>#REF!</v>
      </c>
      <c r="AV118" t="e">
        <f>装备!#REF!</f>
        <v>#REF!</v>
      </c>
      <c r="AW118" t="e">
        <f>装备!#REF!</f>
        <v>#REF!</v>
      </c>
      <c r="AX118" t="e">
        <f>装备!#REF!</f>
        <v>#REF!</v>
      </c>
      <c r="AY118" t="e">
        <f>装备!#REF!</f>
        <v>#REF!</v>
      </c>
      <c r="AZ118" t="e">
        <f>装备!#REF!</f>
        <v>#REF!</v>
      </c>
      <c r="BA118" t="e">
        <f>装备!#REF!</f>
        <v>#REF!</v>
      </c>
      <c r="BB118" t="e">
        <f>装备!#REF!</f>
        <v>#REF!</v>
      </c>
      <c r="BC118" t="e">
        <f>装备!#REF!</f>
        <v>#REF!</v>
      </c>
      <c r="BD118" t="e">
        <f>装备!#REF!</f>
        <v>#REF!</v>
      </c>
      <c r="BE118" t="e">
        <f t="shared" si="18"/>
        <v>#REF!</v>
      </c>
      <c r="BF118" t="e">
        <f>装备!#REF!</f>
        <v>#REF!</v>
      </c>
      <c r="BG118" t="e">
        <f>装备!#REF!</f>
        <v>#REF!</v>
      </c>
      <c r="BH118" t="e">
        <f>装备!#REF!</f>
        <v>#REF!</v>
      </c>
      <c r="BI118" t="e">
        <f>装备!#REF!</f>
        <v>#REF!</v>
      </c>
      <c r="BJ118" t="e">
        <f>装备!#REF!</f>
        <v>#REF!</v>
      </c>
      <c r="BK118" t="e">
        <f>装备!#REF!</f>
        <v>#REF!</v>
      </c>
      <c r="BL118" t="e">
        <f>装备!#REF!</f>
        <v>#REF!</v>
      </c>
      <c r="BM118" t="e">
        <f>装备!#REF!</f>
        <v>#REF!</v>
      </c>
      <c r="BN118" t="e">
        <f>装备!#REF!</f>
        <v>#REF!</v>
      </c>
      <c r="BO118" t="e">
        <f>装备!#REF!</f>
        <v>#REF!</v>
      </c>
      <c r="BP118" t="e">
        <f t="shared" si="19"/>
        <v>#REF!</v>
      </c>
      <c r="BQ118" t="e">
        <f>装备!#REF!</f>
        <v>#REF!</v>
      </c>
      <c r="BR118" t="e">
        <f>装备!#REF!</f>
        <v>#REF!</v>
      </c>
      <c r="BS118" t="e">
        <f>装备!#REF!</f>
        <v>#REF!</v>
      </c>
      <c r="BT118" t="e">
        <f>装备!#REF!</f>
        <v>#REF!</v>
      </c>
      <c r="BU118" t="e">
        <f>装备!#REF!</f>
        <v>#REF!</v>
      </c>
      <c r="BV118" t="e">
        <f>装备!#REF!</f>
        <v>#REF!</v>
      </c>
      <c r="BW118" t="e">
        <f>装备!#REF!</f>
        <v>#REF!</v>
      </c>
      <c r="BX118" t="e">
        <f>装备!#REF!</f>
        <v>#REF!</v>
      </c>
      <c r="BY118" t="e">
        <f>装备!#REF!</f>
        <v>#REF!</v>
      </c>
      <c r="BZ118" t="e">
        <f>装备!#REF!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装备!#REF!</f>
        <v>#REF!</v>
      </c>
      <c r="B119" t="e">
        <f>装备!#REF!</f>
        <v>#REF!</v>
      </c>
      <c r="C119" t="e">
        <f>装备!#REF!</f>
        <v>#REF!</v>
      </c>
      <c r="D119" t="e">
        <f>装备!#REF!</f>
        <v>#REF!</v>
      </c>
      <c r="E119" t="e">
        <f>装备!#REF!</f>
        <v>#REF!</v>
      </c>
      <c r="F119" t="e">
        <f>装备!#REF!</f>
        <v>#REF!</v>
      </c>
      <c r="G119" t="e">
        <f>装备!#REF!</f>
        <v>#REF!</v>
      </c>
      <c r="H119" t="e">
        <f>装备!#REF!</f>
        <v>#REF!</v>
      </c>
      <c r="I119" t="e">
        <f>装备!#REF!</f>
        <v>#REF!</v>
      </c>
      <c r="J119" t="e">
        <f>装备!#REF!</f>
        <v>#REF!</v>
      </c>
      <c r="K119" t="e">
        <f>装备!#REF!</f>
        <v>#REF!</v>
      </c>
      <c r="L119" t="e">
        <f>装备!#REF!</f>
        <v>#REF!</v>
      </c>
      <c r="M119" t="e">
        <f t="shared" si="14"/>
        <v>#REF!</v>
      </c>
      <c r="N119" t="e">
        <f>装备!#REF!</f>
        <v>#REF!</v>
      </c>
      <c r="O119" t="e">
        <f>装备!#REF!</f>
        <v>#REF!</v>
      </c>
      <c r="P119" t="e">
        <f>装备!#REF!</f>
        <v>#REF!</v>
      </c>
      <c r="Q119" t="e">
        <f>装备!#REF!</f>
        <v>#REF!</v>
      </c>
      <c r="R119" t="e">
        <f>装备!#REF!</f>
        <v>#REF!</v>
      </c>
      <c r="S119" t="e">
        <f>装备!#REF!</f>
        <v>#REF!</v>
      </c>
      <c r="T119" t="e">
        <f>装备!#REF!</f>
        <v>#REF!</v>
      </c>
      <c r="U119" t="e">
        <f>装备!#REF!</f>
        <v>#REF!</v>
      </c>
      <c r="V119" t="e">
        <f>装备!#REF!</f>
        <v>#REF!</v>
      </c>
      <c r="W119" t="e">
        <f>装备!#REF!</f>
        <v>#REF!</v>
      </c>
      <c r="X119" t="e">
        <f t="shared" si="15"/>
        <v>#REF!</v>
      </c>
      <c r="Y119" t="e">
        <f>装备!#REF!</f>
        <v>#REF!</v>
      </c>
      <c r="Z119" t="e">
        <f>装备!#REF!</f>
        <v>#REF!</v>
      </c>
      <c r="AA119" t="e">
        <f>装备!#REF!</f>
        <v>#REF!</v>
      </c>
      <c r="AB119" t="e">
        <f>装备!#REF!</f>
        <v>#REF!</v>
      </c>
      <c r="AC119" t="e">
        <f>装备!#REF!</f>
        <v>#REF!</v>
      </c>
      <c r="AD119" t="e">
        <f>装备!#REF!</f>
        <v>#REF!</v>
      </c>
      <c r="AE119" t="e">
        <f>装备!#REF!</f>
        <v>#REF!</v>
      </c>
      <c r="AF119" t="e">
        <f>装备!#REF!</f>
        <v>#REF!</v>
      </c>
      <c r="AG119" t="e">
        <f>装备!#REF!</f>
        <v>#REF!</v>
      </c>
      <c r="AH119" t="e">
        <f>装备!#REF!</f>
        <v>#REF!</v>
      </c>
      <c r="AI119" t="e">
        <f t="shared" si="16"/>
        <v>#REF!</v>
      </c>
      <c r="AJ119" t="e">
        <f>装备!#REF!</f>
        <v>#REF!</v>
      </c>
      <c r="AK119" t="e">
        <f>装备!#REF!</f>
        <v>#REF!</v>
      </c>
      <c r="AL119" t="e">
        <f>装备!#REF!</f>
        <v>#REF!</v>
      </c>
      <c r="AM119" t="e">
        <f>装备!#REF!</f>
        <v>#REF!</v>
      </c>
      <c r="AN119" t="e">
        <f>装备!#REF!</f>
        <v>#REF!</v>
      </c>
      <c r="AO119" t="e">
        <f>装备!#REF!</f>
        <v>#REF!</v>
      </c>
      <c r="AP119" t="e">
        <f>装备!#REF!</f>
        <v>#REF!</v>
      </c>
      <c r="AQ119" t="e">
        <f>装备!#REF!</f>
        <v>#REF!</v>
      </c>
      <c r="AR119" t="e">
        <f>装备!#REF!</f>
        <v>#REF!</v>
      </c>
      <c r="AS119" t="e">
        <f>装备!#REF!</f>
        <v>#REF!</v>
      </c>
      <c r="AT119" t="e">
        <f t="shared" si="17"/>
        <v>#REF!</v>
      </c>
      <c r="AU119" t="e">
        <f>装备!#REF!</f>
        <v>#REF!</v>
      </c>
      <c r="AV119" t="e">
        <f>装备!#REF!</f>
        <v>#REF!</v>
      </c>
      <c r="AW119" t="e">
        <f>装备!#REF!</f>
        <v>#REF!</v>
      </c>
      <c r="AX119" t="e">
        <f>装备!#REF!</f>
        <v>#REF!</v>
      </c>
      <c r="AY119" t="e">
        <f>装备!#REF!</f>
        <v>#REF!</v>
      </c>
      <c r="AZ119" t="e">
        <f>装备!#REF!</f>
        <v>#REF!</v>
      </c>
      <c r="BA119" t="e">
        <f>装备!#REF!</f>
        <v>#REF!</v>
      </c>
      <c r="BB119" t="e">
        <f>装备!#REF!</f>
        <v>#REF!</v>
      </c>
      <c r="BC119" t="e">
        <f>装备!#REF!</f>
        <v>#REF!</v>
      </c>
      <c r="BD119" t="e">
        <f>装备!#REF!</f>
        <v>#REF!</v>
      </c>
      <c r="BE119" t="e">
        <f t="shared" si="18"/>
        <v>#REF!</v>
      </c>
      <c r="BF119" t="e">
        <f>装备!#REF!</f>
        <v>#REF!</v>
      </c>
      <c r="BG119" t="e">
        <f>装备!#REF!</f>
        <v>#REF!</v>
      </c>
      <c r="BH119" t="e">
        <f>装备!#REF!</f>
        <v>#REF!</v>
      </c>
      <c r="BI119" t="e">
        <f>装备!#REF!</f>
        <v>#REF!</v>
      </c>
      <c r="BJ119" t="e">
        <f>装备!#REF!</f>
        <v>#REF!</v>
      </c>
      <c r="BK119" t="e">
        <f>装备!#REF!</f>
        <v>#REF!</v>
      </c>
      <c r="BL119" t="e">
        <f>装备!#REF!</f>
        <v>#REF!</v>
      </c>
      <c r="BM119" t="e">
        <f>装备!#REF!</f>
        <v>#REF!</v>
      </c>
      <c r="BN119" t="e">
        <f>装备!#REF!</f>
        <v>#REF!</v>
      </c>
      <c r="BO119" t="e">
        <f>装备!#REF!</f>
        <v>#REF!</v>
      </c>
      <c r="BP119" t="e">
        <f t="shared" si="19"/>
        <v>#REF!</v>
      </c>
      <c r="BQ119" t="e">
        <f>装备!#REF!</f>
        <v>#REF!</v>
      </c>
      <c r="BR119" t="e">
        <f>装备!#REF!</f>
        <v>#REF!</v>
      </c>
      <c r="BS119" t="e">
        <f>装备!#REF!</f>
        <v>#REF!</v>
      </c>
      <c r="BT119" t="e">
        <f>装备!#REF!</f>
        <v>#REF!</v>
      </c>
      <c r="BU119" t="e">
        <f>装备!#REF!</f>
        <v>#REF!</v>
      </c>
      <c r="BV119" t="e">
        <f>装备!#REF!</f>
        <v>#REF!</v>
      </c>
      <c r="BW119" t="e">
        <f>装备!#REF!</f>
        <v>#REF!</v>
      </c>
      <c r="BX119" t="e">
        <f>装备!#REF!</f>
        <v>#REF!</v>
      </c>
      <c r="BY119" t="e">
        <f>装备!#REF!</f>
        <v>#REF!</v>
      </c>
      <c r="BZ119" t="e">
        <f>装备!#REF!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装备!#REF!</f>
        <v>#REF!</v>
      </c>
      <c r="B120" t="e">
        <f>装备!#REF!</f>
        <v>#REF!</v>
      </c>
      <c r="C120" t="e">
        <f>装备!#REF!</f>
        <v>#REF!</v>
      </c>
      <c r="D120" t="e">
        <f>装备!#REF!</f>
        <v>#REF!</v>
      </c>
      <c r="E120" t="e">
        <f>装备!#REF!</f>
        <v>#REF!</v>
      </c>
      <c r="F120" t="e">
        <f>装备!#REF!</f>
        <v>#REF!</v>
      </c>
      <c r="G120" t="e">
        <f>装备!#REF!</f>
        <v>#REF!</v>
      </c>
      <c r="H120" t="e">
        <f>装备!#REF!</f>
        <v>#REF!</v>
      </c>
      <c r="I120" t="e">
        <f>装备!#REF!</f>
        <v>#REF!</v>
      </c>
      <c r="J120" t="e">
        <f>装备!#REF!</f>
        <v>#REF!</v>
      </c>
      <c r="K120" t="e">
        <f>装备!#REF!</f>
        <v>#REF!</v>
      </c>
      <c r="L120" t="e">
        <f>装备!#REF!</f>
        <v>#REF!</v>
      </c>
      <c r="M120" t="e">
        <f t="shared" si="14"/>
        <v>#REF!</v>
      </c>
      <c r="N120" t="e">
        <f>装备!#REF!</f>
        <v>#REF!</v>
      </c>
      <c r="O120" t="e">
        <f>装备!#REF!</f>
        <v>#REF!</v>
      </c>
      <c r="P120" t="e">
        <f>装备!#REF!</f>
        <v>#REF!</v>
      </c>
      <c r="Q120" t="e">
        <f>装备!#REF!</f>
        <v>#REF!</v>
      </c>
      <c r="R120" t="e">
        <f>装备!#REF!</f>
        <v>#REF!</v>
      </c>
      <c r="S120" t="e">
        <f>装备!#REF!</f>
        <v>#REF!</v>
      </c>
      <c r="T120" t="e">
        <f>装备!#REF!</f>
        <v>#REF!</v>
      </c>
      <c r="U120" t="e">
        <f>装备!#REF!</f>
        <v>#REF!</v>
      </c>
      <c r="V120" t="e">
        <f>装备!#REF!</f>
        <v>#REF!</v>
      </c>
      <c r="W120" t="e">
        <f>装备!#REF!</f>
        <v>#REF!</v>
      </c>
      <c r="X120" t="e">
        <f t="shared" si="15"/>
        <v>#REF!</v>
      </c>
      <c r="Y120" t="e">
        <f>装备!#REF!</f>
        <v>#REF!</v>
      </c>
      <c r="Z120" t="e">
        <f>装备!#REF!</f>
        <v>#REF!</v>
      </c>
      <c r="AA120" t="e">
        <f>装备!#REF!</f>
        <v>#REF!</v>
      </c>
      <c r="AB120" t="e">
        <f>装备!#REF!</f>
        <v>#REF!</v>
      </c>
      <c r="AC120" t="e">
        <f>装备!#REF!</f>
        <v>#REF!</v>
      </c>
      <c r="AD120" t="e">
        <f>装备!#REF!</f>
        <v>#REF!</v>
      </c>
      <c r="AE120" t="e">
        <f>装备!#REF!</f>
        <v>#REF!</v>
      </c>
      <c r="AF120" t="e">
        <f>装备!#REF!</f>
        <v>#REF!</v>
      </c>
      <c r="AG120" t="e">
        <f>装备!#REF!</f>
        <v>#REF!</v>
      </c>
      <c r="AH120" t="e">
        <f>装备!#REF!</f>
        <v>#REF!</v>
      </c>
      <c r="AI120" t="e">
        <f t="shared" si="16"/>
        <v>#REF!</v>
      </c>
      <c r="AJ120" t="e">
        <f>装备!#REF!</f>
        <v>#REF!</v>
      </c>
      <c r="AK120" t="e">
        <f>装备!#REF!</f>
        <v>#REF!</v>
      </c>
      <c r="AL120" t="e">
        <f>装备!#REF!</f>
        <v>#REF!</v>
      </c>
      <c r="AM120" t="e">
        <f>装备!#REF!</f>
        <v>#REF!</v>
      </c>
      <c r="AN120" t="e">
        <f>装备!#REF!</f>
        <v>#REF!</v>
      </c>
      <c r="AO120" t="e">
        <f>装备!#REF!</f>
        <v>#REF!</v>
      </c>
      <c r="AP120" t="e">
        <f>装备!#REF!</f>
        <v>#REF!</v>
      </c>
      <c r="AQ120" t="e">
        <f>装备!#REF!</f>
        <v>#REF!</v>
      </c>
      <c r="AR120" t="e">
        <f>装备!#REF!</f>
        <v>#REF!</v>
      </c>
      <c r="AS120" t="e">
        <f>装备!#REF!</f>
        <v>#REF!</v>
      </c>
      <c r="AT120" t="e">
        <f t="shared" si="17"/>
        <v>#REF!</v>
      </c>
      <c r="AU120" t="e">
        <f>装备!#REF!</f>
        <v>#REF!</v>
      </c>
      <c r="AV120" t="e">
        <f>装备!#REF!</f>
        <v>#REF!</v>
      </c>
      <c r="AW120" t="e">
        <f>装备!#REF!</f>
        <v>#REF!</v>
      </c>
      <c r="AX120" t="e">
        <f>装备!#REF!</f>
        <v>#REF!</v>
      </c>
      <c r="AY120" t="e">
        <f>装备!#REF!</f>
        <v>#REF!</v>
      </c>
      <c r="AZ120" t="e">
        <f>装备!#REF!</f>
        <v>#REF!</v>
      </c>
      <c r="BA120" t="e">
        <f>装备!#REF!</f>
        <v>#REF!</v>
      </c>
      <c r="BB120" t="e">
        <f>装备!#REF!</f>
        <v>#REF!</v>
      </c>
      <c r="BC120" t="e">
        <f>装备!#REF!</f>
        <v>#REF!</v>
      </c>
      <c r="BD120" t="e">
        <f>装备!#REF!</f>
        <v>#REF!</v>
      </c>
      <c r="BE120" t="e">
        <f t="shared" si="18"/>
        <v>#REF!</v>
      </c>
      <c r="BF120" t="e">
        <f>装备!#REF!</f>
        <v>#REF!</v>
      </c>
      <c r="BG120" t="e">
        <f>装备!#REF!</f>
        <v>#REF!</v>
      </c>
      <c r="BH120" t="e">
        <f>装备!#REF!</f>
        <v>#REF!</v>
      </c>
      <c r="BI120" t="e">
        <f>装备!#REF!</f>
        <v>#REF!</v>
      </c>
      <c r="BJ120" t="e">
        <f>装备!#REF!</f>
        <v>#REF!</v>
      </c>
      <c r="BK120" t="e">
        <f>装备!#REF!</f>
        <v>#REF!</v>
      </c>
      <c r="BL120" t="e">
        <f>装备!#REF!</f>
        <v>#REF!</v>
      </c>
      <c r="BM120" t="e">
        <f>装备!#REF!</f>
        <v>#REF!</v>
      </c>
      <c r="BN120" t="e">
        <f>装备!#REF!</f>
        <v>#REF!</v>
      </c>
      <c r="BO120" t="e">
        <f>装备!#REF!</f>
        <v>#REF!</v>
      </c>
      <c r="BP120" t="e">
        <f t="shared" si="19"/>
        <v>#REF!</v>
      </c>
      <c r="BQ120" t="e">
        <f>装备!#REF!</f>
        <v>#REF!</v>
      </c>
      <c r="BR120" t="e">
        <f>装备!#REF!</f>
        <v>#REF!</v>
      </c>
      <c r="BS120" t="e">
        <f>装备!#REF!</f>
        <v>#REF!</v>
      </c>
      <c r="BT120" t="e">
        <f>装备!#REF!</f>
        <v>#REF!</v>
      </c>
      <c r="BU120" t="e">
        <f>装备!#REF!</f>
        <v>#REF!</v>
      </c>
      <c r="BV120" t="e">
        <f>装备!#REF!</f>
        <v>#REF!</v>
      </c>
      <c r="BW120" t="e">
        <f>装备!#REF!</f>
        <v>#REF!</v>
      </c>
      <c r="BX120" t="e">
        <f>装备!#REF!</f>
        <v>#REF!</v>
      </c>
      <c r="BY120" t="e">
        <f>装备!#REF!</f>
        <v>#REF!</v>
      </c>
      <c r="BZ120" t="e">
        <f>装备!#REF!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装备!#REF!</f>
        <v>#REF!</v>
      </c>
      <c r="B121" t="e">
        <f>装备!#REF!</f>
        <v>#REF!</v>
      </c>
      <c r="C121" t="e">
        <f>装备!#REF!</f>
        <v>#REF!</v>
      </c>
      <c r="D121" t="e">
        <f>装备!#REF!</f>
        <v>#REF!</v>
      </c>
      <c r="E121" t="e">
        <f>装备!#REF!</f>
        <v>#REF!</v>
      </c>
      <c r="F121" t="e">
        <f>装备!#REF!</f>
        <v>#REF!</v>
      </c>
      <c r="G121" t="e">
        <f>装备!#REF!</f>
        <v>#REF!</v>
      </c>
      <c r="H121" t="e">
        <f>装备!#REF!</f>
        <v>#REF!</v>
      </c>
      <c r="I121" t="e">
        <f>装备!#REF!</f>
        <v>#REF!</v>
      </c>
      <c r="J121" t="e">
        <f>装备!#REF!</f>
        <v>#REF!</v>
      </c>
      <c r="K121" t="e">
        <f>装备!#REF!</f>
        <v>#REF!</v>
      </c>
      <c r="L121" t="e">
        <f>装备!#REF!</f>
        <v>#REF!</v>
      </c>
      <c r="M121" t="e">
        <f t="shared" si="14"/>
        <v>#REF!</v>
      </c>
      <c r="N121" t="e">
        <f>装备!#REF!</f>
        <v>#REF!</v>
      </c>
      <c r="O121" t="e">
        <f>装备!#REF!</f>
        <v>#REF!</v>
      </c>
      <c r="P121" t="e">
        <f>装备!#REF!</f>
        <v>#REF!</v>
      </c>
      <c r="Q121" t="e">
        <f>装备!#REF!</f>
        <v>#REF!</v>
      </c>
      <c r="R121" t="e">
        <f>装备!#REF!</f>
        <v>#REF!</v>
      </c>
      <c r="S121" t="e">
        <f>装备!#REF!</f>
        <v>#REF!</v>
      </c>
      <c r="T121" t="e">
        <f>装备!#REF!</f>
        <v>#REF!</v>
      </c>
      <c r="U121" t="e">
        <f>装备!#REF!</f>
        <v>#REF!</v>
      </c>
      <c r="V121" t="e">
        <f>装备!#REF!</f>
        <v>#REF!</v>
      </c>
      <c r="W121" t="e">
        <f>装备!#REF!</f>
        <v>#REF!</v>
      </c>
      <c r="X121" t="e">
        <f t="shared" si="15"/>
        <v>#REF!</v>
      </c>
      <c r="Y121" t="e">
        <f>装备!#REF!</f>
        <v>#REF!</v>
      </c>
      <c r="Z121" t="e">
        <f>装备!#REF!</f>
        <v>#REF!</v>
      </c>
      <c r="AA121" t="e">
        <f>装备!#REF!</f>
        <v>#REF!</v>
      </c>
      <c r="AB121" t="e">
        <f>装备!#REF!</f>
        <v>#REF!</v>
      </c>
      <c r="AC121" t="e">
        <f>装备!#REF!</f>
        <v>#REF!</v>
      </c>
      <c r="AD121" t="e">
        <f>装备!#REF!</f>
        <v>#REF!</v>
      </c>
      <c r="AE121" t="e">
        <f>装备!#REF!</f>
        <v>#REF!</v>
      </c>
      <c r="AF121" t="e">
        <f>装备!#REF!</f>
        <v>#REF!</v>
      </c>
      <c r="AG121" t="e">
        <f>装备!#REF!</f>
        <v>#REF!</v>
      </c>
      <c r="AH121" t="e">
        <f>装备!#REF!</f>
        <v>#REF!</v>
      </c>
      <c r="AI121" t="e">
        <f t="shared" si="16"/>
        <v>#REF!</v>
      </c>
      <c r="AJ121" t="e">
        <f>装备!#REF!</f>
        <v>#REF!</v>
      </c>
      <c r="AK121" t="e">
        <f>装备!#REF!</f>
        <v>#REF!</v>
      </c>
      <c r="AL121" t="e">
        <f>装备!#REF!</f>
        <v>#REF!</v>
      </c>
      <c r="AM121" t="e">
        <f>装备!#REF!</f>
        <v>#REF!</v>
      </c>
      <c r="AN121" t="e">
        <f>装备!#REF!</f>
        <v>#REF!</v>
      </c>
      <c r="AO121" t="e">
        <f>装备!#REF!</f>
        <v>#REF!</v>
      </c>
      <c r="AP121" t="e">
        <f>装备!#REF!</f>
        <v>#REF!</v>
      </c>
      <c r="AQ121" t="e">
        <f>装备!#REF!</f>
        <v>#REF!</v>
      </c>
      <c r="AR121" t="e">
        <f>装备!#REF!</f>
        <v>#REF!</v>
      </c>
      <c r="AS121" t="e">
        <f>装备!#REF!</f>
        <v>#REF!</v>
      </c>
      <c r="AT121" t="e">
        <f t="shared" si="17"/>
        <v>#REF!</v>
      </c>
      <c r="AU121" t="e">
        <f>装备!#REF!</f>
        <v>#REF!</v>
      </c>
      <c r="AV121" t="e">
        <f>装备!#REF!</f>
        <v>#REF!</v>
      </c>
      <c r="AW121" t="e">
        <f>装备!#REF!</f>
        <v>#REF!</v>
      </c>
      <c r="AX121" t="e">
        <f>装备!#REF!</f>
        <v>#REF!</v>
      </c>
      <c r="AY121" t="e">
        <f>装备!#REF!</f>
        <v>#REF!</v>
      </c>
      <c r="AZ121" t="e">
        <f>装备!#REF!</f>
        <v>#REF!</v>
      </c>
      <c r="BA121" t="e">
        <f>装备!#REF!</f>
        <v>#REF!</v>
      </c>
      <c r="BB121" t="e">
        <f>装备!#REF!</f>
        <v>#REF!</v>
      </c>
      <c r="BC121" t="e">
        <f>装备!#REF!</f>
        <v>#REF!</v>
      </c>
      <c r="BD121" t="e">
        <f>装备!#REF!</f>
        <v>#REF!</v>
      </c>
      <c r="BE121" t="e">
        <f t="shared" si="18"/>
        <v>#REF!</v>
      </c>
      <c r="BF121" t="e">
        <f>装备!#REF!</f>
        <v>#REF!</v>
      </c>
      <c r="BG121" t="e">
        <f>装备!#REF!</f>
        <v>#REF!</v>
      </c>
      <c r="BH121" t="e">
        <f>装备!#REF!</f>
        <v>#REF!</v>
      </c>
      <c r="BI121" t="e">
        <f>装备!#REF!</f>
        <v>#REF!</v>
      </c>
      <c r="BJ121" t="e">
        <f>装备!#REF!</f>
        <v>#REF!</v>
      </c>
      <c r="BK121" t="e">
        <f>装备!#REF!</f>
        <v>#REF!</v>
      </c>
      <c r="BL121" t="e">
        <f>装备!#REF!</f>
        <v>#REF!</v>
      </c>
      <c r="BM121" t="e">
        <f>装备!#REF!</f>
        <v>#REF!</v>
      </c>
      <c r="BN121" t="e">
        <f>装备!#REF!</f>
        <v>#REF!</v>
      </c>
      <c r="BO121" t="e">
        <f>装备!#REF!</f>
        <v>#REF!</v>
      </c>
      <c r="BP121" t="e">
        <f t="shared" si="19"/>
        <v>#REF!</v>
      </c>
      <c r="BQ121" t="e">
        <f>装备!#REF!</f>
        <v>#REF!</v>
      </c>
      <c r="BR121" t="e">
        <f>装备!#REF!</f>
        <v>#REF!</v>
      </c>
      <c r="BS121" t="e">
        <f>装备!#REF!</f>
        <v>#REF!</v>
      </c>
      <c r="BT121" t="e">
        <f>装备!#REF!</f>
        <v>#REF!</v>
      </c>
      <c r="BU121" t="e">
        <f>装备!#REF!</f>
        <v>#REF!</v>
      </c>
      <c r="BV121" t="e">
        <f>装备!#REF!</f>
        <v>#REF!</v>
      </c>
      <c r="BW121" t="e">
        <f>装备!#REF!</f>
        <v>#REF!</v>
      </c>
      <c r="BX121" t="e">
        <f>装备!#REF!</f>
        <v>#REF!</v>
      </c>
      <c r="BY121" t="e">
        <f>装备!#REF!</f>
        <v>#REF!</v>
      </c>
      <c r="BZ121" t="e">
        <f>装备!#REF!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装备!#REF!</f>
        <v>#REF!</v>
      </c>
      <c r="B122" t="e">
        <f>装备!#REF!</f>
        <v>#REF!</v>
      </c>
      <c r="C122" t="e">
        <f>装备!#REF!</f>
        <v>#REF!</v>
      </c>
      <c r="D122" t="e">
        <f>装备!#REF!</f>
        <v>#REF!</v>
      </c>
      <c r="E122" t="e">
        <f>装备!#REF!</f>
        <v>#REF!</v>
      </c>
      <c r="F122" t="e">
        <f>装备!#REF!</f>
        <v>#REF!</v>
      </c>
      <c r="G122" t="e">
        <f>装备!#REF!</f>
        <v>#REF!</v>
      </c>
      <c r="H122" t="e">
        <f>装备!#REF!</f>
        <v>#REF!</v>
      </c>
      <c r="I122" t="e">
        <f>装备!#REF!</f>
        <v>#REF!</v>
      </c>
      <c r="J122" t="e">
        <f>装备!#REF!</f>
        <v>#REF!</v>
      </c>
      <c r="K122" t="e">
        <f>装备!#REF!</f>
        <v>#REF!</v>
      </c>
      <c r="L122" t="e">
        <f>装备!#REF!</f>
        <v>#REF!</v>
      </c>
      <c r="M122" t="e">
        <f t="shared" si="14"/>
        <v>#REF!</v>
      </c>
      <c r="N122" t="e">
        <f>装备!#REF!</f>
        <v>#REF!</v>
      </c>
      <c r="O122" t="e">
        <f>装备!#REF!</f>
        <v>#REF!</v>
      </c>
      <c r="P122" t="e">
        <f>装备!#REF!</f>
        <v>#REF!</v>
      </c>
      <c r="Q122" t="e">
        <f>装备!#REF!</f>
        <v>#REF!</v>
      </c>
      <c r="R122" t="e">
        <f>装备!#REF!</f>
        <v>#REF!</v>
      </c>
      <c r="S122" t="e">
        <f>装备!#REF!</f>
        <v>#REF!</v>
      </c>
      <c r="T122" t="e">
        <f>装备!#REF!</f>
        <v>#REF!</v>
      </c>
      <c r="U122" t="e">
        <f>装备!#REF!</f>
        <v>#REF!</v>
      </c>
      <c r="V122" t="e">
        <f>装备!#REF!</f>
        <v>#REF!</v>
      </c>
      <c r="W122" t="e">
        <f>装备!#REF!</f>
        <v>#REF!</v>
      </c>
      <c r="X122" t="e">
        <f t="shared" si="15"/>
        <v>#REF!</v>
      </c>
      <c r="Y122" t="e">
        <f>装备!#REF!</f>
        <v>#REF!</v>
      </c>
      <c r="Z122" t="e">
        <f>装备!#REF!</f>
        <v>#REF!</v>
      </c>
      <c r="AA122" t="e">
        <f>装备!#REF!</f>
        <v>#REF!</v>
      </c>
      <c r="AB122" t="e">
        <f>装备!#REF!</f>
        <v>#REF!</v>
      </c>
      <c r="AC122" t="e">
        <f>装备!#REF!</f>
        <v>#REF!</v>
      </c>
      <c r="AD122" t="e">
        <f>装备!#REF!</f>
        <v>#REF!</v>
      </c>
      <c r="AE122" t="e">
        <f>装备!#REF!</f>
        <v>#REF!</v>
      </c>
      <c r="AF122" t="e">
        <f>装备!#REF!</f>
        <v>#REF!</v>
      </c>
      <c r="AG122" t="e">
        <f>装备!#REF!</f>
        <v>#REF!</v>
      </c>
      <c r="AH122" t="e">
        <f>装备!#REF!</f>
        <v>#REF!</v>
      </c>
      <c r="AI122" t="e">
        <f t="shared" si="16"/>
        <v>#REF!</v>
      </c>
      <c r="AJ122" t="e">
        <f>装备!#REF!</f>
        <v>#REF!</v>
      </c>
      <c r="AK122" t="e">
        <f>装备!#REF!</f>
        <v>#REF!</v>
      </c>
      <c r="AL122" t="e">
        <f>装备!#REF!</f>
        <v>#REF!</v>
      </c>
      <c r="AM122" t="e">
        <f>装备!#REF!</f>
        <v>#REF!</v>
      </c>
      <c r="AN122" t="e">
        <f>装备!#REF!</f>
        <v>#REF!</v>
      </c>
      <c r="AO122" t="e">
        <f>装备!#REF!</f>
        <v>#REF!</v>
      </c>
      <c r="AP122" t="e">
        <f>装备!#REF!</f>
        <v>#REF!</v>
      </c>
      <c r="AQ122" t="e">
        <f>装备!#REF!</f>
        <v>#REF!</v>
      </c>
      <c r="AR122" t="e">
        <f>装备!#REF!</f>
        <v>#REF!</v>
      </c>
      <c r="AS122" t="e">
        <f>装备!#REF!</f>
        <v>#REF!</v>
      </c>
      <c r="AT122" t="e">
        <f t="shared" si="17"/>
        <v>#REF!</v>
      </c>
      <c r="AU122" t="e">
        <f>装备!#REF!</f>
        <v>#REF!</v>
      </c>
      <c r="AV122" t="e">
        <f>装备!#REF!</f>
        <v>#REF!</v>
      </c>
      <c r="AW122" t="e">
        <f>装备!#REF!</f>
        <v>#REF!</v>
      </c>
      <c r="AX122" t="e">
        <f>装备!#REF!</f>
        <v>#REF!</v>
      </c>
      <c r="AY122" t="e">
        <f>装备!#REF!</f>
        <v>#REF!</v>
      </c>
      <c r="AZ122" t="e">
        <f>装备!#REF!</f>
        <v>#REF!</v>
      </c>
      <c r="BA122" t="e">
        <f>装备!#REF!</f>
        <v>#REF!</v>
      </c>
      <c r="BB122" t="e">
        <f>装备!#REF!</f>
        <v>#REF!</v>
      </c>
      <c r="BC122" t="e">
        <f>装备!#REF!</f>
        <v>#REF!</v>
      </c>
      <c r="BD122" t="e">
        <f>装备!#REF!</f>
        <v>#REF!</v>
      </c>
      <c r="BE122" t="e">
        <f t="shared" si="18"/>
        <v>#REF!</v>
      </c>
      <c r="BF122" t="e">
        <f>装备!#REF!</f>
        <v>#REF!</v>
      </c>
      <c r="BG122" t="e">
        <f>装备!#REF!</f>
        <v>#REF!</v>
      </c>
      <c r="BH122" t="e">
        <f>装备!#REF!</f>
        <v>#REF!</v>
      </c>
      <c r="BI122" t="e">
        <f>装备!#REF!</f>
        <v>#REF!</v>
      </c>
      <c r="BJ122" t="e">
        <f>装备!#REF!</f>
        <v>#REF!</v>
      </c>
      <c r="BK122" t="e">
        <f>装备!#REF!</f>
        <v>#REF!</v>
      </c>
      <c r="BL122" t="e">
        <f>装备!#REF!</f>
        <v>#REF!</v>
      </c>
      <c r="BM122" t="e">
        <f>装备!#REF!</f>
        <v>#REF!</v>
      </c>
      <c r="BN122" t="e">
        <f>装备!#REF!</f>
        <v>#REF!</v>
      </c>
      <c r="BO122" t="e">
        <f>装备!#REF!</f>
        <v>#REF!</v>
      </c>
      <c r="BP122" t="e">
        <f t="shared" si="19"/>
        <v>#REF!</v>
      </c>
      <c r="BQ122" t="e">
        <f>装备!#REF!</f>
        <v>#REF!</v>
      </c>
      <c r="BR122" t="e">
        <f>装备!#REF!</f>
        <v>#REF!</v>
      </c>
      <c r="BS122" t="e">
        <f>装备!#REF!</f>
        <v>#REF!</v>
      </c>
      <c r="BT122" t="e">
        <f>装备!#REF!</f>
        <v>#REF!</v>
      </c>
      <c r="BU122" t="e">
        <f>装备!#REF!</f>
        <v>#REF!</v>
      </c>
      <c r="BV122" t="e">
        <f>装备!#REF!</f>
        <v>#REF!</v>
      </c>
      <c r="BW122" t="e">
        <f>装备!#REF!</f>
        <v>#REF!</v>
      </c>
      <c r="BX122" t="e">
        <f>装备!#REF!</f>
        <v>#REF!</v>
      </c>
      <c r="BY122" t="e">
        <f>装备!#REF!</f>
        <v>#REF!</v>
      </c>
      <c r="BZ122" t="e">
        <f>装备!#REF!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装备!#REF!</f>
        <v>#REF!</v>
      </c>
      <c r="B123" t="e">
        <f>装备!#REF!</f>
        <v>#REF!</v>
      </c>
      <c r="C123" t="e">
        <f>装备!#REF!</f>
        <v>#REF!</v>
      </c>
      <c r="D123" t="e">
        <f>装备!#REF!</f>
        <v>#REF!</v>
      </c>
      <c r="E123" t="e">
        <f>装备!#REF!</f>
        <v>#REF!</v>
      </c>
      <c r="F123" t="e">
        <f>装备!#REF!</f>
        <v>#REF!</v>
      </c>
      <c r="G123" t="e">
        <f>装备!#REF!</f>
        <v>#REF!</v>
      </c>
      <c r="H123" t="e">
        <f>装备!#REF!</f>
        <v>#REF!</v>
      </c>
      <c r="I123" t="e">
        <f>装备!#REF!</f>
        <v>#REF!</v>
      </c>
      <c r="J123" t="e">
        <f>装备!#REF!</f>
        <v>#REF!</v>
      </c>
      <c r="K123" t="e">
        <f>装备!#REF!</f>
        <v>#REF!</v>
      </c>
      <c r="L123" t="e">
        <f>装备!#REF!</f>
        <v>#REF!</v>
      </c>
      <c r="M123" t="e">
        <f t="shared" si="14"/>
        <v>#REF!</v>
      </c>
      <c r="N123" t="e">
        <f>装备!#REF!</f>
        <v>#REF!</v>
      </c>
      <c r="O123" t="e">
        <f>装备!#REF!</f>
        <v>#REF!</v>
      </c>
      <c r="P123" t="e">
        <f>装备!#REF!</f>
        <v>#REF!</v>
      </c>
      <c r="Q123" t="e">
        <f>装备!#REF!</f>
        <v>#REF!</v>
      </c>
      <c r="R123" t="e">
        <f>装备!#REF!</f>
        <v>#REF!</v>
      </c>
      <c r="S123" t="e">
        <f>装备!#REF!</f>
        <v>#REF!</v>
      </c>
      <c r="T123" t="e">
        <f>装备!#REF!</f>
        <v>#REF!</v>
      </c>
      <c r="U123" t="e">
        <f>装备!#REF!</f>
        <v>#REF!</v>
      </c>
      <c r="V123" t="e">
        <f>装备!#REF!</f>
        <v>#REF!</v>
      </c>
      <c r="W123" t="e">
        <f>装备!#REF!</f>
        <v>#REF!</v>
      </c>
      <c r="X123" t="e">
        <f t="shared" si="15"/>
        <v>#REF!</v>
      </c>
      <c r="Y123" t="e">
        <f>装备!#REF!</f>
        <v>#REF!</v>
      </c>
      <c r="Z123" t="e">
        <f>装备!#REF!</f>
        <v>#REF!</v>
      </c>
      <c r="AA123" t="e">
        <f>装备!#REF!</f>
        <v>#REF!</v>
      </c>
      <c r="AB123" t="e">
        <f>装备!#REF!</f>
        <v>#REF!</v>
      </c>
      <c r="AC123" t="e">
        <f>装备!#REF!</f>
        <v>#REF!</v>
      </c>
      <c r="AD123" t="e">
        <f>装备!#REF!</f>
        <v>#REF!</v>
      </c>
      <c r="AE123" t="e">
        <f>装备!#REF!</f>
        <v>#REF!</v>
      </c>
      <c r="AF123" t="e">
        <f>装备!#REF!</f>
        <v>#REF!</v>
      </c>
      <c r="AG123" t="e">
        <f>装备!#REF!</f>
        <v>#REF!</v>
      </c>
      <c r="AH123" t="e">
        <f>装备!#REF!</f>
        <v>#REF!</v>
      </c>
      <c r="AI123" t="e">
        <f t="shared" si="16"/>
        <v>#REF!</v>
      </c>
      <c r="AJ123" t="e">
        <f>装备!#REF!</f>
        <v>#REF!</v>
      </c>
      <c r="AK123" t="e">
        <f>装备!#REF!</f>
        <v>#REF!</v>
      </c>
      <c r="AL123" t="e">
        <f>装备!#REF!</f>
        <v>#REF!</v>
      </c>
      <c r="AM123" t="e">
        <f>装备!#REF!</f>
        <v>#REF!</v>
      </c>
      <c r="AN123" t="e">
        <f>装备!#REF!</f>
        <v>#REF!</v>
      </c>
      <c r="AO123" t="e">
        <f>装备!#REF!</f>
        <v>#REF!</v>
      </c>
      <c r="AP123" t="e">
        <f>装备!#REF!</f>
        <v>#REF!</v>
      </c>
      <c r="AQ123" t="e">
        <f>装备!#REF!</f>
        <v>#REF!</v>
      </c>
      <c r="AR123" t="e">
        <f>装备!#REF!</f>
        <v>#REF!</v>
      </c>
      <c r="AS123" t="e">
        <f>装备!#REF!</f>
        <v>#REF!</v>
      </c>
      <c r="AT123" t="e">
        <f t="shared" si="17"/>
        <v>#REF!</v>
      </c>
      <c r="AU123" t="e">
        <f>装备!#REF!</f>
        <v>#REF!</v>
      </c>
      <c r="AV123" t="e">
        <f>装备!#REF!</f>
        <v>#REF!</v>
      </c>
      <c r="AW123" t="e">
        <f>装备!#REF!</f>
        <v>#REF!</v>
      </c>
      <c r="AX123" t="e">
        <f>装备!#REF!</f>
        <v>#REF!</v>
      </c>
      <c r="AY123" t="e">
        <f>装备!#REF!</f>
        <v>#REF!</v>
      </c>
      <c r="AZ123" t="e">
        <f>装备!#REF!</f>
        <v>#REF!</v>
      </c>
      <c r="BA123" t="e">
        <f>装备!#REF!</f>
        <v>#REF!</v>
      </c>
      <c r="BB123" t="e">
        <f>装备!#REF!</f>
        <v>#REF!</v>
      </c>
      <c r="BC123" t="e">
        <f>装备!#REF!</f>
        <v>#REF!</v>
      </c>
      <c r="BD123" t="e">
        <f>装备!#REF!</f>
        <v>#REF!</v>
      </c>
      <c r="BE123" t="e">
        <f t="shared" si="18"/>
        <v>#REF!</v>
      </c>
      <c r="BF123" t="e">
        <f>装备!#REF!</f>
        <v>#REF!</v>
      </c>
      <c r="BG123" t="e">
        <f>装备!#REF!</f>
        <v>#REF!</v>
      </c>
      <c r="BH123" t="e">
        <f>装备!#REF!</f>
        <v>#REF!</v>
      </c>
      <c r="BI123" t="e">
        <f>装备!#REF!</f>
        <v>#REF!</v>
      </c>
      <c r="BJ123" t="e">
        <f>装备!#REF!</f>
        <v>#REF!</v>
      </c>
      <c r="BK123" t="e">
        <f>装备!#REF!</f>
        <v>#REF!</v>
      </c>
      <c r="BL123" t="e">
        <f>装备!#REF!</f>
        <v>#REF!</v>
      </c>
      <c r="BM123" t="e">
        <f>装备!#REF!</f>
        <v>#REF!</v>
      </c>
      <c r="BN123" t="e">
        <f>装备!#REF!</f>
        <v>#REF!</v>
      </c>
      <c r="BO123" t="e">
        <f>装备!#REF!</f>
        <v>#REF!</v>
      </c>
      <c r="BP123" t="e">
        <f t="shared" si="19"/>
        <v>#REF!</v>
      </c>
      <c r="BQ123" t="e">
        <f>装备!#REF!</f>
        <v>#REF!</v>
      </c>
      <c r="BR123" t="e">
        <f>装备!#REF!</f>
        <v>#REF!</v>
      </c>
      <c r="BS123" t="e">
        <f>装备!#REF!</f>
        <v>#REF!</v>
      </c>
      <c r="BT123" t="e">
        <f>装备!#REF!</f>
        <v>#REF!</v>
      </c>
      <c r="BU123" t="e">
        <f>装备!#REF!</f>
        <v>#REF!</v>
      </c>
      <c r="BV123" t="e">
        <f>装备!#REF!</f>
        <v>#REF!</v>
      </c>
      <c r="BW123" t="e">
        <f>装备!#REF!</f>
        <v>#REF!</v>
      </c>
      <c r="BX123" t="e">
        <f>装备!#REF!</f>
        <v>#REF!</v>
      </c>
      <c r="BY123" t="e">
        <f>装备!#REF!</f>
        <v>#REF!</v>
      </c>
      <c r="BZ123" t="e">
        <f>装备!#REF!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装备!#REF!</f>
        <v>#REF!</v>
      </c>
      <c r="B124" t="e">
        <f>装备!#REF!</f>
        <v>#REF!</v>
      </c>
      <c r="C124" t="e">
        <f>装备!#REF!</f>
        <v>#REF!</v>
      </c>
      <c r="D124" t="e">
        <f>装备!#REF!</f>
        <v>#REF!</v>
      </c>
      <c r="E124" t="e">
        <f>装备!#REF!</f>
        <v>#REF!</v>
      </c>
      <c r="F124" t="e">
        <f>装备!#REF!</f>
        <v>#REF!</v>
      </c>
      <c r="G124" t="e">
        <f>装备!#REF!</f>
        <v>#REF!</v>
      </c>
      <c r="H124" t="e">
        <f>装备!#REF!</f>
        <v>#REF!</v>
      </c>
      <c r="I124" t="e">
        <f>装备!#REF!</f>
        <v>#REF!</v>
      </c>
      <c r="J124" t="e">
        <f>装备!#REF!</f>
        <v>#REF!</v>
      </c>
      <c r="K124" t="e">
        <f>装备!#REF!</f>
        <v>#REF!</v>
      </c>
      <c r="L124" t="e">
        <f>装备!#REF!</f>
        <v>#REF!</v>
      </c>
      <c r="M124" t="e">
        <f t="shared" si="14"/>
        <v>#REF!</v>
      </c>
      <c r="N124" t="e">
        <f>装备!#REF!</f>
        <v>#REF!</v>
      </c>
      <c r="O124" t="e">
        <f>装备!#REF!</f>
        <v>#REF!</v>
      </c>
      <c r="P124" t="e">
        <f>装备!#REF!</f>
        <v>#REF!</v>
      </c>
      <c r="Q124" t="e">
        <f>装备!#REF!</f>
        <v>#REF!</v>
      </c>
      <c r="R124" t="e">
        <f>装备!#REF!</f>
        <v>#REF!</v>
      </c>
      <c r="S124" t="e">
        <f>装备!#REF!</f>
        <v>#REF!</v>
      </c>
      <c r="T124" t="e">
        <f>装备!#REF!</f>
        <v>#REF!</v>
      </c>
      <c r="U124" t="e">
        <f>装备!#REF!</f>
        <v>#REF!</v>
      </c>
      <c r="V124" t="e">
        <f>装备!#REF!</f>
        <v>#REF!</v>
      </c>
      <c r="W124" t="e">
        <f>装备!#REF!</f>
        <v>#REF!</v>
      </c>
      <c r="X124" t="e">
        <f t="shared" si="15"/>
        <v>#REF!</v>
      </c>
      <c r="Y124" t="e">
        <f>装备!#REF!</f>
        <v>#REF!</v>
      </c>
      <c r="Z124" t="e">
        <f>装备!#REF!</f>
        <v>#REF!</v>
      </c>
      <c r="AA124" t="e">
        <f>装备!#REF!</f>
        <v>#REF!</v>
      </c>
      <c r="AB124" t="e">
        <f>装备!#REF!</f>
        <v>#REF!</v>
      </c>
      <c r="AC124" t="e">
        <f>装备!#REF!</f>
        <v>#REF!</v>
      </c>
      <c r="AD124" t="e">
        <f>装备!#REF!</f>
        <v>#REF!</v>
      </c>
      <c r="AE124" t="e">
        <f>装备!#REF!</f>
        <v>#REF!</v>
      </c>
      <c r="AF124" t="e">
        <f>装备!#REF!</f>
        <v>#REF!</v>
      </c>
      <c r="AG124" t="e">
        <f>装备!#REF!</f>
        <v>#REF!</v>
      </c>
      <c r="AH124" t="e">
        <f>装备!#REF!</f>
        <v>#REF!</v>
      </c>
      <c r="AI124" t="e">
        <f t="shared" si="16"/>
        <v>#REF!</v>
      </c>
      <c r="AJ124" t="e">
        <f>装备!#REF!</f>
        <v>#REF!</v>
      </c>
      <c r="AK124" t="e">
        <f>装备!#REF!</f>
        <v>#REF!</v>
      </c>
      <c r="AL124" t="e">
        <f>装备!#REF!</f>
        <v>#REF!</v>
      </c>
      <c r="AM124" t="e">
        <f>装备!#REF!</f>
        <v>#REF!</v>
      </c>
      <c r="AN124" t="e">
        <f>装备!#REF!</f>
        <v>#REF!</v>
      </c>
      <c r="AO124" t="e">
        <f>装备!#REF!</f>
        <v>#REF!</v>
      </c>
      <c r="AP124" t="e">
        <f>装备!#REF!</f>
        <v>#REF!</v>
      </c>
      <c r="AQ124" t="e">
        <f>装备!#REF!</f>
        <v>#REF!</v>
      </c>
      <c r="AR124" t="e">
        <f>装备!#REF!</f>
        <v>#REF!</v>
      </c>
      <c r="AS124" t="e">
        <f>装备!#REF!</f>
        <v>#REF!</v>
      </c>
      <c r="AT124" t="e">
        <f t="shared" si="17"/>
        <v>#REF!</v>
      </c>
      <c r="AU124" t="e">
        <f>装备!#REF!</f>
        <v>#REF!</v>
      </c>
      <c r="AV124" t="e">
        <f>装备!#REF!</f>
        <v>#REF!</v>
      </c>
      <c r="AW124" t="e">
        <f>装备!#REF!</f>
        <v>#REF!</v>
      </c>
      <c r="AX124" t="e">
        <f>装备!#REF!</f>
        <v>#REF!</v>
      </c>
      <c r="AY124" t="e">
        <f>装备!#REF!</f>
        <v>#REF!</v>
      </c>
      <c r="AZ124" t="e">
        <f>装备!#REF!</f>
        <v>#REF!</v>
      </c>
      <c r="BA124" t="e">
        <f>装备!#REF!</f>
        <v>#REF!</v>
      </c>
      <c r="BB124" t="e">
        <f>装备!#REF!</f>
        <v>#REF!</v>
      </c>
      <c r="BC124" t="e">
        <f>装备!#REF!</f>
        <v>#REF!</v>
      </c>
      <c r="BD124" t="e">
        <f>装备!#REF!</f>
        <v>#REF!</v>
      </c>
      <c r="BE124" t="e">
        <f t="shared" si="18"/>
        <v>#REF!</v>
      </c>
      <c r="BF124" t="e">
        <f>装备!#REF!</f>
        <v>#REF!</v>
      </c>
      <c r="BG124" t="e">
        <f>装备!#REF!</f>
        <v>#REF!</v>
      </c>
      <c r="BH124" t="e">
        <f>装备!#REF!</f>
        <v>#REF!</v>
      </c>
      <c r="BI124" t="e">
        <f>装备!#REF!</f>
        <v>#REF!</v>
      </c>
      <c r="BJ124" t="e">
        <f>装备!#REF!</f>
        <v>#REF!</v>
      </c>
      <c r="BK124" t="e">
        <f>装备!#REF!</f>
        <v>#REF!</v>
      </c>
      <c r="BL124" t="e">
        <f>装备!#REF!</f>
        <v>#REF!</v>
      </c>
      <c r="BM124" t="e">
        <f>装备!#REF!</f>
        <v>#REF!</v>
      </c>
      <c r="BN124" t="e">
        <f>装备!#REF!</f>
        <v>#REF!</v>
      </c>
      <c r="BO124" t="e">
        <f>装备!#REF!</f>
        <v>#REF!</v>
      </c>
      <c r="BP124" t="e">
        <f t="shared" si="19"/>
        <v>#REF!</v>
      </c>
      <c r="BQ124" t="e">
        <f>装备!#REF!</f>
        <v>#REF!</v>
      </c>
      <c r="BR124" t="e">
        <f>装备!#REF!</f>
        <v>#REF!</v>
      </c>
      <c r="BS124" t="e">
        <f>装备!#REF!</f>
        <v>#REF!</v>
      </c>
      <c r="BT124" t="e">
        <f>装备!#REF!</f>
        <v>#REF!</v>
      </c>
      <c r="BU124" t="e">
        <f>装备!#REF!</f>
        <v>#REF!</v>
      </c>
      <c r="BV124" t="e">
        <f>装备!#REF!</f>
        <v>#REF!</v>
      </c>
      <c r="BW124" t="e">
        <f>装备!#REF!</f>
        <v>#REF!</v>
      </c>
      <c r="BX124" t="e">
        <f>装备!#REF!</f>
        <v>#REF!</v>
      </c>
      <c r="BY124" t="e">
        <f>装备!#REF!</f>
        <v>#REF!</v>
      </c>
      <c r="BZ124" t="e">
        <f>装备!#REF!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装备!#REF!</f>
        <v>#REF!</v>
      </c>
      <c r="B125" t="e">
        <f>装备!#REF!</f>
        <v>#REF!</v>
      </c>
      <c r="C125" t="e">
        <f>装备!#REF!</f>
        <v>#REF!</v>
      </c>
      <c r="D125" t="e">
        <f>装备!#REF!</f>
        <v>#REF!</v>
      </c>
      <c r="E125" t="e">
        <f>装备!#REF!</f>
        <v>#REF!</v>
      </c>
      <c r="F125" t="e">
        <f>装备!#REF!</f>
        <v>#REF!</v>
      </c>
      <c r="G125" t="e">
        <f>装备!#REF!</f>
        <v>#REF!</v>
      </c>
      <c r="H125" t="e">
        <f>装备!#REF!</f>
        <v>#REF!</v>
      </c>
      <c r="I125" t="e">
        <f>装备!#REF!</f>
        <v>#REF!</v>
      </c>
      <c r="J125" t="e">
        <f>装备!#REF!</f>
        <v>#REF!</v>
      </c>
      <c r="K125" t="e">
        <f>装备!#REF!</f>
        <v>#REF!</v>
      </c>
      <c r="L125" t="e">
        <f>装备!#REF!</f>
        <v>#REF!</v>
      </c>
      <c r="M125" t="e">
        <f t="shared" si="14"/>
        <v>#REF!</v>
      </c>
      <c r="N125" t="e">
        <f>装备!#REF!</f>
        <v>#REF!</v>
      </c>
      <c r="O125" t="e">
        <f>装备!#REF!</f>
        <v>#REF!</v>
      </c>
      <c r="P125" t="e">
        <f>装备!#REF!</f>
        <v>#REF!</v>
      </c>
      <c r="Q125" t="e">
        <f>装备!#REF!</f>
        <v>#REF!</v>
      </c>
      <c r="R125" t="e">
        <f>装备!#REF!</f>
        <v>#REF!</v>
      </c>
      <c r="S125" t="e">
        <f>装备!#REF!</f>
        <v>#REF!</v>
      </c>
      <c r="T125" t="e">
        <f>装备!#REF!</f>
        <v>#REF!</v>
      </c>
      <c r="U125" t="e">
        <f>装备!#REF!</f>
        <v>#REF!</v>
      </c>
      <c r="V125" t="e">
        <f>装备!#REF!</f>
        <v>#REF!</v>
      </c>
      <c r="W125" t="e">
        <f>装备!#REF!</f>
        <v>#REF!</v>
      </c>
      <c r="X125" t="e">
        <f t="shared" si="15"/>
        <v>#REF!</v>
      </c>
      <c r="Y125" t="e">
        <f>装备!#REF!</f>
        <v>#REF!</v>
      </c>
      <c r="Z125" t="e">
        <f>装备!#REF!</f>
        <v>#REF!</v>
      </c>
      <c r="AA125" t="e">
        <f>装备!#REF!</f>
        <v>#REF!</v>
      </c>
      <c r="AB125" t="e">
        <f>装备!#REF!</f>
        <v>#REF!</v>
      </c>
      <c r="AC125" t="e">
        <f>装备!#REF!</f>
        <v>#REF!</v>
      </c>
      <c r="AD125" t="e">
        <f>装备!#REF!</f>
        <v>#REF!</v>
      </c>
      <c r="AE125" t="e">
        <f>装备!#REF!</f>
        <v>#REF!</v>
      </c>
      <c r="AF125" t="e">
        <f>装备!#REF!</f>
        <v>#REF!</v>
      </c>
      <c r="AG125" t="e">
        <f>装备!#REF!</f>
        <v>#REF!</v>
      </c>
      <c r="AH125" t="e">
        <f>装备!#REF!</f>
        <v>#REF!</v>
      </c>
      <c r="AI125" t="e">
        <f t="shared" si="16"/>
        <v>#REF!</v>
      </c>
      <c r="AJ125" t="e">
        <f>装备!#REF!</f>
        <v>#REF!</v>
      </c>
      <c r="AK125" t="e">
        <f>装备!#REF!</f>
        <v>#REF!</v>
      </c>
      <c r="AL125" t="e">
        <f>装备!#REF!</f>
        <v>#REF!</v>
      </c>
      <c r="AM125" t="e">
        <f>装备!#REF!</f>
        <v>#REF!</v>
      </c>
      <c r="AN125" t="e">
        <f>装备!#REF!</f>
        <v>#REF!</v>
      </c>
      <c r="AO125" t="e">
        <f>装备!#REF!</f>
        <v>#REF!</v>
      </c>
      <c r="AP125" t="e">
        <f>装备!#REF!</f>
        <v>#REF!</v>
      </c>
      <c r="AQ125" t="e">
        <f>装备!#REF!</f>
        <v>#REF!</v>
      </c>
      <c r="AR125" t="e">
        <f>装备!#REF!</f>
        <v>#REF!</v>
      </c>
      <c r="AS125" t="e">
        <f>装备!#REF!</f>
        <v>#REF!</v>
      </c>
      <c r="AT125" t="e">
        <f t="shared" si="17"/>
        <v>#REF!</v>
      </c>
      <c r="AU125" t="e">
        <f>装备!#REF!</f>
        <v>#REF!</v>
      </c>
      <c r="AV125" t="e">
        <f>装备!#REF!</f>
        <v>#REF!</v>
      </c>
      <c r="AW125" t="e">
        <f>装备!#REF!</f>
        <v>#REF!</v>
      </c>
      <c r="AX125" t="e">
        <f>装备!#REF!</f>
        <v>#REF!</v>
      </c>
      <c r="AY125" t="e">
        <f>装备!#REF!</f>
        <v>#REF!</v>
      </c>
      <c r="AZ125" t="e">
        <f>装备!#REF!</f>
        <v>#REF!</v>
      </c>
      <c r="BA125" t="e">
        <f>装备!#REF!</f>
        <v>#REF!</v>
      </c>
      <c r="BB125" t="e">
        <f>装备!#REF!</f>
        <v>#REF!</v>
      </c>
      <c r="BC125" t="e">
        <f>装备!#REF!</f>
        <v>#REF!</v>
      </c>
      <c r="BD125" t="e">
        <f>装备!#REF!</f>
        <v>#REF!</v>
      </c>
      <c r="BE125" t="e">
        <f t="shared" si="18"/>
        <v>#REF!</v>
      </c>
      <c r="BF125" t="e">
        <f>装备!#REF!</f>
        <v>#REF!</v>
      </c>
      <c r="BG125" t="e">
        <f>装备!#REF!</f>
        <v>#REF!</v>
      </c>
      <c r="BH125" t="e">
        <f>装备!#REF!</f>
        <v>#REF!</v>
      </c>
      <c r="BI125" t="e">
        <f>装备!#REF!</f>
        <v>#REF!</v>
      </c>
      <c r="BJ125" t="e">
        <f>装备!#REF!</f>
        <v>#REF!</v>
      </c>
      <c r="BK125" t="e">
        <f>装备!#REF!</f>
        <v>#REF!</v>
      </c>
      <c r="BL125" t="e">
        <f>装备!#REF!</f>
        <v>#REF!</v>
      </c>
      <c r="BM125" t="e">
        <f>装备!#REF!</f>
        <v>#REF!</v>
      </c>
      <c r="BN125" t="e">
        <f>装备!#REF!</f>
        <v>#REF!</v>
      </c>
      <c r="BO125" t="e">
        <f>装备!#REF!</f>
        <v>#REF!</v>
      </c>
      <c r="BP125" t="e">
        <f t="shared" si="19"/>
        <v>#REF!</v>
      </c>
      <c r="BQ125" t="e">
        <f>装备!#REF!</f>
        <v>#REF!</v>
      </c>
      <c r="BR125" t="e">
        <f>装备!#REF!</f>
        <v>#REF!</v>
      </c>
      <c r="BS125" t="e">
        <f>装备!#REF!</f>
        <v>#REF!</v>
      </c>
      <c r="BT125" t="e">
        <f>装备!#REF!</f>
        <v>#REF!</v>
      </c>
      <c r="BU125" t="e">
        <f>装备!#REF!</f>
        <v>#REF!</v>
      </c>
      <c r="BV125" t="e">
        <f>装备!#REF!</f>
        <v>#REF!</v>
      </c>
      <c r="BW125" t="e">
        <f>装备!#REF!</f>
        <v>#REF!</v>
      </c>
      <c r="BX125" t="e">
        <f>装备!#REF!</f>
        <v>#REF!</v>
      </c>
      <c r="BY125" t="e">
        <f>装备!#REF!</f>
        <v>#REF!</v>
      </c>
      <c r="BZ125" t="e">
        <f>装备!#REF!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装备!#REF!</f>
        <v>#REF!</v>
      </c>
      <c r="B126" t="e">
        <f>装备!#REF!</f>
        <v>#REF!</v>
      </c>
      <c r="C126" t="e">
        <f>装备!#REF!</f>
        <v>#REF!</v>
      </c>
      <c r="D126" t="e">
        <f>装备!#REF!</f>
        <v>#REF!</v>
      </c>
      <c r="E126" t="e">
        <f>装备!#REF!</f>
        <v>#REF!</v>
      </c>
      <c r="F126" t="e">
        <f>装备!#REF!</f>
        <v>#REF!</v>
      </c>
      <c r="G126" t="e">
        <f>装备!#REF!</f>
        <v>#REF!</v>
      </c>
      <c r="H126" t="e">
        <f>装备!#REF!</f>
        <v>#REF!</v>
      </c>
      <c r="I126" t="e">
        <f>装备!#REF!</f>
        <v>#REF!</v>
      </c>
      <c r="J126" t="e">
        <f>装备!#REF!</f>
        <v>#REF!</v>
      </c>
      <c r="K126" t="e">
        <f>装备!#REF!</f>
        <v>#REF!</v>
      </c>
      <c r="L126" t="e">
        <f>装备!#REF!</f>
        <v>#REF!</v>
      </c>
      <c r="M126" t="e">
        <f t="shared" si="14"/>
        <v>#REF!</v>
      </c>
      <c r="N126" t="e">
        <f>装备!#REF!</f>
        <v>#REF!</v>
      </c>
      <c r="O126" t="e">
        <f>装备!#REF!</f>
        <v>#REF!</v>
      </c>
      <c r="P126" t="e">
        <f>装备!#REF!</f>
        <v>#REF!</v>
      </c>
      <c r="Q126" t="e">
        <f>装备!#REF!</f>
        <v>#REF!</v>
      </c>
      <c r="R126" t="e">
        <f>装备!#REF!</f>
        <v>#REF!</v>
      </c>
      <c r="S126" t="e">
        <f>装备!#REF!</f>
        <v>#REF!</v>
      </c>
      <c r="T126" t="e">
        <f>装备!#REF!</f>
        <v>#REF!</v>
      </c>
      <c r="U126" t="e">
        <f>装备!#REF!</f>
        <v>#REF!</v>
      </c>
      <c r="V126" t="e">
        <f>装备!#REF!</f>
        <v>#REF!</v>
      </c>
      <c r="W126" t="e">
        <f>装备!#REF!</f>
        <v>#REF!</v>
      </c>
      <c r="X126" t="e">
        <f t="shared" si="15"/>
        <v>#REF!</v>
      </c>
      <c r="Y126" t="e">
        <f>装备!#REF!</f>
        <v>#REF!</v>
      </c>
      <c r="Z126" t="e">
        <f>装备!#REF!</f>
        <v>#REF!</v>
      </c>
      <c r="AA126" t="e">
        <f>装备!#REF!</f>
        <v>#REF!</v>
      </c>
      <c r="AB126" t="e">
        <f>装备!#REF!</f>
        <v>#REF!</v>
      </c>
      <c r="AC126" t="e">
        <f>装备!#REF!</f>
        <v>#REF!</v>
      </c>
      <c r="AD126" t="e">
        <f>装备!#REF!</f>
        <v>#REF!</v>
      </c>
      <c r="AE126" t="e">
        <f>装备!#REF!</f>
        <v>#REF!</v>
      </c>
      <c r="AF126" t="e">
        <f>装备!#REF!</f>
        <v>#REF!</v>
      </c>
      <c r="AG126" t="e">
        <f>装备!#REF!</f>
        <v>#REF!</v>
      </c>
      <c r="AH126" t="e">
        <f>装备!#REF!</f>
        <v>#REF!</v>
      </c>
      <c r="AI126" t="e">
        <f t="shared" si="16"/>
        <v>#REF!</v>
      </c>
      <c r="AJ126" t="e">
        <f>装备!#REF!</f>
        <v>#REF!</v>
      </c>
      <c r="AK126" t="e">
        <f>装备!#REF!</f>
        <v>#REF!</v>
      </c>
      <c r="AL126" t="e">
        <f>装备!#REF!</f>
        <v>#REF!</v>
      </c>
      <c r="AM126" t="e">
        <f>装备!#REF!</f>
        <v>#REF!</v>
      </c>
      <c r="AN126" t="e">
        <f>装备!#REF!</f>
        <v>#REF!</v>
      </c>
      <c r="AO126" t="e">
        <f>装备!#REF!</f>
        <v>#REF!</v>
      </c>
      <c r="AP126" t="e">
        <f>装备!#REF!</f>
        <v>#REF!</v>
      </c>
      <c r="AQ126" t="e">
        <f>装备!#REF!</f>
        <v>#REF!</v>
      </c>
      <c r="AR126" t="e">
        <f>装备!#REF!</f>
        <v>#REF!</v>
      </c>
      <c r="AS126" t="e">
        <f>装备!#REF!</f>
        <v>#REF!</v>
      </c>
      <c r="AT126" t="e">
        <f t="shared" si="17"/>
        <v>#REF!</v>
      </c>
      <c r="AU126" t="e">
        <f>装备!#REF!</f>
        <v>#REF!</v>
      </c>
      <c r="AV126" t="e">
        <f>装备!#REF!</f>
        <v>#REF!</v>
      </c>
      <c r="AW126" t="e">
        <f>装备!#REF!</f>
        <v>#REF!</v>
      </c>
      <c r="AX126" t="e">
        <f>装备!#REF!</f>
        <v>#REF!</v>
      </c>
      <c r="AY126" t="e">
        <f>装备!#REF!</f>
        <v>#REF!</v>
      </c>
      <c r="AZ126" t="e">
        <f>装备!#REF!</f>
        <v>#REF!</v>
      </c>
      <c r="BA126" t="e">
        <f>装备!#REF!</f>
        <v>#REF!</v>
      </c>
      <c r="BB126" t="e">
        <f>装备!#REF!</f>
        <v>#REF!</v>
      </c>
      <c r="BC126" t="e">
        <f>装备!#REF!</f>
        <v>#REF!</v>
      </c>
      <c r="BD126" t="e">
        <f>装备!#REF!</f>
        <v>#REF!</v>
      </c>
      <c r="BE126" t="e">
        <f t="shared" si="18"/>
        <v>#REF!</v>
      </c>
      <c r="BF126" t="e">
        <f>装备!#REF!</f>
        <v>#REF!</v>
      </c>
      <c r="BG126" t="e">
        <f>装备!#REF!</f>
        <v>#REF!</v>
      </c>
      <c r="BH126" t="e">
        <f>装备!#REF!</f>
        <v>#REF!</v>
      </c>
      <c r="BI126" t="e">
        <f>装备!#REF!</f>
        <v>#REF!</v>
      </c>
      <c r="BJ126" t="e">
        <f>装备!#REF!</f>
        <v>#REF!</v>
      </c>
      <c r="BK126" t="e">
        <f>装备!#REF!</f>
        <v>#REF!</v>
      </c>
      <c r="BL126" t="e">
        <f>装备!#REF!</f>
        <v>#REF!</v>
      </c>
      <c r="BM126" t="e">
        <f>装备!#REF!</f>
        <v>#REF!</v>
      </c>
      <c r="BN126" t="e">
        <f>装备!#REF!</f>
        <v>#REF!</v>
      </c>
      <c r="BO126" t="e">
        <f>装备!#REF!</f>
        <v>#REF!</v>
      </c>
      <c r="BP126" t="e">
        <f t="shared" si="19"/>
        <v>#REF!</v>
      </c>
      <c r="BQ126" t="e">
        <f>装备!#REF!</f>
        <v>#REF!</v>
      </c>
      <c r="BR126" t="e">
        <f>装备!#REF!</f>
        <v>#REF!</v>
      </c>
      <c r="BS126" t="e">
        <f>装备!#REF!</f>
        <v>#REF!</v>
      </c>
      <c r="BT126" t="e">
        <f>装备!#REF!</f>
        <v>#REF!</v>
      </c>
      <c r="BU126" t="e">
        <f>装备!#REF!</f>
        <v>#REF!</v>
      </c>
      <c r="BV126" t="e">
        <f>装备!#REF!</f>
        <v>#REF!</v>
      </c>
      <c r="BW126" t="e">
        <f>装备!#REF!</f>
        <v>#REF!</v>
      </c>
      <c r="BX126" t="e">
        <f>装备!#REF!</f>
        <v>#REF!</v>
      </c>
      <c r="BY126" t="e">
        <f>装备!#REF!</f>
        <v>#REF!</v>
      </c>
      <c r="BZ126" t="e">
        <f>装备!#REF!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装备!#REF!</f>
        <v>#REF!</v>
      </c>
      <c r="B127" t="e">
        <f>装备!#REF!</f>
        <v>#REF!</v>
      </c>
      <c r="C127" t="e">
        <f>装备!#REF!</f>
        <v>#REF!</v>
      </c>
      <c r="D127" t="e">
        <f>装备!#REF!</f>
        <v>#REF!</v>
      </c>
      <c r="E127" t="e">
        <f>装备!#REF!</f>
        <v>#REF!</v>
      </c>
      <c r="F127" t="e">
        <f>装备!#REF!</f>
        <v>#REF!</v>
      </c>
      <c r="G127" t="e">
        <f>装备!#REF!</f>
        <v>#REF!</v>
      </c>
      <c r="H127" t="e">
        <f>装备!#REF!</f>
        <v>#REF!</v>
      </c>
      <c r="I127" t="e">
        <f>装备!#REF!</f>
        <v>#REF!</v>
      </c>
      <c r="J127" t="e">
        <f>装备!#REF!</f>
        <v>#REF!</v>
      </c>
      <c r="K127" t="e">
        <f>装备!#REF!</f>
        <v>#REF!</v>
      </c>
      <c r="L127" t="e">
        <f>装备!#REF!</f>
        <v>#REF!</v>
      </c>
      <c r="M127" t="e">
        <f t="shared" si="14"/>
        <v>#REF!</v>
      </c>
      <c r="N127" t="e">
        <f>装备!#REF!</f>
        <v>#REF!</v>
      </c>
      <c r="O127" t="e">
        <f>装备!#REF!</f>
        <v>#REF!</v>
      </c>
      <c r="P127" t="e">
        <f>装备!#REF!</f>
        <v>#REF!</v>
      </c>
      <c r="Q127" t="e">
        <f>装备!#REF!</f>
        <v>#REF!</v>
      </c>
      <c r="R127" t="e">
        <f>装备!#REF!</f>
        <v>#REF!</v>
      </c>
      <c r="S127" t="e">
        <f>装备!#REF!</f>
        <v>#REF!</v>
      </c>
      <c r="T127" t="e">
        <f>装备!#REF!</f>
        <v>#REF!</v>
      </c>
      <c r="U127" t="e">
        <f>装备!#REF!</f>
        <v>#REF!</v>
      </c>
      <c r="V127" t="e">
        <f>装备!#REF!</f>
        <v>#REF!</v>
      </c>
      <c r="W127" t="e">
        <f>装备!#REF!</f>
        <v>#REF!</v>
      </c>
      <c r="X127" t="e">
        <f t="shared" si="15"/>
        <v>#REF!</v>
      </c>
      <c r="Y127" t="e">
        <f>装备!#REF!</f>
        <v>#REF!</v>
      </c>
      <c r="Z127" t="e">
        <f>装备!#REF!</f>
        <v>#REF!</v>
      </c>
      <c r="AA127" t="e">
        <f>装备!#REF!</f>
        <v>#REF!</v>
      </c>
      <c r="AB127" t="e">
        <f>装备!#REF!</f>
        <v>#REF!</v>
      </c>
      <c r="AC127" t="e">
        <f>装备!#REF!</f>
        <v>#REF!</v>
      </c>
      <c r="AD127" t="e">
        <f>装备!#REF!</f>
        <v>#REF!</v>
      </c>
      <c r="AE127" t="e">
        <f>装备!#REF!</f>
        <v>#REF!</v>
      </c>
      <c r="AF127" t="e">
        <f>装备!#REF!</f>
        <v>#REF!</v>
      </c>
      <c r="AG127" t="e">
        <f>装备!#REF!</f>
        <v>#REF!</v>
      </c>
      <c r="AH127" t="e">
        <f>装备!#REF!</f>
        <v>#REF!</v>
      </c>
      <c r="AI127" t="e">
        <f t="shared" si="16"/>
        <v>#REF!</v>
      </c>
      <c r="AJ127" t="e">
        <f>装备!#REF!</f>
        <v>#REF!</v>
      </c>
      <c r="AK127" t="e">
        <f>装备!#REF!</f>
        <v>#REF!</v>
      </c>
      <c r="AL127" t="e">
        <f>装备!#REF!</f>
        <v>#REF!</v>
      </c>
      <c r="AM127" t="e">
        <f>装备!#REF!</f>
        <v>#REF!</v>
      </c>
      <c r="AN127" t="e">
        <f>装备!#REF!</f>
        <v>#REF!</v>
      </c>
      <c r="AO127" t="e">
        <f>装备!#REF!</f>
        <v>#REF!</v>
      </c>
      <c r="AP127" t="e">
        <f>装备!#REF!</f>
        <v>#REF!</v>
      </c>
      <c r="AQ127" t="e">
        <f>装备!#REF!</f>
        <v>#REF!</v>
      </c>
      <c r="AR127" t="e">
        <f>装备!#REF!</f>
        <v>#REF!</v>
      </c>
      <c r="AS127" t="e">
        <f>装备!#REF!</f>
        <v>#REF!</v>
      </c>
      <c r="AT127" t="e">
        <f t="shared" si="17"/>
        <v>#REF!</v>
      </c>
      <c r="AU127" t="e">
        <f>装备!#REF!</f>
        <v>#REF!</v>
      </c>
      <c r="AV127" t="e">
        <f>装备!#REF!</f>
        <v>#REF!</v>
      </c>
      <c r="AW127" t="e">
        <f>装备!#REF!</f>
        <v>#REF!</v>
      </c>
      <c r="AX127" t="e">
        <f>装备!#REF!</f>
        <v>#REF!</v>
      </c>
      <c r="AY127" t="e">
        <f>装备!#REF!</f>
        <v>#REF!</v>
      </c>
      <c r="AZ127" t="e">
        <f>装备!#REF!</f>
        <v>#REF!</v>
      </c>
      <c r="BA127" t="e">
        <f>装备!#REF!</f>
        <v>#REF!</v>
      </c>
      <c r="BB127" t="e">
        <f>装备!#REF!</f>
        <v>#REF!</v>
      </c>
      <c r="BC127" t="e">
        <f>装备!#REF!</f>
        <v>#REF!</v>
      </c>
      <c r="BD127" t="e">
        <f>装备!#REF!</f>
        <v>#REF!</v>
      </c>
      <c r="BE127" t="e">
        <f t="shared" si="18"/>
        <v>#REF!</v>
      </c>
      <c r="BF127" t="e">
        <f>装备!#REF!</f>
        <v>#REF!</v>
      </c>
      <c r="BG127" t="e">
        <f>装备!#REF!</f>
        <v>#REF!</v>
      </c>
      <c r="BH127" t="e">
        <f>装备!#REF!</f>
        <v>#REF!</v>
      </c>
      <c r="BI127" t="e">
        <f>装备!#REF!</f>
        <v>#REF!</v>
      </c>
      <c r="BJ127" t="e">
        <f>装备!#REF!</f>
        <v>#REF!</v>
      </c>
      <c r="BK127" t="e">
        <f>装备!#REF!</f>
        <v>#REF!</v>
      </c>
      <c r="BL127" t="e">
        <f>装备!#REF!</f>
        <v>#REF!</v>
      </c>
      <c r="BM127" t="e">
        <f>装备!#REF!</f>
        <v>#REF!</v>
      </c>
      <c r="BN127" t="e">
        <f>装备!#REF!</f>
        <v>#REF!</v>
      </c>
      <c r="BO127" t="e">
        <f>装备!#REF!</f>
        <v>#REF!</v>
      </c>
      <c r="BP127" t="e">
        <f t="shared" si="19"/>
        <v>#REF!</v>
      </c>
      <c r="BQ127" t="e">
        <f>装备!#REF!</f>
        <v>#REF!</v>
      </c>
      <c r="BR127" t="e">
        <f>装备!#REF!</f>
        <v>#REF!</v>
      </c>
      <c r="BS127" t="e">
        <f>装备!#REF!</f>
        <v>#REF!</v>
      </c>
      <c r="BT127" t="e">
        <f>装备!#REF!</f>
        <v>#REF!</v>
      </c>
      <c r="BU127" t="e">
        <f>装备!#REF!</f>
        <v>#REF!</v>
      </c>
      <c r="BV127" t="e">
        <f>装备!#REF!</f>
        <v>#REF!</v>
      </c>
      <c r="BW127" t="e">
        <f>装备!#REF!</f>
        <v>#REF!</v>
      </c>
      <c r="BX127" t="e">
        <f>装备!#REF!</f>
        <v>#REF!</v>
      </c>
      <c r="BY127" t="e">
        <f>装备!#REF!</f>
        <v>#REF!</v>
      </c>
      <c r="BZ127" t="e">
        <f>装备!#REF!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装备!#REF!</f>
        <v>#REF!</v>
      </c>
      <c r="B128" t="e">
        <f>装备!#REF!</f>
        <v>#REF!</v>
      </c>
      <c r="C128" t="e">
        <f>装备!#REF!</f>
        <v>#REF!</v>
      </c>
      <c r="D128" t="e">
        <f>装备!#REF!</f>
        <v>#REF!</v>
      </c>
      <c r="E128" t="e">
        <f>装备!#REF!</f>
        <v>#REF!</v>
      </c>
      <c r="F128" t="e">
        <f>装备!#REF!</f>
        <v>#REF!</v>
      </c>
      <c r="G128" t="e">
        <f>装备!#REF!</f>
        <v>#REF!</v>
      </c>
      <c r="H128" t="e">
        <f>装备!#REF!</f>
        <v>#REF!</v>
      </c>
      <c r="I128" t="e">
        <f>装备!#REF!</f>
        <v>#REF!</v>
      </c>
      <c r="J128" t="e">
        <f>装备!#REF!</f>
        <v>#REF!</v>
      </c>
      <c r="K128" t="e">
        <f>装备!#REF!</f>
        <v>#REF!</v>
      </c>
      <c r="L128" t="e">
        <f>装备!#REF!</f>
        <v>#REF!</v>
      </c>
      <c r="M128" t="e">
        <f t="shared" si="14"/>
        <v>#REF!</v>
      </c>
      <c r="N128" t="e">
        <f>装备!#REF!</f>
        <v>#REF!</v>
      </c>
      <c r="O128" t="e">
        <f>装备!#REF!</f>
        <v>#REF!</v>
      </c>
      <c r="P128" t="e">
        <f>装备!#REF!</f>
        <v>#REF!</v>
      </c>
      <c r="Q128" t="e">
        <f>装备!#REF!</f>
        <v>#REF!</v>
      </c>
      <c r="R128" t="e">
        <f>装备!#REF!</f>
        <v>#REF!</v>
      </c>
      <c r="S128" t="e">
        <f>装备!#REF!</f>
        <v>#REF!</v>
      </c>
      <c r="T128" t="e">
        <f>装备!#REF!</f>
        <v>#REF!</v>
      </c>
      <c r="U128" t="e">
        <f>装备!#REF!</f>
        <v>#REF!</v>
      </c>
      <c r="V128" t="e">
        <f>装备!#REF!</f>
        <v>#REF!</v>
      </c>
      <c r="W128" t="e">
        <f>装备!#REF!</f>
        <v>#REF!</v>
      </c>
      <c r="X128" t="e">
        <f t="shared" si="15"/>
        <v>#REF!</v>
      </c>
      <c r="Y128" t="e">
        <f>装备!#REF!</f>
        <v>#REF!</v>
      </c>
      <c r="Z128" t="e">
        <f>装备!#REF!</f>
        <v>#REF!</v>
      </c>
      <c r="AA128" t="e">
        <f>装备!#REF!</f>
        <v>#REF!</v>
      </c>
      <c r="AB128" t="e">
        <f>装备!#REF!</f>
        <v>#REF!</v>
      </c>
      <c r="AC128" t="e">
        <f>装备!#REF!</f>
        <v>#REF!</v>
      </c>
      <c r="AD128" t="e">
        <f>装备!#REF!</f>
        <v>#REF!</v>
      </c>
      <c r="AE128" t="e">
        <f>装备!#REF!</f>
        <v>#REF!</v>
      </c>
      <c r="AF128" t="e">
        <f>装备!#REF!</f>
        <v>#REF!</v>
      </c>
      <c r="AG128" t="e">
        <f>装备!#REF!</f>
        <v>#REF!</v>
      </c>
      <c r="AH128" t="e">
        <f>装备!#REF!</f>
        <v>#REF!</v>
      </c>
      <c r="AI128" t="e">
        <f t="shared" si="16"/>
        <v>#REF!</v>
      </c>
      <c r="AJ128" t="e">
        <f>装备!#REF!</f>
        <v>#REF!</v>
      </c>
      <c r="AK128" t="e">
        <f>装备!#REF!</f>
        <v>#REF!</v>
      </c>
      <c r="AL128" t="e">
        <f>装备!#REF!</f>
        <v>#REF!</v>
      </c>
      <c r="AM128" t="e">
        <f>装备!#REF!</f>
        <v>#REF!</v>
      </c>
      <c r="AN128" t="e">
        <f>装备!#REF!</f>
        <v>#REF!</v>
      </c>
      <c r="AO128" t="e">
        <f>装备!#REF!</f>
        <v>#REF!</v>
      </c>
      <c r="AP128" t="e">
        <f>装备!#REF!</f>
        <v>#REF!</v>
      </c>
      <c r="AQ128" t="e">
        <f>装备!#REF!</f>
        <v>#REF!</v>
      </c>
      <c r="AR128" t="e">
        <f>装备!#REF!</f>
        <v>#REF!</v>
      </c>
      <c r="AS128" t="e">
        <f>装备!#REF!</f>
        <v>#REF!</v>
      </c>
      <c r="AT128" t="e">
        <f t="shared" si="17"/>
        <v>#REF!</v>
      </c>
      <c r="AU128" t="e">
        <f>装备!#REF!</f>
        <v>#REF!</v>
      </c>
      <c r="AV128" t="e">
        <f>装备!#REF!</f>
        <v>#REF!</v>
      </c>
      <c r="AW128" t="e">
        <f>装备!#REF!</f>
        <v>#REF!</v>
      </c>
      <c r="AX128" t="e">
        <f>装备!#REF!</f>
        <v>#REF!</v>
      </c>
      <c r="AY128" t="e">
        <f>装备!#REF!</f>
        <v>#REF!</v>
      </c>
      <c r="AZ128" t="e">
        <f>装备!#REF!</f>
        <v>#REF!</v>
      </c>
      <c r="BA128" t="e">
        <f>装备!#REF!</f>
        <v>#REF!</v>
      </c>
      <c r="BB128" t="e">
        <f>装备!#REF!</f>
        <v>#REF!</v>
      </c>
      <c r="BC128" t="e">
        <f>装备!#REF!</f>
        <v>#REF!</v>
      </c>
      <c r="BD128" t="e">
        <f>装备!#REF!</f>
        <v>#REF!</v>
      </c>
      <c r="BE128" t="e">
        <f t="shared" si="18"/>
        <v>#REF!</v>
      </c>
      <c r="BF128" t="e">
        <f>装备!#REF!</f>
        <v>#REF!</v>
      </c>
      <c r="BG128" t="e">
        <f>装备!#REF!</f>
        <v>#REF!</v>
      </c>
      <c r="BH128" t="e">
        <f>装备!#REF!</f>
        <v>#REF!</v>
      </c>
      <c r="BI128" t="e">
        <f>装备!#REF!</f>
        <v>#REF!</v>
      </c>
      <c r="BJ128" t="e">
        <f>装备!#REF!</f>
        <v>#REF!</v>
      </c>
      <c r="BK128" t="e">
        <f>装备!#REF!</f>
        <v>#REF!</v>
      </c>
      <c r="BL128" t="e">
        <f>装备!#REF!</f>
        <v>#REF!</v>
      </c>
      <c r="BM128" t="e">
        <f>装备!#REF!</f>
        <v>#REF!</v>
      </c>
      <c r="BN128" t="e">
        <f>装备!#REF!</f>
        <v>#REF!</v>
      </c>
      <c r="BO128" t="e">
        <f>装备!#REF!</f>
        <v>#REF!</v>
      </c>
      <c r="BP128" t="e">
        <f t="shared" si="19"/>
        <v>#REF!</v>
      </c>
      <c r="BQ128" t="e">
        <f>装备!#REF!</f>
        <v>#REF!</v>
      </c>
      <c r="BR128" t="e">
        <f>装备!#REF!</f>
        <v>#REF!</v>
      </c>
      <c r="BS128" t="e">
        <f>装备!#REF!</f>
        <v>#REF!</v>
      </c>
      <c r="BT128" t="e">
        <f>装备!#REF!</f>
        <v>#REF!</v>
      </c>
      <c r="BU128" t="e">
        <f>装备!#REF!</f>
        <v>#REF!</v>
      </c>
      <c r="BV128" t="e">
        <f>装备!#REF!</f>
        <v>#REF!</v>
      </c>
      <c r="BW128" t="e">
        <f>装备!#REF!</f>
        <v>#REF!</v>
      </c>
      <c r="BX128" t="e">
        <f>装备!#REF!</f>
        <v>#REF!</v>
      </c>
      <c r="BY128" t="e">
        <f>装备!#REF!</f>
        <v>#REF!</v>
      </c>
      <c r="BZ128" t="e">
        <f>装备!#REF!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装备!#REF!</f>
        <v>#REF!</v>
      </c>
      <c r="B129" t="e">
        <f>装备!#REF!</f>
        <v>#REF!</v>
      </c>
      <c r="C129" t="e">
        <f>装备!#REF!</f>
        <v>#REF!</v>
      </c>
      <c r="D129" t="e">
        <f>装备!#REF!</f>
        <v>#REF!</v>
      </c>
      <c r="E129" t="e">
        <f>装备!#REF!</f>
        <v>#REF!</v>
      </c>
      <c r="F129" t="e">
        <f>装备!#REF!</f>
        <v>#REF!</v>
      </c>
      <c r="G129" t="e">
        <f>装备!#REF!</f>
        <v>#REF!</v>
      </c>
      <c r="H129" t="e">
        <f>装备!#REF!</f>
        <v>#REF!</v>
      </c>
      <c r="I129" t="e">
        <f>装备!#REF!</f>
        <v>#REF!</v>
      </c>
      <c r="J129" t="e">
        <f>装备!#REF!</f>
        <v>#REF!</v>
      </c>
      <c r="K129" t="e">
        <f>装备!#REF!</f>
        <v>#REF!</v>
      </c>
      <c r="L129" t="e">
        <f>装备!#REF!</f>
        <v>#REF!</v>
      </c>
      <c r="M129" t="e">
        <f t="shared" si="14"/>
        <v>#REF!</v>
      </c>
      <c r="N129" t="e">
        <f>装备!#REF!</f>
        <v>#REF!</v>
      </c>
      <c r="O129" t="e">
        <f>装备!#REF!</f>
        <v>#REF!</v>
      </c>
      <c r="P129" t="e">
        <f>装备!#REF!</f>
        <v>#REF!</v>
      </c>
      <c r="Q129" t="e">
        <f>装备!#REF!</f>
        <v>#REF!</v>
      </c>
      <c r="R129" t="e">
        <f>装备!#REF!</f>
        <v>#REF!</v>
      </c>
      <c r="S129" t="e">
        <f>装备!#REF!</f>
        <v>#REF!</v>
      </c>
      <c r="T129" t="e">
        <f>装备!#REF!</f>
        <v>#REF!</v>
      </c>
      <c r="U129" t="e">
        <f>装备!#REF!</f>
        <v>#REF!</v>
      </c>
      <c r="V129" t="e">
        <f>装备!#REF!</f>
        <v>#REF!</v>
      </c>
      <c r="W129" t="e">
        <f>装备!#REF!</f>
        <v>#REF!</v>
      </c>
      <c r="X129" t="e">
        <f t="shared" si="15"/>
        <v>#REF!</v>
      </c>
      <c r="Y129" t="e">
        <f>装备!#REF!</f>
        <v>#REF!</v>
      </c>
      <c r="Z129" t="e">
        <f>装备!#REF!</f>
        <v>#REF!</v>
      </c>
      <c r="AA129" t="e">
        <f>装备!#REF!</f>
        <v>#REF!</v>
      </c>
      <c r="AB129" t="e">
        <f>装备!#REF!</f>
        <v>#REF!</v>
      </c>
      <c r="AC129" t="e">
        <f>装备!#REF!</f>
        <v>#REF!</v>
      </c>
      <c r="AD129" t="e">
        <f>装备!#REF!</f>
        <v>#REF!</v>
      </c>
      <c r="AE129" t="e">
        <f>装备!#REF!</f>
        <v>#REF!</v>
      </c>
      <c r="AF129" t="e">
        <f>装备!#REF!</f>
        <v>#REF!</v>
      </c>
      <c r="AG129" t="e">
        <f>装备!#REF!</f>
        <v>#REF!</v>
      </c>
      <c r="AH129" t="e">
        <f>装备!#REF!</f>
        <v>#REF!</v>
      </c>
      <c r="AI129" t="e">
        <f t="shared" si="16"/>
        <v>#REF!</v>
      </c>
      <c r="AJ129" t="e">
        <f>装备!#REF!</f>
        <v>#REF!</v>
      </c>
      <c r="AK129" t="e">
        <f>装备!#REF!</f>
        <v>#REF!</v>
      </c>
      <c r="AL129" t="e">
        <f>装备!#REF!</f>
        <v>#REF!</v>
      </c>
      <c r="AM129" t="e">
        <f>装备!#REF!</f>
        <v>#REF!</v>
      </c>
      <c r="AN129" t="e">
        <f>装备!#REF!</f>
        <v>#REF!</v>
      </c>
      <c r="AO129" t="e">
        <f>装备!#REF!</f>
        <v>#REF!</v>
      </c>
      <c r="AP129" t="e">
        <f>装备!#REF!</f>
        <v>#REF!</v>
      </c>
      <c r="AQ129" t="e">
        <f>装备!#REF!</f>
        <v>#REF!</v>
      </c>
      <c r="AR129" t="e">
        <f>装备!#REF!</f>
        <v>#REF!</v>
      </c>
      <c r="AS129" t="e">
        <f>装备!#REF!</f>
        <v>#REF!</v>
      </c>
      <c r="AT129" t="e">
        <f t="shared" si="17"/>
        <v>#REF!</v>
      </c>
      <c r="AU129" t="e">
        <f>装备!#REF!</f>
        <v>#REF!</v>
      </c>
      <c r="AV129" t="e">
        <f>装备!#REF!</f>
        <v>#REF!</v>
      </c>
      <c r="AW129" t="e">
        <f>装备!#REF!</f>
        <v>#REF!</v>
      </c>
      <c r="AX129" t="e">
        <f>装备!#REF!</f>
        <v>#REF!</v>
      </c>
      <c r="AY129" t="e">
        <f>装备!#REF!</f>
        <v>#REF!</v>
      </c>
      <c r="AZ129" t="e">
        <f>装备!#REF!</f>
        <v>#REF!</v>
      </c>
      <c r="BA129" t="e">
        <f>装备!#REF!</f>
        <v>#REF!</v>
      </c>
      <c r="BB129" t="e">
        <f>装备!#REF!</f>
        <v>#REF!</v>
      </c>
      <c r="BC129" t="e">
        <f>装备!#REF!</f>
        <v>#REF!</v>
      </c>
      <c r="BD129" t="e">
        <f>装备!#REF!</f>
        <v>#REF!</v>
      </c>
      <c r="BE129" t="e">
        <f t="shared" si="18"/>
        <v>#REF!</v>
      </c>
      <c r="BF129" t="e">
        <f>装备!#REF!</f>
        <v>#REF!</v>
      </c>
      <c r="BG129" t="e">
        <f>装备!#REF!</f>
        <v>#REF!</v>
      </c>
      <c r="BH129" t="e">
        <f>装备!#REF!</f>
        <v>#REF!</v>
      </c>
      <c r="BI129" t="e">
        <f>装备!#REF!</f>
        <v>#REF!</v>
      </c>
      <c r="BJ129" t="e">
        <f>装备!#REF!</f>
        <v>#REF!</v>
      </c>
      <c r="BK129" t="e">
        <f>装备!#REF!</f>
        <v>#REF!</v>
      </c>
      <c r="BL129" t="e">
        <f>装备!#REF!</f>
        <v>#REF!</v>
      </c>
      <c r="BM129" t="e">
        <f>装备!#REF!</f>
        <v>#REF!</v>
      </c>
      <c r="BN129" t="e">
        <f>装备!#REF!</f>
        <v>#REF!</v>
      </c>
      <c r="BO129" t="e">
        <f>装备!#REF!</f>
        <v>#REF!</v>
      </c>
      <c r="BP129" t="e">
        <f t="shared" si="19"/>
        <v>#REF!</v>
      </c>
      <c r="BQ129" t="e">
        <f>装备!#REF!</f>
        <v>#REF!</v>
      </c>
      <c r="BR129" t="e">
        <f>装备!#REF!</f>
        <v>#REF!</v>
      </c>
      <c r="BS129" t="e">
        <f>装备!#REF!</f>
        <v>#REF!</v>
      </c>
      <c r="BT129" t="e">
        <f>装备!#REF!</f>
        <v>#REF!</v>
      </c>
      <c r="BU129" t="e">
        <f>装备!#REF!</f>
        <v>#REF!</v>
      </c>
      <c r="BV129" t="e">
        <f>装备!#REF!</f>
        <v>#REF!</v>
      </c>
      <c r="BW129" t="e">
        <f>装备!#REF!</f>
        <v>#REF!</v>
      </c>
      <c r="BX129" t="e">
        <f>装备!#REF!</f>
        <v>#REF!</v>
      </c>
      <c r="BY129" t="e">
        <f>装备!#REF!</f>
        <v>#REF!</v>
      </c>
      <c r="BZ129" t="e">
        <f>装备!#REF!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装备!#REF!</f>
        <v>#REF!</v>
      </c>
      <c r="B130" t="e">
        <f>装备!#REF!</f>
        <v>#REF!</v>
      </c>
      <c r="C130" t="e">
        <f>装备!#REF!</f>
        <v>#REF!</v>
      </c>
      <c r="D130" t="e">
        <f>装备!#REF!</f>
        <v>#REF!</v>
      </c>
      <c r="E130" t="e">
        <f>装备!#REF!</f>
        <v>#REF!</v>
      </c>
      <c r="F130" t="e">
        <f>装备!#REF!</f>
        <v>#REF!</v>
      </c>
      <c r="G130" t="e">
        <f>装备!#REF!</f>
        <v>#REF!</v>
      </c>
      <c r="H130" t="e">
        <f>装备!#REF!</f>
        <v>#REF!</v>
      </c>
      <c r="I130" t="e">
        <f>装备!#REF!</f>
        <v>#REF!</v>
      </c>
      <c r="J130" t="e">
        <f>装备!#REF!</f>
        <v>#REF!</v>
      </c>
      <c r="K130" t="e">
        <f>装备!#REF!</f>
        <v>#REF!</v>
      </c>
      <c r="L130" t="e">
        <f>装备!#REF!</f>
        <v>#REF!</v>
      </c>
      <c r="M130" t="e">
        <f t="shared" si="14"/>
        <v>#REF!</v>
      </c>
      <c r="N130" t="e">
        <f>装备!#REF!</f>
        <v>#REF!</v>
      </c>
      <c r="O130" t="e">
        <f>装备!#REF!</f>
        <v>#REF!</v>
      </c>
      <c r="P130" t="e">
        <f>装备!#REF!</f>
        <v>#REF!</v>
      </c>
      <c r="Q130" t="e">
        <f>装备!#REF!</f>
        <v>#REF!</v>
      </c>
      <c r="R130" t="e">
        <f>装备!#REF!</f>
        <v>#REF!</v>
      </c>
      <c r="S130" t="e">
        <f>装备!#REF!</f>
        <v>#REF!</v>
      </c>
      <c r="T130" t="e">
        <f>装备!#REF!</f>
        <v>#REF!</v>
      </c>
      <c r="U130" t="e">
        <f>装备!#REF!</f>
        <v>#REF!</v>
      </c>
      <c r="V130" t="e">
        <f>装备!#REF!</f>
        <v>#REF!</v>
      </c>
      <c r="W130" t="e">
        <f>装备!#REF!</f>
        <v>#REF!</v>
      </c>
      <c r="X130" t="e">
        <f t="shared" si="15"/>
        <v>#REF!</v>
      </c>
      <c r="Y130" t="e">
        <f>装备!#REF!</f>
        <v>#REF!</v>
      </c>
      <c r="Z130" t="e">
        <f>装备!#REF!</f>
        <v>#REF!</v>
      </c>
      <c r="AA130" t="e">
        <f>装备!#REF!</f>
        <v>#REF!</v>
      </c>
      <c r="AB130" t="e">
        <f>装备!#REF!</f>
        <v>#REF!</v>
      </c>
      <c r="AC130" t="e">
        <f>装备!#REF!</f>
        <v>#REF!</v>
      </c>
      <c r="AD130" t="e">
        <f>装备!#REF!</f>
        <v>#REF!</v>
      </c>
      <c r="AE130" t="e">
        <f>装备!#REF!</f>
        <v>#REF!</v>
      </c>
      <c r="AF130" t="e">
        <f>装备!#REF!</f>
        <v>#REF!</v>
      </c>
      <c r="AG130" t="e">
        <f>装备!#REF!</f>
        <v>#REF!</v>
      </c>
      <c r="AH130" t="e">
        <f>装备!#REF!</f>
        <v>#REF!</v>
      </c>
      <c r="AI130" t="e">
        <f t="shared" si="16"/>
        <v>#REF!</v>
      </c>
      <c r="AJ130" t="e">
        <f>装备!#REF!</f>
        <v>#REF!</v>
      </c>
      <c r="AK130" t="e">
        <f>装备!#REF!</f>
        <v>#REF!</v>
      </c>
      <c r="AL130" t="e">
        <f>装备!#REF!</f>
        <v>#REF!</v>
      </c>
      <c r="AM130" t="e">
        <f>装备!#REF!</f>
        <v>#REF!</v>
      </c>
      <c r="AN130" t="e">
        <f>装备!#REF!</f>
        <v>#REF!</v>
      </c>
      <c r="AO130" t="e">
        <f>装备!#REF!</f>
        <v>#REF!</v>
      </c>
      <c r="AP130" t="e">
        <f>装备!#REF!</f>
        <v>#REF!</v>
      </c>
      <c r="AQ130" t="e">
        <f>装备!#REF!</f>
        <v>#REF!</v>
      </c>
      <c r="AR130" t="e">
        <f>装备!#REF!</f>
        <v>#REF!</v>
      </c>
      <c r="AS130" t="e">
        <f>装备!#REF!</f>
        <v>#REF!</v>
      </c>
      <c r="AT130" t="e">
        <f t="shared" si="17"/>
        <v>#REF!</v>
      </c>
      <c r="AU130" t="e">
        <f>装备!#REF!</f>
        <v>#REF!</v>
      </c>
      <c r="AV130" t="e">
        <f>装备!#REF!</f>
        <v>#REF!</v>
      </c>
      <c r="AW130" t="e">
        <f>装备!#REF!</f>
        <v>#REF!</v>
      </c>
      <c r="AX130" t="e">
        <f>装备!#REF!</f>
        <v>#REF!</v>
      </c>
      <c r="AY130" t="e">
        <f>装备!#REF!</f>
        <v>#REF!</v>
      </c>
      <c r="AZ130" t="e">
        <f>装备!#REF!</f>
        <v>#REF!</v>
      </c>
      <c r="BA130" t="e">
        <f>装备!#REF!</f>
        <v>#REF!</v>
      </c>
      <c r="BB130" t="e">
        <f>装备!#REF!</f>
        <v>#REF!</v>
      </c>
      <c r="BC130" t="e">
        <f>装备!#REF!</f>
        <v>#REF!</v>
      </c>
      <c r="BD130" t="e">
        <f>装备!#REF!</f>
        <v>#REF!</v>
      </c>
      <c r="BE130" t="e">
        <f t="shared" si="18"/>
        <v>#REF!</v>
      </c>
      <c r="BF130" t="e">
        <f>装备!#REF!</f>
        <v>#REF!</v>
      </c>
      <c r="BG130" t="e">
        <f>装备!#REF!</f>
        <v>#REF!</v>
      </c>
      <c r="BH130" t="e">
        <f>装备!#REF!</f>
        <v>#REF!</v>
      </c>
      <c r="BI130" t="e">
        <f>装备!#REF!</f>
        <v>#REF!</v>
      </c>
      <c r="BJ130" t="e">
        <f>装备!#REF!</f>
        <v>#REF!</v>
      </c>
      <c r="BK130" t="e">
        <f>装备!#REF!</f>
        <v>#REF!</v>
      </c>
      <c r="BL130" t="e">
        <f>装备!#REF!</f>
        <v>#REF!</v>
      </c>
      <c r="BM130" t="e">
        <f>装备!#REF!</f>
        <v>#REF!</v>
      </c>
      <c r="BN130" t="e">
        <f>装备!#REF!</f>
        <v>#REF!</v>
      </c>
      <c r="BO130" t="e">
        <f>装备!#REF!</f>
        <v>#REF!</v>
      </c>
      <c r="BP130" t="e">
        <f t="shared" si="19"/>
        <v>#REF!</v>
      </c>
      <c r="BQ130" t="e">
        <f>装备!#REF!</f>
        <v>#REF!</v>
      </c>
      <c r="BR130" t="e">
        <f>装备!#REF!</f>
        <v>#REF!</v>
      </c>
      <c r="BS130" t="e">
        <f>装备!#REF!</f>
        <v>#REF!</v>
      </c>
      <c r="BT130" t="e">
        <f>装备!#REF!</f>
        <v>#REF!</v>
      </c>
      <c r="BU130" t="e">
        <f>装备!#REF!</f>
        <v>#REF!</v>
      </c>
      <c r="BV130" t="e">
        <f>装备!#REF!</f>
        <v>#REF!</v>
      </c>
      <c r="BW130" t="e">
        <f>装备!#REF!</f>
        <v>#REF!</v>
      </c>
      <c r="BX130" t="e">
        <f>装备!#REF!</f>
        <v>#REF!</v>
      </c>
      <c r="BY130" t="e">
        <f>装备!#REF!</f>
        <v>#REF!</v>
      </c>
      <c r="BZ130" t="e">
        <f>装备!#REF!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装备!#REF!</f>
        <v>#REF!</v>
      </c>
      <c r="B131" t="e">
        <f>装备!#REF!</f>
        <v>#REF!</v>
      </c>
      <c r="C131" t="e">
        <f>装备!#REF!</f>
        <v>#REF!</v>
      </c>
      <c r="D131" t="e">
        <f>装备!#REF!</f>
        <v>#REF!</v>
      </c>
      <c r="E131" t="e">
        <f>装备!#REF!</f>
        <v>#REF!</v>
      </c>
      <c r="F131" t="e">
        <f>装备!#REF!</f>
        <v>#REF!</v>
      </c>
      <c r="G131" t="e">
        <f>装备!#REF!</f>
        <v>#REF!</v>
      </c>
      <c r="H131" t="e">
        <f>装备!#REF!</f>
        <v>#REF!</v>
      </c>
      <c r="I131" t="e">
        <f>装备!#REF!</f>
        <v>#REF!</v>
      </c>
      <c r="J131" t="e">
        <f>装备!#REF!</f>
        <v>#REF!</v>
      </c>
      <c r="K131" t="e">
        <f>装备!#REF!</f>
        <v>#REF!</v>
      </c>
      <c r="L131" t="e">
        <f>装备!#REF!</f>
        <v>#REF!</v>
      </c>
      <c r="M131" t="e">
        <f t="shared" si="14"/>
        <v>#REF!</v>
      </c>
      <c r="N131" t="e">
        <f>装备!#REF!</f>
        <v>#REF!</v>
      </c>
      <c r="O131" t="e">
        <f>装备!#REF!</f>
        <v>#REF!</v>
      </c>
      <c r="P131" t="e">
        <f>装备!#REF!</f>
        <v>#REF!</v>
      </c>
      <c r="Q131" t="e">
        <f>装备!#REF!</f>
        <v>#REF!</v>
      </c>
      <c r="R131" t="e">
        <f>装备!#REF!</f>
        <v>#REF!</v>
      </c>
      <c r="S131" t="e">
        <f>装备!#REF!</f>
        <v>#REF!</v>
      </c>
      <c r="T131" t="e">
        <f>装备!#REF!</f>
        <v>#REF!</v>
      </c>
      <c r="U131" t="e">
        <f>装备!#REF!</f>
        <v>#REF!</v>
      </c>
      <c r="V131" t="e">
        <f>装备!#REF!</f>
        <v>#REF!</v>
      </c>
      <c r="W131" t="e">
        <f>装备!#REF!</f>
        <v>#REF!</v>
      </c>
      <c r="X131" t="e">
        <f t="shared" si="15"/>
        <v>#REF!</v>
      </c>
      <c r="Y131" t="e">
        <f>装备!#REF!</f>
        <v>#REF!</v>
      </c>
      <c r="Z131" t="e">
        <f>装备!#REF!</f>
        <v>#REF!</v>
      </c>
      <c r="AA131" t="e">
        <f>装备!#REF!</f>
        <v>#REF!</v>
      </c>
      <c r="AB131" t="e">
        <f>装备!#REF!</f>
        <v>#REF!</v>
      </c>
      <c r="AC131" t="e">
        <f>装备!#REF!</f>
        <v>#REF!</v>
      </c>
      <c r="AD131" t="e">
        <f>装备!#REF!</f>
        <v>#REF!</v>
      </c>
      <c r="AE131" t="e">
        <f>装备!#REF!</f>
        <v>#REF!</v>
      </c>
      <c r="AF131" t="e">
        <f>装备!#REF!</f>
        <v>#REF!</v>
      </c>
      <c r="AG131" t="e">
        <f>装备!#REF!</f>
        <v>#REF!</v>
      </c>
      <c r="AH131" t="e">
        <f>装备!#REF!</f>
        <v>#REF!</v>
      </c>
      <c r="AI131" t="e">
        <f t="shared" si="16"/>
        <v>#REF!</v>
      </c>
      <c r="AJ131" t="e">
        <f>装备!#REF!</f>
        <v>#REF!</v>
      </c>
      <c r="AK131" t="e">
        <f>装备!#REF!</f>
        <v>#REF!</v>
      </c>
      <c r="AL131" t="e">
        <f>装备!#REF!</f>
        <v>#REF!</v>
      </c>
      <c r="AM131" t="e">
        <f>装备!#REF!</f>
        <v>#REF!</v>
      </c>
      <c r="AN131" t="e">
        <f>装备!#REF!</f>
        <v>#REF!</v>
      </c>
      <c r="AO131" t="e">
        <f>装备!#REF!</f>
        <v>#REF!</v>
      </c>
      <c r="AP131" t="e">
        <f>装备!#REF!</f>
        <v>#REF!</v>
      </c>
      <c r="AQ131" t="e">
        <f>装备!#REF!</f>
        <v>#REF!</v>
      </c>
      <c r="AR131" t="e">
        <f>装备!#REF!</f>
        <v>#REF!</v>
      </c>
      <c r="AS131" t="e">
        <f>装备!#REF!</f>
        <v>#REF!</v>
      </c>
      <c r="AT131" t="e">
        <f t="shared" si="17"/>
        <v>#REF!</v>
      </c>
      <c r="AU131" t="e">
        <f>装备!#REF!</f>
        <v>#REF!</v>
      </c>
      <c r="AV131" t="e">
        <f>装备!#REF!</f>
        <v>#REF!</v>
      </c>
      <c r="AW131" t="e">
        <f>装备!#REF!</f>
        <v>#REF!</v>
      </c>
      <c r="AX131" t="e">
        <f>装备!#REF!</f>
        <v>#REF!</v>
      </c>
      <c r="AY131" t="e">
        <f>装备!#REF!</f>
        <v>#REF!</v>
      </c>
      <c r="AZ131" t="e">
        <f>装备!#REF!</f>
        <v>#REF!</v>
      </c>
      <c r="BA131" t="e">
        <f>装备!#REF!</f>
        <v>#REF!</v>
      </c>
      <c r="BB131" t="e">
        <f>装备!#REF!</f>
        <v>#REF!</v>
      </c>
      <c r="BC131" t="e">
        <f>装备!#REF!</f>
        <v>#REF!</v>
      </c>
      <c r="BD131" t="e">
        <f>装备!#REF!</f>
        <v>#REF!</v>
      </c>
      <c r="BE131" t="e">
        <f t="shared" si="18"/>
        <v>#REF!</v>
      </c>
      <c r="BF131" t="e">
        <f>装备!#REF!</f>
        <v>#REF!</v>
      </c>
      <c r="BG131" t="e">
        <f>装备!#REF!</f>
        <v>#REF!</v>
      </c>
      <c r="BH131" t="e">
        <f>装备!#REF!</f>
        <v>#REF!</v>
      </c>
      <c r="BI131" t="e">
        <f>装备!#REF!</f>
        <v>#REF!</v>
      </c>
      <c r="BJ131" t="e">
        <f>装备!#REF!</f>
        <v>#REF!</v>
      </c>
      <c r="BK131" t="e">
        <f>装备!#REF!</f>
        <v>#REF!</v>
      </c>
      <c r="BL131" t="e">
        <f>装备!#REF!</f>
        <v>#REF!</v>
      </c>
      <c r="BM131" t="e">
        <f>装备!#REF!</f>
        <v>#REF!</v>
      </c>
      <c r="BN131" t="e">
        <f>装备!#REF!</f>
        <v>#REF!</v>
      </c>
      <c r="BO131" t="e">
        <f>装备!#REF!</f>
        <v>#REF!</v>
      </c>
      <c r="BP131" t="e">
        <f t="shared" si="19"/>
        <v>#REF!</v>
      </c>
      <c r="BQ131" t="e">
        <f>装备!#REF!</f>
        <v>#REF!</v>
      </c>
      <c r="BR131" t="e">
        <f>装备!#REF!</f>
        <v>#REF!</v>
      </c>
      <c r="BS131" t="e">
        <f>装备!#REF!</f>
        <v>#REF!</v>
      </c>
      <c r="BT131" t="e">
        <f>装备!#REF!</f>
        <v>#REF!</v>
      </c>
      <c r="BU131" t="e">
        <f>装备!#REF!</f>
        <v>#REF!</v>
      </c>
      <c r="BV131" t="e">
        <f>装备!#REF!</f>
        <v>#REF!</v>
      </c>
      <c r="BW131" t="e">
        <f>装备!#REF!</f>
        <v>#REF!</v>
      </c>
      <c r="BX131" t="e">
        <f>装备!#REF!</f>
        <v>#REF!</v>
      </c>
      <c r="BY131" t="e">
        <f>装备!#REF!</f>
        <v>#REF!</v>
      </c>
      <c r="BZ131" t="e">
        <f>装备!#REF!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装备!#REF!</f>
        <v>#REF!</v>
      </c>
      <c r="B132" t="e">
        <f>装备!#REF!</f>
        <v>#REF!</v>
      </c>
      <c r="C132" t="e">
        <f>装备!#REF!</f>
        <v>#REF!</v>
      </c>
      <c r="D132" t="e">
        <f>装备!#REF!</f>
        <v>#REF!</v>
      </c>
      <c r="E132" t="e">
        <f>装备!#REF!</f>
        <v>#REF!</v>
      </c>
      <c r="F132" t="e">
        <f>装备!#REF!</f>
        <v>#REF!</v>
      </c>
      <c r="G132" t="e">
        <f>装备!#REF!</f>
        <v>#REF!</v>
      </c>
      <c r="H132" t="e">
        <f>装备!#REF!</f>
        <v>#REF!</v>
      </c>
      <c r="I132" t="e">
        <f>装备!#REF!</f>
        <v>#REF!</v>
      </c>
      <c r="J132" t="e">
        <f>装备!#REF!</f>
        <v>#REF!</v>
      </c>
      <c r="K132" t="e">
        <f>装备!#REF!</f>
        <v>#REF!</v>
      </c>
      <c r="L132" t="e">
        <f>装备!#REF!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装备!#REF!</f>
        <v>#REF!</v>
      </c>
      <c r="O132" t="e">
        <f>装备!#REF!</f>
        <v>#REF!</v>
      </c>
      <c r="P132" t="e">
        <f>装备!#REF!</f>
        <v>#REF!</v>
      </c>
      <c r="Q132" t="e">
        <f>装备!#REF!</f>
        <v>#REF!</v>
      </c>
      <c r="R132" t="e">
        <f>装备!#REF!</f>
        <v>#REF!</v>
      </c>
      <c r="S132" t="e">
        <f>装备!#REF!</f>
        <v>#REF!</v>
      </c>
      <c r="T132" t="e">
        <f>装备!#REF!</f>
        <v>#REF!</v>
      </c>
      <c r="U132" t="e">
        <f>装备!#REF!</f>
        <v>#REF!</v>
      </c>
      <c r="V132" t="e">
        <f>装备!#REF!</f>
        <v>#REF!</v>
      </c>
      <c r="W132" t="e">
        <f>装备!#REF!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装备!#REF!</f>
        <v>#REF!</v>
      </c>
      <c r="Z132" t="e">
        <f>装备!#REF!</f>
        <v>#REF!</v>
      </c>
      <c r="AA132" t="e">
        <f>装备!#REF!</f>
        <v>#REF!</v>
      </c>
      <c r="AB132" t="e">
        <f>装备!#REF!</f>
        <v>#REF!</v>
      </c>
      <c r="AC132" t="e">
        <f>装备!#REF!</f>
        <v>#REF!</v>
      </c>
      <c r="AD132" t="e">
        <f>装备!#REF!</f>
        <v>#REF!</v>
      </c>
      <c r="AE132" t="e">
        <f>装备!#REF!</f>
        <v>#REF!</v>
      </c>
      <c r="AF132" t="e">
        <f>装备!#REF!</f>
        <v>#REF!</v>
      </c>
      <c r="AG132" t="e">
        <f>装备!#REF!</f>
        <v>#REF!</v>
      </c>
      <c r="AH132" t="e">
        <f>装备!#REF!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装备!#REF!</f>
        <v>#REF!</v>
      </c>
      <c r="AK132" t="e">
        <f>装备!#REF!</f>
        <v>#REF!</v>
      </c>
      <c r="AL132" t="e">
        <f>装备!#REF!</f>
        <v>#REF!</v>
      </c>
      <c r="AM132" t="e">
        <f>装备!#REF!</f>
        <v>#REF!</v>
      </c>
      <c r="AN132" t="e">
        <f>装备!#REF!</f>
        <v>#REF!</v>
      </c>
      <c r="AO132" t="e">
        <f>装备!#REF!</f>
        <v>#REF!</v>
      </c>
      <c r="AP132" t="e">
        <f>装备!#REF!</f>
        <v>#REF!</v>
      </c>
      <c r="AQ132" t="e">
        <f>装备!#REF!</f>
        <v>#REF!</v>
      </c>
      <c r="AR132" t="e">
        <f>装备!#REF!</f>
        <v>#REF!</v>
      </c>
      <c r="AS132" t="e">
        <f>装备!#REF!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装备!#REF!</f>
        <v>#REF!</v>
      </c>
      <c r="AV132" t="e">
        <f>装备!#REF!</f>
        <v>#REF!</v>
      </c>
      <c r="AW132" t="e">
        <f>装备!#REF!</f>
        <v>#REF!</v>
      </c>
      <c r="AX132" t="e">
        <f>装备!#REF!</f>
        <v>#REF!</v>
      </c>
      <c r="AY132" t="e">
        <f>装备!#REF!</f>
        <v>#REF!</v>
      </c>
      <c r="AZ132" t="e">
        <f>装备!#REF!</f>
        <v>#REF!</v>
      </c>
      <c r="BA132" t="e">
        <f>装备!#REF!</f>
        <v>#REF!</v>
      </c>
      <c r="BB132" t="e">
        <f>装备!#REF!</f>
        <v>#REF!</v>
      </c>
      <c r="BC132" t="e">
        <f>装备!#REF!</f>
        <v>#REF!</v>
      </c>
      <c r="BD132" t="e">
        <f>装备!#REF!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装备!#REF!</f>
        <v>#REF!</v>
      </c>
      <c r="BG132" t="e">
        <f>装备!#REF!</f>
        <v>#REF!</v>
      </c>
      <c r="BH132" t="e">
        <f>装备!#REF!</f>
        <v>#REF!</v>
      </c>
      <c r="BI132" t="e">
        <f>装备!#REF!</f>
        <v>#REF!</v>
      </c>
      <c r="BJ132" t="e">
        <f>装备!#REF!</f>
        <v>#REF!</v>
      </c>
      <c r="BK132" t="e">
        <f>装备!#REF!</f>
        <v>#REF!</v>
      </c>
      <c r="BL132" t="e">
        <f>装备!#REF!</f>
        <v>#REF!</v>
      </c>
      <c r="BM132" t="e">
        <f>装备!#REF!</f>
        <v>#REF!</v>
      </c>
      <c r="BN132" t="e">
        <f>装备!#REF!</f>
        <v>#REF!</v>
      </c>
      <c r="BO132" t="e">
        <f>装备!#REF!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装备!#REF!</f>
        <v>#REF!</v>
      </c>
      <c r="BR132" t="e">
        <f>装备!#REF!</f>
        <v>#REF!</v>
      </c>
      <c r="BS132" t="e">
        <f>装备!#REF!</f>
        <v>#REF!</v>
      </c>
      <c r="BT132" t="e">
        <f>装备!#REF!</f>
        <v>#REF!</v>
      </c>
      <c r="BU132" t="e">
        <f>装备!#REF!</f>
        <v>#REF!</v>
      </c>
      <c r="BV132" t="e">
        <f>装备!#REF!</f>
        <v>#REF!</v>
      </c>
      <c r="BW132" t="e">
        <f>装备!#REF!</f>
        <v>#REF!</v>
      </c>
      <c r="BX132" t="e">
        <f>装备!#REF!</f>
        <v>#REF!</v>
      </c>
      <c r="BY132" t="e">
        <f>装备!#REF!</f>
        <v>#REF!</v>
      </c>
      <c r="BZ132" t="e">
        <f>装备!#REF!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装备!#REF!</f>
        <v>#REF!</v>
      </c>
      <c r="B133" t="e">
        <f>装备!#REF!</f>
        <v>#REF!</v>
      </c>
      <c r="C133" t="e">
        <f>装备!#REF!</f>
        <v>#REF!</v>
      </c>
      <c r="D133" t="e">
        <f>装备!#REF!</f>
        <v>#REF!</v>
      </c>
      <c r="E133" t="e">
        <f>装备!#REF!</f>
        <v>#REF!</v>
      </c>
      <c r="F133" t="e">
        <f>装备!#REF!</f>
        <v>#REF!</v>
      </c>
      <c r="G133" t="e">
        <f>装备!#REF!</f>
        <v>#REF!</v>
      </c>
      <c r="H133" t="e">
        <f>装备!#REF!</f>
        <v>#REF!</v>
      </c>
      <c r="I133" t="e">
        <f>装备!#REF!</f>
        <v>#REF!</v>
      </c>
      <c r="J133" t="e">
        <f>装备!#REF!</f>
        <v>#REF!</v>
      </c>
      <c r="K133" t="e">
        <f>装备!#REF!</f>
        <v>#REF!</v>
      </c>
      <c r="L133" t="e">
        <f>装备!#REF!</f>
        <v>#REF!</v>
      </c>
      <c r="M133" t="e">
        <f t="shared" si="28"/>
        <v>#REF!</v>
      </c>
      <c r="N133" t="e">
        <f>装备!#REF!</f>
        <v>#REF!</v>
      </c>
      <c r="O133" t="e">
        <f>装备!#REF!</f>
        <v>#REF!</v>
      </c>
      <c r="P133" t="e">
        <f>装备!#REF!</f>
        <v>#REF!</v>
      </c>
      <c r="Q133" t="e">
        <f>装备!#REF!</f>
        <v>#REF!</v>
      </c>
      <c r="R133" t="e">
        <f>装备!#REF!</f>
        <v>#REF!</v>
      </c>
      <c r="S133" t="e">
        <f>装备!#REF!</f>
        <v>#REF!</v>
      </c>
      <c r="T133" t="e">
        <f>装备!#REF!</f>
        <v>#REF!</v>
      </c>
      <c r="U133" t="e">
        <f>装备!#REF!</f>
        <v>#REF!</v>
      </c>
      <c r="V133" t="e">
        <f>装备!#REF!</f>
        <v>#REF!</v>
      </c>
      <c r="W133" t="e">
        <f>装备!#REF!</f>
        <v>#REF!</v>
      </c>
      <c r="X133" t="e">
        <f t="shared" si="29"/>
        <v>#REF!</v>
      </c>
      <c r="Y133" t="e">
        <f>装备!#REF!</f>
        <v>#REF!</v>
      </c>
      <c r="Z133" t="e">
        <f>装备!#REF!</f>
        <v>#REF!</v>
      </c>
      <c r="AA133" t="e">
        <f>装备!#REF!</f>
        <v>#REF!</v>
      </c>
      <c r="AB133" t="e">
        <f>装备!#REF!</f>
        <v>#REF!</v>
      </c>
      <c r="AC133" t="e">
        <f>装备!#REF!</f>
        <v>#REF!</v>
      </c>
      <c r="AD133" t="e">
        <f>装备!#REF!</f>
        <v>#REF!</v>
      </c>
      <c r="AE133" t="e">
        <f>装备!#REF!</f>
        <v>#REF!</v>
      </c>
      <c r="AF133" t="e">
        <f>装备!#REF!</f>
        <v>#REF!</v>
      </c>
      <c r="AG133" t="e">
        <f>装备!#REF!</f>
        <v>#REF!</v>
      </c>
      <c r="AH133" t="e">
        <f>装备!#REF!</f>
        <v>#REF!</v>
      </c>
      <c r="AI133" t="e">
        <f t="shared" si="30"/>
        <v>#REF!</v>
      </c>
      <c r="AJ133" t="e">
        <f>装备!#REF!</f>
        <v>#REF!</v>
      </c>
      <c r="AK133" t="e">
        <f>装备!#REF!</f>
        <v>#REF!</v>
      </c>
      <c r="AL133" t="e">
        <f>装备!#REF!</f>
        <v>#REF!</v>
      </c>
      <c r="AM133" t="e">
        <f>装备!#REF!</f>
        <v>#REF!</v>
      </c>
      <c r="AN133" t="e">
        <f>装备!#REF!</f>
        <v>#REF!</v>
      </c>
      <c r="AO133" t="e">
        <f>装备!#REF!</f>
        <v>#REF!</v>
      </c>
      <c r="AP133" t="e">
        <f>装备!#REF!</f>
        <v>#REF!</v>
      </c>
      <c r="AQ133" t="e">
        <f>装备!#REF!</f>
        <v>#REF!</v>
      </c>
      <c r="AR133" t="e">
        <f>装备!#REF!</f>
        <v>#REF!</v>
      </c>
      <c r="AS133" t="e">
        <f>装备!#REF!</f>
        <v>#REF!</v>
      </c>
      <c r="AT133" t="e">
        <f t="shared" si="31"/>
        <v>#REF!</v>
      </c>
      <c r="AU133" t="e">
        <f>装备!#REF!</f>
        <v>#REF!</v>
      </c>
      <c r="AV133" t="e">
        <f>装备!#REF!</f>
        <v>#REF!</v>
      </c>
      <c r="AW133" t="e">
        <f>装备!#REF!</f>
        <v>#REF!</v>
      </c>
      <c r="AX133" t="e">
        <f>装备!#REF!</f>
        <v>#REF!</v>
      </c>
      <c r="AY133" t="e">
        <f>装备!#REF!</f>
        <v>#REF!</v>
      </c>
      <c r="AZ133" t="e">
        <f>装备!#REF!</f>
        <v>#REF!</v>
      </c>
      <c r="BA133" t="e">
        <f>装备!#REF!</f>
        <v>#REF!</v>
      </c>
      <c r="BB133" t="e">
        <f>装备!#REF!</f>
        <v>#REF!</v>
      </c>
      <c r="BC133" t="e">
        <f>装备!#REF!</f>
        <v>#REF!</v>
      </c>
      <c r="BD133" t="e">
        <f>装备!#REF!</f>
        <v>#REF!</v>
      </c>
      <c r="BE133" t="e">
        <f t="shared" si="32"/>
        <v>#REF!</v>
      </c>
      <c r="BF133" t="e">
        <f>装备!#REF!</f>
        <v>#REF!</v>
      </c>
      <c r="BG133" t="e">
        <f>装备!#REF!</f>
        <v>#REF!</v>
      </c>
      <c r="BH133" t="e">
        <f>装备!#REF!</f>
        <v>#REF!</v>
      </c>
      <c r="BI133" t="e">
        <f>装备!#REF!</f>
        <v>#REF!</v>
      </c>
      <c r="BJ133" t="e">
        <f>装备!#REF!</f>
        <v>#REF!</v>
      </c>
      <c r="BK133" t="e">
        <f>装备!#REF!</f>
        <v>#REF!</v>
      </c>
      <c r="BL133" t="e">
        <f>装备!#REF!</f>
        <v>#REF!</v>
      </c>
      <c r="BM133" t="e">
        <f>装备!#REF!</f>
        <v>#REF!</v>
      </c>
      <c r="BN133" t="e">
        <f>装备!#REF!</f>
        <v>#REF!</v>
      </c>
      <c r="BO133" t="e">
        <f>装备!#REF!</f>
        <v>#REF!</v>
      </c>
      <c r="BP133" t="e">
        <f t="shared" si="33"/>
        <v>#REF!</v>
      </c>
      <c r="BQ133" t="e">
        <f>装备!#REF!</f>
        <v>#REF!</v>
      </c>
      <c r="BR133" t="e">
        <f>装备!#REF!</f>
        <v>#REF!</v>
      </c>
      <c r="BS133" t="e">
        <f>装备!#REF!</f>
        <v>#REF!</v>
      </c>
      <c r="BT133" t="e">
        <f>装备!#REF!</f>
        <v>#REF!</v>
      </c>
      <c r="BU133" t="e">
        <f>装备!#REF!</f>
        <v>#REF!</v>
      </c>
      <c r="BV133" t="e">
        <f>装备!#REF!</f>
        <v>#REF!</v>
      </c>
      <c r="BW133" t="e">
        <f>装备!#REF!</f>
        <v>#REF!</v>
      </c>
      <c r="BX133" t="e">
        <f>装备!#REF!</f>
        <v>#REF!</v>
      </c>
      <c r="BY133" t="e">
        <f>装备!#REF!</f>
        <v>#REF!</v>
      </c>
      <c r="BZ133" t="e">
        <f>装备!#REF!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装备!#REF!</f>
        <v>#REF!</v>
      </c>
      <c r="B134" t="e">
        <f>装备!#REF!</f>
        <v>#REF!</v>
      </c>
      <c r="C134" t="e">
        <f>装备!#REF!</f>
        <v>#REF!</v>
      </c>
      <c r="D134" t="e">
        <f>装备!#REF!</f>
        <v>#REF!</v>
      </c>
      <c r="E134" t="e">
        <f>装备!#REF!</f>
        <v>#REF!</v>
      </c>
      <c r="F134" t="e">
        <f>装备!#REF!</f>
        <v>#REF!</v>
      </c>
      <c r="G134" t="e">
        <f>装备!#REF!</f>
        <v>#REF!</v>
      </c>
      <c r="H134" t="e">
        <f>装备!#REF!</f>
        <v>#REF!</v>
      </c>
      <c r="I134" t="e">
        <f>装备!#REF!</f>
        <v>#REF!</v>
      </c>
      <c r="J134" t="e">
        <f>装备!#REF!</f>
        <v>#REF!</v>
      </c>
      <c r="K134" t="e">
        <f>装备!#REF!</f>
        <v>#REF!</v>
      </c>
      <c r="L134" t="e">
        <f>装备!#REF!</f>
        <v>#REF!</v>
      </c>
      <c r="M134" t="e">
        <f t="shared" si="28"/>
        <v>#REF!</v>
      </c>
      <c r="N134" t="e">
        <f>装备!#REF!</f>
        <v>#REF!</v>
      </c>
      <c r="O134" t="e">
        <f>装备!#REF!</f>
        <v>#REF!</v>
      </c>
      <c r="P134" t="e">
        <f>装备!#REF!</f>
        <v>#REF!</v>
      </c>
      <c r="Q134" t="e">
        <f>装备!#REF!</f>
        <v>#REF!</v>
      </c>
      <c r="R134" t="e">
        <f>装备!#REF!</f>
        <v>#REF!</v>
      </c>
      <c r="S134" t="e">
        <f>装备!#REF!</f>
        <v>#REF!</v>
      </c>
      <c r="T134" t="e">
        <f>装备!#REF!</f>
        <v>#REF!</v>
      </c>
      <c r="U134" t="e">
        <f>装备!#REF!</f>
        <v>#REF!</v>
      </c>
      <c r="V134" t="e">
        <f>装备!#REF!</f>
        <v>#REF!</v>
      </c>
      <c r="W134" t="e">
        <f>装备!#REF!</f>
        <v>#REF!</v>
      </c>
      <c r="X134" t="e">
        <f t="shared" si="29"/>
        <v>#REF!</v>
      </c>
      <c r="Y134" t="e">
        <f>装备!#REF!</f>
        <v>#REF!</v>
      </c>
      <c r="Z134" t="e">
        <f>装备!#REF!</f>
        <v>#REF!</v>
      </c>
      <c r="AA134" t="e">
        <f>装备!#REF!</f>
        <v>#REF!</v>
      </c>
      <c r="AB134" t="e">
        <f>装备!#REF!</f>
        <v>#REF!</v>
      </c>
      <c r="AC134" t="e">
        <f>装备!#REF!</f>
        <v>#REF!</v>
      </c>
      <c r="AD134" t="e">
        <f>装备!#REF!</f>
        <v>#REF!</v>
      </c>
      <c r="AE134" t="e">
        <f>装备!#REF!</f>
        <v>#REF!</v>
      </c>
      <c r="AF134" t="e">
        <f>装备!#REF!</f>
        <v>#REF!</v>
      </c>
      <c r="AG134" t="e">
        <f>装备!#REF!</f>
        <v>#REF!</v>
      </c>
      <c r="AH134" t="e">
        <f>装备!#REF!</f>
        <v>#REF!</v>
      </c>
      <c r="AI134" t="e">
        <f t="shared" si="30"/>
        <v>#REF!</v>
      </c>
      <c r="AJ134" t="e">
        <f>装备!#REF!</f>
        <v>#REF!</v>
      </c>
      <c r="AK134" t="e">
        <f>装备!#REF!</f>
        <v>#REF!</v>
      </c>
      <c r="AL134" t="e">
        <f>装备!#REF!</f>
        <v>#REF!</v>
      </c>
      <c r="AM134" t="e">
        <f>装备!#REF!</f>
        <v>#REF!</v>
      </c>
      <c r="AN134" t="e">
        <f>装备!#REF!</f>
        <v>#REF!</v>
      </c>
      <c r="AO134" t="e">
        <f>装备!#REF!</f>
        <v>#REF!</v>
      </c>
      <c r="AP134" t="e">
        <f>装备!#REF!</f>
        <v>#REF!</v>
      </c>
      <c r="AQ134" t="e">
        <f>装备!#REF!</f>
        <v>#REF!</v>
      </c>
      <c r="AR134" t="e">
        <f>装备!#REF!</f>
        <v>#REF!</v>
      </c>
      <c r="AS134" t="e">
        <f>装备!#REF!</f>
        <v>#REF!</v>
      </c>
      <c r="AT134" t="e">
        <f t="shared" si="31"/>
        <v>#REF!</v>
      </c>
      <c r="AU134" t="e">
        <f>装备!#REF!</f>
        <v>#REF!</v>
      </c>
      <c r="AV134" t="e">
        <f>装备!#REF!</f>
        <v>#REF!</v>
      </c>
      <c r="AW134" t="e">
        <f>装备!#REF!</f>
        <v>#REF!</v>
      </c>
      <c r="AX134" t="e">
        <f>装备!#REF!</f>
        <v>#REF!</v>
      </c>
      <c r="AY134" t="e">
        <f>装备!#REF!</f>
        <v>#REF!</v>
      </c>
      <c r="AZ134" t="e">
        <f>装备!#REF!</f>
        <v>#REF!</v>
      </c>
      <c r="BA134" t="e">
        <f>装备!#REF!</f>
        <v>#REF!</v>
      </c>
      <c r="BB134" t="e">
        <f>装备!#REF!</f>
        <v>#REF!</v>
      </c>
      <c r="BC134" t="e">
        <f>装备!#REF!</f>
        <v>#REF!</v>
      </c>
      <c r="BD134" t="e">
        <f>装备!#REF!</f>
        <v>#REF!</v>
      </c>
      <c r="BE134" t="e">
        <f t="shared" si="32"/>
        <v>#REF!</v>
      </c>
      <c r="BF134" t="e">
        <f>装备!#REF!</f>
        <v>#REF!</v>
      </c>
      <c r="BG134" t="e">
        <f>装备!#REF!</f>
        <v>#REF!</v>
      </c>
      <c r="BH134" t="e">
        <f>装备!#REF!</f>
        <v>#REF!</v>
      </c>
      <c r="BI134" t="e">
        <f>装备!#REF!</f>
        <v>#REF!</v>
      </c>
      <c r="BJ134" t="e">
        <f>装备!#REF!</f>
        <v>#REF!</v>
      </c>
      <c r="BK134" t="e">
        <f>装备!#REF!</f>
        <v>#REF!</v>
      </c>
      <c r="BL134" t="e">
        <f>装备!#REF!</f>
        <v>#REF!</v>
      </c>
      <c r="BM134" t="e">
        <f>装备!#REF!</f>
        <v>#REF!</v>
      </c>
      <c r="BN134" t="e">
        <f>装备!#REF!</f>
        <v>#REF!</v>
      </c>
      <c r="BO134" t="e">
        <f>装备!#REF!</f>
        <v>#REF!</v>
      </c>
      <c r="BP134" t="e">
        <f t="shared" si="33"/>
        <v>#REF!</v>
      </c>
      <c r="BQ134" t="e">
        <f>装备!#REF!</f>
        <v>#REF!</v>
      </c>
      <c r="BR134" t="e">
        <f>装备!#REF!</f>
        <v>#REF!</v>
      </c>
      <c r="BS134" t="e">
        <f>装备!#REF!</f>
        <v>#REF!</v>
      </c>
      <c r="BT134" t="e">
        <f>装备!#REF!</f>
        <v>#REF!</v>
      </c>
      <c r="BU134" t="e">
        <f>装备!#REF!</f>
        <v>#REF!</v>
      </c>
      <c r="BV134" t="e">
        <f>装备!#REF!</f>
        <v>#REF!</v>
      </c>
      <c r="BW134" t="e">
        <f>装备!#REF!</f>
        <v>#REF!</v>
      </c>
      <c r="BX134" t="e">
        <f>装备!#REF!</f>
        <v>#REF!</v>
      </c>
      <c r="BY134" t="e">
        <f>装备!#REF!</f>
        <v>#REF!</v>
      </c>
      <c r="BZ134" t="e">
        <f>装备!#REF!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装备!#REF!</f>
        <v>#REF!</v>
      </c>
      <c r="B135" t="e">
        <f>装备!#REF!</f>
        <v>#REF!</v>
      </c>
      <c r="C135" t="e">
        <f>装备!#REF!</f>
        <v>#REF!</v>
      </c>
      <c r="D135" t="e">
        <f>装备!#REF!</f>
        <v>#REF!</v>
      </c>
      <c r="E135" t="e">
        <f>装备!#REF!</f>
        <v>#REF!</v>
      </c>
      <c r="F135" t="e">
        <f>装备!#REF!</f>
        <v>#REF!</v>
      </c>
      <c r="G135" t="e">
        <f>装备!#REF!</f>
        <v>#REF!</v>
      </c>
      <c r="H135" t="e">
        <f>装备!#REF!</f>
        <v>#REF!</v>
      </c>
      <c r="I135" t="e">
        <f>装备!#REF!</f>
        <v>#REF!</v>
      </c>
      <c r="J135" t="e">
        <f>装备!#REF!</f>
        <v>#REF!</v>
      </c>
      <c r="K135" t="e">
        <f>装备!#REF!</f>
        <v>#REF!</v>
      </c>
      <c r="L135" t="e">
        <f>装备!#REF!</f>
        <v>#REF!</v>
      </c>
      <c r="M135" t="e">
        <f t="shared" si="28"/>
        <v>#REF!</v>
      </c>
      <c r="N135" t="e">
        <f>装备!#REF!</f>
        <v>#REF!</v>
      </c>
      <c r="O135" t="e">
        <f>装备!#REF!</f>
        <v>#REF!</v>
      </c>
      <c r="P135" t="e">
        <f>装备!#REF!</f>
        <v>#REF!</v>
      </c>
      <c r="Q135" t="e">
        <f>装备!#REF!</f>
        <v>#REF!</v>
      </c>
      <c r="R135" t="e">
        <f>装备!#REF!</f>
        <v>#REF!</v>
      </c>
      <c r="S135" t="e">
        <f>装备!#REF!</f>
        <v>#REF!</v>
      </c>
      <c r="T135" t="e">
        <f>装备!#REF!</f>
        <v>#REF!</v>
      </c>
      <c r="U135" t="e">
        <f>装备!#REF!</f>
        <v>#REF!</v>
      </c>
      <c r="V135" t="e">
        <f>装备!#REF!</f>
        <v>#REF!</v>
      </c>
      <c r="W135" t="e">
        <f>装备!#REF!</f>
        <v>#REF!</v>
      </c>
      <c r="X135" t="e">
        <f t="shared" si="29"/>
        <v>#REF!</v>
      </c>
      <c r="Y135" t="e">
        <f>装备!#REF!</f>
        <v>#REF!</v>
      </c>
      <c r="Z135" t="e">
        <f>装备!#REF!</f>
        <v>#REF!</v>
      </c>
      <c r="AA135" t="e">
        <f>装备!#REF!</f>
        <v>#REF!</v>
      </c>
      <c r="AB135" t="e">
        <f>装备!#REF!</f>
        <v>#REF!</v>
      </c>
      <c r="AC135" t="e">
        <f>装备!#REF!</f>
        <v>#REF!</v>
      </c>
      <c r="AD135" t="e">
        <f>装备!#REF!</f>
        <v>#REF!</v>
      </c>
      <c r="AE135" t="e">
        <f>装备!#REF!</f>
        <v>#REF!</v>
      </c>
      <c r="AF135" t="e">
        <f>装备!#REF!</f>
        <v>#REF!</v>
      </c>
      <c r="AG135" t="e">
        <f>装备!#REF!</f>
        <v>#REF!</v>
      </c>
      <c r="AH135" t="e">
        <f>装备!#REF!</f>
        <v>#REF!</v>
      </c>
      <c r="AI135" t="e">
        <f t="shared" si="30"/>
        <v>#REF!</v>
      </c>
      <c r="AJ135" t="e">
        <f>装备!#REF!</f>
        <v>#REF!</v>
      </c>
      <c r="AK135" t="e">
        <f>装备!#REF!</f>
        <v>#REF!</v>
      </c>
      <c r="AL135" t="e">
        <f>装备!#REF!</f>
        <v>#REF!</v>
      </c>
      <c r="AM135" t="e">
        <f>装备!#REF!</f>
        <v>#REF!</v>
      </c>
      <c r="AN135" t="e">
        <f>装备!#REF!</f>
        <v>#REF!</v>
      </c>
      <c r="AO135" t="e">
        <f>装备!#REF!</f>
        <v>#REF!</v>
      </c>
      <c r="AP135" t="e">
        <f>装备!#REF!</f>
        <v>#REF!</v>
      </c>
      <c r="AQ135" t="e">
        <f>装备!#REF!</f>
        <v>#REF!</v>
      </c>
      <c r="AR135" t="e">
        <f>装备!#REF!</f>
        <v>#REF!</v>
      </c>
      <c r="AS135" t="e">
        <f>装备!#REF!</f>
        <v>#REF!</v>
      </c>
      <c r="AT135" t="e">
        <f t="shared" si="31"/>
        <v>#REF!</v>
      </c>
      <c r="AU135" t="e">
        <f>装备!#REF!</f>
        <v>#REF!</v>
      </c>
      <c r="AV135" t="e">
        <f>装备!#REF!</f>
        <v>#REF!</v>
      </c>
      <c r="AW135" t="e">
        <f>装备!#REF!</f>
        <v>#REF!</v>
      </c>
      <c r="AX135" t="e">
        <f>装备!#REF!</f>
        <v>#REF!</v>
      </c>
      <c r="AY135" t="e">
        <f>装备!#REF!</f>
        <v>#REF!</v>
      </c>
      <c r="AZ135" t="e">
        <f>装备!#REF!</f>
        <v>#REF!</v>
      </c>
      <c r="BA135" t="e">
        <f>装备!#REF!</f>
        <v>#REF!</v>
      </c>
      <c r="BB135" t="e">
        <f>装备!#REF!</f>
        <v>#REF!</v>
      </c>
      <c r="BC135" t="e">
        <f>装备!#REF!</f>
        <v>#REF!</v>
      </c>
      <c r="BD135" t="e">
        <f>装备!#REF!</f>
        <v>#REF!</v>
      </c>
      <c r="BE135" t="e">
        <f t="shared" si="32"/>
        <v>#REF!</v>
      </c>
      <c r="BF135" t="e">
        <f>装备!#REF!</f>
        <v>#REF!</v>
      </c>
      <c r="BG135" t="e">
        <f>装备!#REF!</f>
        <v>#REF!</v>
      </c>
      <c r="BH135" t="e">
        <f>装备!#REF!</f>
        <v>#REF!</v>
      </c>
      <c r="BI135" t="e">
        <f>装备!#REF!</f>
        <v>#REF!</v>
      </c>
      <c r="BJ135" t="e">
        <f>装备!#REF!</f>
        <v>#REF!</v>
      </c>
      <c r="BK135" t="e">
        <f>装备!#REF!</f>
        <v>#REF!</v>
      </c>
      <c r="BL135" t="e">
        <f>装备!#REF!</f>
        <v>#REF!</v>
      </c>
      <c r="BM135" t="e">
        <f>装备!#REF!</f>
        <v>#REF!</v>
      </c>
      <c r="BN135" t="e">
        <f>装备!#REF!</f>
        <v>#REF!</v>
      </c>
      <c r="BO135" t="e">
        <f>装备!#REF!</f>
        <v>#REF!</v>
      </c>
      <c r="BP135" t="e">
        <f t="shared" si="33"/>
        <v>#REF!</v>
      </c>
      <c r="BQ135" t="e">
        <f>装备!#REF!</f>
        <v>#REF!</v>
      </c>
      <c r="BR135" t="e">
        <f>装备!#REF!</f>
        <v>#REF!</v>
      </c>
      <c r="BS135" t="e">
        <f>装备!#REF!</f>
        <v>#REF!</v>
      </c>
      <c r="BT135" t="e">
        <f>装备!#REF!</f>
        <v>#REF!</v>
      </c>
      <c r="BU135" t="e">
        <f>装备!#REF!</f>
        <v>#REF!</v>
      </c>
      <c r="BV135" t="e">
        <f>装备!#REF!</f>
        <v>#REF!</v>
      </c>
      <c r="BW135" t="e">
        <f>装备!#REF!</f>
        <v>#REF!</v>
      </c>
      <c r="BX135" t="e">
        <f>装备!#REF!</f>
        <v>#REF!</v>
      </c>
      <c r="BY135" t="e">
        <f>装备!#REF!</f>
        <v>#REF!</v>
      </c>
      <c r="BZ135" t="e">
        <f>装备!#REF!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装备!#REF!</f>
        <v>#REF!</v>
      </c>
      <c r="B136" t="e">
        <f>装备!#REF!</f>
        <v>#REF!</v>
      </c>
      <c r="C136" t="e">
        <f>装备!#REF!</f>
        <v>#REF!</v>
      </c>
      <c r="D136" t="e">
        <f>装备!#REF!</f>
        <v>#REF!</v>
      </c>
      <c r="E136" t="e">
        <f>装备!#REF!</f>
        <v>#REF!</v>
      </c>
      <c r="F136" t="e">
        <f>装备!#REF!</f>
        <v>#REF!</v>
      </c>
      <c r="G136" t="e">
        <f>装备!#REF!</f>
        <v>#REF!</v>
      </c>
      <c r="H136" t="e">
        <f>装备!#REF!</f>
        <v>#REF!</v>
      </c>
      <c r="I136" t="e">
        <f>装备!#REF!</f>
        <v>#REF!</v>
      </c>
      <c r="J136" t="e">
        <f>装备!#REF!</f>
        <v>#REF!</v>
      </c>
      <c r="K136" t="e">
        <f>装备!#REF!</f>
        <v>#REF!</v>
      </c>
      <c r="L136" t="e">
        <f>装备!#REF!</f>
        <v>#REF!</v>
      </c>
      <c r="M136" t="e">
        <f t="shared" si="28"/>
        <v>#REF!</v>
      </c>
      <c r="N136" t="e">
        <f>装备!#REF!</f>
        <v>#REF!</v>
      </c>
      <c r="O136" t="e">
        <f>装备!#REF!</f>
        <v>#REF!</v>
      </c>
      <c r="P136" t="e">
        <f>装备!#REF!</f>
        <v>#REF!</v>
      </c>
      <c r="Q136" t="e">
        <f>装备!#REF!</f>
        <v>#REF!</v>
      </c>
      <c r="R136" t="e">
        <f>装备!#REF!</f>
        <v>#REF!</v>
      </c>
      <c r="S136" t="e">
        <f>装备!#REF!</f>
        <v>#REF!</v>
      </c>
      <c r="T136" t="e">
        <f>装备!#REF!</f>
        <v>#REF!</v>
      </c>
      <c r="U136" t="e">
        <f>装备!#REF!</f>
        <v>#REF!</v>
      </c>
      <c r="V136" t="e">
        <f>装备!#REF!</f>
        <v>#REF!</v>
      </c>
      <c r="W136" t="e">
        <f>装备!#REF!</f>
        <v>#REF!</v>
      </c>
      <c r="X136" t="e">
        <f t="shared" si="29"/>
        <v>#REF!</v>
      </c>
      <c r="Y136" t="e">
        <f>装备!#REF!</f>
        <v>#REF!</v>
      </c>
      <c r="Z136" t="e">
        <f>装备!#REF!</f>
        <v>#REF!</v>
      </c>
      <c r="AA136" t="e">
        <f>装备!#REF!</f>
        <v>#REF!</v>
      </c>
      <c r="AB136" t="e">
        <f>装备!#REF!</f>
        <v>#REF!</v>
      </c>
      <c r="AC136" t="e">
        <f>装备!#REF!</f>
        <v>#REF!</v>
      </c>
      <c r="AD136" t="e">
        <f>装备!#REF!</f>
        <v>#REF!</v>
      </c>
      <c r="AE136" t="e">
        <f>装备!#REF!</f>
        <v>#REF!</v>
      </c>
      <c r="AF136" t="e">
        <f>装备!#REF!</f>
        <v>#REF!</v>
      </c>
      <c r="AG136" t="e">
        <f>装备!#REF!</f>
        <v>#REF!</v>
      </c>
      <c r="AH136" t="e">
        <f>装备!#REF!</f>
        <v>#REF!</v>
      </c>
      <c r="AI136" t="e">
        <f t="shared" si="30"/>
        <v>#REF!</v>
      </c>
      <c r="AJ136" t="e">
        <f>装备!#REF!</f>
        <v>#REF!</v>
      </c>
      <c r="AK136" t="e">
        <f>装备!#REF!</f>
        <v>#REF!</v>
      </c>
      <c r="AL136" t="e">
        <f>装备!#REF!</f>
        <v>#REF!</v>
      </c>
      <c r="AM136" t="e">
        <f>装备!#REF!</f>
        <v>#REF!</v>
      </c>
      <c r="AN136" t="e">
        <f>装备!#REF!</f>
        <v>#REF!</v>
      </c>
      <c r="AO136" t="e">
        <f>装备!#REF!</f>
        <v>#REF!</v>
      </c>
      <c r="AP136" t="e">
        <f>装备!#REF!</f>
        <v>#REF!</v>
      </c>
      <c r="AQ136" t="e">
        <f>装备!#REF!</f>
        <v>#REF!</v>
      </c>
      <c r="AR136" t="e">
        <f>装备!#REF!</f>
        <v>#REF!</v>
      </c>
      <c r="AS136" t="e">
        <f>装备!#REF!</f>
        <v>#REF!</v>
      </c>
      <c r="AT136" t="e">
        <f t="shared" si="31"/>
        <v>#REF!</v>
      </c>
      <c r="AU136" t="e">
        <f>装备!#REF!</f>
        <v>#REF!</v>
      </c>
      <c r="AV136" t="e">
        <f>装备!#REF!</f>
        <v>#REF!</v>
      </c>
      <c r="AW136" t="e">
        <f>装备!#REF!</f>
        <v>#REF!</v>
      </c>
      <c r="AX136" t="e">
        <f>装备!#REF!</f>
        <v>#REF!</v>
      </c>
      <c r="AY136" t="e">
        <f>装备!#REF!</f>
        <v>#REF!</v>
      </c>
      <c r="AZ136" t="e">
        <f>装备!#REF!</f>
        <v>#REF!</v>
      </c>
      <c r="BA136" t="e">
        <f>装备!#REF!</f>
        <v>#REF!</v>
      </c>
      <c r="BB136" t="e">
        <f>装备!#REF!</f>
        <v>#REF!</v>
      </c>
      <c r="BC136" t="e">
        <f>装备!#REF!</f>
        <v>#REF!</v>
      </c>
      <c r="BD136" t="e">
        <f>装备!#REF!</f>
        <v>#REF!</v>
      </c>
      <c r="BE136" t="e">
        <f t="shared" si="32"/>
        <v>#REF!</v>
      </c>
      <c r="BF136" t="e">
        <f>装备!#REF!</f>
        <v>#REF!</v>
      </c>
      <c r="BG136" t="e">
        <f>装备!#REF!</f>
        <v>#REF!</v>
      </c>
      <c r="BH136" t="e">
        <f>装备!#REF!</f>
        <v>#REF!</v>
      </c>
      <c r="BI136" t="e">
        <f>装备!#REF!</f>
        <v>#REF!</v>
      </c>
      <c r="BJ136" t="e">
        <f>装备!#REF!</f>
        <v>#REF!</v>
      </c>
      <c r="BK136" t="e">
        <f>装备!#REF!</f>
        <v>#REF!</v>
      </c>
      <c r="BL136" t="e">
        <f>装备!#REF!</f>
        <v>#REF!</v>
      </c>
      <c r="BM136" t="e">
        <f>装备!#REF!</f>
        <v>#REF!</v>
      </c>
      <c r="BN136" t="e">
        <f>装备!#REF!</f>
        <v>#REF!</v>
      </c>
      <c r="BO136" t="e">
        <f>装备!#REF!</f>
        <v>#REF!</v>
      </c>
      <c r="BP136" t="e">
        <f t="shared" si="33"/>
        <v>#REF!</v>
      </c>
      <c r="BQ136" t="e">
        <f>装备!#REF!</f>
        <v>#REF!</v>
      </c>
      <c r="BR136" t="e">
        <f>装备!#REF!</f>
        <v>#REF!</v>
      </c>
      <c r="BS136" t="e">
        <f>装备!#REF!</f>
        <v>#REF!</v>
      </c>
      <c r="BT136" t="e">
        <f>装备!#REF!</f>
        <v>#REF!</v>
      </c>
      <c r="BU136" t="e">
        <f>装备!#REF!</f>
        <v>#REF!</v>
      </c>
      <c r="BV136" t="e">
        <f>装备!#REF!</f>
        <v>#REF!</v>
      </c>
      <c r="BW136" t="e">
        <f>装备!#REF!</f>
        <v>#REF!</v>
      </c>
      <c r="BX136" t="e">
        <f>装备!#REF!</f>
        <v>#REF!</v>
      </c>
      <c r="BY136" t="e">
        <f>装备!#REF!</f>
        <v>#REF!</v>
      </c>
      <c r="BZ136" t="e">
        <f>装备!#REF!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装备!#REF!</f>
        <v>#REF!</v>
      </c>
      <c r="B137" t="e">
        <f>装备!#REF!</f>
        <v>#REF!</v>
      </c>
      <c r="C137" t="e">
        <f>装备!#REF!</f>
        <v>#REF!</v>
      </c>
      <c r="D137" t="e">
        <f>装备!#REF!</f>
        <v>#REF!</v>
      </c>
      <c r="E137" t="e">
        <f>装备!#REF!</f>
        <v>#REF!</v>
      </c>
      <c r="F137" t="e">
        <f>装备!#REF!</f>
        <v>#REF!</v>
      </c>
      <c r="G137" t="e">
        <f>装备!#REF!</f>
        <v>#REF!</v>
      </c>
      <c r="H137" t="e">
        <f>装备!#REF!</f>
        <v>#REF!</v>
      </c>
      <c r="I137" t="e">
        <f>装备!#REF!</f>
        <v>#REF!</v>
      </c>
      <c r="J137" t="e">
        <f>装备!#REF!</f>
        <v>#REF!</v>
      </c>
      <c r="K137" t="e">
        <f>装备!#REF!</f>
        <v>#REF!</v>
      </c>
      <c r="L137" t="e">
        <f>装备!#REF!</f>
        <v>#REF!</v>
      </c>
      <c r="M137" t="e">
        <f t="shared" si="28"/>
        <v>#REF!</v>
      </c>
      <c r="N137" t="e">
        <f>装备!#REF!</f>
        <v>#REF!</v>
      </c>
      <c r="O137" t="e">
        <f>装备!#REF!</f>
        <v>#REF!</v>
      </c>
      <c r="P137" t="e">
        <f>装备!#REF!</f>
        <v>#REF!</v>
      </c>
      <c r="Q137" t="e">
        <f>装备!#REF!</f>
        <v>#REF!</v>
      </c>
      <c r="R137" t="e">
        <f>装备!#REF!</f>
        <v>#REF!</v>
      </c>
      <c r="S137" t="e">
        <f>装备!#REF!</f>
        <v>#REF!</v>
      </c>
      <c r="T137" t="e">
        <f>装备!#REF!</f>
        <v>#REF!</v>
      </c>
      <c r="U137" t="e">
        <f>装备!#REF!</f>
        <v>#REF!</v>
      </c>
      <c r="V137" t="e">
        <f>装备!#REF!</f>
        <v>#REF!</v>
      </c>
      <c r="W137" t="e">
        <f>装备!#REF!</f>
        <v>#REF!</v>
      </c>
      <c r="X137" t="e">
        <f t="shared" si="29"/>
        <v>#REF!</v>
      </c>
      <c r="Y137" t="e">
        <f>装备!#REF!</f>
        <v>#REF!</v>
      </c>
      <c r="Z137" t="e">
        <f>装备!#REF!</f>
        <v>#REF!</v>
      </c>
      <c r="AA137" t="e">
        <f>装备!#REF!</f>
        <v>#REF!</v>
      </c>
      <c r="AB137" t="e">
        <f>装备!#REF!</f>
        <v>#REF!</v>
      </c>
      <c r="AC137" t="e">
        <f>装备!#REF!</f>
        <v>#REF!</v>
      </c>
      <c r="AD137" t="e">
        <f>装备!#REF!</f>
        <v>#REF!</v>
      </c>
      <c r="AE137" t="e">
        <f>装备!#REF!</f>
        <v>#REF!</v>
      </c>
      <c r="AF137" t="e">
        <f>装备!#REF!</f>
        <v>#REF!</v>
      </c>
      <c r="AG137" t="e">
        <f>装备!#REF!</f>
        <v>#REF!</v>
      </c>
      <c r="AH137" t="e">
        <f>装备!#REF!</f>
        <v>#REF!</v>
      </c>
      <c r="AI137" t="e">
        <f t="shared" si="30"/>
        <v>#REF!</v>
      </c>
      <c r="AJ137" t="e">
        <f>装备!#REF!</f>
        <v>#REF!</v>
      </c>
      <c r="AK137" t="e">
        <f>装备!#REF!</f>
        <v>#REF!</v>
      </c>
      <c r="AL137" t="e">
        <f>装备!#REF!</f>
        <v>#REF!</v>
      </c>
      <c r="AM137" t="e">
        <f>装备!#REF!</f>
        <v>#REF!</v>
      </c>
      <c r="AN137" t="e">
        <f>装备!#REF!</f>
        <v>#REF!</v>
      </c>
      <c r="AO137" t="e">
        <f>装备!#REF!</f>
        <v>#REF!</v>
      </c>
      <c r="AP137" t="e">
        <f>装备!#REF!</f>
        <v>#REF!</v>
      </c>
      <c r="AQ137" t="e">
        <f>装备!#REF!</f>
        <v>#REF!</v>
      </c>
      <c r="AR137" t="e">
        <f>装备!#REF!</f>
        <v>#REF!</v>
      </c>
      <c r="AS137" t="e">
        <f>装备!#REF!</f>
        <v>#REF!</v>
      </c>
      <c r="AT137" t="e">
        <f t="shared" si="31"/>
        <v>#REF!</v>
      </c>
      <c r="AU137" t="e">
        <f>装备!#REF!</f>
        <v>#REF!</v>
      </c>
      <c r="AV137" t="e">
        <f>装备!#REF!</f>
        <v>#REF!</v>
      </c>
      <c r="AW137" t="e">
        <f>装备!#REF!</f>
        <v>#REF!</v>
      </c>
      <c r="AX137" t="e">
        <f>装备!#REF!</f>
        <v>#REF!</v>
      </c>
      <c r="AY137" t="e">
        <f>装备!#REF!</f>
        <v>#REF!</v>
      </c>
      <c r="AZ137" t="e">
        <f>装备!#REF!</f>
        <v>#REF!</v>
      </c>
      <c r="BA137" t="e">
        <f>装备!#REF!</f>
        <v>#REF!</v>
      </c>
      <c r="BB137" t="e">
        <f>装备!#REF!</f>
        <v>#REF!</v>
      </c>
      <c r="BC137" t="e">
        <f>装备!#REF!</f>
        <v>#REF!</v>
      </c>
      <c r="BD137" t="e">
        <f>装备!#REF!</f>
        <v>#REF!</v>
      </c>
      <c r="BE137" t="e">
        <f t="shared" si="32"/>
        <v>#REF!</v>
      </c>
      <c r="BF137" t="e">
        <f>装备!#REF!</f>
        <v>#REF!</v>
      </c>
      <c r="BG137" t="e">
        <f>装备!#REF!</f>
        <v>#REF!</v>
      </c>
      <c r="BH137" t="e">
        <f>装备!#REF!</f>
        <v>#REF!</v>
      </c>
      <c r="BI137" t="e">
        <f>装备!#REF!</f>
        <v>#REF!</v>
      </c>
      <c r="BJ137" t="e">
        <f>装备!#REF!</f>
        <v>#REF!</v>
      </c>
      <c r="BK137" t="e">
        <f>装备!#REF!</f>
        <v>#REF!</v>
      </c>
      <c r="BL137" t="e">
        <f>装备!#REF!</f>
        <v>#REF!</v>
      </c>
      <c r="BM137" t="e">
        <f>装备!#REF!</f>
        <v>#REF!</v>
      </c>
      <c r="BN137" t="e">
        <f>装备!#REF!</f>
        <v>#REF!</v>
      </c>
      <c r="BO137" t="e">
        <f>装备!#REF!</f>
        <v>#REF!</v>
      </c>
      <c r="BP137" t="e">
        <f t="shared" si="33"/>
        <v>#REF!</v>
      </c>
      <c r="BQ137" t="e">
        <f>装备!#REF!</f>
        <v>#REF!</v>
      </c>
      <c r="BR137" t="e">
        <f>装备!#REF!</f>
        <v>#REF!</v>
      </c>
      <c r="BS137" t="e">
        <f>装备!#REF!</f>
        <v>#REF!</v>
      </c>
      <c r="BT137" t="e">
        <f>装备!#REF!</f>
        <v>#REF!</v>
      </c>
      <c r="BU137" t="e">
        <f>装备!#REF!</f>
        <v>#REF!</v>
      </c>
      <c r="BV137" t="e">
        <f>装备!#REF!</f>
        <v>#REF!</v>
      </c>
      <c r="BW137" t="e">
        <f>装备!#REF!</f>
        <v>#REF!</v>
      </c>
      <c r="BX137" t="e">
        <f>装备!#REF!</f>
        <v>#REF!</v>
      </c>
      <c r="BY137" t="e">
        <f>装备!#REF!</f>
        <v>#REF!</v>
      </c>
      <c r="BZ137" t="e">
        <f>装备!#REF!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装备!#REF!</f>
        <v>#REF!</v>
      </c>
      <c r="B138" t="e">
        <f>装备!#REF!</f>
        <v>#REF!</v>
      </c>
      <c r="C138" t="e">
        <f>装备!#REF!</f>
        <v>#REF!</v>
      </c>
      <c r="D138" t="e">
        <f>装备!#REF!</f>
        <v>#REF!</v>
      </c>
      <c r="E138" t="e">
        <f>装备!#REF!</f>
        <v>#REF!</v>
      </c>
      <c r="F138" t="e">
        <f>装备!#REF!</f>
        <v>#REF!</v>
      </c>
      <c r="G138" t="e">
        <f>装备!#REF!</f>
        <v>#REF!</v>
      </c>
      <c r="H138" t="e">
        <f>装备!#REF!</f>
        <v>#REF!</v>
      </c>
      <c r="I138" t="e">
        <f>装备!#REF!</f>
        <v>#REF!</v>
      </c>
      <c r="J138" t="e">
        <f>装备!#REF!</f>
        <v>#REF!</v>
      </c>
      <c r="K138" t="e">
        <f>装备!#REF!</f>
        <v>#REF!</v>
      </c>
      <c r="L138" t="e">
        <f>装备!#REF!</f>
        <v>#REF!</v>
      </c>
      <c r="M138" t="e">
        <f t="shared" si="28"/>
        <v>#REF!</v>
      </c>
      <c r="N138" t="e">
        <f>装备!#REF!</f>
        <v>#REF!</v>
      </c>
      <c r="O138" t="e">
        <f>装备!#REF!</f>
        <v>#REF!</v>
      </c>
      <c r="P138" t="e">
        <f>装备!#REF!</f>
        <v>#REF!</v>
      </c>
      <c r="Q138" t="e">
        <f>装备!#REF!</f>
        <v>#REF!</v>
      </c>
      <c r="R138" t="e">
        <f>装备!#REF!</f>
        <v>#REF!</v>
      </c>
      <c r="S138" t="e">
        <f>装备!#REF!</f>
        <v>#REF!</v>
      </c>
      <c r="T138" t="e">
        <f>装备!#REF!</f>
        <v>#REF!</v>
      </c>
      <c r="U138" t="e">
        <f>装备!#REF!</f>
        <v>#REF!</v>
      </c>
      <c r="V138" t="e">
        <f>装备!#REF!</f>
        <v>#REF!</v>
      </c>
      <c r="W138" t="e">
        <f>装备!#REF!</f>
        <v>#REF!</v>
      </c>
      <c r="X138" t="e">
        <f t="shared" si="29"/>
        <v>#REF!</v>
      </c>
      <c r="Y138" t="e">
        <f>装备!#REF!</f>
        <v>#REF!</v>
      </c>
      <c r="Z138" t="e">
        <f>装备!#REF!</f>
        <v>#REF!</v>
      </c>
      <c r="AA138" t="e">
        <f>装备!#REF!</f>
        <v>#REF!</v>
      </c>
      <c r="AB138" t="e">
        <f>装备!#REF!</f>
        <v>#REF!</v>
      </c>
      <c r="AC138" t="e">
        <f>装备!#REF!</f>
        <v>#REF!</v>
      </c>
      <c r="AD138" t="e">
        <f>装备!#REF!</f>
        <v>#REF!</v>
      </c>
      <c r="AE138" t="e">
        <f>装备!#REF!</f>
        <v>#REF!</v>
      </c>
      <c r="AF138" t="e">
        <f>装备!#REF!</f>
        <v>#REF!</v>
      </c>
      <c r="AG138" t="e">
        <f>装备!#REF!</f>
        <v>#REF!</v>
      </c>
      <c r="AH138" t="e">
        <f>装备!#REF!</f>
        <v>#REF!</v>
      </c>
      <c r="AI138" t="e">
        <f t="shared" si="30"/>
        <v>#REF!</v>
      </c>
      <c r="AJ138" t="e">
        <f>装备!#REF!</f>
        <v>#REF!</v>
      </c>
      <c r="AK138" t="e">
        <f>装备!#REF!</f>
        <v>#REF!</v>
      </c>
      <c r="AL138" t="e">
        <f>装备!#REF!</f>
        <v>#REF!</v>
      </c>
      <c r="AM138" t="e">
        <f>装备!#REF!</f>
        <v>#REF!</v>
      </c>
      <c r="AN138" t="e">
        <f>装备!#REF!</f>
        <v>#REF!</v>
      </c>
      <c r="AO138" t="e">
        <f>装备!#REF!</f>
        <v>#REF!</v>
      </c>
      <c r="AP138" t="e">
        <f>装备!#REF!</f>
        <v>#REF!</v>
      </c>
      <c r="AQ138" t="e">
        <f>装备!#REF!</f>
        <v>#REF!</v>
      </c>
      <c r="AR138" t="e">
        <f>装备!#REF!</f>
        <v>#REF!</v>
      </c>
      <c r="AS138" t="e">
        <f>装备!#REF!</f>
        <v>#REF!</v>
      </c>
      <c r="AT138" t="e">
        <f t="shared" si="31"/>
        <v>#REF!</v>
      </c>
      <c r="AU138" t="e">
        <f>装备!#REF!</f>
        <v>#REF!</v>
      </c>
      <c r="AV138" t="e">
        <f>装备!#REF!</f>
        <v>#REF!</v>
      </c>
      <c r="AW138" t="e">
        <f>装备!#REF!</f>
        <v>#REF!</v>
      </c>
      <c r="AX138" t="e">
        <f>装备!#REF!</f>
        <v>#REF!</v>
      </c>
      <c r="AY138" t="e">
        <f>装备!#REF!</f>
        <v>#REF!</v>
      </c>
      <c r="AZ138" t="e">
        <f>装备!#REF!</f>
        <v>#REF!</v>
      </c>
      <c r="BA138" t="e">
        <f>装备!#REF!</f>
        <v>#REF!</v>
      </c>
      <c r="BB138" t="e">
        <f>装备!#REF!</f>
        <v>#REF!</v>
      </c>
      <c r="BC138" t="e">
        <f>装备!#REF!</f>
        <v>#REF!</v>
      </c>
      <c r="BD138" t="e">
        <f>装备!#REF!</f>
        <v>#REF!</v>
      </c>
      <c r="BE138" t="e">
        <f t="shared" si="32"/>
        <v>#REF!</v>
      </c>
      <c r="BF138" t="e">
        <f>装备!#REF!</f>
        <v>#REF!</v>
      </c>
      <c r="BG138" t="e">
        <f>装备!#REF!</f>
        <v>#REF!</v>
      </c>
      <c r="BH138" t="e">
        <f>装备!#REF!</f>
        <v>#REF!</v>
      </c>
      <c r="BI138" t="e">
        <f>装备!#REF!</f>
        <v>#REF!</v>
      </c>
      <c r="BJ138" t="e">
        <f>装备!#REF!</f>
        <v>#REF!</v>
      </c>
      <c r="BK138" t="e">
        <f>装备!#REF!</f>
        <v>#REF!</v>
      </c>
      <c r="BL138" t="e">
        <f>装备!#REF!</f>
        <v>#REF!</v>
      </c>
      <c r="BM138" t="e">
        <f>装备!#REF!</f>
        <v>#REF!</v>
      </c>
      <c r="BN138" t="e">
        <f>装备!#REF!</f>
        <v>#REF!</v>
      </c>
      <c r="BO138" t="e">
        <f>装备!#REF!</f>
        <v>#REF!</v>
      </c>
      <c r="BP138" t="e">
        <f t="shared" si="33"/>
        <v>#REF!</v>
      </c>
      <c r="BQ138" t="e">
        <f>装备!#REF!</f>
        <v>#REF!</v>
      </c>
      <c r="BR138" t="e">
        <f>装备!#REF!</f>
        <v>#REF!</v>
      </c>
      <c r="BS138" t="e">
        <f>装备!#REF!</f>
        <v>#REF!</v>
      </c>
      <c r="BT138" t="e">
        <f>装备!#REF!</f>
        <v>#REF!</v>
      </c>
      <c r="BU138" t="e">
        <f>装备!#REF!</f>
        <v>#REF!</v>
      </c>
      <c r="BV138" t="e">
        <f>装备!#REF!</f>
        <v>#REF!</v>
      </c>
      <c r="BW138" t="e">
        <f>装备!#REF!</f>
        <v>#REF!</v>
      </c>
      <c r="BX138" t="e">
        <f>装备!#REF!</f>
        <v>#REF!</v>
      </c>
      <c r="BY138" t="e">
        <f>装备!#REF!</f>
        <v>#REF!</v>
      </c>
      <c r="BZ138" t="e">
        <f>装备!#REF!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装备!#REF!</f>
        <v>#REF!</v>
      </c>
      <c r="B139" t="e">
        <f>装备!#REF!</f>
        <v>#REF!</v>
      </c>
      <c r="C139" t="e">
        <f>装备!#REF!</f>
        <v>#REF!</v>
      </c>
      <c r="D139" t="e">
        <f>装备!#REF!</f>
        <v>#REF!</v>
      </c>
      <c r="E139" t="e">
        <f>装备!#REF!</f>
        <v>#REF!</v>
      </c>
      <c r="F139" t="e">
        <f>装备!#REF!</f>
        <v>#REF!</v>
      </c>
      <c r="G139" t="e">
        <f>装备!#REF!</f>
        <v>#REF!</v>
      </c>
      <c r="H139" t="e">
        <f>装备!#REF!</f>
        <v>#REF!</v>
      </c>
      <c r="I139" t="e">
        <f>装备!#REF!</f>
        <v>#REF!</v>
      </c>
      <c r="J139" t="e">
        <f>装备!#REF!</f>
        <v>#REF!</v>
      </c>
      <c r="K139" t="e">
        <f>装备!#REF!</f>
        <v>#REF!</v>
      </c>
      <c r="L139" t="e">
        <f>装备!#REF!</f>
        <v>#REF!</v>
      </c>
      <c r="M139" t="e">
        <f t="shared" si="28"/>
        <v>#REF!</v>
      </c>
      <c r="N139" t="e">
        <f>装备!#REF!</f>
        <v>#REF!</v>
      </c>
      <c r="O139" t="e">
        <f>装备!#REF!</f>
        <v>#REF!</v>
      </c>
      <c r="P139" t="e">
        <f>装备!#REF!</f>
        <v>#REF!</v>
      </c>
      <c r="Q139" t="e">
        <f>装备!#REF!</f>
        <v>#REF!</v>
      </c>
      <c r="R139" t="e">
        <f>装备!#REF!</f>
        <v>#REF!</v>
      </c>
      <c r="S139" t="e">
        <f>装备!#REF!</f>
        <v>#REF!</v>
      </c>
      <c r="T139" t="e">
        <f>装备!#REF!</f>
        <v>#REF!</v>
      </c>
      <c r="U139" t="e">
        <f>装备!#REF!</f>
        <v>#REF!</v>
      </c>
      <c r="V139" t="e">
        <f>装备!#REF!</f>
        <v>#REF!</v>
      </c>
      <c r="W139" t="e">
        <f>装备!#REF!</f>
        <v>#REF!</v>
      </c>
      <c r="X139" t="e">
        <f t="shared" si="29"/>
        <v>#REF!</v>
      </c>
      <c r="Y139" t="e">
        <f>装备!#REF!</f>
        <v>#REF!</v>
      </c>
      <c r="Z139" t="e">
        <f>装备!#REF!</f>
        <v>#REF!</v>
      </c>
      <c r="AA139" t="e">
        <f>装备!#REF!</f>
        <v>#REF!</v>
      </c>
      <c r="AB139" t="e">
        <f>装备!#REF!</f>
        <v>#REF!</v>
      </c>
      <c r="AC139" t="e">
        <f>装备!#REF!</f>
        <v>#REF!</v>
      </c>
      <c r="AD139" t="e">
        <f>装备!#REF!</f>
        <v>#REF!</v>
      </c>
      <c r="AE139" t="e">
        <f>装备!#REF!</f>
        <v>#REF!</v>
      </c>
      <c r="AF139" t="e">
        <f>装备!#REF!</f>
        <v>#REF!</v>
      </c>
      <c r="AG139" t="e">
        <f>装备!#REF!</f>
        <v>#REF!</v>
      </c>
      <c r="AH139" t="e">
        <f>装备!#REF!</f>
        <v>#REF!</v>
      </c>
      <c r="AI139" t="e">
        <f t="shared" si="30"/>
        <v>#REF!</v>
      </c>
      <c r="AJ139" t="e">
        <f>装备!#REF!</f>
        <v>#REF!</v>
      </c>
      <c r="AK139" t="e">
        <f>装备!#REF!</f>
        <v>#REF!</v>
      </c>
      <c r="AL139" t="e">
        <f>装备!#REF!</f>
        <v>#REF!</v>
      </c>
      <c r="AM139" t="e">
        <f>装备!#REF!</f>
        <v>#REF!</v>
      </c>
      <c r="AN139" t="e">
        <f>装备!#REF!</f>
        <v>#REF!</v>
      </c>
      <c r="AO139" t="e">
        <f>装备!#REF!</f>
        <v>#REF!</v>
      </c>
      <c r="AP139" t="e">
        <f>装备!#REF!</f>
        <v>#REF!</v>
      </c>
      <c r="AQ139" t="e">
        <f>装备!#REF!</f>
        <v>#REF!</v>
      </c>
      <c r="AR139" t="e">
        <f>装备!#REF!</f>
        <v>#REF!</v>
      </c>
      <c r="AS139" t="e">
        <f>装备!#REF!</f>
        <v>#REF!</v>
      </c>
      <c r="AT139" t="e">
        <f t="shared" si="31"/>
        <v>#REF!</v>
      </c>
      <c r="AU139" t="e">
        <f>装备!#REF!</f>
        <v>#REF!</v>
      </c>
      <c r="AV139" t="e">
        <f>装备!#REF!</f>
        <v>#REF!</v>
      </c>
      <c r="AW139" t="e">
        <f>装备!#REF!</f>
        <v>#REF!</v>
      </c>
      <c r="AX139" t="e">
        <f>装备!#REF!</f>
        <v>#REF!</v>
      </c>
      <c r="AY139" t="e">
        <f>装备!#REF!</f>
        <v>#REF!</v>
      </c>
      <c r="AZ139" t="e">
        <f>装备!#REF!</f>
        <v>#REF!</v>
      </c>
      <c r="BA139" t="e">
        <f>装备!#REF!</f>
        <v>#REF!</v>
      </c>
      <c r="BB139" t="e">
        <f>装备!#REF!</f>
        <v>#REF!</v>
      </c>
      <c r="BC139" t="e">
        <f>装备!#REF!</f>
        <v>#REF!</v>
      </c>
      <c r="BD139" t="e">
        <f>装备!#REF!</f>
        <v>#REF!</v>
      </c>
      <c r="BE139" t="e">
        <f t="shared" si="32"/>
        <v>#REF!</v>
      </c>
      <c r="BF139" t="e">
        <f>装备!#REF!</f>
        <v>#REF!</v>
      </c>
      <c r="BG139" t="e">
        <f>装备!#REF!</f>
        <v>#REF!</v>
      </c>
      <c r="BH139" t="e">
        <f>装备!#REF!</f>
        <v>#REF!</v>
      </c>
      <c r="BI139" t="e">
        <f>装备!#REF!</f>
        <v>#REF!</v>
      </c>
      <c r="BJ139" t="e">
        <f>装备!#REF!</f>
        <v>#REF!</v>
      </c>
      <c r="BK139" t="e">
        <f>装备!#REF!</f>
        <v>#REF!</v>
      </c>
      <c r="BL139" t="e">
        <f>装备!#REF!</f>
        <v>#REF!</v>
      </c>
      <c r="BM139" t="e">
        <f>装备!#REF!</f>
        <v>#REF!</v>
      </c>
      <c r="BN139" t="e">
        <f>装备!#REF!</f>
        <v>#REF!</v>
      </c>
      <c r="BO139" t="e">
        <f>装备!#REF!</f>
        <v>#REF!</v>
      </c>
      <c r="BP139" t="e">
        <f t="shared" si="33"/>
        <v>#REF!</v>
      </c>
      <c r="BQ139" t="e">
        <f>装备!#REF!</f>
        <v>#REF!</v>
      </c>
      <c r="BR139" t="e">
        <f>装备!#REF!</f>
        <v>#REF!</v>
      </c>
      <c r="BS139" t="e">
        <f>装备!#REF!</f>
        <v>#REF!</v>
      </c>
      <c r="BT139" t="e">
        <f>装备!#REF!</f>
        <v>#REF!</v>
      </c>
      <c r="BU139" t="e">
        <f>装备!#REF!</f>
        <v>#REF!</v>
      </c>
      <c r="BV139" t="e">
        <f>装备!#REF!</f>
        <v>#REF!</v>
      </c>
      <c r="BW139" t="e">
        <f>装备!#REF!</f>
        <v>#REF!</v>
      </c>
      <c r="BX139" t="e">
        <f>装备!#REF!</f>
        <v>#REF!</v>
      </c>
      <c r="BY139" t="e">
        <f>装备!#REF!</f>
        <v>#REF!</v>
      </c>
      <c r="BZ139" t="e">
        <f>装备!#REF!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装备!#REF!</f>
        <v>#REF!</v>
      </c>
      <c r="B140" t="e">
        <f>装备!#REF!</f>
        <v>#REF!</v>
      </c>
      <c r="C140" t="e">
        <f>装备!#REF!</f>
        <v>#REF!</v>
      </c>
      <c r="D140" t="e">
        <f>装备!#REF!</f>
        <v>#REF!</v>
      </c>
      <c r="E140" t="e">
        <f>装备!#REF!</f>
        <v>#REF!</v>
      </c>
      <c r="F140" t="e">
        <f>装备!#REF!</f>
        <v>#REF!</v>
      </c>
      <c r="G140" t="e">
        <f>装备!#REF!</f>
        <v>#REF!</v>
      </c>
      <c r="H140" t="e">
        <f>装备!#REF!</f>
        <v>#REF!</v>
      </c>
      <c r="I140" t="e">
        <f>装备!#REF!</f>
        <v>#REF!</v>
      </c>
      <c r="J140" t="e">
        <f>装备!#REF!</f>
        <v>#REF!</v>
      </c>
      <c r="K140" t="e">
        <f>装备!#REF!</f>
        <v>#REF!</v>
      </c>
      <c r="L140" t="e">
        <f>装备!#REF!</f>
        <v>#REF!</v>
      </c>
      <c r="M140" t="e">
        <f t="shared" si="28"/>
        <v>#REF!</v>
      </c>
      <c r="N140" t="e">
        <f>装备!#REF!</f>
        <v>#REF!</v>
      </c>
      <c r="O140" t="e">
        <f>装备!#REF!</f>
        <v>#REF!</v>
      </c>
      <c r="P140" t="e">
        <f>装备!#REF!</f>
        <v>#REF!</v>
      </c>
      <c r="Q140" t="e">
        <f>装备!#REF!</f>
        <v>#REF!</v>
      </c>
      <c r="R140" t="e">
        <f>装备!#REF!</f>
        <v>#REF!</v>
      </c>
      <c r="S140" t="e">
        <f>装备!#REF!</f>
        <v>#REF!</v>
      </c>
      <c r="T140" t="e">
        <f>装备!#REF!</f>
        <v>#REF!</v>
      </c>
      <c r="U140" t="e">
        <f>装备!#REF!</f>
        <v>#REF!</v>
      </c>
      <c r="V140" t="e">
        <f>装备!#REF!</f>
        <v>#REF!</v>
      </c>
      <c r="W140" t="e">
        <f>装备!#REF!</f>
        <v>#REF!</v>
      </c>
      <c r="X140" t="e">
        <f t="shared" si="29"/>
        <v>#REF!</v>
      </c>
      <c r="Y140" t="e">
        <f>装备!#REF!</f>
        <v>#REF!</v>
      </c>
      <c r="Z140" t="e">
        <f>装备!#REF!</f>
        <v>#REF!</v>
      </c>
      <c r="AA140" t="e">
        <f>装备!#REF!</f>
        <v>#REF!</v>
      </c>
      <c r="AB140" t="e">
        <f>装备!#REF!</f>
        <v>#REF!</v>
      </c>
      <c r="AC140" t="e">
        <f>装备!#REF!</f>
        <v>#REF!</v>
      </c>
      <c r="AD140" t="e">
        <f>装备!#REF!</f>
        <v>#REF!</v>
      </c>
      <c r="AE140" t="e">
        <f>装备!#REF!</f>
        <v>#REF!</v>
      </c>
      <c r="AF140" t="e">
        <f>装备!#REF!</f>
        <v>#REF!</v>
      </c>
      <c r="AG140" t="e">
        <f>装备!#REF!</f>
        <v>#REF!</v>
      </c>
      <c r="AH140" t="e">
        <f>装备!#REF!</f>
        <v>#REF!</v>
      </c>
      <c r="AI140" t="e">
        <f t="shared" si="30"/>
        <v>#REF!</v>
      </c>
      <c r="AJ140" t="e">
        <f>装备!#REF!</f>
        <v>#REF!</v>
      </c>
      <c r="AK140" t="e">
        <f>装备!#REF!</f>
        <v>#REF!</v>
      </c>
      <c r="AL140" t="e">
        <f>装备!#REF!</f>
        <v>#REF!</v>
      </c>
      <c r="AM140" t="e">
        <f>装备!#REF!</f>
        <v>#REF!</v>
      </c>
      <c r="AN140" t="e">
        <f>装备!#REF!</f>
        <v>#REF!</v>
      </c>
      <c r="AO140" t="e">
        <f>装备!#REF!</f>
        <v>#REF!</v>
      </c>
      <c r="AP140" t="e">
        <f>装备!#REF!</f>
        <v>#REF!</v>
      </c>
      <c r="AQ140" t="e">
        <f>装备!#REF!</f>
        <v>#REF!</v>
      </c>
      <c r="AR140" t="e">
        <f>装备!#REF!</f>
        <v>#REF!</v>
      </c>
      <c r="AS140" t="e">
        <f>装备!#REF!</f>
        <v>#REF!</v>
      </c>
      <c r="AT140" t="e">
        <f t="shared" si="31"/>
        <v>#REF!</v>
      </c>
      <c r="AU140" t="e">
        <f>装备!#REF!</f>
        <v>#REF!</v>
      </c>
      <c r="AV140" t="e">
        <f>装备!#REF!</f>
        <v>#REF!</v>
      </c>
      <c r="AW140" t="e">
        <f>装备!#REF!</f>
        <v>#REF!</v>
      </c>
      <c r="AX140" t="e">
        <f>装备!#REF!</f>
        <v>#REF!</v>
      </c>
      <c r="AY140" t="e">
        <f>装备!#REF!</f>
        <v>#REF!</v>
      </c>
      <c r="AZ140" t="e">
        <f>装备!#REF!</f>
        <v>#REF!</v>
      </c>
      <c r="BA140" t="e">
        <f>装备!#REF!</f>
        <v>#REF!</v>
      </c>
      <c r="BB140" t="e">
        <f>装备!#REF!</f>
        <v>#REF!</v>
      </c>
      <c r="BC140" t="e">
        <f>装备!#REF!</f>
        <v>#REF!</v>
      </c>
      <c r="BD140" t="e">
        <f>装备!#REF!</f>
        <v>#REF!</v>
      </c>
      <c r="BE140" t="e">
        <f t="shared" si="32"/>
        <v>#REF!</v>
      </c>
      <c r="BF140" t="e">
        <f>装备!#REF!</f>
        <v>#REF!</v>
      </c>
      <c r="BG140" t="e">
        <f>装备!#REF!</f>
        <v>#REF!</v>
      </c>
      <c r="BH140" t="e">
        <f>装备!#REF!</f>
        <v>#REF!</v>
      </c>
      <c r="BI140" t="e">
        <f>装备!#REF!</f>
        <v>#REF!</v>
      </c>
      <c r="BJ140" t="e">
        <f>装备!#REF!</f>
        <v>#REF!</v>
      </c>
      <c r="BK140" t="e">
        <f>装备!#REF!</f>
        <v>#REF!</v>
      </c>
      <c r="BL140" t="e">
        <f>装备!#REF!</f>
        <v>#REF!</v>
      </c>
      <c r="BM140" t="e">
        <f>装备!#REF!</f>
        <v>#REF!</v>
      </c>
      <c r="BN140" t="e">
        <f>装备!#REF!</f>
        <v>#REF!</v>
      </c>
      <c r="BO140" t="e">
        <f>装备!#REF!</f>
        <v>#REF!</v>
      </c>
      <c r="BP140" t="e">
        <f t="shared" si="33"/>
        <v>#REF!</v>
      </c>
      <c r="BQ140" t="e">
        <f>装备!#REF!</f>
        <v>#REF!</v>
      </c>
      <c r="BR140" t="e">
        <f>装备!#REF!</f>
        <v>#REF!</v>
      </c>
      <c r="BS140" t="e">
        <f>装备!#REF!</f>
        <v>#REF!</v>
      </c>
      <c r="BT140" t="e">
        <f>装备!#REF!</f>
        <v>#REF!</v>
      </c>
      <c r="BU140" t="e">
        <f>装备!#REF!</f>
        <v>#REF!</v>
      </c>
      <c r="BV140" t="e">
        <f>装备!#REF!</f>
        <v>#REF!</v>
      </c>
      <c r="BW140" t="e">
        <f>装备!#REF!</f>
        <v>#REF!</v>
      </c>
      <c r="BX140" t="e">
        <f>装备!#REF!</f>
        <v>#REF!</v>
      </c>
      <c r="BY140" t="e">
        <f>装备!#REF!</f>
        <v>#REF!</v>
      </c>
      <c r="BZ140" t="e">
        <f>装备!#REF!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装备!#REF!</f>
        <v>#REF!</v>
      </c>
      <c r="B141" t="e">
        <f>装备!#REF!</f>
        <v>#REF!</v>
      </c>
      <c r="C141" t="e">
        <f>装备!#REF!</f>
        <v>#REF!</v>
      </c>
      <c r="D141" t="e">
        <f>装备!#REF!</f>
        <v>#REF!</v>
      </c>
      <c r="E141" t="e">
        <f>装备!#REF!</f>
        <v>#REF!</v>
      </c>
      <c r="F141" t="e">
        <f>装备!#REF!</f>
        <v>#REF!</v>
      </c>
      <c r="G141" t="e">
        <f>装备!#REF!</f>
        <v>#REF!</v>
      </c>
      <c r="H141" t="e">
        <f>装备!#REF!</f>
        <v>#REF!</v>
      </c>
      <c r="I141" t="e">
        <f>装备!#REF!</f>
        <v>#REF!</v>
      </c>
      <c r="J141" t="e">
        <f>装备!#REF!</f>
        <v>#REF!</v>
      </c>
      <c r="K141" t="e">
        <f>装备!#REF!</f>
        <v>#REF!</v>
      </c>
      <c r="L141" t="e">
        <f>装备!#REF!</f>
        <v>#REF!</v>
      </c>
      <c r="M141" t="e">
        <f t="shared" si="28"/>
        <v>#REF!</v>
      </c>
      <c r="N141" t="e">
        <f>装备!#REF!</f>
        <v>#REF!</v>
      </c>
      <c r="O141" t="e">
        <f>装备!#REF!</f>
        <v>#REF!</v>
      </c>
      <c r="P141" t="e">
        <f>装备!#REF!</f>
        <v>#REF!</v>
      </c>
      <c r="Q141" t="e">
        <f>装备!#REF!</f>
        <v>#REF!</v>
      </c>
      <c r="R141" t="e">
        <f>装备!#REF!</f>
        <v>#REF!</v>
      </c>
      <c r="S141" t="e">
        <f>装备!#REF!</f>
        <v>#REF!</v>
      </c>
      <c r="T141" t="e">
        <f>装备!#REF!</f>
        <v>#REF!</v>
      </c>
      <c r="U141" t="e">
        <f>装备!#REF!</f>
        <v>#REF!</v>
      </c>
      <c r="V141" t="e">
        <f>装备!#REF!</f>
        <v>#REF!</v>
      </c>
      <c r="W141" t="e">
        <f>装备!#REF!</f>
        <v>#REF!</v>
      </c>
      <c r="X141" t="e">
        <f t="shared" si="29"/>
        <v>#REF!</v>
      </c>
      <c r="Y141" t="e">
        <f>装备!#REF!</f>
        <v>#REF!</v>
      </c>
      <c r="Z141" t="e">
        <f>装备!#REF!</f>
        <v>#REF!</v>
      </c>
      <c r="AA141" t="e">
        <f>装备!#REF!</f>
        <v>#REF!</v>
      </c>
      <c r="AB141" t="e">
        <f>装备!#REF!</f>
        <v>#REF!</v>
      </c>
      <c r="AC141" t="e">
        <f>装备!#REF!</f>
        <v>#REF!</v>
      </c>
      <c r="AD141" t="e">
        <f>装备!#REF!</f>
        <v>#REF!</v>
      </c>
      <c r="AE141" t="e">
        <f>装备!#REF!</f>
        <v>#REF!</v>
      </c>
      <c r="AF141" t="e">
        <f>装备!#REF!</f>
        <v>#REF!</v>
      </c>
      <c r="AG141" t="e">
        <f>装备!#REF!</f>
        <v>#REF!</v>
      </c>
      <c r="AH141" t="e">
        <f>装备!#REF!</f>
        <v>#REF!</v>
      </c>
      <c r="AI141" t="e">
        <f t="shared" si="30"/>
        <v>#REF!</v>
      </c>
      <c r="AJ141" t="e">
        <f>装备!#REF!</f>
        <v>#REF!</v>
      </c>
      <c r="AK141" t="e">
        <f>装备!#REF!</f>
        <v>#REF!</v>
      </c>
      <c r="AL141" t="e">
        <f>装备!#REF!</f>
        <v>#REF!</v>
      </c>
      <c r="AM141" t="e">
        <f>装备!#REF!</f>
        <v>#REF!</v>
      </c>
      <c r="AN141" t="e">
        <f>装备!#REF!</f>
        <v>#REF!</v>
      </c>
      <c r="AO141" t="e">
        <f>装备!#REF!</f>
        <v>#REF!</v>
      </c>
      <c r="AP141" t="e">
        <f>装备!#REF!</f>
        <v>#REF!</v>
      </c>
      <c r="AQ141" t="e">
        <f>装备!#REF!</f>
        <v>#REF!</v>
      </c>
      <c r="AR141" t="e">
        <f>装备!#REF!</f>
        <v>#REF!</v>
      </c>
      <c r="AS141" t="e">
        <f>装备!#REF!</f>
        <v>#REF!</v>
      </c>
      <c r="AT141" t="e">
        <f t="shared" si="31"/>
        <v>#REF!</v>
      </c>
      <c r="AU141" t="e">
        <f>装备!#REF!</f>
        <v>#REF!</v>
      </c>
      <c r="AV141" t="e">
        <f>装备!#REF!</f>
        <v>#REF!</v>
      </c>
      <c r="AW141" t="e">
        <f>装备!#REF!</f>
        <v>#REF!</v>
      </c>
      <c r="AX141" t="e">
        <f>装备!#REF!</f>
        <v>#REF!</v>
      </c>
      <c r="AY141" t="e">
        <f>装备!#REF!</f>
        <v>#REF!</v>
      </c>
      <c r="AZ141" t="e">
        <f>装备!#REF!</f>
        <v>#REF!</v>
      </c>
      <c r="BA141" t="e">
        <f>装备!#REF!</f>
        <v>#REF!</v>
      </c>
      <c r="BB141" t="e">
        <f>装备!#REF!</f>
        <v>#REF!</v>
      </c>
      <c r="BC141" t="e">
        <f>装备!#REF!</f>
        <v>#REF!</v>
      </c>
      <c r="BD141" t="e">
        <f>装备!#REF!</f>
        <v>#REF!</v>
      </c>
      <c r="BE141" t="e">
        <f t="shared" si="32"/>
        <v>#REF!</v>
      </c>
      <c r="BF141" t="e">
        <f>装备!#REF!</f>
        <v>#REF!</v>
      </c>
      <c r="BG141" t="e">
        <f>装备!#REF!</f>
        <v>#REF!</v>
      </c>
      <c r="BH141" t="e">
        <f>装备!#REF!</f>
        <v>#REF!</v>
      </c>
      <c r="BI141" t="e">
        <f>装备!#REF!</f>
        <v>#REF!</v>
      </c>
      <c r="BJ141" t="e">
        <f>装备!#REF!</f>
        <v>#REF!</v>
      </c>
      <c r="BK141" t="e">
        <f>装备!#REF!</f>
        <v>#REF!</v>
      </c>
      <c r="BL141" t="e">
        <f>装备!#REF!</f>
        <v>#REF!</v>
      </c>
      <c r="BM141" t="e">
        <f>装备!#REF!</f>
        <v>#REF!</v>
      </c>
      <c r="BN141" t="e">
        <f>装备!#REF!</f>
        <v>#REF!</v>
      </c>
      <c r="BO141" t="e">
        <f>装备!#REF!</f>
        <v>#REF!</v>
      </c>
      <c r="BP141" t="e">
        <f t="shared" si="33"/>
        <v>#REF!</v>
      </c>
      <c r="BQ141" t="e">
        <f>装备!#REF!</f>
        <v>#REF!</v>
      </c>
      <c r="BR141" t="e">
        <f>装备!#REF!</f>
        <v>#REF!</v>
      </c>
      <c r="BS141" t="e">
        <f>装备!#REF!</f>
        <v>#REF!</v>
      </c>
      <c r="BT141" t="e">
        <f>装备!#REF!</f>
        <v>#REF!</v>
      </c>
      <c r="BU141" t="e">
        <f>装备!#REF!</f>
        <v>#REF!</v>
      </c>
      <c r="BV141" t="e">
        <f>装备!#REF!</f>
        <v>#REF!</v>
      </c>
      <c r="BW141" t="e">
        <f>装备!#REF!</f>
        <v>#REF!</v>
      </c>
      <c r="BX141" t="e">
        <f>装备!#REF!</f>
        <v>#REF!</v>
      </c>
      <c r="BY141" t="e">
        <f>装备!#REF!</f>
        <v>#REF!</v>
      </c>
      <c r="BZ141" t="e">
        <f>装备!#REF!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装备!#REF!</f>
        <v>#REF!</v>
      </c>
      <c r="B142" t="e">
        <f>装备!#REF!</f>
        <v>#REF!</v>
      </c>
      <c r="C142" t="e">
        <f>装备!#REF!</f>
        <v>#REF!</v>
      </c>
      <c r="D142" t="e">
        <f>装备!#REF!</f>
        <v>#REF!</v>
      </c>
      <c r="E142" t="e">
        <f>装备!#REF!</f>
        <v>#REF!</v>
      </c>
      <c r="F142" t="e">
        <f>装备!#REF!</f>
        <v>#REF!</v>
      </c>
      <c r="G142" t="e">
        <f>装备!#REF!</f>
        <v>#REF!</v>
      </c>
      <c r="H142" t="e">
        <f>装备!#REF!</f>
        <v>#REF!</v>
      </c>
      <c r="I142" t="e">
        <f>装备!#REF!</f>
        <v>#REF!</v>
      </c>
      <c r="J142" t="e">
        <f>装备!#REF!</f>
        <v>#REF!</v>
      </c>
      <c r="K142" t="e">
        <f>装备!#REF!</f>
        <v>#REF!</v>
      </c>
      <c r="L142" t="e">
        <f>装备!#REF!</f>
        <v>#REF!</v>
      </c>
      <c r="M142" t="e">
        <f t="shared" si="28"/>
        <v>#REF!</v>
      </c>
      <c r="N142" t="e">
        <f>装备!#REF!</f>
        <v>#REF!</v>
      </c>
      <c r="O142" t="e">
        <f>装备!#REF!</f>
        <v>#REF!</v>
      </c>
      <c r="P142" t="e">
        <f>装备!#REF!</f>
        <v>#REF!</v>
      </c>
      <c r="Q142" t="e">
        <f>装备!#REF!</f>
        <v>#REF!</v>
      </c>
      <c r="R142" t="e">
        <f>装备!#REF!</f>
        <v>#REF!</v>
      </c>
      <c r="S142" t="e">
        <f>装备!#REF!</f>
        <v>#REF!</v>
      </c>
      <c r="T142" t="e">
        <f>装备!#REF!</f>
        <v>#REF!</v>
      </c>
      <c r="U142" t="e">
        <f>装备!#REF!</f>
        <v>#REF!</v>
      </c>
      <c r="V142" t="e">
        <f>装备!#REF!</f>
        <v>#REF!</v>
      </c>
      <c r="W142" t="e">
        <f>装备!#REF!</f>
        <v>#REF!</v>
      </c>
      <c r="X142" t="e">
        <f t="shared" si="29"/>
        <v>#REF!</v>
      </c>
      <c r="Y142" t="e">
        <f>装备!#REF!</f>
        <v>#REF!</v>
      </c>
      <c r="Z142" t="e">
        <f>装备!#REF!</f>
        <v>#REF!</v>
      </c>
      <c r="AA142" t="e">
        <f>装备!#REF!</f>
        <v>#REF!</v>
      </c>
      <c r="AB142" t="e">
        <f>装备!#REF!</f>
        <v>#REF!</v>
      </c>
      <c r="AC142" t="e">
        <f>装备!#REF!</f>
        <v>#REF!</v>
      </c>
      <c r="AD142" t="e">
        <f>装备!#REF!</f>
        <v>#REF!</v>
      </c>
      <c r="AE142" t="e">
        <f>装备!#REF!</f>
        <v>#REF!</v>
      </c>
      <c r="AF142" t="e">
        <f>装备!#REF!</f>
        <v>#REF!</v>
      </c>
      <c r="AG142" t="e">
        <f>装备!#REF!</f>
        <v>#REF!</v>
      </c>
      <c r="AH142" t="e">
        <f>装备!#REF!</f>
        <v>#REF!</v>
      </c>
      <c r="AI142" t="e">
        <f t="shared" si="30"/>
        <v>#REF!</v>
      </c>
      <c r="AJ142" t="e">
        <f>装备!#REF!</f>
        <v>#REF!</v>
      </c>
      <c r="AK142" t="e">
        <f>装备!#REF!</f>
        <v>#REF!</v>
      </c>
      <c r="AL142" t="e">
        <f>装备!#REF!</f>
        <v>#REF!</v>
      </c>
      <c r="AM142" t="e">
        <f>装备!#REF!</f>
        <v>#REF!</v>
      </c>
      <c r="AN142" t="e">
        <f>装备!#REF!</f>
        <v>#REF!</v>
      </c>
      <c r="AO142" t="e">
        <f>装备!#REF!</f>
        <v>#REF!</v>
      </c>
      <c r="AP142" t="e">
        <f>装备!#REF!</f>
        <v>#REF!</v>
      </c>
      <c r="AQ142" t="e">
        <f>装备!#REF!</f>
        <v>#REF!</v>
      </c>
      <c r="AR142" t="e">
        <f>装备!#REF!</f>
        <v>#REF!</v>
      </c>
      <c r="AS142" t="e">
        <f>装备!#REF!</f>
        <v>#REF!</v>
      </c>
      <c r="AT142" t="e">
        <f t="shared" si="31"/>
        <v>#REF!</v>
      </c>
      <c r="AU142" t="e">
        <f>装备!#REF!</f>
        <v>#REF!</v>
      </c>
      <c r="AV142" t="e">
        <f>装备!#REF!</f>
        <v>#REF!</v>
      </c>
      <c r="AW142" t="e">
        <f>装备!#REF!</f>
        <v>#REF!</v>
      </c>
      <c r="AX142" t="e">
        <f>装备!#REF!</f>
        <v>#REF!</v>
      </c>
      <c r="AY142" t="e">
        <f>装备!#REF!</f>
        <v>#REF!</v>
      </c>
      <c r="AZ142" t="e">
        <f>装备!#REF!</f>
        <v>#REF!</v>
      </c>
      <c r="BA142" t="e">
        <f>装备!#REF!</f>
        <v>#REF!</v>
      </c>
      <c r="BB142" t="e">
        <f>装备!#REF!</f>
        <v>#REF!</v>
      </c>
      <c r="BC142" t="e">
        <f>装备!#REF!</f>
        <v>#REF!</v>
      </c>
      <c r="BD142" t="e">
        <f>装备!#REF!</f>
        <v>#REF!</v>
      </c>
      <c r="BE142" t="e">
        <f t="shared" si="32"/>
        <v>#REF!</v>
      </c>
      <c r="BF142" t="e">
        <f>装备!#REF!</f>
        <v>#REF!</v>
      </c>
      <c r="BG142" t="e">
        <f>装备!#REF!</f>
        <v>#REF!</v>
      </c>
      <c r="BH142" t="e">
        <f>装备!#REF!</f>
        <v>#REF!</v>
      </c>
      <c r="BI142" t="e">
        <f>装备!#REF!</f>
        <v>#REF!</v>
      </c>
      <c r="BJ142" t="e">
        <f>装备!#REF!</f>
        <v>#REF!</v>
      </c>
      <c r="BK142" t="e">
        <f>装备!#REF!</f>
        <v>#REF!</v>
      </c>
      <c r="BL142" t="e">
        <f>装备!#REF!</f>
        <v>#REF!</v>
      </c>
      <c r="BM142" t="e">
        <f>装备!#REF!</f>
        <v>#REF!</v>
      </c>
      <c r="BN142" t="e">
        <f>装备!#REF!</f>
        <v>#REF!</v>
      </c>
      <c r="BO142" t="e">
        <f>装备!#REF!</f>
        <v>#REF!</v>
      </c>
      <c r="BP142" t="e">
        <f t="shared" si="33"/>
        <v>#REF!</v>
      </c>
      <c r="BQ142" t="e">
        <f>装备!#REF!</f>
        <v>#REF!</v>
      </c>
      <c r="BR142" t="e">
        <f>装备!#REF!</f>
        <v>#REF!</v>
      </c>
      <c r="BS142" t="e">
        <f>装备!#REF!</f>
        <v>#REF!</v>
      </c>
      <c r="BT142" t="e">
        <f>装备!#REF!</f>
        <v>#REF!</v>
      </c>
      <c r="BU142" t="e">
        <f>装备!#REF!</f>
        <v>#REF!</v>
      </c>
      <c r="BV142" t="e">
        <f>装备!#REF!</f>
        <v>#REF!</v>
      </c>
      <c r="BW142" t="e">
        <f>装备!#REF!</f>
        <v>#REF!</v>
      </c>
      <c r="BX142" t="e">
        <f>装备!#REF!</f>
        <v>#REF!</v>
      </c>
      <c r="BY142" t="e">
        <f>装备!#REF!</f>
        <v>#REF!</v>
      </c>
      <c r="BZ142" t="e">
        <f>装备!#REF!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装备!#REF!</f>
        <v>#REF!</v>
      </c>
      <c r="B143" t="e">
        <f>装备!#REF!</f>
        <v>#REF!</v>
      </c>
      <c r="C143" t="e">
        <f>装备!#REF!</f>
        <v>#REF!</v>
      </c>
      <c r="D143" t="e">
        <f>装备!#REF!</f>
        <v>#REF!</v>
      </c>
      <c r="E143" t="e">
        <f>装备!#REF!</f>
        <v>#REF!</v>
      </c>
      <c r="F143" t="e">
        <f>装备!#REF!</f>
        <v>#REF!</v>
      </c>
      <c r="G143" t="e">
        <f>装备!#REF!</f>
        <v>#REF!</v>
      </c>
      <c r="H143" t="e">
        <f>装备!#REF!</f>
        <v>#REF!</v>
      </c>
      <c r="I143" t="e">
        <f>装备!#REF!</f>
        <v>#REF!</v>
      </c>
      <c r="J143" t="e">
        <f>装备!#REF!</f>
        <v>#REF!</v>
      </c>
      <c r="K143" t="e">
        <f>装备!#REF!</f>
        <v>#REF!</v>
      </c>
      <c r="L143" t="e">
        <f>装备!#REF!</f>
        <v>#REF!</v>
      </c>
      <c r="M143" t="e">
        <f t="shared" si="28"/>
        <v>#REF!</v>
      </c>
      <c r="N143" t="e">
        <f>装备!#REF!</f>
        <v>#REF!</v>
      </c>
      <c r="O143" t="e">
        <f>装备!#REF!</f>
        <v>#REF!</v>
      </c>
      <c r="P143" t="e">
        <f>装备!#REF!</f>
        <v>#REF!</v>
      </c>
      <c r="Q143" t="e">
        <f>装备!#REF!</f>
        <v>#REF!</v>
      </c>
      <c r="R143" t="e">
        <f>装备!#REF!</f>
        <v>#REF!</v>
      </c>
      <c r="S143" t="e">
        <f>装备!#REF!</f>
        <v>#REF!</v>
      </c>
      <c r="T143" t="e">
        <f>装备!#REF!</f>
        <v>#REF!</v>
      </c>
      <c r="U143" t="e">
        <f>装备!#REF!</f>
        <v>#REF!</v>
      </c>
      <c r="V143" t="e">
        <f>装备!#REF!</f>
        <v>#REF!</v>
      </c>
      <c r="W143" t="e">
        <f>装备!#REF!</f>
        <v>#REF!</v>
      </c>
      <c r="X143" t="e">
        <f t="shared" si="29"/>
        <v>#REF!</v>
      </c>
      <c r="Y143" t="e">
        <f>装备!#REF!</f>
        <v>#REF!</v>
      </c>
      <c r="Z143" t="e">
        <f>装备!#REF!</f>
        <v>#REF!</v>
      </c>
      <c r="AA143" t="e">
        <f>装备!#REF!</f>
        <v>#REF!</v>
      </c>
      <c r="AB143" t="e">
        <f>装备!#REF!</f>
        <v>#REF!</v>
      </c>
      <c r="AC143" t="e">
        <f>装备!#REF!</f>
        <v>#REF!</v>
      </c>
      <c r="AD143" t="e">
        <f>装备!#REF!</f>
        <v>#REF!</v>
      </c>
      <c r="AE143" t="e">
        <f>装备!#REF!</f>
        <v>#REF!</v>
      </c>
      <c r="AF143" t="e">
        <f>装备!#REF!</f>
        <v>#REF!</v>
      </c>
      <c r="AG143" t="e">
        <f>装备!#REF!</f>
        <v>#REF!</v>
      </c>
      <c r="AH143" t="e">
        <f>装备!#REF!</f>
        <v>#REF!</v>
      </c>
      <c r="AI143" t="e">
        <f t="shared" si="30"/>
        <v>#REF!</v>
      </c>
      <c r="AJ143" t="e">
        <f>装备!#REF!</f>
        <v>#REF!</v>
      </c>
      <c r="AK143" t="e">
        <f>装备!#REF!</f>
        <v>#REF!</v>
      </c>
      <c r="AL143" t="e">
        <f>装备!#REF!</f>
        <v>#REF!</v>
      </c>
      <c r="AM143" t="e">
        <f>装备!#REF!</f>
        <v>#REF!</v>
      </c>
      <c r="AN143" t="e">
        <f>装备!#REF!</f>
        <v>#REF!</v>
      </c>
      <c r="AO143" t="e">
        <f>装备!#REF!</f>
        <v>#REF!</v>
      </c>
      <c r="AP143" t="e">
        <f>装备!#REF!</f>
        <v>#REF!</v>
      </c>
      <c r="AQ143" t="e">
        <f>装备!#REF!</f>
        <v>#REF!</v>
      </c>
      <c r="AR143" t="e">
        <f>装备!#REF!</f>
        <v>#REF!</v>
      </c>
      <c r="AS143" t="e">
        <f>装备!#REF!</f>
        <v>#REF!</v>
      </c>
      <c r="AT143" t="e">
        <f t="shared" si="31"/>
        <v>#REF!</v>
      </c>
      <c r="AU143" t="e">
        <f>装备!#REF!</f>
        <v>#REF!</v>
      </c>
      <c r="AV143" t="e">
        <f>装备!#REF!</f>
        <v>#REF!</v>
      </c>
      <c r="AW143" t="e">
        <f>装备!#REF!</f>
        <v>#REF!</v>
      </c>
      <c r="AX143" t="e">
        <f>装备!#REF!</f>
        <v>#REF!</v>
      </c>
      <c r="AY143" t="e">
        <f>装备!#REF!</f>
        <v>#REF!</v>
      </c>
      <c r="AZ143" t="e">
        <f>装备!#REF!</f>
        <v>#REF!</v>
      </c>
      <c r="BA143" t="e">
        <f>装备!#REF!</f>
        <v>#REF!</v>
      </c>
      <c r="BB143" t="e">
        <f>装备!#REF!</f>
        <v>#REF!</v>
      </c>
      <c r="BC143" t="e">
        <f>装备!#REF!</f>
        <v>#REF!</v>
      </c>
      <c r="BD143" t="e">
        <f>装备!#REF!</f>
        <v>#REF!</v>
      </c>
      <c r="BE143" t="e">
        <f t="shared" si="32"/>
        <v>#REF!</v>
      </c>
      <c r="BF143" t="e">
        <f>装备!#REF!</f>
        <v>#REF!</v>
      </c>
      <c r="BG143" t="e">
        <f>装备!#REF!</f>
        <v>#REF!</v>
      </c>
      <c r="BH143" t="e">
        <f>装备!#REF!</f>
        <v>#REF!</v>
      </c>
      <c r="BI143" t="e">
        <f>装备!#REF!</f>
        <v>#REF!</v>
      </c>
      <c r="BJ143" t="e">
        <f>装备!#REF!</f>
        <v>#REF!</v>
      </c>
      <c r="BK143" t="e">
        <f>装备!#REF!</f>
        <v>#REF!</v>
      </c>
      <c r="BL143" t="e">
        <f>装备!#REF!</f>
        <v>#REF!</v>
      </c>
      <c r="BM143" t="e">
        <f>装备!#REF!</f>
        <v>#REF!</v>
      </c>
      <c r="BN143" t="e">
        <f>装备!#REF!</f>
        <v>#REF!</v>
      </c>
      <c r="BO143" t="e">
        <f>装备!#REF!</f>
        <v>#REF!</v>
      </c>
      <c r="BP143" t="e">
        <f t="shared" si="33"/>
        <v>#REF!</v>
      </c>
      <c r="BQ143" t="e">
        <f>装备!#REF!</f>
        <v>#REF!</v>
      </c>
      <c r="BR143" t="e">
        <f>装备!#REF!</f>
        <v>#REF!</v>
      </c>
      <c r="BS143" t="e">
        <f>装备!#REF!</f>
        <v>#REF!</v>
      </c>
      <c r="BT143" t="e">
        <f>装备!#REF!</f>
        <v>#REF!</v>
      </c>
      <c r="BU143" t="e">
        <f>装备!#REF!</f>
        <v>#REF!</v>
      </c>
      <c r="BV143" t="e">
        <f>装备!#REF!</f>
        <v>#REF!</v>
      </c>
      <c r="BW143" t="e">
        <f>装备!#REF!</f>
        <v>#REF!</v>
      </c>
      <c r="BX143" t="e">
        <f>装备!#REF!</f>
        <v>#REF!</v>
      </c>
      <c r="BY143" t="e">
        <f>装备!#REF!</f>
        <v>#REF!</v>
      </c>
      <c r="BZ143" t="e">
        <f>装备!#REF!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装备!#REF!</f>
        <v>#REF!</v>
      </c>
      <c r="B144" t="e">
        <f>装备!#REF!</f>
        <v>#REF!</v>
      </c>
      <c r="C144" t="e">
        <f>装备!#REF!</f>
        <v>#REF!</v>
      </c>
      <c r="D144" t="e">
        <f>装备!#REF!</f>
        <v>#REF!</v>
      </c>
      <c r="E144" t="e">
        <f>装备!#REF!</f>
        <v>#REF!</v>
      </c>
      <c r="F144" t="e">
        <f>装备!#REF!</f>
        <v>#REF!</v>
      </c>
      <c r="G144" t="e">
        <f>装备!#REF!</f>
        <v>#REF!</v>
      </c>
      <c r="H144" t="e">
        <f>装备!#REF!</f>
        <v>#REF!</v>
      </c>
      <c r="I144" t="e">
        <f>装备!#REF!</f>
        <v>#REF!</v>
      </c>
      <c r="J144" t="e">
        <f>装备!#REF!</f>
        <v>#REF!</v>
      </c>
      <c r="K144" t="e">
        <f>装备!#REF!</f>
        <v>#REF!</v>
      </c>
      <c r="L144" t="e">
        <f>装备!#REF!</f>
        <v>#REF!</v>
      </c>
      <c r="M144" t="e">
        <f t="shared" si="28"/>
        <v>#REF!</v>
      </c>
      <c r="N144" t="e">
        <f>装备!#REF!</f>
        <v>#REF!</v>
      </c>
      <c r="O144" t="e">
        <f>装备!#REF!</f>
        <v>#REF!</v>
      </c>
      <c r="P144" t="e">
        <f>装备!#REF!</f>
        <v>#REF!</v>
      </c>
      <c r="Q144" t="e">
        <f>装备!#REF!</f>
        <v>#REF!</v>
      </c>
      <c r="R144" t="e">
        <f>装备!#REF!</f>
        <v>#REF!</v>
      </c>
      <c r="S144" t="e">
        <f>装备!#REF!</f>
        <v>#REF!</v>
      </c>
      <c r="T144" t="e">
        <f>装备!#REF!</f>
        <v>#REF!</v>
      </c>
      <c r="U144" t="e">
        <f>装备!#REF!</f>
        <v>#REF!</v>
      </c>
      <c r="V144" t="e">
        <f>装备!#REF!</f>
        <v>#REF!</v>
      </c>
      <c r="W144" t="e">
        <f>装备!#REF!</f>
        <v>#REF!</v>
      </c>
      <c r="X144" t="e">
        <f t="shared" si="29"/>
        <v>#REF!</v>
      </c>
      <c r="Y144" t="e">
        <f>装备!#REF!</f>
        <v>#REF!</v>
      </c>
      <c r="Z144" t="e">
        <f>装备!#REF!</f>
        <v>#REF!</v>
      </c>
      <c r="AA144" t="e">
        <f>装备!#REF!</f>
        <v>#REF!</v>
      </c>
      <c r="AB144" t="e">
        <f>装备!#REF!</f>
        <v>#REF!</v>
      </c>
      <c r="AC144" t="e">
        <f>装备!#REF!</f>
        <v>#REF!</v>
      </c>
      <c r="AD144" t="e">
        <f>装备!#REF!</f>
        <v>#REF!</v>
      </c>
      <c r="AE144" t="e">
        <f>装备!#REF!</f>
        <v>#REF!</v>
      </c>
      <c r="AF144" t="e">
        <f>装备!#REF!</f>
        <v>#REF!</v>
      </c>
      <c r="AG144" t="e">
        <f>装备!#REF!</f>
        <v>#REF!</v>
      </c>
      <c r="AH144" t="e">
        <f>装备!#REF!</f>
        <v>#REF!</v>
      </c>
      <c r="AI144" t="e">
        <f t="shared" si="30"/>
        <v>#REF!</v>
      </c>
      <c r="AJ144" t="e">
        <f>装备!#REF!</f>
        <v>#REF!</v>
      </c>
      <c r="AK144" t="e">
        <f>装备!#REF!</f>
        <v>#REF!</v>
      </c>
      <c r="AL144" t="e">
        <f>装备!#REF!</f>
        <v>#REF!</v>
      </c>
      <c r="AM144" t="e">
        <f>装备!#REF!</f>
        <v>#REF!</v>
      </c>
      <c r="AN144" t="e">
        <f>装备!#REF!</f>
        <v>#REF!</v>
      </c>
      <c r="AO144" t="e">
        <f>装备!#REF!</f>
        <v>#REF!</v>
      </c>
      <c r="AP144" t="e">
        <f>装备!#REF!</f>
        <v>#REF!</v>
      </c>
      <c r="AQ144" t="e">
        <f>装备!#REF!</f>
        <v>#REF!</v>
      </c>
      <c r="AR144" t="e">
        <f>装备!#REF!</f>
        <v>#REF!</v>
      </c>
      <c r="AS144" t="e">
        <f>装备!#REF!</f>
        <v>#REF!</v>
      </c>
      <c r="AT144" t="e">
        <f t="shared" si="31"/>
        <v>#REF!</v>
      </c>
      <c r="AU144" t="e">
        <f>装备!#REF!</f>
        <v>#REF!</v>
      </c>
      <c r="AV144" t="e">
        <f>装备!#REF!</f>
        <v>#REF!</v>
      </c>
      <c r="AW144" t="e">
        <f>装备!#REF!</f>
        <v>#REF!</v>
      </c>
      <c r="AX144" t="e">
        <f>装备!#REF!</f>
        <v>#REF!</v>
      </c>
      <c r="AY144" t="e">
        <f>装备!#REF!</f>
        <v>#REF!</v>
      </c>
      <c r="AZ144" t="e">
        <f>装备!#REF!</f>
        <v>#REF!</v>
      </c>
      <c r="BA144" t="e">
        <f>装备!#REF!</f>
        <v>#REF!</v>
      </c>
      <c r="BB144" t="e">
        <f>装备!#REF!</f>
        <v>#REF!</v>
      </c>
      <c r="BC144" t="e">
        <f>装备!#REF!</f>
        <v>#REF!</v>
      </c>
      <c r="BD144" t="e">
        <f>装备!#REF!</f>
        <v>#REF!</v>
      </c>
      <c r="BE144" t="e">
        <f t="shared" si="32"/>
        <v>#REF!</v>
      </c>
      <c r="BF144" t="e">
        <f>装备!#REF!</f>
        <v>#REF!</v>
      </c>
      <c r="BG144" t="e">
        <f>装备!#REF!</f>
        <v>#REF!</v>
      </c>
      <c r="BH144" t="e">
        <f>装备!#REF!</f>
        <v>#REF!</v>
      </c>
      <c r="BI144" t="e">
        <f>装备!#REF!</f>
        <v>#REF!</v>
      </c>
      <c r="BJ144" t="e">
        <f>装备!#REF!</f>
        <v>#REF!</v>
      </c>
      <c r="BK144" t="e">
        <f>装备!#REF!</f>
        <v>#REF!</v>
      </c>
      <c r="BL144" t="e">
        <f>装备!#REF!</f>
        <v>#REF!</v>
      </c>
      <c r="BM144" t="e">
        <f>装备!#REF!</f>
        <v>#REF!</v>
      </c>
      <c r="BN144" t="e">
        <f>装备!#REF!</f>
        <v>#REF!</v>
      </c>
      <c r="BO144" t="e">
        <f>装备!#REF!</f>
        <v>#REF!</v>
      </c>
      <c r="BP144" t="e">
        <f t="shared" si="33"/>
        <v>#REF!</v>
      </c>
      <c r="BQ144" t="e">
        <f>装备!#REF!</f>
        <v>#REF!</v>
      </c>
      <c r="BR144" t="e">
        <f>装备!#REF!</f>
        <v>#REF!</v>
      </c>
      <c r="BS144" t="e">
        <f>装备!#REF!</f>
        <v>#REF!</v>
      </c>
      <c r="BT144" t="e">
        <f>装备!#REF!</f>
        <v>#REF!</v>
      </c>
      <c r="BU144" t="e">
        <f>装备!#REF!</f>
        <v>#REF!</v>
      </c>
      <c r="BV144" t="e">
        <f>装备!#REF!</f>
        <v>#REF!</v>
      </c>
      <c r="BW144" t="e">
        <f>装备!#REF!</f>
        <v>#REF!</v>
      </c>
      <c r="BX144" t="e">
        <f>装备!#REF!</f>
        <v>#REF!</v>
      </c>
      <c r="BY144" t="e">
        <f>装备!#REF!</f>
        <v>#REF!</v>
      </c>
      <c r="BZ144" t="e">
        <f>装备!#REF!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装备!#REF!</f>
        <v>#REF!</v>
      </c>
      <c r="B145" t="e">
        <f>装备!#REF!</f>
        <v>#REF!</v>
      </c>
      <c r="C145" t="e">
        <f>装备!#REF!</f>
        <v>#REF!</v>
      </c>
      <c r="D145" t="e">
        <f>装备!#REF!</f>
        <v>#REF!</v>
      </c>
      <c r="E145" t="e">
        <f>装备!#REF!</f>
        <v>#REF!</v>
      </c>
      <c r="F145" t="e">
        <f>装备!#REF!</f>
        <v>#REF!</v>
      </c>
      <c r="G145" t="e">
        <f>装备!#REF!</f>
        <v>#REF!</v>
      </c>
      <c r="H145" t="e">
        <f>装备!#REF!</f>
        <v>#REF!</v>
      </c>
      <c r="I145" t="e">
        <f>装备!#REF!</f>
        <v>#REF!</v>
      </c>
      <c r="J145" t="e">
        <f>装备!#REF!</f>
        <v>#REF!</v>
      </c>
      <c r="K145" t="e">
        <f>装备!#REF!</f>
        <v>#REF!</v>
      </c>
      <c r="L145" t="e">
        <f>装备!#REF!</f>
        <v>#REF!</v>
      </c>
      <c r="M145" t="e">
        <f t="shared" si="28"/>
        <v>#REF!</v>
      </c>
      <c r="N145" t="e">
        <f>装备!#REF!</f>
        <v>#REF!</v>
      </c>
      <c r="O145" t="e">
        <f>装备!#REF!</f>
        <v>#REF!</v>
      </c>
      <c r="P145" t="e">
        <f>装备!#REF!</f>
        <v>#REF!</v>
      </c>
      <c r="Q145" t="e">
        <f>装备!#REF!</f>
        <v>#REF!</v>
      </c>
      <c r="R145" t="e">
        <f>装备!#REF!</f>
        <v>#REF!</v>
      </c>
      <c r="S145" t="e">
        <f>装备!#REF!</f>
        <v>#REF!</v>
      </c>
      <c r="T145" t="e">
        <f>装备!#REF!</f>
        <v>#REF!</v>
      </c>
      <c r="U145" t="e">
        <f>装备!#REF!</f>
        <v>#REF!</v>
      </c>
      <c r="V145" t="e">
        <f>装备!#REF!</f>
        <v>#REF!</v>
      </c>
      <c r="W145" t="e">
        <f>装备!#REF!</f>
        <v>#REF!</v>
      </c>
      <c r="X145" t="e">
        <f t="shared" si="29"/>
        <v>#REF!</v>
      </c>
      <c r="Y145" t="e">
        <f>装备!#REF!</f>
        <v>#REF!</v>
      </c>
      <c r="Z145" t="e">
        <f>装备!#REF!</f>
        <v>#REF!</v>
      </c>
      <c r="AA145" t="e">
        <f>装备!#REF!</f>
        <v>#REF!</v>
      </c>
      <c r="AB145" t="e">
        <f>装备!#REF!</f>
        <v>#REF!</v>
      </c>
      <c r="AC145" t="e">
        <f>装备!#REF!</f>
        <v>#REF!</v>
      </c>
      <c r="AD145" t="e">
        <f>装备!#REF!</f>
        <v>#REF!</v>
      </c>
      <c r="AE145" t="e">
        <f>装备!#REF!</f>
        <v>#REF!</v>
      </c>
      <c r="AF145" t="e">
        <f>装备!#REF!</f>
        <v>#REF!</v>
      </c>
      <c r="AG145" t="e">
        <f>装备!#REF!</f>
        <v>#REF!</v>
      </c>
      <c r="AH145" t="e">
        <f>装备!#REF!</f>
        <v>#REF!</v>
      </c>
      <c r="AI145" t="e">
        <f t="shared" si="30"/>
        <v>#REF!</v>
      </c>
      <c r="AJ145" t="e">
        <f>装备!#REF!</f>
        <v>#REF!</v>
      </c>
      <c r="AK145" t="e">
        <f>装备!#REF!</f>
        <v>#REF!</v>
      </c>
      <c r="AL145" t="e">
        <f>装备!#REF!</f>
        <v>#REF!</v>
      </c>
      <c r="AM145" t="e">
        <f>装备!#REF!</f>
        <v>#REF!</v>
      </c>
      <c r="AN145" t="e">
        <f>装备!#REF!</f>
        <v>#REF!</v>
      </c>
      <c r="AO145" t="e">
        <f>装备!#REF!</f>
        <v>#REF!</v>
      </c>
      <c r="AP145" t="e">
        <f>装备!#REF!</f>
        <v>#REF!</v>
      </c>
      <c r="AQ145" t="e">
        <f>装备!#REF!</f>
        <v>#REF!</v>
      </c>
      <c r="AR145" t="e">
        <f>装备!#REF!</f>
        <v>#REF!</v>
      </c>
      <c r="AS145" t="e">
        <f>装备!#REF!</f>
        <v>#REF!</v>
      </c>
      <c r="AT145" t="e">
        <f t="shared" si="31"/>
        <v>#REF!</v>
      </c>
      <c r="AU145" t="e">
        <f>装备!#REF!</f>
        <v>#REF!</v>
      </c>
      <c r="AV145" t="e">
        <f>装备!#REF!</f>
        <v>#REF!</v>
      </c>
      <c r="AW145" t="e">
        <f>装备!#REF!</f>
        <v>#REF!</v>
      </c>
      <c r="AX145" t="e">
        <f>装备!#REF!</f>
        <v>#REF!</v>
      </c>
      <c r="AY145" t="e">
        <f>装备!#REF!</f>
        <v>#REF!</v>
      </c>
      <c r="AZ145" t="e">
        <f>装备!#REF!</f>
        <v>#REF!</v>
      </c>
      <c r="BA145" t="e">
        <f>装备!#REF!</f>
        <v>#REF!</v>
      </c>
      <c r="BB145" t="e">
        <f>装备!#REF!</f>
        <v>#REF!</v>
      </c>
      <c r="BC145" t="e">
        <f>装备!#REF!</f>
        <v>#REF!</v>
      </c>
      <c r="BD145" t="e">
        <f>装备!#REF!</f>
        <v>#REF!</v>
      </c>
      <c r="BE145" t="e">
        <f t="shared" si="32"/>
        <v>#REF!</v>
      </c>
      <c r="BF145" t="e">
        <f>装备!#REF!</f>
        <v>#REF!</v>
      </c>
      <c r="BG145" t="e">
        <f>装备!#REF!</f>
        <v>#REF!</v>
      </c>
      <c r="BH145" t="e">
        <f>装备!#REF!</f>
        <v>#REF!</v>
      </c>
      <c r="BI145" t="e">
        <f>装备!#REF!</f>
        <v>#REF!</v>
      </c>
      <c r="BJ145" t="e">
        <f>装备!#REF!</f>
        <v>#REF!</v>
      </c>
      <c r="BK145" t="e">
        <f>装备!#REF!</f>
        <v>#REF!</v>
      </c>
      <c r="BL145" t="e">
        <f>装备!#REF!</f>
        <v>#REF!</v>
      </c>
      <c r="BM145" t="e">
        <f>装备!#REF!</f>
        <v>#REF!</v>
      </c>
      <c r="BN145" t="e">
        <f>装备!#REF!</f>
        <v>#REF!</v>
      </c>
      <c r="BO145" t="e">
        <f>装备!#REF!</f>
        <v>#REF!</v>
      </c>
      <c r="BP145" t="e">
        <f t="shared" si="33"/>
        <v>#REF!</v>
      </c>
      <c r="BQ145" t="e">
        <f>装备!#REF!</f>
        <v>#REF!</v>
      </c>
      <c r="BR145" t="e">
        <f>装备!#REF!</f>
        <v>#REF!</v>
      </c>
      <c r="BS145" t="e">
        <f>装备!#REF!</f>
        <v>#REF!</v>
      </c>
      <c r="BT145" t="e">
        <f>装备!#REF!</f>
        <v>#REF!</v>
      </c>
      <c r="BU145" t="e">
        <f>装备!#REF!</f>
        <v>#REF!</v>
      </c>
      <c r="BV145" t="e">
        <f>装备!#REF!</f>
        <v>#REF!</v>
      </c>
      <c r="BW145" t="e">
        <f>装备!#REF!</f>
        <v>#REF!</v>
      </c>
      <c r="BX145" t="e">
        <f>装备!#REF!</f>
        <v>#REF!</v>
      </c>
      <c r="BY145" t="e">
        <f>装备!#REF!</f>
        <v>#REF!</v>
      </c>
      <c r="BZ145" t="e">
        <f>装备!#REF!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装备!#REF!</f>
        <v>#REF!</v>
      </c>
      <c r="B146" t="e">
        <f>装备!#REF!</f>
        <v>#REF!</v>
      </c>
      <c r="C146" t="e">
        <f>装备!#REF!</f>
        <v>#REF!</v>
      </c>
      <c r="D146" t="e">
        <f>装备!#REF!</f>
        <v>#REF!</v>
      </c>
      <c r="E146" t="e">
        <f>装备!#REF!</f>
        <v>#REF!</v>
      </c>
      <c r="F146" t="e">
        <f>装备!#REF!</f>
        <v>#REF!</v>
      </c>
      <c r="G146" t="e">
        <f>装备!#REF!</f>
        <v>#REF!</v>
      </c>
      <c r="H146" t="e">
        <f>装备!#REF!</f>
        <v>#REF!</v>
      </c>
      <c r="I146" t="e">
        <f>装备!#REF!</f>
        <v>#REF!</v>
      </c>
      <c r="J146" t="e">
        <f>装备!#REF!</f>
        <v>#REF!</v>
      </c>
      <c r="K146" t="e">
        <f>装备!#REF!</f>
        <v>#REF!</v>
      </c>
      <c r="L146" t="e">
        <f>装备!#REF!</f>
        <v>#REF!</v>
      </c>
      <c r="M146" t="e">
        <f t="shared" si="28"/>
        <v>#REF!</v>
      </c>
      <c r="N146" t="e">
        <f>装备!#REF!</f>
        <v>#REF!</v>
      </c>
      <c r="O146" t="e">
        <f>装备!#REF!</f>
        <v>#REF!</v>
      </c>
      <c r="P146" t="e">
        <f>装备!#REF!</f>
        <v>#REF!</v>
      </c>
      <c r="Q146" t="e">
        <f>装备!#REF!</f>
        <v>#REF!</v>
      </c>
      <c r="R146" t="e">
        <f>装备!#REF!</f>
        <v>#REF!</v>
      </c>
      <c r="S146" t="e">
        <f>装备!#REF!</f>
        <v>#REF!</v>
      </c>
      <c r="T146" t="e">
        <f>装备!#REF!</f>
        <v>#REF!</v>
      </c>
      <c r="U146" t="e">
        <f>装备!#REF!</f>
        <v>#REF!</v>
      </c>
      <c r="V146" t="e">
        <f>装备!#REF!</f>
        <v>#REF!</v>
      </c>
      <c r="W146" t="e">
        <f>装备!#REF!</f>
        <v>#REF!</v>
      </c>
      <c r="X146" t="e">
        <f t="shared" si="29"/>
        <v>#REF!</v>
      </c>
      <c r="Y146" t="e">
        <f>装备!#REF!</f>
        <v>#REF!</v>
      </c>
      <c r="Z146" t="e">
        <f>装备!#REF!</f>
        <v>#REF!</v>
      </c>
      <c r="AA146" t="e">
        <f>装备!#REF!</f>
        <v>#REF!</v>
      </c>
      <c r="AB146" t="e">
        <f>装备!#REF!</f>
        <v>#REF!</v>
      </c>
      <c r="AC146" t="e">
        <f>装备!#REF!</f>
        <v>#REF!</v>
      </c>
      <c r="AD146" t="e">
        <f>装备!#REF!</f>
        <v>#REF!</v>
      </c>
      <c r="AE146" t="e">
        <f>装备!#REF!</f>
        <v>#REF!</v>
      </c>
      <c r="AF146" t="e">
        <f>装备!#REF!</f>
        <v>#REF!</v>
      </c>
      <c r="AG146" t="e">
        <f>装备!#REF!</f>
        <v>#REF!</v>
      </c>
      <c r="AH146" t="e">
        <f>装备!#REF!</f>
        <v>#REF!</v>
      </c>
      <c r="AI146" t="e">
        <f t="shared" si="30"/>
        <v>#REF!</v>
      </c>
      <c r="AJ146" t="e">
        <f>装备!#REF!</f>
        <v>#REF!</v>
      </c>
      <c r="AK146" t="e">
        <f>装备!#REF!</f>
        <v>#REF!</v>
      </c>
      <c r="AL146" t="e">
        <f>装备!#REF!</f>
        <v>#REF!</v>
      </c>
      <c r="AM146" t="e">
        <f>装备!#REF!</f>
        <v>#REF!</v>
      </c>
      <c r="AN146" t="e">
        <f>装备!#REF!</f>
        <v>#REF!</v>
      </c>
      <c r="AO146" t="e">
        <f>装备!#REF!</f>
        <v>#REF!</v>
      </c>
      <c r="AP146" t="e">
        <f>装备!#REF!</f>
        <v>#REF!</v>
      </c>
      <c r="AQ146" t="e">
        <f>装备!#REF!</f>
        <v>#REF!</v>
      </c>
      <c r="AR146" t="e">
        <f>装备!#REF!</f>
        <v>#REF!</v>
      </c>
      <c r="AS146" t="e">
        <f>装备!#REF!</f>
        <v>#REF!</v>
      </c>
      <c r="AT146" t="e">
        <f t="shared" si="31"/>
        <v>#REF!</v>
      </c>
      <c r="AU146" t="e">
        <f>装备!#REF!</f>
        <v>#REF!</v>
      </c>
      <c r="AV146" t="e">
        <f>装备!#REF!</f>
        <v>#REF!</v>
      </c>
      <c r="AW146" t="e">
        <f>装备!#REF!</f>
        <v>#REF!</v>
      </c>
      <c r="AX146" t="e">
        <f>装备!#REF!</f>
        <v>#REF!</v>
      </c>
      <c r="AY146" t="e">
        <f>装备!#REF!</f>
        <v>#REF!</v>
      </c>
      <c r="AZ146" t="e">
        <f>装备!#REF!</f>
        <v>#REF!</v>
      </c>
      <c r="BA146" t="e">
        <f>装备!#REF!</f>
        <v>#REF!</v>
      </c>
      <c r="BB146" t="e">
        <f>装备!#REF!</f>
        <v>#REF!</v>
      </c>
      <c r="BC146" t="e">
        <f>装备!#REF!</f>
        <v>#REF!</v>
      </c>
      <c r="BD146" t="e">
        <f>装备!#REF!</f>
        <v>#REF!</v>
      </c>
      <c r="BE146" t="e">
        <f t="shared" si="32"/>
        <v>#REF!</v>
      </c>
      <c r="BF146" t="e">
        <f>装备!#REF!</f>
        <v>#REF!</v>
      </c>
      <c r="BG146" t="e">
        <f>装备!#REF!</f>
        <v>#REF!</v>
      </c>
      <c r="BH146" t="e">
        <f>装备!#REF!</f>
        <v>#REF!</v>
      </c>
      <c r="BI146" t="e">
        <f>装备!#REF!</f>
        <v>#REF!</v>
      </c>
      <c r="BJ146" t="e">
        <f>装备!#REF!</f>
        <v>#REF!</v>
      </c>
      <c r="BK146" t="e">
        <f>装备!#REF!</f>
        <v>#REF!</v>
      </c>
      <c r="BL146" t="e">
        <f>装备!#REF!</f>
        <v>#REF!</v>
      </c>
      <c r="BM146" t="e">
        <f>装备!#REF!</f>
        <v>#REF!</v>
      </c>
      <c r="BN146" t="e">
        <f>装备!#REF!</f>
        <v>#REF!</v>
      </c>
      <c r="BO146" t="e">
        <f>装备!#REF!</f>
        <v>#REF!</v>
      </c>
      <c r="BP146" t="e">
        <f t="shared" si="33"/>
        <v>#REF!</v>
      </c>
      <c r="BQ146" t="e">
        <f>装备!#REF!</f>
        <v>#REF!</v>
      </c>
      <c r="BR146" t="e">
        <f>装备!#REF!</f>
        <v>#REF!</v>
      </c>
      <c r="BS146" t="e">
        <f>装备!#REF!</f>
        <v>#REF!</v>
      </c>
      <c r="BT146" t="e">
        <f>装备!#REF!</f>
        <v>#REF!</v>
      </c>
      <c r="BU146" t="e">
        <f>装备!#REF!</f>
        <v>#REF!</v>
      </c>
      <c r="BV146" t="e">
        <f>装备!#REF!</f>
        <v>#REF!</v>
      </c>
      <c r="BW146" t="e">
        <f>装备!#REF!</f>
        <v>#REF!</v>
      </c>
      <c r="BX146" t="e">
        <f>装备!#REF!</f>
        <v>#REF!</v>
      </c>
      <c r="BY146" t="e">
        <f>装备!#REF!</f>
        <v>#REF!</v>
      </c>
      <c r="BZ146" t="e">
        <f>装备!#REF!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装备!#REF!</f>
        <v>#REF!</v>
      </c>
      <c r="B147" t="e">
        <f>装备!#REF!</f>
        <v>#REF!</v>
      </c>
      <c r="C147" t="e">
        <f>装备!#REF!</f>
        <v>#REF!</v>
      </c>
      <c r="D147" t="e">
        <f>装备!#REF!</f>
        <v>#REF!</v>
      </c>
      <c r="E147" t="e">
        <f>装备!#REF!</f>
        <v>#REF!</v>
      </c>
      <c r="F147" t="e">
        <f>装备!#REF!</f>
        <v>#REF!</v>
      </c>
      <c r="G147" t="e">
        <f>装备!#REF!</f>
        <v>#REF!</v>
      </c>
      <c r="H147" t="e">
        <f>装备!#REF!</f>
        <v>#REF!</v>
      </c>
      <c r="I147" t="e">
        <f>装备!#REF!</f>
        <v>#REF!</v>
      </c>
      <c r="J147" t="e">
        <f>装备!#REF!</f>
        <v>#REF!</v>
      </c>
      <c r="K147" t="e">
        <f>装备!#REF!</f>
        <v>#REF!</v>
      </c>
      <c r="L147" t="e">
        <f>装备!#REF!</f>
        <v>#REF!</v>
      </c>
      <c r="M147" t="e">
        <f t="shared" si="28"/>
        <v>#REF!</v>
      </c>
      <c r="N147" t="e">
        <f>装备!#REF!</f>
        <v>#REF!</v>
      </c>
      <c r="O147" t="e">
        <f>装备!#REF!</f>
        <v>#REF!</v>
      </c>
      <c r="P147" t="e">
        <f>装备!#REF!</f>
        <v>#REF!</v>
      </c>
      <c r="Q147" t="e">
        <f>装备!#REF!</f>
        <v>#REF!</v>
      </c>
      <c r="R147" t="e">
        <f>装备!#REF!</f>
        <v>#REF!</v>
      </c>
      <c r="S147" t="e">
        <f>装备!#REF!</f>
        <v>#REF!</v>
      </c>
      <c r="T147" t="e">
        <f>装备!#REF!</f>
        <v>#REF!</v>
      </c>
      <c r="U147" t="e">
        <f>装备!#REF!</f>
        <v>#REF!</v>
      </c>
      <c r="V147" t="e">
        <f>装备!#REF!</f>
        <v>#REF!</v>
      </c>
      <c r="W147" t="e">
        <f>装备!#REF!</f>
        <v>#REF!</v>
      </c>
      <c r="X147" t="e">
        <f t="shared" si="29"/>
        <v>#REF!</v>
      </c>
      <c r="Y147" t="e">
        <f>装备!#REF!</f>
        <v>#REF!</v>
      </c>
      <c r="Z147" t="e">
        <f>装备!#REF!</f>
        <v>#REF!</v>
      </c>
      <c r="AA147" t="e">
        <f>装备!#REF!</f>
        <v>#REF!</v>
      </c>
      <c r="AB147" t="e">
        <f>装备!#REF!</f>
        <v>#REF!</v>
      </c>
      <c r="AC147" t="e">
        <f>装备!#REF!</f>
        <v>#REF!</v>
      </c>
      <c r="AD147" t="e">
        <f>装备!#REF!</f>
        <v>#REF!</v>
      </c>
      <c r="AE147" t="e">
        <f>装备!#REF!</f>
        <v>#REF!</v>
      </c>
      <c r="AF147" t="e">
        <f>装备!#REF!</f>
        <v>#REF!</v>
      </c>
      <c r="AG147" t="e">
        <f>装备!#REF!</f>
        <v>#REF!</v>
      </c>
      <c r="AH147" t="e">
        <f>装备!#REF!</f>
        <v>#REF!</v>
      </c>
      <c r="AI147" t="e">
        <f t="shared" si="30"/>
        <v>#REF!</v>
      </c>
      <c r="AJ147" t="e">
        <f>装备!#REF!</f>
        <v>#REF!</v>
      </c>
      <c r="AK147" t="e">
        <f>装备!#REF!</f>
        <v>#REF!</v>
      </c>
      <c r="AL147" t="e">
        <f>装备!#REF!</f>
        <v>#REF!</v>
      </c>
      <c r="AM147" t="e">
        <f>装备!#REF!</f>
        <v>#REF!</v>
      </c>
      <c r="AN147" t="e">
        <f>装备!#REF!</f>
        <v>#REF!</v>
      </c>
      <c r="AO147" t="e">
        <f>装备!#REF!</f>
        <v>#REF!</v>
      </c>
      <c r="AP147" t="e">
        <f>装备!#REF!</f>
        <v>#REF!</v>
      </c>
      <c r="AQ147" t="e">
        <f>装备!#REF!</f>
        <v>#REF!</v>
      </c>
      <c r="AR147" t="e">
        <f>装备!#REF!</f>
        <v>#REF!</v>
      </c>
      <c r="AS147" t="e">
        <f>装备!#REF!</f>
        <v>#REF!</v>
      </c>
      <c r="AT147" t="e">
        <f t="shared" si="31"/>
        <v>#REF!</v>
      </c>
      <c r="AU147" t="e">
        <f>装备!#REF!</f>
        <v>#REF!</v>
      </c>
      <c r="AV147" t="e">
        <f>装备!#REF!</f>
        <v>#REF!</v>
      </c>
      <c r="AW147" t="e">
        <f>装备!#REF!</f>
        <v>#REF!</v>
      </c>
      <c r="AX147" t="e">
        <f>装备!#REF!</f>
        <v>#REF!</v>
      </c>
      <c r="AY147" t="e">
        <f>装备!#REF!</f>
        <v>#REF!</v>
      </c>
      <c r="AZ147" t="e">
        <f>装备!#REF!</f>
        <v>#REF!</v>
      </c>
      <c r="BA147" t="e">
        <f>装备!#REF!</f>
        <v>#REF!</v>
      </c>
      <c r="BB147" t="e">
        <f>装备!#REF!</f>
        <v>#REF!</v>
      </c>
      <c r="BC147" t="e">
        <f>装备!#REF!</f>
        <v>#REF!</v>
      </c>
      <c r="BD147" t="e">
        <f>装备!#REF!</f>
        <v>#REF!</v>
      </c>
      <c r="BE147" t="e">
        <f t="shared" si="32"/>
        <v>#REF!</v>
      </c>
      <c r="BF147" t="e">
        <f>装备!#REF!</f>
        <v>#REF!</v>
      </c>
      <c r="BG147" t="e">
        <f>装备!#REF!</f>
        <v>#REF!</v>
      </c>
      <c r="BH147" t="e">
        <f>装备!#REF!</f>
        <v>#REF!</v>
      </c>
      <c r="BI147" t="e">
        <f>装备!#REF!</f>
        <v>#REF!</v>
      </c>
      <c r="BJ147" t="e">
        <f>装备!#REF!</f>
        <v>#REF!</v>
      </c>
      <c r="BK147" t="e">
        <f>装备!#REF!</f>
        <v>#REF!</v>
      </c>
      <c r="BL147" t="e">
        <f>装备!#REF!</f>
        <v>#REF!</v>
      </c>
      <c r="BM147" t="e">
        <f>装备!#REF!</f>
        <v>#REF!</v>
      </c>
      <c r="BN147" t="e">
        <f>装备!#REF!</f>
        <v>#REF!</v>
      </c>
      <c r="BO147" t="e">
        <f>装备!#REF!</f>
        <v>#REF!</v>
      </c>
      <c r="BP147" t="e">
        <f t="shared" si="33"/>
        <v>#REF!</v>
      </c>
      <c r="BQ147" t="e">
        <f>装备!#REF!</f>
        <v>#REF!</v>
      </c>
      <c r="BR147" t="e">
        <f>装备!#REF!</f>
        <v>#REF!</v>
      </c>
      <c r="BS147" t="e">
        <f>装备!#REF!</f>
        <v>#REF!</v>
      </c>
      <c r="BT147" t="e">
        <f>装备!#REF!</f>
        <v>#REF!</v>
      </c>
      <c r="BU147" t="e">
        <f>装备!#REF!</f>
        <v>#REF!</v>
      </c>
      <c r="BV147" t="e">
        <f>装备!#REF!</f>
        <v>#REF!</v>
      </c>
      <c r="BW147" t="e">
        <f>装备!#REF!</f>
        <v>#REF!</v>
      </c>
      <c r="BX147" t="e">
        <f>装备!#REF!</f>
        <v>#REF!</v>
      </c>
      <c r="BY147" t="e">
        <f>装备!#REF!</f>
        <v>#REF!</v>
      </c>
      <c r="BZ147" t="e">
        <f>装备!#REF!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装备!#REF!</f>
        <v>#REF!</v>
      </c>
      <c r="B148" t="e">
        <f>装备!#REF!</f>
        <v>#REF!</v>
      </c>
      <c r="C148" t="e">
        <f>装备!#REF!</f>
        <v>#REF!</v>
      </c>
      <c r="D148" t="e">
        <f>装备!#REF!</f>
        <v>#REF!</v>
      </c>
      <c r="E148" t="e">
        <f>装备!#REF!</f>
        <v>#REF!</v>
      </c>
      <c r="F148" t="e">
        <f>装备!#REF!</f>
        <v>#REF!</v>
      </c>
      <c r="G148" t="e">
        <f>装备!#REF!</f>
        <v>#REF!</v>
      </c>
      <c r="H148" t="e">
        <f>装备!#REF!</f>
        <v>#REF!</v>
      </c>
      <c r="I148" t="e">
        <f>装备!#REF!</f>
        <v>#REF!</v>
      </c>
      <c r="J148" t="e">
        <f>装备!#REF!</f>
        <v>#REF!</v>
      </c>
      <c r="K148" t="e">
        <f>装备!#REF!</f>
        <v>#REF!</v>
      </c>
      <c r="L148" t="e">
        <f>装备!#REF!</f>
        <v>#REF!</v>
      </c>
      <c r="M148" t="e">
        <f t="shared" si="28"/>
        <v>#REF!</v>
      </c>
      <c r="N148" t="e">
        <f>装备!#REF!</f>
        <v>#REF!</v>
      </c>
      <c r="O148" t="e">
        <f>装备!#REF!</f>
        <v>#REF!</v>
      </c>
      <c r="P148" t="e">
        <f>装备!#REF!</f>
        <v>#REF!</v>
      </c>
      <c r="Q148" t="e">
        <f>装备!#REF!</f>
        <v>#REF!</v>
      </c>
      <c r="R148" t="e">
        <f>装备!#REF!</f>
        <v>#REF!</v>
      </c>
      <c r="S148" t="e">
        <f>装备!#REF!</f>
        <v>#REF!</v>
      </c>
      <c r="T148" t="e">
        <f>装备!#REF!</f>
        <v>#REF!</v>
      </c>
      <c r="U148" t="e">
        <f>装备!#REF!</f>
        <v>#REF!</v>
      </c>
      <c r="V148" t="e">
        <f>装备!#REF!</f>
        <v>#REF!</v>
      </c>
      <c r="W148" t="e">
        <f>装备!#REF!</f>
        <v>#REF!</v>
      </c>
      <c r="X148" t="e">
        <f t="shared" si="29"/>
        <v>#REF!</v>
      </c>
      <c r="Y148" t="e">
        <f>装备!#REF!</f>
        <v>#REF!</v>
      </c>
      <c r="Z148" t="e">
        <f>装备!#REF!</f>
        <v>#REF!</v>
      </c>
      <c r="AA148" t="e">
        <f>装备!#REF!</f>
        <v>#REF!</v>
      </c>
      <c r="AB148" t="e">
        <f>装备!#REF!</f>
        <v>#REF!</v>
      </c>
      <c r="AC148" t="e">
        <f>装备!#REF!</f>
        <v>#REF!</v>
      </c>
      <c r="AD148" t="e">
        <f>装备!#REF!</f>
        <v>#REF!</v>
      </c>
      <c r="AE148" t="e">
        <f>装备!#REF!</f>
        <v>#REF!</v>
      </c>
      <c r="AF148" t="e">
        <f>装备!#REF!</f>
        <v>#REF!</v>
      </c>
      <c r="AG148" t="e">
        <f>装备!#REF!</f>
        <v>#REF!</v>
      </c>
      <c r="AH148" t="e">
        <f>装备!#REF!</f>
        <v>#REF!</v>
      </c>
      <c r="AI148" t="e">
        <f t="shared" si="30"/>
        <v>#REF!</v>
      </c>
      <c r="AJ148" t="e">
        <f>装备!#REF!</f>
        <v>#REF!</v>
      </c>
      <c r="AK148" t="e">
        <f>装备!#REF!</f>
        <v>#REF!</v>
      </c>
      <c r="AL148" t="e">
        <f>装备!#REF!</f>
        <v>#REF!</v>
      </c>
      <c r="AM148" t="e">
        <f>装备!#REF!</f>
        <v>#REF!</v>
      </c>
      <c r="AN148" t="e">
        <f>装备!#REF!</f>
        <v>#REF!</v>
      </c>
      <c r="AO148" t="e">
        <f>装备!#REF!</f>
        <v>#REF!</v>
      </c>
      <c r="AP148" t="e">
        <f>装备!#REF!</f>
        <v>#REF!</v>
      </c>
      <c r="AQ148" t="e">
        <f>装备!#REF!</f>
        <v>#REF!</v>
      </c>
      <c r="AR148" t="e">
        <f>装备!#REF!</f>
        <v>#REF!</v>
      </c>
      <c r="AS148" t="e">
        <f>装备!#REF!</f>
        <v>#REF!</v>
      </c>
      <c r="AT148" t="e">
        <f t="shared" si="31"/>
        <v>#REF!</v>
      </c>
      <c r="AU148" t="e">
        <f>装备!#REF!</f>
        <v>#REF!</v>
      </c>
      <c r="AV148" t="e">
        <f>装备!#REF!</f>
        <v>#REF!</v>
      </c>
      <c r="AW148" t="e">
        <f>装备!#REF!</f>
        <v>#REF!</v>
      </c>
      <c r="AX148" t="e">
        <f>装备!#REF!</f>
        <v>#REF!</v>
      </c>
      <c r="AY148" t="e">
        <f>装备!#REF!</f>
        <v>#REF!</v>
      </c>
      <c r="AZ148" t="e">
        <f>装备!#REF!</f>
        <v>#REF!</v>
      </c>
      <c r="BA148" t="e">
        <f>装备!#REF!</f>
        <v>#REF!</v>
      </c>
      <c r="BB148" t="e">
        <f>装备!#REF!</f>
        <v>#REF!</v>
      </c>
      <c r="BC148" t="e">
        <f>装备!#REF!</f>
        <v>#REF!</v>
      </c>
      <c r="BD148" t="e">
        <f>装备!#REF!</f>
        <v>#REF!</v>
      </c>
      <c r="BE148" t="e">
        <f t="shared" si="32"/>
        <v>#REF!</v>
      </c>
      <c r="BF148" t="e">
        <f>装备!#REF!</f>
        <v>#REF!</v>
      </c>
      <c r="BG148" t="e">
        <f>装备!#REF!</f>
        <v>#REF!</v>
      </c>
      <c r="BH148" t="e">
        <f>装备!#REF!</f>
        <v>#REF!</v>
      </c>
      <c r="BI148" t="e">
        <f>装备!#REF!</f>
        <v>#REF!</v>
      </c>
      <c r="BJ148" t="e">
        <f>装备!#REF!</f>
        <v>#REF!</v>
      </c>
      <c r="BK148" t="e">
        <f>装备!#REF!</f>
        <v>#REF!</v>
      </c>
      <c r="BL148" t="e">
        <f>装备!#REF!</f>
        <v>#REF!</v>
      </c>
      <c r="BM148" t="e">
        <f>装备!#REF!</f>
        <v>#REF!</v>
      </c>
      <c r="BN148" t="e">
        <f>装备!#REF!</f>
        <v>#REF!</v>
      </c>
      <c r="BO148" t="e">
        <f>装备!#REF!</f>
        <v>#REF!</v>
      </c>
      <c r="BP148" t="e">
        <f t="shared" si="33"/>
        <v>#REF!</v>
      </c>
      <c r="BQ148" t="e">
        <f>装备!#REF!</f>
        <v>#REF!</v>
      </c>
      <c r="BR148" t="e">
        <f>装备!#REF!</f>
        <v>#REF!</v>
      </c>
      <c r="BS148" t="e">
        <f>装备!#REF!</f>
        <v>#REF!</v>
      </c>
      <c r="BT148" t="e">
        <f>装备!#REF!</f>
        <v>#REF!</v>
      </c>
      <c r="BU148" t="e">
        <f>装备!#REF!</f>
        <v>#REF!</v>
      </c>
      <c r="BV148" t="e">
        <f>装备!#REF!</f>
        <v>#REF!</v>
      </c>
      <c r="BW148" t="e">
        <f>装备!#REF!</f>
        <v>#REF!</v>
      </c>
      <c r="BX148" t="e">
        <f>装备!#REF!</f>
        <v>#REF!</v>
      </c>
      <c r="BY148" t="e">
        <f>装备!#REF!</f>
        <v>#REF!</v>
      </c>
      <c r="BZ148" t="e">
        <f>装备!#REF!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装备!#REF!</f>
        <v>#REF!</v>
      </c>
      <c r="B149" t="e">
        <f>装备!#REF!</f>
        <v>#REF!</v>
      </c>
      <c r="C149" t="e">
        <f>装备!#REF!</f>
        <v>#REF!</v>
      </c>
      <c r="D149" t="e">
        <f>装备!#REF!</f>
        <v>#REF!</v>
      </c>
      <c r="E149" t="e">
        <f>装备!#REF!</f>
        <v>#REF!</v>
      </c>
      <c r="F149" t="e">
        <f>装备!#REF!</f>
        <v>#REF!</v>
      </c>
      <c r="G149" t="e">
        <f>装备!#REF!</f>
        <v>#REF!</v>
      </c>
      <c r="H149" t="e">
        <f>装备!#REF!</f>
        <v>#REF!</v>
      </c>
      <c r="I149" t="e">
        <f>装备!#REF!</f>
        <v>#REF!</v>
      </c>
      <c r="J149" t="e">
        <f>装备!#REF!</f>
        <v>#REF!</v>
      </c>
      <c r="K149" t="e">
        <f>装备!#REF!</f>
        <v>#REF!</v>
      </c>
      <c r="L149" t="e">
        <f>装备!#REF!</f>
        <v>#REF!</v>
      </c>
      <c r="M149" t="e">
        <f t="shared" si="28"/>
        <v>#REF!</v>
      </c>
      <c r="N149" t="e">
        <f>装备!#REF!</f>
        <v>#REF!</v>
      </c>
      <c r="O149" t="e">
        <f>装备!#REF!</f>
        <v>#REF!</v>
      </c>
      <c r="P149" t="e">
        <f>装备!#REF!</f>
        <v>#REF!</v>
      </c>
      <c r="Q149" t="e">
        <f>装备!#REF!</f>
        <v>#REF!</v>
      </c>
      <c r="R149" t="e">
        <f>装备!#REF!</f>
        <v>#REF!</v>
      </c>
      <c r="S149" t="e">
        <f>装备!#REF!</f>
        <v>#REF!</v>
      </c>
      <c r="T149" t="e">
        <f>装备!#REF!</f>
        <v>#REF!</v>
      </c>
      <c r="U149" t="e">
        <f>装备!#REF!</f>
        <v>#REF!</v>
      </c>
      <c r="V149" t="e">
        <f>装备!#REF!</f>
        <v>#REF!</v>
      </c>
      <c r="W149" t="e">
        <f>装备!#REF!</f>
        <v>#REF!</v>
      </c>
      <c r="X149" t="e">
        <f t="shared" si="29"/>
        <v>#REF!</v>
      </c>
      <c r="Y149" t="e">
        <f>装备!#REF!</f>
        <v>#REF!</v>
      </c>
      <c r="Z149" t="e">
        <f>装备!#REF!</f>
        <v>#REF!</v>
      </c>
      <c r="AA149" t="e">
        <f>装备!#REF!</f>
        <v>#REF!</v>
      </c>
      <c r="AB149" t="e">
        <f>装备!#REF!</f>
        <v>#REF!</v>
      </c>
      <c r="AC149" t="e">
        <f>装备!#REF!</f>
        <v>#REF!</v>
      </c>
      <c r="AD149" t="e">
        <f>装备!#REF!</f>
        <v>#REF!</v>
      </c>
      <c r="AE149" t="e">
        <f>装备!#REF!</f>
        <v>#REF!</v>
      </c>
      <c r="AF149" t="e">
        <f>装备!#REF!</f>
        <v>#REF!</v>
      </c>
      <c r="AG149" t="e">
        <f>装备!#REF!</f>
        <v>#REF!</v>
      </c>
      <c r="AH149" t="e">
        <f>装备!#REF!</f>
        <v>#REF!</v>
      </c>
      <c r="AI149" t="e">
        <f t="shared" si="30"/>
        <v>#REF!</v>
      </c>
      <c r="AJ149" t="e">
        <f>装备!#REF!</f>
        <v>#REF!</v>
      </c>
      <c r="AK149" t="e">
        <f>装备!#REF!</f>
        <v>#REF!</v>
      </c>
      <c r="AL149" t="e">
        <f>装备!#REF!</f>
        <v>#REF!</v>
      </c>
      <c r="AM149" t="e">
        <f>装备!#REF!</f>
        <v>#REF!</v>
      </c>
      <c r="AN149" t="e">
        <f>装备!#REF!</f>
        <v>#REF!</v>
      </c>
      <c r="AO149" t="e">
        <f>装备!#REF!</f>
        <v>#REF!</v>
      </c>
      <c r="AP149" t="e">
        <f>装备!#REF!</f>
        <v>#REF!</v>
      </c>
      <c r="AQ149" t="e">
        <f>装备!#REF!</f>
        <v>#REF!</v>
      </c>
      <c r="AR149" t="e">
        <f>装备!#REF!</f>
        <v>#REF!</v>
      </c>
      <c r="AS149" t="e">
        <f>装备!#REF!</f>
        <v>#REF!</v>
      </c>
      <c r="AT149" t="e">
        <f t="shared" si="31"/>
        <v>#REF!</v>
      </c>
      <c r="AU149" t="e">
        <f>装备!#REF!</f>
        <v>#REF!</v>
      </c>
      <c r="AV149" t="e">
        <f>装备!#REF!</f>
        <v>#REF!</v>
      </c>
      <c r="AW149" t="e">
        <f>装备!#REF!</f>
        <v>#REF!</v>
      </c>
      <c r="AX149" t="e">
        <f>装备!#REF!</f>
        <v>#REF!</v>
      </c>
      <c r="AY149" t="e">
        <f>装备!#REF!</f>
        <v>#REF!</v>
      </c>
      <c r="AZ149" t="e">
        <f>装备!#REF!</f>
        <v>#REF!</v>
      </c>
      <c r="BA149" t="e">
        <f>装备!#REF!</f>
        <v>#REF!</v>
      </c>
      <c r="BB149" t="e">
        <f>装备!#REF!</f>
        <v>#REF!</v>
      </c>
      <c r="BC149" t="e">
        <f>装备!#REF!</f>
        <v>#REF!</v>
      </c>
      <c r="BD149" t="e">
        <f>装备!#REF!</f>
        <v>#REF!</v>
      </c>
      <c r="BE149" t="e">
        <f t="shared" si="32"/>
        <v>#REF!</v>
      </c>
      <c r="BF149" t="e">
        <f>装备!#REF!</f>
        <v>#REF!</v>
      </c>
      <c r="BG149" t="e">
        <f>装备!#REF!</f>
        <v>#REF!</v>
      </c>
      <c r="BH149" t="e">
        <f>装备!#REF!</f>
        <v>#REF!</v>
      </c>
      <c r="BI149" t="e">
        <f>装备!#REF!</f>
        <v>#REF!</v>
      </c>
      <c r="BJ149" t="e">
        <f>装备!#REF!</f>
        <v>#REF!</v>
      </c>
      <c r="BK149" t="e">
        <f>装备!#REF!</f>
        <v>#REF!</v>
      </c>
      <c r="BL149" t="e">
        <f>装备!#REF!</f>
        <v>#REF!</v>
      </c>
      <c r="BM149" t="e">
        <f>装备!#REF!</f>
        <v>#REF!</v>
      </c>
      <c r="BN149" t="e">
        <f>装备!#REF!</f>
        <v>#REF!</v>
      </c>
      <c r="BO149" t="e">
        <f>装备!#REF!</f>
        <v>#REF!</v>
      </c>
      <c r="BP149" t="e">
        <f t="shared" si="33"/>
        <v>#REF!</v>
      </c>
      <c r="BQ149" t="e">
        <f>装备!#REF!</f>
        <v>#REF!</v>
      </c>
      <c r="BR149" t="e">
        <f>装备!#REF!</f>
        <v>#REF!</v>
      </c>
      <c r="BS149" t="e">
        <f>装备!#REF!</f>
        <v>#REF!</v>
      </c>
      <c r="BT149" t="e">
        <f>装备!#REF!</f>
        <v>#REF!</v>
      </c>
      <c r="BU149" t="e">
        <f>装备!#REF!</f>
        <v>#REF!</v>
      </c>
      <c r="BV149" t="e">
        <f>装备!#REF!</f>
        <v>#REF!</v>
      </c>
      <c r="BW149" t="e">
        <f>装备!#REF!</f>
        <v>#REF!</v>
      </c>
      <c r="BX149" t="e">
        <f>装备!#REF!</f>
        <v>#REF!</v>
      </c>
      <c r="BY149" t="e">
        <f>装备!#REF!</f>
        <v>#REF!</v>
      </c>
      <c r="BZ149" t="e">
        <f>装备!#REF!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装备!#REF!</f>
        <v>#REF!</v>
      </c>
      <c r="B150" t="e">
        <f>装备!#REF!</f>
        <v>#REF!</v>
      </c>
      <c r="C150" t="e">
        <f>装备!#REF!</f>
        <v>#REF!</v>
      </c>
      <c r="D150" t="e">
        <f>装备!#REF!</f>
        <v>#REF!</v>
      </c>
      <c r="E150" t="e">
        <f>装备!#REF!</f>
        <v>#REF!</v>
      </c>
      <c r="F150" t="e">
        <f>装备!#REF!</f>
        <v>#REF!</v>
      </c>
      <c r="G150" t="e">
        <f>装备!#REF!</f>
        <v>#REF!</v>
      </c>
      <c r="H150" t="e">
        <f>装备!#REF!</f>
        <v>#REF!</v>
      </c>
      <c r="I150" t="e">
        <f>装备!#REF!</f>
        <v>#REF!</v>
      </c>
      <c r="J150" t="e">
        <f>装备!#REF!</f>
        <v>#REF!</v>
      </c>
      <c r="K150" t="e">
        <f>装备!#REF!</f>
        <v>#REF!</v>
      </c>
      <c r="L150" t="e">
        <f>装备!#REF!</f>
        <v>#REF!</v>
      </c>
      <c r="M150" t="e">
        <f t="shared" si="28"/>
        <v>#REF!</v>
      </c>
      <c r="N150" t="e">
        <f>装备!#REF!</f>
        <v>#REF!</v>
      </c>
      <c r="O150" t="e">
        <f>装备!#REF!</f>
        <v>#REF!</v>
      </c>
      <c r="P150" t="e">
        <f>装备!#REF!</f>
        <v>#REF!</v>
      </c>
      <c r="Q150" t="e">
        <f>装备!#REF!</f>
        <v>#REF!</v>
      </c>
      <c r="R150" t="e">
        <f>装备!#REF!</f>
        <v>#REF!</v>
      </c>
      <c r="S150" t="e">
        <f>装备!#REF!</f>
        <v>#REF!</v>
      </c>
      <c r="T150" t="e">
        <f>装备!#REF!</f>
        <v>#REF!</v>
      </c>
      <c r="U150" t="e">
        <f>装备!#REF!</f>
        <v>#REF!</v>
      </c>
      <c r="V150" t="e">
        <f>装备!#REF!</f>
        <v>#REF!</v>
      </c>
      <c r="W150" t="e">
        <f>装备!#REF!</f>
        <v>#REF!</v>
      </c>
      <c r="X150" t="e">
        <f t="shared" si="29"/>
        <v>#REF!</v>
      </c>
      <c r="Y150" t="e">
        <f>装备!#REF!</f>
        <v>#REF!</v>
      </c>
      <c r="Z150" t="e">
        <f>装备!#REF!</f>
        <v>#REF!</v>
      </c>
      <c r="AA150" t="e">
        <f>装备!#REF!</f>
        <v>#REF!</v>
      </c>
      <c r="AB150" t="e">
        <f>装备!#REF!</f>
        <v>#REF!</v>
      </c>
      <c r="AC150" t="e">
        <f>装备!#REF!</f>
        <v>#REF!</v>
      </c>
      <c r="AD150" t="e">
        <f>装备!#REF!</f>
        <v>#REF!</v>
      </c>
      <c r="AE150" t="e">
        <f>装备!#REF!</f>
        <v>#REF!</v>
      </c>
      <c r="AF150" t="e">
        <f>装备!#REF!</f>
        <v>#REF!</v>
      </c>
      <c r="AG150" t="e">
        <f>装备!#REF!</f>
        <v>#REF!</v>
      </c>
      <c r="AH150" t="e">
        <f>装备!#REF!</f>
        <v>#REF!</v>
      </c>
      <c r="AI150" t="e">
        <f t="shared" si="30"/>
        <v>#REF!</v>
      </c>
      <c r="AJ150" t="e">
        <f>装备!#REF!</f>
        <v>#REF!</v>
      </c>
      <c r="AK150" t="e">
        <f>装备!#REF!</f>
        <v>#REF!</v>
      </c>
      <c r="AL150" t="e">
        <f>装备!#REF!</f>
        <v>#REF!</v>
      </c>
      <c r="AM150" t="e">
        <f>装备!#REF!</f>
        <v>#REF!</v>
      </c>
      <c r="AN150" t="e">
        <f>装备!#REF!</f>
        <v>#REF!</v>
      </c>
      <c r="AO150" t="e">
        <f>装备!#REF!</f>
        <v>#REF!</v>
      </c>
      <c r="AP150" t="e">
        <f>装备!#REF!</f>
        <v>#REF!</v>
      </c>
      <c r="AQ150" t="e">
        <f>装备!#REF!</f>
        <v>#REF!</v>
      </c>
      <c r="AR150" t="e">
        <f>装备!#REF!</f>
        <v>#REF!</v>
      </c>
      <c r="AS150" t="e">
        <f>装备!#REF!</f>
        <v>#REF!</v>
      </c>
      <c r="AT150" t="e">
        <f t="shared" si="31"/>
        <v>#REF!</v>
      </c>
      <c r="AU150" t="e">
        <f>装备!#REF!</f>
        <v>#REF!</v>
      </c>
      <c r="AV150" t="e">
        <f>装备!#REF!</f>
        <v>#REF!</v>
      </c>
      <c r="AW150" t="e">
        <f>装备!#REF!</f>
        <v>#REF!</v>
      </c>
      <c r="AX150" t="e">
        <f>装备!#REF!</f>
        <v>#REF!</v>
      </c>
      <c r="AY150" t="e">
        <f>装备!#REF!</f>
        <v>#REF!</v>
      </c>
      <c r="AZ150" t="e">
        <f>装备!#REF!</f>
        <v>#REF!</v>
      </c>
      <c r="BA150" t="e">
        <f>装备!#REF!</f>
        <v>#REF!</v>
      </c>
      <c r="BB150" t="e">
        <f>装备!#REF!</f>
        <v>#REF!</v>
      </c>
      <c r="BC150" t="e">
        <f>装备!#REF!</f>
        <v>#REF!</v>
      </c>
      <c r="BD150" t="e">
        <f>装备!#REF!</f>
        <v>#REF!</v>
      </c>
      <c r="BE150" t="e">
        <f t="shared" si="32"/>
        <v>#REF!</v>
      </c>
      <c r="BF150" t="e">
        <f>装备!#REF!</f>
        <v>#REF!</v>
      </c>
      <c r="BG150" t="e">
        <f>装备!#REF!</f>
        <v>#REF!</v>
      </c>
      <c r="BH150" t="e">
        <f>装备!#REF!</f>
        <v>#REF!</v>
      </c>
      <c r="BI150" t="e">
        <f>装备!#REF!</f>
        <v>#REF!</v>
      </c>
      <c r="BJ150" t="e">
        <f>装备!#REF!</f>
        <v>#REF!</v>
      </c>
      <c r="BK150" t="e">
        <f>装备!#REF!</f>
        <v>#REF!</v>
      </c>
      <c r="BL150" t="e">
        <f>装备!#REF!</f>
        <v>#REF!</v>
      </c>
      <c r="BM150" t="e">
        <f>装备!#REF!</f>
        <v>#REF!</v>
      </c>
      <c r="BN150" t="e">
        <f>装备!#REF!</f>
        <v>#REF!</v>
      </c>
      <c r="BO150" t="e">
        <f>装备!#REF!</f>
        <v>#REF!</v>
      </c>
      <c r="BP150" t="e">
        <f t="shared" si="33"/>
        <v>#REF!</v>
      </c>
      <c r="BQ150" t="e">
        <f>装备!#REF!</f>
        <v>#REF!</v>
      </c>
      <c r="BR150" t="e">
        <f>装备!#REF!</f>
        <v>#REF!</v>
      </c>
      <c r="BS150" t="e">
        <f>装备!#REF!</f>
        <v>#REF!</v>
      </c>
      <c r="BT150" t="e">
        <f>装备!#REF!</f>
        <v>#REF!</v>
      </c>
      <c r="BU150" t="e">
        <f>装备!#REF!</f>
        <v>#REF!</v>
      </c>
      <c r="BV150" t="e">
        <f>装备!#REF!</f>
        <v>#REF!</v>
      </c>
      <c r="BW150" t="e">
        <f>装备!#REF!</f>
        <v>#REF!</v>
      </c>
      <c r="BX150" t="e">
        <f>装备!#REF!</f>
        <v>#REF!</v>
      </c>
      <c r="BY150" t="e">
        <f>装备!#REF!</f>
        <v>#REF!</v>
      </c>
      <c r="BZ150" t="e">
        <f>装备!#REF!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装备!#REF!</f>
        <v>#REF!</v>
      </c>
      <c r="B151" t="e">
        <f>装备!#REF!</f>
        <v>#REF!</v>
      </c>
      <c r="C151" t="e">
        <f>装备!#REF!</f>
        <v>#REF!</v>
      </c>
      <c r="D151" t="e">
        <f>装备!#REF!</f>
        <v>#REF!</v>
      </c>
      <c r="E151" t="e">
        <f>装备!#REF!</f>
        <v>#REF!</v>
      </c>
      <c r="F151" t="e">
        <f>装备!#REF!</f>
        <v>#REF!</v>
      </c>
      <c r="G151" t="e">
        <f>装备!#REF!</f>
        <v>#REF!</v>
      </c>
      <c r="H151" t="e">
        <f>装备!#REF!</f>
        <v>#REF!</v>
      </c>
      <c r="I151" t="e">
        <f>装备!#REF!</f>
        <v>#REF!</v>
      </c>
      <c r="J151" t="e">
        <f>装备!#REF!</f>
        <v>#REF!</v>
      </c>
      <c r="K151" t="e">
        <f>装备!#REF!</f>
        <v>#REF!</v>
      </c>
      <c r="L151" t="e">
        <f>装备!#REF!</f>
        <v>#REF!</v>
      </c>
      <c r="M151" t="e">
        <f t="shared" si="28"/>
        <v>#REF!</v>
      </c>
      <c r="N151" t="e">
        <f>装备!#REF!</f>
        <v>#REF!</v>
      </c>
      <c r="O151" t="e">
        <f>装备!#REF!</f>
        <v>#REF!</v>
      </c>
      <c r="P151" t="e">
        <f>装备!#REF!</f>
        <v>#REF!</v>
      </c>
      <c r="Q151" t="e">
        <f>装备!#REF!</f>
        <v>#REF!</v>
      </c>
      <c r="R151" t="e">
        <f>装备!#REF!</f>
        <v>#REF!</v>
      </c>
      <c r="S151" t="e">
        <f>装备!#REF!</f>
        <v>#REF!</v>
      </c>
      <c r="T151" t="e">
        <f>装备!#REF!</f>
        <v>#REF!</v>
      </c>
      <c r="U151" t="e">
        <f>装备!#REF!</f>
        <v>#REF!</v>
      </c>
      <c r="V151" t="e">
        <f>装备!#REF!</f>
        <v>#REF!</v>
      </c>
      <c r="W151" t="e">
        <f>装备!#REF!</f>
        <v>#REF!</v>
      </c>
      <c r="X151" t="e">
        <f t="shared" si="29"/>
        <v>#REF!</v>
      </c>
      <c r="Y151" t="e">
        <f>装备!#REF!</f>
        <v>#REF!</v>
      </c>
      <c r="Z151" t="e">
        <f>装备!#REF!</f>
        <v>#REF!</v>
      </c>
      <c r="AA151" t="e">
        <f>装备!#REF!</f>
        <v>#REF!</v>
      </c>
      <c r="AB151" t="e">
        <f>装备!#REF!</f>
        <v>#REF!</v>
      </c>
      <c r="AC151" t="e">
        <f>装备!#REF!</f>
        <v>#REF!</v>
      </c>
      <c r="AD151" t="e">
        <f>装备!#REF!</f>
        <v>#REF!</v>
      </c>
      <c r="AE151" t="e">
        <f>装备!#REF!</f>
        <v>#REF!</v>
      </c>
      <c r="AF151" t="e">
        <f>装备!#REF!</f>
        <v>#REF!</v>
      </c>
      <c r="AG151" t="e">
        <f>装备!#REF!</f>
        <v>#REF!</v>
      </c>
      <c r="AH151" t="e">
        <f>装备!#REF!</f>
        <v>#REF!</v>
      </c>
      <c r="AI151" t="e">
        <f t="shared" si="30"/>
        <v>#REF!</v>
      </c>
      <c r="AJ151" t="e">
        <f>装备!#REF!</f>
        <v>#REF!</v>
      </c>
      <c r="AK151" t="e">
        <f>装备!#REF!</f>
        <v>#REF!</v>
      </c>
      <c r="AL151" t="e">
        <f>装备!#REF!</f>
        <v>#REF!</v>
      </c>
      <c r="AM151" t="e">
        <f>装备!#REF!</f>
        <v>#REF!</v>
      </c>
      <c r="AN151" t="e">
        <f>装备!#REF!</f>
        <v>#REF!</v>
      </c>
      <c r="AO151" t="e">
        <f>装备!#REF!</f>
        <v>#REF!</v>
      </c>
      <c r="AP151" t="e">
        <f>装备!#REF!</f>
        <v>#REF!</v>
      </c>
      <c r="AQ151" t="e">
        <f>装备!#REF!</f>
        <v>#REF!</v>
      </c>
      <c r="AR151" t="e">
        <f>装备!#REF!</f>
        <v>#REF!</v>
      </c>
      <c r="AS151" t="e">
        <f>装备!#REF!</f>
        <v>#REF!</v>
      </c>
      <c r="AT151" t="e">
        <f t="shared" si="31"/>
        <v>#REF!</v>
      </c>
      <c r="AU151" t="e">
        <f>装备!#REF!</f>
        <v>#REF!</v>
      </c>
      <c r="AV151" t="e">
        <f>装备!#REF!</f>
        <v>#REF!</v>
      </c>
      <c r="AW151" t="e">
        <f>装备!#REF!</f>
        <v>#REF!</v>
      </c>
      <c r="AX151" t="e">
        <f>装备!#REF!</f>
        <v>#REF!</v>
      </c>
      <c r="AY151" t="e">
        <f>装备!#REF!</f>
        <v>#REF!</v>
      </c>
      <c r="AZ151" t="e">
        <f>装备!#REF!</f>
        <v>#REF!</v>
      </c>
      <c r="BA151" t="e">
        <f>装备!#REF!</f>
        <v>#REF!</v>
      </c>
      <c r="BB151" t="e">
        <f>装备!#REF!</f>
        <v>#REF!</v>
      </c>
      <c r="BC151" t="e">
        <f>装备!#REF!</f>
        <v>#REF!</v>
      </c>
      <c r="BD151" t="e">
        <f>装备!#REF!</f>
        <v>#REF!</v>
      </c>
      <c r="BE151" t="e">
        <f t="shared" si="32"/>
        <v>#REF!</v>
      </c>
      <c r="BF151" t="e">
        <f>装备!#REF!</f>
        <v>#REF!</v>
      </c>
      <c r="BG151" t="e">
        <f>装备!#REF!</f>
        <v>#REF!</v>
      </c>
      <c r="BH151" t="e">
        <f>装备!#REF!</f>
        <v>#REF!</v>
      </c>
      <c r="BI151" t="e">
        <f>装备!#REF!</f>
        <v>#REF!</v>
      </c>
      <c r="BJ151" t="e">
        <f>装备!#REF!</f>
        <v>#REF!</v>
      </c>
      <c r="BK151" t="e">
        <f>装备!#REF!</f>
        <v>#REF!</v>
      </c>
      <c r="BL151" t="e">
        <f>装备!#REF!</f>
        <v>#REF!</v>
      </c>
      <c r="BM151" t="e">
        <f>装备!#REF!</f>
        <v>#REF!</v>
      </c>
      <c r="BN151" t="e">
        <f>装备!#REF!</f>
        <v>#REF!</v>
      </c>
      <c r="BO151" t="e">
        <f>装备!#REF!</f>
        <v>#REF!</v>
      </c>
      <c r="BP151" t="e">
        <f t="shared" si="33"/>
        <v>#REF!</v>
      </c>
      <c r="BQ151" t="e">
        <f>装备!#REF!</f>
        <v>#REF!</v>
      </c>
      <c r="BR151" t="e">
        <f>装备!#REF!</f>
        <v>#REF!</v>
      </c>
      <c r="BS151" t="e">
        <f>装备!#REF!</f>
        <v>#REF!</v>
      </c>
      <c r="BT151" t="e">
        <f>装备!#REF!</f>
        <v>#REF!</v>
      </c>
      <c r="BU151" t="e">
        <f>装备!#REF!</f>
        <v>#REF!</v>
      </c>
      <c r="BV151" t="e">
        <f>装备!#REF!</f>
        <v>#REF!</v>
      </c>
      <c r="BW151" t="e">
        <f>装备!#REF!</f>
        <v>#REF!</v>
      </c>
      <c r="BX151" t="e">
        <f>装备!#REF!</f>
        <v>#REF!</v>
      </c>
      <c r="BY151" t="e">
        <f>装备!#REF!</f>
        <v>#REF!</v>
      </c>
      <c r="BZ151" t="e">
        <f>装备!#REF!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装备!#REF!</f>
        <v>#REF!</v>
      </c>
      <c r="B152" t="e">
        <f>装备!#REF!</f>
        <v>#REF!</v>
      </c>
      <c r="C152" t="e">
        <f>装备!#REF!</f>
        <v>#REF!</v>
      </c>
      <c r="D152" t="e">
        <f>装备!#REF!</f>
        <v>#REF!</v>
      </c>
      <c r="E152" t="e">
        <f>装备!#REF!</f>
        <v>#REF!</v>
      </c>
      <c r="F152" t="e">
        <f>装备!#REF!</f>
        <v>#REF!</v>
      </c>
      <c r="G152" t="e">
        <f>装备!#REF!</f>
        <v>#REF!</v>
      </c>
      <c r="H152" t="e">
        <f>装备!#REF!</f>
        <v>#REF!</v>
      </c>
      <c r="I152" t="e">
        <f>装备!#REF!</f>
        <v>#REF!</v>
      </c>
      <c r="J152" t="e">
        <f>装备!#REF!</f>
        <v>#REF!</v>
      </c>
      <c r="K152" t="e">
        <f>装备!#REF!</f>
        <v>#REF!</v>
      </c>
      <c r="L152" t="e">
        <f>装备!#REF!</f>
        <v>#REF!</v>
      </c>
      <c r="M152" t="e">
        <f t="shared" si="28"/>
        <v>#REF!</v>
      </c>
      <c r="N152" t="e">
        <f>装备!#REF!</f>
        <v>#REF!</v>
      </c>
      <c r="O152" t="e">
        <f>装备!#REF!</f>
        <v>#REF!</v>
      </c>
      <c r="P152" t="e">
        <f>装备!#REF!</f>
        <v>#REF!</v>
      </c>
      <c r="Q152" t="e">
        <f>装备!#REF!</f>
        <v>#REF!</v>
      </c>
      <c r="R152" t="e">
        <f>装备!#REF!</f>
        <v>#REF!</v>
      </c>
      <c r="S152" t="e">
        <f>装备!#REF!</f>
        <v>#REF!</v>
      </c>
      <c r="T152" t="e">
        <f>装备!#REF!</f>
        <v>#REF!</v>
      </c>
      <c r="U152" t="e">
        <f>装备!#REF!</f>
        <v>#REF!</v>
      </c>
      <c r="V152" t="e">
        <f>装备!#REF!</f>
        <v>#REF!</v>
      </c>
      <c r="W152" t="e">
        <f>装备!#REF!</f>
        <v>#REF!</v>
      </c>
      <c r="X152" t="e">
        <f t="shared" si="29"/>
        <v>#REF!</v>
      </c>
      <c r="Y152" t="e">
        <f>装备!#REF!</f>
        <v>#REF!</v>
      </c>
      <c r="Z152" t="e">
        <f>装备!#REF!</f>
        <v>#REF!</v>
      </c>
      <c r="AA152" t="e">
        <f>装备!#REF!</f>
        <v>#REF!</v>
      </c>
      <c r="AB152" t="e">
        <f>装备!#REF!</f>
        <v>#REF!</v>
      </c>
      <c r="AC152" t="e">
        <f>装备!#REF!</f>
        <v>#REF!</v>
      </c>
      <c r="AD152" t="e">
        <f>装备!#REF!</f>
        <v>#REF!</v>
      </c>
      <c r="AE152" t="e">
        <f>装备!#REF!</f>
        <v>#REF!</v>
      </c>
      <c r="AF152" t="e">
        <f>装备!#REF!</f>
        <v>#REF!</v>
      </c>
      <c r="AG152" t="e">
        <f>装备!#REF!</f>
        <v>#REF!</v>
      </c>
      <c r="AH152" t="e">
        <f>装备!#REF!</f>
        <v>#REF!</v>
      </c>
      <c r="AI152" t="e">
        <f t="shared" si="30"/>
        <v>#REF!</v>
      </c>
      <c r="AJ152" t="e">
        <f>装备!#REF!</f>
        <v>#REF!</v>
      </c>
      <c r="AK152" t="e">
        <f>装备!#REF!</f>
        <v>#REF!</v>
      </c>
      <c r="AL152" t="e">
        <f>装备!#REF!</f>
        <v>#REF!</v>
      </c>
      <c r="AM152" t="e">
        <f>装备!#REF!</f>
        <v>#REF!</v>
      </c>
      <c r="AN152" t="e">
        <f>装备!#REF!</f>
        <v>#REF!</v>
      </c>
      <c r="AO152" t="e">
        <f>装备!#REF!</f>
        <v>#REF!</v>
      </c>
      <c r="AP152" t="e">
        <f>装备!#REF!</f>
        <v>#REF!</v>
      </c>
      <c r="AQ152" t="e">
        <f>装备!#REF!</f>
        <v>#REF!</v>
      </c>
      <c r="AR152" t="e">
        <f>装备!#REF!</f>
        <v>#REF!</v>
      </c>
      <c r="AS152" t="e">
        <f>装备!#REF!</f>
        <v>#REF!</v>
      </c>
      <c r="AT152" t="e">
        <f t="shared" si="31"/>
        <v>#REF!</v>
      </c>
      <c r="AU152" t="e">
        <f>装备!#REF!</f>
        <v>#REF!</v>
      </c>
      <c r="AV152" t="e">
        <f>装备!#REF!</f>
        <v>#REF!</v>
      </c>
      <c r="AW152" t="e">
        <f>装备!#REF!</f>
        <v>#REF!</v>
      </c>
      <c r="AX152" t="e">
        <f>装备!#REF!</f>
        <v>#REF!</v>
      </c>
      <c r="AY152" t="e">
        <f>装备!#REF!</f>
        <v>#REF!</v>
      </c>
      <c r="AZ152" t="e">
        <f>装备!#REF!</f>
        <v>#REF!</v>
      </c>
      <c r="BA152" t="e">
        <f>装备!#REF!</f>
        <v>#REF!</v>
      </c>
      <c r="BB152" t="e">
        <f>装备!#REF!</f>
        <v>#REF!</v>
      </c>
      <c r="BC152" t="e">
        <f>装备!#REF!</f>
        <v>#REF!</v>
      </c>
      <c r="BD152" t="e">
        <f>装备!#REF!</f>
        <v>#REF!</v>
      </c>
      <c r="BE152" t="e">
        <f t="shared" si="32"/>
        <v>#REF!</v>
      </c>
      <c r="BF152" t="e">
        <f>装备!#REF!</f>
        <v>#REF!</v>
      </c>
      <c r="BG152" t="e">
        <f>装备!#REF!</f>
        <v>#REF!</v>
      </c>
      <c r="BH152" t="e">
        <f>装备!#REF!</f>
        <v>#REF!</v>
      </c>
      <c r="BI152" t="e">
        <f>装备!#REF!</f>
        <v>#REF!</v>
      </c>
      <c r="BJ152" t="e">
        <f>装备!#REF!</f>
        <v>#REF!</v>
      </c>
      <c r="BK152" t="e">
        <f>装备!#REF!</f>
        <v>#REF!</v>
      </c>
      <c r="BL152" t="e">
        <f>装备!#REF!</f>
        <v>#REF!</v>
      </c>
      <c r="BM152" t="e">
        <f>装备!#REF!</f>
        <v>#REF!</v>
      </c>
      <c r="BN152" t="e">
        <f>装备!#REF!</f>
        <v>#REF!</v>
      </c>
      <c r="BO152" t="e">
        <f>装备!#REF!</f>
        <v>#REF!</v>
      </c>
      <c r="BP152" t="e">
        <f t="shared" si="33"/>
        <v>#REF!</v>
      </c>
      <c r="BQ152" t="e">
        <f>装备!#REF!</f>
        <v>#REF!</v>
      </c>
      <c r="BR152" t="e">
        <f>装备!#REF!</f>
        <v>#REF!</v>
      </c>
      <c r="BS152" t="e">
        <f>装备!#REF!</f>
        <v>#REF!</v>
      </c>
      <c r="BT152" t="e">
        <f>装备!#REF!</f>
        <v>#REF!</v>
      </c>
      <c r="BU152" t="e">
        <f>装备!#REF!</f>
        <v>#REF!</v>
      </c>
      <c r="BV152" t="e">
        <f>装备!#REF!</f>
        <v>#REF!</v>
      </c>
      <c r="BW152" t="e">
        <f>装备!#REF!</f>
        <v>#REF!</v>
      </c>
      <c r="BX152" t="e">
        <f>装备!#REF!</f>
        <v>#REF!</v>
      </c>
      <c r="BY152" t="e">
        <f>装备!#REF!</f>
        <v>#REF!</v>
      </c>
      <c r="BZ152" t="e">
        <f>装备!#REF!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装备!#REF!</f>
        <v>#REF!</v>
      </c>
      <c r="B153" t="e">
        <f>装备!#REF!</f>
        <v>#REF!</v>
      </c>
      <c r="C153" t="e">
        <f>装备!#REF!</f>
        <v>#REF!</v>
      </c>
      <c r="D153" t="e">
        <f>装备!#REF!</f>
        <v>#REF!</v>
      </c>
      <c r="E153" t="e">
        <f>装备!#REF!</f>
        <v>#REF!</v>
      </c>
      <c r="F153" t="e">
        <f>装备!#REF!</f>
        <v>#REF!</v>
      </c>
      <c r="G153" t="e">
        <f>装备!#REF!</f>
        <v>#REF!</v>
      </c>
      <c r="H153" t="e">
        <f>装备!#REF!</f>
        <v>#REF!</v>
      </c>
      <c r="I153" t="e">
        <f>装备!#REF!</f>
        <v>#REF!</v>
      </c>
      <c r="J153" t="e">
        <f>装备!#REF!</f>
        <v>#REF!</v>
      </c>
      <c r="K153" t="e">
        <f>装备!#REF!</f>
        <v>#REF!</v>
      </c>
      <c r="L153" t="e">
        <f>装备!#REF!</f>
        <v>#REF!</v>
      </c>
      <c r="M153" t="e">
        <f t="shared" si="28"/>
        <v>#REF!</v>
      </c>
      <c r="N153" t="e">
        <f>装备!#REF!</f>
        <v>#REF!</v>
      </c>
      <c r="O153" t="e">
        <f>装备!#REF!</f>
        <v>#REF!</v>
      </c>
      <c r="P153" t="e">
        <f>装备!#REF!</f>
        <v>#REF!</v>
      </c>
      <c r="Q153" t="e">
        <f>装备!#REF!</f>
        <v>#REF!</v>
      </c>
      <c r="R153" t="e">
        <f>装备!#REF!</f>
        <v>#REF!</v>
      </c>
      <c r="S153" t="e">
        <f>装备!#REF!</f>
        <v>#REF!</v>
      </c>
      <c r="T153" t="e">
        <f>装备!#REF!</f>
        <v>#REF!</v>
      </c>
      <c r="U153" t="e">
        <f>装备!#REF!</f>
        <v>#REF!</v>
      </c>
      <c r="V153" t="e">
        <f>装备!#REF!</f>
        <v>#REF!</v>
      </c>
      <c r="W153" t="e">
        <f>装备!#REF!</f>
        <v>#REF!</v>
      </c>
      <c r="X153" t="e">
        <f t="shared" si="29"/>
        <v>#REF!</v>
      </c>
      <c r="Y153" t="e">
        <f>装备!#REF!</f>
        <v>#REF!</v>
      </c>
      <c r="Z153" t="e">
        <f>装备!#REF!</f>
        <v>#REF!</v>
      </c>
      <c r="AA153" t="e">
        <f>装备!#REF!</f>
        <v>#REF!</v>
      </c>
      <c r="AB153" t="e">
        <f>装备!#REF!</f>
        <v>#REF!</v>
      </c>
      <c r="AC153" t="e">
        <f>装备!#REF!</f>
        <v>#REF!</v>
      </c>
      <c r="AD153" t="e">
        <f>装备!#REF!</f>
        <v>#REF!</v>
      </c>
      <c r="AE153" t="e">
        <f>装备!#REF!</f>
        <v>#REF!</v>
      </c>
      <c r="AF153" t="e">
        <f>装备!#REF!</f>
        <v>#REF!</v>
      </c>
      <c r="AG153" t="e">
        <f>装备!#REF!</f>
        <v>#REF!</v>
      </c>
      <c r="AH153" t="e">
        <f>装备!#REF!</f>
        <v>#REF!</v>
      </c>
      <c r="AI153" t="e">
        <f t="shared" si="30"/>
        <v>#REF!</v>
      </c>
      <c r="AJ153" t="e">
        <f>装备!#REF!</f>
        <v>#REF!</v>
      </c>
      <c r="AK153" t="e">
        <f>装备!#REF!</f>
        <v>#REF!</v>
      </c>
      <c r="AL153" t="e">
        <f>装备!#REF!</f>
        <v>#REF!</v>
      </c>
      <c r="AM153" t="e">
        <f>装备!#REF!</f>
        <v>#REF!</v>
      </c>
      <c r="AN153" t="e">
        <f>装备!#REF!</f>
        <v>#REF!</v>
      </c>
      <c r="AO153" t="e">
        <f>装备!#REF!</f>
        <v>#REF!</v>
      </c>
      <c r="AP153" t="e">
        <f>装备!#REF!</f>
        <v>#REF!</v>
      </c>
      <c r="AQ153" t="e">
        <f>装备!#REF!</f>
        <v>#REF!</v>
      </c>
      <c r="AR153" t="e">
        <f>装备!#REF!</f>
        <v>#REF!</v>
      </c>
      <c r="AS153" t="e">
        <f>装备!#REF!</f>
        <v>#REF!</v>
      </c>
      <c r="AT153" t="e">
        <f t="shared" si="31"/>
        <v>#REF!</v>
      </c>
      <c r="AU153" t="e">
        <f>装备!#REF!</f>
        <v>#REF!</v>
      </c>
      <c r="AV153" t="e">
        <f>装备!#REF!</f>
        <v>#REF!</v>
      </c>
      <c r="AW153" t="e">
        <f>装备!#REF!</f>
        <v>#REF!</v>
      </c>
      <c r="AX153" t="e">
        <f>装备!#REF!</f>
        <v>#REF!</v>
      </c>
      <c r="AY153" t="e">
        <f>装备!#REF!</f>
        <v>#REF!</v>
      </c>
      <c r="AZ153" t="e">
        <f>装备!#REF!</f>
        <v>#REF!</v>
      </c>
      <c r="BA153" t="e">
        <f>装备!#REF!</f>
        <v>#REF!</v>
      </c>
      <c r="BB153" t="e">
        <f>装备!#REF!</f>
        <v>#REF!</v>
      </c>
      <c r="BC153" t="e">
        <f>装备!#REF!</f>
        <v>#REF!</v>
      </c>
      <c r="BD153" t="e">
        <f>装备!#REF!</f>
        <v>#REF!</v>
      </c>
      <c r="BE153" t="e">
        <f t="shared" si="32"/>
        <v>#REF!</v>
      </c>
      <c r="BF153" t="e">
        <f>装备!#REF!</f>
        <v>#REF!</v>
      </c>
      <c r="BG153" t="e">
        <f>装备!#REF!</f>
        <v>#REF!</v>
      </c>
      <c r="BH153" t="e">
        <f>装备!#REF!</f>
        <v>#REF!</v>
      </c>
      <c r="BI153" t="e">
        <f>装备!#REF!</f>
        <v>#REF!</v>
      </c>
      <c r="BJ153" t="e">
        <f>装备!#REF!</f>
        <v>#REF!</v>
      </c>
      <c r="BK153" t="e">
        <f>装备!#REF!</f>
        <v>#REF!</v>
      </c>
      <c r="BL153" t="e">
        <f>装备!#REF!</f>
        <v>#REF!</v>
      </c>
      <c r="BM153" t="e">
        <f>装备!#REF!</f>
        <v>#REF!</v>
      </c>
      <c r="BN153" t="e">
        <f>装备!#REF!</f>
        <v>#REF!</v>
      </c>
      <c r="BO153" t="e">
        <f>装备!#REF!</f>
        <v>#REF!</v>
      </c>
      <c r="BP153" t="e">
        <f t="shared" si="33"/>
        <v>#REF!</v>
      </c>
      <c r="BQ153" t="e">
        <f>装备!#REF!</f>
        <v>#REF!</v>
      </c>
      <c r="BR153" t="e">
        <f>装备!#REF!</f>
        <v>#REF!</v>
      </c>
      <c r="BS153" t="e">
        <f>装备!#REF!</f>
        <v>#REF!</v>
      </c>
      <c r="BT153" t="e">
        <f>装备!#REF!</f>
        <v>#REF!</v>
      </c>
      <c r="BU153" t="e">
        <f>装备!#REF!</f>
        <v>#REF!</v>
      </c>
      <c r="BV153" t="e">
        <f>装备!#REF!</f>
        <v>#REF!</v>
      </c>
      <c r="BW153" t="e">
        <f>装备!#REF!</f>
        <v>#REF!</v>
      </c>
      <c r="BX153" t="e">
        <f>装备!#REF!</f>
        <v>#REF!</v>
      </c>
      <c r="BY153" t="e">
        <f>装备!#REF!</f>
        <v>#REF!</v>
      </c>
      <c r="BZ153" t="e">
        <f>装备!#REF!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装备!#REF!</f>
        <v>#REF!</v>
      </c>
      <c r="B154" t="e">
        <f>装备!#REF!</f>
        <v>#REF!</v>
      </c>
      <c r="C154" t="e">
        <f>装备!#REF!</f>
        <v>#REF!</v>
      </c>
      <c r="D154" t="e">
        <f>装备!#REF!</f>
        <v>#REF!</v>
      </c>
      <c r="E154" t="e">
        <f>装备!#REF!</f>
        <v>#REF!</v>
      </c>
      <c r="F154" t="e">
        <f>装备!#REF!</f>
        <v>#REF!</v>
      </c>
      <c r="G154" t="e">
        <f>装备!#REF!</f>
        <v>#REF!</v>
      </c>
      <c r="H154" t="e">
        <f>装备!#REF!</f>
        <v>#REF!</v>
      </c>
      <c r="I154" t="e">
        <f>装备!#REF!</f>
        <v>#REF!</v>
      </c>
      <c r="J154" t="e">
        <f>装备!#REF!</f>
        <v>#REF!</v>
      </c>
      <c r="K154" t="e">
        <f>装备!#REF!</f>
        <v>#REF!</v>
      </c>
      <c r="L154" t="e">
        <f>装备!#REF!</f>
        <v>#REF!</v>
      </c>
      <c r="M154" t="e">
        <f t="shared" si="28"/>
        <v>#REF!</v>
      </c>
      <c r="N154" t="e">
        <f>装备!#REF!</f>
        <v>#REF!</v>
      </c>
      <c r="O154" t="e">
        <f>装备!#REF!</f>
        <v>#REF!</v>
      </c>
      <c r="P154" t="e">
        <f>装备!#REF!</f>
        <v>#REF!</v>
      </c>
      <c r="Q154" t="e">
        <f>装备!#REF!</f>
        <v>#REF!</v>
      </c>
      <c r="R154" t="e">
        <f>装备!#REF!</f>
        <v>#REF!</v>
      </c>
      <c r="S154" t="e">
        <f>装备!#REF!</f>
        <v>#REF!</v>
      </c>
      <c r="T154" t="e">
        <f>装备!#REF!</f>
        <v>#REF!</v>
      </c>
      <c r="U154" t="e">
        <f>装备!#REF!</f>
        <v>#REF!</v>
      </c>
      <c r="V154" t="e">
        <f>装备!#REF!</f>
        <v>#REF!</v>
      </c>
      <c r="W154" t="e">
        <f>装备!#REF!</f>
        <v>#REF!</v>
      </c>
      <c r="X154" t="e">
        <f t="shared" si="29"/>
        <v>#REF!</v>
      </c>
      <c r="Y154" t="e">
        <f>装备!#REF!</f>
        <v>#REF!</v>
      </c>
      <c r="Z154" t="e">
        <f>装备!#REF!</f>
        <v>#REF!</v>
      </c>
      <c r="AA154" t="e">
        <f>装备!#REF!</f>
        <v>#REF!</v>
      </c>
      <c r="AB154" t="e">
        <f>装备!#REF!</f>
        <v>#REF!</v>
      </c>
      <c r="AC154" t="e">
        <f>装备!#REF!</f>
        <v>#REF!</v>
      </c>
      <c r="AD154" t="e">
        <f>装备!#REF!</f>
        <v>#REF!</v>
      </c>
      <c r="AE154" t="e">
        <f>装备!#REF!</f>
        <v>#REF!</v>
      </c>
      <c r="AF154" t="e">
        <f>装备!#REF!</f>
        <v>#REF!</v>
      </c>
      <c r="AG154" t="e">
        <f>装备!#REF!</f>
        <v>#REF!</v>
      </c>
      <c r="AH154" t="e">
        <f>装备!#REF!</f>
        <v>#REF!</v>
      </c>
      <c r="AI154" t="e">
        <f t="shared" si="30"/>
        <v>#REF!</v>
      </c>
      <c r="AJ154" t="e">
        <f>装备!#REF!</f>
        <v>#REF!</v>
      </c>
      <c r="AK154" t="e">
        <f>装备!#REF!</f>
        <v>#REF!</v>
      </c>
      <c r="AL154" t="e">
        <f>装备!#REF!</f>
        <v>#REF!</v>
      </c>
      <c r="AM154" t="e">
        <f>装备!#REF!</f>
        <v>#REF!</v>
      </c>
      <c r="AN154" t="e">
        <f>装备!#REF!</f>
        <v>#REF!</v>
      </c>
      <c r="AO154" t="e">
        <f>装备!#REF!</f>
        <v>#REF!</v>
      </c>
      <c r="AP154" t="e">
        <f>装备!#REF!</f>
        <v>#REF!</v>
      </c>
      <c r="AQ154" t="e">
        <f>装备!#REF!</f>
        <v>#REF!</v>
      </c>
      <c r="AR154" t="e">
        <f>装备!#REF!</f>
        <v>#REF!</v>
      </c>
      <c r="AS154" t="e">
        <f>装备!#REF!</f>
        <v>#REF!</v>
      </c>
      <c r="AT154" t="e">
        <f t="shared" si="31"/>
        <v>#REF!</v>
      </c>
      <c r="AU154" t="e">
        <f>装备!#REF!</f>
        <v>#REF!</v>
      </c>
      <c r="AV154" t="e">
        <f>装备!#REF!</f>
        <v>#REF!</v>
      </c>
      <c r="AW154" t="e">
        <f>装备!#REF!</f>
        <v>#REF!</v>
      </c>
      <c r="AX154" t="e">
        <f>装备!#REF!</f>
        <v>#REF!</v>
      </c>
      <c r="AY154" t="e">
        <f>装备!#REF!</f>
        <v>#REF!</v>
      </c>
      <c r="AZ154" t="e">
        <f>装备!#REF!</f>
        <v>#REF!</v>
      </c>
      <c r="BA154" t="e">
        <f>装备!#REF!</f>
        <v>#REF!</v>
      </c>
      <c r="BB154" t="e">
        <f>装备!#REF!</f>
        <v>#REF!</v>
      </c>
      <c r="BC154" t="e">
        <f>装备!#REF!</f>
        <v>#REF!</v>
      </c>
      <c r="BD154" t="e">
        <f>装备!#REF!</f>
        <v>#REF!</v>
      </c>
      <c r="BE154" t="e">
        <f t="shared" si="32"/>
        <v>#REF!</v>
      </c>
      <c r="BF154" t="e">
        <f>装备!#REF!</f>
        <v>#REF!</v>
      </c>
      <c r="BG154" t="e">
        <f>装备!#REF!</f>
        <v>#REF!</v>
      </c>
      <c r="BH154" t="e">
        <f>装备!#REF!</f>
        <v>#REF!</v>
      </c>
      <c r="BI154" t="e">
        <f>装备!#REF!</f>
        <v>#REF!</v>
      </c>
      <c r="BJ154" t="e">
        <f>装备!#REF!</f>
        <v>#REF!</v>
      </c>
      <c r="BK154" t="e">
        <f>装备!#REF!</f>
        <v>#REF!</v>
      </c>
      <c r="BL154" t="e">
        <f>装备!#REF!</f>
        <v>#REF!</v>
      </c>
      <c r="BM154" t="e">
        <f>装备!#REF!</f>
        <v>#REF!</v>
      </c>
      <c r="BN154" t="e">
        <f>装备!#REF!</f>
        <v>#REF!</v>
      </c>
      <c r="BO154" t="e">
        <f>装备!#REF!</f>
        <v>#REF!</v>
      </c>
      <c r="BP154" t="e">
        <f t="shared" si="33"/>
        <v>#REF!</v>
      </c>
      <c r="BQ154" t="e">
        <f>装备!#REF!</f>
        <v>#REF!</v>
      </c>
      <c r="BR154" t="e">
        <f>装备!#REF!</f>
        <v>#REF!</v>
      </c>
      <c r="BS154" t="e">
        <f>装备!#REF!</f>
        <v>#REF!</v>
      </c>
      <c r="BT154" t="e">
        <f>装备!#REF!</f>
        <v>#REF!</v>
      </c>
      <c r="BU154" t="e">
        <f>装备!#REF!</f>
        <v>#REF!</v>
      </c>
      <c r="BV154" t="e">
        <f>装备!#REF!</f>
        <v>#REF!</v>
      </c>
      <c r="BW154" t="e">
        <f>装备!#REF!</f>
        <v>#REF!</v>
      </c>
      <c r="BX154" t="e">
        <f>装备!#REF!</f>
        <v>#REF!</v>
      </c>
      <c r="BY154" t="e">
        <f>装备!#REF!</f>
        <v>#REF!</v>
      </c>
      <c r="BZ154" t="e">
        <f>装备!#REF!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装备!#REF!</f>
        <v>#REF!</v>
      </c>
      <c r="B155" t="e">
        <f>装备!#REF!</f>
        <v>#REF!</v>
      </c>
      <c r="C155" t="e">
        <f>装备!#REF!</f>
        <v>#REF!</v>
      </c>
      <c r="D155" t="e">
        <f>装备!#REF!</f>
        <v>#REF!</v>
      </c>
      <c r="E155" t="e">
        <f>装备!#REF!</f>
        <v>#REF!</v>
      </c>
      <c r="F155" t="e">
        <f>装备!#REF!</f>
        <v>#REF!</v>
      </c>
      <c r="G155" t="e">
        <f>装备!#REF!</f>
        <v>#REF!</v>
      </c>
      <c r="H155" t="e">
        <f>装备!#REF!</f>
        <v>#REF!</v>
      </c>
      <c r="I155" t="e">
        <f>装备!#REF!</f>
        <v>#REF!</v>
      </c>
      <c r="J155" t="e">
        <f>装备!#REF!</f>
        <v>#REF!</v>
      </c>
      <c r="K155" t="e">
        <f>装备!#REF!</f>
        <v>#REF!</v>
      </c>
      <c r="L155" t="e">
        <f>装备!#REF!</f>
        <v>#REF!</v>
      </c>
      <c r="M155" t="e">
        <f t="shared" si="28"/>
        <v>#REF!</v>
      </c>
      <c r="N155" t="e">
        <f>装备!#REF!</f>
        <v>#REF!</v>
      </c>
      <c r="O155" t="e">
        <f>装备!#REF!</f>
        <v>#REF!</v>
      </c>
      <c r="P155" t="e">
        <f>装备!#REF!</f>
        <v>#REF!</v>
      </c>
      <c r="Q155" t="e">
        <f>装备!#REF!</f>
        <v>#REF!</v>
      </c>
      <c r="R155" t="e">
        <f>装备!#REF!</f>
        <v>#REF!</v>
      </c>
      <c r="S155" t="e">
        <f>装备!#REF!</f>
        <v>#REF!</v>
      </c>
      <c r="T155" t="e">
        <f>装备!#REF!</f>
        <v>#REF!</v>
      </c>
      <c r="U155" t="e">
        <f>装备!#REF!</f>
        <v>#REF!</v>
      </c>
      <c r="V155" t="e">
        <f>装备!#REF!</f>
        <v>#REF!</v>
      </c>
      <c r="W155" t="e">
        <f>装备!#REF!</f>
        <v>#REF!</v>
      </c>
      <c r="X155" t="e">
        <f t="shared" si="29"/>
        <v>#REF!</v>
      </c>
      <c r="Y155" t="e">
        <f>装备!#REF!</f>
        <v>#REF!</v>
      </c>
      <c r="Z155" t="e">
        <f>装备!#REF!</f>
        <v>#REF!</v>
      </c>
      <c r="AA155" t="e">
        <f>装备!#REF!</f>
        <v>#REF!</v>
      </c>
      <c r="AB155" t="e">
        <f>装备!#REF!</f>
        <v>#REF!</v>
      </c>
      <c r="AC155" t="e">
        <f>装备!#REF!</f>
        <v>#REF!</v>
      </c>
      <c r="AD155" t="e">
        <f>装备!#REF!</f>
        <v>#REF!</v>
      </c>
      <c r="AE155" t="e">
        <f>装备!#REF!</f>
        <v>#REF!</v>
      </c>
      <c r="AF155" t="e">
        <f>装备!#REF!</f>
        <v>#REF!</v>
      </c>
      <c r="AG155" t="e">
        <f>装备!#REF!</f>
        <v>#REF!</v>
      </c>
      <c r="AH155" t="e">
        <f>装备!#REF!</f>
        <v>#REF!</v>
      </c>
      <c r="AI155" t="e">
        <f t="shared" si="30"/>
        <v>#REF!</v>
      </c>
      <c r="AJ155" t="e">
        <f>装备!#REF!</f>
        <v>#REF!</v>
      </c>
      <c r="AK155" t="e">
        <f>装备!#REF!</f>
        <v>#REF!</v>
      </c>
      <c r="AL155" t="e">
        <f>装备!#REF!</f>
        <v>#REF!</v>
      </c>
      <c r="AM155" t="e">
        <f>装备!#REF!</f>
        <v>#REF!</v>
      </c>
      <c r="AN155" t="e">
        <f>装备!#REF!</f>
        <v>#REF!</v>
      </c>
      <c r="AO155" t="e">
        <f>装备!#REF!</f>
        <v>#REF!</v>
      </c>
      <c r="AP155" t="e">
        <f>装备!#REF!</f>
        <v>#REF!</v>
      </c>
      <c r="AQ155" t="e">
        <f>装备!#REF!</f>
        <v>#REF!</v>
      </c>
      <c r="AR155" t="e">
        <f>装备!#REF!</f>
        <v>#REF!</v>
      </c>
      <c r="AS155" t="e">
        <f>装备!#REF!</f>
        <v>#REF!</v>
      </c>
      <c r="AT155" t="e">
        <f t="shared" si="31"/>
        <v>#REF!</v>
      </c>
      <c r="AU155" t="e">
        <f>装备!#REF!</f>
        <v>#REF!</v>
      </c>
      <c r="AV155" t="e">
        <f>装备!#REF!</f>
        <v>#REF!</v>
      </c>
      <c r="AW155" t="e">
        <f>装备!#REF!</f>
        <v>#REF!</v>
      </c>
      <c r="AX155" t="e">
        <f>装备!#REF!</f>
        <v>#REF!</v>
      </c>
      <c r="AY155" t="e">
        <f>装备!#REF!</f>
        <v>#REF!</v>
      </c>
      <c r="AZ155" t="e">
        <f>装备!#REF!</f>
        <v>#REF!</v>
      </c>
      <c r="BA155" t="e">
        <f>装备!#REF!</f>
        <v>#REF!</v>
      </c>
      <c r="BB155" t="e">
        <f>装备!#REF!</f>
        <v>#REF!</v>
      </c>
      <c r="BC155" t="e">
        <f>装备!#REF!</f>
        <v>#REF!</v>
      </c>
      <c r="BD155" t="e">
        <f>装备!#REF!</f>
        <v>#REF!</v>
      </c>
      <c r="BE155" t="e">
        <f t="shared" si="32"/>
        <v>#REF!</v>
      </c>
      <c r="BF155" t="e">
        <f>装备!#REF!</f>
        <v>#REF!</v>
      </c>
      <c r="BG155" t="e">
        <f>装备!#REF!</f>
        <v>#REF!</v>
      </c>
      <c r="BH155" t="e">
        <f>装备!#REF!</f>
        <v>#REF!</v>
      </c>
      <c r="BI155" t="e">
        <f>装备!#REF!</f>
        <v>#REF!</v>
      </c>
      <c r="BJ155" t="e">
        <f>装备!#REF!</f>
        <v>#REF!</v>
      </c>
      <c r="BK155" t="e">
        <f>装备!#REF!</f>
        <v>#REF!</v>
      </c>
      <c r="BL155" t="e">
        <f>装备!#REF!</f>
        <v>#REF!</v>
      </c>
      <c r="BM155" t="e">
        <f>装备!#REF!</f>
        <v>#REF!</v>
      </c>
      <c r="BN155" t="e">
        <f>装备!#REF!</f>
        <v>#REF!</v>
      </c>
      <c r="BO155" t="e">
        <f>装备!#REF!</f>
        <v>#REF!</v>
      </c>
      <c r="BP155" t="e">
        <f t="shared" si="33"/>
        <v>#REF!</v>
      </c>
      <c r="BQ155" t="e">
        <f>装备!#REF!</f>
        <v>#REF!</v>
      </c>
      <c r="BR155" t="e">
        <f>装备!#REF!</f>
        <v>#REF!</v>
      </c>
      <c r="BS155" t="e">
        <f>装备!#REF!</f>
        <v>#REF!</v>
      </c>
      <c r="BT155" t="e">
        <f>装备!#REF!</f>
        <v>#REF!</v>
      </c>
      <c r="BU155" t="e">
        <f>装备!#REF!</f>
        <v>#REF!</v>
      </c>
      <c r="BV155" t="e">
        <f>装备!#REF!</f>
        <v>#REF!</v>
      </c>
      <c r="BW155" t="e">
        <f>装备!#REF!</f>
        <v>#REF!</v>
      </c>
      <c r="BX155" t="e">
        <f>装备!#REF!</f>
        <v>#REF!</v>
      </c>
      <c r="BY155" t="e">
        <f>装备!#REF!</f>
        <v>#REF!</v>
      </c>
      <c r="BZ155" t="e">
        <f>装备!#REF!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装备!#REF!</f>
        <v>#REF!</v>
      </c>
      <c r="B156" t="e">
        <f>装备!#REF!</f>
        <v>#REF!</v>
      </c>
      <c r="C156" t="e">
        <f>装备!#REF!</f>
        <v>#REF!</v>
      </c>
      <c r="D156" t="e">
        <f>装备!#REF!</f>
        <v>#REF!</v>
      </c>
      <c r="E156" t="e">
        <f>装备!#REF!</f>
        <v>#REF!</v>
      </c>
      <c r="F156" t="e">
        <f>装备!#REF!</f>
        <v>#REF!</v>
      </c>
      <c r="G156" t="e">
        <f>装备!#REF!</f>
        <v>#REF!</v>
      </c>
      <c r="H156" t="e">
        <f>装备!#REF!</f>
        <v>#REF!</v>
      </c>
      <c r="I156" t="e">
        <f>装备!#REF!</f>
        <v>#REF!</v>
      </c>
      <c r="J156" t="e">
        <f>装备!#REF!</f>
        <v>#REF!</v>
      </c>
      <c r="K156" t="e">
        <f>装备!#REF!</f>
        <v>#REF!</v>
      </c>
      <c r="L156" t="e">
        <f>装备!#REF!</f>
        <v>#REF!</v>
      </c>
      <c r="M156" t="e">
        <f t="shared" si="28"/>
        <v>#REF!</v>
      </c>
      <c r="N156" t="e">
        <f>装备!#REF!</f>
        <v>#REF!</v>
      </c>
      <c r="O156" t="e">
        <f>装备!#REF!</f>
        <v>#REF!</v>
      </c>
      <c r="P156" t="e">
        <f>装备!#REF!</f>
        <v>#REF!</v>
      </c>
      <c r="Q156" t="e">
        <f>装备!#REF!</f>
        <v>#REF!</v>
      </c>
      <c r="R156" t="e">
        <f>装备!#REF!</f>
        <v>#REF!</v>
      </c>
      <c r="S156" t="e">
        <f>装备!#REF!</f>
        <v>#REF!</v>
      </c>
      <c r="T156" t="e">
        <f>装备!#REF!</f>
        <v>#REF!</v>
      </c>
      <c r="U156" t="e">
        <f>装备!#REF!</f>
        <v>#REF!</v>
      </c>
      <c r="V156" t="e">
        <f>装备!#REF!</f>
        <v>#REF!</v>
      </c>
      <c r="W156" t="e">
        <f>装备!#REF!</f>
        <v>#REF!</v>
      </c>
      <c r="X156" t="e">
        <f t="shared" si="29"/>
        <v>#REF!</v>
      </c>
      <c r="Y156" t="e">
        <f>装备!#REF!</f>
        <v>#REF!</v>
      </c>
      <c r="Z156" t="e">
        <f>装备!#REF!</f>
        <v>#REF!</v>
      </c>
      <c r="AA156" t="e">
        <f>装备!#REF!</f>
        <v>#REF!</v>
      </c>
      <c r="AB156" t="e">
        <f>装备!#REF!</f>
        <v>#REF!</v>
      </c>
      <c r="AC156" t="e">
        <f>装备!#REF!</f>
        <v>#REF!</v>
      </c>
      <c r="AD156" t="e">
        <f>装备!#REF!</f>
        <v>#REF!</v>
      </c>
      <c r="AE156" t="e">
        <f>装备!#REF!</f>
        <v>#REF!</v>
      </c>
      <c r="AF156" t="e">
        <f>装备!#REF!</f>
        <v>#REF!</v>
      </c>
      <c r="AG156" t="e">
        <f>装备!#REF!</f>
        <v>#REF!</v>
      </c>
      <c r="AH156" t="e">
        <f>装备!#REF!</f>
        <v>#REF!</v>
      </c>
      <c r="AI156" t="e">
        <f t="shared" si="30"/>
        <v>#REF!</v>
      </c>
      <c r="AJ156" t="e">
        <f>装备!#REF!</f>
        <v>#REF!</v>
      </c>
      <c r="AK156" t="e">
        <f>装备!#REF!</f>
        <v>#REF!</v>
      </c>
      <c r="AL156" t="e">
        <f>装备!#REF!</f>
        <v>#REF!</v>
      </c>
      <c r="AM156" t="e">
        <f>装备!#REF!</f>
        <v>#REF!</v>
      </c>
      <c r="AN156" t="e">
        <f>装备!#REF!</f>
        <v>#REF!</v>
      </c>
      <c r="AO156" t="e">
        <f>装备!#REF!</f>
        <v>#REF!</v>
      </c>
      <c r="AP156" t="e">
        <f>装备!#REF!</f>
        <v>#REF!</v>
      </c>
      <c r="AQ156" t="e">
        <f>装备!#REF!</f>
        <v>#REF!</v>
      </c>
      <c r="AR156" t="e">
        <f>装备!#REF!</f>
        <v>#REF!</v>
      </c>
      <c r="AS156" t="e">
        <f>装备!#REF!</f>
        <v>#REF!</v>
      </c>
      <c r="AT156" t="e">
        <f t="shared" si="31"/>
        <v>#REF!</v>
      </c>
      <c r="AU156" t="e">
        <f>装备!#REF!</f>
        <v>#REF!</v>
      </c>
      <c r="AV156" t="e">
        <f>装备!#REF!</f>
        <v>#REF!</v>
      </c>
      <c r="AW156" t="e">
        <f>装备!#REF!</f>
        <v>#REF!</v>
      </c>
      <c r="AX156" t="e">
        <f>装备!#REF!</f>
        <v>#REF!</v>
      </c>
      <c r="AY156" t="e">
        <f>装备!#REF!</f>
        <v>#REF!</v>
      </c>
      <c r="AZ156" t="e">
        <f>装备!#REF!</f>
        <v>#REF!</v>
      </c>
      <c r="BA156" t="e">
        <f>装备!#REF!</f>
        <v>#REF!</v>
      </c>
      <c r="BB156" t="e">
        <f>装备!#REF!</f>
        <v>#REF!</v>
      </c>
      <c r="BC156" t="e">
        <f>装备!#REF!</f>
        <v>#REF!</v>
      </c>
      <c r="BD156" t="e">
        <f>装备!#REF!</f>
        <v>#REF!</v>
      </c>
      <c r="BE156" t="e">
        <f t="shared" si="32"/>
        <v>#REF!</v>
      </c>
      <c r="BF156" t="e">
        <f>装备!#REF!</f>
        <v>#REF!</v>
      </c>
      <c r="BG156" t="e">
        <f>装备!#REF!</f>
        <v>#REF!</v>
      </c>
      <c r="BH156" t="e">
        <f>装备!#REF!</f>
        <v>#REF!</v>
      </c>
      <c r="BI156" t="e">
        <f>装备!#REF!</f>
        <v>#REF!</v>
      </c>
      <c r="BJ156" t="e">
        <f>装备!#REF!</f>
        <v>#REF!</v>
      </c>
      <c r="BK156" t="e">
        <f>装备!#REF!</f>
        <v>#REF!</v>
      </c>
      <c r="BL156" t="e">
        <f>装备!#REF!</f>
        <v>#REF!</v>
      </c>
      <c r="BM156" t="e">
        <f>装备!#REF!</f>
        <v>#REF!</v>
      </c>
      <c r="BN156" t="e">
        <f>装备!#REF!</f>
        <v>#REF!</v>
      </c>
      <c r="BO156" t="e">
        <f>装备!#REF!</f>
        <v>#REF!</v>
      </c>
      <c r="BP156" t="e">
        <f t="shared" si="33"/>
        <v>#REF!</v>
      </c>
      <c r="BQ156" t="e">
        <f>装备!#REF!</f>
        <v>#REF!</v>
      </c>
      <c r="BR156" t="e">
        <f>装备!#REF!</f>
        <v>#REF!</v>
      </c>
      <c r="BS156" t="e">
        <f>装备!#REF!</f>
        <v>#REF!</v>
      </c>
      <c r="BT156" t="e">
        <f>装备!#REF!</f>
        <v>#REF!</v>
      </c>
      <c r="BU156" t="e">
        <f>装备!#REF!</f>
        <v>#REF!</v>
      </c>
      <c r="BV156" t="e">
        <f>装备!#REF!</f>
        <v>#REF!</v>
      </c>
      <c r="BW156" t="e">
        <f>装备!#REF!</f>
        <v>#REF!</v>
      </c>
      <c r="BX156" t="e">
        <f>装备!#REF!</f>
        <v>#REF!</v>
      </c>
      <c r="BY156" t="e">
        <f>装备!#REF!</f>
        <v>#REF!</v>
      </c>
      <c r="BZ156" t="e">
        <f>装备!#REF!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装备!#REF!</f>
        <v>#REF!</v>
      </c>
      <c r="B157" t="e">
        <f>装备!#REF!</f>
        <v>#REF!</v>
      </c>
      <c r="C157" t="e">
        <f>装备!#REF!</f>
        <v>#REF!</v>
      </c>
      <c r="D157" t="e">
        <f>装备!#REF!</f>
        <v>#REF!</v>
      </c>
      <c r="E157" t="e">
        <f>装备!#REF!</f>
        <v>#REF!</v>
      </c>
      <c r="F157" t="e">
        <f>装备!#REF!</f>
        <v>#REF!</v>
      </c>
      <c r="G157" t="e">
        <f>装备!#REF!</f>
        <v>#REF!</v>
      </c>
      <c r="H157" t="e">
        <f>装备!#REF!</f>
        <v>#REF!</v>
      </c>
      <c r="I157" t="e">
        <f>装备!#REF!</f>
        <v>#REF!</v>
      </c>
      <c r="J157" t="e">
        <f>装备!#REF!</f>
        <v>#REF!</v>
      </c>
      <c r="K157" t="e">
        <f>装备!#REF!</f>
        <v>#REF!</v>
      </c>
      <c r="L157" t="e">
        <f>装备!#REF!</f>
        <v>#REF!</v>
      </c>
      <c r="M157" t="e">
        <f t="shared" si="28"/>
        <v>#REF!</v>
      </c>
      <c r="N157" t="e">
        <f>装备!#REF!</f>
        <v>#REF!</v>
      </c>
      <c r="O157" t="e">
        <f>装备!#REF!</f>
        <v>#REF!</v>
      </c>
      <c r="P157" t="e">
        <f>装备!#REF!</f>
        <v>#REF!</v>
      </c>
      <c r="Q157" t="e">
        <f>装备!#REF!</f>
        <v>#REF!</v>
      </c>
      <c r="R157" t="e">
        <f>装备!#REF!</f>
        <v>#REF!</v>
      </c>
      <c r="S157" t="e">
        <f>装备!#REF!</f>
        <v>#REF!</v>
      </c>
      <c r="T157" t="e">
        <f>装备!#REF!</f>
        <v>#REF!</v>
      </c>
      <c r="U157" t="e">
        <f>装备!#REF!</f>
        <v>#REF!</v>
      </c>
      <c r="V157" t="e">
        <f>装备!#REF!</f>
        <v>#REF!</v>
      </c>
      <c r="W157" t="e">
        <f>装备!#REF!</f>
        <v>#REF!</v>
      </c>
      <c r="X157" t="e">
        <f t="shared" si="29"/>
        <v>#REF!</v>
      </c>
      <c r="Y157" t="e">
        <f>装备!#REF!</f>
        <v>#REF!</v>
      </c>
      <c r="Z157" t="e">
        <f>装备!#REF!</f>
        <v>#REF!</v>
      </c>
      <c r="AA157" t="e">
        <f>装备!#REF!</f>
        <v>#REF!</v>
      </c>
      <c r="AB157" t="e">
        <f>装备!#REF!</f>
        <v>#REF!</v>
      </c>
      <c r="AC157" t="e">
        <f>装备!#REF!</f>
        <v>#REF!</v>
      </c>
      <c r="AD157" t="e">
        <f>装备!#REF!</f>
        <v>#REF!</v>
      </c>
      <c r="AE157" t="e">
        <f>装备!#REF!</f>
        <v>#REF!</v>
      </c>
      <c r="AF157" t="e">
        <f>装备!#REF!</f>
        <v>#REF!</v>
      </c>
      <c r="AG157" t="e">
        <f>装备!#REF!</f>
        <v>#REF!</v>
      </c>
      <c r="AH157" t="e">
        <f>装备!#REF!</f>
        <v>#REF!</v>
      </c>
      <c r="AI157" t="e">
        <f t="shared" si="30"/>
        <v>#REF!</v>
      </c>
      <c r="AJ157" t="e">
        <f>装备!#REF!</f>
        <v>#REF!</v>
      </c>
      <c r="AK157" t="e">
        <f>装备!#REF!</f>
        <v>#REF!</v>
      </c>
      <c r="AL157" t="e">
        <f>装备!#REF!</f>
        <v>#REF!</v>
      </c>
      <c r="AM157" t="e">
        <f>装备!#REF!</f>
        <v>#REF!</v>
      </c>
      <c r="AN157" t="e">
        <f>装备!#REF!</f>
        <v>#REF!</v>
      </c>
      <c r="AO157" t="e">
        <f>装备!#REF!</f>
        <v>#REF!</v>
      </c>
      <c r="AP157" t="e">
        <f>装备!#REF!</f>
        <v>#REF!</v>
      </c>
      <c r="AQ157" t="e">
        <f>装备!#REF!</f>
        <v>#REF!</v>
      </c>
      <c r="AR157" t="e">
        <f>装备!#REF!</f>
        <v>#REF!</v>
      </c>
      <c r="AS157" t="e">
        <f>装备!#REF!</f>
        <v>#REF!</v>
      </c>
      <c r="AT157" t="e">
        <f t="shared" si="31"/>
        <v>#REF!</v>
      </c>
      <c r="AU157" t="e">
        <f>装备!#REF!</f>
        <v>#REF!</v>
      </c>
      <c r="AV157" t="e">
        <f>装备!#REF!</f>
        <v>#REF!</v>
      </c>
      <c r="AW157" t="e">
        <f>装备!#REF!</f>
        <v>#REF!</v>
      </c>
      <c r="AX157" t="e">
        <f>装备!#REF!</f>
        <v>#REF!</v>
      </c>
      <c r="AY157" t="e">
        <f>装备!#REF!</f>
        <v>#REF!</v>
      </c>
      <c r="AZ157" t="e">
        <f>装备!#REF!</f>
        <v>#REF!</v>
      </c>
      <c r="BA157" t="e">
        <f>装备!#REF!</f>
        <v>#REF!</v>
      </c>
      <c r="BB157" t="e">
        <f>装备!#REF!</f>
        <v>#REF!</v>
      </c>
      <c r="BC157" t="e">
        <f>装备!#REF!</f>
        <v>#REF!</v>
      </c>
      <c r="BD157" t="e">
        <f>装备!#REF!</f>
        <v>#REF!</v>
      </c>
      <c r="BE157" t="e">
        <f t="shared" si="32"/>
        <v>#REF!</v>
      </c>
      <c r="BF157" t="e">
        <f>装备!#REF!</f>
        <v>#REF!</v>
      </c>
      <c r="BG157" t="e">
        <f>装备!#REF!</f>
        <v>#REF!</v>
      </c>
      <c r="BH157" t="e">
        <f>装备!#REF!</f>
        <v>#REF!</v>
      </c>
      <c r="BI157" t="e">
        <f>装备!#REF!</f>
        <v>#REF!</v>
      </c>
      <c r="BJ157" t="e">
        <f>装备!#REF!</f>
        <v>#REF!</v>
      </c>
      <c r="BK157" t="e">
        <f>装备!#REF!</f>
        <v>#REF!</v>
      </c>
      <c r="BL157" t="e">
        <f>装备!#REF!</f>
        <v>#REF!</v>
      </c>
      <c r="BM157" t="e">
        <f>装备!#REF!</f>
        <v>#REF!</v>
      </c>
      <c r="BN157" t="e">
        <f>装备!#REF!</f>
        <v>#REF!</v>
      </c>
      <c r="BO157" t="e">
        <f>装备!#REF!</f>
        <v>#REF!</v>
      </c>
      <c r="BP157" t="e">
        <f t="shared" si="33"/>
        <v>#REF!</v>
      </c>
      <c r="BQ157" t="e">
        <f>装备!#REF!</f>
        <v>#REF!</v>
      </c>
      <c r="BR157" t="e">
        <f>装备!#REF!</f>
        <v>#REF!</v>
      </c>
      <c r="BS157" t="e">
        <f>装备!#REF!</f>
        <v>#REF!</v>
      </c>
      <c r="BT157" t="e">
        <f>装备!#REF!</f>
        <v>#REF!</v>
      </c>
      <c r="BU157" t="e">
        <f>装备!#REF!</f>
        <v>#REF!</v>
      </c>
      <c r="BV157" t="e">
        <f>装备!#REF!</f>
        <v>#REF!</v>
      </c>
      <c r="BW157" t="e">
        <f>装备!#REF!</f>
        <v>#REF!</v>
      </c>
      <c r="BX157" t="e">
        <f>装备!#REF!</f>
        <v>#REF!</v>
      </c>
      <c r="BY157" t="e">
        <f>装备!#REF!</f>
        <v>#REF!</v>
      </c>
      <c r="BZ157" t="e">
        <f>装备!#REF!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装备!#REF!</f>
        <v>#REF!</v>
      </c>
      <c r="B158" t="e">
        <f>装备!#REF!</f>
        <v>#REF!</v>
      </c>
      <c r="C158" t="e">
        <f>装备!#REF!</f>
        <v>#REF!</v>
      </c>
      <c r="D158" t="e">
        <f>装备!#REF!</f>
        <v>#REF!</v>
      </c>
      <c r="E158" t="e">
        <f>装备!#REF!</f>
        <v>#REF!</v>
      </c>
      <c r="F158" t="e">
        <f>装备!#REF!</f>
        <v>#REF!</v>
      </c>
      <c r="G158" t="e">
        <f>装备!#REF!</f>
        <v>#REF!</v>
      </c>
      <c r="H158" t="e">
        <f>装备!#REF!</f>
        <v>#REF!</v>
      </c>
      <c r="I158" t="e">
        <f>装备!#REF!</f>
        <v>#REF!</v>
      </c>
      <c r="J158" t="e">
        <f>装备!#REF!</f>
        <v>#REF!</v>
      </c>
      <c r="K158" t="e">
        <f>装备!#REF!</f>
        <v>#REF!</v>
      </c>
      <c r="L158" t="e">
        <f>装备!#REF!</f>
        <v>#REF!</v>
      </c>
      <c r="M158" t="e">
        <f t="shared" si="28"/>
        <v>#REF!</v>
      </c>
      <c r="N158" t="e">
        <f>装备!#REF!</f>
        <v>#REF!</v>
      </c>
      <c r="O158" t="e">
        <f>装备!#REF!</f>
        <v>#REF!</v>
      </c>
      <c r="P158" t="e">
        <f>装备!#REF!</f>
        <v>#REF!</v>
      </c>
      <c r="Q158" t="e">
        <f>装备!#REF!</f>
        <v>#REF!</v>
      </c>
      <c r="R158" t="e">
        <f>装备!#REF!</f>
        <v>#REF!</v>
      </c>
      <c r="S158" t="e">
        <f>装备!#REF!</f>
        <v>#REF!</v>
      </c>
      <c r="T158" t="e">
        <f>装备!#REF!</f>
        <v>#REF!</v>
      </c>
      <c r="U158" t="e">
        <f>装备!#REF!</f>
        <v>#REF!</v>
      </c>
      <c r="V158" t="e">
        <f>装备!#REF!</f>
        <v>#REF!</v>
      </c>
      <c r="W158" t="e">
        <f>装备!#REF!</f>
        <v>#REF!</v>
      </c>
      <c r="X158" t="e">
        <f t="shared" si="29"/>
        <v>#REF!</v>
      </c>
      <c r="Y158" t="e">
        <f>装备!#REF!</f>
        <v>#REF!</v>
      </c>
      <c r="Z158" t="e">
        <f>装备!#REF!</f>
        <v>#REF!</v>
      </c>
      <c r="AA158" t="e">
        <f>装备!#REF!</f>
        <v>#REF!</v>
      </c>
      <c r="AB158" t="e">
        <f>装备!#REF!</f>
        <v>#REF!</v>
      </c>
      <c r="AC158" t="e">
        <f>装备!#REF!</f>
        <v>#REF!</v>
      </c>
      <c r="AD158" t="e">
        <f>装备!#REF!</f>
        <v>#REF!</v>
      </c>
      <c r="AE158" t="e">
        <f>装备!#REF!</f>
        <v>#REF!</v>
      </c>
      <c r="AF158" t="e">
        <f>装备!#REF!</f>
        <v>#REF!</v>
      </c>
      <c r="AG158" t="e">
        <f>装备!#REF!</f>
        <v>#REF!</v>
      </c>
      <c r="AH158" t="e">
        <f>装备!#REF!</f>
        <v>#REF!</v>
      </c>
      <c r="AI158" t="e">
        <f t="shared" si="30"/>
        <v>#REF!</v>
      </c>
      <c r="AJ158" t="e">
        <f>装备!#REF!</f>
        <v>#REF!</v>
      </c>
      <c r="AK158" t="e">
        <f>装备!#REF!</f>
        <v>#REF!</v>
      </c>
      <c r="AL158" t="e">
        <f>装备!#REF!</f>
        <v>#REF!</v>
      </c>
      <c r="AM158" t="e">
        <f>装备!#REF!</f>
        <v>#REF!</v>
      </c>
      <c r="AN158" t="e">
        <f>装备!#REF!</f>
        <v>#REF!</v>
      </c>
      <c r="AO158" t="e">
        <f>装备!#REF!</f>
        <v>#REF!</v>
      </c>
      <c r="AP158" t="e">
        <f>装备!#REF!</f>
        <v>#REF!</v>
      </c>
      <c r="AQ158" t="e">
        <f>装备!#REF!</f>
        <v>#REF!</v>
      </c>
      <c r="AR158" t="e">
        <f>装备!#REF!</f>
        <v>#REF!</v>
      </c>
      <c r="AS158" t="e">
        <f>装备!#REF!</f>
        <v>#REF!</v>
      </c>
      <c r="AT158" t="e">
        <f t="shared" si="31"/>
        <v>#REF!</v>
      </c>
      <c r="AU158" t="e">
        <f>装备!#REF!</f>
        <v>#REF!</v>
      </c>
      <c r="AV158" t="e">
        <f>装备!#REF!</f>
        <v>#REF!</v>
      </c>
      <c r="AW158" t="e">
        <f>装备!#REF!</f>
        <v>#REF!</v>
      </c>
      <c r="AX158" t="e">
        <f>装备!#REF!</f>
        <v>#REF!</v>
      </c>
      <c r="AY158" t="e">
        <f>装备!#REF!</f>
        <v>#REF!</v>
      </c>
      <c r="AZ158" t="e">
        <f>装备!#REF!</f>
        <v>#REF!</v>
      </c>
      <c r="BA158" t="e">
        <f>装备!#REF!</f>
        <v>#REF!</v>
      </c>
      <c r="BB158" t="e">
        <f>装备!#REF!</f>
        <v>#REF!</v>
      </c>
      <c r="BC158" t="e">
        <f>装备!#REF!</f>
        <v>#REF!</v>
      </c>
      <c r="BD158" t="e">
        <f>装备!#REF!</f>
        <v>#REF!</v>
      </c>
      <c r="BE158" t="e">
        <f t="shared" si="32"/>
        <v>#REF!</v>
      </c>
      <c r="BF158" t="e">
        <f>装备!#REF!</f>
        <v>#REF!</v>
      </c>
      <c r="BG158" t="e">
        <f>装备!#REF!</f>
        <v>#REF!</v>
      </c>
      <c r="BH158" t="e">
        <f>装备!#REF!</f>
        <v>#REF!</v>
      </c>
      <c r="BI158" t="e">
        <f>装备!#REF!</f>
        <v>#REF!</v>
      </c>
      <c r="BJ158" t="e">
        <f>装备!#REF!</f>
        <v>#REF!</v>
      </c>
      <c r="BK158" t="e">
        <f>装备!#REF!</f>
        <v>#REF!</v>
      </c>
      <c r="BL158" t="e">
        <f>装备!#REF!</f>
        <v>#REF!</v>
      </c>
      <c r="BM158" t="e">
        <f>装备!#REF!</f>
        <v>#REF!</v>
      </c>
      <c r="BN158" t="e">
        <f>装备!#REF!</f>
        <v>#REF!</v>
      </c>
      <c r="BO158" t="e">
        <f>装备!#REF!</f>
        <v>#REF!</v>
      </c>
      <c r="BP158" t="e">
        <f t="shared" si="33"/>
        <v>#REF!</v>
      </c>
      <c r="BQ158" t="e">
        <f>装备!#REF!</f>
        <v>#REF!</v>
      </c>
      <c r="BR158" t="e">
        <f>装备!#REF!</f>
        <v>#REF!</v>
      </c>
      <c r="BS158" t="e">
        <f>装备!#REF!</f>
        <v>#REF!</v>
      </c>
      <c r="BT158" t="e">
        <f>装备!#REF!</f>
        <v>#REF!</v>
      </c>
      <c r="BU158" t="e">
        <f>装备!#REF!</f>
        <v>#REF!</v>
      </c>
      <c r="BV158" t="e">
        <f>装备!#REF!</f>
        <v>#REF!</v>
      </c>
      <c r="BW158" t="e">
        <f>装备!#REF!</f>
        <v>#REF!</v>
      </c>
      <c r="BX158" t="e">
        <f>装备!#REF!</f>
        <v>#REF!</v>
      </c>
      <c r="BY158" t="e">
        <f>装备!#REF!</f>
        <v>#REF!</v>
      </c>
      <c r="BZ158" t="e">
        <f>装备!#REF!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装备!#REF!</f>
        <v>#REF!</v>
      </c>
      <c r="B159" t="e">
        <f>装备!#REF!</f>
        <v>#REF!</v>
      </c>
      <c r="C159" t="e">
        <f>装备!#REF!</f>
        <v>#REF!</v>
      </c>
      <c r="D159" t="e">
        <f>装备!#REF!</f>
        <v>#REF!</v>
      </c>
      <c r="E159" t="e">
        <f>装备!#REF!</f>
        <v>#REF!</v>
      </c>
      <c r="F159" t="e">
        <f>装备!#REF!</f>
        <v>#REF!</v>
      </c>
      <c r="G159" t="e">
        <f>装备!#REF!</f>
        <v>#REF!</v>
      </c>
      <c r="H159" t="e">
        <f>装备!#REF!</f>
        <v>#REF!</v>
      </c>
      <c r="I159" t="e">
        <f>装备!#REF!</f>
        <v>#REF!</v>
      </c>
      <c r="J159" t="e">
        <f>装备!#REF!</f>
        <v>#REF!</v>
      </c>
      <c r="K159" t="e">
        <f>装备!#REF!</f>
        <v>#REF!</v>
      </c>
      <c r="L159" t="e">
        <f>装备!#REF!</f>
        <v>#REF!</v>
      </c>
      <c r="M159" t="e">
        <f t="shared" si="28"/>
        <v>#REF!</v>
      </c>
      <c r="N159" t="e">
        <f>装备!#REF!</f>
        <v>#REF!</v>
      </c>
      <c r="O159" t="e">
        <f>装备!#REF!</f>
        <v>#REF!</v>
      </c>
      <c r="P159" t="e">
        <f>装备!#REF!</f>
        <v>#REF!</v>
      </c>
      <c r="Q159" t="e">
        <f>装备!#REF!</f>
        <v>#REF!</v>
      </c>
      <c r="R159" t="e">
        <f>装备!#REF!</f>
        <v>#REF!</v>
      </c>
      <c r="S159" t="e">
        <f>装备!#REF!</f>
        <v>#REF!</v>
      </c>
      <c r="T159" t="e">
        <f>装备!#REF!</f>
        <v>#REF!</v>
      </c>
      <c r="U159" t="e">
        <f>装备!#REF!</f>
        <v>#REF!</v>
      </c>
      <c r="V159" t="e">
        <f>装备!#REF!</f>
        <v>#REF!</v>
      </c>
      <c r="W159" t="e">
        <f>装备!#REF!</f>
        <v>#REF!</v>
      </c>
      <c r="X159" t="e">
        <f t="shared" si="29"/>
        <v>#REF!</v>
      </c>
      <c r="Y159" t="e">
        <f>装备!#REF!</f>
        <v>#REF!</v>
      </c>
      <c r="Z159" t="e">
        <f>装备!#REF!</f>
        <v>#REF!</v>
      </c>
      <c r="AA159" t="e">
        <f>装备!#REF!</f>
        <v>#REF!</v>
      </c>
      <c r="AB159" t="e">
        <f>装备!#REF!</f>
        <v>#REF!</v>
      </c>
      <c r="AC159" t="e">
        <f>装备!#REF!</f>
        <v>#REF!</v>
      </c>
      <c r="AD159" t="e">
        <f>装备!#REF!</f>
        <v>#REF!</v>
      </c>
      <c r="AE159" t="e">
        <f>装备!#REF!</f>
        <v>#REF!</v>
      </c>
      <c r="AF159" t="e">
        <f>装备!#REF!</f>
        <v>#REF!</v>
      </c>
      <c r="AG159" t="e">
        <f>装备!#REF!</f>
        <v>#REF!</v>
      </c>
      <c r="AH159" t="e">
        <f>装备!#REF!</f>
        <v>#REF!</v>
      </c>
      <c r="AI159" t="e">
        <f t="shared" si="30"/>
        <v>#REF!</v>
      </c>
      <c r="AJ159" t="e">
        <f>装备!#REF!</f>
        <v>#REF!</v>
      </c>
      <c r="AK159" t="e">
        <f>装备!#REF!</f>
        <v>#REF!</v>
      </c>
      <c r="AL159" t="e">
        <f>装备!#REF!</f>
        <v>#REF!</v>
      </c>
      <c r="AM159" t="e">
        <f>装备!#REF!</f>
        <v>#REF!</v>
      </c>
      <c r="AN159" t="e">
        <f>装备!#REF!</f>
        <v>#REF!</v>
      </c>
      <c r="AO159" t="e">
        <f>装备!#REF!</f>
        <v>#REF!</v>
      </c>
      <c r="AP159" t="e">
        <f>装备!#REF!</f>
        <v>#REF!</v>
      </c>
      <c r="AQ159" t="e">
        <f>装备!#REF!</f>
        <v>#REF!</v>
      </c>
      <c r="AR159" t="e">
        <f>装备!#REF!</f>
        <v>#REF!</v>
      </c>
      <c r="AS159" t="e">
        <f>装备!#REF!</f>
        <v>#REF!</v>
      </c>
      <c r="AT159" t="e">
        <f t="shared" si="31"/>
        <v>#REF!</v>
      </c>
      <c r="AU159" t="e">
        <f>装备!#REF!</f>
        <v>#REF!</v>
      </c>
      <c r="AV159" t="e">
        <f>装备!#REF!</f>
        <v>#REF!</v>
      </c>
      <c r="AW159" t="e">
        <f>装备!#REF!</f>
        <v>#REF!</v>
      </c>
      <c r="AX159" t="e">
        <f>装备!#REF!</f>
        <v>#REF!</v>
      </c>
      <c r="AY159" t="e">
        <f>装备!#REF!</f>
        <v>#REF!</v>
      </c>
      <c r="AZ159" t="e">
        <f>装备!#REF!</f>
        <v>#REF!</v>
      </c>
      <c r="BA159" t="e">
        <f>装备!#REF!</f>
        <v>#REF!</v>
      </c>
      <c r="BB159" t="e">
        <f>装备!#REF!</f>
        <v>#REF!</v>
      </c>
      <c r="BC159" t="e">
        <f>装备!#REF!</f>
        <v>#REF!</v>
      </c>
      <c r="BD159" t="e">
        <f>装备!#REF!</f>
        <v>#REF!</v>
      </c>
      <c r="BE159" t="e">
        <f t="shared" si="32"/>
        <v>#REF!</v>
      </c>
      <c r="BF159" t="e">
        <f>装备!#REF!</f>
        <v>#REF!</v>
      </c>
      <c r="BG159" t="e">
        <f>装备!#REF!</f>
        <v>#REF!</v>
      </c>
      <c r="BH159" t="e">
        <f>装备!#REF!</f>
        <v>#REF!</v>
      </c>
      <c r="BI159" t="e">
        <f>装备!#REF!</f>
        <v>#REF!</v>
      </c>
      <c r="BJ159" t="e">
        <f>装备!#REF!</f>
        <v>#REF!</v>
      </c>
      <c r="BK159" t="e">
        <f>装备!#REF!</f>
        <v>#REF!</v>
      </c>
      <c r="BL159" t="e">
        <f>装备!#REF!</f>
        <v>#REF!</v>
      </c>
      <c r="BM159" t="e">
        <f>装备!#REF!</f>
        <v>#REF!</v>
      </c>
      <c r="BN159" t="e">
        <f>装备!#REF!</f>
        <v>#REF!</v>
      </c>
      <c r="BO159" t="e">
        <f>装备!#REF!</f>
        <v>#REF!</v>
      </c>
      <c r="BP159" t="e">
        <f t="shared" si="33"/>
        <v>#REF!</v>
      </c>
      <c r="BQ159" t="e">
        <f>装备!#REF!</f>
        <v>#REF!</v>
      </c>
      <c r="BR159" t="e">
        <f>装备!#REF!</f>
        <v>#REF!</v>
      </c>
      <c r="BS159" t="e">
        <f>装备!#REF!</f>
        <v>#REF!</v>
      </c>
      <c r="BT159" t="e">
        <f>装备!#REF!</f>
        <v>#REF!</v>
      </c>
      <c r="BU159" t="e">
        <f>装备!#REF!</f>
        <v>#REF!</v>
      </c>
      <c r="BV159" t="e">
        <f>装备!#REF!</f>
        <v>#REF!</v>
      </c>
      <c r="BW159" t="e">
        <f>装备!#REF!</f>
        <v>#REF!</v>
      </c>
      <c r="BX159" t="e">
        <f>装备!#REF!</f>
        <v>#REF!</v>
      </c>
      <c r="BY159" t="e">
        <f>装备!#REF!</f>
        <v>#REF!</v>
      </c>
      <c r="BZ159" t="e">
        <f>装备!#REF!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装备!#REF!</f>
        <v>#REF!</v>
      </c>
      <c r="B160" t="e">
        <f>装备!#REF!</f>
        <v>#REF!</v>
      </c>
      <c r="C160" t="e">
        <f>装备!#REF!</f>
        <v>#REF!</v>
      </c>
      <c r="D160" t="e">
        <f>装备!#REF!</f>
        <v>#REF!</v>
      </c>
      <c r="E160" t="e">
        <f>装备!#REF!</f>
        <v>#REF!</v>
      </c>
      <c r="F160" t="e">
        <f>装备!#REF!</f>
        <v>#REF!</v>
      </c>
      <c r="G160" t="e">
        <f>装备!#REF!</f>
        <v>#REF!</v>
      </c>
      <c r="H160" t="e">
        <f>装备!#REF!</f>
        <v>#REF!</v>
      </c>
      <c r="I160" t="e">
        <f>装备!#REF!</f>
        <v>#REF!</v>
      </c>
      <c r="J160" t="e">
        <f>装备!#REF!</f>
        <v>#REF!</v>
      </c>
      <c r="K160" t="e">
        <f>装备!#REF!</f>
        <v>#REF!</v>
      </c>
      <c r="L160" t="e">
        <f>装备!#REF!</f>
        <v>#REF!</v>
      </c>
      <c r="M160" t="e">
        <f t="shared" si="28"/>
        <v>#REF!</v>
      </c>
      <c r="N160" t="e">
        <f>装备!#REF!</f>
        <v>#REF!</v>
      </c>
      <c r="O160" t="e">
        <f>装备!#REF!</f>
        <v>#REF!</v>
      </c>
      <c r="P160" t="e">
        <f>装备!#REF!</f>
        <v>#REF!</v>
      </c>
      <c r="Q160" t="e">
        <f>装备!#REF!</f>
        <v>#REF!</v>
      </c>
      <c r="R160" t="e">
        <f>装备!#REF!</f>
        <v>#REF!</v>
      </c>
      <c r="S160" t="e">
        <f>装备!#REF!</f>
        <v>#REF!</v>
      </c>
      <c r="T160" t="e">
        <f>装备!#REF!</f>
        <v>#REF!</v>
      </c>
      <c r="U160" t="e">
        <f>装备!#REF!</f>
        <v>#REF!</v>
      </c>
      <c r="V160" t="e">
        <f>装备!#REF!</f>
        <v>#REF!</v>
      </c>
      <c r="W160" t="e">
        <f>装备!#REF!</f>
        <v>#REF!</v>
      </c>
      <c r="X160" t="e">
        <f t="shared" si="29"/>
        <v>#REF!</v>
      </c>
      <c r="Y160" t="e">
        <f>装备!#REF!</f>
        <v>#REF!</v>
      </c>
      <c r="Z160" t="e">
        <f>装备!#REF!</f>
        <v>#REF!</v>
      </c>
      <c r="AA160" t="e">
        <f>装备!#REF!</f>
        <v>#REF!</v>
      </c>
      <c r="AB160" t="e">
        <f>装备!#REF!</f>
        <v>#REF!</v>
      </c>
      <c r="AC160" t="e">
        <f>装备!#REF!</f>
        <v>#REF!</v>
      </c>
      <c r="AD160" t="e">
        <f>装备!#REF!</f>
        <v>#REF!</v>
      </c>
      <c r="AE160" t="e">
        <f>装备!#REF!</f>
        <v>#REF!</v>
      </c>
      <c r="AF160" t="e">
        <f>装备!#REF!</f>
        <v>#REF!</v>
      </c>
      <c r="AG160" t="e">
        <f>装备!#REF!</f>
        <v>#REF!</v>
      </c>
      <c r="AH160" t="e">
        <f>装备!#REF!</f>
        <v>#REF!</v>
      </c>
      <c r="AI160" t="e">
        <f t="shared" si="30"/>
        <v>#REF!</v>
      </c>
      <c r="AJ160" t="e">
        <f>装备!#REF!</f>
        <v>#REF!</v>
      </c>
      <c r="AK160" t="e">
        <f>装备!#REF!</f>
        <v>#REF!</v>
      </c>
      <c r="AL160" t="e">
        <f>装备!#REF!</f>
        <v>#REF!</v>
      </c>
      <c r="AM160" t="e">
        <f>装备!#REF!</f>
        <v>#REF!</v>
      </c>
      <c r="AN160" t="e">
        <f>装备!#REF!</f>
        <v>#REF!</v>
      </c>
      <c r="AO160" t="e">
        <f>装备!#REF!</f>
        <v>#REF!</v>
      </c>
      <c r="AP160" t="e">
        <f>装备!#REF!</f>
        <v>#REF!</v>
      </c>
      <c r="AQ160" t="e">
        <f>装备!#REF!</f>
        <v>#REF!</v>
      </c>
      <c r="AR160" t="e">
        <f>装备!#REF!</f>
        <v>#REF!</v>
      </c>
      <c r="AS160" t="e">
        <f>装备!#REF!</f>
        <v>#REF!</v>
      </c>
      <c r="AT160" t="e">
        <f t="shared" si="31"/>
        <v>#REF!</v>
      </c>
      <c r="AU160" t="e">
        <f>装备!#REF!</f>
        <v>#REF!</v>
      </c>
      <c r="AV160" t="e">
        <f>装备!#REF!</f>
        <v>#REF!</v>
      </c>
      <c r="AW160" t="e">
        <f>装备!#REF!</f>
        <v>#REF!</v>
      </c>
      <c r="AX160" t="e">
        <f>装备!#REF!</f>
        <v>#REF!</v>
      </c>
      <c r="AY160" t="e">
        <f>装备!#REF!</f>
        <v>#REF!</v>
      </c>
      <c r="AZ160" t="e">
        <f>装备!#REF!</f>
        <v>#REF!</v>
      </c>
      <c r="BA160" t="e">
        <f>装备!#REF!</f>
        <v>#REF!</v>
      </c>
      <c r="BB160" t="e">
        <f>装备!#REF!</f>
        <v>#REF!</v>
      </c>
      <c r="BC160" t="e">
        <f>装备!#REF!</f>
        <v>#REF!</v>
      </c>
      <c r="BD160" t="e">
        <f>装备!#REF!</f>
        <v>#REF!</v>
      </c>
      <c r="BE160" t="e">
        <f t="shared" si="32"/>
        <v>#REF!</v>
      </c>
      <c r="BF160" t="e">
        <f>装备!#REF!</f>
        <v>#REF!</v>
      </c>
      <c r="BG160" t="e">
        <f>装备!#REF!</f>
        <v>#REF!</v>
      </c>
      <c r="BH160" t="e">
        <f>装备!#REF!</f>
        <v>#REF!</v>
      </c>
      <c r="BI160" t="e">
        <f>装备!#REF!</f>
        <v>#REF!</v>
      </c>
      <c r="BJ160" t="e">
        <f>装备!#REF!</f>
        <v>#REF!</v>
      </c>
      <c r="BK160" t="e">
        <f>装备!#REF!</f>
        <v>#REF!</v>
      </c>
      <c r="BL160" t="e">
        <f>装备!#REF!</f>
        <v>#REF!</v>
      </c>
      <c r="BM160" t="e">
        <f>装备!#REF!</f>
        <v>#REF!</v>
      </c>
      <c r="BN160" t="e">
        <f>装备!#REF!</f>
        <v>#REF!</v>
      </c>
      <c r="BO160" t="e">
        <f>装备!#REF!</f>
        <v>#REF!</v>
      </c>
      <c r="BP160" t="e">
        <f t="shared" si="33"/>
        <v>#REF!</v>
      </c>
      <c r="BQ160" t="e">
        <f>装备!#REF!</f>
        <v>#REF!</v>
      </c>
      <c r="BR160" t="e">
        <f>装备!#REF!</f>
        <v>#REF!</v>
      </c>
      <c r="BS160" t="e">
        <f>装备!#REF!</f>
        <v>#REF!</v>
      </c>
      <c r="BT160" t="e">
        <f>装备!#REF!</f>
        <v>#REF!</v>
      </c>
      <c r="BU160" t="e">
        <f>装备!#REF!</f>
        <v>#REF!</v>
      </c>
      <c r="BV160" t="e">
        <f>装备!#REF!</f>
        <v>#REF!</v>
      </c>
      <c r="BW160" t="e">
        <f>装备!#REF!</f>
        <v>#REF!</v>
      </c>
      <c r="BX160" t="e">
        <f>装备!#REF!</f>
        <v>#REF!</v>
      </c>
      <c r="BY160" t="e">
        <f>装备!#REF!</f>
        <v>#REF!</v>
      </c>
      <c r="BZ160" t="e">
        <f>装备!#REF!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装备!#REF!</f>
        <v>#REF!</v>
      </c>
      <c r="B161" t="e">
        <f>装备!#REF!</f>
        <v>#REF!</v>
      </c>
      <c r="C161" t="e">
        <f>装备!#REF!</f>
        <v>#REF!</v>
      </c>
      <c r="D161" t="e">
        <f>装备!#REF!</f>
        <v>#REF!</v>
      </c>
      <c r="E161" t="e">
        <f>装备!#REF!</f>
        <v>#REF!</v>
      </c>
      <c r="F161" t="e">
        <f>装备!#REF!</f>
        <v>#REF!</v>
      </c>
      <c r="G161" t="e">
        <f>装备!#REF!</f>
        <v>#REF!</v>
      </c>
      <c r="H161" t="e">
        <f>装备!#REF!</f>
        <v>#REF!</v>
      </c>
      <c r="I161" t="e">
        <f>装备!#REF!</f>
        <v>#REF!</v>
      </c>
      <c r="J161" t="e">
        <f>装备!#REF!</f>
        <v>#REF!</v>
      </c>
      <c r="K161" t="e">
        <f>装备!#REF!</f>
        <v>#REF!</v>
      </c>
      <c r="L161" t="e">
        <f>装备!#REF!</f>
        <v>#REF!</v>
      </c>
      <c r="M161" t="e">
        <f t="shared" si="28"/>
        <v>#REF!</v>
      </c>
      <c r="N161" t="e">
        <f>装备!#REF!</f>
        <v>#REF!</v>
      </c>
      <c r="O161" t="e">
        <f>装备!#REF!</f>
        <v>#REF!</v>
      </c>
      <c r="P161" t="e">
        <f>装备!#REF!</f>
        <v>#REF!</v>
      </c>
      <c r="Q161" t="e">
        <f>装备!#REF!</f>
        <v>#REF!</v>
      </c>
      <c r="R161" t="e">
        <f>装备!#REF!</f>
        <v>#REF!</v>
      </c>
      <c r="S161" t="e">
        <f>装备!#REF!</f>
        <v>#REF!</v>
      </c>
      <c r="T161" t="e">
        <f>装备!#REF!</f>
        <v>#REF!</v>
      </c>
      <c r="U161" t="e">
        <f>装备!#REF!</f>
        <v>#REF!</v>
      </c>
      <c r="V161" t="e">
        <f>装备!#REF!</f>
        <v>#REF!</v>
      </c>
      <c r="W161" t="e">
        <f>装备!#REF!</f>
        <v>#REF!</v>
      </c>
      <c r="X161" t="e">
        <f t="shared" si="29"/>
        <v>#REF!</v>
      </c>
      <c r="Y161" t="e">
        <f>装备!#REF!</f>
        <v>#REF!</v>
      </c>
      <c r="Z161" t="e">
        <f>装备!#REF!</f>
        <v>#REF!</v>
      </c>
      <c r="AA161" t="e">
        <f>装备!#REF!</f>
        <v>#REF!</v>
      </c>
      <c r="AB161" t="e">
        <f>装备!#REF!</f>
        <v>#REF!</v>
      </c>
      <c r="AC161" t="e">
        <f>装备!#REF!</f>
        <v>#REF!</v>
      </c>
      <c r="AD161" t="e">
        <f>装备!#REF!</f>
        <v>#REF!</v>
      </c>
      <c r="AE161" t="e">
        <f>装备!#REF!</f>
        <v>#REF!</v>
      </c>
      <c r="AF161" t="e">
        <f>装备!#REF!</f>
        <v>#REF!</v>
      </c>
      <c r="AG161" t="e">
        <f>装备!#REF!</f>
        <v>#REF!</v>
      </c>
      <c r="AH161" t="e">
        <f>装备!#REF!</f>
        <v>#REF!</v>
      </c>
      <c r="AI161" t="e">
        <f t="shared" si="30"/>
        <v>#REF!</v>
      </c>
      <c r="AJ161" t="e">
        <f>装备!#REF!</f>
        <v>#REF!</v>
      </c>
      <c r="AK161" t="e">
        <f>装备!#REF!</f>
        <v>#REF!</v>
      </c>
      <c r="AL161" t="e">
        <f>装备!#REF!</f>
        <v>#REF!</v>
      </c>
      <c r="AM161" t="e">
        <f>装备!#REF!</f>
        <v>#REF!</v>
      </c>
      <c r="AN161" t="e">
        <f>装备!#REF!</f>
        <v>#REF!</v>
      </c>
      <c r="AO161" t="e">
        <f>装备!#REF!</f>
        <v>#REF!</v>
      </c>
      <c r="AP161" t="e">
        <f>装备!#REF!</f>
        <v>#REF!</v>
      </c>
      <c r="AQ161" t="e">
        <f>装备!#REF!</f>
        <v>#REF!</v>
      </c>
      <c r="AR161" t="e">
        <f>装备!#REF!</f>
        <v>#REF!</v>
      </c>
      <c r="AS161" t="e">
        <f>装备!#REF!</f>
        <v>#REF!</v>
      </c>
      <c r="AT161" t="e">
        <f t="shared" si="31"/>
        <v>#REF!</v>
      </c>
      <c r="AU161" t="e">
        <f>装备!#REF!</f>
        <v>#REF!</v>
      </c>
      <c r="AV161" t="e">
        <f>装备!#REF!</f>
        <v>#REF!</v>
      </c>
      <c r="AW161" t="e">
        <f>装备!#REF!</f>
        <v>#REF!</v>
      </c>
      <c r="AX161" t="e">
        <f>装备!#REF!</f>
        <v>#REF!</v>
      </c>
      <c r="AY161" t="e">
        <f>装备!#REF!</f>
        <v>#REF!</v>
      </c>
      <c r="AZ161" t="e">
        <f>装备!#REF!</f>
        <v>#REF!</v>
      </c>
      <c r="BA161" t="e">
        <f>装备!#REF!</f>
        <v>#REF!</v>
      </c>
      <c r="BB161" t="e">
        <f>装备!#REF!</f>
        <v>#REF!</v>
      </c>
      <c r="BC161" t="e">
        <f>装备!#REF!</f>
        <v>#REF!</v>
      </c>
      <c r="BD161" t="e">
        <f>装备!#REF!</f>
        <v>#REF!</v>
      </c>
      <c r="BE161" t="e">
        <f t="shared" si="32"/>
        <v>#REF!</v>
      </c>
      <c r="BF161" t="e">
        <f>装备!#REF!</f>
        <v>#REF!</v>
      </c>
      <c r="BG161" t="e">
        <f>装备!#REF!</f>
        <v>#REF!</v>
      </c>
      <c r="BH161" t="e">
        <f>装备!#REF!</f>
        <v>#REF!</v>
      </c>
      <c r="BI161" t="e">
        <f>装备!#REF!</f>
        <v>#REF!</v>
      </c>
      <c r="BJ161" t="e">
        <f>装备!#REF!</f>
        <v>#REF!</v>
      </c>
      <c r="BK161" t="e">
        <f>装备!#REF!</f>
        <v>#REF!</v>
      </c>
      <c r="BL161" t="e">
        <f>装备!#REF!</f>
        <v>#REF!</v>
      </c>
      <c r="BM161" t="e">
        <f>装备!#REF!</f>
        <v>#REF!</v>
      </c>
      <c r="BN161" t="e">
        <f>装备!#REF!</f>
        <v>#REF!</v>
      </c>
      <c r="BO161" t="e">
        <f>装备!#REF!</f>
        <v>#REF!</v>
      </c>
      <c r="BP161" t="e">
        <f t="shared" si="33"/>
        <v>#REF!</v>
      </c>
      <c r="BQ161" t="e">
        <f>装备!#REF!</f>
        <v>#REF!</v>
      </c>
      <c r="BR161" t="e">
        <f>装备!#REF!</f>
        <v>#REF!</v>
      </c>
      <c r="BS161" t="e">
        <f>装备!#REF!</f>
        <v>#REF!</v>
      </c>
      <c r="BT161" t="e">
        <f>装备!#REF!</f>
        <v>#REF!</v>
      </c>
      <c r="BU161" t="e">
        <f>装备!#REF!</f>
        <v>#REF!</v>
      </c>
      <c r="BV161" t="e">
        <f>装备!#REF!</f>
        <v>#REF!</v>
      </c>
      <c r="BW161" t="e">
        <f>装备!#REF!</f>
        <v>#REF!</v>
      </c>
      <c r="BX161" t="e">
        <f>装备!#REF!</f>
        <v>#REF!</v>
      </c>
      <c r="BY161" t="e">
        <f>装备!#REF!</f>
        <v>#REF!</v>
      </c>
      <c r="BZ161" t="e">
        <f>装备!#REF!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装备!#REF!</f>
        <v>#REF!</v>
      </c>
      <c r="B162" t="e">
        <f>装备!#REF!</f>
        <v>#REF!</v>
      </c>
      <c r="C162" t="e">
        <f>装备!#REF!</f>
        <v>#REF!</v>
      </c>
      <c r="D162" t="e">
        <f>装备!#REF!</f>
        <v>#REF!</v>
      </c>
      <c r="E162" t="e">
        <f>装备!#REF!</f>
        <v>#REF!</v>
      </c>
      <c r="F162" t="e">
        <f>装备!#REF!</f>
        <v>#REF!</v>
      </c>
      <c r="G162" t="e">
        <f>装备!#REF!</f>
        <v>#REF!</v>
      </c>
      <c r="H162" t="e">
        <f>装备!#REF!</f>
        <v>#REF!</v>
      </c>
      <c r="I162" t="e">
        <f>装备!#REF!</f>
        <v>#REF!</v>
      </c>
      <c r="J162" t="e">
        <f>装备!#REF!</f>
        <v>#REF!</v>
      </c>
      <c r="K162" t="e">
        <f>装备!#REF!</f>
        <v>#REF!</v>
      </c>
      <c r="L162" t="e">
        <f>装备!#REF!</f>
        <v>#REF!</v>
      </c>
      <c r="M162" t="e">
        <f t="shared" si="28"/>
        <v>#REF!</v>
      </c>
      <c r="N162" t="e">
        <f>装备!#REF!</f>
        <v>#REF!</v>
      </c>
      <c r="O162" t="e">
        <f>装备!#REF!</f>
        <v>#REF!</v>
      </c>
      <c r="P162" t="e">
        <f>装备!#REF!</f>
        <v>#REF!</v>
      </c>
      <c r="Q162" t="e">
        <f>装备!#REF!</f>
        <v>#REF!</v>
      </c>
      <c r="R162" t="e">
        <f>装备!#REF!</f>
        <v>#REF!</v>
      </c>
      <c r="S162" t="e">
        <f>装备!#REF!</f>
        <v>#REF!</v>
      </c>
      <c r="T162" t="e">
        <f>装备!#REF!</f>
        <v>#REF!</v>
      </c>
      <c r="U162" t="e">
        <f>装备!#REF!</f>
        <v>#REF!</v>
      </c>
      <c r="V162" t="e">
        <f>装备!#REF!</f>
        <v>#REF!</v>
      </c>
      <c r="W162" t="e">
        <f>装备!#REF!</f>
        <v>#REF!</v>
      </c>
      <c r="X162" t="e">
        <f t="shared" si="29"/>
        <v>#REF!</v>
      </c>
      <c r="Y162" t="e">
        <f>装备!#REF!</f>
        <v>#REF!</v>
      </c>
      <c r="Z162" t="e">
        <f>装备!#REF!</f>
        <v>#REF!</v>
      </c>
      <c r="AA162" t="e">
        <f>装备!#REF!</f>
        <v>#REF!</v>
      </c>
      <c r="AB162" t="e">
        <f>装备!#REF!</f>
        <v>#REF!</v>
      </c>
      <c r="AC162" t="e">
        <f>装备!#REF!</f>
        <v>#REF!</v>
      </c>
      <c r="AD162" t="e">
        <f>装备!#REF!</f>
        <v>#REF!</v>
      </c>
      <c r="AE162" t="e">
        <f>装备!#REF!</f>
        <v>#REF!</v>
      </c>
      <c r="AF162" t="e">
        <f>装备!#REF!</f>
        <v>#REF!</v>
      </c>
      <c r="AG162" t="e">
        <f>装备!#REF!</f>
        <v>#REF!</v>
      </c>
      <c r="AH162" t="e">
        <f>装备!#REF!</f>
        <v>#REF!</v>
      </c>
      <c r="AI162" t="e">
        <f t="shared" si="30"/>
        <v>#REF!</v>
      </c>
      <c r="AJ162" t="e">
        <f>装备!#REF!</f>
        <v>#REF!</v>
      </c>
      <c r="AK162" t="e">
        <f>装备!#REF!</f>
        <v>#REF!</v>
      </c>
      <c r="AL162" t="e">
        <f>装备!#REF!</f>
        <v>#REF!</v>
      </c>
      <c r="AM162" t="e">
        <f>装备!#REF!</f>
        <v>#REF!</v>
      </c>
      <c r="AN162" t="e">
        <f>装备!#REF!</f>
        <v>#REF!</v>
      </c>
      <c r="AO162" t="e">
        <f>装备!#REF!</f>
        <v>#REF!</v>
      </c>
      <c r="AP162" t="e">
        <f>装备!#REF!</f>
        <v>#REF!</v>
      </c>
      <c r="AQ162" t="e">
        <f>装备!#REF!</f>
        <v>#REF!</v>
      </c>
      <c r="AR162" t="e">
        <f>装备!#REF!</f>
        <v>#REF!</v>
      </c>
      <c r="AS162" t="e">
        <f>装备!#REF!</f>
        <v>#REF!</v>
      </c>
      <c r="AT162" t="e">
        <f t="shared" si="31"/>
        <v>#REF!</v>
      </c>
      <c r="AU162" t="e">
        <f>装备!#REF!</f>
        <v>#REF!</v>
      </c>
      <c r="AV162" t="e">
        <f>装备!#REF!</f>
        <v>#REF!</v>
      </c>
      <c r="AW162" t="e">
        <f>装备!#REF!</f>
        <v>#REF!</v>
      </c>
      <c r="AX162" t="e">
        <f>装备!#REF!</f>
        <v>#REF!</v>
      </c>
      <c r="AY162" t="e">
        <f>装备!#REF!</f>
        <v>#REF!</v>
      </c>
      <c r="AZ162" t="e">
        <f>装备!#REF!</f>
        <v>#REF!</v>
      </c>
      <c r="BA162" t="e">
        <f>装备!#REF!</f>
        <v>#REF!</v>
      </c>
      <c r="BB162" t="e">
        <f>装备!#REF!</f>
        <v>#REF!</v>
      </c>
      <c r="BC162" t="e">
        <f>装备!#REF!</f>
        <v>#REF!</v>
      </c>
      <c r="BD162" t="e">
        <f>装备!#REF!</f>
        <v>#REF!</v>
      </c>
      <c r="BE162" t="e">
        <f t="shared" si="32"/>
        <v>#REF!</v>
      </c>
      <c r="BF162" t="e">
        <f>装备!#REF!</f>
        <v>#REF!</v>
      </c>
      <c r="BG162" t="e">
        <f>装备!#REF!</f>
        <v>#REF!</v>
      </c>
      <c r="BH162" t="e">
        <f>装备!#REF!</f>
        <v>#REF!</v>
      </c>
      <c r="BI162" t="e">
        <f>装备!#REF!</f>
        <v>#REF!</v>
      </c>
      <c r="BJ162" t="e">
        <f>装备!#REF!</f>
        <v>#REF!</v>
      </c>
      <c r="BK162" t="e">
        <f>装备!#REF!</f>
        <v>#REF!</v>
      </c>
      <c r="BL162" t="e">
        <f>装备!#REF!</f>
        <v>#REF!</v>
      </c>
      <c r="BM162" t="e">
        <f>装备!#REF!</f>
        <v>#REF!</v>
      </c>
      <c r="BN162" t="e">
        <f>装备!#REF!</f>
        <v>#REF!</v>
      </c>
      <c r="BO162" t="e">
        <f>装备!#REF!</f>
        <v>#REF!</v>
      </c>
      <c r="BP162" t="e">
        <f t="shared" si="33"/>
        <v>#REF!</v>
      </c>
      <c r="BQ162" t="e">
        <f>装备!#REF!</f>
        <v>#REF!</v>
      </c>
      <c r="BR162" t="e">
        <f>装备!#REF!</f>
        <v>#REF!</v>
      </c>
      <c r="BS162" t="e">
        <f>装备!#REF!</f>
        <v>#REF!</v>
      </c>
      <c r="BT162" t="e">
        <f>装备!#REF!</f>
        <v>#REF!</v>
      </c>
      <c r="BU162" t="e">
        <f>装备!#REF!</f>
        <v>#REF!</v>
      </c>
      <c r="BV162" t="e">
        <f>装备!#REF!</f>
        <v>#REF!</v>
      </c>
      <c r="BW162" t="e">
        <f>装备!#REF!</f>
        <v>#REF!</v>
      </c>
      <c r="BX162" t="e">
        <f>装备!#REF!</f>
        <v>#REF!</v>
      </c>
      <c r="BY162" t="e">
        <f>装备!#REF!</f>
        <v>#REF!</v>
      </c>
      <c r="BZ162" t="e">
        <f>装备!#REF!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装备!#REF!</f>
        <v>#REF!</v>
      </c>
      <c r="B163" t="e">
        <f>装备!#REF!</f>
        <v>#REF!</v>
      </c>
      <c r="C163" t="e">
        <f>装备!#REF!</f>
        <v>#REF!</v>
      </c>
      <c r="D163" t="e">
        <f>装备!#REF!</f>
        <v>#REF!</v>
      </c>
      <c r="E163" t="e">
        <f>装备!#REF!</f>
        <v>#REF!</v>
      </c>
      <c r="F163" t="e">
        <f>装备!#REF!</f>
        <v>#REF!</v>
      </c>
      <c r="G163" t="e">
        <f>装备!#REF!</f>
        <v>#REF!</v>
      </c>
      <c r="H163" t="e">
        <f>装备!#REF!</f>
        <v>#REF!</v>
      </c>
      <c r="I163" t="e">
        <f>装备!#REF!</f>
        <v>#REF!</v>
      </c>
      <c r="J163" t="e">
        <f>装备!#REF!</f>
        <v>#REF!</v>
      </c>
      <c r="K163" t="e">
        <f>装备!#REF!</f>
        <v>#REF!</v>
      </c>
      <c r="L163" t="e">
        <f>装备!#REF!</f>
        <v>#REF!</v>
      </c>
      <c r="M163" t="e">
        <f t="shared" si="28"/>
        <v>#REF!</v>
      </c>
      <c r="N163" t="e">
        <f>装备!#REF!</f>
        <v>#REF!</v>
      </c>
      <c r="O163" t="e">
        <f>装备!#REF!</f>
        <v>#REF!</v>
      </c>
      <c r="P163" t="e">
        <f>装备!#REF!</f>
        <v>#REF!</v>
      </c>
      <c r="Q163" t="e">
        <f>装备!#REF!</f>
        <v>#REF!</v>
      </c>
      <c r="R163" t="e">
        <f>装备!#REF!</f>
        <v>#REF!</v>
      </c>
      <c r="S163" t="e">
        <f>装备!#REF!</f>
        <v>#REF!</v>
      </c>
      <c r="T163" t="e">
        <f>装备!#REF!</f>
        <v>#REF!</v>
      </c>
      <c r="U163" t="e">
        <f>装备!#REF!</f>
        <v>#REF!</v>
      </c>
      <c r="V163" t="e">
        <f>装备!#REF!</f>
        <v>#REF!</v>
      </c>
      <c r="W163" t="e">
        <f>装备!#REF!</f>
        <v>#REF!</v>
      </c>
      <c r="X163" t="e">
        <f t="shared" si="29"/>
        <v>#REF!</v>
      </c>
      <c r="Y163" t="e">
        <f>装备!#REF!</f>
        <v>#REF!</v>
      </c>
      <c r="Z163" t="e">
        <f>装备!#REF!</f>
        <v>#REF!</v>
      </c>
      <c r="AA163" t="e">
        <f>装备!#REF!</f>
        <v>#REF!</v>
      </c>
      <c r="AB163" t="e">
        <f>装备!#REF!</f>
        <v>#REF!</v>
      </c>
      <c r="AC163" t="e">
        <f>装备!#REF!</f>
        <v>#REF!</v>
      </c>
      <c r="AD163" t="e">
        <f>装备!#REF!</f>
        <v>#REF!</v>
      </c>
      <c r="AE163" t="e">
        <f>装备!#REF!</f>
        <v>#REF!</v>
      </c>
      <c r="AF163" t="e">
        <f>装备!#REF!</f>
        <v>#REF!</v>
      </c>
      <c r="AG163" t="e">
        <f>装备!#REF!</f>
        <v>#REF!</v>
      </c>
      <c r="AH163" t="e">
        <f>装备!#REF!</f>
        <v>#REF!</v>
      </c>
      <c r="AI163" t="e">
        <f t="shared" si="30"/>
        <v>#REF!</v>
      </c>
      <c r="AJ163" t="e">
        <f>装备!#REF!</f>
        <v>#REF!</v>
      </c>
      <c r="AK163" t="e">
        <f>装备!#REF!</f>
        <v>#REF!</v>
      </c>
      <c r="AL163" t="e">
        <f>装备!#REF!</f>
        <v>#REF!</v>
      </c>
      <c r="AM163" t="e">
        <f>装备!#REF!</f>
        <v>#REF!</v>
      </c>
      <c r="AN163" t="e">
        <f>装备!#REF!</f>
        <v>#REF!</v>
      </c>
      <c r="AO163" t="e">
        <f>装备!#REF!</f>
        <v>#REF!</v>
      </c>
      <c r="AP163" t="e">
        <f>装备!#REF!</f>
        <v>#REF!</v>
      </c>
      <c r="AQ163" t="e">
        <f>装备!#REF!</f>
        <v>#REF!</v>
      </c>
      <c r="AR163" t="e">
        <f>装备!#REF!</f>
        <v>#REF!</v>
      </c>
      <c r="AS163" t="e">
        <f>装备!#REF!</f>
        <v>#REF!</v>
      </c>
      <c r="AT163" t="e">
        <f t="shared" si="31"/>
        <v>#REF!</v>
      </c>
      <c r="AU163" t="e">
        <f>装备!#REF!</f>
        <v>#REF!</v>
      </c>
      <c r="AV163" t="e">
        <f>装备!#REF!</f>
        <v>#REF!</v>
      </c>
      <c r="AW163" t="e">
        <f>装备!#REF!</f>
        <v>#REF!</v>
      </c>
      <c r="AX163" t="e">
        <f>装备!#REF!</f>
        <v>#REF!</v>
      </c>
      <c r="AY163" t="e">
        <f>装备!#REF!</f>
        <v>#REF!</v>
      </c>
      <c r="AZ163" t="e">
        <f>装备!#REF!</f>
        <v>#REF!</v>
      </c>
      <c r="BA163" t="e">
        <f>装备!#REF!</f>
        <v>#REF!</v>
      </c>
      <c r="BB163" t="e">
        <f>装备!#REF!</f>
        <v>#REF!</v>
      </c>
      <c r="BC163" t="e">
        <f>装备!#REF!</f>
        <v>#REF!</v>
      </c>
      <c r="BD163" t="e">
        <f>装备!#REF!</f>
        <v>#REF!</v>
      </c>
      <c r="BE163" t="e">
        <f t="shared" si="32"/>
        <v>#REF!</v>
      </c>
      <c r="BF163" t="e">
        <f>装备!#REF!</f>
        <v>#REF!</v>
      </c>
      <c r="BG163" t="e">
        <f>装备!#REF!</f>
        <v>#REF!</v>
      </c>
      <c r="BH163" t="e">
        <f>装备!#REF!</f>
        <v>#REF!</v>
      </c>
      <c r="BI163" t="e">
        <f>装备!#REF!</f>
        <v>#REF!</v>
      </c>
      <c r="BJ163" t="e">
        <f>装备!#REF!</f>
        <v>#REF!</v>
      </c>
      <c r="BK163" t="e">
        <f>装备!#REF!</f>
        <v>#REF!</v>
      </c>
      <c r="BL163" t="e">
        <f>装备!#REF!</f>
        <v>#REF!</v>
      </c>
      <c r="BM163" t="e">
        <f>装备!#REF!</f>
        <v>#REF!</v>
      </c>
      <c r="BN163" t="e">
        <f>装备!#REF!</f>
        <v>#REF!</v>
      </c>
      <c r="BO163" t="e">
        <f>装备!#REF!</f>
        <v>#REF!</v>
      </c>
      <c r="BP163" t="e">
        <f t="shared" si="33"/>
        <v>#REF!</v>
      </c>
      <c r="BQ163" t="e">
        <f>装备!#REF!</f>
        <v>#REF!</v>
      </c>
      <c r="BR163" t="e">
        <f>装备!#REF!</f>
        <v>#REF!</v>
      </c>
      <c r="BS163" t="e">
        <f>装备!#REF!</f>
        <v>#REF!</v>
      </c>
      <c r="BT163" t="e">
        <f>装备!#REF!</f>
        <v>#REF!</v>
      </c>
      <c r="BU163" t="e">
        <f>装备!#REF!</f>
        <v>#REF!</v>
      </c>
      <c r="BV163" t="e">
        <f>装备!#REF!</f>
        <v>#REF!</v>
      </c>
      <c r="BW163" t="e">
        <f>装备!#REF!</f>
        <v>#REF!</v>
      </c>
      <c r="BX163" t="e">
        <f>装备!#REF!</f>
        <v>#REF!</v>
      </c>
      <c r="BY163" t="e">
        <f>装备!#REF!</f>
        <v>#REF!</v>
      </c>
      <c r="BZ163" t="e">
        <f>装备!#REF!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装备!#REF!</f>
        <v>#REF!</v>
      </c>
      <c r="B164" t="e">
        <f>装备!#REF!</f>
        <v>#REF!</v>
      </c>
      <c r="C164" t="e">
        <f>装备!#REF!</f>
        <v>#REF!</v>
      </c>
      <c r="D164" t="e">
        <f>装备!#REF!</f>
        <v>#REF!</v>
      </c>
      <c r="E164" t="e">
        <f>装备!#REF!</f>
        <v>#REF!</v>
      </c>
      <c r="F164" t="e">
        <f>装备!#REF!</f>
        <v>#REF!</v>
      </c>
      <c r="G164" t="e">
        <f>装备!#REF!</f>
        <v>#REF!</v>
      </c>
      <c r="H164" t="e">
        <f>装备!#REF!</f>
        <v>#REF!</v>
      </c>
      <c r="I164" t="e">
        <f>装备!#REF!</f>
        <v>#REF!</v>
      </c>
      <c r="J164" t="e">
        <f>装备!#REF!</f>
        <v>#REF!</v>
      </c>
      <c r="K164" t="e">
        <f>装备!#REF!</f>
        <v>#REF!</v>
      </c>
      <c r="L164" t="e">
        <f>装备!#REF!</f>
        <v>#REF!</v>
      </c>
      <c r="M164" t="e">
        <f t="shared" si="28"/>
        <v>#REF!</v>
      </c>
      <c r="N164" t="e">
        <f>装备!#REF!</f>
        <v>#REF!</v>
      </c>
      <c r="O164" t="e">
        <f>装备!#REF!</f>
        <v>#REF!</v>
      </c>
      <c r="P164" t="e">
        <f>装备!#REF!</f>
        <v>#REF!</v>
      </c>
      <c r="Q164" t="e">
        <f>装备!#REF!</f>
        <v>#REF!</v>
      </c>
      <c r="R164" t="e">
        <f>装备!#REF!</f>
        <v>#REF!</v>
      </c>
      <c r="S164" t="e">
        <f>装备!#REF!</f>
        <v>#REF!</v>
      </c>
      <c r="T164" t="e">
        <f>装备!#REF!</f>
        <v>#REF!</v>
      </c>
      <c r="U164" t="e">
        <f>装备!#REF!</f>
        <v>#REF!</v>
      </c>
      <c r="V164" t="e">
        <f>装备!#REF!</f>
        <v>#REF!</v>
      </c>
      <c r="W164" t="e">
        <f>装备!#REF!</f>
        <v>#REF!</v>
      </c>
      <c r="X164" t="e">
        <f t="shared" si="29"/>
        <v>#REF!</v>
      </c>
      <c r="Y164" t="e">
        <f>装备!#REF!</f>
        <v>#REF!</v>
      </c>
      <c r="Z164" t="e">
        <f>装备!#REF!</f>
        <v>#REF!</v>
      </c>
      <c r="AA164" t="e">
        <f>装备!#REF!</f>
        <v>#REF!</v>
      </c>
      <c r="AB164" t="e">
        <f>装备!#REF!</f>
        <v>#REF!</v>
      </c>
      <c r="AC164" t="e">
        <f>装备!#REF!</f>
        <v>#REF!</v>
      </c>
      <c r="AD164" t="e">
        <f>装备!#REF!</f>
        <v>#REF!</v>
      </c>
      <c r="AE164" t="e">
        <f>装备!#REF!</f>
        <v>#REF!</v>
      </c>
      <c r="AF164" t="e">
        <f>装备!#REF!</f>
        <v>#REF!</v>
      </c>
      <c r="AG164" t="e">
        <f>装备!#REF!</f>
        <v>#REF!</v>
      </c>
      <c r="AH164" t="e">
        <f>装备!#REF!</f>
        <v>#REF!</v>
      </c>
      <c r="AI164" t="e">
        <f t="shared" si="30"/>
        <v>#REF!</v>
      </c>
      <c r="AJ164" t="e">
        <f>装备!#REF!</f>
        <v>#REF!</v>
      </c>
      <c r="AK164" t="e">
        <f>装备!#REF!</f>
        <v>#REF!</v>
      </c>
      <c r="AL164" t="e">
        <f>装备!#REF!</f>
        <v>#REF!</v>
      </c>
      <c r="AM164" t="e">
        <f>装备!#REF!</f>
        <v>#REF!</v>
      </c>
      <c r="AN164" t="e">
        <f>装备!#REF!</f>
        <v>#REF!</v>
      </c>
      <c r="AO164" t="e">
        <f>装备!#REF!</f>
        <v>#REF!</v>
      </c>
      <c r="AP164" t="e">
        <f>装备!#REF!</f>
        <v>#REF!</v>
      </c>
      <c r="AQ164" t="e">
        <f>装备!#REF!</f>
        <v>#REF!</v>
      </c>
      <c r="AR164" t="e">
        <f>装备!#REF!</f>
        <v>#REF!</v>
      </c>
      <c r="AS164" t="e">
        <f>装备!#REF!</f>
        <v>#REF!</v>
      </c>
      <c r="AT164" t="e">
        <f t="shared" si="31"/>
        <v>#REF!</v>
      </c>
      <c r="AU164" t="e">
        <f>装备!#REF!</f>
        <v>#REF!</v>
      </c>
      <c r="AV164" t="e">
        <f>装备!#REF!</f>
        <v>#REF!</v>
      </c>
      <c r="AW164" t="e">
        <f>装备!#REF!</f>
        <v>#REF!</v>
      </c>
      <c r="AX164" t="e">
        <f>装备!#REF!</f>
        <v>#REF!</v>
      </c>
      <c r="AY164" t="e">
        <f>装备!#REF!</f>
        <v>#REF!</v>
      </c>
      <c r="AZ164" t="e">
        <f>装备!#REF!</f>
        <v>#REF!</v>
      </c>
      <c r="BA164" t="e">
        <f>装备!#REF!</f>
        <v>#REF!</v>
      </c>
      <c r="BB164" t="e">
        <f>装备!#REF!</f>
        <v>#REF!</v>
      </c>
      <c r="BC164" t="e">
        <f>装备!#REF!</f>
        <v>#REF!</v>
      </c>
      <c r="BD164" t="e">
        <f>装备!#REF!</f>
        <v>#REF!</v>
      </c>
      <c r="BE164" t="e">
        <f t="shared" si="32"/>
        <v>#REF!</v>
      </c>
      <c r="BF164" t="e">
        <f>装备!#REF!</f>
        <v>#REF!</v>
      </c>
      <c r="BG164" t="e">
        <f>装备!#REF!</f>
        <v>#REF!</v>
      </c>
      <c r="BH164" t="e">
        <f>装备!#REF!</f>
        <v>#REF!</v>
      </c>
      <c r="BI164" t="e">
        <f>装备!#REF!</f>
        <v>#REF!</v>
      </c>
      <c r="BJ164" t="e">
        <f>装备!#REF!</f>
        <v>#REF!</v>
      </c>
      <c r="BK164" t="e">
        <f>装备!#REF!</f>
        <v>#REF!</v>
      </c>
      <c r="BL164" t="e">
        <f>装备!#REF!</f>
        <v>#REF!</v>
      </c>
      <c r="BM164" t="e">
        <f>装备!#REF!</f>
        <v>#REF!</v>
      </c>
      <c r="BN164" t="e">
        <f>装备!#REF!</f>
        <v>#REF!</v>
      </c>
      <c r="BO164" t="e">
        <f>装备!#REF!</f>
        <v>#REF!</v>
      </c>
      <c r="BP164" t="e">
        <f t="shared" si="33"/>
        <v>#REF!</v>
      </c>
      <c r="BQ164" t="e">
        <f>装备!#REF!</f>
        <v>#REF!</v>
      </c>
      <c r="BR164" t="e">
        <f>装备!#REF!</f>
        <v>#REF!</v>
      </c>
      <c r="BS164" t="e">
        <f>装备!#REF!</f>
        <v>#REF!</v>
      </c>
      <c r="BT164" t="e">
        <f>装备!#REF!</f>
        <v>#REF!</v>
      </c>
      <c r="BU164" t="e">
        <f>装备!#REF!</f>
        <v>#REF!</v>
      </c>
      <c r="BV164" t="e">
        <f>装备!#REF!</f>
        <v>#REF!</v>
      </c>
      <c r="BW164" t="e">
        <f>装备!#REF!</f>
        <v>#REF!</v>
      </c>
      <c r="BX164" t="e">
        <f>装备!#REF!</f>
        <v>#REF!</v>
      </c>
      <c r="BY164" t="e">
        <f>装备!#REF!</f>
        <v>#REF!</v>
      </c>
      <c r="BZ164" t="e">
        <f>装备!#REF!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装备!#REF!</f>
        <v>#REF!</v>
      </c>
      <c r="B165" t="e">
        <f>装备!#REF!</f>
        <v>#REF!</v>
      </c>
      <c r="C165" t="e">
        <f>装备!#REF!</f>
        <v>#REF!</v>
      </c>
      <c r="D165" t="e">
        <f>装备!#REF!</f>
        <v>#REF!</v>
      </c>
      <c r="E165" t="e">
        <f>装备!#REF!</f>
        <v>#REF!</v>
      </c>
      <c r="F165" t="e">
        <f>装备!#REF!</f>
        <v>#REF!</v>
      </c>
      <c r="G165" t="e">
        <f>装备!#REF!</f>
        <v>#REF!</v>
      </c>
      <c r="H165" t="e">
        <f>装备!#REF!</f>
        <v>#REF!</v>
      </c>
      <c r="I165" t="e">
        <f>装备!#REF!</f>
        <v>#REF!</v>
      </c>
      <c r="J165" t="e">
        <f>装备!#REF!</f>
        <v>#REF!</v>
      </c>
      <c r="K165" t="e">
        <f>装备!#REF!</f>
        <v>#REF!</v>
      </c>
      <c r="L165" t="e">
        <f>装备!#REF!</f>
        <v>#REF!</v>
      </c>
      <c r="M165" t="e">
        <f t="shared" si="28"/>
        <v>#REF!</v>
      </c>
      <c r="N165" t="e">
        <f>装备!#REF!</f>
        <v>#REF!</v>
      </c>
      <c r="O165" t="e">
        <f>装备!#REF!</f>
        <v>#REF!</v>
      </c>
      <c r="P165" t="e">
        <f>装备!#REF!</f>
        <v>#REF!</v>
      </c>
      <c r="Q165" t="e">
        <f>装备!#REF!</f>
        <v>#REF!</v>
      </c>
      <c r="R165" t="e">
        <f>装备!#REF!</f>
        <v>#REF!</v>
      </c>
      <c r="S165" t="e">
        <f>装备!#REF!</f>
        <v>#REF!</v>
      </c>
      <c r="T165" t="e">
        <f>装备!#REF!</f>
        <v>#REF!</v>
      </c>
      <c r="U165" t="e">
        <f>装备!#REF!</f>
        <v>#REF!</v>
      </c>
      <c r="V165" t="e">
        <f>装备!#REF!</f>
        <v>#REF!</v>
      </c>
      <c r="W165" t="e">
        <f>装备!#REF!</f>
        <v>#REF!</v>
      </c>
      <c r="X165" t="e">
        <f t="shared" si="29"/>
        <v>#REF!</v>
      </c>
      <c r="Y165" t="e">
        <f>装备!#REF!</f>
        <v>#REF!</v>
      </c>
      <c r="Z165" t="e">
        <f>装备!#REF!</f>
        <v>#REF!</v>
      </c>
      <c r="AA165" t="e">
        <f>装备!#REF!</f>
        <v>#REF!</v>
      </c>
      <c r="AB165" t="e">
        <f>装备!#REF!</f>
        <v>#REF!</v>
      </c>
      <c r="AC165" t="e">
        <f>装备!#REF!</f>
        <v>#REF!</v>
      </c>
      <c r="AD165" t="e">
        <f>装备!#REF!</f>
        <v>#REF!</v>
      </c>
      <c r="AE165" t="e">
        <f>装备!#REF!</f>
        <v>#REF!</v>
      </c>
      <c r="AF165" t="e">
        <f>装备!#REF!</f>
        <v>#REF!</v>
      </c>
      <c r="AG165" t="e">
        <f>装备!#REF!</f>
        <v>#REF!</v>
      </c>
      <c r="AH165" t="e">
        <f>装备!#REF!</f>
        <v>#REF!</v>
      </c>
      <c r="AI165" t="e">
        <f t="shared" si="30"/>
        <v>#REF!</v>
      </c>
      <c r="AJ165" t="e">
        <f>装备!#REF!</f>
        <v>#REF!</v>
      </c>
      <c r="AK165" t="e">
        <f>装备!#REF!</f>
        <v>#REF!</v>
      </c>
      <c r="AL165" t="e">
        <f>装备!#REF!</f>
        <v>#REF!</v>
      </c>
      <c r="AM165" t="e">
        <f>装备!#REF!</f>
        <v>#REF!</v>
      </c>
      <c r="AN165" t="e">
        <f>装备!#REF!</f>
        <v>#REF!</v>
      </c>
      <c r="AO165" t="e">
        <f>装备!#REF!</f>
        <v>#REF!</v>
      </c>
      <c r="AP165" t="e">
        <f>装备!#REF!</f>
        <v>#REF!</v>
      </c>
      <c r="AQ165" t="e">
        <f>装备!#REF!</f>
        <v>#REF!</v>
      </c>
      <c r="AR165" t="e">
        <f>装备!#REF!</f>
        <v>#REF!</v>
      </c>
      <c r="AS165" t="e">
        <f>装备!#REF!</f>
        <v>#REF!</v>
      </c>
      <c r="AT165" t="e">
        <f t="shared" si="31"/>
        <v>#REF!</v>
      </c>
      <c r="AU165" t="e">
        <f>装备!#REF!</f>
        <v>#REF!</v>
      </c>
      <c r="AV165" t="e">
        <f>装备!#REF!</f>
        <v>#REF!</v>
      </c>
      <c r="AW165" t="e">
        <f>装备!#REF!</f>
        <v>#REF!</v>
      </c>
      <c r="AX165" t="e">
        <f>装备!#REF!</f>
        <v>#REF!</v>
      </c>
      <c r="AY165" t="e">
        <f>装备!#REF!</f>
        <v>#REF!</v>
      </c>
      <c r="AZ165" t="e">
        <f>装备!#REF!</f>
        <v>#REF!</v>
      </c>
      <c r="BA165" t="e">
        <f>装备!#REF!</f>
        <v>#REF!</v>
      </c>
      <c r="BB165" t="e">
        <f>装备!#REF!</f>
        <v>#REF!</v>
      </c>
      <c r="BC165" t="e">
        <f>装备!#REF!</f>
        <v>#REF!</v>
      </c>
      <c r="BD165" t="e">
        <f>装备!#REF!</f>
        <v>#REF!</v>
      </c>
      <c r="BE165" t="e">
        <f t="shared" si="32"/>
        <v>#REF!</v>
      </c>
      <c r="BF165" t="e">
        <f>装备!#REF!</f>
        <v>#REF!</v>
      </c>
      <c r="BG165" t="e">
        <f>装备!#REF!</f>
        <v>#REF!</v>
      </c>
      <c r="BH165" t="e">
        <f>装备!#REF!</f>
        <v>#REF!</v>
      </c>
      <c r="BI165" t="e">
        <f>装备!#REF!</f>
        <v>#REF!</v>
      </c>
      <c r="BJ165" t="e">
        <f>装备!#REF!</f>
        <v>#REF!</v>
      </c>
      <c r="BK165" t="e">
        <f>装备!#REF!</f>
        <v>#REF!</v>
      </c>
      <c r="BL165" t="e">
        <f>装备!#REF!</f>
        <v>#REF!</v>
      </c>
      <c r="BM165" t="e">
        <f>装备!#REF!</f>
        <v>#REF!</v>
      </c>
      <c r="BN165" t="e">
        <f>装备!#REF!</f>
        <v>#REF!</v>
      </c>
      <c r="BO165" t="e">
        <f>装备!#REF!</f>
        <v>#REF!</v>
      </c>
      <c r="BP165" t="e">
        <f t="shared" si="33"/>
        <v>#REF!</v>
      </c>
      <c r="BQ165" t="e">
        <f>装备!#REF!</f>
        <v>#REF!</v>
      </c>
      <c r="BR165" t="e">
        <f>装备!#REF!</f>
        <v>#REF!</v>
      </c>
      <c r="BS165" t="e">
        <f>装备!#REF!</f>
        <v>#REF!</v>
      </c>
      <c r="BT165" t="e">
        <f>装备!#REF!</f>
        <v>#REF!</v>
      </c>
      <c r="BU165" t="e">
        <f>装备!#REF!</f>
        <v>#REF!</v>
      </c>
      <c r="BV165" t="e">
        <f>装备!#REF!</f>
        <v>#REF!</v>
      </c>
      <c r="BW165" t="e">
        <f>装备!#REF!</f>
        <v>#REF!</v>
      </c>
      <c r="BX165" t="e">
        <f>装备!#REF!</f>
        <v>#REF!</v>
      </c>
      <c r="BY165" t="e">
        <f>装备!#REF!</f>
        <v>#REF!</v>
      </c>
      <c r="BZ165" t="e">
        <f>装备!#REF!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装备!#REF!</f>
        <v>#REF!</v>
      </c>
      <c r="B166" t="e">
        <f>装备!#REF!</f>
        <v>#REF!</v>
      </c>
      <c r="C166" t="e">
        <f>装备!#REF!</f>
        <v>#REF!</v>
      </c>
      <c r="D166" t="e">
        <f>装备!#REF!</f>
        <v>#REF!</v>
      </c>
      <c r="E166" t="e">
        <f>装备!#REF!</f>
        <v>#REF!</v>
      </c>
      <c r="F166" t="e">
        <f>装备!#REF!</f>
        <v>#REF!</v>
      </c>
      <c r="G166" t="e">
        <f>装备!#REF!</f>
        <v>#REF!</v>
      </c>
      <c r="H166" t="e">
        <f>装备!#REF!</f>
        <v>#REF!</v>
      </c>
      <c r="I166" t="e">
        <f>装备!#REF!</f>
        <v>#REF!</v>
      </c>
      <c r="J166" t="e">
        <f>装备!#REF!</f>
        <v>#REF!</v>
      </c>
      <c r="K166" t="e">
        <f>装备!#REF!</f>
        <v>#REF!</v>
      </c>
      <c r="L166" t="e">
        <f>装备!#REF!</f>
        <v>#REF!</v>
      </c>
      <c r="M166" t="e">
        <f t="shared" si="28"/>
        <v>#REF!</v>
      </c>
      <c r="N166" t="e">
        <f>装备!#REF!</f>
        <v>#REF!</v>
      </c>
      <c r="O166" t="e">
        <f>装备!#REF!</f>
        <v>#REF!</v>
      </c>
      <c r="P166" t="e">
        <f>装备!#REF!</f>
        <v>#REF!</v>
      </c>
      <c r="Q166" t="e">
        <f>装备!#REF!</f>
        <v>#REF!</v>
      </c>
      <c r="R166" t="e">
        <f>装备!#REF!</f>
        <v>#REF!</v>
      </c>
      <c r="S166" t="e">
        <f>装备!#REF!</f>
        <v>#REF!</v>
      </c>
      <c r="T166" t="e">
        <f>装备!#REF!</f>
        <v>#REF!</v>
      </c>
      <c r="U166" t="e">
        <f>装备!#REF!</f>
        <v>#REF!</v>
      </c>
      <c r="V166" t="e">
        <f>装备!#REF!</f>
        <v>#REF!</v>
      </c>
      <c r="W166" t="e">
        <f>装备!#REF!</f>
        <v>#REF!</v>
      </c>
      <c r="X166" t="e">
        <f t="shared" si="29"/>
        <v>#REF!</v>
      </c>
      <c r="Y166" t="e">
        <f>装备!#REF!</f>
        <v>#REF!</v>
      </c>
      <c r="Z166" t="e">
        <f>装备!#REF!</f>
        <v>#REF!</v>
      </c>
      <c r="AA166" t="e">
        <f>装备!#REF!</f>
        <v>#REF!</v>
      </c>
      <c r="AB166" t="e">
        <f>装备!#REF!</f>
        <v>#REF!</v>
      </c>
      <c r="AC166" t="e">
        <f>装备!#REF!</f>
        <v>#REF!</v>
      </c>
      <c r="AD166" t="e">
        <f>装备!#REF!</f>
        <v>#REF!</v>
      </c>
      <c r="AE166" t="e">
        <f>装备!#REF!</f>
        <v>#REF!</v>
      </c>
      <c r="AF166" t="e">
        <f>装备!#REF!</f>
        <v>#REF!</v>
      </c>
      <c r="AG166" t="e">
        <f>装备!#REF!</f>
        <v>#REF!</v>
      </c>
      <c r="AH166" t="e">
        <f>装备!#REF!</f>
        <v>#REF!</v>
      </c>
      <c r="AI166" t="e">
        <f t="shared" si="30"/>
        <v>#REF!</v>
      </c>
      <c r="AJ166" t="e">
        <f>装备!#REF!</f>
        <v>#REF!</v>
      </c>
      <c r="AK166" t="e">
        <f>装备!#REF!</f>
        <v>#REF!</v>
      </c>
      <c r="AL166" t="e">
        <f>装备!#REF!</f>
        <v>#REF!</v>
      </c>
      <c r="AM166" t="e">
        <f>装备!#REF!</f>
        <v>#REF!</v>
      </c>
      <c r="AN166" t="e">
        <f>装备!#REF!</f>
        <v>#REF!</v>
      </c>
      <c r="AO166" t="e">
        <f>装备!#REF!</f>
        <v>#REF!</v>
      </c>
      <c r="AP166" t="e">
        <f>装备!#REF!</f>
        <v>#REF!</v>
      </c>
      <c r="AQ166" t="e">
        <f>装备!#REF!</f>
        <v>#REF!</v>
      </c>
      <c r="AR166" t="e">
        <f>装备!#REF!</f>
        <v>#REF!</v>
      </c>
      <c r="AS166" t="e">
        <f>装备!#REF!</f>
        <v>#REF!</v>
      </c>
      <c r="AT166" t="e">
        <f t="shared" si="31"/>
        <v>#REF!</v>
      </c>
      <c r="AU166" t="e">
        <f>装备!#REF!</f>
        <v>#REF!</v>
      </c>
      <c r="AV166" t="e">
        <f>装备!#REF!</f>
        <v>#REF!</v>
      </c>
      <c r="AW166" t="e">
        <f>装备!#REF!</f>
        <v>#REF!</v>
      </c>
      <c r="AX166" t="e">
        <f>装备!#REF!</f>
        <v>#REF!</v>
      </c>
      <c r="AY166" t="e">
        <f>装备!#REF!</f>
        <v>#REF!</v>
      </c>
      <c r="AZ166" t="e">
        <f>装备!#REF!</f>
        <v>#REF!</v>
      </c>
      <c r="BA166" t="e">
        <f>装备!#REF!</f>
        <v>#REF!</v>
      </c>
      <c r="BB166" t="e">
        <f>装备!#REF!</f>
        <v>#REF!</v>
      </c>
      <c r="BC166" t="e">
        <f>装备!#REF!</f>
        <v>#REF!</v>
      </c>
      <c r="BD166" t="e">
        <f>装备!#REF!</f>
        <v>#REF!</v>
      </c>
      <c r="BE166" t="e">
        <f t="shared" si="32"/>
        <v>#REF!</v>
      </c>
      <c r="BF166" t="e">
        <f>装备!#REF!</f>
        <v>#REF!</v>
      </c>
      <c r="BG166" t="e">
        <f>装备!#REF!</f>
        <v>#REF!</v>
      </c>
      <c r="BH166" t="e">
        <f>装备!#REF!</f>
        <v>#REF!</v>
      </c>
      <c r="BI166" t="e">
        <f>装备!#REF!</f>
        <v>#REF!</v>
      </c>
      <c r="BJ166" t="e">
        <f>装备!#REF!</f>
        <v>#REF!</v>
      </c>
      <c r="BK166" t="e">
        <f>装备!#REF!</f>
        <v>#REF!</v>
      </c>
      <c r="BL166" t="e">
        <f>装备!#REF!</f>
        <v>#REF!</v>
      </c>
      <c r="BM166" t="e">
        <f>装备!#REF!</f>
        <v>#REF!</v>
      </c>
      <c r="BN166" t="e">
        <f>装备!#REF!</f>
        <v>#REF!</v>
      </c>
      <c r="BO166" t="e">
        <f>装备!#REF!</f>
        <v>#REF!</v>
      </c>
      <c r="BP166" t="e">
        <f t="shared" si="33"/>
        <v>#REF!</v>
      </c>
      <c r="BQ166" t="e">
        <f>装备!#REF!</f>
        <v>#REF!</v>
      </c>
      <c r="BR166" t="e">
        <f>装备!#REF!</f>
        <v>#REF!</v>
      </c>
      <c r="BS166" t="e">
        <f>装备!#REF!</f>
        <v>#REF!</v>
      </c>
      <c r="BT166" t="e">
        <f>装备!#REF!</f>
        <v>#REF!</v>
      </c>
      <c r="BU166" t="e">
        <f>装备!#REF!</f>
        <v>#REF!</v>
      </c>
      <c r="BV166" t="e">
        <f>装备!#REF!</f>
        <v>#REF!</v>
      </c>
      <c r="BW166" t="e">
        <f>装备!#REF!</f>
        <v>#REF!</v>
      </c>
      <c r="BX166" t="e">
        <f>装备!#REF!</f>
        <v>#REF!</v>
      </c>
      <c r="BY166" t="e">
        <f>装备!#REF!</f>
        <v>#REF!</v>
      </c>
      <c r="BZ166" t="e">
        <f>装备!#REF!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装备!#REF!</f>
        <v>#REF!</v>
      </c>
      <c r="B167" t="e">
        <f>装备!#REF!</f>
        <v>#REF!</v>
      </c>
      <c r="C167" t="e">
        <f>装备!#REF!</f>
        <v>#REF!</v>
      </c>
      <c r="D167" t="e">
        <f>装备!#REF!</f>
        <v>#REF!</v>
      </c>
      <c r="E167" t="e">
        <f>装备!#REF!</f>
        <v>#REF!</v>
      </c>
      <c r="F167" t="e">
        <f>装备!#REF!</f>
        <v>#REF!</v>
      </c>
      <c r="G167" t="e">
        <f>装备!#REF!</f>
        <v>#REF!</v>
      </c>
      <c r="H167" t="e">
        <f>装备!#REF!</f>
        <v>#REF!</v>
      </c>
      <c r="I167" t="e">
        <f>装备!#REF!</f>
        <v>#REF!</v>
      </c>
      <c r="J167" t="e">
        <f>装备!#REF!</f>
        <v>#REF!</v>
      </c>
      <c r="K167" t="e">
        <f>装备!#REF!</f>
        <v>#REF!</v>
      </c>
      <c r="L167" t="e">
        <f>装备!#REF!</f>
        <v>#REF!</v>
      </c>
      <c r="M167" t="e">
        <f t="shared" si="28"/>
        <v>#REF!</v>
      </c>
      <c r="N167" t="e">
        <f>装备!#REF!</f>
        <v>#REF!</v>
      </c>
      <c r="O167" t="e">
        <f>装备!#REF!</f>
        <v>#REF!</v>
      </c>
      <c r="P167" t="e">
        <f>装备!#REF!</f>
        <v>#REF!</v>
      </c>
      <c r="Q167" t="e">
        <f>装备!#REF!</f>
        <v>#REF!</v>
      </c>
      <c r="R167" t="e">
        <f>装备!#REF!</f>
        <v>#REF!</v>
      </c>
      <c r="S167" t="e">
        <f>装备!#REF!</f>
        <v>#REF!</v>
      </c>
      <c r="T167" t="e">
        <f>装备!#REF!</f>
        <v>#REF!</v>
      </c>
      <c r="U167" t="e">
        <f>装备!#REF!</f>
        <v>#REF!</v>
      </c>
      <c r="V167" t="e">
        <f>装备!#REF!</f>
        <v>#REF!</v>
      </c>
      <c r="W167" t="e">
        <f>装备!#REF!</f>
        <v>#REF!</v>
      </c>
      <c r="X167" t="e">
        <f t="shared" si="29"/>
        <v>#REF!</v>
      </c>
      <c r="Y167" t="e">
        <f>装备!#REF!</f>
        <v>#REF!</v>
      </c>
      <c r="Z167" t="e">
        <f>装备!#REF!</f>
        <v>#REF!</v>
      </c>
      <c r="AA167" t="e">
        <f>装备!#REF!</f>
        <v>#REF!</v>
      </c>
      <c r="AB167" t="e">
        <f>装备!#REF!</f>
        <v>#REF!</v>
      </c>
      <c r="AC167" t="e">
        <f>装备!#REF!</f>
        <v>#REF!</v>
      </c>
      <c r="AD167" t="e">
        <f>装备!#REF!</f>
        <v>#REF!</v>
      </c>
      <c r="AE167" t="e">
        <f>装备!#REF!</f>
        <v>#REF!</v>
      </c>
      <c r="AF167" t="e">
        <f>装备!#REF!</f>
        <v>#REF!</v>
      </c>
      <c r="AG167" t="e">
        <f>装备!#REF!</f>
        <v>#REF!</v>
      </c>
      <c r="AH167" t="e">
        <f>装备!#REF!</f>
        <v>#REF!</v>
      </c>
      <c r="AI167" t="e">
        <f t="shared" si="30"/>
        <v>#REF!</v>
      </c>
      <c r="AJ167" t="e">
        <f>装备!#REF!</f>
        <v>#REF!</v>
      </c>
      <c r="AK167" t="e">
        <f>装备!#REF!</f>
        <v>#REF!</v>
      </c>
      <c r="AL167" t="e">
        <f>装备!#REF!</f>
        <v>#REF!</v>
      </c>
      <c r="AM167" t="e">
        <f>装备!#REF!</f>
        <v>#REF!</v>
      </c>
      <c r="AN167" t="e">
        <f>装备!#REF!</f>
        <v>#REF!</v>
      </c>
      <c r="AO167" t="e">
        <f>装备!#REF!</f>
        <v>#REF!</v>
      </c>
      <c r="AP167" t="e">
        <f>装备!#REF!</f>
        <v>#REF!</v>
      </c>
      <c r="AQ167" t="e">
        <f>装备!#REF!</f>
        <v>#REF!</v>
      </c>
      <c r="AR167" t="e">
        <f>装备!#REF!</f>
        <v>#REF!</v>
      </c>
      <c r="AS167" t="e">
        <f>装备!#REF!</f>
        <v>#REF!</v>
      </c>
      <c r="AT167" t="e">
        <f t="shared" si="31"/>
        <v>#REF!</v>
      </c>
      <c r="AU167" t="e">
        <f>装备!#REF!</f>
        <v>#REF!</v>
      </c>
      <c r="AV167" t="e">
        <f>装备!#REF!</f>
        <v>#REF!</v>
      </c>
      <c r="AW167" t="e">
        <f>装备!#REF!</f>
        <v>#REF!</v>
      </c>
      <c r="AX167" t="e">
        <f>装备!#REF!</f>
        <v>#REF!</v>
      </c>
      <c r="AY167" t="e">
        <f>装备!#REF!</f>
        <v>#REF!</v>
      </c>
      <c r="AZ167" t="e">
        <f>装备!#REF!</f>
        <v>#REF!</v>
      </c>
      <c r="BA167" t="e">
        <f>装备!#REF!</f>
        <v>#REF!</v>
      </c>
      <c r="BB167" t="e">
        <f>装备!#REF!</f>
        <v>#REF!</v>
      </c>
      <c r="BC167" t="e">
        <f>装备!#REF!</f>
        <v>#REF!</v>
      </c>
      <c r="BD167" t="e">
        <f>装备!#REF!</f>
        <v>#REF!</v>
      </c>
      <c r="BE167" t="e">
        <f t="shared" si="32"/>
        <v>#REF!</v>
      </c>
      <c r="BF167" t="e">
        <f>装备!#REF!</f>
        <v>#REF!</v>
      </c>
      <c r="BG167" t="e">
        <f>装备!#REF!</f>
        <v>#REF!</v>
      </c>
      <c r="BH167" t="e">
        <f>装备!#REF!</f>
        <v>#REF!</v>
      </c>
      <c r="BI167" t="e">
        <f>装备!#REF!</f>
        <v>#REF!</v>
      </c>
      <c r="BJ167" t="e">
        <f>装备!#REF!</f>
        <v>#REF!</v>
      </c>
      <c r="BK167" t="e">
        <f>装备!#REF!</f>
        <v>#REF!</v>
      </c>
      <c r="BL167" t="e">
        <f>装备!#REF!</f>
        <v>#REF!</v>
      </c>
      <c r="BM167" t="e">
        <f>装备!#REF!</f>
        <v>#REF!</v>
      </c>
      <c r="BN167" t="e">
        <f>装备!#REF!</f>
        <v>#REF!</v>
      </c>
      <c r="BO167" t="e">
        <f>装备!#REF!</f>
        <v>#REF!</v>
      </c>
      <c r="BP167" t="e">
        <f t="shared" si="33"/>
        <v>#REF!</v>
      </c>
      <c r="BQ167" t="e">
        <f>装备!#REF!</f>
        <v>#REF!</v>
      </c>
      <c r="BR167" t="e">
        <f>装备!#REF!</f>
        <v>#REF!</v>
      </c>
      <c r="BS167" t="e">
        <f>装备!#REF!</f>
        <v>#REF!</v>
      </c>
      <c r="BT167" t="e">
        <f>装备!#REF!</f>
        <v>#REF!</v>
      </c>
      <c r="BU167" t="e">
        <f>装备!#REF!</f>
        <v>#REF!</v>
      </c>
      <c r="BV167" t="e">
        <f>装备!#REF!</f>
        <v>#REF!</v>
      </c>
      <c r="BW167" t="e">
        <f>装备!#REF!</f>
        <v>#REF!</v>
      </c>
      <c r="BX167" t="e">
        <f>装备!#REF!</f>
        <v>#REF!</v>
      </c>
      <c r="BY167" t="e">
        <f>装备!#REF!</f>
        <v>#REF!</v>
      </c>
      <c r="BZ167" t="e">
        <f>装备!#REF!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装备!#REF!</f>
        <v>#REF!</v>
      </c>
      <c r="B168" t="e">
        <f>装备!#REF!</f>
        <v>#REF!</v>
      </c>
      <c r="C168" t="e">
        <f>装备!#REF!</f>
        <v>#REF!</v>
      </c>
      <c r="D168" t="e">
        <f>装备!#REF!</f>
        <v>#REF!</v>
      </c>
      <c r="E168" t="e">
        <f>装备!#REF!</f>
        <v>#REF!</v>
      </c>
      <c r="F168" t="e">
        <f>装备!#REF!</f>
        <v>#REF!</v>
      </c>
      <c r="G168" t="e">
        <f>装备!#REF!</f>
        <v>#REF!</v>
      </c>
      <c r="H168" t="e">
        <f>装备!#REF!</f>
        <v>#REF!</v>
      </c>
      <c r="I168" t="e">
        <f>装备!#REF!</f>
        <v>#REF!</v>
      </c>
      <c r="J168" t="e">
        <f>装备!#REF!</f>
        <v>#REF!</v>
      </c>
      <c r="K168" t="e">
        <f>装备!#REF!</f>
        <v>#REF!</v>
      </c>
      <c r="L168" t="e">
        <f>装备!#REF!</f>
        <v>#REF!</v>
      </c>
      <c r="M168" t="e">
        <f t="shared" si="28"/>
        <v>#REF!</v>
      </c>
      <c r="N168" t="e">
        <f>装备!#REF!</f>
        <v>#REF!</v>
      </c>
      <c r="O168" t="e">
        <f>装备!#REF!</f>
        <v>#REF!</v>
      </c>
      <c r="P168" t="e">
        <f>装备!#REF!</f>
        <v>#REF!</v>
      </c>
      <c r="Q168" t="e">
        <f>装备!#REF!</f>
        <v>#REF!</v>
      </c>
      <c r="R168" t="e">
        <f>装备!#REF!</f>
        <v>#REF!</v>
      </c>
      <c r="S168" t="e">
        <f>装备!#REF!</f>
        <v>#REF!</v>
      </c>
      <c r="T168" t="e">
        <f>装备!#REF!</f>
        <v>#REF!</v>
      </c>
      <c r="U168" t="e">
        <f>装备!#REF!</f>
        <v>#REF!</v>
      </c>
      <c r="V168" t="e">
        <f>装备!#REF!</f>
        <v>#REF!</v>
      </c>
      <c r="W168" t="e">
        <f>装备!#REF!</f>
        <v>#REF!</v>
      </c>
      <c r="X168" t="e">
        <f t="shared" si="29"/>
        <v>#REF!</v>
      </c>
      <c r="Y168" t="e">
        <f>装备!#REF!</f>
        <v>#REF!</v>
      </c>
      <c r="Z168" t="e">
        <f>装备!#REF!</f>
        <v>#REF!</v>
      </c>
      <c r="AA168" t="e">
        <f>装备!#REF!</f>
        <v>#REF!</v>
      </c>
      <c r="AB168" t="e">
        <f>装备!#REF!</f>
        <v>#REF!</v>
      </c>
      <c r="AC168" t="e">
        <f>装备!#REF!</f>
        <v>#REF!</v>
      </c>
      <c r="AD168" t="e">
        <f>装备!#REF!</f>
        <v>#REF!</v>
      </c>
      <c r="AE168" t="e">
        <f>装备!#REF!</f>
        <v>#REF!</v>
      </c>
      <c r="AF168" t="e">
        <f>装备!#REF!</f>
        <v>#REF!</v>
      </c>
      <c r="AG168" t="e">
        <f>装备!#REF!</f>
        <v>#REF!</v>
      </c>
      <c r="AH168" t="e">
        <f>装备!#REF!</f>
        <v>#REF!</v>
      </c>
      <c r="AI168" t="e">
        <f t="shared" si="30"/>
        <v>#REF!</v>
      </c>
      <c r="AJ168" t="e">
        <f>装备!#REF!</f>
        <v>#REF!</v>
      </c>
      <c r="AK168" t="e">
        <f>装备!#REF!</f>
        <v>#REF!</v>
      </c>
      <c r="AL168" t="e">
        <f>装备!#REF!</f>
        <v>#REF!</v>
      </c>
      <c r="AM168" t="e">
        <f>装备!#REF!</f>
        <v>#REF!</v>
      </c>
      <c r="AN168" t="e">
        <f>装备!#REF!</f>
        <v>#REF!</v>
      </c>
      <c r="AO168" t="e">
        <f>装备!#REF!</f>
        <v>#REF!</v>
      </c>
      <c r="AP168" t="e">
        <f>装备!#REF!</f>
        <v>#REF!</v>
      </c>
      <c r="AQ168" t="e">
        <f>装备!#REF!</f>
        <v>#REF!</v>
      </c>
      <c r="AR168" t="e">
        <f>装备!#REF!</f>
        <v>#REF!</v>
      </c>
      <c r="AS168" t="e">
        <f>装备!#REF!</f>
        <v>#REF!</v>
      </c>
      <c r="AT168" t="e">
        <f t="shared" si="31"/>
        <v>#REF!</v>
      </c>
      <c r="AU168" t="e">
        <f>装备!#REF!</f>
        <v>#REF!</v>
      </c>
      <c r="AV168" t="e">
        <f>装备!#REF!</f>
        <v>#REF!</v>
      </c>
      <c r="AW168" t="e">
        <f>装备!#REF!</f>
        <v>#REF!</v>
      </c>
      <c r="AX168" t="e">
        <f>装备!#REF!</f>
        <v>#REF!</v>
      </c>
      <c r="AY168" t="e">
        <f>装备!#REF!</f>
        <v>#REF!</v>
      </c>
      <c r="AZ168" t="e">
        <f>装备!#REF!</f>
        <v>#REF!</v>
      </c>
      <c r="BA168" t="e">
        <f>装备!#REF!</f>
        <v>#REF!</v>
      </c>
      <c r="BB168" t="e">
        <f>装备!#REF!</f>
        <v>#REF!</v>
      </c>
      <c r="BC168" t="e">
        <f>装备!#REF!</f>
        <v>#REF!</v>
      </c>
      <c r="BD168" t="e">
        <f>装备!#REF!</f>
        <v>#REF!</v>
      </c>
      <c r="BE168" t="e">
        <f t="shared" si="32"/>
        <v>#REF!</v>
      </c>
      <c r="BF168" t="e">
        <f>装备!#REF!</f>
        <v>#REF!</v>
      </c>
      <c r="BG168" t="e">
        <f>装备!#REF!</f>
        <v>#REF!</v>
      </c>
      <c r="BH168" t="e">
        <f>装备!#REF!</f>
        <v>#REF!</v>
      </c>
      <c r="BI168" t="e">
        <f>装备!#REF!</f>
        <v>#REF!</v>
      </c>
      <c r="BJ168" t="e">
        <f>装备!#REF!</f>
        <v>#REF!</v>
      </c>
      <c r="BK168" t="e">
        <f>装备!#REF!</f>
        <v>#REF!</v>
      </c>
      <c r="BL168" t="e">
        <f>装备!#REF!</f>
        <v>#REF!</v>
      </c>
      <c r="BM168" t="e">
        <f>装备!#REF!</f>
        <v>#REF!</v>
      </c>
      <c r="BN168" t="e">
        <f>装备!#REF!</f>
        <v>#REF!</v>
      </c>
      <c r="BO168" t="e">
        <f>装备!#REF!</f>
        <v>#REF!</v>
      </c>
      <c r="BP168" t="e">
        <f t="shared" si="33"/>
        <v>#REF!</v>
      </c>
      <c r="BQ168" t="e">
        <f>装备!#REF!</f>
        <v>#REF!</v>
      </c>
      <c r="BR168" t="e">
        <f>装备!#REF!</f>
        <v>#REF!</v>
      </c>
      <c r="BS168" t="e">
        <f>装备!#REF!</f>
        <v>#REF!</v>
      </c>
      <c r="BT168" t="e">
        <f>装备!#REF!</f>
        <v>#REF!</v>
      </c>
      <c r="BU168" t="e">
        <f>装备!#REF!</f>
        <v>#REF!</v>
      </c>
      <c r="BV168" t="e">
        <f>装备!#REF!</f>
        <v>#REF!</v>
      </c>
      <c r="BW168" t="e">
        <f>装备!#REF!</f>
        <v>#REF!</v>
      </c>
      <c r="BX168" t="e">
        <f>装备!#REF!</f>
        <v>#REF!</v>
      </c>
      <c r="BY168" t="e">
        <f>装备!#REF!</f>
        <v>#REF!</v>
      </c>
      <c r="BZ168" t="e">
        <f>装备!#REF!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装备!#REF!</f>
        <v>#REF!</v>
      </c>
      <c r="B169" t="e">
        <f>装备!#REF!</f>
        <v>#REF!</v>
      </c>
      <c r="C169" t="e">
        <f>装备!#REF!</f>
        <v>#REF!</v>
      </c>
      <c r="D169" t="e">
        <f>装备!#REF!</f>
        <v>#REF!</v>
      </c>
      <c r="E169" t="e">
        <f>装备!#REF!</f>
        <v>#REF!</v>
      </c>
      <c r="F169" t="e">
        <f>装备!#REF!</f>
        <v>#REF!</v>
      </c>
      <c r="G169" t="e">
        <f>装备!#REF!</f>
        <v>#REF!</v>
      </c>
      <c r="H169" t="e">
        <f>装备!#REF!</f>
        <v>#REF!</v>
      </c>
      <c r="I169" t="e">
        <f>装备!#REF!</f>
        <v>#REF!</v>
      </c>
      <c r="J169" t="e">
        <f>装备!#REF!</f>
        <v>#REF!</v>
      </c>
      <c r="K169" t="e">
        <f>装备!#REF!</f>
        <v>#REF!</v>
      </c>
      <c r="L169" t="e">
        <f>装备!#REF!</f>
        <v>#REF!</v>
      </c>
      <c r="M169" t="e">
        <f t="shared" si="28"/>
        <v>#REF!</v>
      </c>
      <c r="N169" t="e">
        <f>装备!#REF!</f>
        <v>#REF!</v>
      </c>
      <c r="O169" t="e">
        <f>装备!#REF!</f>
        <v>#REF!</v>
      </c>
      <c r="P169" t="e">
        <f>装备!#REF!</f>
        <v>#REF!</v>
      </c>
      <c r="Q169" t="e">
        <f>装备!#REF!</f>
        <v>#REF!</v>
      </c>
      <c r="R169" t="e">
        <f>装备!#REF!</f>
        <v>#REF!</v>
      </c>
      <c r="S169" t="e">
        <f>装备!#REF!</f>
        <v>#REF!</v>
      </c>
      <c r="T169" t="e">
        <f>装备!#REF!</f>
        <v>#REF!</v>
      </c>
      <c r="U169" t="e">
        <f>装备!#REF!</f>
        <v>#REF!</v>
      </c>
      <c r="V169" t="e">
        <f>装备!#REF!</f>
        <v>#REF!</v>
      </c>
      <c r="W169" t="e">
        <f>装备!#REF!</f>
        <v>#REF!</v>
      </c>
      <c r="X169" t="e">
        <f t="shared" si="29"/>
        <v>#REF!</v>
      </c>
      <c r="Y169" t="e">
        <f>装备!#REF!</f>
        <v>#REF!</v>
      </c>
      <c r="Z169" t="e">
        <f>装备!#REF!</f>
        <v>#REF!</v>
      </c>
      <c r="AA169" t="e">
        <f>装备!#REF!</f>
        <v>#REF!</v>
      </c>
      <c r="AB169" t="e">
        <f>装备!#REF!</f>
        <v>#REF!</v>
      </c>
      <c r="AC169" t="e">
        <f>装备!#REF!</f>
        <v>#REF!</v>
      </c>
      <c r="AD169" t="e">
        <f>装备!#REF!</f>
        <v>#REF!</v>
      </c>
      <c r="AE169" t="e">
        <f>装备!#REF!</f>
        <v>#REF!</v>
      </c>
      <c r="AF169" t="e">
        <f>装备!#REF!</f>
        <v>#REF!</v>
      </c>
      <c r="AG169" t="e">
        <f>装备!#REF!</f>
        <v>#REF!</v>
      </c>
      <c r="AH169" t="e">
        <f>装备!#REF!</f>
        <v>#REF!</v>
      </c>
      <c r="AI169" t="e">
        <f t="shared" si="30"/>
        <v>#REF!</v>
      </c>
      <c r="AJ169" t="e">
        <f>装备!#REF!</f>
        <v>#REF!</v>
      </c>
      <c r="AK169" t="e">
        <f>装备!#REF!</f>
        <v>#REF!</v>
      </c>
      <c r="AL169" t="e">
        <f>装备!#REF!</f>
        <v>#REF!</v>
      </c>
      <c r="AM169" t="e">
        <f>装备!#REF!</f>
        <v>#REF!</v>
      </c>
      <c r="AN169" t="e">
        <f>装备!#REF!</f>
        <v>#REF!</v>
      </c>
      <c r="AO169" t="e">
        <f>装备!#REF!</f>
        <v>#REF!</v>
      </c>
      <c r="AP169" t="e">
        <f>装备!#REF!</f>
        <v>#REF!</v>
      </c>
      <c r="AQ169" t="e">
        <f>装备!#REF!</f>
        <v>#REF!</v>
      </c>
      <c r="AR169" t="e">
        <f>装备!#REF!</f>
        <v>#REF!</v>
      </c>
      <c r="AS169" t="e">
        <f>装备!#REF!</f>
        <v>#REF!</v>
      </c>
      <c r="AT169" t="e">
        <f t="shared" si="31"/>
        <v>#REF!</v>
      </c>
      <c r="AU169" t="e">
        <f>装备!#REF!</f>
        <v>#REF!</v>
      </c>
      <c r="AV169" t="e">
        <f>装备!#REF!</f>
        <v>#REF!</v>
      </c>
      <c r="AW169" t="e">
        <f>装备!#REF!</f>
        <v>#REF!</v>
      </c>
      <c r="AX169" t="e">
        <f>装备!#REF!</f>
        <v>#REF!</v>
      </c>
      <c r="AY169" t="e">
        <f>装备!#REF!</f>
        <v>#REF!</v>
      </c>
      <c r="AZ169" t="e">
        <f>装备!#REF!</f>
        <v>#REF!</v>
      </c>
      <c r="BA169" t="e">
        <f>装备!#REF!</f>
        <v>#REF!</v>
      </c>
      <c r="BB169" t="e">
        <f>装备!#REF!</f>
        <v>#REF!</v>
      </c>
      <c r="BC169" t="e">
        <f>装备!#REF!</f>
        <v>#REF!</v>
      </c>
      <c r="BD169" t="e">
        <f>装备!#REF!</f>
        <v>#REF!</v>
      </c>
      <c r="BE169" t="e">
        <f t="shared" si="32"/>
        <v>#REF!</v>
      </c>
      <c r="BF169" t="e">
        <f>装备!#REF!</f>
        <v>#REF!</v>
      </c>
      <c r="BG169" t="e">
        <f>装备!#REF!</f>
        <v>#REF!</v>
      </c>
      <c r="BH169" t="e">
        <f>装备!#REF!</f>
        <v>#REF!</v>
      </c>
      <c r="BI169" t="e">
        <f>装备!#REF!</f>
        <v>#REF!</v>
      </c>
      <c r="BJ169" t="e">
        <f>装备!#REF!</f>
        <v>#REF!</v>
      </c>
      <c r="BK169" t="e">
        <f>装备!#REF!</f>
        <v>#REF!</v>
      </c>
      <c r="BL169" t="e">
        <f>装备!#REF!</f>
        <v>#REF!</v>
      </c>
      <c r="BM169" t="e">
        <f>装备!#REF!</f>
        <v>#REF!</v>
      </c>
      <c r="BN169" t="e">
        <f>装备!#REF!</f>
        <v>#REF!</v>
      </c>
      <c r="BO169" t="e">
        <f>装备!#REF!</f>
        <v>#REF!</v>
      </c>
      <c r="BP169" t="e">
        <f t="shared" si="33"/>
        <v>#REF!</v>
      </c>
      <c r="BQ169" t="e">
        <f>装备!#REF!</f>
        <v>#REF!</v>
      </c>
      <c r="BR169" t="e">
        <f>装备!#REF!</f>
        <v>#REF!</v>
      </c>
      <c r="BS169" t="e">
        <f>装备!#REF!</f>
        <v>#REF!</v>
      </c>
      <c r="BT169" t="e">
        <f>装备!#REF!</f>
        <v>#REF!</v>
      </c>
      <c r="BU169" t="e">
        <f>装备!#REF!</f>
        <v>#REF!</v>
      </c>
      <c r="BV169" t="e">
        <f>装备!#REF!</f>
        <v>#REF!</v>
      </c>
      <c r="BW169" t="e">
        <f>装备!#REF!</f>
        <v>#REF!</v>
      </c>
      <c r="BX169" t="e">
        <f>装备!#REF!</f>
        <v>#REF!</v>
      </c>
      <c r="BY169" t="e">
        <f>装备!#REF!</f>
        <v>#REF!</v>
      </c>
      <c r="BZ169" t="e">
        <f>装备!#REF!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装备!#REF!</f>
        <v>#REF!</v>
      </c>
      <c r="B170" t="e">
        <f>装备!#REF!</f>
        <v>#REF!</v>
      </c>
      <c r="C170" t="e">
        <f>装备!#REF!</f>
        <v>#REF!</v>
      </c>
      <c r="D170" t="e">
        <f>装备!#REF!</f>
        <v>#REF!</v>
      </c>
      <c r="E170" t="e">
        <f>装备!#REF!</f>
        <v>#REF!</v>
      </c>
      <c r="F170" t="e">
        <f>装备!#REF!</f>
        <v>#REF!</v>
      </c>
      <c r="G170" t="e">
        <f>装备!#REF!</f>
        <v>#REF!</v>
      </c>
      <c r="H170" t="e">
        <f>装备!#REF!</f>
        <v>#REF!</v>
      </c>
      <c r="I170" t="e">
        <f>装备!#REF!</f>
        <v>#REF!</v>
      </c>
      <c r="J170" t="e">
        <f>装备!#REF!</f>
        <v>#REF!</v>
      </c>
      <c r="K170" t="e">
        <f>装备!#REF!</f>
        <v>#REF!</v>
      </c>
      <c r="L170" t="e">
        <f>装备!#REF!</f>
        <v>#REF!</v>
      </c>
      <c r="M170" t="e">
        <f t="shared" si="28"/>
        <v>#REF!</v>
      </c>
      <c r="N170" t="e">
        <f>装备!#REF!</f>
        <v>#REF!</v>
      </c>
      <c r="O170" t="e">
        <f>装备!#REF!</f>
        <v>#REF!</v>
      </c>
      <c r="P170" t="e">
        <f>装备!#REF!</f>
        <v>#REF!</v>
      </c>
      <c r="Q170" t="e">
        <f>装备!#REF!</f>
        <v>#REF!</v>
      </c>
      <c r="R170" t="e">
        <f>装备!#REF!</f>
        <v>#REF!</v>
      </c>
      <c r="S170" t="e">
        <f>装备!#REF!</f>
        <v>#REF!</v>
      </c>
      <c r="T170" t="e">
        <f>装备!#REF!</f>
        <v>#REF!</v>
      </c>
      <c r="U170" t="e">
        <f>装备!#REF!</f>
        <v>#REF!</v>
      </c>
      <c r="V170" t="e">
        <f>装备!#REF!</f>
        <v>#REF!</v>
      </c>
      <c r="W170" t="e">
        <f>装备!#REF!</f>
        <v>#REF!</v>
      </c>
      <c r="X170" t="e">
        <f t="shared" si="29"/>
        <v>#REF!</v>
      </c>
      <c r="Y170" t="e">
        <f>装备!#REF!</f>
        <v>#REF!</v>
      </c>
      <c r="Z170" t="e">
        <f>装备!#REF!</f>
        <v>#REF!</v>
      </c>
      <c r="AA170" t="e">
        <f>装备!#REF!</f>
        <v>#REF!</v>
      </c>
      <c r="AB170" t="e">
        <f>装备!#REF!</f>
        <v>#REF!</v>
      </c>
      <c r="AC170" t="e">
        <f>装备!#REF!</f>
        <v>#REF!</v>
      </c>
      <c r="AD170" t="e">
        <f>装备!#REF!</f>
        <v>#REF!</v>
      </c>
      <c r="AE170" t="e">
        <f>装备!#REF!</f>
        <v>#REF!</v>
      </c>
      <c r="AF170" t="e">
        <f>装备!#REF!</f>
        <v>#REF!</v>
      </c>
      <c r="AG170" t="e">
        <f>装备!#REF!</f>
        <v>#REF!</v>
      </c>
      <c r="AH170" t="e">
        <f>装备!#REF!</f>
        <v>#REF!</v>
      </c>
      <c r="AI170" t="e">
        <f t="shared" si="30"/>
        <v>#REF!</v>
      </c>
      <c r="AJ170" t="e">
        <f>装备!#REF!</f>
        <v>#REF!</v>
      </c>
      <c r="AK170" t="e">
        <f>装备!#REF!</f>
        <v>#REF!</v>
      </c>
      <c r="AL170" t="e">
        <f>装备!#REF!</f>
        <v>#REF!</v>
      </c>
      <c r="AM170" t="e">
        <f>装备!#REF!</f>
        <v>#REF!</v>
      </c>
      <c r="AN170" t="e">
        <f>装备!#REF!</f>
        <v>#REF!</v>
      </c>
      <c r="AO170" t="e">
        <f>装备!#REF!</f>
        <v>#REF!</v>
      </c>
      <c r="AP170" t="e">
        <f>装备!#REF!</f>
        <v>#REF!</v>
      </c>
      <c r="AQ170" t="e">
        <f>装备!#REF!</f>
        <v>#REF!</v>
      </c>
      <c r="AR170" t="e">
        <f>装备!#REF!</f>
        <v>#REF!</v>
      </c>
      <c r="AS170" t="e">
        <f>装备!#REF!</f>
        <v>#REF!</v>
      </c>
      <c r="AT170" t="e">
        <f t="shared" si="31"/>
        <v>#REF!</v>
      </c>
      <c r="AU170" t="e">
        <f>装备!#REF!</f>
        <v>#REF!</v>
      </c>
      <c r="AV170" t="e">
        <f>装备!#REF!</f>
        <v>#REF!</v>
      </c>
      <c r="AW170" t="e">
        <f>装备!#REF!</f>
        <v>#REF!</v>
      </c>
      <c r="AX170" t="e">
        <f>装备!#REF!</f>
        <v>#REF!</v>
      </c>
      <c r="AY170" t="e">
        <f>装备!#REF!</f>
        <v>#REF!</v>
      </c>
      <c r="AZ170" t="e">
        <f>装备!#REF!</f>
        <v>#REF!</v>
      </c>
      <c r="BA170" t="e">
        <f>装备!#REF!</f>
        <v>#REF!</v>
      </c>
      <c r="BB170" t="e">
        <f>装备!#REF!</f>
        <v>#REF!</v>
      </c>
      <c r="BC170" t="e">
        <f>装备!#REF!</f>
        <v>#REF!</v>
      </c>
      <c r="BD170" t="e">
        <f>装备!#REF!</f>
        <v>#REF!</v>
      </c>
      <c r="BE170" t="e">
        <f t="shared" si="32"/>
        <v>#REF!</v>
      </c>
      <c r="BF170" t="e">
        <f>装备!#REF!</f>
        <v>#REF!</v>
      </c>
      <c r="BG170" t="e">
        <f>装备!#REF!</f>
        <v>#REF!</v>
      </c>
      <c r="BH170" t="e">
        <f>装备!#REF!</f>
        <v>#REF!</v>
      </c>
      <c r="BI170" t="e">
        <f>装备!#REF!</f>
        <v>#REF!</v>
      </c>
      <c r="BJ170" t="e">
        <f>装备!#REF!</f>
        <v>#REF!</v>
      </c>
      <c r="BK170" t="e">
        <f>装备!#REF!</f>
        <v>#REF!</v>
      </c>
      <c r="BL170" t="e">
        <f>装备!#REF!</f>
        <v>#REF!</v>
      </c>
      <c r="BM170" t="e">
        <f>装备!#REF!</f>
        <v>#REF!</v>
      </c>
      <c r="BN170" t="e">
        <f>装备!#REF!</f>
        <v>#REF!</v>
      </c>
      <c r="BO170" t="e">
        <f>装备!#REF!</f>
        <v>#REF!</v>
      </c>
      <c r="BP170" t="e">
        <f t="shared" si="33"/>
        <v>#REF!</v>
      </c>
      <c r="BQ170" t="e">
        <f>装备!#REF!</f>
        <v>#REF!</v>
      </c>
      <c r="BR170" t="e">
        <f>装备!#REF!</f>
        <v>#REF!</v>
      </c>
      <c r="BS170" t="e">
        <f>装备!#REF!</f>
        <v>#REF!</v>
      </c>
      <c r="BT170" t="e">
        <f>装备!#REF!</f>
        <v>#REF!</v>
      </c>
      <c r="BU170" t="e">
        <f>装备!#REF!</f>
        <v>#REF!</v>
      </c>
      <c r="BV170" t="e">
        <f>装备!#REF!</f>
        <v>#REF!</v>
      </c>
      <c r="BW170" t="e">
        <f>装备!#REF!</f>
        <v>#REF!</v>
      </c>
      <c r="BX170" t="e">
        <f>装备!#REF!</f>
        <v>#REF!</v>
      </c>
      <c r="BY170" t="e">
        <f>装备!#REF!</f>
        <v>#REF!</v>
      </c>
      <c r="BZ170" t="e">
        <f>装备!#REF!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装备!#REF!</f>
        <v>#REF!</v>
      </c>
      <c r="B171" t="e">
        <f>装备!#REF!</f>
        <v>#REF!</v>
      </c>
      <c r="C171" t="e">
        <f>装备!#REF!</f>
        <v>#REF!</v>
      </c>
      <c r="D171" t="e">
        <f>装备!#REF!</f>
        <v>#REF!</v>
      </c>
      <c r="E171" t="e">
        <f>装备!#REF!</f>
        <v>#REF!</v>
      </c>
      <c r="F171" t="e">
        <f>装备!#REF!</f>
        <v>#REF!</v>
      </c>
      <c r="G171" t="e">
        <f>装备!#REF!</f>
        <v>#REF!</v>
      </c>
      <c r="H171" t="e">
        <f>装备!#REF!</f>
        <v>#REF!</v>
      </c>
      <c r="I171" t="e">
        <f>装备!#REF!</f>
        <v>#REF!</v>
      </c>
      <c r="J171" t="e">
        <f>装备!#REF!</f>
        <v>#REF!</v>
      </c>
      <c r="K171" t="e">
        <f>装备!#REF!</f>
        <v>#REF!</v>
      </c>
      <c r="L171" t="e">
        <f>装备!#REF!</f>
        <v>#REF!</v>
      </c>
      <c r="M171" t="e">
        <f t="shared" si="28"/>
        <v>#REF!</v>
      </c>
      <c r="N171" t="e">
        <f>装备!#REF!</f>
        <v>#REF!</v>
      </c>
      <c r="O171" t="e">
        <f>装备!#REF!</f>
        <v>#REF!</v>
      </c>
      <c r="P171" t="e">
        <f>装备!#REF!</f>
        <v>#REF!</v>
      </c>
      <c r="Q171" t="e">
        <f>装备!#REF!</f>
        <v>#REF!</v>
      </c>
      <c r="R171" t="e">
        <f>装备!#REF!</f>
        <v>#REF!</v>
      </c>
      <c r="S171" t="e">
        <f>装备!#REF!</f>
        <v>#REF!</v>
      </c>
      <c r="T171" t="e">
        <f>装备!#REF!</f>
        <v>#REF!</v>
      </c>
      <c r="U171" t="e">
        <f>装备!#REF!</f>
        <v>#REF!</v>
      </c>
      <c r="V171" t="e">
        <f>装备!#REF!</f>
        <v>#REF!</v>
      </c>
      <c r="W171" t="e">
        <f>装备!#REF!</f>
        <v>#REF!</v>
      </c>
      <c r="X171" t="e">
        <f t="shared" si="29"/>
        <v>#REF!</v>
      </c>
      <c r="Y171" t="e">
        <f>装备!#REF!</f>
        <v>#REF!</v>
      </c>
      <c r="Z171" t="e">
        <f>装备!#REF!</f>
        <v>#REF!</v>
      </c>
      <c r="AA171" t="e">
        <f>装备!#REF!</f>
        <v>#REF!</v>
      </c>
      <c r="AB171" t="e">
        <f>装备!#REF!</f>
        <v>#REF!</v>
      </c>
      <c r="AC171" t="e">
        <f>装备!#REF!</f>
        <v>#REF!</v>
      </c>
      <c r="AD171" t="e">
        <f>装备!#REF!</f>
        <v>#REF!</v>
      </c>
      <c r="AE171" t="e">
        <f>装备!#REF!</f>
        <v>#REF!</v>
      </c>
      <c r="AF171" t="e">
        <f>装备!#REF!</f>
        <v>#REF!</v>
      </c>
      <c r="AG171" t="e">
        <f>装备!#REF!</f>
        <v>#REF!</v>
      </c>
      <c r="AH171" t="e">
        <f>装备!#REF!</f>
        <v>#REF!</v>
      </c>
      <c r="AI171" t="e">
        <f t="shared" si="30"/>
        <v>#REF!</v>
      </c>
      <c r="AJ171" t="e">
        <f>装备!#REF!</f>
        <v>#REF!</v>
      </c>
      <c r="AK171" t="e">
        <f>装备!#REF!</f>
        <v>#REF!</v>
      </c>
      <c r="AL171" t="e">
        <f>装备!#REF!</f>
        <v>#REF!</v>
      </c>
      <c r="AM171" t="e">
        <f>装备!#REF!</f>
        <v>#REF!</v>
      </c>
      <c r="AN171" t="e">
        <f>装备!#REF!</f>
        <v>#REF!</v>
      </c>
      <c r="AO171" t="e">
        <f>装备!#REF!</f>
        <v>#REF!</v>
      </c>
      <c r="AP171" t="e">
        <f>装备!#REF!</f>
        <v>#REF!</v>
      </c>
      <c r="AQ171" t="e">
        <f>装备!#REF!</f>
        <v>#REF!</v>
      </c>
      <c r="AR171" t="e">
        <f>装备!#REF!</f>
        <v>#REF!</v>
      </c>
      <c r="AS171" t="e">
        <f>装备!#REF!</f>
        <v>#REF!</v>
      </c>
      <c r="AT171" t="e">
        <f t="shared" si="31"/>
        <v>#REF!</v>
      </c>
      <c r="AU171" t="e">
        <f>装备!#REF!</f>
        <v>#REF!</v>
      </c>
      <c r="AV171" t="e">
        <f>装备!#REF!</f>
        <v>#REF!</v>
      </c>
      <c r="AW171" t="e">
        <f>装备!#REF!</f>
        <v>#REF!</v>
      </c>
      <c r="AX171" t="e">
        <f>装备!#REF!</f>
        <v>#REF!</v>
      </c>
      <c r="AY171" t="e">
        <f>装备!#REF!</f>
        <v>#REF!</v>
      </c>
      <c r="AZ171" t="e">
        <f>装备!#REF!</f>
        <v>#REF!</v>
      </c>
      <c r="BA171" t="e">
        <f>装备!#REF!</f>
        <v>#REF!</v>
      </c>
      <c r="BB171" t="e">
        <f>装备!#REF!</f>
        <v>#REF!</v>
      </c>
      <c r="BC171" t="e">
        <f>装备!#REF!</f>
        <v>#REF!</v>
      </c>
      <c r="BD171" t="e">
        <f>装备!#REF!</f>
        <v>#REF!</v>
      </c>
      <c r="BE171" t="e">
        <f t="shared" si="32"/>
        <v>#REF!</v>
      </c>
      <c r="BF171" t="e">
        <f>装备!#REF!</f>
        <v>#REF!</v>
      </c>
      <c r="BG171" t="e">
        <f>装备!#REF!</f>
        <v>#REF!</v>
      </c>
      <c r="BH171" t="e">
        <f>装备!#REF!</f>
        <v>#REF!</v>
      </c>
      <c r="BI171" t="e">
        <f>装备!#REF!</f>
        <v>#REF!</v>
      </c>
      <c r="BJ171" t="e">
        <f>装备!#REF!</f>
        <v>#REF!</v>
      </c>
      <c r="BK171" t="e">
        <f>装备!#REF!</f>
        <v>#REF!</v>
      </c>
      <c r="BL171" t="e">
        <f>装备!#REF!</f>
        <v>#REF!</v>
      </c>
      <c r="BM171" t="e">
        <f>装备!#REF!</f>
        <v>#REF!</v>
      </c>
      <c r="BN171" t="e">
        <f>装备!#REF!</f>
        <v>#REF!</v>
      </c>
      <c r="BO171" t="e">
        <f>装备!#REF!</f>
        <v>#REF!</v>
      </c>
      <c r="BP171" t="e">
        <f t="shared" si="33"/>
        <v>#REF!</v>
      </c>
      <c r="BQ171" t="e">
        <f>装备!#REF!</f>
        <v>#REF!</v>
      </c>
      <c r="BR171" t="e">
        <f>装备!#REF!</f>
        <v>#REF!</v>
      </c>
      <c r="BS171" t="e">
        <f>装备!#REF!</f>
        <v>#REF!</v>
      </c>
      <c r="BT171" t="e">
        <f>装备!#REF!</f>
        <v>#REF!</v>
      </c>
      <c r="BU171" t="e">
        <f>装备!#REF!</f>
        <v>#REF!</v>
      </c>
      <c r="BV171" t="e">
        <f>装备!#REF!</f>
        <v>#REF!</v>
      </c>
      <c r="BW171" t="e">
        <f>装备!#REF!</f>
        <v>#REF!</v>
      </c>
      <c r="BX171" t="e">
        <f>装备!#REF!</f>
        <v>#REF!</v>
      </c>
      <c r="BY171" t="e">
        <f>装备!#REF!</f>
        <v>#REF!</v>
      </c>
      <c r="BZ171" t="e">
        <f>装备!#REF!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装备!#REF!</f>
        <v>#REF!</v>
      </c>
      <c r="B172" t="e">
        <f>装备!#REF!</f>
        <v>#REF!</v>
      </c>
      <c r="C172" t="e">
        <f>装备!#REF!</f>
        <v>#REF!</v>
      </c>
      <c r="D172" t="e">
        <f>装备!#REF!</f>
        <v>#REF!</v>
      </c>
      <c r="E172" t="e">
        <f>装备!#REF!</f>
        <v>#REF!</v>
      </c>
      <c r="F172" t="e">
        <f>装备!#REF!</f>
        <v>#REF!</v>
      </c>
      <c r="G172" t="e">
        <f>装备!#REF!</f>
        <v>#REF!</v>
      </c>
      <c r="H172" t="e">
        <f>装备!#REF!</f>
        <v>#REF!</v>
      </c>
      <c r="I172" t="e">
        <f>装备!#REF!</f>
        <v>#REF!</v>
      </c>
      <c r="J172" t="e">
        <f>装备!#REF!</f>
        <v>#REF!</v>
      </c>
      <c r="K172" t="e">
        <f>装备!#REF!</f>
        <v>#REF!</v>
      </c>
      <c r="L172" t="e">
        <f>装备!#REF!</f>
        <v>#REF!</v>
      </c>
      <c r="M172" t="e">
        <f t="shared" si="28"/>
        <v>#REF!</v>
      </c>
      <c r="N172" t="e">
        <f>装备!#REF!</f>
        <v>#REF!</v>
      </c>
      <c r="O172" t="e">
        <f>装备!#REF!</f>
        <v>#REF!</v>
      </c>
      <c r="P172" t="e">
        <f>装备!#REF!</f>
        <v>#REF!</v>
      </c>
      <c r="Q172" t="e">
        <f>装备!#REF!</f>
        <v>#REF!</v>
      </c>
      <c r="R172" t="e">
        <f>装备!#REF!</f>
        <v>#REF!</v>
      </c>
      <c r="S172" t="e">
        <f>装备!#REF!</f>
        <v>#REF!</v>
      </c>
      <c r="T172" t="e">
        <f>装备!#REF!</f>
        <v>#REF!</v>
      </c>
      <c r="U172" t="e">
        <f>装备!#REF!</f>
        <v>#REF!</v>
      </c>
      <c r="V172" t="e">
        <f>装备!#REF!</f>
        <v>#REF!</v>
      </c>
      <c r="W172" t="e">
        <f>装备!#REF!</f>
        <v>#REF!</v>
      </c>
      <c r="X172" t="e">
        <f t="shared" si="29"/>
        <v>#REF!</v>
      </c>
      <c r="Y172" t="e">
        <f>装备!#REF!</f>
        <v>#REF!</v>
      </c>
      <c r="Z172" t="e">
        <f>装备!#REF!</f>
        <v>#REF!</v>
      </c>
      <c r="AA172" t="e">
        <f>装备!#REF!</f>
        <v>#REF!</v>
      </c>
      <c r="AB172" t="e">
        <f>装备!#REF!</f>
        <v>#REF!</v>
      </c>
      <c r="AC172" t="e">
        <f>装备!#REF!</f>
        <v>#REF!</v>
      </c>
      <c r="AD172" t="e">
        <f>装备!#REF!</f>
        <v>#REF!</v>
      </c>
      <c r="AE172" t="e">
        <f>装备!#REF!</f>
        <v>#REF!</v>
      </c>
      <c r="AF172" t="e">
        <f>装备!#REF!</f>
        <v>#REF!</v>
      </c>
      <c r="AG172" t="e">
        <f>装备!#REF!</f>
        <v>#REF!</v>
      </c>
      <c r="AH172" t="e">
        <f>装备!#REF!</f>
        <v>#REF!</v>
      </c>
      <c r="AI172" t="e">
        <f t="shared" si="30"/>
        <v>#REF!</v>
      </c>
      <c r="AJ172" t="e">
        <f>装备!#REF!</f>
        <v>#REF!</v>
      </c>
      <c r="AK172" t="e">
        <f>装备!#REF!</f>
        <v>#REF!</v>
      </c>
      <c r="AL172" t="e">
        <f>装备!#REF!</f>
        <v>#REF!</v>
      </c>
      <c r="AM172" t="e">
        <f>装备!#REF!</f>
        <v>#REF!</v>
      </c>
      <c r="AN172" t="e">
        <f>装备!#REF!</f>
        <v>#REF!</v>
      </c>
      <c r="AO172" t="e">
        <f>装备!#REF!</f>
        <v>#REF!</v>
      </c>
      <c r="AP172" t="e">
        <f>装备!#REF!</f>
        <v>#REF!</v>
      </c>
      <c r="AQ172" t="e">
        <f>装备!#REF!</f>
        <v>#REF!</v>
      </c>
      <c r="AR172" t="e">
        <f>装备!#REF!</f>
        <v>#REF!</v>
      </c>
      <c r="AS172" t="e">
        <f>装备!#REF!</f>
        <v>#REF!</v>
      </c>
      <c r="AT172" t="e">
        <f t="shared" si="31"/>
        <v>#REF!</v>
      </c>
      <c r="AU172" t="e">
        <f>装备!#REF!</f>
        <v>#REF!</v>
      </c>
      <c r="AV172" t="e">
        <f>装备!#REF!</f>
        <v>#REF!</v>
      </c>
      <c r="AW172" t="e">
        <f>装备!#REF!</f>
        <v>#REF!</v>
      </c>
      <c r="AX172" t="e">
        <f>装备!#REF!</f>
        <v>#REF!</v>
      </c>
      <c r="AY172" t="e">
        <f>装备!#REF!</f>
        <v>#REF!</v>
      </c>
      <c r="AZ172" t="e">
        <f>装备!#REF!</f>
        <v>#REF!</v>
      </c>
      <c r="BA172" t="e">
        <f>装备!#REF!</f>
        <v>#REF!</v>
      </c>
      <c r="BB172" t="e">
        <f>装备!#REF!</f>
        <v>#REF!</v>
      </c>
      <c r="BC172" t="e">
        <f>装备!#REF!</f>
        <v>#REF!</v>
      </c>
      <c r="BD172" t="e">
        <f>装备!#REF!</f>
        <v>#REF!</v>
      </c>
      <c r="BE172" t="e">
        <f t="shared" si="32"/>
        <v>#REF!</v>
      </c>
      <c r="BF172" t="e">
        <f>装备!#REF!</f>
        <v>#REF!</v>
      </c>
      <c r="BG172" t="e">
        <f>装备!#REF!</f>
        <v>#REF!</v>
      </c>
      <c r="BH172" t="e">
        <f>装备!#REF!</f>
        <v>#REF!</v>
      </c>
      <c r="BI172" t="e">
        <f>装备!#REF!</f>
        <v>#REF!</v>
      </c>
      <c r="BJ172" t="e">
        <f>装备!#REF!</f>
        <v>#REF!</v>
      </c>
      <c r="BK172" t="e">
        <f>装备!#REF!</f>
        <v>#REF!</v>
      </c>
      <c r="BL172" t="e">
        <f>装备!#REF!</f>
        <v>#REF!</v>
      </c>
      <c r="BM172" t="e">
        <f>装备!#REF!</f>
        <v>#REF!</v>
      </c>
      <c r="BN172" t="e">
        <f>装备!#REF!</f>
        <v>#REF!</v>
      </c>
      <c r="BO172" t="e">
        <f>装备!#REF!</f>
        <v>#REF!</v>
      </c>
      <c r="BP172" t="e">
        <f t="shared" si="33"/>
        <v>#REF!</v>
      </c>
      <c r="BQ172" t="e">
        <f>装备!#REF!</f>
        <v>#REF!</v>
      </c>
      <c r="BR172" t="e">
        <f>装备!#REF!</f>
        <v>#REF!</v>
      </c>
      <c r="BS172" t="e">
        <f>装备!#REF!</f>
        <v>#REF!</v>
      </c>
      <c r="BT172" t="e">
        <f>装备!#REF!</f>
        <v>#REF!</v>
      </c>
      <c r="BU172" t="e">
        <f>装备!#REF!</f>
        <v>#REF!</v>
      </c>
      <c r="BV172" t="e">
        <f>装备!#REF!</f>
        <v>#REF!</v>
      </c>
      <c r="BW172" t="e">
        <f>装备!#REF!</f>
        <v>#REF!</v>
      </c>
      <c r="BX172" t="e">
        <f>装备!#REF!</f>
        <v>#REF!</v>
      </c>
      <c r="BY172" t="e">
        <f>装备!#REF!</f>
        <v>#REF!</v>
      </c>
      <c r="BZ172" t="e">
        <f>装备!#REF!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装备!#REF!</f>
        <v>#REF!</v>
      </c>
      <c r="B173" t="e">
        <f>装备!#REF!</f>
        <v>#REF!</v>
      </c>
      <c r="C173" t="e">
        <f>装备!#REF!</f>
        <v>#REF!</v>
      </c>
      <c r="D173" t="e">
        <f>装备!#REF!</f>
        <v>#REF!</v>
      </c>
      <c r="E173" t="e">
        <f>装备!#REF!</f>
        <v>#REF!</v>
      </c>
      <c r="F173" t="e">
        <f>装备!#REF!</f>
        <v>#REF!</v>
      </c>
      <c r="G173" t="e">
        <f>装备!#REF!</f>
        <v>#REF!</v>
      </c>
      <c r="H173" t="e">
        <f>装备!#REF!</f>
        <v>#REF!</v>
      </c>
      <c r="I173" t="e">
        <f>装备!#REF!</f>
        <v>#REF!</v>
      </c>
      <c r="J173" t="e">
        <f>装备!#REF!</f>
        <v>#REF!</v>
      </c>
      <c r="K173" t="e">
        <f>装备!#REF!</f>
        <v>#REF!</v>
      </c>
      <c r="L173" t="e">
        <f>装备!#REF!</f>
        <v>#REF!</v>
      </c>
      <c r="M173" t="e">
        <f t="shared" si="28"/>
        <v>#REF!</v>
      </c>
      <c r="N173" t="e">
        <f>装备!#REF!</f>
        <v>#REF!</v>
      </c>
      <c r="O173" t="e">
        <f>装备!#REF!</f>
        <v>#REF!</v>
      </c>
      <c r="P173" t="e">
        <f>装备!#REF!</f>
        <v>#REF!</v>
      </c>
      <c r="Q173" t="e">
        <f>装备!#REF!</f>
        <v>#REF!</v>
      </c>
      <c r="R173" t="e">
        <f>装备!#REF!</f>
        <v>#REF!</v>
      </c>
      <c r="S173" t="e">
        <f>装备!#REF!</f>
        <v>#REF!</v>
      </c>
      <c r="T173" t="e">
        <f>装备!#REF!</f>
        <v>#REF!</v>
      </c>
      <c r="U173" t="e">
        <f>装备!#REF!</f>
        <v>#REF!</v>
      </c>
      <c r="V173" t="e">
        <f>装备!#REF!</f>
        <v>#REF!</v>
      </c>
      <c r="W173" t="e">
        <f>装备!#REF!</f>
        <v>#REF!</v>
      </c>
      <c r="X173" t="e">
        <f t="shared" si="29"/>
        <v>#REF!</v>
      </c>
      <c r="Y173" t="e">
        <f>装备!#REF!</f>
        <v>#REF!</v>
      </c>
      <c r="Z173" t="e">
        <f>装备!#REF!</f>
        <v>#REF!</v>
      </c>
      <c r="AA173" t="e">
        <f>装备!#REF!</f>
        <v>#REF!</v>
      </c>
      <c r="AB173" t="e">
        <f>装备!#REF!</f>
        <v>#REF!</v>
      </c>
      <c r="AC173" t="e">
        <f>装备!#REF!</f>
        <v>#REF!</v>
      </c>
      <c r="AD173" t="e">
        <f>装备!#REF!</f>
        <v>#REF!</v>
      </c>
      <c r="AE173" t="e">
        <f>装备!#REF!</f>
        <v>#REF!</v>
      </c>
      <c r="AF173" t="e">
        <f>装备!#REF!</f>
        <v>#REF!</v>
      </c>
      <c r="AG173" t="e">
        <f>装备!#REF!</f>
        <v>#REF!</v>
      </c>
      <c r="AH173" t="e">
        <f>装备!#REF!</f>
        <v>#REF!</v>
      </c>
      <c r="AI173" t="e">
        <f t="shared" si="30"/>
        <v>#REF!</v>
      </c>
      <c r="AJ173" t="e">
        <f>装备!#REF!</f>
        <v>#REF!</v>
      </c>
      <c r="AK173" t="e">
        <f>装备!#REF!</f>
        <v>#REF!</v>
      </c>
      <c r="AL173" t="e">
        <f>装备!#REF!</f>
        <v>#REF!</v>
      </c>
      <c r="AM173" t="e">
        <f>装备!#REF!</f>
        <v>#REF!</v>
      </c>
      <c r="AN173" t="e">
        <f>装备!#REF!</f>
        <v>#REF!</v>
      </c>
      <c r="AO173" t="e">
        <f>装备!#REF!</f>
        <v>#REF!</v>
      </c>
      <c r="AP173" t="e">
        <f>装备!#REF!</f>
        <v>#REF!</v>
      </c>
      <c r="AQ173" t="e">
        <f>装备!#REF!</f>
        <v>#REF!</v>
      </c>
      <c r="AR173" t="e">
        <f>装备!#REF!</f>
        <v>#REF!</v>
      </c>
      <c r="AS173" t="e">
        <f>装备!#REF!</f>
        <v>#REF!</v>
      </c>
      <c r="AT173" t="e">
        <f t="shared" si="31"/>
        <v>#REF!</v>
      </c>
      <c r="AU173" t="e">
        <f>装备!#REF!</f>
        <v>#REF!</v>
      </c>
      <c r="AV173" t="e">
        <f>装备!#REF!</f>
        <v>#REF!</v>
      </c>
      <c r="AW173" t="e">
        <f>装备!#REF!</f>
        <v>#REF!</v>
      </c>
      <c r="AX173" t="e">
        <f>装备!#REF!</f>
        <v>#REF!</v>
      </c>
      <c r="AY173" t="e">
        <f>装备!#REF!</f>
        <v>#REF!</v>
      </c>
      <c r="AZ173" t="e">
        <f>装备!#REF!</f>
        <v>#REF!</v>
      </c>
      <c r="BA173" t="e">
        <f>装备!#REF!</f>
        <v>#REF!</v>
      </c>
      <c r="BB173" t="e">
        <f>装备!#REF!</f>
        <v>#REF!</v>
      </c>
      <c r="BC173" t="e">
        <f>装备!#REF!</f>
        <v>#REF!</v>
      </c>
      <c r="BD173" t="e">
        <f>装备!#REF!</f>
        <v>#REF!</v>
      </c>
      <c r="BE173" t="e">
        <f t="shared" si="32"/>
        <v>#REF!</v>
      </c>
      <c r="BF173" t="e">
        <f>装备!#REF!</f>
        <v>#REF!</v>
      </c>
      <c r="BG173" t="e">
        <f>装备!#REF!</f>
        <v>#REF!</v>
      </c>
      <c r="BH173" t="e">
        <f>装备!#REF!</f>
        <v>#REF!</v>
      </c>
      <c r="BI173" t="e">
        <f>装备!#REF!</f>
        <v>#REF!</v>
      </c>
      <c r="BJ173" t="e">
        <f>装备!#REF!</f>
        <v>#REF!</v>
      </c>
      <c r="BK173" t="e">
        <f>装备!#REF!</f>
        <v>#REF!</v>
      </c>
      <c r="BL173" t="e">
        <f>装备!#REF!</f>
        <v>#REF!</v>
      </c>
      <c r="BM173" t="e">
        <f>装备!#REF!</f>
        <v>#REF!</v>
      </c>
      <c r="BN173" t="e">
        <f>装备!#REF!</f>
        <v>#REF!</v>
      </c>
      <c r="BO173" t="e">
        <f>装备!#REF!</f>
        <v>#REF!</v>
      </c>
      <c r="BP173" t="e">
        <f t="shared" si="33"/>
        <v>#REF!</v>
      </c>
      <c r="BQ173" t="e">
        <f>装备!#REF!</f>
        <v>#REF!</v>
      </c>
      <c r="BR173" t="e">
        <f>装备!#REF!</f>
        <v>#REF!</v>
      </c>
      <c r="BS173" t="e">
        <f>装备!#REF!</f>
        <v>#REF!</v>
      </c>
      <c r="BT173" t="e">
        <f>装备!#REF!</f>
        <v>#REF!</v>
      </c>
      <c r="BU173" t="e">
        <f>装备!#REF!</f>
        <v>#REF!</v>
      </c>
      <c r="BV173" t="e">
        <f>装备!#REF!</f>
        <v>#REF!</v>
      </c>
      <c r="BW173" t="e">
        <f>装备!#REF!</f>
        <v>#REF!</v>
      </c>
      <c r="BX173" t="e">
        <f>装备!#REF!</f>
        <v>#REF!</v>
      </c>
      <c r="BY173" t="e">
        <f>装备!#REF!</f>
        <v>#REF!</v>
      </c>
      <c r="BZ173" t="e">
        <f>装备!#REF!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装备!#REF!</f>
        <v>#REF!</v>
      </c>
      <c r="B174" t="e">
        <f>装备!#REF!</f>
        <v>#REF!</v>
      </c>
      <c r="C174" t="e">
        <f>装备!#REF!</f>
        <v>#REF!</v>
      </c>
      <c r="D174" t="e">
        <f>装备!#REF!</f>
        <v>#REF!</v>
      </c>
      <c r="E174" t="e">
        <f>装备!#REF!</f>
        <v>#REF!</v>
      </c>
      <c r="F174" t="e">
        <f>装备!#REF!</f>
        <v>#REF!</v>
      </c>
      <c r="G174" t="e">
        <f>装备!#REF!</f>
        <v>#REF!</v>
      </c>
      <c r="H174" t="e">
        <f>装备!#REF!</f>
        <v>#REF!</v>
      </c>
      <c r="I174" t="e">
        <f>装备!#REF!</f>
        <v>#REF!</v>
      </c>
      <c r="J174" t="e">
        <f>装备!#REF!</f>
        <v>#REF!</v>
      </c>
      <c r="K174" t="e">
        <f>装备!#REF!</f>
        <v>#REF!</v>
      </c>
      <c r="L174" t="e">
        <f>装备!#REF!</f>
        <v>#REF!</v>
      </c>
      <c r="M174" t="e">
        <f t="shared" si="28"/>
        <v>#REF!</v>
      </c>
      <c r="N174" t="e">
        <f>装备!#REF!</f>
        <v>#REF!</v>
      </c>
      <c r="O174" t="e">
        <f>装备!#REF!</f>
        <v>#REF!</v>
      </c>
      <c r="P174" t="e">
        <f>装备!#REF!</f>
        <v>#REF!</v>
      </c>
      <c r="Q174" t="e">
        <f>装备!#REF!</f>
        <v>#REF!</v>
      </c>
      <c r="R174" t="e">
        <f>装备!#REF!</f>
        <v>#REF!</v>
      </c>
      <c r="S174" t="e">
        <f>装备!#REF!</f>
        <v>#REF!</v>
      </c>
      <c r="T174" t="e">
        <f>装备!#REF!</f>
        <v>#REF!</v>
      </c>
      <c r="U174" t="e">
        <f>装备!#REF!</f>
        <v>#REF!</v>
      </c>
      <c r="V174" t="e">
        <f>装备!#REF!</f>
        <v>#REF!</v>
      </c>
      <c r="W174" t="e">
        <f>装备!#REF!</f>
        <v>#REF!</v>
      </c>
      <c r="X174" t="e">
        <f t="shared" si="29"/>
        <v>#REF!</v>
      </c>
      <c r="Y174" t="e">
        <f>装备!#REF!</f>
        <v>#REF!</v>
      </c>
      <c r="Z174" t="e">
        <f>装备!#REF!</f>
        <v>#REF!</v>
      </c>
      <c r="AA174" t="e">
        <f>装备!#REF!</f>
        <v>#REF!</v>
      </c>
      <c r="AB174" t="e">
        <f>装备!#REF!</f>
        <v>#REF!</v>
      </c>
      <c r="AC174" t="e">
        <f>装备!#REF!</f>
        <v>#REF!</v>
      </c>
      <c r="AD174" t="e">
        <f>装备!#REF!</f>
        <v>#REF!</v>
      </c>
      <c r="AE174" t="e">
        <f>装备!#REF!</f>
        <v>#REF!</v>
      </c>
      <c r="AF174" t="e">
        <f>装备!#REF!</f>
        <v>#REF!</v>
      </c>
      <c r="AG174" t="e">
        <f>装备!#REF!</f>
        <v>#REF!</v>
      </c>
      <c r="AH174" t="e">
        <f>装备!#REF!</f>
        <v>#REF!</v>
      </c>
      <c r="AI174" t="e">
        <f t="shared" si="30"/>
        <v>#REF!</v>
      </c>
      <c r="AJ174" t="e">
        <f>装备!#REF!</f>
        <v>#REF!</v>
      </c>
      <c r="AK174" t="e">
        <f>装备!#REF!</f>
        <v>#REF!</v>
      </c>
      <c r="AL174" t="e">
        <f>装备!#REF!</f>
        <v>#REF!</v>
      </c>
      <c r="AM174" t="e">
        <f>装备!#REF!</f>
        <v>#REF!</v>
      </c>
      <c r="AN174" t="e">
        <f>装备!#REF!</f>
        <v>#REF!</v>
      </c>
      <c r="AO174" t="e">
        <f>装备!#REF!</f>
        <v>#REF!</v>
      </c>
      <c r="AP174" t="e">
        <f>装备!#REF!</f>
        <v>#REF!</v>
      </c>
      <c r="AQ174" t="e">
        <f>装备!#REF!</f>
        <v>#REF!</v>
      </c>
      <c r="AR174" t="e">
        <f>装备!#REF!</f>
        <v>#REF!</v>
      </c>
      <c r="AS174" t="e">
        <f>装备!#REF!</f>
        <v>#REF!</v>
      </c>
      <c r="AT174" t="e">
        <f t="shared" si="31"/>
        <v>#REF!</v>
      </c>
      <c r="AU174" t="e">
        <f>装备!#REF!</f>
        <v>#REF!</v>
      </c>
      <c r="AV174" t="e">
        <f>装备!#REF!</f>
        <v>#REF!</v>
      </c>
      <c r="AW174" t="e">
        <f>装备!#REF!</f>
        <v>#REF!</v>
      </c>
      <c r="AX174" t="e">
        <f>装备!#REF!</f>
        <v>#REF!</v>
      </c>
      <c r="AY174" t="e">
        <f>装备!#REF!</f>
        <v>#REF!</v>
      </c>
      <c r="AZ174" t="e">
        <f>装备!#REF!</f>
        <v>#REF!</v>
      </c>
      <c r="BA174" t="e">
        <f>装备!#REF!</f>
        <v>#REF!</v>
      </c>
      <c r="BB174" t="e">
        <f>装备!#REF!</f>
        <v>#REF!</v>
      </c>
      <c r="BC174" t="e">
        <f>装备!#REF!</f>
        <v>#REF!</v>
      </c>
      <c r="BD174" t="e">
        <f>装备!#REF!</f>
        <v>#REF!</v>
      </c>
      <c r="BE174" t="e">
        <f t="shared" si="32"/>
        <v>#REF!</v>
      </c>
      <c r="BF174" t="e">
        <f>装备!#REF!</f>
        <v>#REF!</v>
      </c>
      <c r="BG174" t="e">
        <f>装备!#REF!</f>
        <v>#REF!</v>
      </c>
      <c r="BH174" t="e">
        <f>装备!#REF!</f>
        <v>#REF!</v>
      </c>
      <c r="BI174" t="e">
        <f>装备!#REF!</f>
        <v>#REF!</v>
      </c>
      <c r="BJ174" t="e">
        <f>装备!#REF!</f>
        <v>#REF!</v>
      </c>
      <c r="BK174" t="e">
        <f>装备!#REF!</f>
        <v>#REF!</v>
      </c>
      <c r="BL174" t="e">
        <f>装备!#REF!</f>
        <v>#REF!</v>
      </c>
      <c r="BM174" t="e">
        <f>装备!#REF!</f>
        <v>#REF!</v>
      </c>
      <c r="BN174" t="e">
        <f>装备!#REF!</f>
        <v>#REF!</v>
      </c>
      <c r="BO174" t="e">
        <f>装备!#REF!</f>
        <v>#REF!</v>
      </c>
      <c r="BP174" t="e">
        <f t="shared" si="33"/>
        <v>#REF!</v>
      </c>
      <c r="BQ174" t="e">
        <f>装备!#REF!</f>
        <v>#REF!</v>
      </c>
      <c r="BR174" t="e">
        <f>装备!#REF!</f>
        <v>#REF!</v>
      </c>
      <c r="BS174" t="e">
        <f>装备!#REF!</f>
        <v>#REF!</v>
      </c>
      <c r="BT174" t="e">
        <f>装备!#REF!</f>
        <v>#REF!</v>
      </c>
      <c r="BU174" t="e">
        <f>装备!#REF!</f>
        <v>#REF!</v>
      </c>
      <c r="BV174" t="e">
        <f>装备!#REF!</f>
        <v>#REF!</v>
      </c>
      <c r="BW174" t="e">
        <f>装备!#REF!</f>
        <v>#REF!</v>
      </c>
      <c r="BX174" t="e">
        <f>装备!#REF!</f>
        <v>#REF!</v>
      </c>
      <c r="BY174" t="e">
        <f>装备!#REF!</f>
        <v>#REF!</v>
      </c>
      <c r="BZ174" t="e">
        <f>装备!#REF!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装备!#REF!</f>
        <v>#REF!</v>
      </c>
      <c r="B175" t="e">
        <f>装备!#REF!</f>
        <v>#REF!</v>
      </c>
      <c r="C175" t="e">
        <f>装备!#REF!</f>
        <v>#REF!</v>
      </c>
      <c r="D175" t="e">
        <f>装备!#REF!</f>
        <v>#REF!</v>
      </c>
      <c r="E175" t="e">
        <f>装备!#REF!</f>
        <v>#REF!</v>
      </c>
      <c r="F175" t="e">
        <f>装备!#REF!</f>
        <v>#REF!</v>
      </c>
      <c r="G175" t="e">
        <f>装备!#REF!</f>
        <v>#REF!</v>
      </c>
      <c r="H175" t="e">
        <f>装备!#REF!</f>
        <v>#REF!</v>
      </c>
      <c r="I175" t="e">
        <f>装备!#REF!</f>
        <v>#REF!</v>
      </c>
      <c r="J175" t="e">
        <f>装备!#REF!</f>
        <v>#REF!</v>
      </c>
      <c r="K175" t="e">
        <f>装备!#REF!</f>
        <v>#REF!</v>
      </c>
      <c r="L175" t="e">
        <f>装备!#REF!</f>
        <v>#REF!</v>
      </c>
      <c r="M175" t="e">
        <f t="shared" si="28"/>
        <v>#REF!</v>
      </c>
      <c r="N175" t="e">
        <f>装备!#REF!</f>
        <v>#REF!</v>
      </c>
      <c r="O175" t="e">
        <f>装备!#REF!</f>
        <v>#REF!</v>
      </c>
      <c r="P175" t="e">
        <f>装备!#REF!</f>
        <v>#REF!</v>
      </c>
      <c r="Q175" t="e">
        <f>装备!#REF!</f>
        <v>#REF!</v>
      </c>
      <c r="R175" t="e">
        <f>装备!#REF!</f>
        <v>#REF!</v>
      </c>
      <c r="S175" t="e">
        <f>装备!#REF!</f>
        <v>#REF!</v>
      </c>
      <c r="T175" t="e">
        <f>装备!#REF!</f>
        <v>#REF!</v>
      </c>
      <c r="U175" t="e">
        <f>装备!#REF!</f>
        <v>#REF!</v>
      </c>
      <c r="V175" t="e">
        <f>装备!#REF!</f>
        <v>#REF!</v>
      </c>
      <c r="W175" t="e">
        <f>装备!#REF!</f>
        <v>#REF!</v>
      </c>
      <c r="X175" t="e">
        <f t="shared" si="29"/>
        <v>#REF!</v>
      </c>
      <c r="Y175" t="e">
        <f>装备!#REF!</f>
        <v>#REF!</v>
      </c>
      <c r="Z175" t="e">
        <f>装备!#REF!</f>
        <v>#REF!</v>
      </c>
      <c r="AA175" t="e">
        <f>装备!#REF!</f>
        <v>#REF!</v>
      </c>
      <c r="AB175" t="e">
        <f>装备!#REF!</f>
        <v>#REF!</v>
      </c>
      <c r="AC175" t="e">
        <f>装备!#REF!</f>
        <v>#REF!</v>
      </c>
      <c r="AD175" t="e">
        <f>装备!#REF!</f>
        <v>#REF!</v>
      </c>
      <c r="AE175" t="e">
        <f>装备!#REF!</f>
        <v>#REF!</v>
      </c>
      <c r="AF175" t="e">
        <f>装备!#REF!</f>
        <v>#REF!</v>
      </c>
      <c r="AG175" t="e">
        <f>装备!#REF!</f>
        <v>#REF!</v>
      </c>
      <c r="AH175" t="e">
        <f>装备!#REF!</f>
        <v>#REF!</v>
      </c>
      <c r="AI175" t="e">
        <f t="shared" si="30"/>
        <v>#REF!</v>
      </c>
      <c r="AJ175" t="e">
        <f>装备!#REF!</f>
        <v>#REF!</v>
      </c>
      <c r="AK175" t="e">
        <f>装备!#REF!</f>
        <v>#REF!</v>
      </c>
      <c r="AL175" t="e">
        <f>装备!#REF!</f>
        <v>#REF!</v>
      </c>
      <c r="AM175" t="e">
        <f>装备!#REF!</f>
        <v>#REF!</v>
      </c>
      <c r="AN175" t="e">
        <f>装备!#REF!</f>
        <v>#REF!</v>
      </c>
      <c r="AO175" t="e">
        <f>装备!#REF!</f>
        <v>#REF!</v>
      </c>
      <c r="AP175" t="e">
        <f>装备!#REF!</f>
        <v>#REF!</v>
      </c>
      <c r="AQ175" t="e">
        <f>装备!#REF!</f>
        <v>#REF!</v>
      </c>
      <c r="AR175" t="e">
        <f>装备!#REF!</f>
        <v>#REF!</v>
      </c>
      <c r="AS175" t="e">
        <f>装备!#REF!</f>
        <v>#REF!</v>
      </c>
      <c r="AT175" t="e">
        <f t="shared" si="31"/>
        <v>#REF!</v>
      </c>
      <c r="AU175" t="e">
        <f>装备!#REF!</f>
        <v>#REF!</v>
      </c>
      <c r="AV175" t="e">
        <f>装备!#REF!</f>
        <v>#REF!</v>
      </c>
      <c r="AW175" t="e">
        <f>装备!#REF!</f>
        <v>#REF!</v>
      </c>
      <c r="AX175" t="e">
        <f>装备!#REF!</f>
        <v>#REF!</v>
      </c>
      <c r="AY175" t="e">
        <f>装备!#REF!</f>
        <v>#REF!</v>
      </c>
      <c r="AZ175" t="e">
        <f>装备!#REF!</f>
        <v>#REF!</v>
      </c>
      <c r="BA175" t="e">
        <f>装备!#REF!</f>
        <v>#REF!</v>
      </c>
      <c r="BB175" t="e">
        <f>装备!#REF!</f>
        <v>#REF!</v>
      </c>
      <c r="BC175" t="e">
        <f>装备!#REF!</f>
        <v>#REF!</v>
      </c>
      <c r="BD175" t="e">
        <f>装备!#REF!</f>
        <v>#REF!</v>
      </c>
      <c r="BE175" t="e">
        <f t="shared" si="32"/>
        <v>#REF!</v>
      </c>
      <c r="BF175" t="e">
        <f>装备!#REF!</f>
        <v>#REF!</v>
      </c>
      <c r="BG175" t="e">
        <f>装备!#REF!</f>
        <v>#REF!</v>
      </c>
      <c r="BH175" t="e">
        <f>装备!#REF!</f>
        <v>#REF!</v>
      </c>
      <c r="BI175" t="e">
        <f>装备!#REF!</f>
        <v>#REF!</v>
      </c>
      <c r="BJ175" t="e">
        <f>装备!#REF!</f>
        <v>#REF!</v>
      </c>
      <c r="BK175" t="e">
        <f>装备!#REF!</f>
        <v>#REF!</v>
      </c>
      <c r="BL175" t="e">
        <f>装备!#REF!</f>
        <v>#REF!</v>
      </c>
      <c r="BM175" t="e">
        <f>装备!#REF!</f>
        <v>#REF!</v>
      </c>
      <c r="BN175" t="e">
        <f>装备!#REF!</f>
        <v>#REF!</v>
      </c>
      <c r="BO175" t="e">
        <f>装备!#REF!</f>
        <v>#REF!</v>
      </c>
      <c r="BP175" t="e">
        <f t="shared" si="33"/>
        <v>#REF!</v>
      </c>
      <c r="BQ175" t="e">
        <f>装备!#REF!</f>
        <v>#REF!</v>
      </c>
      <c r="BR175" t="e">
        <f>装备!#REF!</f>
        <v>#REF!</v>
      </c>
      <c r="BS175" t="e">
        <f>装备!#REF!</f>
        <v>#REF!</v>
      </c>
      <c r="BT175" t="e">
        <f>装备!#REF!</f>
        <v>#REF!</v>
      </c>
      <c r="BU175" t="e">
        <f>装备!#REF!</f>
        <v>#REF!</v>
      </c>
      <c r="BV175" t="e">
        <f>装备!#REF!</f>
        <v>#REF!</v>
      </c>
      <c r="BW175" t="e">
        <f>装备!#REF!</f>
        <v>#REF!</v>
      </c>
      <c r="BX175" t="e">
        <f>装备!#REF!</f>
        <v>#REF!</v>
      </c>
      <c r="BY175" t="e">
        <f>装备!#REF!</f>
        <v>#REF!</v>
      </c>
      <c r="BZ175" t="e">
        <f>装备!#REF!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装备!#REF!</f>
        <v>#REF!</v>
      </c>
      <c r="B176" t="e">
        <f>装备!#REF!</f>
        <v>#REF!</v>
      </c>
      <c r="C176" t="e">
        <f>装备!#REF!</f>
        <v>#REF!</v>
      </c>
      <c r="D176" t="e">
        <f>装备!#REF!</f>
        <v>#REF!</v>
      </c>
      <c r="E176" t="e">
        <f>装备!#REF!</f>
        <v>#REF!</v>
      </c>
      <c r="F176" t="e">
        <f>装备!#REF!</f>
        <v>#REF!</v>
      </c>
      <c r="G176" t="e">
        <f>装备!#REF!</f>
        <v>#REF!</v>
      </c>
      <c r="H176" t="e">
        <f>装备!#REF!</f>
        <v>#REF!</v>
      </c>
      <c r="I176" t="e">
        <f>装备!#REF!</f>
        <v>#REF!</v>
      </c>
      <c r="J176" t="e">
        <f>装备!#REF!</f>
        <v>#REF!</v>
      </c>
      <c r="K176" t="e">
        <f>装备!#REF!</f>
        <v>#REF!</v>
      </c>
      <c r="L176" t="e">
        <f>装备!#REF!</f>
        <v>#REF!</v>
      </c>
      <c r="M176" t="e">
        <f t="shared" si="28"/>
        <v>#REF!</v>
      </c>
      <c r="N176" t="e">
        <f>装备!#REF!</f>
        <v>#REF!</v>
      </c>
      <c r="O176" t="e">
        <f>装备!#REF!</f>
        <v>#REF!</v>
      </c>
      <c r="P176" t="e">
        <f>装备!#REF!</f>
        <v>#REF!</v>
      </c>
      <c r="Q176" t="e">
        <f>装备!#REF!</f>
        <v>#REF!</v>
      </c>
      <c r="R176" t="e">
        <f>装备!#REF!</f>
        <v>#REF!</v>
      </c>
      <c r="S176" t="e">
        <f>装备!#REF!</f>
        <v>#REF!</v>
      </c>
      <c r="T176" t="e">
        <f>装备!#REF!</f>
        <v>#REF!</v>
      </c>
      <c r="U176" t="e">
        <f>装备!#REF!</f>
        <v>#REF!</v>
      </c>
      <c r="V176" t="e">
        <f>装备!#REF!</f>
        <v>#REF!</v>
      </c>
      <c r="W176" t="e">
        <f>装备!#REF!</f>
        <v>#REF!</v>
      </c>
      <c r="X176" t="e">
        <f t="shared" si="29"/>
        <v>#REF!</v>
      </c>
      <c r="Y176" t="e">
        <f>装备!#REF!</f>
        <v>#REF!</v>
      </c>
      <c r="Z176" t="e">
        <f>装备!#REF!</f>
        <v>#REF!</v>
      </c>
      <c r="AA176" t="e">
        <f>装备!#REF!</f>
        <v>#REF!</v>
      </c>
      <c r="AB176" t="e">
        <f>装备!#REF!</f>
        <v>#REF!</v>
      </c>
      <c r="AC176" t="e">
        <f>装备!#REF!</f>
        <v>#REF!</v>
      </c>
      <c r="AD176" t="e">
        <f>装备!#REF!</f>
        <v>#REF!</v>
      </c>
      <c r="AE176" t="e">
        <f>装备!#REF!</f>
        <v>#REF!</v>
      </c>
      <c r="AF176" t="e">
        <f>装备!#REF!</f>
        <v>#REF!</v>
      </c>
      <c r="AG176" t="e">
        <f>装备!#REF!</f>
        <v>#REF!</v>
      </c>
      <c r="AH176" t="e">
        <f>装备!#REF!</f>
        <v>#REF!</v>
      </c>
      <c r="AI176" t="e">
        <f t="shared" si="30"/>
        <v>#REF!</v>
      </c>
      <c r="AJ176" t="e">
        <f>装备!#REF!</f>
        <v>#REF!</v>
      </c>
      <c r="AK176" t="e">
        <f>装备!#REF!</f>
        <v>#REF!</v>
      </c>
      <c r="AL176" t="e">
        <f>装备!#REF!</f>
        <v>#REF!</v>
      </c>
      <c r="AM176" t="e">
        <f>装备!#REF!</f>
        <v>#REF!</v>
      </c>
      <c r="AN176" t="e">
        <f>装备!#REF!</f>
        <v>#REF!</v>
      </c>
      <c r="AO176" t="e">
        <f>装备!#REF!</f>
        <v>#REF!</v>
      </c>
      <c r="AP176" t="e">
        <f>装备!#REF!</f>
        <v>#REF!</v>
      </c>
      <c r="AQ176" t="e">
        <f>装备!#REF!</f>
        <v>#REF!</v>
      </c>
      <c r="AR176" t="e">
        <f>装备!#REF!</f>
        <v>#REF!</v>
      </c>
      <c r="AS176" t="e">
        <f>装备!#REF!</f>
        <v>#REF!</v>
      </c>
      <c r="AT176" t="e">
        <f t="shared" si="31"/>
        <v>#REF!</v>
      </c>
      <c r="AU176" t="e">
        <f>装备!#REF!</f>
        <v>#REF!</v>
      </c>
      <c r="AV176" t="e">
        <f>装备!#REF!</f>
        <v>#REF!</v>
      </c>
      <c r="AW176" t="e">
        <f>装备!#REF!</f>
        <v>#REF!</v>
      </c>
      <c r="AX176" t="e">
        <f>装备!#REF!</f>
        <v>#REF!</v>
      </c>
      <c r="AY176" t="e">
        <f>装备!#REF!</f>
        <v>#REF!</v>
      </c>
      <c r="AZ176" t="e">
        <f>装备!#REF!</f>
        <v>#REF!</v>
      </c>
      <c r="BA176" t="e">
        <f>装备!#REF!</f>
        <v>#REF!</v>
      </c>
      <c r="BB176" t="e">
        <f>装备!#REF!</f>
        <v>#REF!</v>
      </c>
      <c r="BC176" t="e">
        <f>装备!#REF!</f>
        <v>#REF!</v>
      </c>
      <c r="BD176" t="e">
        <f>装备!#REF!</f>
        <v>#REF!</v>
      </c>
      <c r="BE176" t="e">
        <f t="shared" si="32"/>
        <v>#REF!</v>
      </c>
      <c r="BF176" t="e">
        <f>装备!#REF!</f>
        <v>#REF!</v>
      </c>
      <c r="BG176" t="e">
        <f>装备!#REF!</f>
        <v>#REF!</v>
      </c>
      <c r="BH176" t="e">
        <f>装备!#REF!</f>
        <v>#REF!</v>
      </c>
      <c r="BI176" t="e">
        <f>装备!#REF!</f>
        <v>#REF!</v>
      </c>
      <c r="BJ176" t="e">
        <f>装备!#REF!</f>
        <v>#REF!</v>
      </c>
      <c r="BK176" t="e">
        <f>装备!#REF!</f>
        <v>#REF!</v>
      </c>
      <c r="BL176" t="e">
        <f>装备!#REF!</f>
        <v>#REF!</v>
      </c>
      <c r="BM176" t="e">
        <f>装备!#REF!</f>
        <v>#REF!</v>
      </c>
      <c r="BN176" t="e">
        <f>装备!#REF!</f>
        <v>#REF!</v>
      </c>
      <c r="BO176" t="e">
        <f>装备!#REF!</f>
        <v>#REF!</v>
      </c>
      <c r="BP176" t="e">
        <f t="shared" si="33"/>
        <v>#REF!</v>
      </c>
      <c r="BQ176" t="e">
        <f>装备!#REF!</f>
        <v>#REF!</v>
      </c>
      <c r="BR176" t="e">
        <f>装备!#REF!</f>
        <v>#REF!</v>
      </c>
      <c r="BS176" t="e">
        <f>装备!#REF!</f>
        <v>#REF!</v>
      </c>
      <c r="BT176" t="e">
        <f>装备!#REF!</f>
        <v>#REF!</v>
      </c>
      <c r="BU176" t="e">
        <f>装备!#REF!</f>
        <v>#REF!</v>
      </c>
      <c r="BV176" t="e">
        <f>装备!#REF!</f>
        <v>#REF!</v>
      </c>
      <c r="BW176" t="e">
        <f>装备!#REF!</f>
        <v>#REF!</v>
      </c>
      <c r="BX176" t="e">
        <f>装备!#REF!</f>
        <v>#REF!</v>
      </c>
      <c r="BY176" t="e">
        <f>装备!#REF!</f>
        <v>#REF!</v>
      </c>
      <c r="BZ176" t="e">
        <f>装备!#REF!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装备!#REF!</f>
        <v>#REF!</v>
      </c>
      <c r="B177" t="e">
        <f>装备!#REF!</f>
        <v>#REF!</v>
      </c>
      <c r="C177" t="e">
        <f>装备!#REF!</f>
        <v>#REF!</v>
      </c>
      <c r="D177" t="e">
        <f>装备!#REF!</f>
        <v>#REF!</v>
      </c>
      <c r="E177" t="e">
        <f>装备!#REF!</f>
        <v>#REF!</v>
      </c>
      <c r="F177" t="e">
        <f>装备!#REF!</f>
        <v>#REF!</v>
      </c>
      <c r="G177" t="e">
        <f>装备!#REF!</f>
        <v>#REF!</v>
      </c>
      <c r="H177" t="e">
        <f>装备!#REF!</f>
        <v>#REF!</v>
      </c>
      <c r="I177" t="e">
        <f>装备!#REF!</f>
        <v>#REF!</v>
      </c>
      <c r="J177" t="e">
        <f>装备!#REF!</f>
        <v>#REF!</v>
      </c>
      <c r="K177" t="e">
        <f>装备!#REF!</f>
        <v>#REF!</v>
      </c>
      <c r="L177" t="e">
        <f>装备!#REF!</f>
        <v>#REF!</v>
      </c>
      <c r="M177" t="e">
        <f t="shared" si="28"/>
        <v>#REF!</v>
      </c>
      <c r="N177" t="e">
        <f>装备!#REF!</f>
        <v>#REF!</v>
      </c>
      <c r="O177" t="e">
        <f>装备!#REF!</f>
        <v>#REF!</v>
      </c>
      <c r="P177" t="e">
        <f>装备!#REF!</f>
        <v>#REF!</v>
      </c>
      <c r="Q177" t="e">
        <f>装备!#REF!</f>
        <v>#REF!</v>
      </c>
      <c r="R177" t="e">
        <f>装备!#REF!</f>
        <v>#REF!</v>
      </c>
      <c r="S177" t="e">
        <f>装备!#REF!</f>
        <v>#REF!</v>
      </c>
      <c r="T177" t="e">
        <f>装备!#REF!</f>
        <v>#REF!</v>
      </c>
      <c r="U177" t="e">
        <f>装备!#REF!</f>
        <v>#REF!</v>
      </c>
      <c r="V177" t="e">
        <f>装备!#REF!</f>
        <v>#REF!</v>
      </c>
      <c r="W177" t="e">
        <f>装备!#REF!</f>
        <v>#REF!</v>
      </c>
      <c r="X177" t="e">
        <f t="shared" si="29"/>
        <v>#REF!</v>
      </c>
      <c r="Y177" t="e">
        <f>装备!#REF!</f>
        <v>#REF!</v>
      </c>
      <c r="Z177" t="e">
        <f>装备!#REF!</f>
        <v>#REF!</v>
      </c>
      <c r="AA177" t="e">
        <f>装备!#REF!</f>
        <v>#REF!</v>
      </c>
      <c r="AB177" t="e">
        <f>装备!#REF!</f>
        <v>#REF!</v>
      </c>
      <c r="AC177" t="e">
        <f>装备!#REF!</f>
        <v>#REF!</v>
      </c>
      <c r="AD177" t="e">
        <f>装备!#REF!</f>
        <v>#REF!</v>
      </c>
      <c r="AE177" t="e">
        <f>装备!#REF!</f>
        <v>#REF!</v>
      </c>
      <c r="AF177" t="e">
        <f>装备!#REF!</f>
        <v>#REF!</v>
      </c>
      <c r="AG177" t="e">
        <f>装备!#REF!</f>
        <v>#REF!</v>
      </c>
      <c r="AH177" t="e">
        <f>装备!#REF!</f>
        <v>#REF!</v>
      </c>
      <c r="AI177" t="e">
        <f t="shared" si="30"/>
        <v>#REF!</v>
      </c>
      <c r="AJ177" t="e">
        <f>装备!#REF!</f>
        <v>#REF!</v>
      </c>
      <c r="AK177" t="e">
        <f>装备!#REF!</f>
        <v>#REF!</v>
      </c>
      <c r="AL177" t="e">
        <f>装备!#REF!</f>
        <v>#REF!</v>
      </c>
      <c r="AM177" t="e">
        <f>装备!#REF!</f>
        <v>#REF!</v>
      </c>
      <c r="AN177" t="e">
        <f>装备!#REF!</f>
        <v>#REF!</v>
      </c>
      <c r="AO177" t="e">
        <f>装备!#REF!</f>
        <v>#REF!</v>
      </c>
      <c r="AP177" t="e">
        <f>装备!#REF!</f>
        <v>#REF!</v>
      </c>
      <c r="AQ177" t="e">
        <f>装备!#REF!</f>
        <v>#REF!</v>
      </c>
      <c r="AR177" t="e">
        <f>装备!#REF!</f>
        <v>#REF!</v>
      </c>
      <c r="AS177" t="e">
        <f>装备!#REF!</f>
        <v>#REF!</v>
      </c>
      <c r="AT177" t="e">
        <f t="shared" si="31"/>
        <v>#REF!</v>
      </c>
      <c r="AU177" t="e">
        <f>装备!#REF!</f>
        <v>#REF!</v>
      </c>
      <c r="AV177" t="e">
        <f>装备!#REF!</f>
        <v>#REF!</v>
      </c>
      <c r="AW177" t="e">
        <f>装备!#REF!</f>
        <v>#REF!</v>
      </c>
      <c r="AX177" t="e">
        <f>装备!#REF!</f>
        <v>#REF!</v>
      </c>
      <c r="AY177" t="e">
        <f>装备!#REF!</f>
        <v>#REF!</v>
      </c>
      <c r="AZ177" t="e">
        <f>装备!#REF!</f>
        <v>#REF!</v>
      </c>
      <c r="BA177" t="e">
        <f>装备!#REF!</f>
        <v>#REF!</v>
      </c>
      <c r="BB177" t="e">
        <f>装备!#REF!</f>
        <v>#REF!</v>
      </c>
      <c r="BC177" t="e">
        <f>装备!#REF!</f>
        <v>#REF!</v>
      </c>
      <c r="BD177" t="e">
        <f>装备!#REF!</f>
        <v>#REF!</v>
      </c>
      <c r="BE177" t="e">
        <f t="shared" si="32"/>
        <v>#REF!</v>
      </c>
      <c r="BF177" t="e">
        <f>装备!#REF!</f>
        <v>#REF!</v>
      </c>
      <c r="BG177" t="e">
        <f>装备!#REF!</f>
        <v>#REF!</v>
      </c>
      <c r="BH177" t="e">
        <f>装备!#REF!</f>
        <v>#REF!</v>
      </c>
      <c r="BI177" t="e">
        <f>装备!#REF!</f>
        <v>#REF!</v>
      </c>
      <c r="BJ177" t="e">
        <f>装备!#REF!</f>
        <v>#REF!</v>
      </c>
      <c r="BK177" t="e">
        <f>装备!#REF!</f>
        <v>#REF!</v>
      </c>
      <c r="BL177" t="e">
        <f>装备!#REF!</f>
        <v>#REF!</v>
      </c>
      <c r="BM177" t="e">
        <f>装备!#REF!</f>
        <v>#REF!</v>
      </c>
      <c r="BN177" t="e">
        <f>装备!#REF!</f>
        <v>#REF!</v>
      </c>
      <c r="BO177" t="e">
        <f>装备!#REF!</f>
        <v>#REF!</v>
      </c>
      <c r="BP177" t="e">
        <f t="shared" si="33"/>
        <v>#REF!</v>
      </c>
      <c r="BQ177" t="e">
        <f>装备!#REF!</f>
        <v>#REF!</v>
      </c>
      <c r="BR177" t="e">
        <f>装备!#REF!</f>
        <v>#REF!</v>
      </c>
      <c r="BS177" t="e">
        <f>装备!#REF!</f>
        <v>#REF!</v>
      </c>
      <c r="BT177" t="e">
        <f>装备!#REF!</f>
        <v>#REF!</v>
      </c>
      <c r="BU177" t="e">
        <f>装备!#REF!</f>
        <v>#REF!</v>
      </c>
      <c r="BV177" t="e">
        <f>装备!#REF!</f>
        <v>#REF!</v>
      </c>
      <c r="BW177" t="e">
        <f>装备!#REF!</f>
        <v>#REF!</v>
      </c>
      <c r="BX177" t="e">
        <f>装备!#REF!</f>
        <v>#REF!</v>
      </c>
      <c r="BY177" t="e">
        <f>装备!#REF!</f>
        <v>#REF!</v>
      </c>
      <c r="BZ177" t="e">
        <f>装备!#REF!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装备!#REF!</f>
        <v>#REF!</v>
      </c>
      <c r="B178" t="e">
        <f>装备!#REF!</f>
        <v>#REF!</v>
      </c>
      <c r="C178" t="e">
        <f>装备!#REF!</f>
        <v>#REF!</v>
      </c>
      <c r="D178" t="e">
        <f>装备!#REF!</f>
        <v>#REF!</v>
      </c>
      <c r="E178" t="e">
        <f>装备!#REF!</f>
        <v>#REF!</v>
      </c>
      <c r="F178" t="e">
        <f>装备!#REF!</f>
        <v>#REF!</v>
      </c>
      <c r="G178" t="e">
        <f>装备!#REF!</f>
        <v>#REF!</v>
      </c>
      <c r="H178" t="e">
        <f>装备!#REF!</f>
        <v>#REF!</v>
      </c>
      <c r="I178" t="e">
        <f>装备!#REF!</f>
        <v>#REF!</v>
      </c>
      <c r="J178" t="e">
        <f>装备!#REF!</f>
        <v>#REF!</v>
      </c>
      <c r="K178" t="e">
        <f>装备!#REF!</f>
        <v>#REF!</v>
      </c>
      <c r="L178" t="e">
        <f>装备!#REF!</f>
        <v>#REF!</v>
      </c>
      <c r="M178" t="e">
        <f t="shared" si="28"/>
        <v>#REF!</v>
      </c>
      <c r="N178" t="e">
        <f>装备!#REF!</f>
        <v>#REF!</v>
      </c>
      <c r="O178" t="e">
        <f>装备!#REF!</f>
        <v>#REF!</v>
      </c>
      <c r="P178" t="e">
        <f>装备!#REF!</f>
        <v>#REF!</v>
      </c>
      <c r="Q178" t="e">
        <f>装备!#REF!</f>
        <v>#REF!</v>
      </c>
      <c r="R178" t="e">
        <f>装备!#REF!</f>
        <v>#REF!</v>
      </c>
      <c r="S178" t="e">
        <f>装备!#REF!</f>
        <v>#REF!</v>
      </c>
      <c r="T178" t="e">
        <f>装备!#REF!</f>
        <v>#REF!</v>
      </c>
      <c r="U178" t="e">
        <f>装备!#REF!</f>
        <v>#REF!</v>
      </c>
      <c r="V178" t="e">
        <f>装备!#REF!</f>
        <v>#REF!</v>
      </c>
      <c r="W178" t="e">
        <f>装备!#REF!</f>
        <v>#REF!</v>
      </c>
      <c r="X178" t="e">
        <f t="shared" si="29"/>
        <v>#REF!</v>
      </c>
      <c r="Y178" t="e">
        <f>装备!#REF!</f>
        <v>#REF!</v>
      </c>
      <c r="Z178" t="e">
        <f>装备!#REF!</f>
        <v>#REF!</v>
      </c>
      <c r="AA178" t="e">
        <f>装备!#REF!</f>
        <v>#REF!</v>
      </c>
      <c r="AB178" t="e">
        <f>装备!#REF!</f>
        <v>#REF!</v>
      </c>
      <c r="AC178" t="e">
        <f>装备!#REF!</f>
        <v>#REF!</v>
      </c>
      <c r="AD178" t="e">
        <f>装备!#REF!</f>
        <v>#REF!</v>
      </c>
      <c r="AE178" t="e">
        <f>装备!#REF!</f>
        <v>#REF!</v>
      </c>
      <c r="AF178" t="e">
        <f>装备!#REF!</f>
        <v>#REF!</v>
      </c>
      <c r="AG178" t="e">
        <f>装备!#REF!</f>
        <v>#REF!</v>
      </c>
      <c r="AH178" t="e">
        <f>装备!#REF!</f>
        <v>#REF!</v>
      </c>
      <c r="AI178" t="e">
        <f t="shared" si="30"/>
        <v>#REF!</v>
      </c>
      <c r="AJ178" t="e">
        <f>装备!#REF!</f>
        <v>#REF!</v>
      </c>
      <c r="AK178" t="e">
        <f>装备!#REF!</f>
        <v>#REF!</v>
      </c>
      <c r="AL178" t="e">
        <f>装备!#REF!</f>
        <v>#REF!</v>
      </c>
      <c r="AM178" t="e">
        <f>装备!#REF!</f>
        <v>#REF!</v>
      </c>
      <c r="AN178" t="e">
        <f>装备!#REF!</f>
        <v>#REF!</v>
      </c>
      <c r="AO178" t="e">
        <f>装备!#REF!</f>
        <v>#REF!</v>
      </c>
      <c r="AP178" t="e">
        <f>装备!#REF!</f>
        <v>#REF!</v>
      </c>
      <c r="AQ178" t="e">
        <f>装备!#REF!</f>
        <v>#REF!</v>
      </c>
      <c r="AR178" t="e">
        <f>装备!#REF!</f>
        <v>#REF!</v>
      </c>
      <c r="AS178" t="e">
        <f>装备!#REF!</f>
        <v>#REF!</v>
      </c>
      <c r="AT178" t="e">
        <f t="shared" si="31"/>
        <v>#REF!</v>
      </c>
      <c r="AU178" t="e">
        <f>装备!#REF!</f>
        <v>#REF!</v>
      </c>
      <c r="AV178" t="e">
        <f>装备!#REF!</f>
        <v>#REF!</v>
      </c>
      <c r="AW178" t="e">
        <f>装备!#REF!</f>
        <v>#REF!</v>
      </c>
      <c r="AX178" t="e">
        <f>装备!#REF!</f>
        <v>#REF!</v>
      </c>
      <c r="AY178" t="e">
        <f>装备!#REF!</f>
        <v>#REF!</v>
      </c>
      <c r="AZ178" t="e">
        <f>装备!#REF!</f>
        <v>#REF!</v>
      </c>
      <c r="BA178" t="e">
        <f>装备!#REF!</f>
        <v>#REF!</v>
      </c>
      <c r="BB178" t="e">
        <f>装备!#REF!</f>
        <v>#REF!</v>
      </c>
      <c r="BC178" t="e">
        <f>装备!#REF!</f>
        <v>#REF!</v>
      </c>
      <c r="BD178" t="e">
        <f>装备!#REF!</f>
        <v>#REF!</v>
      </c>
      <c r="BE178" t="e">
        <f t="shared" si="32"/>
        <v>#REF!</v>
      </c>
      <c r="BF178" t="e">
        <f>装备!#REF!</f>
        <v>#REF!</v>
      </c>
      <c r="BG178" t="e">
        <f>装备!#REF!</f>
        <v>#REF!</v>
      </c>
      <c r="BH178" t="e">
        <f>装备!#REF!</f>
        <v>#REF!</v>
      </c>
      <c r="BI178" t="e">
        <f>装备!#REF!</f>
        <v>#REF!</v>
      </c>
      <c r="BJ178" t="e">
        <f>装备!#REF!</f>
        <v>#REF!</v>
      </c>
      <c r="BK178" t="e">
        <f>装备!#REF!</f>
        <v>#REF!</v>
      </c>
      <c r="BL178" t="e">
        <f>装备!#REF!</f>
        <v>#REF!</v>
      </c>
      <c r="BM178" t="e">
        <f>装备!#REF!</f>
        <v>#REF!</v>
      </c>
      <c r="BN178" t="e">
        <f>装备!#REF!</f>
        <v>#REF!</v>
      </c>
      <c r="BO178" t="e">
        <f>装备!#REF!</f>
        <v>#REF!</v>
      </c>
      <c r="BP178" t="e">
        <f t="shared" si="33"/>
        <v>#REF!</v>
      </c>
      <c r="BQ178" t="e">
        <f>装备!#REF!</f>
        <v>#REF!</v>
      </c>
      <c r="BR178" t="e">
        <f>装备!#REF!</f>
        <v>#REF!</v>
      </c>
      <c r="BS178" t="e">
        <f>装备!#REF!</f>
        <v>#REF!</v>
      </c>
      <c r="BT178" t="e">
        <f>装备!#REF!</f>
        <v>#REF!</v>
      </c>
      <c r="BU178" t="e">
        <f>装备!#REF!</f>
        <v>#REF!</v>
      </c>
      <c r="BV178" t="e">
        <f>装备!#REF!</f>
        <v>#REF!</v>
      </c>
      <c r="BW178" t="e">
        <f>装备!#REF!</f>
        <v>#REF!</v>
      </c>
      <c r="BX178" t="e">
        <f>装备!#REF!</f>
        <v>#REF!</v>
      </c>
      <c r="BY178" t="e">
        <f>装备!#REF!</f>
        <v>#REF!</v>
      </c>
      <c r="BZ178" t="e">
        <f>装备!#REF!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装备!#REF!</f>
        <v>#REF!</v>
      </c>
      <c r="B179" t="e">
        <f>装备!#REF!</f>
        <v>#REF!</v>
      </c>
      <c r="C179" t="e">
        <f>装备!#REF!</f>
        <v>#REF!</v>
      </c>
      <c r="D179" t="e">
        <f>装备!#REF!</f>
        <v>#REF!</v>
      </c>
      <c r="E179" t="e">
        <f>装备!#REF!</f>
        <v>#REF!</v>
      </c>
      <c r="F179" t="e">
        <f>装备!#REF!</f>
        <v>#REF!</v>
      </c>
      <c r="G179" t="e">
        <f>装备!#REF!</f>
        <v>#REF!</v>
      </c>
      <c r="H179" t="e">
        <f>装备!#REF!</f>
        <v>#REF!</v>
      </c>
      <c r="I179" t="e">
        <f>装备!#REF!</f>
        <v>#REF!</v>
      </c>
      <c r="J179" t="e">
        <f>装备!#REF!</f>
        <v>#REF!</v>
      </c>
      <c r="K179" t="e">
        <f>装备!#REF!</f>
        <v>#REF!</v>
      </c>
      <c r="L179" t="e">
        <f>装备!#REF!</f>
        <v>#REF!</v>
      </c>
      <c r="M179" t="e">
        <f t="shared" si="28"/>
        <v>#REF!</v>
      </c>
      <c r="N179" t="e">
        <f>装备!#REF!</f>
        <v>#REF!</v>
      </c>
      <c r="O179" t="e">
        <f>装备!#REF!</f>
        <v>#REF!</v>
      </c>
      <c r="P179" t="e">
        <f>装备!#REF!</f>
        <v>#REF!</v>
      </c>
      <c r="Q179" t="e">
        <f>装备!#REF!</f>
        <v>#REF!</v>
      </c>
      <c r="R179" t="e">
        <f>装备!#REF!</f>
        <v>#REF!</v>
      </c>
      <c r="S179" t="e">
        <f>装备!#REF!</f>
        <v>#REF!</v>
      </c>
      <c r="T179" t="e">
        <f>装备!#REF!</f>
        <v>#REF!</v>
      </c>
      <c r="U179" t="e">
        <f>装备!#REF!</f>
        <v>#REF!</v>
      </c>
      <c r="V179" t="e">
        <f>装备!#REF!</f>
        <v>#REF!</v>
      </c>
      <c r="W179" t="e">
        <f>装备!#REF!</f>
        <v>#REF!</v>
      </c>
      <c r="X179" t="e">
        <f t="shared" si="29"/>
        <v>#REF!</v>
      </c>
      <c r="Y179" t="e">
        <f>装备!#REF!</f>
        <v>#REF!</v>
      </c>
      <c r="Z179" t="e">
        <f>装备!#REF!</f>
        <v>#REF!</v>
      </c>
      <c r="AA179" t="e">
        <f>装备!#REF!</f>
        <v>#REF!</v>
      </c>
      <c r="AB179" t="e">
        <f>装备!#REF!</f>
        <v>#REF!</v>
      </c>
      <c r="AC179" t="e">
        <f>装备!#REF!</f>
        <v>#REF!</v>
      </c>
      <c r="AD179" t="e">
        <f>装备!#REF!</f>
        <v>#REF!</v>
      </c>
      <c r="AE179" t="e">
        <f>装备!#REF!</f>
        <v>#REF!</v>
      </c>
      <c r="AF179" t="e">
        <f>装备!#REF!</f>
        <v>#REF!</v>
      </c>
      <c r="AG179" t="e">
        <f>装备!#REF!</f>
        <v>#REF!</v>
      </c>
      <c r="AH179" t="e">
        <f>装备!#REF!</f>
        <v>#REF!</v>
      </c>
      <c r="AI179" t="e">
        <f t="shared" si="30"/>
        <v>#REF!</v>
      </c>
      <c r="AJ179" t="e">
        <f>装备!#REF!</f>
        <v>#REF!</v>
      </c>
      <c r="AK179" t="e">
        <f>装备!#REF!</f>
        <v>#REF!</v>
      </c>
      <c r="AL179" t="e">
        <f>装备!#REF!</f>
        <v>#REF!</v>
      </c>
      <c r="AM179" t="e">
        <f>装备!#REF!</f>
        <v>#REF!</v>
      </c>
      <c r="AN179" t="e">
        <f>装备!#REF!</f>
        <v>#REF!</v>
      </c>
      <c r="AO179" t="e">
        <f>装备!#REF!</f>
        <v>#REF!</v>
      </c>
      <c r="AP179" t="e">
        <f>装备!#REF!</f>
        <v>#REF!</v>
      </c>
      <c r="AQ179" t="e">
        <f>装备!#REF!</f>
        <v>#REF!</v>
      </c>
      <c r="AR179" t="e">
        <f>装备!#REF!</f>
        <v>#REF!</v>
      </c>
      <c r="AS179" t="e">
        <f>装备!#REF!</f>
        <v>#REF!</v>
      </c>
      <c r="AT179" t="e">
        <f t="shared" si="31"/>
        <v>#REF!</v>
      </c>
      <c r="AU179" t="e">
        <f>装备!#REF!</f>
        <v>#REF!</v>
      </c>
      <c r="AV179" t="e">
        <f>装备!#REF!</f>
        <v>#REF!</v>
      </c>
      <c r="AW179" t="e">
        <f>装备!#REF!</f>
        <v>#REF!</v>
      </c>
      <c r="AX179" t="e">
        <f>装备!#REF!</f>
        <v>#REF!</v>
      </c>
      <c r="AY179" t="e">
        <f>装备!#REF!</f>
        <v>#REF!</v>
      </c>
      <c r="AZ179" t="e">
        <f>装备!#REF!</f>
        <v>#REF!</v>
      </c>
      <c r="BA179" t="e">
        <f>装备!#REF!</f>
        <v>#REF!</v>
      </c>
      <c r="BB179" t="e">
        <f>装备!#REF!</f>
        <v>#REF!</v>
      </c>
      <c r="BC179" t="e">
        <f>装备!#REF!</f>
        <v>#REF!</v>
      </c>
      <c r="BD179" t="e">
        <f>装备!#REF!</f>
        <v>#REF!</v>
      </c>
      <c r="BE179" t="e">
        <f t="shared" si="32"/>
        <v>#REF!</v>
      </c>
      <c r="BF179" t="e">
        <f>装备!#REF!</f>
        <v>#REF!</v>
      </c>
      <c r="BG179" t="e">
        <f>装备!#REF!</f>
        <v>#REF!</v>
      </c>
      <c r="BH179" t="e">
        <f>装备!#REF!</f>
        <v>#REF!</v>
      </c>
      <c r="BI179" t="e">
        <f>装备!#REF!</f>
        <v>#REF!</v>
      </c>
      <c r="BJ179" t="e">
        <f>装备!#REF!</f>
        <v>#REF!</v>
      </c>
      <c r="BK179" t="e">
        <f>装备!#REF!</f>
        <v>#REF!</v>
      </c>
      <c r="BL179" t="e">
        <f>装备!#REF!</f>
        <v>#REF!</v>
      </c>
      <c r="BM179" t="e">
        <f>装备!#REF!</f>
        <v>#REF!</v>
      </c>
      <c r="BN179" t="e">
        <f>装备!#REF!</f>
        <v>#REF!</v>
      </c>
      <c r="BO179" t="e">
        <f>装备!#REF!</f>
        <v>#REF!</v>
      </c>
      <c r="BP179" t="e">
        <f t="shared" si="33"/>
        <v>#REF!</v>
      </c>
      <c r="BQ179" t="e">
        <f>装备!#REF!</f>
        <v>#REF!</v>
      </c>
      <c r="BR179" t="e">
        <f>装备!#REF!</f>
        <v>#REF!</v>
      </c>
      <c r="BS179" t="e">
        <f>装备!#REF!</f>
        <v>#REF!</v>
      </c>
      <c r="BT179" t="e">
        <f>装备!#REF!</f>
        <v>#REF!</v>
      </c>
      <c r="BU179" t="e">
        <f>装备!#REF!</f>
        <v>#REF!</v>
      </c>
      <c r="BV179" t="e">
        <f>装备!#REF!</f>
        <v>#REF!</v>
      </c>
      <c r="BW179" t="e">
        <f>装备!#REF!</f>
        <v>#REF!</v>
      </c>
      <c r="BX179" t="e">
        <f>装备!#REF!</f>
        <v>#REF!</v>
      </c>
      <c r="BY179" t="e">
        <f>装备!#REF!</f>
        <v>#REF!</v>
      </c>
      <c r="BZ179" t="e">
        <f>装备!#REF!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装备!#REF!</f>
        <v>#REF!</v>
      </c>
      <c r="B180" t="e">
        <f>装备!#REF!</f>
        <v>#REF!</v>
      </c>
      <c r="C180" t="e">
        <f>装备!#REF!</f>
        <v>#REF!</v>
      </c>
      <c r="D180" t="e">
        <f>装备!#REF!</f>
        <v>#REF!</v>
      </c>
      <c r="E180" t="e">
        <f>装备!#REF!</f>
        <v>#REF!</v>
      </c>
      <c r="F180" t="e">
        <f>装备!#REF!</f>
        <v>#REF!</v>
      </c>
      <c r="G180" t="e">
        <f>装备!#REF!</f>
        <v>#REF!</v>
      </c>
      <c r="H180" t="e">
        <f>装备!#REF!</f>
        <v>#REF!</v>
      </c>
      <c r="I180" t="e">
        <f>装备!#REF!</f>
        <v>#REF!</v>
      </c>
      <c r="J180" t="e">
        <f>装备!#REF!</f>
        <v>#REF!</v>
      </c>
      <c r="K180" t="e">
        <f>装备!#REF!</f>
        <v>#REF!</v>
      </c>
      <c r="L180" t="e">
        <f>装备!#REF!</f>
        <v>#REF!</v>
      </c>
      <c r="M180" t="e">
        <f t="shared" si="28"/>
        <v>#REF!</v>
      </c>
      <c r="N180" t="e">
        <f>装备!#REF!</f>
        <v>#REF!</v>
      </c>
      <c r="O180" t="e">
        <f>装备!#REF!</f>
        <v>#REF!</v>
      </c>
      <c r="P180" t="e">
        <f>装备!#REF!</f>
        <v>#REF!</v>
      </c>
      <c r="Q180" t="e">
        <f>装备!#REF!</f>
        <v>#REF!</v>
      </c>
      <c r="R180" t="e">
        <f>装备!#REF!</f>
        <v>#REF!</v>
      </c>
      <c r="S180" t="e">
        <f>装备!#REF!</f>
        <v>#REF!</v>
      </c>
      <c r="T180" t="e">
        <f>装备!#REF!</f>
        <v>#REF!</v>
      </c>
      <c r="U180" t="e">
        <f>装备!#REF!</f>
        <v>#REF!</v>
      </c>
      <c r="V180" t="e">
        <f>装备!#REF!</f>
        <v>#REF!</v>
      </c>
      <c r="W180" t="e">
        <f>装备!#REF!</f>
        <v>#REF!</v>
      </c>
      <c r="X180" t="e">
        <f t="shared" si="29"/>
        <v>#REF!</v>
      </c>
      <c r="Y180" t="e">
        <f>装备!#REF!</f>
        <v>#REF!</v>
      </c>
      <c r="Z180" t="e">
        <f>装备!#REF!</f>
        <v>#REF!</v>
      </c>
      <c r="AA180" t="e">
        <f>装备!#REF!</f>
        <v>#REF!</v>
      </c>
      <c r="AB180" t="e">
        <f>装备!#REF!</f>
        <v>#REF!</v>
      </c>
      <c r="AC180" t="e">
        <f>装备!#REF!</f>
        <v>#REF!</v>
      </c>
      <c r="AD180" t="e">
        <f>装备!#REF!</f>
        <v>#REF!</v>
      </c>
      <c r="AE180" t="e">
        <f>装备!#REF!</f>
        <v>#REF!</v>
      </c>
      <c r="AF180" t="e">
        <f>装备!#REF!</f>
        <v>#REF!</v>
      </c>
      <c r="AG180" t="e">
        <f>装备!#REF!</f>
        <v>#REF!</v>
      </c>
      <c r="AH180" t="e">
        <f>装备!#REF!</f>
        <v>#REF!</v>
      </c>
      <c r="AI180" t="e">
        <f t="shared" si="30"/>
        <v>#REF!</v>
      </c>
      <c r="AJ180" t="e">
        <f>装备!#REF!</f>
        <v>#REF!</v>
      </c>
      <c r="AK180" t="e">
        <f>装备!#REF!</f>
        <v>#REF!</v>
      </c>
      <c r="AL180" t="e">
        <f>装备!#REF!</f>
        <v>#REF!</v>
      </c>
      <c r="AM180" t="e">
        <f>装备!#REF!</f>
        <v>#REF!</v>
      </c>
      <c r="AN180" t="e">
        <f>装备!#REF!</f>
        <v>#REF!</v>
      </c>
      <c r="AO180" t="e">
        <f>装备!#REF!</f>
        <v>#REF!</v>
      </c>
      <c r="AP180" t="e">
        <f>装备!#REF!</f>
        <v>#REF!</v>
      </c>
      <c r="AQ180" t="e">
        <f>装备!#REF!</f>
        <v>#REF!</v>
      </c>
      <c r="AR180" t="e">
        <f>装备!#REF!</f>
        <v>#REF!</v>
      </c>
      <c r="AS180" t="e">
        <f>装备!#REF!</f>
        <v>#REF!</v>
      </c>
      <c r="AT180" t="e">
        <f t="shared" si="31"/>
        <v>#REF!</v>
      </c>
      <c r="AU180" t="e">
        <f>装备!#REF!</f>
        <v>#REF!</v>
      </c>
      <c r="AV180" t="e">
        <f>装备!#REF!</f>
        <v>#REF!</v>
      </c>
      <c r="AW180" t="e">
        <f>装备!#REF!</f>
        <v>#REF!</v>
      </c>
      <c r="AX180" t="e">
        <f>装备!#REF!</f>
        <v>#REF!</v>
      </c>
      <c r="AY180" t="e">
        <f>装备!#REF!</f>
        <v>#REF!</v>
      </c>
      <c r="AZ180" t="e">
        <f>装备!#REF!</f>
        <v>#REF!</v>
      </c>
      <c r="BA180" t="e">
        <f>装备!#REF!</f>
        <v>#REF!</v>
      </c>
      <c r="BB180" t="e">
        <f>装备!#REF!</f>
        <v>#REF!</v>
      </c>
      <c r="BC180" t="e">
        <f>装备!#REF!</f>
        <v>#REF!</v>
      </c>
      <c r="BD180" t="e">
        <f>装备!#REF!</f>
        <v>#REF!</v>
      </c>
      <c r="BE180" t="e">
        <f t="shared" si="32"/>
        <v>#REF!</v>
      </c>
      <c r="BF180" t="e">
        <f>装备!#REF!</f>
        <v>#REF!</v>
      </c>
      <c r="BG180" t="e">
        <f>装备!#REF!</f>
        <v>#REF!</v>
      </c>
      <c r="BH180" t="e">
        <f>装备!#REF!</f>
        <v>#REF!</v>
      </c>
      <c r="BI180" t="e">
        <f>装备!#REF!</f>
        <v>#REF!</v>
      </c>
      <c r="BJ180" t="e">
        <f>装备!#REF!</f>
        <v>#REF!</v>
      </c>
      <c r="BK180" t="e">
        <f>装备!#REF!</f>
        <v>#REF!</v>
      </c>
      <c r="BL180" t="e">
        <f>装备!#REF!</f>
        <v>#REF!</v>
      </c>
      <c r="BM180" t="e">
        <f>装备!#REF!</f>
        <v>#REF!</v>
      </c>
      <c r="BN180" t="e">
        <f>装备!#REF!</f>
        <v>#REF!</v>
      </c>
      <c r="BO180" t="e">
        <f>装备!#REF!</f>
        <v>#REF!</v>
      </c>
      <c r="BP180" t="e">
        <f t="shared" si="33"/>
        <v>#REF!</v>
      </c>
      <c r="BQ180" t="e">
        <f>装备!#REF!</f>
        <v>#REF!</v>
      </c>
      <c r="BR180" t="e">
        <f>装备!#REF!</f>
        <v>#REF!</v>
      </c>
      <c r="BS180" t="e">
        <f>装备!#REF!</f>
        <v>#REF!</v>
      </c>
      <c r="BT180" t="e">
        <f>装备!#REF!</f>
        <v>#REF!</v>
      </c>
      <c r="BU180" t="e">
        <f>装备!#REF!</f>
        <v>#REF!</v>
      </c>
      <c r="BV180" t="e">
        <f>装备!#REF!</f>
        <v>#REF!</v>
      </c>
      <c r="BW180" t="e">
        <f>装备!#REF!</f>
        <v>#REF!</v>
      </c>
      <c r="BX180" t="e">
        <f>装备!#REF!</f>
        <v>#REF!</v>
      </c>
      <c r="BY180" t="e">
        <f>装备!#REF!</f>
        <v>#REF!</v>
      </c>
      <c r="BZ180" t="e">
        <f>装备!#REF!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装备!#REF!</f>
        <v>#REF!</v>
      </c>
      <c r="B181" t="e">
        <f>装备!#REF!</f>
        <v>#REF!</v>
      </c>
      <c r="C181" t="e">
        <f>装备!#REF!</f>
        <v>#REF!</v>
      </c>
      <c r="D181" t="e">
        <f>装备!#REF!</f>
        <v>#REF!</v>
      </c>
      <c r="E181" t="e">
        <f>装备!#REF!</f>
        <v>#REF!</v>
      </c>
      <c r="F181" t="e">
        <f>装备!#REF!</f>
        <v>#REF!</v>
      </c>
      <c r="G181" t="e">
        <f>装备!#REF!</f>
        <v>#REF!</v>
      </c>
      <c r="H181" t="e">
        <f>装备!#REF!</f>
        <v>#REF!</v>
      </c>
      <c r="I181" t="e">
        <f>装备!#REF!</f>
        <v>#REF!</v>
      </c>
      <c r="J181" t="e">
        <f>装备!#REF!</f>
        <v>#REF!</v>
      </c>
      <c r="K181" t="e">
        <f>装备!#REF!</f>
        <v>#REF!</v>
      </c>
      <c r="L181" t="e">
        <f>装备!#REF!</f>
        <v>#REF!</v>
      </c>
      <c r="M181" t="e">
        <f t="shared" si="28"/>
        <v>#REF!</v>
      </c>
      <c r="N181" t="e">
        <f>装备!#REF!</f>
        <v>#REF!</v>
      </c>
      <c r="O181" t="e">
        <f>装备!#REF!</f>
        <v>#REF!</v>
      </c>
      <c r="P181" t="e">
        <f>装备!#REF!</f>
        <v>#REF!</v>
      </c>
      <c r="Q181" t="e">
        <f>装备!#REF!</f>
        <v>#REF!</v>
      </c>
      <c r="R181" t="e">
        <f>装备!#REF!</f>
        <v>#REF!</v>
      </c>
      <c r="S181" t="e">
        <f>装备!#REF!</f>
        <v>#REF!</v>
      </c>
      <c r="T181" t="e">
        <f>装备!#REF!</f>
        <v>#REF!</v>
      </c>
      <c r="U181" t="e">
        <f>装备!#REF!</f>
        <v>#REF!</v>
      </c>
      <c r="V181" t="e">
        <f>装备!#REF!</f>
        <v>#REF!</v>
      </c>
      <c r="W181" t="e">
        <f>装备!#REF!</f>
        <v>#REF!</v>
      </c>
      <c r="X181" t="e">
        <f t="shared" si="29"/>
        <v>#REF!</v>
      </c>
      <c r="Y181" t="e">
        <f>装备!#REF!</f>
        <v>#REF!</v>
      </c>
      <c r="Z181" t="e">
        <f>装备!#REF!</f>
        <v>#REF!</v>
      </c>
      <c r="AA181" t="e">
        <f>装备!#REF!</f>
        <v>#REF!</v>
      </c>
      <c r="AB181" t="e">
        <f>装备!#REF!</f>
        <v>#REF!</v>
      </c>
      <c r="AC181" t="e">
        <f>装备!#REF!</f>
        <v>#REF!</v>
      </c>
      <c r="AD181" t="e">
        <f>装备!#REF!</f>
        <v>#REF!</v>
      </c>
      <c r="AE181" t="e">
        <f>装备!#REF!</f>
        <v>#REF!</v>
      </c>
      <c r="AF181" t="e">
        <f>装备!#REF!</f>
        <v>#REF!</v>
      </c>
      <c r="AG181" t="e">
        <f>装备!#REF!</f>
        <v>#REF!</v>
      </c>
      <c r="AH181" t="e">
        <f>装备!#REF!</f>
        <v>#REF!</v>
      </c>
      <c r="AI181" t="e">
        <f t="shared" si="30"/>
        <v>#REF!</v>
      </c>
      <c r="AJ181" t="e">
        <f>装备!#REF!</f>
        <v>#REF!</v>
      </c>
      <c r="AK181" t="e">
        <f>装备!#REF!</f>
        <v>#REF!</v>
      </c>
      <c r="AL181" t="e">
        <f>装备!#REF!</f>
        <v>#REF!</v>
      </c>
      <c r="AM181" t="e">
        <f>装备!#REF!</f>
        <v>#REF!</v>
      </c>
      <c r="AN181" t="e">
        <f>装备!#REF!</f>
        <v>#REF!</v>
      </c>
      <c r="AO181" t="e">
        <f>装备!#REF!</f>
        <v>#REF!</v>
      </c>
      <c r="AP181" t="e">
        <f>装备!#REF!</f>
        <v>#REF!</v>
      </c>
      <c r="AQ181" t="e">
        <f>装备!#REF!</f>
        <v>#REF!</v>
      </c>
      <c r="AR181" t="e">
        <f>装备!#REF!</f>
        <v>#REF!</v>
      </c>
      <c r="AS181" t="e">
        <f>装备!#REF!</f>
        <v>#REF!</v>
      </c>
      <c r="AT181" t="e">
        <f t="shared" si="31"/>
        <v>#REF!</v>
      </c>
      <c r="AU181" t="e">
        <f>装备!#REF!</f>
        <v>#REF!</v>
      </c>
      <c r="AV181" t="e">
        <f>装备!#REF!</f>
        <v>#REF!</v>
      </c>
      <c r="AW181" t="e">
        <f>装备!#REF!</f>
        <v>#REF!</v>
      </c>
      <c r="AX181" t="e">
        <f>装备!#REF!</f>
        <v>#REF!</v>
      </c>
      <c r="AY181" t="e">
        <f>装备!#REF!</f>
        <v>#REF!</v>
      </c>
      <c r="AZ181" t="e">
        <f>装备!#REF!</f>
        <v>#REF!</v>
      </c>
      <c r="BA181" t="e">
        <f>装备!#REF!</f>
        <v>#REF!</v>
      </c>
      <c r="BB181" t="e">
        <f>装备!#REF!</f>
        <v>#REF!</v>
      </c>
      <c r="BC181" t="e">
        <f>装备!#REF!</f>
        <v>#REF!</v>
      </c>
      <c r="BD181" t="e">
        <f>装备!#REF!</f>
        <v>#REF!</v>
      </c>
      <c r="BE181" t="e">
        <f t="shared" si="32"/>
        <v>#REF!</v>
      </c>
      <c r="BF181" t="e">
        <f>装备!#REF!</f>
        <v>#REF!</v>
      </c>
      <c r="BG181" t="e">
        <f>装备!#REF!</f>
        <v>#REF!</v>
      </c>
      <c r="BH181" t="e">
        <f>装备!#REF!</f>
        <v>#REF!</v>
      </c>
      <c r="BI181" t="e">
        <f>装备!#REF!</f>
        <v>#REF!</v>
      </c>
      <c r="BJ181" t="e">
        <f>装备!#REF!</f>
        <v>#REF!</v>
      </c>
      <c r="BK181" t="e">
        <f>装备!#REF!</f>
        <v>#REF!</v>
      </c>
      <c r="BL181" t="e">
        <f>装备!#REF!</f>
        <v>#REF!</v>
      </c>
      <c r="BM181" t="e">
        <f>装备!#REF!</f>
        <v>#REF!</v>
      </c>
      <c r="BN181" t="e">
        <f>装备!#REF!</f>
        <v>#REF!</v>
      </c>
      <c r="BO181" t="e">
        <f>装备!#REF!</f>
        <v>#REF!</v>
      </c>
      <c r="BP181" t="e">
        <f t="shared" si="33"/>
        <v>#REF!</v>
      </c>
      <c r="BQ181" t="e">
        <f>装备!#REF!</f>
        <v>#REF!</v>
      </c>
      <c r="BR181" t="e">
        <f>装备!#REF!</f>
        <v>#REF!</v>
      </c>
      <c r="BS181" t="e">
        <f>装备!#REF!</f>
        <v>#REF!</v>
      </c>
      <c r="BT181" t="e">
        <f>装备!#REF!</f>
        <v>#REF!</v>
      </c>
      <c r="BU181" t="e">
        <f>装备!#REF!</f>
        <v>#REF!</v>
      </c>
      <c r="BV181" t="e">
        <f>装备!#REF!</f>
        <v>#REF!</v>
      </c>
      <c r="BW181" t="e">
        <f>装备!#REF!</f>
        <v>#REF!</v>
      </c>
      <c r="BX181" t="e">
        <f>装备!#REF!</f>
        <v>#REF!</v>
      </c>
      <c r="BY181" t="e">
        <f>装备!#REF!</f>
        <v>#REF!</v>
      </c>
      <c r="BZ181" t="e">
        <f>装备!#REF!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装备!#REF!</f>
        <v>#REF!</v>
      </c>
      <c r="B182" t="e">
        <f>装备!#REF!</f>
        <v>#REF!</v>
      </c>
      <c r="C182" t="e">
        <f>装备!#REF!</f>
        <v>#REF!</v>
      </c>
      <c r="D182" t="e">
        <f>装备!#REF!</f>
        <v>#REF!</v>
      </c>
      <c r="E182" t="e">
        <f>装备!#REF!</f>
        <v>#REF!</v>
      </c>
      <c r="F182" t="e">
        <f>装备!#REF!</f>
        <v>#REF!</v>
      </c>
      <c r="G182" t="e">
        <f>装备!#REF!</f>
        <v>#REF!</v>
      </c>
      <c r="H182" t="e">
        <f>装备!#REF!</f>
        <v>#REF!</v>
      </c>
      <c r="I182" t="e">
        <f>装备!#REF!</f>
        <v>#REF!</v>
      </c>
      <c r="J182" t="e">
        <f>装备!#REF!</f>
        <v>#REF!</v>
      </c>
      <c r="K182" t="e">
        <f>装备!#REF!</f>
        <v>#REF!</v>
      </c>
      <c r="L182" t="e">
        <f>装备!#REF!</f>
        <v>#REF!</v>
      </c>
      <c r="M182" t="e">
        <f t="shared" si="28"/>
        <v>#REF!</v>
      </c>
      <c r="N182" t="e">
        <f>装备!#REF!</f>
        <v>#REF!</v>
      </c>
      <c r="O182" t="e">
        <f>装备!#REF!</f>
        <v>#REF!</v>
      </c>
      <c r="P182" t="e">
        <f>装备!#REF!</f>
        <v>#REF!</v>
      </c>
      <c r="Q182" t="e">
        <f>装备!#REF!</f>
        <v>#REF!</v>
      </c>
      <c r="R182" t="e">
        <f>装备!#REF!</f>
        <v>#REF!</v>
      </c>
      <c r="S182" t="e">
        <f>装备!#REF!</f>
        <v>#REF!</v>
      </c>
      <c r="T182" t="e">
        <f>装备!#REF!</f>
        <v>#REF!</v>
      </c>
      <c r="U182" t="e">
        <f>装备!#REF!</f>
        <v>#REF!</v>
      </c>
      <c r="V182" t="e">
        <f>装备!#REF!</f>
        <v>#REF!</v>
      </c>
      <c r="W182" t="e">
        <f>装备!#REF!</f>
        <v>#REF!</v>
      </c>
      <c r="X182" t="e">
        <f t="shared" si="29"/>
        <v>#REF!</v>
      </c>
      <c r="Y182" t="e">
        <f>装备!#REF!</f>
        <v>#REF!</v>
      </c>
      <c r="Z182" t="e">
        <f>装备!#REF!</f>
        <v>#REF!</v>
      </c>
      <c r="AA182" t="e">
        <f>装备!#REF!</f>
        <v>#REF!</v>
      </c>
      <c r="AB182" t="e">
        <f>装备!#REF!</f>
        <v>#REF!</v>
      </c>
      <c r="AC182" t="e">
        <f>装备!#REF!</f>
        <v>#REF!</v>
      </c>
      <c r="AD182" t="e">
        <f>装备!#REF!</f>
        <v>#REF!</v>
      </c>
      <c r="AE182" t="e">
        <f>装备!#REF!</f>
        <v>#REF!</v>
      </c>
      <c r="AF182" t="e">
        <f>装备!#REF!</f>
        <v>#REF!</v>
      </c>
      <c r="AG182" t="e">
        <f>装备!#REF!</f>
        <v>#REF!</v>
      </c>
      <c r="AH182" t="e">
        <f>装备!#REF!</f>
        <v>#REF!</v>
      </c>
      <c r="AI182" t="e">
        <f t="shared" si="30"/>
        <v>#REF!</v>
      </c>
      <c r="AJ182" t="e">
        <f>装备!#REF!</f>
        <v>#REF!</v>
      </c>
      <c r="AK182" t="e">
        <f>装备!#REF!</f>
        <v>#REF!</v>
      </c>
      <c r="AL182" t="e">
        <f>装备!#REF!</f>
        <v>#REF!</v>
      </c>
      <c r="AM182" t="e">
        <f>装备!#REF!</f>
        <v>#REF!</v>
      </c>
      <c r="AN182" t="e">
        <f>装备!#REF!</f>
        <v>#REF!</v>
      </c>
      <c r="AO182" t="e">
        <f>装备!#REF!</f>
        <v>#REF!</v>
      </c>
      <c r="AP182" t="e">
        <f>装备!#REF!</f>
        <v>#REF!</v>
      </c>
      <c r="AQ182" t="e">
        <f>装备!#REF!</f>
        <v>#REF!</v>
      </c>
      <c r="AR182" t="e">
        <f>装备!#REF!</f>
        <v>#REF!</v>
      </c>
      <c r="AS182" t="e">
        <f>装备!#REF!</f>
        <v>#REF!</v>
      </c>
      <c r="AT182" t="e">
        <f t="shared" si="31"/>
        <v>#REF!</v>
      </c>
      <c r="AU182" t="e">
        <f>装备!#REF!</f>
        <v>#REF!</v>
      </c>
      <c r="AV182" t="e">
        <f>装备!#REF!</f>
        <v>#REF!</v>
      </c>
      <c r="AW182" t="e">
        <f>装备!#REF!</f>
        <v>#REF!</v>
      </c>
      <c r="AX182" t="e">
        <f>装备!#REF!</f>
        <v>#REF!</v>
      </c>
      <c r="AY182" t="e">
        <f>装备!#REF!</f>
        <v>#REF!</v>
      </c>
      <c r="AZ182" t="e">
        <f>装备!#REF!</f>
        <v>#REF!</v>
      </c>
      <c r="BA182" t="e">
        <f>装备!#REF!</f>
        <v>#REF!</v>
      </c>
      <c r="BB182" t="e">
        <f>装备!#REF!</f>
        <v>#REF!</v>
      </c>
      <c r="BC182" t="e">
        <f>装备!#REF!</f>
        <v>#REF!</v>
      </c>
      <c r="BD182" t="e">
        <f>装备!#REF!</f>
        <v>#REF!</v>
      </c>
      <c r="BE182" t="e">
        <f t="shared" si="32"/>
        <v>#REF!</v>
      </c>
      <c r="BF182" t="e">
        <f>装备!#REF!</f>
        <v>#REF!</v>
      </c>
      <c r="BG182" t="e">
        <f>装备!#REF!</f>
        <v>#REF!</v>
      </c>
      <c r="BH182" t="e">
        <f>装备!#REF!</f>
        <v>#REF!</v>
      </c>
      <c r="BI182" t="e">
        <f>装备!#REF!</f>
        <v>#REF!</v>
      </c>
      <c r="BJ182" t="e">
        <f>装备!#REF!</f>
        <v>#REF!</v>
      </c>
      <c r="BK182" t="e">
        <f>装备!#REF!</f>
        <v>#REF!</v>
      </c>
      <c r="BL182" t="e">
        <f>装备!#REF!</f>
        <v>#REF!</v>
      </c>
      <c r="BM182" t="e">
        <f>装备!#REF!</f>
        <v>#REF!</v>
      </c>
      <c r="BN182" t="e">
        <f>装备!#REF!</f>
        <v>#REF!</v>
      </c>
      <c r="BO182" t="e">
        <f>装备!#REF!</f>
        <v>#REF!</v>
      </c>
      <c r="BP182" t="e">
        <f t="shared" si="33"/>
        <v>#REF!</v>
      </c>
      <c r="BQ182" t="e">
        <f>装备!#REF!</f>
        <v>#REF!</v>
      </c>
      <c r="BR182" t="e">
        <f>装备!#REF!</f>
        <v>#REF!</v>
      </c>
      <c r="BS182" t="e">
        <f>装备!#REF!</f>
        <v>#REF!</v>
      </c>
      <c r="BT182" t="e">
        <f>装备!#REF!</f>
        <v>#REF!</v>
      </c>
      <c r="BU182" t="e">
        <f>装备!#REF!</f>
        <v>#REF!</v>
      </c>
      <c r="BV182" t="e">
        <f>装备!#REF!</f>
        <v>#REF!</v>
      </c>
      <c r="BW182" t="e">
        <f>装备!#REF!</f>
        <v>#REF!</v>
      </c>
      <c r="BX182" t="e">
        <f>装备!#REF!</f>
        <v>#REF!</v>
      </c>
      <c r="BY182" t="e">
        <f>装备!#REF!</f>
        <v>#REF!</v>
      </c>
      <c r="BZ182" t="e">
        <f>装备!#REF!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装备!#REF!</f>
        <v>#REF!</v>
      </c>
      <c r="B183" t="e">
        <f>装备!#REF!</f>
        <v>#REF!</v>
      </c>
      <c r="C183" t="e">
        <f>装备!#REF!</f>
        <v>#REF!</v>
      </c>
      <c r="D183" t="e">
        <f>装备!#REF!</f>
        <v>#REF!</v>
      </c>
      <c r="E183" t="e">
        <f>装备!#REF!</f>
        <v>#REF!</v>
      </c>
      <c r="F183" t="e">
        <f>装备!#REF!</f>
        <v>#REF!</v>
      </c>
      <c r="G183" t="e">
        <f>装备!#REF!</f>
        <v>#REF!</v>
      </c>
      <c r="H183" t="e">
        <f>装备!#REF!</f>
        <v>#REF!</v>
      </c>
      <c r="I183" t="e">
        <f>装备!#REF!</f>
        <v>#REF!</v>
      </c>
      <c r="J183" t="e">
        <f>装备!#REF!</f>
        <v>#REF!</v>
      </c>
      <c r="K183" t="e">
        <f>装备!#REF!</f>
        <v>#REF!</v>
      </c>
      <c r="L183" t="e">
        <f>装备!#REF!</f>
        <v>#REF!</v>
      </c>
      <c r="M183" t="e">
        <f t="shared" si="28"/>
        <v>#REF!</v>
      </c>
      <c r="N183" t="e">
        <f>装备!#REF!</f>
        <v>#REF!</v>
      </c>
      <c r="O183" t="e">
        <f>装备!#REF!</f>
        <v>#REF!</v>
      </c>
      <c r="P183" t="e">
        <f>装备!#REF!</f>
        <v>#REF!</v>
      </c>
      <c r="Q183" t="e">
        <f>装备!#REF!</f>
        <v>#REF!</v>
      </c>
      <c r="R183" t="e">
        <f>装备!#REF!</f>
        <v>#REF!</v>
      </c>
      <c r="S183" t="e">
        <f>装备!#REF!</f>
        <v>#REF!</v>
      </c>
      <c r="T183" t="e">
        <f>装备!#REF!</f>
        <v>#REF!</v>
      </c>
      <c r="U183" t="e">
        <f>装备!#REF!</f>
        <v>#REF!</v>
      </c>
      <c r="V183" t="e">
        <f>装备!#REF!</f>
        <v>#REF!</v>
      </c>
      <c r="W183" t="e">
        <f>装备!#REF!</f>
        <v>#REF!</v>
      </c>
      <c r="X183" t="e">
        <f t="shared" si="29"/>
        <v>#REF!</v>
      </c>
      <c r="Y183" t="e">
        <f>装备!#REF!</f>
        <v>#REF!</v>
      </c>
      <c r="Z183" t="e">
        <f>装备!#REF!</f>
        <v>#REF!</v>
      </c>
      <c r="AA183" t="e">
        <f>装备!#REF!</f>
        <v>#REF!</v>
      </c>
      <c r="AB183" t="e">
        <f>装备!#REF!</f>
        <v>#REF!</v>
      </c>
      <c r="AC183" t="e">
        <f>装备!#REF!</f>
        <v>#REF!</v>
      </c>
      <c r="AD183" t="e">
        <f>装备!#REF!</f>
        <v>#REF!</v>
      </c>
      <c r="AE183" t="e">
        <f>装备!#REF!</f>
        <v>#REF!</v>
      </c>
      <c r="AF183" t="e">
        <f>装备!#REF!</f>
        <v>#REF!</v>
      </c>
      <c r="AG183" t="e">
        <f>装备!#REF!</f>
        <v>#REF!</v>
      </c>
      <c r="AH183" t="e">
        <f>装备!#REF!</f>
        <v>#REF!</v>
      </c>
      <c r="AI183" t="e">
        <f t="shared" si="30"/>
        <v>#REF!</v>
      </c>
      <c r="AJ183" t="e">
        <f>装备!#REF!</f>
        <v>#REF!</v>
      </c>
      <c r="AK183" t="e">
        <f>装备!#REF!</f>
        <v>#REF!</v>
      </c>
      <c r="AL183" t="e">
        <f>装备!#REF!</f>
        <v>#REF!</v>
      </c>
      <c r="AM183" t="e">
        <f>装备!#REF!</f>
        <v>#REF!</v>
      </c>
      <c r="AN183" t="e">
        <f>装备!#REF!</f>
        <v>#REF!</v>
      </c>
      <c r="AO183" t="e">
        <f>装备!#REF!</f>
        <v>#REF!</v>
      </c>
      <c r="AP183" t="e">
        <f>装备!#REF!</f>
        <v>#REF!</v>
      </c>
      <c r="AQ183" t="e">
        <f>装备!#REF!</f>
        <v>#REF!</v>
      </c>
      <c r="AR183" t="e">
        <f>装备!#REF!</f>
        <v>#REF!</v>
      </c>
      <c r="AS183" t="e">
        <f>装备!#REF!</f>
        <v>#REF!</v>
      </c>
      <c r="AT183" t="e">
        <f t="shared" si="31"/>
        <v>#REF!</v>
      </c>
      <c r="AU183" t="e">
        <f>装备!#REF!</f>
        <v>#REF!</v>
      </c>
      <c r="AV183" t="e">
        <f>装备!#REF!</f>
        <v>#REF!</v>
      </c>
      <c r="AW183" t="e">
        <f>装备!#REF!</f>
        <v>#REF!</v>
      </c>
      <c r="AX183" t="e">
        <f>装备!#REF!</f>
        <v>#REF!</v>
      </c>
      <c r="AY183" t="e">
        <f>装备!#REF!</f>
        <v>#REF!</v>
      </c>
      <c r="AZ183" t="e">
        <f>装备!#REF!</f>
        <v>#REF!</v>
      </c>
      <c r="BA183" t="e">
        <f>装备!#REF!</f>
        <v>#REF!</v>
      </c>
      <c r="BB183" t="e">
        <f>装备!#REF!</f>
        <v>#REF!</v>
      </c>
      <c r="BC183" t="e">
        <f>装备!#REF!</f>
        <v>#REF!</v>
      </c>
      <c r="BD183" t="e">
        <f>装备!#REF!</f>
        <v>#REF!</v>
      </c>
      <c r="BE183" t="e">
        <f t="shared" si="32"/>
        <v>#REF!</v>
      </c>
      <c r="BF183" t="e">
        <f>装备!#REF!</f>
        <v>#REF!</v>
      </c>
      <c r="BG183" t="e">
        <f>装备!#REF!</f>
        <v>#REF!</v>
      </c>
      <c r="BH183" t="e">
        <f>装备!#REF!</f>
        <v>#REF!</v>
      </c>
      <c r="BI183" t="e">
        <f>装备!#REF!</f>
        <v>#REF!</v>
      </c>
      <c r="BJ183" t="e">
        <f>装备!#REF!</f>
        <v>#REF!</v>
      </c>
      <c r="BK183" t="e">
        <f>装备!#REF!</f>
        <v>#REF!</v>
      </c>
      <c r="BL183" t="e">
        <f>装备!#REF!</f>
        <v>#REF!</v>
      </c>
      <c r="BM183" t="e">
        <f>装备!#REF!</f>
        <v>#REF!</v>
      </c>
      <c r="BN183" t="e">
        <f>装备!#REF!</f>
        <v>#REF!</v>
      </c>
      <c r="BO183" t="e">
        <f>装备!#REF!</f>
        <v>#REF!</v>
      </c>
      <c r="BP183" t="e">
        <f t="shared" si="33"/>
        <v>#REF!</v>
      </c>
      <c r="BQ183" t="e">
        <f>装备!#REF!</f>
        <v>#REF!</v>
      </c>
      <c r="BR183" t="e">
        <f>装备!#REF!</f>
        <v>#REF!</v>
      </c>
      <c r="BS183" t="e">
        <f>装备!#REF!</f>
        <v>#REF!</v>
      </c>
      <c r="BT183" t="e">
        <f>装备!#REF!</f>
        <v>#REF!</v>
      </c>
      <c r="BU183" t="e">
        <f>装备!#REF!</f>
        <v>#REF!</v>
      </c>
      <c r="BV183" t="e">
        <f>装备!#REF!</f>
        <v>#REF!</v>
      </c>
      <c r="BW183" t="e">
        <f>装备!#REF!</f>
        <v>#REF!</v>
      </c>
      <c r="BX183" t="e">
        <f>装备!#REF!</f>
        <v>#REF!</v>
      </c>
      <c r="BY183" t="e">
        <f>装备!#REF!</f>
        <v>#REF!</v>
      </c>
      <c r="BZ183" t="e">
        <f>装备!#REF!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装备!#REF!</f>
        <v>#REF!</v>
      </c>
      <c r="B184" t="e">
        <f>装备!#REF!</f>
        <v>#REF!</v>
      </c>
      <c r="C184" t="e">
        <f>装备!#REF!</f>
        <v>#REF!</v>
      </c>
      <c r="D184" t="e">
        <f>装备!#REF!</f>
        <v>#REF!</v>
      </c>
      <c r="E184" t="e">
        <f>装备!#REF!</f>
        <v>#REF!</v>
      </c>
      <c r="F184" t="e">
        <f>装备!#REF!</f>
        <v>#REF!</v>
      </c>
      <c r="G184" t="e">
        <f>装备!#REF!</f>
        <v>#REF!</v>
      </c>
      <c r="H184" t="e">
        <f>装备!#REF!</f>
        <v>#REF!</v>
      </c>
      <c r="I184" t="e">
        <f>装备!#REF!</f>
        <v>#REF!</v>
      </c>
      <c r="J184" t="e">
        <f>装备!#REF!</f>
        <v>#REF!</v>
      </c>
      <c r="K184" t="e">
        <f>装备!#REF!</f>
        <v>#REF!</v>
      </c>
      <c r="L184" t="e">
        <f>装备!#REF!</f>
        <v>#REF!</v>
      </c>
      <c r="M184" t="e">
        <f t="shared" si="28"/>
        <v>#REF!</v>
      </c>
      <c r="N184" t="e">
        <f>装备!#REF!</f>
        <v>#REF!</v>
      </c>
      <c r="O184" t="e">
        <f>装备!#REF!</f>
        <v>#REF!</v>
      </c>
      <c r="P184" t="e">
        <f>装备!#REF!</f>
        <v>#REF!</v>
      </c>
      <c r="Q184" t="e">
        <f>装备!#REF!</f>
        <v>#REF!</v>
      </c>
      <c r="R184" t="e">
        <f>装备!#REF!</f>
        <v>#REF!</v>
      </c>
      <c r="S184" t="e">
        <f>装备!#REF!</f>
        <v>#REF!</v>
      </c>
      <c r="T184" t="e">
        <f>装备!#REF!</f>
        <v>#REF!</v>
      </c>
      <c r="U184" t="e">
        <f>装备!#REF!</f>
        <v>#REF!</v>
      </c>
      <c r="V184" t="e">
        <f>装备!#REF!</f>
        <v>#REF!</v>
      </c>
      <c r="W184" t="e">
        <f>装备!#REF!</f>
        <v>#REF!</v>
      </c>
      <c r="X184" t="e">
        <f t="shared" si="29"/>
        <v>#REF!</v>
      </c>
      <c r="Y184" t="e">
        <f>装备!#REF!</f>
        <v>#REF!</v>
      </c>
      <c r="Z184" t="e">
        <f>装备!#REF!</f>
        <v>#REF!</v>
      </c>
      <c r="AA184" t="e">
        <f>装备!#REF!</f>
        <v>#REF!</v>
      </c>
      <c r="AB184" t="e">
        <f>装备!#REF!</f>
        <v>#REF!</v>
      </c>
      <c r="AC184" t="e">
        <f>装备!#REF!</f>
        <v>#REF!</v>
      </c>
      <c r="AD184" t="e">
        <f>装备!#REF!</f>
        <v>#REF!</v>
      </c>
      <c r="AE184" t="e">
        <f>装备!#REF!</f>
        <v>#REF!</v>
      </c>
      <c r="AF184" t="e">
        <f>装备!#REF!</f>
        <v>#REF!</v>
      </c>
      <c r="AG184" t="e">
        <f>装备!#REF!</f>
        <v>#REF!</v>
      </c>
      <c r="AH184" t="e">
        <f>装备!#REF!</f>
        <v>#REF!</v>
      </c>
      <c r="AI184" t="e">
        <f t="shared" si="30"/>
        <v>#REF!</v>
      </c>
      <c r="AJ184" t="e">
        <f>装备!#REF!</f>
        <v>#REF!</v>
      </c>
      <c r="AK184" t="e">
        <f>装备!#REF!</f>
        <v>#REF!</v>
      </c>
      <c r="AL184" t="e">
        <f>装备!#REF!</f>
        <v>#REF!</v>
      </c>
      <c r="AM184" t="e">
        <f>装备!#REF!</f>
        <v>#REF!</v>
      </c>
      <c r="AN184" t="e">
        <f>装备!#REF!</f>
        <v>#REF!</v>
      </c>
      <c r="AO184" t="e">
        <f>装备!#REF!</f>
        <v>#REF!</v>
      </c>
      <c r="AP184" t="e">
        <f>装备!#REF!</f>
        <v>#REF!</v>
      </c>
      <c r="AQ184" t="e">
        <f>装备!#REF!</f>
        <v>#REF!</v>
      </c>
      <c r="AR184" t="e">
        <f>装备!#REF!</f>
        <v>#REF!</v>
      </c>
      <c r="AS184" t="e">
        <f>装备!#REF!</f>
        <v>#REF!</v>
      </c>
      <c r="AT184" t="e">
        <f t="shared" si="31"/>
        <v>#REF!</v>
      </c>
      <c r="AU184" t="e">
        <f>装备!#REF!</f>
        <v>#REF!</v>
      </c>
      <c r="AV184" t="e">
        <f>装备!#REF!</f>
        <v>#REF!</v>
      </c>
      <c r="AW184" t="e">
        <f>装备!#REF!</f>
        <v>#REF!</v>
      </c>
      <c r="AX184" t="e">
        <f>装备!#REF!</f>
        <v>#REF!</v>
      </c>
      <c r="AY184" t="e">
        <f>装备!#REF!</f>
        <v>#REF!</v>
      </c>
      <c r="AZ184" t="e">
        <f>装备!#REF!</f>
        <v>#REF!</v>
      </c>
      <c r="BA184" t="e">
        <f>装备!#REF!</f>
        <v>#REF!</v>
      </c>
      <c r="BB184" t="e">
        <f>装备!#REF!</f>
        <v>#REF!</v>
      </c>
      <c r="BC184" t="e">
        <f>装备!#REF!</f>
        <v>#REF!</v>
      </c>
      <c r="BD184" t="e">
        <f>装备!#REF!</f>
        <v>#REF!</v>
      </c>
      <c r="BE184" t="e">
        <f t="shared" si="32"/>
        <v>#REF!</v>
      </c>
      <c r="BF184" t="e">
        <f>装备!#REF!</f>
        <v>#REF!</v>
      </c>
      <c r="BG184" t="e">
        <f>装备!#REF!</f>
        <v>#REF!</v>
      </c>
      <c r="BH184" t="e">
        <f>装备!#REF!</f>
        <v>#REF!</v>
      </c>
      <c r="BI184" t="e">
        <f>装备!#REF!</f>
        <v>#REF!</v>
      </c>
      <c r="BJ184" t="e">
        <f>装备!#REF!</f>
        <v>#REF!</v>
      </c>
      <c r="BK184" t="e">
        <f>装备!#REF!</f>
        <v>#REF!</v>
      </c>
      <c r="BL184" t="e">
        <f>装备!#REF!</f>
        <v>#REF!</v>
      </c>
      <c r="BM184" t="e">
        <f>装备!#REF!</f>
        <v>#REF!</v>
      </c>
      <c r="BN184" t="e">
        <f>装备!#REF!</f>
        <v>#REF!</v>
      </c>
      <c r="BO184" t="e">
        <f>装备!#REF!</f>
        <v>#REF!</v>
      </c>
      <c r="BP184" t="e">
        <f t="shared" si="33"/>
        <v>#REF!</v>
      </c>
      <c r="BQ184" t="e">
        <f>装备!#REF!</f>
        <v>#REF!</v>
      </c>
      <c r="BR184" t="e">
        <f>装备!#REF!</f>
        <v>#REF!</v>
      </c>
      <c r="BS184" t="e">
        <f>装备!#REF!</f>
        <v>#REF!</v>
      </c>
      <c r="BT184" t="e">
        <f>装备!#REF!</f>
        <v>#REF!</v>
      </c>
      <c r="BU184" t="e">
        <f>装备!#REF!</f>
        <v>#REF!</v>
      </c>
      <c r="BV184" t="e">
        <f>装备!#REF!</f>
        <v>#REF!</v>
      </c>
      <c r="BW184" t="e">
        <f>装备!#REF!</f>
        <v>#REF!</v>
      </c>
      <c r="BX184" t="e">
        <f>装备!#REF!</f>
        <v>#REF!</v>
      </c>
      <c r="BY184" t="e">
        <f>装备!#REF!</f>
        <v>#REF!</v>
      </c>
      <c r="BZ184" t="e">
        <f>装备!#REF!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装备!#REF!</f>
        <v>#REF!</v>
      </c>
      <c r="B185" t="e">
        <f>装备!#REF!</f>
        <v>#REF!</v>
      </c>
      <c r="C185" t="e">
        <f>装备!#REF!</f>
        <v>#REF!</v>
      </c>
      <c r="D185" t="e">
        <f>装备!#REF!</f>
        <v>#REF!</v>
      </c>
      <c r="E185" t="e">
        <f>装备!#REF!</f>
        <v>#REF!</v>
      </c>
      <c r="F185" t="e">
        <f>装备!#REF!</f>
        <v>#REF!</v>
      </c>
      <c r="G185" t="e">
        <f>装备!#REF!</f>
        <v>#REF!</v>
      </c>
      <c r="H185" t="e">
        <f>装备!#REF!</f>
        <v>#REF!</v>
      </c>
      <c r="I185" t="e">
        <f>装备!#REF!</f>
        <v>#REF!</v>
      </c>
      <c r="J185" t="e">
        <f>装备!#REF!</f>
        <v>#REF!</v>
      </c>
      <c r="K185" t="e">
        <f>装备!#REF!</f>
        <v>#REF!</v>
      </c>
      <c r="L185" t="e">
        <f>装备!#REF!</f>
        <v>#REF!</v>
      </c>
      <c r="M185" t="e">
        <f t="shared" si="28"/>
        <v>#REF!</v>
      </c>
      <c r="N185" t="e">
        <f>装备!#REF!</f>
        <v>#REF!</v>
      </c>
      <c r="O185" t="e">
        <f>装备!#REF!</f>
        <v>#REF!</v>
      </c>
      <c r="P185" t="e">
        <f>装备!#REF!</f>
        <v>#REF!</v>
      </c>
      <c r="Q185" t="e">
        <f>装备!#REF!</f>
        <v>#REF!</v>
      </c>
      <c r="R185" t="e">
        <f>装备!#REF!</f>
        <v>#REF!</v>
      </c>
      <c r="S185" t="e">
        <f>装备!#REF!</f>
        <v>#REF!</v>
      </c>
      <c r="T185" t="e">
        <f>装备!#REF!</f>
        <v>#REF!</v>
      </c>
      <c r="U185" t="e">
        <f>装备!#REF!</f>
        <v>#REF!</v>
      </c>
      <c r="V185" t="e">
        <f>装备!#REF!</f>
        <v>#REF!</v>
      </c>
      <c r="W185" t="e">
        <f>装备!#REF!</f>
        <v>#REF!</v>
      </c>
      <c r="X185" t="e">
        <f t="shared" si="29"/>
        <v>#REF!</v>
      </c>
      <c r="Y185" t="e">
        <f>装备!#REF!</f>
        <v>#REF!</v>
      </c>
      <c r="Z185" t="e">
        <f>装备!#REF!</f>
        <v>#REF!</v>
      </c>
      <c r="AA185" t="e">
        <f>装备!#REF!</f>
        <v>#REF!</v>
      </c>
      <c r="AB185" t="e">
        <f>装备!#REF!</f>
        <v>#REF!</v>
      </c>
      <c r="AC185" t="e">
        <f>装备!#REF!</f>
        <v>#REF!</v>
      </c>
      <c r="AD185" t="e">
        <f>装备!#REF!</f>
        <v>#REF!</v>
      </c>
      <c r="AE185" t="e">
        <f>装备!#REF!</f>
        <v>#REF!</v>
      </c>
      <c r="AF185" t="e">
        <f>装备!#REF!</f>
        <v>#REF!</v>
      </c>
      <c r="AG185" t="e">
        <f>装备!#REF!</f>
        <v>#REF!</v>
      </c>
      <c r="AH185" t="e">
        <f>装备!#REF!</f>
        <v>#REF!</v>
      </c>
      <c r="AI185" t="e">
        <f t="shared" si="30"/>
        <v>#REF!</v>
      </c>
      <c r="AJ185" t="e">
        <f>装备!#REF!</f>
        <v>#REF!</v>
      </c>
      <c r="AK185" t="e">
        <f>装备!#REF!</f>
        <v>#REF!</v>
      </c>
      <c r="AL185" t="e">
        <f>装备!#REF!</f>
        <v>#REF!</v>
      </c>
      <c r="AM185" t="e">
        <f>装备!#REF!</f>
        <v>#REF!</v>
      </c>
      <c r="AN185" t="e">
        <f>装备!#REF!</f>
        <v>#REF!</v>
      </c>
      <c r="AO185" t="e">
        <f>装备!#REF!</f>
        <v>#REF!</v>
      </c>
      <c r="AP185" t="e">
        <f>装备!#REF!</f>
        <v>#REF!</v>
      </c>
      <c r="AQ185" t="e">
        <f>装备!#REF!</f>
        <v>#REF!</v>
      </c>
      <c r="AR185" t="e">
        <f>装备!#REF!</f>
        <v>#REF!</v>
      </c>
      <c r="AS185" t="e">
        <f>装备!#REF!</f>
        <v>#REF!</v>
      </c>
      <c r="AT185" t="e">
        <f t="shared" si="31"/>
        <v>#REF!</v>
      </c>
      <c r="AU185" t="e">
        <f>装备!#REF!</f>
        <v>#REF!</v>
      </c>
      <c r="AV185" t="e">
        <f>装备!#REF!</f>
        <v>#REF!</v>
      </c>
      <c r="AW185" t="e">
        <f>装备!#REF!</f>
        <v>#REF!</v>
      </c>
      <c r="AX185" t="e">
        <f>装备!#REF!</f>
        <v>#REF!</v>
      </c>
      <c r="AY185" t="e">
        <f>装备!#REF!</f>
        <v>#REF!</v>
      </c>
      <c r="AZ185" t="e">
        <f>装备!#REF!</f>
        <v>#REF!</v>
      </c>
      <c r="BA185" t="e">
        <f>装备!#REF!</f>
        <v>#REF!</v>
      </c>
      <c r="BB185" t="e">
        <f>装备!#REF!</f>
        <v>#REF!</v>
      </c>
      <c r="BC185" t="e">
        <f>装备!#REF!</f>
        <v>#REF!</v>
      </c>
      <c r="BD185" t="e">
        <f>装备!#REF!</f>
        <v>#REF!</v>
      </c>
      <c r="BE185" t="e">
        <f t="shared" si="32"/>
        <v>#REF!</v>
      </c>
      <c r="BF185" t="e">
        <f>装备!#REF!</f>
        <v>#REF!</v>
      </c>
      <c r="BG185" t="e">
        <f>装备!#REF!</f>
        <v>#REF!</v>
      </c>
      <c r="BH185" t="e">
        <f>装备!#REF!</f>
        <v>#REF!</v>
      </c>
      <c r="BI185" t="e">
        <f>装备!#REF!</f>
        <v>#REF!</v>
      </c>
      <c r="BJ185" t="e">
        <f>装备!#REF!</f>
        <v>#REF!</v>
      </c>
      <c r="BK185" t="e">
        <f>装备!#REF!</f>
        <v>#REF!</v>
      </c>
      <c r="BL185" t="e">
        <f>装备!#REF!</f>
        <v>#REF!</v>
      </c>
      <c r="BM185" t="e">
        <f>装备!#REF!</f>
        <v>#REF!</v>
      </c>
      <c r="BN185" t="e">
        <f>装备!#REF!</f>
        <v>#REF!</v>
      </c>
      <c r="BO185" t="e">
        <f>装备!#REF!</f>
        <v>#REF!</v>
      </c>
      <c r="BP185" t="e">
        <f t="shared" si="33"/>
        <v>#REF!</v>
      </c>
      <c r="BQ185" t="e">
        <f>装备!#REF!</f>
        <v>#REF!</v>
      </c>
      <c r="BR185" t="e">
        <f>装备!#REF!</f>
        <v>#REF!</v>
      </c>
      <c r="BS185" t="e">
        <f>装备!#REF!</f>
        <v>#REF!</v>
      </c>
      <c r="BT185" t="e">
        <f>装备!#REF!</f>
        <v>#REF!</v>
      </c>
      <c r="BU185" t="e">
        <f>装备!#REF!</f>
        <v>#REF!</v>
      </c>
      <c r="BV185" t="e">
        <f>装备!#REF!</f>
        <v>#REF!</v>
      </c>
      <c r="BW185" t="e">
        <f>装备!#REF!</f>
        <v>#REF!</v>
      </c>
      <c r="BX185" t="e">
        <f>装备!#REF!</f>
        <v>#REF!</v>
      </c>
      <c r="BY185" t="e">
        <f>装备!#REF!</f>
        <v>#REF!</v>
      </c>
      <c r="BZ185" t="e">
        <f>装备!#REF!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装备!#REF!</f>
        <v>#REF!</v>
      </c>
      <c r="B186" t="e">
        <f>装备!#REF!</f>
        <v>#REF!</v>
      </c>
      <c r="C186" t="e">
        <f>装备!#REF!</f>
        <v>#REF!</v>
      </c>
      <c r="D186" t="e">
        <f>装备!#REF!</f>
        <v>#REF!</v>
      </c>
      <c r="E186" t="e">
        <f>装备!#REF!</f>
        <v>#REF!</v>
      </c>
      <c r="F186" t="e">
        <f>装备!#REF!</f>
        <v>#REF!</v>
      </c>
      <c r="G186" t="e">
        <f>装备!#REF!</f>
        <v>#REF!</v>
      </c>
      <c r="H186" t="e">
        <f>装备!#REF!</f>
        <v>#REF!</v>
      </c>
      <c r="I186" t="e">
        <f>装备!#REF!</f>
        <v>#REF!</v>
      </c>
      <c r="J186" t="e">
        <f>装备!#REF!</f>
        <v>#REF!</v>
      </c>
      <c r="K186" t="e">
        <f>装备!#REF!</f>
        <v>#REF!</v>
      </c>
      <c r="L186" t="e">
        <f>装备!#REF!</f>
        <v>#REF!</v>
      </c>
      <c r="M186" t="e">
        <f t="shared" si="28"/>
        <v>#REF!</v>
      </c>
      <c r="N186" t="e">
        <f>装备!#REF!</f>
        <v>#REF!</v>
      </c>
      <c r="O186" t="e">
        <f>装备!#REF!</f>
        <v>#REF!</v>
      </c>
      <c r="P186" t="e">
        <f>装备!#REF!</f>
        <v>#REF!</v>
      </c>
      <c r="Q186" t="e">
        <f>装备!#REF!</f>
        <v>#REF!</v>
      </c>
      <c r="R186" t="e">
        <f>装备!#REF!</f>
        <v>#REF!</v>
      </c>
      <c r="S186" t="e">
        <f>装备!#REF!</f>
        <v>#REF!</v>
      </c>
      <c r="T186" t="e">
        <f>装备!#REF!</f>
        <v>#REF!</v>
      </c>
      <c r="U186" t="e">
        <f>装备!#REF!</f>
        <v>#REF!</v>
      </c>
      <c r="V186" t="e">
        <f>装备!#REF!</f>
        <v>#REF!</v>
      </c>
      <c r="W186" t="e">
        <f>装备!#REF!</f>
        <v>#REF!</v>
      </c>
      <c r="X186" t="e">
        <f t="shared" si="29"/>
        <v>#REF!</v>
      </c>
      <c r="Y186" t="e">
        <f>装备!#REF!</f>
        <v>#REF!</v>
      </c>
      <c r="Z186" t="e">
        <f>装备!#REF!</f>
        <v>#REF!</v>
      </c>
      <c r="AA186" t="e">
        <f>装备!#REF!</f>
        <v>#REF!</v>
      </c>
      <c r="AB186" t="e">
        <f>装备!#REF!</f>
        <v>#REF!</v>
      </c>
      <c r="AC186" t="e">
        <f>装备!#REF!</f>
        <v>#REF!</v>
      </c>
      <c r="AD186" t="e">
        <f>装备!#REF!</f>
        <v>#REF!</v>
      </c>
      <c r="AE186" t="e">
        <f>装备!#REF!</f>
        <v>#REF!</v>
      </c>
      <c r="AF186" t="e">
        <f>装备!#REF!</f>
        <v>#REF!</v>
      </c>
      <c r="AG186" t="e">
        <f>装备!#REF!</f>
        <v>#REF!</v>
      </c>
      <c r="AH186" t="e">
        <f>装备!#REF!</f>
        <v>#REF!</v>
      </c>
      <c r="AI186" t="e">
        <f t="shared" si="30"/>
        <v>#REF!</v>
      </c>
      <c r="AJ186" t="e">
        <f>装备!#REF!</f>
        <v>#REF!</v>
      </c>
      <c r="AK186" t="e">
        <f>装备!#REF!</f>
        <v>#REF!</v>
      </c>
      <c r="AL186" t="e">
        <f>装备!#REF!</f>
        <v>#REF!</v>
      </c>
      <c r="AM186" t="e">
        <f>装备!#REF!</f>
        <v>#REF!</v>
      </c>
      <c r="AN186" t="e">
        <f>装备!#REF!</f>
        <v>#REF!</v>
      </c>
      <c r="AO186" t="e">
        <f>装备!#REF!</f>
        <v>#REF!</v>
      </c>
      <c r="AP186" t="e">
        <f>装备!#REF!</f>
        <v>#REF!</v>
      </c>
      <c r="AQ186" t="e">
        <f>装备!#REF!</f>
        <v>#REF!</v>
      </c>
      <c r="AR186" t="e">
        <f>装备!#REF!</f>
        <v>#REF!</v>
      </c>
      <c r="AS186" t="e">
        <f>装备!#REF!</f>
        <v>#REF!</v>
      </c>
      <c r="AT186" t="e">
        <f t="shared" si="31"/>
        <v>#REF!</v>
      </c>
      <c r="AU186" t="e">
        <f>装备!#REF!</f>
        <v>#REF!</v>
      </c>
      <c r="AV186" t="e">
        <f>装备!#REF!</f>
        <v>#REF!</v>
      </c>
      <c r="AW186" t="e">
        <f>装备!#REF!</f>
        <v>#REF!</v>
      </c>
      <c r="AX186" t="e">
        <f>装备!#REF!</f>
        <v>#REF!</v>
      </c>
      <c r="AY186" t="e">
        <f>装备!#REF!</f>
        <v>#REF!</v>
      </c>
      <c r="AZ186" t="e">
        <f>装备!#REF!</f>
        <v>#REF!</v>
      </c>
      <c r="BA186" t="e">
        <f>装备!#REF!</f>
        <v>#REF!</v>
      </c>
      <c r="BB186" t="e">
        <f>装备!#REF!</f>
        <v>#REF!</v>
      </c>
      <c r="BC186" t="e">
        <f>装备!#REF!</f>
        <v>#REF!</v>
      </c>
      <c r="BD186" t="e">
        <f>装备!#REF!</f>
        <v>#REF!</v>
      </c>
      <c r="BE186" t="e">
        <f t="shared" si="32"/>
        <v>#REF!</v>
      </c>
      <c r="BF186" t="e">
        <f>装备!#REF!</f>
        <v>#REF!</v>
      </c>
      <c r="BG186" t="e">
        <f>装备!#REF!</f>
        <v>#REF!</v>
      </c>
      <c r="BH186" t="e">
        <f>装备!#REF!</f>
        <v>#REF!</v>
      </c>
      <c r="BI186" t="e">
        <f>装备!#REF!</f>
        <v>#REF!</v>
      </c>
      <c r="BJ186" t="e">
        <f>装备!#REF!</f>
        <v>#REF!</v>
      </c>
      <c r="BK186" t="e">
        <f>装备!#REF!</f>
        <v>#REF!</v>
      </c>
      <c r="BL186" t="e">
        <f>装备!#REF!</f>
        <v>#REF!</v>
      </c>
      <c r="BM186" t="e">
        <f>装备!#REF!</f>
        <v>#REF!</v>
      </c>
      <c r="BN186" t="e">
        <f>装备!#REF!</f>
        <v>#REF!</v>
      </c>
      <c r="BO186" t="e">
        <f>装备!#REF!</f>
        <v>#REF!</v>
      </c>
      <c r="BP186" t="e">
        <f t="shared" si="33"/>
        <v>#REF!</v>
      </c>
      <c r="BQ186" t="e">
        <f>装备!#REF!</f>
        <v>#REF!</v>
      </c>
      <c r="BR186" t="e">
        <f>装备!#REF!</f>
        <v>#REF!</v>
      </c>
      <c r="BS186" t="e">
        <f>装备!#REF!</f>
        <v>#REF!</v>
      </c>
      <c r="BT186" t="e">
        <f>装备!#REF!</f>
        <v>#REF!</v>
      </c>
      <c r="BU186" t="e">
        <f>装备!#REF!</f>
        <v>#REF!</v>
      </c>
      <c r="BV186" t="e">
        <f>装备!#REF!</f>
        <v>#REF!</v>
      </c>
      <c r="BW186" t="e">
        <f>装备!#REF!</f>
        <v>#REF!</v>
      </c>
      <c r="BX186" t="e">
        <f>装备!#REF!</f>
        <v>#REF!</v>
      </c>
      <c r="BY186" t="e">
        <f>装备!#REF!</f>
        <v>#REF!</v>
      </c>
      <c r="BZ186" t="e">
        <f>装备!#REF!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装备!#REF!</f>
        <v>#REF!</v>
      </c>
      <c r="B187" t="e">
        <f>装备!#REF!</f>
        <v>#REF!</v>
      </c>
      <c r="C187" t="e">
        <f>装备!#REF!</f>
        <v>#REF!</v>
      </c>
      <c r="D187" t="e">
        <f>装备!#REF!</f>
        <v>#REF!</v>
      </c>
      <c r="E187" t="e">
        <f>装备!#REF!</f>
        <v>#REF!</v>
      </c>
      <c r="F187" t="e">
        <f>装备!#REF!</f>
        <v>#REF!</v>
      </c>
      <c r="G187" t="e">
        <f>装备!#REF!</f>
        <v>#REF!</v>
      </c>
      <c r="H187" t="e">
        <f>装备!#REF!</f>
        <v>#REF!</v>
      </c>
      <c r="I187" t="e">
        <f>装备!#REF!</f>
        <v>#REF!</v>
      </c>
      <c r="J187" t="e">
        <f>装备!#REF!</f>
        <v>#REF!</v>
      </c>
      <c r="K187" t="e">
        <f>装备!#REF!</f>
        <v>#REF!</v>
      </c>
      <c r="L187" t="e">
        <f>装备!#REF!</f>
        <v>#REF!</v>
      </c>
      <c r="M187" t="e">
        <f t="shared" si="28"/>
        <v>#REF!</v>
      </c>
      <c r="N187" t="e">
        <f>装备!#REF!</f>
        <v>#REF!</v>
      </c>
      <c r="O187" t="e">
        <f>装备!#REF!</f>
        <v>#REF!</v>
      </c>
      <c r="P187" t="e">
        <f>装备!#REF!</f>
        <v>#REF!</v>
      </c>
      <c r="Q187" t="e">
        <f>装备!#REF!</f>
        <v>#REF!</v>
      </c>
      <c r="R187" t="e">
        <f>装备!#REF!</f>
        <v>#REF!</v>
      </c>
      <c r="S187" t="e">
        <f>装备!#REF!</f>
        <v>#REF!</v>
      </c>
      <c r="T187" t="e">
        <f>装备!#REF!</f>
        <v>#REF!</v>
      </c>
      <c r="U187" t="e">
        <f>装备!#REF!</f>
        <v>#REF!</v>
      </c>
      <c r="V187" t="e">
        <f>装备!#REF!</f>
        <v>#REF!</v>
      </c>
      <c r="W187" t="e">
        <f>装备!#REF!</f>
        <v>#REF!</v>
      </c>
      <c r="X187" t="e">
        <f t="shared" si="29"/>
        <v>#REF!</v>
      </c>
      <c r="Y187" t="e">
        <f>装备!#REF!</f>
        <v>#REF!</v>
      </c>
      <c r="Z187" t="e">
        <f>装备!#REF!</f>
        <v>#REF!</v>
      </c>
      <c r="AA187" t="e">
        <f>装备!#REF!</f>
        <v>#REF!</v>
      </c>
      <c r="AB187" t="e">
        <f>装备!#REF!</f>
        <v>#REF!</v>
      </c>
      <c r="AC187" t="e">
        <f>装备!#REF!</f>
        <v>#REF!</v>
      </c>
      <c r="AD187" t="e">
        <f>装备!#REF!</f>
        <v>#REF!</v>
      </c>
      <c r="AE187" t="e">
        <f>装备!#REF!</f>
        <v>#REF!</v>
      </c>
      <c r="AF187" t="e">
        <f>装备!#REF!</f>
        <v>#REF!</v>
      </c>
      <c r="AG187" t="e">
        <f>装备!#REF!</f>
        <v>#REF!</v>
      </c>
      <c r="AH187" t="e">
        <f>装备!#REF!</f>
        <v>#REF!</v>
      </c>
      <c r="AI187" t="e">
        <f t="shared" si="30"/>
        <v>#REF!</v>
      </c>
      <c r="AJ187" t="e">
        <f>装备!#REF!</f>
        <v>#REF!</v>
      </c>
      <c r="AK187" t="e">
        <f>装备!#REF!</f>
        <v>#REF!</v>
      </c>
      <c r="AL187" t="e">
        <f>装备!#REF!</f>
        <v>#REF!</v>
      </c>
      <c r="AM187" t="e">
        <f>装备!#REF!</f>
        <v>#REF!</v>
      </c>
      <c r="AN187" t="e">
        <f>装备!#REF!</f>
        <v>#REF!</v>
      </c>
      <c r="AO187" t="e">
        <f>装备!#REF!</f>
        <v>#REF!</v>
      </c>
      <c r="AP187" t="e">
        <f>装备!#REF!</f>
        <v>#REF!</v>
      </c>
      <c r="AQ187" t="e">
        <f>装备!#REF!</f>
        <v>#REF!</v>
      </c>
      <c r="AR187" t="e">
        <f>装备!#REF!</f>
        <v>#REF!</v>
      </c>
      <c r="AS187" t="e">
        <f>装备!#REF!</f>
        <v>#REF!</v>
      </c>
      <c r="AT187" t="e">
        <f t="shared" si="31"/>
        <v>#REF!</v>
      </c>
      <c r="AU187" t="e">
        <f>装备!#REF!</f>
        <v>#REF!</v>
      </c>
      <c r="AV187" t="e">
        <f>装备!#REF!</f>
        <v>#REF!</v>
      </c>
      <c r="AW187" t="e">
        <f>装备!#REF!</f>
        <v>#REF!</v>
      </c>
      <c r="AX187" t="e">
        <f>装备!#REF!</f>
        <v>#REF!</v>
      </c>
      <c r="AY187" t="e">
        <f>装备!#REF!</f>
        <v>#REF!</v>
      </c>
      <c r="AZ187" t="e">
        <f>装备!#REF!</f>
        <v>#REF!</v>
      </c>
      <c r="BA187" t="e">
        <f>装备!#REF!</f>
        <v>#REF!</v>
      </c>
      <c r="BB187" t="e">
        <f>装备!#REF!</f>
        <v>#REF!</v>
      </c>
      <c r="BC187" t="e">
        <f>装备!#REF!</f>
        <v>#REF!</v>
      </c>
      <c r="BD187" t="e">
        <f>装备!#REF!</f>
        <v>#REF!</v>
      </c>
      <c r="BE187" t="e">
        <f t="shared" si="32"/>
        <v>#REF!</v>
      </c>
      <c r="BF187" t="e">
        <f>装备!#REF!</f>
        <v>#REF!</v>
      </c>
      <c r="BG187" t="e">
        <f>装备!#REF!</f>
        <v>#REF!</v>
      </c>
      <c r="BH187" t="e">
        <f>装备!#REF!</f>
        <v>#REF!</v>
      </c>
      <c r="BI187" t="e">
        <f>装备!#REF!</f>
        <v>#REF!</v>
      </c>
      <c r="BJ187" t="e">
        <f>装备!#REF!</f>
        <v>#REF!</v>
      </c>
      <c r="BK187" t="e">
        <f>装备!#REF!</f>
        <v>#REF!</v>
      </c>
      <c r="BL187" t="e">
        <f>装备!#REF!</f>
        <v>#REF!</v>
      </c>
      <c r="BM187" t="e">
        <f>装备!#REF!</f>
        <v>#REF!</v>
      </c>
      <c r="BN187" t="e">
        <f>装备!#REF!</f>
        <v>#REF!</v>
      </c>
      <c r="BO187" t="e">
        <f>装备!#REF!</f>
        <v>#REF!</v>
      </c>
      <c r="BP187" t="e">
        <f t="shared" si="33"/>
        <v>#REF!</v>
      </c>
      <c r="BQ187" t="e">
        <f>装备!#REF!</f>
        <v>#REF!</v>
      </c>
      <c r="BR187" t="e">
        <f>装备!#REF!</f>
        <v>#REF!</v>
      </c>
      <c r="BS187" t="e">
        <f>装备!#REF!</f>
        <v>#REF!</v>
      </c>
      <c r="BT187" t="e">
        <f>装备!#REF!</f>
        <v>#REF!</v>
      </c>
      <c r="BU187" t="e">
        <f>装备!#REF!</f>
        <v>#REF!</v>
      </c>
      <c r="BV187" t="e">
        <f>装备!#REF!</f>
        <v>#REF!</v>
      </c>
      <c r="BW187" t="e">
        <f>装备!#REF!</f>
        <v>#REF!</v>
      </c>
      <c r="BX187" t="e">
        <f>装备!#REF!</f>
        <v>#REF!</v>
      </c>
      <c r="BY187" t="e">
        <f>装备!#REF!</f>
        <v>#REF!</v>
      </c>
      <c r="BZ187" t="e">
        <f>装备!#REF!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装备!#REF!</f>
        <v>#REF!</v>
      </c>
      <c r="B188" t="e">
        <f>装备!#REF!</f>
        <v>#REF!</v>
      </c>
      <c r="C188" t="e">
        <f>装备!#REF!</f>
        <v>#REF!</v>
      </c>
      <c r="D188" t="e">
        <f>装备!#REF!</f>
        <v>#REF!</v>
      </c>
      <c r="E188" t="e">
        <f>装备!#REF!</f>
        <v>#REF!</v>
      </c>
      <c r="F188" t="e">
        <f>装备!#REF!</f>
        <v>#REF!</v>
      </c>
      <c r="G188" t="e">
        <f>装备!#REF!</f>
        <v>#REF!</v>
      </c>
      <c r="H188" t="e">
        <f>装备!#REF!</f>
        <v>#REF!</v>
      </c>
      <c r="I188" t="e">
        <f>装备!#REF!</f>
        <v>#REF!</v>
      </c>
      <c r="J188" t="e">
        <f>装备!#REF!</f>
        <v>#REF!</v>
      </c>
      <c r="K188" t="e">
        <f>装备!#REF!</f>
        <v>#REF!</v>
      </c>
      <c r="L188" t="e">
        <f>装备!#REF!</f>
        <v>#REF!</v>
      </c>
      <c r="M188" t="e">
        <f t="shared" si="28"/>
        <v>#REF!</v>
      </c>
      <c r="N188" t="e">
        <f>装备!#REF!</f>
        <v>#REF!</v>
      </c>
      <c r="O188" t="e">
        <f>装备!#REF!</f>
        <v>#REF!</v>
      </c>
      <c r="P188" t="e">
        <f>装备!#REF!</f>
        <v>#REF!</v>
      </c>
      <c r="Q188" t="e">
        <f>装备!#REF!</f>
        <v>#REF!</v>
      </c>
      <c r="R188" t="e">
        <f>装备!#REF!</f>
        <v>#REF!</v>
      </c>
      <c r="S188" t="e">
        <f>装备!#REF!</f>
        <v>#REF!</v>
      </c>
      <c r="T188" t="e">
        <f>装备!#REF!</f>
        <v>#REF!</v>
      </c>
      <c r="U188" t="e">
        <f>装备!#REF!</f>
        <v>#REF!</v>
      </c>
      <c r="V188" t="e">
        <f>装备!#REF!</f>
        <v>#REF!</v>
      </c>
      <c r="W188" t="e">
        <f>装备!#REF!</f>
        <v>#REF!</v>
      </c>
      <c r="X188" t="e">
        <f t="shared" si="29"/>
        <v>#REF!</v>
      </c>
      <c r="Y188" t="e">
        <f>装备!#REF!</f>
        <v>#REF!</v>
      </c>
      <c r="Z188" t="e">
        <f>装备!#REF!</f>
        <v>#REF!</v>
      </c>
      <c r="AA188" t="e">
        <f>装备!#REF!</f>
        <v>#REF!</v>
      </c>
      <c r="AB188" t="e">
        <f>装备!#REF!</f>
        <v>#REF!</v>
      </c>
      <c r="AC188" t="e">
        <f>装备!#REF!</f>
        <v>#REF!</v>
      </c>
      <c r="AD188" t="e">
        <f>装备!#REF!</f>
        <v>#REF!</v>
      </c>
      <c r="AE188" t="e">
        <f>装备!#REF!</f>
        <v>#REF!</v>
      </c>
      <c r="AF188" t="e">
        <f>装备!#REF!</f>
        <v>#REF!</v>
      </c>
      <c r="AG188" t="e">
        <f>装备!#REF!</f>
        <v>#REF!</v>
      </c>
      <c r="AH188" t="e">
        <f>装备!#REF!</f>
        <v>#REF!</v>
      </c>
      <c r="AI188" t="e">
        <f t="shared" si="30"/>
        <v>#REF!</v>
      </c>
      <c r="AJ188" t="e">
        <f>装备!#REF!</f>
        <v>#REF!</v>
      </c>
      <c r="AK188" t="e">
        <f>装备!#REF!</f>
        <v>#REF!</v>
      </c>
      <c r="AL188" t="e">
        <f>装备!#REF!</f>
        <v>#REF!</v>
      </c>
      <c r="AM188" t="e">
        <f>装备!#REF!</f>
        <v>#REF!</v>
      </c>
      <c r="AN188" t="e">
        <f>装备!#REF!</f>
        <v>#REF!</v>
      </c>
      <c r="AO188" t="e">
        <f>装备!#REF!</f>
        <v>#REF!</v>
      </c>
      <c r="AP188" t="e">
        <f>装备!#REF!</f>
        <v>#REF!</v>
      </c>
      <c r="AQ188" t="e">
        <f>装备!#REF!</f>
        <v>#REF!</v>
      </c>
      <c r="AR188" t="e">
        <f>装备!#REF!</f>
        <v>#REF!</v>
      </c>
      <c r="AS188" t="e">
        <f>装备!#REF!</f>
        <v>#REF!</v>
      </c>
      <c r="AT188" t="e">
        <f t="shared" si="31"/>
        <v>#REF!</v>
      </c>
      <c r="AU188" t="e">
        <f>装备!#REF!</f>
        <v>#REF!</v>
      </c>
      <c r="AV188" t="e">
        <f>装备!#REF!</f>
        <v>#REF!</v>
      </c>
      <c r="AW188" t="e">
        <f>装备!#REF!</f>
        <v>#REF!</v>
      </c>
      <c r="AX188" t="e">
        <f>装备!#REF!</f>
        <v>#REF!</v>
      </c>
      <c r="AY188" t="e">
        <f>装备!#REF!</f>
        <v>#REF!</v>
      </c>
      <c r="AZ188" t="e">
        <f>装备!#REF!</f>
        <v>#REF!</v>
      </c>
      <c r="BA188" t="e">
        <f>装备!#REF!</f>
        <v>#REF!</v>
      </c>
      <c r="BB188" t="e">
        <f>装备!#REF!</f>
        <v>#REF!</v>
      </c>
      <c r="BC188" t="e">
        <f>装备!#REF!</f>
        <v>#REF!</v>
      </c>
      <c r="BD188" t="e">
        <f>装备!#REF!</f>
        <v>#REF!</v>
      </c>
      <c r="BE188" t="e">
        <f t="shared" si="32"/>
        <v>#REF!</v>
      </c>
      <c r="BF188" t="e">
        <f>装备!#REF!</f>
        <v>#REF!</v>
      </c>
      <c r="BG188" t="e">
        <f>装备!#REF!</f>
        <v>#REF!</v>
      </c>
      <c r="BH188" t="e">
        <f>装备!#REF!</f>
        <v>#REF!</v>
      </c>
      <c r="BI188" t="e">
        <f>装备!#REF!</f>
        <v>#REF!</v>
      </c>
      <c r="BJ188" t="e">
        <f>装备!#REF!</f>
        <v>#REF!</v>
      </c>
      <c r="BK188" t="e">
        <f>装备!#REF!</f>
        <v>#REF!</v>
      </c>
      <c r="BL188" t="e">
        <f>装备!#REF!</f>
        <v>#REF!</v>
      </c>
      <c r="BM188" t="e">
        <f>装备!#REF!</f>
        <v>#REF!</v>
      </c>
      <c r="BN188" t="e">
        <f>装备!#REF!</f>
        <v>#REF!</v>
      </c>
      <c r="BO188" t="e">
        <f>装备!#REF!</f>
        <v>#REF!</v>
      </c>
      <c r="BP188" t="e">
        <f t="shared" si="33"/>
        <v>#REF!</v>
      </c>
      <c r="BQ188" t="e">
        <f>装备!#REF!</f>
        <v>#REF!</v>
      </c>
      <c r="BR188" t="e">
        <f>装备!#REF!</f>
        <v>#REF!</v>
      </c>
      <c r="BS188" t="e">
        <f>装备!#REF!</f>
        <v>#REF!</v>
      </c>
      <c r="BT188" t="e">
        <f>装备!#REF!</f>
        <v>#REF!</v>
      </c>
      <c r="BU188" t="e">
        <f>装备!#REF!</f>
        <v>#REF!</v>
      </c>
      <c r="BV188" t="e">
        <f>装备!#REF!</f>
        <v>#REF!</v>
      </c>
      <c r="BW188" t="e">
        <f>装备!#REF!</f>
        <v>#REF!</v>
      </c>
      <c r="BX188" t="e">
        <f>装备!#REF!</f>
        <v>#REF!</v>
      </c>
      <c r="BY188" t="e">
        <f>装备!#REF!</f>
        <v>#REF!</v>
      </c>
      <c r="BZ188" t="e">
        <f>装备!#REF!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装备!#REF!</f>
        <v>#REF!</v>
      </c>
      <c r="B189" t="e">
        <f>装备!#REF!</f>
        <v>#REF!</v>
      </c>
      <c r="C189" t="e">
        <f>装备!#REF!</f>
        <v>#REF!</v>
      </c>
      <c r="D189" t="e">
        <f>装备!#REF!</f>
        <v>#REF!</v>
      </c>
      <c r="E189" t="e">
        <f>装备!#REF!</f>
        <v>#REF!</v>
      </c>
      <c r="F189" t="e">
        <f>装备!#REF!</f>
        <v>#REF!</v>
      </c>
      <c r="G189" t="e">
        <f>装备!#REF!</f>
        <v>#REF!</v>
      </c>
      <c r="H189" t="e">
        <f>装备!#REF!</f>
        <v>#REF!</v>
      </c>
      <c r="I189" t="e">
        <f>装备!#REF!</f>
        <v>#REF!</v>
      </c>
      <c r="J189" t="e">
        <f>装备!#REF!</f>
        <v>#REF!</v>
      </c>
      <c r="K189" t="e">
        <f>装备!#REF!</f>
        <v>#REF!</v>
      </c>
      <c r="L189" t="e">
        <f>装备!#REF!</f>
        <v>#REF!</v>
      </c>
      <c r="M189" t="e">
        <f t="shared" si="28"/>
        <v>#REF!</v>
      </c>
      <c r="N189" t="e">
        <f>装备!#REF!</f>
        <v>#REF!</v>
      </c>
      <c r="O189" t="e">
        <f>装备!#REF!</f>
        <v>#REF!</v>
      </c>
      <c r="P189" t="e">
        <f>装备!#REF!</f>
        <v>#REF!</v>
      </c>
      <c r="Q189" t="e">
        <f>装备!#REF!</f>
        <v>#REF!</v>
      </c>
      <c r="R189" t="e">
        <f>装备!#REF!</f>
        <v>#REF!</v>
      </c>
      <c r="S189" t="e">
        <f>装备!#REF!</f>
        <v>#REF!</v>
      </c>
      <c r="T189" t="e">
        <f>装备!#REF!</f>
        <v>#REF!</v>
      </c>
      <c r="U189" t="e">
        <f>装备!#REF!</f>
        <v>#REF!</v>
      </c>
      <c r="V189" t="e">
        <f>装备!#REF!</f>
        <v>#REF!</v>
      </c>
      <c r="W189" t="e">
        <f>装备!#REF!</f>
        <v>#REF!</v>
      </c>
      <c r="X189" t="e">
        <f t="shared" si="29"/>
        <v>#REF!</v>
      </c>
      <c r="Y189" t="e">
        <f>装备!#REF!</f>
        <v>#REF!</v>
      </c>
      <c r="Z189" t="e">
        <f>装备!#REF!</f>
        <v>#REF!</v>
      </c>
      <c r="AA189" t="e">
        <f>装备!#REF!</f>
        <v>#REF!</v>
      </c>
      <c r="AB189" t="e">
        <f>装备!#REF!</f>
        <v>#REF!</v>
      </c>
      <c r="AC189" t="e">
        <f>装备!#REF!</f>
        <v>#REF!</v>
      </c>
      <c r="AD189" t="e">
        <f>装备!#REF!</f>
        <v>#REF!</v>
      </c>
      <c r="AE189" t="e">
        <f>装备!#REF!</f>
        <v>#REF!</v>
      </c>
      <c r="AF189" t="e">
        <f>装备!#REF!</f>
        <v>#REF!</v>
      </c>
      <c r="AG189" t="e">
        <f>装备!#REF!</f>
        <v>#REF!</v>
      </c>
      <c r="AH189" t="e">
        <f>装备!#REF!</f>
        <v>#REF!</v>
      </c>
      <c r="AI189" t="e">
        <f t="shared" si="30"/>
        <v>#REF!</v>
      </c>
      <c r="AJ189" t="e">
        <f>装备!#REF!</f>
        <v>#REF!</v>
      </c>
      <c r="AK189" t="e">
        <f>装备!#REF!</f>
        <v>#REF!</v>
      </c>
      <c r="AL189" t="e">
        <f>装备!#REF!</f>
        <v>#REF!</v>
      </c>
      <c r="AM189" t="e">
        <f>装备!#REF!</f>
        <v>#REF!</v>
      </c>
      <c r="AN189" t="e">
        <f>装备!#REF!</f>
        <v>#REF!</v>
      </c>
      <c r="AO189" t="e">
        <f>装备!#REF!</f>
        <v>#REF!</v>
      </c>
      <c r="AP189" t="e">
        <f>装备!#REF!</f>
        <v>#REF!</v>
      </c>
      <c r="AQ189" t="e">
        <f>装备!#REF!</f>
        <v>#REF!</v>
      </c>
      <c r="AR189" t="e">
        <f>装备!#REF!</f>
        <v>#REF!</v>
      </c>
      <c r="AS189" t="e">
        <f>装备!#REF!</f>
        <v>#REF!</v>
      </c>
      <c r="AT189" t="e">
        <f t="shared" si="31"/>
        <v>#REF!</v>
      </c>
      <c r="AU189" t="e">
        <f>装备!#REF!</f>
        <v>#REF!</v>
      </c>
      <c r="AV189" t="e">
        <f>装备!#REF!</f>
        <v>#REF!</v>
      </c>
      <c r="AW189" t="e">
        <f>装备!#REF!</f>
        <v>#REF!</v>
      </c>
      <c r="AX189" t="e">
        <f>装备!#REF!</f>
        <v>#REF!</v>
      </c>
      <c r="AY189" t="e">
        <f>装备!#REF!</f>
        <v>#REF!</v>
      </c>
      <c r="AZ189" t="e">
        <f>装备!#REF!</f>
        <v>#REF!</v>
      </c>
      <c r="BA189" t="e">
        <f>装备!#REF!</f>
        <v>#REF!</v>
      </c>
      <c r="BB189" t="e">
        <f>装备!#REF!</f>
        <v>#REF!</v>
      </c>
      <c r="BC189" t="e">
        <f>装备!#REF!</f>
        <v>#REF!</v>
      </c>
      <c r="BD189" t="e">
        <f>装备!#REF!</f>
        <v>#REF!</v>
      </c>
      <c r="BE189" t="e">
        <f t="shared" si="32"/>
        <v>#REF!</v>
      </c>
      <c r="BF189" t="e">
        <f>装备!#REF!</f>
        <v>#REF!</v>
      </c>
      <c r="BG189" t="e">
        <f>装备!#REF!</f>
        <v>#REF!</v>
      </c>
      <c r="BH189" t="e">
        <f>装备!#REF!</f>
        <v>#REF!</v>
      </c>
      <c r="BI189" t="e">
        <f>装备!#REF!</f>
        <v>#REF!</v>
      </c>
      <c r="BJ189" t="e">
        <f>装备!#REF!</f>
        <v>#REF!</v>
      </c>
      <c r="BK189" t="e">
        <f>装备!#REF!</f>
        <v>#REF!</v>
      </c>
      <c r="BL189" t="e">
        <f>装备!#REF!</f>
        <v>#REF!</v>
      </c>
      <c r="BM189" t="e">
        <f>装备!#REF!</f>
        <v>#REF!</v>
      </c>
      <c r="BN189" t="e">
        <f>装备!#REF!</f>
        <v>#REF!</v>
      </c>
      <c r="BO189" t="e">
        <f>装备!#REF!</f>
        <v>#REF!</v>
      </c>
      <c r="BP189" t="e">
        <f t="shared" si="33"/>
        <v>#REF!</v>
      </c>
      <c r="BQ189" t="e">
        <f>装备!#REF!</f>
        <v>#REF!</v>
      </c>
      <c r="BR189" t="e">
        <f>装备!#REF!</f>
        <v>#REF!</v>
      </c>
      <c r="BS189" t="e">
        <f>装备!#REF!</f>
        <v>#REF!</v>
      </c>
      <c r="BT189" t="e">
        <f>装备!#REF!</f>
        <v>#REF!</v>
      </c>
      <c r="BU189" t="e">
        <f>装备!#REF!</f>
        <v>#REF!</v>
      </c>
      <c r="BV189" t="e">
        <f>装备!#REF!</f>
        <v>#REF!</v>
      </c>
      <c r="BW189" t="e">
        <f>装备!#REF!</f>
        <v>#REF!</v>
      </c>
      <c r="BX189" t="e">
        <f>装备!#REF!</f>
        <v>#REF!</v>
      </c>
      <c r="BY189" t="e">
        <f>装备!#REF!</f>
        <v>#REF!</v>
      </c>
      <c r="BZ189" t="e">
        <f>装备!#REF!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装备!#REF!</f>
        <v>#REF!</v>
      </c>
      <c r="B190" t="e">
        <f>装备!#REF!</f>
        <v>#REF!</v>
      </c>
      <c r="C190" t="e">
        <f>装备!#REF!</f>
        <v>#REF!</v>
      </c>
      <c r="D190" t="e">
        <f>装备!#REF!</f>
        <v>#REF!</v>
      </c>
      <c r="E190" t="e">
        <f>装备!#REF!</f>
        <v>#REF!</v>
      </c>
      <c r="F190" t="e">
        <f>装备!#REF!</f>
        <v>#REF!</v>
      </c>
      <c r="G190" t="e">
        <f>装备!#REF!</f>
        <v>#REF!</v>
      </c>
      <c r="H190" t="e">
        <f>装备!#REF!</f>
        <v>#REF!</v>
      </c>
      <c r="I190" t="e">
        <f>装备!#REF!</f>
        <v>#REF!</v>
      </c>
      <c r="J190" t="e">
        <f>装备!#REF!</f>
        <v>#REF!</v>
      </c>
      <c r="K190" t="e">
        <f>装备!#REF!</f>
        <v>#REF!</v>
      </c>
      <c r="L190" t="e">
        <f>装备!#REF!</f>
        <v>#REF!</v>
      </c>
      <c r="M190" t="e">
        <f t="shared" si="28"/>
        <v>#REF!</v>
      </c>
      <c r="N190" t="e">
        <f>装备!#REF!</f>
        <v>#REF!</v>
      </c>
      <c r="O190" t="e">
        <f>装备!#REF!</f>
        <v>#REF!</v>
      </c>
      <c r="P190" t="e">
        <f>装备!#REF!</f>
        <v>#REF!</v>
      </c>
      <c r="Q190" t="e">
        <f>装备!#REF!</f>
        <v>#REF!</v>
      </c>
      <c r="R190" t="e">
        <f>装备!#REF!</f>
        <v>#REF!</v>
      </c>
      <c r="S190" t="e">
        <f>装备!#REF!</f>
        <v>#REF!</v>
      </c>
      <c r="T190" t="e">
        <f>装备!#REF!</f>
        <v>#REF!</v>
      </c>
      <c r="U190" t="e">
        <f>装备!#REF!</f>
        <v>#REF!</v>
      </c>
      <c r="V190" t="e">
        <f>装备!#REF!</f>
        <v>#REF!</v>
      </c>
      <c r="W190" t="e">
        <f>装备!#REF!</f>
        <v>#REF!</v>
      </c>
      <c r="X190" t="e">
        <f t="shared" si="29"/>
        <v>#REF!</v>
      </c>
      <c r="Y190" t="e">
        <f>装备!#REF!</f>
        <v>#REF!</v>
      </c>
      <c r="Z190" t="e">
        <f>装备!#REF!</f>
        <v>#REF!</v>
      </c>
      <c r="AA190" t="e">
        <f>装备!#REF!</f>
        <v>#REF!</v>
      </c>
      <c r="AB190" t="e">
        <f>装备!#REF!</f>
        <v>#REF!</v>
      </c>
      <c r="AC190" t="e">
        <f>装备!#REF!</f>
        <v>#REF!</v>
      </c>
      <c r="AD190" t="e">
        <f>装备!#REF!</f>
        <v>#REF!</v>
      </c>
      <c r="AE190" t="e">
        <f>装备!#REF!</f>
        <v>#REF!</v>
      </c>
      <c r="AF190" t="e">
        <f>装备!#REF!</f>
        <v>#REF!</v>
      </c>
      <c r="AG190" t="e">
        <f>装备!#REF!</f>
        <v>#REF!</v>
      </c>
      <c r="AH190" t="e">
        <f>装备!#REF!</f>
        <v>#REF!</v>
      </c>
      <c r="AI190" t="e">
        <f t="shared" si="30"/>
        <v>#REF!</v>
      </c>
      <c r="AJ190" t="e">
        <f>装备!#REF!</f>
        <v>#REF!</v>
      </c>
      <c r="AK190" t="e">
        <f>装备!#REF!</f>
        <v>#REF!</v>
      </c>
      <c r="AL190" t="e">
        <f>装备!#REF!</f>
        <v>#REF!</v>
      </c>
      <c r="AM190" t="e">
        <f>装备!#REF!</f>
        <v>#REF!</v>
      </c>
      <c r="AN190" t="e">
        <f>装备!#REF!</f>
        <v>#REF!</v>
      </c>
      <c r="AO190" t="e">
        <f>装备!#REF!</f>
        <v>#REF!</v>
      </c>
      <c r="AP190" t="e">
        <f>装备!#REF!</f>
        <v>#REF!</v>
      </c>
      <c r="AQ190" t="e">
        <f>装备!#REF!</f>
        <v>#REF!</v>
      </c>
      <c r="AR190" t="e">
        <f>装备!#REF!</f>
        <v>#REF!</v>
      </c>
      <c r="AS190" t="e">
        <f>装备!#REF!</f>
        <v>#REF!</v>
      </c>
      <c r="AT190" t="e">
        <f t="shared" si="31"/>
        <v>#REF!</v>
      </c>
      <c r="AU190" t="e">
        <f>装备!#REF!</f>
        <v>#REF!</v>
      </c>
      <c r="AV190" t="e">
        <f>装备!#REF!</f>
        <v>#REF!</v>
      </c>
      <c r="AW190" t="e">
        <f>装备!#REF!</f>
        <v>#REF!</v>
      </c>
      <c r="AX190" t="e">
        <f>装备!#REF!</f>
        <v>#REF!</v>
      </c>
      <c r="AY190" t="e">
        <f>装备!#REF!</f>
        <v>#REF!</v>
      </c>
      <c r="AZ190" t="e">
        <f>装备!#REF!</f>
        <v>#REF!</v>
      </c>
      <c r="BA190" t="e">
        <f>装备!#REF!</f>
        <v>#REF!</v>
      </c>
      <c r="BB190" t="e">
        <f>装备!#REF!</f>
        <v>#REF!</v>
      </c>
      <c r="BC190" t="e">
        <f>装备!#REF!</f>
        <v>#REF!</v>
      </c>
      <c r="BD190" t="e">
        <f>装备!#REF!</f>
        <v>#REF!</v>
      </c>
      <c r="BE190" t="e">
        <f t="shared" si="32"/>
        <v>#REF!</v>
      </c>
      <c r="BF190" t="e">
        <f>装备!#REF!</f>
        <v>#REF!</v>
      </c>
      <c r="BG190" t="e">
        <f>装备!#REF!</f>
        <v>#REF!</v>
      </c>
      <c r="BH190" t="e">
        <f>装备!#REF!</f>
        <v>#REF!</v>
      </c>
      <c r="BI190" t="e">
        <f>装备!#REF!</f>
        <v>#REF!</v>
      </c>
      <c r="BJ190" t="e">
        <f>装备!#REF!</f>
        <v>#REF!</v>
      </c>
      <c r="BK190" t="e">
        <f>装备!#REF!</f>
        <v>#REF!</v>
      </c>
      <c r="BL190" t="e">
        <f>装备!#REF!</f>
        <v>#REF!</v>
      </c>
      <c r="BM190" t="e">
        <f>装备!#REF!</f>
        <v>#REF!</v>
      </c>
      <c r="BN190" t="e">
        <f>装备!#REF!</f>
        <v>#REF!</v>
      </c>
      <c r="BO190" t="e">
        <f>装备!#REF!</f>
        <v>#REF!</v>
      </c>
      <c r="BP190" t="e">
        <f t="shared" si="33"/>
        <v>#REF!</v>
      </c>
      <c r="BQ190" t="e">
        <f>装备!#REF!</f>
        <v>#REF!</v>
      </c>
      <c r="BR190" t="e">
        <f>装备!#REF!</f>
        <v>#REF!</v>
      </c>
      <c r="BS190" t="e">
        <f>装备!#REF!</f>
        <v>#REF!</v>
      </c>
      <c r="BT190" t="e">
        <f>装备!#REF!</f>
        <v>#REF!</v>
      </c>
      <c r="BU190" t="e">
        <f>装备!#REF!</f>
        <v>#REF!</v>
      </c>
      <c r="BV190" t="e">
        <f>装备!#REF!</f>
        <v>#REF!</v>
      </c>
      <c r="BW190" t="e">
        <f>装备!#REF!</f>
        <v>#REF!</v>
      </c>
      <c r="BX190" t="e">
        <f>装备!#REF!</f>
        <v>#REF!</v>
      </c>
      <c r="BY190" t="e">
        <f>装备!#REF!</f>
        <v>#REF!</v>
      </c>
      <c r="BZ190" t="e">
        <f>装备!#REF!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装备!#REF!</f>
        <v>#REF!</v>
      </c>
      <c r="B191" t="e">
        <f>装备!#REF!</f>
        <v>#REF!</v>
      </c>
      <c r="C191" t="e">
        <f>装备!#REF!</f>
        <v>#REF!</v>
      </c>
      <c r="D191" t="e">
        <f>装备!#REF!</f>
        <v>#REF!</v>
      </c>
      <c r="E191" t="e">
        <f>装备!#REF!</f>
        <v>#REF!</v>
      </c>
      <c r="F191" t="e">
        <f>装备!#REF!</f>
        <v>#REF!</v>
      </c>
      <c r="G191" t="e">
        <f>装备!#REF!</f>
        <v>#REF!</v>
      </c>
      <c r="H191" t="e">
        <f>装备!#REF!</f>
        <v>#REF!</v>
      </c>
      <c r="I191" t="e">
        <f>装备!#REF!</f>
        <v>#REF!</v>
      </c>
      <c r="J191" t="e">
        <f>装备!#REF!</f>
        <v>#REF!</v>
      </c>
      <c r="K191" t="e">
        <f>装备!#REF!</f>
        <v>#REF!</v>
      </c>
      <c r="L191" t="e">
        <f>装备!#REF!</f>
        <v>#REF!</v>
      </c>
      <c r="M191" t="e">
        <f t="shared" si="28"/>
        <v>#REF!</v>
      </c>
      <c r="N191" t="e">
        <f>装备!#REF!</f>
        <v>#REF!</v>
      </c>
      <c r="O191" t="e">
        <f>装备!#REF!</f>
        <v>#REF!</v>
      </c>
      <c r="P191" t="e">
        <f>装备!#REF!</f>
        <v>#REF!</v>
      </c>
      <c r="Q191" t="e">
        <f>装备!#REF!</f>
        <v>#REF!</v>
      </c>
      <c r="R191" t="e">
        <f>装备!#REF!</f>
        <v>#REF!</v>
      </c>
      <c r="S191" t="e">
        <f>装备!#REF!</f>
        <v>#REF!</v>
      </c>
      <c r="T191" t="e">
        <f>装备!#REF!</f>
        <v>#REF!</v>
      </c>
      <c r="U191" t="e">
        <f>装备!#REF!</f>
        <v>#REF!</v>
      </c>
      <c r="V191" t="e">
        <f>装备!#REF!</f>
        <v>#REF!</v>
      </c>
      <c r="W191" t="e">
        <f>装备!#REF!</f>
        <v>#REF!</v>
      </c>
      <c r="X191" t="e">
        <f t="shared" si="29"/>
        <v>#REF!</v>
      </c>
      <c r="Y191" t="e">
        <f>装备!#REF!</f>
        <v>#REF!</v>
      </c>
      <c r="Z191" t="e">
        <f>装备!#REF!</f>
        <v>#REF!</v>
      </c>
      <c r="AA191" t="e">
        <f>装备!#REF!</f>
        <v>#REF!</v>
      </c>
      <c r="AB191" t="e">
        <f>装备!#REF!</f>
        <v>#REF!</v>
      </c>
      <c r="AC191" t="e">
        <f>装备!#REF!</f>
        <v>#REF!</v>
      </c>
      <c r="AD191" t="e">
        <f>装备!#REF!</f>
        <v>#REF!</v>
      </c>
      <c r="AE191" t="e">
        <f>装备!#REF!</f>
        <v>#REF!</v>
      </c>
      <c r="AF191" t="e">
        <f>装备!#REF!</f>
        <v>#REF!</v>
      </c>
      <c r="AG191" t="e">
        <f>装备!#REF!</f>
        <v>#REF!</v>
      </c>
      <c r="AH191" t="e">
        <f>装备!#REF!</f>
        <v>#REF!</v>
      </c>
      <c r="AI191" t="e">
        <f t="shared" si="30"/>
        <v>#REF!</v>
      </c>
      <c r="AJ191" t="e">
        <f>装备!#REF!</f>
        <v>#REF!</v>
      </c>
      <c r="AK191" t="e">
        <f>装备!#REF!</f>
        <v>#REF!</v>
      </c>
      <c r="AL191" t="e">
        <f>装备!#REF!</f>
        <v>#REF!</v>
      </c>
      <c r="AM191" t="e">
        <f>装备!#REF!</f>
        <v>#REF!</v>
      </c>
      <c r="AN191" t="e">
        <f>装备!#REF!</f>
        <v>#REF!</v>
      </c>
      <c r="AO191" t="e">
        <f>装备!#REF!</f>
        <v>#REF!</v>
      </c>
      <c r="AP191" t="e">
        <f>装备!#REF!</f>
        <v>#REF!</v>
      </c>
      <c r="AQ191" t="e">
        <f>装备!#REF!</f>
        <v>#REF!</v>
      </c>
      <c r="AR191" t="e">
        <f>装备!#REF!</f>
        <v>#REF!</v>
      </c>
      <c r="AS191" t="e">
        <f>装备!#REF!</f>
        <v>#REF!</v>
      </c>
      <c r="AT191" t="e">
        <f t="shared" si="31"/>
        <v>#REF!</v>
      </c>
      <c r="AU191" t="e">
        <f>装备!#REF!</f>
        <v>#REF!</v>
      </c>
      <c r="AV191" t="e">
        <f>装备!#REF!</f>
        <v>#REF!</v>
      </c>
      <c r="AW191" t="e">
        <f>装备!#REF!</f>
        <v>#REF!</v>
      </c>
      <c r="AX191" t="e">
        <f>装备!#REF!</f>
        <v>#REF!</v>
      </c>
      <c r="AY191" t="e">
        <f>装备!#REF!</f>
        <v>#REF!</v>
      </c>
      <c r="AZ191" t="e">
        <f>装备!#REF!</f>
        <v>#REF!</v>
      </c>
      <c r="BA191" t="e">
        <f>装备!#REF!</f>
        <v>#REF!</v>
      </c>
      <c r="BB191" t="e">
        <f>装备!#REF!</f>
        <v>#REF!</v>
      </c>
      <c r="BC191" t="e">
        <f>装备!#REF!</f>
        <v>#REF!</v>
      </c>
      <c r="BD191" t="e">
        <f>装备!#REF!</f>
        <v>#REF!</v>
      </c>
      <c r="BE191" t="e">
        <f t="shared" si="32"/>
        <v>#REF!</v>
      </c>
      <c r="BF191" t="e">
        <f>装备!#REF!</f>
        <v>#REF!</v>
      </c>
      <c r="BG191" t="e">
        <f>装备!#REF!</f>
        <v>#REF!</v>
      </c>
      <c r="BH191" t="e">
        <f>装备!#REF!</f>
        <v>#REF!</v>
      </c>
      <c r="BI191" t="e">
        <f>装备!#REF!</f>
        <v>#REF!</v>
      </c>
      <c r="BJ191" t="e">
        <f>装备!#REF!</f>
        <v>#REF!</v>
      </c>
      <c r="BK191" t="e">
        <f>装备!#REF!</f>
        <v>#REF!</v>
      </c>
      <c r="BL191" t="e">
        <f>装备!#REF!</f>
        <v>#REF!</v>
      </c>
      <c r="BM191" t="e">
        <f>装备!#REF!</f>
        <v>#REF!</v>
      </c>
      <c r="BN191" t="e">
        <f>装备!#REF!</f>
        <v>#REF!</v>
      </c>
      <c r="BO191" t="e">
        <f>装备!#REF!</f>
        <v>#REF!</v>
      </c>
      <c r="BP191" t="e">
        <f t="shared" si="33"/>
        <v>#REF!</v>
      </c>
      <c r="BQ191" t="e">
        <f>装备!#REF!</f>
        <v>#REF!</v>
      </c>
      <c r="BR191" t="e">
        <f>装备!#REF!</f>
        <v>#REF!</v>
      </c>
      <c r="BS191" t="e">
        <f>装备!#REF!</f>
        <v>#REF!</v>
      </c>
      <c r="BT191" t="e">
        <f>装备!#REF!</f>
        <v>#REF!</v>
      </c>
      <c r="BU191" t="e">
        <f>装备!#REF!</f>
        <v>#REF!</v>
      </c>
      <c r="BV191" t="e">
        <f>装备!#REF!</f>
        <v>#REF!</v>
      </c>
      <c r="BW191" t="e">
        <f>装备!#REF!</f>
        <v>#REF!</v>
      </c>
      <c r="BX191" t="e">
        <f>装备!#REF!</f>
        <v>#REF!</v>
      </c>
      <c r="BY191" t="e">
        <f>装备!#REF!</f>
        <v>#REF!</v>
      </c>
      <c r="BZ191" t="e">
        <f>装备!#REF!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装备!#REF!</f>
        <v>#REF!</v>
      </c>
      <c r="B192" t="e">
        <f>装备!#REF!</f>
        <v>#REF!</v>
      </c>
      <c r="C192" t="e">
        <f>装备!#REF!</f>
        <v>#REF!</v>
      </c>
      <c r="D192" t="e">
        <f>装备!#REF!</f>
        <v>#REF!</v>
      </c>
      <c r="E192" t="e">
        <f>装备!#REF!</f>
        <v>#REF!</v>
      </c>
      <c r="F192" t="e">
        <f>装备!#REF!</f>
        <v>#REF!</v>
      </c>
      <c r="G192" t="e">
        <f>装备!#REF!</f>
        <v>#REF!</v>
      </c>
      <c r="H192" t="e">
        <f>装备!#REF!</f>
        <v>#REF!</v>
      </c>
      <c r="I192" t="e">
        <f>装备!#REF!</f>
        <v>#REF!</v>
      </c>
      <c r="J192" t="e">
        <f>装备!#REF!</f>
        <v>#REF!</v>
      </c>
      <c r="K192" t="e">
        <f>装备!#REF!</f>
        <v>#REF!</v>
      </c>
      <c r="L192" t="e">
        <f>装备!#REF!</f>
        <v>#REF!</v>
      </c>
      <c r="M192" t="e">
        <f t="shared" si="28"/>
        <v>#REF!</v>
      </c>
      <c r="N192" t="e">
        <f>装备!#REF!</f>
        <v>#REF!</v>
      </c>
      <c r="O192" t="e">
        <f>装备!#REF!</f>
        <v>#REF!</v>
      </c>
      <c r="P192" t="e">
        <f>装备!#REF!</f>
        <v>#REF!</v>
      </c>
      <c r="Q192" t="e">
        <f>装备!#REF!</f>
        <v>#REF!</v>
      </c>
      <c r="R192" t="e">
        <f>装备!#REF!</f>
        <v>#REF!</v>
      </c>
      <c r="S192" t="e">
        <f>装备!#REF!</f>
        <v>#REF!</v>
      </c>
      <c r="T192" t="e">
        <f>装备!#REF!</f>
        <v>#REF!</v>
      </c>
      <c r="U192" t="e">
        <f>装备!#REF!</f>
        <v>#REF!</v>
      </c>
      <c r="V192" t="e">
        <f>装备!#REF!</f>
        <v>#REF!</v>
      </c>
      <c r="W192" t="e">
        <f>装备!#REF!</f>
        <v>#REF!</v>
      </c>
      <c r="X192" t="e">
        <f t="shared" si="29"/>
        <v>#REF!</v>
      </c>
      <c r="Y192" t="e">
        <f>装备!#REF!</f>
        <v>#REF!</v>
      </c>
      <c r="Z192" t="e">
        <f>装备!#REF!</f>
        <v>#REF!</v>
      </c>
      <c r="AA192" t="e">
        <f>装备!#REF!</f>
        <v>#REF!</v>
      </c>
      <c r="AB192" t="e">
        <f>装备!#REF!</f>
        <v>#REF!</v>
      </c>
      <c r="AC192" t="e">
        <f>装备!#REF!</f>
        <v>#REF!</v>
      </c>
      <c r="AD192" t="e">
        <f>装备!#REF!</f>
        <v>#REF!</v>
      </c>
      <c r="AE192" t="e">
        <f>装备!#REF!</f>
        <v>#REF!</v>
      </c>
      <c r="AF192" t="e">
        <f>装备!#REF!</f>
        <v>#REF!</v>
      </c>
      <c r="AG192" t="e">
        <f>装备!#REF!</f>
        <v>#REF!</v>
      </c>
      <c r="AH192" t="e">
        <f>装备!#REF!</f>
        <v>#REF!</v>
      </c>
      <c r="AI192" t="e">
        <f t="shared" si="30"/>
        <v>#REF!</v>
      </c>
      <c r="AJ192" t="e">
        <f>装备!#REF!</f>
        <v>#REF!</v>
      </c>
      <c r="AK192" t="e">
        <f>装备!#REF!</f>
        <v>#REF!</v>
      </c>
      <c r="AL192" t="e">
        <f>装备!#REF!</f>
        <v>#REF!</v>
      </c>
      <c r="AM192" t="e">
        <f>装备!#REF!</f>
        <v>#REF!</v>
      </c>
      <c r="AN192" t="e">
        <f>装备!#REF!</f>
        <v>#REF!</v>
      </c>
      <c r="AO192" t="e">
        <f>装备!#REF!</f>
        <v>#REF!</v>
      </c>
      <c r="AP192" t="e">
        <f>装备!#REF!</f>
        <v>#REF!</v>
      </c>
      <c r="AQ192" t="e">
        <f>装备!#REF!</f>
        <v>#REF!</v>
      </c>
      <c r="AR192" t="e">
        <f>装备!#REF!</f>
        <v>#REF!</v>
      </c>
      <c r="AS192" t="e">
        <f>装备!#REF!</f>
        <v>#REF!</v>
      </c>
      <c r="AT192" t="e">
        <f t="shared" si="31"/>
        <v>#REF!</v>
      </c>
      <c r="AU192" t="e">
        <f>装备!#REF!</f>
        <v>#REF!</v>
      </c>
      <c r="AV192" t="e">
        <f>装备!#REF!</f>
        <v>#REF!</v>
      </c>
      <c r="AW192" t="e">
        <f>装备!#REF!</f>
        <v>#REF!</v>
      </c>
      <c r="AX192" t="e">
        <f>装备!#REF!</f>
        <v>#REF!</v>
      </c>
      <c r="AY192" t="e">
        <f>装备!#REF!</f>
        <v>#REF!</v>
      </c>
      <c r="AZ192" t="e">
        <f>装备!#REF!</f>
        <v>#REF!</v>
      </c>
      <c r="BA192" t="e">
        <f>装备!#REF!</f>
        <v>#REF!</v>
      </c>
      <c r="BB192" t="e">
        <f>装备!#REF!</f>
        <v>#REF!</v>
      </c>
      <c r="BC192" t="e">
        <f>装备!#REF!</f>
        <v>#REF!</v>
      </c>
      <c r="BD192" t="e">
        <f>装备!#REF!</f>
        <v>#REF!</v>
      </c>
      <c r="BE192" t="e">
        <f t="shared" si="32"/>
        <v>#REF!</v>
      </c>
      <c r="BF192" t="e">
        <f>装备!#REF!</f>
        <v>#REF!</v>
      </c>
      <c r="BG192" t="e">
        <f>装备!#REF!</f>
        <v>#REF!</v>
      </c>
      <c r="BH192" t="e">
        <f>装备!#REF!</f>
        <v>#REF!</v>
      </c>
      <c r="BI192" t="e">
        <f>装备!#REF!</f>
        <v>#REF!</v>
      </c>
      <c r="BJ192" t="e">
        <f>装备!#REF!</f>
        <v>#REF!</v>
      </c>
      <c r="BK192" t="e">
        <f>装备!#REF!</f>
        <v>#REF!</v>
      </c>
      <c r="BL192" t="e">
        <f>装备!#REF!</f>
        <v>#REF!</v>
      </c>
      <c r="BM192" t="e">
        <f>装备!#REF!</f>
        <v>#REF!</v>
      </c>
      <c r="BN192" t="e">
        <f>装备!#REF!</f>
        <v>#REF!</v>
      </c>
      <c r="BO192" t="e">
        <f>装备!#REF!</f>
        <v>#REF!</v>
      </c>
      <c r="BP192" t="e">
        <f t="shared" si="33"/>
        <v>#REF!</v>
      </c>
      <c r="BQ192" t="e">
        <f>装备!#REF!</f>
        <v>#REF!</v>
      </c>
      <c r="BR192" t="e">
        <f>装备!#REF!</f>
        <v>#REF!</v>
      </c>
      <c r="BS192" t="e">
        <f>装备!#REF!</f>
        <v>#REF!</v>
      </c>
      <c r="BT192" t="e">
        <f>装备!#REF!</f>
        <v>#REF!</v>
      </c>
      <c r="BU192" t="e">
        <f>装备!#REF!</f>
        <v>#REF!</v>
      </c>
      <c r="BV192" t="e">
        <f>装备!#REF!</f>
        <v>#REF!</v>
      </c>
      <c r="BW192" t="e">
        <f>装备!#REF!</f>
        <v>#REF!</v>
      </c>
      <c r="BX192" t="e">
        <f>装备!#REF!</f>
        <v>#REF!</v>
      </c>
      <c r="BY192" t="e">
        <f>装备!#REF!</f>
        <v>#REF!</v>
      </c>
      <c r="BZ192" t="e">
        <f>装备!#REF!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装备!#REF!</f>
        <v>#REF!</v>
      </c>
      <c r="B193" t="e">
        <f>装备!#REF!</f>
        <v>#REF!</v>
      </c>
      <c r="C193" t="e">
        <f>装备!#REF!</f>
        <v>#REF!</v>
      </c>
      <c r="D193" t="e">
        <f>装备!#REF!</f>
        <v>#REF!</v>
      </c>
      <c r="E193" t="e">
        <f>装备!#REF!</f>
        <v>#REF!</v>
      </c>
      <c r="F193" t="e">
        <f>装备!#REF!</f>
        <v>#REF!</v>
      </c>
      <c r="G193" t="e">
        <f>装备!#REF!</f>
        <v>#REF!</v>
      </c>
      <c r="H193" t="e">
        <f>装备!#REF!</f>
        <v>#REF!</v>
      </c>
      <c r="I193" t="e">
        <f>装备!#REF!</f>
        <v>#REF!</v>
      </c>
      <c r="J193" t="e">
        <f>装备!#REF!</f>
        <v>#REF!</v>
      </c>
      <c r="K193" t="e">
        <f>装备!#REF!</f>
        <v>#REF!</v>
      </c>
      <c r="L193" t="e">
        <f>装备!#REF!</f>
        <v>#REF!</v>
      </c>
      <c r="M193" t="e">
        <f t="shared" si="28"/>
        <v>#REF!</v>
      </c>
      <c r="N193" t="e">
        <f>装备!#REF!</f>
        <v>#REF!</v>
      </c>
      <c r="O193" t="e">
        <f>装备!#REF!</f>
        <v>#REF!</v>
      </c>
      <c r="P193" t="e">
        <f>装备!#REF!</f>
        <v>#REF!</v>
      </c>
      <c r="Q193" t="e">
        <f>装备!#REF!</f>
        <v>#REF!</v>
      </c>
      <c r="R193" t="e">
        <f>装备!#REF!</f>
        <v>#REF!</v>
      </c>
      <c r="S193" t="e">
        <f>装备!#REF!</f>
        <v>#REF!</v>
      </c>
      <c r="T193" t="e">
        <f>装备!#REF!</f>
        <v>#REF!</v>
      </c>
      <c r="U193" t="e">
        <f>装备!#REF!</f>
        <v>#REF!</v>
      </c>
      <c r="V193" t="e">
        <f>装备!#REF!</f>
        <v>#REF!</v>
      </c>
      <c r="W193" t="e">
        <f>装备!#REF!</f>
        <v>#REF!</v>
      </c>
      <c r="X193" t="e">
        <f t="shared" si="29"/>
        <v>#REF!</v>
      </c>
      <c r="Y193" t="e">
        <f>装备!#REF!</f>
        <v>#REF!</v>
      </c>
      <c r="Z193" t="e">
        <f>装备!#REF!</f>
        <v>#REF!</v>
      </c>
      <c r="AA193" t="e">
        <f>装备!#REF!</f>
        <v>#REF!</v>
      </c>
      <c r="AB193" t="e">
        <f>装备!#REF!</f>
        <v>#REF!</v>
      </c>
      <c r="AC193" t="e">
        <f>装备!#REF!</f>
        <v>#REF!</v>
      </c>
      <c r="AD193" t="e">
        <f>装备!#REF!</f>
        <v>#REF!</v>
      </c>
      <c r="AE193" t="e">
        <f>装备!#REF!</f>
        <v>#REF!</v>
      </c>
      <c r="AF193" t="e">
        <f>装备!#REF!</f>
        <v>#REF!</v>
      </c>
      <c r="AG193" t="e">
        <f>装备!#REF!</f>
        <v>#REF!</v>
      </c>
      <c r="AH193" t="e">
        <f>装备!#REF!</f>
        <v>#REF!</v>
      </c>
      <c r="AI193" t="e">
        <f t="shared" si="30"/>
        <v>#REF!</v>
      </c>
      <c r="AJ193" t="e">
        <f>装备!#REF!</f>
        <v>#REF!</v>
      </c>
      <c r="AK193" t="e">
        <f>装备!#REF!</f>
        <v>#REF!</v>
      </c>
      <c r="AL193" t="e">
        <f>装备!#REF!</f>
        <v>#REF!</v>
      </c>
      <c r="AM193" t="e">
        <f>装备!#REF!</f>
        <v>#REF!</v>
      </c>
      <c r="AN193" t="e">
        <f>装备!#REF!</f>
        <v>#REF!</v>
      </c>
      <c r="AO193" t="e">
        <f>装备!#REF!</f>
        <v>#REF!</v>
      </c>
      <c r="AP193" t="e">
        <f>装备!#REF!</f>
        <v>#REF!</v>
      </c>
      <c r="AQ193" t="e">
        <f>装备!#REF!</f>
        <v>#REF!</v>
      </c>
      <c r="AR193" t="e">
        <f>装备!#REF!</f>
        <v>#REF!</v>
      </c>
      <c r="AS193" t="e">
        <f>装备!#REF!</f>
        <v>#REF!</v>
      </c>
      <c r="AT193" t="e">
        <f t="shared" si="31"/>
        <v>#REF!</v>
      </c>
      <c r="AU193" t="e">
        <f>装备!#REF!</f>
        <v>#REF!</v>
      </c>
      <c r="AV193" t="e">
        <f>装备!#REF!</f>
        <v>#REF!</v>
      </c>
      <c r="AW193" t="e">
        <f>装备!#REF!</f>
        <v>#REF!</v>
      </c>
      <c r="AX193" t="e">
        <f>装备!#REF!</f>
        <v>#REF!</v>
      </c>
      <c r="AY193" t="e">
        <f>装备!#REF!</f>
        <v>#REF!</v>
      </c>
      <c r="AZ193" t="e">
        <f>装备!#REF!</f>
        <v>#REF!</v>
      </c>
      <c r="BA193" t="e">
        <f>装备!#REF!</f>
        <v>#REF!</v>
      </c>
      <c r="BB193" t="e">
        <f>装备!#REF!</f>
        <v>#REF!</v>
      </c>
      <c r="BC193" t="e">
        <f>装备!#REF!</f>
        <v>#REF!</v>
      </c>
      <c r="BD193" t="e">
        <f>装备!#REF!</f>
        <v>#REF!</v>
      </c>
      <c r="BE193" t="e">
        <f t="shared" si="32"/>
        <v>#REF!</v>
      </c>
      <c r="BF193" t="e">
        <f>装备!#REF!</f>
        <v>#REF!</v>
      </c>
      <c r="BG193" t="e">
        <f>装备!#REF!</f>
        <v>#REF!</v>
      </c>
      <c r="BH193" t="e">
        <f>装备!#REF!</f>
        <v>#REF!</v>
      </c>
      <c r="BI193" t="e">
        <f>装备!#REF!</f>
        <v>#REF!</v>
      </c>
      <c r="BJ193" t="e">
        <f>装备!#REF!</f>
        <v>#REF!</v>
      </c>
      <c r="BK193" t="e">
        <f>装备!#REF!</f>
        <v>#REF!</v>
      </c>
      <c r="BL193" t="e">
        <f>装备!#REF!</f>
        <v>#REF!</v>
      </c>
      <c r="BM193" t="e">
        <f>装备!#REF!</f>
        <v>#REF!</v>
      </c>
      <c r="BN193" t="e">
        <f>装备!#REF!</f>
        <v>#REF!</v>
      </c>
      <c r="BO193" t="e">
        <f>装备!#REF!</f>
        <v>#REF!</v>
      </c>
      <c r="BP193" t="e">
        <f t="shared" si="33"/>
        <v>#REF!</v>
      </c>
      <c r="BQ193" t="e">
        <f>装备!#REF!</f>
        <v>#REF!</v>
      </c>
      <c r="BR193" t="e">
        <f>装备!#REF!</f>
        <v>#REF!</v>
      </c>
      <c r="BS193" t="e">
        <f>装备!#REF!</f>
        <v>#REF!</v>
      </c>
      <c r="BT193" t="e">
        <f>装备!#REF!</f>
        <v>#REF!</v>
      </c>
      <c r="BU193" t="e">
        <f>装备!#REF!</f>
        <v>#REF!</v>
      </c>
      <c r="BV193" t="e">
        <f>装备!#REF!</f>
        <v>#REF!</v>
      </c>
      <c r="BW193" t="e">
        <f>装备!#REF!</f>
        <v>#REF!</v>
      </c>
      <c r="BX193" t="e">
        <f>装备!#REF!</f>
        <v>#REF!</v>
      </c>
      <c r="BY193" t="e">
        <f>装备!#REF!</f>
        <v>#REF!</v>
      </c>
      <c r="BZ193" t="e">
        <f>装备!#REF!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装备!#REF!</f>
        <v>#REF!</v>
      </c>
      <c r="B194" t="e">
        <f>装备!#REF!</f>
        <v>#REF!</v>
      </c>
      <c r="C194" t="e">
        <f>装备!#REF!</f>
        <v>#REF!</v>
      </c>
      <c r="D194" t="e">
        <f>装备!#REF!</f>
        <v>#REF!</v>
      </c>
      <c r="E194" t="e">
        <f>装备!#REF!</f>
        <v>#REF!</v>
      </c>
      <c r="F194" t="e">
        <f>装备!#REF!</f>
        <v>#REF!</v>
      </c>
      <c r="G194" t="e">
        <f>装备!#REF!</f>
        <v>#REF!</v>
      </c>
      <c r="H194" t="e">
        <f>装备!#REF!</f>
        <v>#REF!</v>
      </c>
      <c r="I194" t="e">
        <f>装备!#REF!</f>
        <v>#REF!</v>
      </c>
      <c r="J194" t="e">
        <f>装备!#REF!</f>
        <v>#REF!</v>
      </c>
      <c r="K194" t="e">
        <f>装备!#REF!</f>
        <v>#REF!</v>
      </c>
      <c r="L194" t="e">
        <f>装备!#REF!</f>
        <v>#REF!</v>
      </c>
      <c r="M194" t="e">
        <f t="shared" si="28"/>
        <v>#REF!</v>
      </c>
      <c r="N194" t="e">
        <f>装备!#REF!</f>
        <v>#REF!</v>
      </c>
      <c r="O194" t="e">
        <f>装备!#REF!</f>
        <v>#REF!</v>
      </c>
      <c r="P194" t="e">
        <f>装备!#REF!</f>
        <v>#REF!</v>
      </c>
      <c r="Q194" t="e">
        <f>装备!#REF!</f>
        <v>#REF!</v>
      </c>
      <c r="R194" t="e">
        <f>装备!#REF!</f>
        <v>#REF!</v>
      </c>
      <c r="S194" t="e">
        <f>装备!#REF!</f>
        <v>#REF!</v>
      </c>
      <c r="T194" t="e">
        <f>装备!#REF!</f>
        <v>#REF!</v>
      </c>
      <c r="U194" t="e">
        <f>装备!#REF!</f>
        <v>#REF!</v>
      </c>
      <c r="V194" t="e">
        <f>装备!#REF!</f>
        <v>#REF!</v>
      </c>
      <c r="W194" t="e">
        <f>装备!#REF!</f>
        <v>#REF!</v>
      </c>
      <c r="X194" t="e">
        <f t="shared" si="29"/>
        <v>#REF!</v>
      </c>
      <c r="Y194" t="e">
        <f>装备!#REF!</f>
        <v>#REF!</v>
      </c>
      <c r="Z194" t="e">
        <f>装备!#REF!</f>
        <v>#REF!</v>
      </c>
      <c r="AA194" t="e">
        <f>装备!#REF!</f>
        <v>#REF!</v>
      </c>
      <c r="AB194" t="e">
        <f>装备!#REF!</f>
        <v>#REF!</v>
      </c>
      <c r="AC194" t="e">
        <f>装备!#REF!</f>
        <v>#REF!</v>
      </c>
      <c r="AD194" t="e">
        <f>装备!#REF!</f>
        <v>#REF!</v>
      </c>
      <c r="AE194" t="e">
        <f>装备!#REF!</f>
        <v>#REF!</v>
      </c>
      <c r="AF194" t="e">
        <f>装备!#REF!</f>
        <v>#REF!</v>
      </c>
      <c r="AG194" t="e">
        <f>装备!#REF!</f>
        <v>#REF!</v>
      </c>
      <c r="AH194" t="e">
        <f>装备!#REF!</f>
        <v>#REF!</v>
      </c>
      <c r="AI194" t="e">
        <f t="shared" si="30"/>
        <v>#REF!</v>
      </c>
      <c r="AJ194" t="e">
        <f>装备!#REF!</f>
        <v>#REF!</v>
      </c>
      <c r="AK194" t="e">
        <f>装备!#REF!</f>
        <v>#REF!</v>
      </c>
      <c r="AL194" t="e">
        <f>装备!#REF!</f>
        <v>#REF!</v>
      </c>
      <c r="AM194" t="e">
        <f>装备!#REF!</f>
        <v>#REF!</v>
      </c>
      <c r="AN194" t="e">
        <f>装备!#REF!</f>
        <v>#REF!</v>
      </c>
      <c r="AO194" t="e">
        <f>装备!#REF!</f>
        <v>#REF!</v>
      </c>
      <c r="AP194" t="e">
        <f>装备!#REF!</f>
        <v>#REF!</v>
      </c>
      <c r="AQ194" t="e">
        <f>装备!#REF!</f>
        <v>#REF!</v>
      </c>
      <c r="AR194" t="e">
        <f>装备!#REF!</f>
        <v>#REF!</v>
      </c>
      <c r="AS194" t="e">
        <f>装备!#REF!</f>
        <v>#REF!</v>
      </c>
      <c r="AT194" t="e">
        <f t="shared" si="31"/>
        <v>#REF!</v>
      </c>
      <c r="AU194" t="e">
        <f>装备!#REF!</f>
        <v>#REF!</v>
      </c>
      <c r="AV194" t="e">
        <f>装备!#REF!</f>
        <v>#REF!</v>
      </c>
      <c r="AW194" t="e">
        <f>装备!#REF!</f>
        <v>#REF!</v>
      </c>
      <c r="AX194" t="e">
        <f>装备!#REF!</f>
        <v>#REF!</v>
      </c>
      <c r="AY194" t="e">
        <f>装备!#REF!</f>
        <v>#REF!</v>
      </c>
      <c r="AZ194" t="e">
        <f>装备!#REF!</f>
        <v>#REF!</v>
      </c>
      <c r="BA194" t="e">
        <f>装备!#REF!</f>
        <v>#REF!</v>
      </c>
      <c r="BB194" t="e">
        <f>装备!#REF!</f>
        <v>#REF!</v>
      </c>
      <c r="BC194" t="e">
        <f>装备!#REF!</f>
        <v>#REF!</v>
      </c>
      <c r="BD194" t="e">
        <f>装备!#REF!</f>
        <v>#REF!</v>
      </c>
      <c r="BE194" t="e">
        <f t="shared" si="32"/>
        <v>#REF!</v>
      </c>
      <c r="BF194" t="e">
        <f>装备!#REF!</f>
        <v>#REF!</v>
      </c>
      <c r="BG194" t="e">
        <f>装备!#REF!</f>
        <v>#REF!</v>
      </c>
      <c r="BH194" t="e">
        <f>装备!#REF!</f>
        <v>#REF!</v>
      </c>
      <c r="BI194" t="e">
        <f>装备!#REF!</f>
        <v>#REF!</v>
      </c>
      <c r="BJ194" t="e">
        <f>装备!#REF!</f>
        <v>#REF!</v>
      </c>
      <c r="BK194" t="e">
        <f>装备!#REF!</f>
        <v>#REF!</v>
      </c>
      <c r="BL194" t="e">
        <f>装备!#REF!</f>
        <v>#REF!</v>
      </c>
      <c r="BM194" t="e">
        <f>装备!#REF!</f>
        <v>#REF!</v>
      </c>
      <c r="BN194" t="e">
        <f>装备!#REF!</f>
        <v>#REF!</v>
      </c>
      <c r="BO194" t="e">
        <f>装备!#REF!</f>
        <v>#REF!</v>
      </c>
      <c r="BP194" t="e">
        <f t="shared" si="33"/>
        <v>#REF!</v>
      </c>
      <c r="BQ194" t="e">
        <f>装备!#REF!</f>
        <v>#REF!</v>
      </c>
      <c r="BR194" t="e">
        <f>装备!#REF!</f>
        <v>#REF!</v>
      </c>
      <c r="BS194" t="e">
        <f>装备!#REF!</f>
        <v>#REF!</v>
      </c>
      <c r="BT194" t="e">
        <f>装备!#REF!</f>
        <v>#REF!</v>
      </c>
      <c r="BU194" t="e">
        <f>装备!#REF!</f>
        <v>#REF!</v>
      </c>
      <c r="BV194" t="e">
        <f>装备!#REF!</f>
        <v>#REF!</v>
      </c>
      <c r="BW194" t="e">
        <f>装备!#REF!</f>
        <v>#REF!</v>
      </c>
      <c r="BX194" t="e">
        <f>装备!#REF!</f>
        <v>#REF!</v>
      </c>
      <c r="BY194" t="e">
        <f>装备!#REF!</f>
        <v>#REF!</v>
      </c>
      <c r="BZ194" t="e">
        <f>装备!#REF!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装备!#REF!</f>
        <v>#REF!</v>
      </c>
      <c r="B195" t="e">
        <f>装备!#REF!</f>
        <v>#REF!</v>
      </c>
      <c r="C195" t="e">
        <f>装备!#REF!</f>
        <v>#REF!</v>
      </c>
      <c r="D195" t="e">
        <f>装备!#REF!</f>
        <v>#REF!</v>
      </c>
      <c r="E195" t="e">
        <f>装备!#REF!</f>
        <v>#REF!</v>
      </c>
      <c r="F195" t="e">
        <f>装备!#REF!</f>
        <v>#REF!</v>
      </c>
      <c r="G195" t="e">
        <f>装备!#REF!</f>
        <v>#REF!</v>
      </c>
      <c r="H195" t="e">
        <f>装备!#REF!</f>
        <v>#REF!</v>
      </c>
      <c r="I195" t="e">
        <f>装备!#REF!</f>
        <v>#REF!</v>
      </c>
      <c r="J195" t="e">
        <f>装备!#REF!</f>
        <v>#REF!</v>
      </c>
      <c r="K195" t="e">
        <f>装备!#REF!</f>
        <v>#REF!</v>
      </c>
      <c r="L195" t="e">
        <f>装备!#REF!</f>
        <v>#REF!</v>
      </c>
      <c r="M195" t="e">
        <f t="shared" si="28"/>
        <v>#REF!</v>
      </c>
      <c r="N195" t="e">
        <f>装备!#REF!</f>
        <v>#REF!</v>
      </c>
      <c r="O195" t="e">
        <f>装备!#REF!</f>
        <v>#REF!</v>
      </c>
      <c r="P195" t="e">
        <f>装备!#REF!</f>
        <v>#REF!</v>
      </c>
      <c r="Q195" t="e">
        <f>装备!#REF!</f>
        <v>#REF!</v>
      </c>
      <c r="R195" t="e">
        <f>装备!#REF!</f>
        <v>#REF!</v>
      </c>
      <c r="S195" t="e">
        <f>装备!#REF!</f>
        <v>#REF!</v>
      </c>
      <c r="T195" t="e">
        <f>装备!#REF!</f>
        <v>#REF!</v>
      </c>
      <c r="U195" t="e">
        <f>装备!#REF!</f>
        <v>#REF!</v>
      </c>
      <c r="V195" t="e">
        <f>装备!#REF!</f>
        <v>#REF!</v>
      </c>
      <c r="W195" t="e">
        <f>装备!#REF!</f>
        <v>#REF!</v>
      </c>
      <c r="X195" t="e">
        <f t="shared" si="29"/>
        <v>#REF!</v>
      </c>
      <c r="Y195" t="e">
        <f>装备!#REF!</f>
        <v>#REF!</v>
      </c>
      <c r="Z195" t="e">
        <f>装备!#REF!</f>
        <v>#REF!</v>
      </c>
      <c r="AA195" t="e">
        <f>装备!#REF!</f>
        <v>#REF!</v>
      </c>
      <c r="AB195" t="e">
        <f>装备!#REF!</f>
        <v>#REF!</v>
      </c>
      <c r="AC195" t="e">
        <f>装备!#REF!</f>
        <v>#REF!</v>
      </c>
      <c r="AD195" t="e">
        <f>装备!#REF!</f>
        <v>#REF!</v>
      </c>
      <c r="AE195" t="e">
        <f>装备!#REF!</f>
        <v>#REF!</v>
      </c>
      <c r="AF195" t="e">
        <f>装备!#REF!</f>
        <v>#REF!</v>
      </c>
      <c r="AG195" t="e">
        <f>装备!#REF!</f>
        <v>#REF!</v>
      </c>
      <c r="AH195" t="e">
        <f>装备!#REF!</f>
        <v>#REF!</v>
      </c>
      <c r="AI195" t="e">
        <f t="shared" si="30"/>
        <v>#REF!</v>
      </c>
      <c r="AJ195" t="e">
        <f>装备!#REF!</f>
        <v>#REF!</v>
      </c>
      <c r="AK195" t="e">
        <f>装备!#REF!</f>
        <v>#REF!</v>
      </c>
      <c r="AL195" t="e">
        <f>装备!#REF!</f>
        <v>#REF!</v>
      </c>
      <c r="AM195" t="e">
        <f>装备!#REF!</f>
        <v>#REF!</v>
      </c>
      <c r="AN195" t="e">
        <f>装备!#REF!</f>
        <v>#REF!</v>
      </c>
      <c r="AO195" t="e">
        <f>装备!#REF!</f>
        <v>#REF!</v>
      </c>
      <c r="AP195" t="e">
        <f>装备!#REF!</f>
        <v>#REF!</v>
      </c>
      <c r="AQ195" t="e">
        <f>装备!#REF!</f>
        <v>#REF!</v>
      </c>
      <c r="AR195" t="e">
        <f>装备!#REF!</f>
        <v>#REF!</v>
      </c>
      <c r="AS195" t="e">
        <f>装备!#REF!</f>
        <v>#REF!</v>
      </c>
      <c r="AT195" t="e">
        <f t="shared" si="31"/>
        <v>#REF!</v>
      </c>
      <c r="AU195" t="e">
        <f>装备!#REF!</f>
        <v>#REF!</v>
      </c>
      <c r="AV195" t="e">
        <f>装备!#REF!</f>
        <v>#REF!</v>
      </c>
      <c r="AW195" t="e">
        <f>装备!#REF!</f>
        <v>#REF!</v>
      </c>
      <c r="AX195" t="e">
        <f>装备!#REF!</f>
        <v>#REF!</v>
      </c>
      <c r="AY195" t="e">
        <f>装备!#REF!</f>
        <v>#REF!</v>
      </c>
      <c r="AZ195" t="e">
        <f>装备!#REF!</f>
        <v>#REF!</v>
      </c>
      <c r="BA195" t="e">
        <f>装备!#REF!</f>
        <v>#REF!</v>
      </c>
      <c r="BB195" t="e">
        <f>装备!#REF!</f>
        <v>#REF!</v>
      </c>
      <c r="BC195" t="e">
        <f>装备!#REF!</f>
        <v>#REF!</v>
      </c>
      <c r="BD195" t="e">
        <f>装备!#REF!</f>
        <v>#REF!</v>
      </c>
      <c r="BE195" t="e">
        <f t="shared" si="32"/>
        <v>#REF!</v>
      </c>
      <c r="BF195" t="e">
        <f>装备!#REF!</f>
        <v>#REF!</v>
      </c>
      <c r="BG195" t="e">
        <f>装备!#REF!</f>
        <v>#REF!</v>
      </c>
      <c r="BH195" t="e">
        <f>装备!#REF!</f>
        <v>#REF!</v>
      </c>
      <c r="BI195" t="e">
        <f>装备!#REF!</f>
        <v>#REF!</v>
      </c>
      <c r="BJ195" t="e">
        <f>装备!#REF!</f>
        <v>#REF!</v>
      </c>
      <c r="BK195" t="e">
        <f>装备!#REF!</f>
        <v>#REF!</v>
      </c>
      <c r="BL195" t="e">
        <f>装备!#REF!</f>
        <v>#REF!</v>
      </c>
      <c r="BM195" t="e">
        <f>装备!#REF!</f>
        <v>#REF!</v>
      </c>
      <c r="BN195" t="e">
        <f>装备!#REF!</f>
        <v>#REF!</v>
      </c>
      <c r="BO195" t="e">
        <f>装备!#REF!</f>
        <v>#REF!</v>
      </c>
      <c r="BP195" t="e">
        <f t="shared" si="33"/>
        <v>#REF!</v>
      </c>
      <c r="BQ195" t="e">
        <f>装备!#REF!</f>
        <v>#REF!</v>
      </c>
      <c r="BR195" t="e">
        <f>装备!#REF!</f>
        <v>#REF!</v>
      </c>
      <c r="BS195" t="e">
        <f>装备!#REF!</f>
        <v>#REF!</v>
      </c>
      <c r="BT195" t="e">
        <f>装备!#REF!</f>
        <v>#REF!</v>
      </c>
      <c r="BU195" t="e">
        <f>装备!#REF!</f>
        <v>#REF!</v>
      </c>
      <c r="BV195" t="e">
        <f>装备!#REF!</f>
        <v>#REF!</v>
      </c>
      <c r="BW195" t="e">
        <f>装备!#REF!</f>
        <v>#REF!</v>
      </c>
      <c r="BX195" t="e">
        <f>装备!#REF!</f>
        <v>#REF!</v>
      </c>
      <c r="BY195" t="e">
        <f>装备!#REF!</f>
        <v>#REF!</v>
      </c>
      <c r="BZ195" t="e">
        <f>装备!#REF!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装备!#REF!</f>
        <v>#REF!</v>
      </c>
      <c r="B196" t="e">
        <f>装备!#REF!</f>
        <v>#REF!</v>
      </c>
      <c r="C196" t="e">
        <f>装备!#REF!</f>
        <v>#REF!</v>
      </c>
      <c r="D196" t="e">
        <f>装备!#REF!</f>
        <v>#REF!</v>
      </c>
      <c r="E196" t="e">
        <f>装备!#REF!</f>
        <v>#REF!</v>
      </c>
      <c r="F196" t="e">
        <f>装备!#REF!</f>
        <v>#REF!</v>
      </c>
      <c r="G196" t="e">
        <f>装备!#REF!</f>
        <v>#REF!</v>
      </c>
      <c r="H196" t="e">
        <f>装备!#REF!</f>
        <v>#REF!</v>
      </c>
      <c r="I196" t="e">
        <f>装备!#REF!</f>
        <v>#REF!</v>
      </c>
      <c r="J196" t="e">
        <f>装备!#REF!</f>
        <v>#REF!</v>
      </c>
      <c r="K196" t="e">
        <f>装备!#REF!</f>
        <v>#REF!</v>
      </c>
      <c r="L196" t="e">
        <f>装备!#REF!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装备!#REF!</f>
        <v>#REF!</v>
      </c>
      <c r="O196" t="e">
        <f>装备!#REF!</f>
        <v>#REF!</v>
      </c>
      <c r="P196" t="e">
        <f>装备!#REF!</f>
        <v>#REF!</v>
      </c>
      <c r="Q196" t="e">
        <f>装备!#REF!</f>
        <v>#REF!</v>
      </c>
      <c r="R196" t="e">
        <f>装备!#REF!</f>
        <v>#REF!</v>
      </c>
      <c r="S196" t="e">
        <f>装备!#REF!</f>
        <v>#REF!</v>
      </c>
      <c r="T196" t="e">
        <f>装备!#REF!</f>
        <v>#REF!</v>
      </c>
      <c r="U196" t="e">
        <f>装备!#REF!</f>
        <v>#REF!</v>
      </c>
      <c r="V196" t="e">
        <f>装备!#REF!</f>
        <v>#REF!</v>
      </c>
      <c r="W196" t="e">
        <f>装备!#REF!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装备!#REF!</f>
        <v>#REF!</v>
      </c>
      <c r="Z196" t="e">
        <f>装备!#REF!</f>
        <v>#REF!</v>
      </c>
      <c r="AA196" t="e">
        <f>装备!#REF!</f>
        <v>#REF!</v>
      </c>
      <c r="AB196" t="e">
        <f>装备!#REF!</f>
        <v>#REF!</v>
      </c>
      <c r="AC196" t="e">
        <f>装备!#REF!</f>
        <v>#REF!</v>
      </c>
      <c r="AD196" t="e">
        <f>装备!#REF!</f>
        <v>#REF!</v>
      </c>
      <c r="AE196" t="e">
        <f>装备!#REF!</f>
        <v>#REF!</v>
      </c>
      <c r="AF196" t="e">
        <f>装备!#REF!</f>
        <v>#REF!</v>
      </c>
      <c r="AG196" t="e">
        <f>装备!#REF!</f>
        <v>#REF!</v>
      </c>
      <c r="AH196" t="e">
        <f>装备!#REF!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装备!#REF!</f>
        <v>#REF!</v>
      </c>
      <c r="AK196" t="e">
        <f>装备!#REF!</f>
        <v>#REF!</v>
      </c>
      <c r="AL196" t="e">
        <f>装备!#REF!</f>
        <v>#REF!</v>
      </c>
      <c r="AM196" t="e">
        <f>装备!#REF!</f>
        <v>#REF!</v>
      </c>
      <c r="AN196" t="e">
        <f>装备!#REF!</f>
        <v>#REF!</v>
      </c>
      <c r="AO196" t="e">
        <f>装备!#REF!</f>
        <v>#REF!</v>
      </c>
      <c r="AP196" t="e">
        <f>装备!#REF!</f>
        <v>#REF!</v>
      </c>
      <c r="AQ196" t="e">
        <f>装备!#REF!</f>
        <v>#REF!</v>
      </c>
      <c r="AR196" t="e">
        <f>装备!#REF!</f>
        <v>#REF!</v>
      </c>
      <c r="AS196" t="e">
        <f>装备!#REF!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装备!#REF!</f>
        <v>#REF!</v>
      </c>
      <c r="AV196" t="e">
        <f>装备!#REF!</f>
        <v>#REF!</v>
      </c>
      <c r="AW196" t="e">
        <f>装备!#REF!</f>
        <v>#REF!</v>
      </c>
      <c r="AX196" t="e">
        <f>装备!#REF!</f>
        <v>#REF!</v>
      </c>
      <c r="AY196" t="e">
        <f>装备!#REF!</f>
        <v>#REF!</v>
      </c>
      <c r="AZ196" t="e">
        <f>装备!#REF!</f>
        <v>#REF!</v>
      </c>
      <c r="BA196" t="e">
        <f>装备!#REF!</f>
        <v>#REF!</v>
      </c>
      <c r="BB196" t="e">
        <f>装备!#REF!</f>
        <v>#REF!</v>
      </c>
      <c r="BC196" t="e">
        <f>装备!#REF!</f>
        <v>#REF!</v>
      </c>
      <c r="BD196" t="e">
        <f>装备!#REF!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装备!#REF!</f>
        <v>#REF!</v>
      </c>
      <c r="BG196" t="e">
        <f>装备!#REF!</f>
        <v>#REF!</v>
      </c>
      <c r="BH196" t="e">
        <f>装备!#REF!</f>
        <v>#REF!</v>
      </c>
      <c r="BI196" t="e">
        <f>装备!#REF!</f>
        <v>#REF!</v>
      </c>
      <c r="BJ196" t="e">
        <f>装备!#REF!</f>
        <v>#REF!</v>
      </c>
      <c r="BK196" t="e">
        <f>装备!#REF!</f>
        <v>#REF!</v>
      </c>
      <c r="BL196" t="e">
        <f>装备!#REF!</f>
        <v>#REF!</v>
      </c>
      <c r="BM196" t="e">
        <f>装备!#REF!</f>
        <v>#REF!</v>
      </c>
      <c r="BN196" t="e">
        <f>装备!#REF!</f>
        <v>#REF!</v>
      </c>
      <c r="BO196" t="e">
        <f>装备!#REF!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装备!#REF!</f>
        <v>#REF!</v>
      </c>
      <c r="BR196" t="e">
        <f>装备!#REF!</f>
        <v>#REF!</v>
      </c>
      <c r="BS196" t="e">
        <f>装备!#REF!</f>
        <v>#REF!</v>
      </c>
      <c r="BT196" t="e">
        <f>装备!#REF!</f>
        <v>#REF!</v>
      </c>
      <c r="BU196" t="e">
        <f>装备!#REF!</f>
        <v>#REF!</v>
      </c>
      <c r="BV196" t="e">
        <f>装备!#REF!</f>
        <v>#REF!</v>
      </c>
      <c r="BW196" t="e">
        <f>装备!#REF!</f>
        <v>#REF!</v>
      </c>
      <c r="BX196" t="e">
        <f>装备!#REF!</f>
        <v>#REF!</v>
      </c>
      <c r="BY196" t="e">
        <f>装备!#REF!</f>
        <v>#REF!</v>
      </c>
      <c r="BZ196" t="e">
        <f>装备!#REF!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装备!#REF!</f>
        <v>#REF!</v>
      </c>
      <c r="B197" t="e">
        <f>装备!#REF!</f>
        <v>#REF!</v>
      </c>
      <c r="C197" t="e">
        <f>装备!#REF!</f>
        <v>#REF!</v>
      </c>
      <c r="D197" t="e">
        <f>装备!#REF!</f>
        <v>#REF!</v>
      </c>
      <c r="E197" t="e">
        <f>装备!#REF!</f>
        <v>#REF!</v>
      </c>
      <c r="F197" t="e">
        <f>装备!#REF!</f>
        <v>#REF!</v>
      </c>
      <c r="G197" t="e">
        <f>装备!#REF!</f>
        <v>#REF!</v>
      </c>
      <c r="H197" t="e">
        <f>装备!#REF!</f>
        <v>#REF!</v>
      </c>
      <c r="I197" t="e">
        <f>装备!#REF!</f>
        <v>#REF!</v>
      </c>
      <c r="J197" t="e">
        <f>装备!#REF!</f>
        <v>#REF!</v>
      </c>
      <c r="K197" t="e">
        <f>装备!#REF!</f>
        <v>#REF!</v>
      </c>
      <c r="L197" t="e">
        <f>装备!#REF!</f>
        <v>#REF!</v>
      </c>
      <c r="M197" t="e">
        <f t="shared" si="42"/>
        <v>#REF!</v>
      </c>
      <c r="N197" t="e">
        <f>装备!#REF!</f>
        <v>#REF!</v>
      </c>
      <c r="O197" t="e">
        <f>装备!#REF!</f>
        <v>#REF!</v>
      </c>
      <c r="P197" t="e">
        <f>装备!#REF!</f>
        <v>#REF!</v>
      </c>
      <c r="Q197" t="e">
        <f>装备!#REF!</f>
        <v>#REF!</v>
      </c>
      <c r="R197" t="e">
        <f>装备!#REF!</f>
        <v>#REF!</v>
      </c>
      <c r="S197" t="e">
        <f>装备!#REF!</f>
        <v>#REF!</v>
      </c>
      <c r="T197" t="e">
        <f>装备!#REF!</f>
        <v>#REF!</v>
      </c>
      <c r="U197" t="e">
        <f>装备!#REF!</f>
        <v>#REF!</v>
      </c>
      <c r="V197" t="e">
        <f>装备!#REF!</f>
        <v>#REF!</v>
      </c>
      <c r="W197" t="e">
        <f>装备!#REF!</f>
        <v>#REF!</v>
      </c>
      <c r="X197" t="e">
        <f t="shared" si="43"/>
        <v>#REF!</v>
      </c>
      <c r="Y197" t="e">
        <f>装备!#REF!</f>
        <v>#REF!</v>
      </c>
      <c r="Z197" t="e">
        <f>装备!#REF!</f>
        <v>#REF!</v>
      </c>
      <c r="AA197" t="e">
        <f>装备!#REF!</f>
        <v>#REF!</v>
      </c>
      <c r="AB197" t="e">
        <f>装备!#REF!</f>
        <v>#REF!</v>
      </c>
      <c r="AC197" t="e">
        <f>装备!#REF!</f>
        <v>#REF!</v>
      </c>
      <c r="AD197" t="e">
        <f>装备!#REF!</f>
        <v>#REF!</v>
      </c>
      <c r="AE197" t="e">
        <f>装备!#REF!</f>
        <v>#REF!</v>
      </c>
      <c r="AF197" t="e">
        <f>装备!#REF!</f>
        <v>#REF!</v>
      </c>
      <c r="AG197" t="e">
        <f>装备!#REF!</f>
        <v>#REF!</v>
      </c>
      <c r="AH197" t="e">
        <f>装备!#REF!</f>
        <v>#REF!</v>
      </c>
      <c r="AI197" t="e">
        <f t="shared" si="44"/>
        <v>#REF!</v>
      </c>
      <c r="AJ197" t="e">
        <f>装备!#REF!</f>
        <v>#REF!</v>
      </c>
      <c r="AK197" t="e">
        <f>装备!#REF!</f>
        <v>#REF!</v>
      </c>
      <c r="AL197" t="e">
        <f>装备!#REF!</f>
        <v>#REF!</v>
      </c>
      <c r="AM197" t="e">
        <f>装备!#REF!</f>
        <v>#REF!</v>
      </c>
      <c r="AN197" t="e">
        <f>装备!#REF!</f>
        <v>#REF!</v>
      </c>
      <c r="AO197" t="e">
        <f>装备!#REF!</f>
        <v>#REF!</v>
      </c>
      <c r="AP197" t="e">
        <f>装备!#REF!</f>
        <v>#REF!</v>
      </c>
      <c r="AQ197" t="e">
        <f>装备!#REF!</f>
        <v>#REF!</v>
      </c>
      <c r="AR197" t="e">
        <f>装备!#REF!</f>
        <v>#REF!</v>
      </c>
      <c r="AS197" t="e">
        <f>装备!#REF!</f>
        <v>#REF!</v>
      </c>
      <c r="AT197" t="e">
        <f t="shared" si="45"/>
        <v>#REF!</v>
      </c>
      <c r="AU197" t="e">
        <f>装备!#REF!</f>
        <v>#REF!</v>
      </c>
      <c r="AV197" t="e">
        <f>装备!#REF!</f>
        <v>#REF!</v>
      </c>
      <c r="AW197" t="e">
        <f>装备!#REF!</f>
        <v>#REF!</v>
      </c>
      <c r="AX197" t="e">
        <f>装备!#REF!</f>
        <v>#REF!</v>
      </c>
      <c r="AY197" t="e">
        <f>装备!#REF!</f>
        <v>#REF!</v>
      </c>
      <c r="AZ197" t="e">
        <f>装备!#REF!</f>
        <v>#REF!</v>
      </c>
      <c r="BA197" t="e">
        <f>装备!#REF!</f>
        <v>#REF!</v>
      </c>
      <c r="BB197" t="e">
        <f>装备!#REF!</f>
        <v>#REF!</v>
      </c>
      <c r="BC197" t="e">
        <f>装备!#REF!</f>
        <v>#REF!</v>
      </c>
      <c r="BD197" t="e">
        <f>装备!#REF!</f>
        <v>#REF!</v>
      </c>
      <c r="BE197" t="e">
        <f t="shared" si="46"/>
        <v>#REF!</v>
      </c>
      <c r="BF197" t="e">
        <f>装备!#REF!</f>
        <v>#REF!</v>
      </c>
      <c r="BG197" t="e">
        <f>装备!#REF!</f>
        <v>#REF!</v>
      </c>
      <c r="BH197" t="e">
        <f>装备!#REF!</f>
        <v>#REF!</v>
      </c>
      <c r="BI197" t="e">
        <f>装备!#REF!</f>
        <v>#REF!</v>
      </c>
      <c r="BJ197" t="e">
        <f>装备!#REF!</f>
        <v>#REF!</v>
      </c>
      <c r="BK197" t="e">
        <f>装备!#REF!</f>
        <v>#REF!</v>
      </c>
      <c r="BL197" t="e">
        <f>装备!#REF!</f>
        <v>#REF!</v>
      </c>
      <c r="BM197" t="e">
        <f>装备!#REF!</f>
        <v>#REF!</v>
      </c>
      <c r="BN197" t="e">
        <f>装备!#REF!</f>
        <v>#REF!</v>
      </c>
      <c r="BO197" t="e">
        <f>装备!#REF!</f>
        <v>#REF!</v>
      </c>
      <c r="BP197" t="e">
        <f t="shared" si="47"/>
        <v>#REF!</v>
      </c>
      <c r="BQ197" t="e">
        <f>装备!#REF!</f>
        <v>#REF!</v>
      </c>
      <c r="BR197" t="e">
        <f>装备!#REF!</f>
        <v>#REF!</v>
      </c>
      <c r="BS197" t="e">
        <f>装备!#REF!</f>
        <v>#REF!</v>
      </c>
      <c r="BT197" t="e">
        <f>装备!#REF!</f>
        <v>#REF!</v>
      </c>
      <c r="BU197" t="e">
        <f>装备!#REF!</f>
        <v>#REF!</v>
      </c>
      <c r="BV197" t="e">
        <f>装备!#REF!</f>
        <v>#REF!</v>
      </c>
      <c r="BW197" t="e">
        <f>装备!#REF!</f>
        <v>#REF!</v>
      </c>
      <c r="BX197" t="e">
        <f>装备!#REF!</f>
        <v>#REF!</v>
      </c>
      <c r="BY197" t="e">
        <f>装备!#REF!</f>
        <v>#REF!</v>
      </c>
      <c r="BZ197" t="e">
        <f>装备!#REF!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装备!#REF!</f>
        <v>#REF!</v>
      </c>
      <c r="B198" t="e">
        <f>装备!#REF!</f>
        <v>#REF!</v>
      </c>
      <c r="C198" t="e">
        <f>装备!#REF!</f>
        <v>#REF!</v>
      </c>
      <c r="D198" t="e">
        <f>装备!#REF!</f>
        <v>#REF!</v>
      </c>
      <c r="E198" t="e">
        <f>装备!#REF!</f>
        <v>#REF!</v>
      </c>
      <c r="F198" t="e">
        <f>装备!#REF!</f>
        <v>#REF!</v>
      </c>
      <c r="G198" t="e">
        <f>装备!#REF!</f>
        <v>#REF!</v>
      </c>
      <c r="H198" t="e">
        <f>装备!#REF!</f>
        <v>#REF!</v>
      </c>
      <c r="I198" t="e">
        <f>装备!#REF!</f>
        <v>#REF!</v>
      </c>
      <c r="J198" t="e">
        <f>装备!#REF!</f>
        <v>#REF!</v>
      </c>
      <c r="K198" t="e">
        <f>装备!#REF!</f>
        <v>#REF!</v>
      </c>
      <c r="L198" t="e">
        <f>装备!#REF!</f>
        <v>#REF!</v>
      </c>
      <c r="M198" t="e">
        <f t="shared" si="42"/>
        <v>#REF!</v>
      </c>
      <c r="N198" t="e">
        <f>装备!#REF!</f>
        <v>#REF!</v>
      </c>
      <c r="O198" t="e">
        <f>装备!#REF!</f>
        <v>#REF!</v>
      </c>
      <c r="P198" t="e">
        <f>装备!#REF!</f>
        <v>#REF!</v>
      </c>
      <c r="Q198" t="e">
        <f>装备!#REF!</f>
        <v>#REF!</v>
      </c>
      <c r="R198" t="e">
        <f>装备!#REF!</f>
        <v>#REF!</v>
      </c>
      <c r="S198" t="e">
        <f>装备!#REF!</f>
        <v>#REF!</v>
      </c>
      <c r="T198" t="e">
        <f>装备!#REF!</f>
        <v>#REF!</v>
      </c>
      <c r="U198" t="e">
        <f>装备!#REF!</f>
        <v>#REF!</v>
      </c>
      <c r="V198" t="e">
        <f>装备!#REF!</f>
        <v>#REF!</v>
      </c>
      <c r="W198" t="e">
        <f>装备!#REF!</f>
        <v>#REF!</v>
      </c>
      <c r="X198" t="e">
        <f t="shared" si="43"/>
        <v>#REF!</v>
      </c>
      <c r="Y198" t="e">
        <f>装备!#REF!</f>
        <v>#REF!</v>
      </c>
      <c r="Z198" t="e">
        <f>装备!#REF!</f>
        <v>#REF!</v>
      </c>
      <c r="AA198" t="e">
        <f>装备!#REF!</f>
        <v>#REF!</v>
      </c>
      <c r="AB198" t="e">
        <f>装备!#REF!</f>
        <v>#REF!</v>
      </c>
      <c r="AC198" t="e">
        <f>装备!#REF!</f>
        <v>#REF!</v>
      </c>
      <c r="AD198" t="e">
        <f>装备!#REF!</f>
        <v>#REF!</v>
      </c>
      <c r="AE198" t="e">
        <f>装备!#REF!</f>
        <v>#REF!</v>
      </c>
      <c r="AF198" t="e">
        <f>装备!#REF!</f>
        <v>#REF!</v>
      </c>
      <c r="AG198" t="e">
        <f>装备!#REF!</f>
        <v>#REF!</v>
      </c>
      <c r="AH198" t="e">
        <f>装备!#REF!</f>
        <v>#REF!</v>
      </c>
      <c r="AI198" t="e">
        <f t="shared" si="44"/>
        <v>#REF!</v>
      </c>
      <c r="AJ198" t="e">
        <f>装备!#REF!</f>
        <v>#REF!</v>
      </c>
      <c r="AK198" t="e">
        <f>装备!#REF!</f>
        <v>#REF!</v>
      </c>
      <c r="AL198" t="e">
        <f>装备!#REF!</f>
        <v>#REF!</v>
      </c>
      <c r="AM198" t="e">
        <f>装备!#REF!</f>
        <v>#REF!</v>
      </c>
      <c r="AN198" t="e">
        <f>装备!#REF!</f>
        <v>#REF!</v>
      </c>
      <c r="AO198" t="e">
        <f>装备!#REF!</f>
        <v>#REF!</v>
      </c>
      <c r="AP198" t="e">
        <f>装备!#REF!</f>
        <v>#REF!</v>
      </c>
      <c r="AQ198" t="e">
        <f>装备!#REF!</f>
        <v>#REF!</v>
      </c>
      <c r="AR198" t="e">
        <f>装备!#REF!</f>
        <v>#REF!</v>
      </c>
      <c r="AS198" t="e">
        <f>装备!#REF!</f>
        <v>#REF!</v>
      </c>
      <c r="AT198" t="e">
        <f t="shared" si="45"/>
        <v>#REF!</v>
      </c>
      <c r="AU198" t="e">
        <f>装备!#REF!</f>
        <v>#REF!</v>
      </c>
      <c r="AV198" t="e">
        <f>装备!#REF!</f>
        <v>#REF!</v>
      </c>
      <c r="AW198" t="e">
        <f>装备!#REF!</f>
        <v>#REF!</v>
      </c>
      <c r="AX198" t="e">
        <f>装备!#REF!</f>
        <v>#REF!</v>
      </c>
      <c r="AY198" t="e">
        <f>装备!#REF!</f>
        <v>#REF!</v>
      </c>
      <c r="AZ198" t="e">
        <f>装备!#REF!</f>
        <v>#REF!</v>
      </c>
      <c r="BA198" t="e">
        <f>装备!#REF!</f>
        <v>#REF!</v>
      </c>
      <c r="BB198" t="e">
        <f>装备!#REF!</f>
        <v>#REF!</v>
      </c>
      <c r="BC198" t="e">
        <f>装备!#REF!</f>
        <v>#REF!</v>
      </c>
      <c r="BD198" t="e">
        <f>装备!#REF!</f>
        <v>#REF!</v>
      </c>
      <c r="BE198" t="e">
        <f t="shared" si="46"/>
        <v>#REF!</v>
      </c>
      <c r="BF198" t="e">
        <f>装备!#REF!</f>
        <v>#REF!</v>
      </c>
      <c r="BG198" t="e">
        <f>装备!#REF!</f>
        <v>#REF!</v>
      </c>
      <c r="BH198" t="e">
        <f>装备!#REF!</f>
        <v>#REF!</v>
      </c>
      <c r="BI198" t="e">
        <f>装备!#REF!</f>
        <v>#REF!</v>
      </c>
      <c r="BJ198" t="e">
        <f>装备!#REF!</f>
        <v>#REF!</v>
      </c>
      <c r="BK198" t="e">
        <f>装备!#REF!</f>
        <v>#REF!</v>
      </c>
      <c r="BL198" t="e">
        <f>装备!#REF!</f>
        <v>#REF!</v>
      </c>
      <c r="BM198" t="e">
        <f>装备!#REF!</f>
        <v>#REF!</v>
      </c>
      <c r="BN198" t="e">
        <f>装备!#REF!</f>
        <v>#REF!</v>
      </c>
      <c r="BO198" t="e">
        <f>装备!#REF!</f>
        <v>#REF!</v>
      </c>
      <c r="BP198" t="e">
        <f t="shared" si="47"/>
        <v>#REF!</v>
      </c>
      <c r="BQ198" t="e">
        <f>装备!#REF!</f>
        <v>#REF!</v>
      </c>
      <c r="BR198" t="e">
        <f>装备!#REF!</f>
        <v>#REF!</v>
      </c>
      <c r="BS198" t="e">
        <f>装备!#REF!</f>
        <v>#REF!</v>
      </c>
      <c r="BT198" t="e">
        <f>装备!#REF!</f>
        <v>#REF!</v>
      </c>
      <c r="BU198" t="e">
        <f>装备!#REF!</f>
        <v>#REF!</v>
      </c>
      <c r="BV198" t="e">
        <f>装备!#REF!</f>
        <v>#REF!</v>
      </c>
      <c r="BW198" t="e">
        <f>装备!#REF!</f>
        <v>#REF!</v>
      </c>
      <c r="BX198" t="e">
        <f>装备!#REF!</f>
        <v>#REF!</v>
      </c>
      <c r="BY198" t="e">
        <f>装备!#REF!</f>
        <v>#REF!</v>
      </c>
      <c r="BZ198" t="e">
        <f>装备!#REF!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装备!#REF!</f>
        <v>#REF!</v>
      </c>
      <c r="B199" t="e">
        <f>装备!#REF!</f>
        <v>#REF!</v>
      </c>
      <c r="C199" t="e">
        <f>装备!#REF!</f>
        <v>#REF!</v>
      </c>
      <c r="D199" t="e">
        <f>装备!#REF!</f>
        <v>#REF!</v>
      </c>
      <c r="E199" t="e">
        <f>装备!#REF!</f>
        <v>#REF!</v>
      </c>
      <c r="F199" t="e">
        <f>装备!#REF!</f>
        <v>#REF!</v>
      </c>
      <c r="G199" t="e">
        <f>装备!#REF!</f>
        <v>#REF!</v>
      </c>
      <c r="H199" t="e">
        <f>装备!#REF!</f>
        <v>#REF!</v>
      </c>
      <c r="I199" t="e">
        <f>装备!#REF!</f>
        <v>#REF!</v>
      </c>
      <c r="J199" t="e">
        <f>装备!#REF!</f>
        <v>#REF!</v>
      </c>
      <c r="K199" t="e">
        <f>装备!#REF!</f>
        <v>#REF!</v>
      </c>
      <c r="L199" t="e">
        <f>装备!#REF!</f>
        <v>#REF!</v>
      </c>
      <c r="M199" t="e">
        <f t="shared" si="42"/>
        <v>#REF!</v>
      </c>
      <c r="N199" t="e">
        <f>装备!#REF!</f>
        <v>#REF!</v>
      </c>
      <c r="O199" t="e">
        <f>装备!#REF!</f>
        <v>#REF!</v>
      </c>
      <c r="P199" t="e">
        <f>装备!#REF!</f>
        <v>#REF!</v>
      </c>
      <c r="Q199" t="e">
        <f>装备!#REF!</f>
        <v>#REF!</v>
      </c>
      <c r="R199" t="e">
        <f>装备!#REF!</f>
        <v>#REF!</v>
      </c>
      <c r="S199" t="e">
        <f>装备!#REF!</f>
        <v>#REF!</v>
      </c>
      <c r="T199" t="e">
        <f>装备!#REF!</f>
        <v>#REF!</v>
      </c>
      <c r="U199" t="e">
        <f>装备!#REF!</f>
        <v>#REF!</v>
      </c>
      <c r="V199" t="e">
        <f>装备!#REF!</f>
        <v>#REF!</v>
      </c>
      <c r="W199" t="e">
        <f>装备!#REF!</f>
        <v>#REF!</v>
      </c>
      <c r="X199" t="e">
        <f t="shared" si="43"/>
        <v>#REF!</v>
      </c>
      <c r="Y199" t="e">
        <f>装备!#REF!</f>
        <v>#REF!</v>
      </c>
      <c r="Z199" t="e">
        <f>装备!#REF!</f>
        <v>#REF!</v>
      </c>
      <c r="AA199" t="e">
        <f>装备!#REF!</f>
        <v>#REF!</v>
      </c>
      <c r="AB199" t="e">
        <f>装备!#REF!</f>
        <v>#REF!</v>
      </c>
      <c r="AC199" t="e">
        <f>装备!#REF!</f>
        <v>#REF!</v>
      </c>
      <c r="AD199" t="e">
        <f>装备!#REF!</f>
        <v>#REF!</v>
      </c>
      <c r="AE199" t="e">
        <f>装备!#REF!</f>
        <v>#REF!</v>
      </c>
      <c r="AF199" t="e">
        <f>装备!#REF!</f>
        <v>#REF!</v>
      </c>
      <c r="AG199" t="e">
        <f>装备!#REF!</f>
        <v>#REF!</v>
      </c>
      <c r="AH199" t="e">
        <f>装备!#REF!</f>
        <v>#REF!</v>
      </c>
      <c r="AI199" t="e">
        <f t="shared" si="44"/>
        <v>#REF!</v>
      </c>
      <c r="AJ199" t="e">
        <f>装备!#REF!</f>
        <v>#REF!</v>
      </c>
      <c r="AK199" t="e">
        <f>装备!#REF!</f>
        <v>#REF!</v>
      </c>
      <c r="AL199" t="e">
        <f>装备!#REF!</f>
        <v>#REF!</v>
      </c>
      <c r="AM199" t="e">
        <f>装备!#REF!</f>
        <v>#REF!</v>
      </c>
      <c r="AN199" t="e">
        <f>装备!#REF!</f>
        <v>#REF!</v>
      </c>
      <c r="AO199" t="e">
        <f>装备!#REF!</f>
        <v>#REF!</v>
      </c>
      <c r="AP199" t="e">
        <f>装备!#REF!</f>
        <v>#REF!</v>
      </c>
      <c r="AQ199" t="e">
        <f>装备!#REF!</f>
        <v>#REF!</v>
      </c>
      <c r="AR199" t="e">
        <f>装备!#REF!</f>
        <v>#REF!</v>
      </c>
      <c r="AS199" t="e">
        <f>装备!#REF!</f>
        <v>#REF!</v>
      </c>
      <c r="AT199" t="e">
        <f t="shared" si="45"/>
        <v>#REF!</v>
      </c>
      <c r="AU199" t="e">
        <f>装备!#REF!</f>
        <v>#REF!</v>
      </c>
      <c r="AV199" t="e">
        <f>装备!#REF!</f>
        <v>#REF!</v>
      </c>
      <c r="AW199" t="e">
        <f>装备!#REF!</f>
        <v>#REF!</v>
      </c>
      <c r="AX199" t="e">
        <f>装备!#REF!</f>
        <v>#REF!</v>
      </c>
      <c r="AY199" t="e">
        <f>装备!#REF!</f>
        <v>#REF!</v>
      </c>
      <c r="AZ199" t="e">
        <f>装备!#REF!</f>
        <v>#REF!</v>
      </c>
      <c r="BA199" t="e">
        <f>装备!#REF!</f>
        <v>#REF!</v>
      </c>
      <c r="BB199" t="e">
        <f>装备!#REF!</f>
        <v>#REF!</v>
      </c>
      <c r="BC199" t="e">
        <f>装备!#REF!</f>
        <v>#REF!</v>
      </c>
      <c r="BD199" t="e">
        <f>装备!#REF!</f>
        <v>#REF!</v>
      </c>
      <c r="BE199" t="e">
        <f t="shared" si="46"/>
        <v>#REF!</v>
      </c>
      <c r="BF199" t="e">
        <f>装备!#REF!</f>
        <v>#REF!</v>
      </c>
      <c r="BG199" t="e">
        <f>装备!#REF!</f>
        <v>#REF!</v>
      </c>
      <c r="BH199" t="e">
        <f>装备!#REF!</f>
        <v>#REF!</v>
      </c>
      <c r="BI199" t="e">
        <f>装备!#REF!</f>
        <v>#REF!</v>
      </c>
      <c r="BJ199" t="e">
        <f>装备!#REF!</f>
        <v>#REF!</v>
      </c>
      <c r="BK199" t="e">
        <f>装备!#REF!</f>
        <v>#REF!</v>
      </c>
      <c r="BL199" t="e">
        <f>装备!#REF!</f>
        <v>#REF!</v>
      </c>
      <c r="BM199" t="e">
        <f>装备!#REF!</f>
        <v>#REF!</v>
      </c>
      <c r="BN199" t="e">
        <f>装备!#REF!</f>
        <v>#REF!</v>
      </c>
      <c r="BO199" t="e">
        <f>装备!#REF!</f>
        <v>#REF!</v>
      </c>
      <c r="BP199" t="e">
        <f t="shared" si="47"/>
        <v>#REF!</v>
      </c>
      <c r="BQ199" t="e">
        <f>装备!#REF!</f>
        <v>#REF!</v>
      </c>
      <c r="BR199" t="e">
        <f>装备!#REF!</f>
        <v>#REF!</v>
      </c>
      <c r="BS199" t="e">
        <f>装备!#REF!</f>
        <v>#REF!</v>
      </c>
      <c r="BT199" t="e">
        <f>装备!#REF!</f>
        <v>#REF!</v>
      </c>
      <c r="BU199" t="e">
        <f>装备!#REF!</f>
        <v>#REF!</v>
      </c>
      <c r="BV199" t="e">
        <f>装备!#REF!</f>
        <v>#REF!</v>
      </c>
      <c r="BW199" t="e">
        <f>装备!#REF!</f>
        <v>#REF!</v>
      </c>
      <c r="BX199" t="e">
        <f>装备!#REF!</f>
        <v>#REF!</v>
      </c>
      <c r="BY199" t="e">
        <f>装备!#REF!</f>
        <v>#REF!</v>
      </c>
      <c r="BZ199" t="e">
        <f>装备!#REF!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装备!#REF!</f>
        <v>#REF!</v>
      </c>
      <c r="B200" t="e">
        <f>装备!#REF!</f>
        <v>#REF!</v>
      </c>
      <c r="C200" t="e">
        <f>装备!#REF!</f>
        <v>#REF!</v>
      </c>
      <c r="D200" t="e">
        <f>装备!#REF!</f>
        <v>#REF!</v>
      </c>
      <c r="E200" t="e">
        <f>装备!#REF!</f>
        <v>#REF!</v>
      </c>
      <c r="F200" t="e">
        <f>装备!#REF!</f>
        <v>#REF!</v>
      </c>
      <c r="G200" t="e">
        <f>装备!#REF!</f>
        <v>#REF!</v>
      </c>
      <c r="H200" t="e">
        <f>装备!#REF!</f>
        <v>#REF!</v>
      </c>
      <c r="I200" t="e">
        <f>装备!#REF!</f>
        <v>#REF!</v>
      </c>
      <c r="J200" t="e">
        <f>装备!#REF!</f>
        <v>#REF!</v>
      </c>
      <c r="K200" t="e">
        <f>装备!#REF!</f>
        <v>#REF!</v>
      </c>
      <c r="L200" t="e">
        <f>装备!#REF!</f>
        <v>#REF!</v>
      </c>
      <c r="M200" t="e">
        <f t="shared" si="42"/>
        <v>#REF!</v>
      </c>
      <c r="N200" t="e">
        <f>装备!#REF!</f>
        <v>#REF!</v>
      </c>
      <c r="O200" t="e">
        <f>装备!#REF!</f>
        <v>#REF!</v>
      </c>
      <c r="P200" t="e">
        <f>装备!#REF!</f>
        <v>#REF!</v>
      </c>
      <c r="Q200" t="e">
        <f>装备!#REF!</f>
        <v>#REF!</v>
      </c>
      <c r="R200" t="e">
        <f>装备!#REF!</f>
        <v>#REF!</v>
      </c>
      <c r="S200" t="e">
        <f>装备!#REF!</f>
        <v>#REF!</v>
      </c>
      <c r="T200" t="e">
        <f>装备!#REF!</f>
        <v>#REF!</v>
      </c>
      <c r="U200" t="e">
        <f>装备!#REF!</f>
        <v>#REF!</v>
      </c>
      <c r="V200" t="e">
        <f>装备!#REF!</f>
        <v>#REF!</v>
      </c>
      <c r="W200" t="e">
        <f>装备!#REF!</f>
        <v>#REF!</v>
      </c>
      <c r="X200" t="e">
        <f t="shared" si="43"/>
        <v>#REF!</v>
      </c>
      <c r="Y200" t="e">
        <f>装备!#REF!</f>
        <v>#REF!</v>
      </c>
      <c r="Z200" t="e">
        <f>装备!#REF!</f>
        <v>#REF!</v>
      </c>
      <c r="AA200" t="e">
        <f>装备!#REF!</f>
        <v>#REF!</v>
      </c>
      <c r="AB200" t="e">
        <f>装备!#REF!</f>
        <v>#REF!</v>
      </c>
      <c r="AC200" t="e">
        <f>装备!#REF!</f>
        <v>#REF!</v>
      </c>
      <c r="AD200" t="e">
        <f>装备!#REF!</f>
        <v>#REF!</v>
      </c>
      <c r="AE200" t="e">
        <f>装备!#REF!</f>
        <v>#REF!</v>
      </c>
      <c r="AF200" t="e">
        <f>装备!#REF!</f>
        <v>#REF!</v>
      </c>
      <c r="AG200" t="e">
        <f>装备!#REF!</f>
        <v>#REF!</v>
      </c>
      <c r="AH200" t="e">
        <f>装备!#REF!</f>
        <v>#REF!</v>
      </c>
      <c r="AI200" t="e">
        <f t="shared" si="44"/>
        <v>#REF!</v>
      </c>
      <c r="AJ200" t="e">
        <f>装备!#REF!</f>
        <v>#REF!</v>
      </c>
      <c r="AK200" t="e">
        <f>装备!#REF!</f>
        <v>#REF!</v>
      </c>
      <c r="AL200" t="e">
        <f>装备!#REF!</f>
        <v>#REF!</v>
      </c>
      <c r="AM200" t="e">
        <f>装备!#REF!</f>
        <v>#REF!</v>
      </c>
      <c r="AN200" t="e">
        <f>装备!#REF!</f>
        <v>#REF!</v>
      </c>
      <c r="AO200" t="e">
        <f>装备!#REF!</f>
        <v>#REF!</v>
      </c>
      <c r="AP200" t="e">
        <f>装备!#REF!</f>
        <v>#REF!</v>
      </c>
      <c r="AQ200" t="e">
        <f>装备!#REF!</f>
        <v>#REF!</v>
      </c>
      <c r="AR200" t="e">
        <f>装备!#REF!</f>
        <v>#REF!</v>
      </c>
      <c r="AS200" t="e">
        <f>装备!#REF!</f>
        <v>#REF!</v>
      </c>
      <c r="AT200" t="e">
        <f t="shared" si="45"/>
        <v>#REF!</v>
      </c>
      <c r="AU200" t="e">
        <f>装备!#REF!</f>
        <v>#REF!</v>
      </c>
      <c r="AV200" t="e">
        <f>装备!#REF!</f>
        <v>#REF!</v>
      </c>
      <c r="AW200" t="e">
        <f>装备!#REF!</f>
        <v>#REF!</v>
      </c>
      <c r="AX200" t="e">
        <f>装备!#REF!</f>
        <v>#REF!</v>
      </c>
      <c r="AY200" t="e">
        <f>装备!#REF!</f>
        <v>#REF!</v>
      </c>
      <c r="AZ200" t="e">
        <f>装备!#REF!</f>
        <v>#REF!</v>
      </c>
      <c r="BA200" t="e">
        <f>装备!#REF!</f>
        <v>#REF!</v>
      </c>
      <c r="BB200" t="e">
        <f>装备!#REF!</f>
        <v>#REF!</v>
      </c>
      <c r="BC200" t="e">
        <f>装备!#REF!</f>
        <v>#REF!</v>
      </c>
      <c r="BD200" t="e">
        <f>装备!#REF!</f>
        <v>#REF!</v>
      </c>
      <c r="BE200" t="e">
        <f t="shared" si="46"/>
        <v>#REF!</v>
      </c>
      <c r="BF200" t="e">
        <f>装备!#REF!</f>
        <v>#REF!</v>
      </c>
      <c r="BG200" t="e">
        <f>装备!#REF!</f>
        <v>#REF!</v>
      </c>
      <c r="BH200" t="e">
        <f>装备!#REF!</f>
        <v>#REF!</v>
      </c>
      <c r="BI200" t="e">
        <f>装备!#REF!</f>
        <v>#REF!</v>
      </c>
      <c r="BJ200" t="e">
        <f>装备!#REF!</f>
        <v>#REF!</v>
      </c>
      <c r="BK200" t="e">
        <f>装备!#REF!</f>
        <v>#REF!</v>
      </c>
      <c r="BL200" t="e">
        <f>装备!#REF!</f>
        <v>#REF!</v>
      </c>
      <c r="BM200" t="e">
        <f>装备!#REF!</f>
        <v>#REF!</v>
      </c>
      <c r="BN200" t="e">
        <f>装备!#REF!</f>
        <v>#REF!</v>
      </c>
      <c r="BO200" t="e">
        <f>装备!#REF!</f>
        <v>#REF!</v>
      </c>
      <c r="BP200" t="e">
        <f t="shared" si="47"/>
        <v>#REF!</v>
      </c>
      <c r="BQ200" t="e">
        <f>装备!#REF!</f>
        <v>#REF!</v>
      </c>
      <c r="BR200" t="e">
        <f>装备!#REF!</f>
        <v>#REF!</v>
      </c>
      <c r="BS200" t="e">
        <f>装备!#REF!</f>
        <v>#REF!</v>
      </c>
      <c r="BT200" t="e">
        <f>装备!#REF!</f>
        <v>#REF!</v>
      </c>
      <c r="BU200" t="e">
        <f>装备!#REF!</f>
        <v>#REF!</v>
      </c>
      <c r="BV200" t="e">
        <f>装备!#REF!</f>
        <v>#REF!</v>
      </c>
      <c r="BW200" t="e">
        <f>装备!#REF!</f>
        <v>#REF!</v>
      </c>
      <c r="BX200" t="e">
        <f>装备!#REF!</f>
        <v>#REF!</v>
      </c>
      <c r="BY200" t="e">
        <f>装备!#REF!</f>
        <v>#REF!</v>
      </c>
      <c r="BZ200" t="e">
        <f>装备!#REF!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装备!#REF!</f>
        <v>#REF!</v>
      </c>
      <c r="B201" t="e">
        <f>装备!#REF!</f>
        <v>#REF!</v>
      </c>
      <c r="C201" t="e">
        <f>装备!#REF!</f>
        <v>#REF!</v>
      </c>
      <c r="D201" t="e">
        <f>装备!#REF!</f>
        <v>#REF!</v>
      </c>
      <c r="E201" t="e">
        <f>装备!#REF!</f>
        <v>#REF!</v>
      </c>
      <c r="F201" t="e">
        <f>装备!#REF!</f>
        <v>#REF!</v>
      </c>
      <c r="G201" t="e">
        <f>装备!#REF!</f>
        <v>#REF!</v>
      </c>
      <c r="H201" t="e">
        <f>装备!#REF!</f>
        <v>#REF!</v>
      </c>
      <c r="I201" t="e">
        <f>装备!#REF!</f>
        <v>#REF!</v>
      </c>
      <c r="J201" t="e">
        <f>装备!#REF!</f>
        <v>#REF!</v>
      </c>
      <c r="K201" t="e">
        <f>装备!#REF!</f>
        <v>#REF!</v>
      </c>
      <c r="L201" t="e">
        <f>装备!#REF!</f>
        <v>#REF!</v>
      </c>
      <c r="M201" t="e">
        <f t="shared" si="42"/>
        <v>#REF!</v>
      </c>
      <c r="N201" t="e">
        <f>装备!#REF!</f>
        <v>#REF!</v>
      </c>
      <c r="O201" t="e">
        <f>装备!#REF!</f>
        <v>#REF!</v>
      </c>
      <c r="P201" t="e">
        <f>装备!#REF!</f>
        <v>#REF!</v>
      </c>
      <c r="Q201" t="e">
        <f>装备!#REF!</f>
        <v>#REF!</v>
      </c>
      <c r="R201" t="e">
        <f>装备!#REF!</f>
        <v>#REF!</v>
      </c>
      <c r="S201" t="e">
        <f>装备!#REF!</f>
        <v>#REF!</v>
      </c>
      <c r="T201" t="e">
        <f>装备!#REF!</f>
        <v>#REF!</v>
      </c>
      <c r="U201" t="e">
        <f>装备!#REF!</f>
        <v>#REF!</v>
      </c>
      <c r="V201" t="e">
        <f>装备!#REF!</f>
        <v>#REF!</v>
      </c>
      <c r="W201" t="e">
        <f>装备!#REF!</f>
        <v>#REF!</v>
      </c>
      <c r="X201" t="e">
        <f t="shared" si="43"/>
        <v>#REF!</v>
      </c>
      <c r="Y201" t="e">
        <f>装备!#REF!</f>
        <v>#REF!</v>
      </c>
      <c r="Z201" t="e">
        <f>装备!#REF!</f>
        <v>#REF!</v>
      </c>
      <c r="AA201" t="e">
        <f>装备!#REF!</f>
        <v>#REF!</v>
      </c>
      <c r="AB201" t="e">
        <f>装备!#REF!</f>
        <v>#REF!</v>
      </c>
      <c r="AC201" t="e">
        <f>装备!#REF!</f>
        <v>#REF!</v>
      </c>
      <c r="AD201" t="e">
        <f>装备!#REF!</f>
        <v>#REF!</v>
      </c>
      <c r="AE201" t="e">
        <f>装备!#REF!</f>
        <v>#REF!</v>
      </c>
      <c r="AF201" t="e">
        <f>装备!#REF!</f>
        <v>#REF!</v>
      </c>
      <c r="AG201" t="e">
        <f>装备!#REF!</f>
        <v>#REF!</v>
      </c>
      <c r="AH201" t="e">
        <f>装备!#REF!</f>
        <v>#REF!</v>
      </c>
      <c r="AI201" t="e">
        <f t="shared" si="44"/>
        <v>#REF!</v>
      </c>
      <c r="AJ201" t="e">
        <f>装备!#REF!</f>
        <v>#REF!</v>
      </c>
      <c r="AK201" t="e">
        <f>装备!#REF!</f>
        <v>#REF!</v>
      </c>
      <c r="AL201" t="e">
        <f>装备!#REF!</f>
        <v>#REF!</v>
      </c>
      <c r="AM201" t="e">
        <f>装备!#REF!</f>
        <v>#REF!</v>
      </c>
      <c r="AN201" t="e">
        <f>装备!#REF!</f>
        <v>#REF!</v>
      </c>
      <c r="AO201" t="e">
        <f>装备!#REF!</f>
        <v>#REF!</v>
      </c>
      <c r="AP201" t="e">
        <f>装备!#REF!</f>
        <v>#REF!</v>
      </c>
      <c r="AQ201" t="e">
        <f>装备!#REF!</f>
        <v>#REF!</v>
      </c>
      <c r="AR201" t="e">
        <f>装备!#REF!</f>
        <v>#REF!</v>
      </c>
      <c r="AS201" t="e">
        <f>装备!#REF!</f>
        <v>#REF!</v>
      </c>
      <c r="AT201" t="e">
        <f t="shared" si="45"/>
        <v>#REF!</v>
      </c>
      <c r="AU201" t="e">
        <f>装备!#REF!</f>
        <v>#REF!</v>
      </c>
      <c r="AV201" t="e">
        <f>装备!#REF!</f>
        <v>#REF!</v>
      </c>
      <c r="AW201" t="e">
        <f>装备!#REF!</f>
        <v>#REF!</v>
      </c>
      <c r="AX201" t="e">
        <f>装备!#REF!</f>
        <v>#REF!</v>
      </c>
      <c r="AY201" t="e">
        <f>装备!#REF!</f>
        <v>#REF!</v>
      </c>
      <c r="AZ201" t="e">
        <f>装备!#REF!</f>
        <v>#REF!</v>
      </c>
      <c r="BA201" t="e">
        <f>装备!#REF!</f>
        <v>#REF!</v>
      </c>
      <c r="BB201" t="e">
        <f>装备!#REF!</f>
        <v>#REF!</v>
      </c>
      <c r="BC201" t="e">
        <f>装备!#REF!</f>
        <v>#REF!</v>
      </c>
      <c r="BD201" t="e">
        <f>装备!#REF!</f>
        <v>#REF!</v>
      </c>
      <c r="BE201" t="e">
        <f t="shared" si="46"/>
        <v>#REF!</v>
      </c>
      <c r="BF201" t="e">
        <f>装备!#REF!</f>
        <v>#REF!</v>
      </c>
      <c r="BG201" t="e">
        <f>装备!#REF!</f>
        <v>#REF!</v>
      </c>
      <c r="BH201" t="e">
        <f>装备!#REF!</f>
        <v>#REF!</v>
      </c>
      <c r="BI201" t="e">
        <f>装备!#REF!</f>
        <v>#REF!</v>
      </c>
      <c r="BJ201" t="e">
        <f>装备!#REF!</f>
        <v>#REF!</v>
      </c>
      <c r="BK201" t="e">
        <f>装备!#REF!</f>
        <v>#REF!</v>
      </c>
      <c r="BL201" t="e">
        <f>装备!#REF!</f>
        <v>#REF!</v>
      </c>
      <c r="BM201" t="e">
        <f>装备!#REF!</f>
        <v>#REF!</v>
      </c>
      <c r="BN201" t="e">
        <f>装备!#REF!</f>
        <v>#REF!</v>
      </c>
      <c r="BO201" t="e">
        <f>装备!#REF!</f>
        <v>#REF!</v>
      </c>
      <c r="BP201" t="e">
        <f t="shared" si="47"/>
        <v>#REF!</v>
      </c>
      <c r="BQ201" t="e">
        <f>装备!#REF!</f>
        <v>#REF!</v>
      </c>
      <c r="BR201" t="e">
        <f>装备!#REF!</f>
        <v>#REF!</v>
      </c>
      <c r="BS201" t="e">
        <f>装备!#REF!</f>
        <v>#REF!</v>
      </c>
      <c r="BT201" t="e">
        <f>装备!#REF!</f>
        <v>#REF!</v>
      </c>
      <c r="BU201" t="e">
        <f>装备!#REF!</f>
        <v>#REF!</v>
      </c>
      <c r="BV201" t="e">
        <f>装备!#REF!</f>
        <v>#REF!</v>
      </c>
      <c r="BW201" t="e">
        <f>装备!#REF!</f>
        <v>#REF!</v>
      </c>
      <c r="BX201" t="e">
        <f>装备!#REF!</f>
        <v>#REF!</v>
      </c>
      <c r="BY201" t="e">
        <f>装备!#REF!</f>
        <v>#REF!</v>
      </c>
      <c r="BZ201" t="e">
        <f>装备!#REF!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装备!#REF!</f>
        <v>#REF!</v>
      </c>
      <c r="B202" t="e">
        <f>装备!#REF!</f>
        <v>#REF!</v>
      </c>
      <c r="C202" t="e">
        <f>装备!#REF!</f>
        <v>#REF!</v>
      </c>
      <c r="D202" t="e">
        <f>装备!#REF!</f>
        <v>#REF!</v>
      </c>
      <c r="E202" t="e">
        <f>装备!#REF!</f>
        <v>#REF!</v>
      </c>
      <c r="F202" t="e">
        <f>装备!#REF!</f>
        <v>#REF!</v>
      </c>
      <c r="G202" t="e">
        <f>装备!#REF!</f>
        <v>#REF!</v>
      </c>
      <c r="H202" t="e">
        <f>装备!#REF!</f>
        <v>#REF!</v>
      </c>
      <c r="I202" t="e">
        <f>装备!#REF!</f>
        <v>#REF!</v>
      </c>
      <c r="J202" t="e">
        <f>装备!#REF!</f>
        <v>#REF!</v>
      </c>
      <c r="K202" t="e">
        <f>装备!#REF!</f>
        <v>#REF!</v>
      </c>
      <c r="L202" t="e">
        <f>装备!#REF!</f>
        <v>#REF!</v>
      </c>
      <c r="M202" t="e">
        <f t="shared" si="42"/>
        <v>#REF!</v>
      </c>
      <c r="N202" t="e">
        <f>装备!#REF!</f>
        <v>#REF!</v>
      </c>
      <c r="O202" t="e">
        <f>装备!#REF!</f>
        <v>#REF!</v>
      </c>
      <c r="P202" t="e">
        <f>装备!#REF!</f>
        <v>#REF!</v>
      </c>
      <c r="Q202" t="e">
        <f>装备!#REF!</f>
        <v>#REF!</v>
      </c>
      <c r="R202" t="e">
        <f>装备!#REF!</f>
        <v>#REF!</v>
      </c>
      <c r="S202" t="e">
        <f>装备!#REF!</f>
        <v>#REF!</v>
      </c>
      <c r="T202" t="e">
        <f>装备!#REF!</f>
        <v>#REF!</v>
      </c>
      <c r="U202" t="e">
        <f>装备!#REF!</f>
        <v>#REF!</v>
      </c>
      <c r="V202" t="e">
        <f>装备!#REF!</f>
        <v>#REF!</v>
      </c>
      <c r="W202" t="e">
        <f>装备!#REF!</f>
        <v>#REF!</v>
      </c>
      <c r="X202" t="e">
        <f t="shared" si="43"/>
        <v>#REF!</v>
      </c>
      <c r="Y202" t="e">
        <f>装备!#REF!</f>
        <v>#REF!</v>
      </c>
      <c r="Z202" t="e">
        <f>装备!#REF!</f>
        <v>#REF!</v>
      </c>
      <c r="AA202" t="e">
        <f>装备!#REF!</f>
        <v>#REF!</v>
      </c>
      <c r="AB202" t="e">
        <f>装备!#REF!</f>
        <v>#REF!</v>
      </c>
      <c r="AC202" t="e">
        <f>装备!#REF!</f>
        <v>#REF!</v>
      </c>
      <c r="AD202" t="e">
        <f>装备!#REF!</f>
        <v>#REF!</v>
      </c>
      <c r="AE202" t="e">
        <f>装备!#REF!</f>
        <v>#REF!</v>
      </c>
      <c r="AF202" t="e">
        <f>装备!#REF!</f>
        <v>#REF!</v>
      </c>
      <c r="AG202" t="e">
        <f>装备!#REF!</f>
        <v>#REF!</v>
      </c>
      <c r="AH202" t="e">
        <f>装备!#REF!</f>
        <v>#REF!</v>
      </c>
      <c r="AI202" t="e">
        <f t="shared" si="44"/>
        <v>#REF!</v>
      </c>
      <c r="AJ202" t="e">
        <f>装备!#REF!</f>
        <v>#REF!</v>
      </c>
      <c r="AK202" t="e">
        <f>装备!#REF!</f>
        <v>#REF!</v>
      </c>
      <c r="AL202" t="e">
        <f>装备!#REF!</f>
        <v>#REF!</v>
      </c>
      <c r="AM202" t="e">
        <f>装备!#REF!</f>
        <v>#REF!</v>
      </c>
      <c r="AN202" t="e">
        <f>装备!#REF!</f>
        <v>#REF!</v>
      </c>
      <c r="AO202" t="e">
        <f>装备!#REF!</f>
        <v>#REF!</v>
      </c>
      <c r="AP202" t="e">
        <f>装备!#REF!</f>
        <v>#REF!</v>
      </c>
      <c r="AQ202" t="e">
        <f>装备!#REF!</f>
        <v>#REF!</v>
      </c>
      <c r="AR202" t="e">
        <f>装备!#REF!</f>
        <v>#REF!</v>
      </c>
      <c r="AS202" t="e">
        <f>装备!#REF!</f>
        <v>#REF!</v>
      </c>
      <c r="AT202" t="e">
        <f t="shared" si="45"/>
        <v>#REF!</v>
      </c>
      <c r="AU202" t="e">
        <f>装备!#REF!</f>
        <v>#REF!</v>
      </c>
      <c r="AV202" t="e">
        <f>装备!#REF!</f>
        <v>#REF!</v>
      </c>
      <c r="AW202" t="e">
        <f>装备!#REF!</f>
        <v>#REF!</v>
      </c>
      <c r="AX202" t="e">
        <f>装备!#REF!</f>
        <v>#REF!</v>
      </c>
      <c r="AY202" t="e">
        <f>装备!#REF!</f>
        <v>#REF!</v>
      </c>
      <c r="AZ202" t="e">
        <f>装备!#REF!</f>
        <v>#REF!</v>
      </c>
      <c r="BA202" t="e">
        <f>装备!#REF!</f>
        <v>#REF!</v>
      </c>
      <c r="BB202" t="e">
        <f>装备!#REF!</f>
        <v>#REF!</v>
      </c>
      <c r="BC202" t="e">
        <f>装备!#REF!</f>
        <v>#REF!</v>
      </c>
      <c r="BD202" t="e">
        <f>装备!#REF!</f>
        <v>#REF!</v>
      </c>
      <c r="BE202" t="e">
        <f t="shared" si="46"/>
        <v>#REF!</v>
      </c>
      <c r="BF202" t="e">
        <f>装备!#REF!</f>
        <v>#REF!</v>
      </c>
      <c r="BG202" t="e">
        <f>装备!#REF!</f>
        <v>#REF!</v>
      </c>
      <c r="BH202" t="e">
        <f>装备!#REF!</f>
        <v>#REF!</v>
      </c>
      <c r="BI202" t="e">
        <f>装备!#REF!</f>
        <v>#REF!</v>
      </c>
      <c r="BJ202" t="e">
        <f>装备!#REF!</f>
        <v>#REF!</v>
      </c>
      <c r="BK202" t="e">
        <f>装备!#REF!</f>
        <v>#REF!</v>
      </c>
      <c r="BL202" t="e">
        <f>装备!#REF!</f>
        <v>#REF!</v>
      </c>
      <c r="BM202" t="e">
        <f>装备!#REF!</f>
        <v>#REF!</v>
      </c>
      <c r="BN202" t="e">
        <f>装备!#REF!</f>
        <v>#REF!</v>
      </c>
      <c r="BO202" t="e">
        <f>装备!#REF!</f>
        <v>#REF!</v>
      </c>
      <c r="BP202" t="e">
        <f t="shared" si="47"/>
        <v>#REF!</v>
      </c>
      <c r="BQ202" t="e">
        <f>装备!#REF!</f>
        <v>#REF!</v>
      </c>
      <c r="BR202" t="e">
        <f>装备!#REF!</f>
        <v>#REF!</v>
      </c>
      <c r="BS202" t="e">
        <f>装备!#REF!</f>
        <v>#REF!</v>
      </c>
      <c r="BT202" t="e">
        <f>装备!#REF!</f>
        <v>#REF!</v>
      </c>
      <c r="BU202" t="e">
        <f>装备!#REF!</f>
        <v>#REF!</v>
      </c>
      <c r="BV202" t="e">
        <f>装备!#REF!</f>
        <v>#REF!</v>
      </c>
      <c r="BW202" t="e">
        <f>装备!#REF!</f>
        <v>#REF!</v>
      </c>
      <c r="BX202" t="e">
        <f>装备!#REF!</f>
        <v>#REF!</v>
      </c>
      <c r="BY202" t="e">
        <f>装备!#REF!</f>
        <v>#REF!</v>
      </c>
      <c r="BZ202" t="e">
        <f>装备!#REF!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装备!#REF!</f>
        <v>#REF!</v>
      </c>
      <c r="B203" t="e">
        <f>装备!#REF!</f>
        <v>#REF!</v>
      </c>
      <c r="C203" t="e">
        <f>装备!#REF!</f>
        <v>#REF!</v>
      </c>
      <c r="D203" t="e">
        <f>装备!#REF!</f>
        <v>#REF!</v>
      </c>
      <c r="E203" t="e">
        <f>装备!#REF!</f>
        <v>#REF!</v>
      </c>
      <c r="F203" t="e">
        <f>装备!#REF!</f>
        <v>#REF!</v>
      </c>
      <c r="G203" t="e">
        <f>装备!#REF!</f>
        <v>#REF!</v>
      </c>
      <c r="H203" t="e">
        <f>装备!#REF!</f>
        <v>#REF!</v>
      </c>
      <c r="I203" t="e">
        <f>装备!#REF!</f>
        <v>#REF!</v>
      </c>
      <c r="J203" t="e">
        <f>装备!#REF!</f>
        <v>#REF!</v>
      </c>
      <c r="K203" t="e">
        <f>装备!#REF!</f>
        <v>#REF!</v>
      </c>
      <c r="L203" t="e">
        <f>装备!#REF!</f>
        <v>#REF!</v>
      </c>
      <c r="M203" t="e">
        <f t="shared" si="42"/>
        <v>#REF!</v>
      </c>
      <c r="N203" t="e">
        <f>装备!#REF!</f>
        <v>#REF!</v>
      </c>
      <c r="O203" t="e">
        <f>装备!#REF!</f>
        <v>#REF!</v>
      </c>
      <c r="P203" t="e">
        <f>装备!#REF!</f>
        <v>#REF!</v>
      </c>
      <c r="Q203" t="e">
        <f>装备!#REF!</f>
        <v>#REF!</v>
      </c>
      <c r="R203" t="e">
        <f>装备!#REF!</f>
        <v>#REF!</v>
      </c>
      <c r="S203" t="e">
        <f>装备!#REF!</f>
        <v>#REF!</v>
      </c>
      <c r="T203" t="e">
        <f>装备!#REF!</f>
        <v>#REF!</v>
      </c>
      <c r="U203" t="e">
        <f>装备!#REF!</f>
        <v>#REF!</v>
      </c>
      <c r="V203" t="e">
        <f>装备!#REF!</f>
        <v>#REF!</v>
      </c>
      <c r="W203" t="e">
        <f>装备!#REF!</f>
        <v>#REF!</v>
      </c>
      <c r="X203" t="e">
        <f t="shared" si="43"/>
        <v>#REF!</v>
      </c>
      <c r="Y203" t="e">
        <f>装备!#REF!</f>
        <v>#REF!</v>
      </c>
      <c r="Z203" t="e">
        <f>装备!#REF!</f>
        <v>#REF!</v>
      </c>
      <c r="AA203" t="e">
        <f>装备!#REF!</f>
        <v>#REF!</v>
      </c>
      <c r="AB203" t="e">
        <f>装备!#REF!</f>
        <v>#REF!</v>
      </c>
      <c r="AC203" t="e">
        <f>装备!#REF!</f>
        <v>#REF!</v>
      </c>
      <c r="AD203" t="e">
        <f>装备!#REF!</f>
        <v>#REF!</v>
      </c>
      <c r="AE203" t="e">
        <f>装备!#REF!</f>
        <v>#REF!</v>
      </c>
      <c r="AF203" t="e">
        <f>装备!#REF!</f>
        <v>#REF!</v>
      </c>
      <c r="AG203" t="e">
        <f>装备!#REF!</f>
        <v>#REF!</v>
      </c>
      <c r="AH203" t="e">
        <f>装备!#REF!</f>
        <v>#REF!</v>
      </c>
      <c r="AI203" t="e">
        <f t="shared" si="44"/>
        <v>#REF!</v>
      </c>
      <c r="AJ203" t="e">
        <f>装备!#REF!</f>
        <v>#REF!</v>
      </c>
      <c r="AK203" t="e">
        <f>装备!#REF!</f>
        <v>#REF!</v>
      </c>
      <c r="AL203" t="e">
        <f>装备!#REF!</f>
        <v>#REF!</v>
      </c>
      <c r="AM203" t="e">
        <f>装备!#REF!</f>
        <v>#REF!</v>
      </c>
      <c r="AN203" t="e">
        <f>装备!#REF!</f>
        <v>#REF!</v>
      </c>
      <c r="AO203" t="e">
        <f>装备!#REF!</f>
        <v>#REF!</v>
      </c>
      <c r="AP203" t="e">
        <f>装备!#REF!</f>
        <v>#REF!</v>
      </c>
      <c r="AQ203" t="e">
        <f>装备!#REF!</f>
        <v>#REF!</v>
      </c>
      <c r="AR203" t="e">
        <f>装备!#REF!</f>
        <v>#REF!</v>
      </c>
      <c r="AS203" t="e">
        <f>装备!#REF!</f>
        <v>#REF!</v>
      </c>
      <c r="AT203" t="e">
        <f t="shared" si="45"/>
        <v>#REF!</v>
      </c>
      <c r="AU203" t="e">
        <f>装备!#REF!</f>
        <v>#REF!</v>
      </c>
      <c r="AV203" t="e">
        <f>装备!#REF!</f>
        <v>#REF!</v>
      </c>
      <c r="AW203" t="e">
        <f>装备!#REF!</f>
        <v>#REF!</v>
      </c>
      <c r="AX203" t="e">
        <f>装备!#REF!</f>
        <v>#REF!</v>
      </c>
      <c r="AY203" t="e">
        <f>装备!#REF!</f>
        <v>#REF!</v>
      </c>
      <c r="AZ203" t="e">
        <f>装备!#REF!</f>
        <v>#REF!</v>
      </c>
      <c r="BA203" t="e">
        <f>装备!#REF!</f>
        <v>#REF!</v>
      </c>
      <c r="BB203" t="e">
        <f>装备!#REF!</f>
        <v>#REF!</v>
      </c>
      <c r="BC203" t="e">
        <f>装备!#REF!</f>
        <v>#REF!</v>
      </c>
      <c r="BD203" t="e">
        <f>装备!#REF!</f>
        <v>#REF!</v>
      </c>
      <c r="BE203" t="e">
        <f t="shared" si="46"/>
        <v>#REF!</v>
      </c>
      <c r="BF203" t="e">
        <f>装备!#REF!</f>
        <v>#REF!</v>
      </c>
      <c r="BG203" t="e">
        <f>装备!#REF!</f>
        <v>#REF!</v>
      </c>
      <c r="BH203" t="e">
        <f>装备!#REF!</f>
        <v>#REF!</v>
      </c>
      <c r="BI203" t="e">
        <f>装备!#REF!</f>
        <v>#REF!</v>
      </c>
      <c r="BJ203" t="e">
        <f>装备!#REF!</f>
        <v>#REF!</v>
      </c>
      <c r="BK203" t="e">
        <f>装备!#REF!</f>
        <v>#REF!</v>
      </c>
      <c r="BL203" t="e">
        <f>装备!#REF!</f>
        <v>#REF!</v>
      </c>
      <c r="BM203" t="e">
        <f>装备!#REF!</f>
        <v>#REF!</v>
      </c>
      <c r="BN203" t="e">
        <f>装备!#REF!</f>
        <v>#REF!</v>
      </c>
      <c r="BO203" t="e">
        <f>装备!#REF!</f>
        <v>#REF!</v>
      </c>
      <c r="BP203" t="e">
        <f t="shared" si="47"/>
        <v>#REF!</v>
      </c>
      <c r="BQ203" t="e">
        <f>装备!#REF!</f>
        <v>#REF!</v>
      </c>
      <c r="BR203" t="e">
        <f>装备!#REF!</f>
        <v>#REF!</v>
      </c>
      <c r="BS203" t="e">
        <f>装备!#REF!</f>
        <v>#REF!</v>
      </c>
      <c r="BT203" t="e">
        <f>装备!#REF!</f>
        <v>#REF!</v>
      </c>
      <c r="BU203" t="e">
        <f>装备!#REF!</f>
        <v>#REF!</v>
      </c>
      <c r="BV203" t="e">
        <f>装备!#REF!</f>
        <v>#REF!</v>
      </c>
      <c r="BW203" t="e">
        <f>装备!#REF!</f>
        <v>#REF!</v>
      </c>
      <c r="BX203" t="e">
        <f>装备!#REF!</f>
        <v>#REF!</v>
      </c>
      <c r="BY203" t="e">
        <f>装备!#REF!</f>
        <v>#REF!</v>
      </c>
      <c r="BZ203" t="e">
        <f>装备!#REF!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装备!#REF!</f>
        <v>#REF!</v>
      </c>
      <c r="B204" t="e">
        <f>装备!#REF!</f>
        <v>#REF!</v>
      </c>
      <c r="C204" t="e">
        <f>装备!#REF!</f>
        <v>#REF!</v>
      </c>
      <c r="D204" t="e">
        <f>装备!#REF!</f>
        <v>#REF!</v>
      </c>
      <c r="E204" t="e">
        <f>装备!#REF!</f>
        <v>#REF!</v>
      </c>
      <c r="F204" t="e">
        <f>装备!#REF!</f>
        <v>#REF!</v>
      </c>
      <c r="G204" t="e">
        <f>装备!#REF!</f>
        <v>#REF!</v>
      </c>
      <c r="H204" t="e">
        <f>装备!#REF!</f>
        <v>#REF!</v>
      </c>
      <c r="I204" t="e">
        <f>装备!#REF!</f>
        <v>#REF!</v>
      </c>
      <c r="J204" t="e">
        <f>装备!#REF!</f>
        <v>#REF!</v>
      </c>
      <c r="K204" t="e">
        <f>装备!#REF!</f>
        <v>#REF!</v>
      </c>
      <c r="L204" t="e">
        <f>装备!#REF!</f>
        <v>#REF!</v>
      </c>
      <c r="M204" t="e">
        <f t="shared" si="42"/>
        <v>#REF!</v>
      </c>
      <c r="N204" t="e">
        <f>装备!#REF!</f>
        <v>#REF!</v>
      </c>
      <c r="O204" t="e">
        <f>装备!#REF!</f>
        <v>#REF!</v>
      </c>
      <c r="P204" t="e">
        <f>装备!#REF!</f>
        <v>#REF!</v>
      </c>
      <c r="Q204" t="e">
        <f>装备!#REF!</f>
        <v>#REF!</v>
      </c>
      <c r="R204" t="e">
        <f>装备!#REF!</f>
        <v>#REF!</v>
      </c>
      <c r="S204" t="e">
        <f>装备!#REF!</f>
        <v>#REF!</v>
      </c>
      <c r="T204" t="e">
        <f>装备!#REF!</f>
        <v>#REF!</v>
      </c>
      <c r="U204" t="e">
        <f>装备!#REF!</f>
        <v>#REF!</v>
      </c>
      <c r="V204" t="e">
        <f>装备!#REF!</f>
        <v>#REF!</v>
      </c>
      <c r="W204" t="e">
        <f>装备!#REF!</f>
        <v>#REF!</v>
      </c>
      <c r="X204" t="e">
        <f t="shared" si="43"/>
        <v>#REF!</v>
      </c>
      <c r="Y204" t="e">
        <f>装备!#REF!</f>
        <v>#REF!</v>
      </c>
      <c r="Z204" t="e">
        <f>装备!#REF!</f>
        <v>#REF!</v>
      </c>
      <c r="AA204" t="e">
        <f>装备!#REF!</f>
        <v>#REF!</v>
      </c>
      <c r="AB204" t="e">
        <f>装备!#REF!</f>
        <v>#REF!</v>
      </c>
      <c r="AC204" t="e">
        <f>装备!#REF!</f>
        <v>#REF!</v>
      </c>
      <c r="AD204" t="e">
        <f>装备!#REF!</f>
        <v>#REF!</v>
      </c>
      <c r="AE204" t="e">
        <f>装备!#REF!</f>
        <v>#REF!</v>
      </c>
      <c r="AF204" t="e">
        <f>装备!#REF!</f>
        <v>#REF!</v>
      </c>
      <c r="AG204" t="e">
        <f>装备!#REF!</f>
        <v>#REF!</v>
      </c>
      <c r="AH204" t="e">
        <f>装备!#REF!</f>
        <v>#REF!</v>
      </c>
      <c r="AI204" t="e">
        <f t="shared" si="44"/>
        <v>#REF!</v>
      </c>
      <c r="AJ204" t="e">
        <f>装备!#REF!</f>
        <v>#REF!</v>
      </c>
      <c r="AK204" t="e">
        <f>装备!#REF!</f>
        <v>#REF!</v>
      </c>
      <c r="AL204" t="e">
        <f>装备!#REF!</f>
        <v>#REF!</v>
      </c>
      <c r="AM204" t="e">
        <f>装备!#REF!</f>
        <v>#REF!</v>
      </c>
      <c r="AN204" t="e">
        <f>装备!#REF!</f>
        <v>#REF!</v>
      </c>
      <c r="AO204" t="e">
        <f>装备!#REF!</f>
        <v>#REF!</v>
      </c>
      <c r="AP204" t="e">
        <f>装备!#REF!</f>
        <v>#REF!</v>
      </c>
      <c r="AQ204" t="e">
        <f>装备!#REF!</f>
        <v>#REF!</v>
      </c>
      <c r="AR204" t="e">
        <f>装备!#REF!</f>
        <v>#REF!</v>
      </c>
      <c r="AS204" t="e">
        <f>装备!#REF!</f>
        <v>#REF!</v>
      </c>
      <c r="AT204" t="e">
        <f t="shared" si="45"/>
        <v>#REF!</v>
      </c>
      <c r="AU204" t="e">
        <f>装备!#REF!</f>
        <v>#REF!</v>
      </c>
      <c r="AV204" t="e">
        <f>装备!#REF!</f>
        <v>#REF!</v>
      </c>
      <c r="AW204" t="e">
        <f>装备!#REF!</f>
        <v>#REF!</v>
      </c>
      <c r="AX204" t="e">
        <f>装备!#REF!</f>
        <v>#REF!</v>
      </c>
      <c r="AY204" t="e">
        <f>装备!#REF!</f>
        <v>#REF!</v>
      </c>
      <c r="AZ204" t="e">
        <f>装备!#REF!</f>
        <v>#REF!</v>
      </c>
      <c r="BA204" t="e">
        <f>装备!#REF!</f>
        <v>#REF!</v>
      </c>
      <c r="BB204" t="e">
        <f>装备!#REF!</f>
        <v>#REF!</v>
      </c>
      <c r="BC204" t="e">
        <f>装备!#REF!</f>
        <v>#REF!</v>
      </c>
      <c r="BD204" t="e">
        <f>装备!#REF!</f>
        <v>#REF!</v>
      </c>
      <c r="BE204" t="e">
        <f t="shared" si="46"/>
        <v>#REF!</v>
      </c>
      <c r="BF204" t="e">
        <f>装备!#REF!</f>
        <v>#REF!</v>
      </c>
      <c r="BG204" t="e">
        <f>装备!#REF!</f>
        <v>#REF!</v>
      </c>
      <c r="BH204" t="e">
        <f>装备!#REF!</f>
        <v>#REF!</v>
      </c>
      <c r="BI204" t="e">
        <f>装备!#REF!</f>
        <v>#REF!</v>
      </c>
      <c r="BJ204" t="e">
        <f>装备!#REF!</f>
        <v>#REF!</v>
      </c>
      <c r="BK204" t="e">
        <f>装备!#REF!</f>
        <v>#REF!</v>
      </c>
      <c r="BL204" t="e">
        <f>装备!#REF!</f>
        <v>#REF!</v>
      </c>
      <c r="BM204" t="e">
        <f>装备!#REF!</f>
        <v>#REF!</v>
      </c>
      <c r="BN204" t="e">
        <f>装备!#REF!</f>
        <v>#REF!</v>
      </c>
      <c r="BO204" t="e">
        <f>装备!#REF!</f>
        <v>#REF!</v>
      </c>
      <c r="BP204" t="e">
        <f t="shared" si="47"/>
        <v>#REF!</v>
      </c>
      <c r="BQ204" t="e">
        <f>装备!#REF!</f>
        <v>#REF!</v>
      </c>
      <c r="BR204" t="e">
        <f>装备!#REF!</f>
        <v>#REF!</v>
      </c>
      <c r="BS204" t="e">
        <f>装备!#REF!</f>
        <v>#REF!</v>
      </c>
      <c r="BT204" t="e">
        <f>装备!#REF!</f>
        <v>#REF!</v>
      </c>
      <c r="BU204" t="e">
        <f>装备!#REF!</f>
        <v>#REF!</v>
      </c>
      <c r="BV204" t="e">
        <f>装备!#REF!</f>
        <v>#REF!</v>
      </c>
      <c r="BW204" t="e">
        <f>装备!#REF!</f>
        <v>#REF!</v>
      </c>
      <c r="BX204" t="e">
        <f>装备!#REF!</f>
        <v>#REF!</v>
      </c>
      <c r="BY204" t="e">
        <f>装备!#REF!</f>
        <v>#REF!</v>
      </c>
      <c r="BZ204" t="e">
        <f>装备!#REF!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装备!#REF!</f>
        <v>#REF!</v>
      </c>
      <c r="B205" t="e">
        <f>装备!#REF!</f>
        <v>#REF!</v>
      </c>
      <c r="C205" t="e">
        <f>装备!#REF!</f>
        <v>#REF!</v>
      </c>
      <c r="D205" t="e">
        <f>装备!#REF!</f>
        <v>#REF!</v>
      </c>
      <c r="E205" t="e">
        <f>装备!#REF!</f>
        <v>#REF!</v>
      </c>
      <c r="F205" t="e">
        <f>装备!#REF!</f>
        <v>#REF!</v>
      </c>
      <c r="G205" t="e">
        <f>装备!#REF!</f>
        <v>#REF!</v>
      </c>
      <c r="H205" t="e">
        <f>装备!#REF!</f>
        <v>#REF!</v>
      </c>
      <c r="I205" t="e">
        <f>装备!#REF!</f>
        <v>#REF!</v>
      </c>
      <c r="J205" t="e">
        <f>装备!#REF!</f>
        <v>#REF!</v>
      </c>
      <c r="K205" t="e">
        <f>装备!#REF!</f>
        <v>#REF!</v>
      </c>
      <c r="L205" t="e">
        <f>装备!#REF!</f>
        <v>#REF!</v>
      </c>
      <c r="M205" t="e">
        <f t="shared" si="42"/>
        <v>#REF!</v>
      </c>
      <c r="N205" t="e">
        <f>装备!#REF!</f>
        <v>#REF!</v>
      </c>
      <c r="O205" t="e">
        <f>装备!#REF!</f>
        <v>#REF!</v>
      </c>
      <c r="P205" t="e">
        <f>装备!#REF!</f>
        <v>#REF!</v>
      </c>
      <c r="Q205" t="e">
        <f>装备!#REF!</f>
        <v>#REF!</v>
      </c>
      <c r="R205" t="e">
        <f>装备!#REF!</f>
        <v>#REF!</v>
      </c>
      <c r="S205" t="e">
        <f>装备!#REF!</f>
        <v>#REF!</v>
      </c>
      <c r="T205" t="e">
        <f>装备!#REF!</f>
        <v>#REF!</v>
      </c>
      <c r="U205" t="e">
        <f>装备!#REF!</f>
        <v>#REF!</v>
      </c>
      <c r="V205" t="e">
        <f>装备!#REF!</f>
        <v>#REF!</v>
      </c>
      <c r="W205" t="e">
        <f>装备!#REF!</f>
        <v>#REF!</v>
      </c>
      <c r="X205" t="e">
        <f t="shared" si="43"/>
        <v>#REF!</v>
      </c>
      <c r="Y205" t="e">
        <f>装备!#REF!</f>
        <v>#REF!</v>
      </c>
      <c r="Z205" t="e">
        <f>装备!#REF!</f>
        <v>#REF!</v>
      </c>
      <c r="AA205" t="e">
        <f>装备!#REF!</f>
        <v>#REF!</v>
      </c>
      <c r="AB205" t="e">
        <f>装备!#REF!</f>
        <v>#REF!</v>
      </c>
      <c r="AC205" t="e">
        <f>装备!#REF!</f>
        <v>#REF!</v>
      </c>
      <c r="AD205" t="e">
        <f>装备!#REF!</f>
        <v>#REF!</v>
      </c>
      <c r="AE205" t="e">
        <f>装备!#REF!</f>
        <v>#REF!</v>
      </c>
      <c r="AF205" t="e">
        <f>装备!#REF!</f>
        <v>#REF!</v>
      </c>
      <c r="AG205" t="e">
        <f>装备!#REF!</f>
        <v>#REF!</v>
      </c>
      <c r="AH205" t="e">
        <f>装备!#REF!</f>
        <v>#REF!</v>
      </c>
      <c r="AI205" t="e">
        <f t="shared" si="44"/>
        <v>#REF!</v>
      </c>
      <c r="AJ205" t="e">
        <f>装备!#REF!</f>
        <v>#REF!</v>
      </c>
      <c r="AK205" t="e">
        <f>装备!#REF!</f>
        <v>#REF!</v>
      </c>
      <c r="AL205" t="e">
        <f>装备!#REF!</f>
        <v>#REF!</v>
      </c>
      <c r="AM205" t="e">
        <f>装备!#REF!</f>
        <v>#REF!</v>
      </c>
      <c r="AN205" t="e">
        <f>装备!#REF!</f>
        <v>#REF!</v>
      </c>
      <c r="AO205" t="e">
        <f>装备!#REF!</f>
        <v>#REF!</v>
      </c>
      <c r="AP205" t="e">
        <f>装备!#REF!</f>
        <v>#REF!</v>
      </c>
      <c r="AQ205" t="e">
        <f>装备!#REF!</f>
        <v>#REF!</v>
      </c>
      <c r="AR205" t="e">
        <f>装备!#REF!</f>
        <v>#REF!</v>
      </c>
      <c r="AS205" t="e">
        <f>装备!#REF!</f>
        <v>#REF!</v>
      </c>
      <c r="AT205" t="e">
        <f t="shared" si="45"/>
        <v>#REF!</v>
      </c>
      <c r="AU205" t="e">
        <f>装备!#REF!</f>
        <v>#REF!</v>
      </c>
      <c r="AV205" t="e">
        <f>装备!#REF!</f>
        <v>#REF!</v>
      </c>
      <c r="AW205" t="e">
        <f>装备!#REF!</f>
        <v>#REF!</v>
      </c>
      <c r="AX205" t="e">
        <f>装备!#REF!</f>
        <v>#REF!</v>
      </c>
      <c r="AY205" t="e">
        <f>装备!#REF!</f>
        <v>#REF!</v>
      </c>
      <c r="AZ205" t="e">
        <f>装备!#REF!</f>
        <v>#REF!</v>
      </c>
      <c r="BA205" t="e">
        <f>装备!#REF!</f>
        <v>#REF!</v>
      </c>
      <c r="BB205" t="e">
        <f>装备!#REF!</f>
        <v>#REF!</v>
      </c>
      <c r="BC205" t="e">
        <f>装备!#REF!</f>
        <v>#REF!</v>
      </c>
      <c r="BD205" t="e">
        <f>装备!#REF!</f>
        <v>#REF!</v>
      </c>
      <c r="BE205" t="e">
        <f t="shared" si="46"/>
        <v>#REF!</v>
      </c>
      <c r="BF205" t="e">
        <f>装备!#REF!</f>
        <v>#REF!</v>
      </c>
      <c r="BG205" t="e">
        <f>装备!#REF!</f>
        <v>#REF!</v>
      </c>
      <c r="BH205" t="e">
        <f>装备!#REF!</f>
        <v>#REF!</v>
      </c>
      <c r="BI205" t="e">
        <f>装备!#REF!</f>
        <v>#REF!</v>
      </c>
      <c r="BJ205" t="e">
        <f>装备!#REF!</f>
        <v>#REF!</v>
      </c>
      <c r="BK205" t="e">
        <f>装备!#REF!</f>
        <v>#REF!</v>
      </c>
      <c r="BL205" t="e">
        <f>装备!#REF!</f>
        <v>#REF!</v>
      </c>
      <c r="BM205" t="e">
        <f>装备!#REF!</f>
        <v>#REF!</v>
      </c>
      <c r="BN205" t="e">
        <f>装备!#REF!</f>
        <v>#REF!</v>
      </c>
      <c r="BO205" t="e">
        <f>装备!#REF!</f>
        <v>#REF!</v>
      </c>
      <c r="BP205" t="e">
        <f t="shared" si="47"/>
        <v>#REF!</v>
      </c>
      <c r="BQ205" t="e">
        <f>装备!#REF!</f>
        <v>#REF!</v>
      </c>
      <c r="BR205" t="e">
        <f>装备!#REF!</f>
        <v>#REF!</v>
      </c>
      <c r="BS205" t="e">
        <f>装备!#REF!</f>
        <v>#REF!</v>
      </c>
      <c r="BT205" t="e">
        <f>装备!#REF!</f>
        <v>#REF!</v>
      </c>
      <c r="BU205" t="e">
        <f>装备!#REF!</f>
        <v>#REF!</v>
      </c>
      <c r="BV205" t="e">
        <f>装备!#REF!</f>
        <v>#REF!</v>
      </c>
      <c r="BW205" t="e">
        <f>装备!#REF!</f>
        <v>#REF!</v>
      </c>
      <c r="BX205" t="e">
        <f>装备!#REF!</f>
        <v>#REF!</v>
      </c>
      <c r="BY205" t="e">
        <f>装备!#REF!</f>
        <v>#REF!</v>
      </c>
      <c r="BZ205" t="e">
        <f>装备!#REF!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装备!#REF!</f>
        <v>#REF!</v>
      </c>
      <c r="B206" t="e">
        <f>装备!#REF!</f>
        <v>#REF!</v>
      </c>
      <c r="C206" t="e">
        <f>装备!#REF!</f>
        <v>#REF!</v>
      </c>
      <c r="D206" t="e">
        <f>装备!#REF!</f>
        <v>#REF!</v>
      </c>
      <c r="E206" t="e">
        <f>装备!#REF!</f>
        <v>#REF!</v>
      </c>
      <c r="F206" t="e">
        <f>装备!#REF!</f>
        <v>#REF!</v>
      </c>
      <c r="G206" t="e">
        <f>装备!#REF!</f>
        <v>#REF!</v>
      </c>
      <c r="H206" t="e">
        <f>装备!#REF!</f>
        <v>#REF!</v>
      </c>
      <c r="I206" t="e">
        <f>装备!#REF!</f>
        <v>#REF!</v>
      </c>
      <c r="J206" t="e">
        <f>装备!#REF!</f>
        <v>#REF!</v>
      </c>
      <c r="K206" t="e">
        <f>装备!#REF!</f>
        <v>#REF!</v>
      </c>
      <c r="L206" t="e">
        <f>装备!#REF!</f>
        <v>#REF!</v>
      </c>
      <c r="M206" t="e">
        <f t="shared" si="42"/>
        <v>#REF!</v>
      </c>
      <c r="N206" t="e">
        <f>装备!#REF!</f>
        <v>#REF!</v>
      </c>
      <c r="O206" t="e">
        <f>装备!#REF!</f>
        <v>#REF!</v>
      </c>
      <c r="P206" t="e">
        <f>装备!#REF!</f>
        <v>#REF!</v>
      </c>
      <c r="Q206" t="e">
        <f>装备!#REF!</f>
        <v>#REF!</v>
      </c>
      <c r="R206" t="e">
        <f>装备!#REF!</f>
        <v>#REF!</v>
      </c>
      <c r="S206" t="e">
        <f>装备!#REF!</f>
        <v>#REF!</v>
      </c>
      <c r="T206" t="e">
        <f>装备!#REF!</f>
        <v>#REF!</v>
      </c>
      <c r="U206" t="e">
        <f>装备!#REF!</f>
        <v>#REF!</v>
      </c>
      <c r="V206" t="e">
        <f>装备!#REF!</f>
        <v>#REF!</v>
      </c>
      <c r="W206" t="e">
        <f>装备!#REF!</f>
        <v>#REF!</v>
      </c>
      <c r="X206" t="e">
        <f t="shared" si="43"/>
        <v>#REF!</v>
      </c>
      <c r="Y206" t="e">
        <f>装备!#REF!</f>
        <v>#REF!</v>
      </c>
      <c r="Z206" t="e">
        <f>装备!#REF!</f>
        <v>#REF!</v>
      </c>
      <c r="AA206" t="e">
        <f>装备!#REF!</f>
        <v>#REF!</v>
      </c>
      <c r="AB206" t="e">
        <f>装备!#REF!</f>
        <v>#REF!</v>
      </c>
      <c r="AC206" t="e">
        <f>装备!#REF!</f>
        <v>#REF!</v>
      </c>
      <c r="AD206" t="e">
        <f>装备!#REF!</f>
        <v>#REF!</v>
      </c>
      <c r="AE206" t="e">
        <f>装备!#REF!</f>
        <v>#REF!</v>
      </c>
      <c r="AF206" t="e">
        <f>装备!#REF!</f>
        <v>#REF!</v>
      </c>
      <c r="AG206" t="e">
        <f>装备!#REF!</f>
        <v>#REF!</v>
      </c>
      <c r="AH206" t="e">
        <f>装备!#REF!</f>
        <v>#REF!</v>
      </c>
      <c r="AI206" t="e">
        <f t="shared" si="44"/>
        <v>#REF!</v>
      </c>
      <c r="AJ206" t="e">
        <f>装备!#REF!</f>
        <v>#REF!</v>
      </c>
      <c r="AK206" t="e">
        <f>装备!#REF!</f>
        <v>#REF!</v>
      </c>
      <c r="AL206" t="e">
        <f>装备!#REF!</f>
        <v>#REF!</v>
      </c>
      <c r="AM206" t="e">
        <f>装备!#REF!</f>
        <v>#REF!</v>
      </c>
      <c r="AN206" t="e">
        <f>装备!#REF!</f>
        <v>#REF!</v>
      </c>
      <c r="AO206" t="e">
        <f>装备!#REF!</f>
        <v>#REF!</v>
      </c>
      <c r="AP206" t="e">
        <f>装备!#REF!</f>
        <v>#REF!</v>
      </c>
      <c r="AQ206" t="e">
        <f>装备!#REF!</f>
        <v>#REF!</v>
      </c>
      <c r="AR206" t="e">
        <f>装备!#REF!</f>
        <v>#REF!</v>
      </c>
      <c r="AS206" t="e">
        <f>装备!#REF!</f>
        <v>#REF!</v>
      </c>
      <c r="AT206" t="e">
        <f t="shared" si="45"/>
        <v>#REF!</v>
      </c>
      <c r="AU206" t="e">
        <f>装备!#REF!</f>
        <v>#REF!</v>
      </c>
      <c r="AV206" t="e">
        <f>装备!#REF!</f>
        <v>#REF!</v>
      </c>
      <c r="AW206" t="e">
        <f>装备!#REF!</f>
        <v>#REF!</v>
      </c>
      <c r="AX206" t="e">
        <f>装备!#REF!</f>
        <v>#REF!</v>
      </c>
      <c r="AY206" t="e">
        <f>装备!#REF!</f>
        <v>#REF!</v>
      </c>
      <c r="AZ206" t="e">
        <f>装备!#REF!</f>
        <v>#REF!</v>
      </c>
      <c r="BA206" t="e">
        <f>装备!#REF!</f>
        <v>#REF!</v>
      </c>
      <c r="BB206" t="e">
        <f>装备!#REF!</f>
        <v>#REF!</v>
      </c>
      <c r="BC206" t="e">
        <f>装备!#REF!</f>
        <v>#REF!</v>
      </c>
      <c r="BD206" t="e">
        <f>装备!#REF!</f>
        <v>#REF!</v>
      </c>
      <c r="BE206" t="e">
        <f t="shared" si="46"/>
        <v>#REF!</v>
      </c>
      <c r="BF206" t="e">
        <f>装备!#REF!</f>
        <v>#REF!</v>
      </c>
      <c r="BG206" t="e">
        <f>装备!#REF!</f>
        <v>#REF!</v>
      </c>
      <c r="BH206" t="e">
        <f>装备!#REF!</f>
        <v>#REF!</v>
      </c>
      <c r="BI206" t="e">
        <f>装备!#REF!</f>
        <v>#REF!</v>
      </c>
      <c r="BJ206" t="e">
        <f>装备!#REF!</f>
        <v>#REF!</v>
      </c>
      <c r="BK206" t="e">
        <f>装备!#REF!</f>
        <v>#REF!</v>
      </c>
      <c r="BL206" t="e">
        <f>装备!#REF!</f>
        <v>#REF!</v>
      </c>
      <c r="BM206" t="e">
        <f>装备!#REF!</f>
        <v>#REF!</v>
      </c>
      <c r="BN206" t="e">
        <f>装备!#REF!</f>
        <v>#REF!</v>
      </c>
      <c r="BO206" t="e">
        <f>装备!#REF!</f>
        <v>#REF!</v>
      </c>
      <c r="BP206" t="e">
        <f t="shared" si="47"/>
        <v>#REF!</v>
      </c>
      <c r="BQ206" t="e">
        <f>装备!#REF!</f>
        <v>#REF!</v>
      </c>
      <c r="BR206" t="e">
        <f>装备!#REF!</f>
        <v>#REF!</v>
      </c>
      <c r="BS206" t="e">
        <f>装备!#REF!</f>
        <v>#REF!</v>
      </c>
      <c r="BT206" t="e">
        <f>装备!#REF!</f>
        <v>#REF!</v>
      </c>
      <c r="BU206" t="e">
        <f>装备!#REF!</f>
        <v>#REF!</v>
      </c>
      <c r="BV206" t="e">
        <f>装备!#REF!</f>
        <v>#REF!</v>
      </c>
      <c r="BW206" t="e">
        <f>装备!#REF!</f>
        <v>#REF!</v>
      </c>
      <c r="BX206" t="e">
        <f>装备!#REF!</f>
        <v>#REF!</v>
      </c>
      <c r="BY206" t="e">
        <f>装备!#REF!</f>
        <v>#REF!</v>
      </c>
      <c r="BZ206" t="e">
        <f>装备!#REF!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装备!#REF!</f>
        <v>#REF!</v>
      </c>
      <c r="B207" t="e">
        <f>装备!#REF!</f>
        <v>#REF!</v>
      </c>
      <c r="C207" t="e">
        <f>装备!#REF!</f>
        <v>#REF!</v>
      </c>
      <c r="D207" t="e">
        <f>装备!#REF!</f>
        <v>#REF!</v>
      </c>
      <c r="E207" t="e">
        <f>装备!#REF!</f>
        <v>#REF!</v>
      </c>
      <c r="F207" t="e">
        <f>装备!#REF!</f>
        <v>#REF!</v>
      </c>
      <c r="G207" t="e">
        <f>装备!#REF!</f>
        <v>#REF!</v>
      </c>
      <c r="H207" t="e">
        <f>装备!#REF!</f>
        <v>#REF!</v>
      </c>
      <c r="I207" t="e">
        <f>装备!#REF!</f>
        <v>#REF!</v>
      </c>
      <c r="J207" t="e">
        <f>装备!#REF!</f>
        <v>#REF!</v>
      </c>
      <c r="K207" t="e">
        <f>装备!#REF!</f>
        <v>#REF!</v>
      </c>
      <c r="L207" t="e">
        <f>装备!#REF!</f>
        <v>#REF!</v>
      </c>
      <c r="M207" t="e">
        <f t="shared" si="42"/>
        <v>#REF!</v>
      </c>
      <c r="N207" t="e">
        <f>装备!#REF!</f>
        <v>#REF!</v>
      </c>
      <c r="O207" t="e">
        <f>装备!#REF!</f>
        <v>#REF!</v>
      </c>
      <c r="P207" t="e">
        <f>装备!#REF!</f>
        <v>#REF!</v>
      </c>
      <c r="Q207" t="e">
        <f>装备!#REF!</f>
        <v>#REF!</v>
      </c>
      <c r="R207" t="e">
        <f>装备!#REF!</f>
        <v>#REF!</v>
      </c>
      <c r="S207" t="e">
        <f>装备!#REF!</f>
        <v>#REF!</v>
      </c>
      <c r="T207" t="e">
        <f>装备!#REF!</f>
        <v>#REF!</v>
      </c>
      <c r="U207" t="e">
        <f>装备!#REF!</f>
        <v>#REF!</v>
      </c>
      <c r="V207" t="e">
        <f>装备!#REF!</f>
        <v>#REF!</v>
      </c>
      <c r="W207" t="e">
        <f>装备!#REF!</f>
        <v>#REF!</v>
      </c>
      <c r="X207" t="e">
        <f t="shared" si="43"/>
        <v>#REF!</v>
      </c>
      <c r="Y207" t="e">
        <f>装备!#REF!</f>
        <v>#REF!</v>
      </c>
      <c r="Z207" t="e">
        <f>装备!#REF!</f>
        <v>#REF!</v>
      </c>
      <c r="AA207" t="e">
        <f>装备!#REF!</f>
        <v>#REF!</v>
      </c>
      <c r="AB207" t="e">
        <f>装备!#REF!</f>
        <v>#REF!</v>
      </c>
      <c r="AC207" t="e">
        <f>装备!#REF!</f>
        <v>#REF!</v>
      </c>
      <c r="AD207" t="e">
        <f>装备!#REF!</f>
        <v>#REF!</v>
      </c>
      <c r="AE207" t="e">
        <f>装备!#REF!</f>
        <v>#REF!</v>
      </c>
      <c r="AF207" t="e">
        <f>装备!#REF!</f>
        <v>#REF!</v>
      </c>
      <c r="AG207" t="e">
        <f>装备!#REF!</f>
        <v>#REF!</v>
      </c>
      <c r="AH207" t="e">
        <f>装备!#REF!</f>
        <v>#REF!</v>
      </c>
      <c r="AI207" t="e">
        <f t="shared" si="44"/>
        <v>#REF!</v>
      </c>
      <c r="AJ207" t="e">
        <f>装备!#REF!</f>
        <v>#REF!</v>
      </c>
      <c r="AK207" t="e">
        <f>装备!#REF!</f>
        <v>#REF!</v>
      </c>
      <c r="AL207" t="e">
        <f>装备!#REF!</f>
        <v>#REF!</v>
      </c>
      <c r="AM207" t="e">
        <f>装备!#REF!</f>
        <v>#REF!</v>
      </c>
      <c r="AN207" t="e">
        <f>装备!#REF!</f>
        <v>#REF!</v>
      </c>
      <c r="AO207" t="e">
        <f>装备!#REF!</f>
        <v>#REF!</v>
      </c>
      <c r="AP207" t="e">
        <f>装备!#REF!</f>
        <v>#REF!</v>
      </c>
      <c r="AQ207" t="e">
        <f>装备!#REF!</f>
        <v>#REF!</v>
      </c>
      <c r="AR207" t="e">
        <f>装备!#REF!</f>
        <v>#REF!</v>
      </c>
      <c r="AS207" t="e">
        <f>装备!#REF!</f>
        <v>#REF!</v>
      </c>
      <c r="AT207" t="e">
        <f t="shared" si="45"/>
        <v>#REF!</v>
      </c>
      <c r="AU207" t="e">
        <f>装备!#REF!</f>
        <v>#REF!</v>
      </c>
      <c r="AV207" t="e">
        <f>装备!#REF!</f>
        <v>#REF!</v>
      </c>
      <c r="AW207" t="e">
        <f>装备!#REF!</f>
        <v>#REF!</v>
      </c>
      <c r="AX207" t="e">
        <f>装备!#REF!</f>
        <v>#REF!</v>
      </c>
      <c r="AY207" t="e">
        <f>装备!#REF!</f>
        <v>#REF!</v>
      </c>
      <c r="AZ207" t="e">
        <f>装备!#REF!</f>
        <v>#REF!</v>
      </c>
      <c r="BA207" t="e">
        <f>装备!#REF!</f>
        <v>#REF!</v>
      </c>
      <c r="BB207" t="e">
        <f>装备!#REF!</f>
        <v>#REF!</v>
      </c>
      <c r="BC207" t="e">
        <f>装备!#REF!</f>
        <v>#REF!</v>
      </c>
      <c r="BD207" t="e">
        <f>装备!#REF!</f>
        <v>#REF!</v>
      </c>
      <c r="BE207" t="e">
        <f t="shared" si="46"/>
        <v>#REF!</v>
      </c>
      <c r="BF207" t="e">
        <f>装备!#REF!</f>
        <v>#REF!</v>
      </c>
      <c r="BG207" t="e">
        <f>装备!#REF!</f>
        <v>#REF!</v>
      </c>
      <c r="BH207" t="e">
        <f>装备!#REF!</f>
        <v>#REF!</v>
      </c>
      <c r="BI207" t="e">
        <f>装备!#REF!</f>
        <v>#REF!</v>
      </c>
      <c r="BJ207" t="e">
        <f>装备!#REF!</f>
        <v>#REF!</v>
      </c>
      <c r="BK207" t="e">
        <f>装备!#REF!</f>
        <v>#REF!</v>
      </c>
      <c r="BL207" t="e">
        <f>装备!#REF!</f>
        <v>#REF!</v>
      </c>
      <c r="BM207" t="e">
        <f>装备!#REF!</f>
        <v>#REF!</v>
      </c>
      <c r="BN207" t="e">
        <f>装备!#REF!</f>
        <v>#REF!</v>
      </c>
      <c r="BO207" t="e">
        <f>装备!#REF!</f>
        <v>#REF!</v>
      </c>
      <c r="BP207" t="e">
        <f t="shared" si="47"/>
        <v>#REF!</v>
      </c>
      <c r="BQ207" t="e">
        <f>装备!#REF!</f>
        <v>#REF!</v>
      </c>
      <c r="BR207" t="e">
        <f>装备!#REF!</f>
        <v>#REF!</v>
      </c>
      <c r="BS207" t="e">
        <f>装备!#REF!</f>
        <v>#REF!</v>
      </c>
      <c r="BT207" t="e">
        <f>装备!#REF!</f>
        <v>#REF!</v>
      </c>
      <c r="BU207" t="e">
        <f>装备!#REF!</f>
        <v>#REF!</v>
      </c>
      <c r="BV207" t="e">
        <f>装备!#REF!</f>
        <v>#REF!</v>
      </c>
      <c r="BW207" t="e">
        <f>装备!#REF!</f>
        <v>#REF!</v>
      </c>
      <c r="BX207" t="e">
        <f>装备!#REF!</f>
        <v>#REF!</v>
      </c>
      <c r="BY207" t="e">
        <f>装备!#REF!</f>
        <v>#REF!</v>
      </c>
      <c r="BZ207" t="e">
        <f>装备!#REF!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装备!#REF!</f>
        <v>#REF!</v>
      </c>
      <c r="B208" t="e">
        <f>装备!#REF!</f>
        <v>#REF!</v>
      </c>
      <c r="C208" t="e">
        <f>装备!#REF!</f>
        <v>#REF!</v>
      </c>
      <c r="D208" t="e">
        <f>装备!#REF!</f>
        <v>#REF!</v>
      </c>
      <c r="E208" t="e">
        <f>装备!#REF!</f>
        <v>#REF!</v>
      </c>
      <c r="F208" t="e">
        <f>装备!#REF!</f>
        <v>#REF!</v>
      </c>
      <c r="G208" t="e">
        <f>装备!#REF!</f>
        <v>#REF!</v>
      </c>
      <c r="H208" t="e">
        <f>装备!#REF!</f>
        <v>#REF!</v>
      </c>
      <c r="I208" t="e">
        <f>装备!#REF!</f>
        <v>#REF!</v>
      </c>
      <c r="J208" t="e">
        <f>装备!#REF!</f>
        <v>#REF!</v>
      </c>
      <c r="K208" t="e">
        <f>装备!#REF!</f>
        <v>#REF!</v>
      </c>
      <c r="L208" t="e">
        <f>装备!#REF!</f>
        <v>#REF!</v>
      </c>
      <c r="M208" t="e">
        <f t="shared" si="42"/>
        <v>#REF!</v>
      </c>
      <c r="N208" t="e">
        <f>装备!#REF!</f>
        <v>#REF!</v>
      </c>
      <c r="O208" t="e">
        <f>装备!#REF!</f>
        <v>#REF!</v>
      </c>
      <c r="P208" t="e">
        <f>装备!#REF!</f>
        <v>#REF!</v>
      </c>
      <c r="Q208" t="e">
        <f>装备!#REF!</f>
        <v>#REF!</v>
      </c>
      <c r="R208" t="e">
        <f>装备!#REF!</f>
        <v>#REF!</v>
      </c>
      <c r="S208" t="e">
        <f>装备!#REF!</f>
        <v>#REF!</v>
      </c>
      <c r="T208" t="e">
        <f>装备!#REF!</f>
        <v>#REF!</v>
      </c>
      <c r="U208" t="e">
        <f>装备!#REF!</f>
        <v>#REF!</v>
      </c>
      <c r="V208" t="e">
        <f>装备!#REF!</f>
        <v>#REF!</v>
      </c>
      <c r="W208" t="e">
        <f>装备!#REF!</f>
        <v>#REF!</v>
      </c>
      <c r="X208" t="e">
        <f t="shared" si="43"/>
        <v>#REF!</v>
      </c>
      <c r="Y208" t="e">
        <f>装备!#REF!</f>
        <v>#REF!</v>
      </c>
      <c r="Z208" t="e">
        <f>装备!#REF!</f>
        <v>#REF!</v>
      </c>
      <c r="AA208" t="e">
        <f>装备!#REF!</f>
        <v>#REF!</v>
      </c>
      <c r="AB208" t="e">
        <f>装备!#REF!</f>
        <v>#REF!</v>
      </c>
      <c r="AC208" t="e">
        <f>装备!#REF!</f>
        <v>#REF!</v>
      </c>
      <c r="AD208" t="e">
        <f>装备!#REF!</f>
        <v>#REF!</v>
      </c>
      <c r="AE208" t="e">
        <f>装备!#REF!</f>
        <v>#REF!</v>
      </c>
      <c r="AF208" t="e">
        <f>装备!#REF!</f>
        <v>#REF!</v>
      </c>
      <c r="AG208" t="e">
        <f>装备!#REF!</f>
        <v>#REF!</v>
      </c>
      <c r="AH208" t="e">
        <f>装备!#REF!</f>
        <v>#REF!</v>
      </c>
      <c r="AI208" t="e">
        <f t="shared" si="44"/>
        <v>#REF!</v>
      </c>
      <c r="AJ208" t="e">
        <f>装备!#REF!</f>
        <v>#REF!</v>
      </c>
      <c r="AK208" t="e">
        <f>装备!#REF!</f>
        <v>#REF!</v>
      </c>
      <c r="AL208" t="e">
        <f>装备!#REF!</f>
        <v>#REF!</v>
      </c>
      <c r="AM208" t="e">
        <f>装备!#REF!</f>
        <v>#REF!</v>
      </c>
      <c r="AN208" t="e">
        <f>装备!#REF!</f>
        <v>#REF!</v>
      </c>
      <c r="AO208" t="e">
        <f>装备!#REF!</f>
        <v>#REF!</v>
      </c>
      <c r="AP208" t="e">
        <f>装备!#REF!</f>
        <v>#REF!</v>
      </c>
      <c r="AQ208" t="e">
        <f>装备!#REF!</f>
        <v>#REF!</v>
      </c>
      <c r="AR208" t="e">
        <f>装备!#REF!</f>
        <v>#REF!</v>
      </c>
      <c r="AS208" t="e">
        <f>装备!#REF!</f>
        <v>#REF!</v>
      </c>
      <c r="AT208" t="e">
        <f t="shared" si="45"/>
        <v>#REF!</v>
      </c>
      <c r="AU208" t="e">
        <f>装备!#REF!</f>
        <v>#REF!</v>
      </c>
      <c r="AV208" t="e">
        <f>装备!#REF!</f>
        <v>#REF!</v>
      </c>
      <c r="AW208" t="e">
        <f>装备!#REF!</f>
        <v>#REF!</v>
      </c>
      <c r="AX208" t="e">
        <f>装备!#REF!</f>
        <v>#REF!</v>
      </c>
      <c r="AY208" t="e">
        <f>装备!#REF!</f>
        <v>#REF!</v>
      </c>
      <c r="AZ208" t="e">
        <f>装备!#REF!</f>
        <v>#REF!</v>
      </c>
      <c r="BA208" t="e">
        <f>装备!#REF!</f>
        <v>#REF!</v>
      </c>
      <c r="BB208" t="e">
        <f>装备!#REF!</f>
        <v>#REF!</v>
      </c>
      <c r="BC208" t="e">
        <f>装备!#REF!</f>
        <v>#REF!</v>
      </c>
      <c r="BD208" t="e">
        <f>装备!#REF!</f>
        <v>#REF!</v>
      </c>
      <c r="BE208" t="e">
        <f t="shared" si="46"/>
        <v>#REF!</v>
      </c>
      <c r="BF208" t="e">
        <f>装备!#REF!</f>
        <v>#REF!</v>
      </c>
      <c r="BG208" t="e">
        <f>装备!#REF!</f>
        <v>#REF!</v>
      </c>
      <c r="BH208" t="e">
        <f>装备!#REF!</f>
        <v>#REF!</v>
      </c>
      <c r="BI208" t="e">
        <f>装备!#REF!</f>
        <v>#REF!</v>
      </c>
      <c r="BJ208" t="e">
        <f>装备!#REF!</f>
        <v>#REF!</v>
      </c>
      <c r="BK208" t="e">
        <f>装备!#REF!</f>
        <v>#REF!</v>
      </c>
      <c r="BL208" t="e">
        <f>装备!#REF!</f>
        <v>#REF!</v>
      </c>
      <c r="BM208" t="e">
        <f>装备!#REF!</f>
        <v>#REF!</v>
      </c>
      <c r="BN208" t="e">
        <f>装备!#REF!</f>
        <v>#REF!</v>
      </c>
      <c r="BO208" t="e">
        <f>装备!#REF!</f>
        <v>#REF!</v>
      </c>
      <c r="BP208" t="e">
        <f t="shared" si="47"/>
        <v>#REF!</v>
      </c>
      <c r="BQ208" t="e">
        <f>装备!#REF!</f>
        <v>#REF!</v>
      </c>
      <c r="BR208" t="e">
        <f>装备!#REF!</f>
        <v>#REF!</v>
      </c>
      <c r="BS208" t="e">
        <f>装备!#REF!</f>
        <v>#REF!</v>
      </c>
      <c r="BT208" t="e">
        <f>装备!#REF!</f>
        <v>#REF!</v>
      </c>
      <c r="BU208" t="e">
        <f>装备!#REF!</f>
        <v>#REF!</v>
      </c>
      <c r="BV208" t="e">
        <f>装备!#REF!</f>
        <v>#REF!</v>
      </c>
      <c r="BW208" t="e">
        <f>装备!#REF!</f>
        <v>#REF!</v>
      </c>
      <c r="BX208" t="e">
        <f>装备!#REF!</f>
        <v>#REF!</v>
      </c>
      <c r="BY208" t="e">
        <f>装备!#REF!</f>
        <v>#REF!</v>
      </c>
      <c r="BZ208" t="e">
        <f>装备!#REF!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装备!#REF!</f>
        <v>#REF!</v>
      </c>
      <c r="B209" t="e">
        <f>装备!#REF!</f>
        <v>#REF!</v>
      </c>
      <c r="C209" t="e">
        <f>装备!#REF!</f>
        <v>#REF!</v>
      </c>
      <c r="D209" t="e">
        <f>装备!#REF!</f>
        <v>#REF!</v>
      </c>
      <c r="E209" t="e">
        <f>装备!#REF!</f>
        <v>#REF!</v>
      </c>
      <c r="F209" t="e">
        <f>装备!#REF!</f>
        <v>#REF!</v>
      </c>
      <c r="G209" t="e">
        <f>装备!#REF!</f>
        <v>#REF!</v>
      </c>
      <c r="H209" t="e">
        <f>装备!#REF!</f>
        <v>#REF!</v>
      </c>
      <c r="I209" t="e">
        <f>装备!#REF!</f>
        <v>#REF!</v>
      </c>
      <c r="J209" t="e">
        <f>装备!#REF!</f>
        <v>#REF!</v>
      </c>
      <c r="K209" t="e">
        <f>装备!#REF!</f>
        <v>#REF!</v>
      </c>
      <c r="L209" t="e">
        <f>装备!#REF!</f>
        <v>#REF!</v>
      </c>
      <c r="M209" t="e">
        <f t="shared" si="42"/>
        <v>#REF!</v>
      </c>
      <c r="N209" t="e">
        <f>装备!#REF!</f>
        <v>#REF!</v>
      </c>
      <c r="O209" t="e">
        <f>装备!#REF!</f>
        <v>#REF!</v>
      </c>
      <c r="P209" t="e">
        <f>装备!#REF!</f>
        <v>#REF!</v>
      </c>
      <c r="Q209" t="e">
        <f>装备!#REF!</f>
        <v>#REF!</v>
      </c>
      <c r="R209" t="e">
        <f>装备!#REF!</f>
        <v>#REF!</v>
      </c>
      <c r="S209" t="e">
        <f>装备!#REF!</f>
        <v>#REF!</v>
      </c>
      <c r="T209" t="e">
        <f>装备!#REF!</f>
        <v>#REF!</v>
      </c>
      <c r="U209" t="e">
        <f>装备!#REF!</f>
        <v>#REF!</v>
      </c>
      <c r="V209" t="e">
        <f>装备!#REF!</f>
        <v>#REF!</v>
      </c>
      <c r="W209" t="e">
        <f>装备!#REF!</f>
        <v>#REF!</v>
      </c>
      <c r="X209" t="e">
        <f t="shared" si="43"/>
        <v>#REF!</v>
      </c>
      <c r="Y209" t="e">
        <f>装备!#REF!</f>
        <v>#REF!</v>
      </c>
      <c r="Z209" t="e">
        <f>装备!#REF!</f>
        <v>#REF!</v>
      </c>
      <c r="AA209" t="e">
        <f>装备!#REF!</f>
        <v>#REF!</v>
      </c>
      <c r="AB209" t="e">
        <f>装备!#REF!</f>
        <v>#REF!</v>
      </c>
      <c r="AC209" t="e">
        <f>装备!#REF!</f>
        <v>#REF!</v>
      </c>
      <c r="AD209" t="e">
        <f>装备!#REF!</f>
        <v>#REF!</v>
      </c>
      <c r="AE209" t="e">
        <f>装备!#REF!</f>
        <v>#REF!</v>
      </c>
      <c r="AF209" t="e">
        <f>装备!#REF!</f>
        <v>#REF!</v>
      </c>
      <c r="AG209" t="e">
        <f>装备!#REF!</f>
        <v>#REF!</v>
      </c>
      <c r="AH209" t="e">
        <f>装备!#REF!</f>
        <v>#REF!</v>
      </c>
      <c r="AI209" t="e">
        <f t="shared" si="44"/>
        <v>#REF!</v>
      </c>
      <c r="AJ209" t="e">
        <f>装备!#REF!</f>
        <v>#REF!</v>
      </c>
      <c r="AK209" t="e">
        <f>装备!#REF!</f>
        <v>#REF!</v>
      </c>
      <c r="AL209" t="e">
        <f>装备!#REF!</f>
        <v>#REF!</v>
      </c>
      <c r="AM209" t="e">
        <f>装备!#REF!</f>
        <v>#REF!</v>
      </c>
      <c r="AN209" t="e">
        <f>装备!#REF!</f>
        <v>#REF!</v>
      </c>
      <c r="AO209" t="e">
        <f>装备!#REF!</f>
        <v>#REF!</v>
      </c>
      <c r="AP209" t="e">
        <f>装备!#REF!</f>
        <v>#REF!</v>
      </c>
      <c r="AQ209" t="e">
        <f>装备!#REF!</f>
        <v>#REF!</v>
      </c>
      <c r="AR209" t="e">
        <f>装备!#REF!</f>
        <v>#REF!</v>
      </c>
      <c r="AS209" t="e">
        <f>装备!#REF!</f>
        <v>#REF!</v>
      </c>
      <c r="AT209" t="e">
        <f t="shared" si="45"/>
        <v>#REF!</v>
      </c>
      <c r="AU209" t="e">
        <f>装备!#REF!</f>
        <v>#REF!</v>
      </c>
      <c r="AV209" t="e">
        <f>装备!#REF!</f>
        <v>#REF!</v>
      </c>
      <c r="AW209" t="e">
        <f>装备!#REF!</f>
        <v>#REF!</v>
      </c>
      <c r="AX209" t="e">
        <f>装备!#REF!</f>
        <v>#REF!</v>
      </c>
      <c r="AY209" t="e">
        <f>装备!#REF!</f>
        <v>#REF!</v>
      </c>
      <c r="AZ209" t="e">
        <f>装备!#REF!</f>
        <v>#REF!</v>
      </c>
      <c r="BA209" t="e">
        <f>装备!#REF!</f>
        <v>#REF!</v>
      </c>
      <c r="BB209" t="e">
        <f>装备!#REF!</f>
        <v>#REF!</v>
      </c>
      <c r="BC209" t="e">
        <f>装备!#REF!</f>
        <v>#REF!</v>
      </c>
      <c r="BD209" t="e">
        <f>装备!#REF!</f>
        <v>#REF!</v>
      </c>
      <c r="BE209" t="e">
        <f t="shared" si="46"/>
        <v>#REF!</v>
      </c>
      <c r="BF209" t="e">
        <f>装备!#REF!</f>
        <v>#REF!</v>
      </c>
      <c r="BG209" t="e">
        <f>装备!#REF!</f>
        <v>#REF!</v>
      </c>
      <c r="BH209" t="e">
        <f>装备!#REF!</f>
        <v>#REF!</v>
      </c>
      <c r="BI209" t="e">
        <f>装备!#REF!</f>
        <v>#REF!</v>
      </c>
      <c r="BJ209" t="e">
        <f>装备!#REF!</f>
        <v>#REF!</v>
      </c>
      <c r="BK209" t="e">
        <f>装备!#REF!</f>
        <v>#REF!</v>
      </c>
      <c r="BL209" t="e">
        <f>装备!#REF!</f>
        <v>#REF!</v>
      </c>
      <c r="BM209" t="e">
        <f>装备!#REF!</f>
        <v>#REF!</v>
      </c>
      <c r="BN209" t="e">
        <f>装备!#REF!</f>
        <v>#REF!</v>
      </c>
      <c r="BO209" t="e">
        <f>装备!#REF!</f>
        <v>#REF!</v>
      </c>
      <c r="BP209" t="e">
        <f t="shared" si="47"/>
        <v>#REF!</v>
      </c>
      <c r="BQ209" t="e">
        <f>装备!#REF!</f>
        <v>#REF!</v>
      </c>
      <c r="BR209" t="e">
        <f>装备!#REF!</f>
        <v>#REF!</v>
      </c>
      <c r="BS209" t="e">
        <f>装备!#REF!</f>
        <v>#REF!</v>
      </c>
      <c r="BT209" t="e">
        <f>装备!#REF!</f>
        <v>#REF!</v>
      </c>
      <c r="BU209" t="e">
        <f>装备!#REF!</f>
        <v>#REF!</v>
      </c>
      <c r="BV209" t="e">
        <f>装备!#REF!</f>
        <v>#REF!</v>
      </c>
      <c r="BW209" t="e">
        <f>装备!#REF!</f>
        <v>#REF!</v>
      </c>
      <c r="BX209" t="e">
        <f>装备!#REF!</f>
        <v>#REF!</v>
      </c>
      <c r="BY209" t="e">
        <f>装备!#REF!</f>
        <v>#REF!</v>
      </c>
      <c r="BZ209" t="e">
        <f>装备!#REF!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装备!#REF!</f>
        <v>#REF!</v>
      </c>
      <c r="B210" t="e">
        <f>装备!#REF!</f>
        <v>#REF!</v>
      </c>
      <c r="C210" t="e">
        <f>装备!#REF!</f>
        <v>#REF!</v>
      </c>
      <c r="D210" t="e">
        <f>装备!#REF!</f>
        <v>#REF!</v>
      </c>
      <c r="E210" t="e">
        <f>装备!#REF!</f>
        <v>#REF!</v>
      </c>
      <c r="F210" t="e">
        <f>装备!#REF!</f>
        <v>#REF!</v>
      </c>
      <c r="G210" t="e">
        <f>装备!#REF!</f>
        <v>#REF!</v>
      </c>
      <c r="H210" t="e">
        <f>装备!#REF!</f>
        <v>#REF!</v>
      </c>
      <c r="I210" t="e">
        <f>装备!#REF!</f>
        <v>#REF!</v>
      </c>
      <c r="J210" t="e">
        <f>装备!#REF!</f>
        <v>#REF!</v>
      </c>
      <c r="K210" t="e">
        <f>装备!#REF!</f>
        <v>#REF!</v>
      </c>
      <c r="L210" t="e">
        <f>装备!#REF!</f>
        <v>#REF!</v>
      </c>
      <c r="M210" t="e">
        <f t="shared" si="42"/>
        <v>#REF!</v>
      </c>
      <c r="N210" t="e">
        <f>装备!#REF!</f>
        <v>#REF!</v>
      </c>
      <c r="O210" t="e">
        <f>装备!#REF!</f>
        <v>#REF!</v>
      </c>
      <c r="P210" t="e">
        <f>装备!#REF!</f>
        <v>#REF!</v>
      </c>
      <c r="Q210" t="e">
        <f>装备!#REF!</f>
        <v>#REF!</v>
      </c>
      <c r="R210" t="e">
        <f>装备!#REF!</f>
        <v>#REF!</v>
      </c>
      <c r="S210" t="e">
        <f>装备!#REF!</f>
        <v>#REF!</v>
      </c>
      <c r="T210" t="e">
        <f>装备!#REF!</f>
        <v>#REF!</v>
      </c>
      <c r="U210" t="e">
        <f>装备!#REF!</f>
        <v>#REF!</v>
      </c>
      <c r="V210" t="e">
        <f>装备!#REF!</f>
        <v>#REF!</v>
      </c>
      <c r="W210" t="e">
        <f>装备!#REF!</f>
        <v>#REF!</v>
      </c>
      <c r="X210" t="e">
        <f t="shared" si="43"/>
        <v>#REF!</v>
      </c>
      <c r="Y210" t="e">
        <f>装备!#REF!</f>
        <v>#REF!</v>
      </c>
      <c r="Z210" t="e">
        <f>装备!#REF!</f>
        <v>#REF!</v>
      </c>
      <c r="AA210" t="e">
        <f>装备!#REF!</f>
        <v>#REF!</v>
      </c>
      <c r="AB210" t="e">
        <f>装备!#REF!</f>
        <v>#REF!</v>
      </c>
      <c r="AC210" t="e">
        <f>装备!#REF!</f>
        <v>#REF!</v>
      </c>
      <c r="AD210" t="e">
        <f>装备!#REF!</f>
        <v>#REF!</v>
      </c>
      <c r="AE210" t="e">
        <f>装备!#REF!</f>
        <v>#REF!</v>
      </c>
      <c r="AF210" t="e">
        <f>装备!#REF!</f>
        <v>#REF!</v>
      </c>
      <c r="AG210" t="e">
        <f>装备!#REF!</f>
        <v>#REF!</v>
      </c>
      <c r="AH210" t="e">
        <f>装备!#REF!</f>
        <v>#REF!</v>
      </c>
      <c r="AI210" t="e">
        <f t="shared" si="44"/>
        <v>#REF!</v>
      </c>
      <c r="AJ210" t="e">
        <f>装备!#REF!</f>
        <v>#REF!</v>
      </c>
      <c r="AK210" t="e">
        <f>装备!#REF!</f>
        <v>#REF!</v>
      </c>
      <c r="AL210" t="e">
        <f>装备!#REF!</f>
        <v>#REF!</v>
      </c>
      <c r="AM210" t="e">
        <f>装备!#REF!</f>
        <v>#REF!</v>
      </c>
      <c r="AN210" t="e">
        <f>装备!#REF!</f>
        <v>#REF!</v>
      </c>
      <c r="AO210" t="e">
        <f>装备!#REF!</f>
        <v>#REF!</v>
      </c>
      <c r="AP210" t="e">
        <f>装备!#REF!</f>
        <v>#REF!</v>
      </c>
      <c r="AQ210" t="e">
        <f>装备!#REF!</f>
        <v>#REF!</v>
      </c>
      <c r="AR210" t="e">
        <f>装备!#REF!</f>
        <v>#REF!</v>
      </c>
      <c r="AS210" t="e">
        <f>装备!#REF!</f>
        <v>#REF!</v>
      </c>
      <c r="AT210" t="e">
        <f t="shared" si="45"/>
        <v>#REF!</v>
      </c>
      <c r="AU210" t="e">
        <f>装备!#REF!</f>
        <v>#REF!</v>
      </c>
      <c r="AV210" t="e">
        <f>装备!#REF!</f>
        <v>#REF!</v>
      </c>
      <c r="AW210" t="e">
        <f>装备!#REF!</f>
        <v>#REF!</v>
      </c>
      <c r="AX210" t="e">
        <f>装备!#REF!</f>
        <v>#REF!</v>
      </c>
      <c r="AY210" t="e">
        <f>装备!#REF!</f>
        <v>#REF!</v>
      </c>
      <c r="AZ210" t="e">
        <f>装备!#REF!</f>
        <v>#REF!</v>
      </c>
      <c r="BA210" t="e">
        <f>装备!#REF!</f>
        <v>#REF!</v>
      </c>
      <c r="BB210" t="e">
        <f>装备!#REF!</f>
        <v>#REF!</v>
      </c>
      <c r="BC210" t="e">
        <f>装备!#REF!</f>
        <v>#REF!</v>
      </c>
      <c r="BD210" t="e">
        <f>装备!#REF!</f>
        <v>#REF!</v>
      </c>
      <c r="BE210" t="e">
        <f t="shared" si="46"/>
        <v>#REF!</v>
      </c>
      <c r="BF210" t="e">
        <f>装备!#REF!</f>
        <v>#REF!</v>
      </c>
      <c r="BG210" t="e">
        <f>装备!#REF!</f>
        <v>#REF!</v>
      </c>
      <c r="BH210" t="e">
        <f>装备!#REF!</f>
        <v>#REF!</v>
      </c>
      <c r="BI210" t="e">
        <f>装备!#REF!</f>
        <v>#REF!</v>
      </c>
      <c r="BJ210" t="e">
        <f>装备!#REF!</f>
        <v>#REF!</v>
      </c>
      <c r="BK210" t="e">
        <f>装备!#REF!</f>
        <v>#REF!</v>
      </c>
      <c r="BL210" t="e">
        <f>装备!#REF!</f>
        <v>#REF!</v>
      </c>
      <c r="BM210" t="e">
        <f>装备!#REF!</f>
        <v>#REF!</v>
      </c>
      <c r="BN210" t="e">
        <f>装备!#REF!</f>
        <v>#REF!</v>
      </c>
      <c r="BO210" t="e">
        <f>装备!#REF!</f>
        <v>#REF!</v>
      </c>
      <c r="BP210" t="e">
        <f t="shared" si="47"/>
        <v>#REF!</v>
      </c>
      <c r="BQ210" t="e">
        <f>装备!#REF!</f>
        <v>#REF!</v>
      </c>
      <c r="BR210" t="e">
        <f>装备!#REF!</f>
        <v>#REF!</v>
      </c>
      <c r="BS210" t="e">
        <f>装备!#REF!</f>
        <v>#REF!</v>
      </c>
      <c r="BT210" t="e">
        <f>装备!#REF!</f>
        <v>#REF!</v>
      </c>
      <c r="BU210" t="e">
        <f>装备!#REF!</f>
        <v>#REF!</v>
      </c>
      <c r="BV210" t="e">
        <f>装备!#REF!</f>
        <v>#REF!</v>
      </c>
      <c r="BW210" t="e">
        <f>装备!#REF!</f>
        <v>#REF!</v>
      </c>
      <c r="BX210" t="e">
        <f>装备!#REF!</f>
        <v>#REF!</v>
      </c>
      <c r="BY210" t="e">
        <f>装备!#REF!</f>
        <v>#REF!</v>
      </c>
      <c r="BZ210" t="e">
        <f>装备!#REF!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装备!#REF!</f>
        <v>#REF!</v>
      </c>
      <c r="B211" t="e">
        <f>装备!#REF!</f>
        <v>#REF!</v>
      </c>
      <c r="C211" t="e">
        <f>装备!#REF!</f>
        <v>#REF!</v>
      </c>
      <c r="D211" t="e">
        <f>装备!#REF!</f>
        <v>#REF!</v>
      </c>
      <c r="E211" t="e">
        <f>装备!#REF!</f>
        <v>#REF!</v>
      </c>
      <c r="F211" t="e">
        <f>装备!#REF!</f>
        <v>#REF!</v>
      </c>
      <c r="G211" t="e">
        <f>装备!#REF!</f>
        <v>#REF!</v>
      </c>
      <c r="H211" t="e">
        <f>装备!#REF!</f>
        <v>#REF!</v>
      </c>
      <c r="I211" t="e">
        <f>装备!#REF!</f>
        <v>#REF!</v>
      </c>
      <c r="J211" t="e">
        <f>装备!#REF!</f>
        <v>#REF!</v>
      </c>
      <c r="K211" t="e">
        <f>装备!#REF!</f>
        <v>#REF!</v>
      </c>
      <c r="L211" t="e">
        <f>装备!#REF!</f>
        <v>#REF!</v>
      </c>
      <c r="M211" t="e">
        <f t="shared" si="42"/>
        <v>#REF!</v>
      </c>
      <c r="N211" t="e">
        <f>装备!#REF!</f>
        <v>#REF!</v>
      </c>
      <c r="O211" t="e">
        <f>装备!#REF!</f>
        <v>#REF!</v>
      </c>
      <c r="P211" t="e">
        <f>装备!#REF!</f>
        <v>#REF!</v>
      </c>
      <c r="Q211" t="e">
        <f>装备!#REF!</f>
        <v>#REF!</v>
      </c>
      <c r="R211" t="e">
        <f>装备!#REF!</f>
        <v>#REF!</v>
      </c>
      <c r="S211" t="e">
        <f>装备!#REF!</f>
        <v>#REF!</v>
      </c>
      <c r="T211" t="e">
        <f>装备!#REF!</f>
        <v>#REF!</v>
      </c>
      <c r="U211" t="e">
        <f>装备!#REF!</f>
        <v>#REF!</v>
      </c>
      <c r="V211" t="e">
        <f>装备!#REF!</f>
        <v>#REF!</v>
      </c>
      <c r="W211" t="e">
        <f>装备!#REF!</f>
        <v>#REF!</v>
      </c>
      <c r="X211" t="e">
        <f t="shared" si="43"/>
        <v>#REF!</v>
      </c>
      <c r="Y211" t="e">
        <f>装备!#REF!</f>
        <v>#REF!</v>
      </c>
      <c r="Z211" t="e">
        <f>装备!#REF!</f>
        <v>#REF!</v>
      </c>
      <c r="AA211" t="e">
        <f>装备!#REF!</f>
        <v>#REF!</v>
      </c>
      <c r="AB211" t="e">
        <f>装备!#REF!</f>
        <v>#REF!</v>
      </c>
      <c r="AC211" t="e">
        <f>装备!#REF!</f>
        <v>#REF!</v>
      </c>
      <c r="AD211" t="e">
        <f>装备!#REF!</f>
        <v>#REF!</v>
      </c>
      <c r="AE211" t="e">
        <f>装备!#REF!</f>
        <v>#REF!</v>
      </c>
      <c r="AF211" t="e">
        <f>装备!#REF!</f>
        <v>#REF!</v>
      </c>
      <c r="AG211" t="e">
        <f>装备!#REF!</f>
        <v>#REF!</v>
      </c>
      <c r="AH211" t="e">
        <f>装备!#REF!</f>
        <v>#REF!</v>
      </c>
      <c r="AI211" t="e">
        <f t="shared" si="44"/>
        <v>#REF!</v>
      </c>
      <c r="AJ211" t="e">
        <f>装备!#REF!</f>
        <v>#REF!</v>
      </c>
      <c r="AK211" t="e">
        <f>装备!#REF!</f>
        <v>#REF!</v>
      </c>
      <c r="AL211" t="e">
        <f>装备!#REF!</f>
        <v>#REF!</v>
      </c>
      <c r="AM211" t="e">
        <f>装备!#REF!</f>
        <v>#REF!</v>
      </c>
      <c r="AN211" t="e">
        <f>装备!#REF!</f>
        <v>#REF!</v>
      </c>
      <c r="AO211" t="e">
        <f>装备!#REF!</f>
        <v>#REF!</v>
      </c>
      <c r="AP211" t="e">
        <f>装备!#REF!</f>
        <v>#REF!</v>
      </c>
      <c r="AQ211" t="e">
        <f>装备!#REF!</f>
        <v>#REF!</v>
      </c>
      <c r="AR211" t="e">
        <f>装备!#REF!</f>
        <v>#REF!</v>
      </c>
      <c r="AS211" t="e">
        <f>装备!#REF!</f>
        <v>#REF!</v>
      </c>
      <c r="AT211" t="e">
        <f t="shared" si="45"/>
        <v>#REF!</v>
      </c>
      <c r="AU211" t="e">
        <f>装备!#REF!</f>
        <v>#REF!</v>
      </c>
      <c r="AV211" t="e">
        <f>装备!#REF!</f>
        <v>#REF!</v>
      </c>
      <c r="AW211" t="e">
        <f>装备!#REF!</f>
        <v>#REF!</v>
      </c>
      <c r="AX211" t="e">
        <f>装备!#REF!</f>
        <v>#REF!</v>
      </c>
      <c r="AY211" t="e">
        <f>装备!#REF!</f>
        <v>#REF!</v>
      </c>
      <c r="AZ211" t="e">
        <f>装备!#REF!</f>
        <v>#REF!</v>
      </c>
      <c r="BA211" t="e">
        <f>装备!#REF!</f>
        <v>#REF!</v>
      </c>
      <c r="BB211" t="e">
        <f>装备!#REF!</f>
        <v>#REF!</v>
      </c>
      <c r="BC211" t="e">
        <f>装备!#REF!</f>
        <v>#REF!</v>
      </c>
      <c r="BD211" t="e">
        <f>装备!#REF!</f>
        <v>#REF!</v>
      </c>
      <c r="BE211" t="e">
        <f t="shared" si="46"/>
        <v>#REF!</v>
      </c>
      <c r="BF211" t="e">
        <f>装备!#REF!</f>
        <v>#REF!</v>
      </c>
      <c r="BG211" t="e">
        <f>装备!#REF!</f>
        <v>#REF!</v>
      </c>
      <c r="BH211" t="e">
        <f>装备!#REF!</f>
        <v>#REF!</v>
      </c>
      <c r="BI211" t="e">
        <f>装备!#REF!</f>
        <v>#REF!</v>
      </c>
      <c r="BJ211" t="e">
        <f>装备!#REF!</f>
        <v>#REF!</v>
      </c>
      <c r="BK211" t="e">
        <f>装备!#REF!</f>
        <v>#REF!</v>
      </c>
      <c r="BL211" t="e">
        <f>装备!#REF!</f>
        <v>#REF!</v>
      </c>
      <c r="BM211" t="e">
        <f>装备!#REF!</f>
        <v>#REF!</v>
      </c>
      <c r="BN211" t="e">
        <f>装备!#REF!</f>
        <v>#REF!</v>
      </c>
      <c r="BO211" t="e">
        <f>装备!#REF!</f>
        <v>#REF!</v>
      </c>
      <c r="BP211" t="e">
        <f t="shared" si="47"/>
        <v>#REF!</v>
      </c>
      <c r="BQ211" t="e">
        <f>装备!#REF!</f>
        <v>#REF!</v>
      </c>
      <c r="BR211" t="e">
        <f>装备!#REF!</f>
        <v>#REF!</v>
      </c>
      <c r="BS211" t="e">
        <f>装备!#REF!</f>
        <v>#REF!</v>
      </c>
      <c r="BT211" t="e">
        <f>装备!#REF!</f>
        <v>#REF!</v>
      </c>
      <c r="BU211" t="e">
        <f>装备!#REF!</f>
        <v>#REF!</v>
      </c>
      <c r="BV211" t="e">
        <f>装备!#REF!</f>
        <v>#REF!</v>
      </c>
      <c r="BW211" t="e">
        <f>装备!#REF!</f>
        <v>#REF!</v>
      </c>
      <c r="BX211" t="e">
        <f>装备!#REF!</f>
        <v>#REF!</v>
      </c>
      <c r="BY211" t="e">
        <f>装备!#REF!</f>
        <v>#REF!</v>
      </c>
      <c r="BZ211" t="e">
        <f>装备!#REF!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装备!#REF!</f>
        <v>#REF!</v>
      </c>
      <c r="B212" t="e">
        <f>装备!#REF!</f>
        <v>#REF!</v>
      </c>
      <c r="C212" t="e">
        <f>装备!#REF!</f>
        <v>#REF!</v>
      </c>
      <c r="D212" t="e">
        <f>装备!#REF!</f>
        <v>#REF!</v>
      </c>
      <c r="E212" t="e">
        <f>装备!#REF!</f>
        <v>#REF!</v>
      </c>
      <c r="F212" t="e">
        <f>装备!#REF!</f>
        <v>#REF!</v>
      </c>
      <c r="G212" t="e">
        <f>装备!#REF!</f>
        <v>#REF!</v>
      </c>
      <c r="H212" t="e">
        <f>装备!#REF!</f>
        <v>#REF!</v>
      </c>
      <c r="I212" t="e">
        <f>装备!#REF!</f>
        <v>#REF!</v>
      </c>
      <c r="J212" t="e">
        <f>装备!#REF!</f>
        <v>#REF!</v>
      </c>
      <c r="K212" t="e">
        <f>装备!#REF!</f>
        <v>#REF!</v>
      </c>
      <c r="L212" t="e">
        <f>装备!#REF!</f>
        <v>#REF!</v>
      </c>
      <c r="M212" t="e">
        <f t="shared" si="42"/>
        <v>#REF!</v>
      </c>
      <c r="N212" t="e">
        <f>装备!#REF!</f>
        <v>#REF!</v>
      </c>
      <c r="O212" t="e">
        <f>装备!#REF!</f>
        <v>#REF!</v>
      </c>
      <c r="P212" t="e">
        <f>装备!#REF!</f>
        <v>#REF!</v>
      </c>
      <c r="Q212" t="e">
        <f>装备!#REF!</f>
        <v>#REF!</v>
      </c>
      <c r="R212" t="e">
        <f>装备!#REF!</f>
        <v>#REF!</v>
      </c>
      <c r="S212" t="e">
        <f>装备!#REF!</f>
        <v>#REF!</v>
      </c>
      <c r="T212" t="e">
        <f>装备!#REF!</f>
        <v>#REF!</v>
      </c>
      <c r="U212" t="e">
        <f>装备!#REF!</f>
        <v>#REF!</v>
      </c>
      <c r="V212" t="e">
        <f>装备!#REF!</f>
        <v>#REF!</v>
      </c>
      <c r="W212" t="e">
        <f>装备!#REF!</f>
        <v>#REF!</v>
      </c>
      <c r="X212" t="e">
        <f t="shared" si="43"/>
        <v>#REF!</v>
      </c>
      <c r="Y212" t="e">
        <f>装备!#REF!</f>
        <v>#REF!</v>
      </c>
      <c r="Z212" t="e">
        <f>装备!#REF!</f>
        <v>#REF!</v>
      </c>
      <c r="AA212" t="e">
        <f>装备!#REF!</f>
        <v>#REF!</v>
      </c>
      <c r="AB212" t="e">
        <f>装备!#REF!</f>
        <v>#REF!</v>
      </c>
      <c r="AC212" t="e">
        <f>装备!#REF!</f>
        <v>#REF!</v>
      </c>
      <c r="AD212" t="e">
        <f>装备!#REF!</f>
        <v>#REF!</v>
      </c>
      <c r="AE212" t="e">
        <f>装备!#REF!</f>
        <v>#REF!</v>
      </c>
      <c r="AF212" t="e">
        <f>装备!#REF!</f>
        <v>#REF!</v>
      </c>
      <c r="AG212" t="e">
        <f>装备!#REF!</f>
        <v>#REF!</v>
      </c>
      <c r="AH212" t="e">
        <f>装备!#REF!</f>
        <v>#REF!</v>
      </c>
      <c r="AI212" t="e">
        <f t="shared" si="44"/>
        <v>#REF!</v>
      </c>
      <c r="AJ212" t="e">
        <f>装备!#REF!</f>
        <v>#REF!</v>
      </c>
      <c r="AK212" t="e">
        <f>装备!#REF!</f>
        <v>#REF!</v>
      </c>
      <c r="AL212" t="e">
        <f>装备!#REF!</f>
        <v>#REF!</v>
      </c>
      <c r="AM212" t="e">
        <f>装备!#REF!</f>
        <v>#REF!</v>
      </c>
      <c r="AN212" t="e">
        <f>装备!#REF!</f>
        <v>#REF!</v>
      </c>
      <c r="AO212" t="e">
        <f>装备!#REF!</f>
        <v>#REF!</v>
      </c>
      <c r="AP212" t="e">
        <f>装备!#REF!</f>
        <v>#REF!</v>
      </c>
      <c r="AQ212" t="e">
        <f>装备!#REF!</f>
        <v>#REF!</v>
      </c>
      <c r="AR212" t="e">
        <f>装备!#REF!</f>
        <v>#REF!</v>
      </c>
      <c r="AS212" t="e">
        <f>装备!#REF!</f>
        <v>#REF!</v>
      </c>
      <c r="AT212" t="e">
        <f t="shared" si="45"/>
        <v>#REF!</v>
      </c>
      <c r="AU212" t="e">
        <f>装备!#REF!</f>
        <v>#REF!</v>
      </c>
      <c r="AV212" t="e">
        <f>装备!#REF!</f>
        <v>#REF!</v>
      </c>
      <c r="AW212" t="e">
        <f>装备!#REF!</f>
        <v>#REF!</v>
      </c>
      <c r="AX212" t="e">
        <f>装备!#REF!</f>
        <v>#REF!</v>
      </c>
      <c r="AY212" t="e">
        <f>装备!#REF!</f>
        <v>#REF!</v>
      </c>
      <c r="AZ212" t="e">
        <f>装备!#REF!</f>
        <v>#REF!</v>
      </c>
      <c r="BA212" t="e">
        <f>装备!#REF!</f>
        <v>#REF!</v>
      </c>
      <c r="BB212" t="e">
        <f>装备!#REF!</f>
        <v>#REF!</v>
      </c>
      <c r="BC212" t="e">
        <f>装备!#REF!</f>
        <v>#REF!</v>
      </c>
      <c r="BD212" t="e">
        <f>装备!#REF!</f>
        <v>#REF!</v>
      </c>
      <c r="BE212" t="e">
        <f t="shared" si="46"/>
        <v>#REF!</v>
      </c>
      <c r="BF212" t="e">
        <f>装备!#REF!</f>
        <v>#REF!</v>
      </c>
      <c r="BG212" t="e">
        <f>装备!#REF!</f>
        <v>#REF!</v>
      </c>
      <c r="BH212" t="e">
        <f>装备!#REF!</f>
        <v>#REF!</v>
      </c>
      <c r="BI212" t="e">
        <f>装备!#REF!</f>
        <v>#REF!</v>
      </c>
      <c r="BJ212" t="e">
        <f>装备!#REF!</f>
        <v>#REF!</v>
      </c>
      <c r="BK212" t="e">
        <f>装备!#REF!</f>
        <v>#REF!</v>
      </c>
      <c r="BL212" t="e">
        <f>装备!#REF!</f>
        <v>#REF!</v>
      </c>
      <c r="BM212" t="e">
        <f>装备!#REF!</f>
        <v>#REF!</v>
      </c>
      <c r="BN212" t="e">
        <f>装备!#REF!</f>
        <v>#REF!</v>
      </c>
      <c r="BO212" t="e">
        <f>装备!#REF!</f>
        <v>#REF!</v>
      </c>
      <c r="BP212" t="e">
        <f t="shared" si="47"/>
        <v>#REF!</v>
      </c>
      <c r="BQ212" t="e">
        <f>装备!#REF!</f>
        <v>#REF!</v>
      </c>
      <c r="BR212" t="e">
        <f>装备!#REF!</f>
        <v>#REF!</v>
      </c>
      <c r="BS212" t="e">
        <f>装备!#REF!</f>
        <v>#REF!</v>
      </c>
      <c r="BT212" t="e">
        <f>装备!#REF!</f>
        <v>#REF!</v>
      </c>
      <c r="BU212" t="e">
        <f>装备!#REF!</f>
        <v>#REF!</v>
      </c>
      <c r="BV212" t="e">
        <f>装备!#REF!</f>
        <v>#REF!</v>
      </c>
      <c r="BW212" t="e">
        <f>装备!#REF!</f>
        <v>#REF!</v>
      </c>
      <c r="BX212" t="e">
        <f>装备!#REF!</f>
        <v>#REF!</v>
      </c>
      <c r="BY212" t="e">
        <f>装备!#REF!</f>
        <v>#REF!</v>
      </c>
      <c r="BZ212" t="e">
        <f>装备!#REF!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装备!#REF!</f>
        <v>#REF!</v>
      </c>
      <c r="B213" t="e">
        <f>装备!#REF!</f>
        <v>#REF!</v>
      </c>
      <c r="C213" t="e">
        <f>装备!#REF!</f>
        <v>#REF!</v>
      </c>
      <c r="D213" t="e">
        <f>装备!#REF!</f>
        <v>#REF!</v>
      </c>
      <c r="E213" t="e">
        <f>装备!#REF!</f>
        <v>#REF!</v>
      </c>
      <c r="F213" t="e">
        <f>装备!#REF!</f>
        <v>#REF!</v>
      </c>
      <c r="G213" t="e">
        <f>装备!#REF!</f>
        <v>#REF!</v>
      </c>
      <c r="H213" t="e">
        <f>装备!#REF!</f>
        <v>#REF!</v>
      </c>
      <c r="I213" t="e">
        <f>装备!#REF!</f>
        <v>#REF!</v>
      </c>
      <c r="J213" t="e">
        <f>装备!#REF!</f>
        <v>#REF!</v>
      </c>
      <c r="K213" t="e">
        <f>装备!#REF!</f>
        <v>#REF!</v>
      </c>
      <c r="L213" t="e">
        <f>装备!#REF!</f>
        <v>#REF!</v>
      </c>
      <c r="M213" t="e">
        <f t="shared" si="42"/>
        <v>#REF!</v>
      </c>
      <c r="N213" t="e">
        <f>装备!#REF!</f>
        <v>#REF!</v>
      </c>
      <c r="O213" t="e">
        <f>装备!#REF!</f>
        <v>#REF!</v>
      </c>
      <c r="P213" t="e">
        <f>装备!#REF!</f>
        <v>#REF!</v>
      </c>
      <c r="Q213" t="e">
        <f>装备!#REF!</f>
        <v>#REF!</v>
      </c>
      <c r="R213" t="e">
        <f>装备!#REF!</f>
        <v>#REF!</v>
      </c>
      <c r="S213" t="e">
        <f>装备!#REF!</f>
        <v>#REF!</v>
      </c>
      <c r="T213" t="e">
        <f>装备!#REF!</f>
        <v>#REF!</v>
      </c>
      <c r="U213" t="e">
        <f>装备!#REF!</f>
        <v>#REF!</v>
      </c>
      <c r="V213" t="e">
        <f>装备!#REF!</f>
        <v>#REF!</v>
      </c>
      <c r="W213" t="e">
        <f>装备!#REF!</f>
        <v>#REF!</v>
      </c>
      <c r="X213" t="e">
        <f t="shared" si="43"/>
        <v>#REF!</v>
      </c>
      <c r="Y213" t="e">
        <f>装备!#REF!</f>
        <v>#REF!</v>
      </c>
      <c r="Z213" t="e">
        <f>装备!#REF!</f>
        <v>#REF!</v>
      </c>
      <c r="AA213" t="e">
        <f>装备!#REF!</f>
        <v>#REF!</v>
      </c>
      <c r="AB213" t="e">
        <f>装备!#REF!</f>
        <v>#REF!</v>
      </c>
      <c r="AC213" t="e">
        <f>装备!#REF!</f>
        <v>#REF!</v>
      </c>
      <c r="AD213" t="e">
        <f>装备!#REF!</f>
        <v>#REF!</v>
      </c>
      <c r="AE213" t="e">
        <f>装备!#REF!</f>
        <v>#REF!</v>
      </c>
      <c r="AF213" t="e">
        <f>装备!#REF!</f>
        <v>#REF!</v>
      </c>
      <c r="AG213" t="e">
        <f>装备!#REF!</f>
        <v>#REF!</v>
      </c>
      <c r="AH213" t="e">
        <f>装备!#REF!</f>
        <v>#REF!</v>
      </c>
      <c r="AI213" t="e">
        <f t="shared" si="44"/>
        <v>#REF!</v>
      </c>
      <c r="AJ213" t="e">
        <f>装备!#REF!</f>
        <v>#REF!</v>
      </c>
      <c r="AK213" t="e">
        <f>装备!#REF!</f>
        <v>#REF!</v>
      </c>
      <c r="AL213" t="e">
        <f>装备!#REF!</f>
        <v>#REF!</v>
      </c>
      <c r="AM213" t="e">
        <f>装备!#REF!</f>
        <v>#REF!</v>
      </c>
      <c r="AN213" t="e">
        <f>装备!#REF!</f>
        <v>#REF!</v>
      </c>
      <c r="AO213" t="e">
        <f>装备!#REF!</f>
        <v>#REF!</v>
      </c>
      <c r="AP213" t="e">
        <f>装备!#REF!</f>
        <v>#REF!</v>
      </c>
      <c r="AQ213" t="e">
        <f>装备!#REF!</f>
        <v>#REF!</v>
      </c>
      <c r="AR213" t="e">
        <f>装备!#REF!</f>
        <v>#REF!</v>
      </c>
      <c r="AS213" t="e">
        <f>装备!#REF!</f>
        <v>#REF!</v>
      </c>
      <c r="AT213" t="e">
        <f t="shared" si="45"/>
        <v>#REF!</v>
      </c>
      <c r="AU213" t="e">
        <f>装备!#REF!</f>
        <v>#REF!</v>
      </c>
      <c r="AV213" t="e">
        <f>装备!#REF!</f>
        <v>#REF!</v>
      </c>
      <c r="AW213" t="e">
        <f>装备!#REF!</f>
        <v>#REF!</v>
      </c>
      <c r="AX213" t="e">
        <f>装备!#REF!</f>
        <v>#REF!</v>
      </c>
      <c r="AY213" t="e">
        <f>装备!#REF!</f>
        <v>#REF!</v>
      </c>
      <c r="AZ213" t="e">
        <f>装备!#REF!</f>
        <v>#REF!</v>
      </c>
      <c r="BA213" t="e">
        <f>装备!#REF!</f>
        <v>#REF!</v>
      </c>
      <c r="BB213" t="e">
        <f>装备!#REF!</f>
        <v>#REF!</v>
      </c>
      <c r="BC213" t="e">
        <f>装备!#REF!</f>
        <v>#REF!</v>
      </c>
      <c r="BD213" t="e">
        <f>装备!#REF!</f>
        <v>#REF!</v>
      </c>
      <c r="BE213" t="e">
        <f t="shared" si="46"/>
        <v>#REF!</v>
      </c>
      <c r="BF213" t="e">
        <f>装备!#REF!</f>
        <v>#REF!</v>
      </c>
      <c r="BG213" t="e">
        <f>装备!#REF!</f>
        <v>#REF!</v>
      </c>
      <c r="BH213" t="e">
        <f>装备!#REF!</f>
        <v>#REF!</v>
      </c>
      <c r="BI213" t="e">
        <f>装备!#REF!</f>
        <v>#REF!</v>
      </c>
      <c r="BJ213" t="e">
        <f>装备!#REF!</f>
        <v>#REF!</v>
      </c>
      <c r="BK213" t="e">
        <f>装备!#REF!</f>
        <v>#REF!</v>
      </c>
      <c r="BL213" t="e">
        <f>装备!#REF!</f>
        <v>#REF!</v>
      </c>
      <c r="BM213" t="e">
        <f>装备!#REF!</f>
        <v>#REF!</v>
      </c>
      <c r="BN213" t="e">
        <f>装备!#REF!</f>
        <v>#REF!</v>
      </c>
      <c r="BO213" t="e">
        <f>装备!#REF!</f>
        <v>#REF!</v>
      </c>
      <c r="BP213" t="e">
        <f t="shared" si="47"/>
        <v>#REF!</v>
      </c>
      <c r="BQ213" t="e">
        <f>装备!#REF!</f>
        <v>#REF!</v>
      </c>
      <c r="BR213" t="e">
        <f>装备!#REF!</f>
        <v>#REF!</v>
      </c>
      <c r="BS213" t="e">
        <f>装备!#REF!</f>
        <v>#REF!</v>
      </c>
      <c r="BT213" t="e">
        <f>装备!#REF!</f>
        <v>#REF!</v>
      </c>
      <c r="BU213" t="e">
        <f>装备!#REF!</f>
        <v>#REF!</v>
      </c>
      <c r="BV213" t="e">
        <f>装备!#REF!</f>
        <v>#REF!</v>
      </c>
      <c r="BW213" t="e">
        <f>装备!#REF!</f>
        <v>#REF!</v>
      </c>
      <c r="BX213" t="e">
        <f>装备!#REF!</f>
        <v>#REF!</v>
      </c>
      <c r="BY213" t="e">
        <f>装备!#REF!</f>
        <v>#REF!</v>
      </c>
      <c r="BZ213" t="e">
        <f>装备!#REF!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装备!#REF!</f>
        <v>#REF!</v>
      </c>
      <c r="B214" t="e">
        <f>装备!#REF!</f>
        <v>#REF!</v>
      </c>
      <c r="C214" t="e">
        <f>装备!#REF!</f>
        <v>#REF!</v>
      </c>
      <c r="D214" t="e">
        <f>装备!#REF!</f>
        <v>#REF!</v>
      </c>
      <c r="E214" t="e">
        <f>装备!#REF!</f>
        <v>#REF!</v>
      </c>
      <c r="F214" t="e">
        <f>装备!#REF!</f>
        <v>#REF!</v>
      </c>
      <c r="G214" t="e">
        <f>装备!#REF!</f>
        <v>#REF!</v>
      </c>
      <c r="H214" t="e">
        <f>装备!#REF!</f>
        <v>#REF!</v>
      </c>
      <c r="I214" t="e">
        <f>装备!#REF!</f>
        <v>#REF!</v>
      </c>
      <c r="J214" t="e">
        <f>装备!#REF!</f>
        <v>#REF!</v>
      </c>
      <c r="K214" t="e">
        <f>装备!#REF!</f>
        <v>#REF!</v>
      </c>
      <c r="L214" t="e">
        <f>装备!#REF!</f>
        <v>#REF!</v>
      </c>
      <c r="M214" t="e">
        <f t="shared" si="42"/>
        <v>#REF!</v>
      </c>
      <c r="N214" t="e">
        <f>装备!#REF!</f>
        <v>#REF!</v>
      </c>
      <c r="O214" t="e">
        <f>装备!#REF!</f>
        <v>#REF!</v>
      </c>
      <c r="P214" t="e">
        <f>装备!#REF!</f>
        <v>#REF!</v>
      </c>
      <c r="Q214" t="e">
        <f>装备!#REF!</f>
        <v>#REF!</v>
      </c>
      <c r="R214" t="e">
        <f>装备!#REF!</f>
        <v>#REF!</v>
      </c>
      <c r="S214" t="e">
        <f>装备!#REF!</f>
        <v>#REF!</v>
      </c>
      <c r="T214" t="e">
        <f>装备!#REF!</f>
        <v>#REF!</v>
      </c>
      <c r="U214" t="e">
        <f>装备!#REF!</f>
        <v>#REF!</v>
      </c>
      <c r="V214" t="e">
        <f>装备!#REF!</f>
        <v>#REF!</v>
      </c>
      <c r="W214" t="e">
        <f>装备!#REF!</f>
        <v>#REF!</v>
      </c>
      <c r="X214" t="e">
        <f t="shared" si="43"/>
        <v>#REF!</v>
      </c>
      <c r="Y214" t="e">
        <f>装备!#REF!</f>
        <v>#REF!</v>
      </c>
      <c r="Z214" t="e">
        <f>装备!#REF!</f>
        <v>#REF!</v>
      </c>
      <c r="AA214" t="e">
        <f>装备!#REF!</f>
        <v>#REF!</v>
      </c>
      <c r="AB214" t="e">
        <f>装备!#REF!</f>
        <v>#REF!</v>
      </c>
      <c r="AC214" t="e">
        <f>装备!#REF!</f>
        <v>#REF!</v>
      </c>
      <c r="AD214" t="e">
        <f>装备!#REF!</f>
        <v>#REF!</v>
      </c>
      <c r="AE214" t="e">
        <f>装备!#REF!</f>
        <v>#REF!</v>
      </c>
      <c r="AF214" t="e">
        <f>装备!#REF!</f>
        <v>#REF!</v>
      </c>
      <c r="AG214" t="e">
        <f>装备!#REF!</f>
        <v>#REF!</v>
      </c>
      <c r="AH214" t="e">
        <f>装备!#REF!</f>
        <v>#REF!</v>
      </c>
      <c r="AI214" t="e">
        <f t="shared" si="44"/>
        <v>#REF!</v>
      </c>
      <c r="AJ214" t="e">
        <f>装备!#REF!</f>
        <v>#REF!</v>
      </c>
      <c r="AK214" t="e">
        <f>装备!#REF!</f>
        <v>#REF!</v>
      </c>
      <c r="AL214" t="e">
        <f>装备!#REF!</f>
        <v>#REF!</v>
      </c>
      <c r="AM214" t="e">
        <f>装备!#REF!</f>
        <v>#REF!</v>
      </c>
      <c r="AN214" t="e">
        <f>装备!#REF!</f>
        <v>#REF!</v>
      </c>
      <c r="AO214" t="e">
        <f>装备!#REF!</f>
        <v>#REF!</v>
      </c>
      <c r="AP214" t="e">
        <f>装备!#REF!</f>
        <v>#REF!</v>
      </c>
      <c r="AQ214" t="e">
        <f>装备!#REF!</f>
        <v>#REF!</v>
      </c>
      <c r="AR214" t="e">
        <f>装备!#REF!</f>
        <v>#REF!</v>
      </c>
      <c r="AS214" t="e">
        <f>装备!#REF!</f>
        <v>#REF!</v>
      </c>
      <c r="AT214" t="e">
        <f t="shared" si="45"/>
        <v>#REF!</v>
      </c>
      <c r="AU214" t="e">
        <f>装备!#REF!</f>
        <v>#REF!</v>
      </c>
      <c r="AV214" t="e">
        <f>装备!#REF!</f>
        <v>#REF!</v>
      </c>
      <c r="AW214" t="e">
        <f>装备!#REF!</f>
        <v>#REF!</v>
      </c>
      <c r="AX214" t="e">
        <f>装备!#REF!</f>
        <v>#REF!</v>
      </c>
      <c r="AY214" t="e">
        <f>装备!#REF!</f>
        <v>#REF!</v>
      </c>
      <c r="AZ214" t="e">
        <f>装备!#REF!</f>
        <v>#REF!</v>
      </c>
      <c r="BA214" t="e">
        <f>装备!#REF!</f>
        <v>#REF!</v>
      </c>
      <c r="BB214" t="e">
        <f>装备!#REF!</f>
        <v>#REF!</v>
      </c>
      <c r="BC214" t="e">
        <f>装备!#REF!</f>
        <v>#REF!</v>
      </c>
      <c r="BD214" t="e">
        <f>装备!#REF!</f>
        <v>#REF!</v>
      </c>
      <c r="BE214" t="e">
        <f t="shared" si="46"/>
        <v>#REF!</v>
      </c>
      <c r="BF214" t="e">
        <f>装备!#REF!</f>
        <v>#REF!</v>
      </c>
      <c r="BG214" t="e">
        <f>装备!#REF!</f>
        <v>#REF!</v>
      </c>
      <c r="BH214" t="e">
        <f>装备!#REF!</f>
        <v>#REF!</v>
      </c>
      <c r="BI214" t="e">
        <f>装备!#REF!</f>
        <v>#REF!</v>
      </c>
      <c r="BJ214" t="e">
        <f>装备!#REF!</f>
        <v>#REF!</v>
      </c>
      <c r="BK214" t="e">
        <f>装备!#REF!</f>
        <v>#REF!</v>
      </c>
      <c r="BL214" t="e">
        <f>装备!#REF!</f>
        <v>#REF!</v>
      </c>
      <c r="BM214" t="e">
        <f>装备!#REF!</f>
        <v>#REF!</v>
      </c>
      <c r="BN214" t="e">
        <f>装备!#REF!</f>
        <v>#REF!</v>
      </c>
      <c r="BO214" t="e">
        <f>装备!#REF!</f>
        <v>#REF!</v>
      </c>
      <c r="BP214" t="e">
        <f t="shared" si="47"/>
        <v>#REF!</v>
      </c>
      <c r="BQ214" t="e">
        <f>装备!#REF!</f>
        <v>#REF!</v>
      </c>
      <c r="BR214" t="e">
        <f>装备!#REF!</f>
        <v>#REF!</v>
      </c>
      <c r="BS214" t="e">
        <f>装备!#REF!</f>
        <v>#REF!</v>
      </c>
      <c r="BT214" t="e">
        <f>装备!#REF!</f>
        <v>#REF!</v>
      </c>
      <c r="BU214" t="e">
        <f>装备!#REF!</f>
        <v>#REF!</v>
      </c>
      <c r="BV214" t="e">
        <f>装备!#REF!</f>
        <v>#REF!</v>
      </c>
      <c r="BW214" t="e">
        <f>装备!#REF!</f>
        <v>#REF!</v>
      </c>
      <c r="BX214" t="e">
        <f>装备!#REF!</f>
        <v>#REF!</v>
      </c>
      <c r="BY214" t="e">
        <f>装备!#REF!</f>
        <v>#REF!</v>
      </c>
      <c r="BZ214" t="e">
        <f>装备!#REF!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装备!#REF!</f>
        <v>#REF!</v>
      </c>
      <c r="B215" t="e">
        <f>装备!#REF!</f>
        <v>#REF!</v>
      </c>
      <c r="C215" t="e">
        <f>装备!#REF!</f>
        <v>#REF!</v>
      </c>
      <c r="D215" t="e">
        <f>装备!#REF!</f>
        <v>#REF!</v>
      </c>
      <c r="E215" t="e">
        <f>装备!#REF!</f>
        <v>#REF!</v>
      </c>
      <c r="F215" t="e">
        <f>装备!#REF!</f>
        <v>#REF!</v>
      </c>
      <c r="G215" t="e">
        <f>装备!#REF!</f>
        <v>#REF!</v>
      </c>
      <c r="H215" t="e">
        <f>装备!#REF!</f>
        <v>#REF!</v>
      </c>
      <c r="I215" t="e">
        <f>装备!#REF!</f>
        <v>#REF!</v>
      </c>
      <c r="J215" t="e">
        <f>装备!#REF!</f>
        <v>#REF!</v>
      </c>
      <c r="K215" t="e">
        <f>装备!#REF!</f>
        <v>#REF!</v>
      </c>
      <c r="L215" t="e">
        <f>装备!#REF!</f>
        <v>#REF!</v>
      </c>
      <c r="M215" t="e">
        <f t="shared" si="42"/>
        <v>#REF!</v>
      </c>
      <c r="N215" t="e">
        <f>装备!#REF!</f>
        <v>#REF!</v>
      </c>
      <c r="O215" t="e">
        <f>装备!#REF!</f>
        <v>#REF!</v>
      </c>
      <c r="P215" t="e">
        <f>装备!#REF!</f>
        <v>#REF!</v>
      </c>
      <c r="Q215" t="e">
        <f>装备!#REF!</f>
        <v>#REF!</v>
      </c>
      <c r="R215" t="e">
        <f>装备!#REF!</f>
        <v>#REF!</v>
      </c>
      <c r="S215" t="e">
        <f>装备!#REF!</f>
        <v>#REF!</v>
      </c>
      <c r="T215" t="e">
        <f>装备!#REF!</f>
        <v>#REF!</v>
      </c>
      <c r="U215" t="e">
        <f>装备!#REF!</f>
        <v>#REF!</v>
      </c>
      <c r="V215" t="e">
        <f>装备!#REF!</f>
        <v>#REF!</v>
      </c>
      <c r="W215" t="e">
        <f>装备!#REF!</f>
        <v>#REF!</v>
      </c>
      <c r="X215" t="e">
        <f t="shared" si="43"/>
        <v>#REF!</v>
      </c>
      <c r="Y215" t="e">
        <f>装备!#REF!</f>
        <v>#REF!</v>
      </c>
      <c r="Z215" t="e">
        <f>装备!#REF!</f>
        <v>#REF!</v>
      </c>
      <c r="AA215" t="e">
        <f>装备!#REF!</f>
        <v>#REF!</v>
      </c>
      <c r="AB215" t="e">
        <f>装备!#REF!</f>
        <v>#REF!</v>
      </c>
      <c r="AC215" t="e">
        <f>装备!#REF!</f>
        <v>#REF!</v>
      </c>
      <c r="AD215" t="e">
        <f>装备!#REF!</f>
        <v>#REF!</v>
      </c>
      <c r="AE215" t="e">
        <f>装备!#REF!</f>
        <v>#REF!</v>
      </c>
      <c r="AF215" t="e">
        <f>装备!#REF!</f>
        <v>#REF!</v>
      </c>
      <c r="AG215" t="e">
        <f>装备!#REF!</f>
        <v>#REF!</v>
      </c>
      <c r="AH215" t="e">
        <f>装备!#REF!</f>
        <v>#REF!</v>
      </c>
      <c r="AI215" t="e">
        <f t="shared" si="44"/>
        <v>#REF!</v>
      </c>
      <c r="AJ215" t="e">
        <f>装备!#REF!</f>
        <v>#REF!</v>
      </c>
      <c r="AK215" t="e">
        <f>装备!#REF!</f>
        <v>#REF!</v>
      </c>
      <c r="AL215" t="e">
        <f>装备!#REF!</f>
        <v>#REF!</v>
      </c>
      <c r="AM215" t="e">
        <f>装备!#REF!</f>
        <v>#REF!</v>
      </c>
      <c r="AN215" t="e">
        <f>装备!#REF!</f>
        <v>#REF!</v>
      </c>
      <c r="AO215" t="e">
        <f>装备!#REF!</f>
        <v>#REF!</v>
      </c>
      <c r="AP215" t="e">
        <f>装备!#REF!</f>
        <v>#REF!</v>
      </c>
      <c r="AQ215" t="e">
        <f>装备!#REF!</f>
        <v>#REF!</v>
      </c>
      <c r="AR215" t="e">
        <f>装备!#REF!</f>
        <v>#REF!</v>
      </c>
      <c r="AS215" t="e">
        <f>装备!#REF!</f>
        <v>#REF!</v>
      </c>
      <c r="AT215" t="e">
        <f t="shared" si="45"/>
        <v>#REF!</v>
      </c>
      <c r="AU215" t="e">
        <f>装备!#REF!</f>
        <v>#REF!</v>
      </c>
      <c r="AV215" t="e">
        <f>装备!#REF!</f>
        <v>#REF!</v>
      </c>
      <c r="AW215" t="e">
        <f>装备!#REF!</f>
        <v>#REF!</v>
      </c>
      <c r="AX215" t="e">
        <f>装备!#REF!</f>
        <v>#REF!</v>
      </c>
      <c r="AY215" t="e">
        <f>装备!#REF!</f>
        <v>#REF!</v>
      </c>
      <c r="AZ215" t="e">
        <f>装备!#REF!</f>
        <v>#REF!</v>
      </c>
      <c r="BA215" t="e">
        <f>装备!#REF!</f>
        <v>#REF!</v>
      </c>
      <c r="BB215" t="e">
        <f>装备!#REF!</f>
        <v>#REF!</v>
      </c>
      <c r="BC215" t="e">
        <f>装备!#REF!</f>
        <v>#REF!</v>
      </c>
      <c r="BD215" t="e">
        <f>装备!#REF!</f>
        <v>#REF!</v>
      </c>
      <c r="BE215" t="e">
        <f t="shared" si="46"/>
        <v>#REF!</v>
      </c>
      <c r="BF215" t="e">
        <f>装备!#REF!</f>
        <v>#REF!</v>
      </c>
      <c r="BG215" t="e">
        <f>装备!#REF!</f>
        <v>#REF!</v>
      </c>
      <c r="BH215" t="e">
        <f>装备!#REF!</f>
        <v>#REF!</v>
      </c>
      <c r="BI215" t="e">
        <f>装备!#REF!</f>
        <v>#REF!</v>
      </c>
      <c r="BJ215" t="e">
        <f>装备!#REF!</f>
        <v>#REF!</v>
      </c>
      <c r="BK215" t="e">
        <f>装备!#REF!</f>
        <v>#REF!</v>
      </c>
      <c r="BL215" t="e">
        <f>装备!#REF!</f>
        <v>#REF!</v>
      </c>
      <c r="BM215" t="e">
        <f>装备!#REF!</f>
        <v>#REF!</v>
      </c>
      <c r="BN215" t="e">
        <f>装备!#REF!</f>
        <v>#REF!</v>
      </c>
      <c r="BO215" t="e">
        <f>装备!#REF!</f>
        <v>#REF!</v>
      </c>
      <c r="BP215" t="e">
        <f t="shared" si="47"/>
        <v>#REF!</v>
      </c>
      <c r="BQ215" t="e">
        <f>装备!#REF!</f>
        <v>#REF!</v>
      </c>
      <c r="BR215" t="e">
        <f>装备!#REF!</f>
        <v>#REF!</v>
      </c>
      <c r="BS215" t="e">
        <f>装备!#REF!</f>
        <v>#REF!</v>
      </c>
      <c r="BT215" t="e">
        <f>装备!#REF!</f>
        <v>#REF!</v>
      </c>
      <c r="BU215" t="e">
        <f>装备!#REF!</f>
        <v>#REF!</v>
      </c>
      <c r="BV215" t="e">
        <f>装备!#REF!</f>
        <v>#REF!</v>
      </c>
      <c r="BW215" t="e">
        <f>装备!#REF!</f>
        <v>#REF!</v>
      </c>
      <c r="BX215" t="e">
        <f>装备!#REF!</f>
        <v>#REF!</v>
      </c>
      <c r="BY215" t="e">
        <f>装备!#REF!</f>
        <v>#REF!</v>
      </c>
      <c r="BZ215" t="e">
        <f>装备!#REF!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装备!#REF!</f>
        <v>#REF!</v>
      </c>
      <c r="B216" t="e">
        <f>装备!#REF!</f>
        <v>#REF!</v>
      </c>
      <c r="C216" t="e">
        <f>装备!#REF!</f>
        <v>#REF!</v>
      </c>
      <c r="D216" t="e">
        <f>装备!#REF!</f>
        <v>#REF!</v>
      </c>
      <c r="E216" t="e">
        <f>装备!#REF!</f>
        <v>#REF!</v>
      </c>
      <c r="F216" t="e">
        <f>装备!#REF!</f>
        <v>#REF!</v>
      </c>
      <c r="G216" t="e">
        <f>装备!#REF!</f>
        <v>#REF!</v>
      </c>
      <c r="H216" t="e">
        <f>装备!#REF!</f>
        <v>#REF!</v>
      </c>
      <c r="I216" t="e">
        <f>装备!#REF!</f>
        <v>#REF!</v>
      </c>
      <c r="J216" t="e">
        <f>装备!#REF!</f>
        <v>#REF!</v>
      </c>
      <c r="K216" t="e">
        <f>装备!#REF!</f>
        <v>#REF!</v>
      </c>
      <c r="L216" t="e">
        <f>装备!#REF!</f>
        <v>#REF!</v>
      </c>
      <c r="M216" t="e">
        <f t="shared" si="42"/>
        <v>#REF!</v>
      </c>
      <c r="N216" t="e">
        <f>装备!#REF!</f>
        <v>#REF!</v>
      </c>
      <c r="O216" t="e">
        <f>装备!#REF!</f>
        <v>#REF!</v>
      </c>
      <c r="P216" t="e">
        <f>装备!#REF!</f>
        <v>#REF!</v>
      </c>
      <c r="Q216" t="e">
        <f>装备!#REF!</f>
        <v>#REF!</v>
      </c>
      <c r="R216" t="e">
        <f>装备!#REF!</f>
        <v>#REF!</v>
      </c>
      <c r="S216" t="e">
        <f>装备!#REF!</f>
        <v>#REF!</v>
      </c>
      <c r="T216" t="e">
        <f>装备!#REF!</f>
        <v>#REF!</v>
      </c>
      <c r="U216" t="e">
        <f>装备!#REF!</f>
        <v>#REF!</v>
      </c>
      <c r="V216" t="e">
        <f>装备!#REF!</f>
        <v>#REF!</v>
      </c>
      <c r="W216" t="e">
        <f>装备!#REF!</f>
        <v>#REF!</v>
      </c>
      <c r="X216" t="e">
        <f t="shared" si="43"/>
        <v>#REF!</v>
      </c>
      <c r="Y216" t="e">
        <f>装备!#REF!</f>
        <v>#REF!</v>
      </c>
      <c r="Z216" t="e">
        <f>装备!#REF!</f>
        <v>#REF!</v>
      </c>
      <c r="AA216" t="e">
        <f>装备!#REF!</f>
        <v>#REF!</v>
      </c>
      <c r="AB216" t="e">
        <f>装备!#REF!</f>
        <v>#REF!</v>
      </c>
      <c r="AC216" t="e">
        <f>装备!#REF!</f>
        <v>#REF!</v>
      </c>
      <c r="AD216" t="e">
        <f>装备!#REF!</f>
        <v>#REF!</v>
      </c>
      <c r="AE216" t="e">
        <f>装备!#REF!</f>
        <v>#REF!</v>
      </c>
      <c r="AF216" t="e">
        <f>装备!#REF!</f>
        <v>#REF!</v>
      </c>
      <c r="AG216" t="e">
        <f>装备!#REF!</f>
        <v>#REF!</v>
      </c>
      <c r="AH216" t="e">
        <f>装备!#REF!</f>
        <v>#REF!</v>
      </c>
      <c r="AI216" t="e">
        <f t="shared" si="44"/>
        <v>#REF!</v>
      </c>
      <c r="AJ216" t="e">
        <f>装备!#REF!</f>
        <v>#REF!</v>
      </c>
      <c r="AK216" t="e">
        <f>装备!#REF!</f>
        <v>#REF!</v>
      </c>
      <c r="AL216" t="e">
        <f>装备!#REF!</f>
        <v>#REF!</v>
      </c>
      <c r="AM216" t="e">
        <f>装备!#REF!</f>
        <v>#REF!</v>
      </c>
      <c r="AN216" t="e">
        <f>装备!#REF!</f>
        <v>#REF!</v>
      </c>
      <c r="AO216" t="e">
        <f>装备!#REF!</f>
        <v>#REF!</v>
      </c>
      <c r="AP216" t="e">
        <f>装备!#REF!</f>
        <v>#REF!</v>
      </c>
      <c r="AQ216" t="e">
        <f>装备!#REF!</f>
        <v>#REF!</v>
      </c>
      <c r="AR216" t="e">
        <f>装备!#REF!</f>
        <v>#REF!</v>
      </c>
      <c r="AS216" t="e">
        <f>装备!#REF!</f>
        <v>#REF!</v>
      </c>
      <c r="AT216" t="e">
        <f t="shared" si="45"/>
        <v>#REF!</v>
      </c>
      <c r="AU216" t="e">
        <f>装备!#REF!</f>
        <v>#REF!</v>
      </c>
      <c r="AV216" t="e">
        <f>装备!#REF!</f>
        <v>#REF!</v>
      </c>
      <c r="AW216" t="e">
        <f>装备!#REF!</f>
        <v>#REF!</v>
      </c>
      <c r="AX216" t="e">
        <f>装备!#REF!</f>
        <v>#REF!</v>
      </c>
      <c r="AY216" t="e">
        <f>装备!#REF!</f>
        <v>#REF!</v>
      </c>
      <c r="AZ216" t="e">
        <f>装备!#REF!</f>
        <v>#REF!</v>
      </c>
      <c r="BA216" t="e">
        <f>装备!#REF!</f>
        <v>#REF!</v>
      </c>
      <c r="BB216" t="e">
        <f>装备!#REF!</f>
        <v>#REF!</v>
      </c>
      <c r="BC216" t="e">
        <f>装备!#REF!</f>
        <v>#REF!</v>
      </c>
      <c r="BD216" t="e">
        <f>装备!#REF!</f>
        <v>#REF!</v>
      </c>
      <c r="BE216" t="e">
        <f t="shared" si="46"/>
        <v>#REF!</v>
      </c>
      <c r="BF216" t="e">
        <f>装备!#REF!</f>
        <v>#REF!</v>
      </c>
      <c r="BG216" t="e">
        <f>装备!#REF!</f>
        <v>#REF!</v>
      </c>
      <c r="BH216" t="e">
        <f>装备!#REF!</f>
        <v>#REF!</v>
      </c>
      <c r="BI216" t="e">
        <f>装备!#REF!</f>
        <v>#REF!</v>
      </c>
      <c r="BJ216" t="e">
        <f>装备!#REF!</f>
        <v>#REF!</v>
      </c>
      <c r="BK216" t="e">
        <f>装备!#REF!</f>
        <v>#REF!</v>
      </c>
      <c r="BL216" t="e">
        <f>装备!#REF!</f>
        <v>#REF!</v>
      </c>
      <c r="BM216" t="e">
        <f>装备!#REF!</f>
        <v>#REF!</v>
      </c>
      <c r="BN216" t="e">
        <f>装备!#REF!</f>
        <v>#REF!</v>
      </c>
      <c r="BO216" t="e">
        <f>装备!#REF!</f>
        <v>#REF!</v>
      </c>
      <c r="BP216" t="e">
        <f t="shared" si="47"/>
        <v>#REF!</v>
      </c>
      <c r="BQ216" t="e">
        <f>装备!#REF!</f>
        <v>#REF!</v>
      </c>
      <c r="BR216" t="e">
        <f>装备!#REF!</f>
        <v>#REF!</v>
      </c>
      <c r="BS216" t="e">
        <f>装备!#REF!</f>
        <v>#REF!</v>
      </c>
      <c r="BT216" t="e">
        <f>装备!#REF!</f>
        <v>#REF!</v>
      </c>
      <c r="BU216" t="e">
        <f>装备!#REF!</f>
        <v>#REF!</v>
      </c>
      <c r="BV216" t="e">
        <f>装备!#REF!</f>
        <v>#REF!</v>
      </c>
      <c r="BW216" t="e">
        <f>装备!#REF!</f>
        <v>#REF!</v>
      </c>
      <c r="BX216" t="e">
        <f>装备!#REF!</f>
        <v>#REF!</v>
      </c>
      <c r="BY216" t="e">
        <f>装备!#REF!</f>
        <v>#REF!</v>
      </c>
      <c r="BZ216" t="e">
        <f>装备!#REF!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装备!#REF!</f>
        <v>#REF!</v>
      </c>
      <c r="B217" t="e">
        <f>装备!#REF!</f>
        <v>#REF!</v>
      </c>
      <c r="C217" t="e">
        <f>装备!#REF!</f>
        <v>#REF!</v>
      </c>
      <c r="D217" t="e">
        <f>装备!#REF!</f>
        <v>#REF!</v>
      </c>
      <c r="E217" t="e">
        <f>装备!#REF!</f>
        <v>#REF!</v>
      </c>
      <c r="F217" t="e">
        <f>装备!#REF!</f>
        <v>#REF!</v>
      </c>
      <c r="G217" t="e">
        <f>装备!#REF!</f>
        <v>#REF!</v>
      </c>
      <c r="H217" t="e">
        <f>装备!#REF!</f>
        <v>#REF!</v>
      </c>
      <c r="I217" t="e">
        <f>装备!#REF!</f>
        <v>#REF!</v>
      </c>
      <c r="J217" t="e">
        <f>装备!#REF!</f>
        <v>#REF!</v>
      </c>
      <c r="K217" t="e">
        <f>装备!#REF!</f>
        <v>#REF!</v>
      </c>
      <c r="L217" t="e">
        <f>装备!#REF!</f>
        <v>#REF!</v>
      </c>
      <c r="M217" t="e">
        <f t="shared" si="42"/>
        <v>#REF!</v>
      </c>
      <c r="N217" t="e">
        <f>装备!#REF!</f>
        <v>#REF!</v>
      </c>
      <c r="O217" t="e">
        <f>装备!#REF!</f>
        <v>#REF!</v>
      </c>
      <c r="P217" t="e">
        <f>装备!#REF!</f>
        <v>#REF!</v>
      </c>
      <c r="Q217" t="e">
        <f>装备!#REF!</f>
        <v>#REF!</v>
      </c>
      <c r="R217" t="e">
        <f>装备!#REF!</f>
        <v>#REF!</v>
      </c>
      <c r="S217" t="e">
        <f>装备!#REF!</f>
        <v>#REF!</v>
      </c>
      <c r="T217" t="e">
        <f>装备!#REF!</f>
        <v>#REF!</v>
      </c>
      <c r="U217" t="e">
        <f>装备!#REF!</f>
        <v>#REF!</v>
      </c>
      <c r="V217" t="e">
        <f>装备!#REF!</f>
        <v>#REF!</v>
      </c>
      <c r="W217" t="e">
        <f>装备!#REF!</f>
        <v>#REF!</v>
      </c>
      <c r="X217" t="e">
        <f t="shared" si="43"/>
        <v>#REF!</v>
      </c>
      <c r="Y217" t="e">
        <f>装备!#REF!</f>
        <v>#REF!</v>
      </c>
      <c r="Z217" t="e">
        <f>装备!#REF!</f>
        <v>#REF!</v>
      </c>
      <c r="AA217" t="e">
        <f>装备!#REF!</f>
        <v>#REF!</v>
      </c>
      <c r="AB217" t="e">
        <f>装备!#REF!</f>
        <v>#REF!</v>
      </c>
      <c r="AC217" t="e">
        <f>装备!#REF!</f>
        <v>#REF!</v>
      </c>
      <c r="AD217" t="e">
        <f>装备!#REF!</f>
        <v>#REF!</v>
      </c>
      <c r="AE217" t="e">
        <f>装备!#REF!</f>
        <v>#REF!</v>
      </c>
      <c r="AF217" t="e">
        <f>装备!#REF!</f>
        <v>#REF!</v>
      </c>
      <c r="AG217" t="e">
        <f>装备!#REF!</f>
        <v>#REF!</v>
      </c>
      <c r="AH217" t="e">
        <f>装备!#REF!</f>
        <v>#REF!</v>
      </c>
      <c r="AI217" t="e">
        <f t="shared" si="44"/>
        <v>#REF!</v>
      </c>
      <c r="AJ217" t="e">
        <f>装备!#REF!</f>
        <v>#REF!</v>
      </c>
      <c r="AK217" t="e">
        <f>装备!#REF!</f>
        <v>#REF!</v>
      </c>
      <c r="AL217" t="e">
        <f>装备!#REF!</f>
        <v>#REF!</v>
      </c>
      <c r="AM217" t="e">
        <f>装备!#REF!</f>
        <v>#REF!</v>
      </c>
      <c r="AN217" t="e">
        <f>装备!#REF!</f>
        <v>#REF!</v>
      </c>
      <c r="AO217" t="e">
        <f>装备!#REF!</f>
        <v>#REF!</v>
      </c>
      <c r="AP217" t="e">
        <f>装备!#REF!</f>
        <v>#REF!</v>
      </c>
      <c r="AQ217" t="e">
        <f>装备!#REF!</f>
        <v>#REF!</v>
      </c>
      <c r="AR217" t="e">
        <f>装备!#REF!</f>
        <v>#REF!</v>
      </c>
      <c r="AS217" t="e">
        <f>装备!#REF!</f>
        <v>#REF!</v>
      </c>
      <c r="AT217" t="e">
        <f t="shared" si="45"/>
        <v>#REF!</v>
      </c>
      <c r="AU217" t="e">
        <f>装备!#REF!</f>
        <v>#REF!</v>
      </c>
      <c r="AV217" t="e">
        <f>装备!#REF!</f>
        <v>#REF!</v>
      </c>
      <c r="AW217" t="e">
        <f>装备!#REF!</f>
        <v>#REF!</v>
      </c>
      <c r="AX217" t="e">
        <f>装备!#REF!</f>
        <v>#REF!</v>
      </c>
      <c r="AY217" t="e">
        <f>装备!#REF!</f>
        <v>#REF!</v>
      </c>
      <c r="AZ217" t="e">
        <f>装备!#REF!</f>
        <v>#REF!</v>
      </c>
      <c r="BA217" t="e">
        <f>装备!#REF!</f>
        <v>#REF!</v>
      </c>
      <c r="BB217" t="e">
        <f>装备!#REF!</f>
        <v>#REF!</v>
      </c>
      <c r="BC217" t="e">
        <f>装备!#REF!</f>
        <v>#REF!</v>
      </c>
      <c r="BD217" t="e">
        <f>装备!#REF!</f>
        <v>#REF!</v>
      </c>
      <c r="BE217" t="e">
        <f t="shared" si="46"/>
        <v>#REF!</v>
      </c>
      <c r="BF217" t="e">
        <f>装备!#REF!</f>
        <v>#REF!</v>
      </c>
      <c r="BG217" t="e">
        <f>装备!#REF!</f>
        <v>#REF!</v>
      </c>
      <c r="BH217" t="e">
        <f>装备!#REF!</f>
        <v>#REF!</v>
      </c>
      <c r="BI217" t="e">
        <f>装备!#REF!</f>
        <v>#REF!</v>
      </c>
      <c r="BJ217" t="e">
        <f>装备!#REF!</f>
        <v>#REF!</v>
      </c>
      <c r="BK217" t="e">
        <f>装备!#REF!</f>
        <v>#REF!</v>
      </c>
      <c r="BL217" t="e">
        <f>装备!#REF!</f>
        <v>#REF!</v>
      </c>
      <c r="BM217" t="e">
        <f>装备!#REF!</f>
        <v>#REF!</v>
      </c>
      <c r="BN217" t="e">
        <f>装备!#REF!</f>
        <v>#REF!</v>
      </c>
      <c r="BO217" t="e">
        <f>装备!#REF!</f>
        <v>#REF!</v>
      </c>
      <c r="BP217" t="e">
        <f t="shared" si="47"/>
        <v>#REF!</v>
      </c>
      <c r="BQ217" t="e">
        <f>装备!#REF!</f>
        <v>#REF!</v>
      </c>
      <c r="BR217" t="e">
        <f>装备!#REF!</f>
        <v>#REF!</v>
      </c>
      <c r="BS217" t="e">
        <f>装备!#REF!</f>
        <v>#REF!</v>
      </c>
      <c r="BT217" t="e">
        <f>装备!#REF!</f>
        <v>#REF!</v>
      </c>
      <c r="BU217" t="e">
        <f>装备!#REF!</f>
        <v>#REF!</v>
      </c>
      <c r="BV217" t="e">
        <f>装备!#REF!</f>
        <v>#REF!</v>
      </c>
      <c r="BW217" t="e">
        <f>装备!#REF!</f>
        <v>#REF!</v>
      </c>
      <c r="BX217" t="e">
        <f>装备!#REF!</f>
        <v>#REF!</v>
      </c>
      <c r="BY217" t="e">
        <f>装备!#REF!</f>
        <v>#REF!</v>
      </c>
      <c r="BZ217" t="e">
        <f>装备!#REF!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装备!#REF!</f>
        <v>#REF!</v>
      </c>
      <c r="B218" t="e">
        <f>装备!#REF!</f>
        <v>#REF!</v>
      </c>
      <c r="C218" t="e">
        <f>装备!#REF!</f>
        <v>#REF!</v>
      </c>
      <c r="D218" t="e">
        <f>装备!#REF!</f>
        <v>#REF!</v>
      </c>
      <c r="E218" t="e">
        <f>装备!#REF!</f>
        <v>#REF!</v>
      </c>
      <c r="F218" t="e">
        <f>装备!#REF!</f>
        <v>#REF!</v>
      </c>
      <c r="G218" t="e">
        <f>装备!#REF!</f>
        <v>#REF!</v>
      </c>
      <c r="H218" t="e">
        <f>装备!#REF!</f>
        <v>#REF!</v>
      </c>
      <c r="I218" t="e">
        <f>装备!#REF!</f>
        <v>#REF!</v>
      </c>
      <c r="J218" t="e">
        <f>装备!#REF!</f>
        <v>#REF!</v>
      </c>
      <c r="K218" t="e">
        <f>装备!#REF!</f>
        <v>#REF!</v>
      </c>
      <c r="L218" t="e">
        <f>装备!#REF!</f>
        <v>#REF!</v>
      </c>
      <c r="M218" t="e">
        <f t="shared" si="42"/>
        <v>#REF!</v>
      </c>
      <c r="N218" t="e">
        <f>装备!#REF!</f>
        <v>#REF!</v>
      </c>
      <c r="O218" t="e">
        <f>装备!#REF!</f>
        <v>#REF!</v>
      </c>
      <c r="P218" t="e">
        <f>装备!#REF!</f>
        <v>#REF!</v>
      </c>
      <c r="Q218" t="e">
        <f>装备!#REF!</f>
        <v>#REF!</v>
      </c>
      <c r="R218" t="e">
        <f>装备!#REF!</f>
        <v>#REF!</v>
      </c>
      <c r="S218" t="e">
        <f>装备!#REF!</f>
        <v>#REF!</v>
      </c>
      <c r="T218" t="e">
        <f>装备!#REF!</f>
        <v>#REF!</v>
      </c>
      <c r="U218" t="e">
        <f>装备!#REF!</f>
        <v>#REF!</v>
      </c>
      <c r="V218" t="e">
        <f>装备!#REF!</f>
        <v>#REF!</v>
      </c>
      <c r="W218" t="e">
        <f>装备!#REF!</f>
        <v>#REF!</v>
      </c>
      <c r="X218" t="e">
        <f t="shared" si="43"/>
        <v>#REF!</v>
      </c>
      <c r="Y218" t="e">
        <f>装备!#REF!</f>
        <v>#REF!</v>
      </c>
      <c r="Z218" t="e">
        <f>装备!#REF!</f>
        <v>#REF!</v>
      </c>
      <c r="AA218" t="e">
        <f>装备!#REF!</f>
        <v>#REF!</v>
      </c>
      <c r="AB218" t="e">
        <f>装备!#REF!</f>
        <v>#REF!</v>
      </c>
      <c r="AC218" t="e">
        <f>装备!#REF!</f>
        <v>#REF!</v>
      </c>
      <c r="AD218" t="e">
        <f>装备!#REF!</f>
        <v>#REF!</v>
      </c>
      <c r="AE218" t="e">
        <f>装备!#REF!</f>
        <v>#REF!</v>
      </c>
      <c r="AF218" t="e">
        <f>装备!#REF!</f>
        <v>#REF!</v>
      </c>
      <c r="AG218" t="e">
        <f>装备!#REF!</f>
        <v>#REF!</v>
      </c>
      <c r="AH218" t="e">
        <f>装备!#REF!</f>
        <v>#REF!</v>
      </c>
      <c r="AI218" t="e">
        <f t="shared" si="44"/>
        <v>#REF!</v>
      </c>
      <c r="AJ218" t="e">
        <f>装备!#REF!</f>
        <v>#REF!</v>
      </c>
      <c r="AK218" t="e">
        <f>装备!#REF!</f>
        <v>#REF!</v>
      </c>
      <c r="AL218" t="e">
        <f>装备!#REF!</f>
        <v>#REF!</v>
      </c>
      <c r="AM218" t="e">
        <f>装备!#REF!</f>
        <v>#REF!</v>
      </c>
      <c r="AN218" t="e">
        <f>装备!#REF!</f>
        <v>#REF!</v>
      </c>
      <c r="AO218" t="e">
        <f>装备!#REF!</f>
        <v>#REF!</v>
      </c>
      <c r="AP218" t="e">
        <f>装备!#REF!</f>
        <v>#REF!</v>
      </c>
      <c r="AQ218" t="e">
        <f>装备!#REF!</f>
        <v>#REF!</v>
      </c>
      <c r="AR218" t="e">
        <f>装备!#REF!</f>
        <v>#REF!</v>
      </c>
      <c r="AS218" t="e">
        <f>装备!#REF!</f>
        <v>#REF!</v>
      </c>
      <c r="AT218" t="e">
        <f t="shared" si="45"/>
        <v>#REF!</v>
      </c>
      <c r="AU218" t="e">
        <f>装备!#REF!</f>
        <v>#REF!</v>
      </c>
      <c r="AV218" t="e">
        <f>装备!#REF!</f>
        <v>#REF!</v>
      </c>
      <c r="AW218" t="e">
        <f>装备!#REF!</f>
        <v>#REF!</v>
      </c>
      <c r="AX218" t="e">
        <f>装备!#REF!</f>
        <v>#REF!</v>
      </c>
      <c r="AY218" t="e">
        <f>装备!#REF!</f>
        <v>#REF!</v>
      </c>
      <c r="AZ218" t="e">
        <f>装备!#REF!</f>
        <v>#REF!</v>
      </c>
      <c r="BA218" t="e">
        <f>装备!#REF!</f>
        <v>#REF!</v>
      </c>
      <c r="BB218" t="e">
        <f>装备!#REF!</f>
        <v>#REF!</v>
      </c>
      <c r="BC218" t="e">
        <f>装备!#REF!</f>
        <v>#REF!</v>
      </c>
      <c r="BD218" t="e">
        <f>装备!#REF!</f>
        <v>#REF!</v>
      </c>
      <c r="BE218" t="e">
        <f t="shared" si="46"/>
        <v>#REF!</v>
      </c>
      <c r="BF218" t="e">
        <f>装备!#REF!</f>
        <v>#REF!</v>
      </c>
      <c r="BG218" t="e">
        <f>装备!#REF!</f>
        <v>#REF!</v>
      </c>
      <c r="BH218" t="e">
        <f>装备!#REF!</f>
        <v>#REF!</v>
      </c>
      <c r="BI218" t="e">
        <f>装备!#REF!</f>
        <v>#REF!</v>
      </c>
      <c r="BJ218" t="e">
        <f>装备!#REF!</f>
        <v>#REF!</v>
      </c>
      <c r="BK218" t="e">
        <f>装备!#REF!</f>
        <v>#REF!</v>
      </c>
      <c r="BL218" t="e">
        <f>装备!#REF!</f>
        <v>#REF!</v>
      </c>
      <c r="BM218" t="e">
        <f>装备!#REF!</f>
        <v>#REF!</v>
      </c>
      <c r="BN218" t="e">
        <f>装备!#REF!</f>
        <v>#REF!</v>
      </c>
      <c r="BO218" t="e">
        <f>装备!#REF!</f>
        <v>#REF!</v>
      </c>
      <c r="BP218" t="e">
        <f t="shared" si="47"/>
        <v>#REF!</v>
      </c>
      <c r="BQ218" t="e">
        <f>装备!#REF!</f>
        <v>#REF!</v>
      </c>
      <c r="BR218" t="e">
        <f>装备!#REF!</f>
        <v>#REF!</v>
      </c>
      <c r="BS218" t="e">
        <f>装备!#REF!</f>
        <v>#REF!</v>
      </c>
      <c r="BT218" t="e">
        <f>装备!#REF!</f>
        <v>#REF!</v>
      </c>
      <c r="BU218" t="e">
        <f>装备!#REF!</f>
        <v>#REF!</v>
      </c>
      <c r="BV218" t="e">
        <f>装备!#REF!</f>
        <v>#REF!</v>
      </c>
      <c r="BW218" t="e">
        <f>装备!#REF!</f>
        <v>#REF!</v>
      </c>
      <c r="BX218" t="e">
        <f>装备!#REF!</f>
        <v>#REF!</v>
      </c>
      <c r="BY218" t="e">
        <f>装备!#REF!</f>
        <v>#REF!</v>
      </c>
      <c r="BZ218" t="e">
        <f>装备!#REF!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装备!#REF!</f>
        <v>#REF!</v>
      </c>
      <c r="B219" t="e">
        <f>装备!#REF!</f>
        <v>#REF!</v>
      </c>
      <c r="C219" t="e">
        <f>装备!#REF!</f>
        <v>#REF!</v>
      </c>
      <c r="D219" t="e">
        <f>装备!#REF!</f>
        <v>#REF!</v>
      </c>
      <c r="E219" t="e">
        <f>装备!#REF!</f>
        <v>#REF!</v>
      </c>
      <c r="F219" t="e">
        <f>装备!#REF!</f>
        <v>#REF!</v>
      </c>
      <c r="G219" t="e">
        <f>装备!#REF!</f>
        <v>#REF!</v>
      </c>
      <c r="H219" t="e">
        <f>装备!#REF!</f>
        <v>#REF!</v>
      </c>
      <c r="I219" t="e">
        <f>装备!#REF!</f>
        <v>#REF!</v>
      </c>
      <c r="J219" t="e">
        <f>装备!#REF!</f>
        <v>#REF!</v>
      </c>
      <c r="K219" t="e">
        <f>装备!#REF!</f>
        <v>#REF!</v>
      </c>
      <c r="L219" t="e">
        <f>装备!#REF!</f>
        <v>#REF!</v>
      </c>
      <c r="M219" t="e">
        <f t="shared" si="42"/>
        <v>#REF!</v>
      </c>
      <c r="N219" t="e">
        <f>装备!#REF!</f>
        <v>#REF!</v>
      </c>
      <c r="O219" t="e">
        <f>装备!#REF!</f>
        <v>#REF!</v>
      </c>
      <c r="P219" t="e">
        <f>装备!#REF!</f>
        <v>#REF!</v>
      </c>
      <c r="Q219" t="e">
        <f>装备!#REF!</f>
        <v>#REF!</v>
      </c>
      <c r="R219" t="e">
        <f>装备!#REF!</f>
        <v>#REF!</v>
      </c>
      <c r="S219" t="e">
        <f>装备!#REF!</f>
        <v>#REF!</v>
      </c>
      <c r="T219" t="e">
        <f>装备!#REF!</f>
        <v>#REF!</v>
      </c>
      <c r="U219" t="e">
        <f>装备!#REF!</f>
        <v>#REF!</v>
      </c>
      <c r="V219" t="e">
        <f>装备!#REF!</f>
        <v>#REF!</v>
      </c>
      <c r="W219" t="e">
        <f>装备!#REF!</f>
        <v>#REF!</v>
      </c>
      <c r="X219" t="e">
        <f t="shared" si="43"/>
        <v>#REF!</v>
      </c>
      <c r="Y219" t="e">
        <f>装备!#REF!</f>
        <v>#REF!</v>
      </c>
      <c r="Z219" t="e">
        <f>装备!#REF!</f>
        <v>#REF!</v>
      </c>
      <c r="AA219" t="e">
        <f>装备!#REF!</f>
        <v>#REF!</v>
      </c>
      <c r="AB219" t="e">
        <f>装备!#REF!</f>
        <v>#REF!</v>
      </c>
      <c r="AC219" t="e">
        <f>装备!#REF!</f>
        <v>#REF!</v>
      </c>
      <c r="AD219" t="e">
        <f>装备!#REF!</f>
        <v>#REF!</v>
      </c>
      <c r="AE219" t="e">
        <f>装备!#REF!</f>
        <v>#REF!</v>
      </c>
      <c r="AF219" t="e">
        <f>装备!#REF!</f>
        <v>#REF!</v>
      </c>
      <c r="AG219" t="e">
        <f>装备!#REF!</f>
        <v>#REF!</v>
      </c>
      <c r="AH219" t="e">
        <f>装备!#REF!</f>
        <v>#REF!</v>
      </c>
      <c r="AI219" t="e">
        <f t="shared" si="44"/>
        <v>#REF!</v>
      </c>
      <c r="AJ219" t="e">
        <f>装备!#REF!</f>
        <v>#REF!</v>
      </c>
      <c r="AK219" t="e">
        <f>装备!#REF!</f>
        <v>#REF!</v>
      </c>
      <c r="AL219" t="e">
        <f>装备!#REF!</f>
        <v>#REF!</v>
      </c>
      <c r="AM219" t="e">
        <f>装备!#REF!</f>
        <v>#REF!</v>
      </c>
      <c r="AN219" t="e">
        <f>装备!#REF!</f>
        <v>#REF!</v>
      </c>
      <c r="AO219" t="e">
        <f>装备!#REF!</f>
        <v>#REF!</v>
      </c>
      <c r="AP219" t="e">
        <f>装备!#REF!</f>
        <v>#REF!</v>
      </c>
      <c r="AQ219" t="e">
        <f>装备!#REF!</f>
        <v>#REF!</v>
      </c>
      <c r="AR219" t="e">
        <f>装备!#REF!</f>
        <v>#REF!</v>
      </c>
      <c r="AS219" t="e">
        <f>装备!#REF!</f>
        <v>#REF!</v>
      </c>
      <c r="AT219" t="e">
        <f t="shared" si="45"/>
        <v>#REF!</v>
      </c>
      <c r="AU219" t="e">
        <f>装备!#REF!</f>
        <v>#REF!</v>
      </c>
      <c r="AV219" t="e">
        <f>装备!#REF!</f>
        <v>#REF!</v>
      </c>
      <c r="AW219" t="e">
        <f>装备!#REF!</f>
        <v>#REF!</v>
      </c>
      <c r="AX219" t="e">
        <f>装备!#REF!</f>
        <v>#REF!</v>
      </c>
      <c r="AY219" t="e">
        <f>装备!#REF!</f>
        <v>#REF!</v>
      </c>
      <c r="AZ219" t="e">
        <f>装备!#REF!</f>
        <v>#REF!</v>
      </c>
      <c r="BA219" t="e">
        <f>装备!#REF!</f>
        <v>#REF!</v>
      </c>
      <c r="BB219" t="e">
        <f>装备!#REF!</f>
        <v>#REF!</v>
      </c>
      <c r="BC219" t="e">
        <f>装备!#REF!</f>
        <v>#REF!</v>
      </c>
      <c r="BD219" t="e">
        <f>装备!#REF!</f>
        <v>#REF!</v>
      </c>
      <c r="BE219" t="e">
        <f t="shared" si="46"/>
        <v>#REF!</v>
      </c>
      <c r="BF219" t="e">
        <f>装备!#REF!</f>
        <v>#REF!</v>
      </c>
      <c r="BG219" t="e">
        <f>装备!#REF!</f>
        <v>#REF!</v>
      </c>
      <c r="BH219" t="e">
        <f>装备!#REF!</f>
        <v>#REF!</v>
      </c>
      <c r="BI219" t="e">
        <f>装备!#REF!</f>
        <v>#REF!</v>
      </c>
      <c r="BJ219" t="e">
        <f>装备!#REF!</f>
        <v>#REF!</v>
      </c>
      <c r="BK219" t="e">
        <f>装备!#REF!</f>
        <v>#REF!</v>
      </c>
      <c r="BL219" t="e">
        <f>装备!#REF!</f>
        <v>#REF!</v>
      </c>
      <c r="BM219" t="e">
        <f>装备!#REF!</f>
        <v>#REF!</v>
      </c>
      <c r="BN219" t="e">
        <f>装备!#REF!</f>
        <v>#REF!</v>
      </c>
      <c r="BO219" t="e">
        <f>装备!#REF!</f>
        <v>#REF!</v>
      </c>
      <c r="BP219" t="e">
        <f t="shared" si="47"/>
        <v>#REF!</v>
      </c>
      <c r="BQ219" t="e">
        <f>装备!#REF!</f>
        <v>#REF!</v>
      </c>
      <c r="BR219" t="e">
        <f>装备!#REF!</f>
        <v>#REF!</v>
      </c>
      <c r="BS219" t="e">
        <f>装备!#REF!</f>
        <v>#REF!</v>
      </c>
      <c r="BT219" t="e">
        <f>装备!#REF!</f>
        <v>#REF!</v>
      </c>
      <c r="BU219" t="e">
        <f>装备!#REF!</f>
        <v>#REF!</v>
      </c>
      <c r="BV219" t="e">
        <f>装备!#REF!</f>
        <v>#REF!</v>
      </c>
      <c r="BW219" t="e">
        <f>装备!#REF!</f>
        <v>#REF!</v>
      </c>
      <c r="BX219" t="e">
        <f>装备!#REF!</f>
        <v>#REF!</v>
      </c>
      <c r="BY219" t="e">
        <f>装备!#REF!</f>
        <v>#REF!</v>
      </c>
      <c r="BZ219" t="e">
        <f>装备!#REF!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装备!#REF!</f>
        <v>#REF!</v>
      </c>
      <c r="B220" t="e">
        <f>装备!#REF!</f>
        <v>#REF!</v>
      </c>
      <c r="C220" t="e">
        <f>装备!#REF!</f>
        <v>#REF!</v>
      </c>
      <c r="D220" t="e">
        <f>装备!#REF!</f>
        <v>#REF!</v>
      </c>
      <c r="E220" t="e">
        <f>装备!#REF!</f>
        <v>#REF!</v>
      </c>
      <c r="F220" t="e">
        <f>装备!#REF!</f>
        <v>#REF!</v>
      </c>
      <c r="G220" t="e">
        <f>装备!#REF!</f>
        <v>#REF!</v>
      </c>
      <c r="H220" t="e">
        <f>装备!#REF!</f>
        <v>#REF!</v>
      </c>
      <c r="I220" t="e">
        <f>装备!#REF!</f>
        <v>#REF!</v>
      </c>
      <c r="J220" t="e">
        <f>装备!#REF!</f>
        <v>#REF!</v>
      </c>
      <c r="K220" t="e">
        <f>装备!#REF!</f>
        <v>#REF!</v>
      </c>
      <c r="L220" t="e">
        <f>装备!#REF!</f>
        <v>#REF!</v>
      </c>
      <c r="M220" t="e">
        <f t="shared" si="42"/>
        <v>#REF!</v>
      </c>
      <c r="N220" t="e">
        <f>装备!#REF!</f>
        <v>#REF!</v>
      </c>
      <c r="O220" t="e">
        <f>装备!#REF!</f>
        <v>#REF!</v>
      </c>
      <c r="P220" t="e">
        <f>装备!#REF!</f>
        <v>#REF!</v>
      </c>
      <c r="Q220" t="e">
        <f>装备!#REF!</f>
        <v>#REF!</v>
      </c>
      <c r="R220" t="e">
        <f>装备!#REF!</f>
        <v>#REF!</v>
      </c>
      <c r="S220" t="e">
        <f>装备!#REF!</f>
        <v>#REF!</v>
      </c>
      <c r="T220" t="e">
        <f>装备!#REF!</f>
        <v>#REF!</v>
      </c>
      <c r="U220" t="e">
        <f>装备!#REF!</f>
        <v>#REF!</v>
      </c>
      <c r="V220" t="e">
        <f>装备!#REF!</f>
        <v>#REF!</v>
      </c>
      <c r="W220" t="e">
        <f>装备!#REF!</f>
        <v>#REF!</v>
      </c>
      <c r="X220" t="e">
        <f t="shared" si="43"/>
        <v>#REF!</v>
      </c>
      <c r="Y220" t="e">
        <f>装备!#REF!</f>
        <v>#REF!</v>
      </c>
      <c r="Z220" t="e">
        <f>装备!#REF!</f>
        <v>#REF!</v>
      </c>
      <c r="AA220" t="e">
        <f>装备!#REF!</f>
        <v>#REF!</v>
      </c>
      <c r="AB220" t="e">
        <f>装备!#REF!</f>
        <v>#REF!</v>
      </c>
      <c r="AC220" t="e">
        <f>装备!#REF!</f>
        <v>#REF!</v>
      </c>
      <c r="AD220" t="e">
        <f>装备!#REF!</f>
        <v>#REF!</v>
      </c>
      <c r="AE220" t="e">
        <f>装备!#REF!</f>
        <v>#REF!</v>
      </c>
      <c r="AF220" t="e">
        <f>装备!#REF!</f>
        <v>#REF!</v>
      </c>
      <c r="AG220" t="e">
        <f>装备!#REF!</f>
        <v>#REF!</v>
      </c>
      <c r="AH220" t="e">
        <f>装备!#REF!</f>
        <v>#REF!</v>
      </c>
      <c r="AI220" t="e">
        <f t="shared" si="44"/>
        <v>#REF!</v>
      </c>
      <c r="AJ220" t="e">
        <f>装备!#REF!</f>
        <v>#REF!</v>
      </c>
      <c r="AK220" t="e">
        <f>装备!#REF!</f>
        <v>#REF!</v>
      </c>
      <c r="AL220" t="e">
        <f>装备!#REF!</f>
        <v>#REF!</v>
      </c>
      <c r="AM220" t="e">
        <f>装备!#REF!</f>
        <v>#REF!</v>
      </c>
      <c r="AN220" t="e">
        <f>装备!#REF!</f>
        <v>#REF!</v>
      </c>
      <c r="AO220" t="e">
        <f>装备!#REF!</f>
        <v>#REF!</v>
      </c>
      <c r="AP220" t="e">
        <f>装备!#REF!</f>
        <v>#REF!</v>
      </c>
      <c r="AQ220" t="e">
        <f>装备!#REF!</f>
        <v>#REF!</v>
      </c>
      <c r="AR220" t="e">
        <f>装备!#REF!</f>
        <v>#REF!</v>
      </c>
      <c r="AS220" t="e">
        <f>装备!#REF!</f>
        <v>#REF!</v>
      </c>
      <c r="AT220" t="e">
        <f t="shared" si="45"/>
        <v>#REF!</v>
      </c>
      <c r="AU220" t="e">
        <f>装备!#REF!</f>
        <v>#REF!</v>
      </c>
      <c r="AV220" t="e">
        <f>装备!#REF!</f>
        <v>#REF!</v>
      </c>
      <c r="AW220" t="e">
        <f>装备!#REF!</f>
        <v>#REF!</v>
      </c>
      <c r="AX220" t="e">
        <f>装备!#REF!</f>
        <v>#REF!</v>
      </c>
      <c r="AY220" t="e">
        <f>装备!#REF!</f>
        <v>#REF!</v>
      </c>
      <c r="AZ220" t="e">
        <f>装备!#REF!</f>
        <v>#REF!</v>
      </c>
      <c r="BA220" t="e">
        <f>装备!#REF!</f>
        <v>#REF!</v>
      </c>
      <c r="BB220" t="e">
        <f>装备!#REF!</f>
        <v>#REF!</v>
      </c>
      <c r="BC220" t="e">
        <f>装备!#REF!</f>
        <v>#REF!</v>
      </c>
      <c r="BD220" t="e">
        <f>装备!#REF!</f>
        <v>#REF!</v>
      </c>
      <c r="BE220" t="e">
        <f t="shared" si="46"/>
        <v>#REF!</v>
      </c>
      <c r="BF220" t="e">
        <f>装备!#REF!</f>
        <v>#REF!</v>
      </c>
      <c r="BG220" t="e">
        <f>装备!#REF!</f>
        <v>#REF!</v>
      </c>
      <c r="BH220" t="e">
        <f>装备!#REF!</f>
        <v>#REF!</v>
      </c>
      <c r="BI220" t="e">
        <f>装备!#REF!</f>
        <v>#REF!</v>
      </c>
      <c r="BJ220" t="e">
        <f>装备!#REF!</f>
        <v>#REF!</v>
      </c>
      <c r="BK220" t="e">
        <f>装备!#REF!</f>
        <v>#REF!</v>
      </c>
      <c r="BL220" t="e">
        <f>装备!#REF!</f>
        <v>#REF!</v>
      </c>
      <c r="BM220" t="e">
        <f>装备!#REF!</f>
        <v>#REF!</v>
      </c>
      <c r="BN220" t="e">
        <f>装备!#REF!</f>
        <v>#REF!</v>
      </c>
      <c r="BO220" t="e">
        <f>装备!#REF!</f>
        <v>#REF!</v>
      </c>
      <c r="BP220" t="e">
        <f t="shared" si="47"/>
        <v>#REF!</v>
      </c>
      <c r="BQ220" t="e">
        <f>装备!#REF!</f>
        <v>#REF!</v>
      </c>
      <c r="BR220" t="e">
        <f>装备!#REF!</f>
        <v>#REF!</v>
      </c>
      <c r="BS220" t="e">
        <f>装备!#REF!</f>
        <v>#REF!</v>
      </c>
      <c r="BT220" t="e">
        <f>装备!#REF!</f>
        <v>#REF!</v>
      </c>
      <c r="BU220" t="e">
        <f>装备!#REF!</f>
        <v>#REF!</v>
      </c>
      <c r="BV220" t="e">
        <f>装备!#REF!</f>
        <v>#REF!</v>
      </c>
      <c r="BW220" t="e">
        <f>装备!#REF!</f>
        <v>#REF!</v>
      </c>
      <c r="BX220" t="e">
        <f>装备!#REF!</f>
        <v>#REF!</v>
      </c>
      <c r="BY220" t="e">
        <f>装备!#REF!</f>
        <v>#REF!</v>
      </c>
      <c r="BZ220" t="e">
        <f>装备!#REF!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装备!#REF!</f>
        <v>#REF!</v>
      </c>
      <c r="B221" t="e">
        <f>装备!#REF!</f>
        <v>#REF!</v>
      </c>
      <c r="C221" t="e">
        <f>装备!#REF!</f>
        <v>#REF!</v>
      </c>
      <c r="D221" t="e">
        <f>装备!#REF!</f>
        <v>#REF!</v>
      </c>
      <c r="E221" t="e">
        <f>装备!#REF!</f>
        <v>#REF!</v>
      </c>
      <c r="F221" t="e">
        <f>装备!#REF!</f>
        <v>#REF!</v>
      </c>
      <c r="G221" t="e">
        <f>装备!#REF!</f>
        <v>#REF!</v>
      </c>
      <c r="H221" t="e">
        <f>装备!#REF!</f>
        <v>#REF!</v>
      </c>
      <c r="I221" t="e">
        <f>装备!#REF!</f>
        <v>#REF!</v>
      </c>
      <c r="J221" t="e">
        <f>装备!#REF!</f>
        <v>#REF!</v>
      </c>
      <c r="K221" t="e">
        <f>装备!#REF!</f>
        <v>#REF!</v>
      </c>
      <c r="L221" t="e">
        <f>装备!#REF!</f>
        <v>#REF!</v>
      </c>
      <c r="M221" t="e">
        <f t="shared" si="42"/>
        <v>#REF!</v>
      </c>
      <c r="N221" t="e">
        <f>装备!#REF!</f>
        <v>#REF!</v>
      </c>
      <c r="O221" t="e">
        <f>装备!#REF!</f>
        <v>#REF!</v>
      </c>
      <c r="P221" t="e">
        <f>装备!#REF!</f>
        <v>#REF!</v>
      </c>
      <c r="Q221" t="e">
        <f>装备!#REF!</f>
        <v>#REF!</v>
      </c>
      <c r="R221" t="e">
        <f>装备!#REF!</f>
        <v>#REF!</v>
      </c>
      <c r="S221" t="e">
        <f>装备!#REF!</f>
        <v>#REF!</v>
      </c>
      <c r="T221" t="e">
        <f>装备!#REF!</f>
        <v>#REF!</v>
      </c>
      <c r="U221" t="e">
        <f>装备!#REF!</f>
        <v>#REF!</v>
      </c>
      <c r="V221" t="e">
        <f>装备!#REF!</f>
        <v>#REF!</v>
      </c>
      <c r="W221" t="e">
        <f>装备!#REF!</f>
        <v>#REF!</v>
      </c>
      <c r="X221" t="e">
        <f t="shared" si="43"/>
        <v>#REF!</v>
      </c>
      <c r="Y221" t="e">
        <f>装备!#REF!</f>
        <v>#REF!</v>
      </c>
      <c r="Z221" t="e">
        <f>装备!#REF!</f>
        <v>#REF!</v>
      </c>
      <c r="AA221" t="e">
        <f>装备!#REF!</f>
        <v>#REF!</v>
      </c>
      <c r="AB221" t="e">
        <f>装备!#REF!</f>
        <v>#REF!</v>
      </c>
      <c r="AC221" t="e">
        <f>装备!#REF!</f>
        <v>#REF!</v>
      </c>
      <c r="AD221" t="e">
        <f>装备!#REF!</f>
        <v>#REF!</v>
      </c>
      <c r="AE221" t="e">
        <f>装备!#REF!</f>
        <v>#REF!</v>
      </c>
      <c r="AF221" t="e">
        <f>装备!#REF!</f>
        <v>#REF!</v>
      </c>
      <c r="AG221" t="e">
        <f>装备!#REF!</f>
        <v>#REF!</v>
      </c>
      <c r="AH221" t="e">
        <f>装备!#REF!</f>
        <v>#REF!</v>
      </c>
      <c r="AI221" t="e">
        <f t="shared" si="44"/>
        <v>#REF!</v>
      </c>
      <c r="AJ221" t="e">
        <f>装备!#REF!</f>
        <v>#REF!</v>
      </c>
      <c r="AK221" t="e">
        <f>装备!#REF!</f>
        <v>#REF!</v>
      </c>
      <c r="AL221" t="e">
        <f>装备!#REF!</f>
        <v>#REF!</v>
      </c>
      <c r="AM221" t="e">
        <f>装备!#REF!</f>
        <v>#REF!</v>
      </c>
      <c r="AN221" t="e">
        <f>装备!#REF!</f>
        <v>#REF!</v>
      </c>
      <c r="AO221" t="e">
        <f>装备!#REF!</f>
        <v>#REF!</v>
      </c>
      <c r="AP221" t="e">
        <f>装备!#REF!</f>
        <v>#REF!</v>
      </c>
      <c r="AQ221" t="e">
        <f>装备!#REF!</f>
        <v>#REF!</v>
      </c>
      <c r="AR221" t="e">
        <f>装备!#REF!</f>
        <v>#REF!</v>
      </c>
      <c r="AS221" t="e">
        <f>装备!#REF!</f>
        <v>#REF!</v>
      </c>
      <c r="AT221" t="e">
        <f t="shared" si="45"/>
        <v>#REF!</v>
      </c>
      <c r="AU221" t="e">
        <f>装备!#REF!</f>
        <v>#REF!</v>
      </c>
      <c r="AV221" t="e">
        <f>装备!#REF!</f>
        <v>#REF!</v>
      </c>
      <c r="AW221" t="e">
        <f>装备!#REF!</f>
        <v>#REF!</v>
      </c>
      <c r="AX221" t="e">
        <f>装备!#REF!</f>
        <v>#REF!</v>
      </c>
      <c r="AY221" t="e">
        <f>装备!#REF!</f>
        <v>#REF!</v>
      </c>
      <c r="AZ221" t="e">
        <f>装备!#REF!</f>
        <v>#REF!</v>
      </c>
      <c r="BA221" t="e">
        <f>装备!#REF!</f>
        <v>#REF!</v>
      </c>
      <c r="BB221" t="e">
        <f>装备!#REF!</f>
        <v>#REF!</v>
      </c>
      <c r="BC221" t="e">
        <f>装备!#REF!</f>
        <v>#REF!</v>
      </c>
      <c r="BD221" t="e">
        <f>装备!#REF!</f>
        <v>#REF!</v>
      </c>
      <c r="BE221" t="e">
        <f t="shared" si="46"/>
        <v>#REF!</v>
      </c>
      <c r="BF221" t="e">
        <f>装备!#REF!</f>
        <v>#REF!</v>
      </c>
      <c r="BG221" t="e">
        <f>装备!#REF!</f>
        <v>#REF!</v>
      </c>
      <c r="BH221" t="e">
        <f>装备!#REF!</f>
        <v>#REF!</v>
      </c>
      <c r="BI221" t="e">
        <f>装备!#REF!</f>
        <v>#REF!</v>
      </c>
      <c r="BJ221" t="e">
        <f>装备!#REF!</f>
        <v>#REF!</v>
      </c>
      <c r="BK221" t="e">
        <f>装备!#REF!</f>
        <v>#REF!</v>
      </c>
      <c r="BL221" t="e">
        <f>装备!#REF!</f>
        <v>#REF!</v>
      </c>
      <c r="BM221" t="e">
        <f>装备!#REF!</f>
        <v>#REF!</v>
      </c>
      <c r="BN221" t="e">
        <f>装备!#REF!</f>
        <v>#REF!</v>
      </c>
      <c r="BO221" t="e">
        <f>装备!#REF!</f>
        <v>#REF!</v>
      </c>
      <c r="BP221" t="e">
        <f t="shared" si="47"/>
        <v>#REF!</v>
      </c>
      <c r="BQ221" t="e">
        <f>装备!#REF!</f>
        <v>#REF!</v>
      </c>
      <c r="BR221" t="e">
        <f>装备!#REF!</f>
        <v>#REF!</v>
      </c>
      <c r="BS221" t="e">
        <f>装备!#REF!</f>
        <v>#REF!</v>
      </c>
      <c r="BT221" t="e">
        <f>装备!#REF!</f>
        <v>#REF!</v>
      </c>
      <c r="BU221" t="e">
        <f>装备!#REF!</f>
        <v>#REF!</v>
      </c>
      <c r="BV221" t="e">
        <f>装备!#REF!</f>
        <v>#REF!</v>
      </c>
      <c r="BW221" t="e">
        <f>装备!#REF!</f>
        <v>#REF!</v>
      </c>
      <c r="BX221" t="e">
        <f>装备!#REF!</f>
        <v>#REF!</v>
      </c>
      <c r="BY221" t="e">
        <f>装备!#REF!</f>
        <v>#REF!</v>
      </c>
      <c r="BZ221" t="e">
        <f>装备!#REF!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装备!#REF!</f>
        <v>#REF!</v>
      </c>
      <c r="B222" t="e">
        <f>装备!#REF!</f>
        <v>#REF!</v>
      </c>
      <c r="C222" t="e">
        <f>装备!#REF!</f>
        <v>#REF!</v>
      </c>
      <c r="D222" t="e">
        <f>装备!#REF!</f>
        <v>#REF!</v>
      </c>
      <c r="E222" t="e">
        <f>装备!#REF!</f>
        <v>#REF!</v>
      </c>
      <c r="F222" t="e">
        <f>装备!#REF!</f>
        <v>#REF!</v>
      </c>
      <c r="G222" t="e">
        <f>装备!#REF!</f>
        <v>#REF!</v>
      </c>
      <c r="H222" t="e">
        <f>装备!#REF!</f>
        <v>#REF!</v>
      </c>
      <c r="I222" t="e">
        <f>装备!#REF!</f>
        <v>#REF!</v>
      </c>
      <c r="J222" t="e">
        <f>装备!#REF!</f>
        <v>#REF!</v>
      </c>
      <c r="K222" t="e">
        <f>装备!#REF!</f>
        <v>#REF!</v>
      </c>
      <c r="L222" t="e">
        <f>装备!#REF!</f>
        <v>#REF!</v>
      </c>
      <c r="M222" t="e">
        <f t="shared" si="42"/>
        <v>#REF!</v>
      </c>
      <c r="N222" t="e">
        <f>装备!#REF!</f>
        <v>#REF!</v>
      </c>
      <c r="O222" t="e">
        <f>装备!#REF!</f>
        <v>#REF!</v>
      </c>
      <c r="P222" t="e">
        <f>装备!#REF!</f>
        <v>#REF!</v>
      </c>
      <c r="Q222" t="e">
        <f>装备!#REF!</f>
        <v>#REF!</v>
      </c>
      <c r="R222" t="e">
        <f>装备!#REF!</f>
        <v>#REF!</v>
      </c>
      <c r="S222" t="e">
        <f>装备!#REF!</f>
        <v>#REF!</v>
      </c>
      <c r="T222" t="e">
        <f>装备!#REF!</f>
        <v>#REF!</v>
      </c>
      <c r="U222" t="e">
        <f>装备!#REF!</f>
        <v>#REF!</v>
      </c>
      <c r="V222" t="e">
        <f>装备!#REF!</f>
        <v>#REF!</v>
      </c>
      <c r="W222" t="e">
        <f>装备!#REF!</f>
        <v>#REF!</v>
      </c>
      <c r="X222" t="e">
        <f t="shared" si="43"/>
        <v>#REF!</v>
      </c>
      <c r="Y222" t="e">
        <f>装备!#REF!</f>
        <v>#REF!</v>
      </c>
      <c r="Z222" t="e">
        <f>装备!#REF!</f>
        <v>#REF!</v>
      </c>
      <c r="AA222" t="e">
        <f>装备!#REF!</f>
        <v>#REF!</v>
      </c>
      <c r="AB222" t="e">
        <f>装备!#REF!</f>
        <v>#REF!</v>
      </c>
      <c r="AC222" t="e">
        <f>装备!#REF!</f>
        <v>#REF!</v>
      </c>
      <c r="AD222" t="e">
        <f>装备!#REF!</f>
        <v>#REF!</v>
      </c>
      <c r="AE222" t="e">
        <f>装备!#REF!</f>
        <v>#REF!</v>
      </c>
      <c r="AF222" t="e">
        <f>装备!#REF!</f>
        <v>#REF!</v>
      </c>
      <c r="AG222" t="e">
        <f>装备!#REF!</f>
        <v>#REF!</v>
      </c>
      <c r="AH222" t="e">
        <f>装备!#REF!</f>
        <v>#REF!</v>
      </c>
      <c r="AI222" t="e">
        <f t="shared" si="44"/>
        <v>#REF!</v>
      </c>
      <c r="AJ222" t="e">
        <f>装备!#REF!</f>
        <v>#REF!</v>
      </c>
      <c r="AK222" t="e">
        <f>装备!#REF!</f>
        <v>#REF!</v>
      </c>
      <c r="AL222" t="e">
        <f>装备!#REF!</f>
        <v>#REF!</v>
      </c>
      <c r="AM222" t="e">
        <f>装备!#REF!</f>
        <v>#REF!</v>
      </c>
      <c r="AN222" t="e">
        <f>装备!#REF!</f>
        <v>#REF!</v>
      </c>
      <c r="AO222" t="e">
        <f>装备!#REF!</f>
        <v>#REF!</v>
      </c>
      <c r="AP222" t="e">
        <f>装备!#REF!</f>
        <v>#REF!</v>
      </c>
      <c r="AQ222" t="e">
        <f>装备!#REF!</f>
        <v>#REF!</v>
      </c>
      <c r="AR222" t="e">
        <f>装备!#REF!</f>
        <v>#REF!</v>
      </c>
      <c r="AS222" t="e">
        <f>装备!#REF!</f>
        <v>#REF!</v>
      </c>
      <c r="AT222" t="e">
        <f t="shared" si="45"/>
        <v>#REF!</v>
      </c>
      <c r="AU222" t="e">
        <f>装备!#REF!</f>
        <v>#REF!</v>
      </c>
      <c r="AV222" t="e">
        <f>装备!#REF!</f>
        <v>#REF!</v>
      </c>
      <c r="AW222" t="e">
        <f>装备!#REF!</f>
        <v>#REF!</v>
      </c>
      <c r="AX222" t="e">
        <f>装备!#REF!</f>
        <v>#REF!</v>
      </c>
      <c r="AY222" t="e">
        <f>装备!#REF!</f>
        <v>#REF!</v>
      </c>
      <c r="AZ222" t="e">
        <f>装备!#REF!</f>
        <v>#REF!</v>
      </c>
      <c r="BA222" t="e">
        <f>装备!#REF!</f>
        <v>#REF!</v>
      </c>
      <c r="BB222" t="e">
        <f>装备!#REF!</f>
        <v>#REF!</v>
      </c>
      <c r="BC222" t="e">
        <f>装备!#REF!</f>
        <v>#REF!</v>
      </c>
      <c r="BD222" t="e">
        <f>装备!#REF!</f>
        <v>#REF!</v>
      </c>
      <c r="BE222" t="e">
        <f t="shared" si="46"/>
        <v>#REF!</v>
      </c>
      <c r="BF222" t="e">
        <f>装备!#REF!</f>
        <v>#REF!</v>
      </c>
      <c r="BG222" t="e">
        <f>装备!#REF!</f>
        <v>#REF!</v>
      </c>
      <c r="BH222" t="e">
        <f>装备!#REF!</f>
        <v>#REF!</v>
      </c>
      <c r="BI222" t="e">
        <f>装备!#REF!</f>
        <v>#REF!</v>
      </c>
      <c r="BJ222" t="e">
        <f>装备!#REF!</f>
        <v>#REF!</v>
      </c>
      <c r="BK222" t="e">
        <f>装备!#REF!</f>
        <v>#REF!</v>
      </c>
      <c r="BL222" t="e">
        <f>装备!#REF!</f>
        <v>#REF!</v>
      </c>
      <c r="BM222" t="e">
        <f>装备!#REF!</f>
        <v>#REF!</v>
      </c>
      <c r="BN222" t="e">
        <f>装备!#REF!</f>
        <v>#REF!</v>
      </c>
      <c r="BO222" t="e">
        <f>装备!#REF!</f>
        <v>#REF!</v>
      </c>
      <c r="BP222" t="e">
        <f t="shared" si="47"/>
        <v>#REF!</v>
      </c>
      <c r="BQ222" t="e">
        <f>装备!#REF!</f>
        <v>#REF!</v>
      </c>
      <c r="BR222" t="e">
        <f>装备!#REF!</f>
        <v>#REF!</v>
      </c>
      <c r="BS222" t="e">
        <f>装备!#REF!</f>
        <v>#REF!</v>
      </c>
      <c r="BT222" t="e">
        <f>装备!#REF!</f>
        <v>#REF!</v>
      </c>
      <c r="BU222" t="e">
        <f>装备!#REF!</f>
        <v>#REF!</v>
      </c>
      <c r="BV222" t="e">
        <f>装备!#REF!</f>
        <v>#REF!</v>
      </c>
      <c r="BW222" t="e">
        <f>装备!#REF!</f>
        <v>#REF!</v>
      </c>
      <c r="BX222" t="e">
        <f>装备!#REF!</f>
        <v>#REF!</v>
      </c>
      <c r="BY222" t="e">
        <f>装备!#REF!</f>
        <v>#REF!</v>
      </c>
      <c r="BZ222" t="e">
        <f>装备!#REF!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装备!#REF!</f>
        <v>#REF!</v>
      </c>
      <c r="B223" t="e">
        <f>装备!#REF!</f>
        <v>#REF!</v>
      </c>
      <c r="C223" t="e">
        <f>装备!#REF!</f>
        <v>#REF!</v>
      </c>
      <c r="D223" t="e">
        <f>装备!#REF!</f>
        <v>#REF!</v>
      </c>
      <c r="E223" t="e">
        <f>装备!#REF!</f>
        <v>#REF!</v>
      </c>
      <c r="F223" t="e">
        <f>装备!#REF!</f>
        <v>#REF!</v>
      </c>
      <c r="G223" t="e">
        <f>装备!#REF!</f>
        <v>#REF!</v>
      </c>
      <c r="H223" t="e">
        <f>装备!#REF!</f>
        <v>#REF!</v>
      </c>
      <c r="I223" t="e">
        <f>装备!#REF!</f>
        <v>#REF!</v>
      </c>
      <c r="J223" t="e">
        <f>装备!#REF!</f>
        <v>#REF!</v>
      </c>
      <c r="K223" t="e">
        <f>装备!#REF!</f>
        <v>#REF!</v>
      </c>
      <c r="L223" t="e">
        <f>装备!#REF!</f>
        <v>#REF!</v>
      </c>
      <c r="M223" t="e">
        <f t="shared" si="42"/>
        <v>#REF!</v>
      </c>
      <c r="N223" t="e">
        <f>装备!#REF!</f>
        <v>#REF!</v>
      </c>
      <c r="O223" t="e">
        <f>装备!#REF!</f>
        <v>#REF!</v>
      </c>
      <c r="P223" t="e">
        <f>装备!#REF!</f>
        <v>#REF!</v>
      </c>
      <c r="Q223" t="e">
        <f>装备!#REF!</f>
        <v>#REF!</v>
      </c>
      <c r="R223" t="e">
        <f>装备!#REF!</f>
        <v>#REF!</v>
      </c>
      <c r="S223" t="e">
        <f>装备!#REF!</f>
        <v>#REF!</v>
      </c>
      <c r="T223" t="e">
        <f>装备!#REF!</f>
        <v>#REF!</v>
      </c>
      <c r="U223" t="e">
        <f>装备!#REF!</f>
        <v>#REF!</v>
      </c>
      <c r="V223" t="e">
        <f>装备!#REF!</f>
        <v>#REF!</v>
      </c>
      <c r="W223" t="e">
        <f>装备!#REF!</f>
        <v>#REF!</v>
      </c>
      <c r="X223" t="e">
        <f t="shared" si="43"/>
        <v>#REF!</v>
      </c>
      <c r="Y223" t="e">
        <f>装备!#REF!</f>
        <v>#REF!</v>
      </c>
      <c r="Z223" t="e">
        <f>装备!#REF!</f>
        <v>#REF!</v>
      </c>
      <c r="AA223" t="e">
        <f>装备!#REF!</f>
        <v>#REF!</v>
      </c>
      <c r="AB223" t="e">
        <f>装备!#REF!</f>
        <v>#REF!</v>
      </c>
      <c r="AC223" t="e">
        <f>装备!#REF!</f>
        <v>#REF!</v>
      </c>
      <c r="AD223" t="e">
        <f>装备!#REF!</f>
        <v>#REF!</v>
      </c>
      <c r="AE223" t="e">
        <f>装备!#REF!</f>
        <v>#REF!</v>
      </c>
      <c r="AF223" t="e">
        <f>装备!#REF!</f>
        <v>#REF!</v>
      </c>
      <c r="AG223" t="e">
        <f>装备!#REF!</f>
        <v>#REF!</v>
      </c>
      <c r="AH223" t="e">
        <f>装备!#REF!</f>
        <v>#REF!</v>
      </c>
      <c r="AI223" t="e">
        <f t="shared" si="44"/>
        <v>#REF!</v>
      </c>
      <c r="AJ223" t="e">
        <f>装备!#REF!</f>
        <v>#REF!</v>
      </c>
      <c r="AK223" t="e">
        <f>装备!#REF!</f>
        <v>#REF!</v>
      </c>
      <c r="AL223" t="e">
        <f>装备!#REF!</f>
        <v>#REF!</v>
      </c>
      <c r="AM223" t="e">
        <f>装备!#REF!</f>
        <v>#REF!</v>
      </c>
      <c r="AN223" t="e">
        <f>装备!#REF!</f>
        <v>#REF!</v>
      </c>
      <c r="AO223" t="e">
        <f>装备!#REF!</f>
        <v>#REF!</v>
      </c>
      <c r="AP223" t="e">
        <f>装备!#REF!</f>
        <v>#REF!</v>
      </c>
      <c r="AQ223" t="e">
        <f>装备!#REF!</f>
        <v>#REF!</v>
      </c>
      <c r="AR223" t="e">
        <f>装备!#REF!</f>
        <v>#REF!</v>
      </c>
      <c r="AS223" t="e">
        <f>装备!#REF!</f>
        <v>#REF!</v>
      </c>
      <c r="AT223" t="e">
        <f t="shared" si="45"/>
        <v>#REF!</v>
      </c>
      <c r="AU223" t="e">
        <f>装备!#REF!</f>
        <v>#REF!</v>
      </c>
      <c r="AV223" t="e">
        <f>装备!#REF!</f>
        <v>#REF!</v>
      </c>
      <c r="AW223" t="e">
        <f>装备!#REF!</f>
        <v>#REF!</v>
      </c>
      <c r="AX223" t="e">
        <f>装备!#REF!</f>
        <v>#REF!</v>
      </c>
      <c r="AY223" t="e">
        <f>装备!#REF!</f>
        <v>#REF!</v>
      </c>
      <c r="AZ223" t="e">
        <f>装备!#REF!</f>
        <v>#REF!</v>
      </c>
      <c r="BA223" t="e">
        <f>装备!#REF!</f>
        <v>#REF!</v>
      </c>
      <c r="BB223" t="e">
        <f>装备!#REF!</f>
        <v>#REF!</v>
      </c>
      <c r="BC223" t="e">
        <f>装备!#REF!</f>
        <v>#REF!</v>
      </c>
      <c r="BD223" t="e">
        <f>装备!#REF!</f>
        <v>#REF!</v>
      </c>
      <c r="BE223" t="e">
        <f t="shared" si="46"/>
        <v>#REF!</v>
      </c>
      <c r="BF223" t="e">
        <f>装备!#REF!</f>
        <v>#REF!</v>
      </c>
      <c r="BG223" t="e">
        <f>装备!#REF!</f>
        <v>#REF!</v>
      </c>
      <c r="BH223" t="e">
        <f>装备!#REF!</f>
        <v>#REF!</v>
      </c>
      <c r="BI223" t="e">
        <f>装备!#REF!</f>
        <v>#REF!</v>
      </c>
      <c r="BJ223" t="e">
        <f>装备!#REF!</f>
        <v>#REF!</v>
      </c>
      <c r="BK223" t="e">
        <f>装备!#REF!</f>
        <v>#REF!</v>
      </c>
      <c r="BL223" t="e">
        <f>装备!#REF!</f>
        <v>#REF!</v>
      </c>
      <c r="BM223" t="e">
        <f>装备!#REF!</f>
        <v>#REF!</v>
      </c>
      <c r="BN223" t="e">
        <f>装备!#REF!</f>
        <v>#REF!</v>
      </c>
      <c r="BO223" t="e">
        <f>装备!#REF!</f>
        <v>#REF!</v>
      </c>
      <c r="BP223" t="e">
        <f t="shared" si="47"/>
        <v>#REF!</v>
      </c>
      <c r="BQ223" t="e">
        <f>装备!#REF!</f>
        <v>#REF!</v>
      </c>
      <c r="BR223" t="e">
        <f>装备!#REF!</f>
        <v>#REF!</v>
      </c>
      <c r="BS223" t="e">
        <f>装备!#REF!</f>
        <v>#REF!</v>
      </c>
      <c r="BT223" t="e">
        <f>装备!#REF!</f>
        <v>#REF!</v>
      </c>
      <c r="BU223" t="e">
        <f>装备!#REF!</f>
        <v>#REF!</v>
      </c>
      <c r="BV223" t="e">
        <f>装备!#REF!</f>
        <v>#REF!</v>
      </c>
      <c r="BW223" t="e">
        <f>装备!#REF!</f>
        <v>#REF!</v>
      </c>
      <c r="BX223" t="e">
        <f>装备!#REF!</f>
        <v>#REF!</v>
      </c>
      <c r="BY223" t="e">
        <f>装备!#REF!</f>
        <v>#REF!</v>
      </c>
      <c r="BZ223" t="e">
        <f>装备!#REF!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装备!#REF!</f>
        <v>#REF!</v>
      </c>
      <c r="B224" t="e">
        <f>装备!#REF!</f>
        <v>#REF!</v>
      </c>
      <c r="C224" t="e">
        <f>装备!#REF!</f>
        <v>#REF!</v>
      </c>
      <c r="D224" t="e">
        <f>装备!#REF!</f>
        <v>#REF!</v>
      </c>
      <c r="E224" t="e">
        <f>装备!#REF!</f>
        <v>#REF!</v>
      </c>
      <c r="F224" t="e">
        <f>装备!#REF!</f>
        <v>#REF!</v>
      </c>
      <c r="G224" t="e">
        <f>装备!#REF!</f>
        <v>#REF!</v>
      </c>
      <c r="H224" t="e">
        <f>装备!#REF!</f>
        <v>#REF!</v>
      </c>
      <c r="I224" t="e">
        <f>装备!#REF!</f>
        <v>#REF!</v>
      </c>
      <c r="J224" t="e">
        <f>装备!#REF!</f>
        <v>#REF!</v>
      </c>
      <c r="K224" t="e">
        <f>装备!#REF!</f>
        <v>#REF!</v>
      </c>
      <c r="L224" t="e">
        <f>装备!#REF!</f>
        <v>#REF!</v>
      </c>
      <c r="M224" t="e">
        <f t="shared" si="42"/>
        <v>#REF!</v>
      </c>
      <c r="N224" t="e">
        <f>装备!#REF!</f>
        <v>#REF!</v>
      </c>
      <c r="O224" t="e">
        <f>装备!#REF!</f>
        <v>#REF!</v>
      </c>
      <c r="P224" t="e">
        <f>装备!#REF!</f>
        <v>#REF!</v>
      </c>
      <c r="Q224" t="e">
        <f>装备!#REF!</f>
        <v>#REF!</v>
      </c>
      <c r="R224" t="e">
        <f>装备!#REF!</f>
        <v>#REF!</v>
      </c>
      <c r="S224" t="e">
        <f>装备!#REF!</f>
        <v>#REF!</v>
      </c>
      <c r="T224" t="e">
        <f>装备!#REF!</f>
        <v>#REF!</v>
      </c>
      <c r="U224" t="e">
        <f>装备!#REF!</f>
        <v>#REF!</v>
      </c>
      <c r="V224" t="e">
        <f>装备!#REF!</f>
        <v>#REF!</v>
      </c>
      <c r="W224" t="e">
        <f>装备!#REF!</f>
        <v>#REF!</v>
      </c>
      <c r="X224" t="e">
        <f t="shared" si="43"/>
        <v>#REF!</v>
      </c>
      <c r="Y224" t="e">
        <f>装备!#REF!</f>
        <v>#REF!</v>
      </c>
      <c r="Z224" t="e">
        <f>装备!#REF!</f>
        <v>#REF!</v>
      </c>
      <c r="AA224" t="e">
        <f>装备!#REF!</f>
        <v>#REF!</v>
      </c>
      <c r="AB224" t="e">
        <f>装备!#REF!</f>
        <v>#REF!</v>
      </c>
      <c r="AC224" t="e">
        <f>装备!#REF!</f>
        <v>#REF!</v>
      </c>
      <c r="AD224" t="e">
        <f>装备!#REF!</f>
        <v>#REF!</v>
      </c>
      <c r="AE224" t="e">
        <f>装备!#REF!</f>
        <v>#REF!</v>
      </c>
      <c r="AF224" t="e">
        <f>装备!#REF!</f>
        <v>#REF!</v>
      </c>
      <c r="AG224" t="e">
        <f>装备!#REF!</f>
        <v>#REF!</v>
      </c>
      <c r="AH224" t="e">
        <f>装备!#REF!</f>
        <v>#REF!</v>
      </c>
      <c r="AI224" t="e">
        <f t="shared" si="44"/>
        <v>#REF!</v>
      </c>
      <c r="AJ224" t="e">
        <f>装备!#REF!</f>
        <v>#REF!</v>
      </c>
      <c r="AK224" t="e">
        <f>装备!#REF!</f>
        <v>#REF!</v>
      </c>
      <c r="AL224" t="e">
        <f>装备!#REF!</f>
        <v>#REF!</v>
      </c>
      <c r="AM224" t="e">
        <f>装备!#REF!</f>
        <v>#REF!</v>
      </c>
      <c r="AN224" t="e">
        <f>装备!#REF!</f>
        <v>#REF!</v>
      </c>
      <c r="AO224" t="e">
        <f>装备!#REF!</f>
        <v>#REF!</v>
      </c>
      <c r="AP224" t="e">
        <f>装备!#REF!</f>
        <v>#REF!</v>
      </c>
      <c r="AQ224" t="e">
        <f>装备!#REF!</f>
        <v>#REF!</v>
      </c>
      <c r="AR224" t="e">
        <f>装备!#REF!</f>
        <v>#REF!</v>
      </c>
      <c r="AS224" t="e">
        <f>装备!#REF!</f>
        <v>#REF!</v>
      </c>
      <c r="AT224" t="e">
        <f t="shared" si="45"/>
        <v>#REF!</v>
      </c>
      <c r="AU224" t="e">
        <f>装备!#REF!</f>
        <v>#REF!</v>
      </c>
      <c r="AV224" t="e">
        <f>装备!#REF!</f>
        <v>#REF!</v>
      </c>
      <c r="AW224" t="e">
        <f>装备!#REF!</f>
        <v>#REF!</v>
      </c>
      <c r="AX224" t="e">
        <f>装备!#REF!</f>
        <v>#REF!</v>
      </c>
      <c r="AY224" t="e">
        <f>装备!#REF!</f>
        <v>#REF!</v>
      </c>
      <c r="AZ224" t="e">
        <f>装备!#REF!</f>
        <v>#REF!</v>
      </c>
      <c r="BA224" t="e">
        <f>装备!#REF!</f>
        <v>#REF!</v>
      </c>
      <c r="BB224" t="e">
        <f>装备!#REF!</f>
        <v>#REF!</v>
      </c>
      <c r="BC224" t="e">
        <f>装备!#REF!</f>
        <v>#REF!</v>
      </c>
      <c r="BD224" t="e">
        <f>装备!#REF!</f>
        <v>#REF!</v>
      </c>
      <c r="BE224" t="e">
        <f t="shared" si="46"/>
        <v>#REF!</v>
      </c>
      <c r="BF224" t="e">
        <f>装备!#REF!</f>
        <v>#REF!</v>
      </c>
      <c r="BG224" t="e">
        <f>装备!#REF!</f>
        <v>#REF!</v>
      </c>
      <c r="BH224" t="e">
        <f>装备!#REF!</f>
        <v>#REF!</v>
      </c>
      <c r="BI224" t="e">
        <f>装备!#REF!</f>
        <v>#REF!</v>
      </c>
      <c r="BJ224" t="e">
        <f>装备!#REF!</f>
        <v>#REF!</v>
      </c>
      <c r="BK224" t="e">
        <f>装备!#REF!</f>
        <v>#REF!</v>
      </c>
      <c r="BL224" t="e">
        <f>装备!#REF!</f>
        <v>#REF!</v>
      </c>
      <c r="BM224" t="e">
        <f>装备!#REF!</f>
        <v>#REF!</v>
      </c>
      <c r="BN224" t="e">
        <f>装备!#REF!</f>
        <v>#REF!</v>
      </c>
      <c r="BO224" t="e">
        <f>装备!#REF!</f>
        <v>#REF!</v>
      </c>
      <c r="BP224" t="e">
        <f t="shared" si="47"/>
        <v>#REF!</v>
      </c>
      <c r="BQ224" t="e">
        <f>装备!#REF!</f>
        <v>#REF!</v>
      </c>
      <c r="BR224" t="e">
        <f>装备!#REF!</f>
        <v>#REF!</v>
      </c>
      <c r="BS224" t="e">
        <f>装备!#REF!</f>
        <v>#REF!</v>
      </c>
      <c r="BT224" t="e">
        <f>装备!#REF!</f>
        <v>#REF!</v>
      </c>
      <c r="BU224" t="e">
        <f>装备!#REF!</f>
        <v>#REF!</v>
      </c>
      <c r="BV224" t="e">
        <f>装备!#REF!</f>
        <v>#REF!</v>
      </c>
      <c r="BW224" t="e">
        <f>装备!#REF!</f>
        <v>#REF!</v>
      </c>
      <c r="BX224" t="e">
        <f>装备!#REF!</f>
        <v>#REF!</v>
      </c>
      <c r="BY224" t="e">
        <f>装备!#REF!</f>
        <v>#REF!</v>
      </c>
      <c r="BZ224" t="e">
        <f>装备!#REF!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装备!#REF!</f>
        <v>#REF!</v>
      </c>
      <c r="B225" t="e">
        <f>装备!#REF!</f>
        <v>#REF!</v>
      </c>
      <c r="C225" t="e">
        <f>装备!#REF!</f>
        <v>#REF!</v>
      </c>
      <c r="D225" t="e">
        <f>装备!#REF!</f>
        <v>#REF!</v>
      </c>
      <c r="E225" t="e">
        <f>装备!#REF!</f>
        <v>#REF!</v>
      </c>
      <c r="F225" t="e">
        <f>装备!#REF!</f>
        <v>#REF!</v>
      </c>
      <c r="G225" t="e">
        <f>装备!#REF!</f>
        <v>#REF!</v>
      </c>
      <c r="H225" t="e">
        <f>装备!#REF!</f>
        <v>#REF!</v>
      </c>
      <c r="I225" t="e">
        <f>装备!#REF!</f>
        <v>#REF!</v>
      </c>
      <c r="J225" t="e">
        <f>装备!#REF!</f>
        <v>#REF!</v>
      </c>
      <c r="K225" t="e">
        <f>装备!#REF!</f>
        <v>#REF!</v>
      </c>
      <c r="L225" t="e">
        <f>装备!#REF!</f>
        <v>#REF!</v>
      </c>
      <c r="M225" t="e">
        <f t="shared" si="42"/>
        <v>#REF!</v>
      </c>
      <c r="N225" t="e">
        <f>装备!#REF!</f>
        <v>#REF!</v>
      </c>
      <c r="O225" t="e">
        <f>装备!#REF!</f>
        <v>#REF!</v>
      </c>
      <c r="P225" t="e">
        <f>装备!#REF!</f>
        <v>#REF!</v>
      </c>
      <c r="Q225" t="e">
        <f>装备!#REF!</f>
        <v>#REF!</v>
      </c>
      <c r="R225" t="e">
        <f>装备!#REF!</f>
        <v>#REF!</v>
      </c>
      <c r="S225" t="e">
        <f>装备!#REF!</f>
        <v>#REF!</v>
      </c>
      <c r="T225" t="e">
        <f>装备!#REF!</f>
        <v>#REF!</v>
      </c>
      <c r="U225" t="e">
        <f>装备!#REF!</f>
        <v>#REF!</v>
      </c>
      <c r="V225" t="e">
        <f>装备!#REF!</f>
        <v>#REF!</v>
      </c>
      <c r="W225" t="e">
        <f>装备!#REF!</f>
        <v>#REF!</v>
      </c>
      <c r="X225" t="e">
        <f t="shared" si="43"/>
        <v>#REF!</v>
      </c>
      <c r="Y225" t="e">
        <f>装备!#REF!</f>
        <v>#REF!</v>
      </c>
      <c r="Z225" t="e">
        <f>装备!#REF!</f>
        <v>#REF!</v>
      </c>
      <c r="AA225" t="e">
        <f>装备!#REF!</f>
        <v>#REF!</v>
      </c>
      <c r="AB225" t="e">
        <f>装备!#REF!</f>
        <v>#REF!</v>
      </c>
      <c r="AC225" t="e">
        <f>装备!#REF!</f>
        <v>#REF!</v>
      </c>
      <c r="AD225" t="e">
        <f>装备!#REF!</f>
        <v>#REF!</v>
      </c>
      <c r="AE225" t="e">
        <f>装备!#REF!</f>
        <v>#REF!</v>
      </c>
      <c r="AF225" t="e">
        <f>装备!#REF!</f>
        <v>#REF!</v>
      </c>
      <c r="AG225" t="e">
        <f>装备!#REF!</f>
        <v>#REF!</v>
      </c>
      <c r="AH225" t="e">
        <f>装备!#REF!</f>
        <v>#REF!</v>
      </c>
      <c r="AI225" t="e">
        <f t="shared" si="44"/>
        <v>#REF!</v>
      </c>
      <c r="AJ225" t="e">
        <f>装备!#REF!</f>
        <v>#REF!</v>
      </c>
      <c r="AK225" t="e">
        <f>装备!#REF!</f>
        <v>#REF!</v>
      </c>
      <c r="AL225" t="e">
        <f>装备!#REF!</f>
        <v>#REF!</v>
      </c>
      <c r="AM225" t="e">
        <f>装备!#REF!</f>
        <v>#REF!</v>
      </c>
      <c r="AN225" t="e">
        <f>装备!#REF!</f>
        <v>#REF!</v>
      </c>
      <c r="AO225" t="e">
        <f>装备!#REF!</f>
        <v>#REF!</v>
      </c>
      <c r="AP225" t="e">
        <f>装备!#REF!</f>
        <v>#REF!</v>
      </c>
      <c r="AQ225" t="e">
        <f>装备!#REF!</f>
        <v>#REF!</v>
      </c>
      <c r="AR225" t="e">
        <f>装备!#REF!</f>
        <v>#REF!</v>
      </c>
      <c r="AS225" t="e">
        <f>装备!#REF!</f>
        <v>#REF!</v>
      </c>
      <c r="AT225" t="e">
        <f t="shared" si="45"/>
        <v>#REF!</v>
      </c>
      <c r="AU225" t="e">
        <f>装备!#REF!</f>
        <v>#REF!</v>
      </c>
      <c r="AV225" t="e">
        <f>装备!#REF!</f>
        <v>#REF!</v>
      </c>
      <c r="AW225" t="e">
        <f>装备!#REF!</f>
        <v>#REF!</v>
      </c>
      <c r="AX225" t="e">
        <f>装备!#REF!</f>
        <v>#REF!</v>
      </c>
      <c r="AY225" t="e">
        <f>装备!#REF!</f>
        <v>#REF!</v>
      </c>
      <c r="AZ225" t="e">
        <f>装备!#REF!</f>
        <v>#REF!</v>
      </c>
      <c r="BA225" t="e">
        <f>装备!#REF!</f>
        <v>#REF!</v>
      </c>
      <c r="BB225" t="e">
        <f>装备!#REF!</f>
        <v>#REF!</v>
      </c>
      <c r="BC225" t="e">
        <f>装备!#REF!</f>
        <v>#REF!</v>
      </c>
      <c r="BD225" t="e">
        <f>装备!#REF!</f>
        <v>#REF!</v>
      </c>
      <c r="BE225" t="e">
        <f t="shared" si="46"/>
        <v>#REF!</v>
      </c>
      <c r="BF225" t="e">
        <f>装备!#REF!</f>
        <v>#REF!</v>
      </c>
      <c r="BG225" t="e">
        <f>装备!#REF!</f>
        <v>#REF!</v>
      </c>
      <c r="BH225" t="e">
        <f>装备!#REF!</f>
        <v>#REF!</v>
      </c>
      <c r="BI225" t="e">
        <f>装备!#REF!</f>
        <v>#REF!</v>
      </c>
      <c r="BJ225" t="e">
        <f>装备!#REF!</f>
        <v>#REF!</v>
      </c>
      <c r="BK225" t="e">
        <f>装备!#REF!</f>
        <v>#REF!</v>
      </c>
      <c r="BL225" t="e">
        <f>装备!#REF!</f>
        <v>#REF!</v>
      </c>
      <c r="BM225" t="e">
        <f>装备!#REF!</f>
        <v>#REF!</v>
      </c>
      <c r="BN225" t="e">
        <f>装备!#REF!</f>
        <v>#REF!</v>
      </c>
      <c r="BO225" t="e">
        <f>装备!#REF!</f>
        <v>#REF!</v>
      </c>
      <c r="BP225" t="e">
        <f t="shared" si="47"/>
        <v>#REF!</v>
      </c>
      <c r="BQ225" t="e">
        <f>装备!#REF!</f>
        <v>#REF!</v>
      </c>
      <c r="BR225" t="e">
        <f>装备!#REF!</f>
        <v>#REF!</v>
      </c>
      <c r="BS225" t="e">
        <f>装备!#REF!</f>
        <v>#REF!</v>
      </c>
      <c r="BT225" t="e">
        <f>装备!#REF!</f>
        <v>#REF!</v>
      </c>
      <c r="BU225" t="e">
        <f>装备!#REF!</f>
        <v>#REF!</v>
      </c>
      <c r="BV225" t="e">
        <f>装备!#REF!</f>
        <v>#REF!</v>
      </c>
      <c r="BW225" t="e">
        <f>装备!#REF!</f>
        <v>#REF!</v>
      </c>
      <c r="BX225" t="e">
        <f>装备!#REF!</f>
        <v>#REF!</v>
      </c>
      <c r="BY225" t="e">
        <f>装备!#REF!</f>
        <v>#REF!</v>
      </c>
      <c r="BZ225" t="e">
        <f>装备!#REF!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装备!#REF!</f>
        <v>#REF!</v>
      </c>
      <c r="B226" t="e">
        <f>装备!#REF!</f>
        <v>#REF!</v>
      </c>
      <c r="C226" t="e">
        <f>装备!#REF!</f>
        <v>#REF!</v>
      </c>
      <c r="D226" t="e">
        <f>装备!#REF!</f>
        <v>#REF!</v>
      </c>
      <c r="E226" t="e">
        <f>装备!#REF!</f>
        <v>#REF!</v>
      </c>
      <c r="F226" t="e">
        <f>装备!#REF!</f>
        <v>#REF!</v>
      </c>
      <c r="G226" t="e">
        <f>装备!#REF!</f>
        <v>#REF!</v>
      </c>
      <c r="H226" t="e">
        <f>装备!#REF!</f>
        <v>#REF!</v>
      </c>
      <c r="I226" t="e">
        <f>装备!#REF!</f>
        <v>#REF!</v>
      </c>
      <c r="J226" t="e">
        <f>装备!#REF!</f>
        <v>#REF!</v>
      </c>
      <c r="K226" t="e">
        <f>装备!#REF!</f>
        <v>#REF!</v>
      </c>
      <c r="L226" t="e">
        <f>装备!#REF!</f>
        <v>#REF!</v>
      </c>
      <c r="M226" t="e">
        <f t="shared" si="42"/>
        <v>#REF!</v>
      </c>
      <c r="N226" t="e">
        <f>装备!#REF!</f>
        <v>#REF!</v>
      </c>
      <c r="O226" t="e">
        <f>装备!#REF!</f>
        <v>#REF!</v>
      </c>
      <c r="P226" t="e">
        <f>装备!#REF!</f>
        <v>#REF!</v>
      </c>
      <c r="Q226" t="e">
        <f>装备!#REF!</f>
        <v>#REF!</v>
      </c>
      <c r="R226" t="e">
        <f>装备!#REF!</f>
        <v>#REF!</v>
      </c>
      <c r="S226" t="e">
        <f>装备!#REF!</f>
        <v>#REF!</v>
      </c>
      <c r="T226" t="e">
        <f>装备!#REF!</f>
        <v>#REF!</v>
      </c>
      <c r="U226" t="e">
        <f>装备!#REF!</f>
        <v>#REF!</v>
      </c>
      <c r="V226" t="e">
        <f>装备!#REF!</f>
        <v>#REF!</v>
      </c>
      <c r="W226" t="e">
        <f>装备!#REF!</f>
        <v>#REF!</v>
      </c>
      <c r="X226" t="e">
        <f t="shared" si="43"/>
        <v>#REF!</v>
      </c>
      <c r="Y226" t="e">
        <f>装备!#REF!</f>
        <v>#REF!</v>
      </c>
      <c r="Z226" t="e">
        <f>装备!#REF!</f>
        <v>#REF!</v>
      </c>
      <c r="AA226" t="e">
        <f>装备!#REF!</f>
        <v>#REF!</v>
      </c>
      <c r="AB226" t="e">
        <f>装备!#REF!</f>
        <v>#REF!</v>
      </c>
      <c r="AC226" t="e">
        <f>装备!#REF!</f>
        <v>#REF!</v>
      </c>
      <c r="AD226" t="e">
        <f>装备!#REF!</f>
        <v>#REF!</v>
      </c>
      <c r="AE226" t="e">
        <f>装备!#REF!</f>
        <v>#REF!</v>
      </c>
      <c r="AF226" t="e">
        <f>装备!#REF!</f>
        <v>#REF!</v>
      </c>
      <c r="AG226" t="e">
        <f>装备!#REF!</f>
        <v>#REF!</v>
      </c>
      <c r="AH226" t="e">
        <f>装备!#REF!</f>
        <v>#REF!</v>
      </c>
      <c r="AI226" t="e">
        <f t="shared" si="44"/>
        <v>#REF!</v>
      </c>
      <c r="AJ226" t="e">
        <f>装备!#REF!</f>
        <v>#REF!</v>
      </c>
      <c r="AK226" t="e">
        <f>装备!#REF!</f>
        <v>#REF!</v>
      </c>
      <c r="AL226" t="e">
        <f>装备!#REF!</f>
        <v>#REF!</v>
      </c>
      <c r="AM226" t="e">
        <f>装备!#REF!</f>
        <v>#REF!</v>
      </c>
      <c r="AN226" t="e">
        <f>装备!#REF!</f>
        <v>#REF!</v>
      </c>
      <c r="AO226" t="e">
        <f>装备!#REF!</f>
        <v>#REF!</v>
      </c>
      <c r="AP226" t="e">
        <f>装备!#REF!</f>
        <v>#REF!</v>
      </c>
      <c r="AQ226" t="e">
        <f>装备!#REF!</f>
        <v>#REF!</v>
      </c>
      <c r="AR226" t="e">
        <f>装备!#REF!</f>
        <v>#REF!</v>
      </c>
      <c r="AS226" t="e">
        <f>装备!#REF!</f>
        <v>#REF!</v>
      </c>
      <c r="AT226" t="e">
        <f t="shared" si="45"/>
        <v>#REF!</v>
      </c>
      <c r="AU226" t="e">
        <f>装备!#REF!</f>
        <v>#REF!</v>
      </c>
      <c r="AV226" t="e">
        <f>装备!#REF!</f>
        <v>#REF!</v>
      </c>
      <c r="AW226" t="e">
        <f>装备!#REF!</f>
        <v>#REF!</v>
      </c>
      <c r="AX226" t="e">
        <f>装备!#REF!</f>
        <v>#REF!</v>
      </c>
      <c r="AY226" t="e">
        <f>装备!#REF!</f>
        <v>#REF!</v>
      </c>
      <c r="AZ226" t="e">
        <f>装备!#REF!</f>
        <v>#REF!</v>
      </c>
      <c r="BA226" t="e">
        <f>装备!#REF!</f>
        <v>#REF!</v>
      </c>
      <c r="BB226" t="e">
        <f>装备!#REF!</f>
        <v>#REF!</v>
      </c>
      <c r="BC226" t="e">
        <f>装备!#REF!</f>
        <v>#REF!</v>
      </c>
      <c r="BD226" t="e">
        <f>装备!#REF!</f>
        <v>#REF!</v>
      </c>
      <c r="BE226" t="e">
        <f t="shared" si="46"/>
        <v>#REF!</v>
      </c>
      <c r="BF226" t="e">
        <f>装备!#REF!</f>
        <v>#REF!</v>
      </c>
      <c r="BG226" t="e">
        <f>装备!#REF!</f>
        <v>#REF!</v>
      </c>
      <c r="BH226" t="e">
        <f>装备!#REF!</f>
        <v>#REF!</v>
      </c>
      <c r="BI226" t="e">
        <f>装备!#REF!</f>
        <v>#REF!</v>
      </c>
      <c r="BJ226" t="e">
        <f>装备!#REF!</f>
        <v>#REF!</v>
      </c>
      <c r="BK226" t="e">
        <f>装备!#REF!</f>
        <v>#REF!</v>
      </c>
      <c r="BL226" t="e">
        <f>装备!#REF!</f>
        <v>#REF!</v>
      </c>
      <c r="BM226" t="e">
        <f>装备!#REF!</f>
        <v>#REF!</v>
      </c>
      <c r="BN226" t="e">
        <f>装备!#REF!</f>
        <v>#REF!</v>
      </c>
      <c r="BO226" t="e">
        <f>装备!#REF!</f>
        <v>#REF!</v>
      </c>
      <c r="BP226" t="e">
        <f t="shared" si="47"/>
        <v>#REF!</v>
      </c>
      <c r="BQ226" t="e">
        <f>装备!#REF!</f>
        <v>#REF!</v>
      </c>
      <c r="BR226" t="e">
        <f>装备!#REF!</f>
        <v>#REF!</v>
      </c>
      <c r="BS226" t="e">
        <f>装备!#REF!</f>
        <v>#REF!</v>
      </c>
      <c r="BT226" t="e">
        <f>装备!#REF!</f>
        <v>#REF!</v>
      </c>
      <c r="BU226" t="e">
        <f>装备!#REF!</f>
        <v>#REF!</v>
      </c>
      <c r="BV226" t="e">
        <f>装备!#REF!</f>
        <v>#REF!</v>
      </c>
      <c r="BW226" t="e">
        <f>装备!#REF!</f>
        <v>#REF!</v>
      </c>
      <c r="BX226" t="e">
        <f>装备!#REF!</f>
        <v>#REF!</v>
      </c>
      <c r="BY226" t="e">
        <f>装备!#REF!</f>
        <v>#REF!</v>
      </c>
      <c r="BZ226" t="e">
        <f>装备!#REF!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装备!#REF!</f>
        <v>#REF!</v>
      </c>
      <c r="B227" t="e">
        <f>装备!#REF!</f>
        <v>#REF!</v>
      </c>
      <c r="C227" t="e">
        <f>装备!#REF!</f>
        <v>#REF!</v>
      </c>
      <c r="D227" t="e">
        <f>装备!#REF!</f>
        <v>#REF!</v>
      </c>
      <c r="E227" t="e">
        <f>装备!#REF!</f>
        <v>#REF!</v>
      </c>
      <c r="F227" t="e">
        <f>装备!#REF!</f>
        <v>#REF!</v>
      </c>
      <c r="G227" t="e">
        <f>装备!#REF!</f>
        <v>#REF!</v>
      </c>
      <c r="H227" t="e">
        <f>装备!#REF!</f>
        <v>#REF!</v>
      </c>
      <c r="I227" t="e">
        <f>装备!#REF!</f>
        <v>#REF!</v>
      </c>
      <c r="J227" t="e">
        <f>装备!#REF!</f>
        <v>#REF!</v>
      </c>
      <c r="K227" t="e">
        <f>装备!#REF!</f>
        <v>#REF!</v>
      </c>
      <c r="L227" t="e">
        <f>装备!#REF!</f>
        <v>#REF!</v>
      </c>
      <c r="M227" t="e">
        <f t="shared" si="42"/>
        <v>#REF!</v>
      </c>
      <c r="N227" t="e">
        <f>装备!#REF!</f>
        <v>#REF!</v>
      </c>
      <c r="O227" t="e">
        <f>装备!#REF!</f>
        <v>#REF!</v>
      </c>
      <c r="P227" t="e">
        <f>装备!#REF!</f>
        <v>#REF!</v>
      </c>
      <c r="Q227" t="e">
        <f>装备!#REF!</f>
        <v>#REF!</v>
      </c>
      <c r="R227" t="e">
        <f>装备!#REF!</f>
        <v>#REF!</v>
      </c>
      <c r="S227" t="e">
        <f>装备!#REF!</f>
        <v>#REF!</v>
      </c>
      <c r="T227" t="e">
        <f>装备!#REF!</f>
        <v>#REF!</v>
      </c>
      <c r="U227" t="e">
        <f>装备!#REF!</f>
        <v>#REF!</v>
      </c>
      <c r="V227" t="e">
        <f>装备!#REF!</f>
        <v>#REF!</v>
      </c>
      <c r="W227" t="e">
        <f>装备!#REF!</f>
        <v>#REF!</v>
      </c>
      <c r="X227" t="e">
        <f t="shared" si="43"/>
        <v>#REF!</v>
      </c>
      <c r="Y227" t="e">
        <f>装备!#REF!</f>
        <v>#REF!</v>
      </c>
      <c r="Z227" t="e">
        <f>装备!#REF!</f>
        <v>#REF!</v>
      </c>
      <c r="AA227" t="e">
        <f>装备!#REF!</f>
        <v>#REF!</v>
      </c>
      <c r="AB227" t="e">
        <f>装备!#REF!</f>
        <v>#REF!</v>
      </c>
      <c r="AC227" t="e">
        <f>装备!#REF!</f>
        <v>#REF!</v>
      </c>
      <c r="AD227" t="e">
        <f>装备!#REF!</f>
        <v>#REF!</v>
      </c>
      <c r="AE227" t="e">
        <f>装备!#REF!</f>
        <v>#REF!</v>
      </c>
      <c r="AF227" t="e">
        <f>装备!#REF!</f>
        <v>#REF!</v>
      </c>
      <c r="AG227" t="e">
        <f>装备!#REF!</f>
        <v>#REF!</v>
      </c>
      <c r="AH227" t="e">
        <f>装备!#REF!</f>
        <v>#REF!</v>
      </c>
      <c r="AI227" t="e">
        <f t="shared" si="44"/>
        <v>#REF!</v>
      </c>
      <c r="AJ227" t="e">
        <f>装备!#REF!</f>
        <v>#REF!</v>
      </c>
      <c r="AK227" t="e">
        <f>装备!#REF!</f>
        <v>#REF!</v>
      </c>
      <c r="AL227" t="e">
        <f>装备!#REF!</f>
        <v>#REF!</v>
      </c>
      <c r="AM227" t="e">
        <f>装备!#REF!</f>
        <v>#REF!</v>
      </c>
      <c r="AN227" t="e">
        <f>装备!#REF!</f>
        <v>#REF!</v>
      </c>
      <c r="AO227" t="e">
        <f>装备!#REF!</f>
        <v>#REF!</v>
      </c>
      <c r="AP227" t="e">
        <f>装备!#REF!</f>
        <v>#REF!</v>
      </c>
      <c r="AQ227" t="e">
        <f>装备!#REF!</f>
        <v>#REF!</v>
      </c>
      <c r="AR227" t="e">
        <f>装备!#REF!</f>
        <v>#REF!</v>
      </c>
      <c r="AS227" t="e">
        <f>装备!#REF!</f>
        <v>#REF!</v>
      </c>
      <c r="AT227" t="e">
        <f t="shared" si="45"/>
        <v>#REF!</v>
      </c>
      <c r="AU227" t="e">
        <f>装备!#REF!</f>
        <v>#REF!</v>
      </c>
      <c r="AV227" t="e">
        <f>装备!#REF!</f>
        <v>#REF!</v>
      </c>
      <c r="AW227" t="e">
        <f>装备!#REF!</f>
        <v>#REF!</v>
      </c>
      <c r="AX227" t="e">
        <f>装备!#REF!</f>
        <v>#REF!</v>
      </c>
      <c r="AY227" t="e">
        <f>装备!#REF!</f>
        <v>#REF!</v>
      </c>
      <c r="AZ227" t="e">
        <f>装备!#REF!</f>
        <v>#REF!</v>
      </c>
      <c r="BA227" t="e">
        <f>装备!#REF!</f>
        <v>#REF!</v>
      </c>
      <c r="BB227" t="e">
        <f>装备!#REF!</f>
        <v>#REF!</v>
      </c>
      <c r="BC227" t="e">
        <f>装备!#REF!</f>
        <v>#REF!</v>
      </c>
      <c r="BD227" t="e">
        <f>装备!#REF!</f>
        <v>#REF!</v>
      </c>
      <c r="BE227" t="e">
        <f t="shared" si="46"/>
        <v>#REF!</v>
      </c>
      <c r="BF227" t="e">
        <f>装备!#REF!</f>
        <v>#REF!</v>
      </c>
      <c r="BG227" t="e">
        <f>装备!#REF!</f>
        <v>#REF!</v>
      </c>
      <c r="BH227" t="e">
        <f>装备!#REF!</f>
        <v>#REF!</v>
      </c>
      <c r="BI227" t="e">
        <f>装备!#REF!</f>
        <v>#REF!</v>
      </c>
      <c r="BJ227" t="e">
        <f>装备!#REF!</f>
        <v>#REF!</v>
      </c>
      <c r="BK227" t="e">
        <f>装备!#REF!</f>
        <v>#REF!</v>
      </c>
      <c r="BL227" t="e">
        <f>装备!#REF!</f>
        <v>#REF!</v>
      </c>
      <c r="BM227" t="e">
        <f>装备!#REF!</f>
        <v>#REF!</v>
      </c>
      <c r="BN227" t="e">
        <f>装备!#REF!</f>
        <v>#REF!</v>
      </c>
      <c r="BO227" t="e">
        <f>装备!#REF!</f>
        <v>#REF!</v>
      </c>
      <c r="BP227" t="e">
        <f t="shared" si="47"/>
        <v>#REF!</v>
      </c>
      <c r="BQ227" t="e">
        <f>装备!#REF!</f>
        <v>#REF!</v>
      </c>
      <c r="BR227" t="e">
        <f>装备!#REF!</f>
        <v>#REF!</v>
      </c>
      <c r="BS227" t="e">
        <f>装备!#REF!</f>
        <v>#REF!</v>
      </c>
      <c r="BT227" t="e">
        <f>装备!#REF!</f>
        <v>#REF!</v>
      </c>
      <c r="BU227" t="e">
        <f>装备!#REF!</f>
        <v>#REF!</v>
      </c>
      <c r="BV227" t="e">
        <f>装备!#REF!</f>
        <v>#REF!</v>
      </c>
      <c r="BW227" t="e">
        <f>装备!#REF!</f>
        <v>#REF!</v>
      </c>
      <c r="BX227" t="e">
        <f>装备!#REF!</f>
        <v>#REF!</v>
      </c>
      <c r="BY227" t="e">
        <f>装备!#REF!</f>
        <v>#REF!</v>
      </c>
      <c r="BZ227" t="e">
        <f>装备!#REF!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装备!#REF!</f>
        <v>#REF!</v>
      </c>
      <c r="B228" t="e">
        <f>装备!#REF!</f>
        <v>#REF!</v>
      </c>
      <c r="C228" t="e">
        <f>装备!#REF!</f>
        <v>#REF!</v>
      </c>
      <c r="D228" t="e">
        <f>装备!#REF!</f>
        <v>#REF!</v>
      </c>
      <c r="E228" t="e">
        <f>装备!#REF!</f>
        <v>#REF!</v>
      </c>
      <c r="F228" t="e">
        <f>装备!#REF!</f>
        <v>#REF!</v>
      </c>
      <c r="G228" t="e">
        <f>装备!#REF!</f>
        <v>#REF!</v>
      </c>
      <c r="H228" t="e">
        <f>装备!#REF!</f>
        <v>#REF!</v>
      </c>
      <c r="I228" t="e">
        <f>装备!#REF!</f>
        <v>#REF!</v>
      </c>
      <c r="J228" t="e">
        <f>装备!#REF!</f>
        <v>#REF!</v>
      </c>
      <c r="K228" t="e">
        <f>装备!#REF!</f>
        <v>#REF!</v>
      </c>
      <c r="L228" t="e">
        <f>装备!#REF!</f>
        <v>#REF!</v>
      </c>
      <c r="M228" t="e">
        <f t="shared" si="42"/>
        <v>#REF!</v>
      </c>
      <c r="N228" t="e">
        <f>装备!#REF!</f>
        <v>#REF!</v>
      </c>
      <c r="O228" t="e">
        <f>装备!#REF!</f>
        <v>#REF!</v>
      </c>
      <c r="P228" t="e">
        <f>装备!#REF!</f>
        <v>#REF!</v>
      </c>
      <c r="Q228" t="e">
        <f>装备!#REF!</f>
        <v>#REF!</v>
      </c>
      <c r="R228" t="e">
        <f>装备!#REF!</f>
        <v>#REF!</v>
      </c>
      <c r="S228" t="e">
        <f>装备!#REF!</f>
        <v>#REF!</v>
      </c>
      <c r="T228" t="e">
        <f>装备!#REF!</f>
        <v>#REF!</v>
      </c>
      <c r="U228" t="e">
        <f>装备!#REF!</f>
        <v>#REF!</v>
      </c>
      <c r="V228" t="e">
        <f>装备!#REF!</f>
        <v>#REF!</v>
      </c>
      <c r="W228" t="e">
        <f>装备!#REF!</f>
        <v>#REF!</v>
      </c>
      <c r="X228" t="e">
        <f t="shared" si="43"/>
        <v>#REF!</v>
      </c>
      <c r="Y228" t="e">
        <f>装备!#REF!</f>
        <v>#REF!</v>
      </c>
      <c r="Z228" t="e">
        <f>装备!#REF!</f>
        <v>#REF!</v>
      </c>
      <c r="AA228" t="e">
        <f>装备!#REF!</f>
        <v>#REF!</v>
      </c>
      <c r="AB228" t="e">
        <f>装备!#REF!</f>
        <v>#REF!</v>
      </c>
      <c r="AC228" t="e">
        <f>装备!#REF!</f>
        <v>#REF!</v>
      </c>
      <c r="AD228" t="e">
        <f>装备!#REF!</f>
        <v>#REF!</v>
      </c>
      <c r="AE228" t="e">
        <f>装备!#REF!</f>
        <v>#REF!</v>
      </c>
      <c r="AF228" t="e">
        <f>装备!#REF!</f>
        <v>#REF!</v>
      </c>
      <c r="AG228" t="e">
        <f>装备!#REF!</f>
        <v>#REF!</v>
      </c>
      <c r="AH228" t="e">
        <f>装备!#REF!</f>
        <v>#REF!</v>
      </c>
      <c r="AI228" t="e">
        <f t="shared" si="44"/>
        <v>#REF!</v>
      </c>
      <c r="AJ228" t="e">
        <f>装备!#REF!</f>
        <v>#REF!</v>
      </c>
      <c r="AK228" t="e">
        <f>装备!#REF!</f>
        <v>#REF!</v>
      </c>
      <c r="AL228" t="e">
        <f>装备!#REF!</f>
        <v>#REF!</v>
      </c>
      <c r="AM228" t="e">
        <f>装备!#REF!</f>
        <v>#REF!</v>
      </c>
      <c r="AN228" t="e">
        <f>装备!#REF!</f>
        <v>#REF!</v>
      </c>
      <c r="AO228" t="e">
        <f>装备!#REF!</f>
        <v>#REF!</v>
      </c>
      <c r="AP228" t="e">
        <f>装备!#REF!</f>
        <v>#REF!</v>
      </c>
      <c r="AQ228" t="e">
        <f>装备!#REF!</f>
        <v>#REF!</v>
      </c>
      <c r="AR228" t="e">
        <f>装备!#REF!</f>
        <v>#REF!</v>
      </c>
      <c r="AS228" t="e">
        <f>装备!#REF!</f>
        <v>#REF!</v>
      </c>
      <c r="AT228" t="e">
        <f t="shared" si="45"/>
        <v>#REF!</v>
      </c>
      <c r="AU228" t="e">
        <f>装备!#REF!</f>
        <v>#REF!</v>
      </c>
      <c r="AV228" t="e">
        <f>装备!#REF!</f>
        <v>#REF!</v>
      </c>
      <c r="AW228" t="e">
        <f>装备!#REF!</f>
        <v>#REF!</v>
      </c>
      <c r="AX228" t="e">
        <f>装备!#REF!</f>
        <v>#REF!</v>
      </c>
      <c r="AY228" t="e">
        <f>装备!#REF!</f>
        <v>#REF!</v>
      </c>
      <c r="AZ228" t="e">
        <f>装备!#REF!</f>
        <v>#REF!</v>
      </c>
      <c r="BA228" t="e">
        <f>装备!#REF!</f>
        <v>#REF!</v>
      </c>
      <c r="BB228" t="e">
        <f>装备!#REF!</f>
        <v>#REF!</v>
      </c>
      <c r="BC228" t="e">
        <f>装备!#REF!</f>
        <v>#REF!</v>
      </c>
      <c r="BD228" t="e">
        <f>装备!#REF!</f>
        <v>#REF!</v>
      </c>
      <c r="BE228" t="e">
        <f t="shared" si="46"/>
        <v>#REF!</v>
      </c>
      <c r="BF228" t="e">
        <f>装备!#REF!</f>
        <v>#REF!</v>
      </c>
      <c r="BG228" t="e">
        <f>装备!#REF!</f>
        <v>#REF!</v>
      </c>
      <c r="BH228" t="e">
        <f>装备!#REF!</f>
        <v>#REF!</v>
      </c>
      <c r="BI228" t="e">
        <f>装备!#REF!</f>
        <v>#REF!</v>
      </c>
      <c r="BJ228" t="e">
        <f>装备!#REF!</f>
        <v>#REF!</v>
      </c>
      <c r="BK228" t="e">
        <f>装备!#REF!</f>
        <v>#REF!</v>
      </c>
      <c r="BL228" t="e">
        <f>装备!#REF!</f>
        <v>#REF!</v>
      </c>
      <c r="BM228" t="e">
        <f>装备!#REF!</f>
        <v>#REF!</v>
      </c>
      <c r="BN228" t="e">
        <f>装备!#REF!</f>
        <v>#REF!</v>
      </c>
      <c r="BO228" t="e">
        <f>装备!#REF!</f>
        <v>#REF!</v>
      </c>
      <c r="BP228" t="e">
        <f t="shared" si="47"/>
        <v>#REF!</v>
      </c>
      <c r="BQ228" t="e">
        <f>装备!#REF!</f>
        <v>#REF!</v>
      </c>
      <c r="BR228" t="e">
        <f>装备!#REF!</f>
        <v>#REF!</v>
      </c>
      <c r="BS228" t="e">
        <f>装备!#REF!</f>
        <v>#REF!</v>
      </c>
      <c r="BT228" t="e">
        <f>装备!#REF!</f>
        <v>#REF!</v>
      </c>
      <c r="BU228" t="e">
        <f>装备!#REF!</f>
        <v>#REF!</v>
      </c>
      <c r="BV228" t="e">
        <f>装备!#REF!</f>
        <v>#REF!</v>
      </c>
      <c r="BW228" t="e">
        <f>装备!#REF!</f>
        <v>#REF!</v>
      </c>
      <c r="BX228" t="e">
        <f>装备!#REF!</f>
        <v>#REF!</v>
      </c>
      <c r="BY228" t="e">
        <f>装备!#REF!</f>
        <v>#REF!</v>
      </c>
      <c r="BZ228" t="e">
        <f>装备!#REF!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装备!#REF!</f>
        <v>#REF!</v>
      </c>
      <c r="B229" t="e">
        <f>装备!#REF!</f>
        <v>#REF!</v>
      </c>
      <c r="C229" t="e">
        <f>装备!#REF!</f>
        <v>#REF!</v>
      </c>
      <c r="D229" t="e">
        <f>装备!#REF!</f>
        <v>#REF!</v>
      </c>
      <c r="E229" t="e">
        <f>装备!#REF!</f>
        <v>#REF!</v>
      </c>
      <c r="F229" t="e">
        <f>装备!#REF!</f>
        <v>#REF!</v>
      </c>
      <c r="G229" t="e">
        <f>装备!#REF!</f>
        <v>#REF!</v>
      </c>
      <c r="H229" t="e">
        <f>装备!#REF!</f>
        <v>#REF!</v>
      </c>
      <c r="I229" t="e">
        <f>装备!#REF!</f>
        <v>#REF!</v>
      </c>
      <c r="J229" t="e">
        <f>装备!#REF!</f>
        <v>#REF!</v>
      </c>
      <c r="K229" t="e">
        <f>装备!#REF!</f>
        <v>#REF!</v>
      </c>
      <c r="L229" t="e">
        <f>装备!#REF!</f>
        <v>#REF!</v>
      </c>
      <c r="M229" t="e">
        <f t="shared" si="42"/>
        <v>#REF!</v>
      </c>
      <c r="N229" t="e">
        <f>装备!#REF!</f>
        <v>#REF!</v>
      </c>
      <c r="O229" t="e">
        <f>装备!#REF!</f>
        <v>#REF!</v>
      </c>
      <c r="P229" t="e">
        <f>装备!#REF!</f>
        <v>#REF!</v>
      </c>
      <c r="Q229" t="e">
        <f>装备!#REF!</f>
        <v>#REF!</v>
      </c>
      <c r="R229" t="e">
        <f>装备!#REF!</f>
        <v>#REF!</v>
      </c>
      <c r="S229" t="e">
        <f>装备!#REF!</f>
        <v>#REF!</v>
      </c>
      <c r="T229" t="e">
        <f>装备!#REF!</f>
        <v>#REF!</v>
      </c>
      <c r="U229" t="e">
        <f>装备!#REF!</f>
        <v>#REF!</v>
      </c>
      <c r="V229" t="e">
        <f>装备!#REF!</f>
        <v>#REF!</v>
      </c>
      <c r="W229" t="e">
        <f>装备!#REF!</f>
        <v>#REF!</v>
      </c>
      <c r="X229" t="e">
        <f t="shared" si="43"/>
        <v>#REF!</v>
      </c>
      <c r="Y229" t="e">
        <f>装备!#REF!</f>
        <v>#REF!</v>
      </c>
      <c r="Z229" t="e">
        <f>装备!#REF!</f>
        <v>#REF!</v>
      </c>
      <c r="AA229" t="e">
        <f>装备!#REF!</f>
        <v>#REF!</v>
      </c>
      <c r="AB229" t="e">
        <f>装备!#REF!</f>
        <v>#REF!</v>
      </c>
      <c r="AC229" t="e">
        <f>装备!#REF!</f>
        <v>#REF!</v>
      </c>
      <c r="AD229" t="e">
        <f>装备!#REF!</f>
        <v>#REF!</v>
      </c>
      <c r="AE229" t="e">
        <f>装备!#REF!</f>
        <v>#REF!</v>
      </c>
      <c r="AF229" t="e">
        <f>装备!#REF!</f>
        <v>#REF!</v>
      </c>
      <c r="AG229" t="e">
        <f>装备!#REF!</f>
        <v>#REF!</v>
      </c>
      <c r="AH229" t="e">
        <f>装备!#REF!</f>
        <v>#REF!</v>
      </c>
      <c r="AI229" t="e">
        <f t="shared" si="44"/>
        <v>#REF!</v>
      </c>
      <c r="AJ229" t="e">
        <f>装备!#REF!</f>
        <v>#REF!</v>
      </c>
      <c r="AK229" t="e">
        <f>装备!#REF!</f>
        <v>#REF!</v>
      </c>
      <c r="AL229" t="e">
        <f>装备!#REF!</f>
        <v>#REF!</v>
      </c>
      <c r="AM229" t="e">
        <f>装备!#REF!</f>
        <v>#REF!</v>
      </c>
      <c r="AN229" t="e">
        <f>装备!#REF!</f>
        <v>#REF!</v>
      </c>
      <c r="AO229" t="e">
        <f>装备!#REF!</f>
        <v>#REF!</v>
      </c>
      <c r="AP229" t="e">
        <f>装备!#REF!</f>
        <v>#REF!</v>
      </c>
      <c r="AQ229" t="e">
        <f>装备!#REF!</f>
        <v>#REF!</v>
      </c>
      <c r="AR229" t="e">
        <f>装备!#REF!</f>
        <v>#REF!</v>
      </c>
      <c r="AS229" t="e">
        <f>装备!#REF!</f>
        <v>#REF!</v>
      </c>
      <c r="AT229" t="e">
        <f t="shared" si="45"/>
        <v>#REF!</v>
      </c>
      <c r="AU229" t="e">
        <f>装备!#REF!</f>
        <v>#REF!</v>
      </c>
      <c r="AV229" t="e">
        <f>装备!#REF!</f>
        <v>#REF!</v>
      </c>
      <c r="AW229" t="e">
        <f>装备!#REF!</f>
        <v>#REF!</v>
      </c>
      <c r="AX229" t="e">
        <f>装备!#REF!</f>
        <v>#REF!</v>
      </c>
      <c r="AY229" t="e">
        <f>装备!#REF!</f>
        <v>#REF!</v>
      </c>
      <c r="AZ229" t="e">
        <f>装备!#REF!</f>
        <v>#REF!</v>
      </c>
      <c r="BA229" t="e">
        <f>装备!#REF!</f>
        <v>#REF!</v>
      </c>
      <c r="BB229" t="e">
        <f>装备!#REF!</f>
        <v>#REF!</v>
      </c>
      <c r="BC229" t="e">
        <f>装备!#REF!</f>
        <v>#REF!</v>
      </c>
      <c r="BD229" t="e">
        <f>装备!#REF!</f>
        <v>#REF!</v>
      </c>
      <c r="BE229" t="e">
        <f t="shared" si="46"/>
        <v>#REF!</v>
      </c>
      <c r="BF229" t="e">
        <f>装备!#REF!</f>
        <v>#REF!</v>
      </c>
      <c r="BG229" t="e">
        <f>装备!#REF!</f>
        <v>#REF!</v>
      </c>
      <c r="BH229" t="e">
        <f>装备!#REF!</f>
        <v>#REF!</v>
      </c>
      <c r="BI229" t="e">
        <f>装备!#REF!</f>
        <v>#REF!</v>
      </c>
      <c r="BJ229" t="e">
        <f>装备!#REF!</f>
        <v>#REF!</v>
      </c>
      <c r="BK229" t="e">
        <f>装备!#REF!</f>
        <v>#REF!</v>
      </c>
      <c r="BL229" t="e">
        <f>装备!#REF!</f>
        <v>#REF!</v>
      </c>
      <c r="BM229" t="e">
        <f>装备!#REF!</f>
        <v>#REF!</v>
      </c>
      <c r="BN229" t="e">
        <f>装备!#REF!</f>
        <v>#REF!</v>
      </c>
      <c r="BO229" t="e">
        <f>装备!#REF!</f>
        <v>#REF!</v>
      </c>
      <c r="BP229" t="e">
        <f t="shared" si="47"/>
        <v>#REF!</v>
      </c>
      <c r="BQ229" t="e">
        <f>装备!#REF!</f>
        <v>#REF!</v>
      </c>
      <c r="BR229" t="e">
        <f>装备!#REF!</f>
        <v>#REF!</v>
      </c>
      <c r="BS229" t="e">
        <f>装备!#REF!</f>
        <v>#REF!</v>
      </c>
      <c r="BT229" t="e">
        <f>装备!#REF!</f>
        <v>#REF!</v>
      </c>
      <c r="BU229" t="e">
        <f>装备!#REF!</f>
        <v>#REF!</v>
      </c>
      <c r="BV229" t="e">
        <f>装备!#REF!</f>
        <v>#REF!</v>
      </c>
      <c r="BW229" t="e">
        <f>装备!#REF!</f>
        <v>#REF!</v>
      </c>
      <c r="BX229" t="e">
        <f>装备!#REF!</f>
        <v>#REF!</v>
      </c>
      <c r="BY229" t="e">
        <f>装备!#REF!</f>
        <v>#REF!</v>
      </c>
      <c r="BZ229" t="e">
        <f>装备!#REF!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装备!#REF!</f>
        <v>#REF!</v>
      </c>
      <c r="B230" t="e">
        <f>装备!#REF!</f>
        <v>#REF!</v>
      </c>
      <c r="C230" t="e">
        <f>装备!#REF!</f>
        <v>#REF!</v>
      </c>
      <c r="D230" t="e">
        <f>装备!#REF!</f>
        <v>#REF!</v>
      </c>
      <c r="E230" t="e">
        <f>装备!#REF!</f>
        <v>#REF!</v>
      </c>
      <c r="F230" t="e">
        <f>装备!#REF!</f>
        <v>#REF!</v>
      </c>
      <c r="G230" t="e">
        <f>装备!#REF!</f>
        <v>#REF!</v>
      </c>
      <c r="H230" t="e">
        <f>装备!#REF!</f>
        <v>#REF!</v>
      </c>
      <c r="I230" t="e">
        <f>装备!#REF!</f>
        <v>#REF!</v>
      </c>
      <c r="J230" t="e">
        <f>装备!#REF!</f>
        <v>#REF!</v>
      </c>
      <c r="K230" t="e">
        <f>装备!#REF!</f>
        <v>#REF!</v>
      </c>
      <c r="L230" t="e">
        <f>装备!#REF!</f>
        <v>#REF!</v>
      </c>
      <c r="M230" t="e">
        <f t="shared" si="42"/>
        <v>#REF!</v>
      </c>
      <c r="N230" t="e">
        <f>装备!#REF!</f>
        <v>#REF!</v>
      </c>
      <c r="O230" t="e">
        <f>装备!#REF!</f>
        <v>#REF!</v>
      </c>
      <c r="P230" t="e">
        <f>装备!#REF!</f>
        <v>#REF!</v>
      </c>
      <c r="Q230" t="e">
        <f>装备!#REF!</f>
        <v>#REF!</v>
      </c>
      <c r="R230" t="e">
        <f>装备!#REF!</f>
        <v>#REF!</v>
      </c>
      <c r="S230" t="e">
        <f>装备!#REF!</f>
        <v>#REF!</v>
      </c>
      <c r="T230" t="e">
        <f>装备!#REF!</f>
        <v>#REF!</v>
      </c>
      <c r="U230" t="e">
        <f>装备!#REF!</f>
        <v>#REF!</v>
      </c>
      <c r="V230" t="e">
        <f>装备!#REF!</f>
        <v>#REF!</v>
      </c>
      <c r="W230" t="e">
        <f>装备!#REF!</f>
        <v>#REF!</v>
      </c>
      <c r="X230" t="e">
        <f t="shared" si="43"/>
        <v>#REF!</v>
      </c>
      <c r="Y230" t="e">
        <f>装备!#REF!</f>
        <v>#REF!</v>
      </c>
      <c r="Z230" t="e">
        <f>装备!#REF!</f>
        <v>#REF!</v>
      </c>
      <c r="AA230" t="e">
        <f>装备!#REF!</f>
        <v>#REF!</v>
      </c>
      <c r="AB230" t="e">
        <f>装备!#REF!</f>
        <v>#REF!</v>
      </c>
      <c r="AC230" t="e">
        <f>装备!#REF!</f>
        <v>#REF!</v>
      </c>
      <c r="AD230" t="e">
        <f>装备!#REF!</f>
        <v>#REF!</v>
      </c>
      <c r="AE230" t="e">
        <f>装备!#REF!</f>
        <v>#REF!</v>
      </c>
      <c r="AF230" t="e">
        <f>装备!#REF!</f>
        <v>#REF!</v>
      </c>
      <c r="AG230" t="e">
        <f>装备!#REF!</f>
        <v>#REF!</v>
      </c>
      <c r="AH230" t="e">
        <f>装备!#REF!</f>
        <v>#REF!</v>
      </c>
      <c r="AI230" t="e">
        <f t="shared" si="44"/>
        <v>#REF!</v>
      </c>
      <c r="AJ230" t="e">
        <f>装备!#REF!</f>
        <v>#REF!</v>
      </c>
      <c r="AK230" t="e">
        <f>装备!#REF!</f>
        <v>#REF!</v>
      </c>
      <c r="AL230" t="e">
        <f>装备!#REF!</f>
        <v>#REF!</v>
      </c>
      <c r="AM230" t="e">
        <f>装备!#REF!</f>
        <v>#REF!</v>
      </c>
      <c r="AN230" t="e">
        <f>装备!#REF!</f>
        <v>#REF!</v>
      </c>
      <c r="AO230" t="e">
        <f>装备!#REF!</f>
        <v>#REF!</v>
      </c>
      <c r="AP230" t="e">
        <f>装备!#REF!</f>
        <v>#REF!</v>
      </c>
      <c r="AQ230" t="e">
        <f>装备!#REF!</f>
        <v>#REF!</v>
      </c>
      <c r="AR230" t="e">
        <f>装备!#REF!</f>
        <v>#REF!</v>
      </c>
      <c r="AS230" t="e">
        <f>装备!#REF!</f>
        <v>#REF!</v>
      </c>
      <c r="AT230" t="e">
        <f t="shared" si="45"/>
        <v>#REF!</v>
      </c>
      <c r="AU230" t="e">
        <f>装备!#REF!</f>
        <v>#REF!</v>
      </c>
      <c r="AV230" t="e">
        <f>装备!#REF!</f>
        <v>#REF!</v>
      </c>
      <c r="AW230" t="e">
        <f>装备!#REF!</f>
        <v>#REF!</v>
      </c>
      <c r="AX230" t="e">
        <f>装备!#REF!</f>
        <v>#REF!</v>
      </c>
      <c r="AY230" t="e">
        <f>装备!#REF!</f>
        <v>#REF!</v>
      </c>
      <c r="AZ230" t="e">
        <f>装备!#REF!</f>
        <v>#REF!</v>
      </c>
      <c r="BA230" t="e">
        <f>装备!#REF!</f>
        <v>#REF!</v>
      </c>
      <c r="BB230" t="e">
        <f>装备!#REF!</f>
        <v>#REF!</v>
      </c>
      <c r="BC230" t="e">
        <f>装备!#REF!</f>
        <v>#REF!</v>
      </c>
      <c r="BD230" t="e">
        <f>装备!#REF!</f>
        <v>#REF!</v>
      </c>
      <c r="BE230" t="e">
        <f t="shared" si="46"/>
        <v>#REF!</v>
      </c>
      <c r="BF230" t="e">
        <f>装备!#REF!</f>
        <v>#REF!</v>
      </c>
      <c r="BG230" t="e">
        <f>装备!#REF!</f>
        <v>#REF!</v>
      </c>
      <c r="BH230" t="e">
        <f>装备!#REF!</f>
        <v>#REF!</v>
      </c>
      <c r="BI230" t="e">
        <f>装备!#REF!</f>
        <v>#REF!</v>
      </c>
      <c r="BJ230" t="e">
        <f>装备!#REF!</f>
        <v>#REF!</v>
      </c>
      <c r="BK230" t="e">
        <f>装备!#REF!</f>
        <v>#REF!</v>
      </c>
      <c r="BL230" t="e">
        <f>装备!#REF!</f>
        <v>#REF!</v>
      </c>
      <c r="BM230" t="e">
        <f>装备!#REF!</f>
        <v>#REF!</v>
      </c>
      <c r="BN230" t="e">
        <f>装备!#REF!</f>
        <v>#REF!</v>
      </c>
      <c r="BO230" t="e">
        <f>装备!#REF!</f>
        <v>#REF!</v>
      </c>
      <c r="BP230" t="e">
        <f t="shared" si="47"/>
        <v>#REF!</v>
      </c>
      <c r="BQ230" t="e">
        <f>装备!#REF!</f>
        <v>#REF!</v>
      </c>
      <c r="BR230" t="e">
        <f>装备!#REF!</f>
        <v>#REF!</v>
      </c>
      <c r="BS230" t="e">
        <f>装备!#REF!</f>
        <v>#REF!</v>
      </c>
      <c r="BT230" t="e">
        <f>装备!#REF!</f>
        <v>#REF!</v>
      </c>
      <c r="BU230" t="e">
        <f>装备!#REF!</f>
        <v>#REF!</v>
      </c>
      <c r="BV230" t="e">
        <f>装备!#REF!</f>
        <v>#REF!</v>
      </c>
      <c r="BW230" t="e">
        <f>装备!#REF!</f>
        <v>#REF!</v>
      </c>
      <c r="BX230" t="e">
        <f>装备!#REF!</f>
        <v>#REF!</v>
      </c>
      <c r="BY230" t="e">
        <f>装备!#REF!</f>
        <v>#REF!</v>
      </c>
      <c r="BZ230" t="e">
        <f>装备!#REF!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装备!#REF!</f>
        <v>#REF!</v>
      </c>
      <c r="B231" t="e">
        <f>装备!#REF!</f>
        <v>#REF!</v>
      </c>
      <c r="C231" t="e">
        <f>装备!#REF!</f>
        <v>#REF!</v>
      </c>
      <c r="D231" t="e">
        <f>装备!#REF!</f>
        <v>#REF!</v>
      </c>
      <c r="E231" t="e">
        <f>装备!#REF!</f>
        <v>#REF!</v>
      </c>
      <c r="F231" t="e">
        <f>装备!#REF!</f>
        <v>#REF!</v>
      </c>
      <c r="G231" t="e">
        <f>装备!#REF!</f>
        <v>#REF!</v>
      </c>
      <c r="H231" t="e">
        <f>装备!#REF!</f>
        <v>#REF!</v>
      </c>
      <c r="I231" t="e">
        <f>装备!#REF!</f>
        <v>#REF!</v>
      </c>
      <c r="J231" t="e">
        <f>装备!#REF!</f>
        <v>#REF!</v>
      </c>
      <c r="K231" t="e">
        <f>装备!#REF!</f>
        <v>#REF!</v>
      </c>
      <c r="L231" t="e">
        <f>装备!#REF!</f>
        <v>#REF!</v>
      </c>
      <c r="M231" t="e">
        <f t="shared" si="42"/>
        <v>#REF!</v>
      </c>
      <c r="N231" t="e">
        <f>装备!#REF!</f>
        <v>#REF!</v>
      </c>
      <c r="O231" t="e">
        <f>装备!#REF!</f>
        <v>#REF!</v>
      </c>
      <c r="P231" t="e">
        <f>装备!#REF!</f>
        <v>#REF!</v>
      </c>
      <c r="Q231" t="e">
        <f>装备!#REF!</f>
        <v>#REF!</v>
      </c>
      <c r="R231" t="e">
        <f>装备!#REF!</f>
        <v>#REF!</v>
      </c>
      <c r="S231" t="e">
        <f>装备!#REF!</f>
        <v>#REF!</v>
      </c>
      <c r="T231" t="e">
        <f>装备!#REF!</f>
        <v>#REF!</v>
      </c>
      <c r="U231" t="e">
        <f>装备!#REF!</f>
        <v>#REF!</v>
      </c>
      <c r="V231" t="e">
        <f>装备!#REF!</f>
        <v>#REF!</v>
      </c>
      <c r="W231" t="e">
        <f>装备!#REF!</f>
        <v>#REF!</v>
      </c>
      <c r="X231" t="e">
        <f t="shared" si="43"/>
        <v>#REF!</v>
      </c>
      <c r="Y231" t="e">
        <f>装备!#REF!</f>
        <v>#REF!</v>
      </c>
      <c r="Z231" t="e">
        <f>装备!#REF!</f>
        <v>#REF!</v>
      </c>
      <c r="AA231" t="e">
        <f>装备!#REF!</f>
        <v>#REF!</v>
      </c>
      <c r="AB231" t="e">
        <f>装备!#REF!</f>
        <v>#REF!</v>
      </c>
      <c r="AC231" t="e">
        <f>装备!#REF!</f>
        <v>#REF!</v>
      </c>
      <c r="AD231" t="e">
        <f>装备!#REF!</f>
        <v>#REF!</v>
      </c>
      <c r="AE231" t="e">
        <f>装备!#REF!</f>
        <v>#REF!</v>
      </c>
      <c r="AF231" t="e">
        <f>装备!#REF!</f>
        <v>#REF!</v>
      </c>
      <c r="AG231" t="e">
        <f>装备!#REF!</f>
        <v>#REF!</v>
      </c>
      <c r="AH231" t="e">
        <f>装备!#REF!</f>
        <v>#REF!</v>
      </c>
      <c r="AI231" t="e">
        <f t="shared" si="44"/>
        <v>#REF!</v>
      </c>
      <c r="AJ231" t="e">
        <f>装备!#REF!</f>
        <v>#REF!</v>
      </c>
      <c r="AK231" t="e">
        <f>装备!#REF!</f>
        <v>#REF!</v>
      </c>
      <c r="AL231" t="e">
        <f>装备!#REF!</f>
        <v>#REF!</v>
      </c>
      <c r="AM231" t="e">
        <f>装备!#REF!</f>
        <v>#REF!</v>
      </c>
      <c r="AN231" t="e">
        <f>装备!#REF!</f>
        <v>#REF!</v>
      </c>
      <c r="AO231" t="e">
        <f>装备!#REF!</f>
        <v>#REF!</v>
      </c>
      <c r="AP231" t="e">
        <f>装备!#REF!</f>
        <v>#REF!</v>
      </c>
      <c r="AQ231" t="e">
        <f>装备!#REF!</f>
        <v>#REF!</v>
      </c>
      <c r="AR231" t="e">
        <f>装备!#REF!</f>
        <v>#REF!</v>
      </c>
      <c r="AS231" t="e">
        <f>装备!#REF!</f>
        <v>#REF!</v>
      </c>
      <c r="AT231" t="e">
        <f t="shared" si="45"/>
        <v>#REF!</v>
      </c>
      <c r="AU231" t="e">
        <f>装备!#REF!</f>
        <v>#REF!</v>
      </c>
      <c r="AV231" t="e">
        <f>装备!#REF!</f>
        <v>#REF!</v>
      </c>
      <c r="AW231" t="e">
        <f>装备!#REF!</f>
        <v>#REF!</v>
      </c>
      <c r="AX231" t="e">
        <f>装备!#REF!</f>
        <v>#REF!</v>
      </c>
      <c r="AY231" t="e">
        <f>装备!#REF!</f>
        <v>#REF!</v>
      </c>
      <c r="AZ231" t="e">
        <f>装备!#REF!</f>
        <v>#REF!</v>
      </c>
      <c r="BA231" t="e">
        <f>装备!#REF!</f>
        <v>#REF!</v>
      </c>
      <c r="BB231" t="e">
        <f>装备!#REF!</f>
        <v>#REF!</v>
      </c>
      <c r="BC231" t="e">
        <f>装备!#REF!</f>
        <v>#REF!</v>
      </c>
      <c r="BD231" t="e">
        <f>装备!#REF!</f>
        <v>#REF!</v>
      </c>
      <c r="BE231" t="e">
        <f t="shared" si="46"/>
        <v>#REF!</v>
      </c>
      <c r="BF231" t="e">
        <f>装备!#REF!</f>
        <v>#REF!</v>
      </c>
      <c r="BG231" t="e">
        <f>装备!#REF!</f>
        <v>#REF!</v>
      </c>
      <c r="BH231" t="e">
        <f>装备!#REF!</f>
        <v>#REF!</v>
      </c>
      <c r="BI231" t="e">
        <f>装备!#REF!</f>
        <v>#REF!</v>
      </c>
      <c r="BJ231" t="e">
        <f>装备!#REF!</f>
        <v>#REF!</v>
      </c>
      <c r="BK231" t="e">
        <f>装备!#REF!</f>
        <v>#REF!</v>
      </c>
      <c r="BL231" t="e">
        <f>装备!#REF!</f>
        <v>#REF!</v>
      </c>
      <c r="BM231" t="e">
        <f>装备!#REF!</f>
        <v>#REF!</v>
      </c>
      <c r="BN231" t="e">
        <f>装备!#REF!</f>
        <v>#REF!</v>
      </c>
      <c r="BO231" t="e">
        <f>装备!#REF!</f>
        <v>#REF!</v>
      </c>
      <c r="BP231" t="e">
        <f t="shared" si="47"/>
        <v>#REF!</v>
      </c>
      <c r="BQ231" t="e">
        <f>装备!#REF!</f>
        <v>#REF!</v>
      </c>
      <c r="BR231" t="e">
        <f>装备!#REF!</f>
        <v>#REF!</v>
      </c>
      <c r="BS231" t="e">
        <f>装备!#REF!</f>
        <v>#REF!</v>
      </c>
      <c r="BT231" t="e">
        <f>装备!#REF!</f>
        <v>#REF!</v>
      </c>
      <c r="BU231" t="e">
        <f>装备!#REF!</f>
        <v>#REF!</v>
      </c>
      <c r="BV231" t="e">
        <f>装备!#REF!</f>
        <v>#REF!</v>
      </c>
      <c r="BW231" t="e">
        <f>装备!#REF!</f>
        <v>#REF!</v>
      </c>
      <c r="BX231" t="e">
        <f>装备!#REF!</f>
        <v>#REF!</v>
      </c>
      <c r="BY231" t="e">
        <f>装备!#REF!</f>
        <v>#REF!</v>
      </c>
      <c r="BZ231" t="e">
        <f>装备!#REF!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装备!#REF!</f>
        <v>#REF!</v>
      </c>
      <c r="B232" t="e">
        <f>装备!#REF!</f>
        <v>#REF!</v>
      </c>
      <c r="C232" t="e">
        <f>装备!#REF!</f>
        <v>#REF!</v>
      </c>
      <c r="D232" t="e">
        <f>装备!#REF!</f>
        <v>#REF!</v>
      </c>
      <c r="E232" t="e">
        <f>装备!#REF!</f>
        <v>#REF!</v>
      </c>
      <c r="F232" t="e">
        <f>装备!#REF!</f>
        <v>#REF!</v>
      </c>
      <c r="G232" t="e">
        <f>装备!#REF!</f>
        <v>#REF!</v>
      </c>
      <c r="H232" t="e">
        <f>装备!#REF!</f>
        <v>#REF!</v>
      </c>
      <c r="I232" t="e">
        <f>装备!#REF!</f>
        <v>#REF!</v>
      </c>
      <c r="J232" t="e">
        <f>装备!#REF!</f>
        <v>#REF!</v>
      </c>
      <c r="K232" t="e">
        <f>装备!#REF!</f>
        <v>#REF!</v>
      </c>
      <c r="L232" t="e">
        <f>装备!#REF!</f>
        <v>#REF!</v>
      </c>
      <c r="M232" t="e">
        <f t="shared" si="42"/>
        <v>#REF!</v>
      </c>
      <c r="N232" t="e">
        <f>装备!#REF!</f>
        <v>#REF!</v>
      </c>
      <c r="O232" t="e">
        <f>装备!#REF!</f>
        <v>#REF!</v>
      </c>
      <c r="P232" t="e">
        <f>装备!#REF!</f>
        <v>#REF!</v>
      </c>
      <c r="Q232" t="e">
        <f>装备!#REF!</f>
        <v>#REF!</v>
      </c>
      <c r="R232" t="e">
        <f>装备!#REF!</f>
        <v>#REF!</v>
      </c>
      <c r="S232" t="e">
        <f>装备!#REF!</f>
        <v>#REF!</v>
      </c>
      <c r="T232" t="e">
        <f>装备!#REF!</f>
        <v>#REF!</v>
      </c>
      <c r="U232" t="e">
        <f>装备!#REF!</f>
        <v>#REF!</v>
      </c>
      <c r="V232" t="e">
        <f>装备!#REF!</f>
        <v>#REF!</v>
      </c>
      <c r="W232" t="e">
        <f>装备!#REF!</f>
        <v>#REF!</v>
      </c>
      <c r="X232" t="e">
        <f t="shared" si="43"/>
        <v>#REF!</v>
      </c>
      <c r="Y232" t="e">
        <f>装备!#REF!</f>
        <v>#REF!</v>
      </c>
      <c r="Z232" t="e">
        <f>装备!#REF!</f>
        <v>#REF!</v>
      </c>
      <c r="AA232" t="e">
        <f>装备!#REF!</f>
        <v>#REF!</v>
      </c>
      <c r="AB232" t="e">
        <f>装备!#REF!</f>
        <v>#REF!</v>
      </c>
      <c r="AC232" t="e">
        <f>装备!#REF!</f>
        <v>#REF!</v>
      </c>
      <c r="AD232" t="e">
        <f>装备!#REF!</f>
        <v>#REF!</v>
      </c>
      <c r="AE232" t="e">
        <f>装备!#REF!</f>
        <v>#REF!</v>
      </c>
      <c r="AF232" t="e">
        <f>装备!#REF!</f>
        <v>#REF!</v>
      </c>
      <c r="AG232" t="e">
        <f>装备!#REF!</f>
        <v>#REF!</v>
      </c>
      <c r="AH232" t="e">
        <f>装备!#REF!</f>
        <v>#REF!</v>
      </c>
      <c r="AI232" t="e">
        <f t="shared" si="44"/>
        <v>#REF!</v>
      </c>
      <c r="AJ232" t="e">
        <f>装备!#REF!</f>
        <v>#REF!</v>
      </c>
      <c r="AK232" t="e">
        <f>装备!#REF!</f>
        <v>#REF!</v>
      </c>
      <c r="AL232" t="e">
        <f>装备!#REF!</f>
        <v>#REF!</v>
      </c>
      <c r="AM232" t="e">
        <f>装备!#REF!</f>
        <v>#REF!</v>
      </c>
      <c r="AN232" t="e">
        <f>装备!#REF!</f>
        <v>#REF!</v>
      </c>
      <c r="AO232" t="e">
        <f>装备!#REF!</f>
        <v>#REF!</v>
      </c>
      <c r="AP232" t="e">
        <f>装备!#REF!</f>
        <v>#REF!</v>
      </c>
      <c r="AQ232" t="e">
        <f>装备!#REF!</f>
        <v>#REF!</v>
      </c>
      <c r="AR232" t="e">
        <f>装备!#REF!</f>
        <v>#REF!</v>
      </c>
      <c r="AS232" t="e">
        <f>装备!#REF!</f>
        <v>#REF!</v>
      </c>
      <c r="AT232" t="e">
        <f t="shared" si="45"/>
        <v>#REF!</v>
      </c>
      <c r="AU232" t="e">
        <f>装备!#REF!</f>
        <v>#REF!</v>
      </c>
      <c r="AV232" t="e">
        <f>装备!#REF!</f>
        <v>#REF!</v>
      </c>
      <c r="AW232" t="e">
        <f>装备!#REF!</f>
        <v>#REF!</v>
      </c>
      <c r="AX232" t="e">
        <f>装备!#REF!</f>
        <v>#REF!</v>
      </c>
      <c r="AY232" t="e">
        <f>装备!#REF!</f>
        <v>#REF!</v>
      </c>
      <c r="AZ232" t="e">
        <f>装备!#REF!</f>
        <v>#REF!</v>
      </c>
      <c r="BA232" t="e">
        <f>装备!#REF!</f>
        <v>#REF!</v>
      </c>
      <c r="BB232" t="e">
        <f>装备!#REF!</f>
        <v>#REF!</v>
      </c>
      <c r="BC232" t="e">
        <f>装备!#REF!</f>
        <v>#REF!</v>
      </c>
      <c r="BD232" t="e">
        <f>装备!#REF!</f>
        <v>#REF!</v>
      </c>
      <c r="BE232" t="e">
        <f t="shared" si="46"/>
        <v>#REF!</v>
      </c>
      <c r="BF232" t="e">
        <f>装备!#REF!</f>
        <v>#REF!</v>
      </c>
      <c r="BG232" t="e">
        <f>装备!#REF!</f>
        <v>#REF!</v>
      </c>
      <c r="BH232" t="e">
        <f>装备!#REF!</f>
        <v>#REF!</v>
      </c>
      <c r="BI232" t="e">
        <f>装备!#REF!</f>
        <v>#REF!</v>
      </c>
      <c r="BJ232" t="e">
        <f>装备!#REF!</f>
        <v>#REF!</v>
      </c>
      <c r="BK232" t="e">
        <f>装备!#REF!</f>
        <v>#REF!</v>
      </c>
      <c r="BL232" t="e">
        <f>装备!#REF!</f>
        <v>#REF!</v>
      </c>
      <c r="BM232" t="e">
        <f>装备!#REF!</f>
        <v>#REF!</v>
      </c>
      <c r="BN232" t="e">
        <f>装备!#REF!</f>
        <v>#REF!</v>
      </c>
      <c r="BO232" t="e">
        <f>装备!#REF!</f>
        <v>#REF!</v>
      </c>
      <c r="BP232" t="e">
        <f t="shared" si="47"/>
        <v>#REF!</v>
      </c>
      <c r="BQ232" t="e">
        <f>装备!#REF!</f>
        <v>#REF!</v>
      </c>
      <c r="BR232" t="e">
        <f>装备!#REF!</f>
        <v>#REF!</v>
      </c>
      <c r="BS232" t="e">
        <f>装备!#REF!</f>
        <v>#REF!</v>
      </c>
      <c r="BT232" t="e">
        <f>装备!#REF!</f>
        <v>#REF!</v>
      </c>
      <c r="BU232" t="e">
        <f>装备!#REF!</f>
        <v>#REF!</v>
      </c>
      <c r="BV232" t="e">
        <f>装备!#REF!</f>
        <v>#REF!</v>
      </c>
      <c r="BW232" t="e">
        <f>装备!#REF!</f>
        <v>#REF!</v>
      </c>
      <c r="BX232" t="e">
        <f>装备!#REF!</f>
        <v>#REF!</v>
      </c>
      <c r="BY232" t="e">
        <f>装备!#REF!</f>
        <v>#REF!</v>
      </c>
      <c r="BZ232" t="e">
        <f>装备!#REF!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装备!#REF!</f>
        <v>#REF!</v>
      </c>
      <c r="B233" t="e">
        <f>装备!#REF!</f>
        <v>#REF!</v>
      </c>
      <c r="C233" t="e">
        <f>装备!#REF!</f>
        <v>#REF!</v>
      </c>
      <c r="D233" t="e">
        <f>装备!#REF!</f>
        <v>#REF!</v>
      </c>
      <c r="E233" t="e">
        <f>装备!#REF!</f>
        <v>#REF!</v>
      </c>
      <c r="F233" t="e">
        <f>装备!#REF!</f>
        <v>#REF!</v>
      </c>
      <c r="G233" t="e">
        <f>装备!#REF!</f>
        <v>#REF!</v>
      </c>
      <c r="H233" t="e">
        <f>装备!#REF!</f>
        <v>#REF!</v>
      </c>
      <c r="I233" t="e">
        <f>装备!#REF!</f>
        <v>#REF!</v>
      </c>
      <c r="J233" t="e">
        <f>装备!#REF!</f>
        <v>#REF!</v>
      </c>
      <c r="K233" t="e">
        <f>装备!#REF!</f>
        <v>#REF!</v>
      </c>
      <c r="L233" t="e">
        <f>装备!#REF!</f>
        <v>#REF!</v>
      </c>
      <c r="M233" t="e">
        <f t="shared" si="42"/>
        <v>#REF!</v>
      </c>
      <c r="N233" t="e">
        <f>装备!#REF!</f>
        <v>#REF!</v>
      </c>
      <c r="O233" t="e">
        <f>装备!#REF!</f>
        <v>#REF!</v>
      </c>
      <c r="P233" t="e">
        <f>装备!#REF!</f>
        <v>#REF!</v>
      </c>
      <c r="Q233" t="e">
        <f>装备!#REF!</f>
        <v>#REF!</v>
      </c>
      <c r="R233" t="e">
        <f>装备!#REF!</f>
        <v>#REF!</v>
      </c>
      <c r="S233" t="e">
        <f>装备!#REF!</f>
        <v>#REF!</v>
      </c>
      <c r="T233" t="e">
        <f>装备!#REF!</f>
        <v>#REF!</v>
      </c>
      <c r="U233" t="e">
        <f>装备!#REF!</f>
        <v>#REF!</v>
      </c>
      <c r="V233" t="e">
        <f>装备!#REF!</f>
        <v>#REF!</v>
      </c>
      <c r="W233" t="e">
        <f>装备!#REF!</f>
        <v>#REF!</v>
      </c>
      <c r="X233" t="e">
        <f t="shared" si="43"/>
        <v>#REF!</v>
      </c>
      <c r="Y233" t="e">
        <f>装备!#REF!</f>
        <v>#REF!</v>
      </c>
      <c r="Z233" t="e">
        <f>装备!#REF!</f>
        <v>#REF!</v>
      </c>
      <c r="AA233" t="e">
        <f>装备!#REF!</f>
        <v>#REF!</v>
      </c>
      <c r="AB233" t="e">
        <f>装备!#REF!</f>
        <v>#REF!</v>
      </c>
      <c r="AC233" t="e">
        <f>装备!#REF!</f>
        <v>#REF!</v>
      </c>
      <c r="AD233" t="e">
        <f>装备!#REF!</f>
        <v>#REF!</v>
      </c>
      <c r="AE233" t="e">
        <f>装备!#REF!</f>
        <v>#REF!</v>
      </c>
      <c r="AF233" t="e">
        <f>装备!#REF!</f>
        <v>#REF!</v>
      </c>
      <c r="AG233" t="e">
        <f>装备!#REF!</f>
        <v>#REF!</v>
      </c>
      <c r="AH233" t="e">
        <f>装备!#REF!</f>
        <v>#REF!</v>
      </c>
      <c r="AI233" t="e">
        <f t="shared" si="44"/>
        <v>#REF!</v>
      </c>
      <c r="AJ233" t="e">
        <f>装备!#REF!</f>
        <v>#REF!</v>
      </c>
      <c r="AK233" t="e">
        <f>装备!#REF!</f>
        <v>#REF!</v>
      </c>
      <c r="AL233" t="e">
        <f>装备!#REF!</f>
        <v>#REF!</v>
      </c>
      <c r="AM233" t="e">
        <f>装备!#REF!</f>
        <v>#REF!</v>
      </c>
      <c r="AN233" t="e">
        <f>装备!#REF!</f>
        <v>#REF!</v>
      </c>
      <c r="AO233" t="e">
        <f>装备!#REF!</f>
        <v>#REF!</v>
      </c>
      <c r="AP233" t="e">
        <f>装备!#REF!</f>
        <v>#REF!</v>
      </c>
      <c r="AQ233" t="e">
        <f>装备!#REF!</f>
        <v>#REF!</v>
      </c>
      <c r="AR233" t="e">
        <f>装备!#REF!</f>
        <v>#REF!</v>
      </c>
      <c r="AS233" t="e">
        <f>装备!#REF!</f>
        <v>#REF!</v>
      </c>
      <c r="AT233" t="e">
        <f t="shared" si="45"/>
        <v>#REF!</v>
      </c>
      <c r="AU233" t="e">
        <f>装备!#REF!</f>
        <v>#REF!</v>
      </c>
      <c r="AV233" t="e">
        <f>装备!#REF!</f>
        <v>#REF!</v>
      </c>
      <c r="AW233" t="e">
        <f>装备!#REF!</f>
        <v>#REF!</v>
      </c>
      <c r="AX233" t="e">
        <f>装备!#REF!</f>
        <v>#REF!</v>
      </c>
      <c r="AY233" t="e">
        <f>装备!#REF!</f>
        <v>#REF!</v>
      </c>
      <c r="AZ233" t="e">
        <f>装备!#REF!</f>
        <v>#REF!</v>
      </c>
      <c r="BA233" t="e">
        <f>装备!#REF!</f>
        <v>#REF!</v>
      </c>
      <c r="BB233" t="e">
        <f>装备!#REF!</f>
        <v>#REF!</v>
      </c>
      <c r="BC233" t="e">
        <f>装备!#REF!</f>
        <v>#REF!</v>
      </c>
      <c r="BD233" t="e">
        <f>装备!#REF!</f>
        <v>#REF!</v>
      </c>
      <c r="BE233" t="e">
        <f t="shared" si="46"/>
        <v>#REF!</v>
      </c>
      <c r="BF233" t="e">
        <f>装备!#REF!</f>
        <v>#REF!</v>
      </c>
      <c r="BG233" t="e">
        <f>装备!#REF!</f>
        <v>#REF!</v>
      </c>
      <c r="BH233" t="e">
        <f>装备!#REF!</f>
        <v>#REF!</v>
      </c>
      <c r="BI233" t="e">
        <f>装备!#REF!</f>
        <v>#REF!</v>
      </c>
      <c r="BJ233" t="e">
        <f>装备!#REF!</f>
        <v>#REF!</v>
      </c>
      <c r="BK233" t="e">
        <f>装备!#REF!</f>
        <v>#REF!</v>
      </c>
      <c r="BL233" t="e">
        <f>装备!#REF!</f>
        <v>#REF!</v>
      </c>
      <c r="BM233" t="e">
        <f>装备!#REF!</f>
        <v>#REF!</v>
      </c>
      <c r="BN233" t="e">
        <f>装备!#REF!</f>
        <v>#REF!</v>
      </c>
      <c r="BO233" t="e">
        <f>装备!#REF!</f>
        <v>#REF!</v>
      </c>
      <c r="BP233" t="e">
        <f t="shared" si="47"/>
        <v>#REF!</v>
      </c>
      <c r="BQ233" t="e">
        <f>装备!#REF!</f>
        <v>#REF!</v>
      </c>
      <c r="BR233" t="e">
        <f>装备!#REF!</f>
        <v>#REF!</v>
      </c>
      <c r="BS233" t="e">
        <f>装备!#REF!</f>
        <v>#REF!</v>
      </c>
      <c r="BT233" t="e">
        <f>装备!#REF!</f>
        <v>#REF!</v>
      </c>
      <c r="BU233" t="e">
        <f>装备!#REF!</f>
        <v>#REF!</v>
      </c>
      <c r="BV233" t="e">
        <f>装备!#REF!</f>
        <v>#REF!</v>
      </c>
      <c r="BW233" t="e">
        <f>装备!#REF!</f>
        <v>#REF!</v>
      </c>
      <c r="BX233" t="e">
        <f>装备!#REF!</f>
        <v>#REF!</v>
      </c>
      <c r="BY233" t="e">
        <f>装备!#REF!</f>
        <v>#REF!</v>
      </c>
      <c r="BZ233" t="e">
        <f>装备!#REF!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装备!#REF!</f>
        <v>#REF!</v>
      </c>
      <c r="B234" t="e">
        <f>装备!#REF!</f>
        <v>#REF!</v>
      </c>
      <c r="C234" t="e">
        <f>装备!#REF!</f>
        <v>#REF!</v>
      </c>
      <c r="D234" t="e">
        <f>装备!#REF!</f>
        <v>#REF!</v>
      </c>
      <c r="E234" t="e">
        <f>装备!#REF!</f>
        <v>#REF!</v>
      </c>
      <c r="F234" t="e">
        <f>装备!#REF!</f>
        <v>#REF!</v>
      </c>
      <c r="G234" t="e">
        <f>装备!#REF!</f>
        <v>#REF!</v>
      </c>
      <c r="H234" t="e">
        <f>装备!#REF!</f>
        <v>#REF!</v>
      </c>
      <c r="I234" t="e">
        <f>装备!#REF!</f>
        <v>#REF!</v>
      </c>
      <c r="J234" t="e">
        <f>装备!#REF!</f>
        <v>#REF!</v>
      </c>
      <c r="K234" t="e">
        <f>装备!#REF!</f>
        <v>#REF!</v>
      </c>
      <c r="L234" t="e">
        <f>装备!#REF!</f>
        <v>#REF!</v>
      </c>
      <c r="M234" t="e">
        <f t="shared" si="42"/>
        <v>#REF!</v>
      </c>
      <c r="N234" t="e">
        <f>装备!#REF!</f>
        <v>#REF!</v>
      </c>
      <c r="O234" t="e">
        <f>装备!#REF!</f>
        <v>#REF!</v>
      </c>
      <c r="P234" t="e">
        <f>装备!#REF!</f>
        <v>#REF!</v>
      </c>
      <c r="Q234" t="e">
        <f>装备!#REF!</f>
        <v>#REF!</v>
      </c>
      <c r="R234" t="e">
        <f>装备!#REF!</f>
        <v>#REF!</v>
      </c>
      <c r="S234" t="e">
        <f>装备!#REF!</f>
        <v>#REF!</v>
      </c>
      <c r="T234" t="e">
        <f>装备!#REF!</f>
        <v>#REF!</v>
      </c>
      <c r="U234" t="e">
        <f>装备!#REF!</f>
        <v>#REF!</v>
      </c>
      <c r="V234" t="e">
        <f>装备!#REF!</f>
        <v>#REF!</v>
      </c>
      <c r="W234" t="e">
        <f>装备!#REF!</f>
        <v>#REF!</v>
      </c>
      <c r="X234" t="e">
        <f t="shared" si="43"/>
        <v>#REF!</v>
      </c>
      <c r="Y234" t="e">
        <f>装备!#REF!</f>
        <v>#REF!</v>
      </c>
      <c r="Z234" t="e">
        <f>装备!#REF!</f>
        <v>#REF!</v>
      </c>
      <c r="AA234" t="e">
        <f>装备!#REF!</f>
        <v>#REF!</v>
      </c>
      <c r="AB234" t="e">
        <f>装备!#REF!</f>
        <v>#REF!</v>
      </c>
      <c r="AC234" t="e">
        <f>装备!#REF!</f>
        <v>#REF!</v>
      </c>
      <c r="AD234" t="e">
        <f>装备!#REF!</f>
        <v>#REF!</v>
      </c>
      <c r="AE234" t="e">
        <f>装备!#REF!</f>
        <v>#REF!</v>
      </c>
      <c r="AF234" t="e">
        <f>装备!#REF!</f>
        <v>#REF!</v>
      </c>
      <c r="AG234" t="e">
        <f>装备!#REF!</f>
        <v>#REF!</v>
      </c>
      <c r="AH234" t="e">
        <f>装备!#REF!</f>
        <v>#REF!</v>
      </c>
      <c r="AI234" t="e">
        <f t="shared" si="44"/>
        <v>#REF!</v>
      </c>
      <c r="AJ234" t="e">
        <f>装备!#REF!</f>
        <v>#REF!</v>
      </c>
      <c r="AK234" t="e">
        <f>装备!#REF!</f>
        <v>#REF!</v>
      </c>
      <c r="AL234" t="e">
        <f>装备!#REF!</f>
        <v>#REF!</v>
      </c>
      <c r="AM234" t="e">
        <f>装备!#REF!</f>
        <v>#REF!</v>
      </c>
      <c r="AN234" t="e">
        <f>装备!#REF!</f>
        <v>#REF!</v>
      </c>
      <c r="AO234" t="e">
        <f>装备!#REF!</f>
        <v>#REF!</v>
      </c>
      <c r="AP234" t="e">
        <f>装备!#REF!</f>
        <v>#REF!</v>
      </c>
      <c r="AQ234" t="e">
        <f>装备!#REF!</f>
        <v>#REF!</v>
      </c>
      <c r="AR234" t="e">
        <f>装备!#REF!</f>
        <v>#REF!</v>
      </c>
      <c r="AS234" t="e">
        <f>装备!#REF!</f>
        <v>#REF!</v>
      </c>
      <c r="AT234" t="e">
        <f t="shared" si="45"/>
        <v>#REF!</v>
      </c>
      <c r="AU234" t="e">
        <f>装备!#REF!</f>
        <v>#REF!</v>
      </c>
      <c r="AV234" t="e">
        <f>装备!#REF!</f>
        <v>#REF!</v>
      </c>
      <c r="AW234" t="e">
        <f>装备!#REF!</f>
        <v>#REF!</v>
      </c>
      <c r="AX234" t="e">
        <f>装备!#REF!</f>
        <v>#REF!</v>
      </c>
      <c r="AY234" t="e">
        <f>装备!#REF!</f>
        <v>#REF!</v>
      </c>
      <c r="AZ234" t="e">
        <f>装备!#REF!</f>
        <v>#REF!</v>
      </c>
      <c r="BA234" t="e">
        <f>装备!#REF!</f>
        <v>#REF!</v>
      </c>
      <c r="BB234" t="e">
        <f>装备!#REF!</f>
        <v>#REF!</v>
      </c>
      <c r="BC234" t="e">
        <f>装备!#REF!</f>
        <v>#REF!</v>
      </c>
      <c r="BD234" t="e">
        <f>装备!#REF!</f>
        <v>#REF!</v>
      </c>
      <c r="BE234" t="e">
        <f t="shared" si="46"/>
        <v>#REF!</v>
      </c>
      <c r="BF234" t="e">
        <f>装备!#REF!</f>
        <v>#REF!</v>
      </c>
      <c r="BG234" t="e">
        <f>装备!#REF!</f>
        <v>#REF!</v>
      </c>
      <c r="BH234" t="e">
        <f>装备!#REF!</f>
        <v>#REF!</v>
      </c>
      <c r="BI234" t="e">
        <f>装备!#REF!</f>
        <v>#REF!</v>
      </c>
      <c r="BJ234" t="e">
        <f>装备!#REF!</f>
        <v>#REF!</v>
      </c>
      <c r="BK234" t="e">
        <f>装备!#REF!</f>
        <v>#REF!</v>
      </c>
      <c r="BL234" t="e">
        <f>装备!#REF!</f>
        <v>#REF!</v>
      </c>
      <c r="BM234" t="e">
        <f>装备!#REF!</f>
        <v>#REF!</v>
      </c>
      <c r="BN234" t="e">
        <f>装备!#REF!</f>
        <v>#REF!</v>
      </c>
      <c r="BO234" t="e">
        <f>装备!#REF!</f>
        <v>#REF!</v>
      </c>
      <c r="BP234" t="e">
        <f t="shared" si="47"/>
        <v>#REF!</v>
      </c>
      <c r="BQ234" t="e">
        <f>装备!#REF!</f>
        <v>#REF!</v>
      </c>
      <c r="BR234" t="e">
        <f>装备!#REF!</f>
        <v>#REF!</v>
      </c>
      <c r="BS234" t="e">
        <f>装备!#REF!</f>
        <v>#REF!</v>
      </c>
      <c r="BT234" t="e">
        <f>装备!#REF!</f>
        <v>#REF!</v>
      </c>
      <c r="BU234" t="e">
        <f>装备!#REF!</f>
        <v>#REF!</v>
      </c>
      <c r="BV234" t="e">
        <f>装备!#REF!</f>
        <v>#REF!</v>
      </c>
      <c r="BW234" t="e">
        <f>装备!#REF!</f>
        <v>#REF!</v>
      </c>
      <c r="BX234" t="e">
        <f>装备!#REF!</f>
        <v>#REF!</v>
      </c>
      <c r="BY234" t="e">
        <f>装备!#REF!</f>
        <v>#REF!</v>
      </c>
      <c r="BZ234" t="e">
        <f>装备!#REF!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装备!#REF!</f>
        <v>#REF!</v>
      </c>
      <c r="B235" t="e">
        <f>装备!#REF!</f>
        <v>#REF!</v>
      </c>
      <c r="C235" t="e">
        <f>装备!#REF!</f>
        <v>#REF!</v>
      </c>
      <c r="D235" t="e">
        <f>装备!#REF!</f>
        <v>#REF!</v>
      </c>
      <c r="E235" t="e">
        <f>装备!#REF!</f>
        <v>#REF!</v>
      </c>
      <c r="F235" t="e">
        <f>装备!#REF!</f>
        <v>#REF!</v>
      </c>
      <c r="G235" t="e">
        <f>装备!#REF!</f>
        <v>#REF!</v>
      </c>
      <c r="H235" t="e">
        <f>装备!#REF!</f>
        <v>#REF!</v>
      </c>
      <c r="I235" t="e">
        <f>装备!#REF!</f>
        <v>#REF!</v>
      </c>
      <c r="J235" t="e">
        <f>装备!#REF!</f>
        <v>#REF!</v>
      </c>
      <c r="K235" t="e">
        <f>装备!#REF!</f>
        <v>#REF!</v>
      </c>
      <c r="L235" t="e">
        <f>装备!#REF!</f>
        <v>#REF!</v>
      </c>
      <c r="M235" t="e">
        <f t="shared" si="42"/>
        <v>#REF!</v>
      </c>
      <c r="N235" t="e">
        <f>装备!#REF!</f>
        <v>#REF!</v>
      </c>
      <c r="O235" t="e">
        <f>装备!#REF!</f>
        <v>#REF!</v>
      </c>
      <c r="P235" t="e">
        <f>装备!#REF!</f>
        <v>#REF!</v>
      </c>
      <c r="Q235" t="e">
        <f>装备!#REF!</f>
        <v>#REF!</v>
      </c>
      <c r="R235" t="e">
        <f>装备!#REF!</f>
        <v>#REF!</v>
      </c>
      <c r="S235" t="e">
        <f>装备!#REF!</f>
        <v>#REF!</v>
      </c>
      <c r="T235" t="e">
        <f>装备!#REF!</f>
        <v>#REF!</v>
      </c>
      <c r="U235" t="e">
        <f>装备!#REF!</f>
        <v>#REF!</v>
      </c>
      <c r="V235" t="e">
        <f>装备!#REF!</f>
        <v>#REF!</v>
      </c>
      <c r="W235" t="e">
        <f>装备!#REF!</f>
        <v>#REF!</v>
      </c>
      <c r="X235" t="e">
        <f t="shared" si="43"/>
        <v>#REF!</v>
      </c>
      <c r="Y235" t="e">
        <f>装备!#REF!</f>
        <v>#REF!</v>
      </c>
      <c r="Z235" t="e">
        <f>装备!#REF!</f>
        <v>#REF!</v>
      </c>
      <c r="AA235" t="e">
        <f>装备!#REF!</f>
        <v>#REF!</v>
      </c>
      <c r="AB235" t="e">
        <f>装备!#REF!</f>
        <v>#REF!</v>
      </c>
      <c r="AC235" t="e">
        <f>装备!#REF!</f>
        <v>#REF!</v>
      </c>
      <c r="AD235" t="e">
        <f>装备!#REF!</f>
        <v>#REF!</v>
      </c>
      <c r="AE235" t="e">
        <f>装备!#REF!</f>
        <v>#REF!</v>
      </c>
      <c r="AF235" t="e">
        <f>装备!#REF!</f>
        <v>#REF!</v>
      </c>
      <c r="AG235" t="e">
        <f>装备!#REF!</f>
        <v>#REF!</v>
      </c>
      <c r="AH235" t="e">
        <f>装备!#REF!</f>
        <v>#REF!</v>
      </c>
      <c r="AI235" t="e">
        <f t="shared" si="44"/>
        <v>#REF!</v>
      </c>
      <c r="AJ235" t="e">
        <f>装备!#REF!</f>
        <v>#REF!</v>
      </c>
      <c r="AK235" t="e">
        <f>装备!#REF!</f>
        <v>#REF!</v>
      </c>
      <c r="AL235" t="e">
        <f>装备!#REF!</f>
        <v>#REF!</v>
      </c>
      <c r="AM235" t="e">
        <f>装备!#REF!</f>
        <v>#REF!</v>
      </c>
      <c r="AN235" t="e">
        <f>装备!#REF!</f>
        <v>#REF!</v>
      </c>
      <c r="AO235" t="e">
        <f>装备!#REF!</f>
        <v>#REF!</v>
      </c>
      <c r="AP235" t="e">
        <f>装备!#REF!</f>
        <v>#REF!</v>
      </c>
      <c r="AQ235" t="e">
        <f>装备!#REF!</f>
        <v>#REF!</v>
      </c>
      <c r="AR235" t="e">
        <f>装备!#REF!</f>
        <v>#REF!</v>
      </c>
      <c r="AS235" t="e">
        <f>装备!#REF!</f>
        <v>#REF!</v>
      </c>
      <c r="AT235" t="e">
        <f t="shared" si="45"/>
        <v>#REF!</v>
      </c>
      <c r="AU235" t="e">
        <f>装备!#REF!</f>
        <v>#REF!</v>
      </c>
      <c r="AV235" t="e">
        <f>装备!#REF!</f>
        <v>#REF!</v>
      </c>
      <c r="AW235" t="e">
        <f>装备!#REF!</f>
        <v>#REF!</v>
      </c>
      <c r="AX235" t="e">
        <f>装备!#REF!</f>
        <v>#REF!</v>
      </c>
      <c r="AY235" t="e">
        <f>装备!#REF!</f>
        <v>#REF!</v>
      </c>
      <c r="AZ235" t="e">
        <f>装备!#REF!</f>
        <v>#REF!</v>
      </c>
      <c r="BA235" t="e">
        <f>装备!#REF!</f>
        <v>#REF!</v>
      </c>
      <c r="BB235" t="e">
        <f>装备!#REF!</f>
        <v>#REF!</v>
      </c>
      <c r="BC235" t="e">
        <f>装备!#REF!</f>
        <v>#REF!</v>
      </c>
      <c r="BD235" t="e">
        <f>装备!#REF!</f>
        <v>#REF!</v>
      </c>
      <c r="BE235" t="e">
        <f t="shared" si="46"/>
        <v>#REF!</v>
      </c>
      <c r="BF235" t="e">
        <f>装备!#REF!</f>
        <v>#REF!</v>
      </c>
      <c r="BG235" t="e">
        <f>装备!#REF!</f>
        <v>#REF!</v>
      </c>
      <c r="BH235" t="e">
        <f>装备!#REF!</f>
        <v>#REF!</v>
      </c>
      <c r="BI235" t="e">
        <f>装备!#REF!</f>
        <v>#REF!</v>
      </c>
      <c r="BJ235" t="e">
        <f>装备!#REF!</f>
        <v>#REF!</v>
      </c>
      <c r="BK235" t="e">
        <f>装备!#REF!</f>
        <v>#REF!</v>
      </c>
      <c r="BL235" t="e">
        <f>装备!#REF!</f>
        <v>#REF!</v>
      </c>
      <c r="BM235" t="e">
        <f>装备!#REF!</f>
        <v>#REF!</v>
      </c>
      <c r="BN235" t="e">
        <f>装备!#REF!</f>
        <v>#REF!</v>
      </c>
      <c r="BO235" t="e">
        <f>装备!#REF!</f>
        <v>#REF!</v>
      </c>
      <c r="BP235" t="e">
        <f t="shared" si="47"/>
        <v>#REF!</v>
      </c>
      <c r="BQ235" t="e">
        <f>装备!#REF!</f>
        <v>#REF!</v>
      </c>
      <c r="BR235" t="e">
        <f>装备!#REF!</f>
        <v>#REF!</v>
      </c>
      <c r="BS235" t="e">
        <f>装备!#REF!</f>
        <v>#REF!</v>
      </c>
      <c r="BT235" t="e">
        <f>装备!#REF!</f>
        <v>#REF!</v>
      </c>
      <c r="BU235" t="e">
        <f>装备!#REF!</f>
        <v>#REF!</v>
      </c>
      <c r="BV235" t="e">
        <f>装备!#REF!</f>
        <v>#REF!</v>
      </c>
      <c r="BW235" t="e">
        <f>装备!#REF!</f>
        <v>#REF!</v>
      </c>
      <c r="BX235" t="e">
        <f>装备!#REF!</f>
        <v>#REF!</v>
      </c>
      <c r="BY235" t="e">
        <f>装备!#REF!</f>
        <v>#REF!</v>
      </c>
      <c r="BZ235" t="e">
        <f>装备!#REF!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装备!#REF!</f>
        <v>#REF!</v>
      </c>
      <c r="B236" t="e">
        <f>装备!#REF!</f>
        <v>#REF!</v>
      </c>
      <c r="C236" t="e">
        <f>装备!#REF!</f>
        <v>#REF!</v>
      </c>
      <c r="D236" t="e">
        <f>装备!#REF!</f>
        <v>#REF!</v>
      </c>
      <c r="E236" t="e">
        <f>装备!#REF!</f>
        <v>#REF!</v>
      </c>
      <c r="F236" t="e">
        <f>装备!#REF!</f>
        <v>#REF!</v>
      </c>
      <c r="G236" t="e">
        <f>装备!#REF!</f>
        <v>#REF!</v>
      </c>
      <c r="H236" t="e">
        <f>装备!#REF!</f>
        <v>#REF!</v>
      </c>
      <c r="I236" t="e">
        <f>装备!#REF!</f>
        <v>#REF!</v>
      </c>
      <c r="J236" t="e">
        <f>装备!#REF!</f>
        <v>#REF!</v>
      </c>
      <c r="K236" t="e">
        <f>装备!#REF!</f>
        <v>#REF!</v>
      </c>
      <c r="L236" t="e">
        <f>装备!#REF!</f>
        <v>#REF!</v>
      </c>
      <c r="M236" t="e">
        <f t="shared" si="42"/>
        <v>#REF!</v>
      </c>
      <c r="N236" t="e">
        <f>装备!#REF!</f>
        <v>#REF!</v>
      </c>
      <c r="O236" t="e">
        <f>装备!#REF!</f>
        <v>#REF!</v>
      </c>
      <c r="P236" t="e">
        <f>装备!#REF!</f>
        <v>#REF!</v>
      </c>
      <c r="Q236" t="e">
        <f>装备!#REF!</f>
        <v>#REF!</v>
      </c>
      <c r="R236" t="e">
        <f>装备!#REF!</f>
        <v>#REF!</v>
      </c>
      <c r="S236" t="e">
        <f>装备!#REF!</f>
        <v>#REF!</v>
      </c>
      <c r="T236" t="e">
        <f>装备!#REF!</f>
        <v>#REF!</v>
      </c>
      <c r="U236" t="e">
        <f>装备!#REF!</f>
        <v>#REF!</v>
      </c>
      <c r="V236" t="e">
        <f>装备!#REF!</f>
        <v>#REF!</v>
      </c>
      <c r="W236" t="e">
        <f>装备!#REF!</f>
        <v>#REF!</v>
      </c>
      <c r="X236" t="e">
        <f t="shared" si="43"/>
        <v>#REF!</v>
      </c>
      <c r="Y236" t="e">
        <f>装备!#REF!</f>
        <v>#REF!</v>
      </c>
      <c r="Z236" t="e">
        <f>装备!#REF!</f>
        <v>#REF!</v>
      </c>
      <c r="AA236" t="e">
        <f>装备!#REF!</f>
        <v>#REF!</v>
      </c>
      <c r="AB236" t="e">
        <f>装备!#REF!</f>
        <v>#REF!</v>
      </c>
      <c r="AC236" t="e">
        <f>装备!#REF!</f>
        <v>#REF!</v>
      </c>
      <c r="AD236" t="e">
        <f>装备!#REF!</f>
        <v>#REF!</v>
      </c>
      <c r="AE236" t="e">
        <f>装备!#REF!</f>
        <v>#REF!</v>
      </c>
      <c r="AF236" t="e">
        <f>装备!#REF!</f>
        <v>#REF!</v>
      </c>
      <c r="AG236" t="e">
        <f>装备!#REF!</f>
        <v>#REF!</v>
      </c>
      <c r="AH236" t="e">
        <f>装备!#REF!</f>
        <v>#REF!</v>
      </c>
      <c r="AI236" t="e">
        <f t="shared" si="44"/>
        <v>#REF!</v>
      </c>
      <c r="AJ236" t="e">
        <f>装备!#REF!</f>
        <v>#REF!</v>
      </c>
      <c r="AK236" t="e">
        <f>装备!#REF!</f>
        <v>#REF!</v>
      </c>
      <c r="AL236" t="e">
        <f>装备!#REF!</f>
        <v>#REF!</v>
      </c>
      <c r="AM236" t="e">
        <f>装备!#REF!</f>
        <v>#REF!</v>
      </c>
      <c r="AN236" t="e">
        <f>装备!#REF!</f>
        <v>#REF!</v>
      </c>
      <c r="AO236" t="e">
        <f>装备!#REF!</f>
        <v>#REF!</v>
      </c>
      <c r="AP236" t="e">
        <f>装备!#REF!</f>
        <v>#REF!</v>
      </c>
      <c r="AQ236" t="e">
        <f>装备!#REF!</f>
        <v>#REF!</v>
      </c>
      <c r="AR236" t="e">
        <f>装备!#REF!</f>
        <v>#REF!</v>
      </c>
      <c r="AS236" t="e">
        <f>装备!#REF!</f>
        <v>#REF!</v>
      </c>
      <c r="AT236" t="e">
        <f t="shared" si="45"/>
        <v>#REF!</v>
      </c>
      <c r="AU236" t="e">
        <f>装备!#REF!</f>
        <v>#REF!</v>
      </c>
      <c r="AV236" t="e">
        <f>装备!#REF!</f>
        <v>#REF!</v>
      </c>
      <c r="AW236" t="e">
        <f>装备!#REF!</f>
        <v>#REF!</v>
      </c>
      <c r="AX236" t="e">
        <f>装备!#REF!</f>
        <v>#REF!</v>
      </c>
      <c r="AY236" t="e">
        <f>装备!#REF!</f>
        <v>#REF!</v>
      </c>
      <c r="AZ236" t="e">
        <f>装备!#REF!</f>
        <v>#REF!</v>
      </c>
      <c r="BA236" t="e">
        <f>装备!#REF!</f>
        <v>#REF!</v>
      </c>
      <c r="BB236" t="e">
        <f>装备!#REF!</f>
        <v>#REF!</v>
      </c>
      <c r="BC236" t="e">
        <f>装备!#REF!</f>
        <v>#REF!</v>
      </c>
      <c r="BD236" t="e">
        <f>装备!#REF!</f>
        <v>#REF!</v>
      </c>
      <c r="BE236" t="e">
        <f t="shared" si="46"/>
        <v>#REF!</v>
      </c>
      <c r="BF236" t="e">
        <f>装备!#REF!</f>
        <v>#REF!</v>
      </c>
      <c r="BG236" t="e">
        <f>装备!#REF!</f>
        <v>#REF!</v>
      </c>
      <c r="BH236" t="e">
        <f>装备!#REF!</f>
        <v>#REF!</v>
      </c>
      <c r="BI236" t="e">
        <f>装备!#REF!</f>
        <v>#REF!</v>
      </c>
      <c r="BJ236" t="e">
        <f>装备!#REF!</f>
        <v>#REF!</v>
      </c>
      <c r="BK236" t="e">
        <f>装备!#REF!</f>
        <v>#REF!</v>
      </c>
      <c r="BL236" t="e">
        <f>装备!#REF!</f>
        <v>#REF!</v>
      </c>
      <c r="BM236" t="e">
        <f>装备!#REF!</f>
        <v>#REF!</v>
      </c>
      <c r="BN236" t="e">
        <f>装备!#REF!</f>
        <v>#REF!</v>
      </c>
      <c r="BO236" t="e">
        <f>装备!#REF!</f>
        <v>#REF!</v>
      </c>
      <c r="BP236" t="e">
        <f t="shared" si="47"/>
        <v>#REF!</v>
      </c>
      <c r="BQ236" t="e">
        <f>装备!#REF!</f>
        <v>#REF!</v>
      </c>
      <c r="BR236" t="e">
        <f>装备!#REF!</f>
        <v>#REF!</v>
      </c>
      <c r="BS236" t="e">
        <f>装备!#REF!</f>
        <v>#REF!</v>
      </c>
      <c r="BT236" t="e">
        <f>装备!#REF!</f>
        <v>#REF!</v>
      </c>
      <c r="BU236" t="e">
        <f>装备!#REF!</f>
        <v>#REF!</v>
      </c>
      <c r="BV236" t="e">
        <f>装备!#REF!</f>
        <v>#REF!</v>
      </c>
      <c r="BW236" t="e">
        <f>装备!#REF!</f>
        <v>#REF!</v>
      </c>
      <c r="BX236" t="e">
        <f>装备!#REF!</f>
        <v>#REF!</v>
      </c>
      <c r="BY236" t="e">
        <f>装备!#REF!</f>
        <v>#REF!</v>
      </c>
      <c r="BZ236" t="e">
        <f>装备!#REF!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装备!#REF!</f>
        <v>#REF!</v>
      </c>
      <c r="B237" t="e">
        <f>装备!#REF!</f>
        <v>#REF!</v>
      </c>
      <c r="C237" t="e">
        <f>装备!#REF!</f>
        <v>#REF!</v>
      </c>
      <c r="D237" t="e">
        <f>装备!#REF!</f>
        <v>#REF!</v>
      </c>
      <c r="E237" t="e">
        <f>装备!#REF!</f>
        <v>#REF!</v>
      </c>
      <c r="F237" t="e">
        <f>装备!#REF!</f>
        <v>#REF!</v>
      </c>
      <c r="G237" t="e">
        <f>装备!#REF!</f>
        <v>#REF!</v>
      </c>
      <c r="H237" t="e">
        <f>装备!#REF!</f>
        <v>#REF!</v>
      </c>
      <c r="I237" t="e">
        <f>装备!#REF!</f>
        <v>#REF!</v>
      </c>
      <c r="J237" t="e">
        <f>装备!#REF!</f>
        <v>#REF!</v>
      </c>
      <c r="K237" t="e">
        <f>装备!#REF!</f>
        <v>#REF!</v>
      </c>
      <c r="L237" t="e">
        <f>装备!#REF!</f>
        <v>#REF!</v>
      </c>
      <c r="M237" t="e">
        <f t="shared" si="42"/>
        <v>#REF!</v>
      </c>
      <c r="N237" t="e">
        <f>装备!#REF!</f>
        <v>#REF!</v>
      </c>
      <c r="O237" t="e">
        <f>装备!#REF!</f>
        <v>#REF!</v>
      </c>
      <c r="P237" t="e">
        <f>装备!#REF!</f>
        <v>#REF!</v>
      </c>
      <c r="Q237" t="e">
        <f>装备!#REF!</f>
        <v>#REF!</v>
      </c>
      <c r="R237" t="e">
        <f>装备!#REF!</f>
        <v>#REF!</v>
      </c>
      <c r="S237" t="e">
        <f>装备!#REF!</f>
        <v>#REF!</v>
      </c>
      <c r="T237" t="e">
        <f>装备!#REF!</f>
        <v>#REF!</v>
      </c>
      <c r="U237" t="e">
        <f>装备!#REF!</f>
        <v>#REF!</v>
      </c>
      <c r="V237" t="e">
        <f>装备!#REF!</f>
        <v>#REF!</v>
      </c>
      <c r="W237" t="e">
        <f>装备!#REF!</f>
        <v>#REF!</v>
      </c>
      <c r="X237" t="e">
        <f t="shared" si="43"/>
        <v>#REF!</v>
      </c>
      <c r="Y237" t="e">
        <f>装备!#REF!</f>
        <v>#REF!</v>
      </c>
      <c r="Z237" t="e">
        <f>装备!#REF!</f>
        <v>#REF!</v>
      </c>
      <c r="AA237" t="e">
        <f>装备!#REF!</f>
        <v>#REF!</v>
      </c>
      <c r="AB237" t="e">
        <f>装备!#REF!</f>
        <v>#REF!</v>
      </c>
      <c r="AC237" t="e">
        <f>装备!#REF!</f>
        <v>#REF!</v>
      </c>
      <c r="AD237" t="e">
        <f>装备!#REF!</f>
        <v>#REF!</v>
      </c>
      <c r="AE237" t="e">
        <f>装备!#REF!</f>
        <v>#REF!</v>
      </c>
      <c r="AF237" t="e">
        <f>装备!#REF!</f>
        <v>#REF!</v>
      </c>
      <c r="AG237" t="e">
        <f>装备!#REF!</f>
        <v>#REF!</v>
      </c>
      <c r="AH237" t="e">
        <f>装备!#REF!</f>
        <v>#REF!</v>
      </c>
      <c r="AI237" t="e">
        <f t="shared" si="44"/>
        <v>#REF!</v>
      </c>
      <c r="AJ237" t="e">
        <f>装备!#REF!</f>
        <v>#REF!</v>
      </c>
      <c r="AK237" t="e">
        <f>装备!#REF!</f>
        <v>#REF!</v>
      </c>
      <c r="AL237" t="e">
        <f>装备!#REF!</f>
        <v>#REF!</v>
      </c>
      <c r="AM237" t="e">
        <f>装备!#REF!</f>
        <v>#REF!</v>
      </c>
      <c r="AN237" t="e">
        <f>装备!#REF!</f>
        <v>#REF!</v>
      </c>
      <c r="AO237" t="e">
        <f>装备!#REF!</f>
        <v>#REF!</v>
      </c>
      <c r="AP237" t="e">
        <f>装备!#REF!</f>
        <v>#REF!</v>
      </c>
      <c r="AQ237" t="e">
        <f>装备!#REF!</f>
        <v>#REF!</v>
      </c>
      <c r="AR237" t="e">
        <f>装备!#REF!</f>
        <v>#REF!</v>
      </c>
      <c r="AS237" t="e">
        <f>装备!#REF!</f>
        <v>#REF!</v>
      </c>
      <c r="AT237" t="e">
        <f t="shared" si="45"/>
        <v>#REF!</v>
      </c>
      <c r="AU237" t="e">
        <f>装备!#REF!</f>
        <v>#REF!</v>
      </c>
      <c r="AV237" t="e">
        <f>装备!#REF!</f>
        <v>#REF!</v>
      </c>
      <c r="AW237" t="e">
        <f>装备!#REF!</f>
        <v>#REF!</v>
      </c>
      <c r="AX237" t="e">
        <f>装备!#REF!</f>
        <v>#REF!</v>
      </c>
      <c r="AY237" t="e">
        <f>装备!#REF!</f>
        <v>#REF!</v>
      </c>
      <c r="AZ237" t="e">
        <f>装备!#REF!</f>
        <v>#REF!</v>
      </c>
      <c r="BA237" t="e">
        <f>装备!#REF!</f>
        <v>#REF!</v>
      </c>
      <c r="BB237" t="e">
        <f>装备!#REF!</f>
        <v>#REF!</v>
      </c>
      <c r="BC237" t="e">
        <f>装备!#REF!</f>
        <v>#REF!</v>
      </c>
      <c r="BD237" t="e">
        <f>装备!#REF!</f>
        <v>#REF!</v>
      </c>
      <c r="BE237" t="e">
        <f t="shared" si="46"/>
        <v>#REF!</v>
      </c>
      <c r="BF237" t="e">
        <f>装备!#REF!</f>
        <v>#REF!</v>
      </c>
      <c r="BG237" t="e">
        <f>装备!#REF!</f>
        <v>#REF!</v>
      </c>
      <c r="BH237" t="e">
        <f>装备!#REF!</f>
        <v>#REF!</v>
      </c>
      <c r="BI237" t="e">
        <f>装备!#REF!</f>
        <v>#REF!</v>
      </c>
      <c r="BJ237" t="e">
        <f>装备!#REF!</f>
        <v>#REF!</v>
      </c>
      <c r="BK237" t="e">
        <f>装备!#REF!</f>
        <v>#REF!</v>
      </c>
      <c r="BL237" t="e">
        <f>装备!#REF!</f>
        <v>#REF!</v>
      </c>
      <c r="BM237" t="e">
        <f>装备!#REF!</f>
        <v>#REF!</v>
      </c>
      <c r="BN237" t="e">
        <f>装备!#REF!</f>
        <v>#REF!</v>
      </c>
      <c r="BO237" t="e">
        <f>装备!#REF!</f>
        <v>#REF!</v>
      </c>
      <c r="BP237" t="e">
        <f t="shared" si="47"/>
        <v>#REF!</v>
      </c>
      <c r="BQ237" t="e">
        <f>装备!#REF!</f>
        <v>#REF!</v>
      </c>
      <c r="BR237" t="e">
        <f>装备!#REF!</f>
        <v>#REF!</v>
      </c>
      <c r="BS237" t="e">
        <f>装备!#REF!</f>
        <v>#REF!</v>
      </c>
      <c r="BT237" t="e">
        <f>装备!#REF!</f>
        <v>#REF!</v>
      </c>
      <c r="BU237" t="e">
        <f>装备!#REF!</f>
        <v>#REF!</v>
      </c>
      <c r="BV237" t="e">
        <f>装备!#REF!</f>
        <v>#REF!</v>
      </c>
      <c r="BW237" t="e">
        <f>装备!#REF!</f>
        <v>#REF!</v>
      </c>
      <c r="BX237" t="e">
        <f>装备!#REF!</f>
        <v>#REF!</v>
      </c>
      <c r="BY237" t="e">
        <f>装备!#REF!</f>
        <v>#REF!</v>
      </c>
      <c r="BZ237" t="e">
        <f>装备!#REF!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装备!#REF!</f>
        <v>#REF!</v>
      </c>
      <c r="B238" t="e">
        <f>装备!#REF!</f>
        <v>#REF!</v>
      </c>
      <c r="C238" t="e">
        <f>装备!#REF!</f>
        <v>#REF!</v>
      </c>
      <c r="D238" t="e">
        <f>装备!#REF!</f>
        <v>#REF!</v>
      </c>
      <c r="E238" t="e">
        <f>装备!#REF!</f>
        <v>#REF!</v>
      </c>
      <c r="F238" t="e">
        <f>装备!#REF!</f>
        <v>#REF!</v>
      </c>
      <c r="G238" t="e">
        <f>装备!#REF!</f>
        <v>#REF!</v>
      </c>
      <c r="H238" t="e">
        <f>装备!#REF!</f>
        <v>#REF!</v>
      </c>
      <c r="I238" t="e">
        <f>装备!#REF!</f>
        <v>#REF!</v>
      </c>
      <c r="J238" t="e">
        <f>装备!#REF!</f>
        <v>#REF!</v>
      </c>
      <c r="K238" t="e">
        <f>装备!#REF!</f>
        <v>#REF!</v>
      </c>
      <c r="L238" t="e">
        <f>装备!#REF!</f>
        <v>#REF!</v>
      </c>
      <c r="M238" t="e">
        <f t="shared" si="42"/>
        <v>#REF!</v>
      </c>
      <c r="N238" t="e">
        <f>装备!#REF!</f>
        <v>#REF!</v>
      </c>
      <c r="O238" t="e">
        <f>装备!#REF!</f>
        <v>#REF!</v>
      </c>
      <c r="P238" t="e">
        <f>装备!#REF!</f>
        <v>#REF!</v>
      </c>
      <c r="Q238" t="e">
        <f>装备!#REF!</f>
        <v>#REF!</v>
      </c>
      <c r="R238" t="e">
        <f>装备!#REF!</f>
        <v>#REF!</v>
      </c>
      <c r="S238" t="e">
        <f>装备!#REF!</f>
        <v>#REF!</v>
      </c>
      <c r="T238" t="e">
        <f>装备!#REF!</f>
        <v>#REF!</v>
      </c>
      <c r="U238" t="e">
        <f>装备!#REF!</f>
        <v>#REF!</v>
      </c>
      <c r="V238" t="e">
        <f>装备!#REF!</f>
        <v>#REF!</v>
      </c>
      <c r="W238" t="e">
        <f>装备!#REF!</f>
        <v>#REF!</v>
      </c>
      <c r="X238" t="e">
        <f t="shared" si="43"/>
        <v>#REF!</v>
      </c>
      <c r="Y238" t="e">
        <f>装备!#REF!</f>
        <v>#REF!</v>
      </c>
      <c r="Z238" t="e">
        <f>装备!#REF!</f>
        <v>#REF!</v>
      </c>
      <c r="AA238" t="e">
        <f>装备!#REF!</f>
        <v>#REF!</v>
      </c>
      <c r="AB238" t="e">
        <f>装备!#REF!</f>
        <v>#REF!</v>
      </c>
      <c r="AC238" t="e">
        <f>装备!#REF!</f>
        <v>#REF!</v>
      </c>
      <c r="AD238" t="e">
        <f>装备!#REF!</f>
        <v>#REF!</v>
      </c>
      <c r="AE238" t="e">
        <f>装备!#REF!</f>
        <v>#REF!</v>
      </c>
      <c r="AF238" t="e">
        <f>装备!#REF!</f>
        <v>#REF!</v>
      </c>
      <c r="AG238" t="e">
        <f>装备!#REF!</f>
        <v>#REF!</v>
      </c>
      <c r="AH238" t="e">
        <f>装备!#REF!</f>
        <v>#REF!</v>
      </c>
      <c r="AI238" t="e">
        <f t="shared" si="44"/>
        <v>#REF!</v>
      </c>
      <c r="AJ238" t="e">
        <f>装备!#REF!</f>
        <v>#REF!</v>
      </c>
      <c r="AK238" t="e">
        <f>装备!#REF!</f>
        <v>#REF!</v>
      </c>
      <c r="AL238" t="e">
        <f>装备!#REF!</f>
        <v>#REF!</v>
      </c>
      <c r="AM238" t="e">
        <f>装备!#REF!</f>
        <v>#REF!</v>
      </c>
      <c r="AN238" t="e">
        <f>装备!#REF!</f>
        <v>#REF!</v>
      </c>
      <c r="AO238" t="e">
        <f>装备!#REF!</f>
        <v>#REF!</v>
      </c>
      <c r="AP238" t="e">
        <f>装备!#REF!</f>
        <v>#REF!</v>
      </c>
      <c r="AQ238" t="e">
        <f>装备!#REF!</f>
        <v>#REF!</v>
      </c>
      <c r="AR238" t="e">
        <f>装备!#REF!</f>
        <v>#REF!</v>
      </c>
      <c r="AS238" t="e">
        <f>装备!#REF!</f>
        <v>#REF!</v>
      </c>
      <c r="AT238" t="e">
        <f t="shared" si="45"/>
        <v>#REF!</v>
      </c>
      <c r="AU238" t="e">
        <f>装备!#REF!</f>
        <v>#REF!</v>
      </c>
      <c r="AV238" t="e">
        <f>装备!#REF!</f>
        <v>#REF!</v>
      </c>
      <c r="AW238" t="e">
        <f>装备!#REF!</f>
        <v>#REF!</v>
      </c>
      <c r="AX238" t="e">
        <f>装备!#REF!</f>
        <v>#REF!</v>
      </c>
      <c r="AY238" t="e">
        <f>装备!#REF!</f>
        <v>#REF!</v>
      </c>
      <c r="AZ238" t="e">
        <f>装备!#REF!</f>
        <v>#REF!</v>
      </c>
      <c r="BA238" t="e">
        <f>装备!#REF!</f>
        <v>#REF!</v>
      </c>
      <c r="BB238" t="e">
        <f>装备!#REF!</f>
        <v>#REF!</v>
      </c>
      <c r="BC238" t="e">
        <f>装备!#REF!</f>
        <v>#REF!</v>
      </c>
      <c r="BD238" t="e">
        <f>装备!#REF!</f>
        <v>#REF!</v>
      </c>
      <c r="BE238" t="e">
        <f t="shared" si="46"/>
        <v>#REF!</v>
      </c>
      <c r="BF238" t="e">
        <f>装备!#REF!</f>
        <v>#REF!</v>
      </c>
      <c r="BG238" t="e">
        <f>装备!#REF!</f>
        <v>#REF!</v>
      </c>
      <c r="BH238" t="e">
        <f>装备!#REF!</f>
        <v>#REF!</v>
      </c>
      <c r="BI238" t="e">
        <f>装备!#REF!</f>
        <v>#REF!</v>
      </c>
      <c r="BJ238" t="e">
        <f>装备!#REF!</f>
        <v>#REF!</v>
      </c>
      <c r="BK238" t="e">
        <f>装备!#REF!</f>
        <v>#REF!</v>
      </c>
      <c r="BL238" t="e">
        <f>装备!#REF!</f>
        <v>#REF!</v>
      </c>
      <c r="BM238" t="e">
        <f>装备!#REF!</f>
        <v>#REF!</v>
      </c>
      <c r="BN238" t="e">
        <f>装备!#REF!</f>
        <v>#REF!</v>
      </c>
      <c r="BO238" t="e">
        <f>装备!#REF!</f>
        <v>#REF!</v>
      </c>
      <c r="BP238" t="e">
        <f t="shared" si="47"/>
        <v>#REF!</v>
      </c>
      <c r="BQ238" t="e">
        <f>装备!#REF!</f>
        <v>#REF!</v>
      </c>
      <c r="BR238" t="e">
        <f>装备!#REF!</f>
        <v>#REF!</v>
      </c>
      <c r="BS238" t="e">
        <f>装备!#REF!</f>
        <v>#REF!</v>
      </c>
      <c r="BT238" t="e">
        <f>装备!#REF!</f>
        <v>#REF!</v>
      </c>
      <c r="BU238" t="e">
        <f>装备!#REF!</f>
        <v>#REF!</v>
      </c>
      <c r="BV238" t="e">
        <f>装备!#REF!</f>
        <v>#REF!</v>
      </c>
      <c r="BW238" t="e">
        <f>装备!#REF!</f>
        <v>#REF!</v>
      </c>
      <c r="BX238" t="e">
        <f>装备!#REF!</f>
        <v>#REF!</v>
      </c>
      <c r="BY238" t="e">
        <f>装备!#REF!</f>
        <v>#REF!</v>
      </c>
      <c r="BZ238" t="e">
        <f>装备!#REF!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装备!#REF!</f>
        <v>#REF!</v>
      </c>
      <c r="B239" t="e">
        <f>装备!#REF!</f>
        <v>#REF!</v>
      </c>
      <c r="C239" t="e">
        <f>装备!#REF!</f>
        <v>#REF!</v>
      </c>
      <c r="D239" t="e">
        <f>装备!#REF!</f>
        <v>#REF!</v>
      </c>
      <c r="E239" t="e">
        <f>装备!#REF!</f>
        <v>#REF!</v>
      </c>
      <c r="F239" t="e">
        <f>装备!#REF!</f>
        <v>#REF!</v>
      </c>
      <c r="G239" t="e">
        <f>装备!#REF!</f>
        <v>#REF!</v>
      </c>
      <c r="H239" t="e">
        <f>装备!#REF!</f>
        <v>#REF!</v>
      </c>
      <c r="I239" t="e">
        <f>装备!#REF!</f>
        <v>#REF!</v>
      </c>
      <c r="J239" t="e">
        <f>装备!#REF!</f>
        <v>#REF!</v>
      </c>
      <c r="K239" t="e">
        <f>装备!#REF!</f>
        <v>#REF!</v>
      </c>
      <c r="L239" t="e">
        <f>装备!#REF!</f>
        <v>#REF!</v>
      </c>
      <c r="M239" t="e">
        <f t="shared" si="42"/>
        <v>#REF!</v>
      </c>
      <c r="N239" t="e">
        <f>装备!#REF!</f>
        <v>#REF!</v>
      </c>
      <c r="O239" t="e">
        <f>装备!#REF!</f>
        <v>#REF!</v>
      </c>
      <c r="P239" t="e">
        <f>装备!#REF!</f>
        <v>#REF!</v>
      </c>
      <c r="Q239" t="e">
        <f>装备!#REF!</f>
        <v>#REF!</v>
      </c>
      <c r="R239" t="e">
        <f>装备!#REF!</f>
        <v>#REF!</v>
      </c>
      <c r="S239" t="e">
        <f>装备!#REF!</f>
        <v>#REF!</v>
      </c>
      <c r="T239" t="e">
        <f>装备!#REF!</f>
        <v>#REF!</v>
      </c>
      <c r="U239" t="e">
        <f>装备!#REF!</f>
        <v>#REF!</v>
      </c>
      <c r="V239" t="e">
        <f>装备!#REF!</f>
        <v>#REF!</v>
      </c>
      <c r="W239" t="e">
        <f>装备!#REF!</f>
        <v>#REF!</v>
      </c>
      <c r="X239" t="e">
        <f t="shared" si="43"/>
        <v>#REF!</v>
      </c>
      <c r="Y239" t="e">
        <f>装备!#REF!</f>
        <v>#REF!</v>
      </c>
      <c r="Z239" t="e">
        <f>装备!#REF!</f>
        <v>#REF!</v>
      </c>
      <c r="AA239" t="e">
        <f>装备!#REF!</f>
        <v>#REF!</v>
      </c>
      <c r="AB239" t="e">
        <f>装备!#REF!</f>
        <v>#REF!</v>
      </c>
      <c r="AC239" t="e">
        <f>装备!#REF!</f>
        <v>#REF!</v>
      </c>
      <c r="AD239" t="e">
        <f>装备!#REF!</f>
        <v>#REF!</v>
      </c>
      <c r="AE239" t="e">
        <f>装备!#REF!</f>
        <v>#REF!</v>
      </c>
      <c r="AF239" t="e">
        <f>装备!#REF!</f>
        <v>#REF!</v>
      </c>
      <c r="AG239" t="e">
        <f>装备!#REF!</f>
        <v>#REF!</v>
      </c>
      <c r="AH239" t="e">
        <f>装备!#REF!</f>
        <v>#REF!</v>
      </c>
      <c r="AI239" t="e">
        <f t="shared" si="44"/>
        <v>#REF!</v>
      </c>
      <c r="AJ239" t="e">
        <f>装备!#REF!</f>
        <v>#REF!</v>
      </c>
      <c r="AK239" t="e">
        <f>装备!#REF!</f>
        <v>#REF!</v>
      </c>
      <c r="AL239" t="e">
        <f>装备!#REF!</f>
        <v>#REF!</v>
      </c>
      <c r="AM239" t="e">
        <f>装备!#REF!</f>
        <v>#REF!</v>
      </c>
      <c r="AN239" t="e">
        <f>装备!#REF!</f>
        <v>#REF!</v>
      </c>
      <c r="AO239" t="e">
        <f>装备!#REF!</f>
        <v>#REF!</v>
      </c>
      <c r="AP239" t="e">
        <f>装备!#REF!</f>
        <v>#REF!</v>
      </c>
      <c r="AQ239" t="e">
        <f>装备!#REF!</f>
        <v>#REF!</v>
      </c>
      <c r="AR239" t="e">
        <f>装备!#REF!</f>
        <v>#REF!</v>
      </c>
      <c r="AS239" t="e">
        <f>装备!#REF!</f>
        <v>#REF!</v>
      </c>
      <c r="AT239" t="e">
        <f t="shared" si="45"/>
        <v>#REF!</v>
      </c>
      <c r="AU239" t="e">
        <f>装备!#REF!</f>
        <v>#REF!</v>
      </c>
      <c r="AV239" t="e">
        <f>装备!#REF!</f>
        <v>#REF!</v>
      </c>
      <c r="AW239" t="e">
        <f>装备!#REF!</f>
        <v>#REF!</v>
      </c>
      <c r="AX239" t="e">
        <f>装备!#REF!</f>
        <v>#REF!</v>
      </c>
      <c r="AY239" t="e">
        <f>装备!#REF!</f>
        <v>#REF!</v>
      </c>
      <c r="AZ239" t="e">
        <f>装备!#REF!</f>
        <v>#REF!</v>
      </c>
      <c r="BA239" t="e">
        <f>装备!#REF!</f>
        <v>#REF!</v>
      </c>
      <c r="BB239" t="e">
        <f>装备!#REF!</f>
        <v>#REF!</v>
      </c>
      <c r="BC239" t="e">
        <f>装备!#REF!</f>
        <v>#REF!</v>
      </c>
      <c r="BD239" t="e">
        <f>装备!#REF!</f>
        <v>#REF!</v>
      </c>
      <c r="BE239" t="e">
        <f t="shared" si="46"/>
        <v>#REF!</v>
      </c>
      <c r="BF239" t="e">
        <f>装备!#REF!</f>
        <v>#REF!</v>
      </c>
      <c r="BG239" t="e">
        <f>装备!#REF!</f>
        <v>#REF!</v>
      </c>
      <c r="BH239" t="e">
        <f>装备!#REF!</f>
        <v>#REF!</v>
      </c>
      <c r="BI239" t="e">
        <f>装备!#REF!</f>
        <v>#REF!</v>
      </c>
      <c r="BJ239" t="e">
        <f>装备!#REF!</f>
        <v>#REF!</v>
      </c>
      <c r="BK239" t="e">
        <f>装备!#REF!</f>
        <v>#REF!</v>
      </c>
      <c r="BL239" t="e">
        <f>装备!#REF!</f>
        <v>#REF!</v>
      </c>
      <c r="BM239" t="e">
        <f>装备!#REF!</f>
        <v>#REF!</v>
      </c>
      <c r="BN239" t="e">
        <f>装备!#REF!</f>
        <v>#REF!</v>
      </c>
      <c r="BO239" t="e">
        <f>装备!#REF!</f>
        <v>#REF!</v>
      </c>
      <c r="BP239" t="e">
        <f t="shared" si="47"/>
        <v>#REF!</v>
      </c>
      <c r="BQ239" t="e">
        <f>装备!#REF!</f>
        <v>#REF!</v>
      </c>
      <c r="BR239" t="e">
        <f>装备!#REF!</f>
        <v>#REF!</v>
      </c>
      <c r="BS239" t="e">
        <f>装备!#REF!</f>
        <v>#REF!</v>
      </c>
      <c r="BT239" t="e">
        <f>装备!#REF!</f>
        <v>#REF!</v>
      </c>
      <c r="BU239" t="e">
        <f>装备!#REF!</f>
        <v>#REF!</v>
      </c>
      <c r="BV239" t="e">
        <f>装备!#REF!</f>
        <v>#REF!</v>
      </c>
      <c r="BW239" t="e">
        <f>装备!#REF!</f>
        <v>#REF!</v>
      </c>
      <c r="BX239" t="e">
        <f>装备!#REF!</f>
        <v>#REF!</v>
      </c>
      <c r="BY239" t="e">
        <f>装备!#REF!</f>
        <v>#REF!</v>
      </c>
      <c r="BZ239" t="e">
        <f>装备!#REF!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装备!#REF!</f>
        <v>#REF!</v>
      </c>
      <c r="B240" t="e">
        <f>装备!#REF!</f>
        <v>#REF!</v>
      </c>
      <c r="C240" t="e">
        <f>装备!#REF!</f>
        <v>#REF!</v>
      </c>
      <c r="D240" t="e">
        <f>装备!#REF!</f>
        <v>#REF!</v>
      </c>
      <c r="E240" t="e">
        <f>装备!#REF!</f>
        <v>#REF!</v>
      </c>
      <c r="F240" t="e">
        <f>装备!#REF!</f>
        <v>#REF!</v>
      </c>
      <c r="G240" t="e">
        <f>装备!#REF!</f>
        <v>#REF!</v>
      </c>
      <c r="H240" t="e">
        <f>装备!#REF!</f>
        <v>#REF!</v>
      </c>
      <c r="I240" t="e">
        <f>装备!#REF!</f>
        <v>#REF!</v>
      </c>
      <c r="J240" t="e">
        <f>装备!#REF!</f>
        <v>#REF!</v>
      </c>
      <c r="K240" t="e">
        <f>装备!#REF!</f>
        <v>#REF!</v>
      </c>
      <c r="L240" t="e">
        <f>装备!#REF!</f>
        <v>#REF!</v>
      </c>
      <c r="M240" t="e">
        <f t="shared" si="42"/>
        <v>#REF!</v>
      </c>
      <c r="N240" t="e">
        <f>装备!#REF!</f>
        <v>#REF!</v>
      </c>
      <c r="O240" t="e">
        <f>装备!#REF!</f>
        <v>#REF!</v>
      </c>
      <c r="P240" t="e">
        <f>装备!#REF!</f>
        <v>#REF!</v>
      </c>
      <c r="Q240" t="e">
        <f>装备!#REF!</f>
        <v>#REF!</v>
      </c>
      <c r="R240" t="e">
        <f>装备!#REF!</f>
        <v>#REF!</v>
      </c>
      <c r="S240" t="e">
        <f>装备!#REF!</f>
        <v>#REF!</v>
      </c>
      <c r="T240" t="e">
        <f>装备!#REF!</f>
        <v>#REF!</v>
      </c>
      <c r="U240" t="e">
        <f>装备!#REF!</f>
        <v>#REF!</v>
      </c>
      <c r="V240" t="e">
        <f>装备!#REF!</f>
        <v>#REF!</v>
      </c>
      <c r="W240" t="e">
        <f>装备!#REF!</f>
        <v>#REF!</v>
      </c>
      <c r="X240" t="e">
        <f t="shared" si="43"/>
        <v>#REF!</v>
      </c>
      <c r="Y240" t="e">
        <f>装备!#REF!</f>
        <v>#REF!</v>
      </c>
      <c r="Z240" t="e">
        <f>装备!#REF!</f>
        <v>#REF!</v>
      </c>
      <c r="AA240" t="e">
        <f>装备!#REF!</f>
        <v>#REF!</v>
      </c>
      <c r="AB240" t="e">
        <f>装备!#REF!</f>
        <v>#REF!</v>
      </c>
      <c r="AC240" t="e">
        <f>装备!#REF!</f>
        <v>#REF!</v>
      </c>
      <c r="AD240" t="e">
        <f>装备!#REF!</f>
        <v>#REF!</v>
      </c>
      <c r="AE240" t="e">
        <f>装备!#REF!</f>
        <v>#REF!</v>
      </c>
      <c r="AF240" t="e">
        <f>装备!#REF!</f>
        <v>#REF!</v>
      </c>
      <c r="AG240" t="e">
        <f>装备!#REF!</f>
        <v>#REF!</v>
      </c>
      <c r="AH240" t="e">
        <f>装备!#REF!</f>
        <v>#REF!</v>
      </c>
      <c r="AI240" t="e">
        <f t="shared" si="44"/>
        <v>#REF!</v>
      </c>
      <c r="AJ240" t="e">
        <f>装备!#REF!</f>
        <v>#REF!</v>
      </c>
      <c r="AK240" t="e">
        <f>装备!#REF!</f>
        <v>#REF!</v>
      </c>
      <c r="AL240" t="e">
        <f>装备!#REF!</f>
        <v>#REF!</v>
      </c>
      <c r="AM240" t="e">
        <f>装备!#REF!</f>
        <v>#REF!</v>
      </c>
      <c r="AN240" t="e">
        <f>装备!#REF!</f>
        <v>#REF!</v>
      </c>
      <c r="AO240" t="e">
        <f>装备!#REF!</f>
        <v>#REF!</v>
      </c>
      <c r="AP240" t="e">
        <f>装备!#REF!</f>
        <v>#REF!</v>
      </c>
      <c r="AQ240" t="e">
        <f>装备!#REF!</f>
        <v>#REF!</v>
      </c>
      <c r="AR240" t="e">
        <f>装备!#REF!</f>
        <v>#REF!</v>
      </c>
      <c r="AS240" t="e">
        <f>装备!#REF!</f>
        <v>#REF!</v>
      </c>
      <c r="AT240" t="e">
        <f t="shared" si="45"/>
        <v>#REF!</v>
      </c>
      <c r="AU240" t="e">
        <f>装备!#REF!</f>
        <v>#REF!</v>
      </c>
      <c r="AV240" t="e">
        <f>装备!#REF!</f>
        <v>#REF!</v>
      </c>
      <c r="AW240" t="e">
        <f>装备!#REF!</f>
        <v>#REF!</v>
      </c>
      <c r="AX240" t="e">
        <f>装备!#REF!</f>
        <v>#REF!</v>
      </c>
      <c r="AY240" t="e">
        <f>装备!#REF!</f>
        <v>#REF!</v>
      </c>
      <c r="AZ240" t="e">
        <f>装备!#REF!</f>
        <v>#REF!</v>
      </c>
      <c r="BA240" t="e">
        <f>装备!#REF!</f>
        <v>#REF!</v>
      </c>
      <c r="BB240" t="e">
        <f>装备!#REF!</f>
        <v>#REF!</v>
      </c>
      <c r="BC240" t="e">
        <f>装备!#REF!</f>
        <v>#REF!</v>
      </c>
      <c r="BD240" t="e">
        <f>装备!#REF!</f>
        <v>#REF!</v>
      </c>
      <c r="BE240" t="e">
        <f t="shared" si="46"/>
        <v>#REF!</v>
      </c>
      <c r="BF240" t="e">
        <f>装备!#REF!</f>
        <v>#REF!</v>
      </c>
      <c r="BG240" t="e">
        <f>装备!#REF!</f>
        <v>#REF!</v>
      </c>
      <c r="BH240" t="e">
        <f>装备!#REF!</f>
        <v>#REF!</v>
      </c>
      <c r="BI240" t="e">
        <f>装备!#REF!</f>
        <v>#REF!</v>
      </c>
      <c r="BJ240" t="e">
        <f>装备!#REF!</f>
        <v>#REF!</v>
      </c>
      <c r="BK240" t="e">
        <f>装备!#REF!</f>
        <v>#REF!</v>
      </c>
      <c r="BL240" t="e">
        <f>装备!#REF!</f>
        <v>#REF!</v>
      </c>
      <c r="BM240" t="e">
        <f>装备!#REF!</f>
        <v>#REF!</v>
      </c>
      <c r="BN240" t="e">
        <f>装备!#REF!</f>
        <v>#REF!</v>
      </c>
      <c r="BO240" t="e">
        <f>装备!#REF!</f>
        <v>#REF!</v>
      </c>
      <c r="BP240" t="e">
        <f t="shared" si="47"/>
        <v>#REF!</v>
      </c>
      <c r="BQ240" t="e">
        <f>装备!#REF!</f>
        <v>#REF!</v>
      </c>
      <c r="BR240" t="e">
        <f>装备!#REF!</f>
        <v>#REF!</v>
      </c>
      <c r="BS240" t="e">
        <f>装备!#REF!</f>
        <v>#REF!</v>
      </c>
      <c r="BT240" t="e">
        <f>装备!#REF!</f>
        <v>#REF!</v>
      </c>
      <c r="BU240" t="e">
        <f>装备!#REF!</f>
        <v>#REF!</v>
      </c>
      <c r="BV240" t="e">
        <f>装备!#REF!</f>
        <v>#REF!</v>
      </c>
      <c r="BW240" t="e">
        <f>装备!#REF!</f>
        <v>#REF!</v>
      </c>
      <c r="BX240" t="e">
        <f>装备!#REF!</f>
        <v>#REF!</v>
      </c>
      <c r="BY240" t="e">
        <f>装备!#REF!</f>
        <v>#REF!</v>
      </c>
      <c r="BZ240" t="e">
        <f>装备!#REF!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装备!#REF!</f>
        <v>#REF!</v>
      </c>
      <c r="B241" t="e">
        <f>装备!#REF!</f>
        <v>#REF!</v>
      </c>
      <c r="C241" t="e">
        <f>装备!#REF!</f>
        <v>#REF!</v>
      </c>
      <c r="D241" t="e">
        <f>装备!#REF!</f>
        <v>#REF!</v>
      </c>
      <c r="E241" t="e">
        <f>装备!#REF!</f>
        <v>#REF!</v>
      </c>
      <c r="F241" t="e">
        <f>装备!#REF!</f>
        <v>#REF!</v>
      </c>
      <c r="G241" t="e">
        <f>装备!#REF!</f>
        <v>#REF!</v>
      </c>
      <c r="H241" t="e">
        <f>装备!#REF!</f>
        <v>#REF!</v>
      </c>
      <c r="I241" t="e">
        <f>装备!#REF!</f>
        <v>#REF!</v>
      </c>
      <c r="J241" t="e">
        <f>装备!#REF!</f>
        <v>#REF!</v>
      </c>
      <c r="K241" t="e">
        <f>装备!#REF!</f>
        <v>#REF!</v>
      </c>
      <c r="L241" t="e">
        <f>装备!#REF!</f>
        <v>#REF!</v>
      </c>
      <c r="M241" t="e">
        <f t="shared" si="42"/>
        <v>#REF!</v>
      </c>
      <c r="N241" t="e">
        <f>装备!#REF!</f>
        <v>#REF!</v>
      </c>
      <c r="O241" t="e">
        <f>装备!#REF!</f>
        <v>#REF!</v>
      </c>
      <c r="P241" t="e">
        <f>装备!#REF!</f>
        <v>#REF!</v>
      </c>
      <c r="Q241" t="e">
        <f>装备!#REF!</f>
        <v>#REF!</v>
      </c>
      <c r="R241" t="e">
        <f>装备!#REF!</f>
        <v>#REF!</v>
      </c>
      <c r="S241" t="e">
        <f>装备!#REF!</f>
        <v>#REF!</v>
      </c>
      <c r="T241" t="e">
        <f>装备!#REF!</f>
        <v>#REF!</v>
      </c>
      <c r="U241" t="e">
        <f>装备!#REF!</f>
        <v>#REF!</v>
      </c>
      <c r="V241" t="e">
        <f>装备!#REF!</f>
        <v>#REF!</v>
      </c>
      <c r="W241" t="e">
        <f>装备!#REF!</f>
        <v>#REF!</v>
      </c>
      <c r="X241" t="e">
        <f t="shared" si="43"/>
        <v>#REF!</v>
      </c>
      <c r="Y241" t="e">
        <f>装备!#REF!</f>
        <v>#REF!</v>
      </c>
      <c r="Z241" t="e">
        <f>装备!#REF!</f>
        <v>#REF!</v>
      </c>
      <c r="AA241" t="e">
        <f>装备!#REF!</f>
        <v>#REF!</v>
      </c>
      <c r="AB241" t="e">
        <f>装备!#REF!</f>
        <v>#REF!</v>
      </c>
      <c r="AC241" t="e">
        <f>装备!#REF!</f>
        <v>#REF!</v>
      </c>
      <c r="AD241" t="e">
        <f>装备!#REF!</f>
        <v>#REF!</v>
      </c>
      <c r="AE241" t="e">
        <f>装备!#REF!</f>
        <v>#REF!</v>
      </c>
      <c r="AF241" t="e">
        <f>装备!#REF!</f>
        <v>#REF!</v>
      </c>
      <c r="AG241" t="e">
        <f>装备!#REF!</f>
        <v>#REF!</v>
      </c>
      <c r="AH241" t="e">
        <f>装备!#REF!</f>
        <v>#REF!</v>
      </c>
      <c r="AI241" t="e">
        <f t="shared" si="44"/>
        <v>#REF!</v>
      </c>
      <c r="AJ241" t="e">
        <f>装备!#REF!</f>
        <v>#REF!</v>
      </c>
      <c r="AK241" t="e">
        <f>装备!#REF!</f>
        <v>#REF!</v>
      </c>
      <c r="AL241" t="e">
        <f>装备!#REF!</f>
        <v>#REF!</v>
      </c>
      <c r="AM241" t="e">
        <f>装备!#REF!</f>
        <v>#REF!</v>
      </c>
      <c r="AN241" t="e">
        <f>装备!#REF!</f>
        <v>#REF!</v>
      </c>
      <c r="AO241" t="e">
        <f>装备!#REF!</f>
        <v>#REF!</v>
      </c>
      <c r="AP241" t="e">
        <f>装备!#REF!</f>
        <v>#REF!</v>
      </c>
      <c r="AQ241" t="e">
        <f>装备!#REF!</f>
        <v>#REF!</v>
      </c>
      <c r="AR241" t="e">
        <f>装备!#REF!</f>
        <v>#REF!</v>
      </c>
      <c r="AS241" t="e">
        <f>装备!#REF!</f>
        <v>#REF!</v>
      </c>
      <c r="AT241" t="e">
        <f t="shared" si="45"/>
        <v>#REF!</v>
      </c>
      <c r="AU241" t="e">
        <f>装备!#REF!</f>
        <v>#REF!</v>
      </c>
      <c r="AV241" t="e">
        <f>装备!#REF!</f>
        <v>#REF!</v>
      </c>
      <c r="AW241" t="e">
        <f>装备!#REF!</f>
        <v>#REF!</v>
      </c>
      <c r="AX241" t="e">
        <f>装备!#REF!</f>
        <v>#REF!</v>
      </c>
      <c r="AY241" t="e">
        <f>装备!#REF!</f>
        <v>#REF!</v>
      </c>
      <c r="AZ241" t="e">
        <f>装备!#REF!</f>
        <v>#REF!</v>
      </c>
      <c r="BA241" t="e">
        <f>装备!#REF!</f>
        <v>#REF!</v>
      </c>
      <c r="BB241" t="e">
        <f>装备!#REF!</f>
        <v>#REF!</v>
      </c>
      <c r="BC241" t="e">
        <f>装备!#REF!</f>
        <v>#REF!</v>
      </c>
      <c r="BD241" t="e">
        <f>装备!#REF!</f>
        <v>#REF!</v>
      </c>
      <c r="BE241" t="e">
        <f t="shared" si="46"/>
        <v>#REF!</v>
      </c>
      <c r="BF241" t="e">
        <f>装备!#REF!</f>
        <v>#REF!</v>
      </c>
      <c r="BG241" t="e">
        <f>装备!#REF!</f>
        <v>#REF!</v>
      </c>
      <c r="BH241" t="e">
        <f>装备!#REF!</f>
        <v>#REF!</v>
      </c>
      <c r="BI241" t="e">
        <f>装备!#REF!</f>
        <v>#REF!</v>
      </c>
      <c r="BJ241" t="e">
        <f>装备!#REF!</f>
        <v>#REF!</v>
      </c>
      <c r="BK241" t="e">
        <f>装备!#REF!</f>
        <v>#REF!</v>
      </c>
      <c r="BL241" t="e">
        <f>装备!#REF!</f>
        <v>#REF!</v>
      </c>
      <c r="BM241" t="e">
        <f>装备!#REF!</f>
        <v>#REF!</v>
      </c>
      <c r="BN241" t="e">
        <f>装备!#REF!</f>
        <v>#REF!</v>
      </c>
      <c r="BO241" t="e">
        <f>装备!#REF!</f>
        <v>#REF!</v>
      </c>
      <c r="BP241" t="e">
        <f t="shared" si="47"/>
        <v>#REF!</v>
      </c>
      <c r="BQ241" t="e">
        <f>装备!#REF!</f>
        <v>#REF!</v>
      </c>
      <c r="BR241" t="e">
        <f>装备!#REF!</f>
        <v>#REF!</v>
      </c>
      <c r="BS241" t="e">
        <f>装备!#REF!</f>
        <v>#REF!</v>
      </c>
      <c r="BT241" t="e">
        <f>装备!#REF!</f>
        <v>#REF!</v>
      </c>
      <c r="BU241" t="e">
        <f>装备!#REF!</f>
        <v>#REF!</v>
      </c>
      <c r="BV241" t="e">
        <f>装备!#REF!</f>
        <v>#REF!</v>
      </c>
      <c r="BW241" t="e">
        <f>装备!#REF!</f>
        <v>#REF!</v>
      </c>
      <c r="BX241" t="e">
        <f>装备!#REF!</f>
        <v>#REF!</v>
      </c>
      <c r="BY241" t="e">
        <f>装备!#REF!</f>
        <v>#REF!</v>
      </c>
      <c r="BZ241" t="e">
        <f>装备!#REF!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装备!#REF!</f>
        <v>#REF!</v>
      </c>
      <c r="B242" t="e">
        <f>装备!#REF!</f>
        <v>#REF!</v>
      </c>
      <c r="C242" t="e">
        <f>装备!#REF!</f>
        <v>#REF!</v>
      </c>
      <c r="D242" t="e">
        <f>装备!#REF!</f>
        <v>#REF!</v>
      </c>
      <c r="E242" t="e">
        <f>装备!#REF!</f>
        <v>#REF!</v>
      </c>
      <c r="F242" t="e">
        <f>装备!#REF!</f>
        <v>#REF!</v>
      </c>
      <c r="G242" t="e">
        <f>装备!#REF!</f>
        <v>#REF!</v>
      </c>
      <c r="H242" t="e">
        <f>装备!#REF!</f>
        <v>#REF!</v>
      </c>
      <c r="I242" t="e">
        <f>装备!#REF!</f>
        <v>#REF!</v>
      </c>
      <c r="J242" t="e">
        <f>装备!#REF!</f>
        <v>#REF!</v>
      </c>
      <c r="K242" t="e">
        <f>装备!#REF!</f>
        <v>#REF!</v>
      </c>
      <c r="L242" t="e">
        <f>装备!#REF!</f>
        <v>#REF!</v>
      </c>
      <c r="M242" t="e">
        <f t="shared" si="42"/>
        <v>#REF!</v>
      </c>
      <c r="N242" t="e">
        <f>装备!#REF!</f>
        <v>#REF!</v>
      </c>
      <c r="O242" t="e">
        <f>装备!#REF!</f>
        <v>#REF!</v>
      </c>
      <c r="P242" t="e">
        <f>装备!#REF!</f>
        <v>#REF!</v>
      </c>
      <c r="Q242" t="e">
        <f>装备!#REF!</f>
        <v>#REF!</v>
      </c>
      <c r="R242" t="e">
        <f>装备!#REF!</f>
        <v>#REF!</v>
      </c>
      <c r="S242" t="e">
        <f>装备!#REF!</f>
        <v>#REF!</v>
      </c>
      <c r="T242" t="e">
        <f>装备!#REF!</f>
        <v>#REF!</v>
      </c>
      <c r="U242" t="e">
        <f>装备!#REF!</f>
        <v>#REF!</v>
      </c>
      <c r="V242" t="e">
        <f>装备!#REF!</f>
        <v>#REF!</v>
      </c>
      <c r="W242" t="e">
        <f>装备!#REF!</f>
        <v>#REF!</v>
      </c>
      <c r="X242" t="e">
        <f t="shared" si="43"/>
        <v>#REF!</v>
      </c>
      <c r="Y242" t="e">
        <f>装备!#REF!</f>
        <v>#REF!</v>
      </c>
      <c r="Z242" t="e">
        <f>装备!#REF!</f>
        <v>#REF!</v>
      </c>
      <c r="AA242" t="e">
        <f>装备!#REF!</f>
        <v>#REF!</v>
      </c>
      <c r="AB242" t="e">
        <f>装备!#REF!</f>
        <v>#REF!</v>
      </c>
      <c r="AC242" t="e">
        <f>装备!#REF!</f>
        <v>#REF!</v>
      </c>
      <c r="AD242" t="e">
        <f>装备!#REF!</f>
        <v>#REF!</v>
      </c>
      <c r="AE242" t="e">
        <f>装备!#REF!</f>
        <v>#REF!</v>
      </c>
      <c r="AF242" t="e">
        <f>装备!#REF!</f>
        <v>#REF!</v>
      </c>
      <c r="AG242" t="e">
        <f>装备!#REF!</f>
        <v>#REF!</v>
      </c>
      <c r="AH242" t="e">
        <f>装备!#REF!</f>
        <v>#REF!</v>
      </c>
      <c r="AI242" t="e">
        <f t="shared" si="44"/>
        <v>#REF!</v>
      </c>
      <c r="AJ242" t="e">
        <f>装备!#REF!</f>
        <v>#REF!</v>
      </c>
      <c r="AK242" t="e">
        <f>装备!#REF!</f>
        <v>#REF!</v>
      </c>
      <c r="AL242" t="e">
        <f>装备!#REF!</f>
        <v>#REF!</v>
      </c>
      <c r="AM242" t="e">
        <f>装备!#REF!</f>
        <v>#REF!</v>
      </c>
      <c r="AN242" t="e">
        <f>装备!#REF!</f>
        <v>#REF!</v>
      </c>
      <c r="AO242" t="e">
        <f>装备!#REF!</f>
        <v>#REF!</v>
      </c>
      <c r="AP242" t="e">
        <f>装备!#REF!</f>
        <v>#REF!</v>
      </c>
      <c r="AQ242" t="e">
        <f>装备!#REF!</f>
        <v>#REF!</v>
      </c>
      <c r="AR242" t="e">
        <f>装备!#REF!</f>
        <v>#REF!</v>
      </c>
      <c r="AS242" t="e">
        <f>装备!#REF!</f>
        <v>#REF!</v>
      </c>
      <c r="AT242" t="e">
        <f t="shared" si="45"/>
        <v>#REF!</v>
      </c>
      <c r="AU242" t="e">
        <f>装备!#REF!</f>
        <v>#REF!</v>
      </c>
      <c r="AV242" t="e">
        <f>装备!#REF!</f>
        <v>#REF!</v>
      </c>
      <c r="AW242" t="e">
        <f>装备!#REF!</f>
        <v>#REF!</v>
      </c>
      <c r="AX242" t="e">
        <f>装备!#REF!</f>
        <v>#REF!</v>
      </c>
      <c r="AY242" t="e">
        <f>装备!#REF!</f>
        <v>#REF!</v>
      </c>
      <c r="AZ242" t="e">
        <f>装备!#REF!</f>
        <v>#REF!</v>
      </c>
      <c r="BA242" t="e">
        <f>装备!#REF!</f>
        <v>#REF!</v>
      </c>
      <c r="BB242" t="e">
        <f>装备!#REF!</f>
        <v>#REF!</v>
      </c>
      <c r="BC242" t="e">
        <f>装备!#REF!</f>
        <v>#REF!</v>
      </c>
      <c r="BD242" t="e">
        <f>装备!#REF!</f>
        <v>#REF!</v>
      </c>
      <c r="BE242" t="e">
        <f t="shared" si="46"/>
        <v>#REF!</v>
      </c>
      <c r="BF242" t="e">
        <f>装备!#REF!</f>
        <v>#REF!</v>
      </c>
      <c r="BG242" t="e">
        <f>装备!#REF!</f>
        <v>#REF!</v>
      </c>
      <c r="BH242" t="e">
        <f>装备!#REF!</f>
        <v>#REF!</v>
      </c>
      <c r="BI242" t="e">
        <f>装备!#REF!</f>
        <v>#REF!</v>
      </c>
      <c r="BJ242" t="e">
        <f>装备!#REF!</f>
        <v>#REF!</v>
      </c>
      <c r="BK242" t="e">
        <f>装备!#REF!</f>
        <v>#REF!</v>
      </c>
      <c r="BL242" t="e">
        <f>装备!#REF!</f>
        <v>#REF!</v>
      </c>
      <c r="BM242" t="e">
        <f>装备!#REF!</f>
        <v>#REF!</v>
      </c>
      <c r="BN242" t="e">
        <f>装备!#REF!</f>
        <v>#REF!</v>
      </c>
      <c r="BO242" t="e">
        <f>装备!#REF!</f>
        <v>#REF!</v>
      </c>
      <c r="BP242" t="e">
        <f t="shared" si="47"/>
        <v>#REF!</v>
      </c>
      <c r="BQ242" t="e">
        <f>装备!#REF!</f>
        <v>#REF!</v>
      </c>
      <c r="BR242" t="e">
        <f>装备!#REF!</f>
        <v>#REF!</v>
      </c>
      <c r="BS242" t="e">
        <f>装备!#REF!</f>
        <v>#REF!</v>
      </c>
      <c r="BT242" t="e">
        <f>装备!#REF!</f>
        <v>#REF!</v>
      </c>
      <c r="BU242" t="e">
        <f>装备!#REF!</f>
        <v>#REF!</v>
      </c>
      <c r="BV242" t="e">
        <f>装备!#REF!</f>
        <v>#REF!</v>
      </c>
      <c r="BW242" t="e">
        <f>装备!#REF!</f>
        <v>#REF!</v>
      </c>
      <c r="BX242" t="e">
        <f>装备!#REF!</f>
        <v>#REF!</v>
      </c>
      <c r="BY242" t="e">
        <f>装备!#REF!</f>
        <v>#REF!</v>
      </c>
      <c r="BZ242" t="e">
        <f>装备!#REF!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装备!#REF!</f>
        <v>#REF!</v>
      </c>
      <c r="B243" t="e">
        <f>装备!#REF!</f>
        <v>#REF!</v>
      </c>
      <c r="C243" t="e">
        <f>装备!#REF!</f>
        <v>#REF!</v>
      </c>
      <c r="D243" t="e">
        <f>装备!#REF!</f>
        <v>#REF!</v>
      </c>
      <c r="E243" t="e">
        <f>装备!#REF!</f>
        <v>#REF!</v>
      </c>
      <c r="F243" t="e">
        <f>装备!#REF!</f>
        <v>#REF!</v>
      </c>
      <c r="G243" t="e">
        <f>装备!#REF!</f>
        <v>#REF!</v>
      </c>
      <c r="H243" t="e">
        <f>装备!#REF!</f>
        <v>#REF!</v>
      </c>
      <c r="I243" t="e">
        <f>装备!#REF!</f>
        <v>#REF!</v>
      </c>
      <c r="J243" t="e">
        <f>装备!#REF!</f>
        <v>#REF!</v>
      </c>
      <c r="K243" t="e">
        <f>装备!#REF!</f>
        <v>#REF!</v>
      </c>
      <c r="L243" t="e">
        <f>装备!#REF!</f>
        <v>#REF!</v>
      </c>
      <c r="M243" t="e">
        <f t="shared" si="42"/>
        <v>#REF!</v>
      </c>
      <c r="N243" t="e">
        <f>装备!#REF!</f>
        <v>#REF!</v>
      </c>
      <c r="O243" t="e">
        <f>装备!#REF!</f>
        <v>#REF!</v>
      </c>
      <c r="P243" t="e">
        <f>装备!#REF!</f>
        <v>#REF!</v>
      </c>
      <c r="Q243" t="e">
        <f>装备!#REF!</f>
        <v>#REF!</v>
      </c>
      <c r="R243" t="e">
        <f>装备!#REF!</f>
        <v>#REF!</v>
      </c>
      <c r="S243" t="e">
        <f>装备!#REF!</f>
        <v>#REF!</v>
      </c>
      <c r="T243" t="e">
        <f>装备!#REF!</f>
        <v>#REF!</v>
      </c>
      <c r="U243" t="e">
        <f>装备!#REF!</f>
        <v>#REF!</v>
      </c>
      <c r="V243" t="e">
        <f>装备!#REF!</f>
        <v>#REF!</v>
      </c>
      <c r="W243" t="e">
        <f>装备!#REF!</f>
        <v>#REF!</v>
      </c>
      <c r="X243" t="e">
        <f t="shared" si="43"/>
        <v>#REF!</v>
      </c>
      <c r="Y243" t="e">
        <f>装备!#REF!</f>
        <v>#REF!</v>
      </c>
      <c r="Z243" t="e">
        <f>装备!#REF!</f>
        <v>#REF!</v>
      </c>
      <c r="AA243" t="e">
        <f>装备!#REF!</f>
        <v>#REF!</v>
      </c>
      <c r="AB243" t="e">
        <f>装备!#REF!</f>
        <v>#REF!</v>
      </c>
      <c r="AC243" t="e">
        <f>装备!#REF!</f>
        <v>#REF!</v>
      </c>
      <c r="AD243" t="e">
        <f>装备!#REF!</f>
        <v>#REF!</v>
      </c>
      <c r="AE243" t="e">
        <f>装备!#REF!</f>
        <v>#REF!</v>
      </c>
      <c r="AF243" t="e">
        <f>装备!#REF!</f>
        <v>#REF!</v>
      </c>
      <c r="AG243" t="e">
        <f>装备!#REF!</f>
        <v>#REF!</v>
      </c>
      <c r="AH243" t="e">
        <f>装备!#REF!</f>
        <v>#REF!</v>
      </c>
      <c r="AI243" t="e">
        <f t="shared" si="44"/>
        <v>#REF!</v>
      </c>
      <c r="AJ243" t="e">
        <f>装备!#REF!</f>
        <v>#REF!</v>
      </c>
      <c r="AK243" t="e">
        <f>装备!#REF!</f>
        <v>#REF!</v>
      </c>
      <c r="AL243" t="e">
        <f>装备!#REF!</f>
        <v>#REF!</v>
      </c>
      <c r="AM243" t="e">
        <f>装备!#REF!</f>
        <v>#REF!</v>
      </c>
      <c r="AN243" t="e">
        <f>装备!#REF!</f>
        <v>#REF!</v>
      </c>
      <c r="AO243" t="e">
        <f>装备!#REF!</f>
        <v>#REF!</v>
      </c>
      <c r="AP243" t="e">
        <f>装备!#REF!</f>
        <v>#REF!</v>
      </c>
      <c r="AQ243" t="e">
        <f>装备!#REF!</f>
        <v>#REF!</v>
      </c>
      <c r="AR243" t="e">
        <f>装备!#REF!</f>
        <v>#REF!</v>
      </c>
      <c r="AS243" t="e">
        <f>装备!#REF!</f>
        <v>#REF!</v>
      </c>
      <c r="AT243" t="e">
        <f t="shared" si="45"/>
        <v>#REF!</v>
      </c>
      <c r="AU243" t="e">
        <f>装备!#REF!</f>
        <v>#REF!</v>
      </c>
      <c r="AV243" t="e">
        <f>装备!#REF!</f>
        <v>#REF!</v>
      </c>
      <c r="AW243" t="e">
        <f>装备!#REF!</f>
        <v>#REF!</v>
      </c>
      <c r="AX243" t="e">
        <f>装备!#REF!</f>
        <v>#REF!</v>
      </c>
      <c r="AY243" t="e">
        <f>装备!#REF!</f>
        <v>#REF!</v>
      </c>
      <c r="AZ243" t="e">
        <f>装备!#REF!</f>
        <v>#REF!</v>
      </c>
      <c r="BA243" t="e">
        <f>装备!#REF!</f>
        <v>#REF!</v>
      </c>
      <c r="BB243" t="e">
        <f>装备!#REF!</f>
        <v>#REF!</v>
      </c>
      <c r="BC243" t="e">
        <f>装备!#REF!</f>
        <v>#REF!</v>
      </c>
      <c r="BD243" t="e">
        <f>装备!#REF!</f>
        <v>#REF!</v>
      </c>
      <c r="BE243" t="e">
        <f t="shared" si="46"/>
        <v>#REF!</v>
      </c>
      <c r="BF243" t="e">
        <f>装备!#REF!</f>
        <v>#REF!</v>
      </c>
      <c r="BG243" t="e">
        <f>装备!#REF!</f>
        <v>#REF!</v>
      </c>
      <c r="BH243" t="e">
        <f>装备!#REF!</f>
        <v>#REF!</v>
      </c>
      <c r="BI243" t="e">
        <f>装备!#REF!</f>
        <v>#REF!</v>
      </c>
      <c r="BJ243" t="e">
        <f>装备!#REF!</f>
        <v>#REF!</v>
      </c>
      <c r="BK243" t="e">
        <f>装备!#REF!</f>
        <v>#REF!</v>
      </c>
      <c r="BL243" t="e">
        <f>装备!#REF!</f>
        <v>#REF!</v>
      </c>
      <c r="BM243" t="e">
        <f>装备!#REF!</f>
        <v>#REF!</v>
      </c>
      <c r="BN243" t="e">
        <f>装备!#REF!</f>
        <v>#REF!</v>
      </c>
      <c r="BO243" t="e">
        <f>装备!#REF!</f>
        <v>#REF!</v>
      </c>
      <c r="BP243" t="e">
        <f t="shared" si="47"/>
        <v>#REF!</v>
      </c>
      <c r="BQ243" t="e">
        <f>装备!#REF!</f>
        <v>#REF!</v>
      </c>
      <c r="BR243" t="e">
        <f>装备!#REF!</f>
        <v>#REF!</v>
      </c>
      <c r="BS243" t="e">
        <f>装备!#REF!</f>
        <v>#REF!</v>
      </c>
      <c r="BT243" t="e">
        <f>装备!#REF!</f>
        <v>#REF!</v>
      </c>
      <c r="BU243" t="e">
        <f>装备!#REF!</f>
        <v>#REF!</v>
      </c>
      <c r="BV243" t="e">
        <f>装备!#REF!</f>
        <v>#REF!</v>
      </c>
      <c r="BW243" t="e">
        <f>装备!#REF!</f>
        <v>#REF!</v>
      </c>
      <c r="BX243" t="e">
        <f>装备!#REF!</f>
        <v>#REF!</v>
      </c>
      <c r="BY243" t="e">
        <f>装备!#REF!</f>
        <v>#REF!</v>
      </c>
      <c r="BZ243" t="e">
        <f>装备!#REF!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装备!#REF!</f>
        <v>#REF!</v>
      </c>
      <c r="B244" t="e">
        <f>装备!#REF!</f>
        <v>#REF!</v>
      </c>
      <c r="C244" t="e">
        <f>装备!#REF!</f>
        <v>#REF!</v>
      </c>
      <c r="D244" t="e">
        <f>装备!#REF!</f>
        <v>#REF!</v>
      </c>
      <c r="E244" t="e">
        <f>装备!#REF!</f>
        <v>#REF!</v>
      </c>
      <c r="F244" t="e">
        <f>装备!#REF!</f>
        <v>#REF!</v>
      </c>
      <c r="G244" t="e">
        <f>装备!#REF!</f>
        <v>#REF!</v>
      </c>
      <c r="H244" t="e">
        <f>装备!#REF!</f>
        <v>#REF!</v>
      </c>
      <c r="I244" t="e">
        <f>装备!#REF!</f>
        <v>#REF!</v>
      </c>
      <c r="J244" t="e">
        <f>装备!#REF!</f>
        <v>#REF!</v>
      </c>
      <c r="K244" t="e">
        <f>装备!#REF!</f>
        <v>#REF!</v>
      </c>
      <c r="L244" t="e">
        <f>装备!#REF!</f>
        <v>#REF!</v>
      </c>
      <c r="M244" t="e">
        <f t="shared" si="42"/>
        <v>#REF!</v>
      </c>
      <c r="N244" t="e">
        <f>装备!#REF!</f>
        <v>#REF!</v>
      </c>
      <c r="O244" t="e">
        <f>装备!#REF!</f>
        <v>#REF!</v>
      </c>
      <c r="P244" t="e">
        <f>装备!#REF!</f>
        <v>#REF!</v>
      </c>
      <c r="Q244" t="e">
        <f>装备!#REF!</f>
        <v>#REF!</v>
      </c>
      <c r="R244" t="e">
        <f>装备!#REF!</f>
        <v>#REF!</v>
      </c>
      <c r="S244" t="e">
        <f>装备!#REF!</f>
        <v>#REF!</v>
      </c>
      <c r="T244" t="e">
        <f>装备!#REF!</f>
        <v>#REF!</v>
      </c>
      <c r="U244" t="e">
        <f>装备!#REF!</f>
        <v>#REF!</v>
      </c>
      <c r="V244" t="e">
        <f>装备!#REF!</f>
        <v>#REF!</v>
      </c>
      <c r="W244" t="e">
        <f>装备!#REF!</f>
        <v>#REF!</v>
      </c>
      <c r="X244" t="e">
        <f t="shared" si="43"/>
        <v>#REF!</v>
      </c>
      <c r="Y244" t="e">
        <f>装备!#REF!</f>
        <v>#REF!</v>
      </c>
      <c r="Z244" t="e">
        <f>装备!#REF!</f>
        <v>#REF!</v>
      </c>
      <c r="AA244" t="e">
        <f>装备!#REF!</f>
        <v>#REF!</v>
      </c>
      <c r="AB244" t="e">
        <f>装备!#REF!</f>
        <v>#REF!</v>
      </c>
      <c r="AC244" t="e">
        <f>装备!#REF!</f>
        <v>#REF!</v>
      </c>
      <c r="AD244" t="e">
        <f>装备!#REF!</f>
        <v>#REF!</v>
      </c>
      <c r="AE244" t="e">
        <f>装备!#REF!</f>
        <v>#REF!</v>
      </c>
      <c r="AF244" t="e">
        <f>装备!#REF!</f>
        <v>#REF!</v>
      </c>
      <c r="AG244" t="e">
        <f>装备!#REF!</f>
        <v>#REF!</v>
      </c>
      <c r="AH244" t="e">
        <f>装备!#REF!</f>
        <v>#REF!</v>
      </c>
      <c r="AI244" t="e">
        <f t="shared" si="44"/>
        <v>#REF!</v>
      </c>
      <c r="AJ244" t="e">
        <f>装备!#REF!</f>
        <v>#REF!</v>
      </c>
      <c r="AK244" t="e">
        <f>装备!#REF!</f>
        <v>#REF!</v>
      </c>
      <c r="AL244" t="e">
        <f>装备!#REF!</f>
        <v>#REF!</v>
      </c>
      <c r="AM244" t="e">
        <f>装备!#REF!</f>
        <v>#REF!</v>
      </c>
      <c r="AN244" t="e">
        <f>装备!#REF!</f>
        <v>#REF!</v>
      </c>
      <c r="AO244" t="e">
        <f>装备!#REF!</f>
        <v>#REF!</v>
      </c>
      <c r="AP244" t="e">
        <f>装备!#REF!</f>
        <v>#REF!</v>
      </c>
      <c r="AQ244" t="e">
        <f>装备!#REF!</f>
        <v>#REF!</v>
      </c>
      <c r="AR244" t="e">
        <f>装备!#REF!</f>
        <v>#REF!</v>
      </c>
      <c r="AS244" t="e">
        <f>装备!#REF!</f>
        <v>#REF!</v>
      </c>
      <c r="AT244" t="e">
        <f t="shared" si="45"/>
        <v>#REF!</v>
      </c>
      <c r="AU244" t="e">
        <f>装备!#REF!</f>
        <v>#REF!</v>
      </c>
      <c r="AV244" t="e">
        <f>装备!#REF!</f>
        <v>#REF!</v>
      </c>
      <c r="AW244" t="e">
        <f>装备!#REF!</f>
        <v>#REF!</v>
      </c>
      <c r="AX244" t="e">
        <f>装备!#REF!</f>
        <v>#REF!</v>
      </c>
      <c r="AY244" t="e">
        <f>装备!#REF!</f>
        <v>#REF!</v>
      </c>
      <c r="AZ244" t="e">
        <f>装备!#REF!</f>
        <v>#REF!</v>
      </c>
      <c r="BA244" t="e">
        <f>装备!#REF!</f>
        <v>#REF!</v>
      </c>
      <c r="BB244" t="e">
        <f>装备!#REF!</f>
        <v>#REF!</v>
      </c>
      <c r="BC244" t="e">
        <f>装备!#REF!</f>
        <v>#REF!</v>
      </c>
      <c r="BD244" t="e">
        <f>装备!#REF!</f>
        <v>#REF!</v>
      </c>
      <c r="BE244" t="e">
        <f t="shared" si="46"/>
        <v>#REF!</v>
      </c>
      <c r="BF244" t="e">
        <f>装备!#REF!</f>
        <v>#REF!</v>
      </c>
      <c r="BG244" t="e">
        <f>装备!#REF!</f>
        <v>#REF!</v>
      </c>
      <c r="BH244" t="e">
        <f>装备!#REF!</f>
        <v>#REF!</v>
      </c>
      <c r="BI244" t="e">
        <f>装备!#REF!</f>
        <v>#REF!</v>
      </c>
      <c r="BJ244" t="e">
        <f>装备!#REF!</f>
        <v>#REF!</v>
      </c>
      <c r="BK244" t="e">
        <f>装备!#REF!</f>
        <v>#REF!</v>
      </c>
      <c r="BL244" t="e">
        <f>装备!#REF!</f>
        <v>#REF!</v>
      </c>
      <c r="BM244" t="e">
        <f>装备!#REF!</f>
        <v>#REF!</v>
      </c>
      <c r="BN244" t="e">
        <f>装备!#REF!</f>
        <v>#REF!</v>
      </c>
      <c r="BO244" t="e">
        <f>装备!#REF!</f>
        <v>#REF!</v>
      </c>
      <c r="BP244" t="e">
        <f t="shared" si="47"/>
        <v>#REF!</v>
      </c>
      <c r="BQ244" t="e">
        <f>装备!#REF!</f>
        <v>#REF!</v>
      </c>
      <c r="BR244" t="e">
        <f>装备!#REF!</f>
        <v>#REF!</v>
      </c>
      <c r="BS244" t="e">
        <f>装备!#REF!</f>
        <v>#REF!</v>
      </c>
      <c r="BT244" t="e">
        <f>装备!#REF!</f>
        <v>#REF!</v>
      </c>
      <c r="BU244" t="e">
        <f>装备!#REF!</f>
        <v>#REF!</v>
      </c>
      <c r="BV244" t="e">
        <f>装备!#REF!</f>
        <v>#REF!</v>
      </c>
      <c r="BW244" t="e">
        <f>装备!#REF!</f>
        <v>#REF!</v>
      </c>
      <c r="BX244" t="e">
        <f>装备!#REF!</f>
        <v>#REF!</v>
      </c>
      <c r="BY244" t="e">
        <f>装备!#REF!</f>
        <v>#REF!</v>
      </c>
      <c r="BZ244" t="e">
        <f>装备!#REF!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装备!#REF!</f>
        <v>#REF!</v>
      </c>
      <c r="B245" t="e">
        <f>装备!#REF!</f>
        <v>#REF!</v>
      </c>
      <c r="C245" t="e">
        <f>装备!#REF!</f>
        <v>#REF!</v>
      </c>
      <c r="D245" t="e">
        <f>装备!#REF!</f>
        <v>#REF!</v>
      </c>
      <c r="E245" t="e">
        <f>装备!#REF!</f>
        <v>#REF!</v>
      </c>
      <c r="F245" t="e">
        <f>装备!#REF!</f>
        <v>#REF!</v>
      </c>
      <c r="G245" t="e">
        <f>装备!#REF!</f>
        <v>#REF!</v>
      </c>
      <c r="H245" t="e">
        <f>装备!#REF!</f>
        <v>#REF!</v>
      </c>
      <c r="I245" t="e">
        <f>装备!#REF!</f>
        <v>#REF!</v>
      </c>
      <c r="J245" t="e">
        <f>装备!#REF!</f>
        <v>#REF!</v>
      </c>
      <c r="K245" t="e">
        <f>装备!#REF!</f>
        <v>#REF!</v>
      </c>
      <c r="L245" t="e">
        <f>装备!#REF!</f>
        <v>#REF!</v>
      </c>
      <c r="M245" t="e">
        <f t="shared" si="42"/>
        <v>#REF!</v>
      </c>
      <c r="N245" t="e">
        <f>装备!#REF!</f>
        <v>#REF!</v>
      </c>
      <c r="O245" t="e">
        <f>装备!#REF!</f>
        <v>#REF!</v>
      </c>
      <c r="P245" t="e">
        <f>装备!#REF!</f>
        <v>#REF!</v>
      </c>
      <c r="Q245" t="e">
        <f>装备!#REF!</f>
        <v>#REF!</v>
      </c>
      <c r="R245" t="e">
        <f>装备!#REF!</f>
        <v>#REF!</v>
      </c>
      <c r="S245" t="e">
        <f>装备!#REF!</f>
        <v>#REF!</v>
      </c>
      <c r="T245" t="e">
        <f>装备!#REF!</f>
        <v>#REF!</v>
      </c>
      <c r="U245" t="e">
        <f>装备!#REF!</f>
        <v>#REF!</v>
      </c>
      <c r="V245" t="e">
        <f>装备!#REF!</f>
        <v>#REF!</v>
      </c>
      <c r="W245" t="e">
        <f>装备!#REF!</f>
        <v>#REF!</v>
      </c>
      <c r="X245" t="e">
        <f t="shared" si="43"/>
        <v>#REF!</v>
      </c>
      <c r="Y245" t="e">
        <f>装备!#REF!</f>
        <v>#REF!</v>
      </c>
      <c r="Z245" t="e">
        <f>装备!#REF!</f>
        <v>#REF!</v>
      </c>
      <c r="AA245" t="e">
        <f>装备!#REF!</f>
        <v>#REF!</v>
      </c>
      <c r="AB245" t="e">
        <f>装备!#REF!</f>
        <v>#REF!</v>
      </c>
      <c r="AC245" t="e">
        <f>装备!#REF!</f>
        <v>#REF!</v>
      </c>
      <c r="AD245" t="e">
        <f>装备!#REF!</f>
        <v>#REF!</v>
      </c>
      <c r="AE245" t="e">
        <f>装备!#REF!</f>
        <v>#REF!</v>
      </c>
      <c r="AF245" t="e">
        <f>装备!#REF!</f>
        <v>#REF!</v>
      </c>
      <c r="AG245" t="e">
        <f>装备!#REF!</f>
        <v>#REF!</v>
      </c>
      <c r="AH245" t="e">
        <f>装备!#REF!</f>
        <v>#REF!</v>
      </c>
      <c r="AI245" t="e">
        <f t="shared" si="44"/>
        <v>#REF!</v>
      </c>
      <c r="AJ245" t="e">
        <f>装备!#REF!</f>
        <v>#REF!</v>
      </c>
      <c r="AK245" t="e">
        <f>装备!#REF!</f>
        <v>#REF!</v>
      </c>
      <c r="AL245" t="e">
        <f>装备!#REF!</f>
        <v>#REF!</v>
      </c>
      <c r="AM245" t="e">
        <f>装备!#REF!</f>
        <v>#REF!</v>
      </c>
      <c r="AN245" t="e">
        <f>装备!#REF!</f>
        <v>#REF!</v>
      </c>
      <c r="AO245" t="e">
        <f>装备!#REF!</f>
        <v>#REF!</v>
      </c>
      <c r="AP245" t="e">
        <f>装备!#REF!</f>
        <v>#REF!</v>
      </c>
      <c r="AQ245" t="e">
        <f>装备!#REF!</f>
        <v>#REF!</v>
      </c>
      <c r="AR245" t="e">
        <f>装备!#REF!</f>
        <v>#REF!</v>
      </c>
      <c r="AS245" t="e">
        <f>装备!#REF!</f>
        <v>#REF!</v>
      </c>
      <c r="AT245" t="e">
        <f t="shared" si="45"/>
        <v>#REF!</v>
      </c>
      <c r="AU245" t="e">
        <f>装备!#REF!</f>
        <v>#REF!</v>
      </c>
      <c r="AV245" t="e">
        <f>装备!#REF!</f>
        <v>#REF!</v>
      </c>
      <c r="AW245" t="e">
        <f>装备!#REF!</f>
        <v>#REF!</v>
      </c>
      <c r="AX245" t="e">
        <f>装备!#REF!</f>
        <v>#REF!</v>
      </c>
      <c r="AY245" t="e">
        <f>装备!#REF!</f>
        <v>#REF!</v>
      </c>
      <c r="AZ245" t="e">
        <f>装备!#REF!</f>
        <v>#REF!</v>
      </c>
      <c r="BA245" t="e">
        <f>装备!#REF!</f>
        <v>#REF!</v>
      </c>
      <c r="BB245" t="e">
        <f>装备!#REF!</f>
        <v>#REF!</v>
      </c>
      <c r="BC245" t="e">
        <f>装备!#REF!</f>
        <v>#REF!</v>
      </c>
      <c r="BD245" t="e">
        <f>装备!#REF!</f>
        <v>#REF!</v>
      </c>
      <c r="BE245" t="e">
        <f t="shared" si="46"/>
        <v>#REF!</v>
      </c>
      <c r="BF245" t="e">
        <f>装备!#REF!</f>
        <v>#REF!</v>
      </c>
      <c r="BG245" t="e">
        <f>装备!#REF!</f>
        <v>#REF!</v>
      </c>
      <c r="BH245" t="e">
        <f>装备!#REF!</f>
        <v>#REF!</v>
      </c>
      <c r="BI245" t="e">
        <f>装备!#REF!</f>
        <v>#REF!</v>
      </c>
      <c r="BJ245" t="e">
        <f>装备!#REF!</f>
        <v>#REF!</v>
      </c>
      <c r="BK245" t="e">
        <f>装备!#REF!</f>
        <v>#REF!</v>
      </c>
      <c r="BL245" t="e">
        <f>装备!#REF!</f>
        <v>#REF!</v>
      </c>
      <c r="BM245" t="e">
        <f>装备!#REF!</f>
        <v>#REF!</v>
      </c>
      <c r="BN245" t="e">
        <f>装备!#REF!</f>
        <v>#REF!</v>
      </c>
      <c r="BO245" t="e">
        <f>装备!#REF!</f>
        <v>#REF!</v>
      </c>
      <c r="BP245" t="e">
        <f t="shared" si="47"/>
        <v>#REF!</v>
      </c>
      <c r="BQ245" t="e">
        <f>装备!#REF!</f>
        <v>#REF!</v>
      </c>
      <c r="BR245" t="e">
        <f>装备!#REF!</f>
        <v>#REF!</v>
      </c>
      <c r="BS245" t="e">
        <f>装备!#REF!</f>
        <v>#REF!</v>
      </c>
      <c r="BT245" t="e">
        <f>装备!#REF!</f>
        <v>#REF!</v>
      </c>
      <c r="BU245" t="e">
        <f>装备!#REF!</f>
        <v>#REF!</v>
      </c>
      <c r="BV245" t="e">
        <f>装备!#REF!</f>
        <v>#REF!</v>
      </c>
      <c r="BW245" t="e">
        <f>装备!#REF!</f>
        <v>#REF!</v>
      </c>
      <c r="BX245" t="e">
        <f>装备!#REF!</f>
        <v>#REF!</v>
      </c>
      <c r="BY245" t="e">
        <f>装备!#REF!</f>
        <v>#REF!</v>
      </c>
      <c r="BZ245" t="e">
        <f>装备!#REF!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装备!#REF!</f>
        <v>#REF!</v>
      </c>
      <c r="B246" t="e">
        <f>装备!#REF!</f>
        <v>#REF!</v>
      </c>
      <c r="C246" t="e">
        <f>装备!#REF!</f>
        <v>#REF!</v>
      </c>
      <c r="D246" t="e">
        <f>装备!#REF!</f>
        <v>#REF!</v>
      </c>
      <c r="E246" t="e">
        <f>装备!#REF!</f>
        <v>#REF!</v>
      </c>
      <c r="F246" t="e">
        <f>装备!#REF!</f>
        <v>#REF!</v>
      </c>
      <c r="G246" t="e">
        <f>装备!#REF!</f>
        <v>#REF!</v>
      </c>
      <c r="H246" t="e">
        <f>装备!#REF!</f>
        <v>#REF!</v>
      </c>
      <c r="I246" t="e">
        <f>装备!#REF!</f>
        <v>#REF!</v>
      </c>
      <c r="J246" t="e">
        <f>装备!#REF!</f>
        <v>#REF!</v>
      </c>
      <c r="K246" t="e">
        <f>装备!#REF!</f>
        <v>#REF!</v>
      </c>
      <c r="L246" t="e">
        <f>装备!#REF!</f>
        <v>#REF!</v>
      </c>
      <c r="M246" t="e">
        <f t="shared" si="42"/>
        <v>#REF!</v>
      </c>
      <c r="N246" t="e">
        <f>装备!#REF!</f>
        <v>#REF!</v>
      </c>
      <c r="O246" t="e">
        <f>装备!#REF!</f>
        <v>#REF!</v>
      </c>
      <c r="P246" t="e">
        <f>装备!#REF!</f>
        <v>#REF!</v>
      </c>
      <c r="Q246" t="e">
        <f>装备!#REF!</f>
        <v>#REF!</v>
      </c>
      <c r="R246" t="e">
        <f>装备!#REF!</f>
        <v>#REF!</v>
      </c>
      <c r="S246" t="e">
        <f>装备!#REF!</f>
        <v>#REF!</v>
      </c>
      <c r="T246" t="e">
        <f>装备!#REF!</f>
        <v>#REF!</v>
      </c>
      <c r="U246" t="e">
        <f>装备!#REF!</f>
        <v>#REF!</v>
      </c>
      <c r="V246" t="e">
        <f>装备!#REF!</f>
        <v>#REF!</v>
      </c>
      <c r="W246" t="e">
        <f>装备!#REF!</f>
        <v>#REF!</v>
      </c>
      <c r="X246" t="e">
        <f t="shared" si="43"/>
        <v>#REF!</v>
      </c>
      <c r="Y246" t="e">
        <f>装备!#REF!</f>
        <v>#REF!</v>
      </c>
      <c r="Z246" t="e">
        <f>装备!#REF!</f>
        <v>#REF!</v>
      </c>
      <c r="AA246" t="e">
        <f>装备!#REF!</f>
        <v>#REF!</v>
      </c>
      <c r="AB246" t="e">
        <f>装备!#REF!</f>
        <v>#REF!</v>
      </c>
      <c r="AC246" t="e">
        <f>装备!#REF!</f>
        <v>#REF!</v>
      </c>
      <c r="AD246" t="e">
        <f>装备!#REF!</f>
        <v>#REF!</v>
      </c>
      <c r="AE246" t="e">
        <f>装备!#REF!</f>
        <v>#REF!</v>
      </c>
      <c r="AF246" t="e">
        <f>装备!#REF!</f>
        <v>#REF!</v>
      </c>
      <c r="AG246" t="e">
        <f>装备!#REF!</f>
        <v>#REF!</v>
      </c>
      <c r="AH246" t="e">
        <f>装备!#REF!</f>
        <v>#REF!</v>
      </c>
      <c r="AI246" t="e">
        <f t="shared" si="44"/>
        <v>#REF!</v>
      </c>
      <c r="AJ246" t="e">
        <f>装备!#REF!</f>
        <v>#REF!</v>
      </c>
      <c r="AK246" t="e">
        <f>装备!#REF!</f>
        <v>#REF!</v>
      </c>
      <c r="AL246" t="e">
        <f>装备!#REF!</f>
        <v>#REF!</v>
      </c>
      <c r="AM246" t="e">
        <f>装备!#REF!</f>
        <v>#REF!</v>
      </c>
      <c r="AN246" t="e">
        <f>装备!#REF!</f>
        <v>#REF!</v>
      </c>
      <c r="AO246" t="e">
        <f>装备!#REF!</f>
        <v>#REF!</v>
      </c>
      <c r="AP246" t="e">
        <f>装备!#REF!</f>
        <v>#REF!</v>
      </c>
      <c r="AQ246" t="e">
        <f>装备!#REF!</f>
        <v>#REF!</v>
      </c>
      <c r="AR246" t="e">
        <f>装备!#REF!</f>
        <v>#REF!</v>
      </c>
      <c r="AS246" t="e">
        <f>装备!#REF!</f>
        <v>#REF!</v>
      </c>
      <c r="AT246" t="e">
        <f t="shared" si="45"/>
        <v>#REF!</v>
      </c>
      <c r="AU246" t="e">
        <f>装备!#REF!</f>
        <v>#REF!</v>
      </c>
      <c r="AV246" t="e">
        <f>装备!#REF!</f>
        <v>#REF!</v>
      </c>
      <c r="AW246" t="e">
        <f>装备!#REF!</f>
        <v>#REF!</v>
      </c>
      <c r="AX246" t="e">
        <f>装备!#REF!</f>
        <v>#REF!</v>
      </c>
      <c r="AY246" t="e">
        <f>装备!#REF!</f>
        <v>#REF!</v>
      </c>
      <c r="AZ246" t="e">
        <f>装备!#REF!</f>
        <v>#REF!</v>
      </c>
      <c r="BA246" t="e">
        <f>装备!#REF!</f>
        <v>#REF!</v>
      </c>
      <c r="BB246" t="e">
        <f>装备!#REF!</f>
        <v>#REF!</v>
      </c>
      <c r="BC246" t="e">
        <f>装备!#REF!</f>
        <v>#REF!</v>
      </c>
      <c r="BD246" t="e">
        <f>装备!#REF!</f>
        <v>#REF!</v>
      </c>
      <c r="BE246" t="e">
        <f t="shared" si="46"/>
        <v>#REF!</v>
      </c>
      <c r="BF246" t="e">
        <f>装备!#REF!</f>
        <v>#REF!</v>
      </c>
      <c r="BG246" t="e">
        <f>装备!#REF!</f>
        <v>#REF!</v>
      </c>
      <c r="BH246" t="e">
        <f>装备!#REF!</f>
        <v>#REF!</v>
      </c>
      <c r="BI246" t="e">
        <f>装备!#REF!</f>
        <v>#REF!</v>
      </c>
      <c r="BJ246" t="e">
        <f>装备!#REF!</f>
        <v>#REF!</v>
      </c>
      <c r="BK246" t="e">
        <f>装备!#REF!</f>
        <v>#REF!</v>
      </c>
      <c r="BL246" t="e">
        <f>装备!#REF!</f>
        <v>#REF!</v>
      </c>
      <c r="BM246" t="e">
        <f>装备!#REF!</f>
        <v>#REF!</v>
      </c>
      <c r="BN246" t="e">
        <f>装备!#REF!</f>
        <v>#REF!</v>
      </c>
      <c r="BO246" t="e">
        <f>装备!#REF!</f>
        <v>#REF!</v>
      </c>
      <c r="BP246" t="e">
        <f t="shared" si="47"/>
        <v>#REF!</v>
      </c>
      <c r="BQ246" t="e">
        <f>装备!#REF!</f>
        <v>#REF!</v>
      </c>
      <c r="BR246" t="e">
        <f>装备!#REF!</f>
        <v>#REF!</v>
      </c>
      <c r="BS246" t="e">
        <f>装备!#REF!</f>
        <v>#REF!</v>
      </c>
      <c r="BT246" t="e">
        <f>装备!#REF!</f>
        <v>#REF!</v>
      </c>
      <c r="BU246" t="e">
        <f>装备!#REF!</f>
        <v>#REF!</v>
      </c>
      <c r="BV246" t="e">
        <f>装备!#REF!</f>
        <v>#REF!</v>
      </c>
      <c r="BW246" t="e">
        <f>装备!#REF!</f>
        <v>#REF!</v>
      </c>
      <c r="BX246" t="e">
        <f>装备!#REF!</f>
        <v>#REF!</v>
      </c>
      <c r="BY246" t="e">
        <f>装备!#REF!</f>
        <v>#REF!</v>
      </c>
      <c r="BZ246" t="e">
        <f>装备!#REF!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装备!#REF!</f>
        <v>#REF!</v>
      </c>
      <c r="B247" t="e">
        <f>装备!#REF!</f>
        <v>#REF!</v>
      </c>
      <c r="C247" t="e">
        <f>装备!#REF!</f>
        <v>#REF!</v>
      </c>
      <c r="D247" t="e">
        <f>装备!#REF!</f>
        <v>#REF!</v>
      </c>
      <c r="E247" t="e">
        <f>装备!#REF!</f>
        <v>#REF!</v>
      </c>
      <c r="F247" t="e">
        <f>装备!#REF!</f>
        <v>#REF!</v>
      </c>
      <c r="G247" t="e">
        <f>装备!#REF!</f>
        <v>#REF!</v>
      </c>
      <c r="H247" t="e">
        <f>装备!#REF!</f>
        <v>#REF!</v>
      </c>
      <c r="I247" t="e">
        <f>装备!#REF!</f>
        <v>#REF!</v>
      </c>
      <c r="J247" t="e">
        <f>装备!#REF!</f>
        <v>#REF!</v>
      </c>
      <c r="K247" t="e">
        <f>装备!#REF!</f>
        <v>#REF!</v>
      </c>
      <c r="L247" t="e">
        <f>装备!#REF!</f>
        <v>#REF!</v>
      </c>
      <c r="M247" t="e">
        <f t="shared" si="42"/>
        <v>#REF!</v>
      </c>
      <c r="N247" t="e">
        <f>装备!#REF!</f>
        <v>#REF!</v>
      </c>
      <c r="O247" t="e">
        <f>装备!#REF!</f>
        <v>#REF!</v>
      </c>
      <c r="P247" t="e">
        <f>装备!#REF!</f>
        <v>#REF!</v>
      </c>
      <c r="Q247" t="e">
        <f>装备!#REF!</f>
        <v>#REF!</v>
      </c>
      <c r="R247" t="e">
        <f>装备!#REF!</f>
        <v>#REF!</v>
      </c>
      <c r="S247" t="e">
        <f>装备!#REF!</f>
        <v>#REF!</v>
      </c>
      <c r="T247" t="e">
        <f>装备!#REF!</f>
        <v>#REF!</v>
      </c>
      <c r="U247" t="e">
        <f>装备!#REF!</f>
        <v>#REF!</v>
      </c>
      <c r="V247" t="e">
        <f>装备!#REF!</f>
        <v>#REF!</v>
      </c>
      <c r="W247" t="e">
        <f>装备!#REF!</f>
        <v>#REF!</v>
      </c>
      <c r="X247" t="e">
        <f t="shared" si="43"/>
        <v>#REF!</v>
      </c>
      <c r="Y247" t="e">
        <f>装备!#REF!</f>
        <v>#REF!</v>
      </c>
      <c r="Z247" t="e">
        <f>装备!#REF!</f>
        <v>#REF!</v>
      </c>
      <c r="AA247" t="e">
        <f>装备!#REF!</f>
        <v>#REF!</v>
      </c>
      <c r="AB247" t="e">
        <f>装备!#REF!</f>
        <v>#REF!</v>
      </c>
      <c r="AC247" t="e">
        <f>装备!#REF!</f>
        <v>#REF!</v>
      </c>
      <c r="AD247" t="e">
        <f>装备!#REF!</f>
        <v>#REF!</v>
      </c>
      <c r="AE247" t="e">
        <f>装备!#REF!</f>
        <v>#REF!</v>
      </c>
      <c r="AF247" t="e">
        <f>装备!#REF!</f>
        <v>#REF!</v>
      </c>
      <c r="AG247" t="e">
        <f>装备!#REF!</f>
        <v>#REF!</v>
      </c>
      <c r="AH247" t="e">
        <f>装备!#REF!</f>
        <v>#REF!</v>
      </c>
      <c r="AI247" t="e">
        <f t="shared" si="44"/>
        <v>#REF!</v>
      </c>
      <c r="AJ247" t="e">
        <f>装备!#REF!</f>
        <v>#REF!</v>
      </c>
      <c r="AK247" t="e">
        <f>装备!#REF!</f>
        <v>#REF!</v>
      </c>
      <c r="AL247" t="e">
        <f>装备!#REF!</f>
        <v>#REF!</v>
      </c>
      <c r="AM247" t="e">
        <f>装备!#REF!</f>
        <v>#REF!</v>
      </c>
      <c r="AN247" t="e">
        <f>装备!#REF!</f>
        <v>#REF!</v>
      </c>
      <c r="AO247" t="e">
        <f>装备!#REF!</f>
        <v>#REF!</v>
      </c>
      <c r="AP247" t="e">
        <f>装备!#REF!</f>
        <v>#REF!</v>
      </c>
      <c r="AQ247" t="e">
        <f>装备!#REF!</f>
        <v>#REF!</v>
      </c>
      <c r="AR247" t="e">
        <f>装备!#REF!</f>
        <v>#REF!</v>
      </c>
      <c r="AS247" t="e">
        <f>装备!#REF!</f>
        <v>#REF!</v>
      </c>
      <c r="AT247" t="e">
        <f t="shared" si="45"/>
        <v>#REF!</v>
      </c>
      <c r="AU247" t="e">
        <f>装备!#REF!</f>
        <v>#REF!</v>
      </c>
      <c r="AV247" t="e">
        <f>装备!#REF!</f>
        <v>#REF!</v>
      </c>
      <c r="AW247" t="e">
        <f>装备!#REF!</f>
        <v>#REF!</v>
      </c>
      <c r="AX247" t="e">
        <f>装备!#REF!</f>
        <v>#REF!</v>
      </c>
      <c r="AY247" t="e">
        <f>装备!#REF!</f>
        <v>#REF!</v>
      </c>
      <c r="AZ247" t="e">
        <f>装备!#REF!</f>
        <v>#REF!</v>
      </c>
      <c r="BA247" t="e">
        <f>装备!#REF!</f>
        <v>#REF!</v>
      </c>
      <c r="BB247" t="e">
        <f>装备!#REF!</f>
        <v>#REF!</v>
      </c>
      <c r="BC247" t="e">
        <f>装备!#REF!</f>
        <v>#REF!</v>
      </c>
      <c r="BD247" t="e">
        <f>装备!#REF!</f>
        <v>#REF!</v>
      </c>
      <c r="BE247" t="e">
        <f t="shared" si="46"/>
        <v>#REF!</v>
      </c>
      <c r="BF247" t="e">
        <f>装备!#REF!</f>
        <v>#REF!</v>
      </c>
      <c r="BG247" t="e">
        <f>装备!#REF!</f>
        <v>#REF!</v>
      </c>
      <c r="BH247" t="e">
        <f>装备!#REF!</f>
        <v>#REF!</v>
      </c>
      <c r="BI247" t="e">
        <f>装备!#REF!</f>
        <v>#REF!</v>
      </c>
      <c r="BJ247" t="e">
        <f>装备!#REF!</f>
        <v>#REF!</v>
      </c>
      <c r="BK247" t="e">
        <f>装备!#REF!</f>
        <v>#REF!</v>
      </c>
      <c r="BL247" t="e">
        <f>装备!#REF!</f>
        <v>#REF!</v>
      </c>
      <c r="BM247" t="e">
        <f>装备!#REF!</f>
        <v>#REF!</v>
      </c>
      <c r="BN247" t="e">
        <f>装备!#REF!</f>
        <v>#REF!</v>
      </c>
      <c r="BO247" t="e">
        <f>装备!#REF!</f>
        <v>#REF!</v>
      </c>
      <c r="BP247" t="e">
        <f t="shared" si="47"/>
        <v>#REF!</v>
      </c>
      <c r="BQ247" t="e">
        <f>装备!#REF!</f>
        <v>#REF!</v>
      </c>
      <c r="BR247" t="e">
        <f>装备!#REF!</f>
        <v>#REF!</v>
      </c>
      <c r="BS247" t="e">
        <f>装备!#REF!</f>
        <v>#REF!</v>
      </c>
      <c r="BT247" t="e">
        <f>装备!#REF!</f>
        <v>#REF!</v>
      </c>
      <c r="BU247" t="e">
        <f>装备!#REF!</f>
        <v>#REF!</v>
      </c>
      <c r="BV247" t="e">
        <f>装备!#REF!</f>
        <v>#REF!</v>
      </c>
      <c r="BW247" t="e">
        <f>装备!#REF!</f>
        <v>#REF!</v>
      </c>
      <c r="BX247" t="e">
        <f>装备!#REF!</f>
        <v>#REF!</v>
      </c>
      <c r="BY247" t="e">
        <f>装备!#REF!</f>
        <v>#REF!</v>
      </c>
      <c r="BZ247" t="e">
        <f>装备!#REF!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装备!#REF!</f>
        <v>#REF!</v>
      </c>
      <c r="B248" t="e">
        <f>装备!#REF!</f>
        <v>#REF!</v>
      </c>
      <c r="C248" t="e">
        <f>装备!#REF!</f>
        <v>#REF!</v>
      </c>
      <c r="D248" t="e">
        <f>装备!#REF!</f>
        <v>#REF!</v>
      </c>
      <c r="E248" t="e">
        <f>装备!#REF!</f>
        <v>#REF!</v>
      </c>
      <c r="F248" t="e">
        <f>装备!#REF!</f>
        <v>#REF!</v>
      </c>
      <c r="G248" t="e">
        <f>装备!#REF!</f>
        <v>#REF!</v>
      </c>
      <c r="H248" t="e">
        <f>装备!#REF!</f>
        <v>#REF!</v>
      </c>
      <c r="I248" t="e">
        <f>装备!#REF!</f>
        <v>#REF!</v>
      </c>
      <c r="J248" t="e">
        <f>装备!#REF!</f>
        <v>#REF!</v>
      </c>
      <c r="K248" t="e">
        <f>装备!#REF!</f>
        <v>#REF!</v>
      </c>
      <c r="L248" t="e">
        <f>装备!#REF!</f>
        <v>#REF!</v>
      </c>
      <c r="M248" t="e">
        <f t="shared" si="42"/>
        <v>#REF!</v>
      </c>
      <c r="N248" t="e">
        <f>装备!#REF!</f>
        <v>#REF!</v>
      </c>
      <c r="O248" t="e">
        <f>装备!#REF!</f>
        <v>#REF!</v>
      </c>
      <c r="P248" t="e">
        <f>装备!#REF!</f>
        <v>#REF!</v>
      </c>
      <c r="Q248" t="e">
        <f>装备!#REF!</f>
        <v>#REF!</v>
      </c>
      <c r="R248" t="e">
        <f>装备!#REF!</f>
        <v>#REF!</v>
      </c>
      <c r="S248" t="e">
        <f>装备!#REF!</f>
        <v>#REF!</v>
      </c>
      <c r="T248" t="e">
        <f>装备!#REF!</f>
        <v>#REF!</v>
      </c>
      <c r="U248" t="e">
        <f>装备!#REF!</f>
        <v>#REF!</v>
      </c>
      <c r="V248" t="e">
        <f>装备!#REF!</f>
        <v>#REF!</v>
      </c>
      <c r="W248" t="e">
        <f>装备!#REF!</f>
        <v>#REF!</v>
      </c>
      <c r="X248" t="e">
        <f t="shared" si="43"/>
        <v>#REF!</v>
      </c>
      <c r="Y248" t="e">
        <f>装备!#REF!</f>
        <v>#REF!</v>
      </c>
      <c r="Z248" t="e">
        <f>装备!#REF!</f>
        <v>#REF!</v>
      </c>
      <c r="AA248" t="e">
        <f>装备!#REF!</f>
        <v>#REF!</v>
      </c>
      <c r="AB248" t="e">
        <f>装备!#REF!</f>
        <v>#REF!</v>
      </c>
      <c r="AC248" t="e">
        <f>装备!#REF!</f>
        <v>#REF!</v>
      </c>
      <c r="AD248" t="e">
        <f>装备!#REF!</f>
        <v>#REF!</v>
      </c>
      <c r="AE248" t="e">
        <f>装备!#REF!</f>
        <v>#REF!</v>
      </c>
      <c r="AF248" t="e">
        <f>装备!#REF!</f>
        <v>#REF!</v>
      </c>
      <c r="AG248" t="e">
        <f>装备!#REF!</f>
        <v>#REF!</v>
      </c>
      <c r="AH248" t="e">
        <f>装备!#REF!</f>
        <v>#REF!</v>
      </c>
      <c r="AI248" t="e">
        <f t="shared" si="44"/>
        <v>#REF!</v>
      </c>
      <c r="AJ248" t="e">
        <f>装备!#REF!</f>
        <v>#REF!</v>
      </c>
      <c r="AK248" t="e">
        <f>装备!#REF!</f>
        <v>#REF!</v>
      </c>
      <c r="AL248" t="e">
        <f>装备!#REF!</f>
        <v>#REF!</v>
      </c>
      <c r="AM248" t="e">
        <f>装备!#REF!</f>
        <v>#REF!</v>
      </c>
      <c r="AN248" t="e">
        <f>装备!#REF!</f>
        <v>#REF!</v>
      </c>
      <c r="AO248" t="e">
        <f>装备!#REF!</f>
        <v>#REF!</v>
      </c>
      <c r="AP248" t="e">
        <f>装备!#REF!</f>
        <v>#REF!</v>
      </c>
      <c r="AQ248" t="e">
        <f>装备!#REF!</f>
        <v>#REF!</v>
      </c>
      <c r="AR248" t="e">
        <f>装备!#REF!</f>
        <v>#REF!</v>
      </c>
      <c r="AS248" t="e">
        <f>装备!#REF!</f>
        <v>#REF!</v>
      </c>
      <c r="AT248" t="e">
        <f t="shared" si="45"/>
        <v>#REF!</v>
      </c>
      <c r="AU248" t="e">
        <f>装备!#REF!</f>
        <v>#REF!</v>
      </c>
      <c r="AV248" t="e">
        <f>装备!#REF!</f>
        <v>#REF!</v>
      </c>
      <c r="AW248" t="e">
        <f>装备!#REF!</f>
        <v>#REF!</v>
      </c>
      <c r="AX248" t="e">
        <f>装备!#REF!</f>
        <v>#REF!</v>
      </c>
      <c r="AY248" t="e">
        <f>装备!#REF!</f>
        <v>#REF!</v>
      </c>
      <c r="AZ248" t="e">
        <f>装备!#REF!</f>
        <v>#REF!</v>
      </c>
      <c r="BA248" t="e">
        <f>装备!#REF!</f>
        <v>#REF!</v>
      </c>
      <c r="BB248" t="e">
        <f>装备!#REF!</f>
        <v>#REF!</v>
      </c>
      <c r="BC248" t="e">
        <f>装备!#REF!</f>
        <v>#REF!</v>
      </c>
      <c r="BD248" t="e">
        <f>装备!#REF!</f>
        <v>#REF!</v>
      </c>
      <c r="BE248" t="e">
        <f t="shared" si="46"/>
        <v>#REF!</v>
      </c>
      <c r="BF248" t="e">
        <f>装备!#REF!</f>
        <v>#REF!</v>
      </c>
      <c r="BG248" t="e">
        <f>装备!#REF!</f>
        <v>#REF!</v>
      </c>
      <c r="BH248" t="e">
        <f>装备!#REF!</f>
        <v>#REF!</v>
      </c>
      <c r="BI248" t="e">
        <f>装备!#REF!</f>
        <v>#REF!</v>
      </c>
      <c r="BJ248" t="e">
        <f>装备!#REF!</f>
        <v>#REF!</v>
      </c>
      <c r="BK248" t="e">
        <f>装备!#REF!</f>
        <v>#REF!</v>
      </c>
      <c r="BL248" t="e">
        <f>装备!#REF!</f>
        <v>#REF!</v>
      </c>
      <c r="BM248" t="e">
        <f>装备!#REF!</f>
        <v>#REF!</v>
      </c>
      <c r="BN248" t="e">
        <f>装备!#REF!</f>
        <v>#REF!</v>
      </c>
      <c r="BO248" t="e">
        <f>装备!#REF!</f>
        <v>#REF!</v>
      </c>
      <c r="BP248" t="e">
        <f t="shared" si="47"/>
        <v>#REF!</v>
      </c>
      <c r="BQ248" t="e">
        <f>装备!#REF!</f>
        <v>#REF!</v>
      </c>
      <c r="BR248" t="e">
        <f>装备!#REF!</f>
        <v>#REF!</v>
      </c>
      <c r="BS248" t="e">
        <f>装备!#REF!</f>
        <v>#REF!</v>
      </c>
      <c r="BT248" t="e">
        <f>装备!#REF!</f>
        <v>#REF!</v>
      </c>
      <c r="BU248" t="e">
        <f>装备!#REF!</f>
        <v>#REF!</v>
      </c>
      <c r="BV248" t="e">
        <f>装备!#REF!</f>
        <v>#REF!</v>
      </c>
      <c r="BW248" t="e">
        <f>装备!#REF!</f>
        <v>#REF!</v>
      </c>
      <c r="BX248" t="e">
        <f>装备!#REF!</f>
        <v>#REF!</v>
      </c>
      <c r="BY248" t="e">
        <f>装备!#REF!</f>
        <v>#REF!</v>
      </c>
      <c r="BZ248" t="e">
        <f>装备!#REF!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装备!#REF!</f>
        <v>#REF!</v>
      </c>
      <c r="B249" t="e">
        <f>装备!#REF!</f>
        <v>#REF!</v>
      </c>
      <c r="C249" t="e">
        <f>装备!#REF!</f>
        <v>#REF!</v>
      </c>
      <c r="D249" t="e">
        <f>装备!#REF!</f>
        <v>#REF!</v>
      </c>
      <c r="E249" t="e">
        <f>装备!#REF!</f>
        <v>#REF!</v>
      </c>
      <c r="F249" t="e">
        <f>装备!#REF!</f>
        <v>#REF!</v>
      </c>
      <c r="G249" t="e">
        <f>装备!#REF!</f>
        <v>#REF!</v>
      </c>
      <c r="H249" t="e">
        <f>装备!#REF!</f>
        <v>#REF!</v>
      </c>
      <c r="I249" t="e">
        <f>装备!#REF!</f>
        <v>#REF!</v>
      </c>
      <c r="J249" t="e">
        <f>装备!#REF!</f>
        <v>#REF!</v>
      </c>
      <c r="K249" t="e">
        <f>装备!#REF!</f>
        <v>#REF!</v>
      </c>
      <c r="L249" t="e">
        <f>装备!#REF!</f>
        <v>#REF!</v>
      </c>
      <c r="M249" t="e">
        <f t="shared" si="42"/>
        <v>#REF!</v>
      </c>
      <c r="N249" t="e">
        <f>装备!#REF!</f>
        <v>#REF!</v>
      </c>
      <c r="O249" t="e">
        <f>装备!#REF!</f>
        <v>#REF!</v>
      </c>
      <c r="P249" t="e">
        <f>装备!#REF!</f>
        <v>#REF!</v>
      </c>
      <c r="Q249" t="e">
        <f>装备!#REF!</f>
        <v>#REF!</v>
      </c>
      <c r="R249" t="e">
        <f>装备!#REF!</f>
        <v>#REF!</v>
      </c>
      <c r="S249" t="e">
        <f>装备!#REF!</f>
        <v>#REF!</v>
      </c>
      <c r="T249" t="e">
        <f>装备!#REF!</f>
        <v>#REF!</v>
      </c>
      <c r="U249" t="e">
        <f>装备!#REF!</f>
        <v>#REF!</v>
      </c>
      <c r="V249" t="e">
        <f>装备!#REF!</f>
        <v>#REF!</v>
      </c>
      <c r="W249" t="e">
        <f>装备!#REF!</f>
        <v>#REF!</v>
      </c>
      <c r="X249" t="e">
        <f t="shared" si="43"/>
        <v>#REF!</v>
      </c>
      <c r="Y249" t="e">
        <f>装备!#REF!</f>
        <v>#REF!</v>
      </c>
      <c r="Z249" t="e">
        <f>装备!#REF!</f>
        <v>#REF!</v>
      </c>
      <c r="AA249" t="e">
        <f>装备!#REF!</f>
        <v>#REF!</v>
      </c>
      <c r="AB249" t="e">
        <f>装备!#REF!</f>
        <v>#REF!</v>
      </c>
      <c r="AC249" t="e">
        <f>装备!#REF!</f>
        <v>#REF!</v>
      </c>
      <c r="AD249" t="e">
        <f>装备!#REF!</f>
        <v>#REF!</v>
      </c>
      <c r="AE249" t="e">
        <f>装备!#REF!</f>
        <v>#REF!</v>
      </c>
      <c r="AF249" t="e">
        <f>装备!#REF!</f>
        <v>#REF!</v>
      </c>
      <c r="AG249" t="e">
        <f>装备!#REF!</f>
        <v>#REF!</v>
      </c>
      <c r="AH249" t="e">
        <f>装备!#REF!</f>
        <v>#REF!</v>
      </c>
      <c r="AI249" t="e">
        <f t="shared" si="44"/>
        <v>#REF!</v>
      </c>
      <c r="AJ249" t="e">
        <f>装备!#REF!</f>
        <v>#REF!</v>
      </c>
      <c r="AK249" t="e">
        <f>装备!#REF!</f>
        <v>#REF!</v>
      </c>
      <c r="AL249" t="e">
        <f>装备!#REF!</f>
        <v>#REF!</v>
      </c>
      <c r="AM249" t="e">
        <f>装备!#REF!</f>
        <v>#REF!</v>
      </c>
      <c r="AN249" t="e">
        <f>装备!#REF!</f>
        <v>#REF!</v>
      </c>
      <c r="AO249" t="e">
        <f>装备!#REF!</f>
        <v>#REF!</v>
      </c>
      <c r="AP249" t="e">
        <f>装备!#REF!</f>
        <v>#REF!</v>
      </c>
      <c r="AQ249" t="e">
        <f>装备!#REF!</f>
        <v>#REF!</v>
      </c>
      <c r="AR249" t="e">
        <f>装备!#REF!</f>
        <v>#REF!</v>
      </c>
      <c r="AS249" t="e">
        <f>装备!#REF!</f>
        <v>#REF!</v>
      </c>
      <c r="AT249" t="e">
        <f t="shared" si="45"/>
        <v>#REF!</v>
      </c>
      <c r="AU249" t="e">
        <f>装备!#REF!</f>
        <v>#REF!</v>
      </c>
      <c r="AV249" t="e">
        <f>装备!#REF!</f>
        <v>#REF!</v>
      </c>
      <c r="AW249" t="e">
        <f>装备!#REF!</f>
        <v>#REF!</v>
      </c>
      <c r="AX249" t="e">
        <f>装备!#REF!</f>
        <v>#REF!</v>
      </c>
      <c r="AY249" t="e">
        <f>装备!#REF!</f>
        <v>#REF!</v>
      </c>
      <c r="AZ249" t="e">
        <f>装备!#REF!</f>
        <v>#REF!</v>
      </c>
      <c r="BA249" t="e">
        <f>装备!#REF!</f>
        <v>#REF!</v>
      </c>
      <c r="BB249" t="e">
        <f>装备!#REF!</f>
        <v>#REF!</v>
      </c>
      <c r="BC249" t="e">
        <f>装备!#REF!</f>
        <v>#REF!</v>
      </c>
      <c r="BD249" t="e">
        <f>装备!#REF!</f>
        <v>#REF!</v>
      </c>
      <c r="BE249" t="e">
        <f t="shared" si="46"/>
        <v>#REF!</v>
      </c>
      <c r="BF249" t="e">
        <f>装备!#REF!</f>
        <v>#REF!</v>
      </c>
      <c r="BG249" t="e">
        <f>装备!#REF!</f>
        <v>#REF!</v>
      </c>
      <c r="BH249" t="e">
        <f>装备!#REF!</f>
        <v>#REF!</v>
      </c>
      <c r="BI249" t="e">
        <f>装备!#REF!</f>
        <v>#REF!</v>
      </c>
      <c r="BJ249" t="e">
        <f>装备!#REF!</f>
        <v>#REF!</v>
      </c>
      <c r="BK249" t="e">
        <f>装备!#REF!</f>
        <v>#REF!</v>
      </c>
      <c r="BL249" t="e">
        <f>装备!#REF!</f>
        <v>#REF!</v>
      </c>
      <c r="BM249" t="e">
        <f>装备!#REF!</f>
        <v>#REF!</v>
      </c>
      <c r="BN249" t="e">
        <f>装备!#REF!</f>
        <v>#REF!</v>
      </c>
      <c r="BO249" t="e">
        <f>装备!#REF!</f>
        <v>#REF!</v>
      </c>
      <c r="BP249" t="e">
        <f t="shared" si="47"/>
        <v>#REF!</v>
      </c>
      <c r="BQ249" t="e">
        <f>装备!#REF!</f>
        <v>#REF!</v>
      </c>
      <c r="BR249" t="e">
        <f>装备!#REF!</f>
        <v>#REF!</v>
      </c>
      <c r="BS249" t="e">
        <f>装备!#REF!</f>
        <v>#REF!</v>
      </c>
      <c r="BT249" t="e">
        <f>装备!#REF!</f>
        <v>#REF!</v>
      </c>
      <c r="BU249" t="e">
        <f>装备!#REF!</f>
        <v>#REF!</v>
      </c>
      <c r="BV249" t="e">
        <f>装备!#REF!</f>
        <v>#REF!</v>
      </c>
      <c r="BW249" t="e">
        <f>装备!#REF!</f>
        <v>#REF!</v>
      </c>
      <c r="BX249" t="e">
        <f>装备!#REF!</f>
        <v>#REF!</v>
      </c>
      <c r="BY249" t="e">
        <f>装备!#REF!</f>
        <v>#REF!</v>
      </c>
      <c r="BZ249" t="e">
        <f>装备!#REF!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装备!#REF!</f>
        <v>#REF!</v>
      </c>
      <c r="B250" t="e">
        <f>装备!#REF!</f>
        <v>#REF!</v>
      </c>
      <c r="C250" t="e">
        <f>装备!#REF!</f>
        <v>#REF!</v>
      </c>
      <c r="D250" t="e">
        <f>装备!#REF!</f>
        <v>#REF!</v>
      </c>
      <c r="E250" t="e">
        <f>装备!#REF!</f>
        <v>#REF!</v>
      </c>
      <c r="F250" t="e">
        <f>装备!#REF!</f>
        <v>#REF!</v>
      </c>
      <c r="G250" t="e">
        <f>装备!#REF!</f>
        <v>#REF!</v>
      </c>
      <c r="H250" t="e">
        <f>装备!#REF!</f>
        <v>#REF!</v>
      </c>
      <c r="I250" t="e">
        <f>装备!#REF!</f>
        <v>#REF!</v>
      </c>
      <c r="J250" t="e">
        <f>装备!#REF!</f>
        <v>#REF!</v>
      </c>
      <c r="K250" t="e">
        <f>装备!#REF!</f>
        <v>#REF!</v>
      </c>
      <c r="L250" t="e">
        <f>装备!#REF!</f>
        <v>#REF!</v>
      </c>
      <c r="M250" t="e">
        <f t="shared" si="42"/>
        <v>#REF!</v>
      </c>
      <c r="N250" t="e">
        <f>装备!#REF!</f>
        <v>#REF!</v>
      </c>
      <c r="O250" t="e">
        <f>装备!#REF!</f>
        <v>#REF!</v>
      </c>
      <c r="P250" t="e">
        <f>装备!#REF!</f>
        <v>#REF!</v>
      </c>
      <c r="Q250" t="e">
        <f>装备!#REF!</f>
        <v>#REF!</v>
      </c>
      <c r="R250" t="e">
        <f>装备!#REF!</f>
        <v>#REF!</v>
      </c>
      <c r="S250" t="e">
        <f>装备!#REF!</f>
        <v>#REF!</v>
      </c>
      <c r="T250" t="e">
        <f>装备!#REF!</f>
        <v>#REF!</v>
      </c>
      <c r="U250" t="e">
        <f>装备!#REF!</f>
        <v>#REF!</v>
      </c>
      <c r="V250" t="e">
        <f>装备!#REF!</f>
        <v>#REF!</v>
      </c>
      <c r="W250" t="e">
        <f>装备!#REF!</f>
        <v>#REF!</v>
      </c>
      <c r="X250" t="e">
        <f t="shared" si="43"/>
        <v>#REF!</v>
      </c>
      <c r="Y250" t="e">
        <f>装备!#REF!</f>
        <v>#REF!</v>
      </c>
      <c r="Z250" t="e">
        <f>装备!#REF!</f>
        <v>#REF!</v>
      </c>
      <c r="AA250" t="e">
        <f>装备!#REF!</f>
        <v>#REF!</v>
      </c>
      <c r="AB250" t="e">
        <f>装备!#REF!</f>
        <v>#REF!</v>
      </c>
      <c r="AC250" t="e">
        <f>装备!#REF!</f>
        <v>#REF!</v>
      </c>
      <c r="AD250" t="e">
        <f>装备!#REF!</f>
        <v>#REF!</v>
      </c>
      <c r="AE250" t="e">
        <f>装备!#REF!</f>
        <v>#REF!</v>
      </c>
      <c r="AF250" t="e">
        <f>装备!#REF!</f>
        <v>#REF!</v>
      </c>
      <c r="AG250" t="e">
        <f>装备!#REF!</f>
        <v>#REF!</v>
      </c>
      <c r="AH250" t="e">
        <f>装备!#REF!</f>
        <v>#REF!</v>
      </c>
      <c r="AI250" t="e">
        <f t="shared" si="44"/>
        <v>#REF!</v>
      </c>
      <c r="AJ250" t="e">
        <f>装备!#REF!</f>
        <v>#REF!</v>
      </c>
      <c r="AK250" t="e">
        <f>装备!#REF!</f>
        <v>#REF!</v>
      </c>
      <c r="AL250" t="e">
        <f>装备!#REF!</f>
        <v>#REF!</v>
      </c>
      <c r="AM250" t="e">
        <f>装备!#REF!</f>
        <v>#REF!</v>
      </c>
      <c r="AN250" t="e">
        <f>装备!#REF!</f>
        <v>#REF!</v>
      </c>
      <c r="AO250" t="e">
        <f>装备!#REF!</f>
        <v>#REF!</v>
      </c>
      <c r="AP250" t="e">
        <f>装备!#REF!</f>
        <v>#REF!</v>
      </c>
      <c r="AQ250" t="e">
        <f>装备!#REF!</f>
        <v>#REF!</v>
      </c>
      <c r="AR250" t="e">
        <f>装备!#REF!</f>
        <v>#REF!</v>
      </c>
      <c r="AS250" t="e">
        <f>装备!#REF!</f>
        <v>#REF!</v>
      </c>
      <c r="AT250" t="e">
        <f t="shared" si="45"/>
        <v>#REF!</v>
      </c>
      <c r="AU250" t="e">
        <f>装备!#REF!</f>
        <v>#REF!</v>
      </c>
      <c r="AV250" t="e">
        <f>装备!#REF!</f>
        <v>#REF!</v>
      </c>
      <c r="AW250" t="e">
        <f>装备!#REF!</f>
        <v>#REF!</v>
      </c>
      <c r="AX250" t="e">
        <f>装备!#REF!</f>
        <v>#REF!</v>
      </c>
      <c r="AY250" t="e">
        <f>装备!#REF!</f>
        <v>#REF!</v>
      </c>
      <c r="AZ250" t="e">
        <f>装备!#REF!</f>
        <v>#REF!</v>
      </c>
      <c r="BA250" t="e">
        <f>装备!#REF!</f>
        <v>#REF!</v>
      </c>
      <c r="BB250" t="e">
        <f>装备!#REF!</f>
        <v>#REF!</v>
      </c>
      <c r="BC250" t="e">
        <f>装备!#REF!</f>
        <v>#REF!</v>
      </c>
      <c r="BD250" t="e">
        <f>装备!#REF!</f>
        <v>#REF!</v>
      </c>
      <c r="BE250" t="e">
        <f t="shared" si="46"/>
        <v>#REF!</v>
      </c>
      <c r="BF250" t="e">
        <f>装备!#REF!</f>
        <v>#REF!</v>
      </c>
      <c r="BG250" t="e">
        <f>装备!#REF!</f>
        <v>#REF!</v>
      </c>
      <c r="BH250" t="e">
        <f>装备!#REF!</f>
        <v>#REF!</v>
      </c>
      <c r="BI250" t="e">
        <f>装备!#REF!</f>
        <v>#REF!</v>
      </c>
      <c r="BJ250" t="e">
        <f>装备!#REF!</f>
        <v>#REF!</v>
      </c>
      <c r="BK250" t="e">
        <f>装备!#REF!</f>
        <v>#REF!</v>
      </c>
      <c r="BL250" t="e">
        <f>装备!#REF!</f>
        <v>#REF!</v>
      </c>
      <c r="BM250" t="e">
        <f>装备!#REF!</f>
        <v>#REF!</v>
      </c>
      <c r="BN250" t="e">
        <f>装备!#REF!</f>
        <v>#REF!</v>
      </c>
      <c r="BO250" t="e">
        <f>装备!#REF!</f>
        <v>#REF!</v>
      </c>
      <c r="BP250" t="e">
        <f t="shared" si="47"/>
        <v>#REF!</v>
      </c>
      <c r="BQ250" t="e">
        <f>装备!#REF!</f>
        <v>#REF!</v>
      </c>
      <c r="BR250" t="e">
        <f>装备!#REF!</f>
        <v>#REF!</v>
      </c>
      <c r="BS250" t="e">
        <f>装备!#REF!</f>
        <v>#REF!</v>
      </c>
      <c r="BT250" t="e">
        <f>装备!#REF!</f>
        <v>#REF!</v>
      </c>
      <c r="BU250" t="e">
        <f>装备!#REF!</f>
        <v>#REF!</v>
      </c>
      <c r="BV250" t="e">
        <f>装备!#REF!</f>
        <v>#REF!</v>
      </c>
      <c r="BW250" t="e">
        <f>装备!#REF!</f>
        <v>#REF!</v>
      </c>
      <c r="BX250" t="e">
        <f>装备!#REF!</f>
        <v>#REF!</v>
      </c>
      <c r="BY250" t="e">
        <f>装备!#REF!</f>
        <v>#REF!</v>
      </c>
      <c r="BZ250" t="e">
        <f>装备!#REF!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装备!#REF!</f>
        <v>#REF!</v>
      </c>
      <c r="B251" t="e">
        <f>装备!#REF!</f>
        <v>#REF!</v>
      </c>
      <c r="C251" t="e">
        <f>装备!#REF!</f>
        <v>#REF!</v>
      </c>
      <c r="D251" t="e">
        <f>装备!#REF!</f>
        <v>#REF!</v>
      </c>
      <c r="E251" t="e">
        <f>装备!#REF!</f>
        <v>#REF!</v>
      </c>
      <c r="F251" t="e">
        <f>装备!#REF!</f>
        <v>#REF!</v>
      </c>
      <c r="G251" t="e">
        <f>装备!#REF!</f>
        <v>#REF!</v>
      </c>
      <c r="H251" t="e">
        <f>装备!#REF!</f>
        <v>#REF!</v>
      </c>
      <c r="I251" t="e">
        <f>装备!#REF!</f>
        <v>#REF!</v>
      </c>
      <c r="J251" t="e">
        <f>装备!#REF!</f>
        <v>#REF!</v>
      </c>
      <c r="K251" t="e">
        <f>装备!#REF!</f>
        <v>#REF!</v>
      </c>
      <c r="L251" t="e">
        <f>装备!#REF!</f>
        <v>#REF!</v>
      </c>
      <c r="M251" t="e">
        <f t="shared" si="42"/>
        <v>#REF!</v>
      </c>
      <c r="N251" t="e">
        <f>装备!#REF!</f>
        <v>#REF!</v>
      </c>
      <c r="O251" t="e">
        <f>装备!#REF!</f>
        <v>#REF!</v>
      </c>
      <c r="P251" t="e">
        <f>装备!#REF!</f>
        <v>#REF!</v>
      </c>
      <c r="Q251" t="e">
        <f>装备!#REF!</f>
        <v>#REF!</v>
      </c>
      <c r="R251" t="e">
        <f>装备!#REF!</f>
        <v>#REF!</v>
      </c>
      <c r="S251" t="e">
        <f>装备!#REF!</f>
        <v>#REF!</v>
      </c>
      <c r="T251" t="e">
        <f>装备!#REF!</f>
        <v>#REF!</v>
      </c>
      <c r="U251" t="e">
        <f>装备!#REF!</f>
        <v>#REF!</v>
      </c>
      <c r="V251" t="e">
        <f>装备!#REF!</f>
        <v>#REF!</v>
      </c>
      <c r="W251" t="e">
        <f>装备!#REF!</f>
        <v>#REF!</v>
      </c>
      <c r="X251" t="e">
        <f t="shared" si="43"/>
        <v>#REF!</v>
      </c>
      <c r="Y251" t="e">
        <f>装备!#REF!</f>
        <v>#REF!</v>
      </c>
      <c r="Z251" t="e">
        <f>装备!#REF!</f>
        <v>#REF!</v>
      </c>
      <c r="AA251" t="e">
        <f>装备!#REF!</f>
        <v>#REF!</v>
      </c>
      <c r="AB251" t="e">
        <f>装备!#REF!</f>
        <v>#REF!</v>
      </c>
      <c r="AC251" t="e">
        <f>装备!#REF!</f>
        <v>#REF!</v>
      </c>
      <c r="AD251" t="e">
        <f>装备!#REF!</f>
        <v>#REF!</v>
      </c>
      <c r="AE251" t="e">
        <f>装备!#REF!</f>
        <v>#REF!</v>
      </c>
      <c r="AF251" t="e">
        <f>装备!#REF!</f>
        <v>#REF!</v>
      </c>
      <c r="AG251" t="e">
        <f>装备!#REF!</f>
        <v>#REF!</v>
      </c>
      <c r="AH251" t="e">
        <f>装备!#REF!</f>
        <v>#REF!</v>
      </c>
      <c r="AI251" t="e">
        <f t="shared" si="44"/>
        <v>#REF!</v>
      </c>
      <c r="AJ251" t="e">
        <f>装备!#REF!</f>
        <v>#REF!</v>
      </c>
      <c r="AK251" t="e">
        <f>装备!#REF!</f>
        <v>#REF!</v>
      </c>
      <c r="AL251" t="e">
        <f>装备!#REF!</f>
        <v>#REF!</v>
      </c>
      <c r="AM251" t="e">
        <f>装备!#REF!</f>
        <v>#REF!</v>
      </c>
      <c r="AN251" t="e">
        <f>装备!#REF!</f>
        <v>#REF!</v>
      </c>
      <c r="AO251" t="e">
        <f>装备!#REF!</f>
        <v>#REF!</v>
      </c>
      <c r="AP251" t="e">
        <f>装备!#REF!</f>
        <v>#REF!</v>
      </c>
      <c r="AQ251" t="e">
        <f>装备!#REF!</f>
        <v>#REF!</v>
      </c>
      <c r="AR251" t="e">
        <f>装备!#REF!</f>
        <v>#REF!</v>
      </c>
      <c r="AS251" t="e">
        <f>装备!#REF!</f>
        <v>#REF!</v>
      </c>
      <c r="AT251" t="e">
        <f t="shared" si="45"/>
        <v>#REF!</v>
      </c>
      <c r="AU251" t="e">
        <f>装备!#REF!</f>
        <v>#REF!</v>
      </c>
      <c r="AV251" t="e">
        <f>装备!#REF!</f>
        <v>#REF!</v>
      </c>
      <c r="AW251" t="e">
        <f>装备!#REF!</f>
        <v>#REF!</v>
      </c>
      <c r="AX251" t="e">
        <f>装备!#REF!</f>
        <v>#REF!</v>
      </c>
      <c r="AY251" t="e">
        <f>装备!#REF!</f>
        <v>#REF!</v>
      </c>
      <c r="AZ251" t="e">
        <f>装备!#REF!</f>
        <v>#REF!</v>
      </c>
      <c r="BA251" t="e">
        <f>装备!#REF!</f>
        <v>#REF!</v>
      </c>
      <c r="BB251" t="e">
        <f>装备!#REF!</f>
        <v>#REF!</v>
      </c>
      <c r="BC251" t="e">
        <f>装备!#REF!</f>
        <v>#REF!</v>
      </c>
      <c r="BD251" t="e">
        <f>装备!#REF!</f>
        <v>#REF!</v>
      </c>
      <c r="BE251" t="e">
        <f t="shared" si="46"/>
        <v>#REF!</v>
      </c>
      <c r="BF251" t="e">
        <f>装备!#REF!</f>
        <v>#REF!</v>
      </c>
      <c r="BG251" t="e">
        <f>装备!#REF!</f>
        <v>#REF!</v>
      </c>
      <c r="BH251" t="e">
        <f>装备!#REF!</f>
        <v>#REF!</v>
      </c>
      <c r="BI251" t="e">
        <f>装备!#REF!</f>
        <v>#REF!</v>
      </c>
      <c r="BJ251" t="e">
        <f>装备!#REF!</f>
        <v>#REF!</v>
      </c>
      <c r="BK251" t="e">
        <f>装备!#REF!</f>
        <v>#REF!</v>
      </c>
      <c r="BL251" t="e">
        <f>装备!#REF!</f>
        <v>#REF!</v>
      </c>
      <c r="BM251" t="e">
        <f>装备!#REF!</f>
        <v>#REF!</v>
      </c>
      <c r="BN251" t="e">
        <f>装备!#REF!</f>
        <v>#REF!</v>
      </c>
      <c r="BO251" t="e">
        <f>装备!#REF!</f>
        <v>#REF!</v>
      </c>
      <c r="BP251" t="e">
        <f t="shared" si="47"/>
        <v>#REF!</v>
      </c>
      <c r="BQ251" t="e">
        <f>装备!#REF!</f>
        <v>#REF!</v>
      </c>
      <c r="BR251" t="e">
        <f>装备!#REF!</f>
        <v>#REF!</v>
      </c>
      <c r="BS251" t="e">
        <f>装备!#REF!</f>
        <v>#REF!</v>
      </c>
      <c r="BT251" t="e">
        <f>装备!#REF!</f>
        <v>#REF!</v>
      </c>
      <c r="BU251" t="e">
        <f>装备!#REF!</f>
        <v>#REF!</v>
      </c>
      <c r="BV251" t="e">
        <f>装备!#REF!</f>
        <v>#REF!</v>
      </c>
      <c r="BW251" t="e">
        <f>装备!#REF!</f>
        <v>#REF!</v>
      </c>
      <c r="BX251" t="e">
        <f>装备!#REF!</f>
        <v>#REF!</v>
      </c>
      <c r="BY251" t="e">
        <f>装备!#REF!</f>
        <v>#REF!</v>
      </c>
      <c r="BZ251" t="e">
        <f>装备!#REF!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装备!B3</f>
        <v>E001</v>
      </c>
      <c r="B252">
        <f>装备!A3</f>
        <v>0</v>
      </c>
      <c r="C252">
        <f>装备!V3</f>
        <v>1000</v>
      </c>
      <c r="D252">
        <f>装备!W3</f>
        <v>0</v>
      </c>
      <c r="E252">
        <f>装备!X3</f>
        <v>0</v>
      </c>
      <c r="F252">
        <f>装备!Y3</f>
        <v>0</v>
      </c>
      <c r="G252">
        <f>装备!Z3</f>
        <v>0</v>
      </c>
      <c r="H252">
        <f>装备!AA3</f>
        <v>0</v>
      </c>
      <c r="I252">
        <f>装备!AB3</f>
        <v>0</v>
      </c>
      <c r="J252">
        <f>装备!AC3</f>
        <v>0</v>
      </c>
      <c r="K252">
        <f>装备!AD3</f>
        <v>13</v>
      </c>
      <c r="L252">
        <f>装备!AE3</f>
        <v>0</v>
      </c>
      <c r="M252" t="str">
        <f t="shared" si="42"/>
        <v>InitUnitState('E001',1000,0,0,0,0,0,0,0,13,0)</v>
      </c>
      <c r="N252">
        <f>装备!AF3</f>
        <v>0</v>
      </c>
      <c r="O252">
        <f>装备!AG3</f>
        <v>0</v>
      </c>
      <c r="P252">
        <f>装备!AH3</f>
        <v>0</v>
      </c>
      <c r="Q252">
        <f>装备!AI3</f>
        <v>0</v>
      </c>
      <c r="R252">
        <f>装备!AJ3</f>
        <v>0</v>
      </c>
      <c r="S252">
        <f>装备!AK3</f>
        <v>0</v>
      </c>
      <c r="T252">
        <f>装备!AL3</f>
        <v>0</v>
      </c>
      <c r="U252">
        <f>装备!AM3</f>
        <v>0</v>
      </c>
      <c r="V252">
        <f>装备!AN3</f>
        <v>0</v>
      </c>
      <c r="W252">
        <f>装备!AO3</f>
        <v>0</v>
      </c>
      <c r="X252" t="str">
        <f t="shared" si="43"/>
        <v>InitUnitNormal('E001',0,0,0,0,0,0,0,0,0,0)</v>
      </c>
      <c r="Y252">
        <f>装备!AP3</f>
        <v>0</v>
      </c>
      <c r="Z252">
        <f>装备!AQ3</f>
        <v>0</v>
      </c>
      <c r="AA252">
        <f>装备!AR3</f>
        <v>0</v>
      </c>
      <c r="AB252">
        <f>装备!AS3</f>
        <v>0</v>
      </c>
      <c r="AC252">
        <f>装备!AT3</f>
        <v>0</v>
      </c>
      <c r="AD252">
        <f>装备!AU3</f>
        <v>0</v>
      </c>
      <c r="AE252">
        <f>装备!AV3</f>
        <v>0</v>
      </c>
      <c r="AF252">
        <f>装备!AW3</f>
        <v>0</v>
      </c>
      <c r="AG252">
        <f>装备!AX3</f>
        <v>0</v>
      </c>
      <c r="AH252">
        <f>装备!AY3</f>
        <v>0</v>
      </c>
      <c r="AI252" t="str">
        <f t="shared" si="44"/>
        <v>InitUnitMagic('E001',0,0,0,0,0,0,0,0,0,0)</v>
      </c>
      <c r="AJ252">
        <f>装备!AZ3</f>
        <v>0</v>
      </c>
      <c r="AK252">
        <f>装备!BA3</f>
        <v>0</v>
      </c>
      <c r="AL252">
        <f>装备!BB3</f>
        <v>0</v>
      </c>
      <c r="AM252">
        <f>装备!BC3</f>
        <v>0</v>
      </c>
      <c r="AN252">
        <f>装备!BD3</f>
        <v>0</v>
      </c>
      <c r="AO252">
        <f>装备!BE3</f>
        <v>0</v>
      </c>
      <c r="AP252">
        <f>装备!BF3</f>
        <v>0</v>
      </c>
      <c r="AQ252">
        <f>装备!BG3</f>
        <v>0</v>
      </c>
      <c r="AR252">
        <f>装备!BH3</f>
        <v>0</v>
      </c>
      <c r="AS252">
        <f>装备!BI3</f>
        <v>0</v>
      </c>
      <c r="AT252" t="str">
        <f t="shared" si="45"/>
        <v>InitUnitAdd('E001',0,0,0,0,0,0,0,0,0,0)</v>
      </c>
      <c r="AU252">
        <f>装备!BJ3</f>
        <v>0</v>
      </c>
      <c r="AV252">
        <f>装备!BK3</f>
        <v>0</v>
      </c>
      <c r="AW252">
        <f>装备!BL3</f>
        <v>0</v>
      </c>
      <c r="AX252">
        <f>装备!BM3</f>
        <v>0</v>
      </c>
      <c r="AY252">
        <f>装备!BN3</f>
        <v>0</v>
      </c>
      <c r="AZ252">
        <f>装备!BO3</f>
        <v>0</v>
      </c>
      <c r="BA252">
        <f>装备!BP3</f>
        <v>0</v>
      </c>
      <c r="BB252">
        <f>装备!BQ3</f>
        <v>0</v>
      </c>
      <c r="BC252">
        <f>装备!BR3</f>
        <v>0</v>
      </c>
      <c r="BD252">
        <f>装备!BS3</f>
        <v>0</v>
      </c>
      <c r="BE252" t="str">
        <f t="shared" si="46"/>
        <v>InitUnitStateTime('E001',0,0,0,0,0,0,0,0,0,0)</v>
      </c>
      <c r="BF252">
        <f>装备!BT3</f>
        <v>0</v>
      </c>
      <c r="BG252">
        <f>装备!BU3</f>
        <v>0</v>
      </c>
      <c r="BH252">
        <f>装备!BV3</f>
        <v>0</v>
      </c>
      <c r="BI252">
        <f>装备!BW3</f>
        <v>0</v>
      </c>
      <c r="BJ252">
        <f>装备!BX3</f>
        <v>0</v>
      </c>
      <c r="BK252">
        <f>装备!BY3</f>
        <v>0</v>
      </c>
      <c r="BL252">
        <f>装备!BZ3</f>
        <v>0</v>
      </c>
      <c r="BM252">
        <f>装备!CA3</f>
        <v>0</v>
      </c>
      <c r="BN252">
        <f>装备!CB3</f>
        <v>0</v>
      </c>
      <c r="BO252">
        <f>装备!CC3</f>
        <v>0</v>
      </c>
      <c r="BP252" t="str">
        <f t="shared" si="47"/>
        <v>InitUnitStateAttack('E001',0,0,0,0,0,0,0,0,0,0)</v>
      </c>
      <c r="BQ252">
        <f>装备!CD3</f>
        <v>0</v>
      </c>
      <c r="BR252">
        <f>装备!CE3</f>
        <v>0</v>
      </c>
      <c r="BS252">
        <f>装备!CF3</f>
        <v>0</v>
      </c>
      <c r="BT252">
        <f>装备!CG3</f>
        <v>0</v>
      </c>
      <c r="BU252">
        <f>装备!CH3</f>
        <v>0</v>
      </c>
      <c r="BV252">
        <f>装备!CI3</f>
        <v>0</v>
      </c>
      <c r="BW252">
        <f>装备!CJ3</f>
        <v>0</v>
      </c>
      <c r="BX252">
        <f>装备!CK3</f>
        <v>0</v>
      </c>
      <c r="BY252">
        <f>装备!CL3</f>
        <v>0</v>
      </c>
      <c r="BZ252">
        <f>装备!CM3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InitUnitState('E001',1000,0,0,0,0,0,0,0,13,0)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装备!B4</f>
        <v>E002</v>
      </c>
      <c r="B253">
        <f>装备!A4</f>
        <v>0</v>
      </c>
      <c r="C253">
        <f>装备!V4</f>
        <v>2000</v>
      </c>
      <c r="D253">
        <f>装备!W4</f>
        <v>0</v>
      </c>
      <c r="E253">
        <f>装备!X4</f>
        <v>0</v>
      </c>
      <c r="F253">
        <f>装备!Y4</f>
        <v>0</v>
      </c>
      <c r="G253">
        <f>装备!Z4</f>
        <v>0</v>
      </c>
      <c r="H253">
        <f>装备!AA4</f>
        <v>0</v>
      </c>
      <c r="I253">
        <f>装备!AB4</f>
        <v>0</v>
      </c>
      <c r="J253">
        <f>装备!AC4</f>
        <v>0</v>
      </c>
      <c r="K253">
        <f>装备!AD4</f>
        <v>13</v>
      </c>
      <c r="L253">
        <f>装备!AE4</f>
        <v>0</v>
      </c>
      <c r="M253" t="str">
        <f t="shared" si="42"/>
        <v>InitUnitState('E002',2000,0,0,0,0,0,0,0,13,0)</v>
      </c>
      <c r="N253">
        <f>装备!AF4</f>
        <v>0</v>
      </c>
      <c r="O253">
        <f>装备!AG4</f>
        <v>0</v>
      </c>
      <c r="P253">
        <f>装备!AH4</f>
        <v>0</v>
      </c>
      <c r="Q253">
        <f>装备!AI4</f>
        <v>0</v>
      </c>
      <c r="R253">
        <f>装备!AJ4</f>
        <v>0</v>
      </c>
      <c r="S253">
        <f>装备!AK4</f>
        <v>0</v>
      </c>
      <c r="T253">
        <f>装备!AL4</f>
        <v>0</v>
      </c>
      <c r="U253">
        <f>装备!AM4</f>
        <v>0</v>
      </c>
      <c r="V253">
        <f>装备!AN4</f>
        <v>0</v>
      </c>
      <c r="W253">
        <f>装备!AO4</f>
        <v>0</v>
      </c>
      <c r="X253" t="str">
        <f t="shared" si="43"/>
        <v>InitUnitNormal('E002',0,0,0,0,0,0,0,0,0,0)</v>
      </c>
      <c r="Y253">
        <f>装备!AP4</f>
        <v>0</v>
      </c>
      <c r="Z253">
        <f>装备!AQ4</f>
        <v>0</v>
      </c>
      <c r="AA253">
        <f>装备!AR4</f>
        <v>0</v>
      </c>
      <c r="AB253">
        <f>装备!AS4</f>
        <v>0</v>
      </c>
      <c r="AC253">
        <f>装备!AT4</f>
        <v>0</v>
      </c>
      <c r="AD253">
        <f>装备!AU4</f>
        <v>0</v>
      </c>
      <c r="AE253">
        <f>装备!AV4</f>
        <v>0</v>
      </c>
      <c r="AF253">
        <f>装备!AW4</f>
        <v>0</v>
      </c>
      <c r="AG253">
        <f>装备!AX4</f>
        <v>0</v>
      </c>
      <c r="AH253">
        <f>装备!AY4</f>
        <v>0</v>
      </c>
      <c r="AI253" t="str">
        <f t="shared" si="44"/>
        <v>InitUnitMagic('E002',0,0,0,0,0,0,0,0,0,0)</v>
      </c>
      <c r="AJ253">
        <f>装备!AZ4</f>
        <v>0</v>
      </c>
      <c r="AK253">
        <f>装备!BA4</f>
        <v>0</v>
      </c>
      <c r="AL253">
        <f>装备!BB4</f>
        <v>0</v>
      </c>
      <c r="AM253">
        <f>装备!BC4</f>
        <v>0</v>
      </c>
      <c r="AN253">
        <f>装备!BD4</f>
        <v>0</v>
      </c>
      <c r="AO253">
        <f>装备!BE4</f>
        <v>0</v>
      </c>
      <c r="AP253">
        <f>装备!BF4</f>
        <v>0</v>
      </c>
      <c r="AQ253">
        <f>装备!BG4</f>
        <v>0</v>
      </c>
      <c r="AR253">
        <f>装备!BH4</f>
        <v>0</v>
      </c>
      <c r="AS253">
        <f>装备!BI4</f>
        <v>0</v>
      </c>
      <c r="AT253" t="str">
        <f t="shared" si="45"/>
        <v>InitUnitAdd('E002',0,0,0,0,0,0,0,0,0,0)</v>
      </c>
      <c r="AU253">
        <f>装备!BJ4</f>
        <v>0</v>
      </c>
      <c r="AV253">
        <f>装备!BK4</f>
        <v>0</v>
      </c>
      <c r="AW253">
        <f>装备!BL4</f>
        <v>0</v>
      </c>
      <c r="AX253">
        <f>装备!BM4</f>
        <v>0</v>
      </c>
      <c r="AY253">
        <f>装备!BN4</f>
        <v>0</v>
      </c>
      <c r="AZ253">
        <f>装备!BO4</f>
        <v>0</v>
      </c>
      <c r="BA253">
        <f>装备!BP4</f>
        <v>0</v>
      </c>
      <c r="BB253">
        <f>装备!BQ4</f>
        <v>0</v>
      </c>
      <c r="BC253">
        <f>装备!BR4</f>
        <v>0</v>
      </c>
      <c r="BD253">
        <f>装备!BS4</f>
        <v>0</v>
      </c>
      <c r="BE253" t="str">
        <f t="shared" si="46"/>
        <v>InitUnitStateTime('E002',0,0,0,0,0,0,0,0,0,0)</v>
      </c>
      <c r="BF253">
        <f>装备!BT4</f>
        <v>0</v>
      </c>
      <c r="BG253">
        <f>装备!BU4</f>
        <v>0</v>
      </c>
      <c r="BH253">
        <f>装备!BV4</f>
        <v>0</v>
      </c>
      <c r="BI253">
        <f>装备!BW4</f>
        <v>0</v>
      </c>
      <c r="BJ253">
        <f>装备!BX4</f>
        <v>0</v>
      </c>
      <c r="BK253">
        <f>装备!BY4</f>
        <v>0</v>
      </c>
      <c r="BL253">
        <f>装备!BZ4</f>
        <v>0</v>
      </c>
      <c r="BM253">
        <f>装备!CA4</f>
        <v>0</v>
      </c>
      <c r="BN253">
        <f>装备!CB4</f>
        <v>0</v>
      </c>
      <c r="BO253">
        <f>装备!CC4</f>
        <v>0</v>
      </c>
      <c r="BP253" t="str">
        <f t="shared" si="47"/>
        <v>InitUnitStateAttack('E002',0,0,0,0,0,0,0,0,0,0)</v>
      </c>
      <c r="BQ253">
        <f>装备!CD4</f>
        <v>0</v>
      </c>
      <c r="BR253">
        <f>装备!CE4</f>
        <v>0</v>
      </c>
      <c r="BS253">
        <f>装备!CF4</f>
        <v>0</v>
      </c>
      <c r="BT253">
        <f>装备!CG4</f>
        <v>0</v>
      </c>
      <c r="BU253">
        <f>装备!CH4</f>
        <v>0</v>
      </c>
      <c r="BV253">
        <f>装备!CI4</f>
        <v>0</v>
      </c>
      <c r="BW253">
        <f>装备!CJ4</f>
        <v>0</v>
      </c>
      <c r="BX253">
        <f>装备!CK4</f>
        <v>0</v>
      </c>
      <c r="BY253">
        <f>装备!CL4</f>
        <v>0</v>
      </c>
      <c r="BZ253">
        <f>装备!CM4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InitUnitState('E002',2000,0,0,0,0,0,0,0,13,0)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装备!B5</f>
        <v>E003</v>
      </c>
      <c r="B254">
        <f>装备!A5</f>
        <v>0</v>
      </c>
      <c r="C254">
        <f>装备!V5</f>
        <v>3000</v>
      </c>
      <c r="D254">
        <f>装备!W5</f>
        <v>0</v>
      </c>
      <c r="E254">
        <f>装备!X5</f>
        <v>0</v>
      </c>
      <c r="F254">
        <f>装备!Y5</f>
        <v>0</v>
      </c>
      <c r="G254">
        <f>装备!Z5</f>
        <v>0</v>
      </c>
      <c r="H254">
        <f>装备!AA5</f>
        <v>0</v>
      </c>
      <c r="I254">
        <f>装备!AB5</f>
        <v>0</v>
      </c>
      <c r="J254">
        <f>装备!AC5</f>
        <v>0</v>
      </c>
      <c r="K254">
        <f>装备!AD5</f>
        <v>13</v>
      </c>
      <c r="L254">
        <f>装备!AE5</f>
        <v>0</v>
      </c>
      <c r="M254" t="str">
        <f t="shared" si="42"/>
        <v>InitUnitState('E003',3000,0,0,0,0,0,0,0,13,0)</v>
      </c>
      <c r="N254">
        <f>装备!AF5</f>
        <v>0</v>
      </c>
      <c r="O254">
        <f>装备!AG5</f>
        <v>0</v>
      </c>
      <c r="P254">
        <f>装备!AH5</f>
        <v>0</v>
      </c>
      <c r="Q254">
        <f>装备!AI5</f>
        <v>0</v>
      </c>
      <c r="R254">
        <f>装备!AJ5</f>
        <v>0</v>
      </c>
      <c r="S254">
        <f>装备!AK5</f>
        <v>0</v>
      </c>
      <c r="T254">
        <f>装备!AL5</f>
        <v>0</v>
      </c>
      <c r="U254">
        <f>装备!AM5</f>
        <v>0</v>
      </c>
      <c r="V254">
        <f>装备!AN5</f>
        <v>0</v>
      </c>
      <c r="W254">
        <f>装备!AO5</f>
        <v>0</v>
      </c>
      <c r="X254" t="str">
        <f t="shared" si="43"/>
        <v>InitUnitNormal('E003',0,0,0,0,0,0,0,0,0,0)</v>
      </c>
      <c r="Y254">
        <f>装备!AP5</f>
        <v>0</v>
      </c>
      <c r="Z254">
        <f>装备!AQ5</f>
        <v>0</v>
      </c>
      <c r="AA254">
        <f>装备!AR5</f>
        <v>0</v>
      </c>
      <c r="AB254">
        <f>装备!AS5</f>
        <v>0</v>
      </c>
      <c r="AC254">
        <f>装备!AT5</f>
        <v>0</v>
      </c>
      <c r="AD254">
        <f>装备!AU5</f>
        <v>0</v>
      </c>
      <c r="AE254">
        <f>装备!AV5</f>
        <v>0</v>
      </c>
      <c r="AF254">
        <f>装备!AW5</f>
        <v>0</v>
      </c>
      <c r="AG254">
        <f>装备!AX5</f>
        <v>0</v>
      </c>
      <c r="AH254">
        <f>装备!AY5</f>
        <v>0</v>
      </c>
      <c r="AI254" t="str">
        <f t="shared" si="44"/>
        <v>InitUnitMagic('E003',0,0,0,0,0,0,0,0,0,0)</v>
      </c>
      <c r="AJ254">
        <f>装备!AZ5</f>
        <v>0</v>
      </c>
      <c r="AK254">
        <f>装备!BA5</f>
        <v>0</v>
      </c>
      <c r="AL254">
        <f>装备!BB5</f>
        <v>0</v>
      </c>
      <c r="AM254">
        <f>装备!BC5</f>
        <v>0</v>
      </c>
      <c r="AN254">
        <f>装备!BD5</f>
        <v>0</v>
      </c>
      <c r="AO254">
        <f>装备!BE5</f>
        <v>0</v>
      </c>
      <c r="AP254">
        <f>装备!BF5</f>
        <v>0</v>
      </c>
      <c r="AQ254">
        <f>装备!BG5</f>
        <v>0</v>
      </c>
      <c r="AR254">
        <f>装备!BH5</f>
        <v>0</v>
      </c>
      <c r="AS254">
        <f>装备!BI5</f>
        <v>0</v>
      </c>
      <c r="AT254" t="str">
        <f t="shared" si="45"/>
        <v>InitUnitAdd('E003',0,0,0,0,0,0,0,0,0,0)</v>
      </c>
      <c r="AU254">
        <f>装备!BJ5</f>
        <v>0</v>
      </c>
      <c r="AV254">
        <f>装备!BK5</f>
        <v>0</v>
      </c>
      <c r="AW254">
        <f>装备!BL5</f>
        <v>0</v>
      </c>
      <c r="AX254">
        <f>装备!BM5</f>
        <v>0</v>
      </c>
      <c r="AY254">
        <f>装备!BN5</f>
        <v>0</v>
      </c>
      <c r="AZ254">
        <f>装备!BO5</f>
        <v>0</v>
      </c>
      <c r="BA254">
        <f>装备!BP5</f>
        <v>0</v>
      </c>
      <c r="BB254">
        <f>装备!BQ5</f>
        <v>0</v>
      </c>
      <c r="BC254">
        <f>装备!BR5</f>
        <v>0</v>
      </c>
      <c r="BD254">
        <f>装备!BS5</f>
        <v>0</v>
      </c>
      <c r="BE254" t="str">
        <f t="shared" si="46"/>
        <v>InitUnitStateTime('E003',0,0,0,0,0,0,0,0,0,0)</v>
      </c>
      <c r="BF254">
        <f>装备!BT5</f>
        <v>0</v>
      </c>
      <c r="BG254">
        <f>装备!BU5</f>
        <v>0</v>
      </c>
      <c r="BH254">
        <f>装备!BV5</f>
        <v>0</v>
      </c>
      <c r="BI254">
        <f>装备!BW5</f>
        <v>0</v>
      </c>
      <c r="BJ254">
        <f>装备!BX5</f>
        <v>0</v>
      </c>
      <c r="BK254">
        <f>装备!BY5</f>
        <v>0</v>
      </c>
      <c r="BL254">
        <f>装备!BZ5</f>
        <v>0</v>
      </c>
      <c r="BM254">
        <f>装备!CA5</f>
        <v>0</v>
      </c>
      <c r="BN254">
        <f>装备!CB5</f>
        <v>0</v>
      </c>
      <c r="BO254">
        <f>装备!CC5</f>
        <v>0</v>
      </c>
      <c r="BP254" t="str">
        <f t="shared" si="47"/>
        <v>InitUnitStateAttack('E003',0,0,0,0,0,0,0,0,0,0)</v>
      </c>
      <c r="BQ254">
        <f>装备!CD5</f>
        <v>0</v>
      </c>
      <c r="BR254">
        <f>装备!CE5</f>
        <v>0</v>
      </c>
      <c r="BS254">
        <f>装备!CF5</f>
        <v>0</v>
      </c>
      <c r="BT254">
        <f>装备!CG5</f>
        <v>0</v>
      </c>
      <c r="BU254">
        <f>装备!CH5</f>
        <v>0</v>
      </c>
      <c r="BV254">
        <f>装备!CI5</f>
        <v>0</v>
      </c>
      <c r="BW254">
        <f>装备!CJ5</f>
        <v>0</v>
      </c>
      <c r="BX254">
        <f>装备!CK5</f>
        <v>0</v>
      </c>
      <c r="BY254">
        <f>装备!CL5</f>
        <v>0</v>
      </c>
      <c r="BZ254">
        <f>装备!CM5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InitUnitState('E003',3000,0,0,0,0,0,0,0,13,0)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装备!B6</f>
        <v>E004</v>
      </c>
      <c r="B255">
        <f>装备!A6</f>
        <v>0</v>
      </c>
      <c r="C255">
        <f>装备!V6</f>
        <v>4000</v>
      </c>
      <c r="D255">
        <f>装备!W6</f>
        <v>0</v>
      </c>
      <c r="E255">
        <f>装备!X6</f>
        <v>0</v>
      </c>
      <c r="F255">
        <f>装备!Y6</f>
        <v>0</v>
      </c>
      <c r="G255">
        <f>装备!Z6</f>
        <v>0</v>
      </c>
      <c r="H255">
        <f>装备!AA6</f>
        <v>0</v>
      </c>
      <c r="I255">
        <f>装备!AB6</f>
        <v>0</v>
      </c>
      <c r="J255">
        <f>装备!AC6</f>
        <v>0</v>
      </c>
      <c r="K255">
        <f>装备!AD6</f>
        <v>13</v>
      </c>
      <c r="L255">
        <f>装备!AE6</f>
        <v>0</v>
      </c>
      <c r="M255" t="str">
        <f t="shared" si="42"/>
        <v>InitUnitState('E004',4000,0,0,0,0,0,0,0,13,0)</v>
      </c>
      <c r="N255">
        <f>装备!AF6</f>
        <v>0</v>
      </c>
      <c r="O255">
        <f>装备!AG6</f>
        <v>0</v>
      </c>
      <c r="P255">
        <f>装备!AH6</f>
        <v>0</v>
      </c>
      <c r="Q255">
        <f>装备!AI6</f>
        <v>0</v>
      </c>
      <c r="R255">
        <f>装备!AJ6</f>
        <v>0</v>
      </c>
      <c r="S255">
        <f>装备!AK6</f>
        <v>0</v>
      </c>
      <c r="T255">
        <f>装备!AL6</f>
        <v>0</v>
      </c>
      <c r="U255">
        <f>装备!AM6</f>
        <v>0</v>
      </c>
      <c r="V255">
        <f>装备!AN6</f>
        <v>0</v>
      </c>
      <c r="W255">
        <f>装备!AO6</f>
        <v>0</v>
      </c>
      <c r="X255" t="str">
        <f t="shared" si="43"/>
        <v>InitUnitNormal('E004',0,0,0,0,0,0,0,0,0,0)</v>
      </c>
      <c r="Y255">
        <f>装备!AP6</f>
        <v>0</v>
      </c>
      <c r="Z255">
        <f>装备!AQ6</f>
        <v>0</v>
      </c>
      <c r="AA255">
        <f>装备!AR6</f>
        <v>0</v>
      </c>
      <c r="AB255">
        <f>装备!AS6</f>
        <v>0</v>
      </c>
      <c r="AC255">
        <f>装备!AT6</f>
        <v>0</v>
      </c>
      <c r="AD255">
        <f>装备!AU6</f>
        <v>0</v>
      </c>
      <c r="AE255">
        <f>装备!AV6</f>
        <v>0</v>
      </c>
      <c r="AF255">
        <f>装备!AW6</f>
        <v>0</v>
      </c>
      <c r="AG255">
        <f>装备!AX6</f>
        <v>0</v>
      </c>
      <c r="AH255">
        <f>装备!AY6</f>
        <v>0</v>
      </c>
      <c r="AI255" t="str">
        <f t="shared" si="44"/>
        <v>InitUnitMagic('E004',0,0,0,0,0,0,0,0,0,0)</v>
      </c>
      <c r="AJ255">
        <f>装备!AZ6</f>
        <v>0</v>
      </c>
      <c r="AK255">
        <f>装备!BA6</f>
        <v>0</v>
      </c>
      <c r="AL255">
        <f>装备!BB6</f>
        <v>0</v>
      </c>
      <c r="AM255">
        <f>装备!BC6</f>
        <v>0</v>
      </c>
      <c r="AN255">
        <f>装备!BD6</f>
        <v>0</v>
      </c>
      <c r="AO255">
        <f>装备!BE6</f>
        <v>0</v>
      </c>
      <c r="AP255">
        <f>装备!BF6</f>
        <v>0</v>
      </c>
      <c r="AQ255">
        <f>装备!BG6</f>
        <v>0</v>
      </c>
      <c r="AR255">
        <f>装备!BH6</f>
        <v>0</v>
      </c>
      <c r="AS255">
        <f>装备!BI6</f>
        <v>0</v>
      </c>
      <c r="AT255" t="str">
        <f t="shared" si="45"/>
        <v>InitUnitAdd('E004',0,0,0,0,0,0,0,0,0,0)</v>
      </c>
      <c r="AU255">
        <f>装备!BJ6</f>
        <v>0</v>
      </c>
      <c r="AV255">
        <f>装备!BK6</f>
        <v>0</v>
      </c>
      <c r="AW255">
        <f>装备!BL6</f>
        <v>0</v>
      </c>
      <c r="AX255">
        <f>装备!BM6</f>
        <v>0</v>
      </c>
      <c r="AY255">
        <f>装备!BN6</f>
        <v>0</v>
      </c>
      <c r="AZ255">
        <f>装备!BO6</f>
        <v>0</v>
      </c>
      <c r="BA255">
        <f>装备!BP6</f>
        <v>0</v>
      </c>
      <c r="BB255">
        <f>装备!BQ6</f>
        <v>0</v>
      </c>
      <c r="BC255">
        <f>装备!BR6</f>
        <v>0</v>
      </c>
      <c r="BD255">
        <f>装备!BS6</f>
        <v>0</v>
      </c>
      <c r="BE255" t="str">
        <f t="shared" si="46"/>
        <v>InitUnitStateTime('E004',0,0,0,0,0,0,0,0,0,0)</v>
      </c>
      <c r="BF255">
        <f>装备!BT6</f>
        <v>0</v>
      </c>
      <c r="BG255">
        <f>装备!BU6</f>
        <v>0</v>
      </c>
      <c r="BH255">
        <f>装备!BV6</f>
        <v>0</v>
      </c>
      <c r="BI255">
        <f>装备!BW6</f>
        <v>0</v>
      </c>
      <c r="BJ255">
        <f>装备!BX6</f>
        <v>0</v>
      </c>
      <c r="BK255">
        <f>装备!BY6</f>
        <v>0</v>
      </c>
      <c r="BL255">
        <f>装备!BZ6</f>
        <v>0</v>
      </c>
      <c r="BM255">
        <f>装备!CA6</f>
        <v>0</v>
      </c>
      <c r="BN255">
        <f>装备!CB6</f>
        <v>0</v>
      </c>
      <c r="BO255">
        <f>装备!CC6</f>
        <v>0</v>
      </c>
      <c r="BP255" t="str">
        <f t="shared" si="47"/>
        <v>InitUnitStateAttack('E004',0,0,0,0,0,0,0,0,0,0)</v>
      </c>
      <c r="BQ255">
        <f>装备!CD6</f>
        <v>0</v>
      </c>
      <c r="BR255">
        <f>装备!CE6</f>
        <v>0</v>
      </c>
      <c r="BS255">
        <f>装备!CF6</f>
        <v>0</v>
      </c>
      <c r="BT255">
        <f>装备!CG6</f>
        <v>0</v>
      </c>
      <c r="BU255">
        <f>装备!CH6</f>
        <v>0</v>
      </c>
      <c r="BV255">
        <f>装备!CI6</f>
        <v>0</v>
      </c>
      <c r="BW255">
        <f>装备!CJ6</f>
        <v>0</v>
      </c>
      <c r="BX255">
        <f>装备!CK6</f>
        <v>0</v>
      </c>
      <c r="BY255">
        <f>装备!CL6</f>
        <v>0</v>
      </c>
      <c r="BZ255">
        <f>装备!CM6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InitUnitState('E004',4000,0,0,0,0,0,0,0,13,0)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装备!B7</f>
        <v>E005</v>
      </c>
      <c r="B256">
        <f>装备!A7</f>
        <v>0</v>
      </c>
      <c r="C256">
        <f>装备!V7</f>
        <v>5000</v>
      </c>
      <c r="D256">
        <f>装备!W7</f>
        <v>0</v>
      </c>
      <c r="E256">
        <f>装备!X7</f>
        <v>0</v>
      </c>
      <c r="F256">
        <f>装备!Y7</f>
        <v>0</v>
      </c>
      <c r="G256">
        <f>装备!Z7</f>
        <v>0</v>
      </c>
      <c r="H256">
        <f>装备!AA7</f>
        <v>0</v>
      </c>
      <c r="I256">
        <f>装备!AB7</f>
        <v>0</v>
      </c>
      <c r="J256">
        <f>装备!AC7</f>
        <v>0</v>
      </c>
      <c r="K256">
        <f>装备!AD7</f>
        <v>13</v>
      </c>
      <c r="L256">
        <f>装备!AE7</f>
        <v>0</v>
      </c>
      <c r="M256" t="str">
        <f t="shared" si="42"/>
        <v>InitUnitState('E005',5000,0,0,0,0,0,0,0,13,0)</v>
      </c>
      <c r="N256">
        <f>装备!AF7</f>
        <v>0</v>
      </c>
      <c r="O256">
        <f>装备!AG7</f>
        <v>0</v>
      </c>
      <c r="P256">
        <f>装备!AH7</f>
        <v>0</v>
      </c>
      <c r="Q256">
        <f>装备!AI7</f>
        <v>0</v>
      </c>
      <c r="R256">
        <f>装备!AJ7</f>
        <v>0</v>
      </c>
      <c r="S256">
        <f>装备!AK7</f>
        <v>0</v>
      </c>
      <c r="T256">
        <f>装备!AL7</f>
        <v>0</v>
      </c>
      <c r="U256">
        <f>装备!AM7</f>
        <v>0</v>
      </c>
      <c r="V256">
        <f>装备!AN7</f>
        <v>0</v>
      </c>
      <c r="W256">
        <f>装备!AO7</f>
        <v>0</v>
      </c>
      <c r="X256" t="str">
        <f t="shared" si="43"/>
        <v>InitUnitNormal('E005',0,0,0,0,0,0,0,0,0,0)</v>
      </c>
      <c r="Y256">
        <f>装备!AP7</f>
        <v>0</v>
      </c>
      <c r="Z256">
        <f>装备!AQ7</f>
        <v>0</v>
      </c>
      <c r="AA256">
        <f>装备!AR7</f>
        <v>0</v>
      </c>
      <c r="AB256">
        <f>装备!AS7</f>
        <v>0</v>
      </c>
      <c r="AC256">
        <f>装备!AT7</f>
        <v>0</v>
      </c>
      <c r="AD256">
        <f>装备!AU7</f>
        <v>0</v>
      </c>
      <c r="AE256">
        <f>装备!AV7</f>
        <v>0</v>
      </c>
      <c r="AF256">
        <f>装备!AW7</f>
        <v>0</v>
      </c>
      <c r="AG256">
        <f>装备!AX7</f>
        <v>0</v>
      </c>
      <c r="AH256">
        <f>装备!AY7</f>
        <v>0</v>
      </c>
      <c r="AI256" t="str">
        <f t="shared" si="44"/>
        <v>InitUnitMagic('E005',0,0,0,0,0,0,0,0,0,0)</v>
      </c>
      <c r="AJ256">
        <f>装备!AZ7</f>
        <v>0</v>
      </c>
      <c r="AK256">
        <f>装备!BA7</f>
        <v>0</v>
      </c>
      <c r="AL256">
        <f>装备!BB7</f>
        <v>0</v>
      </c>
      <c r="AM256">
        <f>装备!BC7</f>
        <v>0</v>
      </c>
      <c r="AN256">
        <f>装备!BD7</f>
        <v>0</v>
      </c>
      <c r="AO256">
        <f>装备!BE7</f>
        <v>0</v>
      </c>
      <c r="AP256">
        <f>装备!BF7</f>
        <v>0</v>
      </c>
      <c r="AQ256">
        <f>装备!BG7</f>
        <v>0</v>
      </c>
      <c r="AR256">
        <f>装备!BH7</f>
        <v>0</v>
      </c>
      <c r="AS256">
        <f>装备!BI7</f>
        <v>0</v>
      </c>
      <c r="AT256" t="str">
        <f t="shared" si="45"/>
        <v>InitUnitAdd('E005',0,0,0,0,0,0,0,0,0,0)</v>
      </c>
      <c r="AU256">
        <f>装备!BJ7</f>
        <v>0</v>
      </c>
      <c r="AV256">
        <f>装备!BK7</f>
        <v>0</v>
      </c>
      <c r="AW256">
        <f>装备!BL7</f>
        <v>0</v>
      </c>
      <c r="AX256">
        <f>装备!BM7</f>
        <v>0</v>
      </c>
      <c r="AY256">
        <f>装备!BN7</f>
        <v>0</v>
      </c>
      <c r="AZ256">
        <f>装备!BO7</f>
        <v>0</v>
      </c>
      <c r="BA256">
        <f>装备!BP7</f>
        <v>0</v>
      </c>
      <c r="BB256">
        <f>装备!BQ7</f>
        <v>0</v>
      </c>
      <c r="BC256">
        <f>装备!BR7</f>
        <v>0</v>
      </c>
      <c r="BD256">
        <f>装备!BS7</f>
        <v>0</v>
      </c>
      <c r="BE256" t="str">
        <f t="shared" si="46"/>
        <v>InitUnitStateTime('E005',0,0,0,0,0,0,0,0,0,0)</v>
      </c>
      <c r="BF256">
        <f>装备!BT7</f>
        <v>0</v>
      </c>
      <c r="BG256">
        <f>装备!BU7</f>
        <v>0</v>
      </c>
      <c r="BH256">
        <f>装备!BV7</f>
        <v>0</v>
      </c>
      <c r="BI256">
        <f>装备!BW7</f>
        <v>0</v>
      </c>
      <c r="BJ256">
        <f>装备!BX7</f>
        <v>0</v>
      </c>
      <c r="BK256">
        <f>装备!BY7</f>
        <v>0</v>
      </c>
      <c r="BL256">
        <f>装备!BZ7</f>
        <v>0</v>
      </c>
      <c r="BM256">
        <f>装备!CA7</f>
        <v>0</v>
      </c>
      <c r="BN256">
        <f>装备!CB7</f>
        <v>0</v>
      </c>
      <c r="BO256">
        <f>装备!CC7</f>
        <v>0</v>
      </c>
      <c r="BP256" t="str">
        <f t="shared" si="47"/>
        <v>InitUnitStateAttack('E005',0,0,0,0,0,0,0,0,0,0)</v>
      </c>
      <c r="BQ256">
        <f>装备!CD7</f>
        <v>0</v>
      </c>
      <c r="BR256">
        <f>装备!CE7</f>
        <v>0</v>
      </c>
      <c r="BS256">
        <f>装备!CF7</f>
        <v>0</v>
      </c>
      <c r="BT256">
        <f>装备!CG7</f>
        <v>0</v>
      </c>
      <c r="BU256">
        <f>装备!CH7</f>
        <v>0</v>
      </c>
      <c r="BV256">
        <f>装备!CI7</f>
        <v>0</v>
      </c>
      <c r="BW256">
        <f>装备!CJ7</f>
        <v>0</v>
      </c>
      <c r="BX256">
        <f>装备!CK7</f>
        <v>0</v>
      </c>
      <c r="BY256">
        <f>装备!CL7</f>
        <v>0</v>
      </c>
      <c r="BZ256">
        <f>装备!CM7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InitUnitState('E005',5000,0,0,0,0,0,0,0,13,0)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装备!B8</f>
        <v>E006</v>
      </c>
      <c r="B257">
        <f>装备!A8</f>
        <v>0</v>
      </c>
      <c r="C257">
        <f>装备!V8</f>
        <v>6400</v>
      </c>
      <c r="D257">
        <f>装备!W8</f>
        <v>0</v>
      </c>
      <c r="E257">
        <f>装备!X8</f>
        <v>0</v>
      </c>
      <c r="F257">
        <f>装备!Y8</f>
        <v>0</v>
      </c>
      <c r="G257">
        <f>装备!Z8</f>
        <v>0</v>
      </c>
      <c r="H257">
        <f>装备!AA8</f>
        <v>0</v>
      </c>
      <c r="I257">
        <f>装备!AB8</f>
        <v>0</v>
      </c>
      <c r="J257">
        <f>装备!AC8</f>
        <v>0</v>
      </c>
      <c r="K257">
        <f>装备!AD8</f>
        <v>26</v>
      </c>
      <c r="L257">
        <f>装备!AE8</f>
        <v>0</v>
      </c>
      <c r="M257" t="str">
        <f t="shared" si="42"/>
        <v>InitUnitState('E006',6400,0,0,0,0,0,0,0,26,0)</v>
      </c>
      <c r="N257">
        <f>装备!AF8</f>
        <v>0</v>
      </c>
      <c r="O257">
        <f>装备!AG8</f>
        <v>0</v>
      </c>
      <c r="P257">
        <f>装备!AH8</f>
        <v>0</v>
      </c>
      <c r="Q257">
        <f>装备!AI8</f>
        <v>0</v>
      </c>
      <c r="R257">
        <f>装备!AJ8</f>
        <v>0</v>
      </c>
      <c r="S257">
        <f>装备!AK8</f>
        <v>0</v>
      </c>
      <c r="T257">
        <f>装备!AL8</f>
        <v>0</v>
      </c>
      <c r="U257">
        <f>装备!AM8</f>
        <v>0</v>
      </c>
      <c r="V257">
        <f>装备!AN8</f>
        <v>3</v>
      </c>
      <c r="W257">
        <f>装备!AO8</f>
        <v>0</v>
      </c>
      <c r="X257" t="str">
        <f t="shared" si="43"/>
        <v>InitUnitNormal('E006',0,0,0,0,0,0,0,0,3,0)</v>
      </c>
      <c r="Y257">
        <f>装备!AP8</f>
        <v>0</v>
      </c>
      <c r="Z257">
        <f>装备!AQ8</f>
        <v>0</v>
      </c>
      <c r="AA257">
        <f>装备!AR8</f>
        <v>0</v>
      </c>
      <c r="AB257">
        <f>装备!AS8</f>
        <v>0</v>
      </c>
      <c r="AC257">
        <f>装备!AT8</f>
        <v>0</v>
      </c>
      <c r="AD257">
        <f>装备!AU8</f>
        <v>0</v>
      </c>
      <c r="AE257">
        <f>装备!AV8</f>
        <v>0</v>
      </c>
      <c r="AF257">
        <f>装备!AW8</f>
        <v>0</v>
      </c>
      <c r="AG257">
        <f>装备!AX8</f>
        <v>0</v>
      </c>
      <c r="AH257">
        <f>装备!AY8</f>
        <v>0</v>
      </c>
      <c r="AI257" t="str">
        <f t="shared" si="44"/>
        <v>InitUnitMagic('E006',0,0,0,0,0,0,0,0,0,0)</v>
      </c>
      <c r="AJ257">
        <f>装备!AZ8</f>
        <v>0</v>
      </c>
      <c r="AK257">
        <f>装备!BA8</f>
        <v>0</v>
      </c>
      <c r="AL257">
        <f>装备!BB8</f>
        <v>0</v>
      </c>
      <c r="AM257">
        <f>装备!BC8</f>
        <v>0</v>
      </c>
      <c r="AN257">
        <f>装备!BD8</f>
        <v>0</v>
      </c>
      <c r="AO257">
        <f>装备!BE8</f>
        <v>0</v>
      </c>
      <c r="AP257">
        <f>装备!BF8</f>
        <v>0</v>
      </c>
      <c r="AQ257">
        <f>装备!BG8</f>
        <v>0</v>
      </c>
      <c r="AR257">
        <f>装备!BH8</f>
        <v>0</v>
      </c>
      <c r="AS257">
        <f>装备!BI8</f>
        <v>0</v>
      </c>
      <c r="AT257" t="str">
        <f t="shared" si="45"/>
        <v>InitUnitAdd('E006',0,0,0,0,0,0,0,0,0,0)</v>
      </c>
      <c r="AU257">
        <f>装备!BJ8</f>
        <v>0</v>
      </c>
      <c r="AV257">
        <f>装备!BK8</f>
        <v>0</v>
      </c>
      <c r="AW257">
        <f>装备!BL8</f>
        <v>0</v>
      </c>
      <c r="AX257">
        <f>装备!BM8</f>
        <v>0</v>
      </c>
      <c r="AY257">
        <f>装备!BN8</f>
        <v>0</v>
      </c>
      <c r="AZ257">
        <f>装备!BO8</f>
        <v>0</v>
      </c>
      <c r="BA257">
        <f>装备!BP8</f>
        <v>0</v>
      </c>
      <c r="BB257">
        <f>装备!BQ8</f>
        <v>0</v>
      </c>
      <c r="BC257">
        <f>装备!BR8</f>
        <v>0</v>
      </c>
      <c r="BD257">
        <f>装备!BS8</f>
        <v>0</v>
      </c>
      <c r="BE257" t="str">
        <f t="shared" si="46"/>
        <v>InitUnitStateTime('E006',0,0,0,0,0,0,0,0,0,0)</v>
      </c>
      <c r="BF257">
        <f>装备!BT8</f>
        <v>0</v>
      </c>
      <c r="BG257">
        <f>装备!BU8</f>
        <v>0</v>
      </c>
      <c r="BH257">
        <f>装备!BV8</f>
        <v>0</v>
      </c>
      <c r="BI257">
        <f>装备!BW8</f>
        <v>0</v>
      </c>
      <c r="BJ257">
        <f>装备!BX8</f>
        <v>0</v>
      </c>
      <c r="BK257">
        <f>装备!BY8</f>
        <v>0</v>
      </c>
      <c r="BL257">
        <f>装备!BZ8</f>
        <v>0</v>
      </c>
      <c r="BM257">
        <f>装备!CA8</f>
        <v>0</v>
      </c>
      <c r="BN257">
        <f>装备!CB8</f>
        <v>0</v>
      </c>
      <c r="BO257">
        <f>装备!CC8</f>
        <v>0</v>
      </c>
      <c r="BP257" t="str">
        <f t="shared" si="47"/>
        <v>InitUnitStateAttack('E006',0,0,0,0,0,0,0,0,0,0)</v>
      </c>
      <c r="BQ257">
        <f>装备!CD8</f>
        <v>0</v>
      </c>
      <c r="BR257">
        <f>装备!CE8</f>
        <v>0</v>
      </c>
      <c r="BS257">
        <f>装备!CF8</f>
        <v>0</v>
      </c>
      <c r="BT257">
        <f>装备!CG8</f>
        <v>0</v>
      </c>
      <c r="BU257">
        <f>装备!CH8</f>
        <v>0</v>
      </c>
      <c r="BV257">
        <f>装备!CI8</f>
        <v>0</v>
      </c>
      <c r="BW257">
        <f>装备!CJ8</f>
        <v>0</v>
      </c>
      <c r="BX257">
        <f>装备!CK8</f>
        <v>0</v>
      </c>
      <c r="BY257">
        <f>装备!CL8</f>
        <v>0</v>
      </c>
      <c r="BZ257">
        <f>装备!CM8</f>
        <v>0</v>
      </c>
      <c r="CA257" t="str">
        <f t="shared" si="48"/>
        <v>InitUnitStateUpUp('E006',0,0,0,0,0,0,0,0,0,0)</v>
      </c>
      <c r="CB257" t="str">
        <f t="shared" si="49"/>
        <v>InitUnitState('E006',6400,0,0,0,0,0,0,0,26,0)</v>
      </c>
      <c r="CC257" t="str">
        <f t="shared" si="50"/>
        <v>InitUnitNormal('E006',0,0,0,0,0,0,0,0,3,0)</v>
      </c>
      <c r="CD257" t="str">
        <f t="shared" si="51"/>
        <v/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装备!B9</f>
        <v>E007</v>
      </c>
      <c r="B258">
        <f>装备!A9</f>
        <v>0</v>
      </c>
      <c r="C258">
        <f>装备!V9</f>
        <v>7800</v>
      </c>
      <c r="D258">
        <f>装备!W9</f>
        <v>0</v>
      </c>
      <c r="E258">
        <f>装备!X9</f>
        <v>0</v>
      </c>
      <c r="F258">
        <f>装备!Y9</f>
        <v>0</v>
      </c>
      <c r="G258">
        <f>装备!Z9</f>
        <v>0</v>
      </c>
      <c r="H258">
        <f>装备!AA9</f>
        <v>0</v>
      </c>
      <c r="I258">
        <f>装备!AB9</f>
        <v>0</v>
      </c>
      <c r="J258">
        <f>装备!AC9</f>
        <v>0</v>
      </c>
      <c r="K258">
        <f>装备!AD9</f>
        <v>26</v>
      </c>
      <c r="L258">
        <f>装备!AE9</f>
        <v>0</v>
      </c>
      <c r="M258" t="str">
        <f t="shared" si="42"/>
        <v>InitUnitState('E007',7800,0,0,0,0,0,0,0,26,0)</v>
      </c>
      <c r="N258">
        <f>装备!AF9</f>
        <v>0</v>
      </c>
      <c r="O258">
        <f>装备!AG9</f>
        <v>0</v>
      </c>
      <c r="P258">
        <f>装备!AH9</f>
        <v>0</v>
      </c>
      <c r="Q258">
        <f>装备!AI9</f>
        <v>0</v>
      </c>
      <c r="R258">
        <f>装备!AJ9</f>
        <v>0</v>
      </c>
      <c r="S258">
        <f>装备!AK9</f>
        <v>0</v>
      </c>
      <c r="T258">
        <f>装备!AL9</f>
        <v>0</v>
      </c>
      <c r="U258">
        <f>装备!AM9</f>
        <v>0</v>
      </c>
      <c r="V258">
        <f>装备!AN9</f>
        <v>3</v>
      </c>
      <c r="W258">
        <f>装备!AO9</f>
        <v>0</v>
      </c>
      <c r="X258" t="str">
        <f t="shared" si="43"/>
        <v>InitUnitNormal('E007',0,0,0,0,0,0,0,0,3,0)</v>
      </c>
      <c r="Y258">
        <f>装备!AP9</f>
        <v>0</v>
      </c>
      <c r="Z258">
        <f>装备!AQ9</f>
        <v>0</v>
      </c>
      <c r="AA258">
        <f>装备!AR9</f>
        <v>0</v>
      </c>
      <c r="AB258">
        <f>装备!AS9</f>
        <v>0</v>
      </c>
      <c r="AC258">
        <f>装备!AT9</f>
        <v>0</v>
      </c>
      <c r="AD258">
        <f>装备!AU9</f>
        <v>0</v>
      </c>
      <c r="AE258">
        <f>装备!AV9</f>
        <v>0</v>
      </c>
      <c r="AF258">
        <f>装备!AW9</f>
        <v>0</v>
      </c>
      <c r="AG258">
        <f>装备!AX9</f>
        <v>0</v>
      </c>
      <c r="AH258">
        <f>装备!AY9</f>
        <v>0</v>
      </c>
      <c r="AI258" t="str">
        <f t="shared" si="44"/>
        <v>InitUnitMagic('E007',0,0,0,0,0,0,0,0,0,0)</v>
      </c>
      <c r="AJ258">
        <f>装备!AZ9</f>
        <v>0</v>
      </c>
      <c r="AK258">
        <f>装备!BA9</f>
        <v>0</v>
      </c>
      <c r="AL258">
        <f>装备!BB9</f>
        <v>0</v>
      </c>
      <c r="AM258">
        <f>装备!BC9</f>
        <v>0</v>
      </c>
      <c r="AN258">
        <f>装备!BD9</f>
        <v>0</v>
      </c>
      <c r="AO258">
        <f>装备!BE9</f>
        <v>0</v>
      </c>
      <c r="AP258">
        <f>装备!BF9</f>
        <v>0</v>
      </c>
      <c r="AQ258">
        <f>装备!BG9</f>
        <v>0</v>
      </c>
      <c r="AR258">
        <f>装备!BH9</f>
        <v>0</v>
      </c>
      <c r="AS258">
        <f>装备!BI9</f>
        <v>0</v>
      </c>
      <c r="AT258" t="str">
        <f t="shared" si="45"/>
        <v>InitUnitAdd('E007',0,0,0,0,0,0,0,0,0,0)</v>
      </c>
      <c r="AU258">
        <f>装备!BJ9</f>
        <v>0</v>
      </c>
      <c r="AV258">
        <f>装备!BK9</f>
        <v>0</v>
      </c>
      <c r="AW258">
        <f>装备!BL9</f>
        <v>0</v>
      </c>
      <c r="AX258">
        <f>装备!BM9</f>
        <v>0</v>
      </c>
      <c r="AY258">
        <f>装备!BN9</f>
        <v>0</v>
      </c>
      <c r="AZ258">
        <f>装备!BO9</f>
        <v>0</v>
      </c>
      <c r="BA258">
        <f>装备!BP9</f>
        <v>0</v>
      </c>
      <c r="BB258">
        <f>装备!BQ9</f>
        <v>0</v>
      </c>
      <c r="BC258">
        <f>装备!BR9</f>
        <v>0</v>
      </c>
      <c r="BD258">
        <f>装备!BS9</f>
        <v>0</v>
      </c>
      <c r="BE258" t="str">
        <f t="shared" si="46"/>
        <v>InitUnitStateTime('E007',0,0,0,0,0,0,0,0,0,0)</v>
      </c>
      <c r="BF258">
        <f>装备!BT9</f>
        <v>0</v>
      </c>
      <c r="BG258">
        <f>装备!BU9</f>
        <v>0</v>
      </c>
      <c r="BH258">
        <f>装备!BV9</f>
        <v>0</v>
      </c>
      <c r="BI258">
        <f>装备!BW9</f>
        <v>0</v>
      </c>
      <c r="BJ258">
        <f>装备!BX9</f>
        <v>0</v>
      </c>
      <c r="BK258">
        <f>装备!BY9</f>
        <v>0</v>
      </c>
      <c r="BL258">
        <f>装备!BZ9</f>
        <v>0</v>
      </c>
      <c r="BM258">
        <f>装备!CA9</f>
        <v>0</v>
      </c>
      <c r="BN258">
        <f>装备!CB9</f>
        <v>0</v>
      </c>
      <c r="BO258">
        <f>装备!CC9</f>
        <v>0</v>
      </c>
      <c r="BP258" t="str">
        <f t="shared" si="47"/>
        <v>InitUnitStateAttack('E007',0,0,0,0,0,0,0,0,0,0)</v>
      </c>
      <c r="BQ258">
        <f>装备!CD9</f>
        <v>0</v>
      </c>
      <c r="BR258">
        <f>装备!CE9</f>
        <v>0</v>
      </c>
      <c r="BS258">
        <f>装备!CF9</f>
        <v>0</v>
      </c>
      <c r="BT258">
        <f>装备!CG9</f>
        <v>0</v>
      </c>
      <c r="BU258">
        <f>装备!CH9</f>
        <v>0</v>
      </c>
      <c r="BV258">
        <f>装备!CI9</f>
        <v>0</v>
      </c>
      <c r="BW258">
        <f>装备!CJ9</f>
        <v>0</v>
      </c>
      <c r="BX258">
        <f>装备!CK9</f>
        <v>0</v>
      </c>
      <c r="BY258">
        <f>装备!CL9</f>
        <v>0</v>
      </c>
      <c r="BZ258">
        <f>装备!CM9</f>
        <v>0</v>
      </c>
      <c r="CA258" t="str">
        <f t="shared" si="48"/>
        <v>InitUnitStateUpUp('E007',0,0,0,0,0,0,0,0,0,0)</v>
      </c>
      <c r="CB258" t="str">
        <f t="shared" si="49"/>
        <v>InitUnitState('E007',7800,0,0,0,0,0,0,0,26,0)</v>
      </c>
      <c r="CC258" t="str">
        <f t="shared" si="50"/>
        <v>InitUnitNormal('E007',0,0,0,0,0,0,0,0,3,0)</v>
      </c>
      <c r="CD258" t="str">
        <f t="shared" si="51"/>
        <v/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装备!B10</f>
        <v>E008</v>
      </c>
      <c r="B259">
        <f>装备!A10</f>
        <v>0</v>
      </c>
      <c r="C259">
        <f>装备!V10</f>
        <v>9200</v>
      </c>
      <c r="D259">
        <f>装备!W10</f>
        <v>0</v>
      </c>
      <c r="E259">
        <f>装备!X10</f>
        <v>0</v>
      </c>
      <c r="F259">
        <f>装备!Y10</f>
        <v>0</v>
      </c>
      <c r="G259">
        <f>装备!Z10</f>
        <v>0</v>
      </c>
      <c r="H259">
        <f>装备!AA10</f>
        <v>0</v>
      </c>
      <c r="I259">
        <f>装备!AB10</f>
        <v>0</v>
      </c>
      <c r="J259">
        <f>装备!AC10</f>
        <v>0</v>
      </c>
      <c r="K259">
        <f>装备!AD10</f>
        <v>26</v>
      </c>
      <c r="L259">
        <f>装备!AE10</f>
        <v>0</v>
      </c>
      <c r="M259" t="str">
        <f t="shared" si="42"/>
        <v>InitUnitState('E008',9200,0,0,0,0,0,0,0,26,0)</v>
      </c>
      <c r="N259">
        <f>装备!AF10</f>
        <v>0</v>
      </c>
      <c r="O259">
        <f>装备!AG10</f>
        <v>0</v>
      </c>
      <c r="P259">
        <f>装备!AH10</f>
        <v>0</v>
      </c>
      <c r="Q259">
        <f>装备!AI10</f>
        <v>0</v>
      </c>
      <c r="R259">
        <f>装备!AJ10</f>
        <v>0</v>
      </c>
      <c r="S259">
        <f>装备!AK10</f>
        <v>0</v>
      </c>
      <c r="T259">
        <f>装备!AL10</f>
        <v>0</v>
      </c>
      <c r="U259">
        <f>装备!AM10</f>
        <v>0</v>
      </c>
      <c r="V259">
        <f>装备!AN10</f>
        <v>3</v>
      </c>
      <c r="W259">
        <f>装备!AO10</f>
        <v>0</v>
      </c>
      <c r="X259" t="str">
        <f t="shared" si="43"/>
        <v>InitUnitNormal('E008',0,0,0,0,0,0,0,0,3,0)</v>
      </c>
      <c r="Y259">
        <f>装备!AP10</f>
        <v>0</v>
      </c>
      <c r="Z259">
        <f>装备!AQ10</f>
        <v>0</v>
      </c>
      <c r="AA259">
        <f>装备!AR10</f>
        <v>0</v>
      </c>
      <c r="AB259">
        <f>装备!AS10</f>
        <v>0</v>
      </c>
      <c r="AC259">
        <f>装备!AT10</f>
        <v>0</v>
      </c>
      <c r="AD259">
        <f>装备!AU10</f>
        <v>0</v>
      </c>
      <c r="AE259">
        <f>装备!AV10</f>
        <v>0</v>
      </c>
      <c r="AF259">
        <f>装备!AW10</f>
        <v>0</v>
      </c>
      <c r="AG259">
        <f>装备!AX10</f>
        <v>0</v>
      </c>
      <c r="AH259">
        <f>装备!AY10</f>
        <v>0</v>
      </c>
      <c r="AI259" t="str">
        <f t="shared" si="44"/>
        <v>InitUnitMagic('E008',0,0,0,0,0,0,0,0,0,0)</v>
      </c>
      <c r="AJ259">
        <f>装备!AZ10</f>
        <v>0</v>
      </c>
      <c r="AK259">
        <f>装备!BA10</f>
        <v>0</v>
      </c>
      <c r="AL259">
        <f>装备!BB10</f>
        <v>0</v>
      </c>
      <c r="AM259">
        <f>装备!BC10</f>
        <v>0</v>
      </c>
      <c r="AN259">
        <f>装备!BD10</f>
        <v>0</v>
      </c>
      <c r="AO259">
        <f>装备!BE10</f>
        <v>0</v>
      </c>
      <c r="AP259">
        <f>装备!BF10</f>
        <v>0</v>
      </c>
      <c r="AQ259">
        <f>装备!BG10</f>
        <v>0</v>
      </c>
      <c r="AR259">
        <f>装备!BH10</f>
        <v>0</v>
      </c>
      <c r="AS259">
        <f>装备!BI10</f>
        <v>0</v>
      </c>
      <c r="AT259" t="str">
        <f t="shared" si="45"/>
        <v>InitUnitAdd('E008',0,0,0,0,0,0,0,0,0,0)</v>
      </c>
      <c r="AU259">
        <f>装备!BJ10</f>
        <v>0</v>
      </c>
      <c r="AV259">
        <f>装备!BK10</f>
        <v>0</v>
      </c>
      <c r="AW259">
        <f>装备!BL10</f>
        <v>0</v>
      </c>
      <c r="AX259">
        <f>装备!BM10</f>
        <v>0</v>
      </c>
      <c r="AY259">
        <f>装备!BN10</f>
        <v>0</v>
      </c>
      <c r="AZ259">
        <f>装备!BO10</f>
        <v>0</v>
      </c>
      <c r="BA259">
        <f>装备!BP10</f>
        <v>0</v>
      </c>
      <c r="BB259">
        <f>装备!BQ10</f>
        <v>0</v>
      </c>
      <c r="BC259">
        <f>装备!BR10</f>
        <v>0</v>
      </c>
      <c r="BD259">
        <f>装备!BS10</f>
        <v>0</v>
      </c>
      <c r="BE259" t="str">
        <f t="shared" si="46"/>
        <v>InitUnitStateTime('E008',0,0,0,0,0,0,0,0,0,0)</v>
      </c>
      <c r="BF259">
        <f>装备!BT10</f>
        <v>0</v>
      </c>
      <c r="BG259">
        <f>装备!BU10</f>
        <v>0</v>
      </c>
      <c r="BH259">
        <f>装备!BV10</f>
        <v>0</v>
      </c>
      <c r="BI259">
        <f>装备!BW10</f>
        <v>0</v>
      </c>
      <c r="BJ259">
        <f>装备!BX10</f>
        <v>0</v>
      </c>
      <c r="BK259">
        <f>装备!BY10</f>
        <v>0</v>
      </c>
      <c r="BL259">
        <f>装备!BZ10</f>
        <v>0</v>
      </c>
      <c r="BM259">
        <f>装备!CA10</f>
        <v>0</v>
      </c>
      <c r="BN259">
        <f>装备!CB10</f>
        <v>0</v>
      </c>
      <c r="BO259">
        <f>装备!CC10</f>
        <v>0</v>
      </c>
      <c r="BP259" t="str">
        <f t="shared" si="47"/>
        <v>InitUnitStateAttack('E008',0,0,0,0,0,0,0,0,0,0)</v>
      </c>
      <c r="BQ259">
        <f>装备!CD10</f>
        <v>0</v>
      </c>
      <c r="BR259">
        <f>装备!CE10</f>
        <v>0</v>
      </c>
      <c r="BS259">
        <f>装备!CF10</f>
        <v>0</v>
      </c>
      <c r="BT259">
        <f>装备!CG10</f>
        <v>0</v>
      </c>
      <c r="BU259">
        <f>装备!CH10</f>
        <v>0</v>
      </c>
      <c r="BV259">
        <f>装备!CI10</f>
        <v>0</v>
      </c>
      <c r="BW259">
        <f>装备!CJ10</f>
        <v>0</v>
      </c>
      <c r="BX259">
        <f>装备!CK10</f>
        <v>0</v>
      </c>
      <c r="BY259">
        <f>装备!CL10</f>
        <v>0</v>
      </c>
      <c r="BZ259">
        <f>装备!CM10</f>
        <v>0</v>
      </c>
      <c r="CA259" t="str">
        <f t="shared" si="48"/>
        <v>InitUnitStateUpUp('E008',0,0,0,0,0,0,0,0,0,0)</v>
      </c>
      <c r="CB259" t="str">
        <f t="shared" si="49"/>
        <v>InitUnitState('E008',9200,0,0,0,0,0,0,0,26,0)</v>
      </c>
      <c r="CC259" t="str">
        <f t="shared" si="50"/>
        <v>InitUnitNormal('E008',0,0,0,0,0,0,0,0,3,0)</v>
      </c>
      <c r="CD259" t="str">
        <f t="shared" si="51"/>
        <v/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装备!B11</f>
        <v>E009</v>
      </c>
      <c r="B260">
        <f>装备!A11</f>
        <v>0</v>
      </c>
      <c r="C260">
        <f>装备!V11</f>
        <v>10600</v>
      </c>
      <c r="D260">
        <f>装备!W11</f>
        <v>0</v>
      </c>
      <c r="E260">
        <f>装备!X11</f>
        <v>0</v>
      </c>
      <c r="F260">
        <f>装备!Y11</f>
        <v>0</v>
      </c>
      <c r="G260">
        <f>装备!Z11</f>
        <v>0</v>
      </c>
      <c r="H260">
        <f>装备!AA11</f>
        <v>0</v>
      </c>
      <c r="I260">
        <f>装备!AB11</f>
        <v>0</v>
      </c>
      <c r="J260">
        <f>装备!AC11</f>
        <v>0</v>
      </c>
      <c r="K260">
        <f>装备!AD11</f>
        <v>26</v>
      </c>
      <c r="L260">
        <f>装备!AE11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InitUnitState('E009',10600,0,0,0,0,0,0,0,26,0)</v>
      </c>
      <c r="N260">
        <f>装备!AF11</f>
        <v>0</v>
      </c>
      <c r="O260">
        <f>装备!AG11</f>
        <v>0</v>
      </c>
      <c r="P260">
        <f>装备!AH11</f>
        <v>0</v>
      </c>
      <c r="Q260">
        <f>装备!AI11</f>
        <v>0</v>
      </c>
      <c r="R260">
        <f>装备!AJ11</f>
        <v>0</v>
      </c>
      <c r="S260">
        <f>装备!AK11</f>
        <v>0</v>
      </c>
      <c r="T260">
        <f>装备!AL11</f>
        <v>0</v>
      </c>
      <c r="U260">
        <f>装备!AM11</f>
        <v>0</v>
      </c>
      <c r="V260">
        <f>装备!AN11</f>
        <v>3</v>
      </c>
      <c r="W260">
        <f>装备!AO11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InitUnitNormal('E009',0,0,0,0,0,0,0,0,3,0)</v>
      </c>
      <c r="Y260">
        <f>装备!AP11</f>
        <v>0</v>
      </c>
      <c r="Z260">
        <f>装备!AQ11</f>
        <v>0</v>
      </c>
      <c r="AA260">
        <f>装备!AR11</f>
        <v>0</v>
      </c>
      <c r="AB260">
        <f>装备!AS11</f>
        <v>0</v>
      </c>
      <c r="AC260">
        <f>装备!AT11</f>
        <v>0</v>
      </c>
      <c r="AD260">
        <f>装备!AU11</f>
        <v>0</v>
      </c>
      <c r="AE260">
        <f>装备!AV11</f>
        <v>0</v>
      </c>
      <c r="AF260">
        <f>装备!AW11</f>
        <v>0</v>
      </c>
      <c r="AG260">
        <f>装备!AX11</f>
        <v>0</v>
      </c>
      <c r="AH260">
        <f>装备!AY11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InitUnitMagic('E009',0,0,0,0,0,0,0,0,0,0)</v>
      </c>
      <c r="AJ260">
        <f>装备!AZ11</f>
        <v>0</v>
      </c>
      <c r="AK260">
        <f>装备!BA11</f>
        <v>0</v>
      </c>
      <c r="AL260">
        <f>装备!BB11</f>
        <v>0</v>
      </c>
      <c r="AM260">
        <f>装备!BC11</f>
        <v>0</v>
      </c>
      <c r="AN260">
        <f>装备!BD11</f>
        <v>0</v>
      </c>
      <c r="AO260">
        <f>装备!BE11</f>
        <v>0</v>
      </c>
      <c r="AP260">
        <f>装备!BF11</f>
        <v>0</v>
      </c>
      <c r="AQ260">
        <f>装备!BG11</f>
        <v>0</v>
      </c>
      <c r="AR260">
        <f>装备!BH11</f>
        <v>0</v>
      </c>
      <c r="AS260">
        <f>装备!BI11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装备!BJ11</f>
        <v>0</v>
      </c>
      <c r="AV260">
        <f>装备!BK11</f>
        <v>0</v>
      </c>
      <c r="AW260">
        <f>装备!BL11</f>
        <v>0</v>
      </c>
      <c r="AX260">
        <f>装备!BM11</f>
        <v>0</v>
      </c>
      <c r="AY260">
        <f>装备!BN11</f>
        <v>0</v>
      </c>
      <c r="AZ260">
        <f>装备!BO11</f>
        <v>0</v>
      </c>
      <c r="BA260">
        <f>装备!BP11</f>
        <v>0</v>
      </c>
      <c r="BB260">
        <f>装备!BQ11</f>
        <v>0</v>
      </c>
      <c r="BC260">
        <f>装备!BR11</f>
        <v>0</v>
      </c>
      <c r="BD260">
        <f>装备!BS11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装备!BT11</f>
        <v>0</v>
      </c>
      <c r="BG260">
        <f>装备!BU11</f>
        <v>0</v>
      </c>
      <c r="BH260">
        <f>装备!BV11</f>
        <v>0</v>
      </c>
      <c r="BI260">
        <f>装备!BW11</f>
        <v>0</v>
      </c>
      <c r="BJ260">
        <f>装备!BX11</f>
        <v>0</v>
      </c>
      <c r="BK260">
        <f>装备!BY11</f>
        <v>0</v>
      </c>
      <c r="BL260">
        <f>装备!BZ11</f>
        <v>0</v>
      </c>
      <c r="BM260">
        <f>装备!CA11</f>
        <v>0</v>
      </c>
      <c r="BN260">
        <f>装备!CB11</f>
        <v>0</v>
      </c>
      <c r="BO260">
        <f>装备!CC11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装备!CD11</f>
        <v>0</v>
      </c>
      <c r="BR260">
        <f>装备!CE11</f>
        <v>0</v>
      </c>
      <c r="BS260">
        <f>装备!CF11</f>
        <v>0</v>
      </c>
      <c r="BT260">
        <f>装备!CG11</f>
        <v>0</v>
      </c>
      <c r="BU260">
        <f>装备!CH11</f>
        <v>0</v>
      </c>
      <c r="BV260">
        <f>装备!CI11</f>
        <v>0</v>
      </c>
      <c r="BW260">
        <f>装备!CJ11</f>
        <v>0</v>
      </c>
      <c r="BX260">
        <f>装备!CK11</f>
        <v>0</v>
      </c>
      <c r="BY260">
        <f>装备!CL11</f>
        <v>0</v>
      </c>
      <c r="BZ260">
        <f>装备!CM11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InitUnitState('E009',10600,0,0,0,0,0,0,0,26,0)</v>
      </c>
      <c r="CC260" t="str">
        <f t="shared" ref="CC260:CC313" si="64">IF(ISERROR(FIND(",0,0,0,0,0,0,0,0,0,0)",X260)),X260,"")</f>
        <v>InitUnitNormal('E009',0,0,0,0,0,0,0,0,3,0)</v>
      </c>
      <c r="CD260" t="str">
        <f t="shared" ref="CD260:CD313" si="65">IF(ISERROR(FIND(",0,0,0,0,0,0,0,0,0,0)",AI260)),AI260,"")</f>
        <v/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装备!B12</f>
        <v>E010</v>
      </c>
      <c r="B261">
        <f>装备!A12</f>
        <v>0</v>
      </c>
      <c r="C261">
        <f>装备!V12</f>
        <v>12000</v>
      </c>
      <c r="D261">
        <f>装备!W12</f>
        <v>0</v>
      </c>
      <c r="E261">
        <f>装备!X12</f>
        <v>0</v>
      </c>
      <c r="F261">
        <f>装备!Y12</f>
        <v>0</v>
      </c>
      <c r="G261">
        <f>装备!Z12</f>
        <v>0</v>
      </c>
      <c r="H261">
        <f>装备!AA12</f>
        <v>0</v>
      </c>
      <c r="I261">
        <f>装备!AB12</f>
        <v>0</v>
      </c>
      <c r="J261">
        <f>装备!AC12</f>
        <v>0</v>
      </c>
      <c r="K261">
        <f>装备!AD12</f>
        <v>26</v>
      </c>
      <c r="L261">
        <f>装备!AE12</f>
        <v>0</v>
      </c>
      <c r="M261" t="str">
        <f t="shared" si="56"/>
        <v>InitUnitState('E010',12000,0,0,0,0,0,0,0,26,0)</v>
      </c>
      <c r="N261">
        <f>装备!AF12</f>
        <v>0</v>
      </c>
      <c r="O261">
        <f>装备!AG12</f>
        <v>0</v>
      </c>
      <c r="P261">
        <f>装备!AH12</f>
        <v>0</v>
      </c>
      <c r="Q261">
        <f>装备!AI12</f>
        <v>0</v>
      </c>
      <c r="R261">
        <f>装备!AJ12</f>
        <v>0</v>
      </c>
      <c r="S261">
        <f>装备!AK12</f>
        <v>0</v>
      </c>
      <c r="T261">
        <f>装备!AL12</f>
        <v>0</v>
      </c>
      <c r="U261">
        <f>装备!AM12</f>
        <v>0</v>
      </c>
      <c r="V261">
        <f>装备!AN12</f>
        <v>3</v>
      </c>
      <c r="W261">
        <f>装备!AO12</f>
        <v>0</v>
      </c>
      <c r="X261" t="str">
        <f t="shared" si="57"/>
        <v>InitUnitNormal('E010',0,0,0,0,0,0,0,0,3,0)</v>
      </c>
      <c r="Y261">
        <f>装备!AP12</f>
        <v>0</v>
      </c>
      <c r="Z261">
        <f>装备!AQ12</f>
        <v>0</v>
      </c>
      <c r="AA261">
        <f>装备!AR12</f>
        <v>0</v>
      </c>
      <c r="AB261">
        <f>装备!AS12</f>
        <v>0</v>
      </c>
      <c r="AC261">
        <f>装备!AT12</f>
        <v>0</v>
      </c>
      <c r="AD261">
        <f>装备!AU12</f>
        <v>0</v>
      </c>
      <c r="AE261">
        <f>装备!AV12</f>
        <v>0</v>
      </c>
      <c r="AF261">
        <f>装备!AW12</f>
        <v>0</v>
      </c>
      <c r="AG261">
        <f>装备!AX12</f>
        <v>0</v>
      </c>
      <c r="AH261">
        <f>装备!AY12</f>
        <v>0</v>
      </c>
      <c r="AI261" t="str">
        <f t="shared" si="58"/>
        <v>InitUnitMagic('E010',0,0,0,0,0,0,0,0,0,0)</v>
      </c>
      <c r="AJ261">
        <f>装备!AZ12</f>
        <v>0</v>
      </c>
      <c r="AK261">
        <f>装备!BA12</f>
        <v>0</v>
      </c>
      <c r="AL261">
        <f>装备!BB12</f>
        <v>0</v>
      </c>
      <c r="AM261">
        <f>装备!BC12</f>
        <v>0</v>
      </c>
      <c r="AN261">
        <f>装备!BD12</f>
        <v>0</v>
      </c>
      <c r="AO261">
        <f>装备!BE12</f>
        <v>0</v>
      </c>
      <c r="AP261">
        <f>装备!BF12</f>
        <v>0</v>
      </c>
      <c r="AQ261">
        <f>装备!BG12</f>
        <v>0</v>
      </c>
      <c r="AR261">
        <f>装备!BH12</f>
        <v>0</v>
      </c>
      <c r="AS261">
        <f>装备!BI12</f>
        <v>0</v>
      </c>
      <c r="AT261" t="str">
        <f t="shared" si="59"/>
        <v>InitUnitAdd('E010',0,0,0,0,0,0,0,0,0,0)</v>
      </c>
      <c r="AU261">
        <f>装备!BJ12</f>
        <v>0</v>
      </c>
      <c r="AV261">
        <f>装备!BK12</f>
        <v>0</v>
      </c>
      <c r="AW261">
        <f>装备!BL12</f>
        <v>0</v>
      </c>
      <c r="AX261">
        <f>装备!BM12</f>
        <v>0</v>
      </c>
      <c r="AY261">
        <f>装备!BN12</f>
        <v>0</v>
      </c>
      <c r="AZ261">
        <f>装备!BO12</f>
        <v>0</v>
      </c>
      <c r="BA261">
        <f>装备!BP12</f>
        <v>0</v>
      </c>
      <c r="BB261">
        <f>装备!BQ12</f>
        <v>0</v>
      </c>
      <c r="BC261">
        <f>装备!BR12</f>
        <v>0</v>
      </c>
      <c r="BD261">
        <f>装备!BS12</f>
        <v>0</v>
      </c>
      <c r="BE261" t="str">
        <f t="shared" si="60"/>
        <v>InitUnitStateTime('E010',0,0,0,0,0,0,0,0,0,0)</v>
      </c>
      <c r="BF261">
        <f>装备!BT12</f>
        <v>0</v>
      </c>
      <c r="BG261">
        <f>装备!BU12</f>
        <v>0</v>
      </c>
      <c r="BH261">
        <f>装备!BV12</f>
        <v>0</v>
      </c>
      <c r="BI261">
        <f>装备!BW12</f>
        <v>0</v>
      </c>
      <c r="BJ261">
        <f>装备!BX12</f>
        <v>0</v>
      </c>
      <c r="BK261">
        <f>装备!BY12</f>
        <v>0</v>
      </c>
      <c r="BL261">
        <f>装备!BZ12</f>
        <v>0</v>
      </c>
      <c r="BM261">
        <f>装备!CA12</f>
        <v>0</v>
      </c>
      <c r="BN261">
        <f>装备!CB12</f>
        <v>0</v>
      </c>
      <c r="BO261">
        <f>装备!CC12</f>
        <v>0</v>
      </c>
      <c r="BP261" t="str">
        <f t="shared" si="61"/>
        <v>InitUnitStateAttack('E010',0,0,0,0,0,0,0,0,0,0)</v>
      </c>
      <c r="BQ261">
        <f>装备!CD12</f>
        <v>0</v>
      </c>
      <c r="BR261">
        <f>装备!CE12</f>
        <v>0</v>
      </c>
      <c r="BS261">
        <f>装备!CF12</f>
        <v>0</v>
      </c>
      <c r="BT261">
        <f>装备!CG12</f>
        <v>0</v>
      </c>
      <c r="BU261">
        <f>装备!CH12</f>
        <v>0</v>
      </c>
      <c r="BV261">
        <f>装备!CI12</f>
        <v>0</v>
      </c>
      <c r="BW261">
        <f>装备!CJ12</f>
        <v>0</v>
      </c>
      <c r="BX261">
        <f>装备!CK12</f>
        <v>0</v>
      </c>
      <c r="BY261">
        <f>装备!CL12</f>
        <v>0</v>
      </c>
      <c r="BZ261">
        <f>装备!CM12</f>
        <v>0</v>
      </c>
      <c r="CA261" t="str">
        <f t="shared" si="62"/>
        <v>InitUnitStateUpUp('E010',0,0,0,0,0,0,0,0,0,0)</v>
      </c>
      <c r="CB261" t="str">
        <f t="shared" si="63"/>
        <v>InitUnitState('E010',12000,0,0,0,0,0,0,0,26,0)</v>
      </c>
      <c r="CC261" t="str">
        <f t="shared" si="64"/>
        <v>InitUnitNormal('E010',0,0,0,0,0,0,0,0,3,0)</v>
      </c>
      <c r="CD261" t="str">
        <f t="shared" si="65"/>
        <v/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装备!B13</f>
        <v>E011</v>
      </c>
      <c r="B262">
        <f>装备!A13</f>
        <v>0</v>
      </c>
      <c r="C262">
        <f>装备!V13</f>
        <v>14200</v>
      </c>
      <c r="D262">
        <f>装备!W13</f>
        <v>0</v>
      </c>
      <c r="E262">
        <f>装备!X13</f>
        <v>0</v>
      </c>
      <c r="F262">
        <f>装备!Y13</f>
        <v>0</v>
      </c>
      <c r="G262">
        <f>装备!Z13</f>
        <v>0</v>
      </c>
      <c r="H262">
        <f>装备!AA13</f>
        <v>0</v>
      </c>
      <c r="I262">
        <f>装备!AB13</f>
        <v>0</v>
      </c>
      <c r="J262">
        <f>装备!AC13</f>
        <v>0</v>
      </c>
      <c r="K262">
        <f>装备!AD13</f>
        <v>40</v>
      </c>
      <c r="L262">
        <f>装备!AE13</f>
        <v>0</v>
      </c>
      <c r="M262" t="str">
        <f t="shared" si="56"/>
        <v>InitUnitState('E011',14200,0,0,0,0,0,0,0,40,0)</v>
      </c>
      <c r="N262">
        <f>装备!AF13</f>
        <v>0</v>
      </c>
      <c r="O262">
        <f>装备!AG13</f>
        <v>0</v>
      </c>
      <c r="P262">
        <f>装备!AH13</f>
        <v>0</v>
      </c>
      <c r="Q262">
        <f>装备!AI13</f>
        <v>0</v>
      </c>
      <c r="R262">
        <f>装备!AJ13</f>
        <v>0</v>
      </c>
      <c r="S262">
        <f>装备!AK13</f>
        <v>0</v>
      </c>
      <c r="T262">
        <f>装备!AL13</f>
        <v>0</v>
      </c>
      <c r="U262">
        <f>装备!AM13</f>
        <v>0</v>
      </c>
      <c r="V262">
        <f>装备!AN13</f>
        <v>6</v>
      </c>
      <c r="W262">
        <f>装备!AO13</f>
        <v>0</v>
      </c>
      <c r="X262" t="str">
        <f t="shared" si="57"/>
        <v>InitUnitNormal('E011',0,0,0,0,0,0,0,0,6,0)</v>
      </c>
      <c r="Y262">
        <f>装备!AP13</f>
        <v>0</v>
      </c>
      <c r="Z262">
        <f>装备!AQ13</f>
        <v>0</v>
      </c>
      <c r="AA262">
        <f>装备!AR13</f>
        <v>0</v>
      </c>
      <c r="AB262">
        <f>装备!AS13</f>
        <v>0</v>
      </c>
      <c r="AC262">
        <f>装备!AT13</f>
        <v>0</v>
      </c>
      <c r="AD262">
        <f>装备!AU13</f>
        <v>0</v>
      </c>
      <c r="AE262">
        <f>装备!AV13</f>
        <v>0</v>
      </c>
      <c r="AF262">
        <f>装备!AW13</f>
        <v>0</v>
      </c>
      <c r="AG262">
        <f>装备!AX13</f>
        <v>0</v>
      </c>
      <c r="AH262">
        <f>装备!AY13</f>
        <v>0</v>
      </c>
      <c r="AI262" t="str">
        <f t="shared" si="58"/>
        <v>InitUnitMagic('E011',0,0,0,0,0,0,0,0,0,0)</v>
      </c>
      <c r="AJ262">
        <f>装备!AZ13</f>
        <v>0</v>
      </c>
      <c r="AK262">
        <f>装备!BA13</f>
        <v>0</v>
      </c>
      <c r="AL262">
        <f>装备!BB13</f>
        <v>0</v>
      </c>
      <c r="AM262">
        <f>装备!BC13</f>
        <v>0</v>
      </c>
      <c r="AN262">
        <f>装备!BD13</f>
        <v>0</v>
      </c>
      <c r="AO262">
        <f>装备!BE13</f>
        <v>0</v>
      </c>
      <c r="AP262">
        <f>装备!BF13</f>
        <v>0</v>
      </c>
      <c r="AQ262">
        <f>装备!BG13</f>
        <v>0</v>
      </c>
      <c r="AR262">
        <f>装备!BH13</f>
        <v>0</v>
      </c>
      <c r="AS262">
        <f>装备!BI13</f>
        <v>0</v>
      </c>
      <c r="AT262" t="str">
        <f t="shared" si="59"/>
        <v>InitUnitAdd('E011',0,0,0,0,0,0,0,0,0,0)</v>
      </c>
      <c r="AU262">
        <f>装备!BJ13</f>
        <v>0</v>
      </c>
      <c r="AV262">
        <f>装备!BK13</f>
        <v>0</v>
      </c>
      <c r="AW262">
        <f>装备!BL13</f>
        <v>0</v>
      </c>
      <c r="AX262">
        <f>装备!BM13</f>
        <v>0</v>
      </c>
      <c r="AY262">
        <f>装备!BN13</f>
        <v>0</v>
      </c>
      <c r="AZ262">
        <f>装备!BO13</f>
        <v>0</v>
      </c>
      <c r="BA262">
        <f>装备!BP13</f>
        <v>0</v>
      </c>
      <c r="BB262">
        <f>装备!BQ13</f>
        <v>0</v>
      </c>
      <c r="BC262">
        <f>装备!BR13</f>
        <v>0</v>
      </c>
      <c r="BD262">
        <f>装备!BS13</f>
        <v>0</v>
      </c>
      <c r="BE262" t="str">
        <f t="shared" si="60"/>
        <v>InitUnitStateTime('E011',0,0,0,0,0,0,0,0,0,0)</v>
      </c>
      <c r="BF262">
        <f>装备!BT13</f>
        <v>0</v>
      </c>
      <c r="BG262">
        <f>装备!BU13</f>
        <v>0</v>
      </c>
      <c r="BH262">
        <f>装备!BV13</f>
        <v>0</v>
      </c>
      <c r="BI262">
        <f>装备!BW13</f>
        <v>0</v>
      </c>
      <c r="BJ262">
        <f>装备!BX13</f>
        <v>0</v>
      </c>
      <c r="BK262">
        <f>装备!BY13</f>
        <v>0</v>
      </c>
      <c r="BL262">
        <f>装备!BZ13</f>
        <v>0</v>
      </c>
      <c r="BM262">
        <f>装备!CA13</f>
        <v>0</v>
      </c>
      <c r="BN262">
        <f>装备!CB13</f>
        <v>0</v>
      </c>
      <c r="BO262">
        <f>装备!CC13</f>
        <v>0</v>
      </c>
      <c r="BP262" t="str">
        <f t="shared" si="61"/>
        <v>InitUnitStateAttack('E011',0,0,0,0,0,0,0,0,0,0)</v>
      </c>
      <c r="BQ262">
        <f>装备!CD13</f>
        <v>0</v>
      </c>
      <c r="BR262">
        <f>装备!CE13</f>
        <v>0</v>
      </c>
      <c r="BS262">
        <f>装备!CF13</f>
        <v>0</v>
      </c>
      <c r="BT262">
        <f>装备!CG13</f>
        <v>0</v>
      </c>
      <c r="BU262">
        <f>装备!CH13</f>
        <v>0</v>
      </c>
      <c r="BV262">
        <f>装备!CI13</f>
        <v>0</v>
      </c>
      <c r="BW262">
        <f>装备!CJ13</f>
        <v>0</v>
      </c>
      <c r="BX262">
        <f>装备!CK13</f>
        <v>0</v>
      </c>
      <c r="BY262">
        <f>装备!CL13</f>
        <v>0</v>
      </c>
      <c r="BZ262">
        <f>装备!CM13</f>
        <v>0</v>
      </c>
      <c r="CA262" t="str">
        <f t="shared" si="62"/>
        <v>InitUnitStateUpUp('E011',0,0,0,0,0,0,0,0,0,0)</v>
      </c>
      <c r="CB262" t="str">
        <f t="shared" si="63"/>
        <v>InitUnitState('E011',14200,0,0,0,0,0,0,0,40,0)</v>
      </c>
      <c r="CC262" t="str">
        <f t="shared" si="64"/>
        <v>InitUnitNormal('E011',0,0,0,0,0,0,0,0,6,0)</v>
      </c>
      <c r="CD262" t="str">
        <f t="shared" si="65"/>
        <v/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装备!B14</f>
        <v>E012</v>
      </c>
      <c r="B263">
        <f>装备!A14</f>
        <v>0</v>
      </c>
      <c r="C263">
        <f>装备!V14</f>
        <v>16400</v>
      </c>
      <c r="D263">
        <f>装备!W14</f>
        <v>0</v>
      </c>
      <c r="E263">
        <f>装备!X14</f>
        <v>0</v>
      </c>
      <c r="F263">
        <f>装备!Y14</f>
        <v>0</v>
      </c>
      <c r="G263">
        <f>装备!Z14</f>
        <v>0</v>
      </c>
      <c r="H263">
        <f>装备!AA14</f>
        <v>0</v>
      </c>
      <c r="I263">
        <f>装备!AB14</f>
        <v>0</v>
      </c>
      <c r="J263">
        <f>装备!AC14</f>
        <v>0</v>
      </c>
      <c r="K263">
        <f>装备!AD14</f>
        <v>40</v>
      </c>
      <c r="L263">
        <f>装备!AE14</f>
        <v>0</v>
      </c>
      <c r="M263" t="str">
        <f t="shared" si="56"/>
        <v>InitUnitState('E012',16400,0,0,0,0,0,0,0,40,0)</v>
      </c>
      <c r="N263">
        <f>装备!AF14</f>
        <v>0</v>
      </c>
      <c r="O263">
        <f>装备!AG14</f>
        <v>0</v>
      </c>
      <c r="P263">
        <f>装备!AH14</f>
        <v>0</v>
      </c>
      <c r="Q263">
        <f>装备!AI14</f>
        <v>0</v>
      </c>
      <c r="R263">
        <f>装备!AJ14</f>
        <v>0</v>
      </c>
      <c r="S263">
        <f>装备!AK14</f>
        <v>0</v>
      </c>
      <c r="T263">
        <f>装备!AL14</f>
        <v>0</v>
      </c>
      <c r="U263">
        <f>装备!AM14</f>
        <v>0</v>
      </c>
      <c r="V263">
        <f>装备!AN14</f>
        <v>6</v>
      </c>
      <c r="W263">
        <f>装备!AO14</f>
        <v>0</v>
      </c>
      <c r="X263" t="str">
        <f t="shared" si="57"/>
        <v>InitUnitNormal('E012',0,0,0,0,0,0,0,0,6,0)</v>
      </c>
      <c r="Y263">
        <f>装备!AP14</f>
        <v>0</v>
      </c>
      <c r="Z263">
        <f>装备!AQ14</f>
        <v>0</v>
      </c>
      <c r="AA263">
        <f>装备!AR14</f>
        <v>0</v>
      </c>
      <c r="AB263">
        <f>装备!AS14</f>
        <v>0</v>
      </c>
      <c r="AC263">
        <f>装备!AT14</f>
        <v>0</v>
      </c>
      <c r="AD263">
        <f>装备!AU14</f>
        <v>0</v>
      </c>
      <c r="AE263">
        <f>装备!AV14</f>
        <v>0</v>
      </c>
      <c r="AF263">
        <f>装备!AW14</f>
        <v>0</v>
      </c>
      <c r="AG263">
        <f>装备!AX14</f>
        <v>0</v>
      </c>
      <c r="AH263">
        <f>装备!AY14</f>
        <v>0</v>
      </c>
      <c r="AI263" t="str">
        <f t="shared" si="58"/>
        <v>InitUnitMagic('E012',0,0,0,0,0,0,0,0,0,0)</v>
      </c>
      <c r="AJ263">
        <f>装备!AZ14</f>
        <v>0</v>
      </c>
      <c r="AK263">
        <f>装备!BA14</f>
        <v>0</v>
      </c>
      <c r="AL263">
        <f>装备!BB14</f>
        <v>0</v>
      </c>
      <c r="AM263">
        <f>装备!BC14</f>
        <v>0</v>
      </c>
      <c r="AN263">
        <f>装备!BD14</f>
        <v>0</v>
      </c>
      <c r="AO263">
        <f>装备!BE14</f>
        <v>0</v>
      </c>
      <c r="AP263">
        <f>装备!BF14</f>
        <v>0</v>
      </c>
      <c r="AQ263">
        <f>装备!BG14</f>
        <v>0</v>
      </c>
      <c r="AR263">
        <f>装备!BH14</f>
        <v>0</v>
      </c>
      <c r="AS263">
        <f>装备!BI14</f>
        <v>0</v>
      </c>
      <c r="AT263" t="str">
        <f t="shared" si="59"/>
        <v>InitUnitAdd('E012',0,0,0,0,0,0,0,0,0,0)</v>
      </c>
      <c r="AU263">
        <f>装备!BJ14</f>
        <v>0</v>
      </c>
      <c r="AV263">
        <f>装备!BK14</f>
        <v>0</v>
      </c>
      <c r="AW263">
        <f>装备!BL14</f>
        <v>0</v>
      </c>
      <c r="AX263">
        <f>装备!BM14</f>
        <v>0</v>
      </c>
      <c r="AY263">
        <f>装备!BN14</f>
        <v>0</v>
      </c>
      <c r="AZ263">
        <f>装备!BO14</f>
        <v>0</v>
      </c>
      <c r="BA263">
        <f>装备!BP14</f>
        <v>0</v>
      </c>
      <c r="BB263">
        <f>装备!BQ14</f>
        <v>0</v>
      </c>
      <c r="BC263">
        <f>装备!BR14</f>
        <v>0</v>
      </c>
      <c r="BD263">
        <f>装备!BS14</f>
        <v>0</v>
      </c>
      <c r="BE263" t="str">
        <f t="shared" si="60"/>
        <v>InitUnitStateTime('E012',0,0,0,0,0,0,0,0,0,0)</v>
      </c>
      <c r="BF263">
        <f>装备!BT14</f>
        <v>0</v>
      </c>
      <c r="BG263">
        <f>装备!BU14</f>
        <v>0</v>
      </c>
      <c r="BH263">
        <f>装备!BV14</f>
        <v>0</v>
      </c>
      <c r="BI263">
        <f>装备!BW14</f>
        <v>0</v>
      </c>
      <c r="BJ263">
        <f>装备!BX14</f>
        <v>0</v>
      </c>
      <c r="BK263">
        <f>装备!BY14</f>
        <v>0</v>
      </c>
      <c r="BL263">
        <f>装备!BZ14</f>
        <v>0</v>
      </c>
      <c r="BM263">
        <f>装备!CA14</f>
        <v>0</v>
      </c>
      <c r="BN263">
        <f>装备!CB14</f>
        <v>0</v>
      </c>
      <c r="BO263">
        <f>装备!CC14</f>
        <v>0</v>
      </c>
      <c r="BP263" t="str">
        <f t="shared" si="61"/>
        <v>InitUnitStateAttack('E012',0,0,0,0,0,0,0,0,0,0)</v>
      </c>
      <c r="BQ263">
        <f>装备!CD14</f>
        <v>0</v>
      </c>
      <c r="BR263">
        <f>装备!CE14</f>
        <v>0</v>
      </c>
      <c r="BS263">
        <f>装备!CF14</f>
        <v>0</v>
      </c>
      <c r="BT263">
        <f>装备!CG14</f>
        <v>0</v>
      </c>
      <c r="BU263">
        <f>装备!CH14</f>
        <v>0</v>
      </c>
      <c r="BV263">
        <f>装备!CI14</f>
        <v>0</v>
      </c>
      <c r="BW263">
        <f>装备!CJ14</f>
        <v>0</v>
      </c>
      <c r="BX263">
        <f>装备!CK14</f>
        <v>0</v>
      </c>
      <c r="BY263">
        <f>装备!CL14</f>
        <v>0</v>
      </c>
      <c r="BZ263">
        <f>装备!CM14</f>
        <v>0</v>
      </c>
      <c r="CA263" t="str">
        <f t="shared" si="62"/>
        <v>InitUnitStateUpUp('E012',0,0,0,0,0,0,0,0,0,0)</v>
      </c>
      <c r="CB263" t="str">
        <f t="shared" si="63"/>
        <v>InitUnitState('E012',16400,0,0,0,0,0,0,0,40,0)</v>
      </c>
      <c r="CC263" t="str">
        <f t="shared" si="64"/>
        <v>InitUnitNormal('E012',0,0,0,0,0,0,0,0,6,0)</v>
      </c>
      <c r="CD263" t="str">
        <f t="shared" si="65"/>
        <v/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装备!B15</f>
        <v>E013</v>
      </c>
      <c r="B264">
        <f>装备!A15</f>
        <v>0</v>
      </c>
      <c r="C264">
        <f>装备!V15</f>
        <v>18600</v>
      </c>
      <c r="D264">
        <f>装备!W15</f>
        <v>0</v>
      </c>
      <c r="E264">
        <f>装备!X15</f>
        <v>0</v>
      </c>
      <c r="F264">
        <f>装备!Y15</f>
        <v>0</v>
      </c>
      <c r="G264">
        <f>装备!Z15</f>
        <v>0</v>
      </c>
      <c r="H264">
        <f>装备!AA15</f>
        <v>0</v>
      </c>
      <c r="I264">
        <f>装备!AB15</f>
        <v>0</v>
      </c>
      <c r="J264">
        <f>装备!AC15</f>
        <v>0</v>
      </c>
      <c r="K264">
        <f>装备!AD15</f>
        <v>40</v>
      </c>
      <c r="L264">
        <f>装备!AE15</f>
        <v>0</v>
      </c>
      <c r="M264" t="str">
        <f t="shared" si="56"/>
        <v>InitUnitState('E013',18600,0,0,0,0,0,0,0,40,0)</v>
      </c>
      <c r="N264">
        <f>装备!AF15</f>
        <v>0</v>
      </c>
      <c r="O264">
        <f>装备!AG15</f>
        <v>0</v>
      </c>
      <c r="P264">
        <f>装备!AH15</f>
        <v>0</v>
      </c>
      <c r="Q264">
        <f>装备!AI15</f>
        <v>0</v>
      </c>
      <c r="R264">
        <f>装备!AJ15</f>
        <v>0</v>
      </c>
      <c r="S264">
        <f>装备!AK15</f>
        <v>0</v>
      </c>
      <c r="T264">
        <f>装备!AL15</f>
        <v>0</v>
      </c>
      <c r="U264">
        <f>装备!AM15</f>
        <v>0</v>
      </c>
      <c r="V264">
        <f>装备!AN15</f>
        <v>6</v>
      </c>
      <c r="W264">
        <f>装备!AO15</f>
        <v>0</v>
      </c>
      <c r="X264" t="str">
        <f t="shared" si="57"/>
        <v>InitUnitNormal('E013',0,0,0,0,0,0,0,0,6,0)</v>
      </c>
      <c r="Y264">
        <f>装备!AP15</f>
        <v>0</v>
      </c>
      <c r="Z264">
        <f>装备!AQ15</f>
        <v>0</v>
      </c>
      <c r="AA264">
        <f>装备!AR15</f>
        <v>0</v>
      </c>
      <c r="AB264">
        <f>装备!AS15</f>
        <v>0</v>
      </c>
      <c r="AC264">
        <f>装备!AT15</f>
        <v>0</v>
      </c>
      <c r="AD264">
        <f>装备!AU15</f>
        <v>0</v>
      </c>
      <c r="AE264">
        <f>装备!AV15</f>
        <v>0</v>
      </c>
      <c r="AF264">
        <f>装备!AW15</f>
        <v>0</v>
      </c>
      <c r="AG264">
        <f>装备!AX15</f>
        <v>0</v>
      </c>
      <c r="AH264">
        <f>装备!AY15</f>
        <v>0</v>
      </c>
      <c r="AI264" t="str">
        <f t="shared" si="58"/>
        <v>InitUnitMagic('E013',0,0,0,0,0,0,0,0,0,0)</v>
      </c>
      <c r="AJ264">
        <f>装备!AZ15</f>
        <v>0</v>
      </c>
      <c r="AK264">
        <f>装备!BA15</f>
        <v>0</v>
      </c>
      <c r="AL264">
        <f>装备!BB15</f>
        <v>0</v>
      </c>
      <c r="AM264">
        <f>装备!BC15</f>
        <v>0</v>
      </c>
      <c r="AN264">
        <f>装备!BD15</f>
        <v>0</v>
      </c>
      <c r="AO264">
        <f>装备!BE15</f>
        <v>0</v>
      </c>
      <c r="AP264">
        <f>装备!BF15</f>
        <v>0</v>
      </c>
      <c r="AQ264">
        <f>装备!BG15</f>
        <v>0</v>
      </c>
      <c r="AR264">
        <f>装备!BH15</f>
        <v>0</v>
      </c>
      <c r="AS264">
        <f>装备!BI15</f>
        <v>0</v>
      </c>
      <c r="AT264" t="str">
        <f t="shared" si="59"/>
        <v>InitUnitAdd('E013',0,0,0,0,0,0,0,0,0,0)</v>
      </c>
      <c r="AU264">
        <f>装备!BJ15</f>
        <v>0</v>
      </c>
      <c r="AV264">
        <f>装备!BK15</f>
        <v>0</v>
      </c>
      <c r="AW264">
        <f>装备!BL15</f>
        <v>0</v>
      </c>
      <c r="AX264">
        <f>装备!BM15</f>
        <v>0</v>
      </c>
      <c r="AY264">
        <f>装备!BN15</f>
        <v>0</v>
      </c>
      <c r="AZ264">
        <f>装备!BO15</f>
        <v>0</v>
      </c>
      <c r="BA264">
        <f>装备!BP15</f>
        <v>0</v>
      </c>
      <c r="BB264">
        <f>装备!BQ15</f>
        <v>0</v>
      </c>
      <c r="BC264">
        <f>装备!BR15</f>
        <v>0</v>
      </c>
      <c r="BD264">
        <f>装备!BS15</f>
        <v>0</v>
      </c>
      <c r="BE264" t="str">
        <f t="shared" si="60"/>
        <v>InitUnitStateTime('E013',0,0,0,0,0,0,0,0,0,0)</v>
      </c>
      <c r="BF264">
        <f>装备!BT15</f>
        <v>0</v>
      </c>
      <c r="BG264">
        <f>装备!BU15</f>
        <v>0</v>
      </c>
      <c r="BH264">
        <f>装备!BV15</f>
        <v>0</v>
      </c>
      <c r="BI264">
        <f>装备!BW15</f>
        <v>0</v>
      </c>
      <c r="BJ264">
        <f>装备!BX15</f>
        <v>0</v>
      </c>
      <c r="BK264">
        <f>装备!BY15</f>
        <v>0</v>
      </c>
      <c r="BL264">
        <f>装备!BZ15</f>
        <v>0</v>
      </c>
      <c r="BM264">
        <f>装备!CA15</f>
        <v>0</v>
      </c>
      <c r="BN264">
        <f>装备!CB15</f>
        <v>0</v>
      </c>
      <c r="BO264">
        <f>装备!CC15</f>
        <v>0</v>
      </c>
      <c r="BP264" t="str">
        <f t="shared" si="61"/>
        <v>InitUnitStateAttack('E013',0,0,0,0,0,0,0,0,0,0)</v>
      </c>
      <c r="BQ264">
        <f>装备!CD15</f>
        <v>0</v>
      </c>
      <c r="BR264">
        <f>装备!CE15</f>
        <v>0</v>
      </c>
      <c r="BS264">
        <f>装备!CF15</f>
        <v>0</v>
      </c>
      <c r="BT264">
        <f>装备!CG15</f>
        <v>0</v>
      </c>
      <c r="BU264">
        <f>装备!CH15</f>
        <v>0</v>
      </c>
      <c r="BV264">
        <f>装备!CI15</f>
        <v>0</v>
      </c>
      <c r="BW264">
        <f>装备!CJ15</f>
        <v>0</v>
      </c>
      <c r="BX264">
        <f>装备!CK15</f>
        <v>0</v>
      </c>
      <c r="BY264">
        <f>装备!CL15</f>
        <v>0</v>
      </c>
      <c r="BZ264">
        <f>装备!CM15</f>
        <v>0</v>
      </c>
      <c r="CA264" t="str">
        <f t="shared" si="62"/>
        <v>InitUnitStateUpUp('E013',0,0,0,0,0,0,0,0,0,0)</v>
      </c>
      <c r="CB264" t="str">
        <f t="shared" si="63"/>
        <v>InitUnitState('E013',18600,0,0,0,0,0,0,0,40,0)</v>
      </c>
      <c r="CC264" t="str">
        <f t="shared" si="64"/>
        <v>InitUnitNormal('E013',0,0,0,0,0,0,0,0,6,0)</v>
      </c>
      <c r="CD264" t="str">
        <f t="shared" si="65"/>
        <v/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装备!B16</f>
        <v>E014</v>
      </c>
      <c r="B265">
        <f>装备!A16</f>
        <v>0</v>
      </c>
      <c r="C265">
        <f>装备!V16</f>
        <v>20800</v>
      </c>
      <c r="D265">
        <f>装备!W16</f>
        <v>0</v>
      </c>
      <c r="E265">
        <f>装备!X16</f>
        <v>0</v>
      </c>
      <c r="F265">
        <f>装备!Y16</f>
        <v>0</v>
      </c>
      <c r="G265">
        <f>装备!Z16</f>
        <v>0</v>
      </c>
      <c r="H265">
        <f>装备!AA16</f>
        <v>0</v>
      </c>
      <c r="I265">
        <f>装备!AB16</f>
        <v>0</v>
      </c>
      <c r="J265">
        <f>装备!AC16</f>
        <v>0</v>
      </c>
      <c r="K265">
        <f>装备!AD16</f>
        <v>40</v>
      </c>
      <c r="L265">
        <f>装备!AE16</f>
        <v>0</v>
      </c>
      <c r="M265" t="str">
        <f t="shared" si="56"/>
        <v>InitUnitState('E014',20800,0,0,0,0,0,0,0,40,0)</v>
      </c>
      <c r="N265">
        <f>装备!AF16</f>
        <v>0</v>
      </c>
      <c r="O265">
        <f>装备!AG16</f>
        <v>0</v>
      </c>
      <c r="P265">
        <f>装备!AH16</f>
        <v>0</v>
      </c>
      <c r="Q265">
        <f>装备!AI16</f>
        <v>0</v>
      </c>
      <c r="R265">
        <f>装备!AJ16</f>
        <v>0</v>
      </c>
      <c r="S265">
        <f>装备!AK16</f>
        <v>0</v>
      </c>
      <c r="T265">
        <f>装备!AL16</f>
        <v>0</v>
      </c>
      <c r="U265">
        <f>装备!AM16</f>
        <v>0</v>
      </c>
      <c r="V265">
        <f>装备!AN16</f>
        <v>6</v>
      </c>
      <c r="W265">
        <f>装备!AO16</f>
        <v>0</v>
      </c>
      <c r="X265" t="str">
        <f t="shared" si="57"/>
        <v>InitUnitNormal('E014',0,0,0,0,0,0,0,0,6,0)</v>
      </c>
      <c r="Y265">
        <f>装备!AP16</f>
        <v>0</v>
      </c>
      <c r="Z265">
        <f>装备!AQ16</f>
        <v>0</v>
      </c>
      <c r="AA265">
        <f>装备!AR16</f>
        <v>0</v>
      </c>
      <c r="AB265">
        <f>装备!AS16</f>
        <v>0</v>
      </c>
      <c r="AC265">
        <f>装备!AT16</f>
        <v>0</v>
      </c>
      <c r="AD265">
        <f>装备!AU16</f>
        <v>0</v>
      </c>
      <c r="AE265">
        <f>装备!AV16</f>
        <v>0</v>
      </c>
      <c r="AF265">
        <f>装备!AW16</f>
        <v>0</v>
      </c>
      <c r="AG265">
        <f>装备!AX16</f>
        <v>0</v>
      </c>
      <c r="AH265">
        <f>装备!AY16</f>
        <v>0</v>
      </c>
      <c r="AI265" t="str">
        <f t="shared" si="58"/>
        <v>InitUnitMagic('E014',0,0,0,0,0,0,0,0,0,0)</v>
      </c>
      <c r="AJ265">
        <f>装备!AZ16</f>
        <v>0</v>
      </c>
      <c r="AK265">
        <f>装备!BA16</f>
        <v>0</v>
      </c>
      <c r="AL265">
        <f>装备!BB16</f>
        <v>0</v>
      </c>
      <c r="AM265">
        <f>装备!BC16</f>
        <v>0</v>
      </c>
      <c r="AN265">
        <f>装备!BD16</f>
        <v>0</v>
      </c>
      <c r="AO265">
        <f>装备!BE16</f>
        <v>0</v>
      </c>
      <c r="AP265">
        <f>装备!BF16</f>
        <v>0</v>
      </c>
      <c r="AQ265">
        <f>装备!BG16</f>
        <v>0</v>
      </c>
      <c r="AR265">
        <f>装备!BH16</f>
        <v>0</v>
      </c>
      <c r="AS265">
        <f>装备!BI16</f>
        <v>0</v>
      </c>
      <c r="AT265" t="str">
        <f t="shared" si="59"/>
        <v>InitUnitAdd('E014',0,0,0,0,0,0,0,0,0,0)</v>
      </c>
      <c r="AU265">
        <f>装备!BJ16</f>
        <v>0</v>
      </c>
      <c r="AV265">
        <f>装备!BK16</f>
        <v>0</v>
      </c>
      <c r="AW265">
        <f>装备!BL16</f>
        <v>0</v>
      </c>
      <c r="AX265">
        <f>装备!BM16</f>
        <v>0</v>
      </c>
      <c r="AY265">
        <f>装备!BN16</f>
        <v>0</v>
      </c>
      <c r="AZ265">
        <f>装备!BO16</f>
        <v>0</v>
      </c>
      <c r="BA265">
        <f>装备!BP16</f>
        <v>0</v>
      </c>
      <c r="BB265">
        <f>装备!BQ16</f>
        <v>0</v>
      </c>
      <c r="BC265">
        <f>装备!BR16</f>
        <v>0</v>
      </c>
      <c r="BD265">
        <f>装备!BS16</f>
        <v>0</v>
      </c>
      <c r="BE265" t="str">
        <f t="shared" si="60"/>
        <v>InitUnitStateTime('E014',0,0,0,0,0,0,0,0,0,0)</v>
      </c>
      <c r="BF265">
        <f>装备!BT16</f>
        <v>0</v>
      </c>
      <c r="BG265">
        <f>装备!BU16</f>
        <v>0</v>
      </c>
      <c r="BH265">
        <f>装备!BV16</f>
        <v>0</v>
      </c>
      <c r="BI265">
        <f>装备!BW16</f>
        <v>0</v>
      </c>
      <c r="BJ265">
        <f>装备!BX16</f>
        <v>0</v>
      </c>
      <c r="BK265">
        <f>装备!BY16</f>
        <v>0</v>
      </c>
      <c r="BL265">
        <f>装备!BZ16</f>
        <v>0</v>
      </c>
      <c r="BM265">
        <f>装备!CA16</f>
        <v>0</v>
      </c>
      <c r="BN265">
        <f>装备!CB16</f>
        <v>0</v>
      </c>
      <c r="BO265">
        <f>装备!CC16</f>
        <v>0</v>
      </c>
      <c r="BP265" t="str">
        <f t="shared" si="61"/>
        <v>InitUnitStateAttack('E014',0,0,0,0,0,0,0,0,0,0)</v>
      </c>
      <c r="BQ265">
        <f>装备!CD16</f>
        <v>0</v>
      </c>
      <c r="BR265">
        <f>装备!CE16</f>
        <v>0</v>
      </c>
      <c r="BS265">
        <f>装备!CF16</f>
        <v>0</v>
      </c>
      <c r="BT265">
        <f>装备!CG16</f>
        <v>0</v>
      </c>
      <c r="BU265">
        <f>装备!CH16</f>
        <v>0</v>
      </c>
      <c r="BV265">
        <f>装备!CI16</f>
        <v>0</v>
      </c>
      <c r="BW265">
        <f>装备!CJ16</f>
        <v>0</v>
      </c>
      <c r="BX265">
        <f>装备!CK16</f>
        <v>0</v>
      </c>
      <c r="BY265">
        <f>装备!CL16</f>
        <v>0</v>
      </c>
      <c r="BZ265">
        <f>装备!CM16</f>
        <v>0</v>
      </c>
      <c r="CA265" t="str">
        <f t="shared" si="62"/>
        <v>InitUnitStateUpUp('E014',0,0,0,0,0,0,0,0,0,0)</v>
      </c>
      <c r="CB265" t="str">
        <f t="shared" si="63"/>
        <v>InitUnitState('E014',20800,0,0,0,0,0,0,0,40,0)</v>
      </c>
      <c r="CC265" t="str">
        <f t="shared" si="64"/>
        <v>InitUnitNormal('E014',0,0,0,0,0,0,0,0,6,0)</v>
      </c>
      <c r="CD265" t="str">
        <f t="shared" si="65"/>
        <v/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装备!B17</f>
        <v>E015</v>
      </c>
      <c r="B266">
        <f>装备!A17</f>
        <v>0</v>
      </c>
      <c r="C266">
        <f>装备!V17</f>
        <v>23000</v>
      </c>
      <c r="D266">
        <f>装备!W17</f>
        <v>0</v>
      </c>
      <c r="E266">
        <f>装备!X17</f>
        <v>0</v>
      </c>
      <c r="F266">
        <f>装备!Y17</f>
        <v>0</v>
      </c>
      <c r="G266">
        <f>装备!Z17</f>
        <v>0</v>
      </c>
      <c r="H266">
        <f>装备!AA17</f>
        <v>0</v>
      </c>
      <c r="I266">
        <f>装备!AB17</f>
        <v>0</v>
      </c>
      <c r="J266">
        <f>装备!AC17</f>
        <v>0</v>
      </c>
      <c r="K266">
        <f>装备!AD17</f>
        <v>40</v>
      </c>
      <c r="L266">
        <f>装备!AE17</f>
        <v>0</v>
      </c>
      <c r="M266" t="str">
        <f t="shared" si="56"/>
        <v>InitUnitState('E015',23000,0,0,0,0,0,0,0,40,0)</v>
      </c>
      <c r="N266">
        <f>装备!AF17</f>
        <v>0</v>
      </c>
      <c r="O266">
        <f>装备!AG17</f>
        <v>0</v>
      </c>
      <c r="P266">
        <f>装备!AH17</f>
        <v>0</v>
      </c>
      <c r="Q266">
        <f>装备!AI17</f>
        <v>0</v>
      </c>
      <c r="R266">
        <f>装备!AJ17</f>
        <v>0</v>
      </c>
      <c r="S266">
        <f>装备!AK17</f>
        <v>0</v>
      </c>
      <c r="T266">
        <f>装备!AL17</f>
        <v>0</v>
      </c>
      <c r="U266">
        <f>装备!AM17</f>
        <v>0</v>
      </c>
      <c r="V266">
        <f>装备!AN17</f>
        <v>6</v>
      </c>
      <c r="W266">
        <f>装备!AO17</f>
        <v>0</v>
      </c>
      <c r="X266" t="str">
        <f t="shared" si="57"/>
        <v>InitUnitNormal('E015',0,0,0,0,0,0,0,0,6,0)</v>
      </c>
      <c r="Y266">
        <f>装备!AP17</f>
        <v>0</v>
      </c>
      <c r="Z266">
        <f>装备!AQ17</f>
        <v>0</v>
      </c>
      <c r="AA266">
        <f>装备!AR17</f>
        <v>0</v>
      </c>
      <c r="AB266">
        <f>装备!AS17</f>
        <v>0</v>
      </c>
      <c r="AC266">
        <f>装备!AT17</f>
        <v>0</v>
      </c>
      <c r="AD266">
        <f>装备!AU17</f>
        <v>0</v>
      </c>
      <c r="AE266">
        <f>装备!AV17</f>
        <v>0</v>
      </c>
      <c r="AF266">
        <f>装备!AW17</f>
        <v>0</v>
      </c>
      <c r="AG266">
        <f>装备!AX17</f>
        <v>0</v>
      </c>
      <c r="AH266">
        <f>装备!AY17</f>
        <v>0</v>
      </c>
      <c r="AI266" t="str">
        <f t="shared" si="58"/>
        <v>InitUnitMagic('E015',0,0,0,0,0,0,0,0,0,0)</v>
      </c>
      <c r="AJ266">
        <f>装备!AZ17</f>
        <v>0</v>
      </c>
      <c r="AK266">
        <f>装备!BA17</f>
        <v>0</v>
      </c>
      <c r="AL266">
        <f>装备!BB17</f>
        <v>0</v>
      </c>
      <c r="AM266">
        <f>装备!BC17</f>
        <v>0</v>
      </c>
      <c r="AN266">
        <f>装备!BD17</f>
        <v>0</v>
      </c>
      <c r="AO266">
        <f>装备!BE17</f>
        <v>0</v>
      </c>
      <c r="AP266">
        <f>装备!BF17</f>
        <v>0</v>
      </c>
      <c r="AQ266">
        <f>装备!BG17</f>
        <v>0</v>
      </c>
      <c r="AR266">
        <f>装备!BH17</f>
        <v>0</v>
      </c>
      <c r="AS266">
        <f>装备!BI17</f>
        <v>0</v>
      </c>
      <c r="AT266" t="str">
        <f t="shared" si="59"/>
        <v>InitUnitAdd('E015',0,0,0,0,0,0,0,0,0,0)</v>
      </c>
      <c r="AU266">
        <f>装备!BJ17</f>
        <v>0</v>
      </c>
      <c r="AV266">
        <f>装备!BK17</f>
        <v>0</v>
      </c>
      <c r="AW266">
        <f>装备!BL17</f>
        <v>0</v>
      </c>
      <c r="AX266">
        <f>装备!BM17</f>
        <v>0</v>
      </c>
      <c r="AY266">
        <f>装备!BN17</f>
        <v>0</v>
      </c>
      <c r="AZ266">
        <f>装备!BO17</f>
        <v>0</v>
      </c>
      <c r="BA266">
        <f>装备!BP17</f>
        <v>0</v>
      </c>
      <c r="BB266">
        <f>装备!BQ17</f>
        <v>0</v>
      </c>
      <c r="BC266">
        <f>装备!BR17</f>
        <v>0</v>
      </c>
      <c r="BD266">
        <f>装备!BS17</f>
        <v>0</v>
      </c>
      <c r="BE266" t="str">
        <f t="shared" si="60"/>
        <v>InitUnitStateTime('E015',0,0,0,0,0,0,0,0,0,0)</v>
      </c>
      <c r="BF266">
        <f>装备!BT17</f>
        <v>0</v>
      </c>
      <c r="BG266">
        <f>装备!BU17</f>
        <v>0</v>
      </c>
      <c r="BH266">
        <f>装备!BV17</f>
        <v>0</v>
      </c>
      <c r="BI266">
        <f>装备!BW17</f>
        <v>0</v>
      </c>
      <c r="BJ266">
        <f>装备!BX17</f>
        <v>0</v>
      </c>
      <c r="BK266">
        <f>装备!BY17</f>
        <v>0</v>
      </c>
      <c r="BL266">
        <f>装备!BZ17</f>
        <v>0</v>
      </c>
      <c r="BM266">
        <f>装备!CA17</f>
        <v>0</v>
      </c>
      <c r="BN266">
        <f>装备!CB17</f>
        <v>0</v>
      </c>
      <c r="BO266">
        <f>装备!CC17</f>
        <v>0</v>
      </c>
      <c r="BP266" t="str">
        <f t="shared" si="61"/>
        <v>InitUnitStateAttack('E015',0,0,0,0,0,0,0,0,0,0)</v>
      </c>
      <c r="BQ266">
        <f>装备!CD17</f>
        <v>0</v>
      </c>
      <c r="BR266">
        <f>装备!CE17</f>
        <v>0</v>
      </c>
      <c r="BS266">
        <f>装备!CF17</f>
        <v>0</v>
      </c>
      <c r="BT266">
        <f>装备!CG17</f>
        <v>0</v>
      </c>
      <c r="BU266">
        <f>装备!CH17</f>
        <v>0</v>
      </c>
      <c r="BV266">
        <f>装备!CI17</f>
        <v>0</v>
      </c>
      <c r="BW266">
        <f>装备!CJ17</f>
        <v>0</v>
      </c>
      <c r="BX266">
        <f>装备!CK17</f>
        <v>0</v>
      </c>
      <c r="BY266">
        <f>装备!CL17</f>
        <v>0</v>
      </c>
      <c r="BZ266">
        <f>装备!CM17</f>
        <v>0</v>
      </c>
      <c r="CA266" t="str">
        <f t="shared" si="62"/>
        <v>InitUnitStateUpUp('E015',0,0,0,0,0,0,0,0,0,0)</v>
      </c>
      <c r="CB266" t="str">
        <f t="shared" si="63"/>
        <v>InitUnitState('E015',23000,0,0,0,0,0,0,0,40,0)</v>
      </c>
      <c r="CC266" t="str">
        <f t="shared" si="64"/>
        <v>InitUnitNormal('E015',0,0,0,0,0,0,0,0,6,0)</v>
      </c>
      <c r="CD266" t="str">
        <f t="shared" si="65"/>
        <v/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装备!B18</f>
        <v>E016</v>
      </c>
      <c r="B267">
        <f>装备!A18</f>
        <v>0</v>
      </c>
      <c r="C267">
        <f>装备!V18</f>
        <v>27400</v>
      </c>
      <c r="D267">
        <f>装备!W18</f>
        <v>0</v>
      </c>
      <c r="E267">
        <f>装备!X18</f>
        <v>0</v>
      </c>
      <c r="F267">
        <f>装备!Y18</f>
        <v>0</v>
      </c>
      <c r="G267">
        <f>装备!Z18</f>
        <v>0</v>
      </c>
      <c r="H267">
        <f>装备!AA18</f>
        <v>0</v>
      </c>
      <c r="I267">
        <f>装备!AB18</f>
        <v>0</v>
      </c>
      <c r="J267">
        <f>装备!AC18</f>
        <v>0</v>
      </c>
      <c r="K267">
        <f>装备!AD18</f>
        <v>53</v>
      </c>
      <c r="L267">
        <f>装备!AE18</f>
        <v>0</v>
      </c>
      <c r="M267" t="str">
        <f t="shared" si="56"/>
        <v>InitUnitState('E016',27400,0,0,0,0,0,0,0,53,0)</v>
      </c>
      <c r="N267">
        <f>装备!AF18</f>
        <v>0</v>
      </c>
      <c r="O267">
        <f>装备!AG18</f>
        <v>0</v>
      </c>
      <c r="P267">
        <f>装备!AH18</f>
        <v>0</v>
      </c>
      <c r="Q267">
        <f>装备!AI18</f>
        <v>0</v>
      </c>
      <c r="R267">
        <f>装备!AJ18</f>
        <v>0</v>
      </c>
      <c r="S267">
        <f>装备!AK18</f>
        <v>0</v>
      </c>
      <c r="T267">
        <f>装备!AL18</f>
        <v>0</v>
      </c>
      <c r="U267">
        <f>装备!AM18</f>
        <v>0</v>
      </c>
      <c r="V267">
        <f>装备!AN18</f>
        <v>9</v>
      </c>
      <c r="W267">
        <f>装备!AO18</f>
        <v>0</v>
      </c>
      <c r="X267" t="str">
        <f t="shared" si="57"/>
        <v>InitUnitNormal('E016',0,0,0,0,0,0,0,0,9,0)</v>
      </c>
      <c r="Y267">
        <f>装备!AP18</f>
        <v>0</v>
      </c>
      <c r="Z267">
        <f>装备!AQ18</f>
        <v>0</v>
      </c>
      <c r="AA267">
        <f>装备!AR18</f>
        <v>0</v>
      </c>
      <c r="AB267">
        <f>装备!AS18</f>
        <v>0</v>
      </c>
      <c r="AC267">
        <f>装备!AT18</f>
        <v>0</v>
      </c>
      <c r="AD267">
        <f>装备!AU18</f>
        <v>0</v>
      </c>
      <c r="AE267">
        <f>装备!AV18</f>
        <v>0</v>
      </c>
      <c r="AF267">
        <f>装备!AW18</f>
        <v>0</v>
      </c>
      <c r="AG267">
        <f>装备!AX18</f>
        <v>0</v>
      </c>
      <c r="AH267">
        <f>装备!AY18</f>
        <v>0</v>
      </c>
      <c r="AI267" t="str">
        <f t="shared" si="58"/>
        <v>InitUnitMagic('E016',0,0,0,0,0,0,0,0,0,0)</v>
      </c>
      <c r="AJ267">
        <f>装备!AZ18</f>
        <v>0</v>
      </c>
      <c r="AK267">
        <f>装备!BA18</f>
        <v>0</v>
      </c>
      <c r="AL267">
        <f>装备!BB18</f>
        <v>0</v>
      </c>
      <c r="AM267">
        <f>装备!BC18</f>
        <v>0</v>
      </c>
      <c r="AN267">
        <f>装备!BD18</f>
        <v>0</v>
      </c>
      <c r="AO267">
        <f>装备!BE18</f>
        <v>0</v>
      </c>
      <c r="AP267">
        <f>装备!BF18</f>
        <v>0</v>
      </c>
      <c r="AQ267">
        <f>装备!BG18</f>
        <v>0</v>
      </c>
      <c r="AR267">
        <f>装备!BH18</f>
        <v>0</v>
      </c>
      <c r="AS267">
        <f>装备!BI18</f>
        <v>0</v>
      </c>
      <c r="AT267" t="str">
        <f t="shared" si="59"/>
        <v>InitUnitAdd('E016',0,0,0,0,0,0,0,0,0,0)</v>
      </c>
      <c r="AU267">
        <f>装备!BJ18</f>
        <v>0</v>
      </c>
      <c r="AV267">
        <f>装备!BK18</f>
        <v>0</v>
      </c>
      <c r="AW267">
        <f>装备!BL18</f>
        <v>0</v>
      </c>
      <c r="AX267">
        <f>装备!BM18</f>
        <v>0</v>
      </c>
      <c r="AY267">
        <f>装备!BN18</f>
        <v>0</v>
      </c>
      <c r="AZ267">
        <f>装备!BO18</f>
        <v>0</v>
      </c>
      <c r="BA267">
        <f>装备!BP18</f>
        <v>0</v>
      </c>
      <c r="BB267">
        <f>装备!BQ18</f>
        <v>0</v>
      </c>
      <c r="BC267">
        <f>装备!BR18</f>
        <v>0</v>
      </c>
      <c r="BD267">
        <f>装备!BS18</f>
        <v>0</v>
      </c>
      <c r="BE267" t="str">
        <f t="shared" si="60"/>
        <v>InitUnitStateTime('E016',0,0,0,0,0,0,0,0,0,0)</v>
      </c>
      <c r="BF267">
        <f>装备!BT18</f>
        <v>0</v>
      </c>
      <c r="BG267">
        <f>装备!BU18</f>
        <v>0</v>
      </c>
      <c r="BH267">
        <f>装备!BV18</f>
        <v>0</v>
      </c>
      <c r="BI267">
        <f>装备!BW18</f>
        <v>0</v>
      </c>
      <c r="BJ267">
        <f>装备!BX18</f>
        <v>0</v>
      </c>
      <c r="BK267">
        <f>装备!BY18</f>
        <v>0</v>
      </c>
      <c r="BL267">
        <f>装备!BZ18</f>
        <v>0</v>
      </c>
      <c r="BM267">
        <f>装备!CA18</f>
        <v>0</v>
      </c>
      <c r="BN267">
        <f>装备!CB18</f>
        <v>0</v>
      </c>
      <c r="BO267">
        <f>装备!CC18</f>
        <v>0</v>
      </c>
      <c r="BP267" t="str">
        <f t="shared" si="61"/>
        <v>InitUnitStateAttack('E016',0,0,0,0,0,0,0,0,0,0)</v>
      </c>
      <c r="BQ267">
        <f>装备!CD18</f>
        <v>0</v>
      </c>
      <c r="BR267">
        <f>装备!CE18</f>
        <v>0</v>
      </c>
      <c r="BS267">
        <f>装备!CF18</f>
        <v>0</v>
      </c>
      <c r="BT267">
        <f>装备!CG18</f>
        <v>0</v>
      </c>
      <c r="BU267">
        <f>装备!CH18</f>
        <v>0</v>
      </c>
      <c r="BV267">
        <f>装备!CI18</f>
        <v>0</v>
      </c>
      <c r="BW267">
        <f>装备!CJ18</f>
        <v>0</v>
      </c>
      <c r="BX267">
        <f>装备!CK18</f>
        <v>0</v>
      </c>
      <c r="BY267">
        <f>装备!CL18</f>
        <v>0</v>
      </c>
      <c r="BZ267">
        <f>装备!CM18</f>
        <v>0</v>
      </c>
      <c r="CA267" t="str">
        <f t="shared" si="62"/>
        <v>InitUnitStateUpUp('E016',0,0,0,0,0,0,0,0,0,0)</v>
      </c>
      <c r="CB267" t="str">
        <f t="shared" si="63"/>
        <v>InitUnitState('E016',27400,0,0,0,0,0,0,0,53,0)</v>
      </c>
      <c r="CC267" t="str">
        <f t="shared" si="64"/>
        <v>InitUnitNormal('E016',0,0,0,0,0,0,0,0,9,0)</v>
      </c>
      <c r="CD267" t="str">
        <f t="shared" si="65"/>
        <v/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装备!B19</f>
        <v>E017</v>
      </c>
      <c r="B268">
        <f>装备!A19</f>
        <v>0</v>
      </c>
      <c r="C268">
        <f>装备!V19</f>
        <v>31800</v>
      </c>
      <c r="D268">
        <f>装备!W19</f>
        <v>0</v>
      </c>
      <c r="E268">
        <f>装备!X19</f>
        <v>0</v>
      </c>
      <c r="F268">
        <f>装备!Y19</f>
        <v>0</v>
      </c>
      <c r="G268">
        <f>装备!Z19</f>
        <v>0</v>
      </c>
      <c r="H268">
        <f>装备!AA19</f>
        <v>0</v>
      </c>
      <c r="I268">
        <f>装备!AB19</f>
        <v>0</v>
      </c>
      <c r="J268">
        <f>装备!AC19</f>
        <v>0</v>
      </c>
      <c r="K268">
        <f>装备!AD19</f>
        <v>53</v>
      </c>
      <c r="L268">
        <f>装备!AE19</f>
        <v>0</v>
      </c>
      <c r="M268" t="str">
        <f t="shared" si="56"/>
        <v>InitUnitState('E017',31800,0,0,0,0,0,0,0,53,0)</v>
      </c>
      <c r="N268">
        <f>装备!AF19</f>
        <v>0</v>
      </c>
      <c r="O268">
        <f>装备!AG19</f>
        <v>0</v>
      </c>
      <c r="P268">
        <f>装备!AH19</f>
        <v>0</v>
      </c>
      <c r="Q268">
        <f>装备!AI19</f>
        <v>0</v>
      </c>
      <c r="R268">
        <f>装备!AJ19</f>
        <v>0</v>
      </c>
      <c r="S268">
        <f>装备!AK19</f>
        <v>0</v>
      </c>
      <c r="T268">
        <f>装备!AL19</f>
        <v>0</v>
      </c>
      <c r="U268">
        <f>装备!AM19</f>
        <v>0</v>
      </c>
      <c r="V268">
        <f>装备!AN19</f>
        <v>9</v>
      </c>
      <c r="W268">
        <f>装备!AO19</f>
        <v>0</v>
      </c>
      <c r="X268" t="str">
        <f t="shared" si="57"/>
        <v>InitUnitNormal('E017',0,0,0,0,0,0,0,0,9,0)</v>
      </c>
      <c r="Y268">
        <f>装备!AP19</f>
        <v>0</v>
      </c>
      <c r="Z268">
        <f>装备!AQ19</f>
        <v>0</v>
      </c>
      <c r="AA268">
        <f>装备!AR19</f>
        <v>0</v>
      </c>
      <c r="AB268">
        <f>装备!AS19</f>
        <v>0</v>
      </c>
      <c r="AC268">
        <f>装备!AT19</f>
        <v>0</v>
      </c>
      <c r="AD268">
        <f>装备!AU19</f>
        <v>0</v>
      </c>
      <c r="AE268">
        <f>装备!AV19</f>
        <v>0</v>
      </c>
      <c r="AF268">
        <f>装备!AW19</f>
        <v>0</v>
      </c>
      <c r="AG268">
        <f>装备!AX19</f>
        <v>0</v>
      </c>
      <c r="AH268">
        <f>装备!AY19</f>
        <v>0</v>
      </c>
      <c r="AI268" t="str">
        <f t="shared" si="58"/>
        <v>InitUnitMagic('E017',0,0,0,0,0,0,0,0,0,0)</v>
      </c>
      <c r="AJ268">
        <f>装备!AZ19</f>
        <v>0</v>
      </c>
      <c r="AK268">
        <f>装备!BA19</f>
        <v>0</v>
      </c>
      <c r="AL268">
        <f>装备!BB19</f>
        <v>0</v>
      </c>
      <c r="AM268">
        <f>装备!BC19</f>
        <v>0</v>
      </c>
      <c r="AN268">
        <f>装备!BD19</f>
        <v>0</v>
      </c>
      <c r="AO268">
        <f>装备!BE19</f>
        <v>0</v>
      </c>
      <c r="AP268">
        <f>装备!BF19</f>
        <v>0</v>
      </c>
      <c r="AQ268">
        <f>装备!BG19</f>
        <v>0</v>
      </c>
      <c r="AR268">
        <f>装备!BH19</f>
        <v>0</v>
      </c>
      <c r="AS268">
        <f>装备!BI19</f>
        <v>0</v>
      </c>
      <c r="AT268" t="str">
        <f t="shared" si="59"/>
        <v>InitUnitAdd('E017',0,0,0,0,0,0,0,0,0,0)</v>
      </c>
      <c r="AU268">
        <f>装备!BJ19</f>
        <v>0</v>
      </c>
      <c r="AV268">
        <f>装备!BK19</f>
        <v>0</v>
      </c>
      <c r="AW268">
        <f>装备!BL19</f>
        <v>0</v>
      </c>
      <c r="AX268">
        <f>装备!BM19</f>
        <v>0</v>
      </c>
      <c r="AY268">
        <f>装备!BN19</f>
        <v>0</v>
      </c>
      <c r="AZ268">
        <f>装备!BO19</f>
        <v>0</v>
      </c>
      <c r="BA268">
        <f>装备!BP19</f>
        <v>0</v>
      </c>
      <c r="BB268">
        <f>装备!BQ19</f>
        <v>0</v>
      </c>
      <c r="BC268">
        <f>装备!BR19</f>
        <v>0</v>
      </c>
      <c r="BD268">
        <f>装备!BS19</f>
        <v>0</v>
      </c>
      <c r="BE268" t="str">
        <f t="shared" si="60"/>
        <v>InitUnitStateTime('E017',0,0,0,0,0,0,0,0,0,0)</v>
      </c>
      <c r="BF268">
        <f>装备!BT19</f>
        <v>0</v>
      </c>
      <c r="BG268">
        <f>装备!BU19</f>
        <v>0</v>
      </c>
      <c r="BH268">
        <f>装备!BV19</f>
        <v>0</v>
      </c>
      <c r="BI268">
        <f>装备!BW19</f>
        <v>0</v>
      </c>
      <c r="BJ268">
        <f>装备!BX19</f>
        <v>0</v>
      </c>
      <c r="BK268">
        <f>装备!BY19</f>
        <v>0</v>
      </c>
      <c r="BL268">
        <f>装备!BZ19</f>
        <v>0</v>
      </c>
      <c r="BM268">
        <f>装备!CA19</f>
        <v>0</v>
      </c>
      <c r="BN268">
        <f>装备!CB19</f>
        <v>0</v>
      </c>
      <c r="BO268">
        <f>装备!CC19</f>
        <v>0</v>
      </c>
      <c r="BP268" t="str">
        <f t="shared" si="61"/>
        <v>InitUnitStateAttack('E017',0,0,0,0,0,0,0,0,0,0)</v>
      </c>
      <c r="BQ268">
        <f>装备!CD19</f>
        <v>0</v>
      </c>
      <c r="BR268">
        <f>装备!CE19</f>
        <v>0</v>
      </c>
      <c r="BS268">
        <f>装备!CF19</f>
        <v>0</v>
      </c>
      <c r="BT268">
        <f>装备!CG19</f>
        <v>0</v>
      </c>
      <c r="BU268">
        <f>装备!CH19</f>
        <v>0</v>
      </c>
      <c r="BV268">
        <f>装备!CI19</f>
        <v>0</v>
      </c>
      <c r="BW268">
        <f>装备!CJ19</f>
        <v>0</v>
      </c>
      <c r="BX268">
        <f>装备!CK19</f>
        <v>0</v>
      </c>
      <c r="BY268">
        <f>装备!CL19</f>
        <v>0</v>
      </c>
      <c r="BZ268">
        <f>装备!CM19</f>
        <v>0</v>
      </c>
      <c r="CA268" t="str">
        <f t="shared" si="62"/>
        <v>InitUnitStateUpUp('E017',0,0,0,0,0,0,0,0,0,0)</v>
      </c>
      <c r="CB268" t="str">
        <f t="shared" si="63"/>
        <v>InitUnitState('E017',31800,0,0,0,0,0,0,0,53,0)</v>
      </c>
      <c r="CC268" t="str">
        <f t="shared" si="64"/>
        <v>InitUnitNormal('E017',0,0,0,0,0,0,0,0,9,0)</v>
      </c>
      <c r="CD268" t="str">
        <f t="shared" si="65"/>
        <v/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装备!B20</f>
        <v>E018</v>
      </c>
      <c r="B269">
        <f>装备!A20</f>
        <v>0</v>
      </c>
      <c r="C269">
        <f>装备!V20</f>
        <v>36200</v>
      </c>
      <c r="D269">
        <f>装备!W20</f>
        <v>0</v>
      </c>
      <c r="E269">
        <f>装备!X20</f>
        <v>0</v>
      </c>
      <c r="F269">
        <f>装备!Y20</f>
        <v>0</v>
      </c>
      <c r="G269">
        <f>装备!Z20</f>
        <v>0</v>
      </c>
      <c r="H269">
        <f>装备!AA20</f>
        <v>0</v>
      </c>
      <c r="I269">
        <f>装备!AB20</f>
        <v>0</v>
      </c>
      <c r="J269">
        <f>装备!AC20</f>
        <v>0</v>
      </c>
      <c r="K269">
        <f>装备!AD20</f>
        <v>53</v>
      </c>
      <c r="L269">
        <f>装备!AE20</f>
        <v>0</v>
      </c>
      <c r="M269" t="str">
        <f t="shared" si="56"/>
        <v>InitUnitState('E018',36200,0,0,0,0,0,0,0,53,0)</v>
      </c>
      <c r="N269">
        <f>装备!AF20</f>
        <v>0</v>
      </c>
      <c r="O269">
        <f>装备!AG20</f>
        <v>0</v>
      </c>
      <c r="P269">
        <f>装备!AH20</f>
        <v>0</v>
      </c>
      <c r="Q269">
        <f>装备!AI20</f>
        <v>0</v>
      </c>
      <c r="R269">
        <f>装备!AJ20</f>
        <v>0</v>
      </c>
      <c r="S269">
        <f>装备!AK20</f>
        <v>0</v>
      </c>
      <c r="T269">
        <f>装备!AL20</f>
        <v>0</v>
      </c>
      <c r="U269">
        <f>装备!AM20</f>
        <v>0</v>
      </c>
      <c r="V269">
        <f>装备!AN20</f>
        <v>9</v>
      </c>
      <c r="W269">
        <f>装备!AO20</f>
        <v>0</v>
      </c>
      <c r="X269" t="str">
        <f t="shared" si="57"/>
        <v>InitUnitNormal('E018',0,0,0,0,0,0,0,0,9,0)</v>
      </c>
      <c r="Y269">
        <f>装备!AP20</f>
        <v>0</v>
      </c>
      <c r="Z269">
        <f>装备!AQ20</f>
        <v>0</v>
      </c>
      <c r="AA269">
        <f>装备!AR20</f>
        <v>0</v>
      </c>
      <c r="AB269">
        <f>装备!AS20</f>
        <v>0</v>
      </c>
      <c r="AC269">
        <f>装备!AT20</f>
        <v>0</v>
      </c>
      <c r="AD269">
        <f>装备!AU20</f>
        <v>0</v>
      </c>
      <c r="AE269">
        <f>装备!AV20</f>
        <v>0</v>
      </c>
      <c r="AF269">
        <f>装备!AW20</f>
        <v>0</v>
      </c>
      <c r="AG269">
        <f>装备!AX20</f>
        <v>0</v>
      </c>
      <c r="AH269">
        <f>装备!AY20</f>
        <v>0</v>
      </c>
      <c r="AI269" t="str">
        <f t="shared" si="58"/>
        <v>InitUnitMagic('E018',0,0,0,0,0,0,0,0,0,0)</v>
      </c>
      <c r="AJ269">
        <f>装备!AZ20</f>
        <v>0</v>
      </c>
      <c r="AK269">
        <f>装备!BA20</f>
        <v>0</v>
      </c>
      <c r="AL269">
        <f>装备!BB20</f>
        <v>0</v>
      </c>
      <c r="AM269">
        <f>装备!BC20</f>
        <v>0</v>
      </c>
      <c r="AN269">
        <f>装备!BD20</f>
        <v>0</v>
      </c>
      <c r="AO269">
        <f>装备!BE20</f>
        <v>0</v>
      </c>
      <c r="AP269">
        <f>装备!BF20</f>
        <v>0</v>
      </c>
      <c r="AQ269">
        <f>装备!BG20</f>
        <v>0</v>
      </c>
      <c r="AR269">
        <f>装备!BH20</f>
        <v>0</v>
      </c>
      <c r="AS269">
        <f>装备!BI20</f>
        <v>0</v>
      </c>
      <c r="AT269" t="str">
        <f t="shared" si="59"/>
        <v>InitUnitAdd('E018',0,0,0,0,0,0,0,0,0,0)</v>
      </c>
      <c r="AU269">
        <f>装备!BJ20</f>
        <v>0</v>
      </c>
      <c r="AV269">
        <f>装备!BK20</f>
        <v>0</v>
      </c>
      <c r="AW269">
        <f>装备!BL20</f>
        <v>0</v>
      </c>
      <c r="AX269">
        <f>装备!BM20</f>
        <v>0</v>
      </c>
      <c r="AY269">
        <f>装备!BN20</f>
        <v>0</v>
      </c>
      <c r="AZ269">
        <f>装备!BO20</f>
        <v>0</v>
      </c>
      <c r="BA269">
        <f>装备!BP20</f>
        <v>0</v>
      </c>
      <c r="BB269">
        <f>装备!BQ20</f>
        <v>0</v>
      </c>
      <c r="BC269">
        <f>装备!BR20</f>
        <v>0</v>
      </c>
      <c r="BD269">
        <f>装备!BS20</f>
        <v>0</v>
      </c>
      <c r="BE269" t="str">
        <f t="shared" si="60"/>
        <v>InitUnitStateTime('E018',0,0,0,0,0,0,0,0,0,0)</v>
      </c>
      <c r="BF269">
        <f>装备!BT20</f>
        <v>0</v>
      </c>
      <c r="BG269">
        <f>装备!BU20</f>
        <v>0</v>
      </c>
      <c r="BH269">
        <f>装备!BV20</f>
        <v>0</v>
      </c>
      <c r="BI269">
        <f>装备!BW20</f>
        <v>0</v>
      </c>
      <c r="BJ269">
        <f>装备!BX20</f>
        <v>0</v>
      </c>
      <c r="BK269">
        <f>装备!BY20</f>
        <v>0</v>
      </c>
      <c r="BL269">
        <f>装备!BZ20</f>
        <v>0</v>
      </c>
      <c r="BM269">
        <f>装备!CA20</f>
        <v>0</v>
      </c>
      <c r="BN269">
        <f>装备!CB20</f>
        <v>0</v>
      </c>
      <c r="BO269">
        <f>装备!CC20</f>
        <v>0</v>
      </c>
      <c r="BP269" t="str">
        <f t="shared" si="61"/>
        <v>InitUnitStateAttack('E018',0,0,0,0,0,0,0,0,0,0)</v>
      </c>
      <c r="BQ269">
        <f>装备!CD20</f>
        <v>0</v>
      </c>
      <c r="BR269">
        <f>装备!CE20</f>
        <v>0</v>
      </c>
      <c r="BS269">
        <f>装备!CF20</f>
        <v>0</v>
      </c>
      <c r="BT269">
        <f>装备!CG20</f>
        <v>0</v>
      </c>
      <c r="BU269">
        <f>装备!CH20</f>
        <v>0</v>
      </c>
      <c r="BV269">
        <f>装备!CI20</f>
        <v>0</v>
      </c>
      <c r="BW269">
        <f>装备!CJ20</f>
        <v>0</v>
      </c>
      <c r="BX269">
        <f>装备!CK20</f>
        <v>0</v>
      </c>
      <c r="BY269">
        <f>装备!CL20</f>
        <v>0</v>
      </c>
      <c r="BZ269">
        <f>装备!CM20</f>
        <v>0</v>
      </c>
      <c r="CA269" t="str">
        <f t="shared" si="62"/>
        <v>InitUnitStateUpUp('E018',0,0,0,0,0,0,0,0,0,0)</v>
      </c>
      <c r="CB269" t="str">
        <f t="shared" si="63"/>
        <v>InitUnitState('E018',36200,0,0,0,0,0,0,0,53,0)</v>
      </c>
      <c r="CC269" t="str">
        <f t="shared" si="64"/>
        <v>InitUnitNormal('E018',0,0,0,0,0,0,0,0,9,0)</v>
      </c>
      <c r="CD269" t="str">
        <f t="shared" si="65"/>
        <v/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装备!B21</f>
        <v>E019</v>
      </c>
      <c r="B270">
        <f>装备!A21</f>
        <v>0</v>
      </c>
      <c r="C270">
        <f>装备!V21</f>
        <v>40600</v>
      </c>
      <c r="D270">
        <f>装备!W21</f>
        <v>0</v>
      </c>
      <c r="E270">
        <f>装备!X21</f>
        <v>0</v>
      </c>
      <c r="F270">
        <f>装备!Y21</f>
        <v>0</v>
      </c>
      <c r="G270">
        <f>装备!Z21</f>
        <v>0</v>
      </c>
      <c r="H270">
        <f>装备!AA21</f>
        <v>0</v>
      </c>
      <c r="I270">
        <f>装备!AB21</f>
        <v>0</v>
      </c>
      <c r="J270">
        <f>装备!AC21</f>
        <v>0</v>
      </c>
      <c r="K270">
        <f>装备!AD21</f>
        <v>53</v>
      </c>
      <c r="L270">
        <f>装备!AE21</f>
        <v>0</v>
      </c>
      <c r="M270" t="str">
        <f t="shared" si="56"/>
        <v>InitUnitState('E019',40600,0,0,0,0,0,0,0,53,0)</v>
      </c>
      <c r="N270">
        <f>装备!AF21</f>
        <v>0</v>
      </c>
      <c r="O270">
        <f>装备!AG21</f>
        <v>0</v>
      </c>
      <c r="P270">
        <f>装备!AH21</f>
        <v>0</v>
      </c>
      <c r="Q270">
        <f>装备!AI21</f>
        <v>0</v>
      </c>
      <c r="R270">
        <f>装备!AJ21</f>
        <v>0</v>
      </c>
      <c r="S270">
        <f>装备!AK21</f>
        <v>0</v>
      </c>
      <c r="T270">
        <f>装备!AL21</f>
        <v>0</v>
      </c>
      <c r="U270">
        <f>装备!AM21</f>
        <v>0</v>
      </c>
      <c r="V270">
        <f>装备!AN21</f>
        <v>9</v>
      </c>
      <c r="W270">
        <f>装备!AO21</f>
        <v>0</v>
      </c>
      <c r="X270" t="str">
        <f t="shared" si="57"/>
        <v>InitUnitNormal('E019',0,0,0,0,0,0,0,0,9,0)</v>
      </c>
      <c r="Y270">
        <f>装备!AP21</f>
        <v>0</v>
      </c>
      <c r="Z270">
        <f>装备!AQ21</f>
        <v>0</v>
      </c>
      <c r="AA270">
        <f>装备!AR21</f>
        <v>0</v>
      </c>
      <c r="AB270">
        <f>装备!AS21</f>
        <v>0</v>
      </c>
      <c r="AC270">
        <f>装备!AT21</f>
        <v>0</v>
      </c>
      <c r="AD270">
        <f>装备!AU21</f>
        <v>0</v>
      </c>
      <c r="AE270">
        <f>装备!AV21</f>
        <v>0</v>
      </c>
      <c r="AF270">
        <f>装备!AW21</f>
        <v>0</v>
      </c>
      <c r="AG270">
        <f>装备!AX21</f>
        <v>0</v>
      </c>
      <c r="AH270">
        <f>装备!AY21</f>
        <v>0</v>
      </c>
      <c r="AI270" t="str">
        <f t="shared" si="58"/>
        <v>InitUnitMagic('E019',0,0,0,0,0,0,0,0,0,0)</v>
      </c>
      <c r="AJ270">
        <f>装备!AZ21</f>
        <v>0</v>
      </c>
      <c r="AK270">
        <f>装备!BA21</f>
        <v>0</v>
      </c>
      <c r="AL270">
        <f>装备!BB21</f>
        <v>0</v>
      </c>
      <c r="AM270">
        <f>装备!BC21</f>
        <v>0</v>
      </c>
      <c r="AN270">
        <f>装备!BD21</f>
        <v>0</v>
      </c>
      <c r="AO270">
        <f>装备!BE21</f>
        <v>0</v>
      </c>
      <c r="AP270">
        <f>装备!BF21</f>
        <v>0</v>
      </c>
      <c r="AQ270">
        <f>装备!BG21</f>
        <v>0</v>
      </c>
      <c r="AR270">
        <f>装备!BH21</f>
        <v>0</v>
      </c>
      <c r="AS270">
        <f>装备!BI21</f>
        <v>0</v>
      </c>
      <c r="AT270" t="str">
        <f t="shared" si="59"/>
        <v>InitUnitAdd('E019',0,0,0,0,0,0,0,0,0,0)</v>
      </c>
      <c r="AU270">
        <f>装备!BJ21</f>
        <v>0</v>
      </c>
      <c r="AV270">
        <f>装备!BK21</f>
        <v>0</v>
      </c>
      <c r="AW270">
        <f>装备!BL21</f>
        <v>0</v>
      </c>
      <c r="AX270">
        <f>装备!BM21</f>
        <v>0</v>
      </c>
      <c r="AY270">
        <f>装备!BN21</f>
        <v>0</v>
      </c>
      <c r="AZ270">
        <f>装备!BO21</f>
        <v>0</v>
      </c>
      <c r="BA270">
        <f>装备!BP21</f>
        <v>0</v>
      </c>
      <c r="BB270">
        <f>装备!BQ21</f>
        <v>0</v>
      </c>
      <c r="BC270">
        <f>装备!BR21</f>
        <v>0</v>
      </c>
      <c r="BD270">
        <f>装备!BS21</f>
        <v>0</v>
      </c>
      <c r="BE270" t="str">
        <f t="shared" si="60"/>
        <v>InitUnitStateTime('E019',0,0,0,0,0,0,0,0,0,0)</v>
      </c>
      <c r="BF270">
        <f>装备!BT21</f>
        <v>0</v>
      </c>
      <c r="BG270">
        <f>装备!BU21</f>
        <v>0</v>
      </c>
      <c r="BH270">
        <f>装备!BV21</f>
        <v>0</v>
      </c>
      <c r="BI270">
        <f>装备!BW21</f>
        <v>0</v>
      </c>
      <c r="BJ270">
        <f>装备!BX21</f>
        <v>0</v>
      </c>
      <c r="BK270">
        <f>装备!BY21</f>
        <v>0</v>
      </c>
      <c r="BL270">
        <f>装备!BZ21</f>
        <v>0</v>
      </c>
      <c r="BM270">
        <f>装备!CA21</f>
        <v>0</v>
      </c>
      <c r="BN270">
        <f>装备!CB21</f>
        <v>0</v>
      </c>
      <c r="BO270">
        <f>装备!CC21</f>
        <v>0</v>
      </c>
      <c r="BP270" t="str">
        <f t="shared" si="61"/>
        <v>InitUnitStateAttack('E019',0,0,0,0,0,0,0,0,0,0)</v>
      </c>
      <c r="BQ270">
        <f>装备!CD21</f>
        <v>0</v>
      </c>
      <c r="BR270">
        <f>装备!CE21</f>
        <v>0</v>
      </c>
      <c r="BS270">
        <f>装备!CF21</f>
        <v>0</v>
      </c>
      <c r="BT270">
        <f>装备!CG21</f>
        <v>0</v>
      </c>
      <c r="BU270">
        <f>装备!CH21</f>
        <v>0</v>
      </c>
      <c r="BV270">
        <f>装备!CI21</f>
        <v>0</v>
      </c>
      <c r="BW270">
        <f>装备!CJ21</f>
        <v>0</v>
      </c>
      <c r="BX270">
        <f>装备!CK21</f>
        <v>0</v>
      </c>
      <c r="BY270">
        <f>装备!CL21</f>
        <v>0</v>
      </c>
      <c r="BZ270">
        <f>装备!CM21</f>
        <v>0</v>
      </c>
      <c r="CA270" t="str">
        <f t="shared" si="62"/>
        <v>InitUnitStateUpUp('E019',0,0,0,0,0,0,0,0,0,0)</v>
      </c>
      <c r="CB270" t="str">
        <f t="shared" si="63"/>
        <v>InitUnitState('E019',40600,0,0,0,0,0,0,0,53,0)</v>
      </c>
      <c r="CC270" t="str">
        <f t="shared" si="64"/>
        <v>InitUnitNormal('E019',0,0,0,0,0,0,0,0,9,0)</v>
      </c>
      <c r="CD270" t="str">
        <f t="shared" si="65"/>
        <v/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装备!B22</f>
        <v>E020</v>
      </c>
      <c r="B271">
        <f>装备!A22</f>
        <v>0</v>
      </c>
      <c r="C271">
        <f>装备!V22</f>
        <v>45000</v>
      </c>
      <c r="D271">
        <f>装备!W22</f>
        <v>0</v>
      </c>
      <c r="E271">
        <f>装备!X22</f>
        <v>0</v>
      </c>
      <c r="F271">
        <f>装备!Y22</f>
        <v>0</v>
      </c>
      <c r="G271">
        <f>装备!Z22</f>
        <v>0</v>
      </c>
      <c r="H271">
        <f>装备!AA22</f>
        <v>0</v>
      </c>
      <c r="I271">
        <f>装备!AB22</f>
        <v>0</v>
      </c>
      <c r="J271">
        <f>装备!AC22</f>
        <v>0</v>
      </c>
      <c r="K271">
        <f>装备!AD22</f>
        <v>53</v>
      </c>
      <c r="L271">
        <f>装备!AE22</f>
        <v>0</v>
      </c>
      <c r="M271" t="str">
        <f t="shared" si="56"/>
        <v>InitUnitState('E020',45000,0,0,0,0,0,0,0,53,0)</v>
      </c>
      <c r="N271">
        <f>装备!AF22</f>
        <v>0</v>
      </c>
      <c r="O271">
        <f>装备!AG22</f>
        <v>0</v>
      </c>
      <c r="P271">
        <f>装备!AH22</f>
        <v>0</v>
      </c>
      <c r="Q271">
        <f>装备!AI22</f>
        <v>0</v>
      </c>
      <c r="R271">
        <f>装备!AJ22</f>
        <v>0</v>
      </c>
      <c r="S271">
        <f>装备!AK22</f>
        <v>0</v>
      </c>
      <c r="T271">
        <f>装备!AL22</f>
        <v>0</v>
      </c>
      <c r="U271">
        <f>装备!AM22</f>
        <v>0</v>
      </c>
      <c r="V271">
        <f>装备!AN22</f>
        <v>9</v>
      </c>
      <c r="W271">
        <f>装备!AO22</f>
        <v>0</v>
      </c>
      <c r="X271" t="str">
        <f t="shared" si="57"/>
        <v>InitUnitNormal('E020',0,0,0,0,0,0,0,0,9,0)</v>
      </c>
      <c r="Y271">
        <f>装备!AP22</f>
        <v>0</v>
      </c>
      <c r="Z271">
        <f>装备!AQ22</f>
        <v>0</v>
      </c>
      <c r="AA271">
        <f>装备!AR22</f>
        <v>0</v>
      </c>
      <c r="AB271">
        <f>装备!AS22</f>
        <v>0</v>
      </c>
      <c r="AC271">
        <f>装备!AT22</f>
        <v>0</v>
      </c>
      <c r="AD271">
        <f>装备!AU22</f>
        <v>0</v>
      </c>
      <c r="AE271">
        <f>装备!AV22</f>
        <v>0</v>
      </c>
      <c r="AF271">
        <f>装备!AW22</f>
        <v>0</v>
      </c>
      <c r="AG271">
        <f>装备!AX22</f>
        <v>0</v>
      </c>
      <c r="AH271">
        <f>装备!AY22</f>
        <v>0</v>
      </c>
      <c r="AI271" t="str">
        <f t="shared" si="58"/>
        <v>InitUnitMagic('E020',0,0,0,0,0,0,0,0,0,0)</v>
      </c>
      <c r="AJ271">
        <f>装备!AZ22</f>
        <v>0</v>
      </c>
      <c r="AK271">
        <f>装备!BA22</f>
        <v>0</v>
      </c>
      <c r="AL271">
        <f>装备!BB22</f>
        <v>0</v>
      </c>
      <c r="AM271">
        <f>装备!BC22</f>
        <v>0</v>
      </c>
      <c r="AN271">
        <f>装备!BD22</f>
        <v>0</v>
      </c>
      <c r="AO271">
        <f>装备!BE22</f>
        <v>0</v>
      </c>
      <c r="AP271">
        <f>装备!BF22</f>
        <v>0</v>
      </c>
      <c r="AQ271">
        <f>装备!BG22</f>
        <v>0</v>
      </c>
      <c r="AR271">
        <f>装备!BH22</f>
        <v>0</v>
      </c>
      <c r="AS271">
        <f>装备!BI22</f>
        <v>0</v>
      </c>
      <c r="AT271" t="str">
        <f t="shared" si="59"/>
        <v>InitUnitAdd('E020',0,0,0,0,0,0,0,0,0,0)</v>
      </c>
      <c r="AU271">
        <f>装备!BJ22</f>
        <v>0</v>
      </c>
      <c r="AV271">
        <f>装备!BK22</f>
        <v>0</v>
      </c>
      <c r="AW271">
        <f>装备!BL22</f>
        <v>0</v>
      </c>
      <c r="AX271">
        <f>装备!BM22</f>
        <v>0</v>
      </c>
      <c r="AY271">
        <f>装备!BN22</f>
        <v>0</v>
      </c>
      <c r="AZ271">
        <f>装备!BO22</f>
        <v>0</v>
      </c>
      <c r="BA271">
        <f>装备!BP22</f>
        <v>0</v>
      </c>
      <c r="BB271">
        <f>装备!BQ22</f>
        <v>0</v>
      </c>
      <c r="BC271">
        <f>装备!BR22</f>
        <v>0</v>
      </c>
      <c r="BD271">
        <f>装备!BS22</f>
        <v>0</v>
      </c>
      <c r="BE271" t="str">
        <f t="shared" si="60"/>
        <v>InitUnitStateTime('E020',0,0,0,0,0,0,0,0,0,0)</v>
      </c>
      <c r="BF271">
        <f>装备!BT22</f>
        <v>0</v>
      </c>
      <c r="BG271">
        <f>装备!BU22</f>
        <v>0</v>
      </c>
      <c r="BH271">
        <f>装备!BV22</f>
        <v>0</v>
      </c>
      <c r="BI271">
        <f>装备!BW22</f>
        <v>0</v>
      </c>
      <c r="BJ271">
        <f>装备!BX22</f>
        <v>0</v>
      </c>
      <c r="BK271">
        <f>装备!BY22</f>
        <v>0</v>
      </c>
      <c r="BL271">
        <f>装备!BZ22</f>
        <v>0</v>
      </c>
      <c r="BM271">
        <f>装备!CA22</f>
        <v>0</v>
      </c>
      <c r="BN271">
        <f>装备!CB22</f>
        <v>0</v>
      </c>
      <c r="BO271">
        <f>装备!CC22</f>
        <v>0</v>
      </c>
      <c r="BP271" t="str">
        <f t="shared" si="61"/>
        <v>InitUnitStateAttack('E020',0,0,0,0,0,0,0,0,0,0)</v>
      </c>
      <c r="BQ271">
        <f>装备!CD22</f>
        <v>0</v>
      </c>
      <c r="BR271">
        <f>装备!CE22</f>
        <v>0</v>
      </c>
      <c r="BS271">
        <f>装备!CF22</f>
        <v>0</v>
      </c>
      <c r="BT271">
        <f>装备!CG22</f>
        <v>0</v>
      </c>
      <c r="BU271">
        <f>装备!CH22</f>
        <v>0</v>
      </c>
      <c r="BV271">
        <f>装备!CI22</f>
        <v>0</v>
      </c>
      <c r="BW271">
        <f>装备!CJ22</f>
        <v>0</v>
      </c>
      <c r="BX271">
        <f>装备!CK22</f>
        <v>0</v>
      </c>
      <c r="BY271">
        <f>装备!CL22</f>
        <v>0</v>
      </c>
      <c r="BZ271">
        <f>装备!CM22</f>
        <v>0</v>
      </c>
      <c r="CA271" t="str">
        <f t="shared" si="62"/>
        <v>InitUnitStateUpUp('E020',0,0,0,0,0,0,0,0,0,0)</v>
      </c>
      <c r="CB271" t="str">
        <f t="shared" si="63"/>
        <v>InitUnitState('E020',45000,0,0,0,0,0,0,0,53,0)</v>
      </c>
      <c r="CC271" t="str">
        <f t="shared" si="64"/>
        <v>InitUnitNormal('E020',0,0,0,0,0,0,0,0,9,0)</v>
      </c>
      <c r="CD271" t="str">
        <f t="shared" si="65"/>
        <v/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装备!B23</f>
        <v>E021</v>
      </c>
      <c r="B272">
        <f>装备!A23</f>
        <v>0</v>
      </c>
      <c r="C272">
        <f>装备!V23</f>
        <v>56000</v>
      </c>
      <c r="D272">
        <f>装备!W23</f>
        <v>0</v>
      </c>
      <c r="E272">
        <f>装备!X23</f>
        <v>0</v>
      </c>
      <c r="F272">
        <f>装备!Y23</f>
        <v>0</v>
      </c>
      <c r="G272">
        <f>装备!Z23</f>
        <v>0</v>
      </c>
      <c r="H272">
        <f>装备!AA23</f>
        <v>0</v>
      </c>
      <c r="I272">
        <f>装备!AB23</f>
        <v>0</v>
      </c>
      <c r="J272">
        <f>装备!AC23</f>
        <v>0</v>
      </c>
      <c r="K272">
        <f>装备!AD23</f>
        <v>66</v>
      </c>
      <c r="L272">
        <f>装备!AE23</f>
        <v>0</v>
      </c>
      <c r="M272" t="str">
        <f t="shared" si="56"/>
        <v>InitUnitState('E021',56000,0,0,0,0,0,0,0,66,0)</v>
      </c>
      <c r="N272">
        <f>装备!AF23</f>
        <v>0</v>
      </c>
      <c r="O272">
        <f>装备!AG23</f>
        <v>0</v>
      </c>
      <c r="P272">
        <f>装备!AH23</f>
        <v>0</v>
      </c>
      <c r="Q272">
        <f>装备!AI23</f>
        <v>0</v>
      </c>
      <c r="R272">
        <f>装备!AJ23</f>
        <v>0</v>
      </c>
      <c r="S272">
        <f>装备!AK23</f>
        <v>0</v>
      </c>
      <c r="T272">
        <f>装备!AL23</f>
        <v>0</v>
      </c>
      <c r="U272">
        <f>装备!AM23</f>
        <v>0</v>
      </c>
      <c r="V272">
        <f>装备!AN23</f>
        <v>12</v>
      </c>
      <c r="W272">
        <f>装备!AO23</f>
        <v>0</v>
      </c>
      <c r="X272" t="str">
        <f t="shared" si="57"/>
        <v>InitUnitNormal('E021',0,0,0,0,0,0,0,0,12,0)</v>
      </c>
      <c r="Y272">
        <f>装备!AP23</f>
        <v>0</v>
      </c>
      <c r="Z272">
        <f>装备!AQ23</f>
        <v>0</v>
      </c>
      <c r="AA272">
        <f>装备!AR23</f>
        <v>0</v>
      </c>
      <c r="AB272">
        <f>装备!AS23</f>
        <v>0</v>
      </c>
      <c r="AC272">
        <f>装备!AT23</f>
        <v>0</v>
      </c>
      <c r="AD272">
        <f>装备!AU23</f>
        <v>0</v>
      </c>
      <c r="AE272">
        <f>装备!AV23</f>
        <v>0</v>
      </c>
      <c r="AF272">
        <f>装备!AW23</f>
        <v>0</v>
      </c>
      <c r="AG272">
        <f>装备!AX23</f>
        <v>0</v>
      </c>
      <c r="AH272">
        <f>装备!AY23</f>
        <v>0</v>
      </c>
      <c r="AI272" t="str">
        <f t="shared" si="58"/>
        <v>InitUnitMagic('E021',0,0,0,0,0,0,0,0,0,0)</v>
      </c>
      <c r="AJ272">
        <f>装备!AZ23</f>
        <v>0</v>
      </c>
      <c r="AK272">
        <f>装备!BA23</f>
        <v>0</v>
      </c>
      <c r="AL272">
        <f>装备!BB23</f>
        <v>0</v>
      </c>
      <c r="AM272">
        <f>装备!BC23</f>
        <v>0</v>
      </c>
      <c r="AN272">
        <f>装备!BD23</f>
        <v>0</v>
      </c>
      <c r="AO272">
        <f>装备!BE23</f>
        <v>0</v>
      </c>
      <c r="AP272">
        <f>装备!BF23</f>
        <v>0</v>
      </c>
      <c r="AQ272">
        <f>装备!BG23</f>
        <v>0</v>
      </c>
      <c r="AR272">
        <f>装备!BH23</f>
        <v>0</v>
      </c>
      <c r="AS272">
        <f>装备!BI23</f>
        <v>0</v>
      </c>
      <c r="AT272" t="str">
        <f t="shared" si="59"/>
        <v>InitUnitAdd('E021',0,0,0,0,0,0,0,0,0,0)</v>
      </c>
      <c r="AU272">
        <f>装备!BJ23</f>
        <v>0</v>
      </c>
      <c r="AV272">
        <f>装备!BK23</f>
        <v>0</v>
      </c>
      <c r="AW272">
        <f>装备!BL23</f>
        <v>0</v>
      </c>
      <c r="AX272">
        <f>装备!BM23</f>
        <v>0</v>
      </c>
      <c r="AY272">
        <f>装备!BN23</f>
        <v>0</v>
      </c>
      <c r="AZ272">
        <f>装备!BO23</f>
        <v>0</v>
      </c>
      <c r="BA272">
        <f>装备!BP23</f>
        <v>0</v>
      </c>
      <c r="BB272">
        <f>装备!BQ23</f>
        <v>0</v>
      </c>
      <c r="BC272">
        <f>装备!BR23</f>
        <v>0</v>
      </c>
      <c r="BD272">
        <f>装备!BS23</f>
        <v>0</v>
      </c>
      <c r="BE272" t="str">
        <f t="shared" si="60"/>
        <v>InitUnitStateTime('E021',0,0,0,0,0,0,0,0,0,0)</v>
      </c>
      <c r="BF272">
        <f>装备!BT23</f>
        <v>0</v>
      </c>
      <c r="BG272">
        <f>装备!BU23</f>
        <v>0</v>
      </c>
      <c r="BH272">
        <f>装备!BV23</f>
        <v>0</v>
      </c>
      <c r="BI272">
        <f>装备!BW23</f>
        <v>0</v>
      </c>
      <c r="BJ272">
        <f>装备!BX23</f>
        <v>0</v>
      </c>
      <c r="BK272">
        <f>装备!BY23</f>
        <v>0</v>
      </c>
      <c r="BL272">
        <f>装备!BZ23</f>
        <v>0</v>
      </c>
      <c r="BM272">
        <f>装备!CA23</f>
        <v>0</v>
      </c>
      <c r="BN272">
        <f>装备!CB23</f>
        <v>0</v>
      </c>
      <c r="BO272">
        <f>装备!CC23</f>
        <v>0</v>
      </c>
      <c r="BP272" t="str">
        <f t="shared" si="61"/>
        <v>InitUnitStateAttack('E021',0,0,0,0,0,0,0,0,0,0)</v>
      </c>
      <c r="BQ272">
        <f>装备!CD23</f>
        <v>0</v>
      </c>
      <c r="BR272">
        <f>装备!CE23</f>
        <v>0</v>
      </c>
      <c r="BS272">
        <f>装备!CF23</f>
        <v>0</v>
      </c>
      <c r="BT272">
        <f>装备!CG23</f>
        <v>0</v>
      </c>
      <c r="BU272">
        <f>装备!CH23</f>
        <v>0</v>
      </c>
      <c r="BV272">
        <f>装备!CI23</f>
        <v>0</v>
      </c>
      <c r="BW272">
        <f>装备!CJ23</f>
        <v>0</v>
      </c>
      <c r="BX272">
        <f>装备!CK23</f>
        <v>0</v>
      </c>
      <c r="BY272">
        <f>装备!CL23</f>
        <v>0</v>
      </c>
      <c r="BZ272">
        <f>装备!CM23</f>
        <v>0</v>
      </c>
      <c r="CA272" t="str">
        <f t="shared" si="62"/>
        <v>InitUnitStateUpUp('E021',0,0,0,0,0,0,0,0,0,0)</v>
      </c>
      <c r="CB272" t="str">
        <f t="shared" si="63"/>
        <v>InitUnitState('E021',56000,0,0,0,0,0,0,0,66,0)</v>
      </c>
      <c r="CC272" t="str">
        <f t="shared" si="64"/>
        <v>InitUnitNormal('E021',0,0,0,0,0,0,0,0,12,0)</v>
      </c>
      <c r="CD272" t="str">
        <f t="shared" si="65"/>
        <v/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装备!B24</f>
        <v>E022</v>
      </c>
      <c r="B273">
        <f>装备!A24</f>
        <v>0</v>
      </c>
      <c r="C273">
        <f>装备!V24</f>
        <v>67000</v>
      </c>
      <c r="D273">
        <f>装备!W24</f>
        <v>0</v>
      </c>
      <c r="E273">
        <f>装备!X24</f>
        <v>0</v>
      </c>
      <c r="F273">
        <f>装备!Y24</f>
        <v>0</v>
      </c>
      <c r="G273">
        <f>装备!Z24</f>
        <v>0</v>
      </c>
      <c r="H273">
        <f>装备!AA24</f>
        <v>0</v>
      </c>
      <c r="I273">
        <f>装备!AB24</f>
        <v>0</v>
      </c>
      <c r="J273">
        <f>装备!AC24</f>
        <v>0</v>
      </c>
      <c r="K273">
        <f>装备!AD24</f>
        <v>66</v>
      </c>
      <c r="L273">
        <f>装备!AE24</f>
        <v>0</v>
      </c>
      <c r="M273" t="str">
        <f t="shared" si="56"/>
        <v>InitUnitState('E022',67000,0,0,0,0,0,0,0,66,0)</v>
      </c>
      <c r="N273">
        <f>装备!AF24</f>
        <v>0</v>
      </c>
      <c r="O273">
        <f>装备!AG24</f>
        <v>0</v>
      </c>
      <c r="P273">
        <f>装备!AH24</f>
        <v>0</v>
      </c>
      <c r="Q273">
        <f>装备!AI24</f>
        <v>0</v>
      </c>
      <c r="R273">
        <f>装备!AJ24</f>
        <v>0</v>
      </c>
      <c r="S273">
        <f>装备!AK24</f>
        <v>0</v>
      </c>
      <c r="T273">
        <f>装备!AL24</f>
        <v>0</v>
      </c>
      <c r="U273">
        <f>装备!AM24</f>
        <v>0</v>
      </c>
      <c r="V273">
        <f>装备!AN24</f>
        <v>12</v>
      </c>
      <c r="W273">
        <f>装备!AO24</f>
        <v>0</v>
      </c>
      <c r="X273" t="str">
        <f t="shared" si="57"/>
        <v>InitUnitNormal('E022',0,0,0,0,0,0,0,0,12,0)</v>
      </c>
      <c r="Y273">
        <f>装备!AP24</f>
        <v>0</v>
      </c>
      <c r="Z273">
        <f>装备!AQ24</f>
        <v>0</v>
      </c>
      <c r="AA273">
        <f>装备!AR24</f>
        <v>0</v>
      </c>
      <c r="AB273">
        <f>装备!AS24</f>
        <v>0</v>
      </c>
      <c r="AC273">
        <f>装备!AT24</f>
        <v>0</v>
      </c>
      <c r="AD273">
        <f>装备!AU24</f>
        <v>0</v>
      </c>
      <c r="AE273">
        <f>装备!AV24</f>
        <v>0</v>
      </c>
      <c r="AF273">
        <f>装备!AW24</f>
        <v>0</v>
      </c>
      <c r="AG273">
        <f>装备!AX24</f>
        <v>0</v>
      </c>
      <c r="AH273">
        <f>装备!AY24</f>
        <v>0</v>
      </c>
      <c r="AI273" t="str">
        <f t="shared" si="58"/>
        <v>InitUnitMagic('E022',0,0,0,0,0,0,0,0,0,0)</v>
      </c>
      <c r="AJ273">
        <f>装备!AZ24</f>
        <v>0</v>
      </c>
      <c r="AK273">
        <f>装备!BA24</f>
        <v>0</v>
      </c>
      <c r="AL273">
        <f>装备!BB24</f>
        <v>0</v>
      </c>
      <c r="AM273">
        <f>装备!BC24</f>
        <v>0</v>
      </c>
      <c r="AN273">
        <f>装备!BD24</f>
        <v>0</v>
      </c>
      <c r="AO273">
        <f>装备!BE24</f>
        <v>0</v>
      </c>
      <c r="AP273">
        <f>装备!BF24</f>
        <v>0</v>
      </c>
      <c r="AQ273">
        <f>装备!BG24</f>
        <v>0</v>
      </c>
      <c r="AR273">
        <f>装备!BH24</f>
        <v>0</v>
      </c>
      <c r="AS273">
        <f>装备!BI24</f>
        <v>0</v>
      </c>
      <c r="AT273" t="str">
        <f t="shared" si="59"/>
        <v>InitUnitAdd('E022',0,0,0,0,0,0,0,0,0,0)</v>
      </c>
      <c r="AU273">
        <f>装备!BJ24</f>
        <v>0</v>
      </c>
      <c r="AV273">
        <f>装备!BK24</f>
        <v>0</v>
      </c>
      <c r="AW273">
        <f>装备!BL24</f>
        <v>0</v>
      </c>
      <c r="AX273">
        <f>装备!BM24</f>
        <v>0</v>
      </c>
      <c r="AY273">
        <f>装备!BN24</f>
        <v>0</v>
      </c>
      <c r="AZ273">
        <f>装备!BO24</f>
        <v>0</v>
      </c>
      <c r="BA273">
        <f>装备!BP24</f>
        <v>0</v>
      </c>
      <c r="BB273">
        <f>装备!BQ24</f>
        <v>0</v>
      </c>
      <c r="BC273">
        <f>装备!BR24</f>
        <v>0</v>
      </c>
      <c r="BD273">
        <f>装备!BS24</f>
        <v>0</v>
      </c>
      <c r="BE273" t="str">
        <f t="shared" si="60"/>
        <v>InitUnitStateTime('E022',0,0,0,0,0,0,0,0,0,0)</v>
      </c>
      <c r="BF273">
        <f>装备!BT24</f>
        <v>0</v>
      </c>
      <c r="BG273">
        <f>装备!BU24</f>
        <v>0</v>
      </c>
      <c r="BH273">
        <f>装备!BV24</f>
        <v>0</v>
      </c>
      <c r="BI273">
        <f>装备!BW24</f>
        <v>0</v>
      </c>
      <c r="BJ273">
        <f>装备!BX24</f>
        <v>0</v>
      </c>
      <c r="BK273">
        <f>装备!BY24</f>
        <v>0</v>
      </c>
      <c r="BL273">
        <f>装备!BZ24</f>
        <v>0</v>
      </c>
      <c r="BM273">
        <f>装备!CA24</f>
        <v>0</v>
      </c>
      <c r="BN273">
        <f>装备!CB24</f>
        <v>0</v>
      </c>
      <c r="BO273">
        <f>装备!CC24</f>
        <v>0</v>
      </c>
      <c r="BP273" t="str">
        <f t="shared" si="61"/>
        <v>InitUnitStateAttack('E022',0,0,0,0,0,0,0,0,0,0)</v>
      </c>
      <c r="BQ273">
        <f>装备!CD24</f>
        <v>0</v>
      </c>
      <c r="BR273">
        <f>装备!CE24</f>
        <v>0</v>
      </c>
      <c r="BS273">
        <f>装备!CF24</f>
        <v>0</v>
      </c>
      <c r="BT273">
        <f>装备!CG24</f>
        <v>0</v>
      </c>
      <c r="BU273">
        <f>装备!CH24</f>
        <v>0</v>
      </c>
      <c r="BV273">
        <f>装备!CI24</f>
        <v>0</v>
      </c>
      <c r="BW273">
        <f>装备!CJ24</f>
        <v>0</v>
      </c>
      <c r="BX273">
        <f>装备!CK24</f>
        <v>0</v>
      </c>
      <c r="BY273">
        <f>装备!CL24</f>
        <v>0</v>
      </c>
      <c r="BZ273">
        <f>装备!CM24</f>
        <v>0</v>
      </c>
      <c r="CA273" t="str">
        <f t="shared" si="62"/>
        <v>InitUnitStateUpUp('E022',0,0,0,0,0,0,0,0,0,0)</v>
      </c>
      <c r="CB273" t="str">
        <f t="shared" si="63"/>
        <v>InitUnitState('E022',67000,0,0,0,0,0,0,0,66,0)</v>
      </c>
      <c r="CC273" t="str">
        <f t="shared" si="64"/>
        <v>InitUnitNormal('E022',0,0,0,0,0,0,0,0,12,0)</v>
      </c>
      <c r="CD273" t="str">
        <f t="shared" si="65"/>
        <v/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装备!B25</f>
        <v>E023</v>
      </c>
      <c r="B274">
        <f>装备!A25</f>
        <v>0</v>
      </c>
      <c r="C274">
        <f>装备!V25</f>
        <v>78000</v>
      </c>
      <c r="D274">
        <f>装备!W25</f>
        <v>0</v>
      </c>
      <c r="E274">
        <f>装备!X25</f>
        <v>0</v>
      </c>
      <c r="F274">
        <f>装备!Y25</f>
        <v>0</v>
      </c>
      <c r="G274">
        <f>装备!Z25</f>
        <v>0</v>
      </c>
      <c r="H274">
        <f>装备!AA25</f>
        <v>0</v>
      </c>
      <c r="I274">
        <f>装备!AB25</f>
        <v>0</v>
      </c>
      <c r="J274">
        <f>装备!AC25</f>
        <v>0</v>
      </c>
      <c r="K274">
        <f>装备!AD25</f>
        <v>66</v>
      </c>
      <c r="L274">
        <f>装备!AE25</f>
        <v>0</v>
      </c>
      <c r="M274" t="str">
        <f t="shared" si="56"/>
        <v>InitUnitState('E023',78000,0,0,0,0,0,0,0,66,0)</v>
      </c>
      <c r="N274">
        <f>装备!AF25</f>
        <v>0</v>
      </c>
      <c r="O274">
        <f>装备!AG25</f>
        <v>0</v>
      </c>
      <c r="P274">
        <f>装备!AH25</f>
        <v>0</v>
      </c>
      <c r="Q274">
        <f>装备!AI25</f>
        <v>0</v>
      </c>
      <c r="R274">
        <f>装备!AJ25</f>
        <v>0</v>
      </c>
      <c r="S274">
        <f>装备!AK25</f>
        <v>0</v>
      </c>
      <c r="T274">
        <f>装备!AL25</f>
        <v>0</v>
      </c>
      <c r="U274">
        <f>装备!AM25</f>
        <v>0</v>
      </c>
      <c r="V274">
        <f>装备!AN25</f>
        <v>12</v>
      </c>
      <c r="W274">
        <f>装备!AO25</f>
        <v>0</v>
      </c>
      <c r="X274" t="str">
        <f t="shared" si="57"/>
        <v>InitUnitNormal('E023',0,0,0,0,0,0,0,0,12,0)</v>
      </c>
      <c r="Y274">
        <f>装备!AP25</f>
        <v>0</v>
      </c>
      <c r="Z274">
        <f>装备!AQ25</f>
        <v>0</v>
      </c>
      <c r="AA274">
        <f>装备!AR25</f>
        <v>0</v>
      </c>
      <c r="AB274">
        <f>装备!AS25</f>
        <v>0</v>
      </c>
      <c r="AC274">
        <f>装备!AT25</f>
        <v>0</v>
      </c>
      <c r="AD274">
        <f>装备!AU25</f>
        <v>0</v>
      </c>
      <c r="AE274">
        <f>装备!AV25</f>
        <v>0</v>
      </c>
      <c r="AF274">
        <f>装备!AW25</f>
        <v>0</v>
      </c>
      <c r="AG274">
        <f>装备!AX25</f>
        <v>0</v>
      </c>
      <c r="AH274">
        <f>装备!AY25</f>
        <v>0</v>
      </c>
      <c r="AI274" t="str">
        <f t="shared" si="58"/>
        <v>InitUnitMagic('E023',0,0,0,0,0,0,0,0,0,0)</v>
      </c>
      <c r="AJ274">
        <f>装备!AZ25</f>
        <v>0</v>
      </c>
      <c r="AK274">
        <f>装备!BA25</f>
        <v>0</v>
      </c>
      <c r="AL274">
        <f>装备!BB25</f>
        <v>0</v>
      </c>
      <c r="AM274">
        <f>装备!BC25</f>
        <v>0</v>
      </c>
      <c r="AN274">
        <f>装备!BD25</f>
        <v>0</v>
      </c>
      <c r="AO274">
        <f>装备!BE25</f>
        <v>0</v>
      </c>
      <c r="AP274">
        <f>装备!BF25</f>
        <v>0</v>
      </c>
      <c r="AQ274">
        <f>装备!BG25</f>
        <v>0</v>
      </c>
      <c r="AR274">
        <f>装备!BH25</f>
        <v>0</v>
      </c>
      <c r="AS274">
        <f>装备!BI25</f>
        <v>0</v>
      </c>
      <c r="AT274" t="str">
        <f t="shared" si="59"/>
        <v>InitUnitAdd('E023',0,0,0,0,0,0,0,0,0,0)</v>
      </c>
      <c r="AU274">
        <f>装备!BJ25</f>
        <v>0</v>
      </c>
      <c r="AV274">
        <f>装备!BK25</f>
        <v>0</v>
      </c>
      <c r="AW274">
        <f>装备!BL25</f>
        <v>0</v>
      </c>
      <c r="AX274">
        <f>装备!BM25</f>
        <v>0</v>
      </c>
      <c r="AY274">
        <f>装备!BN25</f>
        <v>0</v>
      </c>
      <c r="AZ274">
        <f>装备!BO25</f>
        <v>0</v>
      </c>
      <c r="BA274">
        <f>装备!BP25</f>
        <v>0</v>
      </c>
      <c r="BB274">
        <f>装备!BQ25</f>
        <v>0</v>
      </c>
      <c r="BC274">
        <f>装备!BR25</f>
        <v>0</v>
      </c>
      <c r="BD274">
        <f>装备!BS25</f>
        <v>0</v>
      </c>
      <c r="BE274" t="str">
        <f t="shared" si="60"/>
        <v>InitUnitStateTime('E023',0,0,0,0,0,0,0,0,0,0)</v>
      </c>
      <c r="BF274">
        <f>装备!BT25</f>
        <v>0</v>
      </c>
      <c r="BG274">
        <f>装备!BU25</f>
        <v>0</v>
      </c>
      <c r="BH274">
        <f>装备!BV25</f>
        <v>0</v>
      </c>
      <c r="BI274">
        <f>装备!BW25</f>
        <v>0</v>
      </c>
      <c r="BJ274">
        <f>装备!BX25</f>
        <v>0</v>
      </c>
      <c r="BK274">
        <f>装备!BY25</f>
        <v>0</v>
      </c>
      <c r="BL274">
        <f>装备!BZ25</f>
        <v>0</v>
      </c>
      <c r="BM274">
        <f>装备!CA25</f>
        <v>0</v>
      </c>
      <c r="BN274">
        <f>装备!CB25</f>
        <v>0</v>
      </c>
      <c r="BO274">
        <f>装备!CC25</f>
        <v>0</v>
      </c>
      <c r="BP274" t="str">
        <f t="shared" si="61"/>
        <v>InitUnitStateAttack('E023',0,0,0,0,0,0,0,0,0,0)</v>
      </c>
      <c r="BQ274">
        <f>装备!CD25</f>
        <v>0</v>
      </c>
      <c r="BR274">
        <f>装备!CE25</f>
        <v>0</v>
      </c>
      <c r="BS274">
        <f>装备!CF25</f>
        <v>0</v>
      </c>
      <c r="BT274">
        <f>装备!CG25</f>
        <v>0</v>
      </c>
      <c r="BU274">
        <f>装备!CH25</f>
        <v>0</v>
      </c>
      <c r="BV274">
        <f>装备!CI25</f>
        <v>0</v>
      </c>
      <c r="BW274">
        <f>装备!CJ25</f>
        <v>0</v>
      </c>
      <c r="BX274">
        <f>装备!CK25</f>
        <v>0</v>
      </c>
      <c r="BY274">
        <f>装备!CL25</f>
        <v>0</v>
      </c>
      <c r="BZ274">
        <f>装备!CM25</f>
        <v>0</v>
      </c>
      <c r="CA274" t="str">
        <f t="shared" si="62"/>
        <v>InitUnitStateUpUp('E023',0,0,0,0,0,0,0,0,0,0)</v>
      </c>
      <c r="CB274" t="str">
        <f t="shared" si="63"/>
        <v>InitUnitState('E023',78000,0,0,0,0,0,0,0,66,0)</v>
      </c>
      <c r="CC274" t="str">
        <f t="shared" si="64"/>
        <v>InitUnitNormal('E023',0,0,0,0,0,0,0,0,12,0)</v>
      </c>
      <c r="CD274" t="str">
        <f t="shared" si="65"/>
        <v/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装备!B26</f>
        <v>E024</v>
      </c>
      <c r="B275">
        <f>装备!A26</f>
        <v>0</v>
      </c>
      <c r="C275">
        <f>装备!V26</f>
        <v>89000</v>
      </c>
      <c r="D275">
        <f>装备!W26</f>
        <v>0</v>
      </c>
      <c r="E275">
        <f>装备!X26</f>
        <v>0</v>
      </c>
      <c r="F275">
        <f>装备!Y26</f>
        <v>0</v>
      </c>
      <c r="G275">
        <f>装备!Z26</f>
        <v>0</v>
      </c>
      <c r="H275">
        <f>装备!AA26</f>
        <v>0</v>
      </c>
      <c r="I275">
        <f>装备!AB26</f>
        <v>0</v>
      </c>
      <c r="J275">
        <f>装备!AC26</f>
        <v>0</v>
      </c>
      <c r="K275">
        <f>装备!AD26</f>
        <v>66</v>
      </c>
      <c r="L275">
        <f>装备!AE26</f>
        <v>0</v>
      </c>
      <c r="M275" t="str">
        <f t="shared" si="56"/>
        <v>InitUnitState('E024',89000,0,0,0,0,0,0,0,66,0)</v>
      </c>
      <c r="N275">
        <f>装备!AF26</f>
        <v>0</v>
      </c>
      <c r="O275">
        <f>装备!AG26</f>
        <v>0</v>
      </c>
      <c r="P275">
        <f>装备!AH26</f>
        <v>0</v>
      </c>
      <c r="Q275">
        <f>装备!AI26</f>
        <v>0</v>
      </c>
      <c r="R275">
        <f>装备!AJ26</f>
        <v>0</v>
      </c>
      <c r="S275">
        <f>装备!AK26</f>
        <v>0</v>
      </c>
      <c r="T275">
        <f>装备!AL26</f>
        <v>0</v>
      </c>
      <c r="U275">
        <f>装备!AM26</f>
        <v>0</v>
      </c>
      <c r="V275">
        <f>装备!AN26</f>
        <v>12</v>
      </c>
      <c r="W275">
        <f>装备!AO26</f>
        <v>0</v>
      </c>
      <c r="X275" t="str">
        <f t="shared" si="57"/>
        <v>InitUnitNormal('E024',0,0,0,0,0,0,0,0,12,0)</v>
      </c>
      <c r="Y275">
        <f>装备!AP26</f>
        <v>0</v>
      </c>
      <c r="Z275">
        <f>装备!AQ26</f>
        <v>0</v>
      </c>
      <c r="AA275">
        <f>装备!AR26</f>
        <v>0</v>
      </c>
      <c r="AB275">
        <f>装备!AS26</f>
        <v>0</v>
      </c>
      <c r="AC275">
        <f>装备!AT26</f>
        <v>0</v>
      </c>
      <c r="AD275">
        <f>装备!AU26</f>
        <v>0</v>
      </c>
      <c r="AE275">
        <f>装备!AV26</f>
        <v>0</v>
      </c>
      <c r="AF275">
        <f>装备!AW26</f>
        <v>0</v>
      </c>
      <c r="AG275">
        <f>装备!AX26</f>
        <v>0</v>
      </c>
      <c r="AH275">
        <f>装备!AY26</f>
        <v>0</v>
      </c>
      <c r="AI275" t="str">
        <f t="shared" si="58"/>
        <v>InitUnitMagic('E024',0,0,0,0,0,0,0,0,0,0)</v>
      </c>
      <c r="AJ275">
        <f>装备!AZ26</f>
        <v>0</v>
      </c>
      <c r="AK275">
        <f>装备!BA26</f>
        <v>0</v>
      </c>
      <c r="AL275">
        <f>装备!BB26</f>
        <v>0</v>
      </c>
      <c r="AM275">
        <f>装备!BC26</f>
        <v>0</v>
      </c>
      <c r="AN275">
        <f>装备!BD26</f>
        <v>0</v>
      </c>
      <c r="AO275">
        <f>装备!BE26</f>
        <v>0</v>
      </c>
      <c r="AP275">
        <f>装备!BF26</f>
        <v>0</v>
      </c>
      <c r="AQ275">
        <f>装备!BG26</f>
        <v>0</v>
      </c>
      <c r="AR275">
        <f>装备!BH26</f>
        <v>0</v>
      </c>
      <c r="AS275">
        <f>装备!BI26</f>
        <v>0</v>
      </c>
      <c r="AT275" t="str">
        <f t="shared" si="59"/>
        <v>InitUnitAdd('E024',0,0,0,0,0,0,0,0,0,0)</v>
      </c>
      <c r="AU275">
        <f>装备!BJ26</f>
        <v>0</v>
      </c>
      <c r="AV275">
        <f>装备!BK26</f>
        <v>0</v>
      </c>
      <c r="AW275">
        <f>装备!BL26</f>
        <v>0</v>
      </c>
      <c r="AX275">
        <f>装备!BM26</f>
        <v>0</v>
      </c>
      <c r="AY275">
        <f>装备!BN26</f>
        <v>0</v>
      </c>
      <c r="AZ275">
        <f>装备!BO26</f>
        <v>0</v>
      </c>
      <c r="BA275">
        <f>装备!BP26</f>
        <v>0</v>
      </c>
      <c r="BB275">
        <f>装备!BQ26</f>
        <v>0</v>
      </c>
      <c r="BC275">
        <f>装备!BR26</f>
        <v>0</v>
      </c>
      <c r="BD275">
        <f>装备!BS26</f>
        <v>0</v>
      </c>
      <c r="BE275" t="str">
        <f t="shared" si="60"/>
        <v>InitUnitStateTime('E024',0,0,0,0,0,0,0,0,0,0)</v>
      </c>
      <c r="BF275">
        <f>装备!BT26</f>
        <v>0</v>
      </c>
      <c r="BG275">
        <f>装备!BU26</f>
        <v>0</v>
      </c>
      <c r="BH275">
        <f>装备!BV26</f>
        <v>0</v>
      </c>
      <c r="BI275">
        <f>装备!BW26</f>
        <v>0</v>
      </c>
      <c r="BJ275">
        <f>装备!BX26</f>
        <v>0</v>
      </c>
      <c r="BK275">
        <f>装备!BY26</f>
        <v>0</v>
      </c>
      <c r="BL275">
        <f>装备!BZ26</f>
        <v>0</v>
      </c>
      <c r="BM275">
        <f>装备!CA26</f>
        <v>0</v>
      </c>
      <c r="BN275">
        <f>装备!CB26</f>
        <v>0</v>
      </c>
      <c r="BO275">
        <f>装备!CC26</f>
        <v>0</v>
      </c>
      <c r="BP275" t="str">
        <f t="shared" si="61"/>
        <v>InitUnitStateAttack('E024',0,0,0,0,0,0,0,0,0,0)</v>
      </c>
      <c r="BQ275">
        <f>装备!CD26</f>
        <v>0</v>
      </c>
      <c r="BR275">
        <f>装备!CE26</f>
        <v>0</v>
      </c>
      <c r="BS275">
        <f>装备!CF26</f>
        <v>0</v>
      </c>
      <c r="BT275">
        <f>装备!CG26</f>
        <v>0</v>
      </c>
      <c r="BU275">
        <f>装备!CH26</f>
        <v>0</v>
      </c>
      <c r="BV275">
        <f>装备!CI26</f>
        <v>0</v>
      </c>
      <c r="BW275">
        <f>装备!CJ26</f>
        <v>0</v>
      </c>
      <c r="BX275">
        <f>装备!CK26</f>
        <v>0</v>
      </c>
      <c r="BY275">
        <f>装备!CL26</f>
        <v>0</v>
      </c>
      <c r="BZ275">
        <f>装备!CM26</f>
        <v>0</v>
      </c>
      <c r="CA275" t="str">
        <f t="shared" si="62"/>
        <v>InitUnitStateUpUp('E024',0,0,0,0,0,0,0,0,0,0)</v>
      </c>
      <c r="CB275" t="str">
        <f t="shared" si="63"/>
        <v>InitUnitState('E024',89000,0,0,0,0,0,0,0,66,0)</v>
      </c>
      <c r="CC275" t="str">
        <f t="shared" si="64"/>
        <v>InitUnitNormal('E024',0,0,0,0,0,0,0,0,12,0)</v>
      </c>
      <c r="CD275" t="str">
        <f t="shared" si="65"/>
        <v/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装备!B27</f>
        <v>E025</v>
      </c>
      <c r="B276">
        <f>装备!A27</f>
        <v>0</v>
      </c>
      <c r="C276">
        <f>装备!V27</f>
        <v>100000</v>
      </c>
      <c r="D276">
        <f>装备!W27</f>
        <v>0</v>
      </c>
      <c r="E276">
        <f>装备!X27</f>
        <v>0</v>
      </c>
      <c r="F276">
        <f>装备!Y27</f>
        <v>0</v>
      </c>
      <c r="G276">
        <f>装备!Z27</f>
        <v>0</v>
      </c>
      <c r="H276">
        <f>装备!AA27</f>
        <v>0</v>
      </c>
      <c r="I276">
        <f>装备!AB27</f>
        <v>0</v>
      </c>
      <c r="J276">
        <f>装备!AC27</f>
        <v>0</v>
      </c>
      <c r="K276">
        <f>装备!AD27</f>
        <v>66</v>
      </c>
      <c r="L276">
        <f>装备!AE27</f>
        <v>0</v>
      </c>
      <c r="M276" t="str">
        <f t="shared" si="56"/>
        <v>InitUnitState('E025',100000,0,0,0,0,0,0,0,66,0)</v>
      </c>
      <c r="N276">
        <f>装备!AF27</f>
        <v>0</v>
      </c>
      <c r="O276">
        <f>装备!AG27</f>
        <v>0</v>
      </c>
      <c r="P276">
        <f>装备!AH27</f>
        <v>0</v>
      </c>
      <c r="Q276">
        <f>装备!AI27</f>
        <v>0</v>
      </c>
      <c r="R276">
        <f>装备!AJ27</f>
        <v>0</v>
      </c>
      <c r="S276">
        <f>装备!AK27</f>
        <v>0</v>
      </c>
      <c r="T276">
        <f>装备!AL27</f>
        <v>0</v>
      </c>
      <c r="U276">
        <f>装备!AM27</f>
        <v>0</v>
      </c>
      <c r="V276">
        <f>装备!AN27</f>
        <v>12</v>
      </c>
      <c r="W276">
        <f>装备!AO27</f>
        <v>0</v>
      </c>
      <c r="X276" t="str">
        <f t="shared" si="57"/>
        <v>InitUnitNormal('E025',0,0,0,0,0,0,0,0,12,0)</v>
      </c>
      <c r="Y276">
        <f>装备!AP27</f>
        <v>0</v>
      </c>
      <c r="Z276">
        <f>装备!AQ27</f>
        <v>0</v>
      </c>
      <c r="AA276">
        <f>装备!AR27</f>
        <v>0</v>
      </c>
      <c r="AB276">
        <f>装备!AS27</f>
        <v>0</v>
      </c>
      <c r="AC276">
        <f>装备!AT27</f>
        <v>0</v>
      </c>
      <c r="AD276">
        <f>装备!AU27</f>
        <v>0</v>
      </c>
      <c r="AE276">
        <f>装备!AV27</f>
        <v>0</v>
      </c>
      <c r="AF276">
        <f>装备!AW27</f>
        <v>0</v>
      </c>
      <c r="AG276">
        <f>装备!AX27</f>
        <v>0</v>
      </c>
      <c r="AH276">
        <f>装备!AY27</f>
        <v>0</v>
      </c>
      <c r="AI276" t="str">
        <f t="shared" si="58"/>
        <v>InitUnitMagic('E025',0,0,0,0,0,0,0,0,0,0)</v>
      </c>
      <c r="AJ276">
        <f>装备!AZ27</f>
        <v>0</v>
      </c>
      <c r="AK276">
        <f>装备!BA27</f>
        <v>0</v>
      </c>
      <c r="AL276">
        <f>装备!BB27</f>
        <v>0</v>
      </c>
      <c r="AM276">
        <f>装备!BC27</f>
        <v>0</v>
      </c>
      <c r="AN276">
        <f>装备!BD27</f>
        <v>0</v>
      </c>
      <c r="AO276">
        <f>装备!BE27</f>
        <v>0</v>
      </c>
      <c r="AP276">
        <f>装备!BF27</f>
        <v>0</v>
      </c>
      <c r="AQ276">
        <f>装备!BG27</f>
        <v>0</v>
      </c>
      <c r="AR276">
        <f>装备!BH27</f>
        <v>0</v>
      </c>
      <c r="AS276">
        <f>装备!BI27</f>
        <v>0</v>
      </c>
      <c r="AT276" t="str">
        <f t="shared" si="59"/>
        <v>InitUnitAdd('E025',0,0,0,0,0,0,0,0,0,0)</v>
      </c>
      <c r="AU276">
        <f>装备!BJ27</f>
        <v>0</v>
      </c>
      <c r="AV276">
        <f>装备!BK27</f>
        <v>0</v>
      </c>
      <c r="AW276">
        <f>装备!BL27</f>
        <v>0</v>
      </c>
      <c r="AX276">
        <f>装备!BM27</f>
        <v>0</v>
      </c>
      <c r="AY276">
        <f>装备!BN27</f>
        <v>0</v>
      </c>
      <c r="AZ276">
        <f>装备!BO27</f>
        <v>0</v>
      </c>
      <c r="BA276">
        <f>装备!BP27</f>
        <v>0</v>
      </c>
      <c r="BB276">
        <f>装备!BQ27</f>
        <v>0</v>
      </c>
      <c r="BC276">
        <f>装备!BR27</f>
        <v>0</v>
      </c>
      <c r="BD276">
        <f>装备!BS27</f>
        <v>0</v>
      </c>
      <c r="BE276" t="str">
        <f t="shared" si="60"/>
        <v>InitUnitStateTime('E025',0,0,0,0,0,0,0,0,0,0)</v>
      </c>
      <c r="BF276">
        <f>装备!BT27</f>
        <v>0</v>
      </c>
      <c r="BG276">
        <f>装备!BU27</f>
        <v>0</v>
      </c>
      <c r="BH276">
        <f>装备!BV27</f>
        <v>0</v>
      </c>
      <c r="BI276">
        <f>装备!BW27</f>
        <v>0</v>
      </c>
      <c r="BJ276">
        <f>装备!BX27</f>
        <v>0</v>
      </c>
      <c r="BK276">
        <f>装备!BY27</f>
        <v>0</v>
      </c>
      <c r="BL276">
        <f>装备!BZ27</f>
        <v>0</v>
      </c>
      <c r="BM276">
        <f>装备!CA27</f>
        <v>0</v>
      </c>
      <c r="BN276">
        <f>装备!CB27</f>
        <v>0</v>
      </c>
      <c r="BO276">
        <f>装备!CC27</f>
        <v>0</v>
      </c>
      <c r="BP276" t="str">
        <f t="shared" si="61"/>
        <v>InitUnitStateAttack('E025',0,0,0,0,0,0,0,0,0,0)</v>
      </c>
      <c r="BQ276">
        <f>装备!CD27</f>
        <v>0</v>
      </c>
      <c r="BR276">
        <f>装备!CE27</f>
        <v>0</v>
      </c>
      <c r="BS276">
        <f>装备!CF27</f>
        <v>0</v>
      </c>
      <c r="BT276">
        <f>装备!CG27</f>
        <v>0</v>
      </c>
      <c r="BU276">
        <f>装备!CH27</f>
        <v>0</v>
      </c>
      <c r="BV276">
        <f>装备!CI27</f>
        <v>0</v>
      </c>
      <c r="BW276">
        <f>装备!CJ27</f>
        <v>0</v>
      </c>
      <c r="BX276">
        <f>装备!CK27</f>
        <v>0</v>
      </c>
      <c r="BY276">
        <f>装备!CL27</f>
        <v>0</v>
      </c>
      <c r="BZ276">
        <f>装备!CM27</f>
        <v>0</v>
      </c>
      <c r="CA276" t="str">
        <f t="shared" si="62"/>
        <v>InitUnitStateUpUp('E025',0,0,0,0,0,0,0,0,0,0)</v>
      </c>
      <c r="CB276" t="str">
        <f t="shared" si="63"/>
        <v>InitUnitState('E025',100000,0,0,0,0,0,0,0,66,0)</v>
      </c>
      <c r="CC276" t="str">
        <f t="shared" si="64"/>
        <v>InitUnitNormal('E025',0,0,0,0,0,0,0,0,12,0)</v>
      </c>
      <c r="CD276" t="str">
        <f t="shared" si="65"/>
        <v/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装备!B28</f>
        <v>E101</v>
      </c>
      <c r="B277">
        <f>装备!A28</f>
        <v>0</v>
      </c>
      <c r="C277">
        <f>装备!V28</f>
        <v>0</v>
      </c>
      <c r="D277">
        <f>装备!W28</f>
        <v>1000</v>
      </c>
      <c r="E277">
        <f>装备!X28</f>
        <v>0</v>
      </c>
      <c r="F277">
        <f>装备!Y28</f>
        <v>0</v>
      </c>
      <c r="G277">
        <f>装备!Z28</f>
        <v>0</v>
      </c>
      <c r="H277">
        <f>装备!AA28</f>
        <v>0</v>
      </c>
      <c r="I277">
        <f>装备!AB28</f>
        <v>0</v>
      </c>
      <c r="J277">
        <f>装备!AC28</f>
        <v>0</v>
      </c>
      <c r="K277">
        <f>装备!AD28</f>
        <v>0</v>
      </c>
      <c r="L277">
        <f>装备!AE28</f>
        <v>0</v>
      </c>
      <c r="M277" t="str">
        <f t="shared" si="56"/>
        <v>InitUnitState('E101',0,1000,0,0,0,0,0,0,0,0)</v>
      </c>
      <c r="N277">
        <f>装备!AF28</f>
        <v>0</v>
      </c>
      <c r="O277">
        <f>装备!AG28</f>
        <v>0</v>
      </c>
      <c r="P277">
        <f>装备!AH28</f>
        <v>0</v>
      </c>
      <c r="Q277">
        <f>装备!AI28</f>
        <v>0</v>
      </c>
      <c r="R277">
        <f>装备!AJ28</f>
        <v>0</v>
      </c>
      <c r="S277">
        <f>装备!AK28</f>
        <v>0</v>
      </c>
      <c r="T277">
        <f>装备!AL28</f>
        <v>0</v>
      </c>
      <c r="U277">
        <f>装备!AM28</f>
        <v>0</v>
      </c>
      <c r="V277">
        <f>装备!AN28</f>
        <v>0</v>
      </c>
      <c r="W277">
        <f>装备!AO28</f>
        <v>0</v>
      </c>
      <c r="X277" t="str">
        <f t="shared" si="57"/>
        <v>InitUnitNormal('E101',0,0,0,0,0,0,0,0,0,0)</v>
      </c>
      <c r="Y277">
        <f>装备!AP28</f>
        <v>0</v>
      </c>
      <c r="Z277">
        <f>装备!AQ28</f>
        <v>0</v>
      </c>
      <c r="AA277">
        <f>装备!AR28</f>
        <v>0</v>
      </c>
      <c r="AB277">
        <f>装备!AS28</f>
        <v>0</v>
      </c>
      <c r="AC277">
        <f>装备!AT28</f>
        <v>3</v>
      </c>
      <c r="AD277">
        <f>装备!AU28</f>
        <v>0</v>
      </c>
      <c r="AE277">
        <f>装备!AV28</f>
        <v>0</v>
      </c>
      <c r="AF277">
        <f>装备!AW28</f>
        <v>0</v>
      </c>
      <c r="AG277">
        <f>装备!AX28</f>
        <v>0</v>
      </c>
      <c r="AH277">
        <f>装备!AY28</f>
        <v>0</v>
      </c>
      <c r="AI277" t="str">
        <f t="shared" si="58"/>
        <v>InitUnitMagic('E101',0,0,0,0,3,0,0,0,0,0)</v>
      </c>
      <c r="AJ277">
        <f>装备!AZ28</f>
        <v>0</v>
      </c>
      <c r="AK277">
        <f>装备!BA28</f>
        <v>0</v>
      </c>
      <c r="AL277">
        <f>装备!BB28</f>
        <v>0</v>
      </c>
      <c r="AM277">
        <f>装备!BC28</f>
        <v>0</v>
      </c>
      <c r="AN277">
        <f>装备!BD28</f>
        <v>0</v>
      </c>
      <c r="AO277">
        <f>装备!BE28</f>
        <v>0</v>
      </c>
      <c r="AP277">
        <f>装备!BF28</f>
        <v>0</v>
      </c>
      <c r="AQ277">
        <f>装备!BG28</f>
        <v>0</v>
      </c>
      <c r="AR277">
        <f>装备!BH28</f>
        <v>0</v>
      </c>
      <c r="AS277">
        <f>装备!BI28</f>
        <v>0</v>
      </c>
      <c r="AT277" t="str">
        <f t="shared" si="59"/>
        <v>InitUnitAdd('E101',0,0,0,0,0,0,0,0,0,0)</v>
      </c>
      <c r="AU277">
        <f>装备!BJ28</f>
        <v>0</v>
      </c>
      <c r="AV277">
        <f>装备!BK28</f>
        <v>0</v>
      </c>
      <c r="AW277">
        <f>装备!BL28</f>
        <v>0</v>
      </c>
      <c r="AX277">
        <f>装备!BM28</f>
        <v>0</v>
      </c>
      <c r="AY277">
        <f>装备!BN28</f>
        <v>0</v>
      </c>
      <c r="AZ277">
        <f>装备!BO28</f>
        <v>0</v>
      </c>
      <c r="BA277">
        <f>装备!BP28</f>
        <v>0</v>
      </c>
      <c r="BB277">
        <f>装备!BQ28</f>
        <v>0</v>
      </c>
      <c r="BC277">
        <f>装备!BR28</f>
        <v>0</v>
      </c>
      <c r="BD277">
        <f>装备!BS28</f>
        <v>0</v>
      </c>
      <c r="BE277" t="str">
        <f t="shared" si="60"/>
        <v>InitUnitStateTime('E101',0,0,0,0,0,0,0,0,0,0)</v>
      </c>
      <c r="BF277">
        <f>装备!BT28</f>
        <v>0</v>
      </c>
      <c r="BG277">
        <f>装备!BU28</f>
        <v>0</v>
      </c>
      <c r="BH277">
        <f>装备!BV28</f>
        <v>0</v>
      </c>
      <c r="BI277">
        <f>装备!BW28</f>
        <v>0</v>
      </c>
      <c r="BJ277">
        <f>装备!BX28</f>
        <v>0</v>
      </c>
      <c r="BK277">
        <f>装备!BY28</f>
        <v>0</v>
      </c>
      <c r="BL277">
        <f>装备!BZ28</f>
        <v>0</v>
      </c>
      <c r="BM277">
        <f>装备!CA28</f>
        <v>0</v>
      </c>
      <c r="BN277">
        <f>装备!CB28</f>
        <v>0</v>
      </c>
      <c r="BO277">
        <f>装备!CC28</f>
        <v>0</v>
      </c>
      <c r="BP277" t="str">
        <f t="shared" si="61"/>
        <v>InitUnitStateAttack('E101',0,0,0,0,0,0,0,0,0,0)</v>
      </c>
      <c r="BQ277">
        <f>装备!CD28</f>
        <v>0</v>
      </c>
      <c r="BR277">
        <f>装备!CE28</f>
        <v>0</v>
      </c>
      <c r="BS277">
        <f>装备!CF28</f>
        <v>0</v>
      </c>
      <c r="BT277">
        <f>装备!CG28</f>
        <v>0</v>
      </c>
      <c r="BU277">
        <f>装备!CH28</f>
        <v>0</v>
      </c>
      <c r="BV277">
        <f>装备!CI28</f>
        <v>0</v>
      </c>
      <c r="BW277">
        <f>装备!CJ28</f>
        <v>0</v>
      </c>
      <c r="BX277">
        <f>装备!CK28</f>
        <v>0</v>
      </c>
      <c r="BY277">
        <f>装备!CL28</f>
        <v>0</v>
      </c>
      <c r="BZ277">
        <f>装备!CM28</f>
        <v>0</v>
      </c>
      <c r="CA277" t="str">
        <f t="shared" si="62"/>
        <v>InitUnitStateUpUp('E101',0,0,0,0,0,0,0,0,0,0)</v>
      </c>
      <c r="CB277" t="str">
        <f t="shared" si="63"/>
        <v>InitUnitState('E101',0,1000,0,0,0,0,0,0,0,0)</v>
      </c>
      <c r="CC277" t="str">
        <f t="shared" si="64"/>
        <v/>
      </c>
      <c r="CD277" t="str">
        <f t="shared" si="65"/>
        <v>InitUnitMagic('E101',0,0,0,0,3,0,0,0,0,0)</v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装备!B29</f>
        <v>E102</v>
      </c>
      <c r="B278">
        <f>装备!A29</f>
        <v>0</v>
      </c>
      <c r="C278">
        <f>装备!V29</f>
        <v>0</v>
      </c>
      <c r="D278">
        <f>装备!W29</f>
        <v>2000</v>
      </c>
      <c r="E278">
        <f>装备!X29</f>
        <v>0</v>
      </c>
      <c r="F278">
        <f>装备!Y29</f>
        <v>0</v>
      </c>
      <c r="G278">
        <f>装备!Z29</f>
        <v>0</v>
      </c>
      <c r="H278">
        <f>装备!AA29</f>
        <v>0</v>
      </c>
      <c r="I278">
        <f>装备!AB29</f>
        <v>0</v>
      </c>
      <c r="J278">
        <f>装备!AC29</f>
        <v>0</v>
      </c>
      <c r="K278">
        <f>装备!AD29</f>
        <v>0</v>
      </c>
      <c r="L278">
        <f>装备!AE29</f>
        <v>0</v>
      </c>
      <c r="M278" t="str">
        <f t="shared" si="56"/>
        <v>InitUnitState('E102',0,2000,0,0,0,0,0,0,0,0)</v>
      </c>
      <c r="N278">
        <f>装备!AF29</f>
        <v>0</v>
      </c>
      <c r="O278">
        <f>装备!AG29</f>
        <v>0</v>
      </c>
      <c r="P278">
        <f>装备!AH29</f>
        <v>0</v>
      </c>
      <c r="Q278">
        <f>装备!AI29</f>
        <v>0</v>
      </c>
      <c r="R278">
        <f>装备!AJ29</f>
        <v>0</v>
      </c>
      <c r="S278">
        <f>装备!AK29</f>
        <v>0</v>
      </c>
      <c r="T278">
        <f>装备!AL29</f>
        <v>0</v>
      </c>
      <c r="U278">
        <f>装备!AM29</f>
        <v>0</v>
      </c>
      <c r="V278">
        <f>装备!AN29</f>
        <v>0</v>
      </c>
      <c r="W278">
        <f>装备!AO29</f>
        <v>0</v>
      </c>
      <c r="X278" t="str">
        <f t="shared" si="57"/>
        <v>InitUnitNormal('E102',0,0,0,0,0,0,0,0,0,0)</v>
      </c>
      <c r="Y278">
        <f>装备!AP29</f>
        <v>0</v>
      </c>
      <c r="Z278">
        <f>装备!AQ29</f>
        <v>0</v>
      </c>
      <c r="AA278">
        <f>装备!AR29</f>
        <v>0</v>
      </c>
      <c r="AB278">
        <f>装备!AS29</f>
        <v>0</v>
      </c>
      <c r="AC278">
        <f>装备!AT29</f>
        <v>3</v>
      </c>
      <c r="AD278">
        <f>装备!AU29</f>
        <v>0</v>
      </c>
      <c r="AE278">
        <f>装备!AV29</f>
        <v>0</v>
      </c>
      <c r="AF278">
        <f>装备!AW29</f>
        <v>0</v>
      </c>
      <c r="AG278">
        <f>装备!AX29</f>
        <v>0</v>
      </c>
      <c r="AH278">
        <f>装备!AY29</f>
        <v>0</v>
      </c>
      <c r="AI278" t="str">
        <f t="shared" si="58"/>
        <v>InitUnitMagic('E102',0,0,0,0,3,0,0,0,0,0)</v>
      </c>
      <c r="AJ278">
        <f>装备!AZ29</f>
        <v>0</v>
      </c>
      <c r="AK278">
        <f>装备!BA29</f>
        <v>0</v>
      </c>
      <c r="AL278">
        <f>装备!BB29</f>
        <v>0</v>
      </c>
      <c r="AM278">
        <f>装备!BC29</f>
        <v>0</v>
      </c>
      <c r="AN278">
        <f>装备!BD29</f>
        <v>0</v>
      </c>
      <c r="AO278">
        <f>装备!BE29</f>
        <v>0</v>
      </c>
      <c r="AP278">
        <f>装备!BF29</f>
        <v>0</v>
      </c>
      <c r="AQ278">
        <f>装备!BG29</f>
        <v>0</v>
      </c>
      <c r="AR278">
        <f>装备!BH29</f>
        <v>0</v>
      </c>
      <c r="AS278">
        <f>装备!BI29</f>
        <v>0</v>
      </c>
      <c r="AT278" t="str">
        <f t="shared" si="59"/>
        <v>InitUnitAdd('E102',0,0,0,0,0,0,0,0,0,0)</v>
      </c>
      <c r="AU278">
        <f>装备!BJ29</f>
        <v>0</v>
      </c>
      <c r="AV278">
        <f>装备!BK29</f>
        <v>0</v>
      </c>
      <c r="AW278">
        <f>装备!BL29</f>
        <v>0</v>
      </c>
      <c r="AX278">
        <f>装备!BM29</f>
        <v>0</v>
      </c>
      <c r="AY278">
        <f>装备!BN29</f>
        <v>0</v>
      </c>
      <c r="AZ278">
        <f>装备!BO29</f>
        <v>0</v>
      </c>
      <c r="BA278">
        <f>装备!BP29</f>
        <v>0</v>
      </c>
      <c r="BB278">
        <f>装备!BQ29</f>
        <v>0</v>
      </c>
      <c r="BC278">
        <f>装备!BR29</f>
        <v>0</v>
      </c>
      <c r="BD278">
        <f>装备!BS29</f>
        <v>0</v>
      </c>
      <c r="BE278" t="str">
        <f t="shared" si="60"/>
        <v>InitUnitStateTime('E102',0,0,0,0,0,0,0,0,0,0)</v>
      </c>
      <c r="BF278">
        <f>装备!BT29</f>
        <v>0</v>
      </c>
      <c r="BG278">
        <f>装备!BU29</f>
        <v>0</v>
      </c>
      <c r="BH278">
        <f>装备!BV29</f>
        <v>0</v>
      </c>
      <c r="BI278">
        <f>装备!BW29</f>
        <v>0</v>
      </c>
      <c r="BJ278">
        <f>装备!BX29</f>
        <v>0</v>
      </c>
      <c r="BK278">
        <f>装备!BY29</f>
        <v>0</v>
      </c>
      <c r="BL278">
        <f>装备!BZ29</f>
        <v>0</v>
      </c>
      <c r="BM278">
        <f>装备!CA29</f>
        <v>0</v>
      </c>
      <c r="BN278">
        <f>装备!CB29</f>
        <v>0</v>
      </c>
      <c r="BO278">
        <f>装备!CC29</f>
        <v>0</v>
      </c>
      <c r="BP278" t="str">
        <f t="shared" si="61"/>
        <v>InitUnitStateAttack('E102',0,0,0,0,0,0,0,0,0,0)</v>
      </c>
      <c r="BQ278">
        <f>装备!CD29</f>
        <v>0</v>
      </c>
      <c r="BR278">
        <f>装备!CE29</f>
        <v>0</v>
      </c>
      <c r="BS278">
        <f>装备!CF29</f>
        <v>0</v>
      </c>
      <c r="BT278">
        <f>装备!CG29</f>
        <v>0</v>
      </c>
      <c r="BU278">
        <f>装备!CH29</f>
        <v>0</v>
      </c>
      <c r="BV278">
        <f>装备!CI29</f>
        <v>0</v>
      </c>
      <c r="BW278">
        <f>装备!CJ29</f>
        <v>0</v>
      </c>
      <c r="BX278">
        <f>装备!CK29</f>
        <v>0</v>
      </c>
      <c r="BY278">
        <f>装备!CL29</f>
        <v>0</v>
      </c>
      <c r="BZ278">
        <f>装备!CM29</f>
        <v>0</v>
      </c>
      <c r="CA278" t="str">
        <f t="shared" si="62"/>
        <v>InitUnitStateUpUp('E102',0,0,0,0,0,0,0,0,0,0)</v>
      </c>
      <c r="CB278" t="str">
        <f t="shared" si="63"/>
        <v>InitUnitState('E102',0,2000,0,0,0,0,0,0,0,0)</v>
      </c>
      <c r="CC278" t="str">
        <f t="shared" si="64"/>
        <v/>
      </c>
      <c r="CD278" t="str">
        <f t="shared" si="65"/>
        <v>InitUnitMagic('E102',0,0,0,0,3,0,0,0,0,0)</v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装备!B30</f>
        <v>E103</v>
      </c>
      <c r="B279">
        <f>装备!A30</f>
        <v>0</v>
      </c>
      <c r="C279">
        <f>装备!V30</f>
        <v>0</v>
      </c>
      <c r="D279">
        <f>装备!W30</f>
        <v>3000</v>
      </c>
      <c r="E279">
        <f>装备!X30</f>
        <v>0</v>
      </c>
      <c r="F279">
        <f>装备!Y30</f>
        <v>0</v>
      </c>
      <c r="G279">
        <f>装备!Z30</f>
        <v>0</v>
      </c>
      <c r="H279">
        <f>装备!AA30</f>
        <v>0</v>
      </c>
      <c r="I279">
        <f>装备!AB30</f>
        <v>0</v>
      </c>
      <c r="J279">
        <f>装备!AC30</f>
        <v>0</v>
      </c>
      <c r="K279">
        <f>装备!AD30</f>
        <v>0</v>
      </c>
      <c r="L279">
        <f>装备!AE30</f>
        <v>0</v>
      </c>
      <c r="M279" t="str">
        <f t="shared" si="56"/>
        <v>InitUnitState('E103',0,3000,0,0,0,0,0,0,0,0)</v>
      </c>
      <c r="N279">
        <f>装备!AF30</f>
        <v>0</v>
      </c>
      <c r="O279">
        <f>装备!AG30</f>
        <v>0</v>
      </c>
      <c r="P279">
        <f>装备!AH30</f>
        <v>0</v>
      </c>
      <c r="Q279">
        <f>装备!AI30</f>
        <v>0</v>
      </c>
      <c r="R279">
        <f>装备!AJ30</f>
        <v>0</v>
      </c>
      <c r="S279">
        <f>装备!AK30</f>
        <v>0</v>
      </c>
      <c r="T279">
        <f>装备!AL30</f>
        <v>0</v>
      </c>
      <c r="U279">
        <f>装备!AM30</f>
        <v>0</v>
      </c>
      <c r="V279">
        <f>装备!AN30</f>
        <v>0</v>
      </c>
      <c r="W279">
        <f>装备!AO30</f>
        <v>0</v>
      </c>
      <c r="X279" t="str">
        <f t="shared" si="57"/>
        <v>InitUnitNormal('E103',0,0,0,0,0,0,0,0,0,0)</v>
      </c>
      <c r="Y279">
        <f>装备!AP30</f>
        <v>0</v>
      </c>
      <c r="Z279">
        <f>装备!AQ30</f>
        <v>0</v>
      </c>
      <c r="AA279">
        <f>装备!AR30</f>
        <v>0</v>
      </c>
      <c r="AB279">
        <f>装备!AS30</f>
        <v>0</v>
      </c>
      <c r="AC279">
        <f>装备!AT30</f>
        <v>3</v>
      </c>
      <c r="AD279">
        <f>装备!AU30</f>
        <v>0</v>
      </c>
      <c r="AE279">
        <f>装备!AV30</f>
        <v>0</v>
      </c>
      <c r="AF279">
        <f>装备!AW30</f>
        <v>0</v>
      </c>
      <c r="AG279">
        <f>装备!AX30</f>
        <v>0</v>
      </c>
      <c r="AH279">
        <f>装备!AY30</f>
        <v>0</v>
      </c>
      <c r="AI279" t="str">
        <f t="shared" si="58"/>
        <v>InitUnitMagic('E103',0,0,0,0,3,0,0,0,0,0)</v>
      </c>
      <c r="AJ279">
        <f>装备!AZ30</f>
        <v>0</v>
      </c>
      <c r="AK279">
        <f>装备!BA30</f>
        <v>0</v>
      </c>
      <c r="AL279">
        <f>装备!BB30</f>
        <v>0</v>
      </c>
      <c r="AM279">
        <f>装备!BC30</f>
        <v>0</v>
      </c>
      <c r="AN279">
        <f>装备!BD30</f>
        <v>0</v>
      </c>
      <c r="AO279">
        <f>装备!BE30</f>
        <v>0</v>
      </c>
      <c r="AP279">
        <f>装备!BF30</f>
        <v>0</v>
      </c>
      <c r="AQ279">
        <f>装备!BG30</f>
        <v>0</v>
      </c>
      <c r="AR279">
        <f>装备!BH30</f>
        <v>0</v>
      </c>
      <c r="AS279">
        <f>装备!BI30</f>
        <v>0</v>
      </c>
      <c r="AT279" t="str">
        <f t="shared" si="59"/>
        <v>InitUnitAdd('E103',0,0,0,0,0,0,0,0,0,0)</v>
      </c>
      <c r="AU279">
        <f>装备!BJ30</f>
        <v>0</v>
      </c>
      <c r="AV279">
        <f>装备!BK30</f>
        <v>0</v>
      </c>
      <c r="AW279">
        <f>装备!BL30</f>
        <v>0</v>
      </c>
      <c r="AX279">
        <f>装备!BM30</f>
        <v>0</v>
      </c>
      <c r="AY279">
        <f>装备!BN30</f>
        <v>0</v>
      </c>
      <c r="AZ279">
        <f>装备!BO30</f>
        <v>0</v>
      </c>
      <c r="BA279">
        <f>装备!BP30</f>
        <v>0</v>
      </c>
      <c r="BB279">
        <f>装备!BQ30</f>
        <v>0</v>
      </c>
      <c r="BC279">
        <f>装备!BR30</f>
        <v>0</v>
      </c>
      <c r="BD279">
        <f>装备!BS30</f>
        <v>0</v>
      </c>
      <c r="BE279" t="str">
        <f t="shared" si="60"/>
        <v>InitUnitStateTime('E103',0,0,0,0,0,0,0,0,0,0)</v>
      </c>
      <c r="BF279">
        <f>装备!BT30</f>
        <v>0</v>
      </c>
      <c r="BG279">
        <f>装备!BU30</f>
        <v>0</v>
      </c>
      <c r="BH279">
        <f>装备!BV30</f>
        <v>0</v>
      </c>
      <c r="BI279">
        <f>装备!BW30</f>
        <v>0</v>
      </c>
      <c r="BJ279">
        <f>装备!BX30</f>
        <v>0</v>
      </c>
      <c r="BK279">
        <f>装备!BY30</f>
        <v>0</v>
      </c>
      <c r="BL279">
        <f>装备!BZ30</f>
        <v>0</v>
      </c>
      <c r="BM279">
        <f>装备!CA30</f>
        <v>0</v>
      </c>
      <c r="BN279">
        <f>装备!CB30</f>
        <v>0</v>
      </c>
      <c r="BO279">
        <f>装备!CC30</f>
        <v>0</v>
      </c>
      <c r="BP279" t="str">
        <f t="shared" si="61"/>
        <v>InitUnitStateAttack('E103',0,0,0,0,0,0,0,0,0,0)</v>
      </c>
      <c r="BQ279">
        <f>装备!CD30</f>
        <v>0</v>
      </c>
      <c r="BR279">
        <f>装备!CE30</f>
        <v>0</v>
      </c>
      <c r="BS279">
        <f>装备!CF30</f>
        <v>0</v>
      </c>
      <c r="BT279">
        <f>装备!CG30</f>
        <v>0</v>
      </c>
      <c r="BU279">
        <f>装备!CH30</f>
        <v>0</v>
      </c>
      <c r="BV279">
        <f>装备!CI30</f>
        <v>0</v>
      </c>
      <c r="BW279">
        <f>装备!CJ30</f>
        <v>0</v>
      </c>
      <c r="BX279">
        <f>装备!CK30</f>
        <v>0</v>
      </c>
      <c r="BY279">
        <f>装备!CL30</f>
        <v>0</v>
      </c>
      <c r="BZ279">
        <f>装备!CM30</f>
        <v>0</v>
      </c>
      <c r="CA279" t="str">
        <f t="shared" si="62"/>
        <v>InitUnitStateUpUp('E103',0,0,0,0,0,0,0,0,0,0)</v>
      </c>
      <c r="CB279" t="str">
        <f t="shared" si="63"/>
        <v>InitUnitState('E103',0,3000,0,0,0,0,0,0,0,0)</v>
      </c>
      <c r="CC279" t="str">
        <f t="shared" si="64"/>
        <v/>
      </c>
      <c r="CD279" t="str">
        <f t="shared" si="65"/>
        <v>InitUnitMagic('E103',0,0,0,0,3,0,0,0,0,0)</v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装备!B31</f>
        <v>E104</v>
      </c>
      <c r="B280">
        <f>装备!A31</f>
        <v>0</v>
      </c>
      <c r="C280">
        <f>装备!V31</f>
        <v>0</v>
      </c>
      <c r="D280">
        <f>装备!W31</f>
        <v>4000</v>
      </c>
      <c r="E280">
        <f>装备!X31</f>
        <v>0</v>
      </c>
      <c r="F280">
        <f>装备!Y31</f>
        <v>0</v>
      </c>
      <c r="G280">
        <f>装备!Z31</f>
        <v>0</v>
      </c>
      <c r="H280">
        <f>装备!AA31</f>
        <v>0</v>
      </c>
      <c r="I280">
        <f>装备!AB31</f>
        <v>0</v>
      </c>
      <c r="J280">
        <f>装备!AC31</f>
        <v>0</v>
      </c>
      <c r="K280">
        <f>装备!AD31</f>
        <v>0</v>
      </c>
      <c r="L280">
        <f>装备!AE31</f>
        <v>0</v>
      </c>
      <c r="M280" t="str">
        <f t="shared" si="56"/>
        <v>InitUnitState('E104',0,4000,0,0,0,0,0,0,0,0)</v>
      </c>
      <c r="N280">
        <f>装备!AF31</f>
        <v>0</v>
      </c>
      <c r="O280">
        <f>装备!AG31</f>
        <v>0</v>
      </c>
      <c r="P280">
        <f>装备!AH31</f>
        <v>0</v>
      </c>
      <c r="Q280">
        <f>装备!AI31</f>
        <v>0</v>
      </c>
      <c r="R280">
        <f>装备!AJ31</f>
        <v>0</v>
      </c>
      <c r="S280">
        <f>装备!AK31</f>
        <v>0</v>
      </c>
      <c r="T280">
        <f>装备!AL31</f>
        <v>0</v>
      </c>
      <c r="U280">
        <f>装备!AM31</f>
        <v>0</v>
      </c>
      <c r="V280">
        <f>装备!AN31</f>
        <v>0</v>
      </c>
      <c r="W280">
        <f>装备!AO31</f>
        <v>0</v>
      </c>
      <c r="X280" t="str">
        <f t="shared" si="57"/>
        <v>InitUnitNormal('E104',0,0,0,0,0,0,0,0,0,0)</v>
      </c>
      <c r="Y280">
        <f>装备!AP31</f>
        <v>0</v>
      </c>
      <c r="Z280">
        <f>装备!AQ31</f>
        <v>0</v>
      </c>
      <c r="AA280">
        <f>装备!AR31</f>
        <v>0</v>
      </c>
      <c r="AB280">
        <f>装备!AS31</f>
        <v>0</v>
      </c>
      <c r="AC280">
        <f>装备!AT31</f>
        <v>3</v>
      </c>
      <c r="AD280">
        <f>装备!AU31</f>
        <v>0</v>
      </c>
      <c r="AE280">
        <f>装备!AV31</f>
        <v>0</v>
      </c>
      <c r="AF280">
        <f>装备!AW31</f>
        <v>0</v>
      </c>
      <c r="AG280">
        <f>装备!AX31</f>
        <v>0</v>
      </c>
      <c r="AH280">
        <f>装备!AY31</f>
        <v>0</v>
      </c>
      <c r="AI280" t="str">
        <f t="shared" si="58"/>
        <v>InitUnitMagic('E104',0,0,0,0,3,0,0,0,0,0)</v>
      </c>
      <c r="AJ280">
        <f>装备!AZ31</f>
        <v>0</v>
      </c>
      <c r="AK280">
        <f>装备!BA31</f>
        <v>0</v>
      </c>
      <c r="AL280">
        <f>装备!BB31</f>
        <v>0</v>
      </c>
      <c r="AM280">
        <f>装备!BC31</f>
        <v>0</v>
      </c>
      <c r="AN280">
        <f>装备!BD31</f>
        <v>0</v>
      </c>
      <c r="AO280">
        <f>装备!BE31</f>
        <v>0</v>
      </c>
      <c r="AP280">
        <f>装备!BF31</f>
        <v>0</v>
      </c>
      <c r="AQ280">
        <f>装备!BG31</f>
        <v>0</v>
      </c>
      <c r="AR280">
        <f>装备!BH31</f>
        <v>0</v>
      </c>
      <c r="AS280">
        <f>装备!BI31</f>
        <v>0</v>
      </c>
      <c r="AT280" t="str">
        <f t="shared" si="59"/>
        <v>InitUnitAdd('E104',0,0,0,0,0,0,0,0,0,0)</v>
      </c>
      <c r="AU280">
        <f>装备!BJ31</f>
        <v>0</v>
      </c>
      <c r="AV280">
        <f>装备!BK31</f>
        <v>0</v>
      </c>
      <c r="AW280">
        <f>装备!BL31</f>
        <v>0</v>
      </c>
      <c r="AX280">
        <f>装备!BM31</f>
        <v>0</v>
      </c>
      <c r="AY280">
        <f>装备!BN31</f>
        <v>0</v>
      </c>
      <c r="AZ280">
        <f>装备!BO31</f>
        <v>0</v>
      </c>
      <c r="BA280">
        <f>装备!BP31</f>
        <v>0</v>
      </c>
      <c r="BB280">
        <f>装备!BQ31</f>
        <v>0</v>
      </c>
      <c r="BC280">
        <f>装备!BR31</f>
        <v>0</v>
      </c>
      <c r="BD280">
        <f>装备!BS31</f>
        <v>0</v>
      </c>
      <c r="BE280" t="str">
        <f t="shared" si="60"/>
        <v>InitUnitStateTime('E104',0,0,0,0,0,0,0,0,0,0)</v>
      </c>
      <c r="BF280">
        <f>装备!BT31</f>
        <v>0</v>
      </c>
      <c r="BG280">
        <f>装备!BU31</f>
        <v>0</v>
      </c>
      <c r="BH280">
        <f>装备!BV31</f>
        <v>0</v>
      </c>
      <c r="BI280">
        <f>装备!BW31</f>
        <v>0</v>
      </c>
      <c r="BJ280">
        <f>装备!BX31</f>
        <v>0</v>
      </c>
      <c r="BK280">
        <f>装备!BY31</f>
        <v>0</v>
      </c>
      <c r="BL280">
        <f>装备!BZ31</f>
        <v>0</v>
      </c>
      <c r="BM280">
        <f>装备!CA31</f>
        <v>0</v>
      </c>
      <c r="BN280">
        <f>装备!CB31</f>
        <v>0</v>
      </c>
      <c r="BO280">
        <f>装备!CC31</f>
        <v>0</v>
      </c>
      <c r="BP280" t="str">
        <f t="shared" si="61"/>
        <v>InitUnitStateAttack('E104',0,0,0,0,0,0,0,0,0,0)</v>
      </c>
      <c r="BQ280">
        <f>装备!CD31</f>
        <v>0</v>
      </c>
      <c r="BR280">
        <f>装备!CE31</f>
        <v>0</v>
      </c>
      <c r="BS280">
        <f>装备!CF31</f>
        <v>0</v>
      </c>
      <c r="BT280">
        <f>装备!CG31</f>
        <v>0</v>
      </c>
      <c r="BU280">
        <f>装备!CH31</f>
        <v>0</v>
      </c>
      <c r="BV280">
        <f>装备!CI31</f>
        <v>0</v>
      </c>
      <c r="BW280">
        <f>装备!CJ31</f>
        <v>0</v>
      </c>
      <c r="BX280">
        <f>装备!CK31</f>
        <v>0</v>
      </c>
      <c r="BY280">
        <f>装备!CL31</f>
        <v>0</v>
      </c>
      <c r="BZ280">
        <f>装备!CM31</f>
        <v>0</v>
      </c>
      <c r="CA280" t="str">
        <f t="shared" si="62"/>
        <v>InitUnitStateUpUp('E104',0,0,0,0,0,0,0,0,0,0)</v>
      </c>
      <c r="CB280" t="str">
        <f t="shared" si="63"/>
        <v>InitUnitState('E104',0,4000,0,0,0,0,0,0,0,0)</v>
      </c>
      <c r="CC280" t="str">
        <f t="shared" si="64"/>
        <v/>
      </c>
      <c r="CD280" t="str">
        <f t="shared" si="65"/>
        <v>InitUnitMagic('E104',0,0,0,0,3,0,0,0,0,0)</v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装备!B32</f>
        <v>E105</v>
      </c>
      <c r="B281">
        <f>装备!A32</f>
        <v>0</v>
      </c>
      <c r="C281">
        <f>装备!V32</f>
        <v>0</v>
      </c>
      <c r="D281">
        <f>装备!W32</f>
        <v>5000</v>
      </c>
      <c r="E281">
        <f>装备!X32</f>
        <v>0</v>
      </c>
      <c r="F281">
        <f>装备!Y32</f>
        <v>0</v>
      </c>
      <c r="G281">
        <f>装备!Z32</f>
        <v>0</v>
      </c>
      <c r="H281">
        <f>装备!AA32</f>
        <v>0</v>
      </c>
      <c r="I281">
        <f>装备!AB32</f>
        <v>0</v>
      </c>
      <c r="J281">
        <f>装备!AC32</f>
        <v>0</v>
      </c>
      <c r="K281">
        <f>装备!AD32</f>
        <v>0</v>
      </c>
      <c r="L281">
        <f>装备!AE32</f>
        <v>0</v>
      </c>
      <c r="M281" t="str">
        <f t="shared" si="56"/>
        <v>InitUnitState('E105',0,5000,0,0,0,0,0,0,0,0)</v>
      </c>
      <c r="N281">
        <f>装备!AF32</f>
        <v>0</v>
      </c>
      <c r="O281">
        <f>装备!AG32</f>
        <v>0</v>
      </c>
      <c r="P281">
        <f>装备!AH32</f>
        <v>0</v>
      </c>
      <c r="Q281">
        <f>装备!AI32</f>
        <v>0</v>
      </c>
      <c r="R281">
        <f>装备!AJ32</f>
        <v>0</v>
      </c>
      <c r="S281">
        <f>装备!AK32</f>
        <v>0</v>
      </c>
      <c r="T281">
        <f>装备!AL32</f>
        <v>0</v>
      </c>
      <c r="U281">
        <f>装备!AM32</f>
        <v>0</v>
      </c>
      <c r="V281">
        <f>装备!AN32</f>
        <v>0</v>
      </c>
      <c r="W281">
        <f>装备!AO32</f>
        <v>0</v>
      </c>
      <c r="X281" t="str">
        <f t="shared" si="57"/>
        <v>InitUnitNormal('E105',0,0,0,0,0,0,0,0,0,0)</v>
      </c>
      <c r="Y281">
        <f>装备!AP32</f>
        <v>0</v>
      </c>
      <c r="Z281">
        <f>装备!AQ32</f>
        <v>0</v>
      </c>
      <c r="AA281">
        <f>装备!AR32</f>
        <v>0</v>
      </c>
      <c r="AB281">
        <f>装备!AS32</f>
        <v>0</v>
      </c>
      <c r="AC281">
        <f>装备!AT32</f>
        <v>3</v>
      </c>
      <c r="AD281">
        <f>装备!AU32</f>
        <v>0</v>
      </c>
      <c r="AE281">
        <f>装备!AV32</f>
        <v>0</v>
      </c>
      <c r="AF281">
        <f>装备!AW32</f>
        <v>0</v>
      </c>
      <c r="AG281">
        <f>装备!AX32</f>
        <v>0</v>
      </c>
      <c r="AH281">
        <f>装备!AY32</f>
        <v>0</v>
      </c>
      <c r="AI281" t="str">
        <f t="shared" si="58"/>
        <v>InitUnitMagic('E105',0,0,0,0,3,0,0,0,0,0)</v>
      </c>
      <c r="AJ281">
        <f>装备!AZ32</f>
        <v>0</v>
      </c>
      <c r="AK281">
        <f>装备!BA32</f>
        <v>0</v>
      </c>
      <c r="AL281">
        <f>装备!BB32</f>
        <v>0</v>
      </c>
      <c r="AM281">
        <f>装备!BC32</f>
        <v>0</v>
      </c>
      <c r="AN281">
        <f>装备!BD32</f>
        <v>0</v>
      </c>
      <c r="AO281">
        <f>装备!BE32</f>
        <v>0</v>
      </c>
      <c r="AP281">
        <f>装备!BF32</f>
        <v>0</v>
      </c>
      <c r="AQ281">
        <f>装备!BG32</f>
        <v>0</v>
      </c>
      <c r="AR281">
        <f>装备!BH32</f>
        <v>0</v>
      </c>
      <c r="AS281">
        <f>装备!BI32</f>
        <v>0</v>
      </c>
      <c r="AT281" t="str">
        <f t="shared" si="59"/>
        <v>InitUnitAdd('E105',0,0,0,0,0,0,0,0,0,0)</v>
      </c>
      <c r="AU281">
        <f>装备!BJ32</f>
        <v>0</v>
      </c>
      <c r="AV281">
        <f>装备!BK32</f>
        <v>0</v>
      </c>
      <c r="AW281">
        <f>装备!BL32</f>
        <v>0</v>
      </c>
      <c r="AX281">
        <f>装备!BM32</f>
        <v>0</v>
      </c>
      <c r="AY281">
        <f>装备!BN32</f>
        <v>0</v>
      </c>
      <c r="AZ281">
        <f>装备!BO32</f>
        <v>0</v>
      </c>
      <c r="BA281">
        <f>装备!BP32</f>
        <v>0</v>
      </c>
      <c r="BB281">
        <f>装备!BQ32</f>
        <v>0</v>
      </c>
      <c r="BC281">
        <f>装备!BR32</f>
        <v>0</v>
      </c>
      <c r="BD281">
        <f>装备!BS32</f>
        <v>0</v>
      </c>
      <c r="BE281" t="str">
        <f t="shared" si="60"/>
        <v>InitUnitStateTime('E105',0,0,0,0,0,0,0,0,0,0)</v>
      </c>
      <c r="BF281">
        <f>装备!BT32</f>
        <v>0</v>
      </c>
      <c r="BG281">
        <f>装备!BU32</f>
        <v>0</v>
      </c>
      <c r="BH281">
        <f>装备!BV32</f>
        <v>0</v>
      </c>
      <c r="BI281">
        <f>装备!BW32</f>
        <v>0</v>
      </c>
      <c r="BJ281">
        <f>装备!BX32</f>
        <v>0</v>
      </c>
      <c r="BK281">
        <f>装备!BY32</f>
        <v>0</v>
      </c>
      <c r="BL281">
        <f>装备!BZ32</f>
        <v>0</v>
      </c>
      <c r="BM281">
        <f>装备!CA32</f>
        <v>0</v>
      </c>
      <c r="BN281">
        <f>装备!CB32</f>
        <v>0</v>
      </c>
      <c r="BO281">
        <f>装备!CC32</f>
        <v>0</v>
      </c>
      <c r="BP281" t="str">
        <f t="shared" si="61"/>
        <v>InitUnitStateAttack('E105',0,0,0,0,0,0,0,0,0,0)</v>
      </c>
      <c r="BQ281">
        <f>装备!CD32</f>
        <v>0</v>
      </c>
      <c r="BR281">
        <f>装备!CE32</f>
        <v>0</v>
      </c>
      <c r="BS281">
        <f>装备!CF32</f>
        <v>0</v>
      </c>
      <c r="BT281">
        <f>装备!CG32</f>
        <v>0</v>
      </c>
      <c r="BU281">
        <f>装备!CH32</f>
        <v>0</v>
      </c>
      <c r="BV281">
        <f>装备!CI32</f>
        <v>0</v>
      </c>
      <c r="BW281">
        <f>装备!CJ32</f>
        <v>0</v>
      </c>
      <c r="BX281">
        <f>装备!CK32</f>
        <v>0</v>
      </c>
      <c r="BY281">
        <f>装备!CL32</f>
        <v>0</v>
      </c>
      <c r="BZ281">
        <f>装备!CM32</f>
        <v>0</v>
      </c>
      <c r="CA281" t="str">
        <f t="shared" si="62"/>
        <v>InitUnitStateUpUp('E105',0,0,0,0,0,0,0,0,0,0)</v>
      </c>
      <c r="CB281" t="str">
        <f t="shared" si="63"/>
        <v>InitUnitState('E105',0,5000,0,0,0,0,0,0,0,0)</v>
      </c>
      <c r="CC281" t="str">
        <f t="shared" si="64"/>
        <v/>
      </c>
      <c r="CD281" t="str">
        <f t="shared" si="65"/>
        <v>InitUnitMagic('E105',0,0,0,0,3,0,0,0,0,0)</v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装备!B33</f>
        <v>E106</v>
      </c>
      <c r="B282">
        <f>装备!A33</f>
        <v>0</v>
      </c>
      <c r="C282">
        <f>装备!V33</f>
        <v>0</v>
      </c>
      <c r="D282">
        <f>装备!W33</f>
        <v>6400</v>
      </c>
      <c r="E282">
        <f>装备!X33</f>
        <v>0</v>
      </c>
      <c r="F282">
        <f>装备!Y33</f>
        <v>0</v>
      </c>
      <c r="G282">
        <f>装备!Z33</f>
        <v>0</v>
      </c>
      <c r="H282">
        <f>装备!AA33</f>
        <v>0</v>
      </c>
      <c r="I282">
        <f>装备!AB33</f>
        <v>0</v>
      </c>
      <c r="J282">
        <f>装备!AC33</f>
        <v>0</v>
      </c>
      <c r="K282">
        <f>装备!AD33</f>
        <v>0</v>
      </c>
      <c r="L282">
        <f>装备!AE33</f>
        <v>0</v>
      </c>
      <c r="M282" t="str">
        <f t="shared" si="56"/>
        <v>InitUnitState('E106',0,6400,0,0,0,0,0,0,0,0)</v>
      </c>
      <c r="N282">
        <f>装备!AF33</f>
        <v>0</v>
      </c>
      <c r="O282">
        <f>装备!AG33</f>
        <v>0</v>
      </c>
      <c r="P282">
        <f>装备!AH33</f>
        <v>0</v>
      </c>
      <c r="Q282">
        <f>装备!AI33</f>
        <v>0</v>
      </c>
      <c r="R282">
        <f>装备!AJ33</f>
        <v>0</v>
      </c>
      <c r="S282">
        <f>装备!AK33</f>
        <v>0</v>
      </c>
      <c r="T282">
        <f>装备!AL33</f>
        <v>3</v>
      </c>
      <c r="U282">
        <f>装备!AM33</f>
        <v>0</v>
      </c>
      <c r="V282">
        <f>装备!AN33</f>
        <v>0</v>
      </c>
      <c r="W282">
        <f>装备!AO33</f>
        <v>0</v>
      </c>
      <c r="X282" t="str">
        <f t="shared" si="57"/>
        <v>InitUnitNormal('E106',0,0,0,0,0,0,3,0,0,0)</v>
      </c>
      <c r="Y282">
        <f>装备!AP33</f>
        <v>0</v>
      </c>
      <c r="Z282">
        <f>装备!AQ33</f>
        <v>0</v>
      </c>
      <c r="AA282">
        <f>装备!AR33</f>
        <v>0</v>
      </c>
      <c r="AB282">
        <f>装备!AS33</f>
        <v>0</v>
      </c>
      <c r="AC282">
        <f>装备!AT33</f>
        <v>6</v>
      </c>
      <c r="AD282">
        <f>装备!AU33</f>
        <v>0</v>
      </c>
      <c r="AE282">
        <f>装备!AV33</f>
        <v>0</v>
      </c>
      <c r="AF282">
        <f>装备!AW33</f>
        <v>0</v>
      </c>
      <c r="AG282">
        <f>装备!AX33</f>
        <v>0</v>
      </c>
      <c r="AH282">
        <f>装备!AY33</f>
        <v>0</v>
      </c>
      <c r="AI282" t="str">
        <f t="shared" si="58"/>
        <v>InitUnitMagic('E106',0,0,0,0,6,0,0,0,0,0)</v>
      </c>
      <c r="AJ282">
        <f>装备!AZ33</f>
        <v>0</v>
      </c>
      <c r="AK282">
        <f>装备!BA33</f>
        <v>0</v>
      </c>
      <c r="AL282">
        <f>装备!BB33</f>
        <v>0</v>
      </c>
      <c r="AM282">
        <f>装备!BC33</f>
        <v>0</v>
      </c>
      <c r="AN282">
        <f>装备!BD33</f>
        <v>0</v>
      </c>
      <c r="AO282">
        <f>装备!BE33</f>
        <v>0</v>
      </c>
      <c r="AP282">
        <f>装备!BF33</f>
        <v>0</v>
      </c>
      <c r="AQ282">
        <f>装备!BG33</f>
        <v>0</v>
      </c>
      <c r="AR282">
        <f>装备!BH33</f>
        <v>0</v>
      </c>
      <c r="AS282">
        <f>装备!BI33</f>
        <v>0</v>
      </c>
      <c r="AT282" t="str">
        <f t="shared" si="59"/>
        <v>InitUnitAdd('E106',0,0,0,0,0,0,0,0,0,0)</v>
      </c>
      <c r="AU282">
        <f>装备!BJ33</f>
        <v>0</v>
      </c>
      <c r="AV282">
        <f>装备!BK33</f>
        <v>0</v>
      </c>
      <c r="AW282">
        <f>装备!BL33</f>
        <v>0</v>
      </c>
      <c r="AX282">
        <f>装备!BM33</f>
        <v>0</v>
      </c>
      <c r="AY282">
        <f>装备!BN33</f>
        <v>0</v>
      </c>
      <c r="AZ282">
        <f>装备!BO33</f>
        <v>0</v>
      </c>
      <c r="BA282">
        <f>装备!BP33</f>
        <v>0</v>
      </c>
      <c r="BB282">
        <f>装备!BQ33</f>
        <v>0</v>
      </c>
      <c r="BC282">
        <f>装备!BR33</f>
        <v>0</v>
      </c>
      <c r="BD282">
        <f>装备!BS33</f>
        <v>0</v>
      </c>
      <c r="BE282" t="str">
        <f t="shared" si="60"/>
        <v>InitUnitStateTime('E106',0,0,0,0,0,0,0,0,0,0)</v>
      </c>
      <c r="BF282">
        <f>装备!BT33</f>
        <v>0</v>
      </c>
      <c r="BG282">
        <f>装备!BU33</f>
        <v>0</v>
      </c>
      <c r="BH282">
        <f>装备!BV33</f>
        <v>0</v>
      </c>
      <c r="BI282">
        <f>装备!BW33</f>
        <v>0</v>
      </c>
      <c r="BJ282">
        <f>装备!BX33</f>
        <v>0</v>
      </c>
      <c r="BK282">
        <f>装备!BY33</f>
        <v>0</v>
      </c>
      <c r="BL282">
        <f>装备!BZ33</f>
        <v>0</v>
      </c>
      <c r="BM282">
        <f>装备!CA33</f>
        <v>0</v>
      </c>
      <c r="BN282">
        <f>装备!CB33</f>
        <v>0</v>
      </c>
      <c r="BO282">
        <f>装备!CC33</f>
        <v>0</v>
      </c>
      <c r="BP282" t="str">
        <f t="shared" si="61"/>
        <v>InitUnitStateAttack('E106',0,0,0,0,0,0,0,0,0,0)</v>
      </c>
      <c r="BQ282">
        <f>装备!CD33</f>
        <v>0</v>
      </c>
      <c r="BR282">
        <f>装备!CE33</f>
        <v>0</v>
      </c>
      <c r="BS282">
        <f>装备!CF33</f>
        <v>0</v>
      </c>
      <c r="BT282">
        <f>装备!CG33</f>
        <v>0</v>
      </c>
      <c r="BU282">
        <f>装备!CH33</f>
        <v>0</v>
      </c>
      <c r="BV282">
        <f>装备!CI33</f>
        <v>0</v>
      </c>
      <c r="BW282">
        <f>装备!CJ33</f>
        <v>0</v>
      </c>
      <c r="BX282">
        <f>装备!CK33</f>
        <v>0</v>
      </c>
      <c r="BY282">
        <f>装备!CL33</f>
        <v>0</v>
      </c>
      <c r="BZ282">
        <f>装备!CM33</f>
        <v>0</v>
      </c>
      <c r="CA282" t="str">
        <f t="shared" si="62"/>
        <v>InitUnitStateUpUp('E106',0,0,0,0,0,0,0,0,0,0)</v>
      </c>
      <c r="CB282" t="str">
        <f t="shared" si="63"/>
        <v>InitUnitState('E106',0,6400,0,0,0,0,0,0,0,0)</v>
      </c>
      <c r="CC282" t="str">
        <f t="shared" si="64"/>
        <v>InitUnitNormal('E106',0,0,0,0,0,0,3,0,0,0)</v>
      </c>
      <c r="CD282" t="str">
        <f t="shared" si="65"/>
        <v>InitUnitMagic('E106',0,0,0,0,6,0,0,0,0,0)</v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装备!B34</f>
        <v>E107</v>
      </c>
      <c r="B283">
        <f>装备!A34</f>
        <v>0</v>
      </c>
      <c r="C283">
        <f>装备!V34</f>
        <v>0</v>
      </c>
      <c r="D283">
        <f>装备!W34</f>
        <v>7800</v>
      </c>
      <c r="E283">
        <f>装备!X34</f>
        <v>0</v>
      </c>
      <c r="F283">
        <f>装备!Y34</f>
        <v>0</v>
      </c>
      <c r="G283">
        <f>装备!Z34</f>
        <v>0</v>
      </c>
      <c r="H283">
        <f>装备!AA34</f>
        <v>0</v>
      </c>
      <c r="I283">
        <f>装备!AB34</f>
        <v>0</v>
      </c>
      <c r="J283">
        <f>装备!AC34</f>
        <v>0</v>
      </c>
      <c r="K283">
        <f>装备!AD34</f>
        <v>0</v>
      </c>
      <c r="L283">
        <f>装备!AE34</f>
        <v>0</v>
      </c>
      <c r="M283" t="str">
        <f t="shared" si="56"/>
        <v>InitUnitState('E107',0,7800,0,0,0,0,0,0,0,0)</v>
      </c>
      <c r="N283">
        <f>装备!AF34</f>
        <v>0</v>
      </c>
      <c r="O283">
        <f>装备!AG34</f>
        <v>0</v>
      </c>
      <c r="P283">
        <f>装备!AH34</f>
        <v>0</v>
      </c>
      <c r="Q283">
        <f>装备!AI34</f>
        <v>0</v>
      </c>
      <c r="R283">
        <f>装备!AJ34</f>
        <v>0</v>
      </c>
      <c r="S283">
        <f>装备!AK34</f>
        <v>0</v>
      </c>
      <c r="T283">
        <f>装备!AL34</f>
        <v>3</v>
      </c>
      <c r="U283">
        <f>装备!AM34</f>
        <v>0</v>
      </c>
      <c r="V283">
        <f>装备!AN34</f>
        <v>0</v>
      </c>
      <c r="W283">
        <f>装备!AO34</f>
        <v>0</v>
      </c>
      <c r="X283" t="str">
        <f t="shared" si="57"/>
        <v>InitUnitNormal('E107',0,0,0,0,0,0,3,0,0,0)</v>
      </c>
      <c r="Y283">
        <f>装备!AP34</f>
        <v>0</v>
      </c>
      <c r="Z283">
        <f>装备!AQ34</f>
        <v>0</v>
      </c>
      <c r="AA283">
        <f>装备!AR34</f>
        <v>0</v>
      </c>
      <c r="AB283">
        <f>装备!AS34</f>
        <v>0</v>
      </c>
      <c r="AC283">
        <f>装备!AT34</f>
        <v>6</v>
      </c>
      <c r="AD283">
        <f>装备!AU34</f>
        <v>0</v>
      </c>
      <c r="AE283">
        <f>装备!AV34</f>
        <v>0</v>
      </c>
      <c r="AF283">
        <f>装备!AW34</f>
        <v>0</v>
      </c>
      <c r="AG283">
        <f>装备!AX34</f>
        <v>0</v>
      </c>
      <c r="AH283">
        <f>装备!AY34</f>
        <v>0</v>
      </c>
      <c r="AI283" t="str">
        <f t="shared" si="58"/>
        <v>InitUnitMagic('E107',0,0,0,0,6,0,0,0,0,0)</v>
      </c>
      <c r="AJ283">
        <f>装备!AZ34</f>
        <v>0</v>
      </c>
      <c r="AK283">
        <f>装备!BA34</f>
        <v>0</v>
      </c>
      <c r="AL283">
        <f>装备!BB34</f>
        <v>0</v>
      </c>
      <c r="AM283">
        <f>装备!BC34</f>
        <v>0</v>
      </c>
      <c r="AN283">
        <f>装备!BD34</f>
        <v>0</v>
      </c>
      <c r="AO283">
        <f>装备!BE34</f>
        <v>0</v>
      </c>
      <c r="AP283">
        <f>装备!BF34</f>
        <v>0</v>
      </c>
      <c r="AQ283">
        <f>装备!BG34</f>
        <v>0</v>
      </c>
      <c r="AR283">
        <f>装备!BH34</f>
        <v>0</v>
      </c>
      <c r="AS283">
        <f>装备!BI34</f>
        <v>0</v>
      </c>
      <c r="AT283" t="str">
        <f t="shared" si="59"/>
        <v>InitUnitAdd('E107',0,0,0,0,0,0,0,0,0,0)</v>
      </c>
      <c r="AU283">
        <f>装备!BJ34</f>
        <v>0</v>
      </c>
      <c r="AV283">
        <f>装备!BK34</f>
        <v>0</v>
      </c>
      <c r="AW283">
        <f>装备!BL34</f>
        <v>0</v>
      </c>
      <c r="AX283">
        <f>装备!BM34</f>
        <v>0</v>
      </c>
      <c r="AY283">
        <f>装备!BN34</f>
        <v>0</v>
      </c>
      <c r="AZ283">
        <f>装备!BO34</f>
        <v>0</v>
      </c>
      <c r="BA283">
        <f>装备!BP34</f>
        <v>0</v>
      </c>
      <c r="BB283">
        <f>装备!BQ34</f>
        <v>0</v>
      </c>
      <c r="BC283">
        <f>装备!BR34</f>
        <v>0</v>
      </c>
      <c r="BD283">
        <f>装备!BS34</f>
        <v>0</v>
      </c>
      <c r="BE283" t="str">
        <f t="shared" si="60"/>
        <v>InitUnitStateTime('E107',0,0,0,0,0,0,0,0,0,0)</v>
      </c>
      <c r="BF283">
        <f>装备!BT34</f>
        <v>0</v>
      </c>
      <c r="BG283">
        <f>装备!BU34</f>
        <v>0</v>
      </c>
      <c r="BH283">
        <f>装备!BV34</f>
        <v>0</v>
      </c>
      <c r="BI283">
        <f>装备!BW34</f>
        <v>0</v>
      </c>
      <c r="BJ283">
        <f>装备!BX34</f>
        <v>0</v>
      </c>
      <c r="BK283">
        <f>装备!BY34</f>
        <v>0</v>
      </c>
      <c r="BL283">
        <f>装备!BZ34</f>
        <v>0</v>
      </c>
      <c r="BM283">
        <f>装备!CA34</f>
        <v>0</v>
      </c>
      <c r="BN283">
        <f>装备!CB34</f>
        <v>0</v>
      </c>
      <c r="BO283">
        <f>装备!CC34</f>
        <v>0</v>
      </c>
      <c r="BP283" t="str">
        <f t="shared" si="61"/>
        <v>InitUnitStateAttack('E107',0,0,0,0,0,0,0,0,0,0)</v>
      </c>
      <c r="BQ283">
        <f>装备!CD34</f>
        <v>0</v>
      </c>
      <c r="BR283">
        <f>装备!CE34</f>
        <v>0</v>
      </c>
      <c r="BS283">
        <f>装备!CF34</f>
        <v>0</v>
      </c>
      <c r="BT283">
        <f>装备!CG34</f>
        <v>0</v>
      </c>
      <c r="BU283">
        <f>装备!CH34</f>
        <v>0</v>
      </c>
      <c r="BV283">
        <f>装备!CI34</f>
        <v>0</v>
      </c>
      <c r="BW283">
        <f>装备!CJ34</f>
        <v>0</v>
      </c>
      <c r="BX283">
        <f>装备!CK34</f>
        <v>0</v>
      </c>
      <c r="BY283">
        <f>装备!CL34</f>
        <v>0</v>
      </c>
      <c r="BZ283">
        <f>装备!CM34</f>
        <v>0</v>
      </c>
      <c r="CA283" t="str">
        <f t="shared" si="62"/>
        <v>InitUnitStateUpUp('E107',0,0,0,0,0,0,0,0,0,0)</v>
      </c>
      <c r="CB283" t="str">
        <f t="shared" si="63"/>
        <v>InitUnitState('E107',0,7800,0,0,0,0,0,0,0,0)</v>
      </c>
      <c r="CC283" t="str">
        <f t="shared" si="64"/>
        <v>InitUnitNormal('E107',0,0,0,0,0,0,3,0,0,0)</v>
      </c>
      <c r="CD283" t="str">
        <f t="shared" si="65"/>
        <v>InitUnitMagic('E107',0,0,0,0,6,0,0,0,0,0)</v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装备!B35</f>
        <v>E108</v>
      </c>
      <c r="B284">
        <f>装备!A35</f>
        <v>0</v>
      </c>
      <c r="C284">
        <f>装备!V35</f>
        <v>0</v>
      </c>
      <c r="D284">
        <f>装备!W35</f>
        <v>9200</v>
      </c>
      <c r="E284">
        <f>装备!X35</f>
        <v>0</v>
      </c>
      <c r="F284">
        <f>装备!Y35</f>
        <v>0</v>
      </c>
      <c r="G284">
        <f>装备!Z35</f>
        <v>0</v>
      </c>
      <c r="H284">
        <f>装备!AA35</f>
        <v>0</v>
      </c>
      <c r="I284">
        <f>装备!AB35</f>
        <v>0</v>
      </c>
      <c r="J284">
        <f>装备!AC35</f>
        <v>0</v>
      </c>
      <c r="K284">
        <f>装备!AD35</f>
        <v>0</v>
      </c>
      <c r="L284">
        <f>装备!AE35</f>
        <v>0</v>
      </c>
      <c r="M284" t="str">
        <f t="shared" si="56"/>
        <v>InitUnitState('E108',0,9200,0,0,0,0,0,0,0,0)</v>
      </c>
      <c r="N284">
        <f>装备!AF35</f>
        <v>0</v>
      </c>
      <c r="O284">
        <f>装备!AG35</f>
        <v>0</v>
      </c>
      <c r="P284">
        <f>装备!AH35</f>
        <v>0</v>
      </c>
      <c r="Q284">
        <f>装备!AI35</f>
        <v>0</v>
      </c>
      <c r="R284">
        <f>装备!AJ35</f>
        <v>0</v>
      </c>
      <c r="S284">
        <f>装备!AK35</f>
        <v>0</v>
      </c>
      <c r="T284">
        <f>装备!AL35</f>
        <v>3</v>
      </c>
      <c r="U284">
        <f>装备!AM35</f>
        <v>0</v>
      </c>
      <c r="V284">
        <f>装备!AN35</f>
        <v>0</v>
      </c>
      <c r="W284">
        <f>装备!AO35</f>
        <v>0</v>
      </c>
      <c r="X284" t="str">
        <f t="shared" si="57"/>
        <v>InitUnitNormal('E108',0,0,0,0,0,0,3,0,0,0)</v>
      </c>
      <c r="Y284">
        <f>装备!AP35</f>
        <v>0</v>
      </c>
      <c r="Z284">
        <f>装备!AQ35</f>
        <v>0</v>
      </c>
      <c r="AA284">
        <f>装备!AR35</f>
        <v>0</v>
      </c>
      <c r="AB284">
        <f>装备!AS35</f>
        <v>0</v>
      </c>
      <c r="AC284">
        <f>装备!AT35</f>
        <v>6</v>
      </c>
      <c r="AD284">
        <f>装备!AU35</f>
        <v>0</v>
      </c>
      <c r="AE284">
        <f>装备!AV35</f>
        <v>0</v>
      </c>
      <c r="AF284">
        <f>装备!AW35</f>
        <v>0</v>
      </c>
      <c r="AG284">
        <f>装备!AX35</f>
        <v>0</v>
      </c>
      <c r="AH284">
        <f>装备!AY35</f>
        <v>0</v>
      </c>
      <c r="AI284" t="str">
        <f t="shared" si="58"/>
        <v>InitUnitMagic('E108',0,0,0,0,6,0,0,0,0,0)</v>
      </c>
      <c r="AJ284">
        <f>装备!AZ35</f>
        <v>0</v>
      </c>
      <c r="AK284">
        <f>装备!BA35</f>
        <v>0</v>
      </c>
      <c r="AL284">
        <f>装备!BB35</f>
        <v>0</v>
      </c>
      <c r="AM284">
        <f>装备!BC35</f>
        <v>0</v>
      </c>
      <c r="AN284">
        <f>装备!BD35</f>
        <v>0</v>
      </c>
      <c r="AO284">
        <f>装备!BE35</f>
        <v>0</v>
      </c>
      <c r="AP284">
        <f>装备!BF35</f>
        <v>0</v>
      </c>
      <c r="AQ284">
        <f>装备!BG35</f>
        <v>0</v>
      </c>
      <c r="AR284">
        <f>装备!BH35</f>
        <v>0</v>
      </c>
      <c r="AS284">
        <f>装备!BI35</f>
        <v>0</v>
      </c>
      <c r="AT284" t="str">
        <f t="shared" si="59"/>
        <v>InitUnitAdd('E108',0,0,0,0,0,0,0,0,0,0)</v>
      </c>
      <c r="AU284">
        <f>装备!BJ35</f>
        <v>0</v>
      </c>
      <c r="AV284">
        <f>装备!BK35</f>
        <v>0</v>
      </c>
      <c r="AW284">
        <f>装备!BL35</f>
        <v>0</v>
      </c>
      <c r="AX284">
        <f>装备!BM35</f>
        <v>0</v>
      </c>
      <c r="AY284">
        <f>装备!BN35</f>
        <v>0</v>
      </c>
      <c r="AZ284">
        <f>装备!BO35</f>
        <v>0</v>
      </c>
      <c r="BA284">
        <f>装备!BP35</f>
        <v>0</v>
      </c>
      <c r="BB284">
        <f>装备!BQ35</f>
        <v>0</v>
      </c>
      <c r="BC284">
        <f>装备!BR35</f>
        <v>0</v>
      </c>
      <c r="BD284">
        <f>装备!BS35</f>
        <v>0</v>
      </c>
      <c r="BE284" t="str">
        <f t="shared" si="60"/>
        <v>InitUnitStateTime('E108',0,0,0,0,0,0,0,0,0,0)</v>
      </c>
      <c r="BF284">
        <f>装备!BT35</f>
        <v>0</v>
      </c>
      <c r="BG284">
        <f>装备!BU35</f>
        <v>0</v>
      </c>
      <c r="BH284">
        <f>装备!BV35</f>
        <v>0</v>
      </c>
      <c r="BI284">
        <f>装备!BW35</f>
        <v>0</v>
      </c>
      <c r="BJ284">
        <f>装备!BX35</f>
        <v>0</v>
      </c>
      <c r="BK284">
        <f>装备!BY35</f>
        <v>0</v>
      </c>
      <c r="BL284">
        <f>装备!BZ35</f>
        <v>0</v>
      </c>
      <c r="BM284">
        <f>装备!CA35</f>
        <v>0</v>
      </c>
      <c r="BN284">
        <f>装备!CB35</f>
        <v>0</v>
      </c>
      <c r="BO284">
        <f>装备!CC35</f>
        <v>0</v>
      </c>
      <c r="BP284" t="str">
        <f t="shared" si="61"/>
        <v>InitUnitStateAttack('E108',0,0,0,0,0,0,0,0,0,0)</v>
      </c>
      <c r="BQ284">
        <f>装备!CD35</f>
        <v>0</v>
      </c>
      <c r="BR284">
        <f>装备!CE35</f>
        <v>0</v>
      </c>
      <c r="BS284">
        <f>装备!CF35</f>
        <v>0</v>
      </c>
      <c r="BT284">
        <f>装备!CG35</f>
        <v>0</v>
      </c>
      <c r="BU284">
        <f>装备!CH35</f>
        <v>0</v>
      </c>
      <c r="BV284">
        <f>装备!CI35</f>
        <v>0</v>
      </c>
      <c r="BW284">
        <f>装备!CJ35</f>
        <v>0</v>
      </c>
      <c r="BX284">
        <f>装备!CK35</f>
        <v>0</v>
      </c>
      <c r="BY284">
        <f>装备!CL35</f>
        <v>0</v>
      </c>
      <c r="BZ284">
        <f>装备!CM35</f>
        <v>0</v>
      </c>
      <c r="CA284" t="str">
        <f t="shared" si="62"/>
        <v>InitUnitStateUpUp('E108',0,0,0,0,0,0,0,0,0,0)</v>
      </c>
      <c r="CB284" t="str">
        <f t="shared" si="63"/>
        <v>InitUnitState('E108',0,9200,0,0,0,0,0,0,0,0)</v>
      </c>
      <c r="CC284" t="str">
        <f t="shared" si="64"/>
        <v>InitUnitNormal('E108',0,0,0,0,0,0,3,0,0,0)</v>
      </c>
      <c r="CD284" t="str">
        <f t="shared" si="65"/>
        <v>InitUnitMagic('E108',0,0,0,0,6,0,0,0,0,0)</v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装备!B36</f>
        <v>E109</v>
      </c>
      <c r="B285">
        <f>装备!A36</f>
        <v>0</v>
      </c>
      <c r="C285">
        <f>装备!V36</f>
        <v>0</v>
      </c>
      <c r="D285">
        <f>装备!W36</f>
        <v>10600</v>
      </c>
      <c r="E285">
        <f>装备!X36</f>
        <v>0</v>
      </c>
      <c r="F285">
        <f>装备!Y36</f>
        <v>0</v>
      </c>
      <c r="G285">
        <f>装备!Z36</f>
        <v>0</v>
      </c>
      <c r="H285">
        <f>装备!AA36</f>
        <v>0</v>
      </c>
      <c r="I285">
        <f>装备!AB36</f>
        <v>0</v>
      </c>
      <c r="J285">
        <f>装备!AC36</f>
        <v>0</v>
      </c>
      <c r="K285">
        <f>装备!AD36</f>
        <v>0</v>
      </c>
      <c r="L285">
        <f>装备!AE36</f>
        <v>0</v>
      </c>
      <c r="M285" t="str">
        <f t="shared" si="56"/>
        <v>InitUnitState('E109',0,10600,0,0,0,0,0,0,0,0)</v>
      </c>
      <c r="N285">
        <f>装备!AF36</f>
        <v>0</v>
      </c>
      <c r="O285">
        <f>装备!AG36</f>
        <v>0</v>
      </c>
      <c r="P285">
        <f>装备!AH36</f>
        <v>0</v>
      </c>
      <c r="Q285">
        <f>装备!AI36</f>
        <v>0</v>
      </c>
      <c r="R285">
        <f>装备!AJ36</f>
        <v>0</v>
      </c>
      <c r="S285">
        <f>装备!AK36</f>
        <v>0</v>
      </c>
      <c r="T285">
        <f>装备!AL36</f>
        <v>3</v>
      </c>
      <c r="U285">
        <f>装备!AM36</f>
        <v>0</v>
      </c>
      <c r="V285">
        <f>装备!AN36</f>
        <v>0</v>
      </c>
      <c r="W285">
        <f>装备!AO36</f>
        <v>0</v>
      </c>
      <c r="X285" t="str">
        <f t="shared" si="57"/>
        <v>InitUnitNormal('E109',0,0,0,0,0,0,3,0,0,0)</v>
      </c>
      <c r="Y285">
        <f>装备!AP36</f>
        <v>0</v>
      </c>
      <c r="Z285">
        <f>装备!AQ36</f>
        <v>0</v>
      </c>
      <c r="AA285">
        <f>装备!AR36</f>
        <v>0</v>
      </c>
      <c r="AB285">
        <f>装备!AS36</f>
        <v>0</v>
      </c>
      <c r="AC285">
        <f>装备!AT36</f>
        <v>6</v>
      </c>
      <c r="AD285">
        <f>装备!AU36</f>
        <v>0</v>
      </c>
      <c r="AE285">
        <f>装备!AV36</f>
        <v>0</v>
      </c>
      <c r="AF285">
        <f>装备!AW36</f>
        <v>0</v>
      </c>
      <c r="AG285">
        <f>装备!AX36</f>
        <v>0</v>
      </c>
      <c r="AH285">
        <f>装备!AY36</f>
        <v>0</v>
      </c>
      <c r="AI285" t="str">
        <f t="shared" si="58"/>
        <v>InitUnitMagic('E109',0,0,0,0,6,0,0,0,0,0)</v>
      </c>
      <c r="AJ285">
        <f>装备!AZ36</f>
        <v>0</v>
      </c>
      <c r="AK285">
        <f>装备!BA36</f>
        <v>0</v>
      </c>
      <c r="AL285">
        <f>装备!BB36</f>
        <v>0</v>
      </c>
      <c r="AM285">
        <f>装备!BC36</f>
        <v>0</v>
      </c>
      <c r="AN285">
        <f>装备!BD36</f>
        <v>0</v>
      </c>
      <c r="AO285">
        <f>装备!BE36</f>
        <v>0</v>
      </c>
      <c r="AP285">
        <f>装备!BF36</f>
        <v>0</v>
      </c>
      <c r="AQ285">
        <f>装备!BG36</f>
        <v>0</v>
      </c>
      <c r="AR285">
        <f>装备!BH36</f>
        <v>0</v>
      </c>
      <c r="AS285">
        <f>装备!BI36</f>
        <v>0</v>
      </c>
      <c r="AT285" t="str">
        <f t="shared" si="59"/>
        <v>InitUnitAdd('E109',0,0,0,0,0,0,0,0,0,0)</v>
      </c>
      <c r="AU285">
        <f>装备!BJ36</f>
        <v>0</v>
      </c>
      <c r="AV285">
        <f>装备!BK36</f>
        <v>0</v>
      </c>
      <c r="AW285">
        <f>装备!BL36</f>
        <v>0</v>
      </c>
      <c r="AX285">
        <f>装备!BM36</f>
        <v>0</v>
      </c>
      <c r="AY285">
        <f>装备!BN36</f>
        <v>0</v>
      </c>
      <c r="AZ285">
        <f>装备!BO36</f>
        <v>0</v>
      </c>
      <c r="BA285">
        <f>装备!BP36</f>
        <v>0</v>
      </c>
      <c r="BB285">
        <f>装备!BQ36</f>
        <v>0</v>
      </c>
      <c r="BC285">
        <f>装备!BR36</f>
        <v>0</v>
      </c>
      <c r="BD285">
        <f>装备!BS36</f>
        <v>0</v>
      </c>
      <c r="BE285" t="str">
        <f t="shared" si="60"/>
        <v>InitUnitStateTime('E109',0,0,0,0,0,0,0,0,0,0)</v>
      </c>
      <c r="BF285">
        <f>装备!BT36</f>
        <v>0</v>
      </c>
      <c r="BG285">
        <f>装备!BU36</f>
        <v>0</v>
      </c>
      <c r="BH285">
        <f>装备!BV36</f>
        <v>0</v>
      </c>
      <c r="BI285">
        <f>装备!BW36</f>
        <v>0</v>
      </c>
      <c r="BJ285">
        <f>装备!BX36</f>
        <v>0</v>
      </c>
      <c r="BK285">
        <f>装备!BY36</f>
        <v>0</v>
      </c>
      <c r="BL285">
        <f>装备!BZ36</f>
        <v>0</v>
      </c>
      <c r="BM285">
        <f>装备!CA36</f>
        <v>0</v>
      </c>
      <c r="BN285">
        <f>装备!CB36</f>
        <v>0</v>
      </c>
      <c r="BO285">
        <f>装备!CC36</f>
        <v>0</v>
      </c>
      <c r="BP285" t="str">
        <f t="shared" si="61"/>
        <v>InitUnitStateAttack('E109',0,0,0,0,0,0,0,0,0,0)</v>
      </c>
      <c r="BQ285">
        <f>装备!CD36</f>
        <v>0</v>
      </c>
      <c r="BR285">
        <f>装备!CE36</f>
        <v>0</v>
      </c>
      <c r="BS285">
        <f>装备!CF36</f>
        <v>0</v>
      </c>
      <c r="BT285">
        <f>装备!CG36</f>
        <v>0</v>
      </c>
      <c r="BU285">
        <f>装备!CH36</f>
        <v>0</v>
      </c>
      <c r="BV285">
        <f>装备!CI36</f>
        <v>0</v>
      </c>
      <c r="BW285">
        <f>装备!CJ36</f>
        <v>0</v>
      </c>
      <c r="BX285">
        <f>装备!CK36</f>
        <v>0</v>
      </c>
      <c r="BY285">
        <f>装备!CL36</f>
        <v>0</v>
      </c>
      <c r="BZ285">
        <f>装备!CM36</f>
        <v>0</v>
      </c>
      <c r="CA285" t="str">
        <f t="shared" si="62"/>
        <v>InitUnitStateUpUp('E109',0,0,0,0,0,0,0,0,0,0)</v>
      </c>
      <c r="CB285" t="str">
        <f t="shared" si="63"/>
        <v>InitUnitState('E109',0,10600,0,0,0,0,0,0,0,0)</v>
      </c>
      <c r="CC285" t="str">
        <f t="shared" si="64"/>
        <v>InitUnitNormal('E109',0,0,0,0,0,0,3,0,0,0)</v>
      </c>
      <c r="CD285" t="str">
        <f t="shared" si="65"/>
        <v>InitUnitMagic('E109',0,0,0,0,6,0,0,0,0,0)</v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装备!B37</f>
        <v>E110</v>
      </c>
      <c r="B286">
        <f>装备!A37</f>
        <v>0</v>
      </c>
      <c r="C286">
        <f>装备!V37</f>
        <v>0</v>
      </c>
      <c r="D286">
        <f>装备!W37</f>
        <v>12000</v>
      </c>
      <c r="E286">
        <f>装备!X37</f>
        <v>0</v>
      </c>
      <c r="F286">
        <f>装备!Y37</f>
        <v>0</v>
      </c>
      <c r="G286">
        <f>装备!Z37</f>
        <v>0</v>
      </c>
      <c r="H286">
        <f>装备!AA37</f>
        <v>0</v>
      </c>
      <c r="I286">
        <f>装备!AB37</f>
        <v>0</v>
      </c>
      <c r="J286">
        <f>装备!AC37</f>
        <v>0</v>
      </c>
      <c r="K286">
        <f>装备!AD37</f>
        <v>0</v>
      </c>
      <c r="L286">
        <f>装备!AE37</f>
        <v>0</v>
      </c>
      <c r="M286" t="str">
        <f t="shared" si="56"/>
        <v>InitUnitState('E110',0,12000,0,0,0,0,0,0,0,0)</v>
      </c>
      <c r="N286">
        <f>装备!AF37</f>
        <v>0</v>
      </c>
      <c r="O286">
        <f>装备!AG37</f>
        <v>0</v>
      </c>
      <c r="P286">
        <f>装备!AH37</f>
        <v>0</v>
      </c>
      <c r="Q286">
        <f>装备!AI37</f>
        <v>0</v>
      </c>
      <c r="R286">
        <f>装备!AJ37</f>
        <v>0</v>
      </c>
      <c r="S286">
        <f>装备!AK37</f>
        <v>0</v>
      </c>
      <c r="T286">
        <f>装备!AL37</f>
        <v>3</v>
      </c>
      <c r="U286">
        <f>装备!AM37</f>
        <v>0</v>
      </c>
      <c r="V286">
        <f>装备!AN37</f>
        <v>0</v>
      </c>
      <c r="W286">
        <f>装备!AO37</f>
        <v>0</v>
      </c>
      <c r="X286" t="str">
        <f t="shared" si="57"/>
        <v>InitUnitNormal('E110',0,0,0,0,0,0,3,0,0,0)</v>
      </c>
      <c r="Y286">
        <f>装备!AP37</f>
        <v>0</v>
      </c>
      <c r="Z286">
        <f>装备!AQ37</f>
        <v>0</v>
      </c>
      <c r="AA286">
        <f>装备!AR37</f>
        <v>0</v>
      </c>
      <c r="AB286">
        <f>装备!AS37</f>
        <v>0</v>
      </c>
      <c r="AC286">
        <f>装备!AT37</f>
        <v>6</v>
      </c>
      <c r="AD286">
        <f>装备!AU37</f>
        <v>0</v>
      </c>
      <c r="AE286">
        <f>装备!AV37</f>
        <v>0</v>
      </c>
      <c r="AF286">
        <f>装备!AW37</f>
        <v>0</v>
      </c>
      <c r="AG286">
        <f>装备!AX37</f>
        <v>0</v>
      </c>
      <c r="AH286">
        <f>装备!AY37</f>
        <v>0</v>
      </c>
      <c r="AI286" t="str">
        <f t="shared" si="58"/>
        <v>InitUnitMagic('E110',0,0,0,0,6,0,0,0,0,0)</v>
      </c>
      <c r="AJ286">
        <f>装备!AZ37</f>
        <v>0</v>
      </c>
      <c r="AK286">
        <f>装备!BA37</f>
        <v>0</v>
      </c>
      <c r="AL286">
        <f>装备!BB37</f>
        <v>0</v>
      </c>
      <c r="AM286">
        <f>装备!BC37</f>
        <v>0</v>
      </c>
      <c r="AN286">
        <f>装备!BD37</f>
        <v>0</v>
      </c>
      <c r="AO286">
        <f>装备!BE37</f>
        <v>0</v>
      </c>
      <c r="AP286">
        <f>装备!BF37</f>
        <v>0</v>
      </c>
      <c r="AQ286">
        <f>装备!BG37</f>
        <v>0</v>
      </c>
      <c r="AR286">
        <f>装备!BH37</f>
        <v>0</v>
      </c>
      <c r="AS286">
        <f>装备!BI37</f>
        <v>0</v>
      </c>
      <c r="AT286" t="str">
        <f t="shared" si="59"/>
        <v>InitUnitAdd('E110',0,0,0,0,0,0,0,0,0,0)</v>
      </c>
      <c r="AU286">
        <f>装备!BJ37</f>
        <v>0</v>
      </c>
      <c r="AV286">
        <f>装备!BK37</f>
        <v>0</v>
      </c>
      <c r="AW286">
        <f>装备!BL37</f>
        <v>0</v>
      </c>
      <c r="AX286">
        <f>装备!BM37</f>
        <v>0</v>
      </c>
      <c r="AY286">
        <f>装备!BN37</f>
        <v>0</v>
      </c>
      <c r="AZ286">
        <f>装备!BO37</f>
        <v>0</v>
      </c>
      <c r="BA286">
        <f>装备!BP37</f>
        <v>0</v>
      </c>
      <c r="BB286">
        <f>装备!BQ37</f>
        <v>0</v>
      </c>
      <c r="BC286">
        <f>装备!BR37</f>
        <v>0</v>
      </c>
      <c r="BD286">
        <f>装备!BS37</f>
        <v>0</v>
      </c>
      <c r="BE286" t="str">
        <f t="shared" si="60"/>
        <v>InitUnitStateTime('E110',0,0,0,0,0,0,0,0,0,0)</v>
      </c>
      <c r="BF286">
        <f>装备!BT37</f>
        <v>0</v>
      </c>
      <c r="BG286">
        <f>装备!BU37</f>
        <v>0</v>
      </c>
      <c r="BH286">
        <f>装备!BV37</f>
        <v>0</v>
      </c>
      <c r="BI286">
        <f>装备!BW37</f>
        <v>0</v>
      </c>
      <c r="BJ286">
        <f>装备!BX37</f>
        <v>0</v>
      </c>
      <c r="BK286">
        <f>装备!BY37</f>
        <v>0</v>
      </c>
      <c r="BL286">
        <f>装备!BZ37</f>
        <v>0</v>
      </c>
      <c r="BM286">
        <f>装备!CA37</f>
        <v>0</v>
      </c>
      <c r="BN286">
        <f>装备!CB37</f>
        <v>0</v>
      </c>
      <c r="BO286">
        <f>装备!CC37</f>
        <v>0</v>
      </c>
      <c r="BP286" t="str">
        <f t="shared" si="61"/>
        <v>InitUnitStateAttack('E110',0,0,0,0,0,0,0,0,0,0)</v>
      </c>
      <c r="BQ286">
        <f>装备!CD37</f>
        <v>0</v>
      </c>
      <c r="BR286">
        <f>装备!CE37</f>
        <v>0</v>
      </c>
      <c r="BS286">
        <f>装备!CF37</f>
        <v>0</v>
      </c>
      <c r="BT286">
        <f>装备!CG37</f>
        <v>0</v>
      </c>
      <c r="BU286">
        <f>装备!CH37</f>
        <v>0</v>
      </c>
      <c r="BV286">
        <f>装备!CI37</f>
        <v>0</v>
      </c>
      <c r="BW286">
        <f>装备!CJ37</f>
        <v>0</v>
      </c>
      <c r="BX286">
        <f>装备!CK37</f>
        <v>0</v>
      </c>
      <c r="BY286">
        <f>装备!CL37</f>
        <v>0</v>
      </c>
      <c r="BZ286">
        <f>装备!CM37</f>
        <v>0</v>
      </c>
      <c r="CA286" t="str">
        <f t="shared" si="62"/>
        <v>InitUnitStateUpUp('E110',0,0,0,0,0,0,0,0,0,0)</v>
      </c>
      <c r="CB286" t="str">
        <f t="shared" si="63"/>
        <v>InitUnitState('E110',0,12000,0,0,0,0,0,0,0,0)</v>
      </c>
      <c r="CC286" t="str">
        <f t="shared" si="64"/>
        <v>InitUnitNormal('E110',0,0,0,0,0,0,3,0,0,0)</v>
      </c>
      <c r="CD286" t="str">
        <f t="shared" si="65"/>
        <v>InitUnitMagic('E110',0,0,0,0,6,0,0,0,0,0)</v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装备!B38</f>
        <v>E111</v>
      </c>
      <c r="B287">
        <f>装备!A38</f>
        <v>0</v>
      </c>
      <c r="C287">
        <f>装备!V38</f>
        <v>0</v>
      </c>
      <c r="D287">
        <f>装备!W38</f>
        <v>14200</v>
      </c>
      <c r="E287">
        <f>装备!X38</f>
        <v>0</v>
      </c>
      <c r="F287">
        <f>装备!Y38</f>
        <v>0</v>
      </c>
      <c r="G287">
        <f>装备!Z38</f>
        <v>0</v>
      </c>
      <c r="H287">
        <f>装备!AA38</f>
        <v>0</v>
      </c>
      <c r="I287">
        <f>装备!AB38</f>
        <v>0</v>
      </c>
      <c r="J287">
        <f>装备!AC38</f>
        <v>0</v>
      </c>
      <c r="K287">
        <f>装备!AD38</f>
        <v>0</v>
      </c>
      <c r="L287">
        <f>装备!AE38</f>
        <v>0</v>
      </c>
      <c r="M287" t="str">
        <f t="shared" si="56"/>
        <v>InitUnitState('E111',0,14200,0,0,0,0,0,0,0,0)</v>
      </c>
      <c r="N287">
        <f>装备!AF38</f>
        <v>0</v>
      </c>
      <c r="O287">
        <f>装备!AG38</f>
        <v>0</v>
      </c>
      <c r="P287">
        <f>装备!AH38</f>
        <v>0</v>
      </c>
      <c r="Q287">
        <f>装备!AI38</f>
        <v>0</v>
      </c>
      <c r="R287">
        <f>装备!AJ38</f>
        <v>0</v>
      </c>
      <c r="S287">
        <f>装备!AK38</f>
        <v>0</v>
      </c>
      <c r="T287">
        <f>装备!AL38</f>
        <v>6</v>
      </c>
      <c r="U287">
        <f>装备!AM38</f>
        <v>0</v>
      </c>
      <c r="V287">
        <f>装备!AN38</f>
        <v>0</v>
      </c>
      <c r="W287">
        <f>装备!AO38</f>
        <v>0</v>
      </c>
      <c r="X287" t="str">
        <f t="shared" si="57"/>
        <v>InitUnitNormal('E111',0,0,0,0,0,0,6,0,0,0)</v>
      </c>
      <c r="Y287">
        <f>装备!AP38</f>
        <v>0</v>
      </c>
      <c r="Z287">
        <f>装备!AQ38</f>
        <v>0</v>
      </c>
      <c r="AA287">
        <f>装备!AR38</f>
        <v>0</v>
      </c>
      <c r="AB287">
        <f>装备!AS38</f>
        <v>0</v>
      </c>
      <c r="AC287">
        <f>装备!AT38</f>
        <v>9</v>
      </c>
      <c r="AD287">
        <f>装备!AU38</f>
        <v>0</v>
      </c>
      <c r="AE287">
        <f>装备!AV38</f>
        <v>0</v>
      </c>
      <c r="AF287">
        <f>装备!AW38</f>
        <v>0</v>
      </c>
      <c r="AG287">
        <f>装备!AX38</f>
        <v>0</v>
      </c>
      <c r="AH287">
        <f>装备!AY38</f>
        <v>0</v>
      </c>
      <c r="AI287" t="str">
        <f t="shared" si="58"/>
        <v>InitUnitMagic('E111',0,0,0,0,9,0,0,0,0,0)</v>
      </c>
      <c r="AJ287">
        <f>装备!AZ38</f>
        <v>0</v>
      </c>
      <c r="AK287">
        <f>装备!BA38</f>
        <v>0</v>
      </c>
      <c r="AL287">
        <f>装备!BB38</f>
        <v>0</v>
      </c>
      <c r="AM287">
        <f>装备!BC38</f>
        <v>0</v>
      </c>
      <c r="AN287">
        <f>装备!BD38</f>
        <v>0</v>
      </c>
      <c r="AO287">
        <f>装备!BE38</f>
        <v>0</v>
      </c>
      <c r="AP287">
        <f>装备!BF38</f>
        <v>0</v>
      </c>
      <c r="AQ287">
        <f>装备!BG38</f>
        <v>0</v>
      </c>
      <c r="AR287">
        <f>装备!BH38</f>
        <v>0</v>
      </c>
      <c r="AS287">
        <f>装备!BI38</f>
        <v>0</v>
      </c>
      <c r="AT287" t="str">
        <f t="shared" si="59"/>
        <v>InitUnitAdd('E111',0,0,0,0,0,0,0,0,0,0)</v>
      </c>
      <c r="AU287">
        <f>装备!BJ38</f>
        <v>0</v>
      </c>
      <c r="AV287">
        <f>装备!BK38</f>
        <v>0</v>
      </c>
      <c r="AW287">
        <f>装备!BL38</f>
        <v>0</v>
      </c>
      <c r="AX287">
        <f>装备!BM38</f>
        <v>0</v>
      </c>
      <c r="AY287">
        <f>装备!BN38</f>
        <v>0</v>
      </c>
      <c r="AZ287">
        <f>装备!BO38</f>
        <v>0</v>
      </c>
      <c r="BA287">
        <f>装备!BP38</f>
        <v>0</v>
      </c>
      <c r="BB287">
        <f>装备!BQ38</f>
        <v>0</v>
      </c>
      <c r="BC287">
        <f>装备!BR38</f>
        <v>0</v>
      </c>
      <c r="BD287">
        <f>装备!BS38</f>
        <v>0</v>
      </c>
      <c r="BE287" t="str">
        <f t="shared" si="60"/>
        <v>InitUnitStateTime('E111',0,0,0,0,0,0,0,0,0,0)</v>
      </c>
      <c r="BF287">
        <f>装备!BT38</f>
        <v>0</v>
      </c>
      <c r="BG287">
        <f>装备!BU38</f>
        <v>0</v>
      </c>
      <c r="BH287">
        <f>装备!BV38</f>
        <v>0</v>
      </c>
      <c r="BI287">
        <f>装备!BW38</f>
        <v>0</v>
      </c>
      <c r="BJ287">
        <f>装备!BX38</f>
        <v>0</v>
      </c>
      <c r="BK287">
        <f>装备!BY38</f>
        <v>0</v>
      </c>
      <c r="BL287">
        <f>装备!BZ38</f>
        <v>0</v>
      </c>
      <c r="BM287">
        <f>装备!CA38</f>
        <v>0</v>
      </c>
      <c r="BN287">
        <f>装备!CB38</f>
        <v>0</v>
      </c>
      <c r="BO287">
        <f>装备!CC38</f>
        <v>0</v>
      </c>
      <c r="BP287" t="str">
        <f t="shared" si="61"/>
        <v>InitUnitStateAttack('E111',0,0,0,0,0,0,0,0,0,0)</v>
      </c>
      <c r="BQ287">
        <f>装备!CD38</f>
        <v>0</v>
      </c>
      <c r="BR287">
        <f>装备!CE38</f>
        <v>0</v>
      </c>
      <c r="BS287">
        <f>装备!CF38</f>
        <v>0</v>
      </c>
      <c r="BT287">
        <f>装备!CG38</f>
        <v>0</v>
      </c>
      <c r="BU287">
        <f>装备!CH38</f>
        <v>0</v>
      </c>
      <c r="BV287">
        <f>装备!CI38</f>
        <v>0</v>
      </c>
      <c r="BW287">
        <f>装备!CJ38</f>
        <v>0</v>
      </c>
      <c r="BX287">
        <f>装备!CK38</f>
        <v>0</v>
      </c>
      <c r="BY287">
        <f>装备!CL38</f>
        <v>0</v>
      </c>
      <c r="BZ287">
        <f>装备!CM38</f>
        <v>0</v>
      </c>
      <c r="CA287" t="str">
        <f t="shared" si="62"/>
        <v>InitUnitStateUpUp('E111',0,0,0,0,0,0,0,0,0,0)</v>
      </c>
      <c r="CB287" t="str">
        <f t="shared" si="63"/>
        <v>InitUnitState('E111',0,14200,0,0,0,0,0,0,0,0)</v>
      </c>
      <c r="CC287" t="str">
        <f t="shared" si="64"/>
        <v>InitUnitNormal('E111',0,0,0,0,0,0,6,0,0,0)</v>
      </c>
      <c r="CD287" t="str">
        <f t="shared" si="65"/>
        <v>InitUnitMagic('E111',0,0,0,0,9,0,0,0,0,0)</v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装备!B39</f>
        <v>E112</v>
      </c>
      <c r="B288">
        <f>装备!A39</f>
        <v>0</v>
      </c>
      <c r="C288">
        <f>装备!V39</f>
        <v>0</v>
      </c>
      <c r="D288">
        <f>装备!W39</f>
        <v>16400</v>
      </c>
      <c r="E288">
        <f>装备!X39</f>
        <v>0</v>
      </c>
      <c r="F288">
        <f>装备!Y39</f>
        <v>0</v>
      </c>
      <c r="G288">
        <f>装备!Z39</f>
        <v>0</v>
      </c>
      <c r="H288">
        <f>装备!AA39</f>
        <v>0</v>
      </c>
      <c r="I288">
        <f>装备!AB39</f>
        <v>0</v>
      </c>
      <c r="J288">
        <f>装备!AC39</f>
        <v>0</v>
      </c>
      <c r="K288">
        <f>装备!AD39</f>
        <v>0</v>
      </c>
      <c r="L288">
        <f>装备!AE39</f>
        <v>0</v>
      </c>
      <c r="M288" t="str">
        <f t="shared" si="56"/>
        <v>InitUnitState('E112',0,16400,0,0,0,0,0,0,0,0)</v>
      </c>
      <c r="N288">
        <f>装备!AF39</f>
        <v>0</v>
      </c>
      <c r="O288">
        <f>装备!AG39</f>
        <v>0</v>
      </c>
      <c r="P288">
        <f>装备!AH39</f>
        <v>0</v>
      </c>
      <c r="Q288">
        <f>装备!AI39</f>
        <v>0</v>
      </c>
      <c r="R288">
        <f>装备!AJ39</f>
        <v>0</v>
      </c>
      <c r="S288">
        <f>装备!AK39</f>
        <v>0</v>
      </c>
      <c r="T288">
        <f>装备!AL39</f>
        <v>6</v>
      </c>
      <c r="U288">
        <f>装备!AM39</f>
        <v>0</v>
      </c>
      <c r="V288">
        <f>装备!AN39</f>
        <v>0</v>
      </c>
      <c r="W288">
        <f>装备!AO39</f>
        <v>0</v>
      </c>
      <c r="X288" t="str">
        <f t="shared" si="57"/>
        <v>InitUnitNormal('E112',0,0,0,0,0,0,6,0,0,0)</v>
      </c>
      <c r="Y288">
        <f>装备!AP39</f>
        <v>0</v>
      </c>
      <c r="Z288">
        <f>装备!AQ39</f>
        <v>0</v>
      </c>
      <c r="AA288">
        <f>装备!AR39</f>
        <v>0</v>
      </c>
      <c r="AB288">
        <f>装备!AS39</f>
        <v>0</v>
      </c>
      <c r="AC288">
        <f>装备!AT39</f>
        <v>9</v>
      </c>
      <c r="AD288">
        <f>装备!AU39</f>
        <v>0</v>
      </c>
      <c r="AE288">
        <f>装备!AV39</f>
        <v>0</v>
      </c>
      <c r="AF288">
        <f>装备!AW39</f>
        <v>0</v>
      </c>
      <c r="AG288">
        <f>装备!AX39</f>
        <v>0</v>
      </c>
      <c r="AH288">
        <f>装备!AY39</f>
        <v>0</v>
      </c>
      <c r="AI288" t="str">
        <f t="shared" si="58"/>
        <v>InitUnitMagic('E112',0,0,0,0,9,0,0,0,0,0)</v>
      </c>
      <c r="AJ288">
        <f>装备!AZ39</f>
        <v>0</v>
      </c>
      <c r="AK288">
        <f>装备!BA39</f>
        <v>0</v>
      </c>
      <c r="AL288">
        <f>装备!BB39</f>
        <v>0</v>
      </c>
      <c r="AM288">
        <f>装备!BC39</f>
        <v>0</v>
      </c>
      <c r="AN288">
        <f>装备!BD39</f>
        <v>0</v>
      </c>
      <c r="AO288">
        <f>装备!BE39</f>
        <v>0</v>
      </c>
      <c r="AP288">
        <f>装备!BF39</f>
        <v>0</v>
      </c>
      <c r="AQ288">
        <f>装备!BG39</f>
        <v>0</v>
      </c>
      <c r="AR288">
        <f>装备!BH39</f>
        <v>0</v>
      </c>
      <c r="AS288">
        <f>装备!BI39</f>
        <v>0</v>
      </c>
      <c r="AT288" t="str">
        <f t="shared" si="59"/>
        <v>InitUnitAdd('E112',0,0,0,0,0,0,0,0,0,0)</v>
      </c>
      <c r="AU288">
        <f>装备!BJ39</f>
        <v>0</v>
      </c>
      <c r="AV288">
        <f>装备!BK39</f>
        <v>0</v>
      </c>
      <c r="AW288">
        <f>装备!BL39</f>
        <v>0</v>
      </c>
      <c r="AX288">
        <f>装备!BM39</f>
        <v>0</v>
      </c>
      <c r="AY288">
        <f>装备!BN39</f>
        <v>0</v>
      </c>
      <c r="AZ288">
        <f>装备!BO39</f>
        <v>0</v>
      </c>
      <c r="BA288">
        <f>装备!BP39</f>
        <v>0</v>
      </c>
      <c r="BB288">
        <f>装备!BQ39</f>
        <v>0</v>
      </c>
      <c r="BC288">
        <f>装备!BR39</f>
        <v>0</v>
      </c>
      <c r="BD288">
        <f>装备!BS39</f>
        <v>0</v>
      </c>
      <c r="BE288" t="str">
        <f t="shared" si="60"/>
        <v>InitUnitStateTime('E112',0,0,0,0,0,0,0,0,0,0)</v>
      </c>
      <c r="BF288">
        <f>装备!BT39</f>
        <v>0</v>
      </c>
      <c r="BG288">
        <f>装备!BU39</f>
        <v>0</v>
      </c>
      <c r="BH288">
        <f>装备!BV39</f>
        <v>0</v>
      </c>
      <c r="BI288">
        <f>装备!BW39</f>
        <v>0</v>
      </c>
      <c r="BJ288">
        <f>装备!BX39</f>
        <v>0</v>
      </c>
      <c r="BK288">
        <f>装备!BY39</f>
        <v>0</v>
      </c>
      <c r="BL288">
        <f>装备!BZ39</f>
        <v>0</v>
      </c>
      <c r="BM288">
        <f>装备!CA39</f>
        <v>0</v>
      </c>
      <c r="BN288">
        <f>装备!CB39</f>
        <v>0</v>
      </c>
      <c r="BO288">
        <f>装备!CC39</f>
        <v>0</v>
      </c>
      <c r="BP288" t="str">
        <f t="shared" si="61"/>
        <v>InitUnitStateAttack('E112',0,0,0,0,0,0,0,0,0,0)</v>
      </c>
      <c r="BQ288">
        <f>装备!CD39</f>
        <v>0</v>
      </c>
      <c r="BR288">
        <f>装备!CE39</f>
        <v>0</v>
      </c>
      <c r="BS288">
        <f>装备!CF39</f>
        <v>0</v>
      </c>
      <c r="BT288">
        <f>装备!CG39</f>
        <v>0</v>
      </c>
      <c r="BU288">
        <f>装备!CH39</f>
        <v>0</v>
      </c>
      <c r="BV288">
        <f>装备!CI39</f>
        <v>0</v>
      </c>
      <c r="BW288">
        <f>装备!CJ39</f>
        <v>0</v>
      </c>
      <c r="BX288">
        <f>装备!CK39</f>
        <v>0</v>
      </c>
      <c r="BY288">
        <f>装备!CL39</f>
        <v>0</v>
      </c>
      <c r="BZ288">
        <f>装备!CM39</f>
        <v>0</v>
      </c>
      <c r="CA288" t="str">
        <f t="shared" si="62"/>
        <v>InitUnitStateUpUp('E112',0,0,0,0,0,0,0,0,0,0)</v>
      </c>
      <c r="CB288" t="str">
        <f t="shared" si="63"/>
        <v>InitUnitState('E112',0,16400,0,0,0,0,0,0,0,0)</v>
      </c>
      <c r="CC288" t="str">
        <f t="shared" si="64"/>
        <v>InitUnitNormal('E112',0,0,0,0,0,0,6,0,0,0)</v>
      </c>
      <c r="CD288" t="str">
        <f t="shared" si="65"/>
        <v>InitUnitMagic('E112',0,0,0,0,9,0,0,0,0,0)</v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装备!B40</f>
        <v>E113</v>
      </c>
      <c r="B289">
        <f>装备!A40</f>
        <v>0</v>
      </c>
      <c r="C289">
        <f>装备!V40</f>
        <v>0</v>
      </c>
      <c r="D289">
        <f>装备!W40</f>
        <v>18600</v>
      </c>
      <c r="E289">
        <f>装备!X40</f>
        <v>0</v>
      </c>
      <c r="F289">
        <f>装备!Y40</f>
        <v>0</v>
      </c>
      <c r="G289">
        <f>装备!Z40</f>
        <v>0</v>
      </c>
      <c r="H289">
        <f>装备!AA40</f>
        <v>0</v>
      </c>
      <c r="I289">
        <f>装备!AB40</f>
        <v>0</v>
      </c>
      <c r="J289">
        <f>装备!AC40</f>
        <v>0</v>
      </c>
      <c r="K289">
        <f>装备!AD40</f>
        <v>0</v>
      </c>
      <c r="L289">
        <f>装备!AE40</f>
        <v>0</v>
      </c>
      <c r="M289" t="str">
        <f t="shared" si="56"/>
        <v>InitUnitState('E113',0,18600,0,0,0,0,0,0,0,0)</v>
      </c>
      <c r="N289">
        <f>装备!AF40</f>
        <v>0</v>
      </c>
      <c r="O289">
        <f>装备!AG40</f>
        <v>0</v>
      </c>
      <c r="P289">
        <f>装备!AH40</f>
        <v>0</v>
      </c>
      <c r="Q289">
        <f>装备!AI40</f>
        <v>0</v>
      </c>
      <c r="R289">
        <f>装备!AJ40</f>
        <v>0</v>
      </c>
      <c r="S289">
        <f>装备!AK40</f>
        <v>0</v>
      </c>
      <c r="T289">
        <f>装备!AL40</f>
        <v>6</v>
      </c>
      <c r="U289">
        <f>装备!AM40</f>
        <v>0</v>
      </c>
      <c r="V289">
        <f>装备!AN40</f>
        <v>0</v>
      </c>
      <c r="W289">
        <f>装备!AO40</f>
        <v>0</v>
      </c>
      <c r="X289" t="str">
        <f t="shared" si="57"/>
        <v>InitUnitNormal('E113',0,0,0,0,0,0,6,0,0,0)</v>
      </c>
      <c r="Y289">
        <f>装备!AP40</f>
        <v>0</v>
      </c>
      <c r="Z289">
        <f>装备!AQ40</f>
        <v>0</v>
      </c>
      <c r="AA289">
        <f>装备!AR40</f>
        <v>0</v>
      </c>
      <c r="AB289">
        <f>装备!AS40</f>
        <v>0</v>
      </c>
      <c r="AC289">
        <f>装备!AT40</f>
        <v>9</v>
      </c>
      <c r="AD289">
        <f>装备!AU40</f>
        <v>0</v>
      </c>
      <c r="AE289">
        <f>装备!AV40</f>
        <v>0</v>
      </c>
      <c r="AF289">
        <f>装备!AW40</f>
        <v>0</v>
      </c>
      <c r="AG289">
        <f>装备!AX40</f>
        <v>0</v>
      </c>
      <c r="AH289">
        <f>装备!AY40</f>
        <v>0</v>
      </c>
      <c r="AI289" t="str">
        <f t="shared" si="58"/>
        <v>InitUnitMagic('E113',0,0,0,0,9,0,0,0,0,0)</v>
      </c>
      <c r="AJ289">
        <f>装备!AZ40</f>
        <v>0</v>
      </c>
      <c r="AK289">
        <f>装备!BA40</f>
        <v>0</v>
      </c>
      <c r="AL289">
        <f>装备!BB40</f>
        <v>0</v>
      </c>
      <c r="AM289">
        <f>装备!BC40</f>
        <v>0</v>
      </c>
      <c r="AN289">
        <f>装备!BD40</f>
        <v>0</v>
      </c>
      <c r="AO289">
        <f>装备!BE40</f>
        <v>0</v>
      </c>
      <c r="AP289">
        <f>装备!BF40</f>
        <v>0</v>
      </c>
      <c r="AQ289">
        <f>装备!BG40</f>
        <v>0</v>
      </c>
      <c r="AR289">
        <f>装备!BH40</f>
        <v>0</v>
      </c>
      <c r="AS289">
        <f>装备!BI40</f>
        <v>0</v>
      </c>
      <c r="AT289" t="str">
        <f t="shared" si="59"/>
        <v>InitUnitAdd('E113',0,0,0,0,0,0,0,0,0,0)</v>
      </c>
      <c r="AU289">
        <f>装备!BJ40</f>
        <v>0</v>
      </c>
      <c r="AV289">
        <f>装备!BK40</f>
        <v>0</v>
      </c>
      <c r="AW289">
        <f>装备!BL40</f>
        <v>0</v>
      </c>
      <c r="AX289">
        <f>装备!BM40</f>
        <v>0</v>
      </c>
      <c r="AY289">
        <f>装备!BN40</f>
        <v>0</v>
      </c>
      <c r="AZ289">
        <f>装备!BO40</f>
        <v>0</v>
      </c>
      <c r="BA289">
        <f>装备!BP40</f>
        <v>0</v>
      </c>
      <c r="BB289">
        <f>装备!BQ40</f>
        <v>0</v>
      </c>
      <c r="BC289">
        <f>装备!BR40</f>
        <v>0</v>
      </c>
      <c r="BD289">
        <f>装备!BS40</f>
        <v>0</v>
      </c>
      <c r="BE289" t="str">
        <f t="shared" si="60"/>
        <v>InitUnitStateTime('E113',0,0,0,0,0,0,0,0,0,0)</v>
      </c>
      <c r="BF289">
        <f>装备!BT40</f>
        <v>0</v>
      </c>
      <c r="BG289">
        <f>装备!BU40</f>
        <v>0</v>
      </c>
      <c r="BH289">
        <f>装备!BV40</f>
        <v>0</v>
      </c>
      <c r="BI289">
        <f>装备!BW40</f>
        <v>0</v>
      </c>
      <c r="BJ289">
        <f>装备!BX40</f>
        <v>0</v>
      </c>
      <c r="BK289">
        <f>装备!BY40</f>
        <v>0</v>
      </c>
      <c r="BL289">
        <f>装备!BZ40</f>
        <v>0</v>
      </c>
      <c r="BM289">
        <f>装备!CA40</f>
        <v>0</v>
      </c>
      <c r="BN289">
        <f>装备!CB40</f>
        <v>0</v>
      </c>
      <c r="BO289">
        <f>装备!CC40</f>
        <v>0</v>
      </c>
      <c r="BP289" t="str">
        <f t="shared" si="61"/>
        <v>InitUnitStateAttack('E113',0,0,0,0,0,0,0,0,0,0)</v>
      </c>
      <c r="BQ289">
        <f>装备!CD40</f>
        <v>0</v>
      </c>
      <c r="BR289">
        <f>装备!CE40</f>
        <v>0</v>
      </c>
      <c r="BS289">
        <f>装备!CF40</f>
        <v>0</v>
      </c>
      <c r="BT289">
        <f>装备!CG40</f>
        <v>0</v>
      </c>
      <c r="BU289">
        <f>装备!CH40</f>
        <v>0</v>
      </c>
      <c r="BV289">
        <f>装备!CI40</f>
        <v>0</v>
      </c>
      <c r="BW289">
        <f>装备!CJ40</f>
        <v>0</v>
      </c>
      <c r="BX289">
        <f>装备!CK40</f>
        <v>0</v>
      </c>
      <c r="BY289">
        <f>装备!CL40</f>
        <v>0</v>
      </c>
      <c r="BZ289">
        <f>装备!CM40</f>
        <v>0</v>
      </c>
      <c r="CA289" t="str">
        <f t="shared" si="62"/>
        <v>InitUnitStateUpUp('E113',0,0,0,0,0,0,0,0,0,0)</v>
      </c>
      <c r="CB289" t="str">
        <f t="shared" si="63"/>
        <v>InitUnitState('E113',0,18600,0,0,0,0,0,0,0,0)</v>
      </c>
      <c r="CC289" t="str">
        <f t="shared" si="64"/>
        <v>InitUnitNormal('E113',0,0,0,0,0,0,6,0,0,0)</v>
      </c>
      <c r="CD289" t="str">
        <f t="shared" si="65"/>
        <v>InitUnitMagic('E113',0,0,0,0,9,0,0,0,0,0)</v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装备!B42</f>
        <v>E115</v>
      </c>
      <c r="B290">
        <f>装备!A42</f>
        <v>0</v>
      </c>
      <c r="C290">
        <f>装备!V42</f>
        <v>0</v>
      </c>
      <c r="D290">
        <f>装备!W42</f>
        <v>23000</v>
      </c>
      <c r="E290">
        <f>装备!X42</f>
        <v>0</v>
      </c>
      <c r="F290">
        <f>装备!Y42</f>
        <v>0</v>
      </c>
      <c r="G290">
        <f>装备!Z42</f>
        <v>0</v>
      </c>
      <c r="H290">
        <f>装备!AA42</f>
        <v>0</v>
      </c>
      <c r="I290">
        <f>装备!AB42</f>
        <v>0</v>
      </c>
      <c r="J290">
        <f>装备!AC42</f>
        <v>0</v>
      </c>
      <c r="K290">
        <f>装备!AD42</f>
        <v>0</v>
      </c>
      <c r="L290">
        <f>装备!AE42</f>
        <v>0</v>
      </c>
      <c r="M290" t="str">
        <f t="shared" si="56"/>
        <v>InitUnitState('E115',0,23000,0,0,0,0,0,0,0,0)</v>
      </c>
      <c r="N290">
        <f>装备!AF42</f>
        <v>0</v>
      </c>
      <c r="O290">
        <f>装备!AG42</f>
        <v>0</v>
      </c>
      <c r="P290">
        <f>装备!AH42</f>
        <v>0</v>
      </c>
      <c r="Q290">
        <f>装备!AI42</f>
        <v>0</v>
      </c>
      <c r="R290">
        <f>装备!AJ42</f>
        <v>0</v>
      </c>
      <c r="S290">
        <f>装备!AK42</f>
        <v>0</v>
      </c>
      <c r="T290">
        <f>装备!AL42</f>
        <v>6</v>
      </c>
      <c r="U290">
        <f>装备!AM42</f>
        <v>0</v>
      </c>
      <c r="V290">
        <f>装备!AN42</f>
        <v>0</v>
      </c>
      <c r="W290">
        <f>装备!AO42</f>
        <v>0</v>
      </c>
      <c r="X290" t="str">
        <f t="shared" si="57"/>
        <v>InitUnitNormal('E115',0,0,0,0,0,0,6,0,0,0)</v>
      </c>
      <c r="Y290">
        <f>装备!AP42</f>
        <v>0</v>
      </c>
      <c r="Z290">
        <f>装备!AQ42</f>
        <v>0</v>
      </c>
      <c r="AA290">
        <f>装备!AR42</f>
        <v>0</v>
      </c>
      <c r="AB290">
        <f>装备!AS42</f>
        <v>0</v>
      </c>
      <c r="AC290">
        <f>装备!AT42</f>
        <v>9</v>
      </c>
      <c r="AD290">
        <f>装备!AU42</f>
        <v>0</v>
      </c>
      <c r="AE290">
        <f>装备!AV42</f>
        <v>0</v>
      </c>
      <c r="AF290">
        <f>装备!AW42</f>
        <v>0</v>
      </c>
      <c r="AG290">
        <f>装备!AX42</f>
        <v>0</v>
      </c>
      <c r="AH290">
        <f>装备!AY42</f>
        <v>0</v>
      </c>
      <c r="AI290" t="str">
        <f t="shared" si="58"/>
        <v>InitUnitMagic('E115',0,0,0,0,9,0,0,0,0,0)</v>
      </c>
      <c r="AJ290">
        <f>装备!AZ42</f>
        <v>0</v>
      </c>
      <c r="AK290">
        <f>装备!BA42</f>
        <v>0</v>
      </c>
      <c r="AL290">
        <f>装备!BB42</f>
        <v>0</v>
      </c>
      <c r="AM290">
        <f>装备!BC42</f>
        <v>0</v>
      </c>
      <c r="AN290">
        <f>装备!BD42</f>
        <v>0</v>
      </c>
      <c r="AO290">
        <f>装备!BE42</f>
        <v>0</v>
      </c>
      <c r="AP290">
        <f>装备!BF42</f>
        <v>0</v>
      </c>
      <c r="AQ290">
        <f>装备!BG42</f>
        <v>0</v>
      </c>
      <c r="AR290">
        <f>装备!BH42</f>
        <v>0</v>
      </c>
      <c r="AS290">
        <f>装备!BI42</f>
        <v>0</v>
      </c>
      <c r="AT290" t="str">
        <f t="shared" si="59"/>
        <v>InitUnitAdd('E115',0,0,0,0,0,0,0,0,0,0)</v>
      </c>
      <c r="AU290">
        <f>装备!BJ42</f>
        <v>0</v>
      </c>
      <c r="AV290">
        <f>装备!BK42</f>
        <v>0</v>
      </c>
      <c r="AW290">
        <f>装备!BL42</f>
        <v>0</v>
      </c>
      <c r="AX290">
        <f>装备!BM42</f>
        <v>0</v>
      </c>
      <c r="AY290">
        <f>装备!BN42</f>
        <v>0</v>
      </c>
      <c r="AZ290">
        <f>装备!BO42</f>
        <v>0</v>
      </c>
      <c r="BA290">
        <f>装备!BP42</f>
        <v>0</v>
      </c>
      <c r="BB290">
        <f>装备!BQ42</f>
        <v>0</v>
      </c>
      <c r="BC290">
        <f>装备!BR42</f>
        <v>0</v>
      </c>
      <c r="BD290">
        <f>装备!BS42</f>
        <v>0</v>
      </c>
      <c r="BE290" t="str">
        <f t="shared" si="60"/>
        <v>InitUnitStateTime('E115',0,0,0,0,0,0,0,0,0,0)</v>
      </c>
      <c r="BF290">
        <f>装备!BT42</f>
        <v>0</v>
      </c>
      <c r="BG290">
        <f>装备!BU42</f>
        <v>0</v>
      </c>
      <c r="BH290">
        <f>装备!BV42</f>
        <v>0</v>
      </c>
      <c r="BI290">
        <f>装备!BW42</f>
        <v>0</v>
      </c>
      <c r="BJ290">
        <f>装备!BX42</f>
        <v>0</v>
      </c>
      <c r="BK290">
        <f>装备!BY42</f>
        <v>0</v>
      </c>
      <c r="BL290">
        <f>装备!BZ42</f>
        <v>0</v>
      </c>
      <c r="BM290">
        <f>装备!CA42</f>
        <v>0</v>
      </c>
      <c r="BN290">
        <f>装备!CB42</f>
        <v>0</v>
      </c>
      <c r="BO290">
        <f>装备!CC42</f>
        <v>0</v>
      </c>
      <c r="BP290" t="str">
        <f t="shared" si="61"/>
        <v>InitUnitStateAttack('E115',0,0,0,0,0,0,0,0,0,0)</v>
      </c>
      <c r="BQ290">
        <f>装备!CD42</f>
        <v>0</v>
      </c>
      <c r="BR290">
        <f>装备!CE42</f>
        <v>0</v>
      </c>
      <c r="BS290">
        <f>装备!CF42</f>
        <v>0</v>
      </c>
      <c r="BT290">
        <f>装备!CG42</f>
        <v>0</v>
      </c>
      <c r="BU290">
        <f>装备!CH42</f>
        <v>0</v>
      </c>
      <c r="BV290">
        <f>装备!CI42</f>
        <v>0</v>
      </c>
      <c r="BW290">
        <f>装备!CJ42</f>
        <v>0</v>
      </c>
      <c r="BX290">
        <f>装备!CK42</f>
        <v>0</v>
      </c>
      <c r="BY290">
        <f>装备!CL42</f>
        <v>0</v>
      </c>
      <c r="BZ290">
        <f>装备!CM42</f>
        <v>0</v>
      </c>
      <c r="CA290" t="str">
        <f t="shared" si="62"/>
        <v>InitUnitStateUpUp('E115',0,0,0,0,0,0,0,0,0,0)</v>
      </c>
      <c r="CB290" t="str">
        <f t="shared" si="63"/>
        <v>InitUnitState('E115',0,23000,0,0,0,0,0,0,0,0)</v>
      </c>
      <c r="CC290" t="str">
        <f t="shared" si="64"/>
        <v>InitUnitNormal('E115',0,0,0,0,0,0,6,0,0,0)</v>
      </c>
      <c r="CD290" t="str">
        <f t="shared" si="65"/>
        <v>InitUnitMagic('E115',0,0,0,0,9,0,0,0,0,0)</v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装备!B43</f>
        <v>E116</v>
      </c>
      <c r="B291">
        <f>装备!A43</f>
        <v>0</v>
      </c>
      <c r="C291">
        <f>装备!V43</f>
        <v>0</v>
      </c>
      <c r="D291">
        <f>装备!W43</f>
        <v>27400</v>
      </c>
      <c r="E291">
        <f>装备!X43</f>
        <v>0</v>
      </c>
      <c r="F291">
        <f>装备!Y43</f>
        <v>0</v>
      </c>
      <c r="G291">
        <f>装备!Z43</f>
        <v>0</v>
      </c>
      <c r="H291">
        <f>装备!AA43</f>
        <v>0</v>
      </c>
      <c r="I291">
        <f>装备!AB43</f>
        <v>0</v>
      </c>
      <c r="J291">
        <f>装备!AC43</f>
        <v>0</v>
      </c>
      <c r="K291">
        <f>装备!AD43</f>
        <v>0</v>
      </c>
      <c r="L291">
        <f>装备!AE43</f>
        <v>0</v>
      </c>
      <c r="M291" t="str">
        <f t="shared" si="56"/>
        <v>InitUnitState('E116',0,27400,0,0,0,0,0,0,0,0)</v>
      </c>
      <c r="N291">
        <f>装备!AF43</f>
        <v>0</v>
      </c>
      <c r="O291">
        <f>装备!AG43</f>
        <v>0</v>
      </c>
      <c r="P291">
        <f>装备!AH43</f>
        <v>0</v>
      </c>
      <c r="Q291">
        <f>装备!AI43</f>
        <v>0</v>
      </c>
      <c r="R291">
        <f>装备!AJ43</f>
        <v>0</v>
      </c>
      <c r="S291">
        <f>装备!AK43</f>
        <v>0</v>
      </c>
      <c r="T291">
        <f>装备!AL43</f>
        <v>9</v>
      </c>
      <c r="U291">
        <f>装备!AM43</f>
        <v>0</v>
      </c>
      <c r="V291">
        <f>装备!AN43</f>
        <v>0</v>
      </c>
      <c r="W291">
        <f>装备!AO43</f>
        <v>0</v>
      </c>
      <c r="X291" t="str">
        <f t="shared" si="57"/>
        <v>InitUnitNormal('E116',0,0,0,0,0,0,9,0,0,0)</v>
      </c>
      <c r="Y291">
        <f>装备!AP43</f>
        <v>0</v>
      </c>
      <c r="Z291">
        <f>装备!AQ43</f>
        <v>0</v>
      </c>
      <c r="AA291">
        <f>装备!AR43</f>
        <v>0</v>
      </c>
      <c r="AB291">
        <f>装备!AS43</f>
        <v>0</v>
      </c>
      <c r="AC291">
        <f>装备!AT43</f>
        <v>12</v>
      </c>
      <c r="AD291">
        <f>装备!AU43</f>
        <v>0</v>
      </c>
      <c r="AE291">
        <f>装备!AV43</f>
        <v>0</v>
      </c>
      <c r="AF291">
        <f>装备!AW43</f>
        <v>0</v>
      </c>
      <c r="AG291">
        <f>装备!AX43</f>
        <v>0</v>
      </c>
      <c r="AH291">
        <f>装备!AY43</f>
        <v>0</v>
      </c>
      <c r="AI291" t="str">
        <f t="shared" si="58"/>
        <v>InitUnitMagic('E116',0,0,0,0,12,0,0,0,0,0)</v>
      </c>
      <c r="AJ291">
        <f>装备!AZ43</f>
        <v>0</v>
      </c>
      <c r="AK291">
        <f>装备!BA43</f>
        <v>0</v>
      </c>
      <c r="AL291">
        <f>装备!BB43</f>
        <v>0</v>
      </c>
      <c r="AM291">
        <f>装备!BC43</f>
        <v>0</v>
      </c>
      <c r="AN291">
        <f>装备!BD43</f>
        <v>0</v>
      </c>
      <c r="AO291">
        <f>装备!BE43</f>
        <v>0</v>
      </c>
      <c r="AP291">
        <f>装备!BF43</f>
        <v>0</v>
      </c>
      <c r="AQ291">
        <f>装备!BG43</f>
        <v>0</v>
      </c>
      <c r="AR291">
        <f>装备!BH43</f>
        <v>0</v>
      </c>
      <c r="AS291">
        <f>装备!BI43</f>
        <v>0</v>
      </c>
      <c r="AT291" t="str">
        <f t="shared" si="59"/>
        <v>InitUnitAdd('E116',0,0,0,0,0,0,0,0,0,0)</v>
      </c>
      <c r="AU291">
        <f>装备!BJ43</f>
        <v>0</v>
      </c>
      <c r="AV291">
        <f>装备!BK43</f>
        <v>0</v>
      </c>
      <c r="AW291">
        <f>装备!BL43</f>
        <v>0</v>
      </c>
      <c r="AX291">
        <f>装备!BM43</f>
        <v>0</v>
      </c>
      <c r="AY291">
        <f>装备!BN43</f>
        <v>0</v>
      </c>
      <c r="AZ291">
        <f>装备!BO43</f>
        <v>0</v>
      </c>
      <c r="BA291">
        <f>装备!BP43</f>
        <v>0</v>
      </c>
      <c r="BB291">
        <f>装备!BQ43</f>
        <v>0</v>
      </c>
      <c r="BC291">
        <f>装备!BR43</f>
        <v>0</v>
      </c>
      <c r="BD291">
        <f>装备!BS43</f>
        <v>0</v>
      </c>
      <c r="BE291" t="str">
        <f t="shared" si="60"/>
        <v>InitUnitStateTime('E116',0,0,0,0,0,0,0,0,0,0)</v>
      </c>
      <c r="BF291">
        <f>装备!BT43</f>
        <v>0</v>
      </c>
      <c r="BG291">
        <f>装备!BU43</f>
        <v>0</v>
      </c>
      <c r="BH291">
        <f>装备!BV43</f>
        <v>0</v>
      </c>
      <c r="BI291">
        <f>装备!BW43</f>
        <v>0</v>
      </c>
      <c r="BJ291">
        <f>装备!BX43</f>
        <v>0</v>
      </c>
      <c r="BK291">
        <f>装备!BY43</f>
        <v>0</v>
      </c>
      <c r="BL291">
        <f>装备!BZ43</f>
        <v>0</v>
      </c>
      <c r="BM291">
        <f>装备!CA43</f>
        <v>0</v>
      </c>
      <c r="BN291">
        <f>装备!CB43</f>
        <v>0</v>
      </c>
      <c r="BO291">
        <f>装备!CC43</f>
        <v>0</v>
      </c>
      <c r="BP291" t="str">
        <f t="shared" si="61"/>
        <v>InitUnitStateAttack('E116',0,0,0,0,0,0,0,0,0,0)</v>
      </c>
      <c r="BQ291">
        <f>装备!CD43</f>
        <v>0</v>
      </c>
      <c r="BR291">
        <f>装备!CE43</f>
        <v>0</v>
      </c>
      <c r="BS291">
        <f>装备!CF43</f>
        <v>0</v>
      </c>
      <c r="BT291">
        <f>装备!CG43</f>
        <v>0</v>
      </c>
      <c r="BU291">
        <f>装备!CH43</f>
        <v>0</v>
      </c>
      <c r="BV291">
        <f>装备!CI43</f>
        <v>0</v>
      </c>
      <c r="BW291">
        <f>装备!CJ43</f>
        <v>0</v>
      </c>
      <c r="BX291">
        <f>装备!CK43</f>
        <v>0</v>
      </c>
      <c r="BY291">
        <f>装备!CL43</f>
        <v>0</v>
      </c>
      <c r="BZ291">
        <f>装备!CM43</f>
        <v>0</v>
      </c>
      <c r="CA291" t="str">
        <f t="shared" si="62"/>
        <v>InitUnitStateUpUp('E116',0,0,0,0,0,0,0,0,0,0)</v>
      </c>
      <c r="CB291" t="str">
        <f t="shared" si="63"/>
        <v>InitUnitState('E116',0,27400,0,0,0,0,0,0,0,0)</v>
      </c>
      <c r="CC291" t="str">
        <f t="shared" si="64"/>
        <v>InitUnitNormal('E116',0,0,0,0,0,0,9,0,0,0)</v>
      </c>
      <c r="CD291" t="str">
        <f t="shared" si="65"/>
        <v>InitUnitMagic('E116',0,0,0,0,12,0,0,0,0,0)</v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装备!B44</f>
        <v>E117</v>
      </c>
      <c r="B292">
        <f>装备!A44</f>
        <v>0</v>
      </c>
      <c r="C292">
        <f>装备!V44</f>
        <v>0</v>
      </c>
      <c r="D292">
        <f>装备!W44</f>
        <v>31800</v>
      </c>
      <c r="E292">
        <f>装备!X44</f>
        <v>0</v>
      </c>
      <c r="F292">
        <f>装备!Y44</f>
        <v>0</v>
      </c>
      <c r="G292">
        <f>装备!Z44</f>
        <v>0</v>
      </c>
      <c r="H292">
        <f>装备!AA44</f>
        <v>0</v>
      </c>
      <c r="I292">
        <f>装备!AB44</f>
        <v>0</v>
      </c>
      <c r="J292">
        <f>装备!AC44</f>
        <v>0</v>
      </c>
      <c r="K292">
        <f>装备!AD44</f>
        <v>0</v>
      </c>
      <c r="L292">
        <f>装备!AE44</f>
        <v>0</v>
      </c>
      <c r="M292" t="str">
        <f t="shared" si="56"/>
        <v>InitUnitState('E117',0,31800,0,0,0,0,0,0,0,0)</v>
      </c>
      <c r="N292">
        <f>装备!AF44</f>
        <v>0</v>
      </c>
      <c r="O292">
        <f>装备!AG44</f>
        <v>0</v>
      </c>
      <c r="P292">
        <f>装备!AH44</f>
        <v>0</v>
      </c>
      <c r="Q292">
        <f>装备!AI44</f>
        <v>0</v>
      </c>
      <c r="R292">
        <f>装备!AJ44</f>
        <v>0</v>
      </c>
      <c r="S292">
        <f>装备!AK44</f>
        <v>0</v>
      </c>
      <c r="T292">
        <f>装备!AL44</f>
        <v>9</v>
      </c>
      <c r="U292">
        <f>装备!AM44</f>
        <v>0</v>
      </c>
      <c r="V292">
        <f>装备!AN44</f>
        <v>0</v>
      </c>
      <c r="W292">
        <f>装备!AO44</f>
        <v>0</v>
      </c>
      <c r="X292" t="str">
        <f t="shared" si="57"/>
        <v>InitUnitNormal('E117',0,0,0,0,0,0,9,0,0,0)</v>
      </c>
      <c r="Y292">
        <f>装备!AP44</f>
        <v>0</v>
      </c>
      <c r="Z292">
        <f>装备!AQ44</f>
        <v>0</v>
      </c>
      <c r="AA292">
        <f>装备!AR44</f>
        <v>0</v>
      </c>
      <c r="AB292">
        <f>装备!AS44</f>
        <v>0</v>
      </c>
      <c r="AC292">
        <f>装备!AT44</f>
        <v>12</v>
      </c>
      <c r="AD292">
        <f>装备!AU44</f>
        <v>0</v>
      </c>
      <c r="AE292">
        <f>装备!AV44</f>
        <v>0</v>
      </c>
      <c r="AF292">
        <f>装备!AW44</f>
        <v>0</v>
      </c>
      <c r="AG292">
        <f>装备!AX44</f>
        <v>0</v>
      </c>
      <c r="AH292">
        <f>装备!AY44</f>
        <v>0</v>
      </c>
      <c r="AI292" t="str">
        <f t="shared" si="58"/>
        <v>InitUnitMagic('E117',0,0,0,0,12,0,0,0,0,0)</v>
      </c>
      <c r="AJ292">
        <f>装备!AZ44</f>
        <v>0</v>
      </c>
      <c r="AK292">
        <f>装备!BA44</f>
        <v>0</v>
      </c>
      <c r="AL292">
        <f>装备!BB44</f>
        <v>0</v>
      </c>
      <c r="AM292">
        <f>装备!BC44</f>
        <v>0</v>
      </c>
      <c r="AN292">
        <f>装备!BD44</f>
        <v>0</v>
      </c>
      <c r="AO292">
        <f>装备!BE44</f>
        <v>0</v>
      </c>
      <c r="AP292">
        <f>装备!BF44</f>
        <v>0</v>
      </c>
      <c r="AQ292">
        <f>装备!BG44</f>
        <v>0</v>
      </c>
      <c r="AR292">
        <f>装备!BH44</f>
        <v>0</v>
      </c>
      <c r="AS292">
        <f>装备!BI44</f>
        <v>0</v>
      </c>
      <c r="AT292" t="str">
        <f t="shared" si="59"/>
        <v>InitUnitAdd('E117',0,0,0,0,0,0,0,0,0,0)</v>
      </c>
      <c r="AU292">
        <f>装备!BJ44</f>
        <v>0</v>
      </c>
      <c r="AV292">
        <f>装备!BK44</f>
        <v>0</v>
      </c>
      <c r="AW292">
        <f>装备!BL44</f>
        <v>0</v>
      </c>
      <c r="AX292">
        <f>装备!BM44</f>
        <v>0</v>
      </c>
      <c r="AY292">
        <f>装备!BN44</f>
        <v>0</v>
      </c>
      <c r="AZ292">
        <f>装备!BO44</f>
        <v>0</v>
      </c>
      <c r="BA292">
        <f>装备!BP44</f>
        <v>0</v>
      </c>
      <c r="BB292">
        <f>装备!BQ44</f>
        <v>0</v>
      </c>
      <c r="BC292">
        <f>装备!BR44</f>
        <v>0</v>
      </c>
      <c r="BD292">
        <f>装备!BS44</f>
        <v>0</v>
      </c>
      <c r="BE292" t="str">
        <f t="shared" si="60"/>
        <v>InitUnitStateTime('E117',0,0,0,0,0,0,0,0,0,0)</v>
      </c>
      <c r="BF292">
        <f>装备!BT44</f>
        <v>0</v>
      </c>
      <c r="BG292">
        <f>装备!BU44</f>
        <v>0</v>
      </c>
      <c r="BH292">
        <f>装备!BV44</f>
        <v>0</v>
      </c>
      <c r="BI292">
        <f>装备!BW44</f>
        <v>0</v>
      </c>
      <c r="BJ292">
        <f>装备!BX44</f>
        <v>0</v>
      </c>
      <c r="BK292">
        <f>装备!BY44</f>
        <v>0</v>
      </c>
      <c r="BL292">
        <f>装备!BZ44</f>
        <v>0</v>
      </c>
      <c r="BM292">
        <f>装备!CA44</f>
        <v>0</v>
      </c>
      <c r="BN292">
        <f>装备!CB44</f>
        <v>0</v>
      </c>
      <c r="BO292">
        <f>装备!CC44</f>
        <v>0</v>
      </c>
      <c r="BP292" t="str">
        <f t="shared" si="61"/>
        <v>InitUnitStateAttack('E117',0,0,0,0,0,0,0,0,0,0)</v>
      </c>
      <c r="BQ292">
        <f>装备!CD44</f>
        <v>0</v>
      </c>
      <c r="BR292">
        <f>装备!CE44</f>
        <v>0</v>
      </c>
      <c r="BS292">
        <f>装备!CF44</f>
        <v>0</v>
      </c>
      <c r="BT292">
        <f>装备!CG44</f>
        <v>0</v>
      </c>
      <c r="BU292">
        <f>装备!CH44</f>
        <v>0</v>
      </c>
      <c r="BV292">
        <f>装备!CI44</f>
        <v>0</v>
      </c>
      <c r="BW292">
        <f>装备!CJ44</f>
        <v>0</v>
      </c>
      <c r="BX292">
        <f>装备!CK44</f>
        <v>0</v>
      </c>
      <c r="BY292">
        <f>装备!CL44</f>
        <v>0</v>
      </c>
      <c r="BZ292">
        <f>装备!CM44</f>
        <v>0</v>
      </c>
      <c r="CA292" t="str">
        <f t="shared" si="62"/>
        <v>InitUnitStateUpUp('E117',0,0,0,0,0,0,0,0,0,0)</v>
      </c>
      <c r="CB292" t="str">
        <f t="shared" si="63"/>
        <v>InitUnitState('E117',0,31800,0,0,0,0,0,0,0,0)</v>
      </c>
      <c r="CC292" t="str">
        <f t="shared" si="64"/>
        <v>InitUnitNormal('E117',0,0,0,0,0,0,9,0,0,0)</v>
      </c>
      <c r="CD292" t="str">
        <f t="shared" si="65"/>
        <v>InitUnitMagic('E117',0,0,0,0,12,0,0,0,0,0)</v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装备!B45</f>
        <v>E118</v>
      </c>
      <c r="B293">
        <f>装备!A45</f>
        <v>0</v>
      </c>
      <c r="C293">
        <f>装备!V45</f>
        <v>0</v>
      </c>
      <c r="D293">
        <f>装备!W45</f>
        <v>36200</v>
      </c>
      <c r="E293">
        <f>装备!X45</f>
        <v>0</v>
      </c>
      <c r="F293">
        <f>装备!Y45</f>
        <v>0</v>
      </c>
      <c r="G293">
        <f>装备!Z45</f>
        <v>0</v>
      </c>
      <c r="H293">
        <f>装备!AA45</f>
        <v>0</v>
      </c>
      <c r="I293">
        <f>装备!AB45</f>
        <v>0</v>
      </c>
      <c r="J293">
        <f>装备!AC45</f>
        <v>0</v>
      </c>
      <c r="K293">
        <f>装备!AD45</f>
        <v>0</v>
      </c>
      <c r="L293">
        <f>装备!AE45</f>
        <v>0</v>
      </c>
      <c r="M293" t="str">
        <f t="shared" si="56"/>
        <v>InitUnitState('E118',0,36200,0,0,0,0,0,0,0,0)</v>
      </c>
      <c r="N293">
        <f>装备!AF45</f>
        <v>0</v>
      </c>
      <c r="O293">
        <f>装备!AG45</f>
        <v>0</v>
      </c>
      <c r="P293">
        <f>装备!AH45</f>
        <v>0</v>
      </c>
      <c r="Q293">
        <f>装备!AI45</f>
        <v>0</v>
      </c>
      <c r="R293">
        <f>装备!AJ45</f>
        <v>0</v>
      </c>
      <c r="S293">
        <f>装备!AK45</f>
        <v>0</v>
      </c>
      <c r="T293">
        <f>装备!AL45</f>
        <v>9</v>
      </c>
      <c r="U293">
        <f>装备!AM45</f>
        <v>0</v>
      </c>
      <c r="V293">
        <f>装备!AN45</f>
        <v>0</v>
      </c>
      <c r="W293">
        <f>装备!AO45</f>
        <v>0</v>
      </c>
      <c r="X293" t="str">
        <f t="shared" si="57"/>
        <v>InitUnitNormal('E118',0,0,0,0,0,0,9,0,0,0)</v>
      </c>
      <c r="Y293">
        <f>装备!AP45</f>
        <v>0</v>
      </c>
      <c r="Z293">
        <f>装备!AQ45</f>
        <v>0</v>
      </c>
      <c r="AA293">
        <f>装备!AR45</f>
        <v>0</v>
      </c>
      <c r="AB293">
        <f>装备!AS45</f>
        <v>0</v>
      </c>
      <c r="AC293">
        <f>装备!AT45</f>
        <v>12</v>
      </c>
      <c r="AD293">
        <f>装备!AU45</f>
        <v>0</v>
      </c>
      <c r="AE293">
        <f>装备!AV45</f>
        <v>0</v>
      </c>
      <c r="AF293">
        <f>装备!AW45</f>
        <v>0</v>
      </c>
      <c r="AG293">
        <f>装备!AX45</f>
        <v>0</v>
      </c>
      <c r="AH293">
        <f>装备!AY45</f>
        <v>0</v>
      </c>
      <c r="AI293" t="str">
        <f t="shared" si="58"/>
        <v>InitUnitMagic('E118',0,0,0,0,12,0,0,0,0,0)</v>
      </c>
      <c r="AJ293">
        <f>装备!AZ45</f>
        <v>0</v>
      </c>
      <c r="AK293">
        <f>装备!BA45</f>
        <v>0</v>
      </c>
      <c r="AL293">
        <f>装备!BB45</f>
        <v>0</v>
      </c>
      <c r="AM293">
        <f>装备!BC45</f>
        <v>0</v>
      </c>
      <c r="AN293">
        <f>装备!BD45</f>
        <v>0</v>
      </c>
      <c r="AO293">
        <f>装备!BE45</f>
        <v>0</v>
      </c>
      <c r="AP293">
        <f>装备!BF45</f>
        <v>0</v>
      </c>
      <c r="AQ293">
        <f>装备!BG45</f>
        <v>0</v>
      </c>
      <c r="AR293">
        <f>装备!BH45</f>
        <v>0</v>
      </c>
      <c r="AS293">
        <f>装备!BI45</f>
        <v>0</v>
      </c>
      <c r="AT293" t="str">
        <f t="shared" si="59"/>
        <v>InitUnitAdd('E118',0,0,0,0,0,0,0,0,0,0)</v>
      </c>
      <c r="AU293">
        <f>装备!BJ45</f>
        <v>0</v>
      </c>
      <c r="AV293">
        <f>装备!BK45</f>
        <v>0</v>
      </c>
      <c r="AW293">
        <f>装备!BL45</f>
        <v>0</v>
      </c>
      <c r="AX293">
        <f>装备!BM45</f>
        <v>0</v>
      </c>
      <c r="AY293">
        <f>装备!BN45</f>
        <v>0</v>
      </c>
      <c r="AZ293">
        <f>装备!BO45</f>
        <v>0</v>
      </c>
      <c r="BA293">
        <f>装备!BP45</f>
        <v>0</v>
      </c>
      <c r="BB293">
        <f>装备!BQ45</f>
        <v>0</v>
      </c>
      <c r="BC293">
        <f>装备!BR45</f>
        <v>0</v>
      </c>
      <c r="BD293">
        <f>装备!BS45</f>
        <v>0</v>
      </c>
      <c r="BE293" t="str">
        <f t="shared" si="60"/>
        <v>InitUnitStateTime('E118',0,0,0,0,0,0,0,0,0,0)</v>
      </c>
      <c r="BF293">
        <f>装备!BT45</f>
        <v>0</v>
      </c>
      <c r="BG293">
        <f>装备!BU45</f>
        <v>0</v>
      </c>
      <c r="BH293">
        <f>装备!BV45</f>
        <v>0</v>
      </c>
      <c r="BI293">
        <f>装备!BW45</f>
        <v>0</v>
      </c>
      <c r="BJ293">
        <f>装备!BX45</f>
        <v>0</v>
      </c>
      <c r="BK293">
        <f>装备!BY45</f>
        <v>0</v>
      </c>
      <c r="BL293">
        <f>装备!BZ45</f>
        <v>0</v>
      </c>
      <c r="BM293">
        <f>装备!CA45</f>
        <v>0</v>
      </c>
      <c r="BN293">
        <f>装备!CB45</f>
        <v>0</v>
      </c>
      <c r="BO293">
        <f>装备!CC45</f>
        <v>0</v>
      </c>
      <c r="BP293" t="str">
        <f t="shared" si="61"/>
        <v>InitUnitStateAttack('E118',0,0,0,0,0,0,0,0,0,0)</v>
      </c>
      <c r="BQ293">
        <f>装备!CD45</f>
        <v>0</v>
      </c>
      <c r="BR293">
        <f>装备!CE45</f>
        <v>0</v>
      </c>
      <c r="BS293">
        <f>装备!CF45</f>
        <v>0</v>
      </c>
      <c r="BT293">
        <f>装备!CG45</f>
        <v>0</v>
      </c>
      <c r="BU293">
        <f>装备!CH45</f>
        <v>0</v>
      </c>
      <c r="BV293">
        <f>装备!CI45</f>
        <v>0</v>
      </c>
      <c r="BW293">
        <f>装备!CJ45</f>
        <v>0</v>
      </c>
      <c r="BX293">
        <f>装备!CK45</f>
        <v>0</v>
      </c>
      <c r="BY293">
        <f>装备!CL45</f>
        <v>0</v>
      </c>
      <c r="BZ293">
        <f>装备!CM45</f>
        <v>0</v>
      </c>
      <c r="CA293" t="str">
        <f t="shared" si="62"/>
        <v>InitUnitStateUpUp('E118',0,0,0,0,0,0,0,0,0,0)</v>
      </c>
      <c r="CB293" t="str">
        <f t="shared" si="63"/>
        <v>InitUnitState('E118',0,36200,0,0,0,0,0,0,0,0)</v>
      </c>
      <c r="CC293" t="str">
        <f t="shared" si="64"/>
        <v>InitUnitNormal('E118',0,0,0,0,0,0,9,0,0,0)</v>
      </c>
      <c r="CD293" t="str">
        <f t="shared" si="65"/>
        <v>InitUnitMagic('E118',0,0,0,0,12,0,0,0,0,0)</v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装备!B46</f>
        <v>E119</v>
      </c>
      <c r="B294">
        <f>装备!A46</f>
        <v>0</v>
      </c>
      <c r="C294">
        <f>装备!V46</f>
        <v>0</v>
      </c>
      <c r="D294">
        <f>装备!W46</f>
        <v>40600</v>
      </c>
      <c r="E294">
        <f>装备!X46</f>
        <v>0</v>
      </c>
      <c r="F294">
        <f>装备!Y46</f>
        <v>0</v>
      </c>
      <c r="G294">
        <f>装备!Z46</f>
        <v>0</v>
      </c>
      <c r="H294">
        <f>装备!AA46</f>
        <v>0</v>
      </c>
      <c r="I294">
        <f>装备!AB46</f>
        <v>0</v>
      </c>
      <c r="J294">
        <f>装备!AC46</f>
        <v>0</v>
      </c>
      <c r="K294">
        <f>装备!AD46</f>
        <v>0</v>
      </c>
      <c r="L294">
        <f>装备!AE46</f>
        <v>0</v>
      </c>
      <c r="M294" t="str">
        <f t="shared" si="56"/>
        <v>InitUnitState('E119',0,40600,0,0,0,0,0,0,0,0)</v>
      </c>
      <c r="N294">
        <f>装备!AF46</f>
        <v>0</v>
      </c>
      <c r="O294">
        <f>装备!AG46</f>
        <v>0</v>
      </c>
      <c r="P294">
        <f>装备!AH46</f>
        <v>0</v>
      </c>
      <c r="Q294">
        <f>装备!AI46</f>
        <v>0</v>
      </c>
      <c r="R294">
        <f>装备!AJ46</f>
        <v>0</v>
      </c>
      <c r="S294">
        <f>装备!AK46</f>
        <v>0</v>
      </c>
      <c r="T294">
        <f>装备!AL46</f>
        <v>9</v>
      </c>
      <c r="U294">
        <f>装备!AM46</f>
        <v>0</v>
      </c>
      <c r="V294">
        <f>装备!AN46</f>
        <v>0</v>
      </c>
      <c r="W294">
        <f>装备!AO46</f>
        <v>0</v>
      </c>
      <c r="X294" t="str">
        <f t="shared" si="57"/>
        <v>InitUnitNormal('E119',0,0,0,0,0,0,9,0,0,0)</v>
      </c>
      <c r="Y294">
        <f>装备!AP46</f>
        <v>0</v>
      </c>
      <c r="Z294">
        <f>装备!AQ46</f>
        <v>0</v>
      </c>
      <c r="AA294">
        <f>装备!AR46</f>
        <v>0</v>
      </c>
      <c r="AB294">
        <f>装备!AS46</f>
        <v>0</v>
      </c>
      <c r="AC294">
        <f>装备!AT46</f>
        <v>12</v>
      </c>
      <c r="AD294">
        <f>装备!AU46</f>
        <v>0</v>
      </c>
      <c r="AE294">
        <f>装备!AV46</f>
        <v>0</v>
      </c>
      <c r="AF294">
        <f>装备!AW46</f>
        <v>0</v>
      </c>
      <c r="AG294">
        <f>装备!AX46</f>
        <v>0</v>
      </c>
      <c r="AH294">
        <f>装备!AY46</f>
        <v>0</v>
      </c>
      <c r="AI294" t="str">
        <f t="shared" si="58"/>
        <v>InitUnitMagic('E119',0,0,0,0,12,0,0,0,0,0)</v>
      </c>
      <c r="AJ294">
        <f>装备!AZ46</f>
        <v>0</v>
      </c>
      <c r="AK294">
        <f>装备!BA46</f>
        <v>0</v>
      </c>
      <c r="AL294">
        <f>装备!BB46</f>
        <v>0</v>
      </c>
      <c r="AM294">
        <f>装备!BC46</f>
        <v>0</v>
      </c>
      <c r="AN294">
        <f>装备!BD46</f>
        <v>0</v>
      </c>
      <c r="AO294">
        <f>装备!BE46</f>
        <v>0</v>
      </c>
      <c r="AP294">
        <f>装备!BF46</f>
        <v>0</v>
      </c>
      <c r="AQ294">
        <f>装备!BG46</f>
        <v>0</v>
      </c>
      <c r="AR294">
        <f>装备!BH46</f>
        <v>0</v>
      </c>
      <c r="AS294">
        <f>装备!BI46</f>
        <v>0</v>
      </c>
      <c r="AT294" t="str">
        <f t="shared" si="59"/>
        <v>InitUnitAdd('E119',0,0,0,0,0,0,0,0,0,0)</v>
      </c>
      <c r="AU294">
        <f>装备!BJ46</f>
        <v>0</v>
      </c>
      <c r="AV294">
        <f>装备!BK46</f>
        <v>0</v>
      </c>
      <c r="AW294">
        <f>装备!BL46</f>
        <v>0</v>
      </c>
      <c r="AX294">
        <f>装备!BM46</f>
        <v>0</v>
      </c>
      <c r="AY294">
        <f>装备!BN46</f>
        <v>0</v>
      </c>
      <c r="AZ294">
        <f>装备!BO46</f>
        <v>0</v>
      </c>
      <c r="BA294">
        <f>装备!BP46</f>
        <v>0</v>
      </c>
      <c r="BB294">
        <f>装备!BQ46</f>
        <v>0</v>
      </c>
      <c r="BC294">
        <f>装备!BR46</f>
        <v>0</v>
      </c>
      <c r="BD294">
        <f>装备!BS46</f>
        <v>0</v>
      </c>
      <c r="BE294" t="str">
        <f t="shared" si="60"/>
        <v>InitUnitStateTime('E119',0,0,0,0,0,0,0,0,0,0)</v>
      </c>
      <c r="BF294">
        <f>装备!BT46</f>
        <v>0</v>
      </c>
      <c r="BG294">
        <f>装备!BU46</f>
        <v>0</v>
      </c>
      <c r="BH294">
        <f>装备!BV46</f>
        <v>0</v>
      </c>
      <c r="BI294">
        <f>装备!BW46</f>
        <v>0</v>
      </c>
      <c r="BJ294">
        <f>装备!BX46</f>
        <v>0</v>
      </c>
      <c r="BK294">
        <f>装备!BY46</f>
        <v>0</v>
      </c>
      <c r="BL294">
        <f>装备!BZ46</f>
        <v>0</v>
      </c>
      <c r="BM294">
        <f>装备!CA46</f>
        <v>0</v>
      </c>
      <c r="BN294">
        <f>装备!CB46</f>
        <v>0</v>
      </c>
      <c r="BO294">
        <f>装备!CC46</f>
        <v>0</v>
      </c>
      <c r="BP294" t="str">
        <f t="shared" si="61"/>
        <v>InitUnitStateAttack('E119',0,0,0,0,0,0,0,0,0,0)</v>
      </c>
      <c r="BQ294">
        <f>装备!CD46</f>
        <v>0</v>
      </c>
      <c r="BR294">
        <f>装备!CE46</f>
        <v>0</v>
      </c>
      <c r="BS294">
        <f>装备!CF46</f>
        <v>0</v>
      </c>
      <c r="BT294">
        <f>装备!CG46</f>
        <v>0</v>
      </c>
      <c r="BU294">
        <f>装备!CH46</f>
        <v>0</v>
      </c>
      <c r="BV294">
        <f>装备!CI46</f>
        <v>0</v>
      </c>
      <c r="BW294">
        <f>装备!CJ46</f>
        <v>0</v>
      </c>
      <c r="BX294">
        <f>装备!CK46</f>
        <v>0</v>
      </c>
      <c r="BY294">
        <f>装备!CL46</f>
        <v>0</v>
      </c>
      <c r="BZ294">
        <f>装备!CM46</f>
        <v>0</v>
      </c>
      <c r="CA294" t="str">
        <f t="shared" si="62"/>
        <v>InitUnitStateUpUp('E119',0,0,0,0,0,0,0,0,0,0)</v>
      </c>
      <c r="CB294" t="str">
        <f t="shared" si="63"/>
        <v>InitUnitState('E119',0,40600,0,0,0,0,0,0,0,0)</v>
      </c>
      <c r="CC294" t="str">
        <f t="shared" si="64"/>
        <v>InitUnitNormal('E119',0,0,0,0,0,0,9,0,0,0)</v>
      </c>
      <c r="CD294" t="str">
        <f t="shared" si="65"/>
        <v>InitUnitMagic('E119',0,0,0,0,12,0,0,0,0,0)</v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装备!B47</f>
        <v>E120</v>
      </c>
      <c r="B295">
        <f>装备!A47</f>
        <v>0</v>
      </c>
      <c r="C295">
        <f>装备!V47</f>
        <v>0</v>
      </c>
      <c r="D295">
        <f>装备!W47</f>
        <v>45000</v>
      </c>
      <c r="E295">
        <f>装备!X47</f>
        <v>0</v>
      </c>
      <c r="F295">
        <f>装备!Y47</f>
        <v>0</v>
      </c>
      <c r="G295">
        <f>装备!Z47</f>
        <v>0</v>
      </c>
      <c r="H295">
        <f>装备!AA47</f>
        <v>0</v>
      </c>
      <c r="I295">
        <f>装备!AB47</f>
        <v>0</v>
      </c>
      <c r="J295">
        <f>装备!AC47</f>
        <v>0</v>
      </c>
      <c r="K295">
        <f>装备!AD47</f>
        <v>0</v>
      </c>
      <c r="L295">
        <f>装备!AE47</f>
        <v>0</v>
      </c>
      <c r="M295" t="str">
        <f t="shared" si="56"/>
        <v>InitUnitState('E120',0,45000,0,0,0,0,0,0,0,0)</v>
      </c>
      <c r="N295">
        <f>装备!AF47</f>
        <v>0</v>
      </c>
      <c r="O295">
        <f>装备!AG47</f>
        <v>0</v>
      </c>
      <c r="P295">
        <f>装备!AH47</f>
        <v>0</v>
      </c>
      <c r="Q295">
        <f>装备!AI47</f>
        <v>0</v>
      </c>
      <c r="R295">
        <f>装备!AJ47</f>
        <v>0</v>
      </c>
      <c r="S295">
        <f>装备!AK47</f>
        <v>0</v>
      </c>
      <c r="T295">
        <f>装备!AL47</f>
        <v>9</v>
      </c>
      <c r="U295">
        <f>装备!AM47</f>
        <v>0</v>
      </c>
      <c r="V295">
        <f>装备!AN47</f>
        <v>0</v>
      </c>
      <c r="W295">
        <f>装备!AO47</f>
        <v>0</v>
      </c>
      <c r="X295" t="str">
        <f t="shared" si="57"/>
        <v>InitUnitNormal('E120',0,0,0,0,0,0,9,0,0,0)</v>
      </c>
      <c r="Y295">
        <f>装备!AP47</f>
        <v>0</v>
      </c>
      <c r="Z295">
        <f>装备!AQ47</f>
        <v>0</v>
      </c>
      <c r="AA295">
        <f>装备!AR47</f>
        <v>0</v>
      </c>
      <c r="AB295">
        <f>装备!AS47</f>
        <v>0</v>
      </c>
      <c r="AC295">
        <f>装备!AT47</f>
        <v>12</v>
      </c>
      <c r="AD295">
        <f>装备!AU47</f>
        <v>0</v>
      </c>
      <c r="AE295">
        <f>装备!AV47</f>
        <v>0</v>
      </c>
      <c r="AF295">
        <f>装备!AW47</f>
        <v>0</v>
      </c>
      <c r="AG295">
        <f>装备!AX47</f>
        <v>0</v>
      </c>
      <c r="AH295">
        <f>装备!AY47</f>
        <v>0</v>
      </c>
      <c r="AI295" t="str">
        <f t="shared" si="58"/>
        <v>InitUnitMagic('E120',0,0,0,0,12,0,0,0,0,0)</v>
      </c>
      <c r="AJ295">
        <f>装备!AZ47</f>
        <v>0</v>
      </c>
      <c r="AK295">
        <f>装备!BA47</f>
        <v>0</v>
      </c>
      <c r="AL295">
        <f>装备!BB47</f>
        <v>0</v>
      </c>
      <c r="AM295">
        <f>装备!BC47</f>
        <v>0</v>
      </c>
      <c r="AN295">
        <f>装备!BD47</f>
        <v>0</v>
      </c>
      <c r="AO295">
        <f>装备!BE47</f>
        <v>0</v>
      </c>
      <c r="AP295">
        <f>装备!BF47</f>
        <v>0</v>
      </c>
      <c r="AQ295">
        <f>装备!BG47</f>
        <v>0</v>
      </c>
      <c r="AR295">
        <f>装备!BH47</f>
        <v>0</v>
      </c>
      <c r="AS295">
        <f>装备!BI47</f>
        <v>0</v>
      </c>
      <c r="AT295" t="str">
        <f t="shared" si="59"/>
        <v>InitUnitAdd('E120',0,0,0,0,0,0,0,0,0,0)</v>
      </c>
      <c r="AU295">
        <f>装备!BJ47</f>
        <v>0</v>
      </c>
      <c r="AV295">
        <f>装备!BK47</f>
        <v>0</v>
      </c>
      <c r="AW295">
        <f>装备!BL47</f>
        <v>0</v>
      </c>
      <c r="AX295">
        <f>装备!BM47</f>
        <v>0</v>
      </c>
      <c r="AY295">
        <f>装备!BN47</f>
        <v>0</v>
      </c>
      <c r="AZ295">
        <f>装备!BO47</f>
        <v>0</v>
      </c>
      <c r="BA295">
        <f>装备!BP47</f>
        <v>0</v>
      </c>
      <c r="BB295">
        <f>装备!BQ47</f>
        <v>0</v>
      </c>
      <c r="BC295">
        <f>装备!BR47</f>
        <v>0</v>
      </c>
      <c r="BD295">
        <f>装备!BS47</f>
        <v>0</v>
      </c>
      <c r="BE295" t="str">
        <f t="shared" si="60"/>
        <v>InitUnitStateTime('E120',0,0,0,0,0,0,0,0,0,0)</v>
      </c>
      <c r="BF295">
        <f>装备!BT47</f>
        <v>0</v>
      </c>
      <c r="BG295">
        <f>装备!BU47</f>
        <v>0</v>
      </c>
      <c r="BH295">
        <f>装备!BV47</f>
        <v>0</v>
      </c>
      <c r="BI295">
        <f>装备!BW47</f>
        <v>0</v>
      </c>
      <c r="BJ295">
        <f>装备!BX47</f>
        <v>0</v>
      </c>
      <c r="BK295">
        <f>装备!BY47</f>
        <v>0</v>
      </c>
      <c r="BL295">
        <f>装备!BZ47</f>
        <v>0</v>
      </c>
      <c r="BM295">
        <f>装备!CA47</f>
        <v>0</v>
      </c>
      <c r="BN295">
        <f>装备!CB47</f>
        <v>0</v>
      </c>
      <c r="BO295">
        <f>装备!CC47</f>
        <v>0</v>
      </c>
      <c r="BP295" t="str">
        <f t="shared" si="61"/>
        <v>InitUnitStateAttack('E120',0,0,0,0,0,0,0,0,0,0)</v>
      </c>
      <c r="BQ295">
        <f>装备!CD47</f>
        <v>0</v>
      </c>
      <c r="BR295">
        <f>装备!CE47</f>
        <v>0</v>
      </c>
      <c r="BS295">
        <f>装备!CF47</f>
        <v>0</v>
      </c>
      <c r="BT295">
        <f>装备!CG47</f>
        <v>0</v>
      </c>
      <c r="BU295">
        <f>装备!CH47</f>
        <v>0</v>
      </c>
      <c r="BV295">
        <f>装备!CI47</f>
        <v>0</v>
      </c>
      <c r="BW295">
        <f>装备!CJ47</f>
        <v>0</v>
      </c>
      <c r="BX295">
        <f>装备!CK47</f>
        <v>0</v>
      </c>
      <c r="BY295">
        <f>装备!CL47</f>
        <v>0</v>
      </c>
      <c r="BZ295">
        <f>装备!CM47</f>
        <v>0</v>
      </c>
      <c r="CA295" t="str">
        <f t="shared" si="62"/>
        <v>InitUnitStateUpUp('E120',0,0,0,0,0,0,0,0,0,0)</v>
      </c>
      <c r="CB295" t="str">
        <f t="shared" si="63"/>
        <v>InitUnitState('E120',0,45000,0,0,0,0,0,0,0,0)</v>
      </c>
      <c r="CC295" t="str">
        <f t="shared" si="64"/>
        <v>InitUnitNormal('E120',0,0,0,0,0,0,9,0,0,0)</v>
      </c>
      <c r="CD295" t="str">
        <f t="shared" si="65"/>
        <v>InitUnitMagic('E120',0,0,0,0,12,0,0,0,0,0)</v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装备!B48</f>
        <v>E121</v>
      </c>
      <c r="B296">
        <f>装备!A48</f>
        <v>0</v>
      </c>
      <c r="C296">
        <f>装备!V48</f>
        <v>0</v>
      </c>
      <c r="D296">
        <f>装备!W48</f>
        <v>56000</v>
      </c>
      <c r="E296">
        <f>装备!X48</f>
        <v>0</v>
      </c>
      <c r="F296">
        <f>装备!Y48</f>
        <v>0</v>
      </c>
      <c r="G296">
        <f>装备!Z48</f>
        <v>0</v>
      </c>
      <c r="H296">
        <f>装备!AA48</f>
        <v>0</v>
      </c>
      <c r="I296">
        <f>装备!AB48</f>
        <v>0</v>
      </c>
      <c r="J296">
        <f>装备!AC48</f>
        <v>0</v>
      </c>
      <c r="K296">
        <f>装备!AD48</f>
        <v>0</v>
      </c>
      <c r="L296">
        <f>装备!AE48</f>
        <v>0</v>
      </c>
      <c r="M296" t="str">
        <f t="shared" si="56"/>
        <v>InitUnitState('E121',0,56000,0,0,0,0,0,0,0,0)</v>
      </c>
      <c r="N296">
        <f>装备!AF48</f>
        <v>0</v>
      </c>
      <c r="O296">
        <f>装备!AG48</f>
        <v>0</v>
      </c>
      <c r="P296">
        <f>装备!AH48</f>
        <v>0</v>
      </c>
      <c r="Q296">
        <f>装备!AI48</f>
        <v>0</v>
      </c>
      <c r="R296">
        <f>装备!AJ48</f>
        <v>0</v>
      </c>
      <c r="S296">
        <f>装备!AK48</f>
        <v>0</v>
      </c>
      <c r="T296">
        <f>装备!AL48</f>
        <v>12</v>
      </c>
      <c r="U296">
        <f>装备!AM48</f>
        <v>0</v>
      </c>
      <c r="V296">
        <f>装备!AN48</f>
        <v>0</v>
      </c>
      <c r="W296">
        <f>装备!AO48</f>
        <v>0</v>
      </c>
      <c r="X296" t="str">
        <f t="shared" si="57"/>
        <v>InitUnitNormal('E121',0,0,0,0,0,0,12,0,0,0)</v>
      </c>
      <c r="Y296">
        <f>装备!AP48</f>
        <v>0</v>
      </c>
      <c r="Z296">
        <f>装备!AQ48</f>
        <v>0</v>
      </c>
      <c r="AA296">
        <f>装备!AR48</f>
        <v>0</v>
      </c>
      <c r="AB296">
        <f>装备!AS48</f>
        <v>0</v>
      </c>
      <c r="AC296">
        <f>装备!AT48</f>
        <v>15</v>
      </c>
      <c r="AD296">
        <f>装备!AU48</f>
        <v>0</v>
      </c>
      <c r="AE296">
        <f>装备!AV48</f>
        <v>0</v>
      </c>
      <c r="AF296">
        <f>装备!AW48</f>
        <v>0</v>
      </c>
      <c r="AG296">
        <f>装备!AX48</f>
        <v>0</v>
      </c>
      <c r="AH296">
        <f>装备!AY48</f>
        <v>0</v>
      </c>
      <c r="AI296" t="str">
        <f t="shared" si="58"/>
        <v>InitUnitMagic('E121',0,0,0,0,15,0,0,0,0,0)</v>
      </c>
      <c r="AJ296">
        <f>装备!AZ48</f>
        <v>0</v>
      </c>
      <c r="AK296">
        <f>装备!BA48</f>
        <v>0</v>
      </c>
      <c r="AL296">
        <f>装备!BB48</f>
        <v>0</v>
      </c>
      <c r="AM296">
        <f>装备!BC48</f>
        <v>0</v>
      </c>
      <c r="AN296">
        <f>装备!BD48</f>
        <v>0</v>
      </c>
      <c r="AO296">
        <f>装备!BE48</f>
        <v>0</v>
      </c>
      <c r="AP296">
        <f>装备!BF48</f>
        <v>0</v>
      </c>
      <c r="AQ296">
        <f>装备!BG48</f>
        <v>0</v>
      </c>
      <c r="AR296">
        <f>装备!BH48</f>
        <v>0</v>
      </c>
      <c r="AS296">
        <f>装备!BI48</f>
        <v>0</v>
      </c>
      <c r="AT296" t="str">
        <f t="shared" si="59"/>
        <v>InitUnitAdd('E121',0,0,0,0,0,0,0,0,0,0)</v>
      </c>
      <c r="AU296">
        <f>装备!BJ48</f>
        <v>0</v>
      </c>
      <c r="AV296">
        <f>装备!BK48</f>
        <v>0</v>
      </c>
      <c r="AW296">
        <f>装备!BL48</f>
        <v>0</v>
      </c>
      <c r="AX296">
        <f>装备!BM48</f>
        <v>0</v>
      </c>
      <c r="AY296">
        <f>装备!BN48</f>
        <v>0</v>
      </c>
      <c r="AZ296">
        <f>装备!BO48</f>
        <v>0</v>
      </c>
      <c r="BA296">
        <f>装备!BP48</f>
        <v>0</v>
      </c>
      <c r="BB296">
        <f>装备!BQ48</f>
        <v>0</v>
      </c>
      <c r="BC296">
        <f>装备!BR48</f>
        <v>0</v>
      </c>
      <c r="BD296">
        <f>装备!BS48</f>
        <v>0</v>
      </c>
      <c r="BE296" t="str">
        <f t="shared" si="60"/>
        <v>InitUnitStateTime('E121',0,0,0,0,0,0,0,0,0,0)</v>
      </c>
      <c r="BF296">
        <f>装备!BT48</f>
        <v>0</v>
      </c>
      <c r="BG296">
        <f>装备!BU48</f>
        <v>0</v>
      </c>
      <c r="BH296">
        <f>装备!BV48</f>
        <v>0</v>
      </c>
      <c r="BI296">
        <f>装备!BW48</f>
        <v>0</v>
      </c>
      <c r="BJ296">
        <f>装备!BX48</f>
        <v>0</v>
      </c>
      <c r="BK296">
        <f>装备!BY48</f>
        <v>0</v>
      </c>
      <c r="BL296">
        <f>装备!BZ48</f>
        <v>0</v>
      </c>
      <c r="BM296">
        <f>装备!CA48</f>
        <v>0</v>
      </c>
      <c r="BN296">
        <f>装备!CB48</f>
        <v>0</v>
      </c>
      <c r="BO296">
        <f>装备!CC48</f>
        <v>0</v>
      </c>
      <c r="BP296" t="str">
        <f t="shared" si="61"/>
        <v>InitUnitStateAttack('E121',0,0,0,0,0,0,0,0,0,0)</v>
      </c>
      <c r="BQ296">
        <f>装备!CD48</f>
        <v>0</v>
      </c>
      <c r="BR296">
        <f>装备!CE48</f>
        <v>0</v>
      </c>
      <c r="BS296">
        <f>装备!CF48</f>
        <v>0</v>
      </c>
      <c r="BT296">
        <f>装备!CG48</f>
        <v>0</v>
      </c>
      <c r="BU296">
        <f>装备!CH48</f>
        <v>0</v>
      </c>
      <c r="BV296">
        <f>装备!CI48</f>
        <v>0</v>
      </c>
      <c r="BW296">
        <f>装备!CJ48</f>
        <v>0</v>
      </c>
      <c r="BX296">
        <f>装备!CK48</f>
        <v>0</v>
      </c>
      <c r="BY296">
        <f>装备!CL48</f>
        <v>0</v>
      </c>
      <c r="BZ296">
        <f>装备!CM48</f>
        <v>0</v>
      </c>
      <c r="CA296" t="str">
        <f t="shared" si="62"/>
        <v>InitUnitStateUpUp('E121',0,0,0,0,0,0,0,0,0,0)</v>
      </c>
      <c r="CB296" t="str">
        <f t="shared" si="63"/>
        <v>InitUnitState('E121',0,56000,0,0,0,0,0,0,0,0)</v>
      </c>
      <c r="CC296" t="str">
        <f t="shared" si="64"/>
        <v>InitUnitNormal('E121',0,0,0,0,0,0,12,0,0,0)</v>
      </c>
      <c r="CD296" t="str">
        <f t="shared" si="65"/>
        <v>InitUnitMagic('E121',0,0,0,0,15,0,0,0,0,0)</v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装备!B49</f>
        <v>E122</v>
      </c>
      <c r="B297">
        <f>装备!A49</f>
        <v>0</v>
      </c>
      <c r="C297">
        <f>装备!V49</f>
        <v>0</v>
      </c>
      <c r="D297">
        <f>装备!W49</f>
        <v>67000</v>
      </c>
      <c r="E297">
        <f>装备!X49</f>
        <v>0</v>
      </c>
      <c r="F297">
        <f>装备!Y49</f>
        <v>0</v>
      </c>
      <c r="G297">
        <f>装备!Z49</f>
        <v>0</v>
      </c>
      <c r="H297">
        <f>装备!AA49</f>
        <v>0</v>
      </c>
      <c r="I297">
        <f>装备!AB49</f>
        <v>0</v>
      </c>
      <c r="J297">
        <f>装备!AC49</f>
        <v>0</v>
      </c>
      <c r="K297">
        <f>装备!AD49</f>
        <v>0</v>
      </c>
      <c r="L297">
        <f>装备!AE49</f>
        <v>0</v>
      </c>
      <c r="M297" t="str">
        <f t="shared" si="56"/>
        <v>InitUnitState('E122',0,67000,0,0,0,0,0,0,0,0)</v>
      </c>
      <c r="N297">
        <f>装备!AF49</f>
        <v>0</v>
      </c>
      <c r="O297">
        <f>装备!AG49</f>
        <v>0</v>
      </c>
      <c r="P297">
        <f>装备!AH49</f>
        <v>0</v>
      </c>
      <c r="Q297">
        <f>装备!AI49</f>
        <v>0</v>
      </c>
      <c r="R297">
        <f>装备!AJ49</f>
        <v>0</v>
      </c>
      <c r="S297">
        <f>装备!AK49</f>
        <v>0</v>
      </c>
      <c r="T297">
        <f>装备!AL49</f>
        <v>12</v>
      </c>
      <c r="U297">
        <f>装备!AM49</f>
        <v>0</v>
      </c>
      <c r="V297">
        <f>装备!AN49</f>
        <v>0</v>
      </c>
      <c r="W297">
        <f>装备!AO49</f>
        <v>0</v>
      </c>
      <c r="X297" t="str">
        <f t="shared" si="57"/>
        <v>InitUnitNormal('E122',0,0,0,0,0,0,12,0,0,0)</v>
      </c>
      <c r="Y297">
        <f>装备!AP49</f>
        <v>0</v>
      </c>
      <c r="Z297">
        <f>装备!AQ49</f>
        <v>0</v>
      </c>
      <c r="AA297">
        <f>装备!AR49</f>
        <v>0</v>
      </c>
      <c r="AB297">
        <f>装备!AS49</f>
        <v>0</v>
      </c>
      <c r="AC297">
        <f>装备!AT49</f>
        <v>15</v>
      </c>
      <c r="AD297">
        <f>装备!AU49</f>
        <v>0</v>
      </c>
      <c r="AE297">
        <f>装备!AV49</f>
        <v>0</v>
      </c>
      <c r="AF297">
        <f>装备!AW49</f>
        <v>0</v>
      </c>
      <c r="AG297">
        <f>装备!AX49</f>
        <v>0</v>
      </c>
      <c r="AH297">
        <f>装备!AY49</f>
        <v>0</v>
      </c>
      <c r="AI297" t="str">
        <f t="shared" si="58"/>
        <v>InitUnitMagic('E122',0,0,0,0,15,0,0,0,0,0)</v>
      </c>
      <c r="AJ297">
        <f>装备!AZ49</f>
        <v>0</v>
      </c>
      <c r="AK297">
        <f>装备!BA49</f>
        <v>0</v>
      </c>
      <c r="AL297">
        <f>装备!BB49</f>
        <v>0</v>
      </c>
      <c r="AM297">
        <f>装备!BC49</f>
        <v>0</v>
      </c>
      <c r="AN297">
        <f>装备!BD49</f>
        <v>0</v>
      </c>
      <c r="AO297">
        <f>装备!BE49</f>
        <v>0</v>
      </c>
      <c r="AP297">
        <f>装备!BF49</f>
        <v>0</v>
      </c>
      <c r="AQ297">
        <f>装备!BG49</f>
        <v>0</v>
      </c>
      <c r="AR297">
        <f>装备!BH49</f>
        <v>0</v>
      </c>
      <c r="AS297">
        <f>装备!BI49</f>
        <v>0</v>
      </c>
      <c r="AT297" t="str">
        <f t="shared" si="59"/>
        <v>InitUnitAdd('E122',0,0,0,0,0,0,0,0,0,0)</v>
      </c>
      <c r="AU297">
        <f>装备!BJ49</f>
        <v>0</v>
      </c>
      <c r="AV297">
        <f>装备!BK49</f>
        <v>0</v>
      </c>
      <c r="AW297">
        <f>装备!BL49</f>
        <v>0</v>
      </c>
      <c r="AX297">
        <f>装备!BM49</f>
        <v>0</v>
      </c>
      <c r="AY297">
        <f>装备!BN49</f>
        <v>0</v>
      </c>
      <c r="AZ297">
        <f>装备!BO49</f>
        <v>0</v>
      </c>
      <c r="BA297">
        <f>装备!BP49</f>
        <v>0</v>
      </c>
      <c r="BB297">
        <f>装备!BQ49</f>
        <v>0</v>
      </c>
      <c r="BC297">
        <f>装备!BR49</f>
        <v>0</v>
      </c>
      <c r="BD297">
        <f>装备!BS49</f>
        <v>0</v>
      </c>
      <c r="BE297" t="str">
        <f t="shared" si="60"/>
        <v>InitUnitStateTime('E122',0,0,0,0,0,0,0,0,0,0)</v>
      </c>
      <c r="BF297">
        <f>装备!BT49</f>
        <v>0</v>
      </c>
      <c r="BG297">
        <f>装备!BU49</f>
        <v>0</v>
      </c>
      <c r="BH297">
        <f>装备!BV49</f>
        <v>0</v>
      </c>
      <c r="BI297">
        <f>装备!BW49</f>
        <v>0</v>
      </c>
      <c r="BJ297">
        <f>装备!BX49</f>
        <v>0</v>
      </c>
      <c r="BK297">
        <f>装备!BY49</f>
        <v>0</v>
      </c>
      <c r="BL297">
        <f>装备!BZ49</f>
        <v>0</v>
      </c>
      <c r="BM297">
        <f>装备!CA49</f>
        <v>0</v>
      </c>
      <c r="BN297">
        <f>装备!CB49</f>
        <v>0</v>
      </c>
      <c r="BO297">
        <f>装备!CC49</f>
        <v>0</v>
      </c>
      <c r="BP297" t="str">
        <f t="shared" si="61"/>
        <v>InitUnitStateAttack('E122',0,0,0,0,0,0,0,0,0,0)</v>
      </c>
      <c r="BQ297">
        <f>装备!CD49</f>
        <v>0</v>
      </c>
      <c r="BR297">
        <f>装备!CE49</f>
        <v>0</v>
      </c>
      <c r="BS297">
        <f>装备!CF49</f>
        <v>0</v>
      </c>
      <c r="BT297">
        <f>装备!CG49</f>
        <v>0</v>
      </c>
      <c r="BU297">
        <f>装备!CH49</f>
        <v>0</v>
      </c>
      <c r="BV297">
        <f>装备!CI49</f>
        <v>0</v>
      </c>
      <c r="BW297">
        <f>装备!CJ49</f>
        <v>0</v>
      </c>
      <c r="BX297">
        <f>装备!CK49</f>
        <v>0</v>
      </c>
      <c r="BY297">
        <f>装备!CL49</f>
        <v>0</v>
      </c>
      <c r="BZ297">
        <f>装备!CM49</f>
        <v>0</v>
      </c>
      <c r="CA297" t="str">
        <f t="shared" si="62"/>
        <v>InitUnitStateUpUp('E122',0,0,0,0,0,0,0,0,0,0)</v>
      </c>
      <c r="CB297" t="str">
        <f t="shared" si="63"/>
        <v>InitUnitState('E122',0,67000,0,0,0,0,0,0,0,0)</v>
      </c>
      <c r="CC297" t="str">
        <f t="shared" si="64"/>
        <v>InitUnitNormal('E122',0,0,0,0,0,0,12,0,0,0)</v>
      </c>
      <c r="CD297" t="str">
        <f t="shared" si="65"/>
        <v>InitUnitMagic('E122',0,0,0,0,15,0,0,0,0,0)</v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装备!B50</f>
        <v>E123</v>
      </c>
      <c r="B298">
        <f>装备!A50</f>
        <v>0</v>
      </c>
      <c r="C298">
        <f>装备!V50</f>
        <v>0</v>
      </c>
      <c r="D298">
        <f>装备!W50</f>
        <v>78000</v>
      </c>
      <c r="E298">
        <f>装备!X50</f>
        <v>0</v>
      </c>
      <c r="F298">
        <f>装备!Y50</f>
        <v>0</v>
      </c>
      <c r="G298">
        <f>装备!Z50</f>
        <v>0</v>
      </c>
      <c r="H298">
        <f>装备!AA50</f>
        <v>0</v>
      </c>
      <c r="I298">
        <f>装备!AB50</f>
        <v>0</v>
      </c>
      <c r="J298">
        <f>装备!AC50</f>
        <v>0</v>
      </c>
      <c r="K298">
        <f>装备!AD50</f>
        <v>0</v>
      </c>
      <c r="L298">
        <f>装备!AE50</f>
        <v>0</v>
      </c>
      <c r="M298" t="str">
        <f t="shared" si="56"/>
        <v>InitUnitState('E123',0,78000,0,0,0,0,0,0,0,0)</v>
      </c>
      <c r="N298">
        <f>装备!AF50</f>
        <v>0</v>
      </c>
      <c r="O298">
        <f>装备!AG50</f>
        <v>0</v>
      </c>
      <c r="P298">
        <f>装备!AH50</f>
        <v>0</v>
      </c>
      <c r="Q298">
        <f>装备!AI50</f>
        <v>0</v>
      </c>
      <c r="R298">
        <f>装备!AJ50</f>
        <v>0</v>
      </c>
      <c r="S298">
        <f>装备!AK50</f>
        <v>0</v>
      </c>
      <c r="T298">
        <f>装备!AL50</f>
        <v>12</v>
      </c>
      <c r="U298">
        <f>装备!AM50</f>
        <v>0</v>
      </c>
      <c r="V298">
        <f>装备!AN50</f>
        <v>0</v>
      </c>
      <c r="W298">
        <f>装备!AO50</f>
        <v>0</v>
      </c>
      <c r="X298" t="str">
        <f t="shared" si="57"/>
        <v>InitUnitNormal('E123',0,0,0,0,0,0,12,0,0,0)</v>
      </c>
      <c r="Y298">
        <f>装备!AP50</f>
        <v>0</v>
      </c>
      <c r="Z298">
        <f>装备!AQ50</f>
        <v>0</v>
      </c>
      <c r="AA298">
        <f>装备!AR50</f>
        <v>0</v>
      </c>
      <c r="AB298">
        <f>装备!AS50</f>
        <v>0</v>
      </c>
      <c r="AC298">
        <f>装备!AT50</f>
        <v>15</v>
      </c>
      <c r="AD298">
        <f>装备!AU50</f>
        <v>0</v>
      </c>
      <c r="AE298">
        <f>装备!AV50</f>
        <v>0</v>
      </c>
      <c r="AF298">
        <f>装备!AW50</f>
        <v>0</v>
      </c>
      <c r="AG298">
        <f>装备!AX50</f>
        <v>0</v>
      </c>
      <c r="AH298">
        <f>装备!AY50</f>
        <v>0</v>
      </c>
      <c r="AI298" t="str">
        <f t="shared" si="58"/>
        <v>InitUnitMagic('E123',0,0,0,0,15,0,0,0,0,0)</v>
      </c>
      <c r="AJ298">
        <f>装备!AZ50</f>
        <v>0</v>
      </c>
      <c r="AK298">
        <f>装备!BA50</f>
        <v>0</v>
      </c>
      <c r="AL298">
        <f>装备!BB50</f>
        <v>0</v>
      </c>
      <c r="AM298">
        <f>装备!BC50</f>
        <v>0</v>
      </c>
      <c r="AN298">
        <f>装备!BD50</f>
        <v>0</v>
      </c>
      <c r="AO298">
        <f>装备!BE50</f>
        <v>0</v>
      </c>
      <c r="AP298">
        <f>装备!BF50</f>
        <v>0</v>
      </c>
      <c r="AQ298">
        <f>装备!BG50</f>
        <v>0</v>
      </c>
      <c r="AR298">
        <f>装备!BH50</f>
        <v>0</v>
      </c>
      <c r="AS298">
        <f>装备!BI50</f>
        <v>0</v>
      </c>
      <c r="AT298" t="str">
        <f t="shared" si="59"/>
        <v>InitUnitAdd('E123',0,0,0,0,0,0,0,0,0,0)</v>
      </c>
      <c r="AU298">
        <f>装备!BJ50</f>
        <v>0</v>
      </c>
      <c r="AV298">
        <f>装备!BK50</f>
        <v>0</v>
      </c>
      <c r="AW298">
        <f>装备!BL50</f>
        <v>0</v>
      </c>
      <c r="AX298">
        <f>装备!BM50</f>
        <v>0</v>
      </c>
      <c r="AY298">
        <f>装备!BN50</f>
        <v>0</v>
      </c>
      <c r="AZ298">
        <f>装备!BO50</f>
        <v>0</v>
      </c>
      <c r="BA298">
        <f>装备!BP50</f>
        <v>0</v>
      </c>
      <c r="BB298">
        <f>装备!BQ50</f>
        <v>0</v>
      </c>
      <c r="BC298">
        <f>装备!BR50</f>
        <v>0</v>
      </c>
      <c r="BD298">
        <f>装备!BS50</f>
        <v>0</v>
      </c>
      <c r="BE298" t="str">
        <f t="shared" si="60"/>
        <v>InitUnitStateTime('E123',0,0,0,0,0,0,0,0,0,0)</v>
      </c>
      <c r="BF298">
        <f>装备!BT50</f>
        <v>0</v>
      </c>
      <c r="BG298">
        <f>装备!BU50</f>
        <v>0</v>
      </c>
      <c r="BH298">
        <f>装备!BV50</f>
        <v>0</v>
      </c>
      <c r="BI298">
        <f>装备!BW50</f>
        <v>0</v>
      </c>
      <c r="BJ298">
        <f>装备!BX50</f>
        <v>0</v>
      </c>
      <c r="BK298">
        <f>装备!BY50</f>
        <v>0</v>
      </c>
      <c r="BL298">
        <f>装备!BZ50</f>
        <v>0</v>
      </c>
      <c r="BM298">
        <f>装备!CA50</f>
        <v>0</v>
      </c>
      <c r="BN298">
        <f>装备!CB50</f>
        <v>0</v>
      </c>
      <c r="BO298">
        <f>装备!CC50</f>
        <v>0</v>
      </c>
      <c r="BP298" t="str">
        <f t="shared" si="61"/>
        <v>InitUnitStateAttack('E123',0,0,0,0,0,0,0,0,0,0)</v>
      </c>
      <c r="BQ298">
        <f>装备!CD50</f>
        <v>0</v>
      </c>
      <c r="BR298">
        <f>装备!CE50</f>
        <v>0</v>
      </c>
      <c r="BS298">
        <f>装备!CF50</f>
        <v>0</v>
      </c>
      <c r="BT298">
        <f>装备!CG50</f>
        <v>0</v>
      </c>
      <c r="BU298">
        <f>装备!CH50</f>
        <v>0</v>
      </c>
      <c r="BV298">
        <f>装备!CI50</f>
        <v>0</v>
      </c>
      <c r="BW298">
        <f>装备!CJ50</f>
        <v>0</v>
      </c>
      <c r="BX298">
        <f>装备!CK50</f>
        <v>0</v>
      </c>
      <c r="BY298">
        <f>装备!CL50</f>
        <v>0</v>
      </c>
      <c r="BZ298">
        <f>装备!CM50</f>
        <v>0</v>
      </c>
      <c r="CA298" t="str">
        <f t="shared" si="62"/>
        <v>InitUnitStateUpUp('E123',0,0,0,0,0,0,0,0,0,0)</v>
      </c>
      <c r="CB298" t="str">
        <f t="shared" si="63"/>
        <v>InitUnitState('E123',0,78000,0,0,0,0,0,0,0,0)</v>
      </c>
      <c r="CC298" t="str">
        <f t="shared" si="64"/>
        <v>InitUnitNormal('E123',0,0,0,0,0,0,12,0,0,0)</v>
      </c>
      <c r="CD298" t="str">
        <f t="shared" si="65"/>
        <v>InitUnitMagic('E123',0,0,0,0,15,0,0,0,0,0)</v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装备!B51</f>
        <v>E124</v>
      </c>
      <c r="B299">
        <f>装备!A51</f>
        <v>0</v>
      </c>
      <c r="C299">
        <f>装备!V51</f>
        <v>0</v>
      </c>
      <c r="D299">
        <f>装备!W51</f>
        <v>89000</v>
      </c>
      <c r="E299">
        <f>装备!X51</f>
        <v>0</v>
      </c>
      <c r="F299">
        <f>装备!Y51</f>
        <v>0</v>
      </c>
      <c r="G299">
        <f>装备!Z51</f>
        <v>0</v>
      </c>
      <c r="H299">
        <f>装备!AA51</f>
        <v>0</v>
      </c>
      <c r="I299">
        <f>装备!AB51</f>
        <v>0</v>
      </c>
      <c r="J299">
        <f>装备!AC51</f>
        <v>0</v>
      </c>
      <c r="K299">
        <f>装备!AD51</f>
        <v>0</v>
      </c>
      <c r="L299">
        <f>装备!AE51</f>
        <v>0</v>
      </c>
      <c r="M299" t="str">
        <f t="shared" si="56"/>
        <v>InitUnitState('E124',0,89000,0,0,0,0,0,0,0,0)</v>
      </c>
      <c r="N299">
        <f>装备!AF51</f>
        <v>0</v>
      </c>
      <c r="O299">
        <f>装备!AG51</f>
        <v>0</v>
      </c>
      <c r="P299">
        <f>装备!AH51</f>
        <v>0</v>
      </c>
      <c r="Q299">
        <f>装备!AI51</f>
        <v>0</v>
      </c>
      <c r="R299">
        <f>装备!AJ51</f>
        <v>0</v>
      </c>
      <c r="S299">
        <f>装备!AK51</f>
        <v>0</v>
      </c>
      <c r="T299">
        <f>装备!AL51</f>
        <v>12</v>
      </c>
      <c r="U299">
        <f>装备!AM51</f>
        <v>0</v>
      </c>
      <c r="V299">
        <f>装备!AN51</f>
        <v>0</v>
      </c>
      <c r="W299">
        <f>装备!AO51</f>
        <v>0</v>
      </c>
      <c r="X299" t="str">
        <f t="shared" si="57"/>
        <v>InitUnitNormal('E124',0,0,0,0,0,0,12,0,0,0)</v>
      </c>
      <c r="Y299">
        <f>装备!AP51</f>
        <v>0</v>
      </c>
      <c r="Z299">
        <f>装备!AQ51</f>
        <v>0</v>
      </c>
      <c r="AA299">
        <f>装备!AR51</f>
        <v>0</v>
      </c>
      <c r="AB299">
        <f>装备!AS51</f>
        <v>0</v>
      </c>
      <c r="AC299">
        <f>装备!AT51</f>
        <v>15</v>
      </c>
      <c r="AD299">
        <f>装备!AU51</f>
        <v>0</v>
      </c>
      <c r="AE299">
        <f>装备!AV51</f>
        <v>0</v>
      </c>
      <c r="AF299">
        <f>装备!AW51</f>
        <v>0</v>
      </c>
      <c r="AG299">
        <f>装备!AX51</f>
        <v>0</v>
      </c>
      <c r="AH299">
        <f>装备!AY51</f>
        <v>0</v>
      </c>
      <c r="AI299" t="str">
        <f t="shared" si="58"/>
        <v>InitUnitMagic('E124',0,0,0,0,15,0,0,0,0,0)</v>
      </c>
      <c r="AJ299">
        <f>装备!AZ51</f>
        <v>0</v>
      </c>
      <c r="AK299">
        <f>装备!BA51</f>
        <v>0</v>
      </c>
      <c r="AL299">
        <f>装备!BB51</f>
        <v>0</v>
      </c>
      <c r="AM299">
        <f>装备!BC51</f>
        <v>0</v>
      </c>
      <c r="AN299">
        <f>装备!BD51</f>
        <v>0</v>
      </c>
      <c r="AO299">
        <f>装备!BE51</f>
        <v>0</v>
      </c>
      <c r="AP299">
        <f>装备!BF51</f>
        <v>0</v>
      </c>
      <c r="AQ299">
        <f>装备!BG51</f>
        <v>0</v>
      </c>
      <c r="AR299">
        <f>装备!BH51</f>
        <v>0</v>
      </c>
      <c r="AS299">
        <f>装备!BI51</f>
        <v>0</v>
      </c>
      <c r="AT299" t="str">
        <f t="shared" si="59"/>
        <v>InitUnitAdd('E124',0,0,0,0,0,0,0,0,0,0)</v>
      </c>
      <c r="AU299">
        <f>装备!BJ51</f>
        <v>0</v>
      </c>
      <c r="AV299">
        <f>装备!BK51</f>
        <v>0</v>
      </c>
      <c r="AW299">
        <f>装备!BL51</f>
        <v>0</v>
      </c>
      <c r="AX299">
        <f>装备!BM51</f>
        <v>0</v>
      </c>
      <c r="AY299">
        <f>装备!BN51</f>
        <v>0</v>
      </c>
      <c r="AZ299">
        <f>装备!BO51</f>
        <v>0</v>
      </c>
      <c r="BA299">
        <f>装备!BP51</f>
        <v>0</v>
      </c>
      <c r="BB299">
        <f>装备!BQ51</f>
        <v>0</v>
      </c>
      <c r="BC299">
        <f>装备!BR51</f>
        <v>0</v>
      </c>
      <c r="BD299">
        <f>装备!BS51</f>
        <v>0</v>
      </c>
      <c r="BE299" t="str">
        <f t="shared" si="60"/>
        <v>InitUnitStateTime('E124',0,0,0,0,0,0,0,0,0,0)</v>
      </c>
      <c r="BF299">
        <f>装备!BT51</f>
        <v>0</v>
      </c>
      <c r="BG299">
        <f>装备!BU51</f>
        <v>0</v>
      </c>
      <c r="BH299">
        <f>装备!BV51</f>
        <v>0</v>
      </c>
      <c r="BI299">
        <f>装备!BW51</f>
        <v>0</v>
      </c>
      <c r="BJ299">
        <f>装备!BX51</f>
        <v>0</v>
      </c>
      <c r="BK299">
        <f>装备!BY51</f>
        <v>0</v>
      </c>
      <c r="BL299">
        <f>装备!BZ51</f>
        <v>0</v>
      </c>
      <c r="BM299">
        <f>装备!CA51</f>
        <v>0</v>
      </c>
      <c r="BN299">
        <f>装备!CB51</f>
        <v>0</v>
      </c>
      <c r="BO299">
        <f>装备!CC51</f>
        <v>0</v>
      </c>
      <c r="BP299" t="str">
        <f t="shared" si="61"/>
        <v>InitUnitStateAttack('E124',0,0,0,0,0,0,0,0,0,0)</v>
      </c>
      <c r="BQ299">
        <f>装备!CD51</f>
        <v>0</v>
      </c>
      <c r="BR299">
        <f>装备!CE51</f>
        <v>0</v>
      </c>
      <c r="BS299">
        <f>装备!CF51</f>
        <v>0</v>
      </c>
      <c r="BT299">
        <f>装备!CG51</f>
        <v>0</v>
      </c>
      <c r="BU299">
        <f>装备!CH51</f>
        <v>0</v>
      </c>
      <c r="BV299">
        <f>装备!CI51</f>
        <v>0</v>
      </c>
      <c r="BW299">
        <f>装备!CJ51</f>
        <v>0</v>
      </c>
      <c r="BX299">
        <f>装备!CK51</f>
        <v>0</v>
      </c>
      <c r="BY299">
        <f>装备!CL51</f>
        <v>0</v>
      </c>
      <c r="BZ299">
        <f>装备!CM51</f>
        <v>0</v>
      </c>
      <c r="CA299" t="str">
        <f t="shared" si="62"/>
        <v>InitUnitStateUpUp('E124',0,0,0,0,0,0,0,0,0,0)</v>
      </c>
      <c r="CB299" t="str">
        <f t="shared" si="63"/>
        <v>InitUnitState('E124',0,89000,0,0,0,0,0,0,0,0)</v>
      </c>
      <c r="CC299" t="str">
        <f t="shared" si="64"/>
        <v>InitUnitNormal('E124',0,0,0,0,0,0,12,0,0,0)</v>
      </c>
      <c r="CD299" t="str">
        <f t="shared" si="65"/>
        <v>InitUnitMagic('E124',0,0,0,0,15,0,0,0,0,0)</v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装备!B52</f>
        <v>E125</v>
      </c>
      <c r="B300">
        <f>装备!A52</f>
        <v>0</v>
      </c>
      <c r="C300">
        <f>装备!V52</f>
        <v>0</v>
      </c>
      <c r="D300">
        <f>装备!W52</f>
        <v>100000</v>
      </c>
      <c r="E300">
        <f>装备!X52</f>
        <v>0</v>
      </c>
      <c r="F300">
        <f>装备!Y52</f>
        <v>0</v>
      </c>
      <c r="G300">
        <f>装备!Z52</f>
        <v>0</v>
      </c>
      <c r="H300">
        <f>装备!AA52</f>
        <v>0</v>
      </c>
      <c r="I300">
        <f>装备!AB52</f>
        <v>0</v>
      </c>
      <c r="J300">
        <f>装备!AC52</f>
        <v>0</v>
      </c>
      <c r="K300">
        <f>装备!AD52</f>
        <v>0</v>
      </c>
      <c r="L300">
        <f>装备!AE52</f>
        <v>0</v>
      </c>
      <c r="M300" t="str">
        <f t="shared" si="56"/>
        <v>InitUnitState('E125',0,100000,0,0,0,0,0,0,0,0)</v>
      </c>
      <c r="N300">
        <f>装备!AF52</f>
        <v>0</v>
      </c>
      <c r="O300">
        <f>装备!AG52</f>
        <v>0</v>
      </c>
      <c r="P300">
        <f>装备!AH52</f>
        <v>0</v>
      </c>
      <c r="Q300">
        <f>装备!AI52</f>
        <v>0</v>
      </c>
      <c r="R300">
        <f>装备!AJ52</f>
        <v>0</v>
      </c>
      <c r="S300">
        <f>装备!AK52</f>
        <v>0</v>
      </c>
      <c r="T300">
        <f>装备!AL52</f>
        <v>12</v>
      </c>
      <c r="U300">
        <f>装备!AM52</f>
        <v>0</v>
      </c>
      <c r="V300">
        <f>装备!AN52</f>
        <v>0</v>
      </c>
      <c r="W300">
        <f>装备!AO52</f>
        <v>0</v>
      </c>
      <c r="X300" t="str">
        <f t="shared" si="57"/>
        <v>InitUnitNormal('E125',0,0,0,0,0,0,12,0,0,0)</v>
      </c>
      <c r="Y300">
        <f>装备!AP52</f>
        <v>0</v>
      </c>
      <c r="Z300">
        <f>装备!AQ52</f>
        <v>0</v>
      </c>
      <c r="AA300">
        <f>装备!AR52</f>
        <v>0</v>
      </c>
      <c r="AB300">
        <f>装备!AS52</f>
        <v>0</v>
      </c>
      <c r="AC300">
        <f>装备!AT52</f>
        <v>15</v>
      </c>
      <c r="AD300">
        <f>装备!AU52</f>
        <v>0</v>
      </c>
      <c r="AE300">
        <f>装备!AV52</f>
        <v>0</v>
      </c>
      <c r="AF300">
        <f>装备!AW52</f>
        <v>0</v>
      </c>
      <c r="AG300">
        <f>装备!AX52</f>
        <v>0</v>
      </c>
      <c r="AH300">
        <f>装备!AY52</f>
        <v>0</v>
      </c>
      <c r="AI300" t="str">
        <f t="shared" si="58"/>
        <v>InitUnitMagic('E125',0,0,0,0,15,0,0,0,0,0)</v>
      </c>
      <c r="AJ300">
        <f>装备!AZ52</f>
        <v>0</v>
      </c>
      <c r="AK300">
        <f>装备!BA52</f>
        <v>0</v>
      </c>
      <c r="AL300">
        <f>装备!BB52</f>
        <v>0</v>
      </c>
      <c r="AM300">
        <f>装备!BC52</f>
        <v>0</v>
      </c>
      <c r="AN300">
        <f>装备!BD52</f>
        <v>0</v>
      </c>
      <c r="AO300">
        <f>装备!BE52</f>
        <v>0</v>
      </c>
      <c r="AP300">
        <f>装备!BF52</f>
        <v>0</v>
      </c>
      <c r="AQ300">
        <f>装备!BG52</f>
        <v>0</v>
      </c>
      <c r="AR300">
        <f>装备!BH52</f>
        <v>0</v>
      </c>
      <c r="AS300">
        <f>装备!BI52</f>
        <v>0</v>
      </c>
      <c r="AT300" t="str">
        <f t="shared" si="59"/>
        <v>InitUnitAdd('E125',0,0,0,0,0,0,0,0,0,0)</v>
      </c>
      <c r="AU300">
        <f>装备!BJ52</f>
        <v>0</v>
      </c>
      <c r="AV300">
        <f>装备!BK52</f>
        <v>0</v>
      </c>
      <c r="AW300">
        <f>装备!BL52</f>
        <v>0</v>
      </c>
      <c r="AX300">
        <f>装备!BM52</f>
        <v>0</v>
      </c>
      <c r="AY300">
        <f>装备!BN52</f>
        <v>0</v>
      </c>
      <c r="AZ300">
        <f>装备!BO52</f>
        <v>0</v>
      </c>
      <c r="BA300">
        <f>装备!BP52</f>
        <v>0</v>
      </c>
      <c r="BB300">
        <f>装备!BQ52</f>
        <v>0</v>
      </c>
      <c r="BC300">
        <f>装备!BR52</f>
        <v>0</v>
      </c>
      <c r="BD300">
        <f>装备!BS52</f>
        <v>0</v>
      </c>
      <c r="BE300" t="str">
        <f t="shared" si="60"/>
        <v>InitUnitStateTime('E125',0,0,0,0,0,0,0,0,0,0)</v>
      </c>
      <c r="BF300">
        <f>装备!BT52</f>
        <v>0</v>
      </c>
      <c r="BG300">
        <f>装备!BU52</f>
        <v>0</v>
      </c>
      <c r="BH300">
        <f>装备!BV52</f>
        <v>0</v>
      </c>
      <c r="BI300">
        <f>装备!BW52</f>
        <v>0</v>
      </c>
      <c r="BJ300">
        <f>装备!BX52</f>
        <v>0</v>
      </c>
      <c r="BK300">
        <f>装备!BY52</f>
        <v>0</v>
      </c>
      <c r="BL300">
        <f>装备!BZ52</f>
        <v>0</v>
      </c>
      <c r="BM300">
        <f>装备!CA52</f>
        <v>0</v>
      </c>
      <c r="BN300">
        <f>装备!CB52</f>
        <v>0</v>
      </c>
      <c r="BO300">
        <f>装备!CC52</f>
        <v>0</v>
      </c>
      <c r="BP300" t="str">
        <f t="shared" si="61"/>
        <v>InitUnitStateAttack('E125',0,0,0,0,0,0,0,0,0,0)</v>
      </c>
      <c r="BQ300">
        <f>装备!CD52</f>
        <v>0</v>
      </c>
      <c r="BR300">
        <f>装备!CE52</f>
        <v>0</v>
      </c>
      <c r="BS300">
        <f>装备!CF52</f>
        <v>0</v>
      </c>
      <c r="BT300">
        <f>装备!CG52</f>
        <v>0</v>
      </c>
      <c r="BU300">
        <f>装备!CH52</f>
        <v>0</v>
      </c>
      <c r="BV300">
        <f>装备!CI52</f>
        <v>0</v>
      </c>
      <c r="BW300">
        <f>装备!CJ52</f>
        <v>0</v>
      </c>
      <c r="BX300">
        <f>装备!CK52</f>
        <v>0</v>
      </c>
      <c r="BY300">
        <f>装备!CL52</f>
        <v>0</v>
      </c>
      <c r="BZ300">
        <f>装备!CM52</f>
        <v>0</v>
      </c>
      <c r="CA300" t="str">
        <f t="shared" si="62"/>
        <v>InitUnitStateUpUp('E125',0,0,0,0,0,0,0,0,0,0)</v>
      </c>
      <c r="CB300" t="str">
        <f t="shared" si="63"/>
        <v>InitUnitState('E125',0,100000,0,0,0,0,0,0,0,0)</v>
      </c>
      <c r="CC300" t="str">
        <f t="shared" si="64"/>
        <v>InitUnitNormal('E125',0,0,0,0,0,0,12,0,0,0)</v>
      </c>
      <c r="CD300" t="str">
        <f t="shared" si="65"/>
        <v>InitUnitMagic('E125',0,0,0,0,15,0,0,0,0,0)</v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装备!B53</f>
        <v>E201</v>
      </c>
      <c r="B301">
        <f>装备!A53</f>
        <v>0</v>
      </c>
      <c r="C301">
        <f>装备!V53</f>
        <v>0</v>
      </c>
      <c r="D301">
        <f>装备!W53</f>
        <v>0</v>
      </c>
      <c r="E301">
        <f>装备!X53</f>
        <v>1</v>
      </c>
      <c r="F301">
        <f>装备!Y53</f>
        <v>0</v>
      </c>
      <c r="G301">
        <f>装备!Z53</f>
        <v>2000</v>
      </c>
      <c r="H301">
        <f>装备!AA53</f>
        <v>0</v>
      </c>
      <c r="I301">
        <f>装备!AB53</f>
        <v>0</v>
      </c>
      <c r="J301">
        <f>装备!AC53</f>
        <v>0</v>
      </c>
      <c r="K301">
        <f>装备!AD53</f>
        <v>0</v>
      </c>
      <c r="L301">
        <f>装备!AE53</f>
        <v>0</v>
      </c>
      <c r="M301" t="str">
        <f t="shared" si="56"/>
        <v>InitUnitState('E201',0,0,1,0,2000,0,0,0,0,0)</v>
      </c>
      <c r="N301">
        <f>装备!AF53</f>
        <v>0</v>
      </c>
      <c r="O301">
        <f>装备!AG53</f>
        <v>0</v>
      </c>
      <c r="P301">
        <f>装备!AH53</f>
        <v>0</v>
      </c>
      <c r="Q301">
        <f>装备!AI53</f>
        <v>0</v>
      </c>
      <c r="R301">
        <f>装备!AJ53</f>
        <v>0</v>
      </c>
      <c r="S301">
        <f>装备!AK53</f>
        <v>0</v>
      </c>
      <c r="T301">
        <f>装备!AL53</f>
        <v>0</v>
      </c>
      <c r="U301">
        <f>装备!AM53</f>
        <v>0</v>
      </c>
      <c r="V301">
        <f>装备!AN53</f>
        <v>0</v>
      </c>
      <c r="W301">
        <f>装备!AO53</f>
        <v>0</v>
      </c>
      <c r="X301" t="str">
        <f t="shared" si="57"/>
        <v>InitUnitNormal('E201',0,0,0,0,0,0,0,0,0,0)</v>
      </c>
      <c r="Y301">
        <f>装备!AP53</f>
        <v>0</v>
      </c>
      <c r="Z301">
        <f>装备!AQ53</f>
        <v>0</v>
      </c>
      <c r="AA301">
        <f>装备!AR53</f>
        <v>0</v>
      </c>
      <c r="AB301">
        <f>装备!AS53</f>
        <v>0</v>
      </c>
      <c r="AC301">
        <f>装备!AT53</f>
        <v>0</v>
      </c>
      <c r="AD301">
        <f>装备!AU53</f>
        <v>0</v>
      </c>
      <c r="AE301">
        <f>装备!AV53</f>
        <v>0</v>
      </c>
      <c r="AF301">
        <f>装备!AW53</f>
        <v>0</v>
      </c>
      <c r="AG301">
        <f>装备!AX53</f>
        <v>0</v>
      </c>
      <c r="AH301">
        <f>装备!AY53</f>
        <v>0</v>
      </c>
      <c r="AI301" t="str">
        <f t="shared" si="58"/>
        <v>InitUnitMagic('E201',0,0,0,0,0,0,0,0,0,0)</v>
      </c>
      <c r="AJ301">
        <f>装备!AZ53</f>
        <v>0</v>
      </c>
      <c r="AK301">
        <f>装备!BA53</f>
        <v>0</v>
      </c>
      <c r="AL301">
        <f>装备!BB53</f>
        <v>0</v>
      </c>
      <c r="AM301">
        <f>装备!BC53</f>
        <v>0</v>
      </c>
      <c r="AN301">
        <f>装备!BD53</f>
        <v>0</v>
      </c>
      <c r="AO301">
        <f>装备!BE53</f>
        <v>0</v>
      </c>
      <c r="AP301">
        <f>装备!BF53</f>
        <v>0</v>
      </c>
      <c r="AQ301">
        <f>装备!BG53</f>
        <v>0</v>
      </c>
      <c r="AR301">
        <f>装备!BH53</f>
        <v>0</v>
      </c>
      <c r="AS301">
        <f>装备!BI53</f>
        <v>0</v>
      </c>
      <c r="AT301" t="str">
        <f t="shared" si="59"/>
        <v>InitUnitAdd('E201',0,0,0,0,0,0,0,0,0,0)</v>
      </c>
      <c r="AU301">
        <f>装备!BJ53</f>
        <v>0</v>
      </c>
      <c r="AV301">
        <f>装备!BK53</f>
        <v>0</v>
      </c>
      <c r="AW301">
        <f>装备!BL53</f>
        <v>0</v>
      </c>
      <c r="AX301">
        <f>装备!BM53</f>
        <v>0</v>
      </c>
      <c r="AY301">
        <f>装备!BN53</f>
        <v>0</v>
      </c>
      <c r="AZ301">
        <f>装备!BO53</f>
        <v>0</v>
      </c>
      <c r="BA301">
        <f>装备!BP53</f>
        <v>0</v>
      </c>
      <c r="BB301">
        <f>装备!BQ53</f>
        <v>0</v>
      </c>
      <c r="BC301">
        <f>装备!BR53</f>
        <v>0</v>
      </c>
      <c r="BD301">
        <f>装备!BS53</f>
        <v>0</v>
      </c>
      <c r="BE301" t="str">
        <f t="shared" si="60"/>
        <v>InitUnitStateTime('E201',0,0,0,0,0,0,0,0,0,0)</v>
      </c>
      <c r="BF301">
        <f>装备!BT53</f>
        <v>0</v>
      </c>
      <c r="BG301">
        <f>装备!BU53</f>
        <v>0</v>
      </c>
      <c r="BH301">
        <f>装备!BV53</f>
        <v>0</v>
      </c>
      <c r="BI301">
        <f>装备!BW53</f>
        <v>0</v>
      </c>
      <c r="BJ301">
        <f>装备!BX53</f>
        <v>0</v>
      </c>
      <c r="BK301">
        <f>装备!BY53</f>
        <v>0</v>
      </c>
      <c r="BL301">
        <f>装备!BZ53</f>
        <v>0</v>
      </c>
      <c r="BM301">
        <f>装备!CA53</f>
        <v>0</v>
      </c>
      <c r="BN301">
        <f>装备!CB53</f>
        <v>0</v>
      </c>
      <c r="BO301">
        <f>装备!CC53</f>
        <v>0</v>
      </c>
      <c r="BP301" t="str">
        <f t="shared" si="61"/>
        <v>InitUnitStateAttack('E201',0,0,0,0,0,0,0,0,0,0)</v>
      </c>
      <c r="BQ301">
        <f>装备!CD53</f>
        <v>0</v>
      </c>
      <c r="BR301">
        <f>装备!CE53</f>
        <v>0</v>
      </c>
      <c r="BS301">
        <f>装备!CF53</f>
        <v>0</v>
      </c>
      <c r="BT301">
        <f>装备!CG53</f>
        <v>0</v>
      </c>
      <c r="BU301">
        <f>装备!CH53</f>
        <v>0</v>
      </c>
      <c r="BV301">
        <f>装备!CI53</f>
        <v>0</v>
      </c>
      <c r="BW301">
        <f>装备!CJ53</f>
        <v>0</v>
      </c>
      <c r="BX301">
        <f>装备!CK53</f>
        <v>0</v>
      </c>
      <c r="BY301">
        <f>装备!CL53</f>
        <v>0</v>
      </c>
      <c r="BZ301">
        <f>装备!CM53</f>
        <v>0</v>
      </c>
      <c r="CA301" t="str">
        <f t="shared" si="62"/>
        <v>InitUnitStateUpUp('E201',0,0,0,0,0,0,0,0,0,0)</v>
      </c>
      <c r="CB301" t="str">
        <f t="shared" si="63"/>
        <v>InitUnitState('E201',0,0,1,0,2000,0,0,0,0,0)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装备!B63</f>
        <v>E211</v>
      </c>
      <c r="B302">
        <f>装备!A63</f>
        <v>0</v>
      </c>
      <c r="C302">
        <f>装备!V63</f>
        <v>0</v>
      </c>
      <c r="D302">
        <f>装备!W63</f>
        <v>0</v>
      </c>
      <c r="E302">
        <f>装备!X63</f>
        <v>18</v>
      </c>
      <c r="F302">
        <f>装备!Y63</f>
        <v>0</v>
      </c>
      <c r="G302">
        <f>装备!Z63</f>
        <v>28400</v>
      </c>
      <c r="H302">
        <f>装备!AA63</f>
        <v>0</v>
      </c>
      <c r="I302">
        <f>装备!AB63</f>
        <v>0</v>
      </c>
      <c r="J302">
        <f>装备!AC63</f>
        <v>0</v>
      </c>
      <c r="K302">
        <f>装备!AD63</f>
        <v>0</v>
      </c>
      <c r="L302">
        <f>装备!AE63</f>
        <v>0</v>
      </c>
      <c r="M302" t="str">
        <f t="shared" si="56"/>
        <v>InitUnitState('E211',0,0,18,0,28400,0,0,0,0,0)</v>
      </c>
      <c r="N302">
        <f>装备!AF63</f>
        <v>0</v>
      </c>
      <c r="O302">
        <f>装备!AG63</f>
        <v>0</v>
      </c>
      <c r="P302">
        <f>装备!AH63</f>
        <v>0</v>
      </c>
      <c r="Q302">
        <f>装备!AI63</f>
        <v>0</v>
      </c>
      <c r="R302">
        <f>装备!AJ63</f>
        <v>0</v>
      </c>
      <c r="S302">
        <f>装备!AK63</f>
        <v>0</v>
      </c>
      <c r="T302">
        <f>装备!AL63</f>
        <v>0</v>
      </c>
      <c r="U302">
        <f>装备!AM63</f>
        <v>6</v>
      </c>
      <c r="V302">
        <f>装备!AN63</f>
        <v>0</v>
      </c>
      <c r="W302">
        <f>装备!AO63</f>
        <v>0</v>
      </c>
      <c r="X302" t="str">
        <f t="shared" si="57"/>
        <v>InitUnitNormal('E211',0,0,0,0,0,0,0,6,0,0)</v>
      </c>
      <c r="Y302">
        <f>装备!AP63</f>
        <v>0</v>
      </c>
      <c r="Z302">
        <f>装备!AQ63</f>
        <v>0</v>
      </c>
      <c r="AA302">
        <f>装备!AR63</f>
        <v>0</v>
      </c>
      <c r="AB302">
        <f>装备!AS63</f>
        <v>0</v>
      </c>
      <c r="AC302">
        <f>装备!AT63</f>
        <v>0</v>
      </c>
      <c r="AD302">
        <f>装备!AU63</f>
        <v>0</v>
      </c>
      <c r="AE302">
        <f>装备!AV63</f>
        <v>0</v>
      </c>
      <c r="AF302">
        <f>装备!AW63</f>
        <v>0</v>
      </c>
      <c r="AG302">
        <f>装备!AX63</f>
        <v>0</v>
      </c>
      <c r="AH302">
        <f>装备!AY63</f>
        <v>0</v>
      </c>
      <c r="AI302" t="str">
        <f t="shared" si="58"/>
        <v>InitUnitMagic('E211',0,0,0,0,0,0,0,0,0,0)</v>
      </c>
      <c r="AJ302">
        <f>装备!AZ63</f>
        <v>0</v>
      </c>
      <c r="AK302">
        <f>装备!BA63</f>
        <v>0</v>
      </c>
      <c r="AL302">
        <f>装备!BB63</f>
        <v>0</v>
      </c>
      <c r="AM302">
        <f>装备!BC63</f>
        <v>0</v>
      </c>
      <c r="AN302">
        <f>装备!BD63</f>
        <v>0</v>
      </c>
      <c r="AO302">
        <f>装备!BE63</f>
        <v>0</v>
      </c>
      <c r="AP302">
        <f>装备!BF63</f>
        <v>0</v>
      </c>
      <c r="AQ302">
        <f>装备!BG63</f>
        <v>0</v>
      </c>
      <c r="AR302">
        <f>装备!BH63</f>
        <v>0</v>
      </c>
      <c r="AS302">
        <f>装备!BI63</f>
        <v>0</v>
      </c>
      <c r="AT302" t="str">
        <f t="shared" si="59"/>
        <v>InitUnitAdd('E211',0,0,0,0,0,0,0,0,0,0)</v>
      </c>
      <c r="AU302">
        <f>装备!BJ63</f>
        <v>0</v>
      </c>
      <c r="AV302">
        <f>装备!BK63</f>
        <v>0</v>
      </c>
      <c r="AW302">
        <f>装备!BL63</f>
        <v>0</v>
      </c>
      <c r="AX302">
        <f>装备!BM63</f>
        <v>0</v>
      </c>
      <c r="AY302">
        <f>装备!BN63</f>
        <v>0</v>
      </c>
      <c r="AZ302">
        <f>装备!BO63</f>
        <v>0</v>
      </c>
      <c r="BA302">
        <f>装备!BP63</f>
        <v>0</v>
      </c>
      <c r="BB302">
        <f>装备!BQ63</f>
        <v>0</v>
      </c>
      <c r="BC302">
        <f>装备!BR63</f>
        <v>0</v>
      </c>
      <c r="BD302">
        <f>装备!BS63</f>
        <v>0</v>
      </c>
      <c r="BE302" t="str">
        <f t="shared" si="60"/>
        <v>InitUnitStateTime('E211',0,0,0,0,0,0,0,0,0,0)</v>
      </c>
      <c r="BF302">
        <f>装备!BT63</f>
        <v>0</v>
      </c>
      <c r="BG302">
        <f>装备!BU63</f>
        <v>0</v>
      </c>
      <c r="BH302">
        <f>装备!BV63</f>
        <v>0</v>
      </c>
      <c r="BI302">
        <f>装备!BW63</f>
        <v>0</v>
      </c>
      <c r="BJ302">
        <f>装备!BX63</f>
        <v>0</v>
      </c>
      <c r="BK302">
        <f>装备!BY63</f>
        <v>0</v>
      </c>
      <c r="BL302">
        <f>装备!BZ63</f>
        <v>0</v>
      </c>
      <c r="BM302">
        <f>装备!CA63</f>
        <v>0</v>
      </c>
      <c r="BN302">
        <f>装备!CB63</f>
        <v>0</v>
      </c>
      <c r="BO302">
        <f>装备!CC63</f>
        <v>0</v>
      </c>
      <c r="BP302" t="str">
        <f t="shared" si="61"/>
        <v>InitUnitStateAttack('E211',0,0,0,0,0,0,0,0,0,0)</v>
      </c>
      <c r="BQ302">
        <f>装备!CD63</f>
        <v>0</v>
      </c>
      <c r="BR302">
        <f>装备!CE63</f>
        <v>0</v>
      </c>
      <c r="BS302">
        <f>装备!CF63</f>
        <v>0</v>
      </c>
      <c r="BT302">
        <f>装备!CG63</f>
        <v>0</v>
      </c>
      <c r="BU302">
        <f>装备!CH63</f>
        <v>0</v>
      </c>
      <c r="BV302">
        <f>装备!CI63</f>
        <v>0</v>
      </c>
      <c r="BW302">
        <f>装备!CJ63</f>
        <v>0</v>
      </c>
      <c r="BX302">
        <f>装备!CK63</f>
        <v>0</v>
      </c>
      <c r="BY302">
        <f>装备!CL63</f>
        <v>0</v>
      </c>
      <c r="BZ302">
        <f>装备!CM63</f>
        <v>0</v>
      </c>
      <c r="CA302" t="str">
        <f t="shared" si="62"/>
        <v>InitUnitStateUpUp('E211',0,0,0,0,0,0,0,0,0,0)</v>
      </c>
      <c r="CB302" t="str">
        <f t="shared" si="63"/>
        <v>InitUnitState('E211',0,0,18,0,28400,0,0,0,0,0)</v>
      </c>
      <c r="CC302" t="str">
        <f t="shared" si="64"/>
        <v>InitUnitNormal('E211',0,0,0,0,0,0,0,6,0,0)</v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装备!B64</f>
        <v>E212</v>
      </c>
      <c r="B303">
        <f>装备!A64</f>
        <v>0</v>
      </c>
      <c r="C303">
        <f>装备!V64</f>
        <v>0</v>
      </c>
      <c r="D303">
        <f>装备!W64</f>
        <v>0</v>
      </c>
      <c r="E303">
        <f>装备!X64</f>
        <v>21</v>
      </c>
      <c r="F303">
        <f>装备!Y64</f>
        <v>0</v>
      </c>
      <c r="G303">
        <f>装备!Z64</f>
        <v>32800</v>
      </c>
      <c r="H303">
        <f>装备!AA64</f>
        <v>0</v>
      </c>
      <c r="I303">
        <f>装备!AB64</f>
        <v>0</v>
      </c>
      <c r="J303">
        <f>装备!AC64</f>
        <v>0</v>
      </c>
      <c r="K303">
        <f>装备!AD64</f>
        <v>0</v>
      </c>
      <c r="L303">
        <f>装备!AE64</f>
        <v>0</v>
      </c>
      <c r="M303" t="str">
        <f t="shared" si="56"/>
        <v>InitUnitState('E212',0,0,21,0,32800,0,0,0,0,0)</v>
      </c>
      <c r="N303">
        <f>装备!AF64</f>
        <v>0</v>
      </c>
      <c r="O303">
        <f>装备!AG64</f>
        <v>0</v>
      </c>
      <c r="P303">
        <f>装备!AH64</f>
        <v>0</v>
      </c>
      <c r="Q303">
        <f>装备!AI64</f>
        <v>0</v>
      </c>
      <c r="R303">
        <f>装备!AJ64</f>
        <v>0</v>
      </c>
      <c r="S303">
        <f>装备!AK64</f>
        <v>0</v>
      </c>
      <c r="T303">
        <f>装备!AL64</f>
        <v>0</v>
      </c>
      <c r="U303">
        <f>装备!AM64</f>
        <v>6</v>
      </c>
      <c r="V303">
        <f>装备!AN64</f>
        <v>0</v>
      </c>
      <c r="W303">
        <f>装备!AO64</f>
        <v>0</v>
      </c>
      <c r="X303" t="str">
        <f t="shared" si="57"/>
        <v>InitUnitNormal('E212',0,0,0,0,0,0,0,6,0,0)</v>
      </c>
      <c r="Y303">
        <f>装备!AP64</f>
        <v>0</v>
      </c>
      <c r="Z303">
        <f>装备!AQ64</f>
        <v>0</v>
      </c>
      <c r="AA303">
        <f>装备!AR64</f>
        <v>0</v>
      </c>
      <c r="AB303">
        <f>装备!AS64</f>
        <v>0</v>
      </c>
      <c r="AC303">
        <f>装备!AT64</f>
        <v>0</v>
      </c>
      <c r="AD303">
        <f>装备!AU64</f>
        <v>0</v>
      </c>
      <c r="AE303">
        <f>装备!AV64</f>
        <v>0</v>
      </c>
      <c r="AF303">
        <f>装备!AW64</f>
        <v>0</v>
      </c>
      <c r="AG303">
        <f>装备!AX64</f>
        <v>0</v>
      </c>
      <c r="AH303">
        <f>装备!AY64</f>
        <v>0</v>
      </c>
      <c r="AI303" t="str">
        <f t="shared" si="58"/>
        <v>InitUnitMagic('E212',0,0,0,0,0,0,0,0,0,0)</v>
      </c>
      <c r="AJ303">
        <f>装备!AZ64</f>
        <v>0</v>
      </c>
      <c r="AK303">
        <f>装备!BA64</f>
        <v>0</v>
      </c>
      <c r="AL303">
        <f>装备!BB64</f>
        <v>0</v>
      </c>
      <c r="AM303">
        <f>装备!BC64</f>
        <v>0</v>
      </c>
      <c r="AN303">
        <f>装备!BD64</f>
        <v>0</v>
      </c>
      <c r="AO303">
        <f>装备!BE64</f>
        <v>0</v>
      </c>
      <c r="AP303">
        <f>装备!BF64</f>
        <v>0</v>
      </c>
      <c r="AQ303">
        <f>装备!BG64</f>
        <v>0</v>
      </c>
      <c r="AR303">
        <f>装备!BH64</f>
        <v>0</v>
      </c>
      <c r="AS303">
        <f>装备!BI64</f>
        <v>0</v>
      </c>
      <c r="AT303" t="str">
        <f t="shared" si="59"/>
        <v>InitUnitAdd('E212',0,0,0,0,0,0,0,0,0,0)</v>
      </c>
      <c r="AU303">
        <f>装备!BJ64</f>
        <v>0</v>
      </c>
      <c r="AV303">
        <f>装备!BK64</f>
        <v>0</v>
      </c>
      <c r="AW303">
        <f>装备!BL64</f>
        <v>0</v>
      </c>
      <c r="AX303">
        <f>装备!BM64</f>
        <v>0</v>
      </c>
      <c r="AY303">
        <f>装备!BN64</f>
        <v>0</v>
      </c>
      <c r="AZ303">
        <f>装备!BO64</f>
        <v>0</v>
      </c>
      <c r="BA303">
        <f>装备!BP64</f>
        <v>0</v>
      </c>
      <c r="BB303">
        <f>装备!BQ64</f>
        <v>0</v>
      </c>
      <c r="BC303">
        <f>装备!BR64</f>
        <v>0</v>
      </c>
      <c r="BD303">
        <f>装备!BS64</f>
        <v>0</v>
      </c>
      <c r="BE303" t="str">
        <f t="shared" si="60"/>
        <v>InitUnitStateTime('E212',0,0,0,0,0,0,0,0,0,0)</v>
      </c>
      <c r="BF303">
        <f>装备!BT64</f>
        <v>0</v>
      </c>
      <c r="BG303">
        <f>装备!BU64</f>
        <v>0</v>
      </c>
      <c r="BH303">
        <f>装备!BV64</f>
        <v>0</v>
      </c>
      <c r="BI303">
        <f>装备!BW64</f>
        <v>0</v>
      </c>
      <c r="BJ303">
        <f>装备!BX64</f>
        <v>0</v>
      </c>
      <c r="BK303">
        <f>装备!BY64</f>
        <v>0</v>
      </c>
      <c r="BL303">
        <f>装备!BZ64</f>
        <v>0</v>
      </c>
      <c r="BM303">
        <f>装备!CA64</f>
        <v>0</v>
      </c>
      <c r="BN303">
        <f>装备!CB64</f>
        <v>0</v>
      </c>
      <c r="BO303">
        <f>装备!CC64</f>
        <v>0</v>
      </c>
      <c r="BP303" t="str">
        <f t="shared" si="61"/>
        <v>InitUnitStateAttack('E212',0,0,0,0,0,0,0,0,0,0)</v>
      </c>
      <c r="BQ303">
        <f>装备!CD64</f>
        <v>0</v>
      </c>
      <c r="BR303">
        <f>装备!CE64</f>
        <v>0</v>
      </c>
      <c r="BS303">
        <f>装备!CF64</f>
        <v>0</v>
      </c>
      <c r="BT303">
        <f>装备!CG64</f>
        <v>0</v>
      </c>
      <c r="BU303">
        <f>装备!CH64</f>
        <v>0</v>
      </c>
      <c r="BV303">
        <f>装备!CI64</f>
        <v>0</v>
      </c>
      <c r="BW303">
        <f>装备!CJ64</f>
        <v>0</v>
      </c>
      <c r="BX303">
        <f>装备!CK64</f>
        <v>0</v>
      </c>
      <c r="BY303">
        <f>装备!CL64</f>
        <v>0</v>
      </c>
      <c r="BZ303">
        <f>装备!CM64</f>
        <v>0</v>
      </c>
      <c r="CA303" t="str">
        <f t="shared" si="62"/>
        <v>InitUnitStateUpUp('E212',0,0,0,0,0,0,0,0,0,0)</v>
      </c>
      <c r="CB303" t="str">
        <f t="shared" si="63"/>
        <v>InitUnitState('E212',0,0,21,0,32800,0,0,0,0,0)</v>
      </c>
      <c r="CC303" t="str">
        <f t="shared" si="64"/>
        <v>InitUnitNormal('E212',0,0,0,0,0,0,0,6,0,0)</v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装备!B65</f>
        <v>E213</v>
      </c>
      <c r="B304">
        <f>装备!A65</f>
        <v>0</v>
      </c>
      <c r="C304">
        <f>装备!V65</f>
        <v>0</v>
      </c>
      <c r="D304">
        <f>装备!W65</f>
        <v>0</v>
      </c>
      <c r="E304">
        <f>装备!X65</f>
        <v>24</v>
      </c>
      <c r="F304">
        <f>装备!Y65</f>
        <v>0</v>
      </c>
      <c r="G304">
        <f>装备!Z65</f>
        <v>37200</v>
      </c>
      <c r="H304">
        <f>装备!AA65</f>
        <v>0</v>
      </c>
      <c r="I304">
        <f>装备!AB65</f>
        <v>0</v>
      </c>
      <c r="J304">
        <f>装备!AC65</f>
        <v>0</v>
      </c>
      <c r="K304">
        <f>装备!AD65</f>
        <v>0</v>
      </c>
      <c r="L304">
        <f>装备!AE65</f>
        <v>0</v>
      </c>
      <c r="M304" t="str">
        <f t="shared" si="56"/>
        <v>InitUnitState('E213',0,0,24,0,37200,0,0,0,0,0)</v>
      </c>
      <c r="N304">
        <f>装备!AF65</f>
        <v>0</v>
      </c>
      <c r="O304">
        <f>装备!AG65</f>
        <v>0</v>
      </c>
      <c r="P304">
        <f>装备!AH65</f>
        <v>0</v>
      </c>
      <c r="Q304">
        <f>装备!AI65</f>
        <v>0</v>
      </c>
      <c r="R304">
        <f>装备!AJ65</f>
        <v>0</v>
      </c>
      <c r="S304">
        <f>装备!AK65</f>
        <v>0</v>
      </c>
      <c r="T304">
        <f>装备!AL65</f>
        <v>0</v>
      </c>
      <c r="U304">
        <f>装备!AM65</f>
        <v>6</v>
      </c>
      <c r="V304">
        <f>装备!AN65</f>
        <v>0</v>
      </c>
      <c r="W304">
        <f>装备!AO65</f>
        <v>0</v>
      </c>
      <c r="X304" t="str">
        <f t="shared" si="57"/>
        <v>InitUnitNormal('E213',0,0,0,0,0,0,0,6,0,0)</v>
      </c>
      <c r="Y304">
        <f>装备!AP65</f>
        <v>0</v>
      </c>
      <c r="Z304">
        <f>装备!AQ65</f>
        <v>0</v>
      </c>
      <c r="AA304">
        <f>装备!AR65</f>
        <v>0</v>
      </c>
      <c r="AB304">
        <f>装备!AS65</f>
        <v>0</v>
      </c>
      <c r="AC304">
        <f>装备!AT65</f>
        <v>0</v>
      </c>
      <c r="AD304">
        <f>装备!AU65</f>
        <v>0</v>
      </c>
      <c r="AE304">
        <f>装备!AV65</f>
        <v>0</v>
      </c>
      <c r="AF304">
        <f>装备!AW65</f>
        <v>0</v>
      </c>
      <c r="AG304">
        <f>装备!AX65</f>
        <v>0</v>
      </c>
      <c r="AH304">
        <f>装备!AY65</f>
        <v>0</v>
      </c>
      <c r="AI304" t="str">
        <f t="shared" si="58"/>
        <v>InitUnitMagic('E213',0,0,0,0,0,0,0,0,0,0)</v>
      </c>
      <c r="AJ304">
        <f>装备!AZ65</f>
        <v>0</v>
      </c>
      <c r="AK304">
        <f>装备!BA65</f>
        <v>0</v>
      </c>
      <c r="AL304">
        <f>装备!BB65</f>
        <v>0</v>
      </c>
      <c r="AM304">
        <f>装备!BC65</f>
        <v>0</v>
      </c>
      <c r="AN304">
        <f>装备!BD65</f>
        <v>0</v>
      </c>
      <c r="AO304">
        <f>装备!BE65</f>
        <v>0</v>
      </c>
      <c r="AP304">
        <f>装备!BF65</f>
        <v>0</v>
      </c>
      <c r="AQ304">
        <f>装备!BG65</f>
        <v>0</v>
      </c>
      <c r="AR304">
        <f>装备!BH65</f>
        <v>0</v>
      </c>
      <c r="AS304">
        <f>装备!BI65</f>
        <v>0</v>
      </c>
      <c r="AT304" t="str">
        <f t="shared" si="59"/>
        <v>InitUnitAdd('E213',0,0,0,0,0,0,0,0,0,0)</v>
      </c>
      <c r="AU304">
        <f>装备!BJ65</f>
        <v>0</v>
      </c>
      <c r="AV304">
        <f>装备!BK65</f>
        <v>0</v>
      </c>
      <c r="AW304">
        <f>装备!BL65</f>
        <v>0</v>
      </c>
      <c r="AX304">
        <f>装备!BM65</f>
        <v>0</v>
      </c>
      <c r="AY304">
        <f>装备!BN65</f>
        <v>0</v>
      </c>
      <c r="AZ304">
        <f>装备!BO65</f>
        <v>0</v>
      </c>
      <c r="BA304">
        <f>装备!BP65</f>
        <v>0</v>
      </c>
      <c r="BB304">
        <f>装备!BQ65</f>
        <v>0</v>
      </c>
      <c r="BC304">
        <f>装备!BR65</f>
        <v>0</v>
      </c>
      <c r="BD304">
        <f>装备!BS65</f>
        <v>0</v>
      </c>
      <c r="BE304" t="str">
        <f t="shared" si="60"/>
        <v>InitUnitStateTime('E213',0,0,0,0,0,0,0,0,0,0)</v>
      </c>
      <c r="BF304">
        <f>装备!BT65</f>
        <v>0</v>
      </c>
      <c r="BG304">
        <f>装备!BU65</f>
        <v>0</v>
      </c>
      <c r="BH304">
        <f>装备!BV65</f>
        <v>0</v>
      </c>
      <c r="BI304">
        <f>装备!BW65</f>
        <v>0</v>
      </c>
      <c r="BJ304">
        <f>装备!BX65</f>
        <v>0</v>
      </c>
      <c r="BK304">
        <f>装备!BY65</f>
        <v>0</v>
      </c>
      <c r="BL304">
        <f>装备!BZ65</f>
        <v>0</v>
      </c>
      <c r="BM304">
        <f>装备!CA65</f>
        <v>0</v>
      </c>
      <c r="BN304">
        <f>装备!CB65</f>
        <v>0</v>
      </c>
      <c r="BO304">
        <f>装备!CC65</f>
        <v>0</v>
      </c>
      <c r="BP304" t="str">
        <f t="shared" si="61"/>
        <v>InitUnitStateAttack('E213',0,0,0,0,0,0,0,0,0,0)</v>
      </c>
      <c r="BQ304">
        <f>装备!CD65</f>
        <v>0</v>
      </c>
      <c r="BR304">
        <f>装备!CE65</f>
        <v>0</v>
      </c>
      <c r="BS304">
        <f>装备!CF65</f>
        <v>0</v>
      </c>
      <c r="BT304">
        <f>装备!CG65</f>
        <v>0</v>
      </c>
      <c r="BU304">
        <f>装备!CH65</f>
        <v>0</v>
      </c>
      <c r="BV304">
        <f>装备!CI65</f>
        <v>0</v>
      </c>
      <c r="BW304">
        <f>装备!CJ65</f>
        <v>0</v>
      </c>
      <c r="BX304">
        <f>装备!CK65</f>
        <v>0</v>
      </c>
      <c r="BY304">
        <f>装备!CL65</f>
        <v>0</v>
      </c>
      <c r="BZ304">
        <f>装备!CM65</f>
        <v>0</v>
      </c>
      <c r="CA304" t="str">
        <f t="shared" si="62"/>
        <v>InitUnitStateUpUp('E213',0,0,0,0,0,0,0,0,0,0)</v>
      </c>
      <c r="CB304" t="str">
        <f t="shared" si="63"/>
        <v>InitUnitState('E213',0,0,24,0,37200,0,0,0,0,0)</v>
      </c>
      <c r="CC304" t="str">
        <f t="shared" si="64"/>
        <v>InitUnitNormal('E213',0,0,0,0,0,0,0,6,0,0)</v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装备!B66</f>
        <v>E214</v>
      </c>
      <c r="B305">
        <f>装备!A66</f>
        <v>0</v>
      </c>
      <c r="C305">
        <f>装备!V66</f>
        <v>0</v>
      </c>
      <c r="D305">
        <f>装备!W66</f>
        <v>0</v>
      </c>
      <c r="E305">
        <f>装备!X66</f>
        <v>27</v>
      </c>
      <c r="F305">
        <f>装备!Y66</f>
        <v>0</v>
      </c>
      <c r="G305">
        <f>装备!Z66</f>
        <v>41600</v>
      </c>
      <c r="H305">
        <f>装备!AA66</f>
        <v>0</v>
      </c>
      <c r="I305">
        <f>装备!AB66</f>
        <v>0</v>
      </c>
      <c r="J305">
        <f>装备!AC66</f>
        <v>0</v>
      </c>
      <c r="K305">
        <f>装备!AD66</f>
        <v>0</v>
      </c>
      <c r="L305">
        <f>装备!AE66</f>
        <v>0</v>
      </c>
      <c r="M305" t="str">
        <f t="shared" si="56"/>
        <v>InitUnitState('E214',0,0,27,0,41600,0,0,0,0,0)</v>
      </c>
      <c r="N305">
        <f>装备!AF66</f>
        <v>0</v>
      </c>
      <c r="O305">
        <f>装备!AG66</f>
        <v>0</v>
      </c>
      <c r="P305">
        <f>装备!AH66</f>
        <v>0</v>
      </c>
      <c r="Q305">
        <f>装备!AI66</f>
        <v>0</v>
      </c>
      <c r="R305">
        <f>装备!AJ66</f>
        <v>0</v>
      </c>
      <c r="S305">
        <f>装备!AK66</f>
        <v>0</v>
      </c>
      <c r="T305">
        <f>装备!AL66</f>
        <v>0</v>
      </c>
      <c r="U305">
        <f>装备!AM66</f>
        <v>6</v>
      </c>
      <c r="V305">
        <f>装备!AN66</f>
        <v>0</v>
      </c>
      <c r="W305">
        <f>装备!AO66</f>
        <v>0</v>
      </c>
      <c r="X305" t="str">
        <f t="shared" si="57"/>
        <v>InitUnitNormal('E214',0,0,0,0,0,0,0,6,0,0)</v>
      </c>
      <c r="Y305">
        <f>装备!AP66</f>
        <v>0</v>
      </c>
      <c r="Z305">
        <f>装备!AQ66</f>
        <v>0</v>
      </c>
      <c r="AA305">
        <f>装备!AR66</f>
        <v>0</v>
      </c>
      <c r="AB305">
        <f>装备!AS66</f>
        <v>0</v>
      </c>
      <c r="AC305">
        <f>装备!AT66</f>
        <v>0</v>
      </c>
      <c r="AD305">
        <f>装备!AU66</f>
        <v>0</v>
      </c>
      <c r="AE305">
        <f>装备!AV66</f>
        <v>0</v>
      </c>
      <c r="AF305">
        <f>装备!AW66</f>
        <v>0</v>
      </c>
      <c r="AG305">
        <f>装备!AX66</f>
        <v>0</v>
      </c>
      <c r="AH305">
        <f>装备!AY66</f>
        <v>0</v>
      </c>
      <c r="AI305" t="str">
        <f t="shared" si="58"/>
        <v>InitUnitMagic('E214',0,0,0,0,0,0,0,0,0,0)</v>
      </c>
      <c r="AJ305">
        <f>装备!AZ66</f>
        <v>0</v>
      </c>
      <c r="AK305">
        <f>装备!BA66</f>
        <v>0</v>
      </c>
      <c r="AL305">
        <f>装备!BB66</f>
        <v>0</v>
      </c>
      <c r="AM305">
        <f>装备!BC66</f>
        <v>0</v>
      </c>
      <c r="AN305">
        <f>装备!BD66</f>
        <v>0</v>
      </c>
      <c r="AO305">
        <f>装备!BE66</f>
        <v>0</v>
      </c>
      <c r="AP305">
        <f>装备!BF66</f>
        <v>0</v>
      </c>
      <c r="AQ305">
        <f>装备!BG66</f>
        <v>0</v>
      </c>
      <c r="AR305">
        <f>装备!BH66</f>
        <v>0</v>
      </c>
      <c r="AS305">
        <f>装备!BI66</f>
        <v>0</v>
      </c>
      <c r="AT305" t="str">
        <f t="shared" si="59"/>
        <v>InitUnitAdd('E214',0,0,0,0,0,0,0,0,0,0)</v>
      </c>
      <c r="AU305">
        <f>装备!BJ66</f>
        <v>0</v>
      </c>
      <c r="AV305">
        <f>装备!BK66</f>
        <v>0</v>
      </c>
      <c r="AW305">
        <f>装备!BL66</f>
        <v>0</v>
      </c>
      <c r="AX305">
        <f>装备!BM66</f>
        <v>0</v>
      </c>
      <c r="AY305">
        <f>装备!BN66</f>
        <v>0</v>
      </c>
      <c r="AZ305">
        <f>装备!BO66</f>
        <v>0</v>
      </c>
      <c r="BA305">
        <f>装备!BP66</f>
        <v>0</v>
      </c>
      <c r="BB305">
        <f>装备!BQ66</f>
        <v>0</v>
      </c>
      <c r="BC305">
        <f>装备!BR66</f>
        <v>0</v>
      </c>
      <c r="BD305">
        <f>装备!BS66</f>
        <v>0</v>
      </c>
      <c r="BE305" t="str">
        <f t="shared" si="60"/>
        <v>InitUnitStateTime('E214',0,0,0,0,0,0,0,0,0,0)</v>
      </c>
      <c r="BF305">
        <f>装备!BT66</f>
        <v>0</v>
      </c>
      <c r="BG305">
        <f>装备!BU66</f>
        <v>0</v>
      </c>
      <c r="BH305">
        <f>装备!BV66</f>
        <v>0</v>
      </c>
      <c r="BI305">
        <f>装备!BW66</f>
        <v>0</v>
      </c>
      <c r="BJ305">
        <f>装备!BX66</f>
        <v>0</v>
      </c>
      <c r="BK305">
        <f>装备!BY66</f>
        <v>0</v>
      </c>
      <c r="BL305">
        <f>装备!BZ66</f>
        <v>0</v>
      </c>
      <c r="BM305">
        <f>装备!CA66</f>
        <v>0</v>
      </c>
      <c r="BN305">
        <f>装备!CB66</f>
        <v>0</v>
      </c>
      <c r="BO305">
        <f>装备!CC66</f>
        <v>0</v>
      </c>
      <c r="BP305" t="str">
        <f t="shared" si="61"/>
        <v>InitUnitStateAttack('E214',0,0,0,0,0,0,0,0,0,0)</v>
      </c>
      <c r="BQ305">
        <f>装备!CD66</f>
        <v>0</v>
      </c>
      <c r="BR305">
        <f>装备!CE66</f>
        <v>0</v>
      </c>
      <c r="BS305">
        <f>装备!CF66</f>
        <v>0</v>
      </c>
      <c r="BT305">
        <f>装备!CG66</f>
        <v>0</v>
      </c>
      <c r="BU305">
        <f>装备!CH66</f>
        <v>0</v>
      </c>
      <c r="BV305">
        <f>装备!CI66</f>
        <v>0</v>
      </c>
      <c r="BW305">
        <f>装备!CJ66</f>
        <v>0</v>
      </c>
      <c r="BX305">
        <f>装备!CK66</f>
        <v>0</v>
      </c>
      <c r="BY305">
        <f>装备!CL66</f>
        <v>0</v>
      </c>
      <c r="BZ305">
        <f>装备!CM66</f>
        <v>0</v>
      </c>
      <c r="CA305" t="str">
        <f t="shared" si="62"/>
        <v>InitUnitStateUpUp('E214',0,0,0,0,0,0,0,0,0,0)</v>
      </c>
      <c r="CB305" t="str">
        <f t="shared" si="63"/>
        <v>InitUnitState('E214',0,0,27,0,41600,0,0,0,0,0)</v>
      </c>
      <c r="CC305" t="str">
        <f t="shared" si="64"/>
        <v>InitUnitNormal('E214',0,0,0,0,0,0,0,6,0,0)</v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装备!B67</f>
        <v>E215</v>
      </c>
      <c r="B306">
        <f>装备!A67</f>
        <v>0</v>
      </c>
      <c r="C306">
        <f>装备!V67</f>
        <v>0</v>
      </c>
      <c r="D306">
        <f>装备!W67</f>
        <v>0</v>
      </c>
      <c r="E306">
        <f>装备!X67</f>
        <v>30</v>
      </c>
      <c r="F306">
        <f>装备!Y67</f>
        <v>0</v>
      </c>
      <c r="G306">
        <f>装备!Z67</f>
        <v>46000</v>
      </c>
      <c r="H306">
        <f>装备!AA67</f>
        <v>0</v>
      </c>
      <c r="I306">
        <f>装备!AB67</f>
        <v>0</v>
      </c>
      <c r="J306">
        <f>装备!AC67</f>
        <v>0</v>
      </c>
      <c r="K306">
        <f>装备!AD67</f>
        <v>0</v>
      </c>
      <c r="L306">
        <f>装备!AE67</f>
        <v>0</v>
      </c>
      <c r="M306" t="str">
        <f t="shared" si="56"/>
        <v>InitUnitState('E215',0,0,30,0,46000,0,0,0,0,0)</v>
      </c>
      <c r="N306">
        <f>装备!AF67</f>
        <v>0</v>
      </c>
      <c r="O306">
        <f>装备!AG67</f>
        <v>0</v>
      </c>
      <c r="P306">
        <f>装备!AH67</f>
        <v>0</v>
      </c>
      <c r="Q306">
        <f>装备!AI67</f>
        <v>0</v>
      </c>
      <c r="R306">
        <f>装备!AJ67</f>
        <v>0</v>
      </c>
      <c r="S306">
        <f>装备!AK67</f>
        <v>0</v>
      </c>
      <c r="T306">
        <f>装备!AL67</f>
        <v>0</v>
      </c>
      <c r="U306">
        <f>装备!AM67</f>
        <v>6</v>
      </c>
      <c r="V306">
        <f>装备!AN67</f>
        <v>0</v>
      </c>
      <c r="W306">
        <f>装备!AO67</f>
        <v>0</v>
      </c>
      <c r="X306" t="str">
        <f t="shared" si="57"/>
        <v>InitUnitNormal('E215',0,0,0,0,0,0,0,6,0,0)</v>
      </c>
      <c r="Y306">
        <f>装备!AP67</f>
        <v>0</v>
      </c>
      <c r="Z306">
        <f>装备!AQ67</f>
        <v>0</v>
      </c>
      <c r="AA306">
        <f>装备!AR67</f>
        <v>0</v>
      </c>
      <c r="AB306">
        <f>装备!AS67</f>
        <v>0</v>
      </c>
      <c r="AC306">
        <f>装备!AT67</f>
        <v>0</v>
      </c>
      <c r="AD306">
        <f>装备!AU67</f>
        <v>0</v>
      </c>
      <c r="AE306">
        <f>装备!AV67</f>
        <v>0</v>
      </c>
      <c r="AF306">
        <f>装备!AW67</f>
        <v>0</v>
      </c>
      <c r="AG306">
        <f>装备!AX67</f>
        <v>0</v>
      </c>
      <c r="AH306">
        <f>装备!AY67</f>
        <v>0</v>
      </c>
      <c r="AI306" t="str">
        <f t="shared" si="58"/>
        <v>InitUnitMagic('E215',0,0,0,0,0,0,0,0,0,0)</v>
      </c>
      <c r="AJ306">
        <f>装备!AZ67</f>
        <v>0</v>
      </c>
      <c r="AK306">
        <f>装备!BA67</f>
        <v>0</v>
      </c>
      <c r="AL306">
        <f>装备!BB67</f>
        <v>0</v>
      </c>
      <c r="AM306">
        <f>装备!BC67</f>
        <v>0</v>
      </c>
      <c r="AN306">
        <f>装备!BD67</f>
        <v>0</v>
      </c>
      <c r="AO306">
        <f>装备!BE67</f>
        <v>0</v>
      </c>
      <c r="AP306">
        <f>装备!BF67</f>
        <v>0</v>
      </c>
      <c r="AQ306">
        <f>装备!BG67</f>
        <v>0</v>
      </c>
      <c r="AR306">
        <f>装备!BH67</f>
        <v>0</v>
      </c>
      <c r="AS306">
        <f>装备!BI67</f>
        <v>0</v>
      </c>
      <c r="AT306" t="str">
        <f t="shared" si="59"/>
        <v>InitUnitAdd('E215',0,0,0,0,0,0,0,0,0,0)</v>
      </c>
      <c r="AU306">
        <f>装备!BJ67</f>
        <v>0</v>
      </c>
      <c r="AV306">
        <f>装备!BK67</f>
        <v>0</v>
      </c>
      <c r="AW306">
        <f>装备!BL67</f>
        <v>0</v>
      </c>
      <c r="AX306">
        <f>装备!BM67</f>
        <v>0</v>
      </c>
      <c r="AY306">
        <f>装备!BN67</f>
        <v>0</v>
      </c>
      <c r="AZ306">
        <f>装备!BO67</f>
        <v>0</v>
      </c>
      <c r="BA306">
        <f>装备!BP67</f>
        <v>0</v>
      </c>
      <c r="BB306">
        <f>装备!BQ67</f>
        <v>0</v>
      </c>
      <c r="BC306">
        <f>装备!BR67</f>
        <v>0</v>
      </c>
      <c r="BD306">
        <f>装备!BS67</f>
        <v>0</v>
      </c>
      <c r="BE306" t="str">
        <f t="shared" si="60"/>
        <v>InitUnitStateTime('E215',0,0,0,0,0,0,0,0,0,0)</v>
      </c>
      <c r="BF306">
        <f>装备!BT67</f>
        <v>0</v>
      </c>
      <c r="BG306">
        <f>装备!BU67</f>
        <v>0</v>
      </c>
      <c r="BH306">
        <f>装备!BV67</f>
        <v>0</v>
      </c>
      <c r="BI306">
        <f>装备!BW67</f>
        <v>0</v>
      </c>
      <c r="BJ306">
        <f>装备!BX67</f>
        <v>0</v>
      </c>
      <c r="BK306">
        <f>装备!BY67</f>
        <v>0</v>
      </c>
      <c r="BL306">
        <f>装备!BZ67</f>
        <v>0</v>
      </c>
      <c r="BM306">
        <f>装备!CA67</f>
        <v>0</v>
      </c>
      <c r="BN306">
        <f>装备!CB67</f>
        <v>0</v>
      </c>
      <c r="BO306">
        <f>装备!CC67</f>
        <v>0</v>
      </c>
      <c r="BP306" t="str">
        <f t="shared" si="61"/>
        <v>InitUnitStateAttack('E215',0,0,0,0,0,0,0,0,0,0)</v>
      </c>
      <c r="BQ306">
        <f>装备!CD67</f>
        <v>0</v>
      </c>
      <c r="BR306">
        <f>装备!CE67</f>
        <v>0</v>
      </c>
      <c r="BS306">
        <f>装备!CF67</f>
        <v>0</v>
      </c>
      <c r="BT306">
        <f>装备!CG67</f>
        <v>0</v>
      </c>
      <c r="BU306">
        <f>装备!CH67</f>
        <v>0</v>
      </c>
      <c r="BV306">
        <f>装备!CI67</f>
        <v>0</v>
      </c>
      <c r="BW306">
        <f>装备!CJ67</f>
        <v>0</v>
      </c>
      <c r="BX306">
        <f>装备!CK67</f>
        <v>0</v>
      </c>
      <c r="BY306">
        <f>装备!CL67</f>
        <v>0</v>
      </c>
      <c r="BZ306">
        <f>装备!CM67</f>
        <v>0</v>
      </c>
      <c r="CA306" t="str">
        <f t="shared" si="62"/>
        <v>InitUnitStateUpUp('E215',0,0,0,0,0,0,0,0,0,0)</v>
      </c>
      <c r="CB306" t="str">
        <f t="shared" si="63"/>
        <v>InitUnitState('E215',0,0,30,0,46000,0,0,0,0,0)</v>
      </c>
      <c r="CC306" t="str">
        <f t="shared" si="64"/>
        <v>InitUnitNormal('E215',0,0,0,0,0,0,0,6,0,0)</v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装备!B68</f>
        <v>E216</v>
      </c>
      <c r="B307">
        <f>装备!A68</f>
        <v>0</v>
      </c>
      <c r="C307">
        <f>装备!V68</f>
        <v>0</v>
      </c>
      <c r="D307">
        <f>装备!W68</f>
        <v>0</v>
      </c>
      <c r="E307">
        <f>装备!X68</f>
        <v>34</v>
      </c>
      <c r="F307">
        <f>装备!Y68</f>
        <v>0</v>
      </c>
      <c r="G307">
        <f>装备!Z68</f>
        <v>54800</v>
      </c>
      <c r="H307">
        <f>装备!AA68</f>
        <v>0</v>
      </c>
      <c r="I307">
        <f>装备!AB68</f>
        <v>0</v>
      </c>
      <c r="J307">
        <f>装备!AC68</f>
        <v>0</v>
      </c>
      <c r="K307">
        <f>装备!AD68</f>
        <v>0</v>
      </c>
      <c r="L307">
        <f>装备!AE68</f>
        <v>0</v>
      </c>
      <c r="M307" t="str">
        <f t="shared" si="56"/>
        <v>InitUnitState('E216',0,0,34,0,54800,0,0,0,0,0)</v>
      </c>
      <c r="N307">
        <f>装备!AF68</f>
        <v>0</v>
      </c>
      <c r="O307">
        <f>装备!AG68</f>
        <v>0</v>
      </c>
      <c r="P307">
        <f>装备!AH68</f>
        <v>0</v>
      </c>
      <c r="Q307">
        <f>装备!AI68</f>
        <v>0</v>
      </c>
      <c r="R307">
        <f>装备!AJ68</f>
        <v>0</v>
      </c>
      <c r="S307">
        <f>装备!AK68</f>
        <v>0</v>
      </c>
      <c r="T307">
        <f>装备!AL68</f>
        <v>0</v>
      </c>
      <c r="U307">
        <f>装备!AM68</f>
        <v>9</v>
      </c>
      <c r="V307">
        <f>装备!AN68</f>
        <v>0</v>
      </c>
      <c r="W307">
        <f>装备!AO68</f>
        <v>0</v>
      </c>
      <c r="X307" t="str">
        <f t="shared" si="57"/>
        <v>InitUnitNormal('E216',0,0,0,0,0,0,0,9,0,0)</v>
      </c>
      <c r="Y307">
        <f>装备!AP68</f>
        <v>0</v>
      </c>
      <c r="Z307">
        <f>装备!AQ68</f>
        <v>0</v>
      </c>
      <c r="AA307">
        <f>装备!AR68</f>
        <v>0</v>
      </c>
      <c r="AB307">
        <f>装备!AS68</f>
        <v>0</v>
      </c>
      <c r="AC307">
        <f>装备!AT68</f>
        <v>0</v>
      </c>
      <c r="AD307">
        <f>装备!AU68</f>
        <v>0</v>
      </c>
      <c r="AE307">
        <f>装备!AV68</f>
        <v>0</v>
      </c>
      <c r="AF307">
        <f>装备!AW68</f>
        <v>0</v>
      </c>
      <c r="AG307">
        <f>装备!AX68</f>
        <v>0</v>
      </c>
      <c r="AH307">
        <f>装备!AY68</f>
        <v>0</v>
      </c>
      <c r="AI307" t="str">
        <f t="shared" si="58"/>
        <v>InitUnitMagic('E216',0,0,0,0,0,0,0,0,0,0)</v>
      </c>
      <c r="AJ307">
        <f>装备!AZ68</f>
        <v>0</v>
      </c>
      <c r="AK307">
        <f>装备!BA68</f>
        <v>0</v>
      </c>
      <c r="AL307">
        <f>装备!BB68</f>
        <v>0</v>
      </c>
      <c r="AM307">
        <f>装备!BC68</f>
        <v>0</v>
      </c>
      <c r="AN307">
        <f>装备!BD68</f>
        <v>0</v>
      </c>
      <c r="AO307">
        <f>装备!BE68</f>
        <v>0</v>
      </c>
      <c r="AP307">
        <f>装备!BF68</f>
        <v>0</v>
      </c>
      <c r="AQ307">
        <f>装备!BG68</f>
        <v>0</v>
      </c>
      <c r="AR307">
        <f>装备!BH68</f>
        <v>0</v>
      </c>
      <c r="AS307">
        <f>装备!BI68</f>
        <v>0</v>
      </c>
      <c r="AT307" t="str">
        <f t="shared" si="59"/>
        <v>InitUnitAdd('E216',0,0,0,0,0,0,0,0,0,0)</v>
      </c>
      <c r="AU307">
        <f>装备!BJ68</f>
        <v>0</v>
      </c>
      <c r="AV307">
        <f>装备!BK68</f>
        <v>0</v>
      </c>
      <c r="AW307">
        <f>装备!BL68</f>
        <v>0</v>
      </c>
      <c r="AX307">
        <f>装备!BM68</f>
        <v>0</v>
      </c>
      <c r="AY307">
        <f>装备!BN68</f>
        <v>0</v>
      </c>
      <c r="AZ307">
        <f>装备!BO68</f>
        <v>0</v>
      </c>
      <c r="BA307">
        <f>装备!BP68</f>
        <v>0</v>
      </c>
      <c r="BB307">
        <f>装备!BQ68</f>
        <v>0</v>
      </c>
      <c r="BC307">
        <f>装备!BR68</f>
        <v>0</v>
      </c>
      <c r="BD307">
        <f>装备!BS68</f>
        <v>0</v>
      </c>
      <c r="BE307" t="str">
        <f t="shared" si="60"/>
        <v>InitUnitStateTime('E216',0,0,0,0,0,0,0,0,0,0)</v>
      </c>
      <c r="BF307">
        <f>装备!BT68</f>
        <v>0</v>
      </c>
      <c r="BG307">
        <f>装备!BU68</f>
        <v>0</v>
      </c>
      <c r="BH307">
        <f>装备!BV68</f>
        <v>0</v>
      </c>
      <c r="BI307">
        <f>装备!BW68</f>
        <v>0</v>
      </c>
      <c r="BJ307">
        <f>装备!BX68</f>
        <v>0</v>
      </c>
      <c r="BK307">
        <f>装备!BY68</f>
        <v>0</v>
      </c>
      <c r="BL307">
        <f>装备!BZ68</f>
        <v>0</v>
      </c>
      <c r="BM307">
        <f>装备!CA68</f>
        <v>0</v>
      </c>
      <c r="BN307">
        <f>装备!CB68</f>
        <v>0</v>
      </c>
      <c r="BO307">
        <f>装备!CC68</f>
        <v>0</v>
      </c>
      <c r="BP307" t="str">
        <f t="shared" si="61"/>
        <v>InitUnitStateAttack('E216',0,0,0,0,0,0,0,0,0,0)</v>
      </c>
      <c r="BQ307">
        <f>装备!CD68</f>
        <v>0</v>
      </c>
      <c r="BR307">
        <f>装备!CE68</f>
        <v>0</v>
      </c>
      <c r="BS307">
        <f>装备!CF68</f>
        <v>0</v>
      </c>
      <c r="BT307">
        <f>装备!CG68</f>
        <v>0</v>
      </c>
      <c r="BU307">
        <f>装备!CH68</f>
        <v>0</v>
      </c>
      <c r="BV307">
        <f>装备!CI68</f>
        <v>0</v>
      </c>
      <c r="BW307">
        <f>装备!CJ68</f>
        <v>0</v>
      </c>
      <c r="BX307">
        <f>装备!CK68</f>
        <v>0</v>
      </c>
      <c r="BY307">
        <f>装备!CL68</f>
        <v>0</v>
      </c>
      <c r="BZ307">
        <f>装备!CM68</f>
        <v>0</v>
      </c>
      <c r="CA307" t="str">
        <f t="shared" si="62"/>
        <v>InitUnitStateUpUp('E216',0,0,0,0,0,0,0,0,0,0)</v>
      </c>
      <c r="CB307" t="str">
        <f t="shared" si="63"/>
        <v>InitUnitState('E216',0,0,34,0,54800,0,0,0,0,0)</v>
      </c>
      <c r="CC307" t="str">
        <f t="shared" si="64"/>
        <v>InitUnitNormal('E216',0,0,0,0,0,0,0,9,0,0)</v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装备!B69</f>
        <v>E217</v>
      </c>
      <c r="B308">
        <f>装备!A69</f>
        <v>0</v>
      </c>
      <c r="C308">
        <f>装备!V69</f>
        <v>0</v>
      </c>
      <c r="D308">
        <f>装备!W69</f>
        <v>0</v>
      </c>
      <c r="E308">
        <f>装备!X69</f>
        <v>38</v>
      </c>
      <c r="F308">
        <f>装备!Y69</f>
        <v>0</v>
      </c>
      <c r="G308">
        <f>装备!Z69</f>
        <v>63600</v>
      </c>
      <c r="H308">
        <f>装备!AA69</f>
        <v>0</v>
      </c>
      <c r="I308">
        <f>装备!AB69</f>
        <v>0</v>
      </c>
      <c r="J308">
        <f>装备!AC69</f>
        <v>0</v>
      </c>
      <c r="K308">
        <f>装备!AD69</f>
        <v>0</v>
      </c>
      <c r="L308">
        <f>装备!AE69</f>
        <v>0</v>
      </c>
      <c r="M308" t="str">
        <f t="shared" si="56"/>
        <v>InitUnitState('E217',0,0,38,0,63600,0,0,0,0,0)</v>
      </c>
      <c r="N308">
        <f>装备!AF69</f>
        <v>0</v>
      </c>
      <c r="O308">
        <f>装备!AG69</f>
        <v>0</v>
      </c>
      <c r="P308">
        <f>装备!AH69</f>
        <v>0</v>
      </c>
      <c r="Q308">
        <f>装备!AI69</f>
        <v>0</v>
      </c>
      <c r="R308">
        <f>装备!AJ69</f>
        <v>0</v>
      </c>
      <c r="S308">
        <f>装备!AK69</f>
        <v>0</v>
      </c>
      <c r="T308">
        <f>装备!AL69</f>
        <v>0</v>
      </c>
      <c r="U308">
        <f>装备!AM69</f>
        <v>9</v>
      </c>
      <c r="V308">
        <f>装备!AN69</f>
        <v>0</v>
      </c>
      <c r="W308">
        <f>装备!AO69</f>
        <v>0</v>
      </c>
      <c r="X308" t="str">
        <f t="shared" si="57"/>
        <v>InitUnitNormal('E217',0,0,0,0,0,0,0,9,0,0)</v>
      </c>
      <c r="Y308">
        <f>装备!AP69</f>
        <v>0</v>
      </c>
      <c r="Z308">
        <f>装备!AQ69</f>
        <v>0</v>
      </c>
      <c r="AA308">
        <f>装备!AR69</f>
        <v>0</v>
      </c>
      <c r="AB308">
        <f>装备!AS69</f>
        <v>0</v>
      </c>
      <c r="AC308">
        <f>装备!AT69</f>
        <v>0</v>
      </c>
      <c r="AD308">
        <f>装备!AU69</f>
        <v>0</v>
      </c>
      <c r="AE308">
        <f>装备!AV69</f>
        <v>0</v>
      </c>
      <c r="AF308">
        <f>装备!AW69</f>
        <v>0</v>
      </c>
      <c r="AG308">
        <f>装备!AX69</f>
        <v>0</v>
      </c>
      <c r="AH308">
        <f>装备!AY69</f>
        <v>0</v>
      </c>
      <c r="AI308" t="str">
        <f t="shared" si="58"/>
        <v>InitUnitMagic('E217',0,0,0,0,0,0,0,0,0,0)</v>
      </c>
      <c r="AJ308">
        <f>装备!AZ69</f>
        <v>0</v>
      </c>
      <c r="AK308">
        <f>装备!BA69</f>
        <v>0</v>
      </c>
      <c r="AL308">
        <f>装备!BB69</f>
        <v>0</v>
      </c>
      <c r="AM308">
        <f>装备!BC69</f>
        <v>0</v>
      </c>
      <c r="AN308">
        <f>装备!BD69</f>
        <v>0</v>
      </c>
      <c r="AO308">
        <f>装备!BE69</f>
        <v>0</v>
      </c>
      <c r="AP308">
        <f>装备!BF69</f>
        <v>0</v>
      </c>
      <c r="AQ308">
        <f>装备!BG69</f>
        <v>0</v>
      </c>
      <c r="AR308">
        <f>装备!BH69</f>
        <v>0</v>
      </c>
      <c r="AS308">
        <f>装备!BI69</f>
        <v>0</v>
      </c>
      <c r="AT308" t="str">
        <f t="shared" si="59"/>
        <v>InitUnitAdd('E217',0,0,0,0,0,0,0,0,0,0)</v>
      </c>
      <c r="AU308">
        <f>装备!BJ69</f>
        <v>0</v>
      </c>
      <c r="AV308">
        <f>装备!BK69</f>
        <v>0</v>
      </c>
      <c r="AW308">
        <f>装备!BL69</f>
        <v>0</v>
      </c>
      <c r="AX308">
        <f>装备!BM69</f>
        <v>0</v>
      </c>
      <c r="AY308">
        <f>装备!BN69</f>
        <v>0</v>
      </c>
      <c r="AZ308">
        <f>装备!BO69</f>
        <v>0</v>
      </c>
      <c r="BA308">
        <f>装备!BP69</f>
        <v>0</v>
      </c>
      <c r="BB308">
        <f>装备!BQ69</f>
        <v>0</v>
      </c>
      <c r="BC308">
        <f>装备!BR69</f>
        <v>0</v>
      </c>
      <c r="BD308">
        <f>装备!BS69</f>
        <v>0</v>
      </c>
      <c r="BE308" t="str">
        <f t="shared" si="60"/>
        <v>InitUnitStateTime('E217',0,0,0,0,0,0,0,0,0,0)</v>
      </c>
      <c r="BF308">
        <f>装备!BT69</f>
        <v>0</v>
      </c>
      <c r="BG308">
        <f>装备!BU69</f>
        <v>0</v>
      </c>
      <c r="BH308">
        <f>装备!BV69</f>
        <v>0</v>
      </c>
      <c r="BI308">
        <f>装备!BW69</f>
        <v>0</v>
      </c>
      <c r="BJ308">
        <f>装备!BX69</f>
        <v>0</v>
      </c>
      <c r="BK308">
        <f>装备!BY69</f>
        <v>0</v>
      </c>
      <c r="BL308">
        <f>装备!BZ69</f>
        <v>0</v>
      </c>
      <c r="BM308">
        <f>装备!CA69</f>
        <v>0</v>
      </c>
      <c r="BN308">
        <f>装备!CB69</f>
        <v>0</v>
      </c>
      <c r="BO308">
        <f>装备!CC69</f>
        <v>0</v>
      </c>
      <c r="BP308" t="str">
        <f t="shared" si="61"/>
        <v>InitUnitStateAttack('E217',0,0,0,0,0,0,0,0,0,0)</v>
      </c>
      <c r="BQ308">
        <f>装备!CD69</f>
        <v>0</v>
      </c>
      <c r="BR308">
        <f>装备!CE69</f>
        <v>0</v>
      </c>
      <c r="BS308">
        <f>装备!CF69</f>
        <v>0</v>
      </c>
      <c r="BT308">
        <f>装备!CG69</f>
        <v>0</v>
      </c>
      <c r="BU308">
        <f>装备!CH69</f>
        <v>0</v>
      </c>
      <c r="BV308">
        <f>装备!CI69</f>
        <v>0</v>
      </c>
      <c r="BW308">
        <f>装备!CJ69</f>
        <v>0</v>
      </c>
      <c r="BX308">
        <f>装备!CK69</f>
        <v>0</v>
      </c>
      <c r="BY308">
        <f>装备!CL69</f>
        <v>0</v>
      </c>
      <c r="BZ308">
        <f>装备!CM69</f>
        <v>0</v>
      </c>
      <c r="CA308" t="str">
        <f t="shared" si="62"/>
        <v>InitUnitStateUpUp('E217',0,0,0,0,0,0,0,0,0,0)</v>
      </c>
      <c r="CB308" t="str">
        <f t="shared" si="63"/>
        <v>InitUnitState('E217',0,0,38,0,63600,0,0,0,0,0)</v>
      </c>
      <c r="CC308" t="str">
        <f t="shared" si="64"/>
        <v>InitUnitNormal('E217',0,0,0,0,0,0,0,9,0,0)</v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装备!B70</f>
        <v>E218</v>
      </c>
      <c r="B309">
        <f>装备!A70</f>
        <v>0</v>
      </c>
      <c r="C309">
        <f>装备!V70</f>
        <v>0</v>
      </c>
      <c r="D309">
        <f>装备!W70</f>
        <v>0</v>
      </c>
      <c r="E309">
        <f>装备!X70</f>
        <v>42</v>
      </c>
      <c r="F309">
        <f>装备!Y70</f>
        <v>0</v>
      </c>
      <c r="G309">
        <f>装备!Z70</f>
        <v>72400</v>
      </c>
      <c r="H309">
        <f>装备!AA70</f>
        <v>0</v>
      </c>
      <c r="I309">
        <f>装备!AB70</f>
        <v>0</v>
      </c>
      <c r="J309">
        <f>装备!AC70</f>
        <v>0</v>
      </c>
      <c r="K309">
        <f>装备!AD70</f>
        <v>0</v>
      </c>
      <c r="L309">
        <f>装备!AE70</f>
        <v>0</v>
      </c>
      <c r="M309" t="str">
        <f t="shared" si="56"/>
        <v>InitUnitState('E218',0,0,42,0,72400,0,0,0,0,0)</v>
      </c>
      <c r="N309">
        <f>装备!AF70</f>
        <v>0</v>
      </c>
      <c r="O309">
        <f>装备!AG70</f>
        <v>0</v>
      </c>
      <c r="P309">
        <f>装备!AH70</f>
        <v>0</v>
      </c>
      <c r="Q309">
        <f>装备!AI70</f>
        <v>0</v>
      </c>
      <c r="R309">
        <f>装备!AJ70</f>
        <v>0</v>
      </c>
      <c r="S309">
        <f>装备!AK70</f>
        <v>0</v>
      </c>
      <c r="T309">
        <f>装备!AL70</f>
        <v>0</v>
      </c>
      <c r="U309">
        <f>装备!AM70</f>
        <v>9</v>
      </c>
      <c r="V309">
        <f>装备!AN70</f>
        <v>0</v>
      </c>
      <c r="W309">
        <f>装备!AO70</f>
        <v>0</v>
      </c>
      <c r="X309" t="str">
        <f t="shared" si="57"/>
        <v>InitUnitNormal('E218',0,0,0,0,0,0,0,9,0,0)</v>
      </c>
      <c r="Y309">
        <f>装备!AP70</f>
        <v>0</v>
      </c>
      <c r="Z309">
        <f>装备!AQ70</f>
        <v>0</v>
      </c>
      <c r="AA309">
        <f>装备!AR70</f>
        <v>0</v>
      </c>
      <c r="AB309">
        <f>装备!AS70</f>
        <v>0</v>
      </c>
      <c r="AC309">
        <f>装备!AT70</f>
        <v>0</v>
      </c>
      <c r="AD309">
        <f>装备!AU70</f>
        <v>0</v>
      </c>
      <c r="AE309">
        <f>装备!AV70</f>
        <v>0</v>
      </c>
      <c r="AF309">
        <f>装备!AW70</f>
        <v>0</v>
      </c>
      <c r="AG309">
        <f>装备!AX70</f>
        <v>0</v>
      </c>
      <c r="AH309">
        <f>装备!AY70</f>
        <v>0</v>
      </c>
      <c r="AI309" t="str">
        <f t="shared" si="58"/>
        <v>InitUnitMagic('E218',0,0,0,0,0,0,0,0,0,0)</v>
      </c>
      <c r="AJ309">
        <f>装备!AZ70</f>
        <v>0</v>
      </c>
      <c r="AK309">
        <f>装备!BA70</f>
        <v>0</v>
      </c>
      <c r="AL309">
        <f>装备!BB70</f>
        <v>0</v>
      </c>
      <c r="AM309">
        <f>装备!BC70</f>
        <v>0</v>
      </c>
      <c r="AN309">
        <f>装备!BD70</f>
        <v>0</v>
      </c>
      <c r="AO309">
        <f>装备!BE70</f>
        <v>0</v>
      </c>
      <c r="AP309">
        <f>装备!BF70</f>
        <v>0</v>
      </c>
      <c r="AQ309">
        <f>装备!BG70</f>
        <v>0</v>
      </c>
      <c r="AR309">
        <f>装备!BH70</f>
        <v>0</v>
      </c>
      <c r="AS309">
        <f>装备!BI70</f>
        <v>0</v>
      </c>
      <c r="AT309" t="str">
        <f t="shared" si="59"/>
        <v>InitUnitAdd('E218',0,0,0,0,0,0,0,0,0,0)</v>
      </c>
      <c r="AU309">
        <f>装备!BJ70</f>
        <v>0</v>
      </c>
      <c r="AV309">
        <f>装备!BK70</f>
        <v>0</v>
      </c>
      <c r="AW309">
        <f>装备!BL70</f>
        <v>0</v>
      </c>
      <c r="AX309">
        <f>装备!BM70</f>
        <v>0</v>
      </c>
      <c r="AY309">
        <f>装备!BN70</f>
        <v>0</v>
      </c>
      <c r="AZ309">
        <f>装备!BO70</f>
        <v>0</v>
      </c>
      <c r="BA309">
        <f>装备!BP70</f>
        <v>0</v>
      </c>
      <c r="BB309">
        <f>装备!BQ70</f>
        <v>0</v>
      </c>
      <c r="BC309">
        <f>装备!BR70</f>
        <v>0</v>
      </c>
      <c r="BD309">
        <f>装备!BS70</f>
        <v>0</v>
      </c>
      <c r="BE309" t="str">
        <f t="shared" si="60"/>
        <v>InitUnitStateTime('E218',0,0,0,0,0,0,0,0,0,0)</v>
      </c>
      <c r="BF309">
        <f>装备!BT70</f>
        <v>0</v>
      </c>
      <c r="BG309">
        <f>装备!BU70</f>
        <v>0</v>
      </c>
      <c r="BH309">
        <f>装备!BV70</f>
        <v>0</v>
      </c>
      <c r="BI309">
        <f>装备!BW70</f>
        <v>0</v>
      </c>
      <c r="BJ309">
        <f>装备!BX70</f>
        <v>0</v>
      </c>
      <c r="BK309">
        <f>装备!BY70</f>
        <v>0</v>
      </c>
      <c r="BL309">
        <f>装备!BZ70</f>
        <v>0</v>
      </c>
      <c r="BM309">
        <f>装备!CA70</f>
        <v>0</v>
      </c>
      <c r="BN309">
        <f>装备!CB70</f>
        <v>0</v>
      </c>
      <c r="BO309">
        <f>装备!CC70</f>
        <v>0</v>
      </c>
      <c r="BP309" t="str">
        <f t="shared" si="61"/>
        <v>InitUnitStateAttack('E218',0,0,0,0,0,0,0,0,0,0)</v>
      </c>
      <c r="BQ309">
        <f>装备!CD70</f>
        <v>0</v>
      </c>
      <c r="BR309">
        <f>装备!CE70</f>
        <v>0</v>
      </c>
      <c r="BS309">
        <f>装备!CF70</f>
        <v>0</v>
      </c>
      <c r="BT309">
        <f>装备!CG70</f>
        <v>0</v>
      </c>
      <c r="BU309">
        <f>装备!CH70</f>
        <v>0</v>
      </c>
      <c r="BV309">
        <f>装备!CI70</f>
        <v>0</v>
      </c>
      <c r="BW309">
        <f>装备!CJ70</f>
        <v>0</v>
      </c>
      <c r="BX309">
        <f>装备!CK70</f>
        <v>0</v>
      </c>
      <c r="BY309">
        <f>装备!CL70</f>
        <v>0</v>
      </c>
      <c r="BZ309">
        <f>装备!CM70</f>
        <v>0</v>
      </c>
      <c r="CA309" t="str">
        <f t="shared" si="62"/>
        <v>InitUnitStateUpUp('E218',0,0,0,0,0,0,0,0,0,0)</v>
      </c>
      <c r="CB309" t="str">
        <f t="shared" si="63"/>
        <v>InitUnitState('E218',0,0,42,0,72400,0,0,0,0,0)</v>
      </c>
      <c r="CC309" t="str">
        <f t="shared" si="64"/>
        <v>InitUnitNormal('E218',0,0,0,0,0,0,0,9,0,0)</v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装备!B71</f>
        <v>E219</v>
      </c>
      <c r="B310">
        <f>装备!A71</f>
        <v>0</v>
      </c>
      <c r="C310">
        <f>装备!V71</f>
        <v>0</v>
      </c>
      <c r="D310">
        <f>装备!W71</f>
        <v>0</v>
      </c>
      <c r="E310">
        <f>装备!X71</f>
        <v>46</v>
      </c>
      <c r="F310">
        <f>装备!Y71</f>
        <v>0</v>
      </c>
      <c r="G310">
        <f>装备!Z71</f>
        <v>81200</v>
      </c>
      <c r="H310">
        <f>装备!AA71</f>
        <v>0</v>
      </c>
      <c r="I310">
        <f>装备!AB71</f>
        <v>0</v>
      </c>
      <c r="J310">
        <f>装备!AC71</f>
        <v>0</v>
      </c>
      <c r="K310">
        <f>装备!AD71</f>
        <v>0</v>
      </c>
      <c r="L310">
        <f>装备!AE71</f>
        <v>0</v>
      </c>
      <c r="M310" t="str">
        <f t="shared" si="56"/>
        <v>InitUnitState('E219',0,0,46,0,81200,0,0,0,0,0)</v>
      </c>
      <c r="N310">
        <f>装备!AF71</f>
        <v>0</v>
      </c>
      <c r="O310">
        <f>装备!AG71</f>
        <v>0</v>
      </c>
      <c r="P310">
        <f>装备!AH71</f>
        <v>0</v>
      </c>
      <c r="Q310">
        <f>装备!AI71</f>
        <v>0</v>
      </c>
      <c r="R310">
        <f>装备!AJ71</f>
        <v>0</v>
      </c>
      <c r="S310">
        <f>装备!AK71</f>
        <v>0</v>
      </c>
      <c r="T310">
        <f>装备!AL71</f>
        <v>0</v>
      </c>
      <c r="U310">
        <f>装备!AM71</f>
        <v>9</v>
      </c>
      <c r="V310">
        <f>装备!AN71</f>
        <v>0</v>
      </c>
      <c r="W310">
        <f>装备!AO71</f>
        <v>0</v>
      </c>
      <c r="X310" t="str">
        <f t="shared" si="57"/>
        <v>InitUnitNormal('E219',0,0,0,0,0,0,0,9,0,0)</v>
      </c>
      <c r="Y310">
        <f>装备!AP71</f>
        <v>0</v>
      </c>
      <c r="Z310">
        <f>装备!AQ71</f>
        <v>0</v>
      </c>
      <c r="AA310">
        <f>装备!AR71</f>
        <v>0</v>
      </c>
      <c r="AB310">
        <f>装备!AS71</f>
        <v>0</v>
      </c>
      <c r="AC310">
        <f>装备!AT71</f>
        <v>0</v>
      </c>
      <c r="AD310">
        <f>装备!AU71</f>
        <v>0</v>
      </c>
      <c r="AE310">
        <f>装备!AV71</f>
        <v>0</v>
      </c>
      <c r="AF310">
        <f>装备!AW71</f>
        <v>0</v>
      </c>
      <c r="AG310">
        <f>装备!AX71</f>
        <v>0</v>
      </c>
      <c r="AH310">
        <f>装备!AY71</f>
        <v>0</v>
      </c>
      <c r="AI310" t="str">
        <f t="shared" si="58"/>
        <v>InitUnitMagic('E219',0,0,0,0,0,0,0,0,0,0)</v>
      </c>
      <c r="AJ310">
        <f>装备!AZ71</f>
        <v>0</v>
      </c>
      <c r="AK310">
        <f>装备!BA71</f>
        <v>0</v>
      </c>
      <c r="AL310">
        <f>装备!BB71</f>
        <v>0</v>
      </c>
      <c r="AM310">
        <f>装备!BC71</f>
        <v>0</v>
      </c>
      <c r="AN310">
        <f>装备!BD71</f>
        <v>0</v>
      </c>
      <c r="AO310">
        <f>装备!BE71</f>
        <v>0</v>
      </c>
      <c r="AP310">
        <f>装备!BF71</f>
        <v>0</v>
      </c>
      <c r="AQ310">
        <f>装备!BG71</f>
        <v>0</v>
      </c>
      <c r="AR310">
        <f>装备!BH71</f>
        <v>0</v>
      </c>
      <c r="AS310">
        <f>装备!BI71</f>
        <v>0</v>
      </c>
      <c r="AT310" t="str">
        <f t="shared" si="59"/>
        <v>InitUnitAdd('E219',0,0,0,0,0,0,0,0,0,0)</v>
      </c>
      <c r="AU310">
        <f>装备!BJ71</f>
        <v>0</v>
      </c>
      <c r="AV310">
        <f>装备!BK71</f>
        <v>0</v>
      </c>
      <c r="AW310">
        <f>装备!BL71</f>
        <v>0</v>
      </c>
      <c r="AX310">
        <f>装备!BM71</f>
        <v>0</v>
      </c>
      <c r="AY310">
        <f>装备!BN71</f>
        <v>0</v>
      </c>
      <c r="AZ310">
        <f>装备!BO71</f>
        <v>0</v>
      </c>
      <c r="BA310">
        <f>装备!BP71</f>
        <v>0</v>
      </c>
      <c r="BB310">
        <f>装备!BQ71</f>
        <v>0</v>
      </c>
      <c r="BC310">
        <f>装备!BR71</f>
        <v>0</v>
      </c>
      <c r="BD310">
        <f>装备!BS71</f>
        <v>0</v>
      </c>
      <c r="BE310" t="str">
        <f t="shared" si="60"/>
        <v>InitUnitStateTime('E219',0,0,0,0,0,0,0,0,0,0)</v>
      </c>
      <c r="BF310">
        <f>装备!BT71</f>
        <v>0</v>
      </c>
      <c r="BG310">
        <f>装备!BU71</f>
        <v>0</v>
      </c>
      <c r="BH310">
        <f>装备!BV71</f>
        <v>0</v>
      </c>
      <c r="BI310">
        <f>装备!BW71</f>
        <v>0</v>
      </c>
      <c r="BJ310">
        <f>装备!BX71</f>
        <v>0</v>
      </c>
      <c r="BK310">
        <f>装备!BY71</f>
        <v>0</v>
      </c>
      <c r="BL310">
        <f>装备!BZ71</f>
        <v>0</v>
      </c>
      <c r="BM310">
        <f>装备!CA71</f>
        <v>0</v>
      </c>
      <c r="BN310">
        <f>装备!CB71</f>
        <v>0</v>
      </c>
      <c r="BO310">
        <f>装备!CC71</f>
        <v>0</v>
      </c>
      <c r="BP310" t="str">
        <f t="shared" si="61"/>
        <v>InitUnitStateAttack('E219',0,0,0,0,0,0,0,0,0,0)</v>
      </c>
      <c r="BQ310">
        <f>装备!CD71</f>
        <v>0</v>
      </c>
      <c r="BR310">
        <f>装备!CE71</f>
        <v>0</v>
      </c>
      <c r="BS310">
        <f>装备!CF71</f>
        <v>0</v>
      </c>
      <c r="BT310">
        <f>装备!CG71</f>
        <v>0</v>
      </c>
      <c r="BU310">
        <f>装备!CH71</f>
        <v>0</v>
      </c>
      <c r="BV310">
        <f>装备!CI71</f>
        <v>0</v>
      </c>
      <c r="BW310">
        <f>装备!CJ71</f>
        <v>0</v>
      </c>
      <c r="BX310">
        <f>装备!CK71</f>
        <v>0</v>
      </c>
      <c r="BY310">
        <f>装备!CL71</f>
        <v>0</v>
      </c>
      <c r="BZ310">
        <f>装备!CM71</f>
        <v>0</v>
      </c>
      <c r="CA310" t="str">
        <f t="shared" si="62"/>
        <v>InitUnitStateUpUp('E219',0,0,0,0,0,0,0,0,0,0)</v>
      </c>
      <c r="CB310" t="str">
        <f t="shared" si="63"/>
        <v>InitUnitState('E219',0,0,46,0,81200,0,0,0,0,0)</v>
      </c>
      <c r="CC310" t="str">
        <f t="shared" si="64"/>
        <v>InitUnitNormal('E219',0,0,0,0,0,0,0,9,0,0)</v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装备!B72</f>
        <v>E220</v>
      </c>
      <c r="B311">
        <f>装备!A72</f>
        <v>0</v>
      </c>
      <c r="C311">
        <f>装备!V72</f>
        <v>0</v>
      </c>
      <c r="D311">
        <f>装备!W72</f>
        <v>0</v>
      </c>
      <c r="E311">
        <f>装备!X72</f>
        <v>50</v>
      </c>
      <c r="F311">
        <f>装备!Y72</f>
        <v>0</v>
      </c>
      <c r="G311">
        <f>装备!Z72</f>
        <v>90000</v>
      </c>
      <c r="H311">
        <f>装备!AA72</f>
        <v>0</v>
      </c>
      <c r="I311">
        <f>装备!AB72</f>
        <v>0</v>
      </c>
      <c r="J311">
        <f>装备!AC72</f>
        <v>0</v>
      </c>
      <c r="K311">
        <f>装备!AD72</f>
        <v>0</v>
      </c>
      <c r="L311">
        <f>装备!AE72</f>
        <v>0</v>
      </c>
      <c r="M311" t="str">
        <f t="shared" si="56"/>
        <v>InitUnitState('E220',0,0,50,0,90000,0,0,0,0,0)</v>
      </c>
      <c r="N311">
        <f>装备!AF72</f>
        <v>0</v>
      </c>
      <c r="O311">
        <f>装备!AG72</f>
        <v>0</v>
      </c>
      <c r="P311">
        <f>装备!AH72</f>
        <v>0</v>
      </c>
      <c r="Q311">
        <f>装备!AI72</f>
        <v>0</v>
      </c>
      <c r="R311">
        <f>装备!AJ72</f>
        <v>0</v>
      </c>
      <c r="S311">
        <f>装备!AK72</f>
        <v>0</v>
      </c>
      <c r="T311">
        <f>装备!AL72</f>
        <v>0</v>
      </c>
      <c r="U311">
        <f>装备!AM72</f>
        <v>9</v>
      </c>
      <c r="V311">
        <f>装备!AN72</f>
        <v>0</v>
      </c>
      <c r="W311">
        <f>装备!AO72</f>
        <v>0</v>
      </c>
      <c r="X311" t="str">
        <f t="shared" si="57"/>
        <v>InitUnitNormal('E220',0,0,0,0,0,0,0,9,0,0)</v>
      </c>
      <c r="Y311">
        <f>装备!AP72</f>
        <v>0</v>
      </c>
      <c r="Z311">
        <f>装备!AQ72</f>
        <v>0</v>
      </c>
      <c r="AA311">
        <f>装备!AR72</f>
        <v>0</v>
      </c>
      <c r="AB311">
        <f>装备!AS72</f>
        <v>0</v>
      </c>
      <c r="AC311">
        <f>装备!AT72</f>
        <v>0</v>
      </c>
      <c r="AD311">
        <f>装备!AU72</f>
        <v>0</v>
      </c>
      <c r="AE311">
        <f>装备!AV72</f>
        <v>0</v>
      </c>
      <c r="AF311">
        <f>装备!AW72</f>
        <v>0</v>
      </c>
      <c r="AG311">
        <f>装备!AX72</f>
        <v>0</v>
      </c>
      <c r="AH311">
        <f>装备!AY72</f>
        <v>0</v>
      </c>
      <c r="AI311" t="str">
        <f t="shared" si="58"/>
        <v>InitUnitMagic('E220',0,0,0,0,0,0,0,0,0,0)</v>
      </c>
      <c r="AJ311">
        <f>装备!AZ72</f>
        <v>0</v>
      </c>
      <c r="AK311">
        <f>装备!BA72</f>
        <v>0</v>
      </c>
      <c r="AL311">
        <f>装备!BB72</f>
        <v>0</v>
      </c>
      <c r="AM311">
        <f>装备!BC72</f>
        <v>0</v>
      </c>
      <c r="AN311">
        <f>装备!BD72</f>
        <v>0</v>
      </c>
      <c r="AO311">
        <f>装备!BE72</f>
        <v>0</v>
      </c>
      <c r="AP311">
        <f>装备!BF72</f>
        <v>0</v>
      </c>
      <c r="AQ311">
        <f>装备!BG72</f>
        <v>0</v>
      </c>
      <c r="AR311">
        <f>装备!BH72</f>
        <v>0</v>
      </c>
      <c r="AS311">
        <f>装备!BI72</f>
        <v>0</v>
      </c>
      <c r="AT311" t="str">
        <f t="shared" si="59"/>
        <v>InitUnitAdd('E220',0,0,0,0,0,0,0,0,0,0)</v>
      </c>
      <c r="AU311">
        <f>装备!BJ72</f>
        <v>0</v>
      </c>
      <c r="AV311">
        <f>装备!BK72</f>
        <v>0</v>
      </c>
      <c r="AW311">
        <f>装备!BL72</f>
        <v>0</v>
      </c>
      <c r="AX311">
        <f>装备!BM72</f>
        <v>0</v>
      </c>
      <c r="AY311">
        <f>装备!BN72</f>
        <v>0</v>
      </c>
      <c r="AZ311">
        <f>装备!BO72</f>
        <v>0</v>
      </c>
      <c r="BA311">
        <f>装备!BP72</f>
        <v>0</v>
      </c>
      <c r="BB311">
        <f>装备!BQ72</f>
        <v>0</v>
      </c>
      <c r="BC311">
        <f>装备!BR72</f>
        <v>0</v>
      </c>
      <c r="BD311">
        <f>装备!BS72</f>
        <v>0</v>
      </c>
      <c r="BE311" t="str">
        <f t="shared" si="60"/>
        <v>InitUnitStateTime('E220',0,0,0,0,0,0,0,0,0,0)</v>
      </c>
      <c r="BF311">
        <f>装备!BT72</f>
        <v>0</v>
      </c>
      <c r="BG311">
        <f>装备!BU72</f>
        <v>0</v>
      </c>
      <c r="BH311">
        <f>装备!BV72</f>
        <v>0</v>
      </c>
      <c r="BI311">
        <f>装备!BW72</f>
        <v>0</v>
      </c>
      <c r="BJ311">
        <f>装备!BX72</f>
        <v>0</v>
      </c>
      <c r="BK311">
        <f>装备!BY72</f>
        <v>0</v>
      </c>
      <c r="BL311">
        <f>装备!BZ72</f>
        <v>0</v>
      </c>
      <c r="BM311">
        <f>装备!CA72</f>
        <v>0</v>
      </c>
      <c r="BN311">
        <f>装备!CB72</f>
        <v>0</v>
      </c>
      <c r="BO311">
        <f>装备!CC72</f>
        <v>0</v>
      </c>
      <c r="BP311" t="str">
        <f t="shared" si="61"/>
        <v>InitUnitStateAttack('E220',0,0,0,0,0,0,0,0,0,0)</v>
      </c>
      <c r="BQ311">
        <f>装备!CD72</f>
        <v>0</v>
      </c>
      <c r="BR311">
        <f>装备!CE72</f>
        <v>0</v>
      </c>
      <c r="BS311">
        <f>装备!CF72</f>
        <v>0</v>
      </c>
      <c r="BT311">
        <f>装备!CG72</f>
        <v>0</v>
      </c>
      <c r="BU311">
        <f>装备!CH72</f>
        <v>0</v>
      </c>
      <c r="BV311">
        <f>装备!CI72</f>
        <v>0</v>
      </c>
      <c r="BW311">
        <f>装备!CJ72</f>
        <v>0</v>
      </c>
      <c r="BX311">
        <f>装备!CK72</f>
        <v>0</v>
      </c>
      <c r="BY311">
        <f>装备!CL72</f>
        <v>0</v>
      </c>
      <c r="BZ311">
        <f>装备!CM72</f>
        <v>0</v>
      </c>
      <c r="CA311" t="str">
        <f t="shared" si="62"/>
        <v>InitUnitStateUpUp('E220',0,0,0,0,0,0,0,0,0,0)</v>
      </c>
      <c r="CB311" t="str">
        <f t="shared" si="63"/>
        <v>InitUnitState('E220',0,0,50,0,90000,0,0,0,0,0)</v>
      </c>
      <c r="CC311" t="str">
        <f t="shared" si="64"/>
        <v>InitUnitNormal('E220',0,0,0,0,0,0,0,9,0,0)</v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装备!B73</f>
        <v>E221</v>
      </c>
      <c r="B312">
        <f>装备!A73</f>
        <v>0</v>
      </c>
      <c r="C312">
        <f>装备!V73</f>
        <v>0</v>
      </c>
      <c r="D312">
        <f>装备!W73</f>
        <v>0</v>
      </c>
      <c r="E312">
        <f>装备!X73</f>
        <v>55</v>
      </c>
      <c r="F312">
        <f>装备!Y73</f>
        <v>0</v>
      </c>
      <c r="G312">
        <f>装备!Z73</f>
        <v>112000</v>
      </c>
      <c r="H312">
        <f>装备!AA73</f>
        <v>0</v>
      </c>
      <c r="I312">
        <f>装备!AB73</f>
        <v>0</v>
      </c>
      <c r="J312">
        <f>装备!AC73</f>
        <v>0</v>
      </c>
      <c r="K312">
        <f>装备!AD73</f>
        <v>0</v>
      </c>
      <c r="L312">
        <f>装备!AE73</f>
        <v>0</v>
      </c>
      <c r="M312" t="str">
        <f t="shared" si="56"/>
        <v>InitUnitState('E221',0,0,55,0,112000,0,0,0,0,0)</v>
      </c>
      <c r="N312">
        <f>装备!AF73</f>
        <v>0</v>
      </c>
      <c r="O312">
        <f>装备!AG73</f>
        <v>0</v>
      </c>
      <c r="P312">
        <f>装备!AH73</f>
        <v>0</v>
      </c>
      <c r="Q312">
        <f>装备!AI73</f>
        <v>0</v>
      </c>
      <c r="R312">
        <f>装备!AJ73</f>
        <v>0</v>
      </c>
      <c r="S312">
        <f>装备!AK73</f>
        <v>0</v>
      </c>
      <c r="T312">
        <f>装备!AL73</f>
        <v>0</v>
      </c>
      <c r="U312">
        <f>装备!AM73</f>
        <v>12</v>
      </c>
      <c r="V312">
        <f>装备!AN73</f>
        <v>0</v>
      </c>
      <c r="W312">
        <f>装备!AO73</f>
        <v>0</v>
      </c>
      <c r="X312" t="str">
        <f t="shared" si="57"/>
        <v>InitUnitNormal('E221',0,0,0,0,0,0,0,12,0,0)</v>
      </c>
      <c r="Y312">
        <f>装备!AP73</f>
        <v>0</v>
      </c>
      <c r="Z312">
        <f>装备!AQ73</f>
        <v>0</v>
      </c>
      <c r="AA312">
        <f>装备!AR73</f>
        <v>0</v>
      </c>
      <c r="AB312">
        <f>装备!AS73</f>
        <v>0</v>
      </c>
      <c r="AC312">
        <f>装备!AT73</f>
        <v>0</v>
      </c>
      <c r="AD312">
        <f>装备!AU73</f>
        <v>0</v>
      </c>
      <c r="AE312">
        <f>装备!AV73</f>
        <v>0</v>
      </c>
      <c r="AF312">
        <f>装备!AW73</f>
        <v>0</v>
      </c>
      <c r="AG312">
        <f>装备!AX73</f>
        <v>0</v>
      </c>
      <c r="AH312">
        <f>装备!AY73</f>
        <v>0</v>
      </c>
      <c r="AI312" t="str">
        <f t="shared" si="58"/>
        <v>InitUnitMagic('E221',0,0,0,0,0,0,0,0,0,0)</v>
      </c>
      <c r="AJ312">
        <f>装备!AZ73</f>
        <v>0</v>
      </c>
      <c r="AK312">
        <f>装备!BA73</f>
        <v>0</v>
      </c>
      <c r="AL312">
        <f>装备!BB73</f>
        <v>0</v>
      </c>
      <c r="AM312">
        <f>装备!BC73</f>
        <v>0</v>
      </c>
      <c r="AN312">
        <f>装备!BD73</f>
        <v>0</v>
      </c>
      <c r="AO312">
        <f>装备!BE73</f>
        <v>0</v>
      </c>
      <c r="AP312">
        <f>装备!BF73</f>
        <v>0</v>
      </c>
      <c r="AQ312">
        <f>装备!BG73</f>
        <v>0</v>
      </c>
      <c r="AR312">
        <f>装备!BH73</f>
        <v>0</v>
      </c>
      <c r="AS312">
        <f>装备!BI73</f>
        <v>0</v>
      </c>
      <c r="AT312" t="str">
        <f t="shared" si="59"/>
        <v>InitUnitAdd('E221',0,0,0,0,0,0,0,0,0,0)</v>
      </c>
      <c r="AU312">
        <f>装备!BJ73</f>
        <v>0</v>
      </c>
      <c r="AV312">
        <f>装备!BK73</f>
        <v>0</v>
      </c>
      <c r="AW312">
        <f>装备!BL73</f>
        <v>0</v>
      </c>
      <c r="AX312">
        <f>装备!BM73</f>
        <v>0</v>
      </c>
      <c r="AY312">
        <f>装备!BN73</f>
        <v>0</v>
      </c>
      <c r="AZ312">
        <f>装备!BO73</f>
        <v>0</v>
      </c>
      <c r="BA312">
        <f>装备!BP73</f>
        <v>0</v>
      </c>
      <c r="BB312">
        <f>装备!BQ73</f>
        <v>0</v>
      </c>
      <c r="BC312">
        <f>装备!BR73</f>
        <v>0</v>
      </c>
      <c r="BD312">
        <f>装备!BS73</f>
        <v>0</v>
      </c>
      <c r="BE312" t="str">
        <f t="shared" si="60"/>
        <v>InitUnitStateTime('E221',0,0,0,0,0,0,0,0,0,0)</v>
      </c>
      <c r="BF312">
        <f>装备!BT73</f>
        <v>0</v>
      </c>
      <c r="BG312">
        <f>装备!BU73</f>
        <v>0</v>
      </c>
      <c r="BH312">
        <f>装备!BV73</f>
        <v>0</v>
      </c>
      <c r="BI312">
        <f>装备!BW73</f>
        <v>0</v>
      </c>
      <c r="BJ312">
        <f>装备!BX73</f>
        <v>0</v>
      </c>
      <c r="BK312">
        <f>装备!BY73</f>
        <v>0</v>
      </c>
      <c r="BL312">
        <f>装备!BZ73</f>
        <v>0</v>
      </c>
      <c r="BM312">
        <f>装备!CA73</f>
        <v>0</v>
      </c>
      <c r="BN312">
        <f>装备!CB73</f>
        <v>0</v>
      </c>
      <c r="BO312">
        <f>装备!CC73</f>
        <v>0</v>
      </c>
      <c r="BP312" t="str">
        <f t="shared" si="61"/>
        <v>InitUnitStateAttack('E221',0,0,0,0,0,0,0,0,0,0)</v>
      </c>
      <c r="BQ312">
        <f>装备!CD73</f>
        <v>0</v>
      </c>
      <c r="BR312">
        <f>装备!CE73</f>
        <v>0</v>
      </c>
      <c r="BS312">
        <f>装备!CF73</f>
        <v>0</v>
      </c>
      <c r="BT312">
        <f>装备!CG73</f>
        <v>0</v>
      </c>
      <c r="BU312">
        <f>装备!CH73</f>
        <v>0</v>
      </c>
      <c r="BV312">
        <f>装备!CI73</f>
        <v>0</v>
      </c>
      <c r="BW312">
        <f>装备!CJ73</f>
        <v>0</v>
      </c>
      <c r="BX312">
        <f>装备!CK73</f>
        <v>0</v>
      </c>
      <c r="BY312">
        <f>装备!CL73</f>
        <v>0</v>
      </c>
      <c r="BZ312">
        <f>装备!CM73</f>
        <v>0</v>
      </c>
      <c r="CA312" t="str">
        <f t="shared" si="62"/>
        <v>InitUnitStateUpUp('E221',0,0,0,0,0,0,0,0,0,0)</v>
      </c>
      <c r="CB312" t="str">
        <f t="shared" si="63"/>
        <v>InitUnitState('E221',0,0,55,0,112000,0,0,0,0,0)</v>
      </c>
      <c r="CC312" t="str">
        <f t="shared" si="64"/>
        <v>InitUnitNormal('E221',0,0,0,0,0,0,0,12,0,0)</v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装备!B74</f>
        <v>E222</v>
      </c>
      <c r="B313">
        <f>装备!A74</f>
        <v>0</v>
      </c>
      <c r="C313">
        <f>装备!V74</f>
        <v>0</v>
      </c>
      <c r="D313">
        <f>装备!W74</f>
        <v>0</v>
      </c>
      <c r="E313">
        <f>装备!X74</f>
        <v>60</v>
      </c>
      <c r="F313">
        <f>装备!Y74</f>
        <v>0</v>
      </c>
      <c r="G313">
        <f>装备!Z74</f>
        <v>134000</v>
      </c>
      <c r="H313">
        <f>装备!AA74</f>
        <v>0</v>
      </c>
      <c r="I313">
        <f>装备!AB74</f>
        <v>0</v>
      </c>
      <c r="J313">
        <f>装备!AC74</f>
        <v>0</v>
      </c>
      <c r="K313">
        <f>装备!AD74</f>
        <v>0</v>
      </c>
      <c r="L313">
        <f>装备!AE74</f>
        <v>0</v>
      </c>
      <c r="M313" t="str">
        <f t="shared" si="56"/>
        <v>InitUnitState('E222',0,0,60,0,134000,0,0,0,0,0)</v>
      </c>
      <c r="N313">
        <f>装备!AF74</f>
        <v>0</v>
      </c>
      <c r="O313">
        <f>装备!AG74</f>
        <v>0</v>
      </c>
      <c r="P313">
        <f>装备!AH74</f>
        <v>0</v>
      </c>
      <c r="Q313">
        <f>装备!AI74</f>
        <v>0</v>
      </c>
      <c r="R313">
        <f>装备!AJ74</f>
        <v>0</v>
      </c>
      <c r="S313">
        <f>装备!AK74</f>
        <v>0</v>
      </c>
      <c r="T313">
        <f>装备!AL74</f>
        <v>0</v>
      </c>
      <c r="U313">
        <f>装备!AM74</f>
        <v>12</v>
      </c>
      <c r="V313">
        <f>装备!AN74</f>
        <v>0</v>
      </c>
      <c r="W313">
        <f>装备!AO74</f>
        <v>0</v>
      </c>
      <c r="X313" t="str">
        <f t="shared" si="57"/>
        <v>InitUnitNormal('E222',0,0,0,0,0,0,0,12,0,0)</v>
      </c>
      <c r="Y313">
        <f>装备!AP74</f>
        <v>0</v>
      </c>
      <c r="Z313">
        <f>装备!AQ74</f>
        <v>0</v>
      </c>
      <c r="AA313">
        <f>装备!AR74</f>
        <v>0</v>
      </c>
      <c r="AB313">
        <f>装备!AS74</f>
        <v>0</v>
      </c>
      <c r="AC313">
        <f>装备!AT74</f>
        <v>0</v>
      </c>
      <c r="AD313">
        <f>装备!AU74</f>
        <v>0</v>
      </c>
      <c r="AE313">
        <f>装备!AV74</f>
        <v>0</v>
      </c>
      <c r="AF313">
        <f>装备!AW74</f>
        <v>0</v>
      </c>
      <c r="AG313">
        <f>装备!AX74</f>
        <v>0</v>
      </c>
      <c r="AH313">
        <f>装备!AY74</f>
        <v>0</v>
      </c>
      <c r="AI313" t="str">
        <f t="shared" si="58"/>
        <v>InitUnitMagic('E222',0,0,0,0,0,0,0,0,0,0)</v>
      </c>
      <c r="AJ313">
        <f>装备!AZ74</f>
        <v>0</v>
      </c>
      <c r="AK313">
        <f>装备!BA74</f>
        <v>0</v>
      </c>
      <c r="AL313">
        <f>装备!BB74</f>
        <v>0</v>
      </c>
      <c r="AM313">
        <f>装备!BC74</f>
        <v>0</v>
      </c>
      <c r="AN313">
        <f>装备!BD74</f>
        <v>0</v>
      </c>
      <c r="AO313">
        <f>装备!BE74</f>
        <v>0</v>
      </c>
      <c r="AP313">
        <f>装备!BF74</f>
        <v>0</v>
      </c>
      <c r="AQ313">
        <f>装备!BG74</f>
        <v>0</v>
      </c>
      <c r="AR313">
        <f>装备!BH74</f>
        <v>0</v>
      </c>
      <c r="AS313">
        <f>装备!BI74</f>
        <v>0</v>
      </c>
      <c r="AT313" t="str">
        <f t="shared" si="59"/>
        <v>InitUnitAdd('E222',0,0,0,0,0,0,0,0,0,0)</v>
      </c>
      <c r="AU313">
        <f>装备!BJ74</f>
        <v>0</v>
      </c>
      <c r="AV313">
        <f>装备!BK74</f>
        <v>0</v>
      </c>
      <c r="AW313">
        <f>装备!BL74</f>
        <v>0</v>
      </c>
      <c r="AX313">
        <f>装备!BM74</f>
        <v>0</v>
      </c>
      <c r="AY313">
        <f>装备!BN74</f>
        <v>0</v>
      </c>
      <c r="AZ313">
        <f>装备!BO74</f>
        <v>0</v>
      </c>
      <c r="BA313">
        <f>装备!BP74</f>
        <v>0</v>
      </c>
      <c r="BB313">
        <f>装备!BQ74</f>
        <v>0</v>
      </c>
      <c r="BC313">
        <f>装备!BR74</f>
        <v>0</v>
      </c>
      <c r="BD313">
        <f>装备!BS74</f>
        <v>0</v>
      </c>
      <c r="BE313" t="str">
        <f t="shared" si="60"/>
        <v>InitUnitStateTime('E222',0,0,0,0,0,0,0,0,0,0)</v>
      </c>
      <c r="BF313">
        <f>装备!BT74</f>
        <v>0</v>
      </c>
      <c r="BG313">
        <f>装备!BU74</f>
        <v>0</v>
      </c>
      <c r="BH313">
        <f>装备!BV74</f>
        <v>0</v>
      </c>
      <c r="BI313">
        <f>装备!BW74</f>
        <v>0</v>
      </c>
      <c r="BJ313">
        <f>装备!BX74</f>
        <v>0</v>
      </c>
      <c r="BK313">
        <f>装备!BY74</f>
        <v>0</v>
      </c>
      <c r="BL313">
        <f>装备!BZ74</f>
        <v>0</v>
      </c>
      <c r="BM313">
        <f>装备!CA74</f>
        <v>0</v>
      </c>
      <c r="BN313">
        <f>装备!CB74</f>
        <v>0</v>
      </c>
      <c r="BO313">
        <f>装备!CC74</f>
        <v>0</v>
      </c>
      <c r="BP313" t="str">
        <f t="shared" si="61"/>
        <v>InitUnitStateAttack('E222',0,0,0,0,0,0,0,0,0,0)</v>
      </c>
      <c r="BQ313">
        <f>装备!CD74</f>
        <v>0</v>
      </c>
      <c r="BR313">
        <f>装备!CE74</f>
        <v>0</v>
      </c>
      <c r="BS313">
        <f>装备!CF74</f>
        <v>0</v>
      </c>
      <c r="BT313">
        <f>装备!CG74</f>
        <v>0</v>
      </c>
      <c r="BU313">
        <f>装备!CH74</f>
        <v>0</v>
      </c>
      <c r="BV313">
        <f>装备!CI74</f>
        <v>0</v>
      </c>
      <c r="BW313">
        <f>装备!CJ74</f>
        <v>0</v>
      </c>
      <c r="BX313">
        <f>装备!CK74</f>
        <v>0</v>
      </c>
      <c r="BY313">
        <f>装备!CL74</f>
        <v>0</v>
      </c>
      <c r="BZ313">
        <f>装备!CM74</f>
        <v>0</v>
      </c>
      <c r="CA313" t="str">
        <f t="shared" si="62"/>
        <v>InitUnitStateUpUp('E222',0,0,0,0,0,0,0,0,0,0)</v>
      </c>
      <c r="CB313" t="str">
        <f t="shared" si="63"/>
        <v>InitUnitState('E222',0,0,60,0,134000,0,0,0,0,0)</v>
      </c>
      <c r="CC313" t="str">
        <f t="shared" si="64"/>
        <v>InitUnitNormal('E222',0,0,0,0,0,0,0,12,0,0)</v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15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E596"/>
  <sheetViews>
    <sheetView topLeftCell="A34" workbookViewId="0">
      <selection activeCell="D71" sqref="D71"/>
    </sheetView>
  </sheetViews>
  <sheetFormatPr defaultColWidth="9" defaultRowHeight="14.25"/>
  <cols>
    <col min="4" max="4" width="12.25" customWidth="1"/>
  </cols>
  <sheetData>
    <row r="1" spans="1:5">
      <c r="A1" s="1" t="s">
        <v>302</v>
      </c>
      <c r="B1" s="1" t="s">
        <v>303</v>
      </c>
      <c r="C1" s="1" t="s">
        <v>304</v>
      </c>
      <c r="D1" s="1" t="s">
        <v>305</v>
      </c>
      <c r="E1" s="1" t="s">
        <v>306</v>
      </c>
    </row>
    <row r="2" spans="1:5">
      <c r="A2">
        <v>1</v>
      </c>
      <c r="B2" s="1" t="s">
        <v>233</v>
      </c>
      <c r="C2">
        <v>1000</v>
      </c>
      <c r="D2" s="2" t="e">
        <f>VLOOKUP(B2,装备!B:E,3,FALSE)</f>
        <v>#N/A</v>
      </c>
      <c r="E2" t="str">
        <f>IF(B2&lt;&gt;"","AddPrizeListEx("&amp;A2&amp;",'"&amp;B2&amp;"',"&amp;C2&amp;")","")</f>
        <v>AddPrizeListEx(1,'I101',1000)</v>
      </c>
    </row>
    <row r="3" spans="1:5">
      <c r="A3" s="3">
        <v>1</v>
      </c>
      <c r="B3" s="1" t="s">
        <v>234</v>
      </c>
      <c r="C3">
        <v>200</v>
      </c>
      <c r="D3" s="2" t="e">
        <f>VLOOKUP(B3,装备!B:E,3,FALSE)</f>
        <v>#N/A</v>
      </c>
      <c r="E3" t="str">
        <f t="shared" ref="E3:E12" si="0">IF(B3&lt;&gt;"","AddPrizeListEx("&amp;A3&amp;",'"&amp;B3&amp;"',"&amp;C3&amp;")","")</f>
        <v>AddPrizeListEx(1,'I102',200)</v>
      </c>
    </row>
    <row r="4" spans="1:5">
      <c r="A4" s="3">
        <v>1</v>
      </c>
      <c r="B4" s="1" t="s">
        <v>235</v>
      </c>
      <c r="C4">
        <v>20</v>
      </c>
      <c r="D4" s="2" t="e">
        <f>VLOOKUP(B4,装备!B:E,3,FALSE)</f>
        <v>#N/A</v>
      </c>
      <c r="E4" t="str">
        <f t="shared" si="0"/>
        <v>AddPrizeListEx(1,'I103',20)</v>
      </c>
    </row>
    <row r="5" spans="1:5">
      <c r="A5" s="3">
        <v>1</v>
      </c>
      <c r="B5" s="1" t="s">
        <v>236</v>
      </c>
      <c r="C5">
        <v>5</v>
      </c>
      <c r="D5" s="2" t="e">
        <f>VLOOKUP(B5,装备!B:E,3,FALSE)</f>
        <v>#N/A</v>
      </c>
      <c r="E5" t="str">
        <f t="shared" si="0"/>
        <v>AddPrizeListEx(1,'I104',5)</v>
      </c>
    </row>
    <row r="6" spans="1:5">
      <c r="A6" s="3">
        <v>1</v>
      </c>
      <c r="B6" s="1" t="s">
        <v>237</v>
      </c>
      <c r="C6">
        <v>200</v>
      </c>
      <c r="D6" s="2" t="e">
        <f>VLOOKUP(B6,装备!B:E,3,FALSE)</f>
        <v>#N/A</v>
      </c>
      <c r="E6" t="str">
        <f t="shared" si="0"/>
        <v>AddPrizeListEx(1,'I105',200)</v>
      </c>
    </row>
    <row r="7" spans="1:5">
      <c r="A7" s="3">
        <v>1</v>
      </c>
      <c r="B7" s="1" t="s">
        <v>238</v>
      </c>
      <c r="C7">
        <v>20</v>
      </c>
      <c r="D7" s="2" t="e">
        <f>VLOOKUP(B7,装备!B:E,3,FALSE)</f>
        <v>#N/A</v>
      </c>
      <c r="E7" t="str">
        <f t="shared" si="0"/>
        <v>AddPrizeListEx(1,'I106',20)</v>
      </c>
    </row>
    <row r="8" spans="1:5">
      <c r="A8" s="3">
        <v>1</v>
      </c>
      <c r="B8" s="1" t="s">
        <v>239</v>
      </c>
      <c r="C8">
        <v>5</v>
      </c>
      <c r="D8" s="2" t="e">
        <f>VLOOKUP(B8,装备!B:E,3,FALSE)</f>
        <v>#N/A</v>
      </c>
      <c r="E8" t="str">
        <f t="shared" si="0"/>
        <v>AddPrizeListEx(1,'I107',5)</v>
      </c>
    </row>
    <row r="9" spans="1:5">
      <c r="A9" s="3">
        <v>1</v>
      </c>
      <c r="B9" s="1" t="s">
        <v>240</v>
      </c>
      <c r="C9">
        <v>1500</v>
      </c>
      <c r="D9" s="2" t="e">
        <f>VLOOKUP(B9,装备!B:E,3,FALSE)</f>
        <v>#N/A</v>
      </c>
      <c r="E9" t="str">
        <f t="shared" si="0"/>
        <v>AddPrizeListEx(1,'I108',1500)</v>
      </c>
    </row>
    <row r="10" spans="1:5">
      <c r="A10" s="3">
        <v>1</v>
      </c>
      <c r="B10" s="1" t="s">
        <v>241</v>
      </c>
      <c r="C10">
        <v>500</v>
      </c>
      <c r="D10" s="2" t="e">
        <f>VLOOKUP(B10,装备!B:E,3,FALSE)</f>
        <v>#N/A</v>
      </c>
      <c r="E10" t="str">
        <f t="shared" si="0"/>
        <v>AddPrizeListEx(1,'I109',500)</v>
      </c>
    </row>
    <row r="11" spans="1:5">
      <c r="A11" s="3">
        <v>1</v>
      </c>
      <c r="B11" s="1" t="s">
        <v>242</v>
      </c>
      <c r="C11">
        <v>100</v>
      </c>
      <c r="D11" s="2" t="e">
        <f>VLOOKUP(B11,装备!B:E,3,FALSE)</f>
        <v>#N/A</v>
      </c>
      <c r="E11" t="str">
        <f t="shared" si="0"/>
        <v>AddPrizeListEx(1,'I110',100)</v>
      </c>
    </row>
    <row r="12" spans="1:5">
      <c r="A12" s="3">
        <v>1</v>
      </c>
      <c r="B12" s="1" t="s">
        <v>243</v>
      </c>
      <c r="C12">
        <v>10</v>
      </c>
      <c r="D12" s="2" t="e">
        <f>VLOOKUP(B12,装备!B:E,3,FALSE)</f>
        <v>#N/A</v>
      </c>
      <c r="E12" t="str">
        <f t="shared" si="0"/>
        <v>AddPrizeListEx(1,'I111',10)</v>
      </c>
    </row>
    <row r="13" spans="1:5">
      <c r="A13" s="3">
        <v>1</v>
      </c>
      <c r="B13" s="1" t="s">
        <v>244</v>
      </c>
      <c r="C13">
        <v>500</v>
      </c>
      <c r="D13" s="2" t="e">
        <f>VLOOKUP(B13,装备!B:E,3,FALSE)</f>
        <v>#N/A</v>
      </c>
      <c r="E13" t="str">
        <f t="shared" ref="E13:E49" si="1">IF(B13&lt;&gt;"","AddPrizeListEx("&amp;A13&amp;",'"&amp;B13&amp;"',"&amp;C13&amp;")","")</f>
        <v>AddPrizeListEx(1,'I112',500)</v>
      </c>
    </row>
    <row r="14" spans="1:5">
      <c r="A14" s="3">
        <v>1</v>
      </c>
      <c r="B14" s="1" t="s">
        <v>245</v>
      </c>
      <c r="C14">
        <v>100</v>
      </c>
      <c r="D14" s="2" t="e">
        <f>VLOOKUP(B14,装备!B:E,3,FALSE)</f>
        <v>#N/A</v>
      </c>
      <c r="E14" t="str">
        <f t="shared" si="1"/>
        <v>AddPrizeListEx(1,'I113',100)</v>
      </c>
    </row>
    <row r="15" spans="1:5">
      <c r="A15" s="3">
        <v>1</v>
      </c>
      <c r="B15" s="1" t="s">
        <v>246</v>
      </c>
      <c r="C15">
        <v>10</v>
      </c>
      <c r="D15" s="2" t="e">
        <f>VLOOKUP(B15,装备!B:E,3,FALSE)</f>
        <v>#N/A</v>
      </c>
      <c r="E15" t="str">
        <f t="shared" si="1"/>
        <v>AddPrizeListEx(1,'I114',10)</v>
      </c>
    </row>
    <row r="16" spans="1:5">
      <c r="A16" s="3">
        <v>1</v>
      </c>
      <c r="B16" s="1" t="s">
        <v>247</v>
      </c>
      <c r="C16">
        <v>500</v>
      </c>
      <c r="D16" s="2" t="e">
        <f>VLOOKUP(B16,装备!B:E,3,FALSE)</f>
        <v>#N/A</v>
      </c>
      <c r="E16" t="str">
        <f t="shared" si="1"/>
        <v>AddPrizeListEx(1,'I115',500)</v>
      </c>
    </row>
    <row r="17" spans="1:5">
      <c r="A17" s="3">
        <v>1</v>
      </c>
      <c r="B17" s="1" t="s">
        <v>248</v>
      </c>
      <c r="C17">
        <v>100</v>
      </c>
      <c r="D17" s="2" t="e">
        <f>VLOOKUP(B17,装备!B:E,3,FALSE)</f>
        <v>#N/A</v>
      </c>
      <c r="E17" t="str">
        <f t="shared" si="1"/>
        <v>AddPrizeListEx(1,'I116',100)</v>
      </c>
    </row>
    <row r="18" spans="1:5">
      <c r="A18" s="3">
        <v>1</v>
      </c>
      <c r="B18" s="1" t="s">
        <v>249</v>
      </c>
      <c r="C18">
        <v>10</v>
      </c>
      <c r="D18" s="2" t="e">
        <f>VLOOKUP(B18,装备!B:E,3,FALSE)</f>
        <v>#N/A</v>
      </c>
      <c r="E18" t="str">
        <f t="shared" si="1"/>
        <v>AddPrizeListEx(1,'I117',10)</v>
      </c>
    </row>
    <row r="19" spans="1:5">
      <c r="A19" s="3">
        <v>1</v>
      </c>
      <c r="B19" s="1" t="s">
        <v>250</v>
      </c>
      <c r="C19">
        <v>1500</v>
      </c>
      <c r="D19" s="2" t="e">
        <f>VLOOKUP(B19,装备!B:E,3,FALSE)</f>
        <v>#N/A</v>
      </c>
      <c r="E19" t="str">
        <f t="shared" si="1"/>
        <v>AddPrizeListEx(1,'I118',1500)</v>
      </c>
    </row>
    <row r="20" spans="1:5">
      <c r="A20" s="3">
        <v>1</v>
      </c>
      <c r="B20" s="1" t="s">
        <v>251</v>
      </c>
      <c r="C20">
        <v>600</v>
      </c>
      <c r="D20" s="2" t="e">
        <f>VLOOKUP(B20,装备!B:E,3,FALSE)</f>
        <v>#N/A</v>
      </c>
      <c r="E20" t="str">
        <f t="shared" si="1"/>
        <v>AddPrizeListEx(1,'I119',600)</v>
      </c>
    </row>
    <row r="21" spans="1:5">
      <c r="A21" s="3">
        <v>1</v>
      </c>
      <c r="B21" s="1" t="s">
        <v>252</v>
      </c>
      <c r="C21">
        <v>20</v>
      </c>
      <c r="D21" s="2" t="e">
        <f>VLOOKUP(B21,装备!B:E,3,FALSE)</f>
        <v>#N/A</v>
      </c>
      <c r="E21" t="str">
        <f t="shared" si="1"/>
        <v>AddPrizeListEx(1,'I120',20)</v>
      </c>
    </row>
    <row r="22" spans="1:5">
      <c r="A22" s="3">
        <v>1</v>
      </c>
      <c r="B22" s="1" t="s">
        <v>253</v>
      </c>
      <c r="C22">
        <v>700</v>
      </c>
      <c r="D22" s="2" t="e">
        <f>VLOOKUP(B22,装备!B:E,3,FALSE)</f>
        <v>#N/A</v>
      </c>
      <c r="E22" t="str">
        <f t="shared" si="1"/>
        <v>AddPrizeListEx(1,'I121',700)</v>
      </c>
    </row>
    <row r="23" spans="1:5">
      <c r="A23" s="3">
        <v>1</v>
      </c>
      <c r="B23" s="1" t="s">
        <v>254</v>
      </c>
      <c r="C23">
        <v>240</v>
      </c>
      <c r="D23" s="2" t="e">
        <f>VLOOKUP(B23,装备!B:E,3,FALSE)</f>
        <v>#N/A</v>
      </c>
      <c r="E23" t="str">
        <f t="shared" si="1"/>
        <v>AddPrizeListEx(1,'I122',240)</v>
      </c>
    </row>
    <row r="24" spans="1:5">
      <c r="A24" s="3">
        <v>1</v>
      </c>
      <c r="B24" s="1" t="s">
        <v>255</v>
      </c>
      <c r="C24">
        <v>15</v>
      </c>
      <c r="D24" s="2" t="e">
        <f>VLOOKUP(B24,装备!B:E,3,FALSE)</f>
        <v>#N/A</v>
      </c>
      <c r="E24" t="str">
        <f t="shared" si="1"/>
        <v>AddPrizeListEx(1,'I123',15)</v>
      </c>
    </row>
    <row r="25" spans="1:5">
      <c r="A25" s="3">
        <v>1</v>
      </c>
      <c r="B25" s="1" t="s">
        <v>256</v>
      </c>
      <c r="C25" s="2">
        <v>700</v>
      </c>
      <c r="D25" s="2" t="e">
        <f>VLOOKUP(B25,装备!B:E,3,FALSE)</f>
        <v>#N/A</v>
      </c>
      <c r="E25" t="str">
        <f t="shared" si="1"/>
        <v>AddPrizeListEx(1,'I124',700)</v>
      </c>
    </row>
    <row r="26" spans="1:5">
      <c r="A26" s="3">
        <v>1</v>
      </c>
      <c r="B26" s="1" t="s">
        <v>257</v>
      </c>
      <c r="C26" s="2">
        <v>240</v>
      </c>
      <c r="D26" s="2" t="e">
        <f>VLOOKUP(B26,装备!B:E,3,FALSE)</f>
        <v>#N/A</v>
      </c>
      <c r="E26" t="str">
        <f t="shared" si="1"/>
        <v>AddPrizeListEx(1,'I125',240)</v>
      </c>
    </row>
    <row r="27" spans="1:5">
      <c r="A27" s="3">
        <v>1</v>
      </c>
      <c r="B27" s="1" t="s">
        <v>258</v>
      </c>
      <c r="C27" s="2">
        <v>15</v>
      </c>
      <c r="D27" s="2" t="e">
        <f>VLOOKUP(B27,装备!B:E,3,FALSE)</f>
        <v>#N/A</v>
      </c>
      <c r="E27" t="str">
        <f t="shared" si="1"/>
        <v>AddPrizeListEx(1,'I126',15)</v>
      </c>
    </row>
    <row r="28" spans="1:5">
      <c r="A28" s="3">
        <v>1</v>
      </c>
      <c r="B28" s="1" t="s">
        <v>259</v>
      </c>
      <c r="C28">
        <v>1000</v>
      </c>
      <c r="D28" s="2" t="e">
        <f>VLOOKUP(B28,装备!B:E,3,FALSE)</f>
        <v>#N/A</v>
      </c>
      <c r="E28" t="str">
        <f t="shared" si="1"/>
        <v>AddPrizeListEx(1,'I127',1000)</v>
      </c>
    </row>
    <row r="29" spans="1:5">
      <c r="A29" s="3">
        <v>1</v>
      </c>
      <c r="B29" s="1" t="s">
        <v>260</v>
      </c>
      <c r="C29">
        <v>300</v>
      </c>
      <c r="D29" s="2" t="e">
        <f>VLOOKUP(B29,装备!B:E,3,FALSE)</f>
        <v>#N/A</v>
      </c>
      <c r="E29" t="str">
        <f t="shared" si="1"/>
        <v>AddPrizeListEx(1,'I128',300)</v>
      </c>
    </row>
    <row r="30" spans="1:5">
      <c r="A30" s="3">
        <v>1</v>
      </c>
      <c r="B30" s="1" t="s">
        <v>261</v>
      </c>
      <c r="C30">
        <v>20</v>
      </c>
      <c r="D30" s="2" t="e">
        <f>VLOOKUP(B30,装备!B:E,3,FALSE)</f>
        <v>#N/A</v>
      </c>
      <c r="E30" t="str">
        <f t="shared" si="1"/>
        <v>AddPrizeListEx(1,'I129',20)</v>
      </c>
    </row>
    <row r="31" spans="1:5">
      <c r="A31" s="3">
        <v>1</v>
      </c>
      <c r="B31" s="1" t="s">
        <v>262</v>
      </c>
      <c r="C31">
        <v>1500</v>
      </c>
      <c r="D31" s="2" t="e">
        <f>VLOOKUP(B31,装备!B:E,3,FALSE)</f>
        <v>#N/A</v>
      </c>
      <c r="E31" t="str">
        <f t="shared" si="1"/>
        <v>AddPrizeListEx(1,'I130',1500)</v>
      </c>
    </row>
    <row r="32" spans="1:5">
      <c r="A32" s="3">
        <v>1</v>
      </c>
      <c r="B32" s="1" t="s">
        <v>263</v>
      </c>
      <c r="C32">
        <v>700</v>
      </c>
      <c r="D32" s="2" t="e">
        <f>VLOOKUP(B32,装备!B:E,3,FALSE)</f>
        <v>#N/A</v>
      </c>
      <c r="E32" t="str">
        <f t="shared" si="1"/>
        <v>AddPrizeListEx(1,'I131',700)</v>
      </c>
    </row>
    <row r="33" spans="1:5">
      <c r="A33" s="3">
        <v>1</v>
      </c>
      <c r="B33" s="1" t="s">
        <v>264</v>
      </c>
      <c r="C33">
        <v>10</v>
      </c>
      <c r="D33" s="2" t="e">
        <f>VLOOKUP(B33,装备!B:E,3,FALSE)</f>
        <v>#N/A</v>
      </c>
      <c r="E33" t="str">
        <f t="shared" si="1"/>
        <v>AddPrizeListEx(1,'I132',10)</v>
      </c>
    </row>
    <row r="34" spans="1:5">
      <c r="A34" s="3">
        <v>1</v>
      </c>
      <c r="B34" s="1" t="s">
        <v>265</v>
      </c>
      <c r="C34">
        <v>5</v>
      </c>
      <c r="D34" s="2" t="e">
        <f>VLOOKUP(B34,装备!B:E,3,FALSE)</f>
        <v>#N/A</v>
      </c>
      <c r="E34" t="str">
        <f t="shared" si="1"/>
        <v>AddPrizeListEx(1,'I133',5)</v>
      </c>
    </row>
    <row r="35" spans="1:5">
      <c r="A35" s="3">
        <v>1</v>
      </c>
      <c r="B35" s="1" t="s">
        <v>266</v>
      </c>
      <c r="C35">
        <v>5</v>
      </c>
      <c r="D35" s="2" t="e">
        <f>VLOOKUP(B35,装备!B:E,3,FALSE)</f>
        <v>#N/A</v>
      </c>
      <c r="E35" t="str">
        <f t="shared" si="1"/>
        <v>AddPrizeListEx(1,'I134',5)</v>
      </c>
    </row>
    <row r="36" spans="1:5">
      <c r="A36" s="3">
        <v>1</v>
      </c>
      <c r="B36" s="1" t="s">
        <v>267</v>
      </c>
      <c r="C36">
        <v>5</v>
      </c>
      <c r="D36" s="2" t="e">
        <f>VLOOKUP(B36,装备!B:E,3,FALSE)</f>
        <v>#N/A</v>
      </c>
      <c r="E36" t="str">
        <f t="shared" si="1"/>
        <v>AddPrizeListEx(1,'I135',5)</v>
      </c>
    </row>
    <row r="37" spans="1:5">
      <c r="A37" s="3">
        <v>1</v>
      </c>
      <c r="B37" s="1" t="s">
        <v>268</v>
      </c>
      <c r="C37">
        <v>5</v>
      </c>
      <c r="D37" s="2" t="e">
        <f>VLOOKUP(B37,装备!B:E,3,FALSE)</f>
        <v>#N/A</v>
      </c>
      <c r="E37" t="str">
        <f t="shared" si="1"/>
        <v>AddPrizeListEx(1,'I136',5)</v>
      </c>
    </row>
    <row r="38" spans="1:5">
      <c r="A38" s="3">
        <v>1</v>
      </c>
      <c r="B38" s="1" t="s">
        <v>269</v>
      </c>
      <c r="C38">
        <v>1500</v>
      </c>
      <c r="D38" s="2" t="e">
        <f>VLOOKUP(B38,装备!B:E,3,FALSE)</f>
        <v>#N/A</v>
      </c>
      <c r="E38" t="str">
        <f t="shared" si="1"/>
        <v>AddPrizeListEx(1,'I137',1500)</v>
      </c>
    </row>
    <row r="39" spans="1:5">
      <c r="A39" s="3">
        <v>1</v>
      </c>
      <c r="B39" s="1" t="s">
        <v>270</v>
      </c>
      <c r="C39">
        <v>200</v>
      </c>
      <c r="D39" s="2" t="e">
        <f>VLOOKUP(B39,装备!B:E,3,FALSE)</f>
        <v>#N/A</v>
      </c>
      <c r="E39" t="str">
        <f t="shared" si="1"/>
        <v>AddPrizeListEx(1,'I138',200)</v>
      </c>
    </row>
    <row r="40" spans="1:5">
      <c r="A40" s="3">
        <v>1</v>
      </c>
      <c r="B40" s="1" t="s">
        <v>271</v>
      </c>
      <c r="C40">
        <v>10</v>
      </c>
      <c r="D40" s="2" t="e">
        <f>VLOOKUP(B40,装备!B:E,3,FALSE)</f>
        <v>#N/A</v>
      </c>
      <c r="E40" t="str">
        <f t="shared" si="1"/>
        <v>AddPrizeListEx(1,'I139',10)</v>
      </c>
    </row>
    <row r="41" spans="1:5">
      <c r="A41" s="3">
        <v>1</v>
      </c>
      <c r="B41" s="1" t="s">
        <v>272</v>
      </c>
      <c r="C41">
        <v>1500</v>
      </c>
      <c r="D41" s="2" t="e">
        <f>VLOOKUP(B41,装备!B:E,3,FALSE)</f>
        <v>#N/A</v>
      </c>
      <c r="E41" t="str">
        <f t="shared" si="1"/>
        <v>AddPrizeListEx(1,'I140',1500)</v>
      </c>
    </row>
    <row r="42" spans="1:5">
      <c r="A42" s="3">
        <v>1</v>
      </c>
      <c r="B42" s="1" t="s">
        <v>273</v>
      </c>
      <c r="C42">
        <v>200</v>
      </c>
      <c r="D42" s="2" t="e">
        <f>VLOOKUP(B42,装备!B:E,3,FALSE)</f>
        <v>#N/A</v>
      </c>
      <c r="E42" t="str">
        <f t="shared" si="1"/>
        <v>AddPrizeListEx(1,'I141',200)</v>
      </c>
    </row>
    <row r="43" spans="1:5">
      <c r="A43" s="3">
        <v>1</v>
      </c>
      <c r="B43" s="1" t="s">
        <v>274</v>
      </c>
      <c r="C43">
        <v>5</v>
      </c>
      <c r="D43" s="2" t="e">
        <f>VLOOKUP(B43,装备!B:E,3,FALSE)</f>
        <v>#N/A</v>
      </c>
      <c r="E43" t="str">
        <f t="shared" si="1"/>
        <v>AddPrizeListEx(1,'I142',5)</v>
      </c>
    </row>
    <row r="44" spans="1:5">
      <c r="A44" s="3">
        <v>1</v>
      </c>
      <c r="B44" s="1" t="s">
        <v>275</v>
      </c>
      <c r="C44">
        <v>1000</v>
      </c>
      <c r="D44" s="2" t="e">
        <f>VLOOKUP(B44,装备!B:E,3,FALSE)</f>
        <v>#N/A</v>
      </c>
      <c r="E44" t="str">
        <f t="shared" si="1"/>
        <v>AddPrizeListEx(1,'I143',1000)</v>
      </c>
    </row>
    <row r="45" spans="1:5">
      <c r="A45" s="3">
        <v>1</v>
      </c>
      <c r="B45" s="1" t="s">
        <v>276</v>
      </c>
      <c r="C45">
        <v>200</v>
      </c>
      <c r="D45" s="2" t="e">
        <f>VLOOKUP(B45,装备!B:E,3,FALSE)</f>
        <v>#N/A</v>
      </c>
      <c r="E45" t="str">
        <f t="shared" si="1"/>
        <v>AddPrizeListEx(1,'I144',200)</v>
      </c>
    </row>
    <row r="46" spans="1:5">
      <c r="A46" s="3">
        <v>1</v>
      </c>
      <c r="B46" s="1" t="s">
        <v>277</v>
      </c>
      <c r="C46">
        <v>10</v>
      </c>
      <c r="D46" s="2" t="e">
        <f>VLOOKUP(B46,装备!B:E,3,FALSE)</f>
        <v>#N/A</v>
      </c>
      <c r="E46" t="str">
        <f t="shared" si="1"/>
        <v>AddPrizeListEx(1,'I145',10)</v>
      </c>
    </row>
    <row r="47" spans="1:5">
      <c r="A47" s="3">
        <v>1</v>
      </c>
      <c r="B47" s="1" t="s">
        <v>278</v>
      </c>
      <c r="C47">
        <v>500</v>
      </c>
      <c r="D47" s="2" t="e">
        <f>VLOOKUP(B47,装备!B:E,3,FALSE)</f>
        <v>#N/A</v>
      </c>
      <c r="E47" t="str">
        <f t="shared" si="1"/>
        <v>AddPrizeListEx(1,'I146',500)</v>
      </c>
    </row>
    <row r="48" spans="1:5">
      <c r="A48" s="3">
        <v>1</v>
      </c>
      <c r="B48" s="1" t="s">
        <v>279</v>
      </c>
      <c r="C48">
        <v>100</v>
      </c>
      <c r="D48" s="2" t="e">
        <f>VLOOKUP(B48,装备!B:E,3,FALSE)</f>
        <v>#N/A</v>
      </c>
      <c r="E48" t="str">
        <f t="shared" si="1"/>
        <v>AddPrizeListEx(1,'I147',100)</v>
      </c>
    </row>
    <row r="49" spans="1:5">
      <c r="A49" s="3">
        <v>1</v>
      </c>
      <c r="B49" s="1" t="s">
        <v>280</v>
      </c>
      <c r="C49">
        <v>5</v>
      </c>
      <c r="D49" s="2" t="e">
        <f>VLOOKUP(B49,装备!B:E,3,FALSE)</f>
        <v>#N/A</v>
      </c>
      <c r="E49" t="str">
        <f t="shared" si="1"/>
        <v>AddPrizeListEx(1,'I148',5)</v>
      </c>
    </row>
    <row r="50" spans="1:5">
      <c r="A50" s="3">
        <v>2</v>
      </c>
      <c r="B50" s="1" t="s">
        <v>234</v>
      </c>
      <c r="C50">
        <v>1000</v>
      </c>
      <c r="D50" s="2" t="e">
        <f>VLOOKUP(B50,装备!B:E,3,FALSE)</f>
        <v>#N/A</v>
      </c>
      <c r="E50" t="str">
        <f t="shared" ref="E50:E81" si="2">IF(B50&lt;&gt;"","AddPrizeListEx("&amp;A50&amp;",'"&amp;B50&amp;"',"&amp;C50&amp;")","")</f>
        <v>AddPrizeListEx(2,'I102',1000)</v>
      </c>
    </row>
    <row r="51" spans="1:5">
      <c r="A51" s="3">
        <v>2</v>
      </c>
      <c r="B51" s="1" t="s">
        <v>235</v>
      </c>
      <c r="C51">
        <v>150</v>
      </c>
      <c r="D51" s="2" t="e">
        <f>VLOOKUP(B51,装备!B:E,3,FALSE)</f>
        <v>#N/A</v>
      </c>
      <c r="E51" t="str">
        <f t="shared" si="2"/>
        <v>AddPrizeListEx(2,'I103',150)</v>
      </c>
    </row>
    <row r="52" spans="1:5">
      <c r="A52" s="3">
        <v>2</v>
      </c>
      <c r="B52" s="1" t="s">
        <v>236</v>
      </c>
      <c r="C52">
        <v>10</v>
      </c>
      <c r="D52" s="2" t="e">
        <f>VLOOKUP(B52,装备!B:E,3,FALSE)</f>
        <v>#N/A</v>
      </c>
      <c r="E52" t="str">
        <f t="shared" si="2"/>
        <v>AddPrizeListEx(2,'I104',10)</v>
      </c>
    </row>
    <row r="53" spans="1:5">
      <c r="A53" s="3">
        <v>2</v>
      </c>
      <c r="B53" s="1" t="s">
        <v>238</v>
      </c>
      <c r="C53">
        <v>500</v>
      </c>
      <c r="D53" s="2" t="e">
        <f>VLOOKUP(B53,装备!B:E,3,FALSE)</f>
        <v>#N/A</v>
      </c>
      <c r="E53" t="str">
        <f t="shared" si="2"/>
        <v>AddPrizeListEx(2,'I106',500)</v>
      </c>
    </row>
    <row r="54" spans="1:5">
      <c r="A54" s="3">
        <v>2</v>
      </c>
      <c r="B54" s="1" t="s">
        <v>239</v>
      </c>
      <c r="C54">
        <v>10</v>
      </c>
      <c r="D54" s="2" t="e">
        <f>VLOOKUP(B54,装备!B:E,3,FALSE)</f>
        <v>#N/A</v>
      </c>
      <c r="E54" t="str">
        <f t="shared" si="2"/>
        <v>AddPrizeListEx(2,'I107',10)</v>
      </c>
    </row>
    <row r="55" spans="1:5">
      <c r="A55" s="3">
        <v>2</v>
      </c>
      <c r="B55" s="1" t="s">
        <v>242</v>
      </c>
      <c r="C55">
        <v>500</v>
      </c>
      <c r="D55" s="2" t="e">
        <f>VLOOKUP(B55,装备!B:E,3,FALSE)</f>
        <v>#N/A</v>
      </c>
      <c r="E55" t="str">
        <f t="shared" si="2"/>
        <v>AddPrizeListEx(2,'I110',500)</v>
      </c>
    </row>
    <row r="56" spans="1:5">
      <c r="A56" s="3">
        <v>2</v>
      </c>
      <c r="B56" s="1" t="s">
        <v>243</v>
      </c>
      <c r="C56">
        <v>10</v>
      </c>
      <c r="D56" s="2" t="e">
        <f>VLOOKUP(B56,装备!B:E,3,FALSE)</f>
        <v>#N/A</v>
      </c>
      <c r="E56" t="str">
        <f t="shared" si="2"/>
        <v>AddPrizeListEx(2,'I111',10)</v>
      </c>
    </row>
    <row r="57" spans="1:5">
      <c r="A57" s="3">
        <v>2</v>
      </c>
      <c r="B57" s="1" t="s">
        <v>245</v>
      </c>
      <c r="C57">
        <v>600</v>
      </c>
      <c r="D57" s="2" t="e">
        <f>VLOOKUP(B57,装备!B:E,3,FALSE)</f>
        <v>#N/A</v>
      </c>
      <c r="E57" t="str">
        <f t="shared" si="2"/>
        <v>AddPrizeListEx(2,'I113',600)</v>
      </c>
    </row>
    <row r="58" spans="1:5">
      <c r="A58" s="3">
        <v>2</v>
      </c>
      <c r="B58" s="1" t="s">
        <v>246</v>
      </c>
      <c r="C58">
        <v>10</v>
      </c>
      <c r="D58" s="2" t="e">
        <f>VLOOKUP(B58,装备!B:E,3,FALSE)</f>
        <v>#N/A</v>
      </c>
      <c r="E58" t="str">
        <f t="shared" si="2"/>
        <v>AddPrizeListEx(2,'I114',10)</v>
      </c>
    </row>
    <row r="59" spans="1:5">
      <c r="A59" s="3">
        <v>2</v>
      </c>
      <c r="B59" s="1" t="s">
        <v>248</v>
      </c>
      <c r="C59">
        <v>500</v>
      </c>
      <c r="D59" s="2" t="e">
        <f>VLOOKUP(B59,装备!B:E,3,FALSE)</f>
        <v>#N/A</v>
      </c>
      <c r="E59" t="str">
        <f t="shared" si="2"/>
        <v>AddPrizeListEx(2,'I116',500)</v>
      </c>
    </row>
    <row r="60" spans="1:5">
      <c r="A60" s="3">
        <v>2</v>
      </c>
      <c r="B60" s="1" t="s">
        <v>249</v>
      </c>
      <c r="C60">
        <v>10</v>
      </c>
      <c r="D60" s="2" t="e">
        <f>VLOOKUP(B60,装备!B:E,3,FALSE)</f>
        <v>#N/A</v>
      </c>
      <c r="E60" t="str">
        <f t="shared" si="2"/>
        <v>AddPrizeListEx(2,'I117',10)</v>
      </c>
    </row>
    <row r="61" spans="1:5">
      <c r="A61" s="3">
        <v>2</v>
      </c>
      <c r="B61" s="1" t="s">
        <v>251</v>
      </c>
      <c r="C61">
        <v>200</v>
      </c>
      <c r="D61" s="2" t="e">
        <f>VLOOKUP(B61,装备!B:E,3,FALSE)</f>
        <v>#N/A</v>
      </c>
      <c r="E61" t="str">
        <f t="shared" si="2"/>
        <v>AddPrizeListEx(2,'I119',200)</v>
      </c>
    </row>
    <row r="62" spans="1:5">
      <c r="A62" s="3">
        <v>2</v>
      </c>
      <c r="B62" s="1" t="s">
        <v>252</v>
      </c>
      <c r="C62">
        <v>5</v>
      </c>
      <c r="D62" s="2" t="e">
        <f>VLOOKUP(B62,装备!B:E,3,FALSE)</f>
        <v>#N/A</v>
      </c>
      <c r="E62" t="str">
        <f t="shared" si="2"/>
        <v>AddPrizeListEx(2,'I120',5)</v>
      </c>
    </row>
    <row r="63" spans="1:5">
      <c r="A63" s="3">
        <v>2</v>
      </c>
      <c r="B63" s="1" t="s">
        <v>254</v>
      </c>
      <c r="C63">
        <v>600</v>
      </c>
      <c r="D63" s="2" t="e">
        <f>VLOOKUP(B63,装备!B:E,3,FALSE)</f>
        <v>#N/A</v>
      </c>
      <c r="E63" t="str">
        <f t="shared" si="2"/>
        <v>AddPrizeListEx(2,'I122',600)</v>
      </c>
    </row>
    <row r="64" spans="1:5">
      <c r="A64" s="3">
        <v>2</v>
      </c>
      <c r="B64" s="1" t="s">
        <v>255</v>
      </c>
      <c r="C64">
        <v>10</v>
      </c>
      <c r="D64" s="2" t="e">
        <f>VLOOKUP(B64,装备!B:E,3,FALSE)</f>
        <v>#N/A</v>
      </c>
      <c r="E64" t="str">
        <f t="shared" si="2"/>
        <v>AddPrizeListEx(2,'I123',10)</v>
      </c>
    </row>
    <row r="65" spans="1:5">
      <c r="A65" s="3">
        <v>2</v>
      </c>
      <c r="B65" s="1" t="s">
        <v>257</v>
      </c>
      <c r="C65">
        <v>600</v>
      </c>
      <c r="D65" s="2" t="e">
        <f>VLOOKUP(B65,装备!B:E,3,FALSE)</f>
        <v>#N/A</v>
      </c>
      <c r="E65" t="str">
        <f t="shared" si="2"/>
        <v>AddPrizeListEx(2,'I125',600)</v>
      </c>
    </row>
    <row r="66" spans="1:5">
      <c r="A66" s="3">
        <v>2</v>
      </c>
      <c r="B66" s="1" t="s">
        <v>258</v>
      </c>
      <c r="C66">
        <v>20</v>
      </c>
      <c r="D66" s="2" t="e">
        <f>VLOOKUP(B66,装备!B:E,3,FALSE)</f>
        <v>#N/A</v>
      </c>
      <c r="E66" t="str">
        <f t="shared" si="2"/>
        <v>AddPrizeListEx(2,'I126',20)</v>
      </c>
    </row>
    <row r="67" spans="1:5">
      <c r="A67" s="3">
        <v>2</v>
      </c>
      <c r="B67" s="1" t="s">
        <v>260</v>
      </c>
      <c r="C67">
        <v>600</v>
      </c>
      <c r="D67" s="2" t="e">
        <f>VLOOKUP(B67,装备!B:E,3,FALSE)</f>
        <v>#N/A</v>
      </c>
      <c r="E67" t="str">
        <f t="shared" si="2"/>
        <v>AddPrizeListEx(2,'I128',600)</v>
      </c>
    </row>
    <row r="68" spans="1:5">
      <c r="A68" s="3">
        <v>2</v>
      </c>
      <c r="B68" s="1" t="s">
        <v>261</v>
      </c>
      <c r="C68">
        <v>20</v>
      </c>
      <c r="D68" s="2" t="e">
        <f>VLOOKUP(B68,装备!B:E,3,FALSE)</f>
        <v>#N/A</v>
      </c>
      <c r="E68" t="str">
        <f t="shared" si="2"/>
        <v>AddPrizeListEx(2,'I129',20)</v>
      </c>
    </row>
    <row r="69" spans="1:5">
      <c r="A69" s="3">
        <v>2</v>
      </c>
      <c r="B69" s="1" t="s">
        <v>263</v>
      </c>
      <c r="C69">
        <v>700</v>
      </c>
      <c r="D69" s="2" t="e">
        <f>VLOOKUP(B69,装备!B:E,3,FALSE)</f>
        <v>#N/A</v>
      </c>
      <c r="E69" t="str">
        <f t="shared" si="2"/>
        <v>AddPrizeListEx(2,'I131',700)</v>
      </c>
    </row>
    <row r="70" spans="1:5">
      <c r="A70" s="3">
        <v>2</v>
      </c>
      <c r="B70" s="1" t="s">
        <v>264</v>
      </c>
      <c r="C70">
        <v>100</v>
      </c>
      <c r="D70" s="2" t="e">
        <f>VLOOKUP(B70,装备!B:E,3,FALSE)</f>
        <v>#N/A</v>
      </c>
      <c r="E70" t="str">
        <f t="shared" si="2"/>
        <v>AddPrizeListEx(2,'I132',100)</v>
      </c>
    </row>
    <row r="71" spans="1:5">
      <c r="A71" s="3">
        <v>2</v>
      </c>
      <c r="B71" s="1" t="s">
        <v>265</v>
      </c>
      <c r="C71">
        <v>150</v>
      </c>
      <c r="D71" s="2" t="e">
        <f>VLOOKUP(B71,装备!B:E,3,FALSE)</f>
        <v>#N/A</v>
      </c>
      <c r="E71" t="str">
        <f t="shared" si="2"/>
        <v>AddPrizeListEx(2,'I133',150)</v>
      </c>
    </row>
    <row r="72" spans="1:5">
      <c r="A72" s="3">
        <v>2</v>
      </c>
      <c r="B72" s="1" t="s">
        <v>266</v>
      </c>
      <c r="C72">
        <v>20</v>
      </c>
      <c r="D72" s="2" t="e">
        <f>VLOOKUP(B72,装备!B:E,3,FALSE)</f>
        <v>#N/A</v>
      </c>
      <c r="E72" t="str">
        <f t="shared" si="2"/>
        <v>AddPrizeListEx(2,'I134',20)</v>
      </c>
    </row>
    <row r="73" spans="1:5">
      <c r="A73" s="3">
        <v>2</v>
      </c>
      <c r="B73" s="1" t="s">
        <v>267</v>
      </c>
      <c r="C73">
        <v>5</v>
      </c>
      <c r="D73" s="2" t="e">
        <f>VLOOKUP(B73,装备!B:E,3,FALSE)</f>
        <v>#N/A</v>
      </c>
      <c r="E73" t="str">
        <f t="shared" si="2"/>
        <v>AddPrizeListEx(2,'I135',5)</v>
      </c>
    </row>
    <row r="74" spans="1:5">
      <c r="A74" s="3">
        <v>2</v>
      </c>
      <c r="B74" s="1" t="s">
        <v>268</v>
      </c>
      <c r="C74">
        <v>5</v>
      </c>
      <c r="D74" s="2" t="e">
        <f>VLOOKUP(B74,装备!B:E,3,FALSE)</f>
        <v>#N/A</v>
      </c>
      <c r="E74" t="str">
        <f t="shared" si="2"/>
        <v>AddPrizeListEx(2,'I136',5)</v>
      </c>
    </row>
    <row r="75" spans="1:5">
      <c r="A75" s="3">
        <v>2</v>
      </c>
      <c r="B75" s="1" t="s">
        <v>270</v>
      </c>
      <c r="C75">
        <v>100</v>
      </c>
      <c r="D75" s="2" t="e">
        <f>VLOOKUP(B75,装备!B:E,3,FALSE)</f>
        <v>#N/A</v>
      </c>
      <c r="E75" t="str">
        <f t="shared" si="2"/>
        <v>AddPrizeListEx(2,'I138',100)</v>
      </c>
    </row>
    <row r="76" spans="1:5">
      <c r="A76" s="3">
        <v>2</v>
      </c>
      <c r="B76" s="1" t="s">
        <v>271</v>
      </c>
      <c r="C76">
        <v>50</v>
      </c>
      <c r="D76" s="2" t="e">
        <f>VLOOKUP(B76,装备!B:E,3,FALSE)</f>
        <v>#N/A</v>
      </c>
      <c r="E76" t="str">
        <f t="shared" si="2"/>
        <v>AddPrizeListEx(2,'I139',50)</v>
      </c>
    </row>
    <row r="77" spans="1:5">
      <c r="A77" s="3">
        <v>2</v>
      </c>
      <c r="B77" s="1" t="s">
        <v>273</v>
      </c>
      <c r="C77">
        <v>600</v>
      </c>
      <c r="D77" s="2" t="e">
        <f>VLOOKUP(B77,装备!B:E,3,FALSE)</f>
        <v>#N/A</v>
      </c>
      <c r="E77" t="str">
        <f t="shared" si="2"/>
        <v>AddPrizeListEx(2,'I141',600)</v>
      </c>
    </row>
    <row r="78" spans="1:5">
      <c r="A78" s="3">
        <v>2</v>
      </c>
      <c r="B78" s="1" t="s">
        <v>274</v>
      </c>
      <c r="C78">
        <v>10</v>
      </c>
      <c r="D78" s="2" t="e">
        <f>VLOOKUP(B78,装备!B:E,3,FALSE)</f>
        <v>#N/A</v>
      </c>
      <c r="E78" t="str">
        <f t="shared" si="2"/>
        <v>AddPrizeListEx(2,'I142',10)</v>
      </c>
    </row>
    <row r="79" spans="1:5">
      <c r="A79" s="3">
        <v>2</v>
      </c>
      <c r="B79" s="1" t="s">
        <v>276</v>
      </c>
      <c r="C79">
        <v>100</v>
      </c>
      <c r="D79" s="2" t="e">
        <f>VLOOKUP(B79,装备!B:E,3,FALSE)</f>
        <v>#N/A</v>
      </c>
      <c r="E79" t="str">
        <f t="shared" si="2"/>
        <v>AddPrizeListEx(2,'I144',100)</v>
      </c>
    </row>
    <row r="80" spans="1:5">
      <c r="A80" s="3">
        <v>2</v>
      </c>
      <c r="B80" s="1" t="s">
        <v>277</v>
      </c>
      <c r="C80">
        <v>5</v>
      </c>
      <c r="D80" s="2" t="e">
        <f>VLOOKUP(B80,装备!B:E,3,FALSE)</f>
        <v>#N/A</v>
      </c>
      <c r="E80" t="str">
        <f t="shared" si="2"/>
        <v>AddPrizeListEx(2,'I145',5)</v>
      </c>
    </row>
    <row r="81" spans="1:5">
      <c r="A81" s="3">
        <v>2</v>
      </c>
      <c r="B81" s="1" t="s">
        <v>279</v>
      </c>
      <c r="C81">
        <v>600</v>
      </c>
      <c r="D81" s="2" t="e">
        <f>VLOOKUP(B81,装备!B:E,3,FALSE)</f>
        <v>#N/A</v>
      </c>
      <c r="E81" t="str">
        <f t="shared" si="2"/>
        <v>AddPrizeListEx(2,'I147',600)</v>
      </c>
    </row>
    <row r="82" spans="1:5">
      <c r="A82" s="3">
        <v>2</v>
      </c>
      <c r="B82" s="1" t="s">
        <v>280</v>
      </c>
      <c r="C82">
        <v>5</v>
      </c>
      <c r="D82" s="2" t="e">
        <f>VLOOKUP(B82,装备!B:E,3,FALSE)</f>
        <v>#N/A</v>
      </c>
      <c r="E82" t="str">
        <f t="shared" ref="E82:E90" si="3">IF(B82&lt;&gt;"","AddPrizeListEx("&amp;A82&amp;",'"&amp;B82&amp;"',"&amp;C82&amp;")","")</f>
        <v>AddPrizeListEx(2,'I148',5)</v>
      </c>
    </row>
    <row r="83" spans="1:5" ht="16.5">
      <c r="A83" s="3">
        <v>2</v>
      </c>
      <c r="B83" s="4" t="s">
        <v>211</v>
      </c>
      <c r="C83" s="3">
        <v>100</v>
      </c>
      <c r="D83" s="2" t="e">
        <f>VLOOKUP(B83,装备!B:E,3,FALSE)</f>
        <v>#N/A</v>
      </c>
      <c r="E83" t="str">
        <f t="shared" si="3"/>
        <v>AddPrizeListEx(2,'E501',100)</v>
      </c>
    </row>
    <row r="84" spans="1:5" ht="16.5">
      <c r="A84" s="3">
        <v>2</v>
      </c>
      <c r="B84" s="4" t="s">
        <v>212</v>
      </c>
      <c r="C84" s="3">
        <v>100</v>
      </c>
      <c r="D84" s="2" t="e">
        <f>VLOOKUP(B84,装备!B:E,3,FALSE)</f>
        <v>#N/A</v>
      </c>
      <c r="E84" t="str">
        <f t="shared" si="3"/>
        <v>AddPrizeListEx(2,'E502',100)</v>
      </c>
    </row>
    <row r="85" spans="1:5" ht="16.5">
      <c r="A85" s="3">
        <v>2</v>
      </c>
      <c r="B85" s="4" t="s">
        <v>213</v>
      </c>
      <c r="C85" s="3">
        <v>100</v>
      </c>
      <c r="D85" s="2" t="e">
        <f>VLOOKUP(B85,装备!B:E,3,FALSE)</f>
        <v>#N/A</v>
      </c>
      <c r="E85" t="str">
        <f t="shared" si="3"/>
        <v>AddPrizeListEx(2,'E503',100)</v>
      </c>
    </row>
    <row r="86" spans="1:5" ht="16.5">
      <c r="A86" s="3">
        <v>2</v>
      </c>
      <c r="B86" s="4" t="s">
        <v>214</v>
      </c>
      <c r="C86" s="3">
        <v>100</v>
      </c>
      <c r="D86" s="2" t="e">
        <f>VLOOKUP(B86,装备!B:E,3,FALSE)</f>
        <v>#N/A</v>
      </c>
      <c r="E86" t="str">
        <f t="shared" si="3"/>
        <v>AddPrizeListEx(2,'E504',100)</v>
      </c>
    </row>
    <row r="87" spans="1:5" ht="16.5">
      <c r="A87" s="3">
        <v>2</v>
      </c>
      <c r="B87" s="4" t="s">
        <v>216</v>
      </c>
      <c r="C87" s="3">
        <v>100</v>
      </c>
      <c r="D87" s="2" t="e">
        <f>VLOOKUP(B87,装备!B:E,3,FALSE)</f>
        <v>#N/A</v>
      </c>
      <c r="E87" t="str">
        <f t="shared" si="3"/>
        <v>AddPrizeListEx(2,'E506',100)</v>
      </c>
    </row>
    <row r="88" spans="1:5" ht="16.5">
      <c r="A88" s="3">
        <v>2</v>
      </c>
      <c r="B88" s="4" t="s">
        <v>217</v>
      </c>
      <c r="C88" s="3">
        <v>100</v>
      </c>
      <c r="D88" s="2" t="e">
        <f>VLOOKUP(B88,装备!B:E,3,FALSE)</f>
        <v>#N/A</v>
      </c>
      <c r="E88" t="str">
        <f t="shared" si="3"/>
        <v>AddPrizeListEx(2,'E507',100)</v>
      </c>
    </row>
    <row r="89" spans="1:5" ht="16.5">
      <c r="A89" s="3">
        <v>2</v>
      </c>
      <c r="B89" s="5" t="s">
        <v>218</v>
      </c>
      <c r="C89" s="3">
        <v>100</v>
      </c>
      <c r="D89" s="2" t="e">
        <f>VLOOKUP(B89,装备!B:E,3,FALSE)</f>
        <v>#N/A</v>
      </c>
      <c r="E89" t="str">
        <f t="shared" si="3"/>
        <v>AddPrizeListEx(2,'E508',100)</v>
      </c>
    </row>
    <row r="90" spans="1:5" ht="16.5">
      <c r="A90" s="3">
        <v>2</v>
      </c>
      <c r="B90" s="4" t="s">
        <v>219</v>
      </c>
      <c r="C90" s="3">
        <v>100</v>
      </c>
      <c r="D90" s="2" t="e">
        <f>VLOOKUP(B90,装备!B:E,3,FALSE)</f>
        <v>#N/A</v>
      </c>
      <c r="E90" t="str">
        <f t="shared" si="3"/>
        <v>AddPrizeListEx(2,'E509',100)</v>
      </c>
    </row>
    <row r="91" spans="1:5" ht="16.5">
      <c r="A91" s="3">
        <v>2</v>
      </c>
      <c r="B91" s="4" t="s">
        <v>222</v>
      </c>
      <c r="C91" s="3">
        <v>100</v>
      </c>
      <c r="D91" s="2" t="e">
        <f>VLOOKUP(B91,装备!B:E,3,FALSE)</f>
        <v>#N/A</v>
      </c>
      <c r="E91" t="str">
        <f t="shared" ref="E91:E154" si="4">IF(B91&lt;&gt;"","AddPrizeListEx("&amp;A91&amp;",'"&amp;B91&amp;"',"&amp;C91&amp;")","")</f>
        <v>AddPrizeListEx(2,'E512',100)</v>
      </c>
    </row>
    <row r="92" spans="1:5" ht="16.5">
      <c r="A92" s="3">
        <v>2</v>
      </c>
      <c r="B92" s="4" t="s">
        <v>223</v>
      </c>
      <c r="C92" s="3">
        <v>100</v>
      </c>
      <c r="D92" s="2" t="e">
        <f>VLOOKUP(B92,装备!B:E,3,FALSE)</f>
        <v>#N/A</v>
      </c>
      <c r="E92" t="str">
        <f t="shared" si="4"/>
        <v>AddPrizeListEx(2,'E513',100)</v>
      </c>
    </row>
    <row r="93" spans="1:5" ht="16.5">
      <c r="A93">
        <v>2</v>
      </c>
      <c r="B93" s="4" t="s">
        <v>224</v>
      </c>
      <c r="C93" s="3">
        <v>100</v>
      </c>
      <c r="D93" s="2" t="e">
        <f>VLOOKUP(B93,装备!B:E,3,FALSE)</f>
        <v>#N/A</v>
      </c>
      <c r="E93" t="str">
        <f t="shared" si="4"/>
        <v>AddPrizeListEx(2,'E514',100)</v>
      </c>
    </row>
    <row r="94" spans="1:5" ht="16.5">
      <c r="A94">
        <v>2</v>
      </c>
      <c r="B94" s="4" t="s">
        <v>225</v>
      </c>
      <c r="C94" s="3">
        <v>100</v>
      </c>
      <c r="D94" s="2" t="e">
        <f>VLOOKUP(B94,装备!B:E,3,FALSE)</f>
        <v>#N/A</v>
      </c>
      <c r="E94" t="str">
        <f t="shared" si="4"/>
        <v>AddPrizeListEx(2,'E515',100)</v>
      </c>
    </row>
    <row r="95" spans="1:5" ht="16.5">
      <c r="A95" s="2">
        <v>2</v>
      </c>
      <c r="B95" s="6" t="s">
        <v>281</v>
      </c>
      <c r="C95">
        <v>100</v>
      </c>
      <c r="D95" s="2" t="e">
        <f>VLOOKUP(B95,装备!B:E,3,FALSE)</f>
        <v>#N/A</v>
      </c>
      <c r="E95" t="str">
        <f t="shared" si="4"/>
        <v>AddPrizeListEx(2,'E901',100)</v>
      </c>
    </row>
    <row r="96" spans="1:5" ht="16.5">
      <c r="A96" s="2">
        <v>2</v>
      </c>
      <c r="B96" s="6" t="s">
        <v>282</v>
      </c>
      <c r="C96">
        <v>90</v>
      </c>
      <c r="D96" s="2" t="e">
        <f>VLOOKUP(B96,装备!B:E,3,FALSE)</f>
        <v>#N/A</v>
      </c>
      <c r="E96" t="str">
        <f t="shared" si="4"/>
        <v>AddPrizeListEx(2,'E902',90)</v>
      </c>
    </row>
    <row r="97" spans="1:5" ht="16.5">
      <c r="A97" s="2">
        <v>2</v>
      </c>
      <c r="B97" s="6" t="s">
        <v>283</v>
      </c>
      <c r="C97">
        <v>50</v>
      </c>
      <c r="D97" s="2" t="e">
        <f>VLOOKUP(B97,装备!B:E,3,FALSE)</f>
        <v>#N/A</v>
      </c>
      <c r="E97" t="str">
        <f t="shared" si="4"/>
        <v>AddPrizeListEx(2,'E903',50)</v>
      </c>
    </row>
    <row r="98" spans="1:5" ht="16.5">
      <c r="A98" s="2">
        <v>2</v>
      </c>
      <c r="B98" s="6" t="s">
        <v>284</v>
      </c>
      <c r="C98">
        <v>20</v>
      </c>
      <c r="D98" s="2" t="e">
        <f>VLOOKUP(B98,装备!B:E,3,FALSE)</f>
        <v>#N/A</v>
      </c>
      <c r="E98" t="str">
        <f t="shared" si="4"/>
        <v>AddPrizeListEx(2,'E904',20)</v>
      </c>
    </row>
    <row r="99" spans="1:5" ht="16.5">
      <c r="A99" s="2">
        <v>2</v>
      </c>
      <c r="B99" s="6" t="s">
        <v>285</v>
      </c>
      <c r="C99">
        <v>15</v>
      </c>
      <c r="D99" s="2" t="e">
        <f>VLOOKUP(B99,装备!B:E,3,FALSE)</f>
        <v>#N/A</v>
      </c>
      <c r="E99" t="str">
        <f t="shared" si="4"/>
        <v>AddPrizeListEx(2,'E905',15)</v>
      </c>
    </row>
    <row r="100" spans="1:5" ht="16.5">
      <c r="A100" s="2">
        <v>2</v>
      </c>
      <c r="B100" s="6" t="s">
        <v>286</v>
      </c>
      <c r="C100">
        <v>10</v>
      </c>
      <c r="D100" s="2" t="e">
        <f>VLOOKUP(B100,装备!B:E,3,FALSE)</f>
        <v>#N/A</v>
      </c>
      <c r="E100" t="str">
        <f t="shared" si="4"/>
        <v>AddPrizeListEx(2,'E906',10)</v>
      </c>
    </row>
    <row r="101" spans="1:5" ht="16.5">
      <c r="A101" s="2">
        <v>2</v>
      </c>
      <c r="B101" s="6" t="s">
        <v>287</v>
      </c>
      <c r="C101">
        <v>9</v>
      </c>
      <c r="D101" s="2" t="e">
        <f>VLOOKUP(B101,装备!B:E,3,FALSE)</f>
        <v>#N/A</v>
      </c>
      <c r="E101" t="str">
        <f t="shared" si="4"/>
        <v>AddPrizeListEx(2,'E907',9)</v>
      </c>
    </row>
    <row r="102" spans="1:5" ht="16.5">
      <c r="A102" s="2">
        <v>2</v>
      </c>
      <c r="B102" s="6" t="s">
        <v>288</v>
      </c>
      <c r="C102">
        <v>8</v>
      </c>
      <c r="D102" s="2" t="e">
        <f>VLOOKUP(B102,装备!B:E,3,FALSE)</f>
        <v>#N/A</v>
      </c>
      <c r="E102" t="str">
        <f t="shared" si="4"/>
        <v>AddPrizeListEx(2,'E908',8)</v>
      </c>
    </row>
    <row r="103" spans="1:5" ht="16.5">
      <c r="A103" s="2">
        <v>2</v>
      </c>
      <c r="B103" s="6" t="s">
        <v>289</v>
      </c>
      <c r="C103">
        <v>7</v>
      </c>
      <c r="D103" s="2" t="e">
        <f>VLOOKUP(B103,装备!B:E,3,FALSE)</f>
        <v>#N/A</v>
      </c>
      <c r="E103" t="str">
        <f t="shared" si="4"/>
        <v>AddPrizeListEx(2,'E909',7)</v>
      </c>
    </row>
    <row r="104" spans="1:5" ht="16.5">
      <c r="A104" s="2">
        <v>2</v>
      </c>
      <c r="B104" s="6" t="s">
        <v>290</v>
      </c>
      <c r="C104">
        <v>6</v>
      </c>
      <c r="D104" s="2" t="e">
        <f>VLOOKUP(B104,装备!B:E,3,FALSE)</f>
        <v>#N/A</v>
      </c>
      <c r="E104" t="str">
        <f t="shared" si="4"/>
        <v>AddPrizeListEx(2,'E910',6)</v>
      </c>
    </row>
    <row r="105" spans="1:5" ht="16.5">
      <c r="A105" s="2">
        <v>2</v>
      </c>
      <c r="B105" s="6" t="s">
        <v>307</v>
      </c>
      <c r="C105">
        <v>5</v>
      </c>
      <c r="D105" s="2" t="e">
        <f>VLOOKUP(B105,装备!B:E,3,FALSE)</f>
        <v>#N/A</v>
      </c>
      <c r="E105" t="str">
        <f t="shared" si="4"/>
        <v>AddPrizeListEx(2,'E911',5)</v>
      </c>
    </row>
    <row r="106" spans="1:5">
      <c r="A106">
        <v>11</v>
      </c>
      <c r="B106" t="s">
        <v>371</v>
      </c>
      <c r="C106">
        <v>400</v>
      </c>
      <c r="D106" s="2" t="e">
        <f>VLOOKUP(B106,装备!B:E,3,FALSE)</f>
        <v>#N/A</v>
      </c>
      <c r="E106" t="str">
        <f t="shared" si="4"/>
        <v>AddPrizeListEx(11,'Z011',400)</v>
      </c>
    </row>
    <row r="107" spans="1:5">
      <c r="A107">
        <v>11</v>
      </c>
      <c r="B107" t="s">
        <v>308</v>
      </c>
      <c r="C107">
        <v>100</v>
      </c>
      <c r="D107" s="2" t="e">
        <f>VLOOKUP(B107,装备!B:E,3,FALSE)</f>
        <v>#N/A</v>
      </c>
      <c r="E107" t="str">
        <f t="shared" si="4"/>
        <v>AddPrizeListEx(11,'Z012',100)</v>
      </c>
    </row>
    <row r="108" spans="1:5">
      <c r="A108">
        <v>11</v>
      </c>
      <c r="B108" t="s">
        <v>372</v>
      </c>
      <c r="C108">
        <v>400</v>
      </c>
      <c r="D108" s="2" t="e">
        <f>VLOOKUP(B108,装备!B:E,3,FALSE)</f>
        <v>#N/A</v>
      </c>
      <c r="E108" t="str">
        <f t="shared" si="4"/>
        <v>AddPrizeListEx(11,'Z021',400)</v>
      </c>
    </row>
    <row r="109" spans="1:5">
      <c r="A109">
        <v>11</v>
      </c>
      <c r="B109" t="s">
        <v>310</v>
      </c>
      <c r="C109">
        <v>100</v>
      </c>
      <c r="D109" s="2" t="e">
        <f>VLOOKUP(B109,装备!B:E,3,FALSE)</f>
        <v>#N/A</v>
      </c>
      <c r="E109" t="str">
        <f t="shared" si="4"/>
        <v>AddPrizeListEx(11,'Z022',100)</v>
      </c>
    </row>
    <row r="110" spans="1:5">
      <c r="A110">
        <v>11</v>
      </c>
      <c r="B110" t="s">
        <v>373</v>
      </c>
      <c r="C110">
        <v>400</v>
      </c>
      <c r="D110" s="2" t="e">
        <f>VLOOKUP(B110,装备!B:E,3,FALSE)</f>
        <v>#N/A</v>
      </c>
      <c r="E110" t="str">
        <f t="shared" si="4"/>
        <v>AddPrizeListEx(11,'Z031',400)</v>
      </c>
    </row>
    <row r="111" spans="1:5">
      <c r="A111">
        <v>11</v>
      </c>
      <c r="B111" t="s">
        <v>312</v>
      </c>
      <c r="C111">
        <v>100</v>
      </c>
      <c r="D111" s="2" t="e">
        <f>VLOOKUP(B111,装备!B:E,3,FALSE)</f>
        <v>#N/A</v>
      </c>
      <c r="E111" t="str">
        <f t="shared" si="4"/>
        <v>AddPrizeListEx(11,'Z032',100)</v>
      </c>
    </row>
    <row r="112" spans="1:5">
      <c r="A112">
        <v>11</v>
      </c>
      <c r="B112" t="s">
        <v>374</v>
      </c>
      <c r="C112">
        <v>400</v>
      </c>
      <c r="D112" s="2" t="e">
        <f>VLOOKUP(B112,装备!B:E,3,FALSE)</f>
        <v>#N/A</v>
      </c>
      <c r="E112" t="str">
        <f t="shared" si="4"/>
        <v>AddPrizeListEx(11,'Z041',400)</v>
      </c>
    </row>
    <row r="113" spans="1:5">
      <c r="A113">
        <v>11</v>
      </c>
      <c r="B113" t="s">
        <v>314</v>
      </c>
      <c r="C113">
        <v>100</v>
      </c>
      <c r="D113" s="2" t="e">
        <f>VLOOKUP(B113,装备!B:E,3,FALSE)</f>
        <v>#N/A</v>
      </c>
      <c r="E113" t="str">
        <f t="shared" si="4"/>
        <v>AddPrizeListEx(11,'Z042',100)</v>
      </c>
    </row>
    <row r="114" spans="1:5">
      <c r="A114">
        <v>11</v>
      </c>
      <c r="B114" t="s">
        <v>375</v>
      </c>
      <c r="C114">
        <v>400</v>
      </c>
      <c r="D114" s="2" t="e">
        <f>VLOOKUP(B114,装备!B:E,3,FALSE)</f>
        <v>#N/A</v>
      </c>
      <c r="E114" t="str">
        <f t="shared" si="4"/>
        <v>AddPrizeListEx(11,'Z051',400)</v>
      </c>
    </row>
    <row r="115" spans="1:5">
      <c r="A115">
        <v>11</v>
      </c>
      <c r="B115" t="s">
        <v>316</v>
      </c>
      <c r="C115">
        <v>100</v>
      </c>
      <c r="D115" s="2" t="e">
        <f>VLOOKUP(B115,装备!B:E,3,FALSE)</f>
        <v>#N/A</v>
      </c>
      <c r="E115" t="str">
        <f t="shared" si="4"/>
        <v>AddPrizeListEx(11,'Z052',100)</v>
      </c>
    </row>
    <row r="116" spans="1:5">
      <c r="A116">
        <v>11</v>
      </c>
      <c r="B116" t="s">
        <v>376</v>
      </c>
      <c r="C116">
        <v>400</v>
      </c>
      <c r="D116" s="2" t="e">
        <f>VLOOKUP(B116,装备!B:E,3,FALSE)</f>
        <v>#N/A</v>
      </c>
      <c r="E116" t="str">
        <f t="shared" si="4"/>
        <v>AddPrizeListEx(11,'Z061',400)</v>
      </c>
    </row>
    <row r="117" spans="1:5">
      <c r="A117">
        <v>11</v>
      </c>
      <c r="B117" t="s">
        <v>318</v>
      </c>
      <c r="C117">
        <v>400</v>
      </c>
      <c r="D117" s="2" t="e">
        <f>VLOOKUP(B117,装备!B:E,3,FALSE)</f>
        <v>#N/A</v>
      </c>
      <c r="E117" t="str">
        <f t="shared" si="4"/>
        <v>AddPrizeListEx(11,'Z062',400)</v>
      </c>
    </row>
    <row r="118" spans="1:5">
      <c r="A118">
        <v>11</v>
      </c>
      <c r="B118" t="s">
        <v>377</v>
      </c>
      <c r="C118">
        <v>100</v>
      </c>
      <c r="D118" s="2" t="e">
        <f>VLOOKUP(B118,装备!B:E,3,FALSE)</f>
        <v>#N/A</v>
      </c>
      <c r="E118" t="str">
        <f t="shared" si="4"/>
        <v>AddPrizeListEx(11,'Z071',100)</v>
      </c>
    </row>
    <row r="119" spans="1:5">
      <c r="A119">
        <v>11</v>
      </c>
      <c r="B119" t="s">
        <v>320</v>
      </c>
      <c r="C119">
        <v>400</v>
      </c>
      <c r="D119" s="2" t="e">
        <f>VLOOKUP(B119,装备!B:E,3,FALSE)</f>
        <v>#N/A</v>
      </c>
      <c r="E119" t="str">
        <f t="shared" si="4"/>
        <v>AddPrizeListEx(11,'Z072',400)</v>
      </c>
    </row>
    <row r="120" spans="1:5">
      <c r="A120">
        <v>11</v>
      </c>
      <c r="B120" t="s">
        <v>378</v>
      </c>
      <c r="C120">
        <v>100</v>
      </c>
      <c r="D120" s="2" t="e">
        <f>VLOOKUP(B120,装备!B:E,3,FALSE)</f>
        <v>#N/A</v>
      </c>
      <c r="E120" t="str">
        <f t="shared" si="4"/>
        <v>AddPrizeListEx(11,'Z081',100)</v>
      </c>
    </row>
    <row r="121" spans="1:5">
      <c r="A121">
        <v>11</v>
      </c>
      <c r="B121" t="s">
        <v>322</v>
      </c>
      <c r="C121">
        <v>400</v>
      </c>
      <c r="D121" s="2" t="e">
        <f>VLOOKUP(B121,装备!B:E,3,FALSE)</f>
        <v>#N/A</v>
      </c>
      <c r="E121" t="str">
        <f t="shared" si="4"/>
        <v>AddPrizeListEx(11,'Z082',400)</v>
      </c>
    </row>
    <row r="122" spans="1:5">
      <c r="A122">
        <v>11</v>
      </c>
      <c r="B122" t="s">
        <v>379</v>
      </c>
      <c r="C122">
        <v>100</v>
      </c>
      <c r="D122" s="2" t="e">
        <f>VLOOKUP(B122,装备!B:E,3,FALSE)</f>
        <v>#N/A</v>
      </c>
      <c r="E122" t="str">
        <f t="shared" si="4"/>
        <v>AddPrizeListEx(11,'Z091',100)</v>
      </c>
    </row>
    <row r="123" spans="1:5">
      <c r="A123">
        <v>11</v>
      </c>
      <c r="B123" t="s">
        <v>324</v>
      </c>
      <c r="C123">
        <v>400</v>
      </c>
      <c r="D123" s="2" t="e">
        <f>VLOOKUP(B123,装备!B:E,3,FALSE)</f>
        <v>#N/A</v>
      </c>
      <c r="E123" t="str">
        <f t="shared" si="4"/>
        <v>AddPrizeListEx(11,'Z092',400)</v>
      </c>
    </row>
    <row r="124" spans="1:5">
      <c r="A124">
        <v>11</v>
      </c>
      <c r="B124" t="s">
        <v>380</v>
      </c>
      <c r="C124">
        <v>100</v>
      </c>
      <c r="D124" s="2" t="e">
        <f>VLOOKUP(B124,装备!B:E,3,FALSE)</f>
        <v>#N/A</v>
      </c>
      <c r="E124" t="str">
        <f t="shared" si="4"/>
        <v>AddPrizeListEx(11,'Z101',100)</v>
      </c>
    </row>
    <row r="125" spans="1:5">
      <c r="A125">
        <v>11</v>
      </c>
      <c r="B125" t="s">
        <v>326</v>
      </c>
      <c r="C125">
        <v>400</v>
      </c>
      <c r="D125" s="2" t="e">
        <f>VLOOKUP(B125,装备!B:E,3,FALSE)</f>
        <v>#N/A</v>
      </c>
      <c r="E125" t="str">
        <f t="shared" si="4"/>
        <v>AddPrizeListEx(11,'Z102',400)</v>
      </c>
    </row>
    <row r="126" spans="1:5">
      <c r="A126">
        <v>11</v>
      </c>
      <c r="B126" t="s">
        <v>381</v>
      </c>
      <c r="C126">
        <v>100</v>
      </c>
      <c r="D126" s="2" t="e">
        <f>VLOOKUP(B126,装备!B:E,3,FALSE)</f>
        <v>#N/A</v>
      </c>
      <c r="E126" t="str">
        <f t="shared" si="4"/>
        <v>AddPrizeListEx(11,'Z111',100)</v>
      </c>
    </row>
    <row r="127" spans="1:5">
      <c r="A127">
        <v>11</v>
      </c>
      <c r="B127" t="s">
        <v>328</v>
      </c>
      <c r="C127">
        <v>400</v>
      </c>
      <c r="D127" s="2" t="e">
        <f>VLOOKUP(B127,装备!B:E,3,FALSE)</f>
        <v>#N/A</v>
      </c>
      <c r="E127" t="str">
        <f t="shared" si="4"/>
        <v>AddPrizeListEx(11,'Z112',400)</v>
      </c>
    </row>
    <row r="128" spans="1:5">
      <c r="A128">
        <v>11</v>
      </c>
      <c r="B128" t="s">
        <v>382</v>
      </c>
      <c r="C128">
        <v>100</v>
      </c>
      <c r="D128" s="2" t="e">
        <f>VLOOKUP(B128,装备!B:E,3,FALSE)</f>
        <v>#N/A</v>
      </c>
      <c r="E128" t="str">
        <f t="shared" si="4"/>
        <v>AddPrizeListEx(11,'Z121',100)</v>
      </c>
    </row>
    <row r="129" spans="1:5">
      <c r="A129">
        <v>11</v>
      </c>
      <c r="B129" t="s">
        <v>330</v>
      </c>
      <c r="C129">
        <v>400</v>
      </c>
      <c r="D129" s="2" t="e">
        <f>VLOOKUP(B129,装备!B:E,3,FALSE)</f>
        <v>#N/A</v>
      </c>
      <c r="E129" t="str">
        <f t="shared" si="4"/>
        <v>AddPrizeListEx(11,'Z122',400)</v>
      </c>
    </row>
    <row r="130" spans="1:5">
      <c r="A130">
        <v>11</v>
      </c>
      <c r="B130" t="s">
        <v>383</v>
      </c>
      <c r="C130">
        <v>100</v>
      </c>
      <c r="D130" s="2" t="e">
        <f>VLOOKUP(B130,装备!B:E,3,FALSE)</f>
        <v>#N/A</v>
      </c>
      <c r="E130" t="str">
        <f t="shared" si="4"/>
        <v>AddPrizeListEx(11,'Z131',100)</v>
      </c>
    </row>
    <row r="131" spans="1:5">
      <c r="A131">
        <v>11</v>
      </c>
      <c r="B131" t="s">
        <v>332</v>
      </c>
      <c r="C131">
        <v>400</v>
      </c>
      <c r="D131" s="2" t="e">
        <f>VLOOKUP(B131,装备!B:E,3,FALSE)</f>
        <v>#N/A</v>
      </c>
      <c r="E131" t="str">
        <f t="shared" si="4"/>
        <v>AddPrizeListEx(11,'Z132',400)</v>
      </c>
    </row>
    <row r="132" spans="1:5">
      <c r="A132">
        <v>11</v>
      </c>
      <c r="B132" t="s">
        <v>384</v>
      </c>
      <c r="C132">
        <v>400</v>
      </c>
      <c r="D132" s="2" t="e">
        <f>VLOOKUP(B132,装备!B:E,3,FALSE)</f>
        <v>#N/A</v>
      </c>
      <c r="E132" t="str">
        <f t="shared" si="4"/>
        <v>AddPrizeListEx(11,'Z141',400)</v>
      </c>
    </row>
    <row r="133" spans="1:5">
      <c r="A133">
        <v>11</v>
      </c>
      <c r="B133" t="s">
        <v>334</v>
      </c>
      <c r="C133">
        <v>100</v>
      </c>
      <c r="D133" s="2" t="e">
        <f>VLOOKUP(B133,装备!B:E,3,FALSE)</f>
        <v>#N/A</v>
      </c>
      <c r="E133" t="str">
        <f t="shared" si="4"/>
        <v>AddPrizeListEx(11,'Z142',100)</v>
      </c>
    </row>
    <row r="134" spans="1:5">
      <c r="A134">
        <v>11</v>
      </c>
      <c r="B134" t="s">
        <v>385</v>
      </c>
      <c r="C134">
        <v>400</v>
      </c>
      <c r="D134" s="2" t="e">
        <f>VLOOKUP(B134,装备!B:E,3,FALSE)</f>
        <v>#N/A</v>
      </c>
      <c r="E134" t="str">
        <f t="shared" si="4"/>
        <v>AddPrizeListEx(11,'Z151',400)</v>
      </c>
    </row>
    <row r="135" spans="1:5">
      <c r="A135">
        <v>11</v>
      </c>
      <c r="B135" t="s">
        <v>336</v>
      </c>
      <c r="C135">
        <v>100</v>
      </c>
      <c r="D135" s="2" t="e">
        <f>VLOOKUP(B135,装备!B:E,3,FALSE)</f>
        <v>#N/A</v>
      </c>
      <c r="E135" t="str">
        <f t="shared" si="4"/>
        <v>AddPrizeListEx(11,'Z152',100)</v>
      </c>
    </row>
    <row r="136" spans="1:5">
      <c r="A136">
        <v>11</v>
      </c>
      <c r="B136" t="s">
        <v>386</v>
      </c>
      <c r="C136">
        <v>400</v>
      </c>
      <c r="D136" s="2" t="e">
        <f>VLOOKUP(B136,装备!B:E,3,FALSE)</f>
        <v>#N/A</v>
      </c>
      <c r="E136" t="str">
        <f t="shared" si="4"/>
        <v>AddPrizeListEx(11,'Z161',400)</v>
      </c>
    </row>
    <row r="137" spans="1:5">
      <c r="A137">
        <v>11</v>
      </c>
      <c r="B137" t="s">
        <v>338</v>
      </c>
      <c r="C137">
        <v>100</v>
      </c>
      <c r="D137" s="2" t="e">
        <f>VLOOKUP(B137,装备!B:E,3,FALSE)</f>
        <v>#N/A</v>
      </c>
      <c r="E137" t="str">
        <f t="shared" si="4"/>
        <v>AddPrizeListEx(11,'Z162',100)</v>
      </c>
    </row>
    <row r="138" spans="1:5">
      <c r="A138">
        <v>11</v>
      </c>
      <c r="B138" t="s">
        <v>387</v>
      </c>
      <c r="C138">
        <v>400</v>
      </c>
      <c r="D138" s="2" t="e">
        <f>VLOOKUP(B138,装备!B:E,3,FALSE)</f>
        <v>#N/A</v>
      </c>
      <c r="E138" t="str">
        <f t="shared" si="4"/>
        <v>AddPrizeListEx(11,'Z171',400)</v>
      </c>
    </row>
    <row r="139" spans="1:5">
      <c r="A139">
        <v>11</v>
      </c>
      <c r="B139" t="s">
        <v>340</v>
      </c>
      <c r="C139">
        <v>100</v>
      </c>
      <c r="D139" s="2" t="e">
        <f>VLOOKUP(B139,装备!B:E,3,FALSE)</f>
        <v>#N/A</v>
      </c>
      <c r="E139" t="str">
        <f t="shared" si="4"/>
        <v>AddPrizeListEx(11,'Z172',100)</v>
      </c>
    </row>
    <row r="140" spans="1:5">
      <c r="A140">
        <v>11</v>
      </c>
      <c r="B140" t="s">
        <v>388</v>
      </c>
      <c r="C140">
        <v>400</v>
      </c>
      <c r="D140" s="2" t="e">
        <f>VLOOKUP(B140,装备!B:E,3,FALSE)</f>
        <v>#N/A</v>
      </c>
      <c r="E140" t="str">
        <f t="shared" si="4"/>
        <v>AddPrizeListEx(11,'Z181',400)</v>
      </c>
    </row>
    <row r="141" spans="1:5">
      <c r="A141">
        <v>11</v>
      </c>
      <c r="B141" t="s">
        <v>342</v>
      </c>
      <c r="C141">
        <v>100</v>
      </c>
      <c r="D141" s="2" t="e">
        <f>VLOOKUP(B141,装备!B:E,3,FALSE)</f>
        <v>#N/A</v>
      </c>
      <c r="E141" t="str">
        <f t="shared" si="4"/>
        <v>AddPrizeListEx(11,'Z182',100)</v>
      </c>
    </row>
    <row r="142" spans="1:5">
      <c r="A142">
        <v>11</v>
      </c>
      <c r="B142" t="s">
        <v>389</v>
      </c>
      <c r="C142">
        <v>400</v>
      </c>
      <c r="D142" s="2" t="e">
        <f>VLOOKUP(B142,装备!B:E,3,FALSE)</f>
        <v>#N/A</v>
      </c>
      <c r="E142" t="str">
        <f t="shared" si="4"/>
        <v>AddPrizeListEx(11,'Z191',400)</v>
      </c>
    </row>
    <row r="143" spans="1:5">
      <c r="A143">
        <v>11</v>
      </c>
      <c r="B143" t="s">
        <v>344</v>
      </c>
      <c r="C143">
        <v>100</v>
      </c>
      <c r="D143" s="2" t="e">
        <f>VLOOKUP(B143,装备!B:E,3,FALSE)</f>
        <v>#N/A</v>
      </c>
      <c r="E143" t="str">
        <f t="shared" si="4"/>
        <v>AddPrizeListEx(11,'Z192',100)</v>
      </c>
    </row>
    <row r="144" spans="1:5">
      <c r="A144">
        <v>11</v>
      </c>
      <c r="B144" t="s">
        <v>390</v>
      </c>
      <c r="C144">
        <v>400</v>
      </c>
      <c r="D144" s="2" t="e">
        <f>VLOOKUP(B144,装备!B:E,3,FALSE)</f>
        <v>#N/A</v>
      </c>
      <c r="E144" t="str">
        <f t="shared" si="4"/>
        <v>AddPrizeListEx(11,'Z201',400)</v>
      </c>
    </row>
    <row r="145" spans="1:5">
      <c r="A145">
        <v>11</v>
      </c>
      <c r="B145" t="s">
        <v>346</v>
      </c>
      <c r="C145">
        <v>100</v>
      </c>
      <c r="D145" s="2" t="e">
        <f>VLOOKUP(B145,装备!B:E,3,FALSE)</f>
        <v>#N/A</v>
      </c>
      <c r="E145" t="str">
        <f t="shared" si="4"/>
        <v>AddPrizeListEx(11,'Z202',100)</v>
      </c>
    </row>
    <row r="146" spans="1:5">
      <c r="A146">
        <v>11</v>
      </c>
      <c r="B146" t="s">
        <v>391</v>
      </c>
      <c r="C146">
        <v>400</v>
      </c>
      <c r="D146" s="2" t="e">
        <f>VLOOKUP(B146,装备!B:E,3,FALSE)</f>
        <v>#N/A</v>
      </c>
      <c r="E146" t="str">
        <f t="shared" si="4"/>
        <v>AddPrizeListEx(11,'Z211',400)</v>
      </c>
    </row>
    <row r="147" spans="1:5">
      <c r="A147">
        <v>11</v>
      </c>
      <c r="B147" t="s">
        <v>348</v>
      </c>
      <c r="C147">
        <v>400</v>
      </c>
      <c r="D147" s="2" t="e">
        <f>VLOOKUP(B147,装备!B:E,3,FALSE)</f>
        <v>#N/A</v>
      </c>
      <c r="E147" t="str">
        <f t="shared" si="4"/>
        <v>AddPrizeListEx(11,'Z212',400)</v>
      </c>
    </row>
    <row r="148" spans="1:5">
      <c r="A148">
        <v>11</v>
      </c>
      <c r="B148" t="s">
        <v>392</v>
      </c>
      <c r="C148">
        <v>100</v>
      </c>
      <c r="D148" s="2" t="e">
        <f>VLOOKUP(B148,装备!B:E,3,FALSE)</f>
        <v>#N/A</v>
      </c>
      <c r="E148" t="str">
        <f t="shared" si="4"/>
        <v>AddPrizeListEx(11,'Z221',100)</v>
      </c>
    </row>
    <row r="149" spans="1:5">
      <c r="A149">
        <v>11</v>
      </c>
      <c r="B149" t="s">
        <v>350</v>
      </c>
      <c r="C149">
        <v>400</v>
      </c>
      <c r="D149" s="2" t="e">
        <f>VLOOKUP(B149,装备!B:E,3,FALSE)</f>
        <v>#N/A</v>
      </c>
      <c r="E149" t="str">
        <f t="shared" si="4"/>
        <v>AddPrizeListEx(11,'Z222',400)</v>
      </c>
    </row>
    <row r="150" spans="1:5">
      <c r="A150">
        <v>11</v>
      </c>
      <c r="B150" t="s">
        <v>393</v>
      </c>
      <c r="C150">
        <v>100</v>
      </c>
      <c r="D150" s="2" t="e">
        <f>VLOOKUP(B150,装备!B:E,3,FALSE)</f>
        <v>#N/A</v>
      </c>
      <c r="E150" t="str">
        <f t="shared" si="4"/>
        <v>AddPrizeListEx(11,'Z231',100)</v>
      </c>
    </row>
    <row r="151" spans="1:5">
      <c r="A151">
        <v>11</v>
      </c>
      <c r="B151" t="s">
        <v>352</v>
      </c>
      <c r="C151">
        <v>400</v>
      </c>
      <c r="D151" s="2" t="e">
        <f>VLOOKUP(B151,装备!B:E,3,FALSE)</f>
        <v>#N/A</v>
      </c>
      <c r="E151" t="str">
        <f t="shared" si="4"/>
        <v>AddPrizeListEx(11,'Z232',400)</v>
      </c>
    </row>
    <row r="152" spans="1:5">
      <c r="A152">
        <v>11</v>
      </c>
      <c r="B152" t="s">
        <v>394</v>
      </c>
      <c r="C152">
        <v>100</v>
      </c>
      <c r="D152" s="2" t="e">
        <f>VLOOKUP(B152,装备!B:E,3,FALSE)</f>
        <v>#N/A</v>
      </c>
      <c r="E152" t="str">
        <f t="shared" si="4"/>
        <v>AddPrizeListEx(11,'Z241',100)</v>
      </c>
    </row>
    <row r="153" spans="1:5">
      <c r="A153">
        <v>11</v>
      </c>
      <c r="B153" t="s">
        <v>354</v>
      </c>
      <c r="C153">
        <v>400</v>
      </c>
      <c r="D153" s="2" t="e">
        <f>VLOOKUP(B153,装备!B:E,3,FALSE)</f>
        <v>#N/A</v>
      </c>
      <c r="E153" t="str">
        <f t="shared" si="4"/>
        <v>AddPrizeListEx(11,'Z242',400)</v>
      </c>
    </row>
    <row r="154" spans="1:5">
      <c r="A154">
        <v>11</v>
      </c>
      <c r="B154" t="s">
        <v>395</v>
      </c>
      <c r="C154">
        <v>100</v>
      </c>
      <c r="D154" s="2" t="e">
        <f>VLOOKUP(B154,装备!B:E,3,FALSE)</f>
        <v>#N/A</v>
      </c>
      <c r="E154" t="str">
        <f t="shared" si="4"/>
        <v>AddPrizeListEx(11,'Z251',100)</v>
      </c>
    </row>
    <row r="155" spans="1:5">
      <c r="A155">
        <v>11</v>
      </c>
      <c r="B155" t="s">
        <v>396</v>
      </c>
      <c r="C155">
        <v>400</v>
      </c>
      <c r="D155" s="2" t="e">
        <f>VLOOKUP(B155,装备!B:E,3,FALSE)</f>
        <v>#N/A</v>
      </c>
      <c r="E155" t="str">
        <f t="shared" ref="E155:E218" si="5">IF(B155&lt;&gt;"","AddPrizeListEx("&amp;A155&amp;",'"&amp;B155&amp;"',"&amp;C155&amp;")","")</f>
        <v>AddPrizeListEx(11,'Z261',400)</v>
      </c>
    </row>
    <row r="156" spans="1:5">
      <c r="A156">
        <v>11</v>
      </c>
      <c r="B156" t="s">
        <v>397</v>
      </c>
      <c r="C156">
        <v>100</v>
      </c>
      <c r="D156" s="2" t="e">
        <f>VLOOKUP(B156,装备!B:E,3,FALSE)</f>
        <v>#N/A</v>
      </c>
      <c r="E156" t="str">
        <f t="shared" si="5"/>
        <v>AddPrizeListEx(11,'Z262',100)</v>
      </c>
    </row>
    <row r="157" spans="1:5">
      <c r="A157">
        <v>11</v>
      </c>
      <c r="B157" t="s">
        <v>398</v>
      </c>
      <c r="C157">
        <v>400</v>
      </c>
      <c r="D157" s="2" t="e">
        <f>VLOOKUP(B157,装备!B:E,3,FALSE)</f>
        <v>#N/A</v>
      </c>
      <c r="E157" t="str">
        <f t="shared" si="5"/>
        <v>AddPrizeListEx(11,'Z271',400)</v>
      </c>
    </row>
    <row r="158" spans="1:5">
      <c r="A158">
        <v>11</v>
      </c>
      <c r="B158" t="s">
        <v>358</v>
      </c>
      <c r="C158">
        <v>100</v>
      </c>
      <c r="D158" s="2" t="e">
        <f>VLOOKUP(B158,装备!B:E,3,FALSE)</f>
        <v>#N/A</v>
      </c>
      <c r="E158" t="str">
        <f t="shared" si="5"/>
        <v>AddPrizeListEx(11,'Z272',100)</v>
      </c>
    </row>
    <row r="159" spans="1:5">
      <c r="A159">
        <v>11</v>
      </c>
      <c r="B159" t="s">
        <v>399</v>
      </c>
      <c r="C159">
        <v>400</v>
      </c>
      <c r="D159" s="2" t="e">
        <f>VLOOKUP(B159,装备!B:E,3,FALSE)</f>
        <v>#N/A</v>
      </c>
      <c r="E159" t="str">
        <f t="shared" si="5"/>
        <v>AddPrizeListEx(11,'Z281',400)</v>
      </c>
    </row>
    <row r="160" spans="1:5">
      <c r="A160">
        <v>11</v>
      </c>
      <c r="B160" t="s">
        <v>360</v>
      </c>
      <c r="C160">
        <v>100</v>
      </c>
      <c r="D160" s="2" t="e">
        <f>VLOOKUP(B160,装备!B:E,3,FALSE)</f>
        <v>#N/A</v>
      </c>
      <c r="E160" t="str">
        <f t="shared" si="5"/>
        <v>AddPrizeListEx(11,'Z282',100)</v>
      </c>
    </row>
    <row r="161" spans="1:5">
      <c r="A161">
        <v>11</v>
      </c>
      <c r="B161" t="s">
        <v>400</v>
      </c>
      <c r="C161">
        <v>400</v>
      </c>
      <c r="D161" s="2" t="e">
        <f>VLOOKUP(B161,装备!B:E,3,FALSE)</f>
        <v>#N/A</v>
      </c>
      <c r="E161" t="str">
        <f t="shared" si="5"/>
        <v>AddPrizeListEx(11,'Z291',400)</v>
      </c>
    </row>
    <row r="162" spans="1:5">
      <c r="A162">
        <v>11</v>
      </c>
      <c r="B162" t="s">
        <v>362</v>
      </c>
      <c r="C162">
        <v>400</v>
      </c>
      <c r="D162" s="2" t="e">
        <f>VLOOKUP(B162,装备!B:E,3,FALSE)</f>
        <v>#N/A</v>
      </c>
      <c r="E162" t="str">
        <f t="shared" si="5"/>
        <v>AddPrizeListEx(11,'Z292',400)</v>
      </c>
    </row>
    <row r="163" spans="1:5">
      <c r="A163">
        <v>11</v>
      </c>
      <c r="B163" t="s">
        <v>401</v>
      </c>
      <c r="C163">
        <v>100</v>
      </c>
      <c r="D163" s="2" t="e">
        <f>VLOOKUP(B163,装备!B:E,3,FALSE)</f>
        <v>#N/A</v>
      </c>
      <c r="E163" t="str">
        <f t="shared" si="5"/>
        <v>AddPrizeListEx(11,'Z301',100)</v>
      </c>
    </row>
    <row r="164" spans="1:5">
      <c r="A164">
        <v>11</v>
      </c>
      <c r="B164" t="s">
        <v>364</v>
      </c>
      <c r="C164">
        <v>400</v>
      </c>
      <c r="D164" s="2" t="e">
        <f>VLOOKUP(B164,装备!B:E,3,FALSE)</f>
        <v>#N/A</v>
      </c>
      <c r="E164" t="str">
        <f t="shared" si="5"/>
        <v>AddPrizeListEx(11,'Z302',400)</v>
      </c>
    </row>
    <row r="165" spans="1:5">
      <c r="A165">
        <v>11</v>
      </c>
      <c r="B165" t="s">
        <v>234</v>
      </c>
      <c r="C165">
        <v>1000</v>
      </c>
      <c r="D165" s="2" t="e">
        <f>VLOOKUP(B165,装备!B:E,3,FALSE)</f>
        <v>#N/A</v>
      </c>
      <c r="E165" t="str">
        <f t="shared" si="5"/>
        <v>AddPrizeListEx(11,'I102',1000)</v>
      </c>
    </row>
    <row r="166" spans="1:5">
      <c r="A166">
        <v>11</v>
      </c>
      <c r="B166" t="s">
        <v>244</v>
      </c>
      <c r="C166">
        <v>1000</v>
      </c>
      <c r="D166" s="2" t="e">
        <f>VLOOKUP(B166,装备!B:E,3,FALSE)</f>
        <v>#N/A</v>
      </c>
      <c r="E166" t="str">
        <f t="shared" si="5"/>
        <v>AddPrizeListEx(11,'I112',1000)</v>
      </c>
    </row>
    <row r="167" spans="1:5">
      <c r="A167">
        <v>12</v>
      </c>
      <c r="B167" t="s">
        <v>371</v>
      </c>
      <c r="C167">
        <v>400</v>
      </c>
      <c r="D167" s="2" t="e">
        <f>VLOOKUP(B167,装备!B:E,3,FALSE)</f>
        <v>#N/A</v>
      </c>
      <c r="E167" t="str">
        <f t="shared" si="5"/>
        <v>AddPrizeListEx(12,'Z011',400)</v>
      </c>
    </row>
    <row r="168" spans="1:5">
      <c r="A168">
        <v>12</v>
      </c>
      <c r="B168" t="s">
        <v>308</v>
      </c>
      <c r="C168">
        <v>100</v>
      </c>
      <c r="D168" s="2" t="e">
        <f>VLOOKUP(B168,装备!B:E,3,FALSE)</f>
        <v>#N/A</v>
      </c>
      <c r="E168" t="str">
        <f t="shared" si="5"/>
        <v>AddPrizeListEx(12,'Z012',100)</v>
      </c>
    </row>
    <row r="169" spans="1:5">
      <c r="A169">
        <v>12</v>
      </c>
      <c r="B169" t="s">
        <v>372</v>
      </c>
      <c r="C169">
        <v>400</v>
      </c>
      <c r="D169" s="2" t="e">
        <f>VLOOKUP(B169,装备!B:E,3,FALSE)</f>
        <v>#N/A</v>
      </c>
      <c r="E169" t="str">
        <f t="shared" si="5"/>
        <v>AddPrizeListEx(12,'Z021',400)</v>
      </c>
    </row>
    <row r="170" spans="1:5">
      <c r="A170">
        <v>12</v>
      </c>
      <c r="B170" t="s">
        <v>310</v>
      </c>
      <c r="C170">
        <v>100</v>
      </c>
      <c r="D170" s="2" t="e">
        <f>VLOOKUP(B170,装备!B:E,3,FALSE)</f>
        <v>#N/A</v>
      </c>
      <c r="E170" t="str">
        <f t="shared" si="5"/>
        <v>AddPrizeListEx(12,'Z022',100)</v>
      </c>
    </row>
    <row r="171" spans="1:5">
      <c r="A171">
        <v>12</v>
      </c>
      <c r="B171" t="s">
        <v>373</v>
      </c>
      <c r="C171">
        <v>400</v>
      </c>
      <c r="D171" s="2" t="e">
        <f>VLOOKUP(B171,装备!B:E,3,FALSE)</f>
        <v>#N/A</v>
      </c>
      <c r="E171" t="str">
        <f t="shared" si="5"/>
        <v>AddPrizeListEx(12,'Z031',400)</v>
      </c>
    </row>
    <row r="172" spans="1:5">
      <c r="A172">
        <v>12</v>
      </c>
      <c r="B172" t="s">
        <v>312</v>
      </c>
      <c r="C172">
        <v>100</v>
      </c>
      <c r="D172" s="2" t="e">
        <f>VLOOKUP(B172,装备!B:E,3,FALSE)</f>
        <v>#N/A</v>
      </c>
      <c r="E172" t="str">
        <f t="shared" si="5"/>
        <v>AddPrizeListEx(12,'Z032',100)</v>
      </c>
    </row>
    <row r="173" spans="1:5">
      <c r="A173">
        <v>12</v>
      </c>
      <c r="B173" t="s">
        <v>374</v>
      </c>
      <c r="C173">
        <v>400</v>
      </c>
      <c r="D173" s="2" t="e">
        <f>VLOOKUP(B173,装备!B:E,3,FALSE)</f>
        <v>#N/A</v>
      </c>
      <c r="E173" t="str">
        <f t="shared" si="5"/>
        <v>AddPrizeListEx(12,'Z041',400)</v>
      </c>
    </row>
    <row r="174" spans="1:5">
      <c r="A174">
        <v>12</v>
      </c>
      <c r="B174" t="s">
        <v>314</v>
      </c>
      <c r="C174">
        <v>100</v>
      </c>
      <c r="D174" s="2" t="e">
        <f>VLOOKUP(B174,装备!B:E,3,FALSE)</f>
        <v>#N/A</v>
      </c>
      <c r="E174" t="str">
        <f t="shared" si="5"/>
        <v>AddPrizeListEx(12,'Z042',100)</v>
      </c>
    </row>
    <row r="175" spans="1:5">
      <c r="A175">
        <v>12</v>
      </c>
      <c r="B175" t="s">
        <v>375</v>
      </c>
      <c r="C175">
        <v>400</v>
      </c>
      <c r="D175" s="2" t="e">
        <f>VLOOKUP(B175,装备!B:E,3,FALSE)</f>
        <v>#N/A</v>
      </c>
      <c r="E175" t="str">
        <f t="shared" si="5"/>
        <v>AddPrizeListEx(12,'Z051',400)</v>
      </c>
    </row>
    <row r="176" spans="1:5">
      <c r="A176">
        <v>12</v>
      </c>
      <c r="B176" t="s">
        <v>316</v>
      </c>
      <c r="C176">
        <v>100</v>
      </c>
      <c r="D176" s="2" t="e">
        <f>VLOOKUP(B176,装备!B:E,3,FALSE)</f>
        <v>#N/A</v>
      </c>
      <c r="E176" t="str">
        <f t="shared" si="5"/>
        <v>AddPrizeListEx(12,'Z052',100)</v>
      </c>
    </row>
    <row r="177" spans="1:5">
      <c r="A177">
        <v>12</v>
      </c>
      <c r="B177" t="s">
        <v>376</v>
      </c>
      <c r="C177">
        <v>400</v>
      </c>
      <c r="D177" s="2" t="e">
        <f>VLOOKUP(B177,装备!B:E,3,FALSE)</f>
        <v>#N/A</v>
      </c>
      <c r="E177" t="str">
        <f t="shared" si="5"/>
        <v>AddPrizeListEx(12,'Z061',400)</v>
      </c>
    </row>
    <row r="178" spans="1:5">
      <c r="A178">
        <v>12</v>
      </c>
      <c r="B178" t="s">
        <v>318</v>
      </c>
      <c r="C178">
        <v>400</v>
      </c>
      <c r="D178" s="2" t="e">
        <f>VLOOKUP(B178,装备!B:E,3,FALSE)</f>
        <v>#N/A</v>
      </c>
      <c r="E178" t="str">
        <f t="shared" si="5"/>
        <v>AddPrizeListEx(12,'Z062',400)</v>
      </c>
    </row>
    <row r="179" spans="1:5">
      <c r="A179">
        <v>12</v>
      </c>
      <c r="B179" t="s">
        <v>377</v>
      </c>
      <c r="C179">
        <v>100</v>
      </c>
      <c r="D179" s="2" t="e">
        <f>VLOOKUP(B179,装备!B:E,3,FALSE)</f>
        <v>#N/A</v>
      </c>
      <c r="E179" t="str">
        <f t="shared" si="5"/>
        <v>AddPrizeListEx(12,'Z071',100)</v>
      </c>
    </row>
    <row r="180" spans="1:5">
      <c r="A180">
        <v>12</v>
      </c>
      <c r="B180" t="s">
        <v>320</v>
      </c>
      <c r="C180">
        <v>400</v>
      </c>
      <c r="D180" s="2" t="e">
        <f>VLOOKUP(B180,装备!B:E,3,FALSE)</f>
        <v>#N/A</v>
      </c>
      <c r="E180" t="str">
        <f t="shared" si="5"/>
        <v>AddPrizeListEx(12,'Z072',400)</v>
      </c>
    </row>
    <row r="181" spans="1:5">
      <c r="A181">
        <v>12</v>
      </c>
      <c r="B181" t="s">
        <v>378</v>
      </c>
      <c r="C181">
        <v>100</v>
      </c>
      <c r="D181" s="2" t="e">
        <f>VLOOKUP(B181,装备!B:E,3,FALSE)</f>
        <v>#N/A</v>
      </c>
      <c r="E181" t="str">
        <f t="shared" si="5"/>
        <v>AddPrizeListEx(12,'Z081',100)</v>
      </c>
    </row>
    <row r="182" spans="1:5">
      <c r="A182">
        <v>12</v>
      </c>
      <c r="B182" t="s">
        <v>322</v>
      </c>
      <c r="C182">
        <v>400</v>
      </c>
      <c r="D182" s="2" t="e">
        <f>VLOOKUP(B182,装备!B:E,3,FALSE)</f>
        <v>#N/A</v>
      </c>
      <c r="E182" t="str">
        <f t="shared" si="5"/>
        <v>AddPrizeListEx(12,'Z082',400)</v>
      </c>
    </row>
    <row r="183" spans="1:5">
      <c r="A183">
        <v>12</v>
      </c>
      <c r="B183" t="s">
        <v>379</v>
      </c>
      <c r="C183">
        <v>100</v>
      </c>
      <c r="D183" s="2" t="e">
        <f>VLOOKUP(B183,装备!B:E,3,FALSE)</f>
        <v>#N/A</v>
      </c>
      <c r="E183" t="str">
        <f t="shared" si="5"/>
        <v>AddPrizeListEx(12,'Z091',100)</v>
      </c>
    </row>
    <row r="184" spans="1:5">
      <c r="A184">
        <v>12</v>
      </c>
      <c r="B184" t="s">
        <v>324</v>
      </c>
      <c r="C184">
        <v>400</v>
      </c>
      <c r="D184" s="2" t="e">
        <f>VLOOKUP(B184,装备!B:E,3,FALSE)</f>
        <v>#N/A</v>
      </c>
      <c r="E184" t="str">
        <f t="shared" si="5"/>
        <v>AddPrizeListEx(12,'Z092',400)</v>
      </c>
    </row>
    <row r="185" spans="1:5">
      <c r="A185">
        <v>12</v>
      </c>
      <c r="B185" t="s">
        <v>380</v>
      </c>
      <c r="C185">
        <v>100</v>
      </c>
      <c r="D185" s="2" t="e">
        <f>VLOOKUP(B185,装备!B:E,3,FALSE)</f>
        <v>#N/A</v>
      </c>
      <c r="E185" t="str">
        <f t="shared" si="5"/>
        <v>AddPrizeListEx(12,'Z101',100)</v>
      </c>
    </row>
    <row r="186" spans="1:5">
      <c r="A186">
        <v>12</v>
      </c>
      <c r="B186" t="s">
        <v>326</v>
      </c>
      <c r="C186">
        <v>400</v>
      </c>
      <c r="D186" s="2" t="e">
        <f>VLOOKUP(B186,装备!B:E,3,FALSE)</f>
        <v>#N/A</v>
      </c>
      <c r="E186" t="str">
        <f t="shared" si="5"/>
        <v>AddPrizeListEx(12,'Z102',400)</v>
      </c>
    </row>
    <row r="187" spans="1:5">
      <c r="A187">
        <v>12</v>
      </c>
      <c r="B187" t="s">
        <v>381</v>
      </c>
      <c r="C187">
        <v>100</v>
      </c>
      <c r="D187" s="2" t="e">
        <f>VLOOKUP(B187,装备!B:E,3,FALSE)</f>
        <v>#N/A</v>
      </c>
      <c r="E187" t="str">
        <f t="shared" si="5"/>
        <v>AddPrizeListEx(12,'Z111',100)</v>
      </c>
    </row>
    <row r="188" spans="1:5">
      <c r="A188">
        <v>12</v>
      </c>
      <c r="B188" t="s">
        <v>328</v>
      </c>
      <c r="C188">
        <v>400</v>
      </c>
      <c r="D188" s="2" t="e">
        <f>VLOOKUP(B188,装备!B:E,3,FALSE)</f>
        <v>#N/A</v>
      </c>
      <c r="E188" t="str">
        <f t="shared" si="5"/>
        <v>AddPrizeListEx(12,'Z112',400)</v>
      </c>
    </row>
    <row r="189" spans="1:5">
      <c r="A189">
        <v>12</v>
      </c>
      <c r="B189" t="s">
        <v>382</v>
      </c>
      <c r="C189">
        <v>100</v>
      </c>
      <c r="D189" s="2" t="e">
        <f>VLOOKUP(B189,装备!B:E,3,FALSE)</f>
        <v>#N/A</v>
      </c>
      <c r="E189" t="str">
        <f t="shared" si="5"/>
        <v>AddPrizeListEx(12,'Z121',100)</v>
      </c>
    </row>
    <row r="190" spans="1:5">
      <c r="A190">
        <v>12</v>
      </c>
      <c r="B190" t="s">
        <v>330</v>
      </c>
      <c r="C190">
        <v>400</v>
      </c>
      <c r="D190" s="2" t="e">
        <f>VLOOKUP(B190,装备!B:E,3,FALSE)</f>
        <v>#N/A</v>
      </c>
      <c r="E190" t="str">
        <f t="shared" si="5"/>
        <v>AddPrizeListEx(12,'Z122',400)</v>
      </c>
    </row>
    <row r="191" spans="1:5">
      <c r="A191">
        <v>12</v>
      </c>
      <c r="B191" t="s">
        <v>383</v>
      </c>
      <c r="C191">
        <v>100</v>
      </c>
      <c r="D191" s="2" t="e">
        <f>VLOOKUP(B191,装备!B:E,3,FALSE)</f>
        <v>#N/A</v>
      </c>
      <c r="E191" t="str">
        <f t="shared" si="5"/>
        <v>AddPrizeListEx(12,'Z131',100)</v>
      </c>
    </row>
    <row r="192" spans="1:5">
      <c r="A192">
        <v>12</v>
      </c>
      <c r="B192" t="s">
        <v>332</v>
      </c>
      <c r="C192">
        <v>400</v>
      </c>
      <c r="D192" s="2" t="e">
        <f>VLOOKUP(B192,装备!B:E,3,FALSE)</f>
        <v>#N/A</v>
      </c>
      <c r="E192" t="str">
        <f t="shared" si="5"/>
        <v>AddPrizeListEx(12,'Z132',400)</v>
      </c>
    </row>
    <row r="193" spans="1:5">
      <c r="A193">
        <v>12</v>
      </c>
      <c r="B193" t="s">
        <v>384</v>
      </c>
      <c r="C193">
        <v>400</v>
      </c>
      <c r="D193" s="2" t="e">
        <f>VLOOKUP(B193,装备!B:E,3,FALSE)</f>
        <v>#N/A</v>
      </c>
      <c r="E193" t="str">
        <f t="shared" si="5"/>
        <v>AddPrizeListEx(12,'Z141',400)</v>
      </c>
    </row>
    <row r="194" spans="1:5">
      <c r="A194">
        <v>12</v>
      </c>
      <c r="B194" t="s">
        <v>334</v>
      </c>
      <c r="C194">
        <v>100</v>
      </c>
      <c r="D194" s="2" t="e">
        <f>VLOOKUP(B194,装备!B:E,3,FALSE)</f>
        <v>#N/A</v>
      </c>
      <c r="E194" t="str">
        <f t="shared" si="5"/>
        <v>AddPrizeListEx(12,'Z142',100)</v>
      </c>
    </row>
    <row r="195" spans="1:5">
      <c r="A195">
        <v>12</v>
      </c>
      <c r="B195" t="s">
        <v>385</v>
      </c>
      <c r="C195">
        <v>400</v>
      </c>
      <c r="D195" s="2" t="e">
        <f>VLOOKUP(B195,装备!B:E,3,FALSE)</f>
        <v>#N/A</v>
      </c>
      <c r="E195" t="str">
        <f t="shared" si="5"/>
        <v>AddPrizeListEx(12,'Z151',400)</v>
      </c>
    </row>
    <row r="196" spans="1:5">
      <c r="A196">
        <v>12</v>
      </c>
      <c r="B196" t="s">
        <v>336</v>
      </c>
      <c r="C196">
        <v>100</v>
      </c>
      <c r="D196" s="2" t="e">
        <f>VLOOKUP(B196,装备!B:E,3,FALSE)</f>
        <v>#N/A</v>
      </c>
      <c r="E196" t="str">
        <f t="shared" si="5"/>
        <v>AddPrizeListEx(12,'Z152',100)</v>
      </c>
    </row>
    <row r="197" spans="1:5">
      <c r="A197">
        <v>12</v>
      </c>
      <c r="B197" t="s">
        <v>386</v>
      </c>
      <c r="C197">
        <v>400</v>
      </c>
      <c r="D197" s="2" t="e">
        <f>VLOOKUP(B197,装备!B:E,3,FALSE)</f>
        <v>#N/A</v>
      </c>
      <c r="E197" t="str">
        <f t="shared" si="5"/>
        <v>AddPrizeListEx(12,'Z161',400)</v>
      </c>
    </row>
    <row r="198" spans="1:5">
      <c r="A198">
        <v>12</v>
      </c>
      <c r="B198" t="s">
        <v>338</v>
      </c>
      <c r="C198">
        <v>100</v>
      </c>
      <c r="D198" s="2" t="e">
        <f>VLOOKUP(B198,装备!B:E,3,FALSE)</f>
        <v>#N/A</v>
      </c>
      <c r="E198" t="str">
        <f t="shared" si="5"/>
        <v>AddPrizeListEx(12,'Z162',100)</v>
      </c>
    </row>
    <row r="199" spans="1:5">
      <c r="A199">
        <v>12</v>
      </c>
      <c r="B199" t="s">
        <v>387</v>
      </c>
      <c r="C199">
        <v>400</v>
      </c>
      <c r="D199" s="2" t="e">
        <f>VLOOKUP(B199,装备!B:E,3,FALSE)</f>
        <v>#N/A</v>
      </c>
      <c r="E199" t="str">
        <f t="shared" si="5"/>
        <v>AddPrizeListEx(12,'Z171',400)</v>
      </c>
    </row>
    <row r="200" spans="1:5">
      <c r="A200">
        <v>12</v>
      </c>
      <c r="B200" t="s">
        <v>340</v>
      </c>
      <c r="C200">
        <v>100</v>
      </c>
      <c r="D200" s="2" t="e">
        <f>VLOOKUP(B200,装备!B:E,3,FALSE)</f>
        <v>#N/A</v>
      </c>
      <c r="E200" t="str">
        <f t="shared" si="5"/>
        <v>AddPrizeListEx(12,'Z172',100)</v>
      </c>
    </row>
    <row r="201" spans="1:5">
      <c r="A201">
        <v>12</v>
      </c>
      <c r="B201" t="s">
        <v>388</v>
      </c>
      <c r="C201">
        <v>400</v>
      </c>
      <c r="D201" s="2" t="e">
        <f>VLOOKUP(B201,装备!B:E,3,FALSE)</f>
        <v>#N/A</v>
      </c>
      <c r="E201" t="str">
        <f t="shared" si="5"/>
        <v>AddPrizeListEx(12,'Z181',400)</v>
      </c>
    </row>
    <row r="202" spans="1:5">
      <c r="A202">
        <v>12</v>
      </c>
      <c r="B202" t="s">
        <v>342</v>
      </c>
      <c r="C202">
        <v>100</v>
      </c>
      <c r="D202" s="2" t="e">
        <f>VLOOKUP(B202,装备!B:E,3,FALSE)</f>
        <v>#N/A</v>
      </c>
      <c r="E202" t="str">
        <f t="shared" si="5"/>
        <v>AddPrizeListEx(12,'Z182',100)</v>
      </c>
    </row>
    <row r="203" spans="1:5">
      <c r="A203">
        <v>12</v>
      </c>
      <c r="B203" t="s">
        <v>389</v>
      </c>
      <c r="C203">
        <v>400</v>
      </c>
      <c r="D203" s="2" t="e">
        <f>VLOOKUP(B203,装备!B:E,3,FALSE)</f>
        <v>#N/A</v>
      </c>
      <c r="E203" t="str">
        <f t="shared" si="5"/>
        <v>AddPrizeListEx(12,'Z191',400)</v>
      </c>
    </row>
    <row r="204" spans="1:5">
      <c r="A204">
        <v>12</v>
      </c>
      <c r="B204" t="s">
        <v>344</v>
      </c>
      <c r="C204">
        <v>100</v>
      </c>
      <c r="D204" s="2" t="e">
        <f>VLOOKUP(B204,装备!B:E,3,FALSE)</f>
        <v>#N/A</v>
      </c>
      <c r="E204" t="str">
        <f t="shared" si="5"/>
        <v>AddPrizeListEx(12,'Z192',100)</v>
      </c>
    </row>
    <row r="205" spans="1:5">
      <c r="A205">
        <v>12</v>
      </c>
      <c r="B205" t="s">
        <v>390</v>
      </c>
      <c r="C205">
        <v>400</v>
      </c>
      <c r="D205" s="2" t="e">
        <f>VLOOKUP(B205,装备!B:E,3,FALSE)</f>
        <v>#N/A</v>
      </c>
      <c r="E205" t="str">
        <f t="shared" si="5"/>
        <v>AddPrizeListEx(12,'Z201',400)</v>
      </c>
    </row>
    <row r="206" spans="1:5">
      <c r="A206">
        <v>12</v>
      </c>
      <c r="B206" t="s">
        <v>346</v>
      </c>
      <c r="C206">
        <v>100</v>
      </c>
      <c r="D206" s="2" t="e">
        <f>VLOOKUP(B206,装备!B:E,3,FALSE)</f>
        <v>#N/A</v>
      </c>
      <c r="E206" t="str">
        <f t="shared" si="5"/>
        <v>AddPrizeListEx(12,'Z202',100)</v>
      </c>
    </row>
    <row r="207" spans="1:5">
      <c r="A207">
        <v>12</v>
      </c>
      <c r="B207" t="s">
        <v>391</v>
      </c>
      <c r="C207">
        <v>400</v>
      </c>
      <c r="D207" s="2" t="e">
        <f>VLOOKUP(B207,装备!B:E,3,FALSE)</f>
        <v>#N/A</v>
      </c>
      <c r="E207" t="str">
        <f t="shared" si="5"/>
        <v>AddPrizeListEx(12,'Z211',400)</v>
      </c>
    </row>
    <row r="208" spans="1:5">
      <c r="A208">
        <v>12</v>
      </c>
      <c r="B208" t="s">
        <v>348</v>
      </c>
      <c r="C208">
        <v>400</v>
      </c>
      <c r="D208" s="2" t="e">
        <f>VLOOKUP(B208,装备!B:E,3,FALSE)</f>
        <v>#N/A</v>
      </c>
      <c r="E208" t="str">
        <f t="shared" si="5"/>
        <v>AddPrizeListEx(12,'Z212',400)</v>
      </c>
    </row>
    <row r="209" spans="1:5">
      <c r="A209">
        <v>12</v>
      </c>
      <c r="B209" t="s">
        <v>392</v>
      </c>
      <c r="C209">
        <v>100</v>
      </c>
      <c r="D209" s="2" t="e">
        <f>VLOOKUP(B209,装备!B:E,3,FALSE)</f>
        <v>#N/A</v>
      </c>
      <c r="E209" t="str">
        <f t="shared" si="5"/>
        <v>AddPrizeListEx(12,'Z221',100)</v>
      </c>
    </row>
    <row r="210" spans="1:5">
      <c r="A210">
        <v>12</v>
      </c>
      <c r="B210" t="s">
        <v>350</v>
      </c>
      <c r="C210">
        <v>400</v>
      </c>
      <c r="D210" s="2" t="e">
        <f>VLOOKUP(B210,装备!B:E,3,FALSE)</f>
        <v>#N/A</v>
      </c>
      <c r="E210" t="str">
        <f t="shared" si="5"/>
        <v>AddPrizeListEx(12,'Z222',400)</v>
      </c>
    </row>
    <row r="211" spans="1:5">
      <c r="A211">
        <v>12</v>
      </c>
      <c r="B211" t="s">
        <v>393</v>
      </c>
      <c r="C211">
        <v>100</v>
      </c>
      <c r="D211" s="2" t="e">
        <f>VLOOKUP(B211,装备!B:E,3,FALSE)</f>
        <v>#N/A</v>
      </c>
      <c r="E211" t="str">
        <f t="shared" si="5"/>
        <v>AddPrizeListEx(12,'Z231',100)</v>
      </c>
    </row>
    <row r="212" spans="1:5">
      <c r="A212">
        <v>12</v>
      </c>
      <c r="B212" t="s">
        <v>352</v>
      </c>
      <c r="C212">
        <v>400</v>
      </c>
      <c r="D212" s="2" t="e">
        <f>VLOOKUP(B212,装备!B:E,3,FALSE)</f>
        <v>#N/A</v>
      </c>
      <c r="E212" t="str">
        <f t="shared" si="5"/>
        <v>AddPrizeListEx(12,'Z232',400)</v>
      </c>
    </row>
    <row r="213" spans="1:5">
      <c r="A213">
        <v>12</v>
      </c>
      <c r="B213" t="s">
        <v>394</v>
      </c>
      <c r="C213">
        <v>100</v>
      </c>
      <c r="D213" s="2" t="e">
        <f>VLOOKUP(B213,装备!B:E,3,FALSE)</f>
        <v>#N/A</v>
      </c>
      <c r="E213" t="str">
        <f t="shared" si="5"/>
        <v>AddPrizeListEx(12,'Z241',100)</v>
      </c>
    </row>
    <row r="214" spans="1:5">
      <c r="A214">
        <v>12</v>
      </c>
      <c r="B214" t="s">
        <v>354</v>
      </c>
      <c r="C214">
        <v>400</v>
      </c>
      <c r="D214" s="2" t="e">
        <f>VLOOKUP(B214,装备!B:E,3,FALSE)</f>
        <v>#N/A</v>
      </c>
      <c r="E214" t="str">
        <f t="shared" si="5"/>
        <v>AddPrizeListEx(12,'Z242',400)</v>
      </c>
    </row>
    <row r="215" spans="1:5">
      <c r="A215">
        <v>12</v>
      </c>
      <c r="B215" t="s">
        <v>395</v>
      </c>
      <c r="C215">
        <v>100</v>
      </c>
      <c r="D215" s="2" t="e">
        <f>VLOOKUP(B215,装备!B:E,3,FALSE)</f>
        <v>#N/A</v>
      </c>
      <c r="E215" t="str">
        <f t="shared" si="5"/>
        <v>AddPrizeListEx(12,'Z251',100)</v>
      </c>
    </row>
    <row r="216" spans="1:5">
      <c r="A216">
        <v>12</v>
      </c>
      <c r="B216" t="s">
        <v>396</v>
      </c>
      <c r="C216">
        <v>400</v>
      </c>
      <c r="D216" s="2" t="e">
        <f>VLOOKUP(B216,装备!B:E,3,FALSE)</f>
        <v>#N/A</v>
      </c>
      <c r="E216" t="str">
        <f t="shared" si="5"/>
        <v>AddPrizeListEx(12,'Z261',400)</v>
      </c>
    </row>
    <row r="217" spans="1:5">
      <c r="A217">
        <v>12</v>
      </c>
      <c r="B217" t="s">
        <v>397</v>
      </c>
      <c r="C217">
        <v>100</v>
      </c>
      <c r="D217" s="2" t="e">
        <f>VLOOKUP(B217,装备!B:E,3,FALSE)</f>
        <v>#N/A</v>
      </c>
      <c r="E217" t="str">
        <f t="shared" si="5"/>
        <v>AddPrizeListEx(12,'Z262',100)</v>
      </c>
    </row>
    <row r="218" spans="1:5">
      <c r="A218">
        <v>12</v>
      </c>
      <c r="B218" t="s">
        <v>398</v>
      </c>
      <c r="C218">
        <v>400</v>
      </c>
      <c r="D218" s="2" t="e">
        <f>VLOOKUP(B218,装备!B:E,3,FALSE)</f>
        <v>#N/A</v>
      </c>
      <c r="E218" t="str">
        <f t="shared" si="5"/>
        <v>AddPrizeListEx(12,'Z271',400)</v>
      </c>
    </row>
    <row r="219" spans="1:5">
      <c r="A219">
        <v>12</v>
      </c>
      <c r="B219" t="s">
        <v>358</v>
      </c>
      <c r="C219">
        <v>100</v>
      </c>
      <c r="D219" s="2" t="e">
        <f>VLOOKUP(B219,装备!B:E,3,FALSE)</f>
        <v>#N/A</v>
      </c>
      <c r="E219" t="str">
        <f t="shared" ref="E219:E282" si="6">IF(B219&lt;&gt;"","AddPrizeListEx("&amp;A219&amp;",'"&amp;B219&amp;"',"&amp;C219&amp;")","")</f>
        <v>AddPrizeListEx(12,'Z272',100)</v>
      </c>
    </row>
    <row r="220" spans="1:5">
      <c r="A220">
        <v>12</v>
      </c>
      <c r="B220" t="s">
        <v>399</v>
      </c>
      <c r="C220">
        <v>400</v>
      </c>
      <c r="D220" s="2" t="e">
        <f>VLOOKUP(B220,装备!B:E,3,FALSE)</f>
        <v>#N/A</v>
      </c>
      <c r="E220" t="str">
        <f t="shared" si="6"/>
        <v>AddPrizeListEx(12,'Z281',400)</v>
      </c>
    </row>
    <row r="221" spans="1:5">
      <c r="A221">
        <v>12</v>
      </c>
      <c r="B221" t="s">
        <v>360</v>
      </c>
      <c r="C221">
        <v>100</v>
      </c>
      <c r="D221" s="2" t="e">
        <f>VLOOKUP(B221,装备!B:E,3,FALSE)</f>
        <v>#N/A</v>
      </c>
      <c r="E221" t="str">
        <f t="shared" si="6"/>
        <v>AddPrizeListEx(12,'Z282',100)</v>
      </c>
    </row>
    <row r="222" spans="1:5">
      <c r="A222">
        <v>12</v>
      </c>
      <c r="B222" t="s">
        <v>400</v>
      </c>
      <c r="C222">
        <v>400</v>
      </c>
      <c r="D222" s="2" t="e">
        <f>VLOOKUP(B222,装备!B:E,3,FALSE)</f>
        <v>#N/A</v>
      </c>
      <c r="E222" t="str">
        <f t="shared" si="6"/>
        <v>AddPrizeListEx(12,'Z291',400)</v>
      </c>
    </row>
    <row r="223" spans="1:5">
      <c r="A223">
        <v>12</v>
      </c>
      <c r="B223" t="s">
        <v>362</v>
      </c>
      <c r="C223">
        <v>400</v>
      </c>
      <c r="D223" s="2" t="e">
        <f>VLOOKUP(B223,装备!B:E,3,FALSE)</f>
        <v>#N/A</v>
      </c>
      <c r="E223" t="str">
        <f t="shared" si="6"/>
        <v>AddPrizeListEx(12,'Z292',400)</v>
      </c>
    </row>
    <row r="224" spans="1:5">
      <c r="A224">
        <v>12</v>
      </c>
      <c r="B224" t="s">
        <v>401</v>
      </c>
      <c r="C224">
        <v>100</v>
      </c>
      <c r="D224" s="2" t="e">
        <f>VLOOKUP(B224,装备!B:E,3,FALSE)</f>
        <v>#N/A</v>
      </c>
      <c r="E224" t="str">
        <f t="shared" si="6"/>
        <v>AddPrizeListEx(12,'Z301',100)</v>
      </c>
    </row>
    <row r="225" spans="1:5">
      <c r="A225">
        <v>12</v>
      </c>
      <c r="B225" t="s">
        <v>364</v>
      </c>
      <c r="C225">
        <v>400</v>
      </c>
      <c r="D225" s="2" t="e">
        <f>VLOOKUP(B225,装备!B:E,3,FALSE)</f>
        <v>#N/A</v>
      </c>
      <c r="E225" t="str">
        <f t="shared" si="6"/>
        <v>AddPrizeListEx(12,'Z302',400)</v>
      </c>
    </row>
    <row r="226" spans="1:5">
      <c r="A226">
        <v>12</v>
      </c>
      <c r="B226" t="s">
        <v>309</v>
      </c>
      <c r="C226">
        <v>10</v>
      </c>
      <c r="D226" s="2" t="e">
        <f>VLOOKUP(B226,装备!B:E,3,FALSE)</f>
        <v>#N/A</v>
      </c>
      <c r="E226" t="str">
        <f t="shared" si="6"/>
        <v>AddPrizeListEx(12,'Z013',10)</v>
      </c>
    </row>
    <row r="227" spans="1:5">
      <c r="A227">
        <v>12</v>
      </c>
      <c r="B227" t="s">
        <v>311</v>
      </c>
      <c r="C227">
        <v>10</v>
      </c>
      <c r="D227" s="2" t="e">
        <f>VLOOKUP(B227,装备!B:E,3,FALSE)</f>
        <v>#N/A</v>
      </c>
      <c r="E227" t="str">
        <f t="shared" si="6"/>
        <v>AddPrizeListEx(12,'Z023',10)</v>
      </c>
    </row>
    <row r="228" spans="1:5">
      <c r="A228">
        <v>12</v>
      </c>
      <c r="B228" t="s">
        <v>313</v>
      </c>
      <c r="C228">
        <v>10</v>
      </c>
      <c r="D228" s="2" t="e">
        <f>VLOOKUP(B228,装备!B:E,3,FALSE)</f>
        <v>#N/A</v>
      </c>
      <c r="E228" t="str">
        <f t="shared" si="6"/>
        <v>AddPrizeListEx(12,'Z033',10)</v>
      </c>
    </row>
    <row r="229" spans="1:5">
      <c r="A229">
        <v>12</v>
      </c>
      <c r="B229" t="s">
        <v>315</v>
      </c>
      <c r="C229">
        <v>10</v>
      </c>
      <c r="D229" s="2" t="e">
        <f>VLOOKUP(B229,装备!B:E,3,FALSE)</f>
        <v>#N/A</v>
      </c>
      <c r="E229" t="str">
        <f t="shared" si="6"/>
        <v>AddPrizeListEx(12,'Z043',10)</v>
      </c>
    </row>
    <row r="230" spans="1:5">
      <c r="A230">
        <v>12</v>
      </c>
      <c r="B230" t="s">
        <v>317</v>
      </c>
      <c r="C230">
        <v>10</v>
      </c>
      <c r="D230" s="2" t="e">
        <f>VLOOKUP(B230,装备!B:E,3,FALSE)</f>
        <v>#N/A</v>
      </c>
      <c r="E230" t="str">
        <f t="shared" si="6"/>
        <v>AddPrizeListEx(12,'Z053',10)</v>
      </c>
    </row>
    <row r="231" spans="1:5">
      <c r="A231">
        <v>12</v>
      </c>
      <c r="B231" t="s">
        <v>319</v>
      </c>
      <c r="C231">
        <v>10</v>
      </c>
      <c r="D231" s="2" t="e">
        <f>VLOOKUP(B231,装备!B:E,3,FALSE)</f>
        <v>#N/A</v>
      </c>
      <c r="E231" t="str">
        <f t="shared" si="6"/>
        <v>AddPrizeListEx(12,'Z063',10)</v>
      </c>
    </row>
    <row r="232" spans="1:5">
      <c r="A232">
        <v>12</v>
      </c>
      <c r="B232" t="s">
        <v>321</v>
      </c>
      <c r="C232">
        <v>10</v>
      </c>
      <c r="D232" s="2" t="e">
        <f>VLOOKUP(B232,装备!B:E,3,FALSE)</f>
        <v>#N/A</v>
      </c>
      <c r="E232" t="str">
        <f t="shared" si="6"/>
        <v>AddPrizeListEx(12,'Z073',10)</v>
      </c>
    </row>
    <row r="233" spans="1:5">
      <c r="A233">
        <v>12</v>
      </c>
      <c r="B233" t="s">
        <v>323</v>
      </c>
      <c r="C233">
        <v>10</v>
      </c>
      <c r="D233" s="2" t="e">
        <f>VLOOKUP(B233,装备!B:E,3,FALSE)</f>
        <v>#N/A</v>
      </c>
      <c r="E233" t="str">
        <f t="shared" si="6"/>
        <v>AddPrizeListEx(12,'Z083',10)</v>
      </c>
    </row>
    <row r="234" spans="1:5">
      <c r="A234">
        <v>12</v>
      </c>
      <c r="B234" t="s">
        <v>325</v>
      </c>
      <c r="C234">
        <v>10</v>
      </c>
      <c r="D234" s="2" t="e">
        <f>VLOOKUP(B234,装备!B:E,3,FALSE)</f>
        <v>#N/A</v>
      </c>
      <c r="E234" t="str">
        <f t="shared" si="6"/>
        <v>AddPrizeListEx(12,'Z093',10)</v>
      </c>
    </row>
    <row r="235" spans="1:5">
      <c r="A235">
        <v>12</v>
      </c>
      <c r="B235" t="s">
        <v>327</v>
      </c>
      <c r="C235">
        <v>10</v>
      </c>
      <c r="D235" s="2" t="e">
        <f>VLOOKUP(B235,装备!B:E,3,FALSE)</f>
        <v>#N/A</v>
      </c>
      <c r="E235" t="str">
        <f t="shared" si="6"/>
        <v>AddPrizeListEx(12,'Z103',10)</v>
      </c>
    </row>
    <row r="236" spans="1:5">
      <c r="A236">
        <v>12</v>
      </c>
      <c r="B236" t="s">
        <v>329</v>
      </c>
      <c r="C236">
        <v>10</v>
      </c>
      <c r="D236" s="2" t="e">
        <f>VLOOKUP(B236,装备!B:E,3,FALSE)</f>
        <v>#N/A</v>
      </c>
      <c r="E236" t="str">
        <f t="shared" si="6"/>
        <v>AddPrizeListEx(12,'Z113',10)</v>
      </c>
    </row>
    <row r="237" spans="1:5">
      <c r="A237">
        <v>12</v>
      </c>
      <c r="B237" t="s">
        <v>331</v>
      </c>
      <c r="C237">
        <v>10</v>
      </c>
      <c r="D237" s="2" t="e">
        <f>VLOOKUP(B237,装备!B:E,3,FALSE)</f>
        <v>#N/A</v>
      </c>
      <c r="E237" t="str">
        <f t="shared" si="6"/>
        <v>AddPrizeListEx(12,'Z123',10)</v>
      </c>
    </row>
    <row r="238" spans="1:5">
      <c r="A238">
        <v>12</v>
      </c>
      <c r="B238" t="s">
        <v>333</v>
      </c>
      <c r="C238">
        <v>10</v>
      </c>
      <c r="D238" s="2" t="e">
        <f>VLOOKUP(B238,装备!B:E,3,FALSE)</f>
        <v>#N/A</v>
      </c>
      <c r="E238" t="str">
        <f t="shared" si="6"/>
        <v>AddPrizeListEx(12,'Z133',10)</v>
      </c>
    </row>
    <row r="239" spans="1:5">
      <c r="A239">
        <v>12</v>
      </c>
      <c r="B239" t="s">
        <v>335</v>
      </c>
      <c r="C239">
        <v>10</v>
      </c>
      <c r="D239" s="2" t="e">
        <f>VLOOKUP(B239,装备!B:E,3,FALSE)</f>
        <v>#N/A</v>
      </c>
      <c r="E239" t="str">
        <f t="shared" si="6"/>
        <v>AddPrizeListEx(12,'Z143',10)</v>
      </c>
    </row>
    <row r="240" spans="1:5">
      <c r="A240">
        <v>12</v>
      </c>
      <c r="B240" t="s">
        <v>337</v>
      </c>
      <c r="C240">
        <v>10</v>
      </c>
      <c r="D240" s="2" t="e">
        <f>VLOOKUP(B240,装备!B:E,3,FALSE)</f>
        <v>#N/A</v>
      </c>
      <c r="E240" t="str">
        <f t="shared" si="6"/>
        <v>AddPrizeListEx(12,'Z153',10)</v>
      </c>
    </row>
    <row r="241" spans="1:5">
      <c r="A241">
        <v>12</v>
      </c>
      <c r="B241" t="s">
        <v>339</v>
      </c>
      <c r="C241">
        <v>10</v>
      </c>
      <c r="D241" s="2" t="e">
        <f>VLOOKUP(B241,装备!B:E,3,FALSE)</f>
        <v>#N/A</v>
      </c>
      <c r="E241" t="str">
        <f t="shared" si="6"/>
        <v>AddPrizeListEx(12,'Z163',10)</v>
      </c>
    </row>
    <row r="242" spans="1:5">
      <c r="A242">
        <v>12</v>
      </c>
      <c r="B242" t="s">
        <v>341</v>
      </c>
      <c r="C242">
        <v>10</v>
      </c>
      <c r="D242" s="2" t="e">
        <f>VLOOKUP(B242,装备!B:E,3,FALSE)</f>
        <v>#N/A</v>
      </c>
      <c r="E242" t="str">
        <f t="shared" si="6"/>
        <v>AddPrizeListEx(12,'Z173',10)</v>
      </c>
    </row>
    <row r="243" spans="1:5">
      <c r="A243">
        <v>12</v>
      </c>
      <c r="B243" t="s">
        <v>343</v>
      </c>
      <c r="C243">
        <v>10</v>
      </c>
      <c r="D243" s="2" t="e">
        <f>VLOOKUP(B243,装备!B:E,3,FALSE)</f>
        <v>#N/A</v>
      </c>
      <c r="E243" t="str">
        <f t="shared" si="6"/>
        <v>AddPrizeListEx(12,'Z183',10)</v>
      </c>
    </row>
    <row r="244" spans="1:5">
      <c r="A244">
        <v>12</v>
      </c>
      <c r="B244" t="s">
        <v>345</v>
      </c>
      <c r="C244">
        <v>10</v>
      </c>
      <c r="D244" s="2" t="e">
        <f>VLOOKUP(B244,装备!B:E,3,FALSE)</f>
        <v>#N/A</v>
      </c>
      <c r="E244" t="str">
        <f t="shared" si="6"/>
        <v>AddPrizeListEx(12,'Z193',10)</v>
      </c>
    </row>
    <row r="245" spans="1:5">
      <c r="A245">
        <v>12</v>
      </c>
      <c r="B245" t="s">
        <v>347</v>
      </c>
      <c r="C245">
        <v>10</v>
      </c>
      <c r="D245" s="2" t="e">
        <f>VLOOKUP(B245,装备!B:E,3,FALSE)</f>
        <v>#N/A</v>
      </c>
      <c r="E245" t="str">
        <f t="shared" si="6"/>
        <v>AddPrizeListEx(12,'Z203',10)</v>
      </c>
    </row>
    <row r="246" spans="1:5">
      <c r="A246">
        <v>12</v>
      </c>
      <c r="B246" t="s">
        <v>349</v>
      </c>
      <c r="C246">
        <v>10</v>
      </c>
      <c r="D246" s="2" t="e">
        <f>VLOOKUP(B246,装备!B:E,3,FALSE)</f>
        <v>#N/A</v>
      </c>
      <c r="E246" t="str">
        <f t="shared" si="6"/>
        <v>AddPrizeListEx(12,'Z213',10)</v>
      </c>
    </row>
    <row r="247" spans="1:5">
      <c r="A247">
        <v>12</v>
      </c>
      <c r="B247" t="s">
        <v>351</v>
      </c>
      <c r="C247">
        <v>10</v>
      </c>
      <c r="D247" s="2" t="e">
        <f>VLOOKUP(B247,装备!B:E,3,FALSE)</f>
        <v>#N/A</v>
      </c>
      <c r="E247" t="str">
        <f t="shared" si="6"/>
        <v>AddPrizeListEx(12,'Z223',10)</v>
      </c>
    </row>
    <row r="248" spans="1:5">
      <c r="A248">
        <v>12</v>
      </c>
      <c r="B248" t="s">
        <v>353</v>
      </c>
      <c r="C248">
        <v>10</v>
      </c>
      <c r="D248" s="2" t="e">
        <f>VLOOKUP(B248,装备!B:E,3,FALSE)</f>
        <v>#N/A</v>
      </c>
      <c r="E248" t="str">
        <f t="shared" si="6"/>
        <v>AddPrizeListEx(12,'Z233',10)</v>
      </c>
    </row>
    <row r="249" spans="1:5">
      <c r="A249">
        <v>12</v>
      </c>
      <c r="B249" t="s">
        <v>355</v>
      </c>
      <c r="C249">
        <v>10</v>
      </c>
      <c r="D249" s="2" t="e">
        <f>VLOOKUP(B249,装备!B:E,3,FALSE)</f>
        <v>#N/A</v>
      </c>
      <c r="E249" t="str">
        <f t="shared" si="6"/>
        <v>AddPrizeListEx(12,'Z243',10)</v>
      </c>
    </row>
    <row r="250" spans="1:5">
      <c r="A250">
        <v>12</v>
      </c>
      <c r="B250" t="s">
        <v>356</v>
      </c>
      <c r="C250">
        <v>10</v>
      </c>
      <c r="D250" s="2" t="e">
        <f>VLOOKUP(B250,装备!B:E,3,FALSE)</f>
        <v>#N/A</v>
      </c>
      <c r="E250" t="str">
        <f t="shared" si="6"/>
        <v>AddPrizeListEx(12,'Z253',10)</v>
      </c>
    </row>
    <row r="251" spans="1:5">
      <c r="A251">
        <v>12</v>
      </c>
      <c r="B251" t="s">
        <v>402</v>
      </c>
      <c r="C251">
        <v>10</v>
      </c>
      <c r="D251" s="2" t="e">
        <f>VLOOKUP(B251,装备!B:E,3,FALSE)</f>
        <v>#N/A</v>
      </c>
      <c r="E251" t="str">
        <f t="shared" si="6"/>
        <v>AddPrizeListEx(12,'Z263',10)</v>
      </c>
    </row>
    <row r="252" spans="1:5">
      <c r="A252">
        <v>12</v>
      </c>
      <c r="B252" t="s">
        <v>359</v>
      </c>
      <c r="C252">
        <v>10</v>
      </c>
      <c r="D252" s="2" t="e">
        <f>VLOOKUP(B252,装备!B:E,3,FALSE)</f>
        <v>#N/A</v>
      </c>
      <c r="E252" t="str">
        <f t="shared" si="6"/>
        <v>AddPrizeListEx(12,'Z273',10)</v>
      </c>
    </row>
    <row r="253" spans="1:5">
      <c r="A253">
        <v>12</v>
      </c>
      <c r="B253" t="s">
        <v>361</v>
      </c>
      <c r="C253">
        <v>10</v>
      </c>
      <c r="D253" s="2" t="e">
        <f>VLOOKUP(B253,装备!B:E,3,FALSE)</f>
        <v>#N/A</v>
      </c>
      <c r="E253" t="str">
        <f t="shared" si="6"/>
        <v>AddPrizeListEx(12,'Z283',10)</v>
      </c>
    </row>
    <row r="254" spans="1:5">
      <c r="A254">
        <v>12</v>
      </c>
      <c r="B254" t="s">
        <v>363</v>
      </c>
      <c r="C254">
        <v>10</v>
      </c>
      <c r="D254" s="2" t="e">
        <f>VLOOKUP(B254,装备!B:E,3,FALSE)</f>
        <v>#N/A</v>
      </c>
      <c r="E254" t="str">
        <f t="shared" si="6"/>
        <v>AddPrizeListEx(12,'Z293',10)</v>
      </c>
    </row>
    <row r="255" spans="1:5">
      <c r="A255">
        <v>12</v>
      </c>
      <c r="B255" t="s">
        <v>365</v>
      </c>
      <c r="C255">
        <v>10</v>
      </c>
      <c r="D255" s="2" t="e">
        <f>VLOOKUP(B255,装备!B:E,3,FALSE)</f>
        <v>#N/A</v>
      </c>
      <c r="E255" t="str">
        <f t="shared" si="6"/>
        <v>AddPrizeListEx(12,'Z303',10)</v>
      </c>
    </row>
    <row r="256" spans="1:5">
      <c r="A256">
        <v>3</v>
      </c>
      <c r="B256" t="s">
        <v>233</v>
      </c>
      <c r="C256">
        <v>2000</v>
      </c>
      <c r="D256" s="2" t="e">
        <f>VLOOKUP(B256,装备!B:E,3,FALSE)</f>
        <v>#N/A</v>
      </c>
      <c r="E256" t="str">
        <f t="shared" si="6"/>
        <v>AddPrizeListEx(3,'I101',2000)</v>
      </c>
    </row>
    <row r="257" spans="1:5">
      <c r="A257">
        <v>3</v>
      </c>
      <c r="B257" t="s">
        <v>234</v>
      </c>
      <c r="C257">
        <v>200</v>
      </c>
      <c r="D257" s="2" t="e">
        <f>VLOOKUP(B257,装备!B:E,3,FALSE)</f>
        <v>#N/A</v>
      </c>
      <c r="E257" t="str">
        <f t="shared" si="6"/>
        <v>AddPrizeListEx(3,'I102',200)</v>
      </c>
    </row>
    <row r="258" spans="1:5">
      <c r="A258">
        <v>3</v>
      </c>
      <c r="B258" t="s">
        <v>235</v>
      </c>
      <c r="C258">
        <v>10</v>
      </c>
      <c r="D258" s="2" t="e">
        <f>VLOOKUP(B258,装备!B:E,3,FALSE)</f>
        <v>#N/A</v>
      </c>
      <c r="E258" t="str">
        <f t="shared" si="6"/>
        <v>AddPrizeListEx(3,'I103',10)</v>
      </c>
    </row>
    <row r="259" spans="1:5">
      <c r="A259">
        <v>3</v>
      </c>
      <c r="B259" t="s">
        <v>236</v>
      </c>
      <c r="C259">
        <v>2</v>
      </c>
      <c r="D259" s="2" t="e">
        <f>VLOOKUP(B259,装备!B:E,3,FALSE)</f>
        <v>#N/A</v>
      </c>
      <c r="E259" t="str">
        <f t="shared" si="6"/>
        <v>AddPrizeListEx(3,'I104',2)</v>
      </c>
    </row>
    <row r="260" spans="1:5">
      <c r="A260">
        <v>3</v>
      </c>
      <c r="B260" t="s">
        <v>237</v>
      </c>
      <c r="C260">
        <v>1500</v>
      </c>
      <c r="D260" s="2" t="e">
        <f>VLOOKUP(B260,装备!B:E,3,FALSE)</f>
        <v>#N/A</v>
      </c>
      <c r="E260" t="str">
        <f t="shared" si="6"/>
        <v>AddPrizeListEx(3,'I105',1500)</v>
      </c>
    </row>
    <row r="261" spans="1:5">
      <c r="A261">
        <v>3</v>
      </c>
      <c r="B261" t="s">
        <v>238</v>
      </c>
      <c r="C261">
        <v>200</v>
      </c>
      <c r="D261" s="2" t="e">
        <f>VLOOKUP(B261,装备!B:E,3,FALSE)</f>
        <v>#N/A</v>
      </c>
      <c r="E261" t="str">
        <f t="shared" si="6"/>
        <v>AddPrizeListEx(3,'I106',200)</v>
      </c>
    </row>
    <row r="262" spans="1:5">
      <c r="A262">
        <v>3</v>
      </c>
      <c r="B262" t="s">
        <v>239</v>
      </c>
      <c r="C262">
        <v>10</v>
      </c>
      <c r="D262" s="2" t="e">
        <f>VLOOKUP(B262,装备!B:E,3,FALSE)</f>
        <v>#N/A</v>
      </c>
      <c r="E262" t="str">
        <f t="shared" si="6"/>
        <v>AddPrizeListEx(3,'I107',10)</v>
      </c>
    </row>
    <row r="263" spans="1:5">
      <c r="A263">
        <v>3</v>
      </c>
      <c r="B263" t="s">
        <v>240</v>
      </c>
      <c r="C263">
        <v>3000</v>
      </c>
      <c r="D263" s="2" t="e">
        <f>VLOOKUP(B263,装备!B:E,3,FALSE)</f>
        <v>#N/A</v>
      </c>
      <c r="E263" t="str">
        <f t="shared" si="6"/>
        <v>AddPrizeListEx(3,'I108',3000)</v>
      </c>
    </row>
    <row r="264" spans="1:5">
      <c r="A264">
        <v>3</v>
      </c>
      <c r="B264" t="s">
        <v>241</v>
      </c>
      <c r="C264">
        <v>1500</v>
      </c>
      <c r="D264" s="2" t="e">
        <f>VLOOKUP(B264,装备!B:E,3,FALSE)</f>
        <v>#N/A</v>
      </c>
      <c r="E264" t="str">
        <f t="shared" si="6"/>
        <v>AddPrizeListEx(3,'I109',1500)</v>
      </c>
    </row>
    <row r="265" spans="1:5">
      <c r="A265">
        <v>3</v>
      </c>
      <c r="B265" t="s">
        <v>242</v>
      </c>
      <c r="C265">
        <v>200</v>
      </c>
      <c r="D265" s="2" t="e">
        <f>VLOOKUP(B265,装备!B:E,3,FALSE)</f>
        <v>#N/A</v>
      </c>
      <c r="E265" t="str">
        <f t="shared" si="6"/>
        <v>AddPrizeListEx(3,'I110',200)</v>
      </c>
    </row>
    <row r="266" spans="1:5">
      <c r="A266">
        <v>3</v>
      </c>
      <c r="B266" t="s">
        <v>243</v>
      </c>
      <c r="C266">
        <v>10</v>
      </c>
      <c r="D266" s="2" t="e">
        <f>VLOOKUP(B266,装备!B:E,3,FALSE)</f>
        <v>#N/A</v>
      </c>
      <c r="E266" t="str">
        <f t="shared" si="6"/>
        <v>AddPrizeListEx(3,'I111',10)</v>
      </c>
    </row>
    <row r="267" spans="1:5">
      <c r="A267">
        <v>3</v>
      </c>
      <c r="B267" t="s">
        <v>244</v>
      </c>
      <c r="C267">
        <v>1500</v>
      </c>
      <c r="D267" s="2" t="e">
        <f>VLOOKUP(B267,装备!B:E,3,FALSE)</f>
        <v>#N/A</v>
      </c>
      <c r="E267" t="str">
        <f t="shared" si="6"/>
        <v>AddPrizeListEx(3,'I112',1500)</v>
      </c>
    </row>
    <row r="268" spans="1:5">
      <c r="A268">
        <v>3</v>
      </c>
      <c r="B268" t="s">
        <v>245</v>
      </c>
      <c r="C268">
        <v>200</v>
      </c>
      <c r="D268" s="2" t="e">
        <f>VLOOKUP(B268,装备!B:E,3,FALSE)</f>
        <v>#N/A</v>
      </c>
      <c r="E268" t="str">
        <f t="shared" si="6"/>
        <v>AddPrizeListEx(3,'I113',200)</v>
      </c>
    </row>
    <row r="269" spans="1:5">
      <c r="A269">
        <v>3</v>
      </c>
      <c r="B269" t="s">
        <v>246</v>
      </c>
      <c r="C269">
        <v>10</v>
      </c>
      <c r="D269" s="2" t="e">
        <f>VLOOKUP(B269,装备!B:E,3,FALSE)</f>
        <v>#N/A</v>
      </c>
      <c r="E269" t="str">
        <f t="shared" si="6"/>
        <v>AddPrizeListEx(3,'I114',10)</v>
      </c>
    </row>
    <row r="270" spans="1:5">
      <c r="A270">
        <v>3</v>
      </c>
      <c r="B270" t="s">
        <v>247</v>
      </c>
      <c r="C270">
        <v>1500</v>
      </c>
      <c r="D270" s="2" t="e">
        <f>VLOOKUP(B270,装备!B:E,3,FALSE)</f>
        <v>#N/A</v>
      </c>
      <c r="E270" t="str">
        <f t="shared" si="6"/>
        <v>AddPrizeListEx(3,'I115',1500)</v>
      </c>
    </row>
    <row r="271" spans="1:5">
      <c r="A271">
        <v>3</v>
      </c>
      <c r="B271" t="s">
        <v>248</v>
      </c>
      <c r="C271">
        <v>200</v>
      </c>
      <c r="D271" s="2" t="e">
        <f>VLOOKUP(B271,装备!B:E,3,FALSE)</f>
        <v>#N/A</v>
      </c>
      <c r="E271" t="str">
        <f t="shared" si="6"/>
        <v>AddPrizeListEx(3,'I116',200)</v>
      </c>
    </row>
    <row r="272" spans="1:5">
      <c r="A272">
        <v>3</v>
      </c>
      <c r="B272" t="s">
        <v>249</v>
      </c>
      <c r="C272">
        <v>10</v>
      </c>
      <c r="D272" s="2" t="e">
        <f>VLOOKUP(B272,装备!B:E,3,FALSE)</f>
        <v>#N/A</v>
      </c>
      <c r="E272" t="str">
        <f t="shared" si="6"/>
        <v>AddPrizeListEx(3,'I117',10)</v>
      </c>
    </row>
    <row r="273" spans="1:5">
      <c r="A273">
        <v>3</v>
      </c>
      <c r="B273" t="s">
        <v>250</v>
      </c>
      <c r="C273">
        <v>1500</v>
      </c>
      <c r="D273" s="2" t="e">
        <f>VLOOKUP(B273,装备!B:E,3,FALSE)</f>
        <v>#N/A</v>
      </c>
      <c r="E273" t="str">
        <f t="shared" si="6"/>
        <v>AddPrizeListEx(3,'I118',1500)</v>
      </c>
    </row>
    <row r="274" spans="1:5">
      <c r="A274">
        <v>3</v>
      </c>
      <c r="B274" t="s">
        <v>251</v>
      </c>
      <c r="C274">
        <v>200</v>
      </c>
      <c r="D274" s="2" t="e">
        <f>VLOOKUP(B274,装备!B:E,3,FALSE)</f>
        <v>#N/A</v>
      </c>
      <c r="E274" t="str">
        <f t="shared" si="6"/>
        <v>AddPrizeListEx(3,'I119',200)</v>
      </c>
    </row>
    <row r="275" spans="1:5">
      <c r="A275">
        <v>3</v>
      </c>
      <c r="B275" t="s">
        <v>252</v>
      </c>
      <c r="C275">
        <v>10</v>
      </c>
      <c r="D275" s="2" t="e">
        <f>VLOOKUP(B275,装备!B:E,3,FALSE)</f>
        <v>#N/A</v>
      </c>
      <c r="E275" t="str">
        <f t="shared" si="6"/>
        <v>AddPrizeListEx(3,'I120',10)</v>
      </c>
    </row>
    <row r="276" spans="1:5">
      <c r="A276">
        <v>3</v>
      </c>
      <c r="B276" t="s">
        <v>253</v>
      </c>
      <c r="C276">
        <v>1500</v>
      </c>
      <c r="D276" s="2" t="e">
        <f>VLOOKUP(B276,装备!B:E,3,FALSE)</f>
        <v>#N/A</v>
      </c>
      <c r="E276" t="str">
        <f t="shared" si="6"/>
        <v>AddPrizeListEx(3,'I121',1500)</v>
      </c>
    </row>
    <row r="277" spans="1:5">
      <c r="A277">
        <v>3</v>
      </c>
      <c r="B277" t="s">
        <v>254</v>
      </c>
      <c r="C277">
        <v>200</v>
      </c>
      <c r="D277" s="2" t="e">
        <f>VLOOKUP(B277,装备!B:E,3,FALSE)</f>
        <v>#N/A</v>
      </c>
      <c r="E277" t="str">
        <f t="shared" si="6"/>
        <v>AddPrizeListEx(3,'I122',200)</v>
      </c>
    </row>
    <row r="278" spans="1:5">
      <c r="A278">
        <v>3</v>
      </c>
      <c r="B278" t="s">
        <v>255</v>
      </c>
      <c r="C278">
        <v>10</v>
      </c>
      <c r="D278" s="2" t="e">
        <f>VLOOKUP(B278,装备!B:E,3,FALSE)</f>
        <v>#N/A</v>
      </c>
      <c r="E278" t="str">
        <f t="shared" si="6"/>
        <v>AddPrizeListEx(3,'I123',10)</v>
      </c>
    </row>
    <row r="279" spans="1:5">
      <c r="A279">
        <v>3</v>
      </c>
      <c r="B279" t="s">
        <v>256</v>
      </c>
      <c r="C279">
        <v>1500</v>
      </c>
      <c r="D279" s="2" t="e">
        <f>VLOOKUP(B279,装备!B:E,3,FALSE)</f>
        <v>#N/A</v>
      </c>
      <c r="E279" t="str">
        <f t="shared" si="6"/>
        <v>AddPrizeListEx(3,'I124',1500)</v>
      </c>
    </row>
    <row r="280" spans="1:5">
      <c r="A280">
        <v>3</v>
      </c>
      <c r="B280" t="s">
        <v>257</v>
      </c>
      <c r="C280">
        <v>200</v>
      </c>
      <c r="D280" s="2" t="e">
        <f>VLOOKUP(B280,装备!B:E,3,FALSE)</f>
        <v>#N/A</v>
      </c>
      <c r="E280" t="str">
        <f t="shared" si="6"/>
        <v>AddPrizeListEx(3,'I125',200)</v>
      </c>
    </row>
    <row r="281" spans="1:5">
      <c r="A281">
        <v>3</v>
      </c>
      <c r="B281" t="s">
        <v>258</v>
      </c>
      <c r="C281">
        <v>10</v>
      </c>
      <c r="D281" s="2" t="e">
        <f>VLOOKUP(B281,装备!B:E,3,FALSE)</f>
        <v>#N/A</v>
      </c>
      <c r="E281" t="str">
        <f t="shared" si="6"/>
        <v>AddPrizeListEx(3,'I126',10)</v>
      </c>
    </row>
    <row r="282" spans="1:5">
      <c r="A282">
        <v>3</v>
      </c>
      <c r="B282" t="s">
        <v>259</v>
      </c>
      <c r="C282">
        <v>1500</v>
      </c>
      <c r="D282" s="2" t="e">
        <f>VLOOKUP(B282,装备!B:E,3,FALSE)</f>
        <v>#N/A</v>
      </c>
      <c r="E282" t="str">
        <f t="shared" si="6"/>
        <v>AddPrizeListEx(3,'I127',1500)</v>
      </c>
    </row>
    <row r="283" spans="1:5">
      <c r="A283">
        <v>3</v>
      </c>
      <c r="B283" t="s">
        <v>260</v>
      </c>
      <c r="C283">
        <v>200</v>
      </c>
      <c r="D283" s="2" t="e">
        <f>VLOOKUP(B283,装备!B:E,3,FALSE)</f>
        <v>#N/A</v>
      </c>
      <c r="E283" t="str">
        <f t="shared" ref="E283:E346" si="7">IF(B283&lt;&gt;"","AddPrizeListEx("&amp;A283&amp;",'"&amp;B283&amp;"',"&amp;C283&amp;")","")</f>
        <v>AddPrizeListEx(3,'I128',200)</v>
      </c>
    </row>
    <row r="284" spans="1:5">
      <c r="A284">
        <v>3</v>
      </c>
      <c r="B284" t="s">
        <v>261</v>
      </c>
      <c r="C284">
        <v>10</v>
      </c>
      <c r="D284" s="2" t="e">
        <f>VLOOKUP(B284,装备!B:E,3,FALSE)</f>
        <v>#N/A</v>
      </c>
      <c r="E284" t="str">
        <f t="shared" si="7"/>
        <v>AddPrizeListEx(3,'I129',10)</v>
      </c>
    </row>
    <row r="285" spans="1:5">
      <c r="A285">
        <v>3</v>
      </c>
      <c r="B285" t="s">
        <v>262</v>
      </c>
      <c r="C285">
        <v>1500</v>
      </c>
      <c r="D285" s="2" t="e">
        <f>VLOOKUP(B285,装备!B:E,3,FALSE)</f>
        <v>#N/A</v>
      </c>
      <c r="E285" t="str">
        <f t="shared" si="7"/>
        <v>AddPrizeListEx(3,'I130',1500)</v>
      </c>
    </row>
    <row r="286" spans="1:5">
      <c r="A286">
        <v>3</v>
      </c>
      <c r="B286" t="s">
        <v>263</v>
      </c>
      <c r="C286">
        <v>200</v>
      </c>
      <c r="D286" s="2" t="e">
        <f>VLOOKUP(B286,装备!B:E,3,FALSE)</f>
        <v>#N/A</v>
      </c>
      <c r="E286" t="str">
        <f t="shared" si="7"/>
        <v>AddPrizeListEx(3,'I131',200)</v>
      </c>
    </row>
    <row r="287" spans="1:5">
      <c r="A287">
        <v>3</v>
      </c>
      <c r="B287" t="s">
        <v>264</v>
      </c>
      <c r="C287">
        <v>10</v>
      </c>
      <c r="D287" s="2" t="e">
        <f>VLOOKUP(B287,装备!B:E,3,FALSE)</f>
        <v>#N/A</v>
      </c>
      <c r="E287" t="str">
        <f t="shared" si="7"/>
        <v>AddPrizeListEx(3,'I132',10)</v>
      </c>
    </row>
    <row r="288" spans="1:5">
      <c r="A288">
        <v>3</v>
      </c>
      <c r="B288" t="s">
        <v>265</v>
      </c>
      <c r="C288">
        <v>3500</v>
      </c>
      <c r="D288" s="2" t="e">
        <f>VLOOKUP(B288,装备!B:E,3,FALSE)</f>
        <v>#N/A</v>
      </c>
      <c r="E288" t="str">
        <f t="shared" si="7"/>
        <v>AddPrizeListEx(3,'I133',3500)</v>
      </c>
    </row>
    <row r="289" spans="1:5">
      <c r="A289">
        <v>3</v>
      </c>
      <c r="B289" t="s">
        <v>266</v>
      </c>
      <c r="C289">
        <v>20</v>
      </c>
      <c r="D289" s="2" t="e">
        <f>VLOOKUP(B289,装备!B:E,3,FALSE)</f>
        <v>#N/A</v>
      </c>
      <c r="E289" t="str">
        <f t="shared" si="7"/>
        <v>AddPrizeListEx(3,'I134',20)</v>
      </c>
    </row>
    <row r="290" spans="1:5">
      <c r="A290">
        <v>3</v>
      </c>
      <c r="B290" t="s">
        <v>267</v>
      </c>
      <c r="C290">
        <v>2</v>
      </c>
      <c r="D290" s="2" t="e">
        <f>VLOOKUP(B290,装备!B:E,3,FALSE)</f>
        <v>#N/A</v>
      </c>
      <c r="E290" t="str">
        <f t="shared" si="7"/>
        <v>AddPrizeListEx(3,'I135',2)</v>
      </c>
    </row>
    <row r="291" spans="1:5">
      <c r="A291">
        <v>3</v>
      </c>
      <c r="B291" t="s">
        <v>268</v>
      </c>
      <c r="C291">
        <v>100</v>
      </c>
      <c r="D291" s="2" t="e">
        <f>VLOOKUP(B291,装备!B:E,3,FALSE)</f>
        <v>#N/A</v>
      </c>
      <c r="E291" t="str">
        <f t="shared" si="7"/>
        <v>AddPrizeListEx(3,'I136',100)</v>
      </c>
    </row>
    <row r="292" spans="1:5">
      <c r="A292">
        <v>3</v>
      </c>
      <c r="B292" t="s">
        <v>269</v>
      </c>
      <c r="C292">
        <v>100</v>
      </c>
      <c r="D292" s="2" t="e">
        <f>VLOOKUP(B292,装备!B:E,3,FALSE)</f>
        <v>#N/A</v>
      </c>
      <c r="E292" t="str">
        <f t="shared" si="7"/>
        <v>AddPrizeListEx(3,'I137',100)</v>
      </c>
    </row>
    <row r="293" spans="1:5">
      <c r="A293">
        <v>3</v>
      </c>
      <c r="B293" t="s">
        <v>270</v>
      </c>
      <c r="C293">
        <v>100</v>
      </c>
      <c r="D293" s="2" t="e">
        <f>VLOOKUP(B293,装备!B:E,3,FALSE)</f>
        <v>#N/A</v>
      </c>
      <c r="E293" t="str">
        <f t="shared" si="7"/>
        <v>AddPrizeListEx(3,'I138',100)</v>
      </c>
    </row>
    <row r="294" spans="1:5">
      <c r="A294">
        <v>3</v>
      </c>
      <c r="B294" t="s">
        <v>271</v>
      </c>
      <c r="C294">
        <v>100</v>
      </c>
      <c r="D294" s="2" t="e">
        <f>VLOOKUP(B294,装备!B:E,3,FALSE)</f>
        <v>#N/A</v>
      </c>
      <c r="E294" t="str">
        <f t="shared" si="7"/>
        <v>AddPrizeListEx(3,'I139',100)</v>
      </c>
    </row>
    <row r="295" spans="1:5">
      <c r="A295">
        <v>3</v>
      </c>
      <c r="B295" t="s">
        <v>272</v>
      </c>
      <c r="C295">
        <v>2000</v>
      </c>
      <c r="D295" s="2" t="e">
        <f>VLOOKUP(B295,装备!B:E,3,FALSE)</f>
        <v>#N/A</v>
      </c>
      <c r="E295" t="str">
        <f t="shared" si="7"/>
        <v>AddPrizeListEx(3,'I140',2000)</v>
      </c>
    </row>
    <row r="296" spans="1:5">
      <c r="A296">
        <v>3</v>
      </c>
      <c r="B296" t="s">
        <v>273</v>
      </c>
      <c r="C296">
        <v>200</v>
      </c>
      <c r="D296" s="2" t="e">
        <f>VLOOKUP(B296,装备!B:E,3,FALSE)</f>
        <v>#N/A</v>
      </c>
      <c r="E296" t="str">
        <f t="shared" si="7"/>
        <v>AddPrizeListEx(3,'I141',200)</v>
      </c>
    </row>
    <row r="297" spans="1:5">
      <c r="A297">
        <v>3</v>
      </c>
      <c r="B297" t="s">
        <v>274</v>
      </c>
      <c r="C297">
        <v>20</v>
      </c>
      <c r="D297" s="2" t="e">
        <f>VLOOKUP(B297,装备!B:E,3,FALSE)</f>
        <v>#N/A</v>
      </c>
      <c r="E297" t="str">
        <f t="shared" si="7"/>
        <v>AddPrizeListEx(3,'I142',20)</v>
      </c>
    </row>
    <row r="298" spans="1:5">
      <c r="A298">
        <v>3</v>
      </c>
      <c r="B298" t="s">
        <v>275</v>
      </c>
      <c r="C298">
        <v>1500</v>
      </c>
      <c r="D298" s="2" t="e">
        <f>VLOOKUP(B298,装备!B:E,3,FALSE)</f>
        <v>#N/A</v>
      </c>
      <c r="E298" t="str">
        <f t="shared" si="7"/>
        <v>AddPrizeListEx(3,'I143',1500)</v>
      </c>
    </row>
    <row r="299" spans="1:5">
      <c r="A299">
        <v>3</v>
      </c>
      <c r="B299" t="s">
        <v>276</v>
      </c>
      <c r="C299">
        <v>200</v>
      </c>
      <c r="D299" s="2" t="e">
        <f>VLOOKUP(B299,装备!B:E,3,FALSE)</f>
        <v>#N/A</v>
      </c>
      <c r="E299" t="str">
        <f t="shared" si="7"/>
        <v>AddPrizeListEx(3,'I144',200)</v>
      </c>
    </row>
    <row r="300" spans="1:5">
      <c r="A300">
        <v>3</v>
      </c>
      <c r="B300" t="s">
        <v>277</v>
      </c>
      <c r="C300">
        <v>10</v>
      </c>
      <c r="D300" s="2" t="e">
        <f>VLOOKUP(B300,装备!B:E,3,FALSE)</f>
        <v>#N/A</v>
      </c>
      <c r="E300" t="str">
        <f t="shared" si="7"/>
        <v>AddPrizeListEx(3,'I145',10)</v>
      </c>
    </row>
    <row r="301" spans="1:5">
      <c r="A301">
        <v>3</v>
      </c>
      <c r="B301" t="s">
        <v>278</v>
      </c>
      <c r="C301">
        <v>2000</v>
      </c>
      <c r="D301" s="2" t="e">
        <f>VLOOKUP(B301,装备!B:E,3,FALSE)</f>
        <v>#N/A</v>
      </c>
      <c r="E301" t="str">
        <f t="shared" si="7"/>
        <v>AddPrizeListEx(3,'I146',2000)</v>
      </c>
    </row>
    <row r="302" spans="1:5">
      <c r="A302">
        <v>3</v>
      </c>
      <c r="B302" t="s">
        <v>279</v>
      </c>
      <c r="C302">
        <v>20</v>
      </c>
      <c r="D302" s="2" t="e">
        <f>VLOOKUP(B302,装备!B:E,3,FALSE)</f>
        <v>#N/A</v>
      </c>
      <c r="E302" t="str">
        <f t="shared" si="7"/>
        <v>AddPrizeListEx(3,'I147',20)</v>
      </c>
    </row>
    <row r="303" spans="1:5">
      <c r="A303">
        <v>3</v>
      </c>
      <c r="B303" t="s">
        <v>211</v>
      </c>
      <c r="C303">
        <v>500</v>
      </c>
      <c r="D303" s="2" t="e">
        <f>VLOOKUP(B303,装备!B:E,3,FALSE)</f>
        <v>#N/A</v>
      </c>
      <c r="E303" t="str">
        <f t="shared" si="7"/>
        <v>AddPrizeListEx(3,'E501',500)</v>
      </c>
    </row>
    <row r="304" spans="1:5">
      <c r="A304">
        <v>3</v>
      </c>
      <c r="B304" t="s">
        <v>212</v>
      </c>
      <c r="C304">
        <v>500</v>
      </c>
      <c r="D304" s="2" t="e">
        <f>VLOOKUP(B304,装备!B:E,3,FALSE)</f>
        <v>#N/A</v>
      </c>
      <c r="E304" t="str">
        <f t="shared" si="7"/>
        <v>AddPrizeListEx(3,'E502',500)</v>
      </c>
    </row>
    <row r="305" spans="1:5">
      <c r="A305">
        <v>3</v>
      </c>
      <c r="B305" t="s">
        <v>213</v>
      </c>
      <c r="C305">
        <v>500</v>
      </c>
      <c r="D305" s="2" t="e">
        <f>VLOOKUP(B305,装备!B:E,3,FALSE)</f>
        <v>#N/A</v>
      </c>
      <c r="E305" t="str">
        <f t="shared" si="7"/>
        <v>AddPrizeListEx(3,'E503',500)</v>
      </c>
    </row>
    <row r="306" spans="1:5">
      <c r="A306">
        <v>3</v>
      </c>
      <c r="B306" t="s">
        <v>214</v>
      </c>
      <c r="C306">
        <v>500</v>
      </c>
      <c r="D306" s="2" t="e">
        <f>VLOOKUP(B306,装备!B:E,3,FALSE)</f>
        <v>#N/A</v>
      </c>
      <c r="E306" t="str">
        <f t="shared" si="7"/>
        <v>AddPrizeListEx(3,'E504',500)</v>
      </c>
    </row>
    <row r="307" spans="1:5">
      <c r="A307">
        <v>3</v>
      </c>
      <c r="B307" t="s">
        <v>216</v>
      </c>
      <c r="C307">
        <v>500</v>
      </c>
      <c r="D307" s="2" t="e">
        <f>VLOOKUP(B307,装备!B:E,3,FALSE)</f>
        <v>#N/A</v>
      </c>
      <c r="E307" t="str">
        <f t="shared" si="7"/>
        <v>AddPrizeListEx(3,'E506',500)</v>
      </c>
    </row>
    <row r="308" spans="1:5">
      <c r="A308">
        <v>3</v>
      </c>
      <c r="B308" t="s">
        <v>217</v>
      </c>
      <c r="C308">
        <v>500</v>
      </c>
      <c r="D308" s="2" t="e">
        <f>VLOOKUP(B308,装备!B:E,3,FALSE)</f>
        <v>#N/A</v>
      </c>
      <c r="E308" t="str">
        <f t="shared" si="7"/>
        <v>AddPrizeListEx(3,'E507',500)</v>
      </c>
    </row>
    <row r="309" spans="1:5">
      <c r="A309">
        <v>3</v>
      </c>
      <c r="B309" t="s">
        <v>218</v>
      </c>
      <c r="C309">
        <v>500</v>
      </c>
      <c r="D309" s="2" t="e">
        <f>VLOOKUP(B309,装备!B:E,3,FALSE)</f>
        <v>#N/A</v>
      </c>
      <c r="E309" t="str">
        <f t="shared" si="7"/>
        <v>AddPrizeListEx(3,'E508',500)</v>
      </c>
    </row>
    <row r="310" spans="1:5">
      <c r="A310">
        <v>3</v>
      </c>
      <c r="B310" t="s">
        <v>219</v>
      </c>
      <c r="C310">
        <v>500</v>
      </c>
      <c r="D310" s="2" t="e">
        <f>VLOOKUP(B310,装备!B:E,3,FALSE)</f>
        <v>#N/A</v>
      </c>
      <c r="E310" t="str">
        <f t="shared" si="7"/>
        <v>AddPrizeListEx(3,'E509',500)</v>
      </c>
    </row>
    <row r="311" spans="1:5">
      <c r="A311">
        <v>3</v>
      </c>
      <c r="B311" t="s">
        <v>222</v>
      </c>
      <c r="C311">
        <v>100</v>
      </c>
      <c r="D311" s="2" t="e">
        <f>VLOOKUP(B311,装备!B:E,3,FALSE)</f>
        <v>#N/A</v>
      </c>
      <c r="E311" t="str">
        <f t="shared" si="7"/>
        <v>AddPrizeListEx(3,'E512',100)</v>
      </c>
    </row>
    <row r="312" spans="1:5">
      <c r="A312">
        <v>3</v>
      </c>
      <c r="B312" t="s">
        <v>223</v>
      </c>
      <c r="C312">
        <v>100</v>
      </c>
      <c r="D312" s="2" t="e">
        <f>VLOOKUP(B312,装备!B:E,3,FALSE)</f>
        <v>#N/A</v>
      </c>
      <c r="E312" t="str">
        <f t="shared" si="7"/>
        <v>AddPrizeListEx(3,'E513',100)</v>
      </c>
    </row>
    <row r="313" spans="1:5">
      <c r="A313">
        <v>3</v>
      </c>
      <c r="B313" t="s">
        <v>224</v>
      </c>
      <c r="C313">
        <v>100</v>
      </c>
      <c r="D313" s="2" t="e">
        <f>VLOOKUP(B313,装备!B:E,3,FALSE)</f>
        <v>#N/A</v>
      </c>
      <c r="E313" t="str">
        <f t="shared" si="7"/>
        <v>AddPrizeListEx(3,'E514',100)</v>
      </c>
    </row>
    <row r="314" spans="1:5">
      <c r="A314">
        <v>3</v>
      </c>
      <c r="B314" t="s">
        <v>225</v>
      </c>
      <c r="C314">
        <v>100</v>
      </c>
      <c r="D314" s="2" t="e">
        <f>VLOOKUP(B314,装备!B:E,3,FALSE)</f>
        <v>#N/A</v>
      </c>
      <c r="E314" t="str">
        <f t="shared" si="7"/>
        <v>AddPrizeListEx(3,'E515',100)</v>
      </c>
    </row>
    <row r="315" spans="1:5">
      <c r="A315">
        <v>3</v>
      </c>
      <c r="B315" t="s">
        <v>226</v>
      </c>
      <c r="C315">
        <v>100</v>
      </c>
      <c r="D315" s="2" t="e">
        <f>VLOOKUP(B315,装备!B:E,3,FALSE)</f>
        <v>#N/A</v>
      </c>
      <c r="E315" t="str">
        <f t="shared" si="7"/>
        <v>AddPrizeListEx(3,'E517',100)</v>
      </c>
    </row>
    <row r="316" spans="1:5">
      <c r="A316">
        <v>3</v>
      </c>
      <c r="B316" t="s">
        <v>227</v>
      </c>
      <c r="C316">
        <v>100</v>
      </c>
      <c r="D316" s="2" t="e">
        <f>VLOOKUP(B316,装备!B:E,3,FALSE)</f>
        <v>#N/A</v>
      </c>
      <c r="E316" t="str">
        <f t="shared" si="7"/>
        <v>AddPrizeListEx(3,'E518',100)</v>
      </c>
    </row>
    <row r="317" spans="1:5">
      <c r="A317">
        <v>3</v>
      </c>
      <c r="B317" t="s">
        <v>228</v>
      </c>
      <c r="C317">
        <v>100</v>
      </c>
      <c r="D317" s="2" t="e">
        <f>VLOOKUP(B317,装备!B:E,3,FALSE)</f>
        <v>#N/A</v>
      </c>
      <c r="E317" t="str">
        <f t="shared" si="7"/>
        <v>AddPrizeListEx(3,'E519',100)</v>
      </c>
    </row>
    <row r="318" spans="1:5">
      <c r="A318">
        <v>3</v>
      </c>
      <c r="B318" t="s">
        <v>229</v>
      </c>
      <c r="C318">
        <v>100</v>
      </c>
      <c r="D318" s="2" t="e">
        <f>VLOOKUP(B318,装备!B:E,3,FALSE)</f>
        <v>#N/A</v>
      </c>
      <c r="E318" t="str">
        <f t="shared" si="7"/>
        <v>AddPrizeListEx(3,'E520',100)</v>
      </c>
    </row>
    <row r="319" spans="1:5">
      <c r="A319">
        <v>3</v>
      </c>
      <c r="B319" t="s">
        <v>234</v>
      </c>
      <c r="C319">
        <v>2000</v>
      </c>
      <c r="D319" s="2" t="e">
        <f>VLOOKUP(B319,装备!B:E,3,FALSE)</f>
        <v>#N/A</v>
      </c>
      <c r="E319" t="str">
        <f t="shared" si="7"/>
        <v>AddPrizeListEx(3,'I102',2000)</v>
      </c>
    </row>
    <row r="320" spans="1:5">
      <c r="A320">
        <v>4</v>
      </c>
      <c r="B320" t="s">
        <v>235</v>
      </c>
      <c r="C320">
        <v>200</v>
      </c>
      <c r="D320" s="2" t="e">
        <f>VLOOKUP(B320,装备!B:E,3,FALSE)</f>
        <v>#N/A</v>
      </c>
      <c r="E320" t="str">
        <f t="shared" si="7"/>
        <v>AddPrizeListEx(4,'I103',200)</v>
      </c>
    </row>
    <row r="321" spans="1:5">
      <c r="A321">
        <v>4</v>
      </c>
      <c r="B321" t="s">
        <v>236</v>
      </c>
      <c r="C321">
        <v>5</v>
      </c>
      <c r="D321" s="2" t="e">
        <f>VLOOKUP(B321,装备!B:E,3,FALSE)</f>
        <v>#N/A</v>
      </c>
      <c r="E321" t="str">
        <f t="shared" si="7"/>
        <v>AddPrizeListEx(4,'I104',5)</v>
      </c>
    </row>
    <row r="322" spans="1:5">
      <c r="A322">
        <v>4</v>
      </c>
      <c r="B322" t="s">
        <v>238</v>
      </c>
      <c r="C322">
        <v>200</v>
      </c>
      <c r="D322" s="2" t="e">
        <f>VLOOKUP(B322,装备!B:E,3,FALSE)</f>
        <v>#N/A</v>
      </c>
      <c r="E322" t="str">
        <f t="shared" si="7"/>
        <v>AddPrizeListEx(4,'I106',200)</v>
      </c>
    </row>
    <row r="323" spans="1:5">
      <c r="A323">
        <v>4</v>
      </c>
      <c r="B323" t="s">
        <v>239</v>
      </c>
      <c r="C323">
        <v>5</v>
      </c>
      <c r="D323" s="2" t="e">
        <f>VLOOKUP(B323,装备!B:E,3,FALSE)</f>
        <v>#N/A</v>
      </c>
      <c r="E323" t="str">
        <f t="shared" si="7"/>
        <v>AddPrizeListEx(4,'I107',5)</v>
      </c>
    </row>
    <row r="324" spans="1:5">
      <c r="A324">
        <v>4</v>
      </c>
      <c r="B324" t="s">
        <v>242</v>
      </c>
      <c r="C324">
        <v>200</v>
      </c>
      <c r="D324" s="2" t="e">
        <f>VLOOKUP(B324,装备!B:E,3,FALSE)</f>
        <v>#N/A</v>
      </c>
      <c r="E324" t="str">
        <f t="shared" si="7"/>
        <v>AddPrizeListEx(4,'I110',200)</v>
      </c>
    </row>
    <row r="325" spans="1:5">
      <c r="A325">
        <v>4</v>
      </c>
      <c r="B325" t="s">
        <v>243</v>
      </c>
      <c r="C325">
        <v>5</v>
      </c>
      <c r="D325" s="2" t="e">
        <f>VLOOKUP(B325,装备!B:E,3,FALSE)</f>
        <v>#N/A</v>
      </c>
      <c r="E325" t="str">
        <f t="shared" si="7"/>
        <v>AddPrizeListEx(4,'I111',5)</v>
      </c>
    </row>
    <row r="326" spans="1:5">
      <c r="A326">
        <v>4</v>
      </c>
      <c r="B326" t="s">
        <v>245</v>
      </c>
      <c r="C326">
        <v>200</v>
      </c>
      <c r="D326" s="2" t="e">
        <f>VLOOKUP(B326,装备!B:E,3,FALSE)</f>
        <v>#N/A</v>
      </c>
      <c r="E326" t="str">
        <f t="shared" si="7"/>
        <v>AddPrizeListEx(4,'I113',200)</v>
      </c>
    </row>
    <row r="327" spans="1:5">
      <c r="A327">
        <v>4</v>
      </c>
      <c r="B327" t="s">
        <v>246</v>
      </c>
      <c r="C327">
        <v>5</v>
      </c>
      <c r="D327" s="2" t="e">
        <f>VLOOKUP(B327,装备!B:E,3,FALSE)</f>
        <v>#N/A</v>
      </c>
      <c r="E327" t="str">
        <f t="shared" si="7"/>
        <v>AddPrizeListEx(4,'I114',5)</v>
      </c>
    </row>
    <row r="328" spans="1:5">
      <c r="A328">
        <v>4</v>
      </c>
      <c r="B328" t="s">
        <v>248</v>
      </c>
      <c r="C328">
        <v>200</v>
      </c>
      <c r="D328" s="2" t="e">
        <f>VLOOKUP(B328,装备!B:E,3,FALSE)</f>
        <v>#N/A</v>
      </c>
      <c r="E328" t="str">
        <f t="shared" si="7"/>
        <v>AddPrizeListEx(4,'I116',200)</v>
      </c>
    </row>
    <row r="329" spans="1:5">
      <c r="A329">
        <v>4</v>
      </c>
      <c r="B329" t="s">
        <v>249</v>
      </c>
      <c r="C329">
        <v>5</v>
      </c>
      <c r="D329" s="2" t="e">
        <f>VLOOKUP(B329,装备!B:E,3,FALSE)</f>
        <v>#N/A</v>
      </c>
      <c r="E329" t="str">
        <f t="shared" si="7"/>
        <v>AddPrizeListEx(4,'I117',5)</v>
      </c>
    </row>
    <row r="330" spans="1:5">
      <c r="A330">
        <v>4</v>
      </c>
      <c r="B330" t="s">
        <v>251</v>
      </c>
      <c r="C330">
        <v>200</v>
      </c>
      <c r="D330" s="2" t="e">
        <f>VLOOKUP(B330,装备!B:E,3,FALSE)</f>
        <v>#N/A</v>
      </c>
      <c r="E330" t="str">
        <f t="shared" si="7"/>
        <v>AddPrizeListEx(4,'I119',200)</v>
      </c>
    </row>
    <row r="331" spans="1:5">
      <c r="A331">
        <v>4</v>
      </c>
      <c r="B331" t="s">
        <v>252</v>
      </c>
      <c r="C331">
        <v>5</v>
      </c>
      <c r="D331" s="2" t="e">
        <f>VLOOKUP(B331,装备!B:E,3,FALSE)</f>
        <v>#N/A</v>
      </c>
      <c r="E331" t="str">
        <f t="shared" si="7"/>
        <v>AddPrizeListEx(4,'I120',5)</v>
      </c>
    </row>
    <row r="332" spans="1:5">
      <c r="A332">
        <v>4</v>
      </c>
      <c r="B332" t="s">
        <v>254</v>
      </c>
      <c r="C332">
        <v>200</v>
      </c>
      <c r="D332" s="2" t="e">
        <f>VLOOKUP(B332,装备!B:E,3,FALSE)</f>
        <v>#N/A</v>
      </c>
      <c r="E332" t="str">
        <f t="shared" si="7"/>
        <v>AddPrizeListEx(4,'I122',200)</v>
      </c>
    </row>
    <row r="333" spans="1:5">
      <c r="A333">
        <v>4</v>
      </c>
      <c r="B333" t="s">
        <v>255</v>
      </c>
      <c r="C333">
        <v>5</v>
      </c>
      <c r="D333" s="2" t="e">
        <f>VLOOKUP(B333,装备!B:E,3,FALSE)</f>
        <v>#N/A</v>
      </c>
      <c r="E333" t="str">
        <f t="shared" si="7"/>
        <v>AddPrizeListEx(4,'I123',5)</v>
      </c>
    </row>
    <row r="334" spans="1:5">
      <c r="A334">
        <v>4</v>
      </c>
      <c r="B334" t="s">
        <v>257</v>
      </c>
      <c r="C334">
        <v>200</v>
      </c>
      <c r="D334" s="2" t="e">
        <f>VLOOKUP(B334,装备!B:E,3,FALSE)</f>
        <v>#N/A</v>
      </c>
      <c r="E334" t="str">
        <f t="shared" si="7"/>
        <v>AddPrizeListEx(4,'I125',200)</v>
      </c>
    </row>
    <row r="335" spans="1:5">
      <c r="A335">
        <v>4</v>
      </c>
      <c r="B335" t="s">
        <v>258</v>
      </c>
      <c r="C335">
        <v>5</v>
      </c>
      <c r="D335" s="2" t="e">
        <f>VLOOKUP(B335,装备!B:E,3,FALSE)</f>
        <v>#N/A</v>
      </c>
      <c r="E335" t="str">
        <f t="shared" si="7"/>
        <v>AddPrizeListEx(4,'I126',5)</v>
      </c>
    </row>
    <row r="336" spans="1:5">
      <c r="A336">
        <v>4</v>
      </c>
      <c r="B336" t="s">
        <v>260</v>
      </c>
      <c r="C336">
        <v>200</v>
      </c>
      <c r="D336" s="2" t="e">
        <f>VLOOKUP(B336,装备!B:E,3,FALSE)</f>
        <v>#N/A</v>
      </c>
      <c r="E336" t="str">
        <f t="shared" si="7"/>
        <v>AddPrizeListEx(4,'I128',200)</v>
      </c>
    </row>
    <row r="337" spans="1:5">
      <c r="A337">
        <v>4</v>
      </c>
      <c r="B337" t="s">
        <v>261</v>
      </c>
      <c r="C337">
        <v>5</v>
      </c>
      <c r="D337" s="2" t="e">
        <f>VLOOKUP(B337,装备!B:E,3,FALSE)</f>
        <v>#N/A</v>
      </c>
      <c r="E337" t="str">
        <f t="shared" si="7"/>
        <v>AddPrizeListEx(4,'I129',5)</v>
      </c>
    </row>
    <row r="338" spans="1:5">
      <c r="A338">
        <v>4</v>
      </c>
      <c r="B338" t="s">
        <v>263</v>
      </c>
      <c r="C338">
        <v>200</v>
      </c>
      <c r="D338" s="2" t="e">
        <f>VLOOKUP(B338,装备!B:E,3,FALSE)</f>
        <v>#N/A</v>
      </c>
      <c r="E338" t="str">
        <f t="shared" si="7"/>
        <v>AddPrizeListEx(4,'I131',200)</v>
      </c>
    </row>
    <row r="339" spans="1:5">
      <c r="A339">
        <v>4</v>
      </c>
      <c r="B339" t="s">
        <v>264</v>
      </c>
      <c r="C339">
        <v>5</v>
      </c>
      <c r="D339" s="2" t="e">
        <f>VLOOKUP(B339,装备!B:E,3,FALSE)</f>
        <v>#N/A</v>
      </c>
      <c r="E339" t="str">
        <f t="shared" si="7"/>
        <v>AddPrizeListEx(4,'I132',5)</v>
      </c>
    </row>
    <row r="340" spans="1:5">
      <c r="A340">
        <v>4</v>
      </c>
      <c r="B340" t="s">
        <v>265</v>
      </c>
      <c r="C340">
        <v>300</v>
      </c>
      <c r="D340" s="2" t="e">
        <f>VLOOKUP(B340,装备!B:E,3,FALSE)</f>
        <v>#N/A</v>
      </c>
      <c r="E340" t="str">
        <f t="shared" si="7"/>
        <v>AddPrizeListEx(4,'I133',300)</v>
      </c>
    </row>
    <row r="341" spans="1:5">
      <c r="A341">
        <v>4</v>
      </c>
      <c r="B341" t="s">
        <v>266</v>
      </c>
      <c r="C341">
        <v>200</v>
      </c>
      <c r="D341" s="2" t="e">
        <f>VLOOKUP(B341,装备!B:E,3,FALSE)</f>
        <v>#N/A</v>
      </c>
      <c r="E341" t="str">
        <f t="shared" si="7"/>
        <v>AddPrizeListEx(4,'I134',200)</v>
      </c>
    </row>
    <row r="342" spans="1:5">
      <c r="A342">
        <v>4</v>
      </c>
      <c r="B342" t="s">
        <v>267</v>
      </c>
      <c r="C342">
        <v>5</v>
      </c>
      <c r="D342" s="2" t="e">
        <f>VLOOKUP(B342,装备!B:E,3,FALSE)</f>
        <v>#N/A</v>
      </c>
      <c r="E342" t="str">
        <f t="shared" si="7"/>
        <v>AddPrizeListEx(4,'I135',5)</v>
      </c>
    </row>
    <row r="343" spans="1:5">
      <c r="A343">
        <v>4</v>
      </c>
      <c r="B343" t="s">
        <v>268</v>
      </c>
      <c r="C343">
        <v>200</v>
      </c>
      <c r="D343" s="2" t="e">
        <f>VLOOKUP(B343,装备!B:E,3,FALSE)</f>
        <v>#N/A</v>
      </c>
      <c r="E343" t="str">
        <f t="shared" si="7"/>
        <v>AddPrizeListEx(4,'I136',200)</v>
      </c>
    </row>
    <row r="344" spans="1:5">
      <c r="A344">
        <v>4</v>
      </c>
      <c r="B344" t="s">
        <v>270</v>
      </c>
      <c r="C344">
        <v>200</v>
      </c>
      <c r="D344" s="2" t="e">
        <f>VLOOKUP(B344,装备!B:E,3,FALSE)</f>
        <v>#N/A</v>
      </c>
      <c r="E344" t="str">
        <f t="shared" si="7"/>
        <v>AddPrizeListEx(4,'I138',200)</v>
      </c>
    </row>
    <row r="345" spans="1:5">
      <c r="A345">
        <v>4</v>
      </c>
      <c r="B345" t="s">
        <v>271</v>
      </c>
      <c r="C345">
        <v>200</v>
      </c>
      <c r="D345" s="2" t="e">
        <f>VLOOKUP(B345,装备!B:E,3,FALSE)</f>
        <v>#N/A</v>
      </c>
      <c r="E345" t="str">
        <f t="shared" si="7"/>
        <v>AddPrizeListEx(4,'I139',200)</v>
      </c>
    </row>
    <row r="346" spans="1:5">
      <c r="A346">
        <v>4</v>
      </c>
      <c r="B346" t="s">
        <v>273</v>
      </c>
      <c r="C346">
        <v>200</v>
      </c>
      <c r="D346" s="2" t="e">
        <f>VLOOKUP(B346,装备!B:E,3,FALSE)</f>
        <v>#N/A</v>
      </c>
      <c r="E346" t="str">
        <f t="shared" si="7"/>
        <v>AddPrizeListEx(4,'I141',200)</v>
      </c>
    </row>
    <row r="347" spans="1:5">
      <c r="A347">
        <v>4</v>
      </c>
      <c r="B347" t="s">
        <v>274</v>
      </c>
      <c r="C347">
        <v>5</v>
      </c>
      <c r="D347" s="2" t="e">
        <f>VLOOKUP(B347,装备!B:E,3,FALSE)</f>
        <v>#N/A</v>
      </c>
      <c r="E347" t="str">
        <f t="shared" ref="E347:E410" si="8">IF(B347&lt;&gt;"","AddPrizeListEx("&amp;A347&amp;",'"&amp;B347&amp;"',"&amp;C347&amp;")","")</f>
        <v>AddPrizeListEx(4,'I142',5)</v>
      </c>
    </row>
    <row r="348" spans="1:5">
      <c r="A348">
        <v>4</v>
      </c>
      <c r="B348" t="s">
        <v>276</v>
      </c>
      <c r="C348">
        <v>200</v>
      </c>
      <c r="D348" s="2" t="e">
        <f>VLOOKUP(B348,装备!B:E,3,FALSE)</f>
        <v>#N/A</v>
      </c>
      <c r="E348" t="str">
        <f t="shared" si="8"/>
        <v>AddPrizeListEx(4,'I144',200)</v>
      </c>
    </row>
    <row r="349" spans="1:5">
      <c r="A349">
        <v>4</v>
      </c>
      <c r="B349" t="s">
        <v>277</v>
      </c>
      <c r="C349">
        <v>5</v>
      </c>
      <c r="D349" s="2" t="e">
        <f>VLOOKUP(B349,装备!B:E,3,FALSE)</f>
        <v>#N/A</v>
      </c>
      <c r="E349" t="str">
        <f t="shared" si="8"/>
        <v>AddPrizeListEx(4,'I145',5)</v>
      </c>
    </row>
    <row r="350" spans="1:5">
      <c r="A350">
        <v>4</v>
      </c>
      <c r="B350" t="s">
        <v>279</v>
      </c>
      <c r="C350">
        <v>200</v>
      </c>
      <c r="D350" s="2" t="e">
        <f>VLOOKUP(B350,装备!B:E,3,FALSE)</f>
        <v>#N/A</v>
      </c>
      <c r="E350" t="str">
        <f t="shared" si="8"/>
        <v>AddPrizeListEx(4,'I147',200)</v>
      </c>
    </row>
    <row r="351" spans="1:5">
      <c r="A351">
        <v>4</v>
      </c>
      <c r="B351" t="s">
        <v>280</v>
      </c>
      <c r="C351">
        <v>5</v>
      </c>
      <c r="D351" s="2" t="e">
        <f>VLOOKUP(B351,装备!B:E,3,FALSE)</f>
        <v>#N/A</v>
      </c>
      <c r="E351" t="str">
        <f t="shared" si="8"/>
        <v>AddPrizeListEx(4,'I148',5)</v>
      </c>
    </row>
    <row r="352" spans="1:5">
      <c r="A352">
        <v>4</v>
      </c>
      <c r="B352" t="s">
        <v>222</v>
      </c>
      <c r="C352">
        <v>100</v>
      </c>
      <c r="D352" s="2" t="e">
        <f>VLOOKUP(B352,装备!B:E,3,FALSE)</f>
        <v>#N/A</v>
      </c>
      <c r="E352" t="str">
        <f t="shared" si="8"/>
        <v>AddPrizeListEx(4,'E512',100)</v>
      </c>
    </row>
    <row r="353" spans="1:5">
      <c r="A353">
        <v>4</v>
      </c>
      <c r="B353" t="s">
        <v>223</v>
      </c>
      <c r="C353">
        <v>100</v>
      </c>
      <c r="D353" s="2" t="e">
        <f>VLOOKUP(B353,装备!B:E,3,FALSE)</f>
        <v>#N/A</v>
      </c>
      <c r="E353" t="str">
        <f t="shared" si="8"/>
        <v>AddPrizeListEx(4,'E513',100)</v>
      </c>
    </row>
    <row r="354" spans="1:5">
      <c r="A354">
        <v>4</v>
      </c>
      <c r="B354" t="s">
        <v>224</v>
      </c>
      <c r="C354">
        <v>100</v>
      </c>
      <c r="D354" s="2" t="e">
        <f>VLOOKUP(B354,装备!B:E,3,FALSE)</f>
        <v>#N/A</v>
      </c>
      <c r="E354" t="str">
        <f t="shared" si="8"/>
        <v>AddPrizeListEx(4,'E514',100)</v>
      </c>
    </row>
    <row r="355" spans="1:5">
      <c r="A355">
        <v>4</v>
      </c>
      <c r="B355" t="s">
        <v>225</v>
      </c>
      <c r="C355">
        <v>100</v>
      </c>
      <c r="D355" s="2" t="e">
        <f>VLOOKUP(B355,装备!B:E,3,FALSE)</f>
        <v>#N/A</v>
      </c>
      <c r="E355" t="str">
        <f t="shared" si="8"/>
        <v>AddPrizeListEx(4,'E515',100)</v>
      </c>
    </row>
    <row r="356" spans="1:5">
      <c r="A356">
        <v>4</v>
      </c>
      <c r="B356" t="s">
        <v>226</v>
      </c>
      <c r="C356">
        <v>100</v>
      </c>
      <c r="D356" s="2" t="e">
        <f>VLOOKUP(B356,装备!B:E,3,FALSE)</f>
        <v>#N/A</v>
      </c>
      <c r="E356" t="str">
        <f t="shared" si="8"/>
        <v>AddPrizeListEx(4,'E517',100)</v>
      </c>
    </row>
    <row r="357" spans="1:5">
      <c r="A357">
        <v>4</v>
      </c>
      <c r="B357" t="s">
        <v>227</v>
      </c>
      <c r="C357">
        <v>100</v>
      </c>
      <c r="D357" s="2" t="e">
        <f>VLOOKUP(B357,装备!B:E,3,FALSE)</f>
        <v>#N/A</v>
      </c>
      <c r="E357" t="str">
        <f t="shared" si="8"/>
        <v>AddPrizeListEx(4,'E518',100)</v>
      </c>
    </row>
    <row r="358" spans="1:5">
      <c r="A358">
        <v>4</v>
      </c>
      <c r="B358" t="s">
        <v>228</v>
      </c>
      <c r="C358">
        <v>100</v>
      </c>
      <c r="D358" s="2" t="e">
        <f>VLOOKUP(B358,装备!B:E,3,FALSE)</f>
        <v>#N/A</v>
      </c>
      <c r="E358" t="str">
        <f t="shared" si="8"/>
        <v>AddPrizeListEx(4,'E519',100)</v>
      </c>
    </row>
    <row r="359" spans="1:5">
      <c r="A359">
        <v>4</v>
      </c>
      <c r="B359" t="s">
        <v>229</v>
      </c>
      <c r="C359">
        <v>100</v>
      </c>
      <c r="D359" s="2" t="e">
        <f>VLOOKUP(B359,装备!B:E,3,FALSE)</f>
        <v>#N/A</v>
      </c>
      <c r="E359" t="str">
        <f t="shared" si="8"/>
        <v>AddPrizeListEx(4,'E520',100)</v>
      </c>
    </row>
    <row r="360" spans="1:5">
      <c r="A360">
        <v>4</v>
      </c>
      <c r="B360" t="s">
        <v>230</v>
      </c>
      <c r="C360">
        <v>10</v>
      </c>
      <c r="D360" s="2" t="e">
        <f>VLOOKUP(B360,装备!B:E,3,FALSE)</f>
        <v>#N/A</v>
      </c>
      <c r="E360" t="str">
        <f t="shared" si="8"/>
        <v>AddPrizeListEx(4,'E522',10)</v>
      </c>
    </row>
    <row r="361" spans="1:5">
      <c r="A361">
        <v>4</v>
      </c>
      <c r="B361" t="s">
        <v>231</v>
      </c>
      <c r="C361">
        <v>10</v>
      </c>
      <c r="D361" s="2" t="e">
        <f>VLOOKUP(B361,装备!B:E,3,FALSE)</f>
        <v>#N/A</v>
      </c>
      <c r="E361" t="str">
        <f t="shared" si="8"/>
        <v>AddPrizeListEx(4,'E523',10)</v>
      </c>
    </row>
    <row r="362" spans="1:5">
      <c r="A362">
        <v>4</v>
      </c>
      <c r="B362" t="s">
        <v>232</v>
      </c>
      <c r="C362">
        <v>10</v>
      </c>
      <c r="D362" s="2" t="e">
        <f>VLOOKUP(B362,装备!B:E,3,FALSE)</f>
        <v>#N/A</v>
      </c>
      <c r="E362" t="str">
        <f t="shared" si="8"/>
        <v>AddPrizeListEx(4,'E524',10)</v>
      </c>
    </row>
    <row r="363" spans="1:5">
      <c r="A363">
        <v>4</v>
      </c>
      <c r="B363" t="s">
        <v>366</v>
      </c>
      <c r="C363">
        <v>10</v>
      </c>
      <c r="D363" s="2" t="e">
        <f>VLOOKUP(B363,装备!B:E,3,FALSE)</f>
        <v>#N/A</v>
      </c>
      <c r="E363" t="str">
        <f t="shared" si="8"/>
        <v>AddPrizeListEx(4,'E525',10)</v>
      </c>
    </row>
    <row r="364" spans="1:5">
      <c r="A364">
        <v>4</v>
      </c>
      <c r="B364" t="s">
        <v>367</v>
      </c>
      <c r="C364">
        <v>10</v>
      </c>
      <c r="D364" s="2" t="e">
        <f>VLOOKUP(B364,装备!B:E,3,FALSE)</f>
        <v>#N/A</v>
      </c>
      <c r="E364" t="str">
        <f t="shared" si="8"/>
        <v>AddPrizeListEx(4,'E527',10)</v>
      </c>
    </row>
    <row r="365" spans="1:5">
      <c r="A365">
        <v>4</v>
      </c>
      <c r="B365" t="s">
        <v>368</v>
      </c>
      <c r="C365">
        <v>10</v>
      </c>
      <c r="D365" s="2" t="e">
        <f>VLOOKUP(B365,装备!B:E,3,FALSE)</f>
        <v>#N/A</v>
      </c>
      <c r="E365" t="str">
        <f t="shared" si="8"/>
        <v>AddPrizeListEx(4,'E528',10)</v>
      </c>
    </row>
    <row r="366" spans="1:5">
      <c r="A366">
        <v>4</v>
      </c>
      <c r="B366" t="s">
        <v>369</v>
      </c>
      <c r="C366">
        <v>10</v>
      </c>
      <c r="D366" s="2" t="e">
        <f>VLOOKUP(B366,装备!B:E,3,FALSE)</f>
        <v>#N/A</v>
      </c>
      <c r="E366" t="str">
        <f t="shared" si="8"/>
        <v>AddPrizeListEx(4,'E529',10)</v>
      </c>
    </row>
    <row r="367" spans="1:5">
      <c r="A367">
        <v>4</v>
      </c>
      <c r="B367" t="s">
        <v>370</v>
      </c>
      <c r="C367">
        <v>10</v>
      </c>
      <c r="D367" s="2" t="e">
        <f>VLOOKUP(B367,装备!B:E,3,FALSE)</f>
        <v>#N/A</v>
      </c>
      <c r="E367" t="str">
        <f t="shared" si="8"/>
        <v>AddPrizeListEx(4,'E530',10)</v>
      </c>
    </row>
    <row r="368" spans="1:5">
      <c r="A368">
        <v>5</v>
      </c>
      <c r="B368" t="s">
        <v>371</v>
      </c>
      <c r="C368">
        <v>2000</v>
      </c>
      <c r="D368" s="2" t="e">
        <f>VLOOKUP(B368,装备!B:E,3,FALSE)</f>
        <v>#N/A</v>
      </c>
      <c r="E368" t="str">
        <f t="shared" si="8"/>
        <v>AddPrizeListEx(5,'Z011',2000)</v>
      </c>
    </row>
    <row r="369" spans="1:5">
      <c r="A369">
        <v>5</v>
      </c>
      <c r="B369" t="s">
        <v>308</v>
      </c>
      <c r="C369">
        <v>100</v>
      </c>
      <c r="D369" s="2" t="e">
        <f>VLOOKUP(B369,装备!B:E,3,FALSE)</f>
        <v>#N/A</v>
      </c>
      <c r="E369" t="str">
        <f t="shared" si="8"/>
        <v>AddPrizeListEx(5,'Z012',100)</v>
      </c>
    </row>
    <row r="370" spans="1:5">
      <c r="A370">
        <v>5</v>
      </c>
      <c r="B370" t="s">
        <v>372</v>
      </c>
      <c r="C370">
        <v>2000</v>
      </c>
      <c r="D370" s="2" t="e">
        <f>VLOOKUP(B370,装备!B:E,3,FALSE)</f>
        <v>#N/A</v>
      </c>
      <c r="E370" t="str">
        <f t="shared" si="8"/>
        <v>AddPrizeListEx(5,'Z021',2000)</v>
      </c>
    </row>
    <row r="371" spans="1:5">
      <c r="A371">
        <v>5</v>
      </c>
      <c r="B371" t="s">
        <v>310</v>
      </c>
      <c r="C371">
        <v>100</v>
      </c>
      <c r="D371" s="2" t="e">
        <f>VLOOKUP(B371,装备!B:E,3,FALSE)</f>
        <v>#N/A</v>
      </c>
      <c r="E371" t="str">
        <f t="shared" si="8"/>
        <v>AddPrizeListEx(5,'Z022',100)</v>
      </c>
    </row>
    <row r="372" spans="1:5">
      <c r="A372">
        <v>5</v>
      </c>
      <c r="B372" t="s">
        <v>373</v>
      </c>
      <c r="C372">
        <v>2000</v>
      </c>
      <c r="D372" s="2" t="e">
        <f>VLOOKUP(B372,装备!B:E,3,FALSE)</f>
        <v>#N/A</v>
      </c>
      <c r="E372" t="str">
        <f t="shared" si="8"/>
        <v>AddPrizeListEx(5,'Z031',2000)</v>
      </c>
    </row>
    <row r="373" spans="1:5">
      <c r="A373">
        <v>5</v>
      </c>
      <c r="B373" t="s">
        <v>312</v>
      </c>
      <c r="C373">
        <v>100</v>
      </c>
      <c r="D373" s="2" t="e">
        <f>VLOOKUP(B373,装备!B:E,3,FALSE)</f>
        <v>#N/A</v>
      </c>
      <c r="E373" t="str">
        <f t="shared" si="8"/>
        <v>AddPrizeListEx(5,'Z032',100)</v>
      </c>
    </row>
    <row r="374" spans="1:5">
      <c r="A374">
        <v>5</v>
      </c>
      <c r="B374" t="s">
        <v>374</v>
      </c>
      <c r="C374">
        <v>2000</v>
      </c>
      <c r="D374" s="2" t="e">
        <f>VLOOKUP(B374,装备!B:E,3,FALSE)</f>
        <v>#N/A</v>
      </c>
      <c r="E374" t="str">
        <f t="shared" si="8"/>
        <v>AddPrizeListEx(5,'Z041',2000)</v>
      </c>
    </row>
    <row r="375" spans="1:5">
      <c r="A375">
        <v>5</v>
      </c>
      <c r="B375" t="s">
        <v>314</v>
      </c>
      <c r="C375">
        <v>100</v>
      </c>
      <c r="D375" s="2" t="e">
        <f>VLOOKUP(B375,装备!B:E,3,FALSE)</f>
        <v>#N/A</v>
      </c>
      <c r="E375" t="str">
        <f t="shared" si="8"/>
        <v>AddPrizeListEx(5,'Z042',100)</v>
      </c>
    </row>
    <row r="376" spans="1:5">
      <c r="A376">
        <v>5</v>
      </c>
      <c r="B376" t="s">
        <v>375</v>
      </c>
      <c r="C376">
        <v>2000</v>
      </c>
      <c r="D376" s="2" t="e">
        <f>VLOOKUP(B376,装备!B:E,3,FALSE)</f>
        <v>#N/A</v>
      </c>
      <c r="E376" t="str">
        <f t="shared" si="8"/>
        <v>AddPrizeListEx(5,'Z051',2000)</v>
      </c>
    </row>
    <row r="377" spans="1:5">
      <c r="A377">
        <v>5</v>
      </c>
      <c r="B377" t="s">
        <v>316</v>
      </c>
      <c r="C377">
        <v>100</v>
      </c>
      <c r="D377" s="2" t="e">
        <f>VLOOKUP(B377,装备!B:E,3,FALSE)</f>
        <v>#N/A</v>
      </c>
      <c r="E377" t="str">
        <f t="shared" si="8"/>
        <v>AddPrizeListEx(5,'Z052',100)</v>
      </c>
    </row>
    <row r="378" spans="1:5">
      <c r="A378">
        <v>5</v>
      </c>
      <c r="B378" t="s">
        <v>376</v>
      </c>
      <c r="C378">
        <v>2000</v>
      </c>
      <c r="D378" s="2" t="e">
        <f>VLOOKUP(B378,装备!B:E,3,FALSE)</f>
        <v>#N/A</v>
      </c>
      <c r="E378" t="str">
        <f t="shared" si="8"/>
        <v>AddPrizeListEx(5,'Z061',2000)</v>
      </c>
    </row>
    <row r="379" spans="1:5">
      <c r="A379">
        <v>5</v>
      </c>
      <c r="B379" t="s">
        <v>318</v>
      </c>
      <c r="C379">
        <v>100</v>
      </c>
      <c r="D379" s="2" t="e">
        <f>VLOOKUP(B379,装备!B:E,3,FALSE)</f>
        <v>#N/A</v>
      </c>
      <c r="E379" t="str">
        <f t="shared" si="8"/>
        <v>AddPrizeListEx(5,'Z062',100)</v>
      </c>
    </row>
    <row r="380" spans="1:5">
      <c r="A380">
        <v>5</v>
      </c>
      <c r="B380" t="s">
        <v>377</v>
      </c>
      <c r="C380">
        <v>2000</v>
      </c>
      <c r="D380" s="2" t="e">
        <f>VLOOKUP(B380,装备!B:E,3,FALSE)</f>
        <v>#N/A</v>
      </c>
      <c r="E380" t="str">
        <f t="shared" si="8"/>
        <v>AddPrizeListEx(5,'Z071',2000)</v>
      </c>
    </row>
    <row r="381" spans="1:5">
      <c r="A381">
        <v>5</v>
      </c>
      <c r="B381" t="s">
        <v>320</v>
      </c>
      <c r="C381">
        <v>100</v>
      </c>
      <c r="D381" s="2" t="e">
        <f>VLOOKUP(B381,装备!B:E,3,FALSE)</f>
        <v>#N/A</v>
      </c>
      <c r="E381" t="str">
        <f t="shared" si="8"/>
        <v>AddPrizeListEx(5,'Z072',100)</v>
      </c>
    </row>
    <row r="382" spans="1:5">
      <c r="A382">
        <v>5</v>
      </c>
      <c r="B382" t="s">
        <v>378</v>
      </c>
      <c r="C382">
        <v>2000</v>
      </c>
      <c r="D382" s="2" t="e">
        <f>VLOOKUP(B382,装备!B:E,3,FALSE)</f>
        <v>#N/A</v>
      </c>
      <c r="E382" t="str">
        <f t="shared" si="8"/>
        <v>AddPrizeListEx(5,'Z081',2000)</v>
      </c>
    </row>
    <row r="383" spans="1:5">
      <c r="A383">
        <v>5</v>
      </c>
      <c r="B383" t="s">
        <v>322</v>
      </c>
      <c r="C383">
        <v>100</v>
      </c>
      <c r="D383" s="2" t="e">
        <f>VLOOKUP(B383,装备!B:E,3,FALSE)</f>
        <v>#N/A</v>
      </c>
      <c r="E383" t="str">
        <f t="shared" si="8"/>
        <v>AddPrizeListEx(5,'Z082',100)</v>
      </c>
    </row>
    <row r="384" spans="1:5">
      <c r="A384">
        <v>5</v>
      </c>
      <c r="B384" t="s">
        <v>379</v>
      </c>
      <c r="C384">
        <v>2000</v>
      </c>
      <c r="D384" s="2" t="e">
        <f>VLOOKUP(B384,装备!B:E,3,FALSE)</f>
        <v>#N/A</v>
      </c>
      <c r="E384" t="str">
        <f t="shared" si="8"/>
        <v>AddPrizeListEx(5,'Z091',2000)</v>
      </c>
    </row>
    <row r="385" spans="1:5">
      <c r="A385">
        <v>5</v>
      </c>
      <c r="B385" t="s">
        <v>324</v>
      </c>
      <c r="C385">
        <v>100</v>
      </c>
      <c r="D385" s="2" t="e">
        <f>VLOOKUP(B385,装备!B:E,3,FALSE)</f>
        <v>#N/A</v>
      </c>
      <c r="E385" t="str">
        <f t="shared" si="8"/>
        <v>AddPrizeListEx(5,'Z092',100)</v>
      </c>
    </row>
    <row r="386" spans="1:5">
      <c r="A386">
        <v>5</v>
      </c>
      <c r="B386" t="s">
        <v>380</v>
      </c>
      <c r="C386">
        <v>2000</v>
      </c>
      <c r="D386" s="2" t="e">
        <f>VLOOKUP(B386,装备!B:E,3,FALSE)</f>
        <v>#N/A</v>
      </c>
      <c r="E386" t="str">
        <f t="shared" si="8"/>
        <v>AddPrizeListEx(5,'Z101',2000)</v>
      </c>
    </row>
    <row r="387" spans="1:5">
      <c r="A387">
        <v>5</v>
      </c>
      <c r="B387" t="s">
        <v>326</v>
      </c>
      <c r="C387">
        <v>100</v>
      </c>
      <c r="D387" s="2" t="e">
        <f>VLOOKUP(B387,装备!B:E,3,FALSE)</f>
        <v>#N/A</v>
      </c>
      <c r="E387" t="str">
        <f t="shared" si="8"/>
        <v>AddPrizeListEx(5,'Z102',100)</v>
      </c>
    </row>
    <row r="388" spans="1:5">
      <c r="A388">
        <v>5</v>
      </c>
      <c r="B388" t="s">
        <v>381</v>
      </c>
      <c r="C388">
        <v>2000</v>
      </c>
      <c r="D388" s="2" t="e">
        <f>VLOOKUP(B388,装备!B:E,3,FALSE)</f>
        <v>#N/A</v>
      </c>
      <c r="E388" t="str">
        <f t="shared" si="8"/>
        <v>AddPrizeListEx(5,'Z111',2000)</v>
      </c>
    </row>
    <row r="389" spans="1:5">
      <c r="A389">
        <v>5</v>
      </c>
      <c r="B389" t="s">
        <v>328</v>
      </c>
      <c r="C389">
        <v>100</v>
      </c>
      <c r="D389" s="2" t="e">
        <f>VLOOKUP(B389,装备!B:E,3,FALSE)</f>
        <v>#N/A</v>
      </c>
      <c r="E389" t="str">
        <f t="shared" si="8"/>
        <v>AddPrizeListEx(5,'Z112',100)</v>
      </c>
    </row>
    <row r="390" spans="1:5">
      <c r="A390">
        <v>5</v>
      </c>
      <c r="B390" t="s">
        <v>382</v>
      </c>
      <c r="C390">
        <v>2000</v>
      </c>
      <c r="D390" s="2" t="e">
        <f>VLOOKUP(B390,装备!B:E,3,FALSE)</f>
        <v>#N/A</v>
      </c>
      <c r="E390" t="str">
        <f t="shared" si="8"/>
        <v>AddPrizeListEx(5,'Z121',2000)</v>
      </c>
    </row>
    <row r="391" spans="1:5">
      <c r="A391">
        <v>5</v>
      </c>
      <c r="B391" t="s">
        <v>330</v>
      </c>
      <c r="C391">
        <v>100</v>
      </c>
      <c r="D391" s="2" t="e">
        <f>VLOOKUP(B391,装备!B:E,3,FALSE)</f>
        <v>#N/A</v>
      </c>
      <c r="E391" t="str">
        <f t="shared" si="8"/>
        <v>AddPrizeListEx(5,'Z122',100)</v>
      </c>
    </row>
    <row r="392" spans="1:5">
      <c r="A392">
        <v>5</v>
      </c>
      <c r="B392" t="s">
        <v>383</v>
      </c>
      <c r="C392">
        <v>2000</v>
      </c>
      <c r="D392" s="2" t="e">
        <f>VLOOKUP(B392,装备!B:E,3,FALSE)</f>
        <v>#N/A</v>
      </c>
      <c r="E392" t="str">
        <f t="shared" si="8"/>
        <v>AddPrizeListEx(5,'Z131',2000)</v>
      </c>
    </row>
    <row r="393" spans="1:5">
      <c r="A393">
        <v>5</v>
      </c>
      <c r="B393" t="s">
        <v>332</v>
      </c>
      <c r="C393">
        <v>100</v>
      </c>
      <c r="D393" s="2" t="e">
        <f>VLOOKUP(B393,装备!B:E,3,FALSE)</f>
        <v>#N/A</v>
      </c>
      <c r="E393" t="str">
        <f t="shared" si="8"/>
        <v>AddPrizeListEx(5,'Z132',100)</v>
      </c>
    </row>
    <row r="394" spans="1:5">
      <c r="A394">
        <v>5</v>
      </c>
      <c r="B394" t="s">
        <v>384</v>
      </c>
      <c r="C394">
        <v>2000</v>
      </c>
      <c r="D394" s="2" t="e">
        <f>VLOOKUP(B394,装备!B:E,3,FALSE)</f>
        <v>#N/A</v>
      </c>
      <c r="E394" t="str">
        <f t="shared" si="8"/>
        <v>AddPrizeListEx(5,'Z141',2000)</v>
      </c>
    </row>
    <row r="395" spans="1:5">
      <c r="A395">
        <v>5</v>
      </c>
      <c r="B395" t="s">
        <v>334</v>
      </c>
      <c r="C395">
        <v>100</v>
      </c>
      <c r="D395" s="2" t="e">
        <f>VLOOKUP(B395,装备!B:E,3,FALSE)</f>
        <v>#N/A</v>
      </c>
      <c r="E395" t="str">
        <f t="shared" si="8"/>
        <v>AddPrizeListEx(5,'Z142',100)</v>
      </c>
    </row>
    <row r="396" spans="1:5">
      <c r="A396">
        <v>5</v>
      </c>
      <c r="B396" t="s">
        <v>385</v>
      </c>
      <c r="C396">
        <v>2000</v>
      </c>
      <c r="D396" s="2" t="e">
        <f>VLOOKUP(B396,装备!B:E,3,FALSE)</f>
        <v>#N/A</v>
      </c>
      <c r="E396" t="str">
        <f t="shared" si="8"/>
        <v>AddPrizeListEx(5,'Z151',2000)</v>
      </c>
    </row>
    <row r="397" spans="1:5">
      <c r="A397">
        <v>5</v>
      </c>
      <c r="B397" t="s">
        <v>336</v>
      </c>
      <c r="C397">
        <v>100</v>
      </c>
      <c r="D397" s="2" t="e">
        <f>VLOOKUP(B397,装备!B:E,3,FALSE)</f>
        <v>#N/A</v>
      </c>
      <c r="E397" t="str">
        <f t="shared" si="8"/>
        <v>AddPrizeListEx(5,'Z152',100)</v>
      </c>
    </row>
    <row r="398" spans="1:5">
      <c r="A398">
        <v>5</v>
      </c>
      <c r="B398" t="s">
        <v>386</v>
      </c>
      <c r="C398">
        <v>2000</v>
      </c>
      <c r="D398" s="2" t="e">
        <f>VLOOKUP(B398,装备!B:E,3,FALSE)</f>
        <v>#N/A</v>
      </c>
      <c r="E398" t="str">
        <f t="shared" si="8"/>
        <v>AddPrizeListEx(5,'Z161',2000)</v>
      </c>
    </row>
    <row r="399" spans="1:5">
      <c r="A399">
        <v>5</v>
      </c>
      <c r="B399" t="s">
        <v>338</v>
      </c>
      <c r="C399">
        <v>100</v>
      </c>
      <c r="D399" s="2" t="e">
        <f>VLOOKUP(B399,装备!B:E,3,FALSE)</f>
        <v>#N/A</v>
      </c>
      <c r="E399" t="str">
        <f t="shared" si="8"/>
        <v>AddPrizeListEx(5,'Z162',100)</v>
      </c>
    </row>
    <row r="400" spans="1:5">
      <c r="A400">
        <v>5</v>
      </c>
      <c r="B400" t="s">
        <v>387</v>
      </c>
      <c r="C400">
        <v>2000</v>
      </c>
      <c r="D400" s="2" t="e">
        <f>VLOOKUP(B400,装备!B:E,3,FALSE)</f>
        <v>#N/A</v>
      </c>
      <c r="E400" t="str">
        <f t="shared" si="8"/>
        <v>AddPrizeListEx(5,'Z171',2000)</v>
      </c>
    </row>
    <row r="401" spans="1:5">
      <c r="A401">
        <v>5</v>
      </c>
      <c r="B401" t="s">
        <v>340</v>
      </c>
      <c r="C401">
        <v>100</v>
      </c>
      <c r="D401" s="2" t="e">
        <f>VLOOKUP(B401,装备!B:E,3,FALSE)</f>
        <v>#N/A</v>
      </c>
      <c r="E401" t="str">
        <f t="shared" si="8"/>
        <v>AddPrizeListEx(5,'Z172',100)</v>
      </c>
    </row>
    <row r="402" spans="1:5">
      <c r="A402">
        <v>5</v>
      </c>
      <c r="B402" t="s">
        <v>388</v>
      </c>
      <c r="C402">
        <v>2000</v>
      </c>
      <c r="D402" s="2" t="e">
        <f>VLOOKUP(B402,装备!B:E,3,FALSE)</f>
        <v>#N/A</v>
      </c>
      <c r="E402" t="str">
        <f t="shared" si="8"/>
        <v>AddPrizeListEx(5,'Z181',2000)</v>
      </c>
    </row>
    <row r="403" spans="1:5">
      <c r="A403">
        <v>5</v>
      </c>
      <c r="B403" t="s">
        <v>342</v>
      </c>
      <c r="C403">
        <v>100</v>
      </c>
      <c r="D403" s="2" t="e">
        <f>VLOOKUP(B403,装备!B:E,3,FALSE)</f>
        <v>#N/A</v>
      </c>
      <c r="E403" t="str">
        <f t="shared" si="8"/>
        <v>AddPrizeListEx(5,'Z182',100)</v>
      </c>
    </row>
    <row r="404" spans="1:5">
      <c r="A404">
        <v>5</v>
      </c>
      <c r="B404" t="s">
        <v>389</v>
      </c>
      <c r="C404">
        <v>2000</v>
      </c>
      <c r="D404" s="2" t="e">
        <f>VLOOKUP(B404,装备!B:E,3,FALSE)</f>
        <v>#N/A</v>
      </c>
      <c r="E404" t="str">
        <f t="shared" si="8"/>
        <v>AddPrizeListEx(5,'Z191',2000)</v>
      </c>
    </row>
    <row r="405" spans="1:5">
      <c r="A405">
        <v>5</v>
      </c>
      <c r="B405" t="s">
        <v>344</v>
      </c>
      <c r="C405">
        <v>100</v>
      </c>
      <c r="D405" s="2" t="e">
        <f>VLOOKUP(B405,装备!B:E,3,FALSE)</f>
        <v>#N/A</v>
      </c>
      <c r="E405" t="str">
        <f t="shared" si="8"/>
        <v>AddPrizeListEx(5,'Z192',100)</v>
      </c>
    </row>
    <row r="406" spans="1:5">
      <c r="A406">
        <v>5</v>
      </c>
      <c r="B406" t="s">
        <v>390</v>
      </c>
      <c r="C406">
        <v>2000</v>
      </c>
      <c r="D406" s="2" t="e">
        <f>VLOOKUP(B406,装备!B:E,3,FALSE)</f>
        <v>#N/A</v>
      </c>
      <c r="E406" t="str">
        <f t="shared" si="8"/>
        <v>AddPrizeListEx(5,'Z201',2000)</v>
      </c>
    </row>
    <row r="407" spans="1:5">
      <c r="A407">
        <v>5</v>
      </c>
      <c r="B407" t="s">
        <v>346</v>
      </c>
      <c r="C407">
        <v>100</v>
      </c>
      <c r="D407" s="2" t="e">
        <f>VLOOKUP(B407,装备!B:E,3,FALSE)</f>
        <v>#N/A</v>
      </c>
      <c r="E407" t="str">
        <f t="shared" si="8"/>
        <v>AddPrizeListEx(5,'Z202',100)</v>
      </c>
    </row>
    <row r="408" spans="1:5">
      <c r="A408">
        <v>5</v>
      </c>
      <c r="B408" t="s">
        <v>391</v>
      </c>
      <c r="C408">
        <v>2000</v>
      </c>
      <c r="D408" s="2" t="e">
        <f>VLOOKUP(B408,装备!B:E,3,FALSE)</f>
        <v>#N/A</v>
      </c>
      <c r="E408" t="str">
        <f t="shared" si="8"/>
        <v>AddPrizeListEx(5,'Z211',2000)</v>
      </c>
    </row>
    <row r="409" spans="1:5">
      <c r="A409">
        <v>5</v>
      </c>
      <c r="B409" t="s">
        <v>348</v>
      </c>
      <c r="C409">
        <v>100</v>
      </c>
      <c r="D409" s="2" t="e">
        <f>VLOOKUP(B409,装备!B:E,3,FALSE)</f>
        <v>#N/A</v>
      </c>
      <c r="E409" t="str">
        <f t="shared" si="8"/>
        <v>AddPrizeListEx(5,'Z212',100)</v>
      </c>
    </row>
    <row r="410" spans="1:5">
      <c r="A410">
        <v>5</v>
      </c>
      <c r="B410" t="s">
        <v>392</v>
      </c>
      <c r="C410">
        <v>2000</v>
      </c>
      <c r="D410" s="2" t="e">
        <f>VLOOKUP(B410,装备!B:E,3,FALSE)</f>
        <v>#N/A</v>
      </c>
      <c r="E410" t="str">
        <f t="shared" si="8"/>
        <v>AddPrizeListEx(5,'Z221',2000)</v>
      </c>
    </row>
    <row r="411" spans="1:5">
      <c r="A411">
        <v>5</v>
      </c>
      <c r="B411" t="s">
        <v>350</v>
      </c>
      <c r="C411">
        <v>100</v>
      </c>
      <c r="D411" s="2" t="e">
        <f>VLOOKUP(B411,装备!B:E,3,FALSE)</f>
        <v>#N/A</v>
      </c>
      <c r="E411" t="str">
        <f t="shared" ref="E411:E474" si="9">IF(B411&lt;&gt;"","AddPrizeListEx("&amp;A411&amp;",'"&amp;B411&amp;"',"&amp;C411&amp;")","")</f>
        <v>AddPrizeListEx(5,'Z222',100)</v>
      </c>
    </row>
    <row r="412" spans="1:5">
      <c r="A412">
        <v>5</v>
      </c>
      <c r="B412" t="s">
        <v>393</v>
      </c>
      <c r="C412">
        <v>2000</v>
      </c>
      <c r="D412" s="2" t="e">
        <f>VLOOKUP(B412,装备!B:E,3,FALSE)</f>
        <v>#N/A</v>
      </c>
      <c r="E412" t="str">
        <f t="shared" si="9"/>
        <v>AddPrizeListEx(5,'Z231',2000)</v>
      </c>
    </row>
    <row r="413" spans="1:5">
      <c r="A413">
        <v>5</v>
      </c>
      <c r="B413" t="s">
        <v>352</v>
      </c>
      <c r="C413">
        <v>100</v>
      </c>
      <c r="D413" s="2" t="e">
        <f>VLOOKUP(B413,装备!B:E,3,FALSE)</f>
        <v>#N/A</v>
      </c>
      <c r="E413" t="str">
        <f t="shared" si="9"/>
        <v>AddPrizeListEx(5,'Z232',100)</v>
      </c>
    </row>
    <row r="414" spans="1:5">
      <c r="A414">
        <v>5</v>
      </c>
      <c r="B414" t="s">
        <v>394</v>
      </c>
      <c r="C414">
        <v>2000</v>
      </c>
      <c r="D414" s="2" t="e">
        <f>VLOOKUP(B414,装备!B:E,3,FALSE)</f>
        <v>#N/A</v>
      </c>
      <c r="E414" t="str">
        <f t="shared" si="9"/>
        <v>AddPrizeListEx(5,'Z241',2000)</v>
      </c>
    </row>
    <row r="415" spans="1:5">
      <c r="A415">
        <v>5</v>
      </c>
      <c r="B415" t="s">
        <v>354</v>
      </c>
      <c r="C415">
        <v>100</v>
      </c>
      <c r="D415" s="2" t="e">
        <f>VLOOKUP(B415,装备!B:E,3,FALSE)</f>
        <v>#N/A</v>
      </c>
      <c r="E415" t="str">
        <f t="shared" si="9"/>
        <v>AddPrizeListEx(5,'Z242',100)</v>
      </c>
    </row>
    <row r="416" spans="1:5">
      <c r="A416">
        <v>5</v>
      </c>
      <c r="B416" t="s">
        <v>395</v>
      </c>
      <c r="C416">
        <v>2000</v>
      </c>
      <c r="D416" s="2" t="e">
        <f>VLOOKUP(B416,装备!B:E,3,FALSE)</f>
        <v>#N/A</v>
      </c>
      <c r="E416" t="str">
        <f t="shared" si="9"/>
        <v>AddPrizeListEx(5,'Z251',2000)</v>
      </c>
    </row>
    <row r="417" spans="1:5">
      <c r="A417">
        <v>5</v>
      </c>
      <c r="B417" t="s">
        <v>396</v>
      </c>
      <c r="C417">
        <v>100</v>
      </c>
      <c r="D417" s="2" t="e">
        <f>VLOOKUP(B417,装备!B:E,3,FALSE)</f>
        <v>#N/A</v>
      </c>
      <c r="E417" t="str">
        <f t="shared" si="9"/>
        <v>AddPrizeListEx(5,'Z261',100)</v>
      </c>
    </row>
    <row r="418" spans="1:5">
      <c r="A418">
        <v>5</v>
      </c>
      <c r="B418" t="s">
        <v>397</v>
      </c>
      <c r="C418">
        <v>2000</v>
      </c>
      <c r="D418" s="2" t="e">
        <f>VLOOKUP(B418,装备!B:E,3,FALSE)</f>
        <v>#N/A</v>
      </c>
      <c r="E418" t="str">
        <f t="shared" si="9"/>
        <v>AddPrizeListEx(5,'Z262',2000)</v>
      </c>
    </row>
    <row r="419" spans="1:5">
      <c r="A419">
        <v>5</v>
      </c>
      <c r="B419" t="s">
        <v>398</v>
      </c>
      <c r="C419">
        <v>100</v>
      </c>
      <c r="D419" s="2" t="e">
        <f>VLOOKUP(B419,装备!B:E,3,FALSE)</f>
        <v>#N/A</v>
      </c>
      <c r="E419" t="str">
        <f t="shared" si="9"/>
        <v>AddPrizeListEx(5,'Z271',100)</v>
      </c>
    </row>
    <row r="420" spans="1:5">
      <c r="A420">
        <v>5</v>
      </c>
      <c r="B420" t="s">
        <v>358</v>
      </c>
      <c r="C420">
        <v>2000</v>
      </c>
      <c r="D420" s="2" t="e">
        <f>VLOOKUP(B420,装备!B:E,3,FALSE)</f>
        <v>#N/A</v>
      </c>
      <c r="E420" t="str">
        <f t="shared" si="9"/>
        <v>AddPrizeListEx(5,'Z272',2000)</v>
      </c>
    </row>
    <row r="421" spans="1:5">
      <c r="A421">
        <v>5</v>
      </c>
      <c r="B421" t="s">
        <v>399</v>
      </c>
      <c r="C421">
        <v>100</v>
      </c>
      <c r="D421" s="2" t="e">
        <f>VLOOKUP(B421,装备!B:E,3,FALSE)</f>
        <v>#N/A</v>
      </c>
      <c r="E421" t="str">
        <f t="shared" si="9"/>
        <v>AddPrizeListEx(5,'Z281',100)</v>
      </c>
    </row>
    <row r="422" spans="1:5">
      <c r="A422">
        <v>5</v>
      </c>
      <c r="B422" t="s">
        <v>360</v>
      </c>
      <c r="C422">
        <v>2000</v>
      </c>
      <c r="D422" s="2" t="e">
        <f>VLOOKUP(B422,装备!B:E,3,FALSE)</f>
        <v>#N/A</v>
      </c>
      <c r="E422" t="str">
        <f t="shared" si="9"/>
        <v>AddPrizeListEx(5,'Z282',2000)</v>
      </c>
    </row>
    <row r="423" spans="1:5">
      <c r="A423">
        <v>5</v>
      </c>
      <c r="B423" t="s">
        <v>400</v>
      </c>
      <c r="C423">
        <v>100</v>
      </c>
      <c r="D423" s="2" t="e">
        <f>VLOOKUP(B423,装备!B:E,3,FALSE)</f>
        <v>#N/A</v>
      </c>
      <c r="E423" t="str">
        <f t="shared" si="9"/>
        <v>AddPrizeListEx(5,'Z291',100)</v>
      </c>
    </row>
    <row r="424" spans="1:5">
      <c r="A424">
        <v>5</v>
      </c>
      <c r="B424" t="s">
        <v>362</v>
      </c>
      <c r="C424">
        <v>2000</v>
      </c>
      <c r="D424" s="2" t="e">
        <f>VLOOKUP(B424,装备!B:E,3,FALSE)</f>
        <v>#N/A</v>
      </c>
      <c r="E424" t="str">
        <f t="shared" si="9"/>
        <v>AddPrizeListEx(5,'Z292',2000)</v>
      </c>
    </row>
    <row r="425" spans="1:5">
      <c r="A425">
        <v>5</v>
      </c>
      <c r="B425" t="s">
        <v>401</v>
      </c>
      <c r="C425">
        <v>100</v>
      </c>
      <c r="D425" s="2" t="e">
        <f>VLOOKUP(B425,装备!B:E,3,FALSE)</f>
        <v>#N/A</v>
      </c>
      <c r="E425" t="str">
        <f t="shared" si="9"/>
        <v>AddPrizeListEx(5,'Z301',100)</v>
      </c>
    </row>
    <row r="426" spans="1:5">
      <c r="A426">
        <v>5</v>
      </c>
      <c r="B426" t="s">
        <v>364</v>
      </c>
      <c r="C426">
        <v>2000</v>
      </c>
      <c r="D426" s="2" t="e">
        <f>VLOOKUP(B426,装备!B:E,3,FALSE)</f>
        <v>#N/A</v>
      </c>
      <c r="E426" t="str">
        <f t="shared" si="9"/>
        <v>AddPrizeListEx(5,'Z302',2000)</v>
      </c>
    </row>
    <row r="427" spans="1:5">
      <c r="A427">
        <v>5</v>
      </c>
      <c r="B427" t="s">
        <v>233</v>
      </c>
      <c r="C427">
        <v>1000</v>
      </c>
      <c r="D427" s="2" t="e">
        <f>VLOOKUP(B427,装备!B:E,3,FALSE)</f>
        <v>#N/A</v>
      </c>
      <c r="E427" t="str">
        <f t="shared" si="9"/>
        <v>AddPrizeListEx(5,'I101',1000)</v>
      </c>
    </row>
    <row r="428" spans="1:5">
      <c r="A428">
        <v>5</v>
      </c>
      <c r="B428" t="s">
        <v>234</v>
      </c>
      <c r="C428">
        <v>100</v>
      </c>
      <c r="D428" s="2" t="e">
        <f>VLOOKUP(B428,装备!B:E,3,FALSE)</f>
        <v>#N/A</v>
      </c>
      <c r="E428" t="str">
        <f t="shared" si="9"/>
        <v>AddPrizeListEx(5,'I102',100)</v>
      </c>
    </row>
    <row r="429" spans="1:5">
      <c r="A429">
        <v>5</v>
      </c>
      <c r="B429" t="s">
        <v>235</v>
      </c>
      <c r="C429">
        <v>10</v>
      </c>
      <c r="D429" s="2" t="e">
        <f>VLOOKUP(B429,装备!B:E,3,FALSE)</f>
        <v>#N/A</v>
      </c>
      <c r="E429" t="str">
        <f t="shared" si="9"/>
        <v>AddPrizeListEx(5,'I103',10)</v>
      </c>
    </row>
    <row r="430" spans="1:5">
      <c r="A430">
        <v>5</v>
      </c>
      <c r="B430" t="s">
        <v>236</v>
      </c>
      <c r="C430">
        <v>1</v>
      </c>
      <c r="D430" s="2" t="e">
        <f>VLOOKUP(B430,装备!B:E,3,FALSE)</f>
        <v>#N/A</v>
      </c>
      <c r="E430" t="str">
        <f t="shared" si="9"/>
        <v>AddPrizeListEx(5,'I104',1)</v>
      </c>
    </row>
    <row r="431" spans="1:5">
      <c r="A431">
        <v>5</v>
      </c>
      <c r="B431" t="s">
        <v>237</v>
      </c>
      <c r="C431">
        <v>100</v>
      </c>
      <c r="D431" s="2" t="e">
        <f>VLOOKUP(B431,装备!B:E,3,FALSE)</f>
        <v>#N/A</v>
      </c>
      <c r="E431" t="str">
        <f t="shared" si="9"/>
        <v>AddPrizeListEx(5,'I105',100)</v>
      </c>
    </row>
    <row r="432" spans="1:5">
      <c r="A432">
        <v>5</v>
      </c>
      <c r="B432" t="s">
        <v>238</v>
      </c>
      <c r="C432">
        <v>10</v>
      </c>
      <c r="D432" s="2" t="e">
        <f>VLOOKUP(B432,装备!B:E,3,FALSE)</f>
        <v>#N/A</v>
      </c>
      <c r="E432" t="str">
        <f t="shared" si="9"/>
        <v>AddPrizeListEx(5,'I106',10)</v>
      </c>
    </row>
    <row r="433" spans="1:5">
      <c r="A433">
        <v>5</v>
      </c>
      <c r="B433" t="s">
        <v>239</v>
      </c>
      <c r="C433">
        <v>1</v>
      </c>
      <c r="D433" s="2" t="e">
        <f>VLOOKUP(B433,装备!B:E,3,FALSE)</f>
        <v>#N/A</v>
      </c>
      <c r="E433" t="str">
        <f t="shared" si="9"/>
        <v>AddPrizeListEx(5,'I107',1)</v>
      </c>
    </row>
    <row r="434" spans="1:5">
      <c r="A434">
        <v>5</v>
      </c>
      <c r="B434" t="s">
        <v>240</v>
      </c>
      <c r="C434">
        <v>2000</v>
      </c>
      <c r="D434" s="2" t="e">
        <f>VLOOKUP(B434,装备!B:E,3,FALSE)</f>
        <v>#N/A</v>
      </c>
      <c r="E434" t="str">
        <f t="shared" si="9"/>
        <v>AddPrizeListEx(5,'I108',2000)</v>
      </c>
    </row>
    <row r="435" spans="1:5">
      <c r="A435">
        <v>5</v>
      </c>
      <c r="B435" t="s">
        <v>241</v>
      </c>
      <c r="C435">
        <v>500</v>
      </c>
      <c r="D435" s="2" t="e">
        <f>VLOOKUP(B435,装备!B:E,3,FALSE)</f>
        <v>#N/A</v>
      </c>
      <c r="E435" t="str">
        <f t="shared" si="9"/>
        <v>AddPrizeListEx(5,'I109',500)</v>
      </c>
    </row>
    <row r="436" spans="1:5">
      <c r="A436">
        <v>5</v>
      </c>
      <c r="B436" t="s">
        <v>242</v>
      </c>
      <c r="C436">
        <v>50</v>
      </c>
      <c r="D436" s="2" t="e">
        <f>VLOOKUP(B436,装备!B:E,3,FALSE)</f>
        <v>#N/A</v>
      </c>
      <c r="E436" t="str">
        <f t="shared" si="9"/>
        <v>AddPrizeListEx(5,'I110',50)</v>
      </c>
    </row>
    <row r="437" spans="1:5">
      <c r="A437">
        <v>5</v>
      </c>
      <c r="B437" t="s">
        <v>243</v>
      </c>
      <c r="C437">
        <v>5</v>
      </c>
      <c r="D437" s="2" t="e">
        <f>VLOOKUP(B437,装备!B:E,3,FALSE)</f>
        <v>#N/A</v>
      </c>
      <c r="E437" t="str">
        <f t="shared" si="9"/>
        <v>AddPrizeListEx(5,'I111',5)</v>
      </c>
    </row>
    <row r="438" spans="1:5">
      <c r="A438">
        <v>5</v>
      </c>
      <c r="B438" t="s">
        <v>244</v>
      </c>
      <c r="C438">
        <v>500</v>
      </c>
      <c r="D438" s="2" t="e">
        <f>VLOOKUP(B438,装备!B:E,3,FALSE)</f>
        <v>#N/A</v>
      </c>
      <c r="E438" t="str">
        <f t="shared" si="9"/>
        <v>AddPrizeListEx(5,'I112',500)</v>
      </c>
    </row>
    <row r="439" spans="1:5">
      <c r="A439">
        <v>5</v>
      </c>
      <c r="B439" t="s">
        <v>245</v>
      </c>
      <c r="C439">
        <v>50</v>
      </c>
      <c r="D439" s="2" t="e">
        <f>VLOOKUP(B439,装备!B:E,3,FALSE)</f>
        <v>#N/A</v>
      </c>
      <c r="E439" t="str">
        <f t="shared" si="9"/>
        <v>AddPrizeListEx(5,'I113',50)</v>
      </c>
    </row>
    <row r="440" spans="1:5">
      <c r="A440">
        <v>5</v>
      </c>
      <c r="B440" t="s">
        <v>246</v>
      </c>
      <c r="C440">
        <v>5</v>
      </c>
      <c r="D440" s="2" t="e">
        <f>VLOOKUP(B440,装备!B:E,3,FALSE)</f>
        <v>#N/A</v>
      </c>
      <c r="E440" t="str">
        <f t="shared" si="9"/>
        <v>AddPrizeListEx(5,'I114',5)</v>
      </c>
    </row>
    <row r="441" spans="1:5">
      <c r="A441">
        <v>5</v>
      </c>
      <c r="B441" t="s">
        <v>247</v>
      </c>
      <c r="C441">
        <v>500</v>
      </c>
      <c r="D441" s="2" t="e">
        <f>VLOOKUP(B441,装备!B:E,3,FALSE)</f>
        <v>#N/A</v>
      </c>
      <c r="E441" t="str">
        <f t="shared" si="9"/>
        <v>AddPrizeListEx(5,'I115',500)</v>
      </c>
    </row>
    <row r="442" spans="1:5">
      <c r="A442">
        <v>5</v>
      </c>
      <c r="B442" t="s">
        <v>248</v>
      </c>
      <c r="C442">
        <v>50</v>
      </c>
      <c r="D442" s="2" t="e">
        <f>VLOOKUP(B442,装备!B:E,3,FALSE)</f>
        <v>#N/A</v>
      </c>
      <c r="E442" t="str">
        <f t="shared" si="9"/>
        <v>AddPrizeListEx(5,'I116',50)</v>
      </c>
    </row>
    <row r="443" spans="1:5">
      <c r="A443">
        <v>5</v>
      </c>
      <c r="B443" t="s">
        <v>249</v>
      </c>
      <c r="C443">
        <v>5</v>
      </c>
      <c r="D443" s="2" t="e">
        <f>VLOOKUP(B443,装备!B:E,3,FALSE)</f>
        <v>#N/A</v>
      </c>
      <c r="E443" t="str">
        <f t="shared" si="9"/>
        <v>AddPrizeListEx(5,'I117',5)</v>
      </c>
    </row>
    <row r="444" spans="1:5">
      <c r="A444">
        <v>5</v>
      </c>
      <c r="B444" t="s">
        <v>250</v>
      </c>
      <c r="C444">
        <v>500</v>
      </c>
      <c r="D444" s="2" t="e">
        <f>VLOOKUP(B444,装备!B:E,3,FALSE)</f>
        <v>#N/A</v>
      </c>
      <c r="E444" t="str">
        <f t="shared" si="9"/>
        <v>AddPrizeListEx(5,'I118',500)</v>
      </c>
    </row>
    <row r="445" spans="1:5">
      <c r="A445">
        <v>5</v>
      </c>
      <c r="B445" t="s">
        <v>251</v>
      </c>
      <c r="C445">
        <v>50</v>
      </c>
      <c r="D445" s="2" t="e">
        <f>VLOOKUP(B445,装备!B:E,3,FALSE)</f>
        <v>#N/A</v>
      </c>
      <c r="E445" t="str">
        <f t="shared" si="9"/>
        <v>AddPrizeListEx(5,'I119',50)</v>
      </c>
    </row>
    <row r="446" spans="1:5">
      <c r="A446">
        <v>5</v>
      </c>
      <c r="B446" t="s">
        <v>252</v>
      </c>
      <c r="C446">
        <v>5</v>
      </c>
      <c r="D446" s="2" t="e">
        <f>VLOOKUP(B446,装备!B:E,3,FALSE)</f>
        <v>#N/A</v>
      </c>
      <c r="E446" t="str">
        <f t="shared" si="9"/>
        <v>AddPrizeListEx(5,'I120',5)</v>
      </c>
    </row>
    <row r="447" spans="1:5">
      <c r="A447">
        <v>5</v>
      </c>
      <c r="B447" t="s">
        <v>253</v>
      </c>
      <c r="C447">
        <v>500</v>
      </c>
      <c r="D447" s="2" t="e">
        <f>VLOOKUP(B447,装备!B:E,3,FALSE)</f>
        <v>#N/A</v>
      </c>
      <c r="E447" t="str">
        <f t="shared" si="9"/>
        <v>AddPrizeListEx(5,'I121',500)</v>
      </c>
    </row>
    <row r="448" spans="1:5">
      <c r="A448">
        <v>5</v>
      </c>
      <c r="B448" t="s">
        <v>254</v>
      </c>
      <c r="C448">
        <v>50</v>
      </c>
      <c r="D448" s="2" t="e">
        <f>VLOOKUP(B448,装备!B:E,3,FALSE)</f>
        <v>#N/A</v>
      </c>
      <c r="E448" t="str">
        <f t="shared" si="9"/>
        <v>AddPrizeListEx(5,'I122',50)</v>
      </c>
    </row>
    <row r="449" spans="1:5">
      <c r="A449">
        <v>5</v>
      </c>
      <c r="B449" t="s">
        <v>255</v>
      </c>
      <c r="C449">
        <v>5</v>
      </c>
      <c r="D449" s="2" t="e">
        <f>VLOOKUP(B449,装备!B:E,3,FALSE)</f>
        <v>#N/A</v>
      </c>
      <c r="E449" t="str">
        <f t="shared" si="9"/>
        <v>AddPrizeListEx(5,'I123',5)</v>
      </c>
    </row>
    <row r="450" spans="1:5">
      <c r="A450">
        <v>5</v>
      </c>
      <c r="B450" t="s">
        <v>256</v>
      </c>
      <c r="C450">
        <v>500</v>
      </c>
      <c r="D450" s="2" t="e">
        <f>VLOOKUP(B450,装备!B:E,3,FALSE)</f>
        <v>#N/A</v>
      </c>
      <c r="E450" t="str">
        <f t="shared" si="9"/>
        <v>AddPrizeListEx(5,'I124',500)</v>
      </c>
    </row>
    <row r="451" spans="1:5">
      <c r="A451">
        <v>5</v>
      </c>
      <c r="B451" t="s">
        <v>257</v>
      </c>
      <c r="C451">
        <v>50</v>
      </c>
      <c r="D451" s="2" t="e">
        <f>VLOOKUP(B451,装备!B:E,3,FALSE)</f>
        <v>#N/A</v>
      </c>
      <c r="E451" t="str">
        <f t="shared" si="9"/>
        <v>AddPrizeListEx(5,'I125',50)</v>
      </c>
    </row>
    <row r="452" spans="1:5">
      <c r="A452">
        <v>5</v>
      </c>
      <c r="B452" t="s">
        <v>258</v>
      </c>
      <c r="C452">
        <v>5</v>
      </c>
      <c r="D452" s="2" t="e">
        <f>VLOOKUP(B452,装备!B:E,3,FALSE)</f>
        <v>#N/A</v>
      </c>
      <c r="E452" t="str">
        <f t="shared" si="9"/>
        <v>AddPrizeListEx(5,'I126',5)</v>
      </c>
    </row>
    <row r="453" spans="1:5">
      <c r="A453">
        <v>5</v>
      </c>
      <c r="B453" t="s">
        <v>259</v>
      </c>
      <c r="C453">
        <v>500</v>
      </c>
      <c r="D453" s="2" t="e">
        <f>VLOOKUP(B453,装备!B:E,3,FALSE)</f>
        <v>#N/A</v>
      </c>
      <c r="E453" t="str">
        <f t="shared" si="9"/>
        <v>AddPrizeListEx(5,'I127',500)</v>
      </c>
    </row>
    <row r="454" spans="1:5">
      <c r="A454">
        <v>5</v>
      </c>
      <c r="B454" t="s">
        <v>260</v>
      </c>
      <c r="C454">
        <v>50</v>
      </c>
      <c r="D454" s="2" t="e">
        <f>VLOOKUP(B454,装备!B:E,3,FALSE)</f>
        <v>#N/A</v>
      </c>
      <c r="E454" t="str">
        <f t="shared" si="9"/>
        <v>AddPrizeListEx(5,'I128',50)</v>
      </c>
    </row>
    <row r="455" spans="1:5">
      <c r="A455">
        <v>5</v>
      </c>
      <c r="B455" t="s">
        <v>261</v>
      </c>
      <c r="C455">
        <v>5</v>
      </c>
      <c r="D455" s="2" t="e">
        <f>VLOOKUP(B455,装备!B:E,3,FALSE)</f>
        <v>#N/A</v>
      </c>
      <c r="E455" t="str">
        <f t="shared" si="9"/>
        <v>AddPrizeListEx(5,'I129',5)</v>
      </c>
    </row>
    <row r="456" spans="1:5">
      <c r="A456">
        <v>5</v>
      </c>
      <c r="B456" t="s">
        <v>262</v>
      </c>
      <c r="C456">
        <v>500</v>
      </c>
      <c r="D456" s="2" t="e">
        <f>VLOOKUP(B456,装备!B:E,3,FALSE)</f>
        <v>#N/A</v>
      </c>
      <c r="E456" t="str">
        <f t="shared" si="9"/>
        <v>AddPrizeListEx(5,'I130',500)</v>
      </c>
    </row>
    <row r="457" spans="1:5">
      <c r="A457">
        <v>5</v>
      </c>
      <c r="B457" t="s">
        <v>263</v>
      </c>
      <c r="C457">
        <v>50</v>
      </c>
      <c r="D457" s="2" t="e">
        <f>VLOOKUP(B457,装备!B:E,3,FALSE)</f>
        <v>#N/A</v>
      </c>
      <c r="E457" t="str">
        <f t="shared" si="9"/>
        <v>AddPrizeListEx(5,'I131',50)</v>
      </c>
    </row>
    <row r="458" spans="1:5">
      <c r="A458">
        <v>5</v>
      </c>
      <c r="B458" t="s">
        <v>264</v>
      </c>
      <c r="C458">
        <v>5</v>
      </c>
      <c r="D458" s="2" t="e">
        <f>VLOOKUP(B458,装备!B:E,3,FALSE)</f>
        <v>#N/A</v>
      </c>
      <c r="E458" t="str">
        <f t="shared" si="9"/>
        <v>AddPrizeListEx(5,'I132',5)</v>
      </c>
    </row>
    <row r="459" spans="1:5">
      <c r="A459">
        <v>5</v>
      </c>
      <c r="B459" t="s">
        <v>265</v>
      </c>
      <c r="C459">
        <v>300</v>
      </c>
      <c r="D459" s="2" t="e">
        <f>VLOOKUP(B459,装备!B:E,3,FALSE)</f>
        <v>#N/A</v>
      </c>
      <c r="E459" t="str">
        <f t="shared" si="9"/>
        <v>AddPrizeListEx(5,'I133',300)</v>
      </c>
    </row>
    <row r="460" spans="1:5">
      <c r="A460">
        <v>5</v>
      </c>
      <c r="B460" t="s">
        <v>266</v>
      </c>
      <c r="C460">
        <v>200</v>
      </c>
      <c r="D460" s="2" t="e">
        <f>VLOOKUP(B460,装备!B:E,3,FALSE)</f>
        <v>#N/A</v>
      </c>
      <c r="E460" t="str">
        <f t="shared" si="9"/>
        <v>AddPrizeListEx(5,'I134',200)</v>
      </c>
    </row>
    <row r="461" spans="1:5">
      <c r="A461">
        <v>5</v>
      </c>
      <c r="B461" t="s">
        <v>267</v>
      </c>
      <c r="C461">
        <v>100</v>
      </c>
      <c r="D461" s="2" t="e">
        <f>VLOOKUP(B461,装备!B:E,3,FALSE)</f>
        <v>#N/A</v>
      </c>
      <c r="E461" t="str">
        <f t="shared" si="9"/>
        <v>AddPrizeListEx(5,'I135',100)</v>
      </c>
    </row>
    <row r="462" spans="1:5">
      <c r="A462">
        <v>5</v>
      </c>
      <c r="B462" t="s">
        <v>268</v>
      </c>
      <c r="C462">
        <v>20</v>
      </c>
      <c r="D462" s="2" t="e">
        <f>VLOOKUP(B462,装备!B:E,3,FALSE)</f>
        <v>#N/A</v>
      </c>
      <c r="E462" t="str">
        <f t="shared" si="9"/>
        <v>AddPrizeListEx(5,'I136',20)</v>
      </c>
    </row>
    <row r="463" spans="1:5">
      <c r="A463">
        <v>5</v>
      </c>
      <c r="B463" t="s">
        <v>269</v>
      </c>
      <c r="C463">
        <v>20</v>
      </c>
      <c r="D463" s="2" t="e">
        <f>VLOOKUP(B463,装备!B:E,3,FALSE)</f>
        <v>#N/A</v>
      </c>
      <c r="E463" t="str">
        <f t="shared" si="9"/>
        <v>AddPrizeListEx(5,'I137',20)</v>
      </c>
    </row>
    <row r="464" spans="1:5">
      <c r="A464">
        <v>5</v>
      </c>
      <c r="B464" t="s">
        <v>270</v>
      </c>
      <c r="C464">
        <v>20</v>
      </c>
      <c r="D464" s="2" t="e">
        <f>VLOOKUP(B464,装备!B:E,3,FALSE)</f>
        <v>#N/A</v>
      </c>
      <c r="E464" t="str">
        <f t="shared" si="9"/>
        <v>AddPrizeListEx(5,'I138',20)</v>
      </c>
    </row>
    <row r="465" spans="1:5">
      <c r="A465">
        <v>5</v>
      </c>
      <c r="B465" t="s">
        <v>271</v>
      </c>
      <c r="C465">
        <v>20</v>
      </c>
      <c r="D465" s="2" t="e">
        <f>VLOOKUP(B465,装备!B:E,3,FALSE)</f>
        <v>#N/A</v>
      </c>
      <c r="E465" t="str">
        <f t="shared" si="9"/>
        <v>AddPrizeListEx(5,'I139',20)</v>
      </c>
    </row>
    <row r="466" spans="1:5">
      <c r="A466">
        <v>5</v>
      </c>
      <c r="B466" t="s">
        <v>272</v>
      </c>
      <c r="C466">
        <v>50</v>
      </c>
      <c r="D466" s="2" t="e">
        <f>VLOOKUP(B466,装备!B:E,3,FALSE)</f>
        <v>#N/A</v>
      </c>
      <c r="E466" t="str">
        <f t="shared" si="9"/>
        <v>AddPrizeListEx(5,'I140',50)</v>
      </c>
    </row>
    <row r="467" spans="1:5">
      <c r="A467">
        <v>5</v>
      </c>
      <c r="B467" t="s">
        <v>273</v>
      </c>
      <c r="C467">
        <v>5</v>
      </c>
      <c r="D467" s="2" t="e">
        <f>VLOOKUP(B467,装备!B:E,3,FALSE)</f>
        <v>#N/A</v>
      </c>
      <c r="E467" t="str">
        <f t="shared" si="9"/>
        <v>AddPrizeListEx(5,'I141',5)</v>
      </c>
    </row>
    <row r="468" spans="1:5">
      <c r="A468">
        <v>5</v>
      </c>
      <c r="B468" t="s">
        <v>274</v>
      </c>
      <c r="C468">
        <v>1</v>
      </c>
      <c r="D468" s="2" t="e">
        <f>VLOOKUP(B468,装备!B:E,3,FALSE)</f>
        <v>#N/A</v>
      </c>
      <c r="E468" t="str">
        <f t="shared" si="9"/>
        <v>AddPrizeListEx(5,'I142',1)</v>
      </c>
    </row>
    <row r="469" spans="1:5">
      <c r="A469">
        <v>5</v>
      </c>
      <c r="B469" t="s">
        <v>275</v>
      </c>
      <c r="C469">
        <v>300</v>
      </c>
      <c r="D469" s="2" t="e">
        <f>VLOOKUP(B469,装备!B:E,3,FALSE)</f>
        <v>#N/A</v>
      </c>
      <c r="E469" t="str">
        <f t="shared" si="9"/>
        <v>AddPrizeListEx(5,'I143',300)</v>
      </c>
    </row>
    <row r="470" spans="1:5">
      <c r="A470">
        <v>5</v>
      </c>
      <c r="B470" t="s">
        <v>276</v>
      </c>
      <c r="C470">
        <v>30</v>
      </c>
      <c r="D470" s="2" t="e">
        <f>VLOOKUP(B470,装备!B:E,3,FALSE)</f>
        <v>#N/A</v>
      </c>
      <c r="E470" t="str">
        <f t="shared" si="9"/>
        <v>AddPrizeListEx(5,'I144',30)</v>
      </c>
    </row>
    <row r="471" spans="1:5">
      <c r="A471">
        <v>5</v>
      </c>
      <c r="B471" t="s">
        <v>277</v>
      </c>
      <c r="C471">
        <v>3</v>
      </c>
      <c r="D471" s="2" t="e">
        <f>VLOOKUP(B471,装备!B:E,3,FALSE)</f>
        <v>#N/A</v>
      </c>
      <c r="E471" t="str">
        <f t="shared" si="9"/>
        <v>AddPrizeListEx(5,'I145',3)</v>
      </c>
    </row>
    <row r="472" spans="1:5">
      <c r="A472">
        <v>5</v>
      </c>
      <c r="B472" t="s">
        <v>278</v>
      </c>
      <c r="C472">
        <v>3500</v>
      </c>
      <c r="D472" s="2" t="e">
        <f>VLOOKUP(B472,装备!B:E,3,FALSE)</f>
        <v>#N/A</v>
      </c>
      <c r="E472" t="str">
        <f t="shared" si="9"/>
        <v>AddPrizeListEx(5,'I146',3500)</v>
      </c>
    </row>
    <row r="473" spans="1:5">
      <c r="A473">
        <v>5</v>
      </c>
      <c r="B473" t="s">
        <v>279</v>
      </c>
      <c r="C473">
        <v>350</v>
      </c>
      <c r="D473" s="2" t="e">
        <f>VLOOKUP(B473,装备!B:E,3,FALSE)</f>
        <v>#N/A</v>
      </c>
      <c r="E473" t="str">
        <f t="shared" si="9"/>
        <v>AddPrizeListEx(5,'I147',350)</v>
      </c>
    </row>
    <row r="474" spans="1:5">
      <c r="A474">
        <v>5</v>
      </c>
      <c r="B474" t="s">
        <v>280</v>
      </c>
      <c r="C474">
        <v>30</v>
      </c>
      <c r="D474" s="2" t="e">
        <f>VLOOKUP(B474,装备!B:E,3,FALSE)</f>
        <v>#N/A</v>
      </c>
      <c r="E474" t="str">
        <f t="shared" si="9"/>
        <v>AddPrizeListEx(5,'I148',30)</v>
      </c>
    </row>
    <row r="475" spans="1:5">
      <c r="A475">
        <v>6</v>
      </c>
      <c r="B475" t="s">
        <v>371</v>
      </c>
      <c r="C475">
        <v>2000</v>
      </c>
      <c r="D475" s="2" t="e">
        <f>VLOOKUP(B475,装备!B:E,3,FALSE)</f>
        <v>#N/A</v>
      </c>
      <c r="E475" t="str">
        <f t="shared" ref="E475:E538" si="10">IF(B475&lt;&gt;"","AddPrizeListEx("&amp;A475&amp;",'"&amp;B475&amp;"',"&amp;C475&amp;")","")</f>
        <v>AddPrizeListEx(6,'Z011',2000)</v>
      </c>
    </row>
    <row r="476" spans="1:5">
      <c r="A476">
        <v>6</v>
      </c>
      <c r="B476" t="s">
        <v>308</v>
      </c>
      <c r="C476">
        <v>350</v>
      </c>
      <c r="D476" s="2" t="e">
        <f>VLOOKUP(B476,装备!B:E,3,FALSE)</f>
        <v>#N/A</v>
      </c>
      <c r="E476" t="str">
        <f t="shared" si="10"/>
        <v>AddPrizeListEx(6,'Z012',350)</v>
      </c>
    </row>
    <row r="477" spans="1:5">
      <c r="A477">
        <v>6</v>
      </c>
      <c r="B477" t="s">
        <v>372</v>
      </c>
      <c r="C477">
        <v>2000</v>
      </c>
      <c r="D477" s="2" t="e">
        <f>VLOOKUP(B477,装备!B:E,3,FALSE)</f>
        <v>#N/A</v>
      </c>
      <c r="E477" t="str">
        <f t="shared" si="10"/>
        <v>AddPrizeListEx(6,'Z021',2000)</v>
      </c>
    </row>
    <row r="478" spans="1:5">
      <c r="A478">
        <v>6</v>
      </c>
      <c r="B478" t="s">
        <v>310</v>
      </c>
      <c r="C478">
        <v>350</v>
      </c>
      <c r="D478" s="2" t="e">
        <f>VLOOKUP(B478,装备!B:E,3,FALSE)</f>
        <v>#N/A</v>
      </c>
      <c r="E478" t="str">
        <f t="shared" si="10"/>
        <v>AddPrizeListEx(6,'Z022',350)</v>
      </c>
    </row>
    <row r="479" spans="1:5">
      <c r="A479">
        <v>6</v>
      </c>
      <c r="B479" t="s">
        <v>373</v>
      </c>
      <c r="C479">
        <v>2000</v>
      </c>
      <c r="D479" s="2" t="e">
        <f>VLOOKUP(B479,装备!B:E,3,FALSE)</f>
        <v>#N/A</v>
      </c>
      <c r="E479" t="str">
        <f t="shared" si="10"/>
        <v>AddPrizeListEx(6,'Z031',2000)</v>
      </c>
    </row>
    <row r="480" spans="1:5">
      <c r="A480">
        <v>6</v>
      </c>
      <c r="B480" t="s">
        <v>312</v>
      </c>
      <c r="C480">
        <v>350</v>
      </c>
      <c r="D480" s="2" t="e">
        <f>VLOOKUP(B480,装备!B:E,3,FALSE)</f>
        <v>#N/A</v>
      </c>
      <c r="E480" t="str">
        <f t="shared" si="10"/>
        <v>AddPrizeListEx(6,'Z032',350)</v>
      </c>
    </row>
    <row r="481" spans="1:5">
      <c r="A481">
        <v>6</v>
      </c>
      <c r="B481" t="s">
        <v>374</v>
      </c>
      <c r="C481">
        <v>2000</v>
      </c>
      <c r="D481" s="2" t="e">
        <f>VLOOKUP(B481,装备!B:E,3,FALSE)</f>
        <v>#N/A</v>
      </c>
      <c r="E481" t="str">
        <f t="shared" si="10"/>
        <v>AddPrizeListEx(6,'Z041',2000)</v>
      </c>
    </row>
    <row r="482" spans="1:5">
      <c r="A482">
        <v>6</v>
      </c>
      <c r="B482" t="s">
        <v>314</v>
      </c>
      <c r="C482">
        <v>2000</v>
      </c>
      <c r="D482" s="2" t="e">
        <f>VLOOKUP(B482,装备!B:E,3,FALSE)</f>
        <v>#N/A</v>
      </c>
      <c r="E482" t="str">
        <f t="shared" si="10"/>
        <v>AddPrizeListEx(6,'Z042',2000)</v>
      </c>
    </row>
    <row r="483" spans="1:5">
      <c r="A483">
        <v>6</v>
      </c>
      <c r="B483" t="s">
        <v>375</v>
      </c>
      <c r="C483">
        <v>350</v>
      </c>
      <c r="D483" s="2" t="e">
        <f>VLOOKUP(B483,装备!B:E,3,FALSE)</f>
        <v>#N/A</v>
      </c>
      <c r="E483" t="str">
        <f t="shared" si="10"/>
        <v>AddPrizeListEx(6,'Z051',350)</v>
      </c>
    </row>
    <row r="484" spans="1:5">
      <c r="A484">
        <v>6</v>
      </c>
      <c r="B484" t="s">
        <v>316</v>
      </c>
      <c r="C484">
        <v>2000</v>
      </c>
      <c r="D484" s="2" t="e">
        <f>VLOOKUP(B484,装备!B:E,3,FALSE)</f>
        <v>#N/A</v>
      </c>
      <c r="E484" t="str">
        <f t="shared" si="10"/>
        <v>AddPrizeListEx(6,'Z052',2000)</v>
      </c>
    </row>
    <row r="485" spans="1:5">
      <c r="A485">
        <v>6</v>
      </c>
      <c r="B485" t="s">
        <v>376</v>
      </c>
      <c r="C485">
        <v>350</v>
      </c>
      <c r="D485" s="2" t="e">
        <f>VLOOKUP(B485,装备!B:E,3,FALSE)</f>
        <v>#N/A</v>
      </c>
      <c r="E485" t="str">
        <f t="shared" si="10"/>
        <v>AddPrizeListEx(6,'Z061',350)</v>
      </c>
    </row>
    <row r="486" spans="1:5">
      <c r="A486">
        <v>6</v>
      </c>
      <c r="B486" t="s">
        <v>318</v>
      </c>
      <c r="C486">
        <v>2000</v>
      </c>
      <c r="D486" s="2" t="e">
        <f>VLOOKUP(B486,装备!B:E,3,FALSE)</f>
        <v>#N/A</v>
      </c>
      <c r="E486" t="str">
        <f t="shared" si="10"/>
        <v>AddPrizeListEx(6,'Z062',2000)</v>
      </c>
    </row>
    <row r="487" spans="1:5">
      <c r="A487">
        <v>6</v>
      </c>
      <c r="B487" t="s">
        <v>377</v>
      </c>
      <c r="C487">
        <v>350</v>
      </c>
      <c r="D487" s="2" t="e">
        <f>VLOOKUP(B487,装备!B:E,3,FALSE)</f>
        <v>#N/A</v>
      </c>
      <c r="E487" t="str">
        <f t="shared" si="10"/>
        <v>AddPrizeListEx(6,'Z071',350)</v>
      </c>
    </row>
    <row r="488" spans="1:5">
      <c r="A488">
        <v>6</v>
      </c>
      <c r="B488" t="s">
        <v>320</v>
      </c>
      <c r="C488">
        <v>2000</v>
      </c>
      <c r="D488" s="2" t="e">
        <f>VLOOKUP(B488,装备!B:E,3,FALSE)</f>
        <v>#N/A</v>
      </c>
      <c r="E488" t="str">
        <f t="shared" si="10"/>
        <v>AddPrizeListEx(6,'Z072',2000)</v>
      </c>
    </row>
    <row r="489" spans="1:5">
      <c r="A489">
        <v>6</v>
      </c>
      <c r="B489" t="s">
        <v>378</v>
      </c>
      <c r="C489">
        <v>2000</v>
      </c>
      <c r="D489" s="2" t="e">
        <f>VLOOKUP(B489,装备!B:E,3,FALSE)</f>
        <v>#N/A</v>
      </c>
      <c r="E489" t="str">
        <f t="shared" si="10"/>
        <v>AddPrizeListEx(6,'Z081',2000)</v>
      </c>
    </row>
    <row r="490" spans="1:5">
      <c r="A490">
        <v>6</v>
      </c>
      <c r="B490" t="s">
        <v>322</v>
      </c>
      <c r="C490">
        <v>350</v>
      </c>
      <c r="D490" s="2" t="e">
        <f>VLOOKUP(B490,装备!B:E,3,FALSE)</f>
        <v>#N/A</v>
      </c>
      <c r="E490" t="str">
        <f t="shared" si="10"/>
        <v>AddPrizeListEx(6,'Z082',350)</v>
      </c>
    </row>
    <row r="491" spans="1:5">
      <c r="A491">
        <v>6</v>
      </c>
      <c r="B491" t="s">
        <v>379</v>
      </c>
      <c r="C491">
        <v>2000</v>
      </c>
      <c r="D491" s="2" t="e">
        <f>VLOOKUP(B491,装备!B:E,3,FALSE)</f>
        <v>#N/A</v>
      </c>
      <c r="E491" t="str">
        <f t="shared" si="10"/>
        <v>AddPrizeListEx(6,'Z091',2000)</v>
      </c>
    </row>
    <row r="492" spans="1:5">
      <c r="A492">
        <v>6</v>
      </c>
      <c r="B492" t="s">
        <v>324</v>
      </c>
      <c r="C492">
        <v>350</v>
      </c>
      <c r="D492" s="2" t="e">
        <f>VLOOKUP(B492,装备!B:E,3,FALSE)</f>
        <v>#N/A</v>
      </c>
      <c r="E492" t="str">
        <f t="shared" si="10"/>
        <v>AddPrizeListEx(6,'Z092',350)</v>
      </c>
    </row>
    <row r="493" spans="1:5">
      <c r="A493">
        <v>6</v>
      </c>
      <c r="B493" t="s">
        <v>380</v>
      </c>
      <c r="C493">
        <v>2000</v>
      </c>
      <c r="D493" s="2" t="e">
        <f>VLOOKUP(B493,装备!B:E,3,FALSE)</f>
        <v>#N/A</v>
      </c>
      <c r="E493" t="str">
        <f t="shared" si="10"/>
        <v>AddPrizeListEx(6,'Z101',2000)</v>
      </c>
    </row>
    <row r="494" spans="1:5">
      <c r="A494">
        <v>6</v>
      </c>
      <c r="B494" t="s">
        <v>326</v>
      </c>
      <c r="C494">
        <v>350</v>
      </c>
      <c r="D494" s="2" t="e">
        <f>VLOOKUP(B494,装备!B:E,3,FALSE)</f>
        <v>#N/A</v>
      </c>
      <c r="E494" t="str">
        <f t="shared" si="10"/>
        <v>AddPrizeListEx(6,'Z102',350)</v>
      </c>
    </row>
    <row r="495" spans="1:5">
      <c r="A495">
        <v>6</v>
      </c>
      <c r="B495" t="s">
        <v>381</v>
      </c>
      <c r="C495">
        <v>2000</v>
      </c>
      <c r="D495" s="2" t="e">
        <f>VLOOKUP(B495,装备!B:E,3,FALSE)</f>
        <v>#N/A</v>
      </c>
      <c r="E495" t="str">
        <f t="shared" si="10"/>
        <v>AddPrizeListEx(6,'Z111',2000)</v>
      </c>
    </row>
    <row r="496" spans="1:5">
      <c r="A496">
        <v>6</v>
      </c>
      <c r="B496" t="s">
        <v>328</v>
      </c>
      <c r="C496">
        <v>350</v>
      </c>
      <c r="D496" s="2" t="e">
        <f>VLOOKUP(B496,装备!B:E,3,FALSE)</f>
        <v>#N/A</v>
      </c>
      <c r="E496" t="str">
        <f t="shared" si="10"/>
        <v>AddPrizeListEx(6,'Z112',350)</v>
      </c>
    </row>
    <row r="497" spans="1:5">
      <c r="A497">
        <v>6</v>
      </c>
      <c r="B497" t="s">
        <v>382</v>
      </c>
      <c r="C497">
        <v>2000</v>
      </c>
      <c r="D497" s="2" t="e">
        <f>VLOOKUP(B497,装备!B:E,3,FALSE)</f>
        <v>#N/A</v>
      </c>
      <c r="E497" t="str">
        <f t="shared" si="10"/>
        <v>AddPrizeListEx(6,'Z121',2000)</v>
      </c>
    </row>
    <row r="498" spans="1:5">
      <c r="A498">
        <v>6</v>
      </c>
      <c r="B498" t="s">
        <v>330</v>
      </c>
      <c r="C498">
        <v>350</v>
      </c>
      <c r="D498" s="2" t="e">
        <f>VLOOKUP(B498,装备!B:E,3,FALSE)</f>
        <v>#N/A</v>
      </c>
      <c r="E498" t="str">
        <f t="shared" si="10"/>
        <v>AddPrizeListEx(6,'Z122',350)</v>
      </c>
    </row>
    <row r="499" spans="1:5">
      <c r="A499">
        <v>6</v>
      </c>
      <c r="B499" t="s">
        <v>383</v>
      </c>
      <c r="C499">
        <v>2000</v>
      </c>
      <c r="D499" s="2" t="e">
        <f>VLOOKUP(B499,装备!B:E,3,FALSE)</f>
        <v>#N/A</v>
      </c>
      <c r="E499" t="str">
        <f t="shared" si="10"/>
        <v>AddPrizeListEx(6,'Z131',2000)</v>
      </c>
    </row>
    <row r="500" spans="1:5">
      <c r="A500">
        <v>6</v>
      </c>
      <c r="B500" t="s">
        <v>332</v>
      </c>
      <c r="C500">
        <v>350</v>
      </c>
      <c r="D500" s="2" t="e">
        <f>VLOOKUP(B500,装备!B:E,3,FALSE)</f>
        <v>#N/A</v>
      </c>
      <c r="E500" t="str">
        <f t="shared" si="10"/>
        <v>AddPrizeListEx(6,'Z132',350)</v>
      </c>
    </row>
    <row r="501" spans="1:5">
      <c r="A501">
        <v>6</v>
      </c>
      <c r="B501" t="s">
        <v>384</v>
      </c>
      <c r="C501">
        <v>2000</v>
      </c>
      <c r="D501" s="2" t="e">
        <f>VLOOKUP(B501,装备!B:E,3,FALSE)</f>
        <v>#N/A</v>
      </c>
      <c r="E501" t="str">
        <f t="shared" si="10"/>
        <v>AddPrizeListEx(6,'Z141',2000)</v>
      </c>
    </row>
    <row r="502" spans="1:5">
      <c r="A502">
        <v>6</v>
      </c>
      <c r="B502" t="s">
        <v>334</v>
      </c>
      <c r="C502">
        <v>2000</v>
      </c>
      <c r="D502" s="2" t="e">
        <f>VLOOKUP(B502,装备!B:E,3,FALSE)</f>
        <v>#N/A</v>
      </c>
      <c r="E502" t="str">
        <f t="shared" si="10"/>
        <v>AddPrizeListEx(6,'Z142',2000)</v>
      </c>
    </row>
    <row r="503" spans="1:5">
      <c r="A503">
        <v>6</v>
      </c>
      <c r="B503" t="s">
        <v>385</v>
      </c>
      <c r="C503">
        <v>350</v>
      </c>
      <c r="D503" s="2" t="e">
        <f>VLOOKUP(B503,装备!B:E,3,FALSE)</f>
        <v>#N/A</v>
      </c>
      <c r="E503" t="str">
        <f t="shared" si="10"/>
        <v>AddPrizeListEx(6,'Z151',350)</v>
      </c>
    </row>
    <row r="504" spans="1:5">
      <c r="A504">
        <v>6</v>
      </c>
      <c r="B504" t="s">
        <v>336</v>
      </c>
      <c r="C504">
        <v>2000</v>
      </c>
      <c r="D504" s="2" t="e">
        <f>VLOOKUP(B504,装备!B:E,3,FALSE)</f>
        <v>#N/A</v>
      </c>
      <c r="E504" t="str">
        <f t="shared" si="10"/>
        <v>AddPrizeListEx(6,'Z152',2000)</v>
      </c>
    </row>
    <row r="505" spans="1:5">
      <c r="A505">
        <v>6</v>
      </c>
      <c r="B505" t="s">
        <v>386</v>
      </c>
      <c r="C505">
        <v>350</v>
      </c>
      <c r="D505" s="2" t="e">
        <f>VLOOKUP(B505,装备!B:E,3,FALSE)</f>
        <v>#N/A</v>
      </c>
      <c r="E505" t="str">
        <f t="shared" si="10"/>
        <v>AddPrizeListEx(6,'Z161',350)</v>
      </c>
    </row>
    <row r="506" spans="1:5">
      <c r="A506">
        <v>6</v>
      </c>
      <c r="B506" t="s">
        <v>338</v>
      </c>
      <c r="C506">
        <v>2000</v>
      </c>
      <c r="D506" s="2" t="e">
        <f>VLOOKUP(B506,装备!B:E,3,FALSE)</f>
        <v>#N/A</v>
      </c>
      <c r="E506" t="str">
        <f t="shared" si="10"/>
        <v>AddPrizeListEx(6,'Z162',2000)</v>
      </c>
    </row>
    <row r="507" spans="1:5">
      <c r="A507">
        <v>6</v>
      </c>
      <c r="B507" t="s">
        <v>387</v>
      </c>
      <c r="C507">
        <v>350</v>
      </c>
      <c r="D507" s="2" t="e">
        <f>VLOOKUP(B507,装备!B:E,3,FALSE)</f>
        <v>#N/A</v>
      </c>
      <c r="E507" t="str">
        <f t="shared" si="10"/>
        <v>AddPrizeListEx(6,'Z171',350)</v>
      </c>
    </row>
    <row r="508" spans="1:5">
      <c r="A508">
        <v>6</v>
      </c>
      <c r="B508" t="s">
        <v>340</v>
      </c>
      <c r="C508">
        <v>2000</v>
      </c>
      <c r="D508" s="2" t="e">
        <f>VLOOKUP(B508,装备!B:E,3,FALSE)</f>
        <v>#N/A</v>
      </c>
      <c r="E508" t="str">
        <f t="shared" si="10"/>
        <v>AddPrizeListEx(6,'Z172',2000)</v>
      </c>
    </row>
    <row r="509" spans="1:5">
      <c r="A509">
        <v>6</v>
      </c>
      <c r="B509" t="s">
        <v>388</v>
      </c>
      <c r="C509">
        <v>2000</v>
      </c>
      <c r="D509" s="2" t="e">
        <f>VLOOKUP(B509,装备!B:E,3,FALSE)</f>
        <v>#N/A</v>
      </c>
      <c r="E509" t="str">
        <f t="shared" si="10"/>
        <v>AddPrizeListEx(6,'Z181',2000)</v>
      </c>
    </row>
    <row r="510" spans="1:5">
      <c r="A510">
        <v>6</v>
      </c>
      <c r="B510" t="s">
        <v>342</v>
      </c>
      <c r="C510">
        <v>350</v>
      </c>
      <c r="D510" s="2" t="e">
        <f>VLOOKUP(B510,装备!B:E,3,FALSE)</f>
        <v>#N/A</v>
      </c>
      <c r="E510" t="str">
        <f t="shared" si="10"/>
        <v>AddPrizeListEx(6,'Z182',350)</v>
      </c>
    </row>
    <row r="511" spans="1:5">
      <c r="A511">
        <v>6</v>
      </c>
      <c r="B511" t="s">
        <v>389</v>
      </c>
      <c r="C511">
        <v>2000</v>
      </c>
      <c r="D511" s="2" t="e">
        <f>VLOOKUP(B511,装备!B:E,3,FALSE)</f>
        <v>#N/A</v>
      </c>
      <c r="E511" t="str">
        <f t="shared" si="10"/>
        <v>AddPrizeListEx(6,'Z191',2000)</v>
      </c>
    </row>
    <row r="512" spans="1:5">
      <c r="A512">
        <v>6</v>
      </c>
      <c r="B512" t="s">
        <v>344</v>
      </c>
      <c r="C512">
        <v>350</v>
      </c>
      <c r="D512" s="2" t="e">
        <f>VLOOKUP(B512,装备!B:E,3,FALSE)</f>
        <v>#N/A</v>
      </c>
      <c r="E512" t="str">
        <f t="shared" si="10"/>
        <v>AddPrizeListEx(6,'Z192',350)</v>
      </c>
    </row>
    <row r="513" spans="1:5">
      <c r="A513">
        <v>6</v>
      </c>
      <c r="B513" t="s">
        <v>390</v>
      </c>
      <c r="C513">
        <v>2000</v>
      </c>
      <c r="D513" s="2" t="e">
        <f>VLOOKUP(B513,装备!B:E,3,FALSE)</f>
        <v>#N/A</v>
      </c>
      <c r="E513" t="str">
        <f t="shared" si="10"/>
        <v>AddPrizeListEx(6,'Z201',2000)</v>
      </c>
    </row>
    <row r="514" spans="1:5">
      <c r="A514">
        <v>6</v>
      </c>
      <c r="B514" t="s">
        <v>346</v>
      </c>
      <c r="C514">
        <v>350</v>
      </c>
      <c r="D514" s="2" t="e">
        <f>VLOOKUP(B514,装备!B:E,3,FALSE)</f>
        <v>#N/A</v>
      </c>
      <c r="E514" t="str">
        <f t="shared" si="10"/>
        <v>AddPrizeListEx(6,'Z202',350)</v>
      </c>
    </row>
    <row r="515" spans="1:5">
      <c r="A515">
        <v>6</v>
      </c>
      <c r="B515" t="s">
        <v>391</v>
      </c>
      <c r="C515">
        <v>2000</v>
      </c>
      <c r="D515" s="2" t="e">
        <f>VLOOKUP(B515,装备!B:E,3,FALSE)</f>
        <v>#N/A</v>
      </c>
      <c r="E515" t="str">
        <f t="shared" si="10"/>
        <v>AddPrizeListEx(6,'Z211',2000)</v>
      </c>
    </row>
    <row r="516" spans="1:5">
      <c r="A516">
        <v>6</v>
      </c>
      <c r="B516" t="s">
        <v>348</v>
      </c>
      <c r="C516">
        <v>350</v>
      </c>
      <c r="D516" s="2" t="e">
        <f>VLOOKUP(B516,装备!B:E,3,FALSE)</f>
        <v>#N/A</v>
      </c>
      <c r="E516" t="str">
        <f t="shared" si="10"/>
        <v>AddPrizeListEx(6,'Z212',350)</v>
      </c>
    </row>
    <row r="517" spans="1:5">
      <c r="A517">
        <v>6</v>
      </c>
      <c r="B517" t="s">
        <v>392</v>
      </c>
      <c r="C517">
        <v>2000</v>
      </c>
      <c r="D517" s="2" t="e">
        <f>VLOOKUP(B517,装备!B:E,3,FALSE)</f>
        <v>#N/A</v>
      </c>
      <c r="E517" t="str">
        <f t="shared" si="10"/>
        <v>AddPrizeListEx(6,'Z221',2000)</v>
      </c>
    </row>
    <row r="518" spans="1:5">
      <c r="A518">
        <v>6</v>
      </c>
      <c r="B518" t="s">
        <v>350</v>
      </c>
      <c r="C518">
        <v>350</v>
      </c>
      <c r="D518" s="2" t="e">
        <f>VLOOKUP(B518,装备!B:E,3,FALSE)</f>
        <v>#N/A</v>
      </c>
      <c r="E518" t="str">
        <f t="shared" si="10"/>
        <v>AddPrizeListEx(6,'Z222',350)</v>
      </c>
    </row>
    <row r="519" spans="1:5">
      <c r="A519">
        <v>6</v>
      </c>
      <c r="B519" t="s">
        <v>393</v>
      </c>
      <c r="C519">
        <v>2000</v>
      </c>
      <c r="D519" s="2" t="e">
        <f>VLOOKUP(B519,装备!B:E,3,FALSE)</f>
        <v>#N/A</v>
      </c>
      <c r="E519" t="str">
        <f t="shared" si="10"/>
        <v>AddPrizeListEx(6,'Z231',2000)</v>
      </c>
    </row>
    <row r="520" spans="1:5">
      <c r="A520">
        <v>6</v>
      </c>
      <c r="B520" t="s">
        <v>352</v>
      </c>
      <c r="C520">
        <v>350</v>
      </c>
      <c r="D520" s="2" t="e">
        <f>VLOOKUP(B520,装备!B:E,3,FALSE)</f>
        <v>#N/A</v>
      </c>
      <c r="E520" t="str">
        <f t="shared" si="10"/>
        <v>AddPrizeListEx(6,'Z232',350)</v>
      </c>
    </row>
    <row r="521" spans="1:5">
      <c r="A521">
        <v>6</v>
      </c>
      <c r="B521" t="s">
        <v>394</v>
      </c>
      <c r="C521">
        <v>2000</v>
      </c>
      <c r="D521" s="2" t="e">
        <f>VLOOKUP(B521,装备!B:E,3,FALSE)</f>
        <v>#N/A</v>
      </c>
      <c r="E521" t="str">
        <f t="shared" si="10"/>
        <v>AddPrizeListEx(6,'Z241',2000)</v>
      </c>
    </row>
    <row r="522" spans="1:5">
      <c r="A522">
        <v>6</v>
      </c>
      <c r="B522" t="s">
        <v>354</v>
      </c>
      <c r="C522">
        <v>2000</v>
      </c>
      <c r="D522" s="2" t="e">
        <f>VLOOKUP(B522,装备!B:E,3,FALSE)</f>
        <v>#N/A</v>
      </c>
      <c r="E522" t="str">
        <f t="shared" si="10"/>
        <v>AddPrizeListEx(6,'Z242',2000)</v>
      </c>
    </row>
    <row r="523" spans="1:5">
      <c r="A523">
        <v>6</v>
      </c>
      <c r="B523" t="s">
        <v>395</v>
      </c>
      <c r="C523">
        <v>350</v>
      </c>
      <c r="D523" s="2" t="e">
        <f>VLOOKUP(B523,装备!B:E,3,FALSE)</f>
        <v>#N/A</v>
      </c>
      <c r="E523" t="str">
        <f t="shared" si="10"/>
        <v>AddPrizeListEx(6,'Z251',350)</v>
      </c>
    </row>
    <row r="524" spans="1:5">
      <c r="A524">
        <v>6</v>
      </c>
      <c r="B524" t="s">
        <v>396</v>
      </c>
      <c r="C524">
        <v>2000</v>
      </c>
      <c r="D524" s="2" t="e">
        <f>VLOOKUP(B524,装备!B:E,3,FALSE)</f>
        <v>#N/A</v>
      </c>
      <c r="E524" t="str">
        <f t="shared" si="10"/>
        <v>AddPrizeListEx(6,'Z261',2000)</v>
      </c>
    </row>
    <row r="525" spans="1:5">
      <c r="A525">
        <v>6</v>
      </c>
      <c r="B525" t="s">
        <v>397</v>
      </c>
      <c r="C525">
        <v>350</v>
      </c>
      <c r="D525" s="2" t="e">
        <f>VLOOKUP(B525,装备!B:E,3,FALSE)</f>
        <v>#N/A</v>
      </c>
      <c r="E525" t="str">
        <f t="shared" si="10"/>
        <v>AddPrizeListEx(6,'Z262',350)</v>
      </c>
    </row>
    <row r="526" spans="1:5">
      <c r="A526">
        <v>6</v>
      </c>
      <c r="B526" t="s">
        <v>398</v>
      </c>
      <c r="C526">
        <v>2000</v>
      </c>
      <c r="D526" s="2" t="e">
        <f>VLOOKUP(B526,装备!B:E,3,FALSE)</f>
        <v>#N/A</v>
      </c>
      <c r="E526" t="str">
        <f t="shared" si="10"/>
        <v>AddPrizeListEx(6,'Z271',2000)</v>
      </c>
    </row>
    <row r="527" spans="1:5">
      <c r="A527">
        <v>6</v>
      </c>
      <c r="B527" t="s">
        <v>358</v>
      </c>
      <c r="C527">
        <v>350</v>
      </c>
      <c r="D527" s="2" t="e">
        <f>VLOOKUP(B527,装备!B:E,3,FALSE)</f>
        <v>#N/A</v>
      </c>
      <c r="E527" t="str">
        <f t="shared" si="10"/>
        <v>AddPrizeListEx(6,'Z272',350)</v>
      </c>
    </row>
    <row r="528" spans="1:5">
      <c r="A528">
        <v>6</v>
      </c>
      <c r="B528" t="s">
        <v>399</v>
      </c>
      <c r="C528">
        <v>2000</v>
      </c>
      <c r="D528" s="2" t="e">
        <f>VLOOKUP(B528,装备!B:E,3,FALSE)</f>
        <v>#N/A</v>
      </c>
      <c r="E528" t="str">
        <f t="shared" si="10"/>
        <v>AddPrizeListEx(6,'Z281',2000)</v>
      </c>
    </row>
    <row r="529" spans="1:5">
      <c r="A529">
        <v>6</v>
      </c>
      <c r="B529" t="s">
        <v>360</v>
      </c>
      <c r="C529">
        <v>2000</v>
      </c>
      <c r="D529" s="2" t="e">
        <f>VLOOKUP(B529,装备!B:E,3,FALSE)</f>
        <v>#N/A</v>
      </c>
      <c r="E529" t="str">
        <f t="shared" si="10"/>
        <v>AddPrizeListEx(6,'Z282',2000)</v>
      </c>
    </row>
    <row r="530" spans="1:5">
      <c r="A530">
        <v>6</v>
      </c>
      <c r="B530" t="s">
        <v>400</v>
      </c>
      <c r="C530">
        <v>350</v>
      </c>
      <c r="D530" s="2" t="e">
        <f>VLOOKUP(B530,装备!B:E,3,FALSE)</f>
        <v>#N/A</v>
      </c>
      <c r="E530" t="str">
        <f t="shared" si="10"/>
        <v>AddPrizeListEx(6,'Z291',350)</v>
      </c>
    </row>
    <row r="531" spans="1:5">
      <c r="A531">
        <v>6</v>
      </c>
      <c r="B531" t="s">
        <v>362</v>
      </c>
      <c r="C531">
        <v>2000</v>
      </c>
      <c r="D531" s="2" t="e">
        <f>VLOOKUP(B531,装备!B:E,3,FALSE)</f>
        <v>#N/A</v>
      </c>
      <c r="E531" t="str">
        <f t="shared" si="10"/>
        <v>AddPrizeListEx(6,'Z292',2000)</v>
      </c>
    </row>
    <row r="532" spans="1:5">
      <c r="A532">
        <v>6</v>
      </c>
      <c r="B532" t="s">
        <v>401</v>
      </c>
      <c r="C532">
        <v>350</v>
      </c>
      <c r="D532" s="2" t="e">
        <f>VLOOKUP(B532,装备!B:E,3,FALSE)</f>
        <v>#N/A</v>
      </c>
      <c r="E532" t="str">
        <f t="shared" si="10"/>
        <v>AddPrizeListEx(6,'Z301',350)</v>
      </c>
    </row>
    <row r="533" spans="1:5">
      <c r="A533">
        <v>6</v>
      </c>
      <c r="B533" t="s">
        <v>364</v>
      </c>
      <c r="C533">
        <v>2000</v>
      </c>
      <c r="D533" s="2" t="e">
        <f>VLOOKUP(B533,装备!B:E,3,FALSE)</f>
        <v>#N/A</v>
      </c>
      <c r="E533" t="str">
        <f t="shared" si="10"/>
        <v>AddPrizeListEx(6,'Z302',2000)</v>
      </c>
    </row>
    <row r="534" spans="1:5">
      <c r="A534">
        <v>6</v>
      </c>
      <c r="B534" t="s">
        <v>309</v>
      </c>
      <c r="C534">
        <v>50</v>
      </c>
      <c r="D534" s="2" t="e">
        <f>VLOOKUP(B534,装备!B:E,3,FALSE)</f>
        <v>#N/A</v>
      </c>
      <c r="E534" t="str">
        <f t="shared" si="10"/>
        <v>AddPrizeListEx(6,'Z013',50)</v>
      </c>
    </row>
    <row r="535" spans="1:5">
      <c r="A535">
        <v>6</v>
      </c>
      <c r="B535" t="s">
        <v>311</v>
      </c>
      <c r="C535">
        <v>50</v>
      </c>
      <c r="D535" s="2" t="e">
        <f>VLOOKUP(B535,装备!B:E,3,FALSE)</f>
        <v>#N/A</v>
      </c>
      <c r="E535" t="str">
        <f t="shared" si="10"/>
        <v>AddPrizeListEx(6,'Z023',50)</v>
      </c>
    </row>
    <row r="536" spans="1:5">
      <c r="A536">
        <v>6</v>
      </c>
      <c r="B536" t="s">
        <v>313</v>
      </c>
      <c r="C536">
        <v>50</v>
      </c>
      <c r="D536" s="2" t="e">
        <f>VLOOKUP(B536,装备!B:E,3,FALSE)</f>
        <v>#N/A</v>
      </c>
      <c r="E536" t="str">
        <f t="shared" si="10"/>
        <v>AddPrizeListEx(6,'Z033',50)</v>
      </c>
    </row>
    <row r="537" spans="1:5">
      <c r="A537">
        <v>6</v>
      </c>
      <c r="B537" t="s">
        <v>315</v>
      </c>
      <c r="C537">
        <v>50</v>
      </c>
      <c r="D537" s="2" t="e">
        <f>VLOOKUP(B537,装备!B:E,3,FALSE)</f>
        <v>#N/A</v>
      </c>
      <c r="E537" t="str">
        <f t="shared" si="10"/>
        <v>AddPrizeListEx(6,'Z043',50)</v>
      </c>
    </row>
    <row r="538" spans="1:5">
      <c r="A538">
        <v>6</v>
      </c>
      <c r="B538" t="s">
        <v>317</v>
      </c>
      <c r="C538">
        <v>50</v>
      </c>
      <c r="D538" s="2" t="e">
        <f>VLOOKUP(B538,装备!B:E,3,FALSE)</f>
        <v>#N/A</v>
      </c>
      <c r="E538" t="str">
        <f t="shared" si="10"/>
        <v>AddPrizeListEx(6,'Z053',50)</v>
      </c>
    </row>
    <row r="539" spans="1:5">
      <c r="A539">
        <v>6</v>
      </c>
      <c r="B539" t="s">
        <v>319</v>
      </c>
      <c r="C539">
        <v>50</v>
      </c>
      <c r="D539" s="2" t="e">
        <f>VLOOKUP(B539,装备!B:E,3,FALSE)</f>
        <v>#N/A</v>
      </c>
      <c r="E539" t="str">
        <f t="shared" ref="E539:E596" si="11">IF(B539&lt;&gt;"","AddPrizeListEx("&amp;A539&amp;",'"&amp;B539&amp;"',"&amp;C539&amp;")","")</f>
        <v>AddPrizeListEx(6,'Z063',50)</v>
      </c>
    </row>
    <row r="540" spans="1:5">
      <c r="A540">
        <v>6</v>
      </c>
      <c r="B540" t="s">
        <v>321</v>
      </c>
      <c r="C540">
        <v>50</v>
      </c>
      <c r="D540" s="2" t="e">
        <f>VLOOKUP(B540,装备!B:E,3,FALSE)</f>
        <v>#N/A</v>
      </c>
      <c r="E540" t="str">
        <f t="shared" si="11"/>
        <v>AddPrizeListEx(6,'Z073',50)</v>
      </c>
    </row>
    <row r="541" spans="1:5">
      <c r="A541">
        <v>6</v>
      </c>
      <c r="B541" t="s">
        <v>323</v>
      </c>
      <c r="C541">
        <v>50</v>
      </c>
      <c r="D541" s="2" t="e">
        <f>VLOOKUP(B541,装备!B:E,3,FALSE)</f>
        <v>#N/A</v>
      </c>
      <c r="E541" t="str">
        <f t="shared" si="11"/>
        <v>AddPrizeListEx(6,'Z083',50)</v>
      </c>
    </row>
    <row r="542" spans="1:5">
      <c r="A542">
        <v>6</v>
      </c>
      <c r="B542" t="s">
        <v>325</v>
      </c>
      <c r="C542">
        <v>50</v>
      </c>
      <c r="D542" s="2" t="e">
        <f>VLOOKUP(B542,装备!B:E,3,FALSE)</f>
        <v>#N/A</v>
      </c>
      <c r="E542" t="str">
        <f t="shared" si="11"/>
        <v>AddPrizeListEx(6,'Z093',50)</v>
      </c>
    </row>
    <row r="543" spans="1:5">
      <c r="A543">
        <v>6</v>
      </c>
      <c r="B543" t="s">
        <v>327</v>
      </c>
      <c r="C543">
        <v>50</v>
      </c>
      <c r="D543" s="2" t="e">
        <f>VLOOKUP(B543,装备!B:E,3,FALSE)</f>
        <v>#N/A</v>
      </c>
      <c r="E543" t="str">
        <f t="shared" si="11"/>
        <v>AddPrizeListEx(6,'Z103',50)</v>
      </c>
    </row>
    <row r="544" spans="1:5">
      <c r="A544">
        <v>6</v>
      </c>
      <c r="B544" t="s">
        <v>329</v>
      </c>
      <c r="C544">
        <v>50</v>
      </c>
      <c r="D544" s="2" t="e">
        <f>VLOOKUP(B544,装备!B:E,3,FALSE)</f>
        <v>#N/A</v>
      </c>
      <c r="E544" t="str">
        <f t="shared" si="11"/>
        <v>AddPrizeListEx(6,'Z113',50)</v>
      </c>
    </row>
    <row r="545" spans="1:5">
      <c r="A545">
        <v>6</v>
      </c>
      <c r="B545" t="s">
        <v>331</v>
      </c>
      <c r="C545">
        <v>50</v>
      </c>
      <c r="D545" s="2" t="e">
        <f>VLOOKUP(B545,装备!B:E,3,FALSE)</f>
        <v>#N/A</v>
      </c>
      <c r="E545" t="str">
        <f t="shared" si="11"/>
        <v>AddPrizeListEx(6,'Z123',50)</v>
      </c>
    </row>
    <row r="546" spans="1:5">
      <c r="A546">
        <v>6</v>
      </c>
      <c r="B546" t="s">
        <v>333</v>
      </c>
      <c r="C546">
        <v>50</v>
      </c>
      <c r="D546" s="2" t="e">
        <f>VLOOKUP(B546,装备!B:E,3,FALSE)</f>
        <v>#N/A</v>
      </c>
      <c r="E546" t="str">
        <f t="shared" si="11"/>
        <v>AddPrizeListEx(6,'Z133',50)</v>
      </c>
    </row>
    <row r="547" spans="1:5">
      <c r="A547">
        <v>6</v>
      </c>
      <c r="B547" t="s">
        <v>335</v>
      </c>
      <c r="C547">
        <v>50</v>
      </c>
      <c r="D547" s="2" t="e">
        <f>VLOOKUP(B547,装备!B:E,3,FALSE)</f>
        <v>#N/A</v>
      </c>
      <c r="E547" t="str">
        <f t="shared" si="11"/>
        <v>AddPrizeListEx(6,'Z143',50)</v>
      </c>
    </row>
    <row r="548" spans="1:5">
      <c r="A548">
        <v>6</v>
      </c>
      <c r="B548" t="s">
        <v>337</v>
      </c>
      <c r="C548">
        <v>50</v>
      </c>
      <c r="D548" s="2" t="e">
        <f>VLOOKUP(B548,装备!B:E,3,FALSE)</f>
        <v>#N/A</v>
      </c>
      <c r="E548" t="str">
        <f t="shared" si="11"/>
        <v>AddPrizeListEx(6,'Z153',50)</v>
      </c>
    </row>
    <row r="549" spans="1:5">
      <c r="A549">
        <v>6</v>
      </c>
      <c r="B549" t="s">
        <v>339</v>
      </c>
      <c r="C549">
        <v>50</v>
      </c>
      <c r="D549" s="2" t="e">
        <f>VLOOKUP(B549,装备!B:E,3,FALSE)</f>
        <v>#N/A</v>
      </c>
      <c r="E549" t="str">
        <f t="shared" si="11"/>
        <v>AddPrizeListEx(6,'Z163',50)</v>
      </c>
    </row>
    <row r="550" spans="1:5">
      <c r="A550">
        <v>6</v>
      </c>
      <c r="B550" t="s">
        <v>341</v>
      </c>
      <c r="C550">
        <v>50</v>
      </c>
      <c r="D550" s="2" t="e">
        <f>VLOOKUP(B550,装备!B:E,3,FALSE)</f>
        <v>#N/A</v>
      </c>
      <c r="E550" t="str">
        <f t="shared" si="11"/>
        <v>AddPrizeListEx(6,'Z173',50)</v>
      </c>
    </row>
    <row r="551" spans="1:5">
      <c r="A551">
        <v>6</v>
      </c>
      <c r="B551" t="s">
        <v>343</v>
      </c>
      <c r="C551">
        <v>50</v>
      </c>
      <c r="D551" s="2" t="e">
        <f>VLOOKUP(B551,装备!B:E,3,FALSE)</f>
        <v>#N/A</v>
      </c>
      <c r="E551" t="str">
        <f t="shared" si="11"/>
        <v>AddPrizeListEx(6,'Z183',50)</v>
      </c>
    </row>
    <row r="552" spans="1:5">
      <c r="A552">
        <v>6</v>
      </c>
      <c r="B552" t="s">
        <v>345</v>
      </c>
      <c r="C552">
        <v>50</v>
      </c>
      <c r="D552" s="2" t="e">
        <f>VLOOKUP(B552,装备!B:E,3,FALSE)</f>
        <v>#N/A</v>
      </c>
      <c r="E552" t="str">
        <f t="shared" si="11"/>
        <v>AddPrizeListEx(6,'Z193',50)</v>
      </c>
    </row>
    <row r="553" spans="1:5">
      <c r="A553">
        <v>6</v>
      </c>
      <c r="B553" t="s">
        <v>347</v>
      </c>
      <c r="C553">
        <v>50</v>
      </c>
      <c r="D553" s="2" t="e">
        <f>VLOOKUP(B553,装备!B:E,3,FALSE)</f>
        <v>#N/A</v>
      </c>
      <c r="E553" t="str">
        <f t="shared" si="11"/>
        <v>AddPrizeListEx(6,'Z203',50)</v>
      </c>
    </row>
    <row r="554" spans="1:5">
      <c r="A554">
        <v>6</v>
      </c>
      <c r="B554" t="s">
        <v>349</v>
      </c>
      <c r="C554">
        <v>50</v>
      </c>
      <c r="D554" s="2" t="e">
        <f>VLOOKUP(B554,装备!B:E,3,FALSE)</f>
        <v>#N/A</v>
      </c>
      <c r="E554" t="str">
        <f t="shared" si="11"/>
        <v>AddPrizeListEx(6,'Z213',50)</v>
      </c>
    </row>
    <row r="555" spans="1:5">
      <c r="A555">
        <v>6</v>
      </c>
      <c r="B555" t="s">
        <v>351</v>
      </c>
      <c r="C555">
        <v>50</v>
      </c>
      <c r="D555" s="2" t="e">
        <f>VLOOKUP(B555,装备!B:E,3,FALSE)</f>
        <v>#N/A</v>
      </c>
      <c r="E555" t="str">
        <f t="shared" si="11"/>
        <v>AddPrizeListEx(6,'Z223',50)</v>
      </c>
    </row>
    <row r="556" spans="1:5">
      <c r="A556">
        <v>6</v>
      </c>
      <c r="B556" t="s">
        <v>353</v>
      </c>
      <c r="C556">
        <v>50</v>
      </c>
      <c r="D556" s="2" t="e">
        <f>VLOOKUP(B556,装备!B:E,3,FALSE)</f>
        <v>#N/A</v>
      </c>
      <c r="E556" t="str">
        <f t="shared" si="11"/>
        <v>AddPrizeListEx(6,'Z233',50)</v>
      </c>
    </row>
    <row r="557" spans="1:5">
      <c r="A557">
        <v>6</v>
      </c>
      <c r="B557" t="s">
        <v>355</v>
      </c>
      <c r="C557">
        <v>50</v>
      </c>
      <c r="D557" s="2" t="e">
        <f>VLOOKUP(B557,装备!B:E,3,FALSE)</f>
        <v>#N/A</v>
      </c>
      <c r="E557" t="str">
        <f t="shared" si="11"/>
        <v>AddPrizeListEx(6,'Z243',50)</v>
      </c>
    </row>
    <row r="558" spans="1:5">
      <c r="A558">
        <v>6</v>
      </c>
      <c r="B558" t="s">
        <v>356</v>
      </c>
      <c r="C558">
        <v>50</v>
      </c>
      <c r="D558" s="2" t="e">
        <f>VLOOKUP(B558,装备!B:E,3,FALSE)</f>
        <v>#N/A</v>
      </c>
      <c r="E558" t="str">
        <f t="shared" si="11"/>
        <v>AddPrizeListEx(6,'Z253',50)</v>
      </c>
    </row>
    <row r="559" spans="1:5">
      <c r="A559">
        <v>6</v>
      </c>
      <c r="B559" t="s">
        <v>402</v>
      </c>
      <c r="C559">
        <v>50</v>
      </c>
      <c r="D559" s="2" t="e">
        <f>VLOOKUP(B559,装备!B:E,3,FALSE)</f>
        <v>#N/A</v>
      </c>
      <c r="E559" t="str">
        <f t="shared" si="11"/>
        <v>AddPrizeListEx(6,'Z263',50)</v>
      </c>
    </row>
    <row r="560" spans="1:5">
      <c r="A560">
        <v>6</v>
      </c>
      <c r="B560" t="s">
        <v>359</v>
      </c>
      <c r="C560">
        <v>50</v>
      </c>
      <c r="D560" s="2" t="e">
        <f>VLOOKUP(B560,装备!B:E,3,FALSE)</f>
        <v>#N/A</v>
      </c>
      <c r="E560" t="str">
        <f t="shared" si="11"/>
        <v>AddPrizeListEx(6,'Z273',50)</v>
      </c>
    </row>
    <row r="561" spans="1:5">
      <c r="A561">
        <v>6</v>
      </c>
      <c r="B561" t="s">
        <v>361</v>
      </c>
      <c r="C561">
        <v>50</v>
      </c>
      <c r="D561" s="2" t="e">
        <f>VLOOKUP(B561,装备!B:E,3,FALSE)</f>
        <v>#N/A</v>
      </c>
      <c r="E561" t="str">
        <f t="shared" si="11"/>
        <v>AddPrizeListEx(6,'Z283',50)</v>
      </c>
    </row>
    <row r="562" spans="1:5">
      <c r="A562">
        <v>6</v>
      </c>
      <c r="B562" t="s">
        <v>363</v>
      </c>
      <c r="C562">
        <v>50</v>
      </c>
      <c r="D562" s="2" t="e">
        <f>VLOOKUP(B562,装备!B:E,3,FALSE)</f>
        <v>#N/A</v>
      </c>
      <c r="E562" t="str">
        <f t="shared" si="11"/>
        <v>AddPrizeListEx(6,'Z293',50)</v>
      </c>
    </row>
    <row r="563" spans="1:5">
      <c r="A563">
        <v>6</v>
      </c>
      <c r="B563" t="s">
        <v>365</v>
      </c>
      <c r="C563">
        <v>50</v>
      </c>
      <c r="D563" s="2" t="e">
        <f>VLOOKUP(B563,装备!B:E,3,FALSE)</f>
        <v>#N/A</v>
      </c>
      <c r="E563" t="str">
        <f t="shared" si="11"/>
        <v>AddPrizeListEx(6,'Z303',50)</v>
      </c>
    </row>
    <row r="564" spans="1:5">
      <c r="A564">
        <v>6</v>
      </c>
      <c r="B564" t="s">
        <v>234</v>
      </c>
      <c r="C564">
        <v>100</v>
      </c>
      <c r="D564" s="2" t="e">
        <f>VLOOKUP(B564,装备!B:E,3,FALSE)</f>
        <v>#N/A</v>
      </c>
      <c r="E564" t="str">
        <f t="shared" si="11"/>
        <v>AddPrizeListEx(6,'I102',100)</v>
      </c>
    </row>
    <row r="565" spans="1:5">
      <c r="A565">
        <v>6</v>
      </c>
      <c r="B565" t="s">
        <v>235</v>
      </c>
      <c r="C565">
        <v>10</v>
      </c>
      <c r="D565" s="2" t="e">
        <f>VLOOKUP(B565,装备!B:E,3,FALSE)</f>
        <v>#N/A</v>
      </c>
      <c r="E565" t="str">
        <f t="shared" si="11"/>
        <v>AddPrizeListEx(6,'I103',10)</v>
      </c>
    </row>
    <row r="566" spans="1:5">
      <c r="A566">
        <v>6</v>
      </c>
      <c r="B566" t="s">
        <v>236</v>
      </c>
      <c r="C566">
        <v>1</v>
      </c>
      <c r="D566" s="2" t="e">
        <f>VLOOKUP(B566,装备!B:E,3,FALSE)</f>
        <v>#N/A</v>
      </c>
      <c r="E566" t="str">
        <f t="shared" si="11"/>
        <v>AddPrizeListEx(6,'I104',1)</v>
      </c>
    </row>
    <row r="567" spans="1:5">
      <c r="A567">
        <v>6</v>
      </c>
      <c r="B567" t="s">
        <v>238</v>
      </c>
      <c r="C567">
        <v>10</v>
      </c>
      <c r="D567" s="2" t="e">
        <f>VLOOKUP(B567,装备!B:E,3,FALSE)</f>
        <v>#N/A</v>
      </c>
      <c r="E567" t="str">
        <f t="shared" si="11"/>
        <v>AddPrizeListEx(6,'I106',10)</v>
      </c>
    </row>
    <row r="568" spans="1:5">
      <c r="A568">
        <v>6</v>
      </c>
      <c r="B568" t="s">
        <v>239</v>
      </c>
      <c r="C568">
        <v>1</v>
      </c>
      <c r="D568" s="2" t="e">
        <f>VLOOKUP(B568,装备!B:E,3,FALSE)</f>
        <v>#N/A</v>
      </c>
      <c r="E568" t="str">
        <f t="shared" si="11"/>
        <v>AddPrizeListEx(6,'I107',1)</v>
      </c>
    </row>
    <row r="569" spans="1:5">
      <c r="A569">
        <v>6</v>
      </c>
      <c r="B569" t="s">
        <v>242</v>
      </c>
      <c r="C569">
        <v>10</v>
      </c>
      <c r="D569" s="2" t="e">
        <f>VLOOKUP(B569,装备!B:E,3,FALSE)</f>
        <v>#N/A</v>
      </c>
      <c r="E569" t="str">
        <f t="shared" si="11"/>
        <v>AddPrizeListEx(6,'I110',10)</v>
      </c>
    </row>
    <row r="570" spans="1:5">
      <c r="A570">
        <v>6</v>
      </c>
      <c r="B570" t="s">
        <v>243</v>
      </c>
      <c r="C570">
        <v>1</v>
      </c>
      <c r="D570" s="2" t="e">
        <f>VLOOKUP(B570,装备!B:E,3,FALSE)</f>
        <v>#N/A</v>
      </c>
      <c r="E570" t="str">
        <f t="shared" si="11"/>
        <v>AddPrizeListEx(6,'I111',1)</v>
      </c>
    </row>
    <row r="571" spans="1:5">
      <c r="A571">
        <v>6</v>
      </c>
      <c r="B571" t="s">
        <v>245</v>
      </c>
      <c r="C571">
        <v>10</v>
      </c>
      <c r="D571" s="2" t="e">
        <f>VLOOKUP(B571,装备!B:E,3,FALSE)</f>
        <v>#N/A</v>
      </c>
      <c r="E571" t="str">
        <f t="shared" si="11"/>
        <v>AddPrizeListEx(6,'I113',10)</v>
      </c>
    </row>
    <row r="572" spans="1:5">
      <c r="A572">
        <v>6</v>
      </c>
      <c r="B572" t="s">
        <v>246</v>
      </c>
      <c r="C572">
        <v>1</v>
      </c>
      <c r="D572" s="2" t="e">
        <f>VLOOKUP(B572,装备!B:E,3,FALSE)</f>
        <v>#N/A</v>
      </c>
      <c r="E572" t="str">
        <f t="shared" si="11"/>
        <v>AddPrizeListEx(6,'I114',1)</v>
      </c>
    </row>
    <row r="573" spans="1:5">
      <c r="A573">
        <v>6</v>
      </c>
      <c r="B573" t="s">
        <v>248</v>
      </c>
      <c r="C573">
        <v>10</v>
      </c>
      <c r="D573" s="2" t="e">
        <f>VLOOKUP(B573,装备!B:E,3,FALSE)</f>
        <v>#N/A</v>
      </c>
      <c r="E573" t="str">
        <f t="shared" si="11"/>
        <v>AddPrizeListEx(6,'I116',10)</v>
      </c>
    </row>
    <row r="574" spans="1:5">
      <c r="A574">
        <v>6</v>
      </c>
      <c r="B574" t="s">
        <v>249</v>
      </c>
      <c r="C574">
        <v>1</v>
      </c>
      <c r="D574" s="2" t="e">
        <f>VLOOKUP(B574,装备!B:E,3,FALSE)</f>
        <v>#N/A</v>
      </c>
      <c r="E574" t="str">
        <f t="shared" si="11"/>
        <v>AddPrizeListEx(6,'I117',1)</v>
      </c>
    </row>
    <row r="575" spans="1:5">
      <c r="A575">
        <v>6</v>
      </c>
      <c r="B575" t="s">
        <v>251</v>
      </c>
      <c r="C575">
        <v>10</v>
      </c>
      <c r="D575" s="2" t="e">
        <f>VLOOKUP(B575,装备!B:E,3,FALSE)</f>
        <v>#N/A</v>
      </c>
      <c r="E575" t="str">
        <f t="shared" si="11"/>
        <v>AddPrizeListEx(6,'I119',10)</v>
      </c>
    </row>
    <row r="576" spans="1:5">
      <c r="A576">
        <v>6</v>
      </c>
      <c r="B576" t="s">
        <v>252</v>
      </c>
      <c r="C576">
        <v>1</v>
      </c>
      <c r="D576" s="2" t="e">
        <f>VLOOKUP(B576,装备!B:E,3,FALSE)</f>
        <v>#N/A</v>
      </c>
      <c r="E576" t="str">
        <f t="shared" si="11"/>
        <v>AddPrizeListEx(6,'I120',1)</v>
      </c>
    </row>
    <row r="577" spans="1:5">
      <c r="A577">
        <v>6</v>
      </c>
      <c r="B577" t="s">
        <v>254</v>
      </c>
      <c r="C577">
        <v>10</v>
      </c>
      <c r="D577" s="2" t="e">
        <f>VLOOKUP(B577,装备!B:E,3,FALSE)</f>
        <v>#N/A</v>
      </c>
      <c r="E577" t="str">
        <f t="shared" si="11"/>
        <v>AddPrizeListEx(6,'I122',10)</v>
      </c>
    </row>
    <row r="578" spans="1:5">
      <c r="A578">
        <v>6</v>
      </c>
      <c r="B578" t="s">
        <v>255</v>
      </c>
      <c r="C578">
        <v>1</v>
      </c>
      <c r="D578" s="2" t="e">
        <f>VLOOKUP(B578,装备!B:E,3,FALSE)</f>
        <v>#N/A</v>
      </c>
      <c r="E578" t="str">
        <f t="shared" si="11"/>
        <v>AddPrizeListEx(6,'I123',1)</v>
      </c>
    </row>
    <row r="579" spans="1:5">
      <c r="A579">
        <v>6</v>
      </c>
      <c r="B579" t="s">
        <v>257</v>
      </c>
      <c r="C579">
        <v>10</v>
      </c>
      <c r="D579" s="2" t="e">
        <f>VLOOKUP(B579,装备!B:E,3,FALSE)</f>
        <v>#N/A</v>
      </c>
      <c r="E579" t="str">
        <f t="shared" si="11"/>
        <v>AddPrizeListEx(6,'I125',10)</v>
      </c>
    </row>
    <row r="580" spans="1:5">
      <c r="A580">
        <v>6</v>
      </c>
      <c r="B580" t="s">
        <v>258</v>
      </c>
      <c r="C580">
        <v>1</v>
      </c>
      <c r="D580" s="2" t="e">
        <f>VLOOKUP(B580,装备!B:E,3,FALSE)</f>
        <v>#N/A</v>
      </c>
      <c r="E580" t="str">
        <f t="shared" si="11"/>
        <v>AddPrizeListEx(6,'I126',1)</v>
      </c>
    </row>
    <row r="581" spans="1:5">
      <c r="A581">
        <v>6</v>
      </c>
      <c r="B581" t="s">
        <v>260</v>
      </c>
      <c r="C581">
        <v>10</v>
      </c>
      <c r="D581" s="2" t="e">
        <f>VLOOKUP(B581,装备!B:E,3,FALSE)</f>
        <v>#N/A</v>
      </c>
      <c r="E581" t="str">
        <f t="shared" si="11"/>
        <v>AddPrizeListEx(6,'I128',10)</v>
      </c>
    </row>
    <row r="582" spans="1:5">
      <c r="A582">
        <v>6</v>
      </c>
      <c r="B582" t="s">
        <v>261</v>
      </c>
      <c r="C582">
        <v>1</v>
      </c>
      <c r="D582" s="2" t="e">
        <f>VLOOKUP(B582,装备!B:E,3,FALSE)</f>
        <v>#N/A</v>
      </c>
      <c r="E582" t="str">
        <f t="shared" si="11"/>
        <v>AddPrizeListEx(6,'I129',1)</v>
      </c>
    </row>
    <row r="583" spans="1:5">
      <c r="A583">
        <v>6</v>
      </c>
      <c r="B583" t="s">
        <v>263</v>
      </c>
      <c r="C583">
        <v>10</v>
      </c>
      <c r="D583" s="2" t="e">
        <f>VLOOKUP(B583,装备!B:E,3,FALSE)</f>
        <v>#N/A</v>
      </c>
      <c r="E583" t="str">
        <f t="shared" si="11"/>
        <v>AddPrizeListEx(6,'I131',10)</v>
      </c>
    </row>
    <row r="584" spans="1:5">
      <c r="A584">
        <v>6</v>
      </c>
      <c r="B584" t="s">
        <v>264</v>
      </c>
      <c r="C584">
        <v>1</v>
      </c>
      <c r="D584" s="2" t="e">
        <f>VLOOKUP(B584,装备!B:E,3,FALSE)</f>
        <v>#N/A</v>
      </c>
      <c r="E584" t="str">
        <f t="shared" si="11"/>
        <v>AddPrizeListEx(6,'I132',1)</v>
      </c>
    </row>
    <row r="585" spans="1:5">
      <c r="A585">
        <v>6</v>
      </c>
      <c r="B585" t="s">
        <v>265</v>
      </c>
      <c r="C585">
        <v>20</v>
      </c>
      <c r="D585" s="2" t="e">
        <f>VLOOKUP(B585,装备!B:E,3,FALSE)</f>
        <v>#N/A</v>
      </c>
      <c r="E585" t="str">
        <f t="shared" si="11"/>
        <v>AddPrizeListEx(6,'I133',20)</v>
      </c>
    </row>
    <row r="586" spans="1:5">
      <c r="A586">
        <v>6</v>
      </c>
      <c r="B586" t="s">
        <v>266</v>
      </c>
      <c r="C586">
        <v>20</v>
      </c>
      <c r="D586" s="2" t="e">
        <f>VLOOKUP(B586,装备!B:E,3,FALSE)</f>
        <v>#N/A</v>
      </c>
      <c r="E586" t="str">
        <f t="shared" si="11"/>
        <v>AddPrizeListEx(6,'I134',20)</v>
      </c>
    </row>
    <row r="587" spans="1:5">
      <c r="A587">
        <v>6</v>
      </c>
      <c r="B587" t="s">
        <v>267</v>
      </c>
      <c r="C587">
        <v>10</v>
      </c>
      <c r="D587" s="2" t="e">
        <f>VLOOKUP(B587,装备!B:E,3,FALSE)</f>
        <v>#N/A</v>
      </c>
      <c r="E587" t="str">
        <f t="shared" si="11"/>
        <v>AddPrizeListEx(6,'I135',10)</v>
      </c>
    </row>
    <row r="588" spans="1:5">
      <c r="A588">
        <v>6</v>
      </c>
      <c r="B588" t="s">
        <v>268</v>
      </c>
      <c r="C588">
        <v>5</v>
      </c>
      <c r="D588" s="2" t="e">
        <f>VLOOKUP(B588,装备!B:E,3,FALSE)</f>
        <v>#N/A</v>
      </c>
      <c r="E588" t="str">
        <f t="shared" si="11"/>
        <v>AddPrizeListEx(6,'I136',5)</v>
      </c>
    </row>
    <row r="589" spans="1:5">
      <c r="A589">
        <v>6</v>
      </c>
      <c r="B589" t="s">
        <v>270</v>
      </c>
      <c r="C589">
        <v>5</v>
      </c>
      <c r="D589" s="2" t="e">
        <f>VLOOKUP(B589,装备!B:E,3,FALSE)</f>
        <v>#N/A</v>
      </c>
      <c r="E589" t="str">
        <f t="shared" si="11"/>
        <v>AddPrizeListEx(6,'I138',5)</v>
      </c>
    </row>
    <row r="590" spans="1:5">
      <c r="A590">
        <v>6</v>
      </c>
      <c r="B590" t="s">
        <v>271</v>
      </c>
      <c r="C590">
        <v>5</v>
      </c>
      <c r="D590" s="2" t="e">
        <f>VLOOKUP(B590,装备!B:E,3,FALSE)</f>
        <v>#N/A</v>
      </c>
      <c r="E590" t="str">
        <f t="shared" si="11"/>
        <v>AddPrizeListEx(6,'I139',5)</v>
      </c>
    </row>
    <row r="591" spans="1:5">
      <c r="A591">
        <v>6</v>
      </c>
      <c r="B591" t="s">
        <v>273</v>
      </c>
      <c r="C591">
        <v>20</v>
      </c>
      <c r="D591" s="2" t="e">
        <f>VLOOKUP(B591,装备!B:E,3,FALSE)</f>
        <v>#N/A</v>
      </c>
      <c r="E591" t="str">
        <f t="shared" si="11"/>
        <v>AddPrizeListEx(6,'I141',20)</v>
      </c>
    </row>
    <row r="592" spans="1:5">
      <c r="A592">
        <v>6</v>
      </c>
      <c r="B592" t="s">
        <v>274</v>
      </c>
      <c r="C592">
        <v>2</v>
      </c>
      <c r="D592" s="2" t="e">
        <f>VLOOKUP(B592,装备!B:E,3,FALSE)</f>
        <v>#N/A</v>
      </c>
      <c r="E592" t="str">
        <f t="shared" si="11"/>
        <v>AddPrizeListEx(6,'I142',2)</v>
      </c>
    </row>
    <row r="593" spans="1:5">
      <c r="A593">
        <v>6</v>
      </c>
      <c r="B593" t="s">
        <v>276</v>
      </c>
      <c r="C593">
        <v>10</v>
      </c>
      <c r="D593" s="2" t="e">
        <f>VLOOKUP(B593,装备!B:E,3,FALSE)</f>
        <v>#N/A</v>
      </c>
      <c r="E593" t="str">
        <f t="shared" si="11"/>
        <v>AddPrizeListEx(6,'I144',10)</v>
      </c>
    </row>
    <row r="594" spans="1:5">
      <c r="A594">
        <v>6</v>
      </c>
      <c r="B594" t="s">
        <v>277</v>
      </c>
      <c r="C594">
        <v>1</v>
      </c>
      <c r="D594" s="2" t="e">
        <f>VLOOKUP(B594,装备!B:E,3,FALSE)</f>
        <v>#N/A</v>
      </c>
      <c r="E594" t="str">
        <f t="shared" si="11"/>
        <v>AddPrizeListEx(6,'I145',1)</v>
      </c>
    </row>
    <row r="595" spans="1:5">
      <c r="A595">
        <v>6</v>
      </c>
      <c r="B595" t="s">
        <v>279</v>
      </c>
      <c r="C595">
        <v>10</v>
      </c>
      <c r="D595" s="2" t="e">
        <f>VLOOKUP(B595,装备!B:E,3,FALSE)</f>
        <v>#N/A</v>
      </c>
      <c r="E595" t="str">
        <f t="shared" si="11"/>
        <v>AddPrizeListEx(6,'I147',10)</v>
      </c>
    </row>
    <row r="596" spans="1:5">
      <c r="A596">
        <v>6</v>
      </c>
      <c r="B596" t="s">
        <v>280</v>
      </c>
      <c r="C596">
        <v>1</v>
      </c>
      <c r="D596" s="2" t="e">
        <f>VLOOKUP(B596,装备!B:E,3,FALSE)</f>
        <v>#N/A</v>
      </c>
      <c r="E596" t="str">
        <f t="shared" si="11"/>
        <v>AddPrizeListEx(6,'I148',1)</v>
      </c>
    </row>
  </sheetData>
  <phoneticPr fontId="15" type="noConversion"/>
  <pageMargins left="0.69930555555555596" right="0.69930555555555596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E68"/>
  <sheetViews>
    <sheetView workbookViewId="0">
      <selection activeCell="I16" sqref="I16"/>
    </sheetView>
  </sheetViews>
  <sheetFormatPr defaultRowHeight="14.25"/>
  <cols>
    <col min="4" max="4" width="32.625" customWidth="1"/>
  </cols>
  <sheetData>
    <row r="1" spans="1:5">
      <c r="A1" t="s">
        <v>302</v>
      </c>
      <c r="B1" t="s">
        <v>303</v>
      </c>
      <c r="C1" t="s">
        <v>304</v>
      </c>
      <c r="D1" t="s">
        <v>305</v>
      </c>
      <c r="E1" t="s">
        <v>306</v>
      </c>
    </row>
    <row r="2" spans="1:5">
      <c r="A2">
        <v>11</v>
      </c>
      <c r="B2" t="s">
        <v>405</v>
      </c>
      <c r="C2">
        <v>1</v>
      </c>
      <c r="D2" t="s">
        <v>558</v>
      </c>
      <c r="E2" t="str">
        <f>IF(B2&lt;&gt;"","AddItemPrizeListEx("&amp;A2&amp;",'"&amp;B2&amp;"',"&amp;C2&amp;")","")</f>
        <v>AddItemPrizeListEx(11,'C101',1)</v>
      </c>
    </row>
    <row r="3" spans="1:5">
      <c r="A3">
        <v>11</v>
      </c>
      <c r="B3" t="s">
        <v>408</v>
      </c>
      <c r="C3">
        <v>1</v>
      </c>
      <c r="D3" t="s">
        <v>409</v>
      </c>
      <c r="E3" t="str">
        <f t="shared" ref="E3:E66" si="0">IF(B3&lt;&gt;"","AddItemPrizeListEx("&amp;A3&amp;",'"&amp;B3&amp;"',"&amp;C3&amp;")","")</f>
        <v>AddItemPrizeListEx(11,'C111',1)</v>
      </c>
    </row>
    <row r="4" spans="1:5">
      <c r="A4">
        <v>11</v>
      </c>
      <c r="B4" t="s">
        <v>411</v>
      </c>
      <c r="C4">
        <v>1</v>
      </c>
      <c r="D4" t="s">
        <v>412</v>
      </c>
      <c r="E4" t="str">
        <f t="shared" si="0"/>
        <v>AddItemPrizeListEx(11,'C121',1)</v>
      </c>
    </row>
    <row r="5" spans="1:5">
      <c r="A5">
        <v>11</v>
      </c>
      <c r="B5" t="s">
        <v>415</v>
      </c>
      <c r="C5">
        <v>1</v>
      </c>
      <c r="D5" t="s">
        <v>416</v>
      </c>
      <c r="E5" t="str">
        <f t="shared" si="0"/>
        <v>AddItemPrizeListEx(11,'C131',1)</v>
      </c>
    </row>
    <row r="6" spans="1:5">
      <c r="A6">
        <v>11</v>
      </c>
      <c r="B6" t="s">
        <v>419</v>
      </c>
      <c r="C6">
        <v>1</v>
      </c>
      <c r="D6" t="s">
        <v>420</v>
      </c>
      <c r="E6" t="str">
        <f t="shared" si="0"/>
        <v>AddItemPrizeListEx(11,'C141',1)</v>
      </c>
    </row>
    <row r="7" spans="1:5">
      <c r="A7">
        <v>11</v>
      </c>
      <c r="B7" t="s">
        <v>423</v>
      </c>
      <c r="C7">
        <v>1</v>
      </c>
      <c r="D7" t="s">
        <v>424</v>
      </c>
      <c r="E7" t="str">
        <f t="shared" si="0"/>
        <v>AddItemPrizeListEx(11,'C151',1)</v>
      </c>
    </row>
    <row r="8" spans="1:5">
      <c r="A8">
        <v>11</v>
      </c>
      <c r="B8" t="s">
        <v>427</v>
      </c>
      <c r="C8">
        <v>1</v>
      </c>
      <c r="D8" t="s">
        <v>428</v>
      </c>
      <c r="E8" t="str">
        <f t="shared" si="0"/>
        <v>AddItemPrizeListEx(11,'C161',1)</v>
      </c>
    </row>
    <row r="9" spans="1:5">
      <c r="A9">
        <v>11</v>
      </c>
      <c r="B9" t="s">
        <v>431</v>
      </c>
      <c r="C9">
        <v>1</v>
      </c>
      <c r="D9" t="s">
        <v>432</v>
      </c>
      <c r="E9" t="str">
        <f t="shared" si="0"/>
        <v>AddItemPrizeListEx(11,'C201',1)</v>
      </c>
    </row>
    <row r="10" spans="1:5">
      <c r="A10">
        <v>11</v>
      </c>
      <c r="B10" t="s">
        <v>435</v>
      </c>
      <c r="C10">
        <v>1</v>
      </c>
      <c r="D10" t="s">
        <v>436</v>
      </c>
      <c r="E10" t="str">
        <f t="shared" si="0"/>
        <v>AddItemPrizeListEx(11,'C211',1)</v>
      </c>
    </row>
    <row r="11" spans="1:5">
      <c r="A11">
        <v>11</v>
      </c>
      <c r="B11" t="s">
        <v>439</v>
      </c>
      <c r="C11">
        <v>1</v>
      </c>
      <c r="D11" t="s">
        <v>440</v>
      </c>
      <c r="E11" t="str">
        <f t="shared" si="0"/>
        <v>AddItemPrizeListEx(11,'C221',1)</v>
      </c>
    </row>
    <row r="12" spans="1:5">
      <c r="A12">
        <v>11</v>
      </c>
      <c r="B12" t="s">
        <v>443</v>
      </c>
      <c r="C12">
        <v>1</v>
      </c>
      <c r="D12" t="s">
        <v>444</v>
      </c>
      <c r="E12" t="str">
        <f t="shared" si="0"/>
        <v>AddItemPrizeListEx(11,'C231',1)</v>
      </c>
    </row>
    <row r="13" spans="1:5">
      <c r="A13">
        <v>11</v>
      </c>
      <c r="B13" t="s">
        <v>447</v>
      </c>
      <c r="C13">
        <v>1</v>
      </c>
      <c r="D13" t="s">
        <v>448</v>
      </c>
      <c r="E13" t="str">
        <f t="shared" si="0"/>
        <v>AddItemPrizeListEx(11,'C241',1)</v>
      </c>
    </row>
    <row r="14" spans="1:5">
      <c r="A14">
        <v>11</v>
      </c>
      <c r="B14" t="s">
        <v>451</v>
      </c>
      <c r="C14">
        <v>1</v>
      </c>
      <c r="D14" t="s">
        <v>452</v>
      </c>
      <c r="E14" t="str">
        <f t="shared" si="0"/>
        <v>AddItemPrizeListEx(11,'C251',1)</v>
      </c>
    </row>
    <row r="15" spans="1:5">
      <c r="A15">
        <v>11</v>
      </c>
      <c r="B15" t="s">
        <v>455</v>
      </c>
      <c r="C15">
        <v>1</v>
      </c>
      <c r="D15" t="s">
        <v>456</v>
      </c>
      <c r="E15" t="str">
        <f t="shared" si="0"/>
        <v>AddItemPrizeListEx(11,'C301',1)</v>
      </c>
    </row>
    <row r="16" spans="1:5">
      <c r="A16">
        <v>11</v>
      </c>
      <c r="B16" t="s">
        <v>459</v>
      </c>
      <c r="C16">
        <v>1</v>
      </c>
      <c r="D16" t="s">
        <v>460</v>
      </c>
      <c r="E16" t="str">
        <f t="shared" si="0"/>
        <v>AddItemPrizeListEx(11,'C311',1)</v>
      </c>
    </row>
    <row r="17" spans="1:5">
      <c r="A17">
        <v>11</v>
      </c>
      <c r="B17" t="s">
        <v>463</v>
      </c>
      <c r="C17">
        <v>1</v>
      </c>
      <c r="D17" t="s">
        <v>464</v>
      </c>
      <c r="E17" t="str">
        <f t="shared" si="0"/>
        <v>AddItemPrizeListEx(11,'C321',1)</v>
      </c>
    </row>
    <row r="18" spans="1:5">
      <c r="A18">
        <v>11</v>
      </c>
      <c r="B18" t="s">
        <v>467</v>
      </c>
      <c r="C18">
        <v>1</v>
      </c>
      <c r="D18" t="s">
        <v>468</v>
      </c>
      <c r="E18" t="str">
        <f t="shared" si="0"/>
        <v>AddItemPrizeListEx(11,'C331',1)</v>
      </c>
    </row>
    <row r="19" spans="1:5">
      <c r="A19">
        <v>11</v>
      </c>
      <c r="B19" t="s">
        <v>471</v>
      </c>
      <c r="C19">
        <v>1</v>
      </c>
      <c r="D19" t="s">
        <v>472</v>
      </c>
      <c r="E19" t="str">
        <f t="shared" si="0"/>
        <v>AddItemPrizeListEx(11,'C341',1)</v>
      </c>
    </row>
    <row r="20" spans="1:5">
      <c r="A20">
        <v>11</v>
      </c>
      <c r="B20" t="s">
        <v>475</v>
      </c>
      <c r="C20">
        <v>1</v>
      </c>
      <c r="D20" t="s">
        <v>476</v>
      </c>
      <c r="E20" t="str">
        <f t="shared" si="0"/>
        <v>AddItemPrizeListEx(11,'C351',1)</v>
      </c>
    </row>
    <row r="21" spans="1:5">
      <c r="A21">
        <v>11</v>
      </c>
      <c r="B21" t="s">
        <v>479</v>
      </c>
      <c r="C21">
        <v>1</v>
      </c>
      <c r="D21" t="s">
        <v>480</v>
      </c>
      <c r="E21" t="str">
        <f t="shared" si="0"/>
        <v>AddItemPrizeListEx(11,'C361',1)</v>
      </c>
    </row>
    <row r="22" spans="1:5">
      <c r="A22">
        <v>11</v>
      </c>
      <c r="B22" t="s">
        <v>483</v>
      </c>
      <c r="C22">
        <v>1</v>
      </c>
      <c r="D22" t="s">
        <v>484</v>
      </c>
      <c r="E22" t="str">
        <f t="shared" si="0"/>
        <v>AddItemPrizeListEx(11,'C401',1)</v>
      </c>
    </row>
    <row r="23" spans="1:5">
      <c r="A23">
        <v>11</v>
      </c>
      <c r="B23" t="s">
        <v>487</v>
      </c>
      <c r="C23">
        <v>1</v>
      </c>
      <c r="D23" t="s">
        <v>488</v>
      </c>
      <c r="E23" t="str">
        <f t="shared" si="0"/>
        <v>AddItemPrizeListEx(11,'C411',1)</v>
      </c>
    </row>
    <row r="24" spans="1:5">
      <c r="A24">
        <v>11</v>
      </c>
      <c r="B24" t="s">
        <v>491</v>
      </c>
      <c r="C24">
        <v>1</v>
      </c>
      <c r="D24" t="s">
        <v>492</v>
      </c>
      <c r="E24" t="str">
        <f t="shared" si="0"/>
        <v>AddItemPrizeListEx(11,'C421',1)</v>
      </c>
    </row>
    <row r="25" spans="1:5">
      <c r="A25">
        <v>11</v>
      </c>
      <c r="B25" t="s">
        <v>495</v>
      </c>
      <c r="C25">
        <v>1</v>
      </c>
      <c r="D25" t="s">
        <v>496</v>
      </c>
      <c r="E25" t="str">
        <f t="shared" si="0"/>
        <v>AddItemPrizeListEx(11,'C431',1)</v>
      </c>
    </row>
    <row r="26" spans="1:5">
      <c r="A26">
        <v>11</v>
      </c>
      <c r="B26" t="s">
        <v>499</v>
      </c>
      <c r="C26">
        <v>1</v>
      </c>
      <c r="D26" t="s">
        <v>500</v>
      </c>
      <c r="E26" t="str">
        <f t="shared" si="0"/>
        <v>AddItemPrizeListEx(11,'C441',1)</v>
      </c>
    </row>
    <row r="27" spans="1:5">
      <c r="A27">
        <v>11</v>
      </c>
      <c r="B27" t="s">
        <v>503</v>
      </c>
      <c r="C27">
        <v>1</v>
      </c>
      <c r="D27" t="s">
        <v>504</v>
      </c>
      <c r="E27" t="str">
        <f t="shared" si="0"/>
        <v>AddItemPrizeListEx(11,'C451',1)</v>
      </c>
    </row>
    <row r="28" spans="1:5">
      <c r="A28">
        <v>11</v>
      </c>
      <c r="B28" t="s">
        <v>507</v>
      </c>
      <c r="C28">
        <v>1</v>
      </c>
      <c r="D28" t="s">
        <v>508</v>
      </c>
      <c r="E28" t="str">
        <f t="shared" si="0"/>
        <v>AddItemPrizeListEx(11,'C501',1)</v>
      </c>
    </row>
    <row r="29" spans="1:5">
      <c r="A29">
        <v>11</v>
      </c>
      <c r="B29" t="s">
        <v>511</v>
      </c>
      <c r="C29">
        <v>1</v>
      </c>
      <c r="D29" t="s">
        <v>512</v>
      </c>
      <c r="E29" t="str">
        <f t="shared" si="0"/>
        <v>AddItemPrizeListEx(11,'C511',1)</v>
      </c>
    </row>
    <row r="30" spans="1:5">
      <c r="A30">
        <v>11</v>
      </c>
      <c r="B30" t="s">
        <v>515</v>
      </c>
      <c r="C30">
        <v>1</v>
      </c>
      <c r="D30" t="s">
        <v>516</v>
      </c>
      <c r="E30" t="str">
        <f t="shared" si="0"/>
        <v>AddItemPrizeListEx(11,'C521',1)</v>
      </c>
    </row>
    <row r="31" spans="1:5">
      <c r="A31">
        <v>11</v>
      </c>
      <c r="B31" t="s">
        <v>519</v>
      </c>
      <c r="C31">
        <v>1</v>
      </c>
      <c r="D31" t="s">
        <v>520</v>
      </c>
      <c r="E31" t="str">
        <f t="shared" si="0"/>
        <v>AddItemPrizeListEx(11,'C531',1)</v>
      </c>
    </row>
    <row r="32" spans="1:5">
      <c r="A32">
        <v>11</v>
      </c>
      <c r="B32" t="s">
        <v>523</v>
      </c>
      <c r="C32">
        <v>1</v>
      </c>
      <c r="D32" t="s">
        <v>524</v>
      </c>
      <c r="E32" t="str">
        <f t="shared" si="0"/>
        <v>AddItemPrizeListEx(11,'C541',1)</v>
      </c>
    </row>
    <row r="33" spans="1:5">
      <c r="A33">
        <v>11</v>
      </c>
      <c r="B33" t="s">
        <v>527</v>
      </c>
      <c r="C33">
        <v>1</v>
      </c>
      <c r="D33" t="s">
        <v>528</v>
      </c>
      <c r="E33" t="str">
        <f t="shared" si="0"/>
        <v>AddItemPrizeListEx(11,'C551',1)</v>
      </c>
    </row>
    <row r="34" spans="1:5">
      <c r="A34">
        <v>11</v>
      </c>
      <c r="B34" t="s">
        <v>531</v>
      </c>
      <c r="C34">
        <v>1</v>
      </c>
      <c r="D34" t="s">
        <v>532</v>
      </c>
      <c r="E34" t="str">
        <f t="shared" si="0"/>
        <v>AddItemPrizeListEx(11,'C561',1)</v>
      </c>
    </row>
    <row r="35" spans="1:5">
      <c r="D35">
        <v>0</v>
      </c>
      <c r="E35" t="str">
        <f t="shared" si="0"/>
        <v/>
      </c>
    </row>
    <row r="36" spans="1:5">
      <c r="A36">
        <v>12</v>
      </c>
      <c r="B36" t="s">
        <v>406</v>
      </c>
      <c r="C36">
        <v>1</v>
      </c>
      <c r="D36" t="s">
        <v>407</v>
      </c>
      <c r="E36" t="str">
        <f t="shared" si="0"/>
        <v>AddItemPrizeListEx(12,'C102',1)</v>
      </c>
    </row>
    <row r="37" spans="1:5">
      <c r="A37">
        <v>12</v>
      </c>
      <c r="B37" t="s">
        <v>410</v>
      </c>
      <c r="C37">
        <v>1</v>
      </c>
      <c r="D37" t="s">
        <v>557</v>
      </c>
      <c r="E37" t="str">
        <f t="shared" si="0"/>
        <v>AddItemPrizeListEx(12,'C112',1)</v>
      </c>
    </row>
    <row r="38" spans="1:5">
      <c r="A38">
        <v>12</v>
      </c>
      <c r="B38" t="s">
        <v>413</v>
      </c>
      <c r="C38">
        <v>1</v>
      </c>
      <c r="D38" t="s">
        <v>414</v>
      </c>
      <c r="E38" t="str">
        <f t="shared" si="0"/>
        <v>AddItemPrizeListEx(12,'C122',1)</v>
      </c>
    </row>
    <row r="39" spans="1:5">
      <c r="A39">
        <v>12</v>
      </c>
      <c r="B39" t="s">
        <v>417</v>
      </c>
      <c r="C39">
        <v>1</v>
      </c>
      <c r="D39" t="s">
        <v>418</v>
      </c>
      <c r="E39" t="str">
        <f t="shared" si="0"/>
        <v>AddItemPrizeListEx(12,'C132',1)</v>
      </c>
    </row>
    <row r="40" spans="1:5">
      <c r="A40">
        <v>12</v>
      </c>
      <c r="B40" t="s">
        <v>421</v>
      </c>
      <c r="C40">
        <v>1</v>
      </c>
      <c r="D40" t="s">
        <v>422</v>
      </c>
      <c r="E40" t="str">
        <f t="shared" si="0"/>
        <v>AddItemPrizeListEx(12,'C142',1)</v>
      </c>
    </row>
    <row r="41" spans="1:5">
      <c r="A41">
        <v>12</v>
      </c>
      <c r="B41" t="s">
        <v>425</v>
      </c>
      <c r="C41">
        <v>1</v>
      </c>
      <c r="D41" t="s">
        <v>426</v>
      </c>
      <c r="E41" t="str">
        <f t="shared" si="0"/>
        <v>AddItemPrizeListEx(12,'C152',1)</v>
      </c>
    </row>
    <row r="42" spans="1:5">
      <c r="A42">
        <v>12</v>
      </c>
      <c r="B42" t="s">
        <v>429</v>
      </c>
      <c r="C42">
        <v>1</v>
      </c>
      <c r="D42" t="s">
        <v>430</v>
      </c>
      <c r="E42" t="str">
        <f t="shared" si="0"/>
        <v>AddItemPrizeListEx(12,'C162',1)</v>
      </c>
    </row>
    <row r="43" spans="1:5">
      <c r="A43">
        <v>12</v>
      </c>
      <c r="B43" t="s">
        <v>433</v>
      </c>
      <c r="C43">
        <v>1</v>
      </c>
      <c r="D43" t="s">
        <v>434</v>
      </c>
      <c r="E43" t="str">
        <f t="shared" si="0"/>
        <v>AddItemPrizeListEx(12,'C202',1)</v>
      </c>
    </row>
    <row r="44" spans="1:5">
      <c r="A44">
        <v>12</v>
      </c>
      <c r="B44" t="s">
        <v>437</v>
      </c>
      <c r="C44">
        <v>1</v>
      </c>
      <c r="D44" t="s">
        <v>438</v>
      </c>
      <c r="E44" t="str">
        <f t="shared" si="0"/>
        <v>AddItemPrizeListEx(12,'C212',1)</v>
      </c>
    </row>
    <row r="45" spans="1:5">
      <c r="A45">
        <v>12</v>
      </c>
      <c r="B45" t="s">
        <v>441</v>
      </c>
      <c r="C45">
        <v>1</v>
      </c>
      <c r="D45" t="s">
        <v>442</v>
      </c>
      <c r="E45" t="str">
        <f t="shared" si="0"/>
        <v>AddItemPrizeListEx(12,'C222',1)</v>
      </c>
    </row>
    <row r="46" spans="1:5">
      <c r="A46">
        <v>12</v>
      </c>
      <c r="B46" t="s">
        <v>445</v>
      </c>
      <c r="C46">
        <v>1</v>
      </c>
      <c r="D46" t="s">
        <v>446</v>
      </c>
      <c r="E46" t="str">
        <f t="shared" si="0"/>
        <v>AddItemPrizeListEx(12,'C232',1)</v>
      </c>
    </row>
    <row r="47" spans="1:5">
      <c r="A47">
        <v>12</v>
      </c>
      <c r="B47" t="s">
        <v>449</v>
      </c>
      <c r="C47">
        <v>1</v>
      </c>
      <c r="D47" t="s">
        <v>450</v>
      </c>
      <c r="E47" t="str">
        <f t="shared" si="0"/>
        <v>AddItemPrizeListEx(12,'C242',1)</v>
      </c>
    </row>
    <row r="48" spans="1:5">
      <c r="A48">
        <v>12</v>
      </c>
      <c r="B48" t="s">
        <v>453</v>
      </c>
      <c r="C48">
        <v>1</v>
      </c>
      <c r="D48" t="s">
        <v>454</v>
      </c>
      <c r="E48" t="str">
        <f t="shared" si="0"/>
        <v>AddItemPrizeListEx(12,'C252',1)</v>
      </c>
    </row>
    <row r="49" spans="1:5">
      <c r="A49">
        <v>12</v>
      </c>
      <c r="B49" t="s">
        <v>457</v>
      </c>
      <c r="C49">
        <v>1</v>
      </c>
      <c r="D49" t="s">
        <v>458</v>
      </c>
      <c r="E49" t="str">
        <f t="shared" si="0"/>
        <v>AddItemPrizeListEx(12,'C302',1)</v>
      </c>
    </row>
    <row r="50" spans="1:5">
      <c r="A50">
        <v>12</v>
      </c>
      <c r="B50" t="s">
        <v>461</v>
      </c>
      <c r="C50">
        <v>1</v>
      </c>
      <c r="D50" t="s">
        <v>462</v>
      </c>
      <c r="E50" t="str">
        <f t="shared" si="0"/>
        <v>AddItemPrizeListEx(12,'C312',1)</v>
      </c>
    </row>
    <row r="51" spans="1:5">
      <c r="A51">
        <v>12</v>
      </c>
      <c r="B51" t="s">
        <v>465</v>
      </c>
      <c r="C51">
        <v>1</v>
      </c>
      <c r="D51" t="s">
        <v>466</v>
      </c>
      <c r="E51" t="str">
        <f t="shared" si="0"/>
        <v>AddItemPrizeListEx(12,'C322',1)</v>
      </c>
    </row>
    <row r="52" spans="1:5">
      <c r="A52">
        <v>12</v>
      </c>
      <c r="B52" t="s">
        <v>469</v>
      </c>
      <c r="C52">
        <v>1</v>
      </c>
      <c r="D52" t="s">
        <v>470</v>
      </c>
      <c r="E52" t="str">
        <f t="shared" si="0"/>
        <v>AddItemPrizeListEx(12,'C332',1)</v>
      </c>
    </row>
    <row r="53" spans="1:5">
      <c r="A53">
        <v>12</v>
      </c>
      <c r="B53" t="s">
        <v>473</v>
      </c>
      <c r="C53">
        <v>1</v>
      </c>
      <c r="D53" t="s">
        <v>474</v>
      </c>
      <c r="E53" t="str">
        <f t="shared" si="0"/>
        <v>AddItemPrizeListEx(12,'C342',1)</v>
      </c>
    </row>
    <row r="54" spans="1:5">
      <c r="A54">
        <v>12</v>
      </c>
      <c r="B54" t="s">
        <v>477</v>
      </c>
      <c r="C54">
        <v>1</v>
      </c>
      <c r="D54" t="s">
        <v>478</v>
      </c>
      <c r="E54" t="str">
        <f t="shared" si="0"/>
        <v>AddItemPrizeListEx(12,'C352',1)</v>
      </c>
    </row>
    <row r="55" spans="1:5">
      <c r="A55">
        <v>12</v>
      </c>
      <c r="B55" t="s">
        <v>481</v>
      </c>
      <c r="C55">
        <v>1</v>
      </c>
      <c r="D55" t="s">
        <v>482</v>
      </c>
      <c r="E55" t="str">
        <f t="shared" si="0"/>
        <v>AddItemPrizeListEx(12,'C362',1)</v>
      </c>
    </row>
    <row r="56" spans="1:5">
      <c r="A56">
        <v>12</v>
      </c>
      <c r="B56" t="s">
        <v>485</v>
      </c>
      <c r="C56">
        <v>1</v>
      </c>
      <c r="D56" t="s">
        <v>486</v>
      </c>
      <c r="E56" t="str">
        <f t="shared" si="0"/>
        <v>AddItemPrizeListEx(12,'C402',1)</v>
      </c>
    </row>
    <row r="57" spans="1:5">
      <c r="A57">
        <v>12</v>
      </c>
      <c r="B57" t="s">
        <v>489</v>
      </c>
      <c r="C57">
        <v>1</v>
      </c>
      <c r="D57" t="s">
        <v>490</v>
      </c>
      <c r="E57" t="str">
        <f t="shared" si="0"/>
        <v>AddItemPrizeListEx(12,'C412',1)</v>
      </c>
    </row>
    <row r="58" spans="1:5">
      <c r="A58">
        <v>12</v>
      </c>
      <c r="B58" t="s">
        <v>493</v>
      </c>
      <c r="C58">
        <v>1</v>
      </c>
      <c r="D58" t="s">
        <v>494</v>
      </c>
      <c r="E58" t="str">
        <f t="shared" si="0"/>
        <v>AddItemPrizeListEx(12,'C422',1)</v>
      </c>
    </row>
    <row r="59" spans="1:5">
      <c r="A59">
        <v>12</v>
      </c>
      <c r="B59" t="s">
        <v>497</v>
      </c>
      <c r="C59">
        <v>1</v>
      </c>
      <c r="D59" t="s">
        <v>498</v>
      </c>
      <c r="E59" t="str">
        <f t="shared" si="0"/>
        <v>AddItemPrizeListEx(12,'C432',1)</v>
      </c>
    </row>
    <row r="60" spans="1:5">
      <c r="A60">
        <v>12</v>
      </c>
      <c r="B60" t="s">
        <v>501</v>
      </c>
      <c r="C60">
        <v>1</v>
      </c>
      <c r="D60" t="s">
        <v>502</v>
      </c>
      <c r="E60" t="str">
        <f t="shared" si="0"/>
        <v>AddItemPrizeListEx(12,'C442',1)</v>
      </c>
    </row>
    <row r="61" spans="1:5">
      <c r="A61">
        <v>12</v>
      </c>
      <c r="B61" t="s">
        <v>505</v>
      </c>
      <c r="C61">
        <v>1</v>
      </c>
      <c r="D61" t="s">
        <v>506</v>
      </c>
      <c r="E61" t="str">
        <f t="shared" si="0"/>
        <v>AddItemPrizeListEx(12,'C452',1)</v>
      </c>
    </row>
    <row r="62" spans="1:5">
      <c r="A62">
        <v>12</v>
      </c>
      <c r="B62" t="s">
        <v>509</v>
      </c>
      <c r="C62">
        <v>1</v>
      </c>
      <c r="D62" t="s">
        <v>510</v>
      </c>
      <c r="E62" t="str">
        <f t="shared" si="0"/>
        <v>AddItemPrizeListEx(12,'C502',1)</v>
      </c>
    </row>
    <row r="63" spans="1:5">
      <c r="A63">
        <v>12</v>
      </c>
      <c r="B63" t="s">
        <v>513</v>
      </c>
      <c r="C63">
        <v>1</v>
      </c>
      <c r="D63" t="s">
        <v>514</v>
      </c>
      <c r="E63" t="str">
        <f t="shared" si="0"/>
        <v>AddItemPrizeListEx(12,'C512',1)</v>
      </c>
    </row>
    <row r="64" spans="1:5">
      <c r="A64">
        <v>12</v>
      </c>
      <c r="B64" t="s">
        <v>517</v>
      </c>
      <c r="C64">
        <v>1</v>
      </c>
      <c r="D64" t="s">
        <v>518</v>
      </c>
      <c r="E64" t="str">
        <f t="shared" si="0"/>
        <v>AddItemPrizeListEx(12,'C522',1)</v>
      </c>
    </row>
    <row r="65" spans="1:5">
      <c r="A65">
        <v>12</v>
      </c>
      <c r="B65" t="s">
        <v>521</v>
      </c>
      <c r="C65">
        <v>1</v>
      </c>
      <c r="D65" t="s">
        <v>522</v>
      </c>
      <c r="E65" t="str">
        <f t="shared" si="0"/>
        <v>AddItemPrizeListEx(12,'C532',1)</v>
      </c>
    </row>
    <row r="66" spans="1:5">
      <c r="A66">
        <v>12</v>
      </c>
      <c r="B66" t="s">
        <v>525</v>
      </c>
      <c r="C66">
        <v>1</v>
      </c>
      <c r="D66" t="s">
        <v>526</v>
      </c>
      <c r="E66" t="str">
        <f t="shared" si="0"/>
        <v>AddItemPrizeListEx(12,'C542',1)</v>
      </c>
    </row>
    <row r="67" spans="1:5">
      <c r="A67">
        <v>12</v>
      </c>
      <c r="B67" t="s">
        <v>529</v>
      </c>
      <c r="C67">
        <v>1</v>
      </c>
      <c r="D67" t="s">
        <v>530</v>
      </c>
      <c r="E67" t="str">
        <f t="shared" ref="E67:E68" si="1">IF(B67&lt;&gt;"","AddItemPrizeListEx("&amp;A67&amp;",'"&amp;B67&amp;"',"&amp;C67&amp;")","")</f>
        <v>AddItemPrizeListEx(12,'C552',1)</v>
      </c>
    </row>
    <row r="68" spans="1:5">
      <c r="A68">
        <v>12</v>
      </c>
      <c r="B68" t="s">
        <v>533</v>
      </c>
      <c r="C68">
        <v>1</v>
      </c>
      <c r="D68" t="s">
        <v>559</v>
      </c>
      <c r="E68" t="str">
        <f t="shared" si="1"/>
        <v>AddItemPrizeListEx(12,'C562',1)</v>
      </c>
    </row>
  </sheetData>
  <phoneticPr fontId="15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E207"/>
  <sheetViews>
    <sheetView workbookViewId="0">
      <selection activeCell="P12" sqref="P12"/>
    </sheetView>
  </sheetViews>
  <sheetFormatPr defaultRowHeight="14.25"/>
  <cols>
    <col min="4" max="4" width="23.625" customWidth="1"/>
  </cols>
  <sheetData>
    <row r="1" spans="1:5">
      <c r="A1" s="61" t="s">
        <v>302</v>
      </c>
      <c r="B1" s="61" t="s">
        <v>303</v>
      </c>
      <c r="C1" s="61" t="s">
        <v>304</v>
      </c>
      <c r="D1" s="61" t="s">
        <v>305</v>
      </c>
      <c r="E1" s="61" t="s">
        <v>306</v>
      </c>
    </row>
    <row r="2" spans="1:5">
      <c r="A2">
        <v>1</v>
      </c>
      <c r="B2" s="61" t="s">
        <v>174</v>
      </c>
      <c r="C2">
        <v>85</v>
      </c>
      <c r="D2" s="61" t="s">
        <v>560</v>
      </c>
      <c r="E2" t="str">
        <f t="shared" ref="E2:E13" si="0">IF(B2&lt;&gt;"","AddItemPrizeListEx("&amp;A2&amp;",'"&amp;B2&amp;"',"&amp;C2&amp;")","")</f>
        <v>AddItemPrizeListEx(1,'E101',85)</v>
      </c>
    </row>
    <row r="3" spans="1:5">
      <c r="A3">
        <v>1</v>
      </c>
      <c r="B3" s="61" t="s">
        <v>175</v>
      </c>
      <c r="C3">
        <v>85</v>
      </c>
      <c r="D3" s="61" t="s">
        <v>561</v>
      </c>
      <c r="E3" t="str">
        <f t="shared" si="0"/>
        <v>AddItemPrizeListEx(1,'E102',85)</v>
      </c>
    </row>
    <row r="4" spans="1:5">
      <c r="A4">
        <v>1</v>
      </c>
      <c r="B4" s="61" t="s">
        <v>176</v>
      </c>
      <c r="C4">
        <v>85</v>
      </c>
      <c r="D4" s="61" t="s">
        <v>562</v>
      </c>
      <c r="E4" t="str">
        <f t="shared" si="0"/>
        <v>AddItemPrizeListEx(1,'E103',85)</v>
      </c>
    </row>
    <row r="5" spans="1:5">
      <c r="A5">
        <v>1</v>
      </c>
      <c r="B5" s="61" t="s">
        <v>177</v>
      </c>
      <c r="C5">
        <v>85</v>
      </c>
      <c r="D5" s="61" t="s">
        <v>563</v>
      </c>
      <c r="E5" t="str">
        <f t="shared" si="0"/>
        <v>AddItemPrizeListEx(1,'E104',85)</v>
      </c>
    </row>
    <row r="6" spans="1:5">
      <c r="A6">
        <v>1</v>
      </c>
      <c r="B6" s="61" t="s">
        <v>178</v>
      </c>
      <c r="C6">
        <v>85</v>
      </c>
      <c r="D6" s="61" t="s">
        <v>564</v>
      </c>
      <c r="E6" t="str">
        <f t="shared" si="0"/>
        <v>AddItemPrizeListEx(1,'E105',85)</v>
      </c>
    </row>
    <row r="7" spans="1:5">
      <c r="A7">
        <v>1</v>
      </c>
      <c r="B7" s="61" t="s">
        <v>179</v>
      </c>
      <c r="C7">
        <v>85</v>
      </c>
      <c r="D7" s="61" t="s">
        <v>565</v>
      </c>
      <c r="E7" t="str">
        <f t="shared" si="0"/>
        <v>AddItemPrizeListEx(1,'E106',85)</v>
      </c>
    </row>
    <row r="8" spans="1:5">
      <c r="A8">
        <v>1</v>
      </c>
      <c r="B8" s="61" t="s">
        <v>180</v>
      </c>
      <c r="C8">
        <v>85</v>
      </c>
      <c r="D8" s="61" t="s">
        <v>566</v>
      </c>
      <c r="E8" t="str">
        <f t="shared" si="0"/>
        <v>AddItemPrizeListEx(1,'E107',85)</v>
      </c>
    </row>
    <row r="9" spans="1:5">
      <c r="A9">
        <v>1</v>
      </c>
      <c r="B9" s="61" t="s">
        <v>181</v>
      </c>
      <c r="C9">
        <v>85</v>
      </c>
      <c r="D9" s="61" t="s">
        <v>567</v>
      </c>
      <c r="E9" t="str">
        <f t="shared" si="0"/>
        <v>AddItemPrizeListEx(1,'E108',85)</v>
      </c>
    </row>
    <row r="10" spans="1:5">
      <c r="A10">
        <v>1</v>
      </c>
      <c r="B10" s="61" t="s">
        <v>182</v>
      </c>
      <c r="C10">
        <v>85</v>
      </c>
      <c r="D10" s="61" t="s">
        <v>568</v>
      </c>
      <c r="E10" t="str">
        <f t="shared" si="0"/>
        <v>AddItemPrizeListEx(1,'E109',85)</v>
      </c>
    </row>
    <row r="11" spans="1:5">
      <c r="A11">
        <v>1</v>
      </c>
      <c r="B11" s="61" t="s">
        <v>183</v>
      </c>
      <c r="C11">
        <v>85</v>
      </c>
      <c r="D11" s="61" t="s">
        <v>569</v>
      </c>
      <c r="E11" t="str">
        <f t="shared" si="0"/>
        <v>AddItemPrizeListEx(1,'E110',85)</v>
      </c>
    </row>
    <row r="12" spans="1:5">
      <c r="A12">
        <v>1</v>
      </c>
      <c r="B12" s="61" t="s">
        <v>184</v>
      </c>
      <c r="C12">
        <v>85</v>
      </c>
      <c r="D12" s="61" t="s">
        <v>570</v>
      </c>
      <c r="E12" t="str">
        <f t="shared" si="0"/>
        <v>AddItemPrizeListEx(1,'E111',85)</v>
      </c>
    </row>
    <row r="13" spans="1:5">
      <c r="A13">
        <v>1</v>
      </c>
      <c r="B13" s="61" t="s">
        <v>185</v>
      </c>
      <c r="C13">
        <v>85</v>
      </c>
      <c r="D13" s="61" t="s">
        <v>571</v>
      </c>
      <c r="E13" t="str">
        <f t="shared" si="0"/>
        <v>AddItemPrizeListEx(1,'E112',85)</v>
      </c>
    </row>
    <row r="14" spans="1:5">
      <c r="B14" s="61"/>
      <c r="D14" s="61">
        <v>0</v>
      </c>
    </row>
    <row r="15" spans="1:5">
      <c r="A15">
        <v>1</v>
      </c>
      <c r="B15" s="61" t="s">
        <v>162</v>
      </c>
      <c r="C15">
        <v>10</v>
      </c>
      <c r="D15" s="61" t="s">
        <v>572</v>
      </c>
      <c r="E15" t="str">
        <f t="shared" ref="E15:E26" si="1">IF(B15&lt;&gt;"","AddItemPrizeListEx("&amp;A15&amp;",'"&amp;B15&amp;"',"&amp;C15&amp;")","")</f>
        <v>AddItemPrizeListEx(1,'E201',10)</v>
      </c>
    </row>
    <row r="16" spans="1:5">
      <c r="A16">
        <v>1</v>
      </c>
      <c r="B16" s="61" t="s">
        <v>163</v>
      </c>
      <c r="C16">
        <v>10</v>
      </c>
      <c r="D16" s="61" t="s">
        <v>573</v>
      </c>
      <c r="E16" t="str">
        <f t="shared" si="1"/>
        <v>AddItemPrizeListEx(1,'E202',10)</v>
      </c>
    </row>
    <row r="17" spans="1:5">
      <c r="A17">
        <v>1</v>
      </c>
      <c r="B17" s="61" t="s">
        <v>164</v>
      </c>
      <c r="C17">
        <v>10</v>
      </c>
      <c r="D17" s="61" t="s">
        <v>574</v>
      </c>
      <c r="E17" t="str">
        <f t="shared" si="1"/>
        <v>AddItemPrizeListEx(1,'E203',10)</v>
      </c>
    </row>
    <row r="18" spans="1:5">
      <c r="A18">
        <v>1</v>
      </c>
      <c r="B18" s="61" t="s">
        <v>165</v>
      </c>
      <c r="C18">
        <v>10</v>
      </c>
      <c r="D18" s="61" t="s">
        <v>575</v>
      </c>
      <c r="E18" t="str">
        <f t="shared" si="1"/>
        <v>AddItemPrizeListEx(1,'E204',10)</v>
      </c>
    </row>
    <row r="19" spans="1:5">
      <c r="A19">
        <v>1</v>
      </c>
      <c r="B19" s="61" t="s">
        <v>166</v>
      </c>
      <c r="C19">
        <v>10</v>
      </c>
      <c r="D19" s="61" t="s">
        <v>576</v>
      </c>
      <c r="E19" t="str">
        <f t="shared" si="1"/>
        <v>AddItemPrizeListEx(1,'E205',10)</v>
      </c>
    </row>
    <row r="20" spans="1:5">
      <c r="A20">
        <v>1</v>
      </c>
      <c r="B20" s="61" t="s">
        <v>167</v>
      </c>
      <c r="C20">
        <v>10</v>
      </c>
      <c r="D20" s="61" t="s">
        <v>577</v>
      </c>
      <c r="E20" t="str">
        <f t="shared" si="1"/>
        <v>AddItemPrizeListEx(1,'E206',10)</v>
      </c>
    </row>
    <row r="21" spans="1:5">
      <c r="A21">
        <v>1</v>
      </c>
      <c r="B21" s="61" t="s">
        <v>168</v>
      </c>
      <c r="C21">
        <v>10</v>
      </c>
      <c r="D21" s="61" t="s">
        <v>578</v>
      </c>
      <c r="E21" t="str">
        <f t="shared" si="1"/>
        <v>AddItemPrizeListEx(1,'E207',10)</v>
      </c>
    </row>
    <row r="22" spans="1:5">
      <c r="A22">
        <v>1</v>
      </c>
      <c r="B22" s="61" t="s">
        <v>169</v>
      </c>
      <c r="C22">
        <v>10</v>
      </c>
      <c r="D22" s="61" t="s">
        <v>579</v>
      </c>
      <c r="E22" t="str">
        <f t="shared" si="1"/>
        <v>AddItemPrizeListEx(1,'E208',10)</v>
      </c>
    </row>
    <row r="23" spans="1:5">
      <c r="A23">
        <v>1</v>
      </c>
      <c r="B23" s="61" t="s">
        <v>170</v>
      </c>
      <c r="C23">
        <v>10</v>
      </c>
      <c r="D23" s="61" t="s">
        <v>580</v>
      </c>
      <c r="E23" t="str">
        <f t="shared" si="1"/>
        <v>AddItemPrizeListEx(1,'E209',10)</v>
      </c>
    </row>
    <row r="24" spans="1:5">
      <c r="A24">
        <v>1</v>
      </c>
      <c r="B24" s="61" t="s">
        <v>171</v>
      </c>
      <c r="C24">
        <v>10</v>
      </c>
      <c r="D24" s="61" t="s">
        <v>581</v>
      </c>
      <c r="E24" t="str">
        <f t="shared" si="1"/>
        <v>AddItemPrizeListEx(1,'E210',10)</v>
      </c>
    </row>
    <row r="25" spans="1:5">
      <c r="A25">
        <v>1</v>
      </c>
      <c r="B25" s="61" t="s">
        <v>172</v>
      </c>
      <c r="C25">
        <v>10</v>
      </c>
      <c r="D25" s="61" t="s">
        <v>582</v>
      </c>
      <c r="E25" t="str">
        <f t="shared" si="1"/>
        <v>AddItemPrizeListEx(1,'E211',10)</v>
      </c>
    </row>
    <row r="26" spans="1:5">
      <c r="A26">
        <v>1</v>
      </c>
      <c r="B26" s="61" t="s">
        <v>173</v>
      </c>
      <c r="C26">
        <v>10</v>
      </c>
      <c r="D26" s="61" t="s">
        <v>583</v>
      </c>
      <c r="E26" t="str">
        <f t="shared" si="1"/>
        <v>AddItemPrizeListEx(1,'E212',10)</v>
      </c>
    </row>
    <row r="27" spans="1:5">
      <c r="A27" s="24"/>
      <c r="B27" s="61"/>
      <c r="C27" s="61"/>
      <c r="D27" s="61">
        <v>0</v>
      </c>
    </row>
    <row r="28" spans="1:5">
      <c r="A28" s="24">
        <v>1</v>
      </c>
      <c r="B28" s="61" t="s">
        <v>186</v>
      </c>
      <c r="C28" s="61">
        <v>5</v>
      </c>
      <c r="D28" s="61" t="s">
        <v>584</v>
      </c>
      <c r="E28" t="str">
        <f>IF(B28&lt;&gt;"","AddItemPrizeListEx("&amp;A28&amp;",'"&amp;B28&amp;"',"&amp;C28&amp;")","")</f>
        <v>AddItemPrizeListEx(1,'E301',5)</v>
      </c>
    </row>
    <row r="29" spans="1:5">
      <c r="A29" s="24">
        <v>1</v>
      </c>
      <c r="B29" s="61" t="s">
        <v>187</v>
      </c>
      <c r="C29">
        <v>5</v>
      </c>
      <c r="D29" s="61" t="s">
        <v>585</v>
      </c>
      <c r="E29" t="str">
        <f t="shared" ref="E29:E92" si="2">IF(B29&lt;&gt;"","AddItemPrizeListEx("&amp;A29&amp;",'"&amp;B29&amp;"',"&amp;C29&amp;")","")</f>
        <v>AddItemPrizeListEx(1,'E302',5)</v>
      </c>
    </row>
    <row r="30" spans="1:5">
      <c r="A30" s="24">
        <v>1</v>
      </c>
      <c r="B30" s="61" t="s">
        <v>188</v>
      </c>
      <c r="C30" s="61">
        <v>5</v>
      </c>
      <c r="D30" s="61" t="s">
        <v>586</v>
      </c>
      <c r="E30" t="str">
        <f t="shared" si="2"/>
        <v>AddItemPrizeListEx(1,'E303',5)</v>
      </c>
    </row>
    <row r="31" spans="1:5">
      <c r="A31" s="24">
        <v>1</v>
      </c>
      <c r="B31" s="61" t="s">
        <v>189</v>
      </c>
      <c r="C31">
        <v>5</v>
      </c>
      <c r="D31" s="61" t="s">
        <v>587</v>
      </c>
      <c r="E31" t="str">
        <f t="shared" si="2"/>
        <v>AddItemPrizeListEx(1,'E304',5)</v>
      </c>
    </row>
    <row r="32" spans="1:5">
      <c r="A32" s="24">
        <v>1</v>
      </c>
      <c r="B32" s="61" t="s">
        <v>190</v>
      </c>
      <c r="C32" s="61">
        <v>5</v>
      </c>
      <c r="D32" s="61" t="s">
        <v>588</v>
      </c>
      <c r="E32" t="str">
        <f t="shared" si="2"/>
        <v>AddItemPrizeListEx(1,'E305',5)</v>
      </c>
    </row>
    <row r="33" spans="1:5">
      <c r="A33" s="24">
        <v>1</v>
      </c>
      <c r="B33" s="61" t="s">
        <v>192</v>
      </c>
      <c r="C33">
        <v>5</v>
      </c>
      <c r="D33" s="61" t="s">
        <v>589</v>
      </c>
      <c r="E33" t="str">
        <f t="shared" si="2"/>
        <v>AddItemPrizeListEx(1,'E306',5)</v>
      </c>
    </row>
    <row r="34" spans="1:5">
      <c r="A34" s="24">
        <v>1</v>
      </c>
      <c r="B34" s="61" t="s">
        <v>193</v>
      </c>
      <c r="C34" s="61">
        <v>5</v>
      </c>
      <c r="D34" s="61" t="s">
        <v>590</v>
      </c>
      <c r="E34" t="str">
        <f t="shared" si="2"/>
        <v>AddItemPrizeListEx(1,'E307',5)</v>
      </c>
    </row>
    <row r="35" spans="1:5">
      <c r="A35" s="24">
        <v>1</v>
      </c>
      <c r="B35" s="61" t="s">
        <v>194</v>
      </c>
      <c r="C35">
        <v>5</v>
      </c>
      <c r="D35" s="61" t="s">
        <v>591</v>
      </c>
      <c r="E35" t="str">
        <f t="shared" si="2"/>
        <v>AddItemPrizeListEx(1,'E308',5)</v>
      </c>
    </row>
    <row r="36" spans="1:5">
      <c r="A36" s="24">
        <v>1</v>
      </c>
      <c r="B36" s="61" t="s">
        <v>196</v>
      </c>
      <c r="C36" s="61">
        <v>5</v>
      </c>
      <c r="D36" s="61" t="s">
        <v>592</v>
      </c>
      <c r="E36" t="str">
        <f t="shared" si="2"/>
        <v>AddItemPrizeListEx(1,'E309',5)</v>
      </c>
    </row>
    <row r="37" spans="1:5">
      <c r="A37" s="24">
        <v>1</v>
      </c>
      <c r="B37" s="61" t="s">
        <v>198</v>
      </c>
      <c r="C37">
        <v>5</v>
      </c>
      <c r="D37" s="61" t="s">
        <v>593</v>
      </c>
      <c r="E37" t="str">
        <f t="shared" si="2"/>
        <v>AddItemPrizeListEx(1,'E310',5)</v>
      </c>
    </row>
    <row r="38" spans="1:5">
      <c r="A38" s="24">
        <v>1</v>
      </c>
      <c r="B38" s="61" t="s">
        <v>199</v>
      </c>
      <c r="C38" s="61">
        <v>5</v>
      </c>
      <c r="D38" s="61" t="s">
        <v>594</v>
      </c>
      <c r="E38" t="str">
        <f t="shared" si="2"/>
        <v>AddItemPrizeListEx(1,'E311',5)</v>
      </c>
    </row>
    <row r="39" spans="1:5">
      <c r="A39" s="24">
        <v>1</v>
      </c>
      <c r="B39" s="61" t="s">
        <v>200</v>
      </c>
      <c r="C39">
        <v>5</v>
      </c>
      <c r="D39" s="61" t="s">
        <v>595</v>
      </c>
      <c r="E39" t="str">
        <f t="shared" si="2"/>
        <v>AddItemPrizeListEx(1,'E312',5)</v>
      </c>
    </row>
    <row r="40" spans="1:5">
      <c r="A40" s="24">
        <v>1</v>
      </c>
      <c r="B40" s="61" t="s">
        <v>202</v>
      </c>
      <c r="C40" s="61">
        <v>5</v>
      </c>
      <c r="D40" s="61" t="s">
        <v>596</v>
      </c>
      <c r="E40" t="str">
        <f t="shared" si="2"/>
        <v>AddItemPrizeListEx(1,'E313',5)</v>
      </c>
    </row>
    <row r="41" spans="1:5">
      <c r="A41" s="24"/>
      <c r="B41" s="61"/>
      <c r="D41" s="61">
        <v>0</v>
      </c>
      <c r="E41" t="str">
        <f t="shared" si="2"/>
        <v/>
      </c>
    </row>
    <row r="42" spans="1:5">
      <c r="A42" s="24">
        <v>2</v>
      </c>
      <c r="B42" s="61" t="s">
        <v>174</v>
      </c>
      <c r="C42">
        <v>5</v>
      </c>
      <c r="D42" s="61" t="s">
        <v>560</v>
      </c>
      <c r="E42" t="str">
        <f t="shared" si="2"/>
        <v>AddItemPrizeListEx(2,'E101',5)</v>
      </c>
    </row>
    <row r="43" spans="1:5">
      <c r="A43" s="24">
        <v>2</v>
      </c>
      <c r="B43" s="61" t="s">
        <v>175</v>
      </c>
      <c r="C43">
        <v>5</v>
      </c>
      <c r="D43" s="61" t="s">
        <v>561</v>
      </c>
      <c r="E43" t="str">
        <f t="shared" si="2"/>
        <v>AddItemPrizeListEx(2,'E102',5)</v>
      </c>
    </row>
    <row r="44" spans="1:5">
      <c r="A44" s="24">
        <v>2</v>
      </c>
      <c r="B44" s="61" t="s">
        <v>176</v>
      </c>
      <c r="C44">
        <v>5</v>
      </c>
      <c r="D44" s="61" t="s">
        <v>562</v>
      </c>
      <c r="E44" t="str">
        <f t="shared" si="2"/>
        <v>AddItemPrizeListEx(2,'E103',5)</v>
      </c>
    </row>
    <row r="45" spans="1:5">
      <c r="A45" s="24">
        <v>2</v>
      </c>
      <c r="B45" s="61" t="s">
        <v>177</v>
      </c>
      <c r="C45">
        <v>5</v>
      </c>
      <c r="D45" s="61" t="s">
        <v>563</v>
      </c>
      <c r="E45" t="str">
        <f t="shared" si="2"/>
        <v>AddItemPrizeListEx(2,'E104',5)</v>
      </c>
    </row>
    <row r="46" spans="1:5">
      <c r="A46" s="24">
        <v>2</v>
      </c>
      <c r="B46" s="61" t="s">
        <v>178</v>
      </c>
      <c r="C46">
        <v>5</v>
      </c>
      <c r="D46" s="61" t="s">
        <v>564</v>
      </c>
      <c r="E46" t="str">
        <f t="shared" si="2"/>
        <v>AddItemPrizeListEx(2,'E105',5)</v>
      </c>
    </row>
    <row r="47" spans="1:5">
      <c r="A47" s="24">
        <v>2</v>
      </c>
      <c r="B47" s="61" t="s">
        <v>179</v>
      </c>
      <c r="C47">
        <v>5</v>
      </c>
      <c r="D47" s="61" t="s">
        <v>565</v>
      </c>
      <c r="E47" t="str">
        <f t="shared" si="2"/>
        <v>AddItemPrizeListEx(2,'E106',5)</v>
      </c>
    </row>
    <row r="48" spans="1:5">
      <c r="A48" s="24">
        <v>2</v>
      </c>
      <c r="B48" s="61" t="s">
        <v>180</v>
      </c>
      <c r="C48">
        <v>5</v>
      </c>
      <c r="D48" s="61" t="s">
        <v>566</v>
      </c>
      <c r="E48" t="str">
        <f t="shared" si="2"/>
        <v>AddItemPrizeListEx(2,'E107',5)</v>
      </c>
    </row>
    <row r="49" spans="1:5">
      <c r="A49" s="24">
        <v>2</v>
      </c>
      <c r="B49" s="61" t="s">
        <v>181</v>
      </c>
      <c r="C49">
        <v>5</v>
      </c>
      <c r="D49" s="61" t="s">
        <v>567</v>
      </c>
      <c r="E49" t="str">
        <f t="shared" si="2"/>
        <v>AddItemPrizeListEx(2,'E108',5)</v>
      </c>
    </row>
    <row r="50" spans="1:5">
      <c r="A50" s="24">
        <v>2</v>
      </c>
      <c r="B50" s="61" t="s">
        <v>182</v>
      </c>
      <c r="C50">
        <v>5</v>
      </c>
      <c r="D50" s="61" t="s">
        <v>568</v>
      </c>
      <c r="E50" t="str">
        <f t="shared" si="2"/>
        <v>AddItemPrizeListEx(2,'E109',5)</v>
      </c>
    </row>
    <row r="51" spans="1:5">
      <c r="A51" s="24">
        <v>2</v>
      </c>
      <c r="B51" s="61" t="s">
        <v>183</v>
      </c>
      <c r="C51">
        <v>5</v>
      </c>
      <c r="D51" s="61" t="s">
        <v>569</v>
      </c>
      <c r="E51" t="str">
        <f t="shared" si="2"/>
        <v>AddItemPrizeListEx(2,'E110',5)</v>
      </c>
    </row>
    <row r="52" spans="1:5">
      <c r="A52" s="24">
        <v>2</v>
      </c>
      <c r="B52" s="61" t="s">
        <v>184</v>
      </c>
      <c r="C52">
        <v>5</v>
      </c>
      <c r="D52" s="61" t="s">
        <v>570</v>
      </c>
      <c r="E52" t="str">
        <f t="shared" si="2"/>
        <v>AddItemPrizeListEx(2,'E111',5)</v>
      </c>
    </row>
    <row r="53" spans="1:5">
      <c r="A53" s="24">
        <v>2</v>
      </c>
      <c r="B53" s="61" t="s">
        <v>185</v>
      </c>
      <c r="C53">
        <v>5</v>
      </c>
      <c r="D53" s="61" t="s">
        <v>571</v>
      </c>
      <c r="E53" t="str">
        <f t="shared" si="2"/>
        <v>AddItemPrizeListEx(2,'E112',5)</v>
      </c>
    </row>
    <row r="54" spans="1:5">
      <c r="A54" s="24"/>
      <c r="B54" s="61"/>
      <c r="D54" s="61">
        <v>0</v>
      </c>
      <c r="E54" t="str">
        <f t="shared" si="2"/>
        <v/>
      </c>
    </row>
    <row r="55" spans="1:5">
      <c r="A55" s="24">
        <v>2</v>
      </c>
      <c r="B55" s="61" t="s">
        <v>162</v>
      </c>
      <c r="C55">
        <v>80</v>
      </c>
      <c r="D55" s="61" t="s">
        <v>572</v>
      </c>
      <c r="E55" t="str">
        <f t="shared" si="2"/>
        <v>AddItemPrizeListEx(2,'E201',80)</v>
      </c>
    </row>
    <row r="56" spans="1:5">
      <c r="A56" s="24">
        <v>2</v>
      </c>
      <c r="B56" s="61" t="s">
        <v>163</v>
      </c>
      <c r="C56">
        <v>80</v>
      </c>
      <c r="D56" s="61" t="s">
        <v>573</v>
      </c>
      <c r="E56" t="str">
        <f t="shared" si="2"/>
        <v>AddItemPrizeListEx(2,'E202',80)</v>
      </c>
    </row>
    <row r="57" spans="1:5">
      <c r="A57" s="24">
        <v>2</v>
      </c>
      <c r="B57" s="61" t="s">
        <v>164</v>
      </c>
      <c r="C57">
        <v>80</v>
      </c>
      <c r="D57" s="61" t="s">
        <v>574</v>
      </c>
      <c r="E57" t="str">
        <f t="shared" si="2"/>
        <v>AddItemPrizeListEx(2,'E203',80)</v>
      </c>
    </row>
    <row r="58" spans="1:5">
      <c r="A58" s="24">
        <v>2</v>
      </c>
      <c r="B58" s="61" t="s">
        <v>165</v>
      </c>
      <c r="C58">
        <v>80</v>
      </c>
      <c r="D58" s="61" t="s">
        <v>575</v>
      </c>
      <c r="E58" t="str">
        <f t="shared" si="2"/>
        <v>AddItemPrizeListEx(2,'E204',80)</v>
      </c>
    </row>
    <row r="59" spans="1:5">
      <c r="A59" s="24">
        <v>2</v>
      </c>
      <c r="B59" s="61" t="s">
        <v>166</v>
      </c>
      <c r="C59">
        <v>80</v>
      </c>
      <c r="D59" s="61" t="s">
        <v>576</v>
      </c>
      <c r="E59" t="str">
        <f t="shared" si="2"/>
        <v>AddItemPrizeListEx(2,'E205',80)</v>
      </c>
    </row>
    <row r="60" spans="1:5">
      <c r="A60" s="24">
        <v>2</v>
      </c>
      <c r="B60" s="61" t="s">
        <v>167</v>
      </c>
      <c r="C60">
        <v>80</v>
      </c>
      <c r="D60" s="61" t="s">
        <v>577</v>
      </c>
      <c r="E60" t="str">
        <f t="shared" si="2"/>
        <v>AddItemPrizeListEx(2,'E206',80)</v>
      </c>
    </row>
    <row r="61" spans="1:5">
      <c r="A61" s="24">
        <v>2</v>
      </c>
      <c r="B61" s="61" t="s">
        <v>168</v>
      </c>
      <c r="C61">
        <v>80</v>
      </c>
      <c r="D61" s="61" t="s">
        <v>578</v>
      </c>
      <c r="E61" t="str">
        <f t="shared" si="2"/>
        <v>AddItemPrizeListEx(2,'E207',80)</v>
      </c>
    </row>
    <row r="62" spans="1:5">
      <c r="A62" s="24">
        <v>2</v>
      </c>
      <c r="B62" s="61" t="s">
        <v>169</v>
      </c>
      <c r="C62">
        <v>80</v>
      </c>
      <c r="D62" s="61" t="s">
        <v>579</v>
      </c>
      <c r="E62" t="str">
        <f t="shared" si="2"/>
        <v>AddItemPrizeListEx(2,'E208',80)</v>
      </c>
    </row>
    <row r="63" spans="1:5">
      <c r="A63" s="24">
        <v>2</v>
      </c>
      <c r="B63" s="61" t="s">
        <v>170</v>
      </c>
      <c r="C63">
        <v>80</v>
      </c>
      <c r="D63" s="61" t="s">
        <v>580</v>
      </c>
      <c r="E63" t="str">
        <f t="shared" si="2"/>
        <v>AddItemPrizeListEx(2,'E209',80)</v>
      </c>
    </row>
    <row r="64" spans="1:5">
      <c r="A64" s="24">
        <v>2</v>
      </c>
      <c r="B64" s="61" t="s">
        <v>171</v>
      </c>
      <c r="C64">
        <v>80</v>
      </c>
      <c r="D64" s="61" t="s">
        <v>581</v>
      </c>
      <c r="E64" t="str">
        <f t="shared" si="2"/>
        <v>AddItemPrizeListEx(2,'E210',80)</v>
      </c>
    </row>
    <row r="65" spans="1:5">
      <c r="A65" s="24">
        <v>2</v>
      </c>
      <c r="B65" s="61" t="s">
        <v>172</v>
      </c>
      <c r="C65">
        <v>80</v>
      </c>
      <c r="D65" s="61" t="s">
        <v>582</v>
      </c>
      <c r="E65" t="str">
        <f t="shared" si="2"/>
        <v>AddItemPrizeListEx(2,'E211',80)</v>
      </c>
    </row>
    <row r="66" spans="1:5">
      <c r="A66" s="24">
        <v>2</v>
      </c>
      <c r="B66" s="61" t="s">
        <v>173</v>
      </c>
      <c r="C66">
        <v>80</v>
      </c>
      <c r="D66" s="61" t="s">
        <v>583</v>
      </c>
      <c r="E66" t="str">
        <f t="shared" si="2"/>
        <v>AddItemPrizeListEx(2,'E212',80)</v>
      </c>
    </row>
    <row r="67" spans="1:5">
      <c r="B67" s="61"/>
      <c r="D67" s="61">
        <v>0</v>
      </c>
      <c r="E67" t="str">
        <f t="shared" si="2"/>
        <v/>
      </c>
    </row>
    <row r="68" spans="1:5">
      <c r="A68" s="24">
        <v>2</v>
      </c>
      <c r="B68" s="61" t="s">
        <v>186</v>
      </c>
      <c r="C68">
        <v>10</v>
      </c>
      <c r="D68" s="61" t="s">
        <v>584</v>
      </c>
      <c r="E68" t="str">
        <f t="shared" si="2"/>
        <v>AddItemPrizeListEx(2,'E301',10)</v>
      </c>
    </row>
    <row r="69" spans="1:5">
      <c r="A69" s="24">
        <v>2</v>
      </c>
      <c r="B69" s="61" t="s">
        <v>187</v>
      </c>
      <c r="C69">
        <v>10</v>
      </c>
      <c r="D69" s="61" t="s">
        <v>585</v>
      </c>
      <c r="E69" t="str">
        <f t="shared" si="2"/>
        <v>AddItemPrizeListEx(2,'E302',10)</v>
      </c>
    </row>
    <row r="70" spans="1:5">
      <c r="A70" s="24">
        <v>2</v>
      </c>
      <c r="B70" s="61" t="s">
        <v>188</v>
      </c>
      <c r="C70">
        <v>10</v>
      </c>
      <c r="D70" s="61" t="s">
        <v>586</v>
      </c>
      <c r="E70" t="str">
        <f t="shared" si="2"/>
        <v>AddItemPrizeListEx(2,'E303',10)</v>
      </c>
    </row>
    <row r="71" spans="1:5">
      <c r="A71" s="24">
        <v>2</v>
      </c>
      <c r="B71" s="61" t="s">
        <v>189</v>
      </c>
      <c r="C71">
        <v>10</v>
      </c>
      <c r="D71" s="61" t="s">
        <v>587</v>
      </c>
      <c r="E71" t="str">
        <f t="shared" si="2"/>
        <v>AddItemPrizeListEx(2,'E304',10)</v>
      </c>
    </row>
    <row r="72" spans="1:5">
      <c r="A72" s="24">
        <v>2</v>
      </c>
      <c r="B72" s="61" t="s">
        <v>190</v>
      </c>
      <c r="C72">
        <v>10</v>
      </c>
      <c r="D72" s="61" t="s">
        <v>588</v>
      </c>
      <c r="E72" t="str">
        <f t="shared" si="2"/>
        <v>AddItemPrizeListEx(2,'E305',10)</v>
      </c>
    </row>
    <row r="73" spans="1:5">
      <c r="A73" s="24">
        <v>2</v>
      </c>
      <c r="B73" s="61" t="s">
        <v>192</v>
      </c>
      <c r="C73">
        <v>10</v>
      </c>
      <c r="D73" s="61" t="s">
        <v>589</v>
      </c>
      <c r="E73" t="str">
        <f t="shared" si="2"/>
        <v>AddItemPrizeListEx(2,'E306',10)</v>
      </c>
    </row>
    <row r="74" spans="1:5">
      <c r="A74" s="24">
        <v>2</v>
      </c>
      <c r="B74" s="61" t="s">
        <v>193</v>
      </c>
      <c r="C74">
        <v>10</v>
      </c>
      <c r="D74" s="61" t="s">
        <v>590</v>
      </c>
      <c r="E74" t="str">
        <f t="shared" si="2"/>
        <v>AddItemPrizeListEx(2,'E307',10)</v>
      </c>
    </row>
    <row r="75" spans="1:5">
      <c r="A75" s="24">
        <v>2</v>
      </c>
      <c r="B75" s="61" t="s">
        <v>194</v>
      </c>
      <c r="C75">
        <v>10</v>
      </c>
      <c r="D75" s="61" t="s">
        <v>591</v>
      </c>
      <c r="E75" t="str">
        <f t="shared" si="2"/>
        <v>AddItemPrizeListEx(2,'E308',10)</v>
      </c>
    </row>
    <row r="76" spans="1:5">
      <c r="A76" s="24">
        <v>2</v>
      </c>
      <c r="B76" s="61" t="s">
        <v>196</v>
      </c>
      <c r="C76">
        <v>10</v>
      </c>
      <c r="D76" s="61" t="s">
        <v>592</v>
      </c>
      <c r="E76" t="str">
        <f t="shared" si="2"/>
        <v>AddItemPrizeListEx(2,'E309',10)</v>
      </c>
    </row>
    <row r="77" spans="1:5">
      <c r="A77" s="24">
        <v>2</v>
      </c>
      <c r="B77" s="61" t="s">
        <v>198</v>
      </c>
      <c r="C77">
        <v>10</v>
      </c>
      <c r="D77" s="61" t="s">
        <v>593</v>
      </c>
      <c r="E77" t="str">
        <f t="shared" si="2"/>
        <v>AddItemPrizeListEx(2,'E310',10)</v>
      </c>
    </row>
    <row r="78" spans="1:5">
      <c r="A78" s="24">
        <v>2</v>
      </c>
      <c r="B78" s="61" t="s">
        <v>199</v>
      </c>
      <c r="C78">
        <v>10</v>
      </c>
      <c r="D78" s="61" t="s">
        <v>594</v>
      </c>
      <c r="E78" t="str">
        <f t="shared" si="2"/>
        <v>AddItemPrizeListEx(2,'E311',10)</v>
      </c>
    </row>
    <row r="79" spans="1:5">
      <c r="A79" s="24">
        <v>2</v>
      </c>
      <c r="B79" s="61" t="s">
        <v>200</v>
      </c>
      <c r="C79">
        <v>10</v>
      </c>
      <c r="D79" s="61" t="s">
        <v>595</v>
      </c>
      <c r="E79" t="str">
        <f t="shared" si="2"/>
        <v>AddItemPrizeListEx(2,'E312',10)</v>
      </c>
    </row>
    <row r="80" spans="1:5">
      <c r="A80" s="24">
        <v>2</v>
      </c>
      <c r="B80" s="61" t="s">
        <v>202</v>
      </c>
      <c r="C80">
        <v>10</v>
      </c>
      <c r="D80" s="61" t="s">
        <v>596</v>
      </c>
      <c r="E80" t="str">
        <f t="shared" si="2"/>
        <v>AddItemPrizeListEx(2,'E313',10)</v>
      </c>
    </row>
    <row r="81" spans="1:5">
      <c r="A81" s="24"/>
      <c r="B81" s="61"/>
      <c r="D81" s="61">
        <v>0</v>
      </c>
      <c r="E81" t="str">
        <f t="shared" si="2"/>
        <v/>
      </c>
    </row>
    <row r="82" spans="1:5">
      <c r="A82" s="24">
        <v>2</v>
      </c>
      <c r="B82" s="61" t="s">
        <v>191</v>
      </c>
      <c r="C82">
        <v>5</v>
      </c>
      <c r="D82" s="61" t="s">
        <v>597</v>
      </c>
      <c r="E82" t="str">
        <f t="shared" si="2"/>
        <v>AddItemPrizeListEx(2,'E401',5)</v>
      </c>
    </row>
    <row r="83" spans="1:5">
      <c r="A83" s="24">
        <v>2</v>
      </c>
      <c r="B83" s="61" t="s">
        <v>195</v>
      </c>
      <c r="C83">
        <v>5</v>
      </c>
      <c r="D83" s="61" t="s">
        <v>598</v>
      </c>
      <c r="E83" t="str">
        <f t="shared" si="2"/>
        <v>AddItemPrizeListEx(2,'E402',5)</v>
      </c>
    </row>
    <row r="84" spans="1:5">
      <c r="A84" s="24">
        <v>2</v>
      </c>
      <c r="B84" s="61" t="s">
        <v>197</v>
      </c>
      <c r="C84">
        <v>5</v>
      </c>
      <c r="D84" s="61" t="s">
        <v>599</v>
      </c>
      <c r="E84" t="str">
        <f t="shared" si="2"/>
        <v>AddItemPrizeListEx(2,'E403',5)</v>
      </c>
    </row>
    <row r="85" spans="1:5">
      <c r="A85" s="24">
        <v>2</v>
      </c>
      <c r="B85" s="61" t="s">
        <v>201</v>
      </c>
      <c r="C85">
        <v>5</v>
      </c>
      <c r="D85" s="61" t="s">
        <v>600</v>
      </c>
      <c r="E85" t="str">
        <f t="shared" si="2"/>
        <v>AddItemPrizeListEx(2,'E404',5)</v>
      </c>
    </row>
    <row r="86" spans="1:5">
      <c r="A86" s="24">
        <v>2</v>
      </c>
      <c r="B86" s="61" t="s">
        <v>203</v>
      </c>
      <c r="C86">
        <v>5</v>
      </c>
      <c r="D86" s="61" t="s">
        <v>601</v>
      </c>
      <c r="E86" t="str">
        <f t="shared" si="2"/>
        <v>AddItemPrizeListEx(2,'E405',5)</v>
      </c>
    </row>
    <row r="87" spans="1:5">
      <c r="A87" s="24">
        <v>2</v>
      </c>
      <c r="B87" s="61" t="s">
        <v>204</v>
      </c>
      <c r="C87">
        <v>5</v>
      </c>
      <c r="D87" s="61" t="s">
        <v>602</v>
      </c>
      <c r="E87" t="str">
        <f t="shared" si="2"/>
        <v>AddItemPrizeListEx(2,'E406',5)</v>
      </c>
    </row>
    <row r="88" spans="1:5">
      <c r="A88" s="24">
        <v>2</v>
      </c>
      <c r="B88" s="61" t="s">
        <v>205</v>
      </c>
      <c r="C88">
        <v>5</v>
      </c>
      <c r="D88" s="61" t="s">
        <v>603</v>
      </c>
      <c r="E88" t="str">
        <f t="shared" si="2"/>
        <v>AddItemPrizeListEx(2,'E407',5)</v>
      </c>
    </row>
    <row r="89" spans="1:5">
      <c r="A89" s="24">
        <v>2</v>
      </c>
      <c r="B89" s="61" t="s">
        <v>206</v>
      </c>
      <c r="C89">
        <v>5</v>
      </c>
      <c r="D89" s="61" t="s">
        <v>604</v>
      </c>
      <c r="E89" t="str">
        <f t="shared" si="2"/>
        <v>AddItemPrizeListEx(2,'E408',5)</v>
      </c>
    </row>
    <row r="90" spans="1:5">
      <c r="A90" s="24">
        <v>2</v>
      </c>
      <c r="B90" s="61" t="s">
        <v>207</v>
      </c>
      <c r="C90">
        <v>5</v>
      </c>
      <c r="D90" s="61" t="s">
        <v>605</v>
      </c>
      <c r="E90" t="str">
        <f t="shared" si="2"/>
        <v>AddItemPrizeListEx(2,'E409',5)</v>
      </c>
    </row>
    <row r="91" spans="1:5">
      <c r="A91" s="24">
        <v>2</v>
      </c>
      <c r="B91" s="61" t="s">
        <v>208</v>
      </c>
      <c r="C91">
        <v>5</v>
      </c>
      <c r="D91" s="61" t="s">
        <v>606</v>
      </c>
      <c r="E91" t="str">
        <f t="shared" si="2"/>
        <v>AddItemPrizeListEx(2,'E410',5)</v>
      </c>
    </row>
    <row r="92" spans="1:5">
      <c r="A92" s="24">
        <v>2</v>
      </c>
      <c r="B92" s="61" t="s">
        <v>209</v>
      </c>
      <c r="C92">
        <v>5</v>
      </c>
      <c r="D92" s="61" t="s">
        <v>607</v>
      </c>
      <c r="E92" t="str">
        <f t="shared" si="2"/>
        <v>AddItemPrizeListEx(2,'E411',5)</v>
      </c>
    </row>
    <row r="93" spans="1:5">
      <c r="A93" s="24">
        <v>2</v>
      </c>
      <c r="B93" s="61" t="s">
        <v>210</v>
      </c>
      <c r="C93">
        <v>5</v>
      </c>
      <c r="D93" s="61" t="s">
        <v>608</v>
      </c>
      <c r="E93" t="str">
        <f t="shared" ref="E93:E156" si="3">IF(B93&lt;&gt;"","AddItemPrizeListEx("&amp;A93&amp;",'"&amp;B93&amp;"',"&amp;C93&amp;")","")</f>
        <v>AddItemPrizeListEx(2,'E412',5)</v>
      </c>
    </row>
    <row r="94" spans="1:5">
      <c r="C94" s="24"/>
      <c r="D94" s="61">
        <v>0</v>
      </c>
      <c r="E94" t="str">
        <f t="shared" si="3"/>
        <v/>
      </c>
    </row>
    <row r="95" spans="1:5">
      <c r="A95">
        <v>3</v>
      </c>
      <c r="B95" s="61" t="s">
        <v>162</v>
      </c>
      <c r="C95" s="24">
        <v>5</v>
      </c>
      <c r="D95" s="61" t="s">
        <v>572</v>
      </c>
      <c r="E95" t="str">
        <f t="shared" si="3"/>
        <v>AddItemPrizeListEx(3,'E201',5)</v>
      </c>
    </row>
    <row r="96" spans="1:5">
      <c r="A96" s="61">
        <v>3</v>
      </c>
      <c r="B96" s="61" t="s">
        <v>163</v>
      </c>
      <c r="C96">
        <v>5</v>
      </c>
      <c r="D96" s="61" t="s">
        <v>573</v>
      </c>
      <c r="E96" t="str">
        <f t="shared" si="3"/>
        <v>AddItemPrizeListEx(3,'E202',5)</v>
      </c>
    </row>
    <row r="97" spans="1:5">
      <c r="A97">
        <v>3</v>
      </c>
      <c r="B97" s="61" t="s">
        <v>164</v>
      </c>
      <c r="C97" s="24">
        <v>5</v>
      </c>
      <c r="D97" s="61" t="s">
        <v>574</v>
      </c>
      <c r="E97" t="str">
        <f t="shared" si="3"/>
        <v>AddItemPrizeListEx(3,'E203',5)</v>
      </c>
    </row>
    <row r="98" spans="1:5">
      <c r="A98" s="61">
        <v>3</v>
      </c>
      <c r="B98" s="61" t="s">
        <v>165</v>
      </c>
      <c r="C98">
        <v>5</v>
      </c>
      <c r="D98" s="61" t="s">
        <v>575</v>
      </c>
      <c r="E98" t="str">
        <f t="shared" si="3"/>
        <v>AddItemPrizeListEx(3,'E204',5)</v>
      </c>
    </row>
    <row r="99" spans="1:5">
      <c r="A99">
        <v>3</v>
      </c>
      <c r="B99" s="61" t="s">
        <v>166</v>
      </c>
      <c r="C99" s="24">
        <v>5</v>
      </c>
      <c r="D99" s="61" t="s">
        <v>576</v>
      </c>
      <c r="E99" t="str">
        <f t="shared" si="3"/>
        <v>AddItemPrizeListEx(3,'E205',5)</v>
      </c>
    </row>
    <row r="100" spans="1:5">
      <c r="A100" s="61">
        <v>3</v>
      </c>
      <c r="B100" s="61" t="s">
        <v>167</v>
      </c>
      <c r="C100">
        <v>5</v>
      </c>
      <c r="D100" s="61" t="s">
        <v>577</v>
      </c>
      <c r="E100" t="str">
        <f t="shared" si="3"/>
        <v>AddItemPrizeListEx(3,'E206',5)</v>
      </c>
    </row>
    <row r="101" spans="1:5">
      <c r="A101">
        <v>3</v>
      </c>
      <c r="B101" s="61" t="s">
        <v>168</v>
      </c>
      <c r="C101" s="24">
        <v>5</v>
      </c>
      <c r="D101" s="61" t="s">
        <v>578</v>
      </c>
      <c r="E101" t="str">
        <f t="shared" si="3"/>
        <v>AddItemPrizeListEx(3,'E207',5)</v>
      </c>
    </row>
    <row r="102" spans="1:5">
      <c r="A102" s="61">
        <v>3</v>
      </c>
      <c r="B102" s="61" t="s">
        <v>169</v>
      </c>
      <c r="C102">
        <v>5</v>
      </c>
      <c r="D102" s="61" t="s">
        <v>579</v>
      </c>
      <c r="E102" t="str">
        <f t="shared" si="3"/>
        <v>AddItemPrizeListEx(3,'E208',5)</v>
      </c>
    </row>
    <row r="103" spans="1:5">
      <c r="A103">
        <v>3</v>
      </c>
      <c r="B103" s="61" t="s">
        <v>170</v>
      </c>
      <c r="C103" s="24">
        <v>5</v>
      </c>
      <c r="D103" s="61" t="s">
        <v>580</v>
      </c>
      <c r="E103" t="str">
        <f t="shared" si="3"/>
        <v>AddItemPrizeListEx(3,'E209',5)</v>
      </c>
    </row>
    <row r="104" spans="1:5">
      <c r="A104" s="61">
        <v>3</v>
      </c>
      <c r="B104" s="61" t="s">
        <v>171</v>
      </c>
      <c r="C104">
        <v>5</v>
      </c>
      <c r="D104" s="61" t="s">
        <v>581</v>
      </c>
      <c r="E104" t="str">
        <f t="shared" si="3"/>
        <v>AddItemPrizeListEx(3,'E210',5)</v>
      </c>
    </row>
    <row r="105" spans="1:5">
      <c r="A105">
        <v>3</v>
      </c>
      <c r="B105" s="61" t="s">
        <v>172</v>
      </c>
      <c r="C105" s="24">
        <v>5</v>
      </c>
      <c r="D105" s="61" t="s">
        <v>582</v>
      </c>
      <c r="E105" t="str">
        <f t="shared" si="3"/>
        <v>AddItemPrizeListEx(3,'E211',5)</v>
      </c>
    </row>
    <row r="106" spans="1:5">
      <c r="A106" s="61">
        <v>3</v>
      </c>
      <c r="B106" s="61" t="s">
        <v>173</v>
      </c>
      <c r="C106">
        <v>5</v>
      </c>
      <c r="D106" s="61" t="s">
        <v>583</v>
      </c>
      <c r="E106" t="str">
        <f t="shared" si="3"/>
        <v>AddItemPrizeListEx(3,'E212',5)</v>
      </c>
    </row>
    <row r="107" spans="1:5">
      <c r="B107" s="61"/>
      <c r="D107" s="61">
        <v>0</v>
      </c>
      <c r="E107" t="str">
        <f t="shared" si="3"/>
        <v/>
      </c>
    </row>
    <row r="108" spans="1:5">
      <c r="A108" s="61">
        <v>3</v>
      </c>
      <c r="B108" s="61" t="s">
        <v>186</v>
      </c>
      <c r="C108">
        <v>80</v>
      </c>
      <c r="D108" s="61" t="s">
        <v>584</v>
      </c>
      <c r="E108" t="str">
        <f t="shared" si="3"/>
        <v>AddItemPrizeListEx(3,'E301',80)</v>
      </c>
    </row>
    <row r="109" spans="1:5">
      <c r="A109">
        <v>3</v>
      </c>
      <c r="B109" s="61" t="s">
        <v>187</v>
      </c>
      <c r="C109">
        <v>80</v>
      </c>
      <c r="D109" s="61" t="s">
        <v>585</v>
      </c>
      <c r="E109" t="str">
        <f t="shared" si="3"/>
        <v>AddItemPrizeListEx(3,'E302',80)</v>
      </c>
    </row>
    <row r="110" spans="1:5">
      <c r="A110" s="61">
        <v>3</v>
      </c>
      <c r="B110" s="61" t="s">
        <v>188</v>
      </c>
      <c r="C110">
        <v>80</v>
      </c>
      <c r="D110" s="61" t="s">
        <v>586</v>
      </c>
      <c r="E110" t="str">
        <f t="shared" si="3"/>
        <v>AddItemPrizeListEx(3,'E303',80)</v>
      </c>
    </row>
    <row r="111" spans="1:5">
      <c r="A111">
        <v>3</v>
      </c>
      <c r="B111" s="61" t="s">
        <v>189</v>
      </c>
      <c r="C111">
        <v>80</v>
      </c>
      <c r="D111" s="61" t="s">
        <v>587</v>
      </c>
      <c r="E111" t="str">
        <f t="shared" si="3"/>
        <v>AddItemPrizeListEx(3,'E304',80)</v>
      </c>
    </row>
    <row r="112" spans="1:5">
      <c r="A112" s="61">
        <v>3</v>
      </c>
      <c r="B112" s="61" t="s">
        <v>190</v>
      </c>
      <c r="C112">
        <v>80</v>
      </c>
      <c r="D112" s="61" t="s">
        <v>588</v>
      </c>
      <c r="E112" t="str">
        <f t="shared" si="3"/>
        <v>AddItemPrizeListEx(3,'E305',80)</v>
      </c>
    </row>
    <row r="113" spans="1:5">
      <c r="A113">
        <v>3</v>
      </c>
      <c r="B113" s="61" t="s">
        <v>192</v>
      </c>
      <c r="C113">
        <v>80</v>
      </c>
      <c r="D113" s="61" t="s">
        <v>589</v>
      </c>
      <c r="E113" t="str">
        <f t="shared" si="3"/>
        <v>AddItemPrizeListEx(3,'E306',80)</v>
      </c>
    </row>
    <row r="114" spans="1:5">
      <c r="A114" s="61">
        <v>3</v>
      </c>
      <c r="B114" s="61" t="s">
        <v>193</v>
      </c>
      <c r="C114">
        <v>80</v>
      </c>
      <c r="D114" s="61" t="s">
        <v>590</v>
      </c>
      <c r="E114" t="str">
        <f t="shared" si="3"/>
        <v>AddItemPrizeListEx(3,'E307',80)</v>
      </c>
    </row>
    <row r="115" spans="1:5">
      <c r="A115">
        <v>3</v>
      </c>
      <c r="B115" s="61" t="s">
        <v>194</v>
      </c>
      <c r="C115">
        <v>80</v>
      </c>
      <c r="D115" s="61" t="s">
        <v>591</v>
      </c>
      <c r="E115" t="str">
        <f t="shared" si="3"/>
        <v>AddItemPrizeListEx(3,'E308',80)</v>
      </c>
    </row>
    <row r="116" spans="1:5">
      <c r="A116" s="61">
        <v>3</v>
      </c>
      <c r="B116" s="61" t="s">
        <v>196</v>
      </c>
      <c r="C116">
        <v>80</v>
      </c>
      <c r="D116" s="61" t="s">
        <v>592</v>
      </c>
      <c r="E116" t="str">
        <f t="shared" si="3"/>
        <v>AddItemPrizeListEx(3,'E309',80)</v>
      </c>
    </row>
    <row r="117" spans="1:5">
      <c r="A117">
        <v>3</v>
      </c>
      <c r="B117" s="61" t="s">
        <v>198</v>
      </c>
      <c r="C117">
        <v>80</v>
      </c>
      <c r="D117" s="61" t="s">
        <v>593</v>
      </c>
      <c r="E117" t="str">
        <f t="shared" si="3"/>
        <v>AddItemPrizeListEx(3,'E310',80)</v>
      </c>
    </row>
    <row r="118" spans="1:5">
      <c r="A118" s="61">
        <v>3</v>
      </c>
      <c r="B118" s="61" t="s">
        <v>199</v>
      </c>
      <c r="C118">
        <v>80</v>
      </c>
      <c r="D118" s="61" t="s">
        <v>594</v>
      </c>
      <c r="E118" t="str">
        <f t="shared" si="3"/>
        <v>AddItemPrizeListEx(3,'E311',80)</v>
      </c>
    </row>
    <row r="119" spans="1:5">
      <c r="A119">
        <v>3</v>
      </c>
      <c r="B119" s="61" t="s">
        <v>200</v>
      </c>
      <c r="C119">
        <v>80</v>
      </c>
      <c r="D119" s="61" t="s">
        <v>595</v>
      </c>
      <c r="E119" t="str">
        <f t="shared" si="3"/>
        <v>AddItemPrizeListEx(3,'E312',80)</v>
      </c>
    </row>
    <row r="120" spans="1:5">
      <c r="A120" s="61">
        <v>3</v>
      </c>
      <c r="B120" s="61" t="s">
        <v>202</v>
      </c>
      <c r="C120">
        <v>80</v>
      </c>
      <c r="D120" s="61" t="s">
        <v>596</v>
      </c>
      <c r="E120" t="str">
        <f t="shared" si="3"/>
        <v>AddItemPrizeListEx(3,'E313',80)</v>
      </c>
    </row>
    <row r="121" spans="1:5">
      <c r="B121" s="61"/>
      <c r="D121" s="61">
        <v>0</v>
      </c>
      <c r="E121" t="str">
        <f t="shared" si="3"/>
        <v/>
      </c>
    </row>
    <row r="122" spans="1:5">
      <c r="A122" s="61">
        <v>3</v>
      </c>
      <c r="B122" s="61" t="s">
        <v>191</v>
      </c>
      <c r="C122">
        <v>10</v>
      </c>
      <c r="D122" s="61" t="s">
        <v>597</v>
      </c>
      <c r="E122" t="str">
        <f t="shared" si="3"/>
        <v>AddItemPrizeListEx(3,'E401',10)</v>
      </c>
    </row>
    <row r="123" spans="1:5">
      <c r="A123">
        <v>3</v>
      </c>
      <c r="B123" s="61" t="s">
        <v>195</v>
      </c>
      <c r="C123">
        <v>10</v>
      </c>
      <c r="D123" s="61" t="s">
        <v>598</v>
      </c>
      <c r="E123" t="str">
        <f t="shared" si="3"/>
        <v>AddItemPrizeListEx(3,'E402',10)</v>
      </c>
    </row>
    <row r="124" spans="1:5">
      <c r="A124" s="61">
        <v>3</v>
      </c>
      <c r="B124" s="61" t="s">
        <v>197</v>
      </c>
      <c r="C124">
        <v>10</v>
      </c>
      <c r="D124" s="61" t="s">
        <v>599</v>
      </c>
      <c r="E124" t="str">
        <f t="shared" si="3"/>
        <v>AddItemPrizeListEx(3,'E403',10)</v>
      </c>
    </row>
    <row r="125" spans="1:5">
      <c r="A125">
        <v>3</v>
      </c>
      <c r="B125" s="61" t="s">
        <v>201</v>
      </c>
      <c r="C125">
        <v>10</v>
      </c>
      <c r="D125" s="61" t="s">
        <v>600</v>
      </c>
      <c r="E125" t="str">
        <f t="shared" si="3"/>
        <v>AddItemPrizeListEx(3,'E404',10)</v>
      </c>
    </row>
    <row r="126" spans="1:5">
      <c r="A126" s="61">
        <v>3</v>
      </c>
      <c r="B126" s="61" t="s">
        <v>203</v>
      </c>
      <c r="C126">
        <v>10</v>
      </c>
      <c r="D126" s="61" t="s">
        <v>601</v>
      </c>
      <c r="E126" t="str">
        <f t="shared" si="3"/>
        <v>AddItemPrizeListEx(3,'E405',10)</v>
      </c>
    </row>
    <row r="127" spans="1:5">
      <c r="A127">
        <v>3</v>
      </c>
      <c r="B127" s="61" t="s">
        <v>204</v>
      </c>
      <c r="C127">
        <v>10</v>
      </c>
      <c r="D127" s="61" t="s">
        <v>602</v>
      </c>
      <c r="E127" t="str">
        <f t="shared" si="3"/>
        <v>AddItemPrizeListEx(3,'E406',10)</v>
      </c>
    </row>
    <row r="128" spans="1:5">
      <c r="A128" s="61">
        <v>3</v>
      </c>
      <c r="B128" s="61" t="s">
        <v>205</v>
      </c>
      <c r="C128">
        <v>10</v>
      </c>
      <c r="D128" s="61" t="s">
        <v>603</v>
      </c>
      <c r="E128" t="str">
        <f t="shared" si="3"/>
        <v>AddItemPrizeListEx(3,'E407',10)</v>
      </c>
    </row>
    <row r="129" spans="1:5">
      <c r="A129">
        <v>3</v>
      </c>
      <c r="B129" s="61" t="s">
        <v>206</v>
      </c>
      <c r="C129">
        <v>10</v>
      </c>
      <c r="D129" s="61" t="s">
        <v>604</v>
      </c>
      <c r="E129" t="str">
        <f t="shared" si="3"/>
        <v>AddItemPrizeListEx(3,'E408',10)</v>
      </c>
    </row>
    <row r="130" spans="1:5">
      <c r="A130" s="61">
        <v>3</v>
      </c>
      <c r="B130" s="61" t="s">
        <v>207</v>
      </c>
      <c r="C130">
        <v>10</v>
      </c>
      <c r="D130" s="61" t="s">
        <v>605</v>
      </c>
      <c r="E130" t="str">
        <f t="shared" si="3"/>
        <v>AddItemPrizeListEx(3,'E409',10)</v>
      </c>
    </row>
    <row r="131" spans="1:5">
      <c r="A131">
        <v>3</v>
      </c>
      <c r="B131" s="61" t="s">
        <v>208</v>
      </c>
      <c r="C131">
        <v>10</v>
      </c>
      <c r="D131" s="61" t="s">
        <v>606</v>
      </c>
      <c r="E131" t="str">
        <f t="shared" si="3"/>
        <v>AddItemPrizeListEx(3,'E410',10)</v>
      </c>
    </row>
    <row r="132" spans="1:5">
      <c r="A132" s="61">
        <v>3</v>
      </c>
      <c r="B132" s="61" t="s">
        <v>209</v>
      </c>
      <c r="C132">
        <v>10</v>
      </c>
      <c r="D132" s="61" t="s">
        <v>607</v>
      </c>
      <c r="E132" t="str">
        <f t="shared" si="3"/>
        <v>AddItemPrizeListEx(3,'E411',10)</v>
      </c>
    </row>
    <row r="133" spans="1:5">
      <c r="A133">
        <v>3</v>
      </c>
      <c r="B133" s="61" t="s">
        <v>210</v>
      </c>
      <c r="C133">
        <v>10</v>
      </c>
      <c r="D133" s="61" t="s">
        <v>608</v>
      </c>
      <c r="E133" t="str">
        <f t="shared" si="3"/>
        <v>AddItemPrizeListEx(3,'E412',10)</v>
      </c>
    </row>
    <row r="134" spans="1:5">
      <c r="A134" s="61"/>
      <c r="D134" s="61">
        <v>0</v>
      </c>
      <c r="E134" t="str">
        <f t="shared" si="3"/>
        <v/>
      </c>
    </row>
    <row r="135" spans="1:5">
      <c r="A135">
        <v>3</v>
      </c>
      <c r="B135" t="s">
        <v>211</v>
      </c>
      <c r="C135">
        <v>5</v>
      </c>
      <c r="D135" s="61" t="s">
        <v>609</v>
      </c>
      <c r="E135" t="str">
        <f t="shared" si="3"/>
        <v>AddItemPrizeListEx(3,'E501',5)</v>
      </c>
    </row>
    <row r="136" spans="1:5">
      <c r="A136" s="61">
        <v>3</v>
      </c>
      <c r="B136" t="s">
        <v>212</v>
      </c>
      <c r="C136">
        <v>5</v>
      </c>
      <c r="D136" s="61" t="s">
        <v>610</v>
      </c>
      <c r="E136" t="str">
        <f t="shared" si="3"/>
        <v>AddItemPrizeListEx(3,'E502',5)</v>
      </c>
    </row>
    <row r="137" spans="1:5">
      <c r="A137">
        <v>3</v>
      </c>
      <c r="B137" t="s">
        <v>213</v>
      </c>
      <c r="C137">
        <v>5</v>
      </c>
      <c r="D137" s="61" t="s">
        <v>611</v>
      </c>
      <c r="E137" t="str">
        <f t="shared" si="3"/>
        <v>AddItemPrizeListEx(3,'E503',5)</v>
      </c>
    </row>
    <row r="138" spans="1:5">
      <c r="A138" s="61">
        <v>3</v>
      </c>
      <c r="B138" t="s">
        <v>214</v>
      </c>
      <c r="C138">
        <v>5</v>
      </c>
      <c r="D138" s="61" t="s">
        <v>612</v>
      </c>
      <c r="E138" t="str">
        <f t="shared" si="3"/>
        <v>AddItemPrizeListEx(3,'E504',5)</v>
      </c>
    </row>
    <row r="139" spans="1:5">
      <c r="A139">
        <v>3</v>
      </c>
      <c r="B139" t="s">
        <v>215</v>
      </c>
      <c r="C139">
        <v>5</v>
      </c>
      <c r="D139" s="61" t="s">
        <v>613</v>
      </c>
      <c r="E139" t="str">
        <f t="shared" si="3"/>
        <v>AddItemPrizeListEx(3,'E505',5)</v>
      </c>
    </row>
    <row r="140" spans="1:5">
      <c r="A140" s="61">
        <v>3</v>
      </c>
      <c r="B140" t="s">
        <v>216</v>
      </c>
      <c r="C140">
        <v>5</v>
      </c>
      <c r="D140" s="61" t="s">
        <v>614</v>
      </c>
      <c r="E140" t="str">
        <f t="shared" si="3"/>
        <v>AddItemPrizeListEx(3,'E506',5)</v>
      </c>
    </row>
    <row r="141" spans="1:5">
      <c r="A141">
        <v>3</v>
      </c>
      <c r="B141" t="s">
        <v>217</v>
      </c>
      <c r="C141">
        <v>5</v>
      </c>
      <c r="D141" s="61" t="s">
        <v>615</v>
      </c>
      <c r="E141" t="str">
        <f t="shared" si="3"/>
        <v>AddItemPrizeListEx(3,'E507',5)</v>
      </c>
    </row>
    <row r="142" spans="1:5">
      <c r="A142" s="61">
        <v>3</v>
      </c>
      <c r="B142" t="s">
        <v>218</v>
      </c>
      <c r="C142">
        <v>5</v>
      </c>
      <c r="D142" s="61" t="s">
        <v>616</v>
      </c>
      <c r="E142" t="str">
        <f t="shared" si="3"/>
        <v>AddItemPrizeListEx(3,'E508',5)</v>
      </c>
    </row>
    <row r="143" spans="1:5">
      <c r="A143">
        <v>3</v>
      </c>
      <c r="B143" t="s">
        <v>219</v>
      </c>
      <c r="C143">
        <v>5</v>
      </c>
      <c r="D143" s="61" t="s">
        <v>617</v>
      </c>
      <c r="E143" t="str">
        <f t="shared" si="3"/>
        <v>AddItemPrizeListEx(3,'E509',5)</v>
      </c>
    </row>
    <row r="144" spans="1:5">
      <c r="A144" s="61">
        <v>3</v>
      </c>
      <c r="B144" t="s">
        <v>220</v>
      </c>
      <c r="C144">
        <v>5</v>
      </c>
      <c r="D144" s="61" t="s">
        <v>618</v>
      </c>
      <c r="E144" t="str">
        <f t="shared" si="3"/>
        <v>AddItemPrizeListEx(3,'E510',5)</v>
      </c>
    </row>
    <row r="145" spans="1:5">
      <c r="A145">
        <v>3</v>
      </c>
      <c r="B145" t="s">
        <v>221</v>
      </c>
      <c r="C145">
        <v>5</v>
      </c>
      <c r="D145" s="61" t="s">
        <v>619</v>
      </c>
      <c r="E145" t="str">
        <f t="shared" si="3"/>
        <v>AddItemPrizeListEx(3,'E511',5)</v>
      </c>
    </row>
    <row r="146" spans="1:5">
      <c r="A146" s="61">
        <v>3</v>
      </c>
      <c r="B146" t="s">
        <v>222</v>
      </c>
      <c r="C146">
        <v>5</v>
      </c>
      <c r="D146" s="61" t="s">
        <v>620</v>
      </c>
      <c r="E146" t="str">
        <f t="shared" si="3"/>
        <v>AddItemPrizeListEx(3,'E512',5)</v>
      </c>
    </row>
    <row r="147" spans="1:5">
      <c r="D147" s="61">
        <v>0</v>
      </c>
      <c r="E147" t="str">
        <f t="shared" si="3"/>
        <v/>
      </c>
    </row>
    <row r="148" spans="1:5">
      <c r="A148">
        <v>4</v>
      </c>
      <c r="B148" s="61" t="s">
        <v>186</v>
      </c>
      <c r="C148">
        <v>5</v>
      </c>
      <c r="D148" s="61" t="s">
        <v>584</v>
      </c>
      <c r="E148" t="str">
        <f t="shared" si="3"/>
        <v>AddItemPrizeListEx(4,'E301',5)</v>
      </c>
    </row>
    <row r="149" spans="1:5">
      <c r="A149">
        <v>4</v>
      </c>
      <c r="B149" s="61" t="s">
        <v>187</v>
      </c>
      <c r="C149">
        <v>5</v>
      </c>
      <c r="D149" s="61" t="s">
        <v>585</v>
      </c>
      <c r="E149" t="str">
        <f t="shared" si="3"/>
        <v>AddItemPrizeListEx(4,'E302',5)</v>
      </c>
    </row>
    <row r="150" spans="1:5">
      <c r="A150">
        <v>4</v>
      </c>
      <c r="B150" s="61" t="s">
        <v>188</v>
      </c>
      <c r="C150">
        <v>5</v>
      </c>
      <c r="D150" s="61" t="s">
        <v>586</v>
      </c>
      <c r="E150" t="str">
        <f t="shared" si="3"/>
        <v>AddItemPrizeListEx(4,'E303',5)</v>
      </c>
    </row>
    <row r="151" spans="1:5">
      <c r="A151">
        <v>4</v>
      </c>
      <c r="B151" s="61" t="s">
        <v>189</v>
      </c>
      <c r="C151">
        <v>5</v>
      </c>
      <c r="D151" s="61" t="s">
        <v>587</v>
      </c>
      <c r="E151" t="str">
        <f t="shared" si="3"/>
        <v>AddItemPrizeListEx(4,'E304',5)</v>
      </c>
    </row>
    <row r="152" spans="1:5">
      <c r="A152">
        <v>4</v>
      </c>
      <c r="B152" s="61" t="s">
        <v>190</v>
      </c>
      <c r="C152">
        <v>5</v>
      </c>
      <c r="D152" s="61" t="s">
        <v>588</v>
      </c>
      <c r="E152" t="str">
        <f t="shared" si="3"/>
        <v>AddItemPrizeListEx(4,'E305',5)</v>
      </c>
    </row>
    <row r="153" spans="1:5">
      <c r="A153">
        <v>4</v>
      </c>
      <c r="B153" s="61" t="s">
        <v>192</v>
      </c>
      <c r="C153">
        <v>5</v>
      </c>
      <c r="D153" s="61" t="s">
        <v>589</v>
      </c>
      <c r="E153" t="str">
        <f t="shared" si="3"/>
        <v>AddItemPrizeListEx(4,'E306',5)</v>
      </c>
    </row>
    <row r="154" spans="1:5">
      <c r="A154">
        <v>4</v>
      </c>
      <c r="B154" s="61" t="s">
        <v>193</v>
      </c>
      <c r="C154">
        <v>5</v>
      </c>
      <c r="D154" s="61" t="s">
        <v>590</v>
      </c>
      <c r="E154" t="str">
        <f t="shared" si="3"/>
        <v>AddItemPrizeListEx(4,'E307',5)</v>
      </c>
    </row>
    <row r="155" spans="1:5">
      <c r="A155">
        <v>4</v>
      </c>
      <c r="B155" s="61" t="s">
        <v>194</v>
      </c>
      <c r="C155">
        <v>5</v>
      </c>
      <c r="D155" s="61" t="s">
        <v>591</v>
      </c>
      <c r="E155" t="str">
        <f t="shared" si="3"/>
        <v>AddItemPrizeListEx(4,'E308',5)</v>
      </c>
    </row>
    <row r="156" spans="1:5">
      <c r="A156">
        <v>4</v>
      </c>
      <c r="B156" s="61" t="s">
        <v>196</v>
      </c>
      <c r="C156">
        <v>5</v>
      </c>
      <c r="D156" s="61" t="s">
        <v>592</v>
      </c>
      <c r="E156" t="str">
        <f t="shared" si="3"/>
        <v>AddItemPrizeListEx(4,'E309',5)</v>
      </c>
    </row>
    <row r="157" spans="1:5">
      <c r="A157">
        <v>4</v>
      </c>
      <c r="B157" s="61" t="s">
        <v>198</v>
      </c>
      <c r="C157">
        <v>5</v>
      </c>
      <c r="D157" s="61" t="s">
        <v>593</v>
      </c>
      <c r="E157" t="str">
        <f t="shared" ref="E157:E199" si="4">IF(B157&lt;&gt;"","AddItemPrizeListEx("&amp;A157&amp;",'"&amp;B157&amp;"',"&amp;C157&amp;")","")</f>
        <v>AddItemPrizeListEx(4,'E310',5)</v>
      </c>
    </row>
    <row r="158" spans="1:5">
      <c r="A158">
        <v>4</v>
      </c>
      <c r="B158" s="61" t="s">
        <v>199</v>
      </c>
      <c r="C158">
        <v>5</v>
      </c>
      <c r="D158" s="61" t="s">
        <v>594</v>
      </c>
      <c r="E158" t="str">
        <f t="shared" si="4"/>
        <v>AddItemPrizeListEx(4,'E311',5)</v>
      </c>
    </row>
    <row r="159" spans="1:5">
      <c r="A159">
        <v>4</v>
      </c>
      <c r="B159" s="61" t="s">
        <v>200</v>
      </c>
      <c r="C159">
        <v>5</v>
      </c>
      <c r="D159" s="61" t="s">
        <v>595</v>
      </c>
      <c r="E159" t="str">
        <f t="shared" si="4"/>
        <v>AddItemPrizeListEx(4,'E312',5)</v>
      </c>
    </row>
    <row r="160" spans="1:5">
      <c r="A160">
        <v>4</v>
      </c>
      <c r="B160" s="61" t="s">
        <v>202</v>
      </c>
      <c r="C160">
        <v>5</v>
      </c>
      <c r="D160" s="61" t="s">
        <v>596</v>
      </c>
      <c r="E160" t="str">
        <f t="shared" si="4"/>
        <v>AddItemPrizeListEx(4,'E313',5)</v>
      </c>
    </row>
    <row r="161" spans="1:5">
      <c r="A161">
        <v>4</v>
      </c>
      <c r="B161" s="61"/>
      <c r="D161" s="61">
        <v>0</v>
      </c>
      <c r="E161" t="str">
        <f t="shared" si="4"/>
        <v/>
      </c>
    </row>
    <row r="162" spans="1:5">
      <c r="A162">
        <v>4</v>
      </c>
      <c r="B162" s="61" t="s">
        <v>191</v>
      </c>
      <c r="C162">
        <v>80</v>
      </c>
      <c r="D162" s="61" t="s">
        <v>597</v>
      </c>
      <c r="E162" t="str">
        <f t="shared" si="4"/>
        <v>AddItemPrizeListEx(4,'E401',80)</v>
      </c>
    </row>
    <row r="163" spans="1:5">
      <c r="A163">
        <v>4</v>
      </c>
      <c r="B163" s="61" t="s">
        <v>195</v>
      </c>
      <c r="C163">
        <v>80</v>
      </c>
      <c r="D163" s="61" t="s">
        <v>598</v>
      </c>
      <c r="E163" t="str">
        <f t="shared" si="4"/>
        <v>AddItemPrizeListEx(4,'E402',80)</v>
      </c>
    </row>
    <row r="164" spans="1:5">
      <c r="A164">
        <v>4</v>
      </c>
      <c r="B164" s="61" t="s">
        <v>197</v>
      </c>
      <c r="C164">
        <v>80</v>
      </c>
      <c r="D164" s="61" t="s">
        <v>599</v>
      </c>
      <c r="E164" t="str">
        <f t="shared" si="4"/>
        <v>AddItemPrizeListEx(4,'E403',80)</v>
      </c>
    </row>
    <row r="165" spans="1:5">
      <c r="A165">
        <v>4</v>
      </c>
      <c r="B165" s="61" t="s">
        <v>201</v>
      </c>
      <c r="C165">
        <v>80</v>
      </c>
      <c r="D165" s="61" t="s">
        <v>600</v>
      </c>
      <c r="E165" t="str">
        <f t="shared" si="4"/>
        <v>AddItemPrizeListEx(4,'E404',80)</v>
      </c>
    </row>
    <row r="166" spans="1:5">
      <c r="A166">
        <v>4</v>
      </c>
      <c r="B166" s="61" t="s">
        <v>203</v>
      </c>
      <c r="C166">
        <v>80</v>
      </c>
      <c r="D166" s="61" t="s">
        <v>601</v>
      </c>
      <c r="E166" t="str">
        <f t="shared" si="4"/>
        <v>AddItemPrizeListEx(4,'E405',80)</v>
      </c>
    </row>
    <row r="167" spans="1:5">
      <c r="A167">
        <v>4</v>
      </c>
      <c r="B167" s="61" t="s">
        <v>204</v>
      </c>
      <c r="C167">
        <v>80</v>
      </c>
      <c r="D167" s="61" t="s">
        <v>602</v>
      </c>
      <c r="E167" t="str">
        <f t="shared" si="4"/>
        <v>AddItemPrizeListEx(4,'E406',80)</v>
      </c>
    </row>
    <row r="168" spans="1:5">
      <c r="A168">
        <v>4</v>
      </c>
      <c r="B168" s="61" t="s">
        <v>205</v>
      </c>
      <c r="C168">
        <v>80</v>
      </c>
      <c r="D168" s="61" t="s">
        <v>603</v>
      </c>
      <c r="E168" t="str">
        <f t="shared" si="4"/>
        <v>AddItemPrizeListEx(4,'E407',80)</v>
      </c>
    </row>
    <row r="169" spans="1:5">
      <c r="A169">
        <v>4</v>
      </c>
      <c r="B169" s="61" t="s">
        <v>206</v>
      </c>
      <c r="C169">
        <v>80</v>
      </c>
      <c r="D169" s="61" t="s">
        <v>604</v>
      </c>
      <c r="E169" t="str">
        <f t="shared" si="4"/>
        <v>AddItemPrizeListEx(4,'E408',80)</v>
      </c>
    </row>
    <row r="170" spans="1:5">
      <c r="A170">
        <v>4</v>
      </c>
      <c r="B170" s="61" t="s">
        <v>207</v>
      </c>
      <c r="C170">
        <v>80</v>
      </c>
      <c r="D170" s="61" t="s">
        <v>605</v>
      </c>
      <c r="E170" t="str">
        <f t="shared" si="4"/>
        <v>AddItemPrizeListEx(4,'E409',80)</v>
      </c>
    </row>
    <row r="171" spans="1:5">
      <c r="A171">
        <v>4</v>
      </c>
      <c r="B171" s="61" t="s">
        <v>208</v>
      </c>
      <c r="C171">
        <v>80</v>
      </c>
      <c r="D171" s="61" t="s">
        <v>606</v>
      </c>
      <c r="E171" t="str">
        <f t="shared" si="4"/>
        <v>AddItemPrizeListEx(4,'E410',80)</v>
      </c>
    </row>
    <row r="172" spans="1:5">
      <c r="A172">
        <v>4</v>
      </c>
      <c r="B172" s="61" t="s">
        <v>209</v>
      </c>
      <c r="C172">
        <v>80</v>
      </c>
      <c r="D172" s="61" t="s">
        <v>607</v>
      </c>
      <c r="E172" t="str">
        <f t="shared" si="4"/>
        <v>AddItemPrizeListEx(4,'E411',80)</v>
      </c>
    </row>
    <row r="173" spans="1:5">
      <c r="A173">
        <v>4</v>
      </c>
      <c r="B173" s="61" t="s">
        <v>210</v>
      </c>
      <c r="C173">
        <v>80</v>
      </c>
      <c r="D173" s="61" t="s">
        <v>608</v>
      </c>
      <c r="E173" t="str">
        <f t="shared" si="4"/>
        <v>AddItemPrizeListEx(4,'E412',80)</v>
      </c>
    </row>
    <row r="174" spans="1:5">
      <c r="A174">
        <v>4</v>
      </c>
      <c r="D174" s="61">
        <v>0</v>
      </c>
      <c r="E174" t="str">
        <f t="shared" si="4"/>
        <v/>
      </c>
    </row>
    <row r="175" spans="1:5">
      <c r="A175">
        <v>4</v>
      </c>
      <c r="B175" t="s">
        <v>211</v>
      </c>
      <c r="C175">
        <v>10</v>
      </c>
      <c r="D175" s="61" t="s">
        <v>609</v>
      </c>
      <c r="E175" t="str">
        <f t="shared" si="4"/>
        <v>AddItemPrizeListEx(4,'E501',10)</v>
      </c>
    </row>
    <row r="176" spans="1:5">
      <c r="A176">
        <v>4</v>
      </c>
      <c r="B176" t="s">
        <v>212</v>
      </c>
      <c r="C176">
        <v>10</v>
      </c>
      <c r="D176" s="61" t="s">
        <v>610</v>
      </c>
      <c r="E176" t="str">
        <f t="shared" si="4"/>
        <v>AddItemPrizeListEx(4,'E502',10)</v>
      </c>
    </row>
    <row r="177" spans="1:5">
      <c r="A177">
        <v>4</v>
      </c>
      <c r="B177" t="s">
        <v>213</v>
      </c>
      <c r="C177">
        <v>10</v>
      </c>
      <c r="D177" s="61" t="s">
        <v>611</v>
      </c>
      <c r="E177" t="str">
        <f t="shared" si="4"/>
        <v>AddItemPrizeListEx(4,'E503',10)</v>
      </c>
    </row>
    <row r="178" spans="1:5">
      <c r="A178">
        <v>4</v>
      </c>
      <c r="B178" t="s">
        <v>214</v>
      </c>
      <c r="C178">
        <v>10</v>
      </c>
      <c r="D178" s="61" t="s">
        <v>612</v>
      </c>
      <c r="E178" t="str">
        <f t="shared" si="4"/>
        <v>AddItemPrizeListEx(4,'E504',10)</v>
      </c>
    </row>
    <row r="179" spans="1:5">
      <c r="A179">
        <v>4</v>
      </c>
      <c r="B179" t="s">
        <v>215</v>
      </c>
      <c r="C179">
        <v>10</v>
      </c>
      <c r="D179" s="61" t="s">
        <v>613</v>
      </c>
      <c r="E179" t="str">
        <f t="shared" si="4"/>
        <v>AddItemPrizeListEx(4,'E505',10)</v>
      </c>
    </row>
    <row r="180" spans="1:5">
      <c r="A180">
        <v>4</v>
      </c>
      <c r="B180" t="s">
        <v>216</v>
      </c>
      <c r="C180">
        <v>10</v>
      </c>
      <c r="D180" s="61" t="s">
        <v>614</v>
      </c>
      <c r="E180" t="str">
        <f t="shared" si="4"/>
        <v>AddItemPrizeListEx(4,'E506',10)</v>
      </c>
    </row>
    <row r="181" spans="1:5">
      <c r="A181">
        <v>4</v>
      </c>
      <c r="B181" t="s">
        <v>217</v>
      </c>
      <c r="C181">
        <v>10</v>
      </c>
      <c r="D181" s="61" t="s">
        <v>615</v>
      </c>
      <c r="E181" t="str">
        <f t="shared" si="4"/>
        <v>AddItemPrizeListEx(4,'E507',10)</v>
      </c>
    </row>
    <row r="182" spans="1:5">
      <c r="A182">
        <v>4</v>
      </c>
      <c r="B182" t="s">
        <v>218</v>
      </c>
      <c r="C182">
        <v>10</v>
      </c>
      <c r="D182" s="61" t="s">
        <v>616</v>
      </c>
      <c r="E182" t="str">
        <f t="shared" si="4"/>
        <v>AddItemPrizeListEx(4,'E508',10)</v>
      </c>
    </row>
    <row r="183" spans="1:5">
      <c r="A183">
        <v>4</v>
      </c>
      <c r="B183" t="s">
        <v>219</v>
      </c>
      <c r="C183">
        <v>10</v>
      </c>
      <c r="D183" s="61" t="s">
        <v>617</v>
      </c>
      <c r="E183" t="str">
        <f t="shared" si="4"/>
        <v>AddItemPrizeListEx(4,'E509',10)</v>
      </c>
    </row>
    <row r="184" spans="1:5">
      <c r="A184">
        <v>4</v>
      </c>
      <c r="B184" t="s">
        <v>220</v>
      </c>
      <c r="C184">
        <v>10</v>
      </c>
      <c r="D184" s="61" t="s">
        <v>618</v>
      </c>
      <c r="E184" t="str">
        <f t="shared" si="4"/>
        <v>AddItemPrizeListEx(4,'E510',10)</v>
      </c>
    </row>
    <row r="185" spans="1:5">
      <c r="A185">
        <v>4</v>
      </c>
      <c r="B185" t="s">
        <v>221</v>
      </c>
      <c r="C185">
        <v>10</v>
      </c>
      <c r="D185" s="61" t="s">
        <v>619</v>
      </c>
      <c r="E185" t="str">
        <f t="shared" si="4"/>
        <v>AddItemPrizeListEx(4,'E511',10)</v>
      </c>
    </row>
    <row r="186" spans="1:5">
      <c r="A186">
        <v>4</v>
      </c>
      <c r="B186" t="s">
        <v>222</v>
      </c>
      <c r="C186">
        <v>10</v>
      </c>
      <c r="D186" s="61" t="s">
        <v>620</v>
      </c>
      <c r="E186" t="str">
        <f t="shared" si="4"/>
        <v>AddItemPrizeListEx(4,'E512',10)</v>
      </c>
    </row>
    <row r="187" spans="1:5">
      <c r="D187" s="61">
        <v>0</v>
      </c>
      <c r="E187" t="str">
        <f t="shared" si="4"/>
        <v/>
      </c>
    </row>
    <row r="188" spans="1:5">
      <c r="A188">
        <v>4</v>
      </c>
      <c r="B188" t="s">
        <v>534</v>
      </c>
      <c r="C188">
        <v>5</v>
      </c>
      <c r="D188" s="61" t="s">
        <v>621</v>
      </c>
      <c r="E188" t="str">
        <f t="shared" si="4"/>
        <v>AddItemPrizeListEx(4,'E601',5)</v>
      </c>
    </row>
    <row r="189" spans="1:5">
      <c r="A189">
        <v>4</v>
      </c>
      <c r="B189" t="s">
        <v>535</v>
      </c>
      <c r="C189">
        <v>5</v>
      </c>
      <c r="D189" s="61" t="s">
        <v>622</v>
      </c>
      <c r="E189" t="str">
        <f t="shared" si="4"/>
        <v>AddItemPrizeListEx(4,'E602',5)</v>
      </c>
    </row>
    <row r="190" spans="1:5">
      <c r="A190">
        <v>4</v>
      </c>
      <c r="B190" t="s">
        <v>536</v>
      </c>
      <c r="C190">
        <v>5</v>
      </c>
      <c r="D190" s="61" t="s">
        <v>623</v>
      </c>
      <c r="E190" t="str">
        <f t="shared" si="4"/>
        <v>AddItemPrizeListEx(4,'E603',5)</v>
      </c>
    </row>
    <row r="191" spans="1:5">
      <c r="A191">
        <v>4</v>
      </c>
      <c r="B191" t="s">
        <v>537</v>
      </c>
      <c r="C191">
        <v>5</v>
      </c>
      <c r="D191" s="61" t="s">
        <v>624</v>
      </c>
      <c r="E191" t="str">
        <f t="shared" si="4"/>
        <v>AddItemPrizeListEx(4,'E604',5)</v>
      </c>
    </row>
    <row r="192" spans="1:5">
      <c r="A192">
        <v>4</v>
      </c>
      <c r="B192" t="s">
        <v>538</v>
      </c>
      <c r="C192">
        <v>5</v>
      </c>
      <c r="D192" s="61" t="s">
        <v>625</v>
      </c>
      <c r="E192" t="str">
        <f t="shared" si="4"/>
        <v>AddItemPrizeListEx(4,'E605',5)</v>
      </c>
    </row>
    <row r="193" spans="1:5">
      <c r="A193">
        <v>4</v>
      </c>
      <c r="B193" t="s">
        <v>539</v>
      </c>
      <c r="C193">
        <v>5</v>
      </c>
      <c r="D193" s="61" t="s">
        <v>626</v>
      </c>
      <c r="E193" t="str">
        <f t="shared" si="4"/>
        <v>AddItemPrizeListEx(4,'E606',5)</v>
      </c>
    </row>
    <row r="194" spans="1:5">
      <c r="A194">
        <v>4</v>
      </c>
      <c r="B194" t="s">
        <v>540</v>
      </c>
      <c r="C194">
        <v>5</v>
      </c>
      <c r="D194" s="61" t="s">
        <v>627</v>
      </c>
      <c r="E194" t="str">
        <f t="shared" si="4"/>
        <v>AddItemPrizeListEx(4,'E607',5)</v>
      </c>
    </row>
    <row r="195" spans="1:5">
      <c r="A195">
        <v>4</v>
      </c>
      <c r="B195" t="s">
        <v>541</v>
      </c>
      <c r="C195">
        <v>5</v>
      </c>
      <c r="D195" s="61" t="s">
        <v>628</v>
      </c>
      <c r="E195" t="str">
        <f t="shared" si="4"/>
        <v>AddItemPrizeListEx(4,'E608',5)</v>
      </c>
    </row>
    <row r="196" spans="1:5">
      <c r="A196">
        <v>4</v>
      </c>
      <c r="B196" t="s">
        <v>542</v>
      </c>
      <c r="C196">
        <v>5</v>
      </c>
      <c r="D196" s="61" t="s">
        <v>629</v>
      </c>
      <c r="E196" t="str">
        <f t="shared" si="4"/>
        <v>AddItemPrizeListEx(4,'E609',5)</v>
      </c>
    </row>
    <row r="197" spans="1:5">
      <c r="A197">
        <v>4</v>
      </c>
      <c r="B197" t="s">
        <v>543</v>
      </c>
      <c r="C197">
        <v>5</v>
      </c>
      <c r="D197" s="61" t="s">
        <v>630</v>
      </c>
      <c r="E197" t="str">
        <f t="shared" si="4"/>
        <v>AddItemPrizeListEx(4,'E610',5)</v>
      </c>
    </row>
    <row r="198" spans="1:5">
      <c r="A198">
        <v>4</v>
      </c>
      <c r="B198" t="s">
        <v>544</v>
      </c>
      <c r="C198">
        <v>5</v>
      </c>
      <c r="D198" s="61" t="s">
        <v>631</v>
      </c>
      <c r="E198" t="str">
        <f t="shared" si="4"/>
        <v>AddItemPrizeListEx(4,'E611',5)</v>
      </c>
    </row>
    <row r="199" spans="1:5">
      <c r="A199">
        <v>4</v>
      </c>
      <c r="B199" t="s">
        <v>545</v>
      </c>
      <c r="C199">
        <v>5</v>
      </c>
      <c r="D199" s="61" t="s">
        <v>632</v>
      </c>
      <c r="E199" t="str">
        <f t="shared" si="4"/>
        <v>AddItemPrizeListEx(4,'E612',5)</v>
      </c>
    </row>
    <row r="200" spans="1:5">
      <c r="A200">
        <v>4</v>
      </c>
      <c r="B200" t="s">
        <v>546</v>
      </c>
      <c r="D200" s="61" t="s">
        <v>633</v>
      </c>
    </row>
    <row r="201" spans="1:5">
      <c r="A201">
        <v>4</v>
      </c>
      <c r="B201" t="s">
        <v>547</v>
      </c>
      <c r="D201" s="61" t="s">
        <v>634</v>
      </c>
    </row>
    <row r="202" spans="1:5">
      <c r="A202">
        <v>4</v>
      </c>
      <c r="B202" t="s">
        <v>548</v>
      </c>
      <c r="D202" s="61" t="s">
        <v>635</v>
      </c>
    </row>
    <row r="203" spans="1:5">
      <c r="A203">
        <v>4</v>
      </c>
      <c r="B203" t="s">
        <v>549</v>
      </c>
      <c r="D203" s="61" t="s">
        <v>636</v>
      </c>
    </row>
    <row r="204" spans="1:5">
      <c r="A204">
        <v>4</v>
      </c>
      <c r="B204" t="s">
        <v>550</v>
      </c>
      <c r="D204" s="61" t="s">
        <v>637</v>
      </c>
    </row>
    <row r="205" spans="1:5">
      <c r="A205">
        <v>4</v>
      </c>
      <c r="B205" t="s">
        <v>551</v>
      </c>
      <c r="D205" s="61" t="s">
        <v>638</v>
      </c>
    </row>
    <row r="206" spans="1:5">
      <c r="A206">
        <v>4</v>
      </c>
      <c r="B206" t="s">
        <v>552</v>
      </c>
      <c r="D206" s="61" t="s">
        <v>639</v>
      </c>
    </row>
    <row r="207" spans="1:5">
      <c r="A207">
        <v>4</v>
      </c>
      <c r="B207" t="s">
        <v>553</v>
      </c>
      <c r="D207" s="61" t="s">
        <v>640</v>
      </c>
    </row>
  </sheetData>
  <phoneticPr fontId="15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CM70"/>
  <sheetViews>
    <sheetView topLeftCell="BO1" workbookViewId="0">
      <selection activeCell="BP41" sqref="BP41"/>
    </sheetView>
  </sheetViews>
  <sheetFormatPr defaultRowHeight="14.25"/>
  <sheetData>
    <row r="1" spans="1:91" ht="16.5">
      <c r="A1" s="97"/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8"/>
      <c r="O1" s="97"/>
      <c r="P1" s="97"/>
      <c r="Q1" s="97"/>
      <c r="R1" s="97"/>
      <c r="S1" s="97"/>
      <c r="T1" s="97"/>
      <c r="U1" s="97" t="s">
        <v>97</v>
      </c>
      <c r="V1" s="97" t="s">
        <v>97</v>
      </c>
      <c r="W1" s="97" t="s">
        <v>98</v>
      </c>
      <c r="X1" s="97" t="s">
        <v>99</v>
      </c>
      <c r="Y1" s="97" t="s">
        <v>100</v>
      </c>
      <c r="Z1" s="97" t="s">
        <v>101</v>
      </c>
      <c r="AA1" s="97" t="s">
        <v>102</v>
      </c>
      <c r="AB1" s="97" t="s">
        <v>103</v>
      </c>
      <c r="AC1" s="97" t="s">
        <v>104</v>
      </c>
      <c r="AD1" s="97" t="s">
        <v>105</v>
      </c>
      <c r="AE1" s="97" t="s">
        <v>106</v>
      </c>
      <c r="AF1" s="97" t="s">
        <v>107</v>
      </c>
      <c r="AG1" s="97" t="s">
        <v>108</v>
      </c>
      <c r="AH1" s="98" t="s">
        <v>109</v>
      </c>
      <c r="AI1" s="97" t="s">
        <v>110</v>
      </c>
      <c r="AJ1" s="97" t="s">
        <v>111</v>
      </c>
      <c r="AK1" s="97" t="s">
        <v>112</v>
      </c>
      <c r="AL1" s="97" t="s">
        <v>113</v>
      </c>
      <c r="AM1" s="97" t="s">
        <v>114</v>
      </c>
      <c r="AN1" s="97" t="s">
        <v>115</v>
      </c>
      <c r="AO1" s="98" t="s">
        <v>116</v>
      </c>
      <c r="AP1" s="97" t="s">
        <v>117</v>
      </c>
      <c r="AQ1" s="97" t="s">
        <v>118</v>
      </c>
      <c r="AR1" s="97" t="s">
        <v>119</v>
      </c>
      <c r="AS1" s="98" t="s">
        <v>120</v>
      </c>
      <c r="AT1" s="97" t="s">
        <v>121</v>
      </c>
      <c r="AU1" s="97" t="s">
        <v>122</v>
      </c>
      <c r="AV1" s="97" t="s">
        <v>123</v>
      </c>
      <c r="AW1" s="97" t="s">
        <v>124</v>
      </c>
      <c r="AX1" s="97" t="s">
        <v>125</v>
      </c>
      <c r="AY1" s="98" t="s">
        <v>126</v>
      </c>
      <c r="AZ1" s="98" t="s">
        <v>127</v>
      </c>
      <c r="BA1" s="97" t="s">
        <v>128</v>
      </c>
      <c r="BB1" s="97" t="s">
        <v>129</v>
      </c>
      <c r="BC1" s="97" t="s">
        <v>130</v>
      </c>
      <c r="BD1" s="97" t="s">
        <v>131</v>
      </c>
      <c r="BE1" s="98" t="s">
        <v>641</v>
      </c>
      <c r="BF1" s="98" t="s">
        <v>132</v>
      </c>
      <c r="BG1" s="111" t="s">
        <v>133</v>
      </c>
      <c r="BH1" s="111" t="s">
        <v>642</v>
      </c>
      <c r="BI1" s="111" t="s">
        <v>643</v>
      </c>
      <c r="BJ1" s="97" t="s">
        <v>134</v>
      </c>
      <c r="BK1" s="97" t="s">
        <v>135</v>
      </c>
      <c r="BL1" s="97" t="s">
        <v>136</v>
      </c>
      <c r="BM1" s="97" t="s">
        <v>137</v>
      </c>
      <c r="BN1" s="97" t="s">
        <v>138</v>
      </c>
      <c r="BO1" s="97" t="s">
        <v>139</v>
      </c>
      <c r="BP1" s="97" t="s">
        <v>140</v>
      </c>
      <c r="BQ1" s="111" t="s">
        <v>644</v>
      </c>
      <c r="BR1" s="111" t="s">
        <v>645</v>
      </c>
      <c r="BS1" s="111" t="s">
        <v>646</v>
      </c>
      <c r="BT1" s="97" t="s">
        <v>141</v>
      </c>
      <c r="BU1" s="97" t="s">
        <v>142</v>
      </c>
      <c r="BV1" s="97" t="s">
        <v>143</v>
      </c>
      <c r="BW1" s="97" t="s">
        <v>144</v>
      </c>
      <c r="BX1" s="97" t="s">
        <v>145</v>
      </c>
      <c r="BY1" s="112"/>
      <c r="BZ1" s="112"/>
      <c r="CA1" s="112"/>
      <c r="CB1" s="112"/>
      <c r="CC1" s="112"/>
      <c r="CD1" s="97" t="s">
        <v>146</v>
      </c>
      <c r="CE1" s="97" t="s">
        <v>147</v>
      </c>
      <c r="CF1" s="97" t="s">
        <v>148</v>
      </c>
      <c r="CG1" s="97" t="s">
        <v>149</v>
      </c>
      <c r="CH1" s="97" t="s">
        <v>150</v>
      </c>
      <c r="CI1" s="97" t="s">
        <v>151</v>
      </c>
      <c r="CJ1" s="97" t="s">
        <v>152</v>
      </c>
      <c r="CK1" s="98" t="s">
        <v>153</v>
      </c>
      <c r="CL1" s="113" t="s">
        <v>647</v>
      </c>
      <c r="CM1" s="98" t="s">
        <v>154</v>
      </c>
    </row>
    <row r="2" spans="1:91">
      <c r="A2" s="97"/>
      <c r="U2" s="97" t="s">
        <v>98</v>
      </c>
    </row>
    <row r="3" spans="1:91">
      <c r="A3" s="97"/>
      <c r="U3" s="97" t="s">
        <v>99</v>
      </c>
    </row>
    <row r="4" spans="1:91">
      <c r="A4" s="97"/>
      <c r="U4" s="97" t="s">
        <v>100</v>
      </c>
    </row>
    <row r="5" spans="1:91">
      <c r="A5" s="97"/>
      <c r="U5" s="97" t="s">
        <v>101</v>
      </c>
    </row>
    <row r="6" spans="1:91">
      <c r="A6" s="97"/>
      <c r="U6" s="97" t="s">
        <v>102</v>
      </c>
    </row>
    <row r="7" spans="1:91">
      <c r="A7" s="97"/>
      <c r="U7" s="97" t="s">
        <v>103</v>
      </c>
    </row>
    <row r="8" spans="1:91">
      <c r="A8" s="97"/>
      <c r="U8" s="97" t="s">
        <v>104</v>
      </c>
    </row>
    <row r="9" spans="1:91">
      <c r="A9" s="97"/>
      <c r="U9" s="97" t="s">
        <v>105</v>
      </c>
    </row>
    <row r="10" spans="1:91">
      <c r="A10" s="97"/>
      <c r="U10" s="97" t="s">
        <v>106</v>
      </c>
    </row>
    <row r="11" spans="1:91">
      <c r="A11" s="97"/>
      <c r="U11" s="97" t="s">
        <v>107</v>
      </c>
    </row>
    <row r="12" spans="1:91">
      <c r="A12" s="97"/>
      <c r="U12" s="97" t="s">
        <v>108</v>
      </c>
    </row>
    <row r="13" spans="1:91">
      <c r="A13" s="98"/>
      <c r="U13" s="98" t="s">
        <v>109</v>
      </c>
    </row>
    <row r="14" spans="1:91">
      <c r="A14" s="97"/>
      <c r="U14" s="97" t="s">
        <v>110</v>
      </c>
    </row>
    <row r="15" spans="1:91">
      <c r="A15" s="97"/>
      <c r="U15" s="97" t="s">
        <v>111</v>
      </c>
    </row>
    <row r="16" spans="1:91">
      <c r="A16" s="97"/>
      <c r="U16" s="97" t="s">
        <v>112</v>
      </c>
    </row>
    <row r="17" spans="1:21">
      <c r="A17" s="97"/>
      <c r="U17" s="97" t="s">
        <v>113</v>
      </c>
    </row>
    <row r="18" spans="1:21">
      <c r="A18" s="97"/>
      <c r="U18" s="97" t="s">
        <v>114</v>
      </c>
    </row>
    <row r="19" spans="1:21">
      <c r="A19" s="97"/>
      <c r="U19" s="97" t="s">
        <v>115</v>
      </c>
    </row>
    <row r="20" spans="1:21">
      <c r="A20" s="98"/>
      <c r="U20" s="98" t="s">
        <v>116</v>
      </c>
    </row>
    <row r="21" spans="1:21">
      <c r="A21" s="97"/>
      <c r="U21" s="97" t="s">
        <v>117</v>
      </c>
    </row>
    <row r="22" spans="1:21">
      <c r="A22" s="97"/>
      <c r="U22" s="97" t="s">
        <v>118</v>
      </c>
    </row>
    <row r="23" spans="1:21">
      <c r="A23" s="97"/>
      <c r="U23" s="97" t="s">
        <v>119</v>
      </c>
    </row>
    <row r="24" spans="1:21">
      <c r="A24" s="98"/>
      <c r="U24" s="98" t="s">
        <v>120</v>
      </c>
    </row>
    <row r="25" spans="1:21">
      <c r="A25" s="97"/>
      <c r="U25" s="97" t="s">
        <v>121</v>
      </c>
    </row>
    <row r="26" spans="1:21">
      <c r="A26" s="97"/>
      <c r="U26" s="97" t="s">
        <v>122</v>
      </c>
    </row>
    <row r="27" spans="1:21">
      <c r="A27" s="97"/>
      <c r="U27" s="97" t="s">
        <v>123</v>
      </c>
    </row>
    <row r="28" spans="1:21">
      <c r="A28" s="97"/>
      <c r="U28" s="97" t="s">
        <v>124</v>
      </c>
    </row>
    <row r="29" spans="1:21">
      <c r="A29" s="97"/>
      <c r="U29" s="97" t="s">
        <v>125</v>
      </c>
    </row>
    <row r="30" spans="1:21">
      <c r="A30" s="98"/>
      <c r="U30" s="98" t="s">
        <v>126</v>
      </c>
    </row>
    <row r="31" spans="1:21">
      <c r="A31" s="98"/>
      <c r="U31" s="98" t="s">
        <v>127</v>
      </c>
    </row>
    <row r="32" spans="1:21">
      <c r="A32" s="97"/>
      <c r="U32" s="97" t="s">
        <v>128</v>
      </c>
    </row>
    <row r="33" spans="1:21">
      <c r="A33" s="97"/>
      <c r="U33" s="97" t="s">
        <v>129</v>
      </c>
    </row>
    <row r="34" spans="1:21">
      <c r="A34" s="97"/>
      <c r="U34" s="97" t="s">
        <v>130</v>
      </c>
    </row>
    <row r="35" spans="1:21">
      <c r="A35" s="97"/>
      <c r="U35" s="97" t="s">
        <v>131</v>
      </c>
    </row>
    <row r="36" spans="1:21">
      <c r="A36" s="98"/>
      <c r="U36" s="98" t="s">
        <v>641</v>
      </c>
    </row>
    <row r="37" spans="1:21">
      <c r="A37" s="98"/>
      <c r="U37" s="98" t="s">
        <v>132</v>
      </c>
    </row>
    <row r="38" spans="1:21" ht="16.5">
      <c r="A38" s="111"/>
      <c r="U38" s="111" t="s">
        <v>133</v>
      </c>
    </row>
    <row r="39" spans="1:21" ht="16.5">
      <c r="A39" s="111"/>
      <c r="U39" s="111" t="s">
        <v>642</v>
      </c>
    </row>
    <row r="40" spans="1:21" ht="16.5">
      <c r="A40" s="111"/>
      <c r="U40" s="111" t="s">
        <v>643</v>
      </c>
    </row>
    <row r="41" spans="1:21">
      <c r="A41" s="97"/>
      <c r="U41" s="97" t="s">
        <v>134</v>
      </c>
    </row>
    <row r="42" spans="1:21">
      <c r="A42" s="97"/>
      <c r="U42" s="97" t="s">
        <v>135</v>
      </c>
    </row>
    <row r="43" spans="1:21">
      <c r="A43" s="97"/>
      <c r="U43" s="97" t="s">
        <v>136</v>
      </c>
    </row>
    <row r="44" spans="1:21">
      <c r="A44" s="97"/>
      <c r="U44" s="97" t="s">
        <v>137</v>
      </c>
    </row>
    <row r="45" spans="1:21">
      <c r="A45" s="97"/>
      <c r="U45" s="97" t="s">
        <v>138</v>
      </c>
    </row>
    <row r="46" spans="1:21">
      <c r="A46" s="97"/>
      <c r="U46" s="97" t="s">
        <v>139</v>
      </c>
    </row>
    <row r="47" spans="1:21">
      <c r="A47" s="97"/>
      <c r="U47" s="97" t="s">
        <v>140</v>
      </c>
    </row>
    <row r="48" spans="1:21" ht="16.5">
      <c r="A48" s="111"/>
      <c r="U48" s="111" t="s">
        <v>644</v>
      </c>
    </row>
    <row r="49" spans="1:21" ht="16.5">
      <c r="A49" s="111"/>
      <c r="U49" s="111" t="s">
        <v>645</v>
      </c>
    </row>
    <row r="50" spans="1:21" ht="16.5">
      <c r="A50" s="111"/>
      <c r="U50" s="111" t="s">
        <v>646</v>
      </c>
    </row>
    <row r="51" spans="1:21">
      <c r="A51" s="97"/>
      <c r="U51" s="97" t="s">
        <v>141</v>
      </c>
    </row>
    <row r="52" spans="1:21">
      <c r="A52" s="97"/>
      <c r="U52" s="97" t="s">
        <v>142</v>
      </c>
    </row>
    <row r="53" spans="1:21">
      <c r="A53" s="97"/>
      <c r="U53" s="97" t="s">
        <v>143</v>
      </c>
    </row>
    <row r="54" spans="1:21">
      <c r="A54" s="97"/>
      <c r="U54" s="97" t="s">
        <v>144</v>
      </c>
    </row>
    <row r="55" spans="1:21">
      <c r="A55" s="97"/>
      <c r="U55" s="97" t="s">
        <v>145</v>
      </c>
    </row>
    <row r="56" spans="1:21">
      <c r="A56" s="112"/>
      <c r="U56" s="112"/>
    </row>
    <row r="57" spans="1:21">
      <c r="A57" s="97" t="s">
        <v>146</v>
      </c>
      <c r="U57" s="112"/>
    </row>
    <row r="58" spans="1:21">
      <c r="A58" s="97" t="s">
        <v>147</v>
      </c>
      <c r="U58" s="112"/>
    </row>
    <row r="59" spans="1:21">
      <c r="A59" s="97" t="s">
        <v>148</v>
      </c>
      <c r="U59" s="112"/>
    </row>
    <row r="60" spans="1:21">
      <c r="A60" s="97" t="s">
        <v>149</v>
      </c>
      <c r="U60" s="112"/>
    </row>
    <row r="61" spans="1:21">
      <c r="A61" s="97" t="s">
        <v>150</v>
      </c>
      <c r="U61" s="97" t="s">
        <v>146</v>
      </c>
    </row>
    <row r="62" spans="1:21">
      <c r="A62" s="97" t="s">
        <v>151</v>
      </c>
      <c r="U62" s="97" t="s">
        <v>147</v>
      </c>
    </row>
    <row r="63" spans="1:21">
      <c r="A63" s="97" t="s">
        <v>152</v>
      </c>
      <c r="U63" s="97" t="s">
        <v>148</v>
      </c>
    </row>
    <row r="64" spans="1:21">
      <c r="A64" s="98" t="s">
        <v>153</v>
      </c>
      <c r="U64" s="97" t="s">
        <v>149</v>
      </c>
    </row>
    <row r="65" spans="1:21">
      <c r="A65" s="113" t="s">
        <v>647</v>
      </c>
      <c r="U65" s="97" t="s">
        <v>150</v>
      </c>
    </row>
    <row r="66" spans="1:21">
      <c r="A66" s="98" t="s">
        <v>154</v>
      </c>
      <c r="U66" s="97" t="s">
        <v>151</v>
      </c>
    </row>
    <row r="67" spans="1:21">
      <c r="U67" s="97" t="s">
        <v>152</v>
      </c>
    </row>
    <row r="68" spans="1:21">
      <c r="U68" s="98" t="s">
        <v>153</v>
      </c>
    </row>
    <row r="69" spans="1:21">
      <c r="U69" s="113" t="s">
        <v>647</v>
      </c>
    </row>
    <row r="70" spans="1:21">
      <c r="U70" s="98" t="s">
        <v>154</v>
      </c>
    </row>
  </sheetData>
  <phoneticPr fontId="15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P000</vt:lpstr>
      <vt:lpstr>装备</vt:lpstr>
      <vt:lpstr>合成公式</vt:lpstr>
      <vt:lpstr>UI数据注册</vt:lpstr>
      <vt:lpstr>属性注册</vt:lpstr>
      <vt:lpstr>导出用</vt:lpstr>
      <vt:lpstr>卡牌池</vt:lpstr>
      <vt:lpstr>装备池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2020-01-04T10:57:06Z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