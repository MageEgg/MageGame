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definedNames>
    <definedName name="_xlnm._FilterDatabase" localSheetId="0" hidden="1">P000!$A$1:$AP$742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<sst xmlns="http://schemas.openxmlformats.org/spreadsheetml/2006/main" count="8466" uniqueCount="1300">
  <si>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</si>
  <si>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</si>
  <si>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</si>
  <si>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</si>
  <si>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</si>
  <si>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</si>
  <si>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</si>
  <si>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</si>
  <si>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</si>
  <si>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</si>
  <si>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</si>
  <si>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</si>
  <si>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</si>
  <si>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</si>
  <si>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</si>
  <si>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</si>
  <si>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</si>
  <si>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</si>
  <si>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</si>
  <si>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</si>
  <si>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</si>
  <si>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</si>
  <si>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</si>
  <si>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</si>
  <si>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</si>
  <si>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</si>
  <si>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</si>
  <si>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</si>
  <si>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</si>
  <si>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</si>
  <si>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</si>
  <si>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</si>
  <si>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</si>
  <si>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</si>
  <si>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</si>
  <si>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</si>
  <si>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</si>
  <si>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</si>
  <si>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</si>
  <si>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</si>
  <si>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</si>
  <si>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</si>
  <si>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</si>
  <si>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</si>
  <si>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</si>
  <si>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</si>
  <si>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</si>
  <si>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</si>
  <si>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</si>
  <si>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</si>
  <si>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</si>
  <si>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</si>
  <si>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</si>
  <si>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</si>
  <si>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</si>
  <si>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</si>
  <si>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</si>
  <si>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</si>
  <si>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</si>
  <si>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</si>
  <si>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</si>
  <si>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</si>
  <si>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</si>
  <si>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</si>
  <si>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</si>
  <si>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</si>
  <si>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</si>
  <si>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</si>
  <si>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</si>
  <si>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</si>
  <si>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</si>
  <si>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</si>
  <si>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</si>
  <si>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</si>
  <si>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</si>
  <si>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</si>
  <si>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</si>
  <si>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</si>
  <si>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</si>
  <si>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</si>
  <si>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</si>
  <si>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</si>
  <si>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</si>
  <si>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</si>
  <si>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</si>
  <si>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</si>
  <si>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</si>
  <si>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</si>
  <si>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</si>
  <si>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</si>
  <si>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</si>
  <si>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</si>
  <si>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</si>
  <si>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</si>
  <si>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</si>
  <si>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</si>
  <si>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</si>
  <si>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</si>
  <si>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</si>
  <si>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</si>
  <si>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</si>
  <si>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</si>
  <si>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</si>
  <si>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</si>
  <si>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</si>
  <si>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</si>
  <si>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</si>
  <si>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</si>
  <si>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</si>
  <si>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</si>
  <si>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K91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</si>
  <si>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K92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</si>
  <si>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K93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</si>
  <si>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K94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</si>
  <si>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K95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</si>
  <si>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K96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</si>
  <si>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K97</t>
    </r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</si>
  <si>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</si>
  <si>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</si>
  <si>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</si>
  <si>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</si>
  <si>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</si>
  <si>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</si>
  <si>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</si>
  <si>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</si>
  <si>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</si>
  <si>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</si>
  <si>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</si>
  <si>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</si>
  <si>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</si>
  <si>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</si>
  <si>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</si>
  <si>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</si>
  <si>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</si>
  <si>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</si>
  <si>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</si>
  <si>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</si>
  <si>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</si>
  <si>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</si>
  <si>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</si>
  <si>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</si>
  <si>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</si>
  <si>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</si>
  <si>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</si>
  <si>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</si>
  <si>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</si>
  <si>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</si>
  <si>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</si>
  <si>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</si>
  <si>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</si>
  <si>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</si>
  <si>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</si>
  <si>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</si>
  <si>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</si>
  <si>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</si>
  <si>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</si>
  <si>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</si>
  <si>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</si>
  <si>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</si>
  <si>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</si>
  <si>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</si>
  <si>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</si>
  <si>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</si>
  <si>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</si>
  <si>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</si>
  <si>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</si>
  <si>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</si>
  <si>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</si>
  <si>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</si>
  <si>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</si>
  <si>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</si>
  <si>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</si>
  <si>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</si>
  <si>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</si>
  <si>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</si>
  <si>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</si>
  <si>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</si>
  <si>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</si>
  <si>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</si>
  <si>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</si>
  <si>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</si>
  <si>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</si>
  <si>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</si>
  <si>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</si>
  <si>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</si>
  <si>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</si>
  <si>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</si>
  <si>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</si>
  <si>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</si>
  <si>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</si>
  <si>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</si>
  <si>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</si>
  <si>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</si>
  <si>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</si>
  <si>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</si>
  <si>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</si>
  <si>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</si>
  <si>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</si>
  <si>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</si>
  <si>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</si>
  <si>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</si>
  <si>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</si>
  <si>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</si>
  <si>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</si>
  <si>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</si>
  <si>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</si>
  <si>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</si>
  <si>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</si>
  <si>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</si>
  <si>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</si>
  <si>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</si>
  <si>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</si>
  <si>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</si>
  <si>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</si>
  <si>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</si>
  <si>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</si>
  <si>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</si>
  <si>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</si>
  <si>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</si>
  <si>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</si>
  <si>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</si>
  <si>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</si>
  <si>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</si>
  <si>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</si>
  <si>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</si>
  <si>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</si>
  <si>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</si>
  <si>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</si>
  <si>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</si>
  <si>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</si>
  <si>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</si>
  <si>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</si>
  <si>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</si>
  <si>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</si>
  <si>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</si>
  <si>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</si>
  <si>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</si>
  <si>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</si>
  <si>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</si>
  <si>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</si>
  <si>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</si>
  <si>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</si>
  <si>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</si>
  <si>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</si>
  <si>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</si>
  <si>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</si>
  <si>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</si>
  <si>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</si>
  <si>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</si>
  <si>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</si>
  <si>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</si>
  <si>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</si>
  <si>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</si>
  <si>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</si>
  <si>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</si>
  <si>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</si>
  <si>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</si>
  <si>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</si>
  <si>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</si>
  <si>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</si>
  <si>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</si>
  <si>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</si>
  <si>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</si>
  <si>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</si>
  <si>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</si>
  <si>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</si>
  <si>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</si>
  <si>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</si>
  <si>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</si>
  <si>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</si>
  <si>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</si>
  <si>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</si>
  <si>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</si>
  <si>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</si>
  <si>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</si>
  <si>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</si>
  <si>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</si>
  <si>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</si>
  <si>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</si>
  <si>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</si>
  <si>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</si>
  <si>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</si>
  <si>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</si>
  <si>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</si>
  <si>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</si>
  <si>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</si>
  <si>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</si>
  <si>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</si>
  <si>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</si>
  <si>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</si>
  <si>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</si>
  <si>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</si>
  <si>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</si>
  <si>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</si>
  <si>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</si>
  <si>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</si>
  <si>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</si>
  <si>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</si>
  <si>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</si>
  <si>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</si>
  <si>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</si>
  <si>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</si>
  <si>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</si>
  <si>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</si>
  <si>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</si>
  <si>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</si>
  <si>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</si>
  <si>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</si>
  <si>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</si>
  <si>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</si>
  <si>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</si>
  <si>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</si>
  <si>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</si>
  <si>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</si>
  <si>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</si>
  <si>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</si>
  <si>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</si>
  <si>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</si>
  <si>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</si>
  <si>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</si>
  <si>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</si>
  <si>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</si>
  <si>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</si>
  <si>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</si>
  <si>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</si>
  <si>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</si>
  <si>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</si>
  <si>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</si>
  <si>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</si>
  <si>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</si>
  <si>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</si>
  <si>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</si>
  <si>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</si>
  <si>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</si>
  <si>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</si>
  <si>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</si>
  <si>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</si>
  <si>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</si>
  <si>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</si>
  <si>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</si>
  <si>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</si>
  <si>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</si>
  <si>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</si>
  <si>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</si>
  <si>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</si>
  <si>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</si>
  <si>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</si>
  <si>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</si>
  <si>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</si>
  <si>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</si>
  <si>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</si>
  <si>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</si>
  <si>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</si>
  <si>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</si>
  <si>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</si>
  <si>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</si>
  <si>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</si>
  <si>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</si>
  <si>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</si>
  <si>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</si>
  <si>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</si>
  <si>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</si>
  <si>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</si>
  <si>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</si>
  <si>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</si>
  <si>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</si>
  <si>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</si>
  <si>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</si>
  <si>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</si>
  <si>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</si>
  <si>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</si>
  <si>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</si>
  <si>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</si>
  <si>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</si>
  <si>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</si>
  <si>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</si>
  <si>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</si>
  <si>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</si>
  <si>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</si>
  <si>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</si>
  <si>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</si>
  <si>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</si>
  <si>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</si>
  <si>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</si>
  <si>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</si>
  <si>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</si>
  <si>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</si>
  <si>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</si>
  <si>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</si>
  <si>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</si>
  <si>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</si>
  <si>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</si>
  <si>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</si>
  <si>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</si>
  <si>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</si>
  <si>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</si>
  <si>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</si>
  <si>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</si>
  <si>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</si>
  <si>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</si>
  <si>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</si>
  <si>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</si>
  <si>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</si>
  <si>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</si>
  <si>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</si>
  <si>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</si>
  <si>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</si>
  <si>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</si>
  <si>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</si>
  <si>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</si>
  <si>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</si>
  <si>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</si>
  <si>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</si>
  <si>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</si>
  <si>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</si>
  <si>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</si>
  <si>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</si>
  <si>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</si>
  <si>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</si>
  <si>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</si>
  <si>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</si>
  <si>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</si>
  <si>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</si>
  <si>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</si>
  <si>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</si>
  <si>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</si>
  <si>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</si>
  <si>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</si>
  <si>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</si>
  <si>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</si>
  <si>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</si>
  <si>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</si>
  <si>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</si>
  <si>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</si>
  <si>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</si>
  <si>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</si>
  <si>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</si>
  <si>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</si>
  <si>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</si>
  <si>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</si>
  <si>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</si>
  <si>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</si>
  <si>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</si>
  <si>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</si>
  <si>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</si>
  <si>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</si>
  <si>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</si>
  <si>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</si>
  <si>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</si>
  <si>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</si>
  <si>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</si>
  <si>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</si>
  <si>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</si>
  <si>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</si>
  <si>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</si>
  <si>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</si>
  <si>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</si>
  <si>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</si>
  <si>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</si>
  <si>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</si>
  <si>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</si>
  <si>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</si>
  <si>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</si>
  <si>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</si>
  <si>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</si>
  <si>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</si>
  <si>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</si>
  <si>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</si>
  <si>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</si>
  <si>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</si>
  <si>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</si>
  <si>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</si>
  <si>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</si>
  <si>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</si>
  <si>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</si>
  <si>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</si>
  <si>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</si>
  <si>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</si>
  <si>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</si>
  <si>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</si>
  <si>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</si>
  <si>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</si>
  <si>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</si>
  <si>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</si>
  <si>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</si>
  <si>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</si>
  <si>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</si>
  <si>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</si>
  <si>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</si>
  <si>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</si>
  <si>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</si>
  <si>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</si>
  <si>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</si>
  <si>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</si>
  <si>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</si>
  <si>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</si>
  <si>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</si>
  <si>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</si>
  <si>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</si>
  <si>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</si>
  <si>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</si>
  <si>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</si>
  <si>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</si>
  <si>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</si>
  <si>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</si>
  <si>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</si>
  <si>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</si>
  <si>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</si>
  <si>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</si>
  <si>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</si>
  <si>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</si>
  <si>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</si>
  <si>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</si>
  <si>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</si>
  <si>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</si>
  <si>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</si>
  <si>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</si>
  <si>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</si>
  <si>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</si>
  <si>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</si>
  <si>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</si>
  <si>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</si>
  <si>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</si>
  <si>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</si>
  <si>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</si>
  <si>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</si>
  <si>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</si>
  <si>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</si>
  <si>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</si>
  <si>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</si>
  <si>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</si>
  <si>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</si>
  <si>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</si>
  <si>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</si>
  <si>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</si>
  <si>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</si>
  <si>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</si>
  <si>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</si>
  <si>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</si>
  <si>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</si>
  <si>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</si>
  <si>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</si>
  <si>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</si>
  <si>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</si>
  <si>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</si>
  <si>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</si>
  <si>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</si>
  <si>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</si>
  <si>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</si>
  <si>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</si>
  <si>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</si>
  <si>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</si>
  <si>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</si>
  <si>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</si>
  <si>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</si>
  <si>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</si>
  <si>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</si>
  <si>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</si>
  <si>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</si>
  <si>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</si>
  <si>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</si>
  <si>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</si>
  <si>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</si>
  <si>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</si>
  <si>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</si>
  <si>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</si>
  <si>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</si>
  <si>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</si>
  <si>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</si>
  <si>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</si>
  <si>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</si>
  <si>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</si>
  <si>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</si>
  <si>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</si>
  <si>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</si>
  <si>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</si>
  <si>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</si>
  <si>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</si>
  <si>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</si>
  <si>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</si>
  <si>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</si>
  <si>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</si>
  <si>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</si>
  <si>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</si>
  <si>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</si>
  <si>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</si>
  <si>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</si>
  <si>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</si>
  <si>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</si>
  <si>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</si>
  <si>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</si>
  <si>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</si>
  <si>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</si>
  <si>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</si>
  <si>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</si>
  <si>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</si>
  <si>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</si>
  <si>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</si>
  <si>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</si>
  <si>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</si>
  <si>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</si>
  <si>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</si>
  <si>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</si>
  <si>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</si>
  <si>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</si>
  <si>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</si>
  <si>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</si>
  <si>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</si>
  <si>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</si>
  <si>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</si>
  <si>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</si>
  <si>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</si>
  <si>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</si>
  <si>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</si>
  <si>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</si>
  <si>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</si>
  <si>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</si>
  <si>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</si>
  <si>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</si>
  <si>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</si>
  <si>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</si>
  <si>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</si>
  <si>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</si>
  <si>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</si>
  <si>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</si>
  <si>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</si>
  <si>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</si>
  <si>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</si>
  <si>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</si>
  <si>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</si>
  <si>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</si>
  <si>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</si>
  <si>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</si>
  <si>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</si>
  <si>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</si>
  <si>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</si>
  <si>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</si>
  <si>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</si>
  <si>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</si>
  <si>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</si>
  <si>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</si>
  <si>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</si>
  <si>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</si>
  <si>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</si>
  <si>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</si>
  <si>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</si>
  <si>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</si>
  <si>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</si>
  <si>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</si>
  <si>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</si>
  <si>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</si>
  <si>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</si>
  <si>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</si>
  <si>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</si>
  <si>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</si>
  <si>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</si>
  <si>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</si>
  <si>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</si>
  <si>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</si>
  <si>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</si>
  <si>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</si>
  <si>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</si>
  <si>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</si>
  <si>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</si>
  <si>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</si>
  <si>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</si>
  <si>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</si>
  <si>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</si>
  <si>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</si>
  <si>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</si>
  <si>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</si>
  <si>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</si>
  <si>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</si>
  <si>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</si>
  <si>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</si>
  <si>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</si>
  <si>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</si>
  <si>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</si>
  <si>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</si>
  <si>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</si>
  <si>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</si>
  <si>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</si>
  <si>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</si>
  <si>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</si>
  <si>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</si>
  <si>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</si>
  <si>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</si>
  <si>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</si>
  <si>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</si>
  <si>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</si>
  <si>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</si>
  <si>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</si>
  <si>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</si>
  <si>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</si>
  <si>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</si>
  <si>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</si>
  <si>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</si>
  <si>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</si>
  <si>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</si>
  <si>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</si>
  <si>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</si>
  <si>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</si>
  <si>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</si>
  <si>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</si>
  <si>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</si>
  <si>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</si>
  <si>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</si>
  <si>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</si>
  <si>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</si>
  <si>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</si>
  <si>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</si>
  <si>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</si>
  <si>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</si>
  <si>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</si>
  <si>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</si>
  <si>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</si>
  <si>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</si>
  <si>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</si>
  <si>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</si>
  <si>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</si>
  <si>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</si>
  <si>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</si>
  <si>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</si>
  <si>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</si>
  <si>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</si>
  <si>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</si>
  <si>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</si>
  <si>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</si>
  <si>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</si>
  <si>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</si>
  <si>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</si>
  <si>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</si>
  <si>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</si>
  <si>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</si>
  <si>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</si>
  <si>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</si>
  <si>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</si>
  <si>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</si>
  <si>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</si>
  <si>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</si>
  <si>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</si>
  <si>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</si>
  <si>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</si>
  <si>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</si>
  <si>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</si>
  <si>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</si>
  <si>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</si>
  <si>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</si>
  <si>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charset val="134"/>
      </rPr>
      <t>活动期间通关积分提高</t>
    </r>
    <r>
      <rPr>
        <sz val="11"/>
        <color rgb="FFCE9178"/>
        <rFont val="Consolas"/>
        <charset val="134"/>
      </rPr>
      <t>50%|n|n|cff00ff00</t>
    </r>
    <r>
      <rPr>
        <sz val="11"/>
        <color rgb="FFCE9178"/>
        <rFont val="宋体"/>
        <charset val="134"/>
      </rPr>
      <t>活动时间：周六日</t>
    </r>
    <r>
      <rPr>
        <sz val="11"/>
        <color rgb="FFCE9178"/>
        <rFont val="Consolas"/>
        <charset val="134"/>
      </rPr>
      <t>14:00-21:00|n|n|r|cff808080</t>
    </r>
    <r>
      <rPr>
        <sz val="11"/>
        <color rgb="FFCE9178"/>
        <rFont val="宋体"/>
        <charset val="134"/>
      </rPr>
      <t>积分什么的，肝就是了！</t>
    </r>
    <r>
      <rPr>
        <sz val="11"/>
        <color rgb="FFCE9178"/>
        <rFont val="Consolas"/>
        <charset val="134"/>
      </rPr>
      <t>|r</t>
    </r>
  </si>
  <si>
    <r>
      <rPr>
        <sz val="11"/>
        <rFont val="等线"/>
        <charset val="134"/>
      </rPr>
      <t>ReplaceableTextures\</t>
    </r>
    <r>
      <rPr>
        <sz val="11"/>
        <rFont val="等线"/>
        <charset val="134"/>
      </rPr>
      <t>\</t>
    </r>
    <r>
      <rPr>
        <sz val="11"/>
        <rFont val="等线"/>
        <charset val="134"/>
      </rPr>
      <t>CommandButtons\</t>
    </r>
    <r>
      <rPr>
        <sz val="11"/>
        <rFont val="等线"/>
        <charset val="134"/>
      </rPr>
      <t>\</t>
    </r>
    <r>
      <rPr>
        <sz val="11"/>
        <rFont val="等线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</si>
  <si>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</si>
  <si>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</si>
  <si>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</si>
  <si>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</si>
  <si>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</si>
  <si>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暂未开放</t>
  </si>
  <si>
    <t>IZ03</t>
  </si>
  <si>
    <t>|CffFF0000团队副本-万魔窟|r</t>
  </si>
  <si>
    <t>IZ04</t>
  </si>
  <si>
    <t>|CffFF0000进入大决战|r</t>
  </si>
  <si>
    <t>提前进入大决战。慎点哦！</t>
  </si>
  <si>
    <r>
      <rPr>
        <sz val="11"/>
        <rFont val="等线"/>
        <charset val="134"/>
      </rPr>
      <t>ReplaceableTextures</t>
    </r>
    <r>
      <rPr>
        <sz val="11"/>
        <rFont val="等线"/>
        <charset val="134"/>
      </rPr>
      <t>\</t>
    </r>
    <r>
      <rPr>
        <sz val="11"/>
        <rFont val="等线"/>
        <charset val="134"/>
      </rPr>
      <t>\CommandButtons</t>
    </r>
    <r>
      <rPr>
        <sz val="11"/>
        <rFont val="等线"/>
        <charset val="134"/>
      </rPr>
      <t>\</t>
    </r>
    <r>
      <rPr>
        <sz val="11"/>
        <rFont val="等线"/>
        <charset val="134"/>
      </rPr>
      <t>\BTNReplay-SpeedUp.blp</t>
    </r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</si>
  <si>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</si>
  <si>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</si>
  <si>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</si>
  <si>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</si>
  <si>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</si>
  <si>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</si>
  <si>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</si>
  <si>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</si>
  <si>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</si>
  <si>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</si>
  <si>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</si>
  <si>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</si>
  <si>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</si>
  <si>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</si>
  <si>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</si>
  <si>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</si>
  <si>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</si>
  <si>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</si>
  <si>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</si>
  <si>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</si>
  <si>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</si>
  <si>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</si>
  <si>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</si>
  <si>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</si>
  <si>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</si>
  <si>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</si>
  <si>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</si>
  <si>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</si>
  <si>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</si>
  <si>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</si>
  <si>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</si>
  <si>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</si>
  <si>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</si>
  <si>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</si>
  <si>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</si>
  <si>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</si>
  <si>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</si>
  <si>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</si>
  <si>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</si>
  <si>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</si>
  <si>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</si>
  <si>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</si>
  <si>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</si>
  <si>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</si>
  <si>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</si>
  <si>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</si>
  <si>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</si>
  <si>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</si>
  <si>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</si>
  <si>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</si>
  <si>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</si>
  <si>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</si>
  <si>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</si>
  <si>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</si>
  <si>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</si>
  <si>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</si>
  <si>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</si>
  <si>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</si>
  <si>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</si>
  <si>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</si>
  <si>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charset val="134"/>
      </rPr>
      <t>“</t>
    </r>
    <r>
      <rPr>
        <sz val="11"/>
        <rFont val="宋体"/>
        <charset val="134"/>
      </rPr>
      <t>星耀</t>
    </r>
    <r>
      <rPr>
        <sz val="11"/>
        <rFont val="Consolas"/>
        <charset val="134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+5|r</t>
    </r>
  </si>
  <si>
    <t>IB01</t>
  </si>
  <si>
    <t>公众号礼包</t>
  </si>
  <si>
    <r>
      <rPr>
        <sz val="11"/>
        <rFont val="Consolas"/>
        <charset val="134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charset val="134"/>
      </rPr>
      <t>+3|n</t>
    </r>
    <r>
      <rPr>
        <sz val="11"/>
        <rFont val="宋体"/>
        <charset val="134"/>
      </rPr>
      <t>每秒攻击</t>
    </r>
    <r>
      <rPr>
        <sz val="11"/>
        <rFont val="Consolas"/>
        <charset val="134"/>
      </rPr>
      <t>+1|n</t>
    </r>
    <r>
      <rPr>
        <sz val="11"/>
        <rFont val="宋体"/>
        <charset val="134"/>
      </rPr>
      <t>每秒业力</t>
    </r>
    <r>
      <rPr>
        <sz val="11"/>
        <rFont val="Consolas"/>
        <charset val="134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charset val="134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charset val="134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</si>
  <si>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</si>
  <si>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</si>
  <si>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</si>
  <si>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</si>
  <si>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</si>
  <si>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</si>
  <si>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</si>
  <si>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</si>
  <si>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</si>
  <si>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</si>
  <si>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</si>
  <si>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</si>
  <si>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</si>
  <si>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</si>
  <si>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charset val="134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charset val="134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x</t>
    </r>
    <r>
      <rPr>
        <sz val="11"/>
        <rFont val="宋体"/>
        <charset val="134"/>
      </rPr>
      <t>号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星耀俱乐部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星悦俱乐部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最强主播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喵家军团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好心最美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墨汁联盟</t>
    </r>
    <r>
      <rPr>
        <sz val="11"/>
        <rFont val="Consolas"/>
        <charset val="134"/>
      </rPr>
      <t>&amp;</t>
    </r>
    <r>
      <rPr>
        <sz val="11"/>
        <rFont val="宋体"/>
        <charset val="134"/>
      </rPr>
      <t>天巫月</t>
    </r>
    <r>
      <rPr>
        <sz val="11"/>
        <rFont val="Consolas"/>
        <charset val="134"/>
      </rPr>
      <t>|n</t>
    </r>
    <r>
      <rPr>
        <sz val="11"/>
        <rFont val="宋体"/>
        <charset val="134"/>
      </rPr>
      <t>北斗俱乐部</t>
    </r>
    <r>
      <rPr>
        <sz val="11"/>
        <rFont val="Consolas"/>
        <charset val="134"/>
      </rPr>
      <t>|nVVIP</t>
    </r>
    <r>
      <rPr>
        <sz val="11"/>
        <rFont val="宋体"/>
        <charset val="134"/>
      </rPr>
      <t>俱乐部</t>
    </r>
    <r>
      <rPr>
        <sz val="11"/>
        <rFont val="Consolas"/>
        <charset val="134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charset val="134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charset val="134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charset val="134"/>
      </rPr>
      <t>+1%|n</t>
    </r>
    <r>
      <rPr>
        <sz val="11"/>
        <rFont val="宋体"/>
        <charset val="134"/>
      </rPr>
      <t>技能冷却</t>
    </r>
    <r>
      <rPr>
        <sz val="11"/>
        <rFont val="Consolas"/>
        <charset val="134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</si>
  <si>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</si>
  <si>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</si>
  <si>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</si>
  <si>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</si>
  <si>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</si>
  <si>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charset val="134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charset val="134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charset val="134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charset val="134"/>
      </rPr>
      <t>|r|n|n|r</t>
    </r>
    <r>
      <rPr>
        <sz val="11"/>
        <rFont val="宋体"/>
        <charset val="134"/>
      </rPr>
      <t>奖励：</t>
    </r>
    <r>
      <rPr>
        <sz val="11"/>
        <rFont val="Consolas"/>
        <charset val="134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charset val="134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</si>
  <si>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</si>
  <si>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</si>
  <si>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</si>
  <si>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</si>
  <si>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</si>
  <si>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</si>
  <si>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</si>
  <si>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</si>
  <si>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</si>
  <si>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</si>
  <si>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</si>
  <si>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</si>
  <si>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</si>
  <si>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</si>
  <si>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</si>
  <si>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</si>
  <si>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</si>
  <si>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</si>
  <si>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</si>
  <si>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</si>
  <si>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</si>
  <si>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</si>
  <si>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</si>
  <si>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</si>
  <si>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</si>
  <si>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</si>
  <si>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</si>
  <si>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</si>
  <si>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</si>
  <si>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</si>
  <si>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</si>
  <si>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</si>
  <si>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</si>
  <si>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</si>
  <si>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</si>
  <si>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</si>
  <si>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</si>
  <si>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</si>
  <si>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</si>
  <si>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</si>
  <si>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</si>
  <si>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</si>
  <si>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</si>
  <si>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</si>
  <si>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</si>
  <si>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</si>
  <si>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</si>
  <si>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</si>
  <si>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</si>
  <si>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</si>
  <si>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</si>
  <si>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</si>
  <si>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</si>
  <si>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</si>
  <si>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</si>
  <si>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</si>
  <si>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</si>
  <si>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</si>
  <si>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</si>
  <si>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</si>
  <si>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</si>
  <si>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</si>
  <si>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</si>
  <si>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</si>
  <si>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</si>
  <si>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</si>
  <si>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</si>
  <si>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</si>
  <si>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</si>
  <si>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</si>
  <si>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</si>
  <si>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</si>
  <si>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</si>
  <si>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</si>
  <si>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</si>
  <si>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</si>
  <si>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</si>
  <si>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</si>
  <si>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</si>
  <si>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</si>
  <si>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</si>
  <si>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</si>
  <si>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</si>
  <si>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</si>
  <si>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</si>
  <si>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</si>
  <si>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</si>
  <si>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</si>
  <si>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</si>
  <si>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t>致命倍率|Cffffc926+10%|n|n|r|Cffff00bf【白虎】|r+|Cffff00bf【白虎】|r=|Cffffc926【神威虎爪】|n|n|r|Cff00ff7f点击穿戴或脱卸。|r</t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</si>
  <si>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</si>
  <si>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</si>
  <si>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</si>
  <si>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</si>
  <si>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</si>
  <si>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</si>
  <si>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</si>
  <si>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</si>
  <si>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</si>
  <si>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</si>
  <si>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</si>
  <si>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</si>
  <si>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</si>
  <si>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</si>
  <si>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</si>
  <si>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</si>
  <si>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</si>
  <si>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</si>
  <si>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</si>
  <si>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</si>
  <si>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</si>
  <si>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</si>
  <si>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</si>
  <si>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</si>
  <si>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</si>
  <si>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</si>
  <si>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</si>
  <si>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</si>
  <si>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</si>
  <si>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</si>
  <si>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charset val="134"/>
      </rPr>
      <t>|CffFFD24D</t>
    </r>
    <r>
      <rPr>
        <sz val="10"/>
        <color rgb="FF333333"/>
        <rFont val="宋体"/>
        <charset val="134"/>
      </rPr>
      <t>【史诗】神威虎爪</t>
    </r>
    <r>
      <rPr>
        <sz val="10"/>
        <color rgb="FF333333"/>
        <rFont val="Arial"/>
        <charset val="134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</si>
  <si>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</si>
  <si>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</si>
  <si>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</si>
  <si>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致命倍率|Cffffc926+300%|n|n|r|Cffaaaaaa○|CffFFD24D金之刻印+1|r|r|n|n|Cff00ff7f点击穿戴或脱卸。|r</t>
  </si>
  <si>
    <t>IK1C</t>
  </si>
  <si>
    <t>致命倍率|Cffffc926+300%|n|n|r|Cffaaaaaa○|CffFFD24D木之刻印+1|r|r|n|n|Cff00ff7f点击穿戴或脱卸。|r</t>
  </si>
  <si>
    <t>IK1D</t>
  </si>
  <si>
    <t>致命倍率|Cffffc926+300%|n|n|r|Cffaaaaaa○|CffFFD24D水之刻印+1|r|r|n|n|Cff00ff7f点击穿戴或脱卸。|r</t>
  </si>
  <si>
    <t>IK1E</t>
  </si>
  <si>
    <t>致命倍率|Cffffc926+300%|n|n|r|Cffaaaaaa○|CffFFD24D火之刻印+1|r|r|n|n|Cff00ff7f点击穿戴或脱卸。|r</t>
  </si>
  <si>
    <t>IK1F</t>
  </si>
  <si>
    <t>致命倍率|Cffffc926+300%|n|n|r|Cffaaaaaa○|CffFFD24D土之刻印+1|r|r|n|n|Cff00ff7f点击穿戴或脱卸。|r</t>
  </si>
  <si>
    <t>IK1G</t>
  </si>
  <si>
    <t>致命倍率|Cffffc926+300%|n|n|r|Cffaaaaaa○|CffFFD24D雷之刻印+1|r|r|n|n|Cff00ff7f点击穿戴或脱卸。|r</t>
  </si>
  <si>
    <t>IK1H</t>
  </si>
  <si>
    <t>致命倍率|Cffffc926+300%|n|n|r|Cffaaaaaa○|CffFFD24D光之刻印+1|r|r|n|n|Cff00ff7f点击穿戴或脱卸。|r</t>
  </si>
  <si>
    <t>IK1I</t>
  </si>
  <si>
    <t>致命倍率|Cffffc926+300%|n|n|r|Cffaaaaaa○|CffFFD24D暗之刻印+1|r|r|n|n|Cff00ff7f点击穿戴或脱卸。|r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</si>
  <si>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</si>
  <si>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</si>
  <si>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</si>
  <si>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</si>
  <si>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</si>
  <si>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最大生命|Cffffc926+20%|n|n|r|Cffaaaaaa○|CffFFD24D金之刻印+1|r|r|n|n|Cff00ff7f点击穿戴或脱卸。|r</t>
  </si>
  <si>
    <t>IK2C</t>
  </si>
  <si>
    <t>最大生命|Cffffc926+20%|n|n|r|Cffaaaaaa○|CffFFD24D木之刻印+1|r|r|n|n|Cff00ff7f点击穿戴或脱卸。|r</t>
  </si>
  <si>
    <t>IK2D</t>
  </si>
  <si>
    <t>最大生命|Cffffc926+20%|n|n|r|Cffaaaaaa○|CffFFD24D水之刻印+1|r|r|n|n|Cff00ff7f点击穿戴或脱卸。|r</t>
  </si>
  <si>
    <t>IK2E</t>
  </si>
  <si>
    <t>最大生命|Cffffc926+20%|n|n|r|Cffaaaaaa○|CffFFD24D火之刻印+1|r|r|n|n|Cff00ff7f点击穿戴或脱卸。|r</t>
  </si>
  <si>
    <t>IK2F</t>
  </si>
  <si>
    <t>最大生命|Cffffc926+20%|n|n|r|Cffaaaaaa○|CffFFD24D土之刻印+1|r|r|n|n|Cff00ff7f点击穿戴或脱卸。|r</t>
  </si>
  <si>
    <t>IK2G</t>
  </si>
  <si>
    <t>最大生命|Cffffc926+20%|n|n|r|Cffaaaaaa○|CffFFD24D雷之刻印+1|r|r|n|n|Cff00ff7f点击穿戴或脱卸。|r</t>
  </si>
  <si>
    <t>IK2H</t>
  </si>
  <si>
    <t>最大生命|Cffffc926+20%|n|n|r|Cffaaaaaa○|CffFFD24D光之刻印+1|r|r|n|n|Cff00ff7f点击穿戴或脱卸。|r</t>
  </si>
  <si>
    <t>IK2I</t>
  </si>
  <si>
    <t>最大生命|Cffffc926+20%|n|n|r|Cffaaaaaa○|CffFFD24D暗之刻印+1|r|r|n|n|Cff00ff7f点击穿戴或脱卸。|r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</si>
  <si>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</si>
  <si>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</si>
  <si>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</si>
  <si>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</si>
  <si>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</si>
  <si>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道兵伤害|Cffffc926+60%|n|n|r|Cffaaaaaa○|CffFFD24D金之刻印+1|r|r|n|n|Cff00ff7f点击穿戴或脱卸。|r</t>
  </si>
  <si>
    <t>IK3C</t>
  </si>
  <si>
    <t>道兵伤害|Cffffc926+60%|n|n|r|Cffaaaaaa○|CffFFD24D木之刻印+1|r|r|n|n|Cff00ff7f点击穿戴或脱卸。|r</t>
  </si>
  <si>
    <t>IK3D</t>
  </si>
  <si>
    <t>道兵伤害|Cffffc926+60%|n|n|r|Cffaaaaaa○|CffFFD24D水之刻印+1|r|r|n|n|Cff00ff7f点击穿戴或脱卸。|r</t>
  </si>
  <si>
    <t>IK3E</t>
  </si>
  <si>
    <t>道兵伤害|Cffffc926+60%|n|n|r|Cffaaaaaa○|CffFFD24D火之刻印+1|r|r|n|n|Cff00ff7f点击穿戴或脱卸。|r</t>
  </si>
  <si>
    <t>IK3F</t>
  </si>
  <si>
    <t>道兵伤害|Cffffc926+60%|n|n|r|Cffaaaaaa○|CffFFD24D土之刻印+1|r|r|n|n|Cff00ff7f点击穿戴或脱卸。|r</t>
  </si>
  <si>
    <t>IK3G</t>
  </si>
  <si>
    <t>道兵伤害|Cffffc926+60%|n|n|r|Cffaaaaaa○|CffFFD24D雷之刻印+1|r|r|n|n|Cff00ff7f点击穿戴或脱卸。|r</t>
  </si>
  <si>
    <t>IK3H</t>
  </si>
  <si>
    <t>道兵伤害|Cffffc926+60%|n|n|r|Cffaaaaaa○|CffFFD24D光之刻印+1|r|r|n|n|Cff00ff7f点击穿戴或脱卸。|r</t>
  </si>
  <si>
    <t>IK3I</t>
  </si>
  <si>
    <t>道兵伤害|Cffffc926+60%|n|n|r|Cffaaaaaa○|CffFFD24D暗之刻印+1|r|r|n|n|Cff00ff7f点击穿戴或脱卸。|r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</si>
  <si>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</si>
  <si>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</si>
  <si>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</si>
  <si>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</si>
  <si>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</si>
  <si>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攻击|Cffffc926+50000|r，攻击|Cffffc926+12%|n|n|r|Cffaaaaaa○|CffFFD24D金之刻印+1|r|r|n|n|Cff00ff7f点击穿戴或脱卸。|r</t>
  </si>
  <si>
    <t>IK4C</t>
  </si>
  <si>
    <t>攻击|Cffffc926+50000|r，攻击|Cffffc926+12%|n|n|r|Cffaaaaaa○|CffFFD24D木之刻印+1|r|r|n|n|Cff00ff7f点击穿戴或脱卸。|r</t>
  </si>
  <si>
    <t>IK4D</t>
  </si>
  <si>
    <t>攻击|Cffffc926+50000|r，攻击|Cffffc926+12%|n|n|r|Cffaaaaaa○|CffFFD24D水之刻印+1|r|r|n|n|Cff00ff7f点击穿戴或脱卸。|r</t>
  </si>
  <si>
    <t>IK4E</t>
  </si>
  <si>
    <t>攻击|Cffffc926+50000|r，攻击|Cffffc926+12%|n|n|r|Cffaaaaaa○|CffFFD24D火之刻印+1|r|r|n|n|Cff00ff7f点击穿戴或脱卸。|r</t>
  </si>
  <si>
    <t>IK4F</t>
  </si>
  <si>
    <t>攻击|Cffffc926+50000|r，攻击|Cffffc926+12%|n|n|r|Cffaaaaaa○|CffFFD24D土之刻印+1|r|r|n|n|Cff00ff7f点击穿戴或脱卸。|r</t>
  </si>
  <si>
    <t>IK4G</t>
  </si>
  <si>
    <t>攻击|Cffffc926+50000|r，攻击|Cffffc926+12%|n|n|r|Cffaaaaaa○|CffFFD24D雷之刻印+1|r|r|n|n|Cff00ff7f点击穿戴或脱卸。|r</t>
  </si>
  <si>
    <t>IK4H</t>
  </si>
  <si>
    <t>攻击|Cffffc926+50000|r，攻击|Cffffc926+12%|n|n|r|Cffaaaaaa○|CffFFD24D光之刻印+1|r|r|n|n|Cff00ff7f点击穿戴或脱卸。|r</t>
  </si>
  <si>
    <t>IK4I</t>
  </si>
  <si>
    <t>攻击|Cffffc926+50000|r，攻击|Cffffc926+12%|n|n|r|Cffaaaaaa○|CffFFD24D暗之刻印+1|r|r|n|n|Cff00ff7f点击穿戴或脱卸。|r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</si>
  <si>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</si>
  <si>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</si>
  <si>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</si>
  <si>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</si>
  <si>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</si>
  <si>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护甲穿透|Cffffc926+150|n|n|r|Cffaaaaaa○|CffFFD24D金之刻印+1|r|r|n|n|Cff00ff7f点击穿戴或脱卸。|r</t>
  </si>
  <si>
    <t>IK5C</t>
  </si>
  <si>
    <t>护甲穿透|Cffffc926+150|n|n|r|Cffaaaaaa○|CffFFD24D木之刻印+1|r|r|n|n|Cff00ff7f点击穿戴或脱卸。|r</t>
  </si>
  <si>
    <t>IK5D</t>
  </si>
  <si>
    <t>护甲穿透|Cffffc926+150|n|n|r|Cffaaaaaa○|CffFFD24D水之刻印+1|r|r|n|n|Cff00ff7f点击穿戴或脱卸。|r</t>
  </si>
  <si>
    <t>IK5E</t>
  </si>
  <si>
    <t>护甲穿透|Cffffc926+150|n|n|r|Cffaaaaaa○|CffFFD24D火之刻印+1|r|r|n|n|Cff00ff7f点击穿戴或脱卸。|r</t>
  </si>
  <si>
    <t>IK5F</t>
  </si>
  <si>
    <t>护甲穿透|Cffffc926+150|n|n|r|Cffaaaaaa○|CffFFD24D土之刻印+1|r|r|n|n|Cff00ff7f点击穿戴或脱卸。|r</t>
  </si>
  <si>
    <t>IK5G</t>
  </si>
  <si>
    <t>护甲穿透|Cffffc926+150|n|n|r|Cffaaaaaa○|CffFFD24D雷之刻印+1|r|r|n|n|Cff00ff7f点击穿戴或脱卸。|r</t>
  </si>
  <si>
    <t>IK5H</t>
  </si>
  <si>
    <t>护甲穿透|Cffffc926+150|n|n|r|Cffaaaaaa○|CffFFD24D光之刻印+1|r|r|n|n|Cff00ff7f点击穿戴或脱卸。|r</t>
  </si>
  <si>
    <t>IK5I</t>
  </si>
  <si>
    <t>护甲穿透|Cffffc926+150|n|n|r|Cffaaaaaa○|CffFFD24D暗之刻印+1|r|r|n|n|Cff00ff7f点击穿戴或脱卸。|r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</si>
  <si>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</si>
  <si>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</si>
  <si>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</si>
  <si>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</si>
  <si>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</si>
  <si>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暴击伤害|Cffffc926+60%|n|n|r|Cffaaaaaa○|CffFFD24D金之刻印+1|r|r|n|n|Cff00ff7f点击穿戴或脱卸。|r</t>
  </si>
  <si>
    <t>IK6C</t>
  </si>
  <si>
    <t>暴击伤害|Cffffc926+60%|n|n|r|Cffaaaaaa○|CffFFD24D木之刻印+1|r|r|n|n|Cff00ff7f点击穿戴或脱卸。|r</t>
  </si>
  <si>
    <t>IK6D</t>
  </si>
  <si>
    <t>暴击伤害|Cffffc926+60%|n|n|r|Cffaaaaaa○|CffFFD24D水之刻印+1|r|r|n|n|Cff00ff7f点击穿戴或脱卸。|r</t>
  </si>
  <si>
    <t>IK6E</t>
  </si>
  <si>
    <t>暴击伤害|Cffffc926+60%|n|n|r|Cffaaaaaa○|CffFFD24D火之刻印+1|r|r|n|n|Cff00ff7f点击穿戴或脱卸。|r</t>
  </si>
  <si>
    <t>IK6F</t>
  </si>
  <si>
    <t>暴击伤害|Cffffc926+60%|n|n|r|Cffaaaaaa○|CffFFD24D土之刻印+1|r|r|n|n|Cff00ff7f点击穿戴或脱卸。|r</t>
  </si>
  <si>
    <t>IK6G</t>
  </si>
  <si>
    <t>暴击伤害|Cffffc926+60%|n|n|r|Cffaaaaaa○|CffFFD24D雷之刻印+1|r|r|n|n|Cff00ff7f点击穿戴或脱卸。|r</t>
  </si>
  <si>
    <t>IK6H</t>
  </si>
  <si>
    <t>暴击伤害|Cffffc926+60%|n|n|r|Cffaaaaaa○|CffFFD24D光之刻印+1|r|r|n|n|Cff00ff7f点击穿戴或脱卸。|r</t>
  </si>
  <si>
    <t>IK6I</t>
  </si>
  <si>
    <t>暴击伤害|Cffffc926+60%|n|n|r|Cffaaaaaa○|CffFFD24D暗之刻印+1|r|r|n|n|Cff00ff7f点击穿戴或脱卸。|r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</si>
  <si>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</si>
  <si>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</si>
  <si>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</si>
  <si>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</si>
  <si>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</si>
  <si>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护甲|Cffffc926+100|n|n|r|Cffaaaaaa○|CffFFD24D金之刻印+1|r|r|n|n|Cff00ff7f点击穿戴或脱卸。|r</t>
  </si>
  <si>
    <t>IK7C</t>
  </si>
  <si>
    <t>护甲|Cffffc926+100|n|n|r|Cffaaaaaa○|CffFFD24D木之刻印+1|r|r|n|n|Cff00ff7f点击穿戴或脱卸。|r</t>
  </si>
  <si>
    <t>IK7D</t>
  </si>
  <si>
    <t>护甲|Cffffc926+100|n|n|r|Cffaaaaaa○|CffFFD24D水之刻印+1|r|r|n|n|Cff00ff7f点击穿戴或脱卸。|r</t>
  </si>
  <si>
    <t>IK7E</t>
  </si>
  <si>
    <t>护甲|Cffffc926+100|n|n|r|Cffaaaaaa○|CffFFD24D火之刻印+1|r|r|n|n|Cff00ff7f点击穿戴或脱卸。|r</t>
  </si>
  <si>
    <t>IK7F</t>
  </si>
  <si>
    <t>护甲|Cffffc926+100|n|n|r|Cffaaaaaa○|CffFFD24D土之刻印+1|r|r|n|n|Cff00ff7f点击穿戴或脱卸。|r</t>
  </si>
  <si>
    <t>IK7G</t>
  </si>
  <si>
    <t>护甲|Cffffc926+100|n|n|r|Cffaaaaaa○|CffFFD24D雷之刻印+1|r|r|n|n|Cff00ff7f点击穿戴或脱卸。|r</t>
  </si>
  <si>
    <t>IK7H</t>
  </si>
  <si>
    <t>护甲|Cffffc926+100|n|n|r|Cffaaaaaa○|CffFFD24D光之刻印+1|r|r|n|n|Cff00ff7f点击穿戴或脱卸。|r</t>
  </si>
  <si>
    <t>IK7I</t>
  </si>
  <si>
    <t>护甲|Cffffc926+100|n|n|r|Cffaaaaaa○|CffFFD24D暗之刻印+1|r|r|n|n|Cff00ff7f点击穿戴或脱卸。|r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</si>
  <si>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</si>
  <si>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</si>
  <si>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</si>
  <si>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</si>
  <si>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</si>
  <si>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业力|Cffffc926+50000|r，业力|Cffffc926+12%|n|n|r|Cffaaaaaa○|CffFFD24D金之刻印+1|r|r|n|n|Cff00ff7f点击穿戴或脱卸。|r</t>
  </si>
  <si>
    <t>IK8C</t>
  </si>
  <si>
    <t>业力|Cffffc926+50000|r，业力|Cffffc926+12%|n|n|r|Cffaaaaaa○|CffFFD24D木之刻印+1|r|r|n|n|Cff00ff7f点击穿戴或脱卸。|r</t>
  </si>
  <si>
    <t>IK8D</t>
  </si>
  <si>
    <t>业力|Cffffc926+50000|r，业力|Cffffc926+12%|n|n|r|Cffaaaaaa○|CffFFD24D水之刻印+1|r|r|n|n|Cff00ff7f点击穿戴或脱卸。|r</t>
  </si>
  <si>
    <t>IK8E</t>
  </si>
  <si>
    <t>业力|Cffffc926+50000|r，业力|Cffffc926+12%|n|n|r|Cffaaaaaa○|CffFFD24D火之刻印+1|r|r|n|n|Cff00ff7f点击穿戴或脱卸。|r</t>
  </si>
  <si>
    <t>IK8F</t>
  </si>
  <si>
    <t>业力|Cffffc926+50000|r，业力|Cffffc926+12%|n|n|r|Cffaaaaaa○|CffFFD24D土之刻印+1|r|r|n|n|Cff00ff7f点击穿戴或脱卸。|r</t>
  </si>
  <si>
    <t>IK8G</t>
  </si>
  <si>
    <t>业力|Cffffc926+50000|r，业力|Cffffc926+12%|n|n|r|Cffaaaaaa○|CffFFD24D雷之刻印+1|r|r|n|n|Cff00ff7f点击穿戴或脱卸。|r</t>
  </si>
  <si>
    <t>IK8H</t>
  </si>
  <si>
    <t>业力|Cffffc926+50000|r，业力|Cffffc926+12%|n|n|r|Cffaaaaaa○|CffFFD24D光之刻印+1|r|r|n|n|Cff00ff7f点击穿戴或脱卸。|r</t>
  </si>
  <si>
    <t>IK8I</t>
  </si>
  <si>
    <t>业力|Cffffc926+50000|r，业力|Cffffc926+12%|n|n|r|Cffaaaaaa○|CffFFD24D暗之刻印+1|r|r|n|n|Cff00ff7f点击穿戴或脱卸。|r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</si>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</sst>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0_ "/>
  </numFmts>
  <fonts count="4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1"/>
      <color rgb="FFCE9178"/>
      <name val="Consolas"/>
      <charset val="134"/>
    </font>
    <font>
      <sz val="11"/>
      <name val="Consolas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color rgb="FF000000"/>
      <name val="SimSun"/>
      <charset val="134"/>
    </font>
    <font>
      <sz val="10"/>
      <color rgb="FF333333"/>
      <name val="Arial"/>
      <charset val="134"/>
    </font>
    <font>
      <sz val="11"/>
      <color theme="1"/>
      <name val="Consolas"/>
      <charset val="134"/>
    </font>
    <font>
      <sz val="9"/>
      <color rgb="FF2B2B2B"/>
      <name val="黑体"/>
      <charset val="134"/>
    </font>
    <font>
      <sz val="10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134"/>
    </font>
    <font>
      <sz val="11"/>
      <color rgb="FFCE9178"/>
      <name val="宋体"/>
      <charset val="134"/>
    </font>
    <font>
      <sz val="10"/>
      <color rgb="FF333333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10177922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38" fillId="33" borderId="2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7" fillId="36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0" fillId="10" borderId="26" applyNumberFormat="0" applyFont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3" fillId="0" borderId="20" applyNumberFormat="0" applyFill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35" fillId="0" borderId="23" applyNumberFormat="0" applyFill="0" applyAlignment="0" applyProtection="0">
      <alignment vertical="center"/>
    </xf>
    <xf numFmtId="0" fontId="27" fillId="42" borderId="0" applyNumberFormat="0" applyBorder="0" applyAlignment="0" applyProtection="0">
      <alignment vertical="center"/>
    </xf>
    <xf numFmtId="0" fontId="28" fillId="18" borderId="19" applyNumberFormat="0" applyAlignment="0" applyProtection="0">
      <alignment vertical="center"/>
    </xf>
    <xf numFmtId="0" fontId="39" fillId="18" borderId="24" applyNumberFormat="0" applyAlignment="0" applyProtection="0">
      <alignment vertical="center"/>
    </xf>
    <xf numFmtId="0" fontId="34" fillId="31" borderId="22" applyNumberFormat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42" fillId="0" borderId="25" applyNumberFormat="0" applyFill="0" applyAlignment="0" applyProtection="0">
      <alignment vertical="center"/>
    </xf>
    <xf numFmtId="0" fontId="33" fillId="0" borderId="21" applyNumberFormat="0" applyFill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7" fillId="4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0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1" applyAlignment="1"/>
    <xf numFmtId="0" fontId="0" fillId="0" borderId="1" xfId="0" applyBorder="1" applyAlignment="1">
      <alignment vertical="center"/>
    </xf>
    <xf numFmtId="0" fontId="11" fillId="9" borderId="1" xfId="7" applyBorder="1">
      <alignment vertical="center"/>
    </xf>
    <xf numFmtId="0" fontId="11" fillId="9" borderId="1" xfId="7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7" applyBorder="1">
      <alignment vertical="center"/>
    </xf>
    <xf numFmtId="0" fontId="11" fillId="9" borderId="0" xfId="7" applyFont="1" applyBorder="1">
      <alignment vertical="center"/>
    </xf>
    <xf numFmtId="0" fontId="11" fillId="9" borderId="3" xfId="7" applyFont="1" applyBorder="1">
      <alignment vertical="center"/>
    </xf>
    <xf numFmtId="0" fontId="10" fillId="8" borderId="1" xfId="31" applyFont="1" applyBorder="1" applyAlignment="1">
      <alignment vertical="center"/>
    </xf>
    <xf numFmtId="0" fontId="10" fillId="8" borderId="2" xfId="31" applyFont="1" applyBorder="1" applyAlignment="1">
      <alignment horizontal="left"/>
    </xf>
    <xf numFmtId="0" fontId="10" fillId="8" borderId="1" xfId="31" applyFont="1" applyBorder="1">
      <alignment vertical="center"/>
    </xf>
    <xf numFmtId="0" fontId="12" fillId="10" borderId="4" xfId="13" applyFont="1" applyBorder="1" applyAlignment="1">
      <alignment horizontal="center"/>
    </xf>
    <xf numFmtId="0" fontId="12" fillId="10" borderId="5" xfId="13" applyFont="1" applyBorder="1" applyAlignment="1"/>
    <xf numFmtId="0" fontId="10" fillId="8" borderId="0" xfId="31" applyFont="1" applyBorder="1" applyAlignment="1">
      <alignment vertical="center"/>
    </xf>
    <xf numFmtId="0" fontId="10" fillId="8" borderId="0" xfId="31" applyFont="1" applyBorder="1" applyAlignment="1">
      <alignment horizontal="left"/>
    </xf>
    <xf numFmtId="0" fontId="10" fillId="8" borderId="0" xfId="31" applyFont="1" applyBorder="1">
      <alignment vertical="center"/>
    </xf>
    <xf numFmtId="0" fontId="12" fillId="10" borderId="0" xfId="13" applyFont="1" applyBorder="1" applyAlignment="1">
      <alignment horizontal="center"/>
    </xf>
    <xf numFmtId="0" fontId="12" fillId="10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7" applyNumberFormat="1" applyBorder="1">
      <alignment vertical="center"/>
    </xf>
    <xf numFmtId="0" fontId="11" fillId="9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7" applyFont="1" applyBorder="1">
      <alignment vertical="center"/>
    </xf>
    <xf numFmtId="0" fontId="6" fillId="11" borderId="1" xfId="32" applyFont="1" applyBorder="1" applyAlignment="1"/>
    <xf numFmtId="0" fontId="6" fillId="12" borderId="1" xfId="32" applyFont="1" applyFill="1" applyBorder="1" applyAlignment="1">
      <alignment vertical="center"/>
    </xf>
    <xf numFmtId="0" fontId="6" fillId="11" borderId="1" xfId="32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7" applyNumberFormat="1" applyFont="1" applyAlignment="1">
      <alignment vertical="center"/>
    </xf>
    <xf numFmtId="0" fontId="6" fillId="8" borderId="0" xfId="31" applyFont="1" applyAlignment="1"/>
    <xf numFmtId="0" fontId="6" fillId="0" borderId="0" xfId="0" applyFont="1" applyAlignment="1">
      <alignment vertical="center"/>
    </xf>
    <xf numFmtId="0" fontId="6" fillId="9" borderId="0" xfId="7" applyFont="1" applyAlignment="1">
      <alignment vertical="center"/>
    </xf>
    <xf numFmtId="0" fontId="6" fillId="9" borderId="1" xfId="7" applyFont="1" applyBorder="1" applyAlignment="1">
      <alignment horizontal="center"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7" applyFont="1" applyFill="1" applyBorder="1">
      <alignment vertical="center"/>
    </xf>
    <xf numFmtId="0" fontId="6" fillId="9" borderId="1" xfId="7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7" xfId="32" applyFont="1" applyBorder="1" applyAlignment="1">
      <alignment horizontal="center"/>
    </xf>
    <xf numFmtId="0" fontId="6" fillId="11" borderId="3" xfId="32" applyFont="1" applyBorder="1" applyAlignment="1">
      <alignment horizontal="center"/>
    </xf>
    <xf numFmtId="0" fontId="6" fillId="11" borderId="8" xfId="32" applyFont="1" applyFill="1" applyBorder="1" applyAlignment="1"/>
    <xf numFmtId="0" fontId="6" fillId="11" borderId="6" xfId="32" applyFont="1" applyBorder="1" applyAlignment="1">
      <alignment horizontal="center"/>
    </xf>
    <xf numFmtId="0" fontId="6" fillId="11" borderId="1" xfId="32" applyFont="1" applyBorder="1" applyAlignment="1">
      <alignment horizontal="center"/>
    </xf>
    <xf numFmtId="0" fontId="6" fillId="12" borderId="2" xfId="32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32" applyFont="1" applyFill="1" applyBorder="1">
      <alignment vertical="center"/>
    </xf>
    <xf numFmtId="0" fontId="6" fillId="0" borderId="0" xfId="50" applyFont="1"/>
    <xf numFmtId="0" fontId="6" fillId="12" borderId="1" xfId="0" applyFont="1" applyFill="1" applyBorder="1" applyAlignment="1">
      <alignment vertical="center"/>
    </xf>
    <xf numFmtId="0" fontId="6" fillId="9" borderId="0" xfId="49" applyFont="1" applyAlignment="1"/>
    <xf numFmtId="0" fontId="6" fillId="9" borderId="0" xfId="7" applyFont="1" applyAlignment="1"/>
    <xf numFmtId="0" fontId="6" fillId="0" borderId="0" xfId="0" applyNumberFormat="1" applyFont="1" applyFill="1" applyAlignment="1"/>
    <xf numFmtId="0" fontId="6" fillId="9" borderId="0" xfId="7" applyNumberFormat="1" applyFont="1" applyAlignment="1"/>
    <xf numFmtId="0" fontId="6" fillId="8" borderId="1" xfId="31" applyFont="1" applyBorder="1" applyAlignment="1"/>
    <xf numFmtId="0" fontId="6" fillId="8" borderId="0" xfId="31" applyFont="1" applyFill="1" applyAlignment="1"/>
    <xf numFmtId="0" fontId="6" fillId="8" borderId="0" xfId="31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7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32" applyFont="1" applyFill="1" applyBorder="1" applyAlignment="1"/>
    <xf numFmtId="0" fontId="6" fillId="11" borderId="7" xfId="32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32" applyFont="1" applyBorder="1">
      <alignment vertical="center"/>
    </xf>
    <xf numFmtId="0" fontId="0" fillId="0" borderId="0" xfId="50" applyFont="1"/>
    <xf numFmtId="0" fontId="6" fillId="11" borderId="7" xfId="32" applyFont="1" applyBorder="1" applyAlignment="1"/>
    <xf numFmtId="0" fontId="15" fillId="0" borderId="0" xfId="0" applyFont="1" applyAlignment="1"/>
    <xf numFmtId="0" fontId="11" fillId="9" borderId="0" xfId="49" applyFont="1" applyAlignment="1"/>
    <xf numFmtId="0" fontId="6" fillId="9" borderId="0" xfId="7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32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9" fillId="0" borderId="0" xfId="0" applyFont="1"/>
    <xf numFmtId="0" fontId="6" fillId="14" borderId="0" xfId="0" applyFont="1" applyFill="1"/>
    <xf numFmtId="0" fontId="20" fillId="3" borderId="1" xfId="50" applyFont="1" applyFill="1" applyBorder="1"/>
    <xf numFmtId="0" fontId="6" fillId="0" borderId="1" xfId="50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7" applyFont="1" applyFill="1" applyBorder="1">
      <alignment vertical="center"/>
    </xf>
    <xf numFmtId="0" fontId="6" fillId="9" borderId="11" xfId="7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3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6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32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7620"/>
              <a:ext cx="1306195" cy="3295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44"/>
  <sheetViews>
    <sheetView tabSelected="1" workbookViewId="0">
      <pane xSplit="8" ySplit="2" topLeftCell="X211" activePane="bottomRight" state="frozen"/>
      <selection/>
      <selection pane="topRight"/>
      <selection pane="bottomLeft"/>
      <selection pane="bottomRight" activeCell="AA217" sqref="AA217"/>
    </sheetView>
  </sheetViews>
  <sheetFormatPr defaultColWidth="9" defaultRowHeight="13.8"/>
  <cols>
    <col min="1" max="1" width="22.3796296296296" style="10" customWidth="1"/>
    <col min="2" max="2" width="9" style="10"/>
    <col min="3" max="3" width="7.62962962962963" style="10" customWidth="1"/>
    <col min="4" max="4" width="7.37962962962963" style="10" customWidth="1"/>
    <col min="5" max="5" width="11.6296296296296" style="10" customWidth="1"/>
    <col min="6" max="6" width="11" style="10" customWidth="1"/>
    <col min="7" max="7" width="8.87962962962963" style="10" customWidth="1"/>
    <col min="8" max="8" width="26.25" style="10" customWidth="1"/>
    <col min="9" max="9" width="28.1296296296296" style="163" customWidth="1"/>
    <col min="10" max="10" width="18.6296296296296" customWidth="1"/>
    <col min="11" max="11" width="41" customWidth="1"/>
    <col min="12" max="12" width="9" style="10" customWidth="1"/>
    <col min="13" max="13" width="47.3796296296296" style="167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96296296296" style="10" customWidth="1"/>
    <col min="27" max="27" width="10" style="10" customWidth="1"/>
    <col min="28" max="28" width="10.3796296296296" style="163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96296296296" style="10" customWidth="1"/>
    <col min="35" max="35" width="12.3796296296296" style="10" customWidth="1"/>
    <col min="36" max="39" width="9" style="10"/>
    <col min="40" max="40" width="9" style="163"/>
    <col min="41" max="16384" width="9" style="10"/>
  </cols>
  <sheetData>
    <row r="1" s="163" customFormat="1" spans="1:42">
      <c r="A1" s="167"/>
      <c r="B1" s="163" t="s">
        <v>0</v>
      </c>
      <c r="C1" s="163" t="s">
        <v>1</v>
      </c>
      <c r="D1" s="163" t="s">
        <v>2</v>
      </c>
      <c r="E1" s="188" t="s">
        <v>3</v>
      </c>
      <c r="F1" s="163" t="s">
        <v>4</v>
      </c>
      <c r="G1" s="163" t="s">
        <v>5</v>
      </c>
      <c r="H1" s="163" t="s">
        <v>6</v>
      </c>
      <c r="I1" s="163" t="s">
        <v>7</v>
      </c>
      <c r="J1" s="164" t="s">
        <v>8</v>
      </c>
      <c r="K1" s="164" t="s">
        <v>9</v>
      </c>
      <c r="L1" s="163" t="s">
        <v>10</v>
      </c>
      <c r="M1" s="163" t="s">
        <v>11</v>
      </c>
      <c r="N1" s="163" t="s">
        <v>12</v>
      </c>
      <c r="O1" s="163" t="s">
        <v>13</v>
      </c>
      <c r="P1" s="163" t="s">
        <v>14</v>
      </c>
      <c r="Q1" s="163" t="s">
        <v>15</v>
      </c>
      <c r="R1" s="163" t="s">
        <v>16</v>
      </c>
      <c r="S1" s="163" t="s">
        <v>17</v>
      </c>
      <c r="T1" s="163" t="s">
        <v>18</v>
      </c>
      <c r="U1" s="163" t="s">
        <v>19</v>
      </c>
      <c r="V1" s="163" t="s">
        <v>20</v>
      </c>
      <c r="W1" s="163" t="s">
        <v>21</v>
      </c>
      <c r="X1" s="163" t="s">
        <v>22</v>
      </c>
      <c r="Y1" s="163" t="s">
        <v>23</v>
      </c>
      <c r="Z1" s="163" t="s">
        <v>24</v>
      </c>
      <c r="AA1" s="163" t="s">
        <v>25</v>
      </c>
      <c r="AB1" s="163" t="s">
        <v>26</v>
      </c>
      <c r="AC1" s="163" t="s">
        <v>27</v>
      </c>
      <c r="AD1" s="163" t="s">
        <v>28</v>
      </c>
      <c r="AE1" s="163" t="s">
        <v>29</v>
      </c>
      <c r="AF1" s="163" t="s">
        <v>30</v>
      </c>
      <c r="AG1" s="163" t="s">
        <v>31</v>
      </c>
      <c r="AH1" s="163" t="s">
        <v>32</v>
      </c>
      <c r="AI1" s="163" t="s">
        <v>33</v>
      </c>
      <c r="AJ1" s="164" t="s">
        <v>34</v>
      </c>
      <c r="AK1" s="163" t="s">
        <v>35</v>
      </c>
      <c r="AL1" s="163" t="s">
        <v>36</v>
      </c>
      <c r="AM1" s="163" t="s">
        <v>37</v>
      </c>
      <c r="AN1" s="163" t="s">
        <v>38</v>
      </c>
      <c r="AO1" s="163" t="s">
        <v>39</v>
      </c>
      <c r="AP1" s="164" t="s">
        <v>40</v>
      </c>
    </row>
    <row r="2" s="164" customFormat="1" ht="12.75" customHeight="1" spans="1:42">
      <c r="A2" s="168">
        <f>COUNTA(B:B)+1</f>
        <v>397</v>
      </c>
      <c r="C2" s="164" t="s">
        <v>41</v>
      </c>
      <c r="D2" s="164" t="s">
        <v>42</v>
      </c>
      <c r="E2" s="164" t="s">
        <v>43</v>
      </c>
      <c r="F2" s="164" t="s">
        <v>44</v>
      </c>
      <c r="G2" s="164" t="s">
        <v>45</v>
      </c>
      <c r="H2" s="164" t="s">
        <v>46</v>
      </c>
      <c r="I2" s="164" t="s">
        <v>47</v>
      </c>
      <c r="J2" s="164" t="s">
        <v>48</v>
      </c>
      <c r="K2" s="164" t="s">
        <v>49</v>
      </c>
      <c r="L2" s="164" t="s">
        <v>50</v>
      </c>
      <c r="M2" s="164" t="s">
        <v>51</v>
      </c>
      <c r="N2" s="164" t="s">
        <v>52</v>
      </c>
      <c r="O2" s="164" t="s">
        <v>53</v>
      </c>
      <c r="P2" s="164" t="s">
        <v>54</v>
      </c>
      <c r="Q2" s="164" t="s">
        <v>55</v>
      </c>
      <c r="R2" s="164" t="s">
        <v>56</v>
      </c>
      <c r="S2" s="164" t="s">
        <v>57</v>
      </c>
      <c r="T2" s="164" t="s">
        <v>58</v>
      </c>
      <c r="U2" s="164" t="s">
        <v>59</v>
      </c>
      <c r="V2" s="164" t="s">
        <v>60</v>
      </c>
      <c r="W2" s="164" t="s">
        <v>61</v>
      </c>
      <c r="X2" s="164" t="s">
        <v>62</v>
      </c>
      <c r="Y2" s="164" t="s">
        <v>63</v>
      </c>
      <c r="Z2" s="164" t="s">
        <v>64</v>
      </c>
      <c r="AA2" s="164" t="s">
        <v>65</v>
      </c>
      <c r="AB2" s="164" t="s">
        <v>66</v>
      </c>
      <c r="AC2" s="164" t="s">
        <v>67</v>
      </c>
      <c r="AD2" s="164" t="s">
        <v>68</v>
      </c>
      <c r="AE2" s="164" t="s">
        <v>69</v>
      </c>
      <c r="AF2" s="164" t="s">
        <v>70</v>
      </c>
      <c r="AG2" s="164" t="s">
        <v>71</v>
      </c>
      <c r="AH2" s="164" t="s">
        <v>72</v>
      </c>
      <c r="AI2" s="164" t="s">
        <v>73</v>
      </c>
      <c r="AJ2" s="164" t="s">
        <v>74</v>
      </c>
      <c r="AK2" s="164" t="s">
        <v>75</v>
      </c>
      <c r="AL2" s="164" t="s">
        <v>76</v>
      </c>
      <c r="AM2" s="164" t="s">
        <v>77</v>
      </c>
      <c r="AN2" s="164" t="s">
        <v>78</v>
      </c>
      <c r="AO2" s="164" t="s">
        <v>79</v>
      </c>
      <c r="AP2" s="164" t="s">
        <v>80</v>
      </c>
    </row>
    <row r="3" spans="1:42">
      <c r="A3" s="167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9" t="str">
        <f t="shared" ref="J3" si="0">H3</f>
        <v>[武器]古纹剑lv1</v>
      </c>
      <c r="K3" s="169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70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7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9" t="str">
        <f t="shared" ref="J4:J7" si="2">H4</f>
        <v>[武器]古纹剑lv2</v>
      </c>
      <c r="K4" s="169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70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7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9" t="str">
        <f t="shared" si="2"/>
        <v>[武器]古纹剑lv3</v>
      </c>
      <c r="K5" s="169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70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7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9" t="str">
        <f t="shared" si="2"/>
        <v>[武器]古纹剑lv4</v>
      </c>
      <c r="K6" s="169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70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7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9" t="str">
        <f t="shared" si="2"/>
        <v>[武器]古纹剑lv5</v>
      </c>
      <c r="K7" s="169" t="str">
        <f t="shared" si="3"/>
        <v>|Cffbbbbbb属性：|r|n攻击+5000|n|n攻击|Cffffc92610%|r概率附加|Cffffc926业力*400%|r攻击伤害|n|n|Cff00ff7f点击消耗2500金币进行晋阶挑战</v>
      </c>
      <c r="L7" s="27"/>
      <c r="M7" s="170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7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9" t="str">
        <f t="shared" ref="J8:J23" si="4">H8</f>
        <v>|Cff00FF7F[武器]鱼肠剑lv1|r</v>
      </c>
      <c r="K8" s="16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70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7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9" t="str">
        <f t="shared" si="4"/>
        <v>|Cff00FF7F[武器]鱼肠剑lv2|r</v>
      </c>
      <c r="K9" s="16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70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7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9" t="str">
        <f t="shared" si="4"/>
        <v>|Cff00FF7F[武器]鱼肠剑lv3|r</v>
      </c>
      <c r="K10" s="16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70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7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9" t="str">
        <f t="shared" si="4"/>
        <v>|Cff00FF7F[武器]鱼肠剑lv4|r</v>
      </c>
      <c r="K11" s="16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70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7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9" t="str">
        <f t="shared" si="4"/>
        <v>|Cff00FF7F[武器]鱼肠剑lv5|r</v>
      </c>
      <c r="K12" s="169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70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7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9" t="str">
        <f t="shared" si="4"/>
        <v>|Cff00BFFF[武器]太阿剑lv1|r</v>
      </c>
      <c r="K13" s="16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70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7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9" t="str">
        <f t="shared" si="4"/>
        <v>|Cff00BFFF[武器]太阿剑lv2|r</v>
      </c>
      <c r="K14" s="16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70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7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9" t="str">
        <f t="shared" si="4"/>
        <v>|Cff00BFFF[武器]太阿剑lv3|r</v>
      </c>
      <c r="K15" s="16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70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7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9" t="str">
        <f t="shared" si="4"/>
        <v>|Cff00BFFF[武器]太阿剑lv4|r</v>
      </c>
      <c r="K16" s="16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70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7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9" t="str">
        <f t="shared" si="4"/>
        <v>|Cff00BFFF[武器]太阿剑lv5|r</v>
      </c>
      <c r="K17" s="169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70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7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9" t="str">
        <f t="shared" ref="J18:J22" si="6">H18</f>
        <v>|CffBF00FF[武器]湛卢剑lv1|r</v>
      </c>
      <c r="K18" s="16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70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7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9" t="str">
        <f t="shared" si="6"/>
        <v>|CffBF00FF[武器]湛卢剑lv2|r</v>
      </c>
      <c r="K19" s="16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70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7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9" t="str">
        <f t="shared" si="6"/>
        <v>|CffBF00FF[武器]湛卢剑lv3|r</v>
      </c>
      <c r="K20" s="16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70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7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9" t="str">
        <f t="shared" si="6"/>
        <v>|CffBF00FF[武器]湛卢剑lv4|r</v>
      </c>
      <c r="K21" s="16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70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7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9" t="str">
        <f t="shared" si="6"/>
        <v>|CffBF00FF[武器]湛卢剑lv5|r</v>
      </c>
      <c r="K22" s="169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70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7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9" t="str">
        <f t="shared" si="4"/>
        <v>|CffFFC926[武器]轩辕剑lv1|r</v>
      </c>
      <c r="K23" s="16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70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7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9" t="str">
        <f t="shared" ref="J24:J40" si="8">H24</f>
        <v>|CffFFC926[武器]轩辕剑lv2|r</v>
      </c>
      <c r="K24" s="16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70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7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9" t="str">
        <f t="shared" si="8"/>
        <v>|CffFFC926[武器]轩辕剑lv3|r</v>
      </c>
      <c r="K25" s="16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70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7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9" t="str">
        <f t="shared" si="8"/>
        <v>|CffFFC926[武器]轩辕剑lv4|r</v>
      </c>
      <c r="K26" s="16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70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7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9" t="str">
        <f t="shared" si="8"/>
        <v>|CffFFC926[武器]轩辕剑lv5|r</v>
      </c>
      <c r="K27" s="169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70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7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9" t="str">
        <f t="shared" si="8"/>
        <v>|CffFF0000[武器]太极八卦剑lv1|r</v>
      </c>
      <c r="K28" s="16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70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7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9" t="str">
        <f t="shared" si="8"/>
        <v>|CffFF0000[武器]太极八卦剑lv2|r</v>
      </c>
      <c r="K29" s="16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70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7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9" t="str">
        <f t="shared" si="8"/>
        <v>|CffFF0000[武器]太极八卦剑lv3|r</v>
      </c>
      <c r="K30" s="16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70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7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9" t="str">
        <f t="shared" si="8"/>
        <v>|CffFF0000[武器]太极八卦剑lv4|r</v>
      </c>
      <c r="K31" s="16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70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7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9" t="str">
        <f t="shared" si="8"/>
        <v>|CffFF0000[武器]太极八卦剑lv5|r</v>
      </c>
      <c r="K32" s="169" t="str">
        <f t="shared" si="9"/>
        <v>|Cffbbbbbb属性：|r|n攻击+600000|n攻速+60%|n吸血+12%|n|n攻击|Cffffc92610%|r概率附加|Cffffc926业力*400%|r攻击伤害|n</v>
      </c>
      <c r="L32" s="27"/>
      <c r="M32" s="170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/>
    </row>
    <row r="33" spans="1:42">
      <c r="A33" s="167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9" t="str">
        <f t="shared" si="8"/>
        <v>[饰品]青珑挂珠lv1</v>
      </c>
      <c r="K33" s="169" t="str">
        <f t="shared" si="9"/>
        <v>|Cffbbbbbb属性：|r|n攻击+250|n业力+1000|n生命值+5000|n|n|Cff00ff7f击杀200只怪有50%概率升级|r</v>
      </c>
      <c r="L33" s="27"/>
      <c r="M33" s="170" t="str">
        <f>VLOOKUP(LEFT(RIGHT(B33,5),4),物品!B:CU,20,FALSE)</f>
        <v>ReplaceableTextures\\CommandButtons\\BTNZ06.blp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2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>
        <f>VLOOKUP(B33,物品!B33:D61,3,FALSE)</f>
        <v>200</v>
      </c>
      <c r="AO33" s="27"/>
      <c r="AP33" s="27"/>
    </row>
    <row r="34" spans="1:42">
      <c r="A34" s="167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9" t="str">
        <f t="shared" si="8"/>
        <v>[饰品]青珑挂珠lv2</v>
      </c>
      <c r="K34" s="169" t="str">
        <f t="shared" si="9"/>
        <v>|Cffbbbbbb属性：|r|n攻击+500|n业力+2000|n生命值+10000|n|n|Cff00ff7f击杀200只怪有50%概率升级|r</v>
      </c>
      <c r="L34" s="27"/>
      <c r="M34" s="170" t="str">
        <f>VLOOKUP(LEFT(RIGHT(B34,5),4),物品!B:CU,20,FALSE)</f>
        <v>ReplaceableTextures\\CommandButtons\\BTNZ06.blp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2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>
        <f>VLOOKUP(B34,物品!B34:D62,3,FALSE)</f>
        <v>200</v>
      </c>
      <c r="AO34" s="27"/>
      <c r="AP34" s="27"/>
    </row>
    <row r="35" spans="1:42">
      <c r="A35" s="167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9" t="str">
        <f t="shared" si="8"/>
        <v>[饰品]青珑挂珠lv3</v>
      </c>
      <c r="K35" s="169" t="str">
        <f t="shared" si="9"/>
        <v>|Cffbbbbbb属性：|r|n攻击+750|n业力+3000|n生命值+15000|n|n|Cff00ff7f击杀200只怪有50%概率升级|r</v>
      </c>
      <c r="L35" s="27"/>
      <c r="M35" s="170" t="str">
        <f>VLOOKUP(LEFT(RIGHT(B35,5),4),物品!B:CU,20,FALSE)</f>
        <v>ReplaceableTextures\\CommandButtons\\BTNZ06.blp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2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>
        <f>VLOOKUP(B35,物品!B35:D63,3,FALSE)</f>
        <v>200</v>
      </c>
      <c r="AO35" s="27"/>
      <c r="AP35" s="27"/>
    </row>
    <row r="36" spans="1:42">
      <c r="A36" s="167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9" t="str">
        <f t="shared" si="8"/>
        <v>[饰品]青珑挂珠lv4</v>
      </c>
      <c r="K36" s="169" t="str">
        <f t="shared" si="9"/>
        <v>|Cffbbbbbb属性：|r|n攻击+1000|n业力+4000|n生命值+20000|n|n|Cff00ff7f击杀200只怪有50%概率升级|r</v>
      </c>
      <c r="L36" s="27"/>
      <c r="M36" s="170" t="str">
        <f>VLOOKUP(LEFT(RIGHT(B36,5),4),物品!B:CU,20,FALSE)</f>
        <v>ReplaceableTextures\\CommandButtons\\BTNZ06.blp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2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>
        <f>VLOOKUP(B36,物品!B36:D64,3,FALSE)</f>
        <v>200</v>
      </c>
      <c r="AO36" s="27"/>
      <c r="AP36" s="27"/>
    </row>
    <row r="37" spans="1:42">
      <c r="A37" s="167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9" t="str">
        <f t="shared" si="8"/>
        <v>[饰品]青珑挂珠lv5</v>
      </c>
      <c r="K37" s="169" t="str">
        <f t="shared" si="9"/>
        <v>|Cffbbbbbb属性：|r|n攻击+1250|n业力+5000|n生命值+25000|n|n|Cff00ff7f击杀300只怪有50%概率升级|r</v>
      </c>
      <c r="L37" s="27"/>
      <c r="M37" s="170" t="str">
        <f>VLOOKUP(LEFT(RIGHT(B37,5),4),物品!B:CU,20,FALSE)</f>
        <v>ReplaceableTextures\\CommandButtons\\BTNZ06.blp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2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>
        <f>VLOOKUP(B37,物品!B37:D65,3,FALSE)</f>
        <v>300</v>
      </c>
      <c r="AO37" s="27"/>
      <c r="AP37" s="27"/>
    </row>
    <row r="38" spans="1:42">
      <c r="A38" s="167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9" t="str">
        <f t="shared" si="8"/>
        <v>|Cff00FF7F[饰品]紫晶坠子lv1|r</v>
      </c>
      <c r="K38" s="169" t="str">
        <f t="shared" si="9"/>
        <v>|Cffbbbbbb属性：|r|n攻击+2000|n业力+8000|n生命值+40000|n暴击+4%|n|n|Cff00ff7f击杀250只怪有50%概率升级|r</v>
      </c>
      <c r="L38" s="27"/>
      <c r="M38" s="170" t="str">
        <f>VLOOKUP(LEFT(RIGHT(B38,5),4),物品!B:CU,20,FALSE)</f>
        <v>ReplaceableTextures\\CommandButtons\\BTNZ07.blp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250</v>
      </c>
      <c r="AO38" s="27"/>
      <c r="AP38" s="27"/>
    </row>
    <row r="39" spans="1:42">
      <c r="A39" s="167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9" t="str">
        <f t="shared" si="8"/>
        <v>|Cff00FF7F[饰品]紫晶坠子lv2|r</v>
      </c>
      <c r="K39" s="169" t="str">
        <f t="shared" si="9"/>
        <v>|Cffbbbbbb属性：|r|n攻击+2500|n业力+10000|n生命值+50000|n暴击+4%|n|n|Cff00ff7f击杀250只怪有50%概率升级|r</v>
      </c>
      <c r="L39" s="27"/>
      <c r="M39" s="170" t="str">
        <f>VLOOKUP(LEFT(RIGHT(B39,5),4),物品!B:CU,20,FALSE)</f>
        <v>ReplaceableTextures\\CommandButtons\\BTNZ07.blp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250</v>
      </c>
      <c r="AO39" s="27"/>
      <c r="AP39" s="27"/>
    </row>
    <row r="40" spans="1:42">
      <c r="A40" s="167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9" t="str">
        <f t="shared" si="8"/>
        <v>|Cff00FF7F[饰品]紫晶坠子lv3|r</v>
      </c>
      <c r="K40" s="169" t="str">
        <f t="shared" si="9"/>
        <v>|Cffbbbbbb属性：|r|n攻击+3000|n业力+12000|n生命值+60000|n暴击+4%|n|n|Cff00ff7f击杀250只怪有50%概率升级|r</v>
      </c>
      <c r="L40" s="27"/>
      <c r="M40" s="170" t="str">
        <f>VLOOKUP(LEFT(RIGHT(B40,5),4),物品!B:CU,20,FALSE)</f>
        <v>ReplaceableTextures\\CommandButtons\\BTNZ07.blp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VLOOKUP(B40,物品!B40:D68,3,FALSE)</f>
        <v>250</v>
      </c>
      <c r="AO40" s="27"/>
      <c r="AP40" s="27"/>
    </row>
    <row r="41" spans="1:42">
      <c r="A41" s="167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9" t="str">
        <f t="shared" ref="J41:J63" si="10">H41</f>
        <v>|Cff00FF7F[饰品]紫晶坠子lv4|r</v>
      </c>
      <c r="K41" s="169" t="str">
        <f t="shared" ref="K41:K63" si="11">I41</f>
        <v>|Cffbbbbbb属性：|r|n攻击+3500|n业力+14000|n生命值+70000|n暴击+4%|n|n|Cff00ff7f击杀250只怪有50%概率升级|r</v>
      </c>
      <c r="L41" s="27"/>
      <c r="M41" s="170" t="str">
        <f>VLOOKUP(LEFT(RIGHT(B41,5),4),物品!B:CU,20,FALSE)</f>
        <v>ReplaceableTextures\\CommandButtons\\BTNZ07.blp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VLOOKUP(B41,物品!B41:D69,3,FALSE)</f>
        <v>250</v>
      </c>
      <c r="AO41" s="27"/>
      <c r="AP41" s="27"/>
    </row>
    <row r="42" spans="1:42">
      <c r="A42" s="167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9" t="str">
        <f t="shared" si="10"/>
        <v>|Cff00FF7F[饰品]紫晶坠子lv5|r</v>
      </c>
      <c r="K42" s="169" t="str">
        <f t="shared" si="11"/>
        <v>|Cffbbbbbb属性：|r|n攻击+4000|n业力+16000|n生命值+80000|n暴击+4%|n|n|Cff00ff7f击杀400只怪有50%概率升级|r</v>
      </c>
      <c r="L42" s="27"/>
      <c r="M42" s="170" t="str">
        <f>VLOOKUP(LEFT(RIGHT(B42,5),4),物品!B:CU,20,FALSE)</f>
        <v>ReplaceableTextures\\CommandButtons\\BTNZ07.blp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VLOOKUP(B42,物品!B42:D70,3,FALSE)</f>
        <v>400</v>
      </c>
      <c r="AO42" s="27"/>
      <c r="AP42" s="27"/>
    </row>
    <row r="43" spans="1:42">
      <c r="A43" s="167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9" t="str">
        <f t="shared" si="10"/>
        <v>|Cff00BFFF[饰品]三才项圈lv1|r</v>
      </c>
      <c r="K43" s="169" t="str">
        <f t="shared" si="11"/>
        <v>|Cffbbbbbb属性：|r|n攻击+6000|n业力+24000|n生命值+120000|n暴击+6%|n|n|Cff00ff7f击杀350只怪有50%概率升级|r</v>
      </c>
      <c r="L43" s="27"/>
      <c r="M43" s="170" t="str">
        <f>VLOOKUP(LEFT(RIGHT(B43,5),4),物品!B:CU,20,FALSE)</f>
        <v>ReplaceableTextures\\CommandButtons\\BTNZ08.blp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VLOOKUP(B43,物品!B43:D71,3,FALSE)</f>
        <v>350</v>
      </c>
      <c r="AO43" s="27"/>
      <c r="AP43" s="27"/>
    </row>
    <row r="44" spans="1:42">
      <c r="A44" s="167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9" t="str">
        <f t="shared" si="10"/>
        <v>|Cff00BFFF[饰品]三才项圈lv2|r</v>
      </c>
      <c r="K44" s="169" t="str">
        <f t="shared" si="11"/>
        <v>|Cffbbbbbb属性：|r|n攻击+7000|n业力+28000|n生命值+140000|n暴击+6%|n|n|Cff00ff7f击杀350只怪有50%概率升级|r</v>
      </c>
      <c r="L44" s="27"/>
      <c r="M44" s="170" t="str">
        <f>VLOOKUP(LEFT(RIGHT(B44,5),4),物品!B:CU,20,FALSE)</f>
        <v>ReplaceableTextures\\CommandButtons\\BTNZ08.blp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VLOOKUP(B44,物品!B44:D72,3,FALSE)</f>
        <v>350</v>
      </c>
      <c r="AO44" s="27"/>
      <c r="AP44" s="27"/>
    </row>
    <row r="45" spans="1:42">
      <c r="A45" s="167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9" t="str">
        <f t="shared" si="10"/>
        <v>|Cff00BFFF[饰品]三才项圈lv3|r</v>
      </c>
      <c r="K45" s="169" t="str">
        <f t="shared" si="11"/>
        <v>|Cffbbbbbb属性：|r|n攻击+8000|n业力+32000|n生命值+160000|n暴击+6%|n|n|Cff00ff7f击杀350只怪有50%概率升级|r</v>
      </c>
      <c r="L45" s="27"/>
      <c r="M45" s="170" t="str">
        <f>VLOOKUP(LEFT(RIGHT(B45,5),4),物品!B:CU,20,FALSE)</f>
        <v>ReplaceableTextures\\CommandButtons\\BTNZ08.blp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VLOOKUP(B45,物品!B45:D73,3,FALSE)</f>
        <v>350</v>
      </c>
      <c r="AO45" s="27"/>
      <c r="AP45" s="27"/>
    </row>
    <row r="46" spans="1:42">
      <c r="A46" s="167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9" t="str">
        <f t="shared" si="10"/>
        <v>|Cff00BFFF[饰品]三才项圈lv4|r</v>
      </c>
      <c r="K46" s="169" t="str">
        <f t="shared" si="11"/>
        <v>|Cffbbbbbb属性：|r|n攻击+10000|n业力+40000|n生命值+200000|n暴击+6%|n|n|Cff00ff7f击杀350只怪有50%概率升级|r</v>
      </c>
      <c r="L46" s="27"/>
      <c r="M46" s="170" t="str">
        <f>VLOOKUP(LEFT(RIGHT(B46,5),4),物品!B:CU,20,FALSE)</f>
        <v>ReplaceableTextures\\CommandButtons\\BTNZ08.blp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VLOOKUP(B46,物品!B46:D74,3,FALSE)</f>
        <v>350</v>
      </c>
      <c r="AO46" s="27"/>
      <c r="AP46" s="27"/>
    </row>
    <row r="47" spans="1:42">
      <c r="A47" s="167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9" t="str">
        <f t="shared" si="10"/>
        <v>|Cff00BFFF[饰品]三才项圈lv5|r</v>
      </c>
      <c r="K47" s="169" t="str">
        <f t="shared" si="11"/>
        <v>|Cffbbbbbb属性：|r|n攻击+12000|n业力+48000|n生命值+240000|n暴击+6%|n|n|Cff00ff7f击杀600只怪有50%概率升级|r</v>
      </c>
      <c r="L47" s="27"/>
      <c r="M47" s="170" t="str">
        <f>VLOOKUP(LEFT(RIGHT(B47,5),4),物品!B:CU,20,FALSE)</f>
        <v>ReplaceableTextures\\CommandButtons\\BTNZ08.blp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VLOOKUP(B47,物品!B47:D75,3,FALSE)</f>
        <v>600</v>
      </c>
      <c r="AO47" s="27"/>
      <c r="AP47" s="27"/>
    </row>
    <row r="48" spans="1:42">
      <c r="A48" s="167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9" t="str">
        <f t="shared" ref="J48:J52" si="12">H48</f>
        <v>|CffBF00FF[饰品]化龙护符lv1|r</v>
      </c>
      <c r="K48" s="169" t="str">
        <f t="shared" ref="K48:K52" si="13">I48</f>
        <v>|Cffbbbbbb属性：|r|n攻击+18000|n业力+72000|n生命值+360000|n暴击+8%|n|n|Cff00ff7f击杀500只怪有50%概率升级|r</v>
      </c>
      <c r="L48" s="27"/>
      <c r="M48" s="170" t="str">
        <f>VLOOKUP(LEFT(RIGHT(B48,5),4),物品!B:CU,20,FALSE)</f>
        <v>ReplaceableTextures\\CommandButtons\\BTNZ24.blp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VLOOKUP(B48,物品!B48:D76,3,FALSE)</f>
        <v>500</v>
      </c>
      <c r="AO48" s="27"/>
      <c r="AP48" s="27"/>
    </row>
    <row r="49" spans="1:42">
      <c r="A49" s="167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9" t="str">
        <f t="shared" si="12"/>
        <v>|CffBF00FF[饰品]化龙护符lv2|r</v>
      </c>
      <c r="K49" s="169" t="str">
        <f t="shared" si="13"/>
        <v>|Cffbbbbbb属性：|r|n攻击+21000|n业力+84000|n生命值+420000|n暴击+8%|n|n|Cff00ff7f击杀500只怪有50%概率升级|r</v>
      </c>
      <c r="L49" s="27"/>
      <c r="M49" s="170" t="str">
        <f>VLOOKUP(LEFT(RIGHT(B49,5),4),物品!B:CU,20,FALSE)</f>
        <v>ReplaceableTextures\\CommandButtons\\BTNZ24.blp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VLOOKUP(B49,物品!B49:D77,3,FALSE)</f>
        <v>500</v>
      </c>
      <c r="AO49" s="27"/>
      <c r="AP49" s="27"/>
    </row>
    <row r="50" spans="1:42">
      <c r="A50" s="167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9" t="str">
        <f t="shared" si="12"/>
        <v>|CffBF00FF[饰品]化龙护符lv3|r</v>
      </c>
      <c r="K50" s="169" t="str">
        <f t="shared" si="13"/>
        <v>|Cffbbbbbb属性：|r|n攻击+24000|n业力+96000|n生命值+480000|n暴击+8%|n|n|Cff00ff7f击杀500只怪有50%概率升级|r</v>
      </c>
      <c r="L50" s="27"/>
      <c r="M50" s="170" t="str">
        <f>VLOOKUP(LEFT(RIGHT(B50,5),4),物品!B:CU,20,FALSE)</f>
        <v>ReplaceableTextures\\CommandButtons\\BTNZ24.blp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VLOOKUP(B50,物品!B50:D78,3,FALSE)</f>
        <v>500</v>
      </c>
      <c r="AO50" s="27"/>
      <c r="AP50" s="27"/>
    </row>
    <row r="51" spans="1:42">
      <c r="A51" s="167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9" t="str">
        <f t="shared" si="12"/>
        <v>|CffBF00FF[饰品]化龙护符lv4|r</v>
      </c>
      <c r="K51" s="169" t="str">
        <f t="shared" si="13"/>
        <v>|Cffbbbbbb属性：|r|n攻击+27000|n业力+108000|n生命值+540000|n暴击+8%|n|n|Cff00ff7f击杀500只怪有50%概率升级|r</v>
      </c>
      <c r="L51" s="27"/>
      <c r="M51" s="170" t="str">
        <f>VLOOKUP(LEFT(RIGHT(B51,5),4),物品!B:CU,20,FALSE)</f>
        <v>ReplaceableTextures\\CommandButtons\\BTNZ24.blp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VLOOKUP(B51,物品!B51:D79,3,FALSE)</f>
        <v>500</v>
      </c>
      <c r="AO51" s="27"/>
      <c r="AP51" s="27"/>
    </row>
    <row r="52" spans="1:42">
      <c r="A52" s="167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9" t="str">
        <f t="shared" si="12"/>
        <v>|CffBF00FF[饰品]化龙护符lv5|r</v>
      </c>
      <c r="K52" s="169" t="str">
        <f t="shared" si="13"/>
        <v>|Cffbbbbbb属性：|r|n攻击+30000|n业力+120000|n生命值+600000|n暴击+8%|n|n|Cff00ff7f击杀800只怪有50%概率升级|r</v>
      </c>
      <c r="L52" s="27"/>
      <c r="M52" s="170" t="str">
        <f>VLOOKUP(LEFT(RIGHT(B52,5),4),物品!B:CU,20,FALSE)</f>
        <v>ReplaceableTextures\\CommandButtons\\BTNZ24.blp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VLOOKUP(B52,物品!B52:D80,3,FALSE)</f>
        <v>800</v>
      </c>
      <c r="AO52" s="27"/>
      <c r="AP52" s="27"/>
    </row>
    <row r="53" spans="1:42">
      <c r="A53" s="167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9" t="str">
        <f t="shared" si="10"/>
        <v>|CffFFC926[饰品]秘魔灵珠lv1|r</v>
      </c>
      <c r="K53" s="169" t="str">
        <f t="shared" si="11"/>
        <v>|Cffbbbbbb属性：|r|n攻击+40000|n业力+160000|n生命值+800000|n暴击+10%|n|n|Cff00ff7f击杀800只怪有50%概率升级|r</v>
      </c>
      <c r="L53" s="27"/>
      <c r="M53" s="170" t="str">
        <f>VLOOKUP(LEFT(RIGHT(B53,5),4),物品!B:CU,20,FALSE)</f>
        <v>ReplaceableTextures\\CommandButtons\\BTNZ09.blp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VLOOKUP(B53,物品!B53:D76,3,FALSE)</f>
        <v>800</v>
      </c>
      <c r="AO53" s="27"/>
      <c r="AP53" s="27"/>
    </row>
    <row r="54" spans="1:42">
      <c r="A54" s="167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9" t="str">
        <f t="shared" si="10"/>
        <v>|CffFFC926[饰品]秘魔灵珠lv2|r</v>
      </c>
      <c r="K54" s="169" t="str">
        <f t="shared" si="11"/>
        <v>|Cffbbbbbb属性：|r|n攻击+45000|n业力+180000|n生命值+900000|n暴击+10%|n|n|Cff00ff7f击杀800只怪有50%概率升级|r</v>
      </c>
      <c r="L54" s="27"/>
      <c r="M54" s="170" t="str">
        <f>VLOOKUP(LEFT(RIGHT(B54,5),4),物品!B:CU,20,FALSE)</f>
        <v>ReplaceableTextures\\CommandButtons\\BTNZ09.blp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VLOOKUP(B54,物品!B54:D77,3,FALSE)</f>
        <v>800</v>
      </c>
      <c r="AO54" s="27"/>
      <c r="AP54" s="27"/>
    </row>
    <row r="55" spans="1:42">
      <c r="A55" s="167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9" t="str">
        <f t="shared" si="10"/>
        <v>|CffFFC926[饰品]秘魔灵珠lv3|r</v>
      </c>
      <c r="K55" s="169" t="str">
        <f t="shared" si="11"/>
        <v>|Cffbbbbbb属性：|r|n攻击+50000|n业力+200000|n生命值+1000000|n暴击+10%|n|n|Cff00ff7f击杀800只怪有50%概率升级|r</v>
      </c>
      <c r="L55" s="27"/>
      <c r="M55" s="170" t="str">
        <f>VLOOKUP(LEFT(RIGHT(B55,5),4),物品!B:CU,20,FALSE)</f>
        <v>ReplaceableTextures\\CommandButtons\\BTNZ09.blp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VLOOKUP(B55,物品!B55:D83,3,FALSE)</f>
        <v>800</v>
      </c>
      <c r="AO55" s="27"/>
      <c r="AP55" s="27"/>
    </row>
    <row r="56" spans="1:42">
      <c r="A56" s="167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9" t="str">
        <f t="shared" si="10"/>
        <v>|CffFFC926[饰品]秘魔灵珠lv4|r</v>
      </c>
      <c r="K56" s="169" t="str">
        <f t="shared" si="11"/>
        <v>|Cffbbbbbb属性：|r|n攻击+55000|n业力+220000|n生命值+1100000|n暴击+10%|n|n|Cff00ff7f击杀800只怪有50%概率升级|r</v>
      </c>
      <c r="L56" s="27"/>
      <c r="M56" s="170" t="str">
        <f>VLOOKUP(LEFT(RIGHT(B56,5),4),物品!B:CU,20,FALSE)</f>
        <v>ReplaceableTextures\\CommandButtons\\BTNZ09.blp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VLOOKUP(B56,物品!B56:D84,3,FALSE)</f>
        <v>800</v>
      </c>
      <c r="AO56" s="27"/>
      <c r="AP56" s="27"/>
    </row>
    <row r="57" spans="1:42">
      <c r="A57" s="167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9" t="str">
        <f t="shared" si="10"/>
        <v>|CffFFC926[饰品]秘魔灵珠lv5|r</v>
      </c>
      <c r="K57" s="169" t="str">
        <f t="shared" si="11"/>
        <v>|Cffbbbbbb属性：|r|n攻击+60000|n业力+240000|n生命值+1200000|n暴击+10%|n|n|Cff00ff7f击杀1200只怪有50%概率升级|r</v>
      </c>
      <c r="L57" s="27"/>
      <c r="M57" s="170" t="str">
        <f>VLOOKUP(LEFT(RIGHT(B57,5),4),物品!B:CU,20,FALSE)</f>
        <v>ReplaceableTextures\\CommandButtons\\BTNZ09.blp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VLOOKUP(B57,物品!B57:D85,3,FALSE)</f>
        <v>1200</v>
      </c>
      <c r="AO57" s="27"/>
      <c r="AP57" s="27"/>
    </row>
    <row r="58" spans="1:42">
      <c r="A58" s="167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9" t="str">
        <f t="shared" si="10"/>
        <v>|CffFF0000[饰品]流光绝影lv1|r</v>
      </c>
      <c r="K58" s="169" t="str">
        <f t="shared" si="11"/>
        <v>|Cffbbbbbb属性：|r|n攻击+90000|n业力+360000|n生命值+1800000|n暴击+12%|n|n|Cff00ff7f击杀1200只怪有50%概率升级|r</v>
      </c>
      <c r="L58" s="27"/>
      <c r="M58" s="170" t="str">
        <f>VLOOKUP(LEFT(RIGHT(B58,5),4),物品!B:CU,20,FALSE)</f>
        <v>ReplaceableTextures\\CommandButtons\\BTNZ10.blp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1200</v>
      </c>
      <c r="AO58" s="27"/>
      <c r="AP58" s="27"/>
    </row>
    <row r="59" spans="1:42">
      <c r="A59" s="167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9" t="str">
        <f t="shared" si="10"/>
        <v>|CffFF0000[饰品]流光绝影lv2|r</v>
      </c>
      <c r="K59" s="169" t="str">
        <f t="shared" si="11"/>
        <v>|Cffbbbbbb属性：|r|n攻击+105000|n业力+420000|n生命值+2100000|n暴击+12%|n|n|Cff00ff7f击杀1200只怪有50%概率升级|r</v>
      </c>
      <c r="L59" s="27"/>
      <c r="M59" s="170" t="str">
        <f>VLOOKUP(LEFT(RIGHT(B59,5),4),物品!B:CU,20,FALSE)</f>
        <v>ReplaceableTextures\\CommandButtons\\BTNZ10.blp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1200</v>
      </c>
      <c r="AO59" s="27"/>
      <c r="AP59" s="27"/>
    </row>
    <row r="60" spans="1:42">
      <c r="A60" s="167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9" t="str">
        <f t="shared" si="10"/>
        <v>|CffFF0000[饰品]流光绝影lv3|r</v>
      </c>
      <c r="K60" s="169" t="str">
        <f t="shared" si="11"/>
        <v>|Cffbbbbbb属性：|r|n攻击+120000|n业力+480000|n生命值+2400000|n暴击+12%|n|n|Cff00ff7f击杀1200只怪有50%概率升级|r</v>
      </c>
      <c r="L60" s="27"/>
      <c r="M60" s="170" t="str">
        <f>VLOOKUP(LEFT(RIGHT(B60,5),4),物品!B:CU,20,FALSE)</f>
        <v>ReplaceableTextures\\CommandButtons\\BTNZ10.blp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VLOOKUP(B60,物品!B60:D88,3,FALSE)</f>
        <v>1200</v>
      </c>
      <c r="AO60" s="27"/>
      <c r="AP60" s="27"/>
    </row>
    <row r="61" spans="1:42">
      <c r="A61" s="167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9" t="str">
        <f t="shared" si="10"/>
        <v>|CffFF0000[饰品]流光绝影lv4|r</v>
      </c>
      <c r="K61" s="169" t="str">
        <f t="shared" si="11"/>
        <v>|Cffbbbbbb属性：|r|n攻击+135000|n业力+540000|n生命值+2700000|n暴击+12%|n|n|Cff00ff7f击杀1200只怪有50%概率升级|r</v>
      </c>
      <c r="L61" s="27"/>
      <c r="M61" s="170" t="str">
        <f>VLOOKUP(LEFT(RIGHT(B61,5),4),物品!B:CU,20,FALSE)</f>
        <v>ReplaceableTextures\\CommandButtons\\BTNZ10.blp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VLOOKUP(B61,物品!B61:D89,3,FALSE)</f>
        <v>1200</v>
      </c>
      <c r="AO61" s="27"/>
      <c r="AP61" s="27"/>
    </row>
    <row r="62" spans="1:42">
      <c r="A62" s="167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9" t="str">
        <f t="shared" si="10"/>
        <v>|CffFF0000[饰品]流光绝影lv5|r</v>
      </c>
      <c r="K62" s="169" t="str">
        <f t="shared" si="11"/>
        <v>|Cffbbbbbb属性：|r|n攻击+150000|n业力+600000|n生命值+3000000|n暴击+12%|n</v>
      </c>
      <c r="L62" s="27"/>
      <c r="M62" s="170" t="str">
        <f>VLOOKUP(LEFT(RIGHT(B62,5),4),物品!B:CU,20,FALSE)</f>
        <v>ReplaceableTextures\\CommandButtons\\BTNZ10.blp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/>
      <c r="AO62" s="27"/>
      <c r="AP62" s="27"/>
    </row>
    <row r="63" spans="1:42">
      <c r="A63" s="167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9" t="str">
        <f t="shared" si="10"/>
        <v>[防具]贤者道袍lv1</v>
      </c>
      <c r="K63" s="169" t="str">
        <f t="shared" si="11"/>
        <v>|Cffbbbbbb属性：|r|n生命值+20000|n生命回复+500|n|n|Cff00ff7f点击消耗800金币进行强化|n成功率100%</v>
      </c>
      <c r="L63" s="27"/>
      <c r="M63" s="170" t="str">
        <f>VLOOKUP(LEFT(RIGHT(B63,5),4),物品!B:CU,20,FALSE)</f>
        <v>ReplaceableTextures\\CommandButtons\\BTNZ11.blp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3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/>
      <c r="AO63" s="27"/>
      <c r="AP63" s="27">
        <v>1</v>
      </c>
    </row>
    <row r="64" spans="1:42">
      <c r="A64" s="167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9" t="str">
        <f t="shared" ref="J64:J68" si="14">H64</f>
        <v>[防具]贤者道袍lv2</v>
      </c>
      <c r="K64" s="169" t="str">
        <f t="shared" ref="K64:K68" si="15">I64</f>
        <v>|Cffbbbbbb属性：|r|n生命值+40000|n生命回复+1000|n|n|Cff00ff7f点击消耗800金币进行强化|n成功率100%</v>
      </c>
      <c r="L64" s="27"/>
      <c r="M64" s="170" t="str">
        <f>VLOOKUP(LEFT(RIGHT(B64,5),4),物品!B:CU,20,FALSE)</f>
        <v>ReplaceableTextures\\CommandButtons\\BTNZ11.blp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3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/>
      <c r="AO64" s="27"/>
      <c r="AP64" s="27">
        <v>1</v>
      </c>
    </row>
    <row r="65" spans="1:42">
      <c r="A65" s="167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9" t="str">
        <f t="shared" si="14"/>
        <v>[防具]贤者道袍lv3</v>
      </c>
      <c r="K65" s="169" t="str">
        <f t="shared" si="15"/>
        <v>|Cffbbbbbb属性：|r|n生命值+60000|n生命回复+1500|n|n|Cff00ff7f点击消耗800金币进行强化|n成功率100%</v>
      </c>
      <c r="L65" s="27"/>
      <c r="M65" s="170" t="str">
        <f>VLOOKUP(LEFT(RIGHT(B65,5),4),物品!B:CU,20,FALSE)</f>
        <v>ReplaceableTextures\\CommandButtons\\BTNZ11.blp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3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/>
      <c r="AO65" s="27"/>
      <c r="AP65" s="27">
        <v>1</v>
      </c>
    </row>
    <row r="66" spans="1:42">
      <c r="A66" s="167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9" t="str">
        <f t="shared" si="14"/>
        <v>[防具]贤者道袍lv4</v>
      </c>
      <c r="K66" s="169" t="str">
        <f t="shared" si="15"/>
        <v>|Cffbbbbbb属性：|r|n生命值+80000|n生命回复+2000|n|n|Cff00ff7f点击消耗800金币进行强化|n成功率100%</v>
      </c>
      <c r="L66" s="27"/>
      <c r="M66" s="170" t="str">
        <f>VLOOKUP(LEFT(RIGHT(B66,5),4),物品!B:CU,20,FALSE)</f>
        <v>ReplaceableTextures\\CommandButtons\\BTNZ11.blp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3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/>
      <c r="AO66" s="27"/>
      <c r="AP66" s="27">
        <v>1</v>
      </c>
    </row>
    <row r="67" spans="1:42">
      <c r="A67" s="167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9" t="str">
        <f t="shared" si="14"/>
        <v>[防具]贤者道袍lv5</v>
      </c>
      <c r="K67" s="169" t="str">
        <f t="shared" si="15"/>
        <v>|Cffbbbbbb属性：|r|n生命值+100000|n生命回复+2500|n|n|Cff00ff7f点击消耗2500金币进行晋阶挑战</v>
      </c>
      <c r="L67" s="27"/>
      <c r="M67" s="170" t="str">
        <f>VLOOKUP(LEFT(RIGHT(B67,5),4),物品!B:CU,20,FALSE)</f>
        <v>ReplaceableTextures\\CommandButtons\\BTNZ11.blp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3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>
        <v>1</v>
      </c>
    </row>
    <row r="68" spans="1:42">
      <c r="A68" s="167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9" t="str">
        <f t="shared" si="14"/>
        <v>|Cff00FF7F[防具]珊瑚玉衣lv1|r</v>
      </c>
      <c r="K68" s="169" t="str">
        <f t="shared" si="15"/>
        <v>|Cffbbbbbb属性：|r|n护甲+50|n生命值+160000|n生命回复+4000|n|n|Cff00ff7f点击消耗2500金币进行强化|n成功率85%</v>
      </c>
      <c r="L68" s="27"/>
      <c r="M68" s="170" t="str">
        <f>VLOOKUP(LEFT(RIGHT(B68,5),4),物品!B:CU,20,FALSE)</f>
        <v>ReplaceableTextures\\CommandButtons\\BTNZ12.blp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3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>
        <v>1</v>
      </c>
    </row>
    <row r="69" spans="1:42">
      <c r="A69" s="167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9" t="str">
        <f t="shared" ref="J69:J72" si="16">H69</f>
        <v>|Cff00FF7F[防具]珊瑚玉衣lv2|r</v>
      </c>
      <c r="K69" s="169" t="str">
        <f t="shared" ref="K69:K72" si="17">I69</f>
        <v>|Cffbbbbbb属性：|r|n护甲+50|n生命值+200000|n生命回复+5000|n|n|Cff00ff7f点击消耗2500金币进行强化|n成功率85%</v>
      </c>
      <c r="L69" s="27"/>
      <c r="M69" s="170" t="str">
        <f>VLOOKUP(LEFT(RIGHT(B69,5),4),物品!B:CU,20,FALSE)</f>
        <v>ReplaceableTextures\\CommandButtons\\BTNZ12.blp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3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>
        <v>1</v>
      </c>
    </row>
    <row r="70" spans="1:42">
      <c r="A70" s="167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9" t="str">
        <f t="shared" si="16"/>
        <v>|Cff00FF7F[防具]珊瑚玉衣lv3|r</v>
      </c>
      <c r="K70" s="169" t="str">
        <f t="shared" si="17"/>
        <v>|Cffbbbbbb属性：|r|n护甲+50|n生命值+240000|n生命回复+6000|n|n|Cff00ff7f点击消耗2500金币进行强化|n成功率85%</v>
      </c>
      <c r="L70" s="27"/>
      <c r="M70" s="170" t="str">
        <f>VLOOKUP(LEFT(RIGHT(B70,5),4),物品!B:CU,20,FALSE)</f>
        <v>ReplaceableTextures\\CommandButtons\\BTNZ12.blp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3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>
        <v>1</v>
      </c>
    </row>
    <row r="71" spans="1:42">
      <c r="A71" s="167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9" t="str">
        <f t="shared" si="16"/>
        <v>|Cff00FF7F[防具]珊瑚玉衣lv4|r</v>
      </c>
      <c r="K71" s="169" t="str">
        <f t="shared" si="17"/>
        <v>|Cffbbbbbb属性：|r|n护甲+50|n生命值+280000|n生命回复+7000|n|n|Cff00ff7f点击消耗2500金币进行强化|n成功率85%</v>
      </c>
      <c r="L71" s="27"/>
      <c r="M71" s="170" t="str">
        <f>VLOOKUP(LEFT(RIGHT(B71,5),4),物品!B:CU,20,FALSE)</f>
        <v>ReplaceableTextures\\CommandButtons\\BTNZ12.blp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3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>
        <v>1</v>
      </c>
    </row>
    <row r="72" spans="1:42">
      <c r="A72" s="167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9" t="str">
        <f t="shared" si="16"/>
        <v>|Cff00FF7F[防具]珊瑚玉衣lv5|r</v>
      </c>
      <c r="K72" s="169" t="str">
        <f t="shared" si="17"/>
        <v>|Cffbbbbbb属性：|r|n护甲+50|n生命值+320000|n生命回复+8000|n|n|Cff00ff7f点击消耗8000金币进行晋阶挑战</v>
      </c>
      <c r="L72" s="27"/>
      <c r="M72" s="170" t="str">
        <f>VLOOKUP(LEFT(RIGHT(B72,5),4),物品!B:CU,20,FALSE)</f>
        <v>ReplaceableTextures\\CommandButtons\\BTNZ12.blp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3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>
        <v>1</v>
      </c>
    </row>
    <row r="73" spans="1:42">
      <c r="A73" s="167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9" t="str">
        <f t="shared" ref="J73:J92" si="18">H73</f>
        <v>|Cff00BFFF[防具]圣谕披风lv1|r</v>
      </c>
      <c r="K73" s="169" t="str">
        <f t="shared" ref="K73:K92" si="19">I73</f>
        <v>|Cffbbbbbb属性：|r|n护甲+100|n生命值+480000|n生命回复+12000|n|n|Cff00ff7f点击消耗6000金币进行强化|n成功率80%</v>
      </c>
      <c r="L73" s="27"/>
      <c r="M73" s="170" t="str">
        <f>VLOOKUP(LEFT(RIGHT(B73,5),4),物品!B:CU,20,FALSE)</f>
        <v>ReplaceableTextures\\CommandButtons\\BTNZ13.blp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7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9" t="str">
        <f t="shared" si="18"/>
        <v>|Cff00BFFF[防具]圣谕披风lv2|r</v>
      </c>
      <c r="K74" s="169" t="str">
        <f t="shared" si="19"/>
        <v>|Cffbbbbbb属性：|r|n护甲+100|n生命值+560000|n生命回复+14000|n|n|Cff00ff7f点击消耗6000金币进行强化|n成功率80%</v>
      </c>
      <c r="L74" s="27"/>
      <c r="M74" s="170" t="str">
        <f>VLOOKUP(LEFT(RIGHT(B74,5),4),物品!B:CU,20,FALSE)</f>
        <v>ReplaceableTextures\\CommandButtons\\BTNZ13.blp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7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9" t="str">
        <f t="shared" si="18"/>
        <v>|Cff00BFFF[防具]圣谕披风lv3|r</v>
      </c>
      <c r="K75" s="169" t="str">
        <f t="shared" si="19"/>
        <v>|Cffbbbbbb属性：|r|n护甲+100|n生命值+640000|n生命回复+16000|n|n|Cff00ff7f点击消耗6000金币进行强化|n成功率80%</v>
      </c>
      <c r="L75" s="27"/>
      <c r="M75" s="170" t="str">
        <f>VLOOKUP(LEFT(RIGHT(B75,5),4),物品!B:CU,20,FALSE)</f>
        <v>ReplaceableTextures\\CommandButtons\\BTNZ13.blp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7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9" t="str">
        <f t="shared" si="18"/>
        <v>|Cff00BFFF[防具]圣谕披风lv4|r</v>
      </c>
      <c r="K76" s="169" t="str">
        <f t="shared" si="19"/>
        <v>|Cffbbbbbb属性：|r|n护甲+100|n生命值+800000|n生命回复+20000|n|n|Cff00ff7f点击消耗6000金币进行强化|n成功率80%</v>
      </c>
      <c r="L76" s="27"/>
      <c r="M76" s="170" t="str">
        <f>VLOOKUP(LEFT(RIGHT(B76,5),4),物品!B:CU,20,FALSE)</f>
        <v>ReplaceableTextures\\CommandButtons\\BTNZ13.blp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7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9" t="str">
        <f t="shared" si="18"/>
        <v>|Cff00BFFF[防具]圣谕披风lv5|r</v>
      </c>
      <c r="K77" s="169" t="str">
        <f t="shared" si="19"/>
        <v>|Cffbbbbbb属性：|r|n护甲+100|n生命值+960000|n生命回复+24000|n|n|Cff00ff7f点击消耗20000金币进行晋阶挑战</v>
      </c>
      <c r="L77" s="27"/>
      <c r="M77" s="170" t="str">
        <f>VLOOKUP(LEFT(RIGHT(B77,5),4),物品!B:CU,20,FALSE)</f>
        <v>ReplaceableTextures\\CommandButtons\\BTNZ13.blp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7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9" t="str">
        <f t="shared" ref="J78:J82" si="20">H78</f>
        <v>|CffBF00FF[防具]幻灵护甲lv1|r</v>
      </c>
      <c r="K78" s="169" t="str">
        <f t="shared" ref="K78:K82" si="21">I78</f>
        <v>|Cffbbbbbb属性：|r|n护甲+150|n生命值+1440000|n生命回复+36000|n|n|Cff00ff7f点击消耗10000金币进行强化|n成功率70%</v>
      </c>
      <c r="L78" s="27"/>
      <c r="M78" s="170" t="str">
        <f>VLOOKUP(LEFT(RIGHT(B78,5),4),物品!B:CU,20,FALSE)</f>
        <v>ReplaceableTextures\\CommandButtons\\BTNZ23.blp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7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9" t="str">
        <f t="shared" si="20"/>
        <v>|CffBF00FF[防具]幻灵护甲lv2|r</v>
      </c>
      <c r="K79" s="169" t="str">
        <f t="shared" si="21"/>
        <v>|Cffbbbbbb属性：|r|n护甲+150|n生命值+1680000|n生命回复+42000|n|n|Cff00ff7f点击消耗10000金币进行强化|n成功率70%</v>
      </c>
      <c r="L79" s="27"/>
      <c r="M79" s="170" t="str">
        <f>VLOOKUP(LEFT(RIGHT(B79,5),4),物品!B:CU,20,FALSE)</f>
        <v>ReplaceableTextures\\CommandButtons\\BTNZ23.blp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7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9" t="str">
        <f t="shared" si="20"/>
        <v>|CffBF00FF[防具]幻灵护甲lv3|r</v>
      </c>
      <c r="K80" s="169" t="str">
        <f t="shared" si="21"/>
        <v>|Cffbbbbbb属性：|r|n护甲+150|n生命值+1920000|n生命回复+48000|n|n|Cff00ff7f点击消耗10000金币进行强化|n成功率70%</v>
      </c>
      <c r="L80" s="27"/>
      <c r="M80" s="170" t="str">
        <f>VLOOKUP(LEFT(RIGHT(B80,5),4),物品!B:CU,20,FALSE)</f>
        <v>ReplaceableTextures\\CommandButtons\\BTNZ23.blp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7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9" t="str">
        <f t="shared" si="20"/>
        <v>|CffBF00FF[防具]幻灵护甲lv4|r</v>
      </c>
      <c r="K81" s="169" t="str">
        <f t="shared" si="21"/>
        <v>|Cffbbbbbb属性：|r|n护甲+150|n生命值+2160000|n生命回复+54000|n|n|Cff00ff7f点击消耗10000金币进行强化|n成功率70%</v>
      </c>
      <c r="L81" s="27"/>
      <c r="M81" s="170" t="str">
        <f>VLOOKUP(LEFT(RIGHT(B81,5),4),物品!B:CU,20,FALSE)</f>
        <v>ReplaceableTextures\\CommandButtons\\BTNZ23.blp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7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9" t="str">
        <f t="shared" si="20"/>
        <v>|CffBF00FF[防具]幻灵护甲lv5|r</v>
      </c>
      <c r="K82" s="169" t="str">
        <f t="shared" si="21"/>
        <v>|Cffbbbbbb属性：|r|n护甲+150|n生命值+2400000|n生命回复+60000|n|n|Cff00ff7f点击消耗30000金币进行晋阶挑战</v>
      </c>
      <c r="L82" s="27"/>
      <c r="M82" s="170" t="str">
        <f>VLOOKUP(LEFT(RIGHT(B82,5),4),物品!B:CU,20,FALSE)</f>
        <v>ReplaceableTextures\\CommandButtons\\BTNZ23.blp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7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9" t="str">
        <f t="shared" si="18"/>
        <v>|CffFFC926[防具]乾坤护心甲lv1|r</v>
      </c>
      <c r="K83" s="169" t="str">
        <f t="shared" si="19"/>
        <v>|Cffbbbbbb属性：|r|n护甲+200|n生命值+3200000|n生命回复+80000|n|n|Cff00ff7f点击消耗20000金币进行强化|n成功率60%</v>
      </c>
      <c r="L83" s="27"/>
      <c r="M83" s="170" t="str">
        <f>VLOOKUP(LEFT(RIGHT(B83,5),4),物品!B:CU,20,FALSE)</f>
        <v>ReplaceableTextures\\CommandButtons\\BTNZ14.blp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7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9" t="str">
        <f t="shared" si="18"/>
        <v>|CffFFC926[防具]乾坤护心甲lv2|r</v>
      </c>
      <c r="K84" s="169" t="str">
        <f t="shared" si="19"/>
        <v>|Cffbbbbbb属性：|r|n护甲+200|n生命值+3600000|n生命回复+90000|n|n|Cff00ff7f点击消耗20000金币进行强化|n成功率60%</v>
      </c>
      <c r="L84" s="27"/>
      <c r="M84" s="170" t="str">
        <f>VLOOKUP(LEFT(RIGHT(B84,5),4),物品!B:CU,20,FALSE)</f>
        <v>ReplaceableTextures\\CommandButtons\\BTNZ14.blp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7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9" t="str">
        <f t="shared" si="18"/>
        <v>|CffFFC926[防具]乾坤护心甲lv3|r</v>
      </c>
      <c r="K85" s="169" t="str">
        <f t="shared" si="19"/>
        <v>|Cffbbbbbb属性：|r|n护甲+200|n生命值+4000000|n生命回复+100000|n|n|Cff00ff7f点击消耗20000金币进行强化|n成功率60%</v>
      </c>
      <c r="L85" s="27"/>
      <c r="M85" s="170" t="str">
        <f>VLOOKUP(LEFT(RIGHT(B85,5),4),物品!B:CU,20,FALSE)</f>
        <v>ReplaceableTextures\\CommandButtons\\BTNZ14.blp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7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9" t="str">
        <f t="shared" si="18"/>
        <v>|CffFFC926[防具]乾坤护心甲lv4|r</v>
      </c>
      <c r="K86" s="169" t="str">
        <f t="shared" si="19"/>
        <v>|Cffbbbbbb属性：|r|n护甲+200|n生命值+4400000|n生命回复+110000|n|n|Cff00ff7f点击消耗20000金币进行强化|n成功率60%</v>
      </c>
      <c r="L86" s="27"/>
      <c r="M86" s="170" t="str">
        <f>VLOOKUP(LEFT(RIGHT(B86,5),4),物品!B:CU,20,FALSE)</f>
        <v>ReplaceableTextures\\CommandButtons\\BTNZ14.blp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7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9" t="str">
        <f t="shared" si="18"/>
        <v>|CffFFC926[防具]乾坤护心甲lv5|r</v>
      </c>
      <c r="K87" s="169" t="str">
        <f t="shared" si="19"/>
        <v>|Cffbbbbbb属性：|r|n护甲+200|n生命值+4800000|n生命回复+120000|n|n|Cff00ff7f点击消耗50000金币进行晋阶挑战</v>
      </c>
      <c r="L87" s="27"/>
      <c r="M87" s="170" t="str">
        <f>VLOOKUP(LEFT(RIGHT(B87,5),4),物品!B:CU,20,FALSE)</f>
        <v>ReplaceableTextures\\CommandButtons\\BTNZ14.blp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7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9" t="str">
        <f t="shared" si="18"/>
        <v>|CffFF0000[防具]九龙黄金甲lv1|r</v>
      </c>
      <c r="K88" s="169" t="str">
        <f t="shared" si="19"/>
        <v>|Cffbbbbbb属性：|r|n护甲+300|n生命值+7200000|n生命回复+180000|n|n|Cff00ff7f点击消耗30000金币进行强化|n成功率50%</v>
      </c>
      <c r="L88" s="27"/>
      <c r="M88" s="170" t="str">
        <f>VLOOKUP(LEFT(RIGHT(B88,5),4),物品!B:CU,20,FALSE)</f>
        <v>ReplaceableTextures\\CommandButtons\\BTNZ15.blp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7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9" t="str">
        <f t="shared" si="18"/>
        <v>|CffFF0000[防具]九龙黄金甲lv2|r</v>
      </c>
      <c r="K89" s="169" t="str">
        <f t="shared" si="19"/>
        <v>|Cffbbbbbb属性：|r|n护甲+300|n生命值+8400000|n生命回复+210000|n|n|Cff00ff7f点击消耗30000金币进行强化|n成功率50%</v>
      </c>
      <c r="L89" s="27"/>
      <c r="M89" s="170" t="str">
        <f>VLOOKUP(LEFT(RIGHT(B89,5),4),物品!B:CU,20,FALSE)</f>
        <v>ReplaceableTextures\\CommandButtons\\BTNZ15.blp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7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9" t="str">
        <f t="shared" si="18"/>
        <v>|CffFF0000[防具]九龙黄金甲lv3|r</v>
      </c>
      <c r="K90" s="169" t="str">
        <f t="shared" si="19"/>
        <v>|Cffbbbbbb属性：|r|n护甲+300|n生命值+9600000|n生命回复+240000|n|n|Cff00ff7f点击消耗30000金币进行强化|n成功率50%</v>
      </c>
      <c r="L90" s="27"/>
      <c r="M90" s="170" t="str">
        <f>VLOOKUP(LEFT(RIGHT(B90,5),4),物品!B:CU,20,FALSE)</f>
        <v>ReplaceableTextures\\CommandButtons\\BTNZ15.blp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7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9" t="str">
        <f t="shared" si="18"/>
        <v>|CffFF0000[防具]九龙黄金甲lv4|r</v>
      </c>
      <c r="K91" s="169" t="str">
        <f t="shared" si="19"/>
        <v>|Cffbbbbbb属性：|r|n护甲+300|n生命值+10800000|n生命回复+270000|n|n|Cff00ff7f点击消耗30000金币进行强化|n成功率50%</v>
      </c>
      <c r="L91" s="27"/>
      <c r="M91" s="170" t="str">
        <f>VLOOKUP(LEFT(RIGHT(B91,5),4),物品!B:CU,20,FALSE)</f>
        <v>ReplaceableTextures\\CommandButtons\\BTNZ15.blp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7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9" t="str">
        <f t="shared" si="18"/>
        <v>|CffFF0000[防具]九龙黄金甲lv5|r</v>
      </c>
      <c r="K92" s="169" t="str">
        <f t="shared" si="19"/>
        <v>|Cffbbbbbb属性：|r|n护甲+300|n生命值+12000000|n生命回复+300000|n</v>
      </c>
      <c r="L92" s="27"/>
      <c r="M92" s="170" t="str">
        <f>VLOOKUP(LEFT(RIGHT(B92,5),4),物品!B:CU,20,FALSE)</f>
        <v>ReplaceableTextures\\CommandButtons\\BTNZ15.blp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/>
    </row>
    <row r="93" spans="1:42">
      <c r="A93" s="167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9" t="str">
        <f t="shared" ref="J93" si="22">H93</f>
        <v>低级道果【1】</v>
      </c>
      <c r="K93" s="169" t="str">
        <f t="shared" ref="K93" si="23">I93</f>
        <v>|Cffbbbbbb属性：|r|n攻击+5000|n业力+4000|n生命值+100000|n生命回复+2000|n攻击伤害+9%|n技能伤害+8%|n</v>
      </c>
      <c r="L93" s="27"/>
      <c r="M93" s="170" t="str">
        <f>VLOOKUP(LEFT(RIGHT(B93,5),4),物品!B:CU,20,FALSE)</f>
        <v>ReplaceableTextures\\CommandButtons\\BTNOrbOfFrost.blp</v>
      </c>
      <c r="N93" s="188" t="s">
        <v>83</v>
      </c>
      <c r="O93" s="170" t="s">
        <v>87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/>
      <c r="W93" s="27" t="s">
        <v>88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>
        <v>1</v>
      </c>
      <c r="AJ93" s="27"/>
      <c r="AK93" s="27">
        <v>1</v>
      </c>
      <c r="AL93" s="27">
        <v>1</v>
      </c>
      <c r="AM93" s="188" t="s">
        <v>83</v>
      </c>
      <c r="AN93" s="27">
        <v>1</v>
      </c>
      <c r="AO93" s="27">
        <v>1</v>
      </c>
      <c r="AP93" s="27">
        <v>1</v>
      </c>
    </row>
    <row r="94" spans="1:42">
      <c r="A94" s="167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9" t="str">
        <f t="shared" ref="J94:J97" si="24">H94</f>
        <v>中级道果【2】</v>
      </c>
      <c r="K94" s="169" t="str">
        <f t="shared" ref="K94:K97" si="25">I94</f>
        <v>|Cffbbbbbb属性：|r|n攻击+7500|n业力+6000|n生命值+150000|n生命回复+3000|n攻击伤害+9%|n技能伤害+8%|n</v>
      </c>
      <c r="L94" s="27"/>
      <c r="M94" s="170" t="str">
        <f>VLOOKUP(LEFT(RIGHT(B94,5),4),物品!B:CU,20,FALSE)</f>
        <v>ReplaceableTextures\\CommandButtons\\BTNOrbOfVenom.blp</v>
      </c>
      <c r="N94" s="188" t="s">
        <v>83</v>
      </c>
      <c r="O94" s="170" t="s">
        <v>87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/>
      <c r="W94" s="27" t="s">
        <v>88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>
        <v>1</v>
      </c>
      <c r="AJ94" s="27"/>
      <c r="AK94" s="27">
        <v>1</v>
      </c>
      <c r="AL94" s="27">
        <v>1</v>
      </c>
      <c r="AM94" s="188" t="s">
        <v>83</v>
      </c>
      <c r="AN94" s="27">
        <v>1</v>
      </c>
      <c r="AO94" s="27">
        <v>1</v>
      </c>
      <c r="AP94" s="27">
        <v>1</v>
      </c>
    </row>
    <row r="95" spans="1:42">
      <c r="A95" s="167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9" t="str">
        <f t="shared" si="24"/>
        <v>|Cff00FF7F高级道果【3】|r</v>
      </c>
      <c r="K95" s="169" t="str">
        <f t="shared" si="25"/>
        <v>|Cffbbbbbb属性：|r|n攻击+12500|n业力+10000|n生命值+250000|n生命回复+5000|n攻击伤害+9%|n技能伤害+8%|n</v>
      </c>
      <c r="L95" s="27"/>
      <c r="M95" s="170" t="str">
        <f>VLOOKUP(LEFT(RIGHT(B95,5),4),物品!B:CU,20,FALSE)</f>
        <v>ReplaceableTextures\\CommandButtons\\BTNOrbOfCorruption.blp</v>
      </c>
      <c r="N95" s="188" t="s">
        <v>83</v>
      </c>
      <c r="O95" s="170" t="s">
        <v>89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/>
      <c r="W95" s="27" t="s">
        <v>88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>
        <v>1</v>
      </c>
      <c r="AJ95" s="27"/>
      <c r="AK95" s="27">
        <v>1</v>
      </c>
      <c r="AL95" s="27">
        <v>1</v>
      </c>
      <c r="AM95" s="188" t="s">
        <v>83</v>
      </c>
      <c r="AN95" s="27">
        <v>1</v>
      </c>
      <c r="AO95" s="27">
        <v>1</v>
      </c>
      <c r="AP95" s="27">
        <v>1</v>
      </c>
    </row>
    <row r="96" spans="1:42">
      <c r="A96" s="167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9" t="str">
        <f t="shared" si="24"/>
        <v>|Cff00FF7F黄级道果【4】|r</v>
      </c>
      <c r="K96" s="169" t="str">
        <f t="shared" si="25"/>
        <v>|Cffbbbbbb属性：|r|n攻击+21250|n业力+17000|n生命值+425000|n生命回复+8500|n攻击伤害+18%|n技能伤害+15%|n</v>
      </c>
      <c r="L96" s="27"/>
      <c r="M96" s="170" t="str">
        <f>VLOOKUP(LEFT(RIGHT(B96,5),4),物品!B:CU,20,FALSE)</f>
        <v>ReplaceableTextures\\CommandButtons\\BTNOrbOfFire.blp</v>
      </c>
      <c r="N96" s="188" t="s">
        <v>83</v>
      </c>
      <c r="O96" s="170" t="s">
        <v>89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/>
      <c r="W96" s="27" t="s">
        <v>88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>
        <v>1</v>
      </c>
      <c r="AJ96" s="27"/>
      <c r="AK96" s="27">
        <v>1</v>
      </c>
      <c r="AL96" s="27">
        <v>1</v>
      </c>
      <c r="AM96" s="188" t="s">
        <v>83</v>
      </c>
      <c r="AN96" s="27">
        <v>1</v>
      </c>
      <c r="AO96" s="27">
        <v>1</v>
      </c>
      <c r="AP96" s="27">
        <v>1</v>
      </c>
    </row>
    <row r="97" spans="1:42">
      <c r="A97" s="167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9" t="str">
        <f t="shared" si="24"/>
        <v>|Cff00BFFF玄级道果【5】|r</v>
      </c>
      <c r="K97" s="169" t="str">
        <f t="shared" si="25"/>
        <v>|Cffbbbbbb属性：|r|n攻击+33750|n业力+27000|n生命值+675000|n生命回复+13500|n攻击伤害+18%|n技能伤害+15%|n</v>
      </c>
      <c r="L97" s="27"/>
      <c r="M97" s="170" t="str">
        <f>VLOOKUP(LEFT(RIGHT(B97,5),4),物品!B:CU,20,FALSE)</f>
        <v>ReplaceableTextures\\CommandButtons\\BTNUsedSoulGem.blp</v>
      </c>
      <c r="N97" s="188" t="s">
        <v>83</v>
      </c>
      <c r="O97" s="170" t="s">
        <v>90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/>
      <c r="W97" s="27" t="s">
        <v>88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>
        <v>1</v>
      </c>
      <c r="AJ97" s="27"/>
      <c r="AK97" s="27">
        <v>1</v>
      </c>
      <c r="AL97" s="27">
        <v>1</v>
      </c>
      <c r="AM97" s="188" t="s">
        <v>83</v>
      </c>
      <c r="AN97" s="27">
        <v>1</v>
      </c>
      <c r="AO97" s="27">
        <v>1</v>
      </c>
      <c r="AP97" s="27">
        <v>1</v>
      </c>
    </row>
    <row r="98" spans="1:42">
      <c r="A98" s="167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9" t="str">
        <f t="shared" ref="J98:J132" si="26">H98</f>
        <v>|Cff00BFFF地级道果【6】|r</v>
      </c>
      <c r="K98" s="169" t="str">
        <f t="shared" ref="K98:K132" si="27">I98</f>
        <v>|Cffbbbbbb属性：|r|n攻击+50000|n业力+40000|n生命值+1000000|n生命回复+20000|n攻击伤害+18%|n技能伤害+15%|n</v>
      </c>
      <c r="L98" s="27"/>
      <c r="M98" s="170" t="str">
        <f>VLOOKUP(LEFT(RIGHT(B98,5),4),物品!B:CU,20,FALSE)</f>
        <v>ReplaceableTextures\\CommandButtons\\BTNOrbofSlowness.blp</v>
      </c>
      <c r="N98" s="188" t="s">
        <v>83</v>
      </c>
      <c r="O98" s="170" t="s">
        <v>90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/>
      <c r="W98" s="27" t="s">
        <v>88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>
        <v>1</v>
      </c>
      <c r="AJ98" s="27"/>
      <c r="AK98" s="27">
        <v>1</v>
      </c>
      <c r="AL98" s="27">
        <v>1</v>
      </c>
      <c r="AM98" s="188" t="s">
        <v>83</v>
      </c>
      <c r="AN98" s="27">
        <v>1</v>
      </c>
      <c r="AO98" s="27">
        <v>1</v>
      </c>
      <c r="AP98" s="27">
        <v>1</v>
      </c>
    </row>
    <row r="99" spans="1:42">
      <c r="A99" s="167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9" t="str">
        <f t="shared" si="26"/>
        <v>|CffFFC926天级道果【7】|r</v>
      </c>
      <c r="K99" s="169" t="str">
        <f t="shared" si="27"/>
        <v>|Cffbbbbbb属性：|r|n攻击+72500|n业力+58000|n生命值+1450000|n生命回复+29000|n攻击伤害+24%|n技能伤害+20%|n</v>
      </c>
      <c r="L99" s="27"/>
      <c r="M99" s="170" t="str">
        <f>VLOOKUP(LEFT(RIGHT(B99,5),4),物品!B:CU,20,FALSE)</f>
        <v>ReplaceableTextures\\CommandButtons\\BTNOrbOfLightning.blp</v>
      </c>
      <c r="N99" s="188" t="s">
        <v>83</v>
      </c>
      <c r="O99" s="170" t="s">
        <v>91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/>
      <c r="W99" s="27" t="s">
        <v>88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>
        <v>1</v>
      </c>
      <c r="AJ99" s="27"/>
      <c r="AK99" s="27">
        <v>1</v>
      </c>
      <c r="AL99" s="27">
        <v>1</v>
      </c>
      <c r="AM99" s="188" t="s">
        <v>83</v>
      </c>
      <c r="AN99" s="27">
        <v>1</v>
      </c>
      <c r="AO99" s="27">
        <v>1</v>
      </c>
      <c r="AP99" s="27">
        <v>1</v>
      </c>
    </row>
    <row r="100" spans="1:42">
      <c r="A100" s="167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9" t="str">
        <f t="shared" si="26"/>
        <v>|CffFFC926仙品道果【8】|r</v>
      </c>
      <c r="K100" s="169" t="str">
        <f t="shared" si="27"/>
        <v>|Cffbbbbbb属性：|r|n攻击+102500|n业力+82000|n生命值+2050000|n生命回复+41000|n攻击伤害+24%|n技能伤害+20%|n</v>
      </c>
      <c r="L100" s="27"/>
      <c r="M100" s="170" t="str">
        <f>VLOOKUP(LEFT(RIGHT(B100,5),4),物品!B:CU,20,FALSE)</f>
        <v>ReplaceableTextures\\CommandButtons\\BTNHeartOfAszune.blp</v>
      </c>
      <c r="N100" s="188" t="s">
        <v>83</v>
      </c>
      <c r="O100" s="170" t="s">
        <v>91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/>
      <c r="W100" s="27" t="s">
        <v>88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>
        <v>1</v>
      </c>
      <c r="AJ100" s="27"/>
      <c r="AK100" s="27">
        <v>1</v>
      </c>
      <c r="AL100" s="27">
        <v>1</v>
      </c>
      <c r="AM100" s="188" t="s">
        <v>83</v>
      </c>
      <c r="AN100" s="27">
        <v>1</v>
      </c>
      <c r="AO100" s="27">
        <v>1</v>
      </c>
      <c r="AP100" s="27">
        <v>1</v>
      </c>
    </row>
    <row r="101" spans="1:42">
      <c r="A101" s="167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9" t="str">
        <f t="shared" si="26"/>
        <v>|CffFF0000至圣道果【9】|r</v>
      </c>
      <c r="K101" s="169" t="str">
        <f t="shared" si="27"/>
        <v>|Cffbbbbbb属性：|r|n攻击+141250|n业力+113000|n生命值+2825000|n生命回复+56500|n攻击伤害+24%|n技能伤害+20%|n</v>
      </c>
      <c r="L101" s="27"/>
      <c r="M101" s="170" t="str">
        <f>VLOOKUP(LEFT(RIGHT(B101,5),4),物品!B:CU,20,FALSE)</f>
        <v>ReplaceableTextures\\CommandButtons\\BTNPhilosophersStone.blp</v>
      </c>
      <c r="N101" s="188" t="s">
        <v>83</v>
      </c>
      <c r="O101" s="170" t="s">
        <v>92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/>
      <c r="W101" s="27" t="s">
        <v>88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>
        <v>1</v>
      </c>
      <c r="AJ101" s="27"/>
      <c r="AK101" s="27">
        <v>1</v>
      </c>
      <c r="AL101" s="27">
        <v>1</v>
      </c>
      <c r="AM101" s="188" t="s">
        <v>83</v>
      </c>
      <c r="AN101" s="27">
        <v>1</v>
      </c>
      <c r="AO101" s="27">
        <v>1</v>
      </c>
      <c r="AP101" s="27">
        <v>1</v>
      </c>
    </row>
    <row r="102" spans="1:42">
      <c r="A102" s="167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9" t="str">
        <f t="shared" si="26"/>
        <v>|CffFF0000混沌道果【10】|r</v>
      </c>
      <c r="K102" s="169" t="str">
        <f t="shared" si="27"/>
        <v>|Cffbbbbbb属性：|r|n攻击+191250|n业力+153000|n生命值+3825000|n生命回复+76500|n攻击伤害+36%|n技能伤害+30%|n</v>
      </c>
      <c r="L102" s="27"/>
      <c r="M102" s="170" t="str">
        <f>VLOOKUP(LEFT(RIGHT(B102,5),4),物品!B:CU,20,FALSE)</f>
        <v>ReplaceableTextures\\CommandButtons\\BTNOrbOfDarkness.blp</v>
      </c>
      <c r="N102" s="188" t="s">
        <v>83</v>
      </c>
      <c r="O102" s="170" t="s">
        <v>92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/>
      <c r="W102" s="27" t="s">
        <v>88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>
        <v>1</v>
      </c>
      <c r="AJ102" s="27"/>
      <c r="AK102" s="27">
        <v>1</v>
      </c>
      <c r="AL102" s="27">
        <v>1</v>
      </c>
      <c r="AM102" s="188" t="s">
        <v>83</v>
      </c>
      <c r="AN102" s="27">
        <v>1</v>
      </c>
      <c r="AO102" s="27">
        <v>1</v>
      </c>
      <c r="AP102" s="27">
        <v>1</v>
      </c>
    </row>
    <row r="103" spans="1:42">
      <c r="A103" s="167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9" t="str">
        <f t="shared" ref="J103:J112" si="28">H103</f>
        <v>完美的低级道果【1】</v>
      </c>
      <c r="K103" s="16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70" t="str">
        <f>VLOOKUP(LEFT(RIGHT(B103,5),4),物品!B:CU,20,FALSE)</f>
        <v>ReplaceableTextures\\CommandButtons\\BTNDG11.blp</v>
      </c>
      <c r="N103" s="188" t="s">
        <v>83</v>
      </c>
      <c r="O103" s="170" t="s">
        <v>87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/>
      <c r="W103" s="27" t="s">
        <v>93</v>
      </c>
      <c r="X103" s="27">
        <v>0</v>
      </c>
      <c r="Y103" s="188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1</v>
      </c>
      <c r="AL103" s="27">
        <v>1</v>
      </c>
      <c r="AM103" s="188" t="s">
        <v>83</v>
      </c>
      <c r="AN103" s="27">
        <v>1</v>
      </c>
      <c r="AO103" s="27">
        <v>1</v>
      </c>
      <c r="AP103" s="27">
        <v>1</v>
      </c>
    </row>
    <row r="104" spans="1:42">
      <c r="A104" s="167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9" t="str">
        <f t="shared" si="28"/>
        <v>完美的中级道果【2】</v>
      </c>
      <c r="K104" s="169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70" t="str">
        <f>VLOOKUP(LEFT(RIGHT(B104,5),4),物品!B:CU,20,FALSE)</f>
        <v>ReplaceableTextures\\CommandButtons\\BTNDG12.blp</v>
      </c>
      <c r="N104" s="188" t="s">
        <v>83</v>
      </c>
      <c r="O104" s="170" t="s">
        <v>87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/>
      <c r="W104" s="27" t="s">
        <v>93</v>
      </c>
      <c r="X104" s="27">
        <v>0</v>
      </c>
      <c r="Y104" s="188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1</v>
      </c>
      <c r="AL104" s="27">
        <v>1</v>
      </c>
      <c r="AM104" s="188" t="s">
        <v>83</v>
      </c>
      <c r="AN104" s="27">
        <v>1</v>
      </c>
      <c r="AO104" s="27">
        <v>1</v>
      </c>
      <c r="AP104" s="27">
        <v>1</v>
      </c>
    </row>
    <row r="105" spans="1:42">
      <c r="A105" s="167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9" t="str">
        <f t="shared" si="28"/>
        <v>|Cff00FF7F完美的高级道果【3】|r</v>
      </c>
      <c r="K105" s="169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70" t="str">
        <f>VLOOKUP(LEFT(RIGHT(B105,5),4),物品!B:CU,20,FALSE)</f>
        <v>ReplaceableTextures\\CommandButtons\\BTNDG13.blp</v>
      </c>
      <c r="N105" s="188" t="s">
        <v>83</v>
      </c>
      <c r="O105" s="170" t="s">
        <v>89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/>
      <c r="W105" s="27" t="s">
        <v>93</v>
      </c>
      <c r="X105" s="27">
        <v>0</v>
      </c>
      <c r="Y105" s="188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1</v>
      </c>
      <c r="AL105" s="27">
        <v>1</v>
      </c>
      <c r="AM105" s="188" t="s">
        <v>83</v>
      </c>
      <c r="AN105" s="27">
        <v>1</v>
      </c>
      <c r="AO105" s="27">
        <v>1</v>
      </c>
      <c r="AP105" s="27">
        <v>1</v>
      </c>
    </row>
    <row r="106" spans="1:42">
      <c r="A106" s="167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9" t="str">
        <f t="shared" si="28"/>
        <v>|Cff00FF7F完美的黄级道果【4】|r</v>
      </c>
      <c r="K106" s="169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70" t="str">
        <f>VLOOKUP(LEFT(RIGHT(B106,5),4),物品!B:CU,20,FALSE)</f>
        <v>ReplaceableTextures\\CommandButtons\\BTNDG14.blp</v>
      </c>
      <c r="N106" s="188" t="s">
        <v>83</v>
      </c>
      <c r="O106" s="170" t="s">
        <v>89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/>
      <c r="W106" s="27" t="s">
        <v>93</v>
      </c>
      <c r="X106" s="27">
        <v>0</v>
      </c>
      <c r="Y106" s="188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1</v>
      </c>
      <c r="AL106" s="27">
        <v>1</v>
      </c>
      <c r="AM106" s="188" t="s">
        <v>83</v>
      </c>
      <c r="AN106" s="27">
        <v>1</v>
      </c>
      <c r="AO106" s="27">
        <v>1</v>
      </c>
      <c r="AP106" s="27">
        <v>1</v>
      </c>
    </row>
    <row r="107" spans="1:42">
      <c r="A107" s="167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9" t="str">
        <f t="shared" si="28"/>
        <v>|Cff00BFFF完美的玄级道果【5】|r</v>
      </c>
      <c r="K107" s="16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70" t="str">
        <f>VLOOKUP(LEFT(RIGHT(B107,5),4),物品!B:CU,20,FALSE)</f>
        <v>ReplaceableTextures\\CommandButtons\\BTNDG15.blp</v>
      </c>
      <c r="N107" s="188" t="s">
        <v>83</v>
      </c>
      <c r="O107" s="170" t="s">
        <v>90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/>
      <c r="W107" s="27" t="s">
        <v>93</v>
      </c>
      <c r="X107" s="27">
        <v>0</v>
      </c>
      <c r="Y107" s="188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1</v>
      </c>
      <c r="AL107" s="27">
        <v>1</v>
      </c>
      <c r="AM107" s="188" t="s">
        <v>83</v>
      </c>
      <c r="AN107" s="27">
        <v>1</v>
      </c>
      <c r="AO107" s="27">
        <v>1</v>
      </c>
      <c r="AP107" s="27">
        <v>1</v>
      </c>
    </row>
    <row r="108" spans="1:42">
      <c r="A108" s="167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9" t="str">
        <f t="shared" si="28"/>
        <v>|Cff00BFFF完美的地级道果【6】|r</v>
      </c>
      <c r="K108" s="16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70" t="str">
        <f>VLOOKUP(LEFT(RIGHT(B108,5),4),物品!B:CU,20,FALSE)</f>
        <v>ReplaceableTextures\\CommandButtons\\BTNDG16.blp</v>
      </c>
      <c r="N108" s="188" t="s">
        <v>83</v>
      </c>
      <c r="O108" s="170" t="s">
        <v>90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93</v>
      </c>
      <c r="X108" s="27">
        <v>0</v>
      </c>
      <c r="Y108" s="188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/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7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9" t="str">
        <f t="shared" si="28"/>
        <v>|CffFFC926完美的天级道果【7】|r</v>
      </c>
      <c r="K109" s="16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70" t="str">
        <f>VLOOKUP(LEFT(RIGHT(B109,5),4),物品!B:CU,20,FALSE)</f>
        <v>ReplaceableTextures\\CommandButtons\\BTNDG17.blp</v>
      </c>
      <c r="N109" s="188" t="s">
        <v>83</v>
      </c>
      <c r="O109" s="170" t="s">
        <v>91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93</v>
      </c>
      <c r="X109" s="27">
        <v>0</v>
      </c>
      <c r="Y109" s="188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/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7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9" t="str">
        <f t="shared" si="28"/>
        <v>|CffFFC926完美的仙品道果【8】|r</v>
      </c>
      <c r="K110" s="16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70" t="str">
        <f>VLOOKUP(LEFT(RIGHT(B110,5),4),物品!B:CU,20,FALSE)</f>
        <v>ReplaceableTextures\\CommandButtons\\BTNDG18.blp</v>
      </c>
      <c r="N110" s="188" t="s">
        <v>83</v>
      </c>
      <c r="O110" s="170" t="s">
        <v>91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93</v>
      </c>
      <c r="X110" s="27">
        <v>0</v>
      </c>
      <c r="Y110" s="188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/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7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9" t="str">
        <f t="shared" si="28"/>
        <v>|CffFF0000完美的至圣道果【9】|r</v>
      </c>
      <c r="K111" s="16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70" t="str">
        <f>VLOOKUP(LEFT(RIGHT(B111,5),4),物品!B:CU,20,FALSE)</f>
        <v>ReplaceableTextures\\CommandButtons\\BTNDG19.blp</v>
      </c>
      <c r="N111" s="188" t="s">
        <v>83</v>
      </c>
      <c r="O111" s="170" t="s">
        <v>92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93</v>
      </c>
      <c r="X111" s="27">
        <v>0</v>
      </c>
      <c r="Y111" s="188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/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7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9" t="str">
        <f t="shared" si="28"/>
        <v>|CffFF0000完美的混沌道果【10】|r</v>
      </c>
      <c r="K112" s="16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70" t="str">
        <f>VLOOKUP(LEFT(RIGHT(B112,5),4),物品!B:CU,20,FALSE)</f>
        <v>ReplaceableTextures\\CommandButtons\\BTNDG20.blp</v>
      </c>
      <c r="N112" s="188" t="s">
        <v>83</v>
      </c>
      <c r="O112" s="170" t="s">
        <v>92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93</v>
      </c>
      <c r="X112" s="27">
        <v>0</v>
      </c>
      <c r="Y112" s="188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/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7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9" t="str">
        <f t="shared" si="26"/>
        <v>低级道果【1】</v>
      </c>
      <c r="K113" s="16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70" t="str">
        <f>VLOOKUP(LEFT(RIGHT(B113,5),4),物品!B:CU,20,FALSE)</f>
        <v>ReplaceableTextures\\CommandButtons\\BTNDG01.blp</v>
      </c>
      <c r="N113" s="188" t="s">
        <v>83</v>
      </c>
      <c r="O113" s="170" t="s">
        <v>87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93</v>
      </c>
      <c r="X113" s="27">
        <v>0</v>
      </c>
      <c r="Y113" s="188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/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7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9" t="str">
        <f t="shared" si="26"/>
        <v>中级道果【2】</v>
      </c>
      <c r="K114" s="16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70" t="str">
        <f>VLOOKUP(LEFT(RIGHT(B114,5),4),物品!B:CU,20,FALSE)</f>
        <v>ReplaceableTextures\\CommandButtons\\BTNDG02.blp</v>
      </c>
      <c r="N114" s="188" t="s">
        <v>83</v>
      </c>
      <c r="O114" s="170" t="s">
        <v>87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93</v>
      </c>
      <c r="X114" s="27">
        <v>0</v>
      </c>
      <c r="Y114" s="188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/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7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9" t="str">
        <f t="shared" ref="J115:J118" si="30">H115</f>
        <v>|Cff00FF7F高级道果【3】|r</v>
      </c>
      <c r="K115" s="16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70" t="str">
        <f>VLOOKUP(LEFT(RIGHT(B115,5),4),物品!B:CU,20,FALSE)</f>
        <v>ReplaceableTextures\\CommandButtons\\BTNDG03.blp</v>
      </c>
      <c r="N115" s="188" t="s">
        <v>83</v>
      </c>
      <c r="O115" s="170" t="s">
        <v>89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93</v>
      </c>
      <c r="X115" s="27">
        <v>0</v>
      </c>
      <c r="Y115" s="188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/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7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9" t="str">
        <f t="shared" si="30"/>
        <v>|Cff00FF7F黄级道果【4】|r</v>
      </c>
      <c r="K116" s="16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70" t="str">
        <f>VLOOKUP(LEFT(RIGHT(B116,5),4),物品!B:CU,20,FALSE)</f>
        <v>ReplaceableTextures\\CommandButtons\\BTNDG04.blp</v>
      </c>
      <c r="N116" s="188" t="s">
        <v>83</v>
      </c>
      <c r="O116" s="170" t="s">
        <v>89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93</v>
      </c>
      <c r="X116" s="27">
        <v>0</v>
      </c>
      <c r="Y116" s="188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/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7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9" t="str">
        <f t="shared" si="30"/>
        <v>|Cff00BFFF玄级道果【5】|r</v>
      </c>
      <c r="K117" s="16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70" t="str">
        <f>VLOOKUP(LEFT(RIGHT(B117,5),4),物品!B:CU,20,FALSE)</f>
        <v>ReplaceableTextures\\CommandButtons\\BTNDG05.blp</v>
      </c>
      <c r="N117" s="188" t="s">
        <v>83</v>
      </c>
      <c r="O117" s="170" t="s">
        <v>90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93</v>
      </c>
      <c r="X117" s="27">
        <v>0</v>
      </c>
      <c r="Y117" s="188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/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7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9" t="str">
        <f t="shared" si="30"/>
        <v>|Cff00BFFF地级道果【6】|r</v>
      </c>
      <c r="K118" s="16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70" t="str">
        <f>VLOOKUP(LEFT(RIGHT(B118,5),4),物品!B:CU,20,FALSE)</f>
        <v>ReplaceableTextures\\CommandButtons\\BTNDG06.blp</v>
      </c>
      <c r="N118" s="188" t="s">
        <v>83</v>
      </c>
      <c r="O118" s="170" t="s">
        <v>90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7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9" t="str">
        <f t="shared" si="26"/>
        <v>|CffFFC926天级道果【7】|r</v>
      </c>
      <c r="K119" s="16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70" t="str">
        <f>VLOOKUP(LEFT(RIGHT(B119,5),4),物品!B:CU,20,FALSE)</f>
        <v>ReplaceableTextures\\CommandButtons\\BTNDG07.blp</v>
      </c>
      <c r="N119" s="188" t="s">
        <v>83</v>
      </c>
      <c r="O119" s="170" t="s">
        <v>91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7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9" t="str">
        <f t="shared" si="26"/>
        <v>|CffFFC926仙品道果【8】|r</v>
      </c>
      <c r="K120" s="16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70" t="str">
        <f>VLOOKUP(LEFT(RIGHT(B120,5),4),物品!B:CU,20,FALSE)</f>
        <v>ReplaceableTextures\\CommandButtons\\BTNDG08.blp</v>
      </c>
      <c r="N120" s="188" t="s">
        <v>83</v>
      </c>
      <c r="O120" s="170" t="s">
        <v>91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7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9" t="str">
        <f t="shared" si="26"/>
        <v>|CffFF0000至圣道果【9】|r</v>
      </c>
      <c r="K121" s="16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70" t="str">
        <f>VLOOKUP(LEFT(RIGHT(B121,5),4),物品!B:CU,20,FALSE)</f>
        <v>ReplaceableTextures\\CommandButtons\\BTNDG09.blp</v>
      </c>
      <c r="N121" s="188" t="s">
        <v>83</v>
      </c>
      <c r="O121" s="170" t="s">
        <v>92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7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9" t="str">
        <f t="shared" si="26"/>
        <v>|CffFF0000混沌道果【10】|r</v>
      </c>
      <c r="K122" s="16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70" t="str">
        <f>VLOOKUP(LEFT(RIGHT(B122,5),4),物品!B:CU,20,FALSE)</f>
        <v>ReplaceableTextures\\CommandButtons\\BTNDG10.blp</v>
      </c>
      <c r="N122" s="188" t="s">
        <v>83</v>
      </c>
      <c r="O122" s="170" t="s">
        <v>92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7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9" t="str">
        <f t="shared" si="26"/>
        <v>|cffffc926高级技能书[主动]|r</v>
      </c>
      <c r="K123" s="169" t="str">
        <f t="shared" si="27"/>
        <v>低概率获得C级技能，高概率获得|Cff00ff7fB级技能|r，低概率获得|Cff2693ffA级技能|r。</v>
      </c>
      <c r="L123" s="27"/>
      <c r="M123" s="170" t="str">
        <f>VLOOKUP(LEFT(RIGHT(B123,5),4),物品!B:CU,20,FALSE)</f>
        <v>ReplaceableTextures\\CommandButtons\\BTN001.blp</v>
      </c>
      <c r="N123" s="188" t="s">
        <v>83</v>
      </c>
      <c r="O123" s="170" t="s">
        <v>94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ht="12" customHeight="1" spans="1:42">
      <c r="A124" s="167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9" t="str">
        <f t="shared" ref="J124:J125" si="32">H124</f>
        <v>|cffffc926符印宝箱|r</v>
      </c>
      <c r="K124" s="169" t="str">
        <f t="shared" ref="K124:K125" si="33">I124</f>
        <v>随机抽取|Cffffd24d3|r个|Cffffd24d符印|r，可以从中任意选择|Cffffd24d1|r个。</v>
      </c>
      <c r="L124" s="27"/>
      <c r="M124" s="170" t="str">
        <f>VLOOKUP(LEFT(RIGHT(B124,5),4),物品!B:CU,20,FALSE)</f>
        <v>ReplaceableTextures\\CommandButtons\\BTNAM24.blp</v>
      </c>
      <c r="N124" s="188" t="s">
        <v>83</v>
      </c>
      <c r="O124" s="170" t="s">
        <v>94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7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9" t="str">
        <f t="shared" si="32"/>
        <v>|cff00ff7f初级技能书[被动]|r</v>
      </c>
      <c r="K125" s="169" t="str">
        <f t="shared" si="33"/>
        <v>高概率获得D级技能，低概率获得|Cff00ff7fC级技能|r</v>
      </c>
      <c r="L125" s="27"/>
      <c r="M125" s="170" t="str">
        <f>VLOOKUP(LEFT(RIGHT(B125,5),4),物品!B:CU,20,FALSE)</f>
        <v>ReplaceableTextures\\CommandButtons\\BTN024.blp</v>
      </c>
      <c r="N125" s="188" t="s">
        <v>83</v>
      </c>
      <c r="O125" s="170" t="s">
        <v>94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ht="12" customHeight="1" spans="1:42">
      <c r="A126" s="167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9" t="str">
        <f t="shared" ref="J126:J127" si="34">H126</f>
        <v>|cff00ff7f中级技能书[主动]|r</v>
      </c>
      <c r="K126" s="169" t="str">
        <f t="shared" ref="K126:K127" si="35">I126</f>
        <v>较高概率获得D级技能，高概率获得|Cff00ff7fC级技能|r，极低概率获得|Cff2693ffB级技能|r。</v>
      </c>
      <c r="L126" s="27"/>
      <c r="M126" s="170" t="str">
        <f>VLOOKUP(LEFT(RIGHT(B126,5),4),物品!B:CU,20,FALSE)</f>
        <v>ReplaceableTextures\\CommandButtons\\BTN020.blp</v>
      </c>
      <c r="N126" s="188" t="s">
        <v>83</v>
      </c>
      <c r="O126" s="170" t="s">
        <v>94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7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9" t="str">
        <f t="shared" si="34"/>
        <v>|cff00ff7f中级技能书[被动]|r</v>
      </c>
      <c r="K127" s="169" t="str">
        <f t="shared" si="35"/>
        <v>较高概率获得D级技能，高概率获得|Cff00ff7fC级技能|r，极低概率获得|Cff2693ffB级技能|r。</v>
      </c>
      <c r="L127" s="27"/>
      <c r="M127" s="170" t="str">
        <f>VLOOKUP(LEFT(RIGHT(B127,5),4),物品!B:CU,20,FALSE)</f>
        <v>ReplaceableTextures\\CommandButtons\\BTN021.blp</v>
      </c>
      <c r="N127" s="188" t="s">
        <v>83</v>
      </c>
      <c r="O127" s="170" t="s">
        <v>94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7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9" t="str">
        <f t="shared" ref="J128" si="36">H128</f>
        <v>|cffffc926高级技能书[被动]|r</v>
      </c>
      <c r="K128" s="169" t="str">
        <f t="shared" ref="K128" si="37">I128</f>
        <v>低概率获得C级技能，高概率获得|Cff00ff7fB级技能|r，低概率获得|Cff2693ffA级技能|r。</v>
      </c>
      <c r="L128" s="27"/>
      <c r="M128" s="170" t="str">
        <f>VLOOKUP(LEFT(RIGHT(B128,5),4),物品!B:CU,20,FALSE)</f>
        <v>ReplaceableTextures\\CommandButtons\\BTN002.blp</v>
      </c>
      <c r="N128" s="188" t="s">
        <v>83</v>
      </c>
      <c r="O128" s="170" t="s">
        <v>94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7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9" t="str">
        <f t="shared" si="26"/>
        <v>|Cff00BFFF技能进阶石【完美】|r</v>
      </c>
      <c r="K129" s="169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70" t="str">
        <f>VLOOKUP(LEFT(RIGHT(B129,5),4),物品!B:CU,20,FALSE)</f>
        <v>ReplaceableTextures\\CommandButtons\\BTNIN05.blp</v>
      </c>
      <c r="N129" s="188" t="s">
        <v>83</v>
      </c>
      <c r="O129" s="170" t="s">
        <v>95</v>
      </c>
      <c r="P129" s="27"/>
      <c r="Q129" s="27"/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88</v>
      </c>
      <c r="X129" s="27">
        <v>0</v>
      </c>
      <c r="Y129" s="188" t="s">
        <v>83</v>
      </c>
      <c r="Z129" s="27">
        <v>0</v>
      </c>
      <c r="AA129" s="27">
        <v>0</v>
      </c>
      <c r="AB129" s="169">
        <v>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>
        <v>1</v>
      </c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7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9" t="str">
        <f t="shared" si="26"/>
        <v>|CffFFD24D品质潜能石【完美】|r</v>
      </c>
      <c r="K130" s="169" t="str">
        <f t="shared" si="27"/>
        <v>购买需求：灵力x20|n|n使用后为指定技能增加1点品质潜力</v>
      </c>
      <c r="L130" s="27"/>
      <c r="M130" s="170" t="str">
        <f>VLOOKUP(LEFT(RIGHT(B130,5),4),物品!B:CU,20,FALSE)</f>
        <v>ReplaceableTextures\\CommandButtons\\BTNIN04.blp</v>
      </c>
      <c r="N130" s="188" t="s">
        <v>83</v>
      </c>
      <c r="O130" s="170" t="s">
        <v>91</v>
      </c>
      <c r="P130" s="27"/>
      <c r="Q130" s="27"/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88</v>
      </c>
      <c r="X130" s="27">
        <v>0</v>
      </c>
      <c r="Y130" s="188" t="s">
        <v>83</v>
      </c>
      <c r="Z130" s="27">
        <v>0</v>
      </c>
      <c r="AA130" s="27">
        <v>0</v>
      </c>
      <c r="AB130" s="169">
        <v>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>
        <v>1</v>
      </c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7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9" t="str">
        <f t="shared" si="26"/>
        <v>|Cff00FF7F技能进阶石【残缺】|r</v>
      </c>
      <c r="K131" s="169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70" t="str">
        <f>VLOOKUP(LEFT(RIGHT(B131,5),4),物品!B:CU,20,FALSE)</f>
        <v>ReplaceableTextures\\CommandButtons\\BTNIN06.blp</v>
      </c>
      <c r="N131" s="188" t="s">
        <v>83</v>
      </c>
      <c r="O131" s="170" t="s">
        <v>96</v>
      </c>
      <c r="P131" s="27"/>
      <c r="Q131" s="27"/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88</v>
      </c>
      <c r="X131" s="27">
        <v>0</v>
      </c>
      <c r="Y131" s="188" t="s">
        <v>83</v>
      </c>
      <c r="Z131" s="27">
        <v>0</v>
      </c>
      <c r="AA131" s="27">
        <v>0</v>
      </c>
      <c r="AB131" s="169">
        <v>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>
        <v>1</v>
      </c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7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9" t="str">
        <f t="shared" si="26"/>
        <v>|CffFFD24D品质潜能石【】|r</v>
      </c>
      <c r="K132" s="169">
        <f t="shared" si="27"/>
        <v>0</v>
      </c>
      <c r="L132" s="27"/>
      <c r="M132" s="170" t="str">
        <f>VLOOKUP(LEFT(RIGHT(B132,5),4),物品!B:CU,20,FALSE)</f>
        <v>ReplaceableTextures\\CommandButtons\\BTNIN04.blp</v>
      </c>
      <c r="N132" s="188" t="s">
        <v>83</v>
      </c>
      <c r="O132" s="170" t="s">
        <v>91</v>
      </c>
      <c r="P132" s="27"/>
      <c r="Q132" s="27"/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88</v>
      </c>
      <c r="X132" s="27">
        <v>0</v>
      </c>
      <c r="Y132" s="188" t="s">
        <v>83</v>
      </c>
      <c r="Z132" s="27">
        <v>0</v>
      </c>
      <c r="AA132" s="27">
        <v>0</v>
      </c>
      <c r="AB132" s="169">
        <v>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>
        <v>1</v>
      </c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7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9" t="str">
        <f t="shared" ref="J133:J134" si="38">H133</f>
        <v>|Cff00BFFF技能进阶石【完美】|r</v>
      </c>
      <c r="K133" s="169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70" t="str">
        <f>VLOOKUP(LEFT(RIGHT(B133,5),4),物品!B:CU,20,FALSE)</f>
        <v>ReplaceableTextures\\CommandButtons\\BTNIN05.blp</v>
      </c>
      <c r="N133" s="188" t="s">
        <v>83</v>
      </c>
      <c r="O133" s="170" t="s">
        <v>95</v>
      </c>
      <c r="P133" s="27">
        <v>1</v>
      </c>
      <c r="Q133" s="27">
        <v>2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169">
        <v>35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7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9" t="str">
        <f t="shared" si="38"/>
        <v>|CffFF0000技能进化石|r</v>
      </c>
      <c r="K134" s="169" t="str">
        <f t="shared" si="39"/>
        <v>使指定的|Cffffc926A级|r技能进化为|Cffff0000S级|r。</v>
      </c>
      <c r="L134" s="27"/>
      <c r="M134" s="170" t="str">
        <f>VLOOKUP(LEFT(RIGHT(B134,5),4),物品!B:CU,20,FALSE)</f>
        <v>ReplaceableTextures\\CommandButtons\\BTNIN04.blp</v>
      </c>
      <c r="N134" s="188" t="s">
        <v>83</v>
      </c>
      <c r="O134" s="170" t="s">
        <v>91</v>
      </c>
      <c r="P134" s="27"/>
      <c r="Q134" s="27"/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169">
        <v>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7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9" t="str">
        <f t="shared" ref="J135" si="40">H135</f>
        <v>|Cff00FF7F技能进阶石【残缺】|r</v>
      </c>
      <c r="K135" s="169" t="str">
        <f t="shared" ref="K135" si="41">I135</f>
        <v>|CffFFC92650%概率|r提升指定技能的|Cffffc926品质|r。|n|n|Cff00ff7f只能对|r|Cffffc926A级|r|Cff00ff7f以下的技能使用。|r</v>
      </c>
      <c r="L135" s="27"/>
      <c r="M135" s="170" t="str">
        <f>VLOOKUP(LEFT(RIGHT(B135,5),4),物品!B:CU,20,FALSE)</f>
        <v>ReplaceableTextures\\CommandButtons\\BTNIN06.blp</v>
      </c>
      <c r="N135" s="188" t="s">
        <v>83</v>
      </c>
      <c r="O135" s="170" t="s">
        <v>96</v>
      </c>
      <c r="P135" s="27">
        <v>0</v>
      </c>
      <c r="Q135" s="27">
        <v>2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169">
        <v>10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7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9" t="str">
        <f t="shared" ref="J136" si="42">H136</f>
        <v>|CffFFD24D品质潜能石【】|r</v>
      </c>
      <c r="K136" s="169">
        <f t="shared" ref="K136" si="43">I136</f>
        <v>0</v>
      </c>
      <c r="L136" s="27"/>
      <c r="M136" s="170" t="str">
        <f>VLOOKUP(LEFT(RIGHT(B136,5),4),物品!B:CU,20,FALSE)</f>
        <v>ReplaceableTextures\\CommandButtons\\BTNIN04.blp</v>
      </c>
      <c r="N136" s="188" t="s">
        <v>83</v>
      </c>
      <c r="O136" s="170" t="s">
        <v>91</v>
      </c>
      <c r="P136" s="27"/>
      <c r="Q136" s="27"/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ht="15" customHeight="1" spans="1:42">
      <c r="A137" s="167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9" t="str">
        <f t="shared" ref="J137" si="44">H137</f>
        <v>随机法宝</v>
      </c>
      <c r="K137" s="169" t="str">
        <f t="shared" ref="K137" si="45">I137</f>
        <v>获得一个随机品质的|Cffffc926法宝|r。</v>
      </c>
      <c r="L137" s="27"/>
      <c r="M137" s="170" t="str">
        <f>VLOOKUP(LEFT(RIGHT(B137,5),4),物品!B:CU,20,FALSE)</f>
        <v>ReplaceableTextures\\CommandButtons\\BTNCF01.blp</v>
      </c>
      <c r="N137" s="188" t="s">
        <v>83</v>
      </c>
      <c r="O137" s="170" t="s">
        <v>98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88</v>
      </c>
      <c r="X137" s="27">
        <v>0</v>
      </c>
      <c r="Y137" s="188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>
        <v>1</v>
      </c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7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9" t="str">
        <f t="shared" ref="J138:J141" si="46">H138</f>
        <v>蛋黄月饼</v>
      </c>
      <c r="K138" s="169" t="str">
        <f t="shared" ref="K138:K141" si="47">I138</f>
        <v>回复|Cffffd24d80%|r生命，|Cff00ff7f解除|r异常状态</v>
      </c>
      <c r="L138" s="27"/>
      <c r="M138" s="170" t="str">
        <f>VLOOKUP(LEFT(RIGHT(B138,5),4),物品!B:CU,20,FALSE)</f>
        <v>ReplaceableTextures\\CommandButtons\\BTNI001.blp</v>
      </c>
      <c r="N138" s="188" t="s">
        <v>83</v>
      </c>
      <c r="O138" s="170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>
      <c r="A139" s="167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9" t="str">
        <f t="shared" si="46"/>
        <v>豆沙月饼</v>
      </c>
      <c r="K139" s="169" t="str">
        <f t="shared" si="47"/>
        <v>暴击|Cffff0000+10%|n|n|r|Cff00ff7f效果持续15秒。|r</v>
      </c>
      <c r="L139" s="27"/>
      <c r="M139" s="170" t="str">
        <f>VLOOKUP(LEFT(RIGHT(B139,5),4),物品!B:CU,20,FALSE)</f>
        <v>ReplaceableTextures\\CommandButtons\\BTNI002.blp</v>
      </c>
      <c r="N139" s="188" t="s">
        <v>83</v>
      </c>
      <c r="O139" s="170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1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7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9" t="str">
        <f t="shared" si="46"/>
        <v>冰皮月饼</v>
      </c>
      <c r="K140" s="169" t="str">
        <f t="shared" si="47"/>
        <v>攻击速度|Cffffd24d+40%|r。|n|n|Cff00ff7f持续15秒。|r</v>
      </c>
      <c r="L140" s="27"/>
      <c r="M140" s="170" t="str">
        <f>VLOOKUP(LEFT(RIGHT(B140,5),4),物品!B:CU,20,FALSE)</f>
        <v>ReplaceableTextures\\CommandButtons\\BTNI003.blp</v>
      </c>
      <c r="N140" s="188" t="s">
        <v>83</v>
      </c>
      <c r="O140" s="170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>
      <c r="A141" s="167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9" t="str">
        <f t="shared" si="46"/>
        <v>果蔬月饼</v>
      </c>
      <c r="K141" s="169" t="str">
        <f t="shared" si="47"/>
        <v>技能伤害提高|Cffffd24d20%|r|Cfff0f0f0。|n|n|r|Cff00ff7f持续15秒。|r</v>
      </c>
      <c r="L141" s="27"/>
      <c r="M141" s="170" t="str">
        <f>VLOOKUP(LEFT(RIGHT(B141,5),4),物品!B:CU,20,FALSE)</f>
        <v>ReplaceableTextures\\CommandButtons\\BTNI004.blp</v>
      </c>
      <c r="N141" s="188" t="s">
        <v>83</v>
      </c>
      <c r="O141" s="170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7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9" t="str">
        <f t="shared" ref="J142:J144" si="48">H142</f>
        <v>鲜肉月饼</v>
      </c>
      <c r="K142" s="169" t="str">
        <f t="shared" ref="K142:K144" si="49">I142</f>
        <v>攻击伤害提高|Cffffd24d20%|r。|n|n|Cff00ff7f持续15秒。|r</v>
      </c>
      <c r="L142" s="27"/>
      <c r="M142" s="170" t="str">
        <f>VLOOKUP(LEFT(RIGHT(B142,5),4),物品!B:CU,20,FALSE)</f>
        <v>ReplaceableTextures\\CommandButtons\\BTNI005.blp</v>
      </c>
      <c r="N142" s="188" t="s">
        <v>83</v>
      </c>
      <c r="O142" s="170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7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9" t="str">
        <f t="shared" ref="J143" si="50">H143</f>
        <v>招魂幡Lv0</v>
      </c>
      <c r="K143" s="169" t="str">
        <f t="shared" ref="K143" si="51">I143</f>
        <v>击杀|Cff00ff7f300个|r敌人后奖励：|n金币|Cffffc926+3000~6000|r|n|n|Cff00ff7f同时只能携带一个招魂幡|r</v>
      </c>
      <c r="L143" s="27"/>
      <c r="M143" s="170" t="str">
        <f>VLOOKUP(LEFT(RIGHT(B143,5),4),物品!B:CU,20,FALSE)</f>
        <v>ReplaceableTextures\\CommandButtons\\BTNZHP1.blp</v>
      </c>
      <c r="N143" s="27">
        <v>0.5</v>
      </c>
      <c r="O143" s="170" t="s">
        <v>99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>
        <v>4</v>
      </c>
      <c r="W143" s="27" t="s">
        <v>85</v>
      </c>
      <c r="X143" s="27">
        <v>0</v>
      </c>
      <c r="Y143" s="188" t="s">
        <v>83</v>
      </c>
      <c r="Z143" s="27">
        <v>0</v>
      </c>
      <c r="AA143" s="27">
        <v>0</v>
      </c>
      <c r="AB143" s="169">
        <v>1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300</v>
      </c>
      <c r="AO143" s="27"/>
      <c r="AP143" s="27"/>
    </row>
    <row r="144" spans="1:42">
      <c r="A144" s="167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9" t="str">
        <f t="shared" si="48"/>
        <v>招魂幡Lv1</v>
      </c>
      <c r="K144" s="169" t="str">
        <f t="shared" si="49"/>
        <v>击杀|Cff00ff7f1000|r个敌人后奖励：|n金币|Cffffc926+7000~12000|r|n经验|Cffffc926+1000|r|n|n|Cff00ff7f同时只能携带一个招魂幡|r</v>
      </c>
      <c r="L144" s="27"/>
      <c r="M144" s="170" t="str">
        <f>VLOOKUP(LEFT(RIGHT(B144,5),4),物品!B:CU,20,FALSE)</f>
        <v>ReplaceableTextures\\CommandButtons\\BTNZHP1.blp</v>
      </c>
      <c r="N144" s="27">
        <v>0.5</v>
      </c>
      <c r="O144" s="170" t="s">
        <v>99</v>
      </c>
      <c r="P144" s="27">
        <v>0</v>
      </c>
      <c r="Q144" s="27">
        <v>0</v>
      </c>
      <c r="R144" s="188" t="s">
        <v>83</v>
      </c>
      <c r="S144" s="188" t="s">
        <v>83</v>
      </c>
      <c r="T144" s="188" t="s">
        <v>83</v>
      </c>
      <c r="U144" s="188" t="s">
        <v>83</v>
      </c>
      <c r="V144" s="27">
        <v>4</v>
      </c>
      <c r="W144" s="27" t="s">
        <v>85</v>
      </c>
      <c r="X144" s="27">
        <v>0</v>
      </c>
      <c r="Y144" s="188" t="s">
        <v>83</v>
      </c>
      <c r="Z144" s="27">
        <v>0</v>
      </c>
      <c r="AA144" s="27">
        <v>0</v>
      </c>
      <c r="AB144" s="169">
        <v>2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/>
      <c r="AJ144" s="27"/>
      <c r="AK144" s="27">
        <v>1</v>
      </c>
      <c r="AL144" s="27">
        <v>1</v>
      </c>
      <c r="AM144" s="188" t="s">
        <v>83</v>
      </c>
      <c r="AN144" s="27">
        <v>1000</v>
      </c>
      <c r="AO144" s="27"/>
      <c r="AP144" s="27"/>
    </row>
    <row r="145" spans="1:42">
      <c r="A145" s="167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9" t="str">
        <f t="shared" ref="J145:J146" si="52">H145</f>
        <v>|Cff00FF7F招魂幡Lv2|r</v>
      </c>
      <c r="K145" s="169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70" t="str">
        <f>VLOOKUP(LEFT(RIGHT(B145,5),4),物品!B:CU,20,FALSE)</f>
        <v>ReplaceableTextures\\CommandButtons\\BTNZHP2.blp</v>
      </c>
      <c r="N145" s="27">
        <v>0.5</v>
      </c>
      <c r="O145" s="170" t="s">
        <v>99</v>
      </c>
      <c r="P145" s="27">
        <v>1</v>
      </c>
      <c r="Q145" s="27">
        <v>0</v>
      </c>
      <c r="R145" s="188" t="s">
        <v>83</v>
      </c>
      <c r="S145" s="188" t="s">
        <v>83</v>
      </c>
      <c r="T145" s="188" t="s">
        <v>83</v>
      </c>
      <c r="U145" s="188" t="s">
        <v>83</v>
      </c>
      <c r="V145" s="27">
        <v>4</v>
      </c>
      <c r="W145" s="27" t="s">
        <v>85</v>
      </c>
      <c r="X145" s="27">
        <v>0</v>
      </c>
      <c r="Y145" s="188" t="s">
        <v>83</v>
      </c>
      <c r="Z145" s="27">
        <v>0</v>
      </c>
      <c r="AA145" s="27">
        <v>0</v>
      </c>
      <c r="AB145" s="169">
        <v>5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/>
      <c r="AJ145" s="27"/>
      <c r="AK145" s="27">
        <v>1</v>
      </c>
      <c r="AL145" s="27">
        <v>1</v>
      </c>
      <c r="AM145" s="188" t="s">
        <v>83</v>
      </c>
      <c r="AN145" s="27">
        <v>1000</v>
      </c>
      <c r="AO145" s="27"/>
      <c r="AP145" s="27"/>
    </row>
    <row r="146" spans="1:42">
      <c r="A146" s="167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9" t="str">
        <f t="shared" si="52"/>
        <v>|Cff00BFFF招魂幡Lv3|r</v>
      </c>
      <c r="K146" s="169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70" t="str">
        <f>VLOOKUP(LEFT(RIGHT(B146,5),4),物品!B:CU,20,FALSE)</f>
        <v>ReplaceableTextures\\CommandButtons\\BTNZHP3.blp</v>
      </c>
      <c r="N146" s="27">
        <v>0.5</v>
      </c>
      <c r="O146" s="170" t="s">
        <v>99</v>
      </c>
      <c r="P146" s="27">
        <v>2</v>
      </c>
      <c r="Q146" s="27">
        <v>0</v>
      </c>
      <c r="R146" s="188" t="s">
        <v>83</v>
      </c>
      <c r="S146" s="188" t="s">
        <v>83</v>
      </c>
      <c r="T146" s="188" t="s">
        <v>83</v>
      </c>
      <c r="U146" s="188" t="s">
        <v>83</v>
      </c>
      <c r="V146" s="27">
        <v>4</v>
      </c>
      <c r="W146" s="27" t="s">
        <v>85</v>
      </c>
      <c r="X146" s="27">
        <v>0</v>
      </c>
      <c r="Y146" s="188" t="s">
        <v>83</v>
      </c>
      <c r="Z146" s="27">
        <v>0</v>
      </c>
      <c r="AA146" s="27">
        <v>0</v>
      </c>
      <c r="AB146" s="169">
        <v>10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/>
      <c r="AJ146" s="27"/>
      <c r="AK146" s="27">
        <v>1</v>
      </c>
      <c r="AL146" s="27">
        <v>1</v>
      </c>
      <c r="AM146" s="188" t="s">
        <v>83</v>
      </c>
      <c r="AN146" s="27">
        <v>1000</v>
      </c>
      <c r="AO146" s="27"/>
      <c r="AP146" s="27"/>
    </row>
    <row r="147" spans="1:42">
      <c r="A147" s="167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9" t="str">
        <f t="shared" ref="J147:J149" si="54">H147</f>
        <v>|CffFFD24D招魂幡Lv4|r</v>
      </c>
      <c r="K147" s="169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70" t="str">
        <f>VLOOKUP(LEFT(RIGHT(B147,5),4),物品!B:CU,20,FALSE)</f>
        <v>ReplaceableTextures\\CommandButtons\\BTNZHP4.blp</v>
      </c>
      <c r="N147" s="27">
        <v>0.5</v>
      </c>
      <c r="O147" s="170" t="s">
        <v>99</v>
      </c>
      <c r="P147" s="27">
        <v>3</v>
      </c>
      <c r="Q147" s="27">
        <v>0</v>
      </c>
      <c r="R147" s="188" t="s">
        <v>83</v>
      </c>
      <c r="S147" s="188" t="s">
        <v>83</v>
      </c>
      <c r="T147" s="188" t="s">
        <v>83</v>
      </c>
      <c r="U147" s="188" t="s">
        <v>83</v>
      </c>
      <c r="V147" s="27">
        <v>4</v>
      </c>
      <c r="W147" s="27" t="s">
        <v>85</v>
      </c>
      <c r="X147" s="27">
        <v>0</v>
      </c>
      <c r="Y147" s="188" t="s">
        <v>83</v>
      </c>
      <c r="Z147" s="27">
        <v>0</v>
      </c>
      <c r="AA147" s="27">
        <v>0</v>
      </c>
      <c r="AB147" s="169">
        <v>20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/>
      <c r="AJ147" s="27"/>
      <c r="AK147" s="27">
        <v>1</v>
      </c>
      <c r="AL147" s="27">
        <v>1</v>
      </c>
      <c r="AM147" s="188" t="s">
        <v>83</v>
      </c>
      <c r="AN147" s="27">
        <v>1000</v>
      </c>
      <c r="AO147" s="27"/>
      <c r="AP147" s="27"/>
    </row>
    <row r="148" spans="1:42">
      <c r="A148" s="167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9" t="str">
        <f t="shared" ref="J148" si="56">H148</f>
        <v>|CffFF0000招魂幡Lv5|r</v>
      </c>
      <c r="K148" s="169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70" t="str">
        <f>VLOOKUP(LEFT(RIGHT(B148,5),4),物品!B:CU,20,FALSE)</f>
        <v>ReplaceableTextures\\CommandButtons\\BTNZHP5.blp</v>
      </c>
      <c r="N148" s="27">
        <v>0.5</v>
      </c>
      <c r="O148" s="170" t="s">
        <v>99</v>
      </c>
      <c r="P148" s="27">
        <v>0</v>
      </c>
      <c r="Q148" s="27">
        <v>0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>
        <v>4</v>
      </c>
      <c r="W148" s="27" t="s">
        <v>85</v>
      </c>
      <c r="X148" s="27">
        <v>0</v>
      </c>
      <c r="Y148" s="188" t="s">
        <v>83</v>
      </c>
      <c r="Z148" s="27">
        <v>0</v>
      </c>
      <c r="AA148" s="27">
        <v>0</v>
      </c>
      <c r="AB148" s="169">
        <v>50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1000</v>
      </c>
      <c r="AO148" s="27"/>
      <c r="AP148" s="27"/>
    </row>
    <row r="149" spans="1:42">
      <c r="A149" s="167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9" t="str">
        <f t="shared" si="54"/>
        <v>|CffFFD24D锦囊|r</v>
      </c>
      <c r="K149" s="169" t="str">
        <f t="shared" si="55"/>
        <v>开启后获得一个|Cffffc926随机锦囊|r。</v>
      </c>
      <c r="L149" s="27"/>
      <c r="M149" s="170" t="str">
        <f>VLOOKUP(LEFT(RIGHT(B149,5),4),物品!B:CU,20,FALSE)</f>
        <v>ReplaceableTextures\\CommandButtons\\BTNIN00.blp</v>
      </c>
      <c r="N149" s="27">
        <v>0.8</v>
      </c>
      <c r="O149" s="170" t="s">
        <v>100</v>
      </c>
      <c r="P149" s="27">
        <v>0</v>
      </c>
      <c r="Q149" s="27">
        <v>0</v>
      </c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7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9" t="str">
        <f t="shared" ref="J150:J152" si="58">H150</f>
        <v>|Cff00BFFF来份快餐|r</v>
      </c>
      <c r="K150" s="169" t="str">
        <f t="shared" ref="K150:K152" si="59">I150</f>
        <v>每秒回复|Cffffc92610%|r生命值，持续|Cffffc92610|r秒</v>
      </c>
      <c r="L150" s="27"/>
      <c r="M150" s="170" t="str">
        <f>VLOOKUP(LEFT(RIGHT(B150,5),4),物品!B:CU,20,FALSE)</f>
        <v>ReplaceableTextures\\CommandButtons\\BTNIN07.blp</v>
      </c>
      <c r="N150" s="27">
        <v>0.8</v>
      </c>
      <c r="O150" s="170" t="s">
        <v>100</v>
      </c>
      <c r="P150" s="27">
        <v>0</v>
      </c>
      <c r="Q150" s="27">
        <v>0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7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9" t="str">
        <f t="shared" si="58"/>
        <v>|CffFF0000抬你一手|r</v>
      </c>
      <c r="K151" s="169" t="str">
        <f t="shared" si="59"/>
        <v>|CffFFC926击杀|r当前存在的|Cffffc926进攻怪|r和|Cffffc926Boss|r。|n|n|Cff00ff7f无法在大决战时使用|r</v>
      </c>
      <c r="L151" s="27"/>
      <c r="M151" s="170" t="str">
        <f>VLOOKUP(LEFT(RIGHT(B151,5),4),物品!B:CU,20,FALSE)</f>
        <v>ReplaceableTextures\\CommandButtons\\BTNIN08.blp</v>
      </c>
      <c r="N151" s="27">
        <v>0.8</v>
      </c>
      <c r="O151" s="170" t="s">
        <v>100</v>
      </c>
      <c r="P151" s="27">
        <v>0</v>
      </c>
      <c r="Q151" s="27">
        <v>0</v>
      </c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7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9" t="str">
        <f t="shared" si="58"/>
        <v>|CffFFC926死者苏生|r</v>
      </c>
      <c r="K152" s="169" t="str">
        <f t="shared" si="59"/>
        <v>死亡时复活。</v>
      </c>
      <c r="L152" s="27"/>
      <c r="M152" s="170" t="str">
        <f>VLOOKUP(LEFT(RIGHT(B152,5),4),物品!B:CU,20,FALSE)</f>
        <v>ReplaceableTextures\\CommandButtons\\BTNIN09.blp</v>
      </c>
      <c r="N152" s="27">
        <v>0.8</v>
      </c>
      <c r="O152" s="170" t="s">
        <v>100</v>
      </c>
      <c r="P152" s="27">
        <v>0</v>
      </c>
      <c r="Q152" s="27">
        <v>0</v>
      </c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ht="14.4" spans="1:42">
      <c r="A153" s="167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9" t="str">
        <f t="shared" ref="J153" si="60">H153</f>
        <v>|Cff00BFFF福娃这么可爱..|r</v>
      </c>
      <c r="K153" s="169" t="str">
        <f t="shared" ref="K153" si="61">I153</f>
        <v>点金一个|Cffffc926练功房福娃|r，获得|Cffffc926300|r倍金币奖励</v>
      </c>
      <c r="L153" s="27"/>
      <c r="M153" s="170" t="str">
        <f>VLOOKUP(LEFT(RIGHT(B153,5),4),物品!B:CU,20,FALSE)</f>
        <v>ReplaceableTextures\\CommandButtons\\BTNIN10.blp</v>
      </c>
      <c r="N153" s="188" t="s">
        <v>83</v>
      </c>
      <c r="O153" s="170" t="s">
        <v>94</v>
      </c>
      <c r="P153" s="27">
        <v>0</v>
      </c>
      <c r="Q153" s="27">
        <v>0</v>
      </c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171" t="s">
        <v>103</v>
      </c>
      <c r="X153" s="27">
        <v>0</v>
      </c>
      <c r="Y153" s="188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0</v>
      </c>
      <c r="AO153" s="27">
        <v>0</v>
      </c>
      <c r="AP153" s="27">
        <v>1</v>
      </c>
    </row>
    <row r="154" spans="1:42">
      <c r="A154" s="167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9" t="str">
        <f t="shared" ref="J154:J160" si="62">H154</f>
        <v>|CffFFC926奥里给Lo他|r</v>
      </c>
      <c r="K154" s="169" t="str">
        <f t="shared" ref="K154:K160" si="63">I154</f>
        <v>|CffFFC92610秒|r内提高|Cffffc926100%|r攻击伤害</v>
      </c>
      <c r="L154" s="27"/>
      <c r="M154" s="170" t="str">
        <f>VLOOKUP(LEFT(RIGHT(B154,5),4),物品!B:CU,20,FALSE)</f>
        <v>ReplaceableTextures\\CommandButtons\\BTNIN11.blp</v>
      </c>
      <c r="N154" s="188" t="s">
        <v>83</v>
      </c>
      <c r="O154" s="170" t="s">
        <v>94</v>
      </c>
      <c r="P154" s="27">
        <v>0</v>
      </c>
      <c r="Q154" s="27">
        <v>0</v>
      </c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7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9" t="str">
        <f t="shared" si="62"/>
        <v>|CffFF0000以逸待劳|r</v>
      </c>
      <c r="K155" s="169" t="str">
        <f t="shared" si="63"/>
        <v>在|Cffffc926基地-周文王|r附近召唤|Cffffc9261|r个|Cffffc926黑市商店|r，仅存在|Cffffc92630|r秒。</v>
      </c>
      <c r="L155" s="27"/>
      <c r="M155" s="170" t="str">
        <f>VLOOKUP(LEFT(RIGHT(B155,5),4),物品!B:CU,20,FALSE)</f>
        <v>ReplaceableTextures\\CommandButtons\\BTNIN12.blp</v>
      </c>
      <c r="N155" s="188" t="s">
        <v>83</v>
      </c>
      <c r="O155" s="170" t="s">
        <v>94</v>
      </c>
      <c r="P155" s="27">
        <v>0</v>
      </c>
      <c r="Q155" s="27">
        <v>0</v>
      </c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7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9" t="str">
        <f t="shared" si="62"/>
        <v>|CffFF0000全军出击|r</v>
      </c>
      <c r="K156" s="169" t="str">
        <f t="shared" si="63"/>
        <v>场上存活的队友|Cffffc92615|r秒内提高|Cffffc92650%|r技能伤害</v>
      </c>
      <c r="L156" s="27"/>
      <c r="M156" s="170" t="str">
        <f>VLOOKUP(LEFT(RIGHT(B156,5),4),物品!B:CU,20,FALSE)</f>
        <v>ReplaceableTextures\\CommandButtons\\BTNIN13.blp</v>
      </c>
      <c r="N156" s="188" t="s">
        <v>83</v>
      </c>
      <c r="O156" s="170" t="s">
        <v>94</v>
      </c>
      <c r="P156" s="27">
        <v>0</v>
      </c>
      <c r="Q156" s="27">
        <v>0</v>
      </c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>
      <c r="A157" s="167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9" t="str">
        <f t="shared" si="62"/>
        <v>|CffFFC926心跳时刻|r</v>
      </c>
      <c r="K157" s="169" t="str">
        <f t="shared" si="63"/>
        <v>使用后基地无敌|Cffffc92610|r秒。</v>
      </c>
      <c r="L157" s="27"/>
      <c r="M157" s="170" t="str">
        <f>VLOOKUP(LEFT(RIGHT(B157,5),4),物品!B:CU,20,FALSE)</f>
        <v>ReplaceableTextures\\CommandButtons\\BTNIN14.blp</v>
      </c>
      <c r="N157" s="188" t="s">
        <v>83</v>
      </c>
      <c r="O157" s="170" t="s">
        <v>94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93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/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7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9" t="str">
        <f t="shared" si="62"/>
        <v>|CffFFC926据守|r</v>
      </c>
      <c r="K158" s="169" t="str">
        <f t="shared" si="63"/>
        <v>场上存活的队友|Cffffc92615|r秒内减少|Cffffc92620%|r承受伤害</v>
      </c>
      <c r="L158" s="27"/>
      <c r="M158" s="170" t="str">
        <f>VLOOKUP(LEFT(RIGHT(B158,5),4),物品!B:CU,20,FALSE)</f>
        <v>ReplaceableTextures\\CommandButtons\\BTNIN15.blp</v>
      </c>
      <c r="N158" s="188" t="s">
        <v>83</v>
      </c>
      <c r="O158" s="170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7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9" t="str">
        <f t="shared" si="62"/>
        <v>赌输可退</v>
      </c>
      <c r="K159" s="169" t="str">
        <f t="shared" si="63"/>
        <v>使|Cffffd24d1|r个|Cffffd24d道果品质|r提高|Cffffd24d-1~+2|r。|n|n|Cff00ff7f只能对天级【7】或以下的道果使用|r</v>
      </c>
      <c r="L159" s="27"/>
      <c r="M159" s="170" t="str">
        <f>VLOOKUP(LEFT(RIGHT(B159,5),4),物品!B:CU,20,FALSE)</f>
        <v>ReplaceableTextures\\CommandButtons\\BTNIN16.blp</v>
      </c>
      <c r="N159" s="188" t="s">
        <v>83</v>
      </c>
      <c r="O159" s="170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7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9" t="str">
        <f t="shared" si="62"/>
        <v>|Cff00BFFF来点玄铁|r</v>
      </c>
      <c r="K160" s="169" t="str">
        <f t="shared" si="63"/>
        <v>玄铁|Cffffc926+5~20|r</v>
      </c>
      <c r="L160" s="27"/>
      <c r="M160" s="170" t="str">
        <f>VLOOKUP(LEFT(RIGHT(B160,5),4),物品!B:CU,20,FALSE)</f>
        <v>ReplaceableTextures\\CommandButtons\\BTNIN17.blp</v>
      </c>
      <c r="N160" s="188" t="s">
        <v>83</v>
      </c>
      <c r="O160" s="170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7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9" t="str">
        <f t="shared" ref="J161" si="64">H161</f>
        <v>|CffFFC926恭喜发财|r</v>
      </c>
      <c r="K161" s="169" t="str">
        <f t="shared" ref="K161" si="65">I161</f>
        <v>|CffFFC92630|r秒内金币加成|Cffffc926+50%|r</v>
      </c>
      <c r="L161" s="27"/>
      <c r="M161" s="170" t="str">
        <f>VLOOKUP(LEFT(RIGHT(B161,5),4),物品!B:CU,20,FALSE)</f>
        <v>ReplaceableTextures\\CommandButtons\\BTNIN18.blp</v>
      </c>
      <c r="N161" s="188" t="s">
        <v>83</v>
      </c>
      <c r="O161" s="170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7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9" t="str">
        <f t="shared" ref="J162:J170" si="66">H162</f>
        <v>附魔宝箱</v>
      </c>
      <c r="K162" s="169" t="str">
        <f t="shared" ref="K162:K170" si="67">I162</f>
        <v>使用后获得|Cffffc926随机类型技能附魔石|r</v>
      </c>
      <c r="L162" s="27"/>
      <c r="M162" s="170" t="str">
        <f>VLOOKUP(LEFT(RIGHT(B162,5),4),物品!B:CU,20,FALSE)</f>
        <v>ReplaceableTextures\\CommandButtons\\BTNIN16.blp</v>
      </c>
      <c r="N162" s="188" t="s">
        <v>83</v>
      </c>
      <c r="O162" s="170" t="s">
        <v>104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7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9" t="str">
        <f t="shared" si="66"/>
        <v>|CffFFC926鼠年大吉|r</v>
      </c>
      <c r="K163" s="169" t="str">
        <f t="shared" si="67"/>
        <v>|CffFFC92630|r秒内杀敌金币|Cffffc926+25|r</v>
      </c>
      <c r="L163" s="27"/>
      <c r="M163" s="170" t="str">
        <f>VLOOKUP(LEFT(RIGHT(B163,5),4),物品!B:CU,20,FALSE)</f>
        <v>ReplaceableTextures\\CommandButtons\\BTNIN20.blp</v>
      </c>
      <c r="N163" s="188" t="s">
        <v>83</v>
      </c>
      <c r="O163" s="170" t="s">
        <v>94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/>
      <c r="W163" s="27" t="s">
        <v>93</v>
      </c>
      <c r="X163" s="27">
        <v>0</v>
      </c>
      <c r="Y163" s="188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1</v>
      </c>
      <c r="AO163" s="27">
        <v>1</v>
      </c>
      <c r="AP163" s="27">
        <v>1</v>
      </c>
    </row>
    <row r="164" spans="1:42">
      <c r="A164" s="167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9" t="str">
        <f t="shared" si="66"/>
        <v>|Cff00FF7F小金库|r</v>
      </c>
      <c r="K164" s="169" t="str">
        <f t="shared" si="67"/>
        <v>金币|Cffffc926+888~8888|r</v>
      </c>
      <c r="L164" s="27"/>
      <c r="M164" s="170" t="str">
        <f>VLOOKUP(LEFT(RIGHT(B164,5),4),物品!B:CU,20,FALSE)</f>
        <v>ReplaceableTextures\\CommandButtons\\BTNIN21.blp</v>
      </c>
      <c r="N164" s="188" t="s">
        <v>83</v>
      </c>
      <c r="O164" s="170" t="s">
        <v>94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/>
      <c r="W164" s="27" t="s">
        <v>93</v>
      </c>
      <c r="X164" s="27">
        <v>0</v>
      </c>
      <c r="Y164" s="188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</v>
      </c>
      <c r="AO164" s="27">
        <v>1</v>
      </c>
      <c r="AP164" s="27">
        <v>1</v>
      </c>
    </row>
    <row r="165" spans="1:42">
      <c r="A165" s="167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9" t="str">
        <f t="shared" si="66"/>
        <v>|Cff00BFFF小银行|r</v>
      </c>
      <c r="K165" s="169" t="str">
        <f t="shared" si="67"/>
        <v>金币|Cffffc926+2888~18888|r</v>
      </c>
      <c r="L165" s="27"/>
      <c r="M165" s="170" t="str">
        <f>VLOOKUP(LEFT(RIGHT(B165,5),4),物品!B:CU,20,FALSE)</f>
        <v>ReplaceableTextures\\CommandButtons\\BTNIN22.blp</v>
      </c>
      <c r="N165" s="188" t="s">
        <v>83</v>
      </c>
      <c r="O165" s="170" t="s">
        <v>94</v>
      </c>
      <c r="P165" s="27">
        <v>0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/>
      <c r="W165" s="27" t="s">
        <v>93</v>
      </c>
      <c r="X165" s="27">
        <v>0</v>
      </c>
      <c r="Y165" s="188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</v>
      </c>
      <c r="AO165" s="27">
        <v>1</v>
      </c>
      <c r="AP165" s="27">
        <v>1</v>
      </c>
    </row>
    <row r="166" spans="1:42">
      <c r="A166" s="167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9" t="str">
        <f t="shared" si="66"/>
        <v>|CffFFC926大金矿|r</v>
      </c>
      <c r="K166" s="169" t="str">
        <f t="shared" si="67"/>
        <v>金币|Cffffc926+8888~88888|r</v>
      </c>
      <c r="L166" s="27"/>
      <c r="M166" s="170" t="str">
        <f>VLOOKUP(LEFT(RIGHT(B166,5),4),物品!B:CU,20,FALSE)</f>
        <v>ReplaceableTextures\\CommandButtons\\BTNIN23.blp</v>
      </c>
      <c r="N166" s="188" t="s">
        <v>83</v>
      </c>
      <c r="O166" s="170" t="s">
        <v>94</v>
      </c>
      <c r="P166" s="27">
        <v>0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/>
      <c r="W166" s="27" t="s">
        <v>93</v>
      </c>
      <c r="X166" s="27">
        <v>0</v>
      </c>
      <c r="Y166" s="188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</v>
      </c>
      <c r="AO166" s="27">
        <v>1</v>
      </c>
      <c r="AP166" s="27">
        <v>1</v>
      </c>
    </row>
    <row r="167" spans="1:42">
      <c r="A167" s="167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9" t="str">
        <f t="shared" si="66"/>
        <v>|Cff00FF7F培元丹|r</v>
      </c>
      <c r="K167" s="169" t="str">
        <f t="shared" si="67"/>
        <v>攻击|Cffffc926+1000|r</v>
      </c>
      <c r="L167" s="27"/>
      <c r="M167" s="170" t="str">
        <f>VLOOKUP(LEFT(RIGHT(B167,5),4),物品!B:CU,20,FALSE)</f>
        <v>ReplaceableTextures\\CommandButtons\\BTNIN24.blp</v>
      </c>
      <c r="N167" s="188" t="s">
        <v>83</v>
      </c>
      <c r="O167" s="170" t="s">
        <v>94</v>
      </c>
      <c r="P167" s="27">
        <v>0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/>
      <c r="W167" s="27" t="s">
        <v>93</v>
      </c>
      <c r="X167" s="27">
        <v>0</v>
      </c>
      <c r="Y167" s="188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</v>
      </c>
      <c r="AO167" s="27">
        <v>1</v>
      </c>
      <c r="AP167" s="27">
        <v>1</v>
      </c>
    </row>
    <row r="168" spans="1:42">
      <c r="A168" s="167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9" t="str">
        <f t="shared" si="66"/>
        <v>|Cff00BFFF入门道果箱|r</v>
      </c>
      <c r="K168" s="169" t="str">
        <f t="shared" si="67"/>
        <v>打开后有几率获得以下奖励：|n【随机品质】中级道果|n|Cff00ff7f【随机品质】高级道果|r</v>
      </c>
      <c r="L168" s="27"/>
      <c r="M168" s="170" t="str">
        <f>VLOOKUP(LEFT(RIGHT(B168,5),4),物品!B:CU,20,FALSE)</f>
        <v>ReplaceableTextures\\CommandButtons\\BTNAM20.blp</v>
      </c>
      <c r="N168" s="188" t="s">
        <v>83</v>
      </c>
      <c r="O168" s="10" t="s">
        <v>105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/>
      <c r="W168" s="27" t="s">
        <v>93</v>
      </c>
      <c r="X168" s="27">
        <v>0</v>
      </c>
      <c r="Y168" s="188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</v>
      </c>
      <c r="AO168" s="27">
        <v>1</v>
      </c>
      <c r="AP168" s="27">
        <v>1</v>
      </c>
    </row>
    <row r="169" spans="1:42">
      <c r="A169" s="167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9" t="str">
        <f t="shared" si="66"/>
        <v>|CffFFD24D后天道果箱|r</v>
      </c>
      <c r="K169" s="169" t="str">
        <f t="shared" si="67"/>
        <v>打开后有几率获得以下奖励：|n|Cff00ff7f【随机品质】黄级道果|r|n|Cff00bfff【随机品质】玄级道果|n【随机品质】地级道果|r</v>
      </c>
      <c r="L169" s="27"/>
      <c r="M169" s="170" t="str">
        <f>VLOOKUP(LEFT(RIGHT(B169,5),4),物品!B:CU,20,FALSE)</f>
        <v>ReplaceableTextures\\CommandButtons\\BTNAM21.blp</v>
      </c>
      <c r="N169" s="188" t="s">
        <v>83</v>
      </c>
      <c r="O169" s="10" t="s">
        <v>106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/>
      <c r="W169" s="27" t="s">
        <v>93</v>
      </c>
      <c r="X169" s="27">
        <v>0</v>
      </c>
      <c r="Y169" s="188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1</v>
      </c>
      <c r="AL169" s="27">
        <v>1</v>
      </c>
      <c r="AM169" s="188" t="s">
        <v>83</v>
      </c>
      <c r="AN169" s="27">
        <v>1</v>
      </c>
      <c r="AO169" s="27">
        <v>1</v>
      </c>
      <c r="AP169" s="27">
        <v>1</v>
      </c>
    </row>
    <row r="170" spans="1:42">
      <c r="A170" s="167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9" t="str">
        <f t="shared" si="66"/>
        <v>|CffFF0000先天道果箱|r</v>
      </c>
      <c r="K170" s="169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70" t="str">
        <f>VLOOKUP(LEFT(RIGHT(B170,5),4),物品!B:CU,20,FALSE)</f>
        <v>ReplaceableTextures\\CommandButtons\\BTNAM22.blp</v>
      </c>
      <c r="N170" s="188" t="s">
        <v>83</v>
      </c>
      <c r="O170" s="170" t="s">
        <v>107</v>
      </c>
      <c r="P170" s="27">
        <v>0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/>
      <c r="W170" s="27" t="s">
        <v>93</v>
      </c>
      <c r="X170" s="27">
        <v>0</v>
      </c>
      <c r="Y170" s="188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1</v>
      </c>
      <c r="AL170" s="27">
        <v>1</v>
      </c>
      <c r="AM170" s="188" t="s">
        <v>83</v>
      </c>
      <c r="AN170" s="27">
        <v>1</v>
      </c>
      <c r="AO170" s="27">
        <v>1</v>
      </c>
      <c r="AP170" s="27">
        <v>1</v>
      </c>
    </row>
    <row r="171" spans="1:42">
      <c r="A171" s="167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9" t="str">
        <f t="shared" ref="J171:J172" si="68">H171</f>
        <v>|CffFFD24D技能宝箱|r</v>
      </c>
      <c r="K171" s="169" t="str">
        <f t="shared" ref="K171:K172" si="69">I171</f>
        <v>使用后获得|Cffffc926随机类型技能升阶石|r</v>
      </c>
      <c r="L171" s="27"/>
      <c r="M171" s="170" t="str">
        <f>VLOOKUP(LEFT(RIGHT(B171,5),4),物品!B:CU,20,FALSE)</f>
        <v>ReplaceableTextures\\CommandButtons\\BTNAM23.blp</v>
      </c>
      <c r="N171" s="188" t="s">
        <v>83</v>
      </c>
      <c r="O171" s="10" t="s">
        <v>106</v>
      </c>
      <c r="P171" s="27">
        <v>0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/>
      <c r="W171" s="27" t="s">
        <v>93</v>
      </c>
      <c r="X171" s="27">
        <v>0</v>
      </c>
      <c r="Y171" s="188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1</v>
      </c>
      <c r="AL171" s="27">
        <v>1</v>
      </c>
      <c r="AM171" s="188" t="s">
        <v>83</v>
      </c>
      <c r="AN171" s="27">
        <v>1</v>
      </c>
      <c r="AO171" s="27">
        <v>1</v>
      </c>
      <c r="AP171" s="27">
        <v>1</v>
      </c>
    </row>
    <row r="172" spans="1:42">
      <c r="A172" s="167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9" t="str">
        <f t="shared" si="68"/>
        <v>|CffFFD24D附魔宝箱|r</v>
      </c>
      <c r="K172" s="169" t="str">
        <f t="shared" si="69"/>
        <v>使用后获得|Cffffc926随机类型技能附魔石|r</v>
      </c>
      <c r="L172" s="27"/>
      <c r="M172" s="170" t="str">
        <f>VLOOKUP(LEFT(RIGHT(B172,5),4),物品!B:CU,20,FALSE)</f>
        <v>ReplaceableTextures\\CommandButtons\\BTNAM24.blp</v>
      </c>
      <c r="N172" s="188" t="s">
        <v>83</v>
      </c>
      <c r="O172" s="10" t="s">
        <v>106</v>
      </c>
      <c r="P172" s="27">
        <v>0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/>
      <c r="W172" s="27" t="s">
        <v>93</v>
      </c>
      <c r="X172" s="27">
        <v>0</v>
      </c>
      <c r="Y172" s="188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1</v>
      </c>
      <c r="AL172" s="27">
        <v>1</v>
      </c>
      <c r="AM172" s="188" t="s">
        <v>83</v>
      </c>
      <c r="AN172" s="27">
        <v>1</v>
      </c>
      <c r="AO172" s="27">
        <v>1</v>
      </c>
      <c r="AP172" s="27">
        <v>1</v>
      </c>
    </row>
    <row r="173" spans="1:42">
      <c r="A173" s="167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9" t="str">
        <f t="shared" ref="J173:J174" si="70">H173</f>
        <v>|Cff00FF7F幸运星盒|r</v>
      </c>
      <c r="K173" s="169" t="str">
        <f t="shared" ref="K173:K174" si="71">I173</f>
        <v>开启后获得|Cff00bfff随机奖励|r。</v>
      </c>
      <c r="L173" s="27"/>
      <c r="M173" s="170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/>
      <c r="W173" s="27" t="s">
        <v>93</v>
      </c>
      <c r="X173" s="27">
        <v>0</v>
      </c>
      <c r="Y173" s="188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1</v>
      </c>
      <c r="AL173" s="27">
        <v>1</v>
      </c>
      <c r="AM173" s="188" t="s">
        <v>83</v>
      </c>
      <c r="AN173" s="27">
        <v>1</v>
      </c>
      <c r="AO173" s="27">
        <v>1</v>
      </c>
      <c r="AP173" s="27">
        <v>1</v>
      </c>
    </row>
    <row r="174" spans="1:42">
      <c r="A174" s="167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9" t="str">
        <f t="shared" si="70"/>
        <v>|CffFFD24D炽星魔盒|r</v>
      </c>
      <c r="K174" s="169" t="str">
        <f t="shared" si="71"/>
        <v>开启后获得|Cffffd24d随机奖励|r。</v>
      </c>
      <c r="L174" s="27"/>
      <c r="M174" s="170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7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9" t="str">
        <f t="shared" ref="J175" si="72">H175</f>
        <v>|CffFFD24D技能宝箱|r</v>
      </c>
      <c r="K175" s="169" t="str">
        <f t="shared" ref="K175" si="73">I175</f>
        <v>使用后获得|Cffffc926随机类型技能升阶石|r</v>
      </c>
      <c r="L175" s="27"/>
      <c r="M175" s="170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7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9" t="str">
        <f t="shared" ref="J176:J179" si="74">H176</f>
        <v>|Cff00BFFF血莲丹|r</v>
      </c>
      <c r="K176" s="169" t="str">
        <f t="shared" ref="K176:K179" si="75">I176</f>
        <v>攻击|Cffffc926+2500|r</v>
      </c>
      <c r="L176" s="27"/>
      <c r="M176" s="170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7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9" t="str">
        <f t="shared" si="74"/>
        <v>|CffFFC926天魂融血丹|r</v>
      </c>
      <c r="K177" s="169" t="str">
        <f t="shared" si="75"/>
        <v>攻击|Cffffc926+10000|r</v>
      </c>
      <c r="L177" s="27"/>
      <c r="M177" s="170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>
      <c r="A178" s="167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9" t="str">
        <f t="shared" si="74"/>
        <v>|Cff00FF7F聚灵丹|r</v>
      </c>
      <c r="K178" s="169" t="str">
        <f t="shared" si="75"/>
        <v>业力|Cffffc926+1000|r</v>
      </c>
      <c r="L178" s="27"/>
      <c r="M178" s="170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27" t="s">
        <v>93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8" t="s">
        <v>83</v>
      </c>
      <c r="AF178" s="188" t="s">
        <v>83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1</v>
      </c>
      <c r="AO178" s="27">
        <v>1</v>
      </c>
      <c r="AP178" s="27">
        <v>1</v>
      </c>
    </row>
    <row r="179" spans="1:42">
      <c r="A179" s="167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9" t="str">
        <f t="shared" si="74"/>
        <v>|Cff00BFFF地灵丹|r</v>
      </c>
      <c r="K179" s="169" t="str">
        <f t="shared" si="75"/>
        <v>业力|Cffffc926+2500|r</v>
      </c>
      <c r="L179" s="27"/>
      <c r="M179" s="170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7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9" t="str">
        <f t="shared" ref="J180:J181" si="76">H180</f>
        <v>|CffFFC926三纹清灵丹|r</v>
      </c>
      <c r="K180" s="169" t="str">
        <f t="shared" ref="K180:K181" si="77">I180</f>
        <v>业力|Cffffc926+10000|r</v>
      </c>
      <c r="L180" s="27"/>
      <c r="M180" s="170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7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9" t="str">
        <f t="shared" si="76"/>
        <v>|Cff00FF7F血气丹|r</v>
      </c>
      <c r="K181" s="169" t="str">
        <f t="shared" si="77"/>
        <v>生命|Cffffc926+20000|r</v>
      </c>
      <c r="L181" s="27"/>
      <c r="M181" s="170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7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9" t="str">
        <f t="shared" ref="J182" si="78">H182</f>
        <v>|Cff00BFFF洗髓丹|r</v>
      </c>
      <c r="K182" s="169" t="str">
        <f t="shared" ref="K182" si="79">I182</f>
        <v>生命|Cffffc926+50000|r</v>
      </c>
      <c r="L182" s="27"/>
      <c r="M182" s="170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7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9" t="str">
        <f t="shared" ref="J183" si="80">H183</f>
        <v>|CffFFC926七命玄门丹|r</v>
      </c>
      <c r="K183" s="169" t="str">
        <f t="shared" ref="K183" si="81">I183</f>
        <v>生命|Cffffc926+200000|r</v>
      </c>
      <c r="L183" s="27"/>
      <c r="M183" s="170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7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9" t="str">
        <f t="shared" ref="J184" si="82">H184</f>
        <v>|CffFF0000时渊入场券|r</v>
      </c>
      <c r="K184" s="169" t="str">
        <f t="shared" ref="K184" si="83">I184</f>
        <v>每次|Cffffd24d完成|r时渊副本将消耗|Cffffd24d1|r个|Cffffd24d时渊入场券|r</v>
      </c>
      <c r="L184" s="27"/>
      <c r="M184" s="170" t="str">
        <f>VLOOKUP(LEFT(RIGHT(B184,5),4),物品!B:CU,20,FALSE)</f>
        <v>ReplaceableTextures\\CommandButtons\\BTNIP01.blp</v>
      </c>
      <c r="N184" s="188" t="s">
        <v>83</v>
      </c>
      <c r="O184" s="170" t="s">
        <v>98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88</v>
      </c>
      <c r="X184" s="27">
        <v>0</v>
      </c>
      <c r="Y184" s="188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>
        <v>1</v>
      </c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7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9" t="str">
        <f t="shared" ref="J185:J208" si="84">H185</f>
        <v>|CffFFD24D补天石|r</v>
      </c>
      <c r="K185" s="169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70" t="str">
        <f>VLOOKUP(LEFT(RIGHT(B185,5),4),物品!B:CU,20,FALSE)</f>
        <v>ReplaceableTextures\\CommandButtons\\BTNIP02.blp</v>
      </c>
      <c r="N185" s="188" t="s">
        <v>83</v>
      </c>
      <c r="O185" s="170" t="s">
        <v>107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88</v>
      </c>
      <c r="X185" s="27">
        <v>0</v>
      </c>
      <c r="Y185" s="188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7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9" t="str">
        <f t="shared" si="84"/>
        <v>|CffFF0000鸿蒙结晶|r</v>
      </c>
      <c r="K186" s="169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70" t="str">
        <f>VLOOKUP(LEFT(RIGHT(B186,5),4),物品!B:CU,20,FALSE)</f>
        <v>ReplaceableTextures\\CommandButtons\\BTNIP03.blp</v>
      </c>
      <c r="N186" s="188" t="s">
        <v>83</v>
      </c>
      <c r="O186" s="170" t="s">
        <v>107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88</v>
      </c>
      <c r="X186" s="27">
        <v>0</v>
      </c>
      <c r="Y186" s="188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0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7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9" t="str">
        <f t="shared" ref="J187:J188" si="86">H187</f>
        <v>|CffFF0000神兽洗灵石|r</v>
      </c>
      <c r="K187" s="169" t="str">
        <f t="shared" ref="K187:K188" si="87">I187</f>
        <v>使用后|Cffffc926重置|r当前|Cffff0000觉醒神通【R】|r|Cfff0f0f0。|r</v>
      </c>
      <c r="L187" s="27"/>
      <c r="M187" s="170" t="str">
        <f>VLOOKUP(LEFT(RIGHT(B187,5),4),物品!B:CU,20,FALSE)</f>
        <v>ReplaceableTextures\\CommandButtons\\BTNIP04.blp</v>
      </c>
      <c r="N187" s="188" t="s">
        <v>83</v>
      </c>
      <c r="O187" s="170" t="s">
        <v>98</v>
      </c>
      <c r="P187" s="27">
        <v>1</v>
      </c>
      <c r="Q187" s="27">
        <v>1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7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9" t="str">
        <f t="shared" si="86"/>
        <v>|CffFF0000虚空圣战卡|r</v>
      </c>
      <c r="K188" s="169" t="str">
        <f t="shared" si="87"/>
        <v>开启|Cffffc926结界|r，前往虚空终止|Cffff0000封神圣战|r。</v>
      </c>
      <c r="L188" s="27"/>
      <c r="M188" s="170" t="str">
        <f>VLOOKUP(LEFT(RIGHT(B188,5),4),物品!B:CU,20,FALSE)</f>
        <v>ReplaceableTextures\\CommandButtons\\BTNIP05.blp</v>
      </c>
      <c r="N188" s="188" t="s">
        <v>83</v>
      </c>
      <c r="O188" s="170" t="s">
        <v>98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7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9" t="str">
        <f t="shared" ref="J189:J190" si="88">H189</f>
        <v>|Cff00FF7F大补丸|r</v>
      </c>
      <c r="K189" s="169" t="str">
        <f t="shared" ref="K189:K190" si="89">I189</f>
        <v>使用后增加|Cffffd24d100点|r境界经验。</v>
      </c>
      <c r="L189" s="27"/>
      <c r="M189" s="170" t="str">
        <f>VLOOKUP(LEFT(RIGHT(B189,5),4),物品!B:CU,20,FALSE)</f>
        <v>ReplaceableTextures\\CommandButtons\\BTNAM40.blp</v>
      </c>
      <c r="N189" s="188" t="s">
        <v>83</v>
      </c>
      <c r="O189" s="170" t="s">
        <v>98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7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9" t="str">
        <f t="shared" si="88"/>
        <v>|Cff00FF7F抽奖抵用券|r</v>
      </c>
      <c r="K190" s="169" t="str">
        <f t="shared" si="89"/>
        <v>可抵扣|Cffffd24d1|r次抽奖消耗</v>
      </c>
      <c r="L190" s="27"/>
      <c r="M190" s="170" t="str">
        <f>VLOOKUP(LEFT(RIGHT(B190,5),4),物品!B:CU,20,FALSE)</f>
        <v>ReplaceableTextures\\CommandButtons\\BTNIP07.blp</v>
      </c>
      <c r="N190" s="188" t="s">
        <v>83</v>
      </c>
      <c r="O190" s="170" t="s">
        <v>98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7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9" t="str">
        <f t="shared" ref="J191:J193" si="90">H191</f>
        <v>|Cff00FF7F超级大补丸|r</v>
      </c>
      <c r="K191" s="169" t="str">
        <f t="shared" ref="K191:K193" si="91">I191</f>
        <v>使用后增加|Cffffd24d300点|r境界经验。</v>
      </c>
      <c r="L191" s="27"/>
      <c r="M191" s="170" t="str">
        <f>VLOOKUP(LEFT(RIGHT(B191,5),4),物品!B:CU,20,FALSE)</f>
        <v>ReplaceableTextures\\CommandButtons\\BTNAM41.blp</v>
      </c>
      <c r="N191" s="188" t="s">
        <v>83</v>
      </c>
      <c r="O191" s="170" t="s">
        <v>98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7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9" t="str">
        <f t="shared" si="90"/>
        <v>|Cff00FF7F特级大补丸|r</v>
      </c>
      <c r="K192" s="169" t="str">
        <f t="shared" si="91"/>
        <v>使用后增加|Cffffd24d500点|r境界经验。</v>
      </c>
      <c r="L192" s="27"/>
      <c r="M192" s="170" t="str">
        <f>VLOOKUP(LEFT(RIGHT(B192,5),4),物品!B:CU,20,FALSE)</f>
        <v>ReplaceableTextures\\CommandButtons\\BTNAM42.blp</v>
      </c>
      <c r="N192" s="188" t="s">
        <v>83</v>
      </c>
      <c r="O192" s="170" t="s">
        <v>98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7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9" t="str">
        <f t="shared" si="90"/>
        <v>|CffFF0000神兽洗灵石|r</v>
      </c>
      <c r="K193" s="169" t="str">
        <f t="shared" si="91"/>
        <v>使用后|Cffffc926重置|r当前|Cffff0000觉醒神通【R】|r|Cfff0f0f0。|r</v>
      </c>
      <c r="L193" s="27"/>
      <c r="M193" s="170" t="str">
        <f>VLOOKUP(LEFT(RIGHT(B193,5),4),物品!B:CU,20,FALSE)</f>
        <v>ReplaceableTextures\\CommandButtons\\BTNIP04.blp</v>
      </c>
      <c r="N193" s="188" t="s">
        <v>83</v>
      </c>
      <c r="O193" s="170" t="s">
        <v>98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88</v>
      </c>
      <c r="X193" s="27">
        <v>80000</v>
      </c>
      <c r="Y193" s="188" t="s">
        <v>83</v>
      </c>
      <c r="Z193" s="27">
        <v>0</v>
      </c>
      <c r="AA193" s="27">
        <v>0</v>
      </c>
      <c r="AB193" s="169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>
        <v>1</v>
      </c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7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9" t="str">
        <f t="shared" si="84"/>
        <v>噬心劫</v>
      </c>
      <c r="K194" s="169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70" t="str">
        <f>VLOOKUP(LEFT(RIGHT(B194,5),4),物品!B:CU,20,FALSE)</f>
        <v>ReplaceableTextures\\CommandButtons\\BTNIT01.blp</v>
      </c>
      <c r="N194" s="188" t="s">
        <v>83</v>
      </c>
      <c r="O194" s="170" t="s">
        <v>98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88</v>
      </c>
      <c r="X194" s="27">
        <v>3000</v>
      </c>
      <c r="Y194" s="188" t="s">
        <v>83</v>
      </c>
      <c r="Z194" s="27">
        <v>0</v>
      </c>
      <c r="AA194" s="27">
        <v>0</v>
      </c>
      <c r="AB194" s="169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>
        <v>1</v>
      </c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7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9" t="str">
        <f t="shared" si="84"/>
        <v>三重轰雷劫</v>
      </c>
      <c r="K195" s="169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70" t="str">
        <f>VLOOKUP(LEFT(RIGHT(B195,5),4),物品!B:CU,20,FALSE)</f>
        <v>ReplaceableTextures\\CommandButtons\\BTNIT02.blp</v>
      </c>
      <c r="N195" s="188" t="s">
        <v>83</v>
      </c>
      <c r="O195" s="170" t="s">
        <v>98</v>
      </c>
      <c r="P195" s="27">
        <v>1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88</v>
      </c>
      <c r="X195" s="27">
        <v>3000</v>
      </c>
      <c r="Y195" s="188" t="s">
        <v>83</v>
      </c>
      <c r="Z195" s="27">
        <v>0</v>
      </c>
      <c r="AA195" s="27">
        <v>0</v>
      </c>
      <c r="AB195" s="169">
        <v>2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>
        <v>1</v>
      </c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7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9" t="str">
        <f t="shared" si="84"/>
        <v>|Cff00FF7F六重天雷劫|r</v>
      </c>
      <c r="K196" s="169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70" t="str">
        <f>VLOOKUP(LEFT(RIGHT(B196,5),4),物品!B:CU,20,FALSE)</f>
        <v>ReplaceableTextures\\CommandButtons\\BTNIT03.blp</v>
      </c>
      <c r="N196" s="188" t="s">
        <v>83</v>
      </c>
      <c r="O196" s="170" t="s">
        <v>98</v>
      </c>
      <c r="P196" s="27">
        <v>2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88</v>
      </c>
      <c r="X196" s="27">
        <v>5000</v>
      </c>
      <c r="Y196" s="188" t="s">
        <v>83</v>
      </c>
      <c r="Z196" s="27">
        <v>0</v>
      </c>
      <c r="AA196" s="27">
        <v>0</v>
      </c>
      <c r="AB196" s="169">
        <v>3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>
        <v>1</v>
      </c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7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9" t="str">
        <f t="shared" si="84"/>
        <v>|Cff00FF7F九重煅神劫|r</v>
      </c>
      <c r="K197" s="169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70" t="str">
        <f>VLOOKUP(LEFT(RIGHT(B197,5),4),物品!B:CU,20,FALSE)</f>
        <v>ReplaceableTextures\\CommandButtons\\BTNIT04.blp</v>
      </c>
      <c r="N197" s="188" t="s">
        <v>83</v>
      </c>
      <c r="O197" s="170" t="s">
        <v>98</v>
      </c>
      <c r="P197" s="27">
        <v>3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88</v>
      </c>
      <c r="X197" s="27">
        <v>7000</v>
      </c>
      <c r="Y197" s="188" t="s">
        <v>83</v>
      </c>
      <c r="Z197" s="27">
        <v>0</v>
      </c>
      <c r="AA197" s="27">
        <v>0</v>
      </c>
      <c r="AB197" s="169">
        <v>5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>
        <v>1</v>
      </c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7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9" t="str">
        <f t="shared" si="84"/>
        <v>|Cff00BFFF灭魄血煞劫|r</v>
      </c>
      <c r="K198" s="169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70" t="str">
        <f>VLOOKUP(LEFT(RIGHT(B198,5),4),物品!B:CU,20,FALSE)</f>
        <v>ReplaceableTextures\\CommandButtons\\BTNIT05.blp</v>
      </c>
      <c r="N198" s="188" t="s">
        <v>83</v>
      </c>
      <c r="O198" s="170" t="s">
        <v>98</v>
      </c>
      <c r="P198" s="27">
        <v>0</v>
      </c>
      <c r="Q198" s="27">
        <v>1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88</v>
      </c>
      <c r="X198" s="27">
        <v>10000</v>
      </c>
      <c r="Y198" s="188" t="s">
        <v>83</v>
      </c>
      <c r="Z198" s="27">
        <v>0</v>
      </c>
      <c r="AA198" s="27">
        <v>0</v>
      </c>
      <c r="AB198" s="169">
        <v>7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>
        <v>1</v>
      </c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7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9" t="str">
        <f t="shared" si="84"/>
        <v>|Cff00BFFF入微洞虚劫|r</v>
      </c>
      <c r="K199" s="169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70" t="str">
        <f>VLOOKUP(LEFT(RIGHT(B199,5),4),物品!B:CU,20,FALSE)</f>
        <v>ReplaceableTextures\\CommandButtons\\BTNIT06.blp</v>
      </c>
      <c r="N199" s="188" t="s">
        <v>83</v>
      </c>
      <c r="O199" s="170" t="s">
        <v>98</v>
      </c>
      <c r="P199" s="27">
        <v>1</v>
      </c>
      <c r="Q199" s="27">
        <v>1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88</v>
      </c>
      <c r="X199" s="27">
        <v>15000</v>
      </c>
      <c r="Y199" s="188" t="s">
        <v>83</v>
      </c>
      <c r="Z199" s="27">
        <v>0</v>
      </c>
      <c r="AA199" s="27">
        <v>0</v>
      </c>
      <c r="AB199" s="169">
        <v>10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>
        <v>1</v>
      </c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7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9" t="str">
        <f t="shared" si="84"/>
        <v>|CffFFD24D因果厄难劫|r</v>
      </c>
      <c r="K200" s="169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70" t="str">
        <f>VLOOKUP(LEFT(RIGHT(B200,5),4),物品!B:CU,20,FALSE)</f>
        <v>ReplaceableTextures\\CommandButtons\\BTNIT07.blp</v>
      </c>
      <c r="N200" s="188" t="s">
        <v>83</v>
      </c>
      <c r="O200" s="170" t="s">
        <v>98</v>
      </c>
      <c r="P200" s="27">
        <v>2</v>
      </c>
      <c r="Q200" s="27">
        <v>1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88</v>
      </c>
      <c r="X200" s="27">
        <v>20000</v>
      </c>
      <c r="Y200" s="188" t="s">
        <v>83</v>
      </c>
      <c r="Z200" s="27">
        <v>0</v>
      </c>
      <c r="AA200" s="27">
        <v>0</v>
      </c>
      <c r="AB200" s="169">
        <v>13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>
        <v>1</v>
      </c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7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9" t="str">
        <f t="shared" si="84"/>
        <v>|CffFFD24D迷魂幻世劫|r</v>
      </c>
      <c r="K201" s="169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70" t="str">
        <f>VLOOKUP(LEFT(RIGHT(B201,5),4),物品!B:CU,20,FALSE)</f>
        <v>ReplaceableTextures\\CommandButtons\\BTNIT08.blp</v>
      </c>
      <c r="N201" s="188" t="s">
        <v>83</v>
      </c>
      <c r="O201" s="170" t="s">
        <v>98</v>
      </c>
      <c r="P201" s="27">
        <v>3</v>
      </c>
      <c r="Q201" s="27">
        <v>1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88</v>
      </c>
      <c r="X201" s="27">
        <v>25000</v>
      </c>
      <c r="Y201" s="188" t="s">
        <v>83</v>
      </c>
      <c r="Z201" s="27">
        <v>0</v>
      </c>
      <c r="AA201" s="27">
        <v>0</v>
      </c>
      <c r="AB201" s="169">
        <v>16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>
        <v>1</v>
      </c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7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9" t="str">
        <f t="shared" si="84"/>
        <v>|CffFF0000天人五衰劫|r</v>
      </c>
      <c r="K202" s="169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70" t="str">
        <f>VLOOKUP(LEFT(RIGHT(B202,5),4),物品!B:CU,20,FALSE)</f>
        <v>ReplaceableTextures\\CommandButtons\\BTNIT09.blp</v>
      </c>
      <c r="N202" s="188" t="s">
        <v>83</v>
      </c>
      <c r="O202" s="170" t="s">
        <v>98</v>
      </c>
      <c r="P202" s="27">
        <v>0</v>
      </c>
      <c r="Q202" s="27">
        <v>2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88</v>
      </c>
      <c r="X202" s="27">
        <v>30000</v>
      </c>
      <c r="Y202" s="188" t="s">
        <v>83</v>
      </c>
      <c r="Z202" s="27">
        <v>0</v>
      </c>
      <c r="AA202" s="27">
        <v>0</v>
      </c>
      <c r="AB202" s="169">
        <v>20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>
        <v>1</v>
      </c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7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9" t="str">
        <f t="shared" si="84"/>
        <v>|CffFF0000混元灭世劫|r</v>
      </c>
      <c r="K203" s="169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70" t="str">
        <f>VLOOKUP(LEFT(RIGHT(B203,5),4),物品!B:CU,20,FALSE)</f>
        <v>ReplaceableTextures\\CommandButtons\\BTNIT10.blp</v>
      </c>
      <c r="N203" s="188" t="s">
        <v>83</v>
      </c>
      <c r="O203" s="170" t="s">
        <v>98</v>
      </c>
      <c r="P203" s="27">
        <v>1</v>
      </c>
      <c r="Q203" s="27">
        <v>2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88</v>
      </c>
      <c r="X203" s="27">
        <v>50000</v>
      </c>
      <c r="Y203" s="188" t="s">
        <v>83</v>
      </c>
      <c r="Z203" s="27">
        <v>0</v>
      </c>
      <c r="AA203" s="27">
        <v>0</v>
      </c>
      <c r="AB203" s="169">
        <v>25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>
        <v>1</v>
      </c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7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9" t="str">
        <f t="shared" si="84"/>
        <v>斩三尸</v>
      </c>
      <c r="K204" s="169" t="str">
        <f t="shared" si="85"/>
        <v>境界挑战11</v>
      </c>
      <c r="L204" s="27"/>
      <c r="M204" s="170" t="str">
        <f>VLOOKUP(LEFT(RIGHT(B204,5),4),物品!B:CU,20,FALSE)</f>
        <v>ReplaceableTextures\\CommandButtons\\BTNIT11.blp</v>
      </c>
      <c r="N204" s="188" t="s">
        <v>83</v>
      </c>
      <c r="O204" s="170" t="s">
        <v>98</v>
      </c>
      <c r="P204" s="27">
        <v>2</v>
      </c>
      <c r="Q204" s="27">
        <v>1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88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>
        <v>1</v>
      </c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7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9" t="str">
        <f t="shared" si="84"/>
        <v>无量量劫</v>
      </c>
      <c r="K205" s="169" t="str">
        <f t="shared" si="85"/>
        <v>境界挑战12</v>
      </c>
      <c r="L205" s="27"/>
      <c r="M205" s="170" t="str">
        <f>VLOOKUP(LEFT(RIGHT(B205,5),4),物品!B:CU,20,FALSE)</f>
        <v>ReplaceableTextures\\CommandButtons\\BTNIT12.blp</v>
      </c>
      <c r="N205" s="188" t="s">
        <v>83</v>
      </c>
      <c r="O205" s="170" t="s">
        <v>98</v>
      </c>
      <c r="P205" s="27">
        <v>3</v>
      </c>
      <c r="Q205" s="27">
        <v>1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88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>
        <v>1</v>
      </c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7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9" t="str">
        <f t="shared" si="84"/>
        <v>鸿钧对练</v>
      </c>
      <c r="K206" s="169" t="str">
        <f t="shared" si="85"/>
        <v>境界挑战13</v>
      </c>
      <c r="L206" s="27"/>
      <c r="M206" s="170" t="str">
        <f>VLOOKUP(LEFT(RIGHT(B206,5),4),物品!B:CU,20,FALSE)</f>
        <v>ReplaceableTextures\\CommandButtons\\BTNIT13.blp</v>
      </c>
      <c r="N206" s="188" t="s">
        <v>83</v>
      </c>
      <c r="O206" s="170" t="s">
        <v>98</v>
      </c>
      <c r="P206" s="27">
        <v>0</v>
      </c>
      <c r="Q206" s="27">
        <v>2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88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>
        <v>1</v>
      </c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7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9" t="str">
        <f t="shared" si="84"/>
        <v>境界挑战14</v>
      </c>
      <c r="K207" s="169" t="str">
        <f t="shared" si="85"/>
        <v>境界挑战14</v>
      </c>
      <c r="L207" s="27"/>
      <c r="M207" s="170" t="str">
        <f>VLOOKUP(LEFT(RIGHT(B207,5),4),物品!B:CU,20,FALSE)</f>
        <v>ReplaceableTextures\\CommandButtons\\BTNIT14.blp</v>
      </c>
      <c r="N207" s="188" t="s">
        <v>83</v>
      </c>
      <c r="O207" s="170" t="s">
        <v>98</v>
      </c>
      <c r="P207" s="27">
        <v>1</v>
      </c>
      <c r="Q207" s="27">
        <v>2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88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>
        <v>1</v>
      </c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7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9" t="str">
        <f t="shared" si="84"/>
        <v>暂停进攻</v>
      </c>
      <c r="K208" s="169" t="str">
        <f t="shared" si="85"/>
        <v>延缓敌军2分钟进攻时间。|n|n|Cff999999狗策划一直不想做这个功能，你们就省着点用吧~（逃|r</v>
      </c>
      <c r="L208" s="27"/>
      <c r="M208" s="172" t="s">
        <v>109</v>
      </c>
      <c r="N208" s="188" t="s">
        <v>83</v>
      </c>
      <c r="O208" s="170" t="s">
        <v>98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88</v>
      </c>
      <c r="X208" s="27">
        <v>10000</v>
      </c>
      <c r="Y208" s="188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>
        <v>1</v>
      </c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7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9" t="str">
        <f t="shared" ref="J209:J219" si="92">H209</f>
        <v>奇经八脉</v>
      </c>
      <c r="K209" s="169" t="str">
        <f t="shared" ref="K209:K219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70" t="str">
        <f>VLOOKUP(LEFT(RIGHT(B209,5),4),物品!B:CU,20,FALSE)</f>
        <v>ReplaceableTextures\\CommandButtons\\BTNIZ0B.blp</v>
      </c>
      <c r="N209" s="188" t="s">
        <v>83</v>
      </c>
      <c r="O209" s="170" t="s">
        <v>98</v>
      </c>
      <c r="P209" s="27">
        <v>2</v>
      </c>
      <c r="Q209" s="27">
        <v>2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7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9">
        <f t="shared" si="92"/>
        <v>0</v>
      </c>
      <c r="K210" s="169">
        <f t="shared" si="93"/>
        <v>0</v>
      </c>
      <c r="L210" s="27"/>
      <c r="M210" s="170" t="str">
        <f>VLOOKUP(LEFT(RIGHT(B210,5),4),物品!B:CU,20,FALSE)</f>
        <v>ReplaceableTextures\\CommandButtons\\BTNIZ0D.blp</v>
      </c>
      <c r="N210" s="188" t="s">
        <v>83</v>
      </c>
      <c r="O210" s="170" t="s">
        <v>98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>
        <v>1</v>
      </c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7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9">
        <f t="shared" si="92"/>
        <v>0</v>
      </c>
      <c r="K211" s="169">
        <f t="shared" si="93"/>
        <v>0</v>
      </c>
      <c r="L211" s="27"/>
      <c r="M211" s="170" t="str">
        <f>VLOOKUP(LEFT(RIGHT(B211,5),4),物品!B:CU,20,FALSE)</f>
        <v>ReplaceableTextures\\CommandButtons\\BTNIZ0E.blp</v>
      </c>
      <c r="N211" s="188" t="s">
        <v>83</v>
      </c>
      <c r="O211" s="170" t="s">
        <v>98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>
        <v>1</v>
      </c>
      <c r="AJ211" s="27"/>
      <c r="AK211" s="27">
        <v>1</v>
      </c>
      <c r="AL211" s="27">
        <v>1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7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9">
        <f t="shared" si="92"/>
        <v>0</v>
      </c>
      <c r="K212" s="169">
        <f t="shared" si="93"/>
        <v>0</v>
      </c>
      <c r="L212" s="27"/>
      <c r="M212" s="170" t="str">
        <f>VLOOKUP(LEFT(RIGHT(B212,5),4),物品!B:CU,20,FALSE)</f>
        <v>ReplaceableTextures\\CommandButtons\\BTNIZ0F.blp</v>
      </c>
      <c r="N212" s="188" t="s">
        <v>83</v>
      </c>
      <c r="O212" s="170" t="s">
        <v>98</v>
      </c>
      <c r="P212" s="27">
        <v>0</v>
      </c>
      <c r="Q212" s="27">
        <v>0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88</v>
      </c>
      <c r="X212" s="27">
        <v>0</v>
      </c>
      <c r="Y212" s="188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>
        <v>1</v>
      </c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7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9">
        <f t="shared" si="92"/>
        <v>0</v>
      </c>
      <c r="K213" s="169">
        <f t="shared" si="93"/>
        <v>0</v>
      </c>
      <c r="L213" s="27"/>
      <c r="M213" s="170" t="str">
        <f>VLOOKUP(LEFT(RIGHT(B213,5),4),物品!B:CU,20,FALSE)</f>
        <v>ReplaceableTextures\\CommandButtons\\BTNIZ0G.blp</v>
      </c>
      <c r="N213" s="188" t="s">
        <v>83</v>
      </c>
      <c r="O213" s="170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88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>
        <v>1</v>
      </c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7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9" t="str">
        <f t="shared" ref="J214" si="94">H214</f>
        <v>【活动】战争号角</v>
      </c>
      <c r="K214" s="169" t="str">
        <f t="shared" ref="K214" si="95">I214</f>
        <v>活动期间通关积分提高50%|n|n|cff00ff00活动时间：周六日14:00-21:00|n|n|r|cff808080积分什么的，肝就是了！|r</v>
      </c>
      <c r="L214" s="27"/>
      <c r="M214" s="170" t="str">
        <f>VLOOKUP(LEFT(RIGHT(B214,5),4),物品!B:CU,20,FALSE)</f>
        <v>ReplaceableTextures\\CommandButtons\\BTNHornOfFog.blp</v>
      </c>
      <c r="N214" s="188" t="s">
        <v>83</v>
      </c>
      <c r="O214" s="170" t="s">
        <v>98</v>
      </c>
      <c r="P214" s="27">
        <v>3</v>
      </c>
      <c r="Q214" s="27">
        <v>2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88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>
        <v>1</v>
      </c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7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9" t="str">
        <f t="shared" si="92"/>
        <v>|CffFF0000团队副本-万仙阵|r</v>
      </c>
      <c r="K215" s="169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70" t="str">
        <f>VLOOKUP(LEFT(RIGHT(B215,5),4),物品!B:CU,20,FALSE)</f>
        <v>ReplaceableTextures\\CommandButtons\\BTNIZ01.blp</v>
      </c>
      <c r="N215" s="188" t="s">
        <v>83</v>
      </c>
      <c r="O215" s="170" t="s">
        <v>98</v>
      </c>
      <c r="P215" s="27">
        <v>0</v>
      </c>
      <c r="Q215" s="27">
        <v>1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88</v>
      </c>
      <c r="X215" s="27">
        <v>30000</v>
      </c>
      <c r="Y215" s="188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>
        <v>1</v>
      </c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7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|CffFF0000团队副本-寻宝秘境|r</v>
      </c>
      <c r="I216" s="27" t="str">
        <f>VLOOKUP(B216,物品!B:CV,99,FALSE)</f>
        <v>暂未开放</v>
      </c>
      <c r="J216" s="169" t="str">
        <f t="shared" si="92"/>
        <v>|CffFF0000团队副本-寻宝秘境|r</v>
      </c>
      <c r="K216" s="169" t="str">
        <f t="shared" si="93"/>
        <v>暂未开放</v>
      </c>
      <c r="L216" s="27"/>
      <c r="M216" s="170" t="str">
        <f>VLOOKUP(LEFT(RIGHT(B216,5),4),物品!B:CU,20,FALSE)</f>
        <v>ReplaceableTextures\\CommandButtons\\BTNIZ02.blp</v>
      </c>
      <c r="N216" s="188" t="s">
        <v>83</v>
      </c>
      <c r="O216" s="170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0</v>
      </c>
      <c r="Y216" s="188" t="s">
        <v>83</v>
      </c>
      <c r="Z216" s="27">
        <v>0</v>
      </c>
      <c r="AA216" s="27">
        <v>1</v>
      </c>
      <c r="AB216" s="27"/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7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|CffFF0000团队副本-万魔窟|r</v>
      </c>
      <c r="I217" s="27" t="str">
        <f>VLOOKUP(B217,物品!B:CV,99,FALSE)</f>
        <v>暂未开放</v>
      </c>
      <c r="J217" s="169" t="str">
        <f t="shared" si="92"/>
        <v>|CffFF0000团队副本-万魔窟|r</v>
      </c>
      <c r="K217" s="169" t="str">
        <f t="shared" si="93"/>
        <v>暂未开放</v>
      </c>
      <c r="L217" s="27"/>
      <c r="M217" s="170" t="str">
        <f>VLOOKUP(LEFT(RIGHT(B217,5),4),物品!B:CU,20,FALSE)</f>
        <v>ReplaceableTextures\\CommandButtons\\BTNIZ03.blp</v>
      </c>
      <c r="N217" s="188" t="s">
        <v>83</v>
      </c>
      <c r="O217" s="170" t="s">
        <v>98</v>
      </c>
      <c r="P217" s="27">
        <v>1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0</v>
      </c>
      <c r="Y217" s="188" t="s">
        <v>83</v>
      </c>
      <c r="Z217" s="27">
        <v>0</v>
      </c>
      <c r="AA217" s="27">
        <v>1</v>
      </c>
      <c r="AB217" s="27"/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7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9" t="str">
        <f t="shared" si="92"/>
        <v>|CffFF0000进入大决战|r</v>
      </c>
      <c r="K218" s="169" t="str">
        <f t="shared" si="93"/>
        <v>提前进入大决战。慎点哦！</v>
      </c>
      <c r="L218" s="27"/>
      <c r="M218" s="170" t="str">
        <f>VLOOKUP(LEFT(RIGHT(B218,5),4),物品!B:CU,20,FALSE)</f>
        <v>ReplaceableTextures\\CommandButtons\\BTNReplay-SpeedUp.blp</v>
      </c>
      <c r="N218" s="188" t="s">
        <v>83</v>
      </c>
      <c r="O218" s="170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50000</v>
      </c>
      <c r="Y218" s="188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7"/>
      <c r="B219" s="27" t="str">
        <f>物品!B219</f>
        <v>IS01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|Cff00FF7F学习Q技能|r</v>
      </c>
      <c r="I219" s="27" t="str">
        <f>VLOOKUP(B219,物品!B:CV,99,FALSE)</f>
        <v>高概率获得D级技能，低概率获得|Cff00ff7fC级技能|r</v>
      </c>
      <c r="J219" s="169" t="str">
        <f t="shared" si="92"/>
        <v>|Cff00FF7F学习Q技能|r</v>
      </c>
      <c r="K219" s="169" t="str">
        <f t="shared" si="93"/>
        <v>高概率获得D级技能，低概率获得|Cff00ff7fC级技能|r</v>
      </c>
      <c r="L219" s="27"/>
      <c r="M219" s="170" t="str">
        <f>VLOOKUP(LEFT(RIGHT(B219,5),4),物品!B:CU,20,FALSE)</f>
        <v>ReplaceableTextures\\CommandButtons\\BTN023.blp</v>
      </c>
      <c r="N219" s="188" t="s">
        <v>83</v>
      </c>
      <c r="O219" s="170" t="s">
        <v>98</v>
      </c>
      <c r="P219" s="27">
        <v>0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0</v>
      </c>
      <c r="Y219" s="188" t="s">
        <v>83</v>
      </c>
      <c r="Z219" s="27">
        <v>0</v>
      </c>
      <c r="AA219" s="27">
        <v>0</v>
      </c>
      <c r="AB219" s="2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7"/>
      <c r="B220" s="27" t="str">
        <f>物品!B220</f>
        <v>IS02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|Cff00BFFF学习Q技能|r</v>
      </c>
      <c r="I220" s="27" t="str">
        <f>VLOOKUP(B220,物品!B:CV,99,FALSE)</f>
        <v>较高概率获得D级技能，高概率获得|Cff00ff7fC级技能|r，极低概率获得|Cff2693ffB级技能|r。</v>
      </c>
      <c r="J220" s="169" t="str">
        <f t="shared" ref="J220:J236" si="96">H220</f>
        <v>|Cff00BFFF学习Q技能|r</v>
      </c>
      <c r="K220" s="169" t="str">
        <f t="shared" ref="K220:K236" si="97">I220</f>
        <v>较高概率获得D级技能，高概率获得|Cff00ff7fC级技能|r，极低概率获得|Cff2693ffB级技能|r。</v>
      </c>
      <c r="L220" s="27"/>
      <c r="M220" s="170" t="str">
        <f>VLOOKUP(LEFT(RIGHT(B220,5),4),物品!B:CU,20,FALSE)</f>
        <v>ReplaceableTextures\\CommandButtons\\BTN020.blp</v>
      </c>
      <c r="N220" s="188" t="s">
        <v>83</v>
      </c>
      <c r="O220" s="170" t="s">
        <v>98</v>
      </c>
      <c r="P220" s="27">
        <v>1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0</v>
      </c>
      <c r="Y220" s="188" t="s">
        <v>83</v>
      </c>
      <c r="Z220" s="27">
        <v>720</v>
      </c>
      <c r="AA220" s="27">
        <v>0</v>
      </c>
      <c r="AB220" s="2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7"/>
      <c r="B221" s="27" t="str">
        <f>物品!B221</f>
        <v>IS03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|CffFFC926学习Q技能|r</v>
      </c>
      <c r="I221" s="27" t="str">
        <f>VLOOKUP(B221,物品!B:CV,99,FALSE)</f>
        <v>低概率获得C级技能，高概率获得|Cff00ff7fB级技能|r，低概率获得|Cff2693ffA级技能|r。</v>
      </c>
      <c r="J221" s="169" t="str">
        <f t="shared" si="96"/>
        <v>|CffFFC926学习Q技能|r</v>
      </c>
      <c r="K221" s="169" t="str">
        <f t="shared" si="97"/>
        <v>低概率获得C级技能，高概率获得|Cff00ff7fB级技能|r，低概率获得|Cff2693ffA级技能|r。</v>
      </c>
      <c r="L221" s="27"/>
      <c r="M221" s="170" t="str">
        <f>VLOOKUP(LEFT(RIGHT(B221,5),4),物品!B:CU,20,FALSE)</f>
        <v>ReplaceableTextures\\CommandButtons\\BTN001.blp</v>
      </c>
      <c r="N221" s="188" t="s">
        <v>83</v>
      </c>
      <c r="O221" s="170" t="s">
        <v>98</v>
      </c>
      <c r="P221" s="27">
        <v>2</v>
      </c>
      <c r="Q221" s="27">
        <v>0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0</v>
      </c>
      <c r="Y221" s="188" t="s">
        <v>83</v>
      </c>
      <c r="Z221" s="27">
        <v>1440</v>
      </c>
      <c r="AA221" s="27">
        <v>0</v>
      </c>
      <c r="AB221" s="27">
        <v>10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7"/>
      <c r="B222" s="27" t="str">
        <f>物品!B222</f>
        <v>IS06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|Cff00FF7F学习W技能|r</v>
      </c>
      <c r="I222" s="27" t="str">
        <f>VLOOKUP(B222,物品!B:CV,99,FALSE)</f>
        <v>高概率获得D级技能，低概率获得|Cff00ff7fC级技能|r</v>
      </c>
      <c r="J222" s="169" t="str">
        <f t="shared" si="96"/>
        <v>|Cff00FF7F学习W技能|r</v>
      </c>
      <c r="K222" s="169" t="str">
        <f t="shared" si="97"/>
        <v>高概率获得D级技能，低概率获得|Cff00ff7fC级技能|r</v>
      </c>
      <c r="L222" s="27"/>
      <c r="M222" s="170" t="str">
        <f>VLOOKUP(LEFT(RIGHT(B222,5),4),物品!B:CU,20,FALSE)</f>
        <v>ReplaceableTextures\\CommandButtons\\BTN024.blp</v>
      </c>
      <c r="N222" s="188" t="s">
        <v>83</v>
      </c>
      <c r="O222" s="170" t="s">
        <v>98</v>
      </c>
      <c r="P222" s="27">
        <v>0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0</v>
      </c>
      <c r="Y222" s="188" t="s">
        <v>83</v>
      </c>
      <c r="Z222" s="27">
        <v>0</v>
      </c>
      <c r="AA222" s="27">
        <v>0</v>
      </c>
      <c r="AB222" s="27">
        <v>3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7"/>
      <c r="B223" s="27" t="str">
        <f>物品!B223</f>
        <v>IS07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|Cff00BFFF学习W技能|r</v>
      </c>
      <c r="I223" s="27" t="str">
        <f>VLOOKUP(B223,物品!B:CV,99,FALSE)</f>
        <v>较高概率获得D级技能，高概率获得|Cff00ff7fC级技能|r，极低概率获得|Cff2693ffB级技能|r。</v>
      </c>
      <c r="J223" s="169" t="str">
        <f t="shared" ref="J223:J224" si="98">H223</f>
        <v>|Cff00BFFF学习W技能|r</v>
      </c>
      <c r="K223" s="169" t="str">
        <f t="shared" ref="K223:K224" si="99">I223</f>
        <v>较高概率获得D级技能，高概率获得|Cff00ff7fC级技能|r，极低概率获得|Cff2693ffB级技能|r。</v>
      </c>
      <c r="L223" s="27"/>
      <c r="M223" s="170" t="str">
        <f>VLOOKUP(LEFT(RIGHT(B223,5),4),物品!B:CU,20,FALSE)</f>
        <v>ReplaceableTextures\\CommandButtons\\BTN021.blp</v>
      </c>
      <c r="N223" s="188" t="s">
        <v>83</v>
      </c>
      <c r="O223" s="170" t="s">
        <v>98</v>
      </c>
      <c r="P223" s="27">
        <v>1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0</v>
      </c>
      <c r="Y223" s="188" t="s">
        <v>83</v>
      </c>
      <c r="Z223" s="27">
        <v>720</v>
      </c>
      <c r="AA223" s="27">
        <v>0</v>
      </c>
      <c r="AB223" s="27">
        <v>5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7"/>
      <c r="B224" s="27" t="str">
        <f>物品!B224</f>
        <v>IS08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|CffFFC926学习W技能|r</v>
      </c>
      <c r="I224" s="27" t="str">
        <f>VLOOKUP(B224,物品!B:CV,99,FALSE)</f>
        <v>低概率获得C级技能，高概率获得|Cff00ff7fB级技能|r，低概率获得|Cff2693ffA级技能|r。</v>
      </c>
      <c r="J224" s="169" t="str">
        <f t="shared" si="98"/>
        <v>|CffFFC926学习W技能|r</v>
      </c>
      <c r="K224" s="169" t="str">
        <f t="shared" si="99"/>
        <v>低概率获得C级技能，高概率获得|Cff00ff7fB级技能|r，低概率获得|Cff2693ffA级技能|r。</v>
      </c>
      <c r="L224" s="27"/>
      <c r="M224" s="170" t="str">
        <f>VLOOKUP(LEFT(RIGHT(B224,5),4),物品!B:CU,20,FALSE)</f>
        <v>ReplaceableTextures\\CommandButtons\\BTN002.blp</v>
      </c>
      <c r="N224" s="188" t="s">
        <v>83</v>
      </c>
      <c r="O224" s="170" t="s">
        <v>98</v>
      </c>
      <c r="P224" s="27">
        <v>2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0</v>
      </c>
      <c r="Y224" s="188" t="s">
        <v>83</v>
      </c>
      <c r="Z224" s="27">
        <v>1440</v>
      </c>
      <c r="AA224" s="27">
        <v>0</v>
      </c>
      <c r="AB224" s="27">
        <v>10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7"/>
      <c r="B225" s="27" t="str">
        <f>物品!B225</f>
        <v>IS21</v>
      </c>
      <c r="C225" s="27" t="s">
        <v>41</v>
      </c>
      <c r="D225" s="27" t="s">
        <v>81</v>
      </c>
      <c r="E225" s="27" t="s">
        <v>82</v>
      </c>
      <c r="F225" s="27"/>
      <c r="G225" s="27"/>
      <c r="H225" s="27" t="str">
        <f>VLOOKUP(LEFT(RIGHT(B225,5),4),物品!B:CU,2,FALSE)</f>
        <v>Q技能附魔石</v>
      </c>
      <c r="I225" s="27" t="str">
        <f>VLOOKUP(B225,物品!B:CV,99,FALSE)</f>
        <v>为|Cffffd24dQ技能|r附魔一条|Cffffd24d随机属性|r。</v>
      </c>
      <c r="J225" s="169" t="str">
        <f t="shared" si="96"/>
        <v>Q技能附魔石</v>
      </c>
      <c r="K225" s="169" t="str">
        <f t="shared" si="97"/>
        <v>为|Cffffd24dQ技能|r附魔一条|Cffffd24d随机属性|r。</v>
      </c>
      <c r="L225" s="27"/>
      <c r="M225" s="170" t="str">
        <f>VLOOKUP(LEFT(RIGHT(B225,5),4),物品!B:CU,20,FALSE)</f>
        <v>ReplaceableTextures\\CommandButtons\\BTNIN01.blp</v>
      </c>
      <c r="N225" s="188" t="s">
        <v>83</v>
      </c>
      <c r="O225" s="170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93</v>
      </c>
      <c r="X225" s="27">
        <v>0</v>
      </c>
      <c r="Y225" s="188" t="s">
        <v>83</v>
      </c>
      <c r="Z225" s="27">
        <v>0</v>
      </c>
      <c r="AA225" s="27">
        <v>0</v>
      </c>
      <c r="AB225" s="27">
        <v>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0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7"/>
      <c r="B226" s="27" t="str">
        <f>物品!B226</f>
        <v>IS22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W技能附魔石</v>
      </c>
      <c r="I226" s="27" t="str">
        <f>VLOOKUP(B226,物品!B:CV,99,FALSE)</f>
        <v>为|Cffffd24dW技能|r附魔一条|Cffffd24d随机属性|r。</v>
      </c>
      <c r="J226" s="169" t="str">
        <f t="shared" ref="J226:J228" si="100">H226</f>
        <v>W技能附魔石</v>
      </c>
      <c r="K226" s="169" t="str">
        <f t="shared" ref="K226:K228" si="101">I226</f>
        <v>为|Cffffd24dW技能|r附魔一条|Cffffd24d随机属性|r。</v>
      </c>
      <c r="L226" s="27"/>
      <c r="M226" s="170" t="str">
        <f>VLOOKUP(LEFT(RIGHT(B226,5),4),物品!B:CU,20,FALSE)</f>
        <v>ReplaceableTextures\\CommandButtons\\BTNIN02.blp</v>
      </c>
      <c r="N226" s="188" t="s">
        <v>83</v>
      </c>
      <c r="O226" s="170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93</v>
      </c>
      <c r="X226" s="27">
        <v>0</v>
      </c>
      <c r="Y226" s="188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0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7"/>
      <c r="B227" s="27" t="str">
        <f>物品!B227</f>
        <v>IS23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E技能附魔石</v>
      </c>
      <c r="I227" s="27" t="str">
        <f>VLOOKUP(B227,物品!B:CV,99,FALSE)</f>
        <v>为|Cffffd24dE技能|r附魔一条|Cffffd24d随机属性|r。</v>
      </c>
      <c r="J227" s="169" t="str">
        <f t="shared" si="100"/>
        <v>E技能附魔石</v>
      </c>
      <c r="K227" s="169" t="str">
        <f t="shared" si="101"/>
        <v>为|Cffffd24dE技能|r附魔一条|Cffffd24d随机属性|r。</v>
      </c>
      <c r="L227" s="27"/>
      <c r="M227" s="170" t="str">
        <f>VLOOKUP(LEFT(RIGHT(B227,5),4),物品!B:CU,20,FALSE)</f>
        <v>ReplaceableTextures\\CommandButtons\\BTNIN03.blp</v>
      </c>
      <c r="N227" s="188" t="s">
        <v>83</v>
      </c>
      <c r="O227" s="170" t="s">
        <v>98</v>
      </c>
      <c r="P227" s="27">
        <v>2</v>
      </c>
      <c r="Q227" s="27">
        <v>2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93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0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7"/>
      <c r="B228" s="27" t="str">
        <f>物品!B228</f>
        <v>IS24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|CffFFD24DQ强力附魔石|r</v>
      </c>
      <c r="I228" s="27" t="str">
        <f>VLOOKUP(B228,物品!B:CV,99,FALSE)</f>
        <v>为|Cffffd24dQ技能|r附魔一条|Cffffd24d随机属性|r。</v>
      </c>
      <c r="J228" s="169" t="str">
        <f t="shared" si="100"/>
        <v>|CffFFD24DQ强力附魔石|r</v>
      </c>
      <c r="K228" s="169" t="str">
        <f t="shared" si="101"/>
        <v>为|Cffffd24dQ技能|r附魔一条|Cffffd24d随机属性|r。</v>
      </c>
      <c r="L228" s="27"/>
      <c r="M228" s="170" t="str">
        <f>VLOOKUP(LEFT(RIGHT(B228,5),4),物品!B:CU,20,FALSE)</f>
        <v>ReplaceableTextures\\CommandButtons\\BTN009.blp</v>
      </c>
      <c r="N228" s="188" t="s">
        <v>83</v>
      </c>
      <c r="O228" s="170" t="s">
        <v>98</v>
      </c>
      <c r="P228" s="27">
        <v>0</v>
      </c>
      <c r="Q228" s="27">
        <v>2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93</v>
      </c>
      <c r="X228" s="27">
        <v>0</v>
      </c>
      <c r="Y228" s="188" t="s">
        <v>83</v>
      </c>
      <c r="Z228" s="27">
        <v>0</v>
      </c>
      <c r="AA228" s="27">
        <v>0</v>
      </c>
      <c r="AB228" s="27">
        <v>30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0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7"/>
      <c r="B229" s="27" t="str">
        <f>物品!B229</f>
        <v>IS25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|CffFFD24DW强力附魔石|r</v>
      </c>
      <c r="I229" s="27" t="str">
        <f>VLOOKUP(B229,物品!B:CV,99,FALSE)</f>
        <v>为|Cffffd24dW技能|r附魔一条|Cffffd24d随机属性|r。</v>
      </c>
      <c r="J229" s="169" t="str">
        <f t="shared" ref="J229:J230" si="102">H229</f>
        <v>|CffFFD24DW强力附魔石|r</v>
      </c>
      <c r="K229" s="169" t="str">
        <f t="shared" ref="K229:K230" si="103">I229</f>
        <v>为|Cffffd24dW技能|r附魔一条|Cffffd24d随机属性|r。</v>
      </c>
      <c r="L229" s="27"/>
      <c r="M229" s="170" t="str">
        <f>VLOOKUP(LEFT(RIGHT(B229,5),4),物品!B:CU,20,FALSE)</f>
        <v>ReplaceableTextures\\CommandButtons\\BTN010.blp</v>
      </c>
      <c r="N229" s="188" t="s">
        <v>83</v>
      </c>
      <c r="O229" s="170" t="s">
        <v>98</v>
      </c>
      <c r="P229" s="27">
        <v>1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93</v>
      </c>
      <c r="X229" s="27">
        <v>0</v>
      </c>
      <c r="Y229" s="188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0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7"/>
      <c r="B230" s="27" t="str">
        <f>物品!B230</f>
        <v>IS26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|CffFFD24DE强力附魔石|r</v>
      </c>
      <c r="I230" s="27" t="str">
        <f>VLOOKUP(B230,物品!B:CV,99,FALSE)</f>
        <v>为|Cffffd24dE技能|r附魔一条|Cffffd24d随机属性|r。</v>
      </c>
      <c r="J230" s="169" t="str">
        <f t="shared" si="102"/>
        <v>|CffFFD24DE强力附魔石|r</v>
      </c>
      <c r="K230" s="169" t="str">
        <f t="shared" si="103"/>
        <v>为|Cffffd24dE技能|r附魔一条|Cffffd24d随机属性|r。</v>
      </c>
      <c r="L230" s="27"/>
      <c r="M230" s="170" t="str">
        <f>VLOOKUP(LEFT(RIGHT(B230,5),4),物品!B:CU,20,FALSE)</f>
        <v>ReplaceableTextures\\CommandButtons\\BTN011.blp</v>
      </c>
      <c r="N230" s="188" t="s">
        <v>83</v>
      </c>
      <c r="O230" s="170" t="s">
        <v>98</v>
      </c>
      <c r="P230" s="27">
        <v>2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93</v>
      </c>
      <c r="X230" s="27">
        <v>0</v>
      </c>
      <c r="Y230" s="188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0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7"/>
      <c r="B231" s="27" t="str">
        <f>物品!B231</f>
        <v>IS11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|CffFF0000占星|r</v>
      </c>
      <c r="I231" s="27" t="str">
        <f>VLOOKUP(B231,物品!B:CV,99,FALSE)</f>
        <v>|CffFF0000占星|r</v>
      </c>
      <c r="J231" s="169" t="str">
        <f t="shared" ref="J231" si="104">H231</f>
        <v>|CffFF0000占星|r</v>
      </c>
      <c r="K231" s="169" t="str">
        <f t="shared" ref="K231" si="105">I231</f>
        <v>|CffFF0000占星|r</v>
      </c>
      <c r="L231" s="27"/>
      <c r="M231" s="170" t="str">
        <f>VLOOKUP(LEFT(RIGHT(B231,5),4),物品!B:CU,20,FALSE)</f>
        <v>ReplaceableTextures\\CommandButtons\\BTNIS11.blp</v>
      </c>
      <c r="N231" s="188" t="s">
        <v>83</v>
      </c>
      <c r="O231" s="170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0</v>
      </c>
      <c r="Y231" s="188" t="s">
        <v>83</v>
      </c>
      <c r="Z231" s="27">
        <v>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7"/>
      <c r="B232" s="27" t="str">
        <f>物品!B232</f>
        <v>IS12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|CffFFD24D兽魂抽奖|r</v>
      </c>
      <c r="I232" s="27" t="str">
        <f>VLOOKUP(B232,物品!B:CV,99,FALSE)</f>
        <v>|CffFFD24D兽魂抽奖|r</v>
      </c>
      <c r="J232" s="169" t="str">
        <f t="shared" si="96"/>
        <v>|CffFFD24D兽魂抽奖|r</v>
      </c>
      <c r="K232" s="169" t="str">
        <f t="shared" si="97"/>
        <v>|CffFFD24D兽魂抽奖|r</v>
      </c>
      <c r="L232" s="27"/>
      <c r="M232" s="170" t="str">
        <f>VLOOKUP(LEFT(RIGHT(B232,5),4),物品!B:CU,20,FALSE)</f>
        <v>ReplaceableTextures\\CommandButtons\\BTNIH00.blp</v>
      </c>
      <c r="N232" s="188" t="s">
        <v>83</v>
      </c>
      <c r="O232" s="170" t="s">
        <v>98</v>
      </c>
      <c r="P232" s="27">
        <v>0</v>
      </c>
      <c r="Q232" s="27">
        <v>0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3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7"/>
      <c r="B233" s="27" t="str">
        <f>物品!B233</f>
        <v>IZ0C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9" t="str">
        <f t="shared" si="96"/>
        <v>|CffFFD24D兽魂抽奖|r</v>
      </c>
      <c r="K233" s="169" t="str">
        <f t="shared" si="97"/>
        <v>|CffFFD24D兽魂抽奖|r</v>
      </c>
      <c r="L233" s="27"/>
      <c r="M233" s="170" t="str">
        <f>VLOOKUP(LEFT(RIGHT(B233,5),4),物品!B:CU,20,FALSE)</f>
        <v>ReplaceableTextures\\CommandButtons\\BTNIH00.blp</v>
      </c>
      <c r="N233" s="188" t="s">
        <v>83</v>
      </c>
      <c r="O233" s="170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9999999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7"/>
      <c r="B234" s="27" t="str">
        <f>物品!B234</f>
        <v>IZ10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|CffFFD24D占星卜卦|r</v>
      </c>
      <c r="I234" s="27" t="str">
        <f>VLOOKUP(B234,物品!B:CV,99,FALSE)</f>
        <v>|CffF0F0F0有几率获得|r|Cffffd24d好东西|r|Cfff0f0f0，也有可能|r|Cffcccccc打水漂|r|Cfff0f0f0。|n|n|r|Cff00ff7f观今夜星象，抽就完事了...|r</v>
      </c>
      <c r="J234" s="169" t="str">
        <f t="shared" si="96"/>
        <v>|CffFFD24D占星卜卦|r</v>
      </c>
      <c r="K234" s="169" t="str">
        <f t="shared" si="97"/>
        <v>|CffF0F0F0有几率获得|r|Cffffd24d好东西|r|Cfff0f0f0，也有可能|r|Cffcccccc打水漂|r|Cfff0f0f0。|n|n|r|Cff00ff7f观今夜星象，抽就完事了...|r</v>
      </c>
      <c r="L234" s="27"/>
      <c r="M234" s="170" t="str">
        <f>VLOOKUP(LEFT(RIGHT(B234,5),4),物品!B:CU,20,FALSE)</f>
        <v>ReplaceableTextures\\CommandButtons\\BTNIH00.blp</v>
      </c>
      <c r="N234" s="188" t="s">
        <v>83</v>
      </c>
      <c r="O234" s="170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3888</v>
      </c>
      <c r="Y234" s="188" t="s">
        <v>83</v>
      </c>
      <c r="Z234" s="27">
        <v>0</v>
      </c>
      <c r="AA234" s="27">
        <v>1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7"/>
      <c r="B235" s="27" t="str">
        <f>物品!B235</f>
        <v>IZ11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 - [|cffffcc0010连|r]</v>
      </c>
      <c r="I235" s="27" t="str">
        <f>VLOOKUP(B235,物品!B:CV,99,FALSE)</f>
        <v>|CffF0F0F0有几率获得|r|Cffffd24d很多好东西|r|Cfff0f0f0，也有可能|r|Cffcccccc打很多水漂|r|Cfff0f0f0。|n|n|r|Cff00ff7f观今夜星象，使劲抽就完事了...|r</v>
      </c>
      <c r="J235" s="169" t="str">
        <f t="shared" si="96"/>
        <v>|CffFFD24D占星卜卦|r - [|cffffcc0010连|r]</v>
      </c>
      <c r="K235" s="169" t="str">
        <f t="shared" si="97"/>
        <v>|CffF0F0F0有几率获得|r|Cffffd24d很多好东西|r|Cfff0f0f0，也有可能|r|Cffcccccc打很多水漂|r|Cfff0f0f0。|n|n|r|Cff00ff7f观今夜星象，使劲抽就完事了...|r</v>
      </c>
      <c r="L235" s="27"/>
      <c r="M235" s="170" t="str">
        <f>VLOOKUP(LEFT(RIGHT(B235,5),4),物品!B:CU,20,FALSE)</f>
        <v>ReplaceableTextures\\CommandButtons\\BTNIH00.blp</v>
      </c>
      <c r="N235" s="188" t="s">
        <v>83</v>
      </c>
      <c r="O235" s="170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39999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7"/>
      <c r="B236" s="27" t="str">
        <f>物品!B236</f>
        <v>IS13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|cffffd24d强化饰品等级|n|r</v>
      </c>
      <c r="I236" s="27" t="str">
        <f>VLOOKUP(B236,物品!B:CV,99,FALSE)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6" s="169" t="str">
        <f t="shared" si="96"/>
        <v>|cffffd24d强化饰品等级|n|r</v>
      </c>
      <c r="K236" s="169" t="str">
        <f t="shared" si="97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6" s="27"/>
      <c r="M236" s="170" t="str">
        <f>VLOOKUP(LEFT(RIGHT(B236,5),4),物品!B:CU,20,FALSE)</f>
        <v>ReplaceableTextures\\CommandButtons\\BTNZ10.blp</v>
      </c>
      <c r="N236" s="188" t="s">
        <v>83</v>
      </c>
      <c r="O236" s="170" t="s">
        <v>98</v>
      </c>
      <c r="P236" s="27">
        <v>0</v>
      </c>
      <c r="Q236" s="27">
        <v>1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7"/>
      <c r="B237" s="27" t="str">
        <f>物品!B237</f>
        <v>IS14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|CffFFD24D强化药品等级|r</v>
      </c>
      <c r="I237" s="27" t="str">
        <f>VLOOKUP(B237,物品!B:CV,99,FALSE)</f>
        <v>|cffffcc00升级消耗：|r150+等级*150杀敌数|n|n|cff00ff7f最高升至10级|r</v>
      </c>
      <c r="J237" s="169" t="str">
        <f t="shared" ref="J237:J238" si="106">H237</f>
        <v>|CffFFD24D强化药品等级|r</v>
      </c>
      <c r="K237" s="169" t="str">
        <f t="shared" ref="K237:K238" si="107">I237</f>
        <v>|cffffcc00升级消耗：|r150+等级*150杀敌数|n|n|cff00ff7f最高升至10级|r</v>
      </c>
      <c r="L237" s="27"/>
      <c r="M237" s="170" t="str">
        <f>VLOOKUP(LEFT(RIGHT(B237,5),4),物品!B:CU,20,FALSE)</f>
        <v>ReplaceableTextures\\CommandButtons\\BTNAG06.blp</v>
      </c>
      <c r="N237" s="188" t="s">
        <v>83</v>
      </c>
      <c r="O237" s="170" t="s">
        <v>98</v>
      </c>
      <c r="P237" s="27">
        <v>0</v>
      </c>
      <c r="Q237" s="27">
        <v>1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7"/>
      <c r="B238" s="27" t="str">
        <f>物品!B238</f>
        <v>IB00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星耀福利</v>
      </c>
      <c r="I238" s="27" t="str">
        <f>VLOOKUP(B238,物品!B:CV,99,FALSE)</f>
        <v>|cffffcc33平台名称带有“星耀”开局自动激活！|n|n|r奖励：|n|cffffcc00每秒金币+1|n每秒攻击+1|n每秒生命+5|r</v>
      </c>
      <c r="J238" s="169" t="str">
        <f t="shared" si="106"/>
        <v>星耀福利</v>
      </c>
      <c r="K238" s="169" t="str">
        <f t="shared" si="107"/>
        <v>|cffffcc33平台名称带有“星耀”开局自动激活！|n|n|r奖励：|n|cffffcc00每秒金币+1|n每秒攻击+1|n每秒生命+5|r</v>
      </c>
      <c r="L238" s="27"/>
      <c r="M238" s="170" t="str">
        <f>VLOOKUP(LEFT(RIGHT(B238,5),4),物品!B:CU,20,FALSE)</f>
        <v>ReplaceableTextures\\CommandButtons\\BTNIB00.blp</v>
      </c>
      <c r="N238" s="188" t="s">
        <v>83</v>
      </c>
      <c r="O238" s="170" t="s">
        <v>98</v>
      </c>
      <c r="P238" s="27">
        <v>0</v>
      </c>
      <c r="Q238" s="27">
        <v>0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0</v>
      </c>
      <c r="Y238" s="188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7"/>
      <c r="B239" s="27" t="str">
        <f>物品!B239</f>
        <v>IB01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公众号礼包</v>
      </c>
      <c r="I239" s="27" t="str">
        <f>VLOOKUP(B239,物品!B:CV,99,FALSE)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9" s="169" t="str">
        <f t="shared" ref="J239:K243" si="108">H239</f>
        <v>公众号礼包</v>
      </c>
      <c r="K239" s="169" t="str">
        <f t="shared" si="108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9" s="27"/>
      <c r="M239" s="170" t="str">
        <f>VLOOKUP(LEFT(RIGHT(B239,5),4),物品!B:CU,20,FALSE)</f>
        <v>ReplaceableTextures\\CommandButtons\\BTNIB01.blp</v>
      </c>
      <c r="N239" s="188" t="s">
        <v>83</v>
      </c>
      <c r="O239" s="170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7"/>
      <c r="B240" s="27" t="str">
        <f>物品!B240</f>
        <v>IB02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入群礼包</v>
      </c>
      <c r="I240" s="27" t="str">
        <f>VLOOKUP(B240,物品!B:CV,99,FALSE)</f>
        <v>加入《|cff00ffcc全民封神|r》官方QQ群，即可获得入群礼包码！|n|n输入礼包码即可获得：|n金币+1000，每秒攻击+2，每秒业力+2</v>
      </c>
      <c r="J240" s="169" t="str">
        <f t="shared" si="108"/>
        <v>入群礼包</v>
      </c>
      <c r="K240" s="169" t="str">
        <f t="shared" si="108"/>
        <v>加入《|cff00ffcc全民封神|r》官方QQ群，即可获得入群礼包码！|n|n输入礼包码即可获得：|n金币+1000，每秒攻击+2，每秒业力+2</v>
      </c>
      <c r="L240" s="27"/>
      <c r="M240" s="170" t="str">
        <f>VLOOKUP(LEFT(RIGHT(B240,5),4),物品!B:CU,20,FALSE)</f>
        <v>ReplaceableTextures\\CommandButtons\\BTNIB02.blp</v>
      </c>
      <c r="N240" s="188" t="s">
        <v>83</v>
      </c>
      <c r="O240" s="170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7"/>
      <c r="B241" s="27" t="str">
        <f>物品!B241</f>
        <v>IB03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拜年礼包</v>
      </c>
      <c r="I241" s="27" t="str">
        <f>VLOOKUP(B241,物品!B:CV,99,FALSE)</f>
        <v>|cff99ccff给与地图有效评论建议|r即可领取：|n每秒生命+100，每秒业力+2|n|n|r|cff808080地图等级达到3级可领取|r</v>
      </c>
      <c r="J241" s="169" t="str">
        <f t="shared" si="108"/>
        <v>拜年礼包</v>
      </c>
      <c r="K241" s="169" t="str">
        <f t="shared" si="108"/>
        <v>|cff99ccff给与地图有效评论建议|r即可领取：|n每秒生命+100，每秒业力+2|n|n|r|cff808080地图等级达到3级可领取|r</v>
      </c>
      <c r="L241" s="27"/>
      <c r="M241" s="170" t="str">
        <f>VLOOKUP(LEFT(RIGHT(B241,5),4),物品!B:CU,20,FALSE)</f>
        <v>ReplaceableTextures\\CommandButtons\\BTNIB03.blp</v>
      </c>
      <c r="N241" s="188" t="s">
        <v>83</v>
      </c>
      <c r="O241" s="170" t="s">
        <v>98</v>
      </c>
      <c r="P241" s="27">
        <v>2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0</v>
      </c>
      <c r="Y241" s="188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7"/>
      <c r="B242" s="27" t="str">
        <f>物品!B242</f>
        <v>IB04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收藏礼包</v>
      </c>
      <c r="I242" s="27" t="str">
        <f>VLOOKUP(B242,物品!B:CV,99,FALSE)</f>
        <v>|cff99ccff房间大厅界面点击右上角《|r|cffcc99ff收藏|r|cff99ccff》后可领取该礼包。|n|n|r属性：|n|cffffcc33攻击伤害+5%|n技能伤害+5%|r</v>
      </c>
      <c r="J242" s="169" t="str">
        <f t="shared" si="108"/>
        <v>收藏礼包</v>
      </c>
      <c r="K242" s="169" t="str">
        <f t="shared" si="108"/>
        <v>|cff99ccff房间大厅界面点击右上角《|r|cffcc99ff收藏|r|cff99ccff》后可领取该礼包。|n|n|r属性：|n|cffffcc33攻击伤害+5%|n技能伤害+5%|r</v>
      </c>
      <c r="L242" s="27"/>
      <c r="M242" s="170" t="str">
        <f>VLOOKUP(LEFT(RIGHT(B242,5),4),物品!B:CU,20,FALSE)</f>
        <v>ReplaceableTextures\\CommandButtons\\BTNIB04.blp</v>
      </c>
      <c r="N242" s="188" t="s">
        <v>83</v>
      </c>
      <c r="O242" s="170" t="s">
        <v>98</v>
      </c>
      <c r="P242" s="27">
        <v>3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7"/>
      <c r="B243" s="27" t="str">
        <f>物品!B243</f>
        <v>IB05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重置版礼包</v>
      </c>
      <c r="I243" s="27" t="str">
        <f>VLOOKUP(B243,物品!B:CV,99,FALSE)</f>
        <v>|cff33ff00购买魔兽重制版可领取该礼包！|n|n|r奖励：|n招魂幡Lv3</v>
      </c>
      <c r="J243" s="169" t="str">
        <f t="shared" si="108"/>
        <v>重置版礼包</v>
      </c>
      <c r="K243" s="169" t="str">
        <f t="shared" si="108"/>
        <v>|cff33ff00购买魔兽重制版可领取该礼包！|n|n|r奖励：|n招魂幡Lv3</v>
      </c>
      <c r="L243" s="27"/>
      <c r="M243" s="170" t="str">
        <f>VLOOKUP(LEFT(RIGHT(B243,5),4),物品!B:CU,20,FALSE)</f>
        <v>ReplaceableTextures\\CommandButtons\\BTNIB05.blp</v>
      </c>
      <c r="N243" s="188" t="s">
        <v>83</v>
      </c>
      <c r="O243" s="170" t="s">
        <v>98</v>
      </c>
      <c r="P243" s="27">
        <v>0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0</v>
      </c>
      <c r="Y243" s="188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7"/>
      <c r="B244" s="27" t="str">
        <f>物品!B244</f>
        <v>IB06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公会福利</v>
      </c>
      <c r="I244" s="27" t="str">
        <f>VLOOKUP(B244,物品!B:CV,99,FALSE)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4" s="169" t="str">
        <f t="shared" ref="J244:J249" si="109">H244</f>
        <v>公会福利</v>
      </c>
      <c r="K244" s="169" t="str">
        <f t="shared" ref="K244:K249" si="110">I244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4" s="27"/>
      <c r="M244" s="170" t="str">
        <f>VLOOKUP(LEFT(RIGHT(B244,5),4),物品!B:CU,20,FALSE)</f>
        <v>ReplaceableTextures\\CommandButtons\\BTNIB06.blp</v>
      </c>
      <c r="N244" s="188" t="s">
        <v>83</v>
      </c>
      <c r="O244" s="170" t="s">
        <v>98</v>
      </c>
      <c r="P244" s="27">
        <v>1</v>
      </c>
      <c r="Q244" s="27">
        <v>1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7"/>
      <c r="B245" s="27" t="str">
        <f>物品!B245</f>
        <v>IB07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星耀礼包</v>
      </c>
      <c r="I245" s="27" t="str">
        <f>VLOOKUP(B245,物品!B:CV,99,FALSE)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5" s="169" t="str">
        <f t="shared" si="109"/>
        <v>星耀礼包</v>
      </c>
      <c r="K245" s="169" t="str">
        <f t="shared" si="110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5" s="27"/>
      <c r="M245" s="170" t="str">
        <f>VLOOKUP(LEFT(RIGHT(B245,5),4),物品!B:CU,20,FALSE)</f>
        <v>ReplaceableTextures\\CommandButtons\\BTNIB07.blp</v>
      </c>
      <c r="N245" s="188" t="s">
        <v>83</v>
      </c>
      <c r="O245" s="170" t="s">
        <v>98</v>
      </c>
      <c r="P245" s="27">
        <v>2</v>
      </c>
      <c r="Q245" s="27">
        <v>1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7"/>
      <c r="B246" s="27" t="str">
        <f>物品!B246</f>
        <v>IB08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魔芝RPG礼包</v>
      </c>
      <c r="I246" s="27" t="str">
        <f>VLOOKUP(B246,物品!B:CV,99,FALSE)</f>
        <v>|cff99ccff游戏中输入《|r|cff33ff00魔芝RPG|r|cff99ccff》领取本礼包！|r|n|n|r奖励：|n|cffffcc00练功房怪物数量+1|r</v>
      </c>
      <c r="J246" s="169" t="str">
        <f t="shared" si="109"/>
        <v>魔芝RPG礼包</v>
      </c>
      <c r="K246" s="169" t="str">
        <f t="shared" si="110"/>
        <v>|cff99ccff游戏中输入《|r|cff33ff00魔芝RPG|r|cff99ccff》领取本礼包！|r|n|n|r奖励：|n|cffffcc00练功房怪物数量+1|r</v>
      </c>
      <c r="L246" s="27"/>
      <c r="M246" s="170" t="str">
        <f>VLOOKUP(LEFT(RIGHT(B246,5),4),物品!B:CU,20,FALSE)</f>
        <v>ReplaceableTextures\\CommandButtons\\BTNIB08.blp</v>
      </c>
      <c r="N246" s="188" t="s">
        <v>83</v>
      </c>
      <c r="O246" s="170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7"/>
      <c r="B247" s="27" t="str">
        <f>物品!B247</f>
        <v>IB09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老铁礼包</v>
      </c>
      <c r="I247" s="27">
        <f>VLOOKUP(B247,物品!B:CV,99,FALSE)</f>
        <v>0</v>
      </c>
      <c r="J247" s="169" t="str">
        <f t="shared" si="109"/>
        <v>老铁礼包</v>
      </c>
      <c r="K247" s="169">
        <f t="shared" si="110"/>
        <v>0</v>
      </c>
      <c r="L247" s="27"/>
      <c r="M247" s="170" t="str">
        <f>VLOOKUP(LEFT(RIGHT(B247,5),4),物品!B:CU,20,FALSE)</f>
        <v>ReplaceableTextures\\CommandButtons\\BTNIB09.blp</v>
      </c>
      <c r="N247" s="188" t="s">
        <v>83</v>
      </c>
      <c r="O247" s="170" t="s">
        <v>98</v>
      </c>
      <c r="P247" s="27">
        <v>0</v>
      </c>
      <c r="Q247" s="27">
        <v>0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7"/>
      <c r="B248" s="27" t="str">
        <f>物品!B248</f>
        <v>IB50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已领取星耀福利</v>
      </c>
      <c r="I248" s="27" t="str">
        <f>VLOOKUP(B248,物品!B:CV,99,FALSE)</f>
        <v>|cffffcc33平台名称带有“星耀”开局自动激活！|n|n|r奖励：|n|cffffcc00每秒金币+1|n每秒攻击+1|n每秒生命+5|r|N|N|cff00ff00已领取该礼包</v>
      </c>
      <c r="J248" s="169" t="str">
        <f t="shared" ref="J248" si="111">H248</f>
        <v>已领取星耀福利</v>
      </c>
      <c r="K248" s="169" t="str">
        <f t="shared" ref="K248" si="112">I248</f>
        <v>|cffffcc33平台名称带有“星耀”开局自动激活！|n|n|r奖励：|n|cffffcc00每秒金币+1|n每秒攻击+1|n每秒生命+5|r|N|N|cff00ff00已领取该礼包</v>
      </c>
      <c r="L248" s="27"/>
      <c r="M248" s="170" t="str">
        <f>VLOOKUP(LEFT(RIGHT(B248,5),4),物品!B:CU,20,FALSE)</f>
        <v>ReplaceableTextures\\commandButtons\\BTNLBUI01.blp</v>
      </c>
      <c r="N248" s="188" t="s">
        <v>83</v>
      </c>
      <c r="O248" s="170" t="s">
        <v>98</v>
      </c>
      <c r="P248" s="27">
        <v>0</v>
      </c>
      <c r="Q248" s="27">
        <v>0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0</v>
      </c>
      <c r="AA248" s="27">
        <v>0</v>
      </c>
      <c r="AB248" s="27">
        <v>0</v>
      </c>
      <c r="AC248" s="27">
        <v>0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7"/>
      <c r="B249" s="27" t="str">
        <f>物品!B249</f>
        <v>IB51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已领取公众号礼包</v>
      </c>
      <c r="I249" s="27" t="str">
        <f>VLOOKUP(B249,物品!B:CV,99,FALSE)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9" s="169" t="str">
        <f t="shared" si="109"/>
        <v>已领取公众号礼包</v>
      </c>
      <c r="K249" s="169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9" s="27"/>
      <c r="M249" s="170" t="str">
        <f>VLOOKUP(LEFT(RIGHT(B249,5),4),物品!B:CU,20,FALSE)</f>
        <v>ReplaceableTextures\\commandButtons\\BTNLBUI01.blp</v>
      </c>
      <c r="N249" s="188" t="s">
        <v>83</v>
      </c>
      <c r="O249" s="170" t="s">
        <v>98</v>
      </c>
      <c r="P249" s="27">
        <v>0</v>
      </c>
      <c r="Q249" s="27">
        <v>0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7"/>
      <c r="B250" s="27" t="str">
        <f>物品!B250</f>
        <v>IB52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已领取入群礼包</v>
      </c>
      <c r="I250" s="27" t="str">
        <f>VLOOKUP(B250,物品!B:CV,99,FALSE)</f>
        <v>加入《|cff00ffcc全民封神|r》官方QQ群，即可获得入群礼包码！|n|n输入礼包码即可获得：|n金币+1000，每秒攻击+2，每秒业力+2|N|N|cff00ff00已领取该礼包</v>
      </c>
      <c r="J250" s="169" t="str">
        <f t="shared" ref="J250:J262" si="113">H250</f>
        <v>已领取入群礼包</v>
      </c>
      <c r="K250" s="169" t="str">
        <f t="shared" ref="K250:K262" si="114">I250</f>
        <v>加入《|cff00ffcc全民封神|r》官方QQ群，即可获得入群礼包码！|n|n输入礼包码即可获得：|n金币+1000，每秒攻击+2，每秒业力+2|N|N|cff00ff00已领取该礼包</v>
      </c>
      <c r="L250" s="27"/>
      <c r="M250" s="170" t="str">
        <f>VLOOKUP(LEFT(RIGHT(B250,5),4),物品!B:CU,20,FALSE)</f>
        <v>ReplaceableTextures\\commandButtons\\BTNLBUI01.blp</v>
      </c>
      <c r="N250" s="188" t="s">
        <v>83</v>
      </c>
      <c r="O250" s="170" t="s">
        <v>98</v>
      </c>
      <c r="P250" s="27">
        <v>1</v>
      </c>
      <c r="Q250" s="27">
        <v>0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88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1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7"/>
      <c r="B251" s="27" t="str">
        <f>物品!B251</f>
        <v>IB53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已领取拜年礼包</v>
      </c>
      <c r="I251" s="27" t="str">
        <f>VLOOKUP(B251,物品!B:CV,99,FALSE)</f>
        <v>|cff99ccff给与地图有效评论建议|r即可领取：|n每秒生命+100，每秒业力+2|n|n|r|cff808080地图等级达到3级可领取|r|N|N|cff00ff00已领取该礼包</v>
      </c>
      <c r="J251" s="169" t="str">
        <f t="shared" si="113"/>
        <v>已领取拜年礼包</v>
      </c>
      <c r="K251" s="169" t="str">
        <f t="shared" si="114"/>
        <v>|cff99ccff给与地图有效评论建议|r即可领取：|n每秒生命+100，每秒业力+2|n|n|r|cff808080地图等级达到3级可领取|r|N|N|cff00ff00已领取该礼包</v>
      </c>
      <c r="L251" s="27"/>
      <c r="M251" s="170" t="str">
        <f>VLOOKUP(LEFT(RIGHT(B251,5),4),物品!B:CU,20,FALSE)</f>
        <v>ReplaceableTextures\\commandButtons\\BTNLBUI01.blp</v>
      </c>
      <c r="N251" s="188" t="s">
        <v>83</v>
      </c>
      <c r="O251" s="170" t="s">
        <v>98</v>
      </c>
      <c r="P251" s="27">
        <v>2</v>
      </c>
      <c r="Q251" s="27">
        <v>0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88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1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7"/>
      <c r="B252" s="27" t="str">
        <f>物品!B252</f>
        <v>IB54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已领取收藏礼包</v>
      </c>
      <c r="I252" s="27" t="str">
        <f>VLOOKUP(B252,物品!B:CV,99,FALSE)</f>
        <v>|cff99ccff房间大厅界面点击右上角《|r|cffcc99ff收藏|r|cff99ccff》后可领取该礼包。|n|n|r属性：|n|cffffcc33攻击伤害+5%|n技能伤害+5%|r|N|N|cff00ff00已领取该礼包</v>
      </c>
      <c r="J252" s="169" t="str">
        <f t="shared" si="113"/>
        <v>已领取收藏礼包</v>
      </c>
      <c r="K252" s="169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52" s="27"/>
      <c r="M252" s="170" t="str">
        <f>VLOOKUP(LEFT(RIGHT(B252,5),4),物品!B:CU,20,FALSE)</f>
        <v>ReplaceableTextures\\commandButtons\\BTNLBUI01.blp</v>
      </c>
      <c r="N252" s="188" t="s">
        <v>83</v>
      </c>
      <c r="O252" s="170" t="s">
        <v>98</v>
      </c>
      <c r="P252" s="27">
        <v>3</v>
      </c>
      <c r="Q252" s="27">
        <v>0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88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1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7"/>
      <c r="B253" s="27" t="str">
        <f>物品!B253</f>
        <v>IB55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已领取重置版礼包</v>
      </c>
      <c r="I253" s="27" t="str">
        <f>VLOOKUP(B253,物品!B:CV,99,FALSE)</f>
        <v>|cff33ff00购买魔兽重制版可领取该礼包！|n|n|r奖励：|n招魂幡Lv3|N|N|cff00ff00已领取该礼包</v>
      </c>
      <c r="J253" s="169" t="str">
        <f t="shared" si="113"/>
        <v>已领取重置版礼包</v>
      </c>
      <c r="K253" s="169" t="str">
        <f t="shared" si="114"/>
        <v>|cff33ff00购买魔兽重制版可领取该礼包！|n|n|r奖励：|n招魂幡Lv3|N|N|cff00ff00已领取该礼包</v>
      </c>
      <c r="L253" s="27"/>
      <c r="M253" s="170" t="str">
        <f>VLOOKUP(LEFT(RIGHT(B253,5),4),物品!B:CU,20,FALSE)</f>
        <v>ReplaceableTextures\\commandButtons\\BTNLBUI01.blp</v>
      </c>
      <c r="N253" s="188" t="s">
        <v>83</v>
      </c>
      <c r="O253" s="170" t="s">
        <v>98</v>
      </c>
      <c r="P253" s="27">
        <v>0</v>
      </c>
      <c r="Q253" s="27">
        <v>1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88</v>
      </c>
      <c r="X253" s="27">
        <v>0</v>
      </c>
      <c r="Y253" s="188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1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7"/>
      <c r="B254" s="27" t="str">
        <f>物品!B254</f>
        <v>IB56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已领取公会福利</v>
      </c>
      <c r="I254" s="27" t="str">
        <f>VLOOKUP(B254,物品!B:CV,99,FALSE)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4" s="169" t="str">
        <f t="shared" si="113"/>
        <v>已领取公会福利</v>
      </c>
      <c r="K254" s="169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4" s="27"/>
      <c r="M254" s="170" t="str">
        <f>VLOOKUP(LEFT(RIGHT(B254,5),4),物品!B:CU,20,FALSE)</f>
        <v>ReplaceableTextures\\commandButtons\\BTNLBUI01.blp</v>
      </c>
      <c r="N254" s="188" t="s">
        <v>83</v>
      </c>
      <c r="O254" s="170" t="s">
        <v>98</v>
      </c>
      <c r="P254" s="27">
        <v>1</v>
      </c>
      <c r="Q254" s="27">
        <v>1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88</v>
      </c>
      <c r="X254" s="27">
        <v>0</v>
      </c>
      <c r="Y254" s="188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1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7"/>
      <c r="B255" s="27" t="str">
        <f>物品!B255</f>
        <v>IB57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已领取星耀礼包</v>
      </c>
      <c r="I255" s="27" t="str">
        <f>VLOOKUP(B255,物品!B:CV,99,FALSE)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5" s="169" t="str">
        <f t="shared" si="113"/>
        <v>已领取星耀礼包</v>
      </c>
      <c r="K255" s="169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5" s="27"/>
      <c r="M255" s="170" t="str">
        <f>VLOOKUP(LEFT(RIGHT(B255,5),4),物品!B:CU,20,FALSE)</f>
        <v>ReplaceableTextures\\commandButtons\\BTNLBUI01.blp</v>
      </c>
      <c r="N255" s="188" t="s">
        <v>83</v>
      </c>
      <c r="O255" s="170" t="s">
        <v>98</v>
      </c>
      <c r="P255" s="27">
        <v>2</v>
      </c>
      <c r="Q255" s="27">
        <v>1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88</v>
      </c>
      <c r="X255" s="27">
        <v>0</v>
      </c>
      <c r="Y255" s="188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1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7"/>
      <c r="B256" s="27" t="str">
        <f>物品!B256</f>
        <v>IB58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已领取魔芝RPG礼包</v>
      </c>
      <c r="I256" s="27" t="str">
        <f>VLOOKUP(B256,物品!B:CV,99,FALSE)</f>
        <v>|cff99ccff游戏中输入《|r|cff33ff00魔芝RPG|r|cff99ccff》领取本礼包！|r|n|n|r奖励：|n|cffffcc00练功房怪物数量+1|r|N|N|cff00ff00已领取该礼包</v>
      </c>
      <c r="J256" s="169" t="str">
        <f t="shared" si="113"/>
        <v>已领取魔芝RPG礼包</v>
      </c>
      <c r="K256" s="169" t="str">
        <f t="shared" si="114"/>
        <v>|cff99ccff游戏中输入《|r|cff33ff00魔芝RPG|r|cff99ccff》领取本礼包！|r|n|n|r奖励：|n|cffffcc00练功房怪物数量+1|r|N|N|cff00ff00已领取该礼包</v>
      </c>
      <c r="L256" s="27"/>
      <c r="M256" s="170" t="str">
        <f>VLOOKUP(LEFT(RIGHT(B256,5),4),物品!B:CU,20,FALSE)</f>
        <v>ReplaceableTextures\\commandButtons\\BTNLBUI01.blp</v>
      </c>
      <c r="N256" s="188" t="s">
        <v>83</v>
      </c>
      <c r="O256" s="170" t="s">
        <v>98</v>
      </c>
      <c r="P256" s="27">
        <v>2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7"/>
      <c r="B257" s="27" t="str">
        <f>物品!B257</f>
        <v>IB59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已领取老铁礼包</v>
      </c>
      <c r="I257" s="27" t="str">
        <f>VLOOKUP(B257,物品!B:CV,99,FALSE)</f>
        <v>|N|N|cff00ff00已领取该礼包</v>
      </c>
      <c r="J257" s="169" t="str">
        <f t="shared" si="113"/>
        <v>已领取老铁礼包</v>
      </c>
      <c r="K257" s="169" t="str">
        <f t="shared" si="114"/>
        <v>|N|N|cff00ff00已领取该礼包</v>
      </c>
      <c r="L257" s="27"/>
      <c r="M257" s="170" t="str">
        <f>VLOOKUP(LEFT(RIGHT(B257,5),4),物品!B:CU,20,FALSE)</f>
        <v>ReplaceableTextures\\commandButtons\\BTNLBUI01.blp</v>
      </c>
      <c r="N257" s="188" t="s">
        <v>83</v>
      </c>
      <c r="O257" s="170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7"/>
      <c r="B258" s="27" t="str">
        <f>物品!B258</f>
        <v>IY00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积分兑换-永久</v>
      </c>
      <c r="I258" s="27" t="str">
        <f>VLOOKUP(B258,物品!B:CV,99,FALSE)</f>
        <v>积分兑换-永久</v>
      </c>
      <c r="J258" s="169" t="str">
        <f t="shared" ref="J258" si="115">H258</f>
        <v>积分兑换-永久</v>
      </c>
      <c r="K258" s="169" t="str">
        <f t="shared" ref="K258" si="116">I258</f>
        <v>积分兑换-永久</v>
      </c>
      <c r="L258" s="27"/>
      <c r="M258" s="170" t="str">
        <f>VLOOKUP(LEFT(RIGHT(B258,5),4),物品!B:CU,20,FALSE)</f>
        <v>ReplaceableTextures\\CommandButtons\\BTNUIRK04.blp</v>
      </c>
      <c r="N258" s="188" t="s">
        <v>83</v>
      </c>
      <c r="O258" s="170" t="s">
        <v>98</v>
      </c>
      <c r="P258" s="27">
        <v>0</v>
      </c>
      <c r="Q258" s="27">
        <v>2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7"/>
      <c r="B259" s="27" t="str">
        <f>物品!B259</f>
        <v>IY1C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天乾地坤</v>
      </c>
      <c r="I259" s="27" t="str">
        <f>VLOOKUP(B259,物品!B:CV,99,FALSE)</f>
        <v>代码生成</v>
      </c>
      <c r="J259" s="169" t="str">
        <f t="shared" si="113"/>
        <v>天乾地坤</v>
      </c>
      <c r="K259" s="169" t="str">
        <f t="shared" si="114"/>
        <v>代码生成</v>
      </c>
      <c r="L259" s="27"/>
      <c r="M259" s="170" t="str">
        <f>VLOOKUP(LEFT(RIGHT(B259,5),4),物品!B:CU,20,FALSE)</f>
        <v>ReplaceableTextures\\CommandButtons\\BTNRY1C.blp</v>
      </c>
      <c r="N259" s="188" t="s">
        <v>83</v>
      </c>
      <c r="O259" s="170" t="s">
        <v>98</v>
      </c>
      <c r="P259" s="27">
        <v>2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0</v>
      </c>
      <c r="Y259" s="188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7"/>
      <c r="B260" s="27" t="str">
        <f>物品!B260</f>
        <v>IY2C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五彩凰翼</v>
      </c>
      <c r="I260" s="27" t="str">
        <f>VLOOKUP(B260,物品!B:CV,99,FALSE)</f>
        <v>代码生成</v>
      </c>
      <c r="J260" s="169" t="str">
        <f t="shared" si="113"/>
        <v>五彩凰翼</v>
      </c>
      <c r="K260" s="169" t="str">
        <f t="shared" si="114"/>
        <v>代码生成</v>
      </c>
      <c r="L260" s="27"/>
      <c r="M260" s="170" t="str">
        <f>VLOOKUP(LEFT(RIGHT(B260,5),4),物品!B:CU,20,FALSE)</f>
        <v>ReplaceableTextures\\CommandButtons\\BTNRY2C.blp</v>
      </c>
      <c r="N260" s="188" t="s">
        <v>83</v>
      </c>
      <c r="O260" s="170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0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7"/>
      <c r="B261" s="27" t="str">
        <f>物品!B261</f>
        <v>IY3C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崩鸣刃</v>
      </c>
      <c r="I261" s="27" t="str">
        <f>VLOOKUP(B261,物品!B:CV,99,FALSE)</f>
        <v>代码生成</v>
      </c>
      <c r="J261" s="169" t="str">
        <f t="shared" si="113"/>
        <v>崩鸣刃</v>
      </c>
      <c r="K261" s="169" t="str">
        <f t="shared" si="114"/>
        <v>代码生成</v>
      </c>
      <c r="L261" s="27"/>
      <c r="M261" s="170" t="str">
        <f>VLOOKUP(LEFT(RIGHT(B261,5),4),物品!B:CU,20,FALSE)</f>
        <v>ReplaceableTextures\\CommandButtons\\BTNRY3C.blp</v>
      </c>
      <c r="N261" s="188" t="s">
        <v>83</v>
      </c>
      <c r="O261" s="170" t="s">
        <v>98</v>
      </c>
      <c r="P261" s="27">
        <v>3</v>
      </c>
      <c r="Q261" s="27">
        <v>0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7"/>
      <c r="B262" s="27" t="str">
        <f>物品!B262</f>
        <v>IY4C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俯瞰寰宇</v>
      </c>
      <c r="I262" s="27" t="str">
        <f>VLOOKUP(B262,物品!B:CV,99,FALSE)</f>
        <v>代码生成</v>
      </c>
      <c r="J262" s="169" t="str">
        <f t="shared" si="113"/>
        <v>俯瞰寰宇</v>
      </c>
      <c r="K262" s="169" t="str">
        <f t="shared" si="114"/>
        <v>代码生成</v>
      </c>
      <c r="L262" s="27"/>
      <c r="M262" s="170" t="str">
        <f>VLOOKUP(LEFT(RIGHT(B262,5),4),物品!B:CU,20,FALSE)</f>
        <v>ReplaceableTextures\\CommandButtons\\BTNRY4C.blp</v>
      </c>
      <c r="N262" s="188" t="s">
        <v>83</v>
      </c>
      <c r="O262" s="170" t="s">
        <v>98</v>
      </c>
      <c r="P262" s="27">
        <v>1</v>
      </c>
      <c r="Q262" s="27">
        <v>0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7"/>
      <c r="B263" s="27" t="str">
        <f>物品!B263</f>
        <v>IY2E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冰火双翼</v>
      </c>
      <c r="I263" s="27" t="str">
        <f>VLOOKUP(B263,物品!B:CV,99,FALSE)</f>
        <v>代码生成</v>
      </c>
      <c r="J263" s="169" t="str">
        <f t="shared" ref="J263:J264" si="117">H263</f>
        <v>冰火双翼</v>
      </c>
      <c r="K263" s="169" t="str">
        <f t="shared" ref="K263:K264" si="118">I263</f>
        <v>代码生成</v>
      </c>
      <c r="L263" s="27"/>
      <c r="M263" s="170" t="str">
        <f>VLOOKUP(LEFT(RIGHT(B263,5),4),物品!B:CU,20,FALSE)</f>
        <v>ReplaceableTextures\\CommandButtons\\BTNRY2E.blp</v>
      </c>
      <c r="N263" s="188" t="s">
        <v>83</v>
      </c>
      <c r="O263" s="170" t="s">
        <v>98</v>
      </c>
      <c r="P263" s="27">
        <v>0</v>
      </c>
      <c r="Q263" s="27">
        <v>1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7"/>
      <c r="B264" s="27" t="str">
        <f>物品!B264</f>
        <v>IY2F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羽族之音</v>
      </c>
      <c r="I264" s="27" t="str">
        <f>VLOOKUP(B264,物品!B:CV,99,FALSE)</f>
        <v>代码生成</v>
      </c>
      <c r="J264" s="169" t="str">
        <f t="shared" si="117"/>
        <v>羽族之音</v>
      </c>
      <c r="K264" s="169" t="str">
        <f t="shared" si="118"/>
        <v>代码生成</v>
      </c>
      <c r="L264" s="27"/>
      <c r="M264" s="170" t="str">
        <f>VLOOKUP(LEFT(RIGHT(B264,5),4),物品!B:CU,20,FALSE)</f>
        <v>ReplaceableTextures\\CommandButtons\\BTNRY2F.blp</v>
      </c>
      <c r="N264" s="188" t="s">
        <v>83</v>
      </c>
      <c r="O264" s="170" t="s">
        <v>98</v>
      </c>
      <c r="P264" s="27">
        <v>1</v>
      </c>
      <c r="Q264" s="27">
        <v>1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7"/>
      <c r="B265" s="27" t="str">
        <f>物品!B265</f>
        <v>IY4O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凌风之灵</v>
      </c>
      <c r="I265" s="27" t="str">
        <f>VLOOKUP(B265,物品!B:CV,99,FALSE)</f>
        <v>代码生成</v>
      </c>
      <c r="J265" s="169" t="str">
        <f t="shared" ref="J265" si="119">H265</f>
        <v>凌风之灵</v>
      </c>
      <c r="K265" s="169" t="str">
        <f t="shared" ref="K265" si="120">I265</f>
        <v>代码生成</v>
      </c>
      <c r="L265" s="27"/>
      <c r="M265" s="170" t="str">
        <f>VLOOKUP(LEFT(RIGHT(B265,5),4),物品!B:CU,20,FALSE)</f>
        <v>ReplaceableTextures\\CommandButtons\\BTNRY4O.blp</v>
      </c>
      <c r="N265" s="188" t="s">
        <v>83</v>
      </c>
      <c r="O265" s="170" t="s">
        <v>98</v>
      </c>
      <c r="P265" s="27">
        <v>2</v>
      </c>
      <c r="Q265" s="27">
        <v>1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7"/>
      <c r="B266" s="27" t="str">
        <f>物品!B266</f>
        <v>IF01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69" t="str">
        <f t="shared" ref="J266" si="121">H266</f>
        <v>附魔</v>
      </c>
      <c r="K266" s="169">
        <f t="shared" ref="K266" si="122">I266</f>
        <v>0</v>
      </c>
      <c r="L266" s="27"/>
      <c r="M266" s="170">
        <f>VLOOKUP(LEFT(RIGHT(B266,5),4),物品!B:CU,20,FALSE)</f>
        <v>0</v>
      </c>
      <c r="N266" s="188" t="s">
        <v>83</v>
      </c>
      <c r="O266" s="170" t="s">
        <v>98</v>
      </c>
      <c r="P266" s="27">
        <v>0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7"/>
      <c r="B267" s="27" t="str">
        <f>物品!B267</f>
        <v>IF02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9" t="str">
        <f t="shared" ref="J267:J292" si="123">H267</f>
        <v>附魔</v>
      </c>
      <c r="K267" s="169">
        <f t="shared" ref="K267:K292" si="124">I267</f>
        <v>0</v>
      </c>
      <c r="L267" s="27"/>
      <c r="M267" s="170">
        <f>VLOOKUP(LEFT(RIGHT(B267,5),4),物品!B:CU,20,FALSE)</f>
        <v>0</v>
      </c>
      <c r="N267" s="188" t="s">
        <v>83</v>
      </c>
      <c r="O267" s="170" t="s">
        <v>98</v>
      </c>
      <c r="P267" s="27">
        <v>0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7"/>
      <c r="B268" s="27" t="str">
        <f>物品!B268</f>
        <v>IF03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9" t="str">
        <f t="shared" si="123"/>
        <v>附魔</v>
      </c>
      <c r="K268" s="169">
        <f t="shared" si="124"/>
        <v>0</v>
      </c>
      <c r="L268" s="27"/>
      <c r="M268" s="170">
        <f>VLOOKUP(LEFT(RIGHT(B268,5),4),物品!B:CU,20,FALSE)</f>
        <v>0</v>
      </c>
      <c r="N268" s="188" t="s">
        <v>83</v>
      </c>
      <c r="O268" s="170" t="s">
        <v>98</v>
      </c>
      <c r="P268" s="27">
        <v>0</v>
      </c>
      <c r="Q268" s="27">
        <v>0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7"/>
      <c r="B269" s="27" t="str">
        <f>物品!B269</f>
        <v>IF04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9" t="str">
        <f t="shared" si="123"/>
        <v>附魔</v>
      </c>
      <c r="K269" s="169">
        <f t="shared" si="124"/>
        <v>0</v>
      </c>
      <c r="L269" s="27"/>
      <c r="M269" s="170">
        <f>VLOOKUP(LEFT(RIGHT(B269,5),4),物品!B:CU,20,FALSE)</f>
        <v>0</v>
      </c>
      <c r="N269" s="188" t="s">
        <v>83</v>
      </c>
      <c r="O269" s="170" t="s">
        <v>98</v>
      </c>
      <c r="P269" s="27">
        <v>0</v>
      </c>
      <c r="Q269" s="27">
        <v>0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7"/>
      <c r="B270" s="27" t="str">
        <f>物品!B270</f>
        <v>IF05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9" t="str">
        <f t="shared" si="123"/>
        <v>附魔</v>
      </c>
      <c r="K270" s="169">
        <f t="shared" si="124"/>
        <v>0</v>
      </c>
      <c r="L270" s="27"/>
      <c r="M270" s="170">
        <f>VLOOKUP(LEFT(RIGHT(B270,5),4),物品!B:CU,20,FALSE)</f>
        <v>0</v>
      </c>
      <c r="N270" s="188" t="s">
        <v>83</v>
      </c>
      <c r="O270" s="170" t="s">
        <v>98</v>
      </c>
      <c r="P270" s="27">
        <v>0</v>
      </c>
      <c r="Q270" s="27">
        <v>0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7"/>
      <c r="B271" s="27" t="str">
        <f>物品!B271</f>
        <v>IF06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9" t="str">
        <f t="shared" si="123"/>
        <v>附魔</v>
      </c>
      <c r="K271" s="169">
        <f t="shared" si="124"/>
        <v>0</v>
      </c>
      <c r="L271" s="27"/>
      <c r="M271" s="170">
        <f>VLOOKUP(LEFT(RIGHT(B271,5),4),物品!B:CU,20,FALSE)</f>
        <v>0</v>
      </c>
      <c r="N271" s="188" t="s">
        <v>83</v>
      </c>
      <c r="O271" s="170" t="s">
        <v>98</v>
      </c>
      <c r="P271" s="27">
        <v>0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7"/>
      <c r="B272" s="27" t="str">
        <f>物品!B272</f>
        <v>IF07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9" t="str">
        <f t="shared" si="123"/>
        <v>附魔</v>
      </c>
      <c r="K272" s="169">
        <f t="shared" si="124"/>
        <v>0</v>
      </c>
      <c r="L272" s="27"/>
      <c r="M272" s="170">
        <f>VLOOKUP(LEFT(RIGHT(B272,5),4),物品!B:CU,20,FALSE)</f>
        <v>0</v>
      </c>
      <c r="N272" s="188" t="s">
        <v>83</v>
      </c>
      <c r="O272" s="170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7"/>
      <c r="B273" s="27" t="str">
        <f>物品!B273</f>
        <v>IF08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9" t="str">
        <f t="shared" si="123"/>
        <v>附魔</v>
      </c>
      <c r="K273" s="169">
        <f t="shared" si="124"/>
        <v>0</v>
      </c>
      <c r="L273" s="27"/>
      <c r="M273" s="170">
        <f>VLOOKUP(LEFT(RIGHT(B273,5),4),物品!B:CU,20,FALSE)</f>
        <v>0</v>
      </c>
      <c r="N273" s="188" t="s">
        <v>83</v>
      </c>
      <c r="O273" s="170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7"/>
      <c r="B274" s="27" t="str">
        <f>物品!B274</f>
        <v>IF09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9" t="str">
        <f t="shared" si="123"/>
        <v>附魔</v>
      </c>
      <c r="K274" s="169">
        <f t="shared" si="124"/>
        <v>0</v>
      </c>
      <c r="L274" s="27"/>
      <c r="M274" s="170">
        <f>VLOOKUP(LEFT(RIGHT(B274,5),4),物品!B:CU,20,FALSE)</f>
        <v>0</v>
      </c>
      <c r="N274" s="188" t="s">
        <v>83</v>
      </c>
      <c r="O274" s="170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7"/>
      <c r="B275" s="27" t="str">
        <f>物品!B275</f>
        <v>IF10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9" t="str">
        <f t="shared" si="123"/>
        <v>附魔</v>
      </c>
      <c r="K275" s="169">
        <f t="shared" si="124"/>
        <v>0</v>
      </c>
      <c r="L275" s="27"/>
      <c r="M275" s="170">
        <f>VLOOKUP(LEFT(RIGHT(B275,5),4),物品!B:CU,20,FALSE)</f>
        <v>0</v>
      </c>
      <c r="N275" s="188" t="s">
        <v>83</v>
      </c>
      <c r="O275" s="170" t="s">
        <v>98</v>
      </c>
      <c r="P275" s="27">
        <v>0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7"/>
      <c r="B276" s="27" t="str">
        <f>物品!B276</f>
        <v>IF11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9" t="str">
        <f t="shared" si="123"/>
        <v>附魔</v>
      </c>
      <c r="K276" s="169">
        <f t="shared" si="124"/>
        <v>0</v>
      </c>
      <c r="L276" s="27"/>
      <c r="M276" s="170">
        <f>VLOOKUP(LEFT(RIGHT(B276,5),4),物品!B:CU,20,FALSE)</f>
        <v>0</v>
      </c>
      <c r="N276" s="188" t="s">
        <v>83</v>
      </c>
      <c r="O276" s="170" t="s">
        <v>98</v>
      </c>
      <c r="P276" s="27">
        <v>0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7"/>
      <c r="B277" s="27" t="str">
        <f>物品!B277</f>
        <v>IF12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9" t="str">
        <f t="shared" si="123"/>
        <v>附魔</v>
      </c>
      <c r="K277" s="169">
        <f t="shared" si="124"/>
        <v>0</v>
      </c>
      <c r="L277" s="27"/>
      <c r="M277" s="170">
        <f>VLOOKUP(LEFT(RIGHT(B277,5),4),物品!B:CU,20,FALSE)</f>
        <v>0</v>
      </c>
      <c r="N277" s="188" t="s">
        <v>83</v>
      </c>
      <c r="O277" s="170" t="s">
        <v>98</v>
      </c>
      <c r="P277" s="27">
        <v>0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7"/>
      <c r="B278" s="27" t="str">
        <f>物品!B278</f>
        <v>IF13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9" t="str">
        <f t="shared" si="123"/>
        <v>附魔</v>
      </c>
      <c r="K278" s="169">
        <f t="shared" si="124"/>
        <v>0</v>
      </c>
      <c r="L278" s="27"/>
      <c r="M278" s="170">
        <f>VLOOKUP(LEFT(RIGHT(B278,5),4),物品!B:CU,20,FALSE)</f>
        <v>0</v>
      </c>
      <c r="N278" s="188" t="s">
        <v>83</v>
      </c>
      <c r="O278" s="170" t="s">
        <v>98</v>
      </c>
      <c r="P278" s="27">
        <v>0</v>
      </c>
      <c r="Q278" s="27">
        <v>0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7"/>
      <c r="B279" s="27" t="str">
        <f>物品!B279</f>
        <v>IF14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9" t="str">
        <f t="shared" si="123"/>
        <v>附魔</v>
      </c>
      <c r="K279" s="169">
        <f t="shared" si="124"/>
        <v>0</v>
      </c>
      <c r="L279" s="27"/>
      <c r="M279" s="170">
        <f>VLOOKUP(LEFT(RIGHT(B279,5),4),物品!B:CU,20,FALSE)</f>
        <v>0</v>
      </c>
      <c r="N279" s="188" t="s">
        <v>83</v>
      </c>
      <c r="O279" s="170" t="s">
        <v>98</v>
      </c>
      <c r="P279" s="27">
        <v>0</v>
      </c>
      <c r="Q279" s="27">
        <v>0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7"/>
      <c r="B280" s="27" t="str">
        <f>物品!B280</f>
        <v>IF15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9" t="str">
        <f t="shared" si="123"/>
        <v>附魔</v>
      </c>
      <c r="K280" s="169">
        <f t="shared" si="124"/>
        <v>0</v>
      </c>
      <c r="L280" s="27"/>
      <c r="M280" s="170">
        <f>VLOOKUP(LEFT(RIGHT(B280,5),4),物品!B:CU,20,FALSE)</f>
        <v>0</v>
      </c>
      <c r="N280" s="188" t="s">
        <v>83</v>
      </c>
      <c r="O280" s="170" t="s">
        <v>98</v>
      </c>
      <c r="P280" s="27">
        <v>0</v>
      </c>
      <c r="Q280" s="27">
        <v>0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7"/>
      <c r="B281" s="27" t="str">
        <f>物品!B281</f>
        <v>IF16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9" t="str">
        <f t="shared" si="123"/>
        <v>附魔</v>
      </c>
      <c r="K281" s="169">
        <f t="shared" si="124"/>
        <v>0</v>
      </c>
      <c r="L281" s="27"/>
      <c r="M281" s="170">
        <f>VLOOKUP(LEFT(RIGHT(B281,5),4),物品!B:CU,20,FALSE)</f>
        <v>0</v>
      </c>
      <c r="N281" s="188" t="s">
        <v>83</v>
      </c>
      <c r="O281" s="170" t="s">
        <v>98</v>
      </c>
      <c r="P281" s="27">
        <v>0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7"/>
      <c r="B282" s="27" t="str">
        <f>物品!B282</f>
        <v>IF17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9" t="str">
        <f t="shared" si="123"/>
        <v>附魔</v>
      </c>
      <c r="K282" s="169">
        <f t="shared" si="124"/>
        <v>0</v>
      </c>
      <c r="L282" s="27"/>
      <c r="M282" s="170">
        <f>VLOOKUP(LEFT(RIGHT(B282,5),4),物品!B:CU,20,FALSE)</f>
        <v>0</v>
      </c>
      <c r="N282" s="188" t="s">
        <v>83</v>
      </c>
      <c r="O282" s="170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7"/>
      <c r="B283" s="27" t="str">
        <f>物品!B283</f>
        <v>IF18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9" t="str">
        <f t="shared" si="123"/>
        <v>附魔</v>
      </c>
      <c r="K283" s="169">
        <f t="shared" si="124"/>
        <v>0</v>
      </c>
      <c r="L283" s="27"/>
      <c r="M283" s="170">
        <f>VLOOKUP(LEFT(RIGHT(B283,5),4),物品!B:CU,20,FALSE)</f>
        <v>0</v>
      </c>
      <c r="N283" s="188" t="s">
        <v>83</v>
      </c>
      <c r="O283" s="170" t="s">
        <v>98</v>
      </c>
      <c r="P283" s="27">
        <v>0</v>
      </c>
      <c r="Q283" s="27">
        <v>0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7"/>
      <c r="B284" s="27" t="str">
        <f>物品!B284</f>
        <v>IF19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9" t="str">
        <f t="shared" si="123"/>
        <v>附魔</v>
      </c>
      <c r="K284" s="169">
        <f t="shared" si="124"/>
        <v>0</v>
      </c>
      <c r="L284" s="27"/>
      <c r="M284" s="170">
        <f>VLOOKUP(LEFT(RIGHT(B284,5),4),物品!B:CU,20,FALSE)</f>
        <v>0</v>
      </c>
      <c r="N284" s="188" t="s">
        <v>83</v>
      </c>
      <c r="O284" s="170" t="s">
        <v>98</v>
      </c>
      <c r="P284" s="27">
        <v>0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7"/>
      <c r="B285" s="27" t="str">
        <f>物品!B285</f>
        <v>IF20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9" t="str">
        <f t="shared" si="123"/>
        <v>附魔</v>
      </c>
      <c r="K285" s="169">
        <f t="shared" si="124"/>
        <v>0</v>
      </c>
      <c r="L285" s="27"/>
      <c r="M285" s="170">
        <f>VLOOKUP(LEFT(RIGHT(B285,5),4),物品!B:CU,20,FALSE)</f>
        <v>0</v>
      </c>
      <c r="N285" s="188" t="s">
        <v>83</v>
      </c>
      <c r="O285" s="170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7"/>
      <c r="B286" s="27" t="str">
        <f>物品!B286</f>
        <v>IF21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9" t="str">
        <f t="shared" si="123"/>
        <v>附魔</v>
      </c>
      <c r="K286" s="169">
        <f t="shared" si="124"/>
        <v>0</v>
      </c>
      <c r="L286" s="27"/>
      <c r="M286" s="170">
        <f>VLOOKUP(LEFT(RIGHT(B286,5),4),物品!B:CU,20,FALSE)</f>
        <v>0</v>
      </c>
      <c r="N286" s="188" t="s">
        <v>83</v>
      </c>
      <c r="O286" s="170" t="s">
        <v>98</v>
      </c>
      <c r="P286" s="27">
        <v>0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7"/>
      <c r="B287" s="27" t="str">
        <f>物品!B287</f>
        <v>IF22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9" t="str">
        <f t="shared" si="123"/>
        <v>附魔</v>
      </c>
      <c r="K287" s="169">
        <f t="shared" si="124"/>
        <v>0</v>
      </c>
      <c r="L287" s="27"/>
      <c r="M287" s="170">
        <f>VLOOKUP(LEFT(RIGHT(B287,5),4),物品!B:CU,20,FALSE)</f>
        <v>0</v>
      </c>
      <c r="N287" s="188" t="s">
        <v>83</v>
      </c>
      <c r="O287" s="170" t="s">
        <v>98</v>
      </c>
      <c r="P287" s="27">
        <v>0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7"/>
      <c r="B288" s="27" t="str">
        <f>物品!B288</f>
        <v>IF23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9" t="str">
        <f t="shared" si="123"/>
        <v>附魔</v>
      </c>
      <c r="K288" s="169">
        <f t="shared" si="124"/>
        <v>0</v>
      </c>
      <c r="L288" s="27"/>
      <c r="M288" s="170">
        <f>VLOOKUP(LEFT(RIGHT(B288,5),4),物品!B:CU,20,FALSE)</f>
        <v>0</v>
      </c>
      <c r="N288" s="188" t="s">
        <v>83</v>
      </c>
      <c r="O288" s="170" t="s">
        <v>98</v>
      </c>
      <c r="P288" s="27">
        <v>0</v>
      </c>
      <c r="Q288" s="27">
        <v>0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7"/>
      <c r="B289" s="27" t="str">
        <f>物品!B289</f>
        <v>IF24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9" t="str">
        <f t="shared" si="123"/>
        <v>附魔</v>
      </c>
      <c r="K289" s="169">
        <f t="shared" si="124"/>
        <v>0</v>
      </c>
      <c r="L289" s="27"/>
      <c r="M289" s="170">
        <f>VLOOKUP(LEFT(RIGHT(B289,5),4),物品!B:CU,20,FALSE)</f>
        <v>0</v>
      </c>
      <c r="N289" s="188" t="s">
        <v>83</v>
      </c>
      <c r="O289" s="170" t="s">
        <v>98</v>
      </c>
      <c r="P289" s="27">
        <v>0</v>
      </c>
      <c r="Q289" s="27">
        <v>0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7"/>
      <c r="B290" s="27" t="str">
        <f>物品!B290</f>
        <v>IF25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9" t="str">
        <f t="shared" si="123"/>
        <v>附魔</v>
      </c>
      <c r="K290" s="169">
        <f t="shared" si="124"/>
        <v>0</v>
      </c>
      <c r="L290" s="27"/>
      <c r="M290" s="170">
        <f>VLOOKUP(LEFT(RIGHT(B290,5),4),物品!B:CU,20,FALSE)</f>
        <v>0</v>
      </c>
      <c r="N290" s="188" t="s">
        <v>83</v>
      </c>
      <c r="O290" s="170" t="s">
        <v>98</v>
      </c>
      <c r="P290" s="27">
        <v>0</v>
      </c>
      <c r="Q290" s="27">
        <v>0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7"/>
      <c r="B291" s="27" t="str">
        <f>物品!B291</f>
        <v>IF26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9" t="str">
        <f t="shared" si="123"/>
        <v>附魔</v>
      </c>
      <c r="K291" s="169">
        <f t="shared" si="124"/>
        <v>0</v>
      </c>
      <c r="L291" s="27"/>
      <c r="M291" s="170">
        <f>VLOOKUP(LEFT(RIGHT(B291,5),4),物品!B:CU,20,FALSE)</f>
        <v>0</v>
      </c>
      <c r="N291" s="188" t="s">
        <v>83</v>
      </c>
      <c r="O291" s="170" t="s">
        <v>98</v>
      </c>
      <c r="P291" s="27">
        <v>0</v>
      </c>
      <c r="Q291" s="27">
        <v>0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7"/>
      <c r="B292" s="27" t="str">
        <f>物品!B292</f>
        <v>IF27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9" t="str">
        <f t="shared" si="123"/>
        <v>附魔</v>
      </c>
      <c r="K292" s="169">
        <f t="shared" si="124"/>
        <v>0</v>
      </c>
      <c r="L292" s="27"/>
      <c r="M292" s="170">
        <f>VLOOKUP(LEFT(RIGHT(B292,5),4),物品!B:CU,20,FALSE)</f>
        <v>0</v>
      </c>
      <c r="N292" s="188" t="s">
        <v>83</v>
      </c>
      <c r="O292" s="170" t="s">
        <v>98</v>
      </c>
      <c r="P292" s="27">
        <v>0</v>
      </c>
      <c r="Q292" s="27">
        <v>0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7"/>
      <c r="B293" s="27" t="str">
        <f>物品!B293</f>
        <v>IF28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9" t="str">
        <f t="shared" ref="J293:J295" si="125">H293</f>
        <v>附魔</v>
      </c>
      <c r="K293" s="169">
        <f t="shared" ref="K293:K295" si="126">I293</f>
        <v>0</v>
      </c>
      <c r="L293" s="27"/>
      <c r="M293" s="170">
        <f>VLOOKUP(LEFT(RIGHT(B293,5),4),物品!B:CU,20,FALSE)</f>
        <v>0</v>
      </c>
      <c r="N293" s="188" t="s">
        <v>83</v>
      </c>
      <c r="O293" s="170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7"/>
      <c r="B294" s="27" t="str">
        <f>物品!B294</f>
        <v>IF29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9" t="str">
        <f t="shared" si="125"/>
        <v>附魔</v>
      </c>
      <c r="K294" s="169">
        <f t="shared" si="126"/>
        <v>0</v>
      </c>
      <c r="L294" s="27"/>
      <c r="M294" s="170">
        <f>VLOOKUP(LEFT(RIGHT(B294,5),4),物品!B:CU,20,FALSE)</f>
        <v>0</v>
      </c>
      <c r="N294" s="188" t="s">
        <v>83</v>
      </c>
      <c r="O294" s="170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7"/>
      <c r="B295" s="27" t="str">
        <f>物品!B295</f>
        <v>IF30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9" t="str">
        <f t="shared" si="125"/>
        <v>附魔</v>
      </c>
      <c r="K295" s="169">
        <f t="shared" si="126"/>
        <v>0</v>
      </c>
      <c r="L295" s="27"/>
      <c r="M295" s="170">
        <f>VLOOKUP(LEFT(RIGHT(B295,5),4),物品!B:CU,20,FALSE)</f>
        <v>0</v>
      </c>
      <c r="N295" s="188" t="s">
        <v>83</v>
      </c>
      <c r="O295" s="170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7"/>
      <c r="B296" s="27" t="str">
        <f>物品!B296</f>
        <v>IF31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9" t="str">
        <f t="shared" ref="J296:J310" si="127">H296</f>
        <v>附魔</v>
      </c>
      <c r="K296" s="169">
        <f t="shared" ref="K296:K310" si="128">I296</f>
        <v>0</v>
      </c>
      <c r="L296" s="27"/>
      <c r="M296" s="170">
        <f>VLOOKUP(LEFT(RIGHT(B296,5),4),物品!B:CU,20,FALSE)</f>
        <v>0</v>
      </c>
      <c r="N296" s="188" t="s">
        <v>83</v>
      </c>
      <c r="O296" s="170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7"/>
      <c r="B297" s="27" t="str">
        <f>物品!B297</f>
        <v>IF32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9" t="str">
        <f t="shared" ref="J297" si="129">H297</f>
        <v>附魔</v>
      </c>
      <c r="K297" s="169">
        <f t="shared" ref="K297" si="130">I297</f>
        <v>0</v>
      </c>
      <c r="L297" s="27"/>
      <c r="M297" s="170">
        <f>VLOOKUP(LEFT(RIGHT(B297,5),4),物品!B:CU,20,FALSE)</f>
        <v>0</v>
      </c>
      <c r="N297" s="188" t="s">
        <v>83</v>
      </c>
      <c r="O297" s="170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7"/>
      <c r="B298" s="27" t="str">
        <f>物品!B298</f>
        <v>IC00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没抽到任何东西</v>
      </c>
      <c r="I298" s="27">
        <f>VLOOKUP(B298,物品!B:CV,99,FALSE)</f>
        <v>0</v>
      </c>
      <c r="J298" s="169" t="str">
        <f t="shared" ref="J298" si="131">H298</f>
        <v>没抽到任何东西</v>
      </c>
      <c r="K298" s="169">
        <f t="shared" ref="K298" si="132">I298</f>
        <v>0</v>
      </c>
      <c r="L298" s="27"/>
      <c r="M298" s="170">
        <f>VLOOKUP(LEFT(RIGHT(B298,5),4),物品!B:CU,20,FALSE)</f>
        <v>0</v>
      </c>
      <c r="N298" s="188" t="s">
        <v>83</v>
      </c>
      <c r="O298" s="170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7"/>
      <c r="B299" s="27" t="str">
        <f>物品!B299</f>
        <v>IC01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玄铁</v>
      </c>
      <c r="I299" s="27">
        <f>VLOOKUP(B299,物品!B:CV,99,FALSE)</f>
        <v>0</v>
      </c>
      <c r="J299" s="169" t="str">
        <f t="shared" si="127"/>
        <v>玄铁</v>
      </c>
      <c r="K299" s="169">
        <f t="shared" si="128"/>
        <v>0</v>
      </c>
      <c r="L299" s="27"/>
      <c r="M299" s="170">
        <f>VLOOKUP(LEFT(RIGHT(B299,5),4),物品!B:CU,20,FALSE)</f>
        <v>0</v>
      </c>
      <c r="N299" s="188" t="s">
        <v>83</v>
      </c>
      <c r="O299" s="170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7"/>
      <c r="B300" s="27" t="str">
        <f>物品!B300</f>
        <v>IC02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杀敌数</v>
      </c>
      <c r="I300" s="27">
        <f>VLOOKUP(B300,物品!B:CV,99,FALSE)</f>
        <v>0</v>
      </c>
      <c r="J300" s="169" t="str">
        <f t="shared" si="127"/>
        <v>杀敌数</v>
      </c>
      <c r="K300" s="169">
        <f t="shared" si="128"/>
        <v>0</v>
      </c>
      <c r="L300" s="27"/>
      <c r="M300" s="170">
        <f>VLOOKUP(LEFT(RIGHT(B300,5),4),物品!B:CU,20,FALSE)</f>
        <v>0</v>
      </c>
      <c r="N300" s="188" t="s">
        <v>83</v>
      </c>
      <c r="O300" s="170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7"/>
      <c r="B301" s="27" t="str">
        <f>物品!B301</f>
        <v>IC03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攻击力低</v>
      </c>
      <c r="I301" s="27">
        <f>VLOOKUP(B301,物品!B:CV,99,FALSE)</f>
        <v>0</v>
      </c>
      <c r="J301" s="169" t="str">
        <f t="shared" si="127"/>
        <v>攻击力低</v>
      </c>
      <c r="K301" s="169">
        <f t="shared" si="128"/>
        <v>0</v>
      </c>
      <c r="L301" s="27"/>
      <c r="M301" s="170">
        <f>VLOOKUP(LEFT(RIGHT(B301,5),4),物品!B:CU,20,FALSE)</f>
        <v>0</v>
      </c>
      <c r="N301" s="188" t="s">
        <v>83</v>
      </c>
      <c r="O301" s="170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7"/>
      <c r="B302" s="27" t="str">
        <f>物品!B302</f>
        <v>IC04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攻击力中</v>
      </c>
      <c r="I302" s="27">
        <f>VLOOKUP(B302,物品!B:CV,99,FALSE)</f>
        <v>0</v>
      </c>
      <c r="J302" s="169" t="str">
        <f t="shared" si="127"/>
        <v>攻击力中</v>
      </c>
      <c r="K302" s="169">
        <f t="shared" si="128"/>
        <v>0</v>
      </c>
      <c r="L302" s="27"/>
      <c r="M302" s="170">
        <f>VLOOKUP(LEFT(RIGHT(B302,5),4),物品!B:CU,20,FALSE)</f>
        <v>0</v>
      </c>
      <c r="N302" s="188" t="s">
        <v>83</v>
      </c>
      <c r="O302" s="170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7"/>
      <c r="B303" s="27" t="str">
        <f>物品!B303</f>
        <v>IC05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攻击力高</v>
      </c>
      <c r="I303" s="27">
        <f>VLOOKUP(B303,物品!B:CV,99,FALSE)</f>
        <v>0</v>
      </c>
      <c r="J303" s="169" t="str">
        <f t="shared" si="127"/>
        <v>攻击力高</v>
      </c>
      <c r="K303" s="169">
        <f t="shared" si="128"/>
        <v>0</v>
      </c>
      <c r="L303" s="27"/>
      <c r="M303" s="170">
        <f>VLOOKUP(LEFT(RIGHT(B303,5),4),物品!B:CU,20,FALSE)</f>
        <v>0</v>
      </c>
      <c r="N303" s="188" t="s">
        <v>83</v>
      </c>
      <c r="O303" s="170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7"/>
      <c r="B304" s="27" t="str">
        <f>物品!B304</f>
        <v>IC06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生命值低</v>
      </c>
      <c r="I304" s="27">
        <f>VLOOKUP(B304,物品!B:CV,99,FALSE)</f>
        <v>0</v>
      </c>
      <c r="J304" s="169" t="str">
        <f t="shared" si="127"/>
        <v>生命值低</v>
      </c>
      <c r="K304" s="169">
        <f t="shared" si="128"/>
        <v>0</v>
      </c>
      <c r="L304" s="27"/>
      <c r="M304" s="170">
        <f>VLOOKUP(LEFT(RIGHT(B304,5),4),物品!B:CU,20,FALSE)</f>
        <v>0</v>
      </c>
      <c r="N304" s="188" t="s">
        <v>83</v>
      </c>
      <c r="O304" s="170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7"/>
      <c r="B305" s="27" t="str">
        <f>物品!B305</f>
        <v>IC07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生命值中</v>
      </c>
      <c r="I305" s="27">
        <f>VLOOKUP(B305,物品!B:CV,99,FALSE)</f>
        <v>0</v>
      </c>
      <c r="J305" s="169" t="str">
        <f t="shared" si="127"/>
        <v>生命值中</v>
      </c>
      <c r="K305" s="169">
        <f t="shared" si="128"/>
        <v>0</v>
      </c>
      <c r="L305" s="27"/>
      <c r="M305" s="170">
        <f>VLOOKUP(LEFT(RIGHT(B305,5),4),物品!B:CU,20,FALSE)</f>
        <v>0</v>
      </c>
      <c r="N305" s="188" t="s">
        <v>83</v>
      </c>
      <c r="O305" s="170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7"/>
      <c r="B306" s="27" t="str">
        <f>物品!B306</f>
        <v>IC08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生命值高</v>
      </c>
      <c r="I306" s="27">
        <f>VLOOKUP(B306,物品!B:CV,99,FALSE)</f>
        <v>0</v>
      </c>
      <c r="J306" s="169" t="str">
        <f t="shared" si="127"/>
        <v>生命值高</v>
      </c>
      <c r="K306" s="169">
        <f t="shared" si="128"/>
        <v>0</v>
      </c>
      <c r="L306" s="27"/>
      <c r="M306" s="170">
        <f>VLOOKUP(LEFT(RIGHT(B306,5),4),物品!B:CU,20,FALSE)</f>
        <v>0</v>
      </c>
      <c r="N306" s="188" t="s">
        <v>83</v>
      </c>
      <c r="O306" s="170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7"/>
      <c r="B307" s="27" t="str">
        <f>物品!B307</f>
        <v>IC09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业力低</v>
      </c>
      <c r="I307" s="27">
        <f>VLOOKUP(B307,物品!B:CV,99,FALSE)</f>
        <v>0</v>
      </c>
      <c r="J307" s="169" t="str">
        <f t="shared" si="127"/>
        <v>业力低</v>
      </c>
      <c r="K307" s="169">
        <f t="shared" si="128"/>
        <v>0</v>
      </c>
      <c r="L307" s="27"/>
      <c r="M307" s="170">
        <f>VLOOKUP(LEFT(RIGHT(B307,5),4),物品!B:CU,20,FALSE)</f>
        <v>0</v>
      </c>
      <c r="N307" s="188" t="s">
        <v>83</v>
      </c>
      <c r="O307" s="170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7"/>
      <c r="B308" s="27" t="str">
        <f>物品!B308</f>
        <v>IC10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业力中</v>
      </c>
      <c r="I308" s="27">
        <f>VLOOKUP(B308,物品!B:CV,99,FALSE)</f>
        <v>0</v>
      </c>
      <c r="J308" s="169" t="str">
        <f t="shared" si="127"/>
        <v>业力中</v>
      </c>
      <c r="K308" s="169">
        <f t="shared" si="128"/>
        <v>0</v>
      </c>
      <c r="L308" s="27"/>
      <c r="M308" s="170">
        <f>VLOOKUP(LEFT(RIGHT(B308,5),4),物品!B:CU,20,FALSE)</f>
        <v>0</v>
      </c>
      <c r="N308" s="188" t="s">
        <v>83</v>
      </c>
      <c r="O308" s="170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7"/>
      <c r="B309" s="27" t="str">
        <f>物品!B309</f>
        <v>IC11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业力高</v>
      </c>
      <c r="I309" s="27">
        <f>VLOOKUP(B309,物品!B:CV,99,FALSE)</f>
        <v>0</v>
      </c>
      <c r="J309" s="169" t="str">
        <f t="shared" si="127"/>
        <v>业力高</v>
      </c>
      <c r="K309" s="169">
        <f t="shared" si="128"/>
        <v>0</v>
      </c>
      <c r="L309" s="27"/>
      <c r="M309" s="170">
        <f>VLOOKUP(LEFT(RIGHT(B309,5),4),物品!B:CU,20,FALSE)</f>
        <v>0</v>
      </c>
      <c r="N309" s="188" t="s">
        <v>83</v>
      </c>
      <c r="O309" s="170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ht="14.4" spans="1:42">
      <c r="A310" s="167"/>
      <c r="B310" s="27" t="str">
        <f>物品!B310</f>
        <v>IK01</v>
      </c>
      <c r="C310" s="27" t="s">
        <v>41</v>
      </c>
      <c r="D310" s="27" t="s">
        <v>81</v>
      </c>
      <c r="E310" s="27" t="s">
        <v>82</v>
      </c>
      <c r="F310" s="27"/>
      <c r="G310" s="27"/>
      <c r="H310" s="27" t="str">
        <f>VLOOKUP(LEFT(RIGHT(B310,5),4),物品!B:CU,2,FALSE)</f>
        <v>|CffBF00FF【稀有】白虎|r</v>
      </c>
      <c r="I310" s="27" t="str">
        <f>VLOOKUP(B310,物品!B:CV,99,FALSE)</f>
        <v>致命倍率|Cffffc926+10%|n|n|r|Cffff00bf【白虎】|r+|Cffff00bf【白虎】|r=|Cffffc926【神威虎爪】|n|n|r|Cff00ff7f点击穿戴或脱卸。|r</v>
      </c>
      <c r="J310" s="169" t="str">
        <f t="shared" si="127"/>
        <v>|CffBF00FF【稀有】白虎|r</v>
      </c>
      <c r="K310" s="169" t="str">
        <f t="shared" si="128"/>
        <v>致命倍率|Cffffc926+10%|n|n|r|Cffff00bf【白虎】|r+|Cffff00bf【白虎】|r=|Cffffc926【神威虎爪】|n|n|r|Cff00ff7f点击穿戴或脱卸。|r</v>
      </c>
      <c r="L310" s="27"/>
      <c r="M310" s="170" t="str">
        <f>VLOOKUP(LEFT(RIGHT(B310,5),4),物品!B:CU,20,FALSE)</f>
        <v>ReplaceableTextures\\CommandButtons\\BTNSST01.blp</v>
      </c>
      <c r="N310" s="188" t="s">
        <v>83</v>
      </c>
      <c r="O310" s="170" t="s">
        <v>94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171" t="s">
        <v>103</v>
      </c>
      <c r="X310" s="27">
        <v>0</v>
      </c>
      <c r="Y310" s="188" t="s">
        <v>83</v>
      </c>
      <c r="Z310" s="27">
        <v>0</v>
      </c>
      <c r="AA310" s="27">
        <v>0</v>
      </c>
      <c r="AB310" s="27">
        <v>5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/>
      <c r="AJ310" s="27"/>
      <c r="AK310" s="27">
        <v>1</v>
      </c>
      <c r="AL310" s="27">
        <v>1</v>
      </c>
      <c r="AM310" s="188" t="s">
        <v>83</v>
      </c>
      <c r="AN310" s="27">
        <v>0</v>
      </c>
      <c r="AO310" s="27">
        <v>0</v>
      </c>
      <c r="AP310" s="27">
        <v>1</v>
      </c>
    </row>
    <row r="311" ht="14.4" spans="1:42">
      <c r="A311" s="167"/>
      <c r="B311" s="27" t="str">
        <f>物品!B311</f>
        <v>IK02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|CffBF00FF【稀有】玄武|r</v>
      </c>
      <c r="I311" s="27" t="str">
        <f>VLOOKUP(B311,物品!B:CV,99,FALSE)</f>
        <v>最大生命|Cffffc926+10%|n|n|r|Cffff00bf【玄武】|r+|Cffff00bf【玄武】|r=|Cffffc926【佛陀舍利】|n|n|r|Cff00ff7f点击穿戴或脱卸。|r</v>
      </c>
      <c r="J311" s="169" t="str">
        <f t="shared" ref="J311:J338" si="133">H311</f>
        <v>|CffBF00FF【稀有】玄武|r</v>
      </c>
      <c r="K311" s="169" t="str">
        <f t="shared" ref="K311:K338" si="134">I311</f>
        <v>最大生命|Cffffc926+10%|n|n|r|Cffff00bf【玄武】|r+|Cffff00bf【玄武】|r=|Cffffc926【佛陀舍利】|n|n|r|Cff00ff7f点击穿戴或脱卸。|r</v>
      </c>
      <c r="L311" s="27"/>
      <c r="M311" s="170" t="str">
        <f>VLOOKUP(LEFT(RIGHT(B311,5),4),物品!B:CU,20,FALSE)</f>
        <v>ReplaceableTextures\\CommandButtons\\BTNSST02.blp</v>
      </c>
      <c r="N311" s="188" t="s">
        <v>83</v>
      </c>
      <c r="O311" s="170" t="s">
        <v>94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171" t="s">
        <v>103</v>
      </c>
      <c r="X311" s="27">
        <v>0</v>
      </c>
      <c r="Y311" s="188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/>
      <c r="AJ311" s="27"/>
      <c r="AK311" s="27">
        <v>1</v>
      </c>
      <c r="AL311" s="27">
        <v>1</v>
      </c>
      <c r="AM311" s="188" t="s">
        <v>83</v>
      </c>
      <c r="AN311" s="27">
        <v>0</v>
      </c>
      <c r="AO311" s="27">
        <v>0</v>
      </c>
      <c r="AP311" s="27">
        <v>1</v>
      </c>
    </row>
    <row r="312" ht="14.4" spans="1:42">
      <c r="A312" s="167"/>
      <c r="B312" s="27" t="str">
        <f>物品!B312</f>
        <v>IK03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|CffBF00FF【稀有】帝魄|r</v>
      </c>
      <c r="I312" s="27" t="str">
        <f>VLOOKUP(B312,物品!B:CV,99,FALSE)</f>
        <v>道兵伤害|Cffffc926+30%|n|n|r|Cffff00bf【帝魄】|r+|Cffff00bf【帝魄】|r=|Cffffc926【昊天帝玉】|n|n|r|Cff00ff7f点击穿戴或脱卸。|r</v>
      </c>
      <c r="J312" s="169" t="str">
        <f t="shared" si="133"/>
        <v>|CffBF00FF【稀有】帝魄|r</v>
      </c>
      <c r="K312" s="169" t="str">
        <f t="shared" si="134"/>
        <v>道兵伤害|Cffffc926+30%|n|n|r|Cffff00bf【帝魄】|r+|Cffff00bf【帝魄】|r=|Cffffc926【昊天帝玉】|n|n|r|Cff00ff7f点击穿戴或脱卸。|r</v>
      </c>
      <c r="L312" s="27"/>
      <c r="M312" s="170" t="str">
        <f>VLOOKUP(LEFT(RIGHT(B312,5),4),物品!B:CU,20,FALSE)</f>
        <v>ReplaceableTextures\\CommandButtons\\BTNSST03.blp</v>
      </c>
      <c r="N312" s="188" t="s">
        <v>83</v>
      </c>
      <c r="O312" s="170" t="s">
        <v>94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171" t="s">
        <v>103</v>
      </c>
      <c r="X312" s="27">
        <v>0</v>
      </c>
      <c r="Y312" s="188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/>
      <c r="AJ312" s="27"/>
      <c r="AK312" s="27">
        <v>1</v>
      </c>
      <c r="AL312" s="27">
        <v>1</v>
      </c>
      <c r="AM312" s="188" t="s">
        <v>83</v>
      </c>
      <c r="AN312" s="27">
        <v>0</v>
      </c>
      <c r="AO312" s="27">
        <v>0</v>
      </c>
      <c r="AP312" s="27">
        <v>1</v>
      </c>
    </row>
    <row r="313" ht="14.4" spans="1:42">
      <c r="A313" s="167"/>
      <c r="B313" s="27" t="str">
        <f>物品!B313</f>
        <v>IK04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|CffBF00FF【稀有】青龙|r</v>
      </c>
      <c r="I313" s="27" t="str">
        <f>VLOOKUP(B313,物品!B:CV,99,FALSE)</f>
        <v>攻击|Cffffc926+30000|r，攻击|Cffffc926+6%|n|n|r|Cffff00bf【青龙】|r+|Cffff00bf【青龙】|r=|Cffffc926【应龙珠】|n|n|r|Cff00ff7f点击穿戴或脱卸。|r</v>
      </c>
      <c r="J313" s="169" t="str">
        <f t="shared" si="133"/>
        <v>|CffBF00FF【稀有】青龙|r</v>
      </c>
      <c r="K313" s="169" t="str">
        <f t="shared" si="134"/>
        <v>攻击|Cffffc926+30000|r，攻击|Cffffc926+6%|n|n|r|Cffff00bf【青龙】|r+|Cffff00bf【青龙】|r=|Cffffc926【应龙珠】|n|n|r|Cff00ff7f点击穿戴或脱卸。|r</v>
      </c>
      <c r="L313" s="27"/>
      <c r="M313" s="170" t="str">
        <f>VLOOKUP(LEFT(RIGHT(B313,5),4),物品!B:CU,20,FALSE)</f>
        <v>ReplaceableTextures\\CommandButtons\\BTNSST04.blp</v>
      </c>
      <c r="N313" s="188" t="s">
        <v>83</v>
      </c>
      <c r="O313" s="170" t="s">
        <v>94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171" t="s">
        <v>103</v>
      </c>
      <c r="X313" s="27">
        <v>0</v>
      </c>
      <c r="Y313" s="188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/>
      <c r="AJ313" s="27"/>
      <c r="AK313" s="27">
        <v>1</v>
      </c>
      <c r="AL313" s="27">
        <v>1</v>
      </c>
      <c r="AM313" s="188" t="s">
        <v>83</v>
      </c>
      <c r="AN313" s="27">
        <v>0</v>
      </c>
      <c r="AO313" s="27">
        <v>0</v>
      </c>
      <c r="AP313" s="27">
        <v>1</v>
      </c>
    </row>
    <row r="314" ht="14.4" spans="1:42">
      <c r="A314" s="167"/>
      <c r="B314" s="27" t="str">
        <f>物品!B314</f>
        <v>IK05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|CffBF00FF【稀有】白泽|r</v>
      </c>
      <c r="I314" s="27" t="str">
        <f>VLOOKUP(B314,物品!B:CV,99,FALSE)</f>
        <v>护甲穿透|Cffffc926+80|n|n|r|Cffff00bf【白泽】|r+|Cffff00bf【白泽】|r=|Cffffc926【白泽之灵】|n|n|r|Cff00ff7f点击穿戴或脱卸。|r</v>
      </c>
      <c r="J314" s="169" t="str">
        <f t="shared" si="133"/>
        <v>|CffBF00FF【稀有】白泽|r</v>
      </c>
      <c r="K314" s="169" t="str">
        <f t="shared" si="134"/>
        <v>护甲穿透|Cffffc926+80|n|n|r|Cffff00bf【白泽】|r+|Cffff00bf【白泽】|r=|Cffffc926【白泽之灵】|n|n|r|Cff00ff7f点击穿戴或脱卸。|r</v>
      </c>
      <c r="L314" s="27"/>
      <c r="M314" s="170" t="str">
        <f>VLOOKUP(LEFT(RIGHT(B314,5),4),物品!B:CU,20,FALSE)</f>
        <v>ReplaceableTextures\\CommandButtons\\BTNSST05.blp</v>
      </c>
      <c r="N314" s="188" t="s">
        <v>83</v>
      </c>
      <c r="O314" s="170" t="s">
        <v>94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171" t="s">
        <v>103</v>
      </c>
      <c r="X314" s="27">
        <v>0</v>
      </c>
      <c r="Y314" s="188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/>
      <c r="AJ314" s="27"/>
      <c r="AK314" s="27">
        <v>1</v>
      </c>
      <c r="AL314" s="27">
        <v>1</v>
      </c>
      <c r="AM314" s="188" t="s">
        <v>83</v>
      </c>
      <c r="AN314" s="27">
        <v>0</v>
      </c>
      <c r="AO314" s="27">
        <v>0</v>
      </c>
      <c r="AP314" s="27">
        <v>1</v>
      </c>
    </row>
    <row r="315" ht="14.4" spans="1:42">
      <c r="A315" s="167"/>
      <c r="B315" s="27" t="str">
        <f>物品!B315</f>
        <v>IK06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|CffBF00FF【稀有】麒麟|r</v>
      </c>
      <c r="I315" s="27" t="str">
        <f>VLOOKUP(B315,物品!B:CV,99,FALSE)</f>
        <v>暴击伤害|Cffffc926+30%|n|n|r|Cffff00bf【麒麟】|r+|Cffff00bf【麒麟】|r=|Cffffc926【麒麟心】|n|n|r|Cff00ff7f点击穿戴或脱卸。|r</v>
      </c>
      <c r="J315" s="169" t="str">
        <f t="shared" si="133"/>
        <v>|CffBF00FF【稀有】麒麟|r</v>
      </c>
      <c r="K315" s="169" t="str">
        <f t="shared" si="134"/>
        <v>暴击伤害|Cffffc926+30%|n|n|r|Cffff00bf【麒麟】|r+|Cffff00bf【麒麟】|r=|Cffffc926【麒麟心】|n|n|r|Cff00ff7f点击穿戴或脱卸。|r</v>
      </c>
      <c r="L315" s="27"/>
      <c r="M315" s="170" t="str">
        <f>VLOOKUP(LEFT(RIGHT(B315,5),4),物品!B:CU,20,FALSE)</f>
        <v>ReplaceableTextures\\CommandButtons\\BTNSST06.blp</v>
      </c>
      <c r="N315" s="188" t="s">
        <v>83</v>
      </c>
      <c r="O315" s="170" t="s">
        <v>94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171" t="s">
        <v>103</v>
      </c>
      <c r="X315" s="27">
        <v>0</v>
      </c>
      <c r="Y315" s="188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/>
      <c r="AJ315" s="27"/>
      <c r="AK315" s="27">
        <v>1</v>
      </c>
      <c r="AL315" s="27">
        <v>1</v>
      </c>
      <c r="AM315" s="188" t="s">
        <v>83</v>
      </c>
      <c r="AN315" s="27">
        <v>0</v>
      </c>
      <c r="AO315" s="27">
        <v>0</v>
      </c>
      <c r="AP315" s="27">
        <v>1</v>
      </c>
    </row>
    <row r="316" ht="14.4" spans="1:42">
      <c r="A316" s="167"/>
      <c r="B316" s="27" t="str">
        <f>物品!B316</f>
        <v>IK07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|CffBF00FF【稀有】腾蛇|r</v>
      </c>
      <c r="I316" s="27" t="str">
        <f>VLOOKUP(B316,物品!B:CV,99,FALSE)</f>
        <v>护甲|Cffffc926+60|n|n|r|Cffff00bf【腾蛇】|r+|Cffff00bf【腾蛇】|r=|Cffffc926【腾蛇之牙】|n|n|r|Cff00ff7f点击穿戴或脱卸。|r</v>
      </c>
      <c r="J316" s="169" t="str">
        <f t="shared" si="133"/>
        <v>|CffBF00FF【稀有】腾蛇|r</v>
      </c>
      <c r="K316" s="169" t="str">
        <f t="shared" si="134"/>
        <v>护甲|Cffffc926+60|n|n|r|Cffff00bf【腾蛇】|r+|Cffff00bf【腾蛇】|r=|Cffffc926【腾蛇之牙】|n|n|r|Cff00ff7f点击穿戴或脱卸。|r</v>
      </c>
      <c r="L316" s="27"/>
      <c r="M316" s="170" t="str">
        <f>VLOOKUP(LEFT(RIGHT(B316,5),4),物品!B:CU,20,FALSE)</f>
        <v>ReplaceableTextures\\CommandButtons\\BTNSST07.blp</v>
      </c>
      <c r="N316" s="188" t="s">
        <v>83</v>
      </c>
      <c r="O316" s="170" t="s">
        <v>94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171" t="s">
        <v>103</v>
      </c>
      <c r="X316" s="27">
        <v>0</v>
      </c>
      <c r="Y316" s="188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/>
      <c r="AJ316" s="27"/>
      <c r="AK316" s="27">
        <v>1</v>
      </c>
      <c r="AL316" s="27">
        <v>1</v>
      </c>
      <c r="AM316" s="188" t="s">
        <v>83</v>
      </c>
      <c r="AN316" s="27">
        <v>0</v>
      </c>
      <c r="AO316" s="27">
        <v>0</v>
      </c>
      <c r="AP316" s="27">
        <v>1</v>
      </c>
    </row>
    <row r="317" ht="14.4" spans="1:42">
      <c r="A317" s="167"/>
      <c r="B317" s="27" t="str">
        <f>物品!B317</f>
        <v>IK08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|CffBF00FF【稀有】朱雀|r</v>
      </c>
      <c r="I317" s="27" t="str">
        <f>VLOOKUP(B317,物品!B:CV,99,FALSE)</f>
        <v>业力|Cffffc926+30000|r，业力|Cffffc926+6%|n|n|r|Cffff00bf【朱雀】|r+|Cffff00bf【朱雀】|r=|Cffffc926【悟道碑石】|n|n|r|Cff00ff7f点击穿戴或脱卸。|r</v>
      </c>
      <c r="J317" s="169" t="str">
        <f t="shared" si="133"/>
        <v>|CffBF00FF【稀有】朱雀|r</v>
      </c>
      <c r="K317" s="169" t="str">
        <f t="shared" si="134"/>
        <v>业力|Cffffc926+30000|r，业力|Cffffc926+6%|n|n|r|Cffff00bf【朱雀】|r+|Cffff00bf【朱雀】|r=|Cffffc926【悟道碑石】|n|n|r|Cff00ff7f点击穿戴或脱卸。|r</v>
      </c>
      <c r="L317" s="27"/>
      <c r="M317" s="170" t="str">
        <f>VLOOKUP(LEFT(RIGHT(B317,5),4),物品!B:CU,20,FALSE)</f>
        <v>ReplaceableTextures\\CommandButtons\\BTNSST08.blp</v>
      </c>
      <c r="N317" s="188" t="s">
        <v>83</v>
      </c>
      <c r="O317" s="170" t="s">
        <v>94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171" t="s">
        <v>103</v>
      </c>
      <c r="X317" s="27">
        <v>0</v>
      </c>
      <c r="Y317" s="188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/>
      <c r="AJ317" s="27"/>
      <c r="AK317" s="27">
        <v>1</v>
      </c>
      <c r="AL317" s="27">
        <v>1</v>
      </c>
      <c r="AM317" s="188" t="s">
        <v>83</v>
      </c>
      <c r="AN317" s="27">
        <v>0</v>
      </c>
      <c r="AO317" s="27">
        <v>0</v>
      </c>
      <c r="AP317" s="27">
        <v>1</v>
      </c>
    </row>
    <row r="318" ht="14.4" spans="1:42">
      <c r="A318" s="167"/>
      <c r="B318" s="27" t="str">
        <f>物品!B318</f>
        <v>IK1A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|CffFFD24D【史诗】神威虎爪|r</v>
      </c>
      <c r="I318" s="27" t="str">
        <f>VLOOKUP(B318,物品!B:CV,99,FALSE)</f>
        <v>致命倍率|Cffffc926+300%|n|n|r|Cffaaaaaa○刻印槽 【空】|r|n|n|Cff00ff7f点击穿戴或脱卸。|r</v>
      </c>
      <c r="J318" s="169" t="str">
        <f t="shared" si="133"/>
        <v>|CffFFD24D【史诗】神威虎爪|r</v>
      </c>
      <c r="K318" s="169" t="str">
        <f t="shared" si="134"/>
        <v>致命倍率|Cffffc926+300%|n|n|r|Cffaaaaaa○刻印槽 【空】|r|n|n|Cff00ff7f点击穿戴或脱卸。|r</v>
      </c>
      <c r="L318" s="27"/>
      <c r="M318" s="170" t="str">
        <f>VLOOKUP(LEFT(RIGHT(B318,5),4),物品!B:CU,20,FALSE)</f>
        <v>ReplaceableTextures\\CommandButtons\\BTNSST09.blp</v>
      </c>
      <c r="N318" s="188" t="s">
        <v>83</v>
      </c>
      <c r="O318" s="170" t="s">
        <v>94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171" t="s">
        <v>103</v>
      </c>
      <c r="X318" s="27">
        <v>0</v>
      </c>
      <c r="Y318" s="188" t="s">
        <v>83</v>
      </c>
      <c r="Z318" s="27">
        <v>0</v>
      </c>
      <c r="AA318" s="27">
        <v>0</v>
      </c>
      <c r="AB318" s="27">
        <v>10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/>
      <c r="AJ318" s="27"/>
      <c r="AK318" s="27">
        <v>1</v>
      </c>
      <c r="AL318" s="27">
        <v>1</v>
      </c>
      <c r="AM318" s="188" t="s">
        <v>83</v>
      </c>
      <c r="AN318" s="27">
        <v>0</v>
      </c>
      <c r="AO318" s="27">
        <v>0</v>
      </c>
      <c r="AP318" s="27">
        <v>1</v>
      </c>
    </row>
    <row r="319" ht="14.4" spans="1:42">
      <c r="A319" s="167"/>
      <c r="B319" s="27" t="str">
        <f>物品!B319</f>
        <v>IK1B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致命倍率|Cffffc926+300%|n|n|r|Cffaaaaaa○|CffFFD24D金之刻印+1|r|r|n|n|Cff00ff7f点击穿戴或脱卸。|r</v>
      </c>
      <c r="J319" s="169" t="str">
        <f t="shared" si="133"/>
        <v>|CffFFD24D【史诗】神威虎爪|r</v>
      </c>
      <c r="K319" s="169" t="str">
        <f t="shared" si="134"/>
        <v>致命倍率|Cffffc926+300%|n|n|r|Cffaaaaaa○|CffFFD24D金之刻印+1|r|r|n|n|Cff00ff7f点击穿戴或脱卸。|r</v>
      </c>
      <c r="L319" s="27"/>
      <c r="M319" s="170" t="str">
        <f>VLOOKUP(LEFT(RIGHT(B319,5),4),物品!B:CU,20,FALSE)</f>
        <v>ReplaceableTextures\\CommandButtons\\BTNSST09.blp</v>
      </c>
      <c r="N319" s="188" t="s">
        <v>83</v>
      </c>
      <c r="O319" s="170" t="s">
        <v>94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171" t="s">
        <v>103</v>
      </c>
      <c r="X319" s="27">
        <v>0</v>
      </c>
      <c r="Y319" s="188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/>
      <c r="AJ319" s="27"/>
      <c r="AK319" s="27">
        <v>1</v>
      </c>
      <c r="AL319" s="27">
        <v>1</v>
      </c>
      <c r="AM319" s="188" t="s">
        <v>83</v>
      </c>
      <c r="AN319" s="27">
        <v>0</v>
      </c>
      <c r="AO319" s="27">
        <v>0</v>
      </c>
      <c r="AP319" s="27">
        <v>1</v>
      </c>
    </row>
    <row r="320" ht="14.4" spans="1:42">
      <c r="A320" s="167"/>
      <c r="B320" s="27" t="str">
        <f>物品!B320</f>
        <v>IK1C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致命倍率|Cffffc926+300%|n|n|r|Cffaaaaaa○|CffFFD24D木之刻印+1|r|r|n|n|Cff00ff7f点击穿戴或脱卸。|r</v>
      </c>
      <c r="J320" s="169" t="str">
        <f t="shared" si="133"/>
        <v>|CffFFD24D【史诗】神威虎爪|r</v>
      </c>
      <c r="K320" s="169" t="str">
        <f t="shared" si="134"/>
        <v>致命倍率|Cffffc926+300%|n|n|r|Cffaaaaaa○|CffFFD24D木之刻印+1|r|r|n|n|Cff00ff7f点击穿戴或脱卸。|r</v>
      </c>
      <c r="L320" s="27"/>
      <c r="M320" s="170" t="str">
        <f>VLOOKUP(LEFT(RIGHT(B320,5),4),物品!B:CU,20,FALSE)</f>
        <v>ReplaceableTextures\\CommandButtons\\BTNSST09.blp</v>
      </c>
      <c r="N320" s="188" t="s">
        <v>83</v>
      </c>
      <c r="O320" s="170" t="s">
        <v>94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171" t="s">
        <v>103</v>
      </c>
      <c r="X320" s="27">
        <v>0</v>
      </c>
      <c r="Y320" s="188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/>
      <c r="AJ320" s="27"/>
      <c r="AK320" s="27">
        <v>1</v>
      </c>
      <c r="AL320" s="27">
        <v>1</v>
      </c>
      <c r="AM320" s="188" t="s">
        <v>83</v>
      </c>
      <c r="AN320" s="27">
        <v>0</v>
      </c>
      <c r="AO320" s="27">
        <v>0</v>
      </c>
      <c r="AP320" s="27">
        <v>1</v>
      </c>
    </row>
    <row r="321" ht="14.4" spans="1:42">
      <c r="A321" s="167"/>
      <c r="B321" s="27" t="str">
        <f>物品!B321</f>
        <v>IK1D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致命倍率|Cffffc926+300%|n|n|r|Cffaaaaaa○|CffFFD24D水之刻印+1|r|r|n|n|Cff00ff7f点击穿戴或脱卸。|r</v>
      </c>
      <c r="J321" s="169" t="str">
        <f t="shared" si="133"/>
        <v>|CffFFD24D【史诗】神威虎爪|r</v>
      </c>
      <c r="K321" s="169" t="str">
        <f t="shared" si="134"/>
        <v>致命倍率|Cffffc926+300%|n|n|r|Cffaaaaaa○|CffFFD24D水之刻印+1|r|r|n|n|Cff00ff7f点击穿戴或脱卸。|r</v>
      </c>
      <c r="L321" s="27"/>
      <c r="M321" s="170" t="str">
        <f>VLOOKUP(LEFT(RIGHT(B321,5),4),物品!B:CU,20,FALSE)</f>
        <v>ReplaceableTextures\\CommandButtons\\BTNSST09.blp</v>
      </c>
      <c r="N321" s="188" t="s">
        <v>83</v>
      </c>
      <c r="O321" s="170" t="s">
        <v>94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171" t="s">
        <v>103</v>
      </c>
      <c r="X321" s="27">
        <v>0</v>
      </c>
      <c r="Y321" s="188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/>
      <c r="AJ321" s="27"/>
      <c r="AK321" s="27">
        <v>1</v>
      </c>
      <c r="AL321" s="27">
        <v>1</v>
      </c>
      <c r="AM321" s="188" t="s">
        <v>83</v>
      </c>
      <c r="AN321" s="27">
        <v>0</v>
      </c>
      <c r="AO321" s="27">
        <v>0</v>
      </c>
      <c r="AP321" s="27">
        <v>1</v>
      </c>
    </row>
    <row r="322" ht="14.4" spans="1:42">
      <c r="A322" s="167"/>
      <c r="B322" s="27" t="str">
        <f>物品!B322</f>
        <v>IK1E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致命倍率|Cffffc926+300%|n|n|r|Cffaaaaaa○|CffFFD24D火之刻印+1|r|r|n|n|Cff00ff7f点击穿戴或脱卸。|r</v>
      </c>
      <c r="J322" s="169" t="str">
        <f t="shared" si="133"/>
        <v>|CffFFD24D【史诗】神威虎爪|r</v>
      </c>
      <c r="K322" s="169" t="str">
        <f t="shared" si="134"/>
        <v>致命倍率|Cffffc926+300%|n|n|r|Cffaaaaaa○|CffFFD24D火之刻印+1|r|r|n|n|Cff00ff7f点击穿戴或脱卸。|r</v>
      </c>
      <c r="L322" s="27"/>
      <c r="M322" s="170" t="str">
        <f>VLOOKUP(LEFT(RIGHT(B322,5),4),物品!B:CU,20,FALSE)</f>
        <v>ReplaceableTextures\\CommandButtons\\BTNSST09.blp</v>
      </c>
      <c r="N322" s="188" t="s">
        <v>83</v>
      </c>
      <c r="O322" s="170" t="s">
        <v>94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171" t="s">
        <v>103</v>
      </c>
      <c r="X322" s="27">
        <v>0</v>
      </c>
      <c r="Y322" s="188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/>
      <c r="AJ322" s="27"/>
      <c r="AK322" s="27">
        <v>1</v>
      </c>
      <c r="AL322" s="27">
        <v>1</v>
      </c>
      <c r="AM322" s="188" t="s">
        <v>83</v>
      </c>
      <c r="AN322" s="27">
        <v>0</v>
      </c>
      <c r="AO322" s="27">
        <v>0</v>
      </c>
      <c r="AP322" s="27">
        <v>1</v>
      </c>
    </row>
    <row r="323" ht="14.4" spans="1:42">
      <c r="A323" s="167"/>
      <c r="B323" s="27" t="str">
        <f>物品!B323</f>
        <v>IK1F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致命倍率|Cffffc926+300%|n|n|r|Cffaaaaaa○|CffFFD24D土之刻印+1|r|r|n|n|Cff00ff7f点击穿戴或脱卸。|r</v>
      </c>
      <c r="J323" s="169" t="str">
        <f t="shared" si="133"/>
        <v>|CffFFD24D【史诗】神威虎爪|r</v>
      </c>
      <c r="K323" s="169" t="str">
        <f t="shared" si="134"/>
        <v>致命倍率|Cffffc926+300%|n|n|r|Cffaaaaaa○|CffFFD24D土之刻印+1|r|r|n|n|Cff00ff7f点击穿戴或脱卸。|r</v>
      </c>
      <c r="L323" s="27"/>
      <c r="M323" s="170" t="str">
        <f>VLOOKUP(LEFT(RIGHT(B323,5),4),物品!B:CU,20,FALSE)</f>
        <v>ReplaceableTextures\\CommandButtons\\BTNSST09.blp</v>
      </c>
      <c r="N323" s="188" t="s">
        <v>83</v>
      </c>
      <c r="O323" s="170" t="s">
        <v>94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171" t="s">
        <v>103</v>
      </c>
      <c r="X323" s="27">
        <v>0</v>
      </c>
      <c r="Y323" s="188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/>
      <c r="AJ323" s="27"/>
      <c r="AK323" s="27">
        <v>1</v>
      </c>
      <c r="AL323" s="27">
        <v>1</v>
      </c>
      <c r="AM323" s="188" t="s">
        <v>83</v>
      </c>
      <c r="AN323" s="27">
        <v>0</v>
      </c>
      <c r="AO323" s="27">
        <v>0</v>
      </c>
      <c r="AP323" s="27">
        <v>1</v>
      </c>
    </row>
    <row r="324" ht="14.4" spans="1:42">
      <c r="A324" s="167"/>
      <c r="B324" s="27" t="str">
        <f>物品!B324</f>
        <v>IK1G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致命倍率|Cffffc926+300%|n|n|r|Cffaaaaaa○|CffFFD24D雷之刻印+1|r|r|n|n|Cff00ff7f点击穿戴或脱卸。|r</v>
      </c>
      <c r="J324" s="169" t="str">
        <f t="shared" si="133"/>
        <v>|CffFFD24D【史诗】神威虎爪|r</v>
      </c>
      <c r="K324" s="169" t="str">
        <f t="shared" si="134"/>
        <v>致命倍率|Cffffc926+300%|n|n|r|Cffaaaaaa○|CffFFD24D雷之刻印+1|r|r|n|n|Cff00ff7f点击穿戴或脱卸。|r</v>
      </c>
      <c r="L324" s="27"/>
      <c r="M324" s="170" t="str">
        <f>VLOOKUP(LEFT(RIGHT(B324,5),4),物品!B:CU,20,FALSE)</f>
        <v>ReplaceableTextures\\CommandButtons\\BTNSST09.blp</v>
      </c>
      <c r="N324" s="188" t="s">
        <v>83</v>
      </c>
      <c r="O324" s="170" t="s">
        <v>94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171" t="s">
        <v>103</v>
      </c>
      <c r="X324" s="27">
        <v>0</v>
      </c>
      <c r="Y324" s="188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/>
      <c r="AJ324" s="27"/>
      <c r="AK324" s="27">
        <v>1</v>
      </c>
      <c r="AL324" s="27">
        <v>1</v>
      </c>
      <c r="AM324" s="188" t="s">
        <v>83</v>
      </c>
      <c r="AN324" s="27">
        <v>0</v>
      </c>
      <c r="AO324" s="27">
        <v>0</v>
      </c>
      <c r="AP324" s="27">
        <v>1</v>
      </c>
    </row>
    <row r="325" ht="14.4" spans="1:42">
      <c r="A325" s="167"/>
      <c r="B325" s="27" t="str">
        <f>物品!B325</f>
        <v>IK1H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致命倍率|Cffffc926+300%|n|n|r|Cffaaaaaa○|CffFFD24D光之刻印+1|r|r|n|n|Cff00ff7f点击穿戴或脱卸。|r</v>
      </c>
      <c r="J325" s="169" t="str">
        <f t="shared" si="133"/>
        <v>|CffFFD24D【史诗】神威虎爪|r</v>
      </c>
      <c r="K325" s="169" t="str">
        <f t="shared" si="134"/>
        <v>致命倍率|Cffffc926+300%|n|n|r|Cffaaaaaa○|CffFFD24D光之刻印+1|r|r|n|n|Cff00ff7f点击穿戴或脱卸。|r</v>
      </c>
      <c r="L325" s="27"/>
      <c r="M325" s="170" t="str">
        <f>VLOOKUP(LEFT(RIGHT(B325,5),4),物品!B:CU,20,FALSE)</f>
        <v>ReplaceableTextures\\CommandButtons\\BTNSST09.blp</v>
      </c>
      <c r="N325" s="188" t="s">
        <v>83</v>
      </c>
      <c r="O325" s="170" t="s">
        <v>94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171" t="s">
        <v>103</v>
      </c>
      <c r="X325" s="27">
        <v>0</v>
      </c>
      <c r="Y325" s="188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/>
      <c r="AJ325" s="27"/>
      <c r="AK325" s="27">
        <v>1</v>
      </c>
      <c r="AL325" s="27">
        <v>1</v>
      </c>
      <c r="AM325" s="188" t="s">
        <v>83</v>
      </c>
      <c r="AN325" s="27">
        <v>0</v>
      </c>
      <c r="AO325" s="27">
        <v>0</v>
      </c>
      <c r="AP325" s="27">
        <v>1</v>
      </c>
    </row>
    <row r="326" ht="14.4" spans="1:42">
      <c r="A326" s="167"/>
      <c r="B326" s="27" t="str">
        <f>物品!B326</f>
        <v>IK1I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致命倍率|Cffffc926+300%|n|n|r|Cffaaaaaa○|CffFFD24D暗之刻印+1|r|r|n|n|Cff00ff7f点击穿戴或脱卸。|r</v>
      </c>
      <c r="J326" s="169" t="str">
        <f t="shared" si="133"/>
        <v>|CffFFD24D【史诗】神威虎爪|r</v>
      </c>
      <c r="K326" s="169" t="str">
        <f t="shared" si="134"/>
        <v>致命倍率|Cffffc926+300%|n|n|r|Cffaaaaaa○|CffFFD24D暗之刻印+1|r|r|n|n|Cff00ff7f点击穿戴或脱卸。|r</v>
      </c>
      <c r="L326" s="27"/>
      <c r="M326" s="170" t="str">
        <f>VLOOKUP(LEFT(RIGHT(B326,5),4),物品!B:CU,20,FALSE)</f>
        <v>ReplaceableTextures\\CommandButtons\\BTNSST09.blp</v>
      </c>
      <c r="N326" s="188" t="s">
        <v>83</v>
      </c>
      <c r="O326" s="170" t="s">
        <v>94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171" t="s">
        <v>103</v>
      </c>
      <c r="X326" s="27">
        <v>0</v>
      </c>
      <c r="Y326" s="188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/>
      <c r="AJ326" s="27"/>
      <c r="AK326" s="27">
        <v>1</v>
      </c>
      <c r="AL326" s="27">
        <v>1</v>
      </c>
      <c r="AM326" s="188" t="s">
        <v>83</v>
      </c>
      <c r="AN326" s="27">
        <v>0</v>
      </c>
      <c r="AO326" s="27">
        <v>0</v>
      </c>
      <c r="AP326" s="27">
        <v>1</v>
      </c>
    </row>
    <row r="327" ht="14.4" spans="1:42">
      <c r="A327" s="167"/>
      <c r="B327" s="27" t="str">
        <f>物品!B327</f>
        <v>IK2A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|CffFFD24D【史诗】佛陀舍利|r</v>
      </c>
      <c r="I327" s="27" t="str">
        <f>VLOOKUP(B327,物品!B:CV,99,FALSE)</f>
        <v>最大生命|Cffffc926+20%|n|n|r|Cffaaaaaa○刻印槽 【空】|r|n|n|Cff00ff7f点击穿戴或脱卸。|r</v>
      </c>
      <c r="J327" s="169" t="str">
        <f t="shared" si="133"/>
        <v>|CffFFD24D【史诗】佛陀舍利|r</v>
      </c>
      <c r="K327" s="169" t="str">
        <f t="shared" si="134"/>
        <v>最大生命|Cffffc926+20%|n|n|r|Cffaaaaaa○刻印槽 【空】|r|n|n|Cff00ff7f点击穿戴或脱卸。|r</v>
      </c>
      <c r="L327" s="27"/>
      <c r="M327" s="170" t="str">
        <f>VLOOKUP(LEFT(RIGHT(B327,5),4),物品!B:CU,20,FALSE)</f>
        <v>ReplaceableTextures\\CommandButtons\\BTNSST10.blp</v>
      </c>
      <c r="N327" s="188" t="s">
        <v>83</v>
      </c>
      <c r="O327" s="170" t="s">
        <v>94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171" t="s">
        <v>103</v>
      </c>
      <c r="X327" s="27">
        <v>0</v>
      </c>
      <c r="Y327" s="188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/>
      <c r="AJ327" s="27"/>
      <c r="AK327" s="27">
        <v>1</v>
      </c>
      <c r="AL327" s="27">
        <v>1</v>
      </c>
      <c r="AM327" s="188" t="s">
        <v>83</v>
      </c>
      <c r="AN327" s="27">
        <v>0</v>
      </c>
      <c r="AO327" s="27">
        <v>0</v>
      </c>
      <c r="AP327" s="27">
        <v>1</v>
      </c>
    </row>
    <row r="328" ht="14.4" spans="1:42">
      <c r="A328" s="167"/>
      <c r="B328" s="27" t="str">
        <f>物品!B328</f>
        <v>IK2B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最大生命|Cffffc926+20%|n|n|r|Cffaaaaaa○|CffFFD24D金之刻印+1|r|r|n|n|Cff00ff7f点击穿戴或脱卸。|r</v>
      </c>
      <c r="J328" s="169" t="str">
        <f t="shared" si="133"/>
        <v>|CffFFD24D【史诗】佛陀舍利|r</v>
      </c>
      <c r="K328" s="169" t="str">
        <f t="shared" si="134"/>
        <v>最大生命|Cffffc926+20%|n|n|r|Cffaaaaaa○|CffFFD24D金之刻印+1|r|r|n|n|Cff00ff7f点击穿戴或脱卸。|r</v>
      </c>
      <c r="L328" s="27"/>
      <c r="M328" s="170" t="str">
        <f>VLOOKUP(LEFT(RIGHT(B328,5),4),物品!B:CU,20,FALSE)</f>
        <v>ReplaceableTextures\\CommandButtons\\BTNSST10.blp</v>
      </c>
      <c r="N328" s="188" t="s">
        <v>83</v>
      </c>
      <c r="O328" s="170" t="s">
        <v>94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171" t="s">
        <v>103</v>
      </c>
      <c r="X328" s="27">
        <v>0</v>
      </c>
      <c r="Y328" s="188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/>
      <c r="AJ328" s="27"/>
      <c r="AK328" s="27">
        <v>1</v>
      </c>
      <c r="AL328" s="27">
        <v>1</v>
      </c>
      <c r="AM328" s="188" t="s">
        <v>83</v>
      </c>
      <c r="AN328" s="27">
        <v>0</v>
      </c>
      <c r="AO328" s="27">
        <v>0</v>
      </c>
      <c r="AP328" s="27">
        <v>1</v>
      </c>
    </row>
    <row r="329" ht="14.4" spans="1:42">
      <c r="A329" s="167"/>
      <c r="B329" s="27" t="str">
        <f>物品!B329</f>
        <v>IK2C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最大生命|Cffffc926+20%|n|n|r|Cffaaaaaa○|CffFFD24D木之刻印+1|r|r|n|n|Cff00ff7f点击穿戴或脱卸。|r</v>
      </c>
      <c r="J329" s="169" t="str">
        <f t="shared" si="133"/>
        <v>|CffFFD24D【史诗】佛陀舍利|r</v>
      </c>
      <c r="K329" s="169" t="str">
        <f t="shared" si="134"/>
        <v>最大生命|Cffffc926+20%|n|n|r|Cffaaaaaa○|CffFFD24D木之刻印+1|r|r|n|n|Cff00ff7f点击穿戴或脱卸。|r</v>
      </c>
      <c r="L329" s="27"/>
      <c r="M329" s="170" t="str">
        <f>VLOOKUP(LEFT(RIGHT(B329,5),4),物品!B:CU,20,FALSE)</f>
        <v>ReplaceableTextures\\CommandButtons\\BTNSST10.blp</v>
      </c>
      <c r="N329" s="188" t="s">
        <v>83</v>
      </c>
      <c r="O329" s="170" t="s">
        <v>94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171" t="s">
        <v>103</v>
      </c>
      <c r="X329" s="27">
        <v>0</v>
      </c>
      <c r="Y329" s="188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/>
      <c r="AJ329" s="27"/>
      <c r="AK329" s="27">
        <v>1</v>
      </c>
      <c r="AL329" s="27">
        <v>1</v>
      </c>
      <c r="AM329" s="188" t="s">
        <v>83</v>
      </c>
      <c r="AN329" s="27">
        <v>0</v>
      </c>
      <c r="AO329" s="27">
        <v>0</v>
      </c>
      <c r="AP329" s="27">
        <v>1</v>
      </c>
    </row>
    <row r="330" ht="14.4" spans="1:42">
      <c r="A330" s="167"/>
      <c r="B330" s="27" t="str">
        <f>物品!B330</f>
        <v>IK2D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最大生命|Cffffc926+20%|n|n|r|Cffaaaaaa○|CffFFD24D水之刻印+1|r|r|n|n|Cff00ff7f点击穿戴或脱卸。|r</v>
      </c>
      <c r="J330" s="169" t="str">
        <f t="shared" si="133"/>
        <v>|CffFFD24D【史诗】佛陀舍利|r</v>
      </c>
      <c r="K330" s="169" t="str">
        <f t="shared" si="134"/>
        <v>最大生命|Cffffc926+20%|n|n|r|Cffaaaaaa○|CffFFD24D水之刻印+1|r|r|n|n|Cff00ff7f点击穿戴或脱卸。|r</v>
      </c>
      <c r="L330" s="27"/>
      <c r="M330" s="170" t="str">
        <f>VLOOKUP(LEFT(RIGHT(B330,5),4),物品!B:CU,20,FALSE)</f>
        <v>ReplaceableTextures\\CommandButtons\\BTNSST10.blp</v>
      </c>
      <c r="N330" s="188" t="s">
        <v>83</v>
      </c>
      <c r="O330" s="170" t="s">
        <v>94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171" t="s">
        <v>103</v>
      </c>
      <c r="X330" s="27">
        <v>0</v>
      </c>
      <c r="Y330" s="188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/>
      <c r="AJ330" s="27"/>
      <c r="AK330" s="27">
        <v>1</v>
      </c>
      <c r="AL330" s="27">
        <v>1</v>
      </c>
      <c r="AM330" s="188" t="s">
        <v>83</v>
      </c>
      <c r="AN330" s="27">
        <v>0</v>
      </c>
      <c r="AO330" s="27">
        <v>0</v>
      </c>
      <c r="AP330" s="27">
        <v>1</v>
      </c>
    </row>
    <row r="331" ht="14.4" spans="1:42">
      <c r="A331" s="167"/>
      <c r="B331" s="27" t="str">
        <f>物品!B331</f>
        <v>IK2E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最大生命|Cffffc926+20%|n|n|r|Cffaaaaaa○|CffFFD24D火之刻印+1|r|r|n|n|Cff00ff7f点击穿戴或脱卸。|r</v>
      </c>
      <c r="J331" s="169" t="str">
        <f t="shared" si="133"/>
        <v>|CffFFD24D【史诗】佛陀舍利|r</v>
      </c>
      <c r="K331" s="169" t="str">
        <f t="shared" si="134"/>
        <v>最大生命|Cffffc926+20%|n|n|r|Cffaaaaaa○|CffFFD24D火之刻印+1|r|r|n|n|Cff00ff7f点击穿戴或脱卸。|r</v>
      </c>
      <c r="L331" s="27"/>
      <c r="M331" s="170" t="str">
        <f>VLOOKUP(LEFT(RIGHT(B331,5),4),物品!B:CU,20,FALSE)</f>
        <v>ReplaceableTextures\\CommandButtons\\BTNSST10.blp</v>
      </c>
      <c r="N331" s="188" t="s">
        <v>83</v>
      </c>
      <c r="O331" s="170" t="s">
        <v>94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171" t="s">
        <v>103</v>
      </c>
      <c r="X331" s="27">
        <v>0</v>
      </c>
      <c r="Y331" s="188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/>
      <c r="AJ331" s="27"/>
      <c r="AK331" s="27">
        <v>1</v>
      </c>
      <c r="AL331" s="27">
        <v>1</v>
      </c>
      <c r="AM331" s="188" t="s">
        <v>83</v>
      </c>
      <c r="AN331" s="27">
        <v>0</v>
      </c>
      <c r="AO331" s="27">
        <v>0</v>
      </c>
      <c r="AP331" s="27">
        <v>1</v>
      </c>
    </row>
    <row r="332" ht="14.4" spans="1:42">
      <c r="A332" s="167"/>
      <c r="B332" s="27" t="str">
        <f>物品!B332</f>
        <v>IK2F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最大生命|Cffffc926+20%|n|n|r|Cffaaaaaa○|CffFFD24D土之刻印+1|r|r|n|n|Cff00ff7f点击穿戴或脱卸。|r</v>
      </c>
      <c r="J332" s="169" t="str">
        <f t="shared" si="133"/>
        <v>|CffFFD24D【史诗】佛陀舍利|r</v>
      </c>
      <c r="K332" s="169" t="str">
        <f t="shared" si="134"/>
        <v>最大生命|Cffffc926+20%|n|n|r|Cffaaaaaa○|CffFFD24D土之刻印+1|r|r|n|n|Cff00ff7f点击穿戴或脱卸。|r</v>
      </c>
      <c r="L332" s="27"/>
      <c r="M332" s="170" t="str">
        <f>VLOOKUP(LEFT(RIGHT(B332,5),4),物品!B:CU,20,FALSE)</f>
        <v>ReplaceableTextures\\CommandButtons\\BTNSST10.blp</v>
      </c>
      <c r="N332" s="188" t="s">
        <v>83</v>
      </c>
      <c r="O332" s="170" t="s">
        <v>94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171" t="s">
        <v>103</v>
      </c>
      <c r="X332" s="27">
        <v>0</v>
      </c>
      <c r="Y332" s="188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/>
      <c r="AJ332" s="27"/>
      <c r="AK332" s="27">
        <v>1</v>
      </c>
      <c r="AL332" s="27">
        <v>1</v>
      </c>
      <c r="AM332" s="188" t="s">
        <v>83</v>
      </c>
      <c r="AN332" s="27">
        <v>0</v>
      </c>
      <c r="AO332" s="27">
        <v>0</v>
      </c>
      <c r="AP332" s="27">
        <v>1</v>
      </c>
    </row>
    <row r="333" ht="14.4" spans="1:42">
      <c r="A333" s="167"/>
      <c r="B333" s="27" t="str">
        <f>物品!B333</f>
        <v>IK2G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最大生命|Cffffc926+20%|n|n|r|Cffaaaaaa○|CffFFD24D雷之刻印+1|r|r|n|n|Cff00ff7f点击穿戴或脱卸。|r</v>
      </c>
      <c r="J333" s="169" t="str">
        <f t="shared" si="133"/>
        <v>|CffFFD24D【史诗】佛陀舍利|r</v>
      </c>
      <c r="K333" s="169" t="str">
        <f t="shared" si="134"/>
        <v>最大生命|Cffffc926+20%|n|n|r|Cffaaaaaa○|CffFFD24D雷之刻印+1|r|r|n|n|Cff00ff7f点击穿戴或脱卸。|r</v>
      </c>
      <c r="L333" s="27"/>
      <c r="M333" s="170" t="str">
        <f>VLOOKUP(LEFT(RIGHT(B333,5),4),物品!B:CU,20,FALSE)</f>
        <v>ReplaceableTextures\\CommandButtons\\BTNSST10.blp</v>
      </c>
      <c r="N333" s="188" t="s">
        <v>83</v>
      </c>
      <c r="O333" s="170" t="s">
        <v>94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171" t="s">
        <v>103</v>
      </c>
      <c r="X333" s="27">
        <v>0</v>
      </c>
      <c r="Y333" s="188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/>
      <c r="AJ333" s="27"/>
      <c r="AK333" s="27">
        <v>1</v>
      </c>
      <c r="AL333" s="27">
        <v>1</v>
      </c>
      <c r="AM333" s="188" t="s">
        <v>83</v>
      </c>
      <c r="AN333" s="27">
        <v>0</v>
      </c>
      <c r="AO333" s="27">
        <v>0</v>
      </c>
      <c r="AP333" s="27">
        <v>1</v>
      </c>
    </row>
    <row r="334" ht="14.4" spans="1:42">
      <c r="A334" s="167"/>
      <c r="B334" s="27" t="str">
        <f>物品!B334</f>
        <v>IK2H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最大生命|Cffffc926+20%|n|n|r|Cffaaaaaa○|CffFFD24D光之刻印+1|r|r|n|n|Cff00ff7f点击穿戴或脱卸。|r</v>
      </c>
      <c r="J334" s="169" t="str">
        <f t="shared" si="133"/>
        <v>|CffFFD24D【史诗】佛陀舍利|r</v>
      </c>
      <c r="K334" s="169" t="str">
        <f t="shared" si="134"/>
        <v>最大生命|Cffffc926+20%|n|n|r|Cffaaaaaa○|CffFFD24D光之刻印+1|r|r|n|n|Cff00ff7f点击穿戴或脱卸。|r</v>
      </c>
      <c r="L334" s="27"/>
      <c r="M334" s="170" t="str">
        <f>VLOOKUP(LEFT(RIGHT(B334,5),4),物品!B:CU,20,FALSE)</f>
        <v>ReplaceableTextures\\CommandButtons\\BTNSST10.blp</v>
      </c>
      <c r="N334" s="188" t="s">
        <v>83</v>
      </c>
      <c r="O334" s="170" t="s">
        <v>94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171" t="s">
        <v>103</v>
      </c>
      <c r="X334" s="27">
        <v>0</v>
      </c>
      <c r="Y334" s="188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/>
      <c r="AJ334" s="27"/>
      <c r="AK334" s="27">
        <v>1</v>
      </c>
      <c r="AL334" s="27">
        <v>1</v>
      </c>
      <c r="AM334" s="188" t="s">
        <v>83</v>
      </c>
      <c r="AN334" s="27">
        <v>0</v>
      </c>
      <c r="AO334" s="27">
        <v>0</v>
      </c>
      <c r="AP334" s="27">
        <v>1</v>
      </c>
    </row>
    <row r="335" ht="14.4" spans="1:42">
      <c r="A335" s="167"/>
      <c r="B335" s="27" t="str">
        <f>物品!B335</f>
        <v>IK2I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最大生命|Cffffc926+20%|n|n|r|Cffaaaaaa○|CffFFD24D暗之刻印+1|r|r|n|n|Cff00ff7f点击穿戴或脱卸。|r</v>
      </c>
      <c r="J335" s="169" t="str">
        <f t="shared" si="133"/>
        <v>|CffFFD24D【史诗】佛陀舍利|r</v>
      </c>
      <c r="K335" s="169" t="str">
        <f t="shared" si="134"/>
        <v>最大生命|Cffffc926+20%|n|n|r|Cffaaaaaa○|CffFFD24D暗之刻印+1|r|r|n|n|Cff00ff7f点击穿戴或脱卸。|r</v>
      </c>
      <c r="L335" s="27"/>
      <c r="M335" s="170" t="str">
        <f>VLOOKUP(LEFT(RIGHT(B335,5),4),物品!B:CU,20,FALSE)</f>
        <v>ReplaceableTextures\\CommandButtons\\BTNSST10.blp</v>
      </c>
      <c r="N335" s="188" t="s">
        <v>83</v>
      </c>
      <c r="O335" s="170" t="s">
        <v>94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171" t="s">
        <v>103</v>
      </c>
      <c r="X335" s="27">
        <v>0</v>
      </c>
      <c r="Y335" s="188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/>
      <c r="AJ335" s="27"/>
      <c r="AK335" s="27">
        <v>1</v>
      </c>
      <c r="AL335" s="27">
        <v>1</v>
      </c>
      <c r="AM335" s="188" t="s">
        <v>83</v>
      </c>
      <c r="AN335" s="27">
        <v>0</v>
      </c>
      <c r="AO335" s="27">
        <v>0</v>
      </c>
      <c r="AP335" s="27">
        <v>1</v>
      </c>
    </row>
    <row r="336" ht="14.4" spans="1:42">
      <c r="A336" s="167"/>
      <c r="B336" s="27" t="str">
        <f>物品!B336</f>
        <v>IK3A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|CffFFD24D【史诗】昊天帝玉|r</v>
      </c>
      <c r="I336" s="27" t="str">
        <f>VLOOKUP(B336,物品!B:CV,99,FALSE)</f>
        <v>道兵伤害|Cffffc926+60%|n|n|r|Cffaaaaaa○刻印槽 【空】|r|n|n|Cff00ff7f点击穿戴或脱卸。|r</v>
      </c>
      <c r="J336" s="169" t="str">
        <f t="shared" si="133"/>
        <v>|CffFFD24D【史诗】昊天帝玉|r</v>
      </c>
      <c r="K336" s="169" t="str">
        <f t="shared" si="134"/>
        <v>道兵伤害|Cffffc926+60%|n|n|r|Cffaaaaaa○刻印槽 【空】|r|n|n|Cff00ff7f点击穿戴或脱卸。|r</v>
      </c>
      <c r="L336" s="27"/>
      <c r="M336" s="170" t="str">
        <f>VLOOKUP(LEFT(RIGHT(B336,5),4),物品!B:CU,20,FALSE)</f>
        <v>ReplaceableTextures\\CommandButtons\\BTNSST11.blp</v>
      </c>
      <c r="N336" s="188" t="s">
        <v>83</v>
      </c>
      <c r="O336" s="170" t="s">
        <v>94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171" t="s">
        <v>103</v>
      </c>
      <c r="X336" s="27">
        <v>0</v>
      </c>
      <c r="Y336" s="188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/>
      <c r="AJ336" s="27"/>
      <c r="AK336" s="27">
        <v>1</v>
      </c>
      <c r="AL336" s="27">
        <v>1</v>
      </c>
      <c r="AM336" s="188" t="s">
        <v>83</v>
      </c>
      <c r="AN336" s="27">
        <v>0</v>
      </c>
      <c r="AO336" s="27">
        <v>0</v>
      </c>
      <c r="AP336" s="27">
        <v>1</v>
      </c>
    </row>
    <row r="337" ht="14.4" spans="1:42">
      <c r="A337" s="167"/>
      <c r="B337" s="27" t="str">
        <f>物品!B337</f>
        <v>IK3B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道兵伤害|Cffffc926+60%|n|n|r|Cffaaaaaa○|CffFFD24D金之刻印+1|r|r|n|n|Cff00ff7f点击穿戴或脱卸。|r</v>
      </c>
      <c r="J337" s="169" t="str">
        <f t="shared" si="133"/>
        <v>|CffFFD24D【史诗】昊天帝玉|r</v>
      </c>
      <c r="K337" s="169" t="str">
        <f t="shared" si="134"/>
        <v>道兵伤害|Cffffc926+60%|n|n|r|Cffaaaaaa○|CffFFD24D金之刻印+1|r|r|n|n|Cff00ff7f点击穿戴或脱卸。|r</v>
      </c>
      <c r="L337" s="27"/>
      <c r="M337" s="170" t="str">
        <f>VLOOKUP(LEFT(RIGHT(B337,5),4),物品!B:CU,20,FALSE)</f>
        <v>ReplaceableTextures\\CommandButtons\\BTNSST11.blp</v>
      </c>
      <c r="N337" s="188" t="s">
        <v>83</v>
      </c>
      <c r="O337" s="170" t="s">
        <v>94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71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ht="14.4" spans="1:42">
      <c r="A338" s="167"/>
      <c r="B338" s="27" t="str">
        <f>物品!B338</f>
        <v>IK3C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道兵伤害|Cffffc926+60%|n|n|r|Cffaaaaaa○|CffFFD24D木之刻印+1|r|r|n|n|Cff00ff7f点击穿戴或脱卸。|r</v>
      </c>
      <c r="J338" s="169" t="str">
        <f t="shared" si="133"/>
        <v>|CffFFD24D【史诗】昊天帝玉|r</v>
      </c>
      <c r="K338" s="169" t="str">
        <f t="shared" si="134"/>
        <v>道兵伤害|Cffffc926+60%|n|n|r|Cffaaaaaa○|CffFFD24D木之刻印+1|r|r|n|n|Cff00ff7f点击穿戴或脱卸。|r</v>
      </c>
      <c r="L338" s="27"/>
      <c r="M338" s="170" t="str">
        <f>VLOOKUP(LEFT(RIGHT(B338,5),4),物品!B:CU,20,FALSE)</f>
        <v>ReplaceableTextures\\CommandButtons\\BTNSST11.blp</v>
      </c>
      <c r="N338" s="188" t="s">
        <v>83</v>
      </c>
      <c r="O338" s="170" t="s">
        <v>94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71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ht="14.4" spans="1:42">
      <c r="A339" s="167"/>
      <c r="B339" s="27" t="str">
        <f>物品!B339</f>
        <v>IK3D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道兵伤害|Cffffc926+60%|n|n|r|Cffaaaaaa○|CffFFD24D水之刻印+1|r|r|n|n|Cff00ff7f点击穿戴或脱卸。|r</v>
      </c>
      <c r="J339" s="169" t="str">
        <f t="shared" ref="J339:J397" si="135">H339</f>
        <v>|CffFFD24D【史诗】昊天帝玉|r</v>
      </c>
      <c r="K339" s="169" t="str">
        <f t="shared" ref="K339:K397" si="136">I339</f>
        <v>道兵伤害|Cffffc926+60%|n|n|r|Cffaaaaaa○|CffFFD24D水之刻印+1|r|r|n|n|Cff00ff7f点击穿戴或脱卸。|r</v>
      </c>
      <c r="L339" s="27"/>
      <c r="M339" s="170" t="str">
        <f>VLOOKUP(LEFT(RIGHT(B339,5),4),物品!B:CU,20,FALSE)</f>
        <v>ReplaceableTextures\\CommandButtons\\BTNSST11.blp</v>
      </c>
      <c r="N339" s="188" t="s">
        <v>83</v>
      </c>
      <c r="O339" s="170" t="s">
        <v>94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71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ht="14.4" spans="1:42">
      <c r="A340" s="167"/>
      <c r="B340" s="27" t="str">
        <f>物品!B340</f>
        <v>IK3E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道兵伤害|Cffffc926+60%|n|n|r|Cffaaaaaa○|CffFFD24D火之刻印+1|r|r|n|n|Cff00ff7f点击穿戴或脱卸。|r</v>
      </c>
      <c r="J340" s="169" t="str">
        <f t="shared" si="135"/>
        <v>|CffFFD24D【史诗】昊天帝玉|r</v>
      </c>
      <c r="K340" s="169" t="str">
        <f t="shared" si="136"/>
        <v>道兵伤害|Cffffc926+60%|n|n|r|Cffaaaaaa○|CffFFD24D火之刻印+1|r|r|n|n|Cff00ff7f点击穿戴或脱卸。|r</v>
      </c>
      <c r="L340" s="27"/>
      <c r="M340" s="170" t="str">
        <f>VLOOKUP(LEFT(RIGHT(B340,5),4),物品!B:CU,20,FALSE)</f>
        <v>ReplaceableTextures\\CommandButtons\\BTNSST11.blp</v>
      </c>
      <c r="N340" s="188" t="s">
        <v>83</v>
      </c>
      <c r="O340" s="170" t="s">
        <v>94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71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ht="14.4" spans="1:42">
      <c r="A341" s="167"/>
      <c r="B341" s="27" t="str">
        <f>物品!B341</f>
        <v>IK3F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道兵伤害|Cffffc926+60%|n|n|r|Cffaaaaaa○|CffFFD24D土之刻印+1|r|r|n|n|Cff00ff7f点击穿戴或脱卸。|r</v>
      </c>
      <c r="J341" s="169" t="str">
        <f t="shared" si="135"/>
        <v>|CffFFD24D【史诗】昊天帝玉|r</v>
      </c>
      <c r="K341" s="169" t="str">
        <f t="shared" si="136"/>
        <v>道兵伤害|Cffffc926+60%|n|n|r|Cffaaaaaa○|CffFFD24D土之刻印+1|r|r|n|n|Cff00ff7f点击穿戴或脱卸。|r</v>
      </c>
      <c r="L341" s="27"/>
      <c r="M341" s="170" t="str">
        <f>VLOOKUP(LEFT(RIGHT(B341,5),4),物品!B:CU,20,FALSE)</f>
        <v>ReplaceableTextures\\CommandButtons\\BTNSST11.blp</v>
      </c>
      <c r="N341" s="188" t="s">
        <v>83</v>
      </c>
      <c r="O341" s="170" t="s">
        <v>94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71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ht="14.4" spans="1:42">
      <c r="A342" s="167"/>
      <c r="B342" s="27" t="str">
        <f>物品!B342</f>
        <v>IK3G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道兵伤害|Cffffc926+60%|n|n|r|Cffaaaaaa○|CffFFD24D雷之刻印+1|r|r|n|n|Cff00ff7f点击穿戴或脱卸。|r</v>
      </c>
      <c r="J342" s="169" t="str">
        <f t="shared" si="135"/>
        <v>|CffFFD24D【史诗】昊天帝玉|r</v>
      </c>
      <c r="K342" s="169" t="str">
        <f t="shared" si="136"/>
        <v>道兵伤害|Cffffc926+60%|n|n|r|Cffaaaaaa○|CffFFD24D雷之刻印+1|r|r|n|n|Cff00ff7f点击穿戴或脱卸。|r</v>
      </c>
      <c r="L342" s="27"/>
      <c r="M342" s="170" t="str">
        <f>VLOOKUP(LEFT(RIGHT(B342,5),4),物品!B:CU,20,FALSE)</f>
        <v>ReplaceableTextures\\CommandButtons\\BTNSST11.blp</v>
      </c>
      <c r="N342" s="188" t="s">
        <v>83</v>
      </c>
      <c r="O342" s="170" t="s">
        <v>94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71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ht="14.4" spans="1:42">
      <c r="A343" s="167"/>
      <c r="B343" s="27" t="str">
        <f>物品!B343</f>
        <v>IK3H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道兵伤害|Cffffc926+60%|n|n|r|Cffaaaaaa○|CffFFD24D光之刻印+1|r|r|n|n|Cff00ff7f点击穿戴或脱卸。|r</v>
      </c>
      <c r="J343" s="169" t="str">
        <f t="shared" si="135"/>
        <v>|CffFFD24D【史诗】昊天帝玉|r</v>
      </c>
      <c r="K343" s="169" t="str">
        <f t="shared" si="136"/>
        <v>道兵伤害|Cffffc926+60%|n|n|r|Cffaaaaaa○|CffFFD24D光之刻印+1|r|r|n|n|Cff00ff7f点击穿戴或脱卸。|r</v>
      </c>
      <c r="L343" s="27"/>
      <c r="M343" s="170" t="str">
        <f>VLOOKUP(LEFT(RIGHT(B343,5),4),物品!B:CU,20,FALSE)</f>
        <v>ReplaceableTextures\\CommandButtons\\BTNSST11.blp</v>
      </c>
      <c r="N343" s="188" t="s">
        <v>83</v>
      </c>
      <c r="O343" s="170" t="s">
        <v>94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71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ht="14.4" spans="1:42">
      <c r="A344" s="167"/>
      <c r="B344" s="27" t="str">
        <f>物品!B344</f>
        <v>IK3I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道兵伤害|Cffffc926+60%|n|n|r|Cffaaaaaa○|CffFFD24D暗之刻印+1|r|r|n|n|Cff00ff7f点击穿戴或脱卸。|r</v>
      </c>
      <c r="J344" s="169" t="str">
        <f t="shared" si="135"/>
        <v>|CffFFD24D【史诗】昊天帝玉|r</v>
      </c>
      <c r="K344" s="169" t="str">
        <f t="shared" si="136"/>
        <v>道兵伤害|Cffffc926+60%|n|n|r|Cffaaaaaa○|CffFFD24D暗之刻印+1|r|r|n|n|Cff00ff7f点击穿戴或脱卸。|r</v>
      </c>
      <c r="L344" s="27"/>
      <c r="M344" s="170" t="str">
        <f>VLOOKUP(LEFT(RIGHT(B344,5),4),物品!B:CU,20,FALSE)</f>
        <v>ReplaceableTextures\\CommandButtons\\BTNSST11.blp</v>
      </c>
      <c r="N344" s="188" t="s">
        <v>83</v>
      </c>
      <c r="O344" s="170" t="s">
        <v>94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71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ht="14.4" spans="1:42">
      <c r="A345" s="167"/>
      <c r="B345" s="27" t="str">
        <f>物品!B345</f>
        <v>IK4A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|CffFFD24D【史诗】应龙珠|r</v>
      </c>
      <c r="I345" s="27" t="str">
        <f>VLOOKUP(B345,物品!B:CV,99,FALSE)</f>
        <v>攻击|Cffffc926+50000|r，攻击|Cffffc926+12%|n|n|r|Cffaaaaaa○刻印槽 【空】|r|n|n|Cff00ff7f点击穿戴或脱卸。|r</v>
      </c>
      <c r="J345" s="169" t="str">
        <f t="shared" si="135"/>
        <v>|CffFFD24D【史诗】应龙珠|r</v>
      </c>
      <c r="K345" s="169" t="str">
        <f t="shared" si="136"/>
        <v>攻击|Cffffc926+50000|r，攻击|Cffffc926+12%|n|n|r|Cffaaaaaa○刻印槽 【空】|r|n|n|Cff00ff7f点击穿戴或脱卸。|r</v>
      </c>
      <c r="L345" s="27"/>
      <c r="M345" s="170" t="str">
        <f>VLOOKUP(LEFT(RIGHT(B345,5),4),物品!B:CU,20,FALSE)</f>
        <v>ReplaceableTextures\\CommandButtons\\BTNSST12.blp</v>
      </c>
      <c r="N345" s="188" t="s">
        <v>83</v>
      </c>
      <c r="O345" s="170" t="s">
        <v>94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71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ht="14.4" spans="1:42">
      <c r="A346" s="167"/>
      <c r="B346" s="27" t="str">
        <f>物品!B346</f>
        <v>IK4B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攻击|Cffffc926+50000|r，攻击|Cffffc926+12%|n|n|r|Cffaaaaaa○|CffFFD24D金之刻印+1|r|r|n|n|Cff00ff7f点击穿戴或脱卸。|r</v>
      </c>
      <c r="J346" s="169" t="str">
        <f t="shared" si="135"/>
        <v>|CffFFD24D【史诗】应龙珠|r</v>
      </c>
      <c r="K346" s="169" t="str">
        <f t="shared" si="136"/>
        <v>攻击|Cffffc926+50000|r，攻击|Cffffc926+12%|n|n|r|Cffaaaaaa○|CffFFD24D金之刻印+1|r|r|n|n|Cff00ff7f点击穿戴或脱卸。|r</v>
      </c>
      <c r="L346" s="27"/>
      <c r="M346" s="170" t="str">
        <f>VLOOKUP(LEFT(RIGHT(B346,5),4),物品!B:CU,20,FALSE)</f>
        <v>ReplaceableTextures\\CommandButtons\\BTNSST12.blp</v>
      </c>
      <c r="N346" s="188" t="s">
        <v>83</v>
      </c>
      <c r="O346" s="170" t="s">
        <v>94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71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ht="14.4" spans="1:42">
      <c r="A347" s="167"/>
      <c r="B347" s="27" t="str">
        <f>物品!B347</f>
        <v>IK4C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攻击|Cffffc926+50000|r，攻击|Cffffc926+12%|n|n|r|Cffaaaaaa○|CffFFD24D木之刻印+1|r|r|n|n|Cff00ff7f点击穿戴或脱卸。|r</v>
      </c>
      <c r="J347" s="169" t="str">
        <f t="shared" si="135"/>
        <v>|CffFFD24D【史诗】应龙珠|r</v>
      </c>
      <c r="K347" s="169" t="str">
        <f t="shared" si="136"/>
        <v>攻击|Cffffc926+50000|r，攻击|Cffffc926+12%|n|n|r|Cffaaaaaa○|CffFFD24D木之刻印+1|r|r|n|n|Cff00ff7f点击穿戴或脱卸。|r</v>
      </c>
      <c r="L347" s="27"/>
      <c r="M347" s="170" t="str">
        <f>VLOOKUP(LEFT(RIGHT(B347,5),4),物品!B:CU,20,FALSE)</f>
        <v>ReplaceableTextures\\CommandButtons\\BTNSST12.blp</v>
      </c>
      <c r="N347" s="188" t="s">
        <v>83</v>
      </c>
      <c r="O347" s="170" t="s">
        <v>94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71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ht="14.4" spans="1:42">
      <c r="A348" s="167"/>
      <c r="B348" s="27" t="str">
        <f>物品!B348</f>
        <v>IK4D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攻击|Cffffc926+50000|r，攻击|Cffffc926+12%|n|n|r|Cffaaaaaa○|CffFFD24D水之刻印+1|r|r|n|n|Cff00ff7f点击穿戴或脱卸。|r</v>
      </c>
      <c r="J348" s="169" t="str">
        <f t="shared" si="135"/>
        <v>|CffFFD24D【史诗】应龙珠|r</v>
      </c>
      <c r="K348" s="169" t="str">
        <f t="shared" si="136"/>
        <v>攻击|Cffffc926+50000|r，攻击|Cffffc926+12%|n|n|r|Cffaaaaaa○|CffFFD24D水之刻印+1|r|r|n|n|Cff00ff7f点击穿戴或脱卸。|r</v>
      </c>
      <c r="L348" s="27"/>
      <c r="M348" s="170" t="str">
        <f>VLOOKUP(LEFT(RIGHT(B348,5),4),物品!B:CU,20,FALSE)</f>
        <v>ReplaceableTextures\\CommandButtons\\BTNSST12.blp</v>
      </c>
      <c r="N348" s="188" t="s">
        <v>83</v>
      </c>
      <c r="O348" s="170" t="s">
        <v>94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71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ht="14.4" spans="1:42">
      <c r="A349" s="167"/>
      <c r="B349" s="27" t="str">
        <f>物品!B349</f>
        <v>IK4E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攻击|Cffffc926+50000|r，攻击|Cffffc926+12%|n|n|r|Cffaaaaaa○|CffFFD24D火之刻印+1|r|r|n|n|Cff00ff7f点击穿戴或脱卸。|r</v>
      </c>
      <c r="J349" s="169" t="str">
        <f t="shared" si="135"/>
        <v>|CffFFD24D【史诗】应龙珠|r</v>
      </c>
      <c r="K349" s="169" t="str">
        <f t="shared" si="136"/>
        <v>攻击|Cffffc926+50000|r，攻击|Cffffc926+12%|n|n|r|Cffaaaaaa○|CffFFD24D火之刻印+1|r|r|n|n|Cff00ff7f点击穿戴或脱卸。|r</v>
      </c>
      <c r="L349" s="27"/>
      <c r="M349" s="170" t="str">
        <f>VLOOKUP(LEFT(RIGHT(B349,5),4),物品!B:CU,20,FALSE)</f>
        <v>ReplaceableTextures\\CommandButtons\\BTNSST12.blp</v>
      </c>
      <c r="N349" s="188" t="s">
        <v>83</v>
      </c>
      <c r="O349" s="170" t="s">
        <v>94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71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ht="14.4" spans="1:42">
      <c r="A350" s="167"/>
      <c r="B350" s="27" t="str">
        <f>物品!B350</f>
        <v>IK4F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攻击|Cffffc926+50000|r，攻击|Cffffc926+12%|n|n|r|Cffaaaaaa○|CffFFD24D土之刻印+1|r|r|n|n|Cff00ff7f点击穿戴或脱卸。|r</v>
      </c>
      <c r="J350" s="169" t="str">
        <f t="shared" si="135"/>
        <v>|CffFFD24D【史诗】应龙珠|r</v>
      </c>
      <c r="K350" s="169" t="str">
        <f t="shared" si="136"/>
        <v>攻击|Cffffc926+50000|r，攻击|Cffffc926+12%|n|n|r|Cffaaaaaa○|CffFFD24D土之刻印+1|r|r|n|n|Cff00ff7f点击穿戴或脱卸。|r</v>
      </c>
      <c r="L350" s="27"/>
      <c r="M350" s="170" t="str">
        <f>VLOOKUP(LEFT(RIGHT(B350,5),4),物品!B:CU,20,FALSE)</f>
        <v>ReplaceableTextures\\CommandButtons\\BTNSST12.blp</v>
      </c>
      <c r="N350" s="188" t="s">
        <v>83</v>
      </c>
      <c r="O350" s="170" t="s">
        <v>94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71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ht="14.4" spans="1:42">
      <c r="A351" s="167"/>
      <c r="B351" s="27" t="str">
        <f>物品!B351</f>
        <v>IK4G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攻击|Cffffc926+50000|r，攻击|Cffffc926+12%|n|n|r|Cffaaaaaa○|CffFFD24D雷之刻印+1|r|r|n|n|Cff00ff7f点击穿戴或脱卸。|r</v>
      </c>
      <c r="J351" s="169" t="str">
        <f t="shared" si="135"/>
        <v>|CffFFD24D【史诗】应龙珠|r</v>
      </c>
      <c r="K351" s="169" t="str">
        <f t="shared" si="136"/>
        <v>攻击|Cffffc926+50000|r，攻击|Cffffc926+12%|n|n|r|Cffaaaaaa○|CffFFD24D雷之刻印+1|r|r|n|n|Cff00ff7f点击穿戴或脱卸。|r</v>
      </c>
      <c r="L351" s="27"/>
      <c r="M351" s="170" t="str">
        <f>VLOOKUP(LEFT(RIGHT(B351,5),4),物品!B:CU,20,FALSE)</f>
        <v>ReplaceableTextures\\CommandButtons\\BTNSST12.blp</v>
      </c>
      <c r="N351" s="188" t="s">
        <v>83</v>
      </c>
      <c r="O351" s="170" t="s">
        <v>94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71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ht="14.4" spans="1:42">
      <c r="A352" s="167"/>
      <c r="B352" s="27" t="str">
        <f>物品!B352</f>
        <v>IK4H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攻击|Cffffc926+50000|r，攻击|Cffffc926+12%|n|n|r|Cffaaaaaa○|CffFFD24D光之刻印+1|r|r|n|n|Cff00ff7f点击穿戴或脱卸。|r</v>
      </c>
      <c r="J352" s="169" t="str">
        <f t="shared" si="135"/>
        <v>|CffFFD24D【史诗】应龙珠|r</v>
      </c>
      <c r="K352" s="169" t="str">
        <f t="shared" si="136"/>
        <v>攻击|Cffffc926+50000|r，攻击|Cffffc926+12%|n|n|r|Cffaaaaaa○|CffFFD24D光之刻印+1|r|r|n|n|Cff00ff7f点击穿戴或脱卸。|r</v>
      </c>
      <c r="L352" s="27"/>
      <c r="M352" s="170" t="str">
        <f>VLOOKUP(LEFT(RIGHT(B352,5),4),物品!B:CU,20,FALSE)</f>
        <v>ReplaceableTextures\\CommandButtons\\BTNSST12.blp</v>
      </c>
      <c r="N352" s="188" t="s">
        <v>83</v>
      </c>
      <c r="O352" s="170" t="s">
        <v>94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71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ht="14.4" spans="1:42">
      <c r="A353" s="167"/>
      <c r="B353" s="27" t="str">
        <f>物品!B353</f>
        <v>IK4I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攻击|Cffffc926+50000|r，攻击|Cffffc926+12%|n|n|r|Cffaaaaaa○|CffFFD24D暗之刻印+1|r|r|n|n|Cff00ff7f点击穿戴或脱卸。|r</v>
      </c>
      <c r="J353" s="169" t="str">
        <f t="shared" si="135"/>
        <v>|CffFFD24D【史诗】应龙珠|r</v>
      </c>
      <c r="K353" s="169" t="str">
        <f t="shared" si="136"/>
        <v>攻击|Cffffc926+50000|r，攻击|Cffffc926+12%|n|n|r|Cffaaaaaa○|CffFFD24D暗之刻印+1|r|r|n|n|Cff00ff7f点击穿戴或脱卸。|r</v>
      </c>
      <c r="L353" s="27"/>
      <c r="M353" s="170" t="str">
        <f>VLOOKUP(LEFT(RIGHT(B353,5),4),物品!B:CU,20,FALSE)</f>
        <v>ReplaceableTextures\\CommandButtons\\BTNSST12.blp</v>
      </c>
      <c r="N353" s="188" t="s">
        <v>83</v>
      </c>
      <c r="O353" s="170" t="s">
        <v>94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71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ht="14.4" spans="1:42">
      <c r="A354" s="167"/>
      <c r="B354" s="27" t="str">
        <f>物品!B354</f>
        <v>IK5A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|CffFFD24D【史诗】白泽之灵|r</v>
      </c>
      <c r="I354" s="27" t="str">
        <f>VLOOKUP(B354,物品!B:CV,99,FALSE)</f>
        <v>护甲穿透|Cffffc926+150|n|n|r|Cffaaaaaa○刻印槽 【空】|r|n|n|Cff00ff7f点击穿戴或脱卸。|r</v>
      </c>
      <c r="J354" s="169" t="str">
        <f t="shared" si="135"/>
        <v>|CffFFD24D【史诗】白泽之灵|r</v>
      </c>
      <c r="K354" s="169" t="str">
        <f t="shared" si="136"/>
        <v>护甲穿透|Cffffc926+150|n|n|r|Cffaaaaaa○刻印槽 【空】|r|n|n|Cff00ff7f点击穿戴或脱卸。|r</v>
      </c>
      <c r="L354" s="27"/>
      <c r="M354" s="170" t="str">
        <f>VLOOKUP(LEFT(RIGHT(B354,5),4),物品!B:CU,20,FALSE)</f>
        <v>ReplaceableTextures\\CommandButtons\\BTNSST13.blp</v>
      </c>
      <c r="N354" s="188" t="s">
        <v>83</v>
      </c>
      <c r="O354" s="170" t="s">
        <v>94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71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ht="14.4" spans="1:42">
      <c r="A355" s="167"/>
      <c r="B355" s="27" t="str">
        <f>物品!B355</f>
        <v>IK5B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护甲穿透|Cffffc926+150|n|n|r|Cffaaaaaa○|CffFFD24D金之刻印+1|r|r|n|n|Cff00ff7f点击穿戴或脱卸。|r</v>
      </c>
      <c r="J355" s="169" t="str">
        <f t="shared" si="135"/>
        <v>|CffFFD24D【史诗】白泽之灵|r</v>
      </c>
      <c r="K355" s="169" t="str">
        <f t="shared" si="136"/>
        <v>护甲穿透|Cffffc926+150|n|n|r|Cffaaaaaa○|CffFFD24D金之刻印+1|r|r|n|n|Cff00ff7f点击穿戴或脱卸。|r</v>
      </c>
      <c r="L355" s="27"/>
      <c r="M355" s="170" t="str">
        <f>VLOOKUP(LEFT(RIGHT(B355,5),4),物品!B:CU,20,FALSE)</f>
        <v>ReplaceableTextures\\CommandButtons\\BTNSST13.blp</v>
      </c>
      <c r="N355" s="188" t="s">
        <v>83</v>
      </c>
      <c r="O355" s="170" t="s">
        <v>94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71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ht="14.4" spans="1:42">
      <c r="A356" s="167"/>
      <c r="B356" s="27" t="str">
        <f>物品!B356</f>
        <v>IK5C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护甲穿透|Cffffc926+150|n|n|r|Cffaaaaaa○|CffFFD24D木之刻印+1|r|r|n|n|Cff00ff7f点击穿戴或脱卸。|r</v>
      </c>
      <c r="J356" s="169" t="str">
        <f t="shared" si="135"/>
        <v>|CffFFD24D【史诗】白泽之灵|r</v>
      </c>
      <c r="K356" s="169" t="str">
        <f t="shared" si="136"/>
        <v>护甲穿透|Cffffc926+150|n|n|r|Cffaaaaaa○|CffFFD24D木之刻印+1|r|r|n|n|Cff00ff7f点击穿戴或脱卸。|r</v>
      </c>
      <c r="L356" s="27"/>
      <c r="M356" s="170" t="str">
        <f>VLOOKUP(LEFT(RIGHT(B356,5),4),物品!B:CU,20,FALSE)</f>
        <v>ReplaceableTextures\\CommandButtons\\BTNSST13.blp</v>
      </c>
      <c r="N356" s="188" t="s">
        <v>83</v>
      </c>
      <c r="O356" s="170" t="s">
        <v>94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71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ht="14.4" spans="1:42">
      <c r="A357" s="167"/>
      <c r="B357" s="27" t="str">
        <f>物品!B357</f>
        <v>IK5D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护甲穿透|Cffffc926+150|n|n|r|Cffaaaaaa○|CffFFD24D水之刻印+1|r|r|n|n|Cff00ff7f点击穿戴或脱卸。|r</v>
      </c>
      <c r="J357" s="169" t="str">
        <f t="shared" si="135"/>
        <v>|CffFFD24D【史诗】白泽之灵|r</v>
      </c>
      <c r="K357" s="169" t="str">
        <f t="shared" si="136"/>
        <v>护甲穿透|Cffffc926+150|n|n|r|Cffaaaaaa○|CffFFD24D水之刻印+1|r|r|n|n|Cff00ff7f点击穿戴或脱卸。|r</v>
      </c>
      <c r="L357" s="27"/>
      <c r="M357" s="170" t="str">
        <f>VLOOKUP(LEFT(RIGHT(B357,5),4),物品!B:CU,20,FALSE)</f>
        <v>ReplaceableTextures\\CommandButtons\\BTNSST13.blp</v>
      </c>
      <c r="N357" s="188" t="s">
        <v>83</v>
      </c>
      <c r="O357" s="170" t="s">
        <v>94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71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ht="14.4" spans="1:42">
      <c r="A358" s="167"/>
      <c r="B358" s="27" t="str">
        <f>物品!B358</f>
        <v>IK5E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护甲穿透|Cffffc926+150|n|n|r|Cffaaaaaa○|CffFFD24D火之刻印+1|r|r|n|n|Cff00ff7f点击穿戴或脱卸。|r</v>
      </c>
      <c r="J358" s="169" t="str">
        <f t="shared" si="135"/>
        <v>|CffFFD24D【史诗】白泽之灵|r</v>
      </c>
      <c r="K358" s="169" t="str">
        <f t="shared" si="136"/>
        <v>护甲穿透|Cffffc926+150|n|n|r|Cffaaaaaa○|CffFFD24D火之刻印+1|r|r|n|n|Cff00ff7f点击穿戴或脱卸。|r</v>
      </c>
      <c r="L358" s="27"/>
      <c r="M358" s="170" t="str">
        <f>VLOOKUP(LEFT(RIGHT(B358,5),4),物品!B:CU,20,FALSE)</f>
        <v>ReplaceableTextures\\CommandButtons\\BTNSST13.blp</v>
      </c>
      <c r="N358" s="188" t="s">
        <v>83</v>
      </c>
      <c r="O358" s="170" t="s">
        <v>94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71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ht="14.4" spans="1:42">
      <c r="A359" s="167"/>
      <c r="B359" s="27" t="str">
        <f>物品!B359</f>
        <v>IK5F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护甲穿透|Cffffc926+150|n|n|r|Cffaaaaaa○|CffFFD24D土之刻印+1|r|r|n|n|Cff00ff7f点击穿戴或脱卸。|r</v>
      </c>
      <c r="J359" s="169" t="str">
        <f t="shared" si="135"/>
        <v>|CffFFD24D【史诗】白泽之灵|r</v>
      </c>
      <c r="K359" s="169" t="str">
        <f t="shared" si="136"/>
        <v>护甲穿透|Cffffc926+150|n|n|r|Cffaaaaaa○|CffFFD24D土之刻印+1|r|r|n|n|Cff00ff7f点击穿戴或脱卸。|r</v>
      </c>
      <c r="L359" s="27"/>
      <c r="M359" s="170" t="str">
        <f>VLOOKUP(LEFT(RIGHT(B359,5),4),物品!B:CU,20,FALSE)</f>
        <v>ReplaceableTextures\\CommandButtons\\BTNSST13.blp</v>
      </c>
      <c r="N359" s="188" t="s">
        <v>83</v>
      </c>
      <c r="O359" s="170" t="s">
        <v>94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71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ht="14.4" spans="1:42">
      <c r="A360" s="167"/>
      <c r="B360" s="27" t="str">
        <f>物品!B360</f>
        <v>IK5G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护甲穿透|Cffffc926+150|n|n|r|Cffaaaaaa○|CffFFD24D雷之刻印+1|r|r|n|n|Cff00ff7f点击穿戴或脱卸。|r</v>
      </c>
      <c r="J360" s="169" t="str">
        <f t="shared" si="135"/>
        <v>|CffFFD24D【史诗】白泽之灵|r</v>
      </c>
      <c r="K360" s="169" t="str">
        <f t="shared" si="136"/>
        <v>护甲穿透|Cffffc926+150|n|n|r|Cffaaaaaa○|CffFFD24D雷之刻印+1|r|r|n|n|Cff00ff7f点击穿戴或脱卸。|r</v>
      </c>
      <c r="L360" s="27"/>
      <c r="M360" s="170" t="str">
        <f>VLOOKUP(LEFT(RIGHT(B360,5),4),物品!B:CU,20,FALSE)</f>
        <v>ReplaceableTextures\\CommandButtons\\BTNSST13.blp</v>
      </c>
      <c r="N360" s="188" t="s">
        <v>83</v>
      </c>
      <c r="O360" s="170" t="s">
        <v>94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71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ht="14.4" spans="1:42">
      <c r="A361" s="167"/>
      <c r="B361" s="27" t="str">
        <f>物品!B361</f>
        <v>IK5H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护甲穿透|Cffffc926+150|n|n|r|Cffaaaaaa○|CffFFD24D光之刻印+1|r|r|n|n|Cff00ff7f点击穿戴或脱卸。|r</v>
      </c>
      <c r="J361" s="169" t="str">
        <f t="shared" si="135"/>
        <v>|CffFFD24D【史诗】白泽之灵|r</v>
      </c>
      <c r="K361" s="169" t="str">
        <f t="shared" si="136"/>
        <v>护甲穿透|Cffffc926+150|n|n|r|Cffaaaaaa○|CffFFD24D光之刻印+1|r|r|n|n|Cff00ff7f点击穿戴或脱卸。|r</v>
      </c>
      <c r="L361" s="27"/>
      <c r="M361" s="170" t="str">
        <f>VLOOKUP(LEFT(RIGHT(B361,5),4),物品!B:CU,20,FALSE)</f>
        <v>ReplaceableTextures\\CommandButtons\\BTNSST13.blp</v>
      </c>
      <c r="N361" s="188" t="s">
        <v>83</v>
      </c>
      <c r="O361" s="170" t="s">
        <v>94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71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ht="14.4" spans="1:42">
      <c r="A362" s="167"/>
      <c r="B362" s="27" t="str">
        <f>物品!B362</f>
        <v>IK5I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护甲穿透|Cffffc926+150|n|n|r|Cffaaaaaa○|CffFFD24D暗之刻印+1|r|r|n|n|Cff00ff7f点击穿戴或脱卸。|r</v>
      </c>
      <c r="J362" s="169" t="str">
        <f t="shared" si="135"/>
        <v>|CffFFD24D【史诗】白泽之灵|r</v>
      </c>
      <c r="K362" s="169" t="str">
        <f t="shared" si="136"/>
        <v>护甲穿透|Cffffc926+150|n|n|r|Cffaaaaaa○|CffFFD24D暗之刻印+1|r|r|n|n|Cff00ff7f点击穿戴或脱卸。|r</v>
      </c>
      <c r="L362" s="27"/>
      <c r="M362" s="170" t="str">
        <f>VLOOKUP(LEFT(RIGHT(B362,5),4),物品!B:CU,20,FALSE)</f>
        <v>ReplaceableTextures\\CommandButtons\\BTNSST13.blp</v>
      </c>
      <c r="N362" s="188" t="s">
        <v>83</v>
      </c>
      <c r="O362" s="170" t="s">
        <v>94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71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ht="14.4" spans="1:42">
      <c r="A363" s="167"/>
      <c r="B363" s="27" t="str">
        <f>物品!B363</f>
        <v>IK6A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|CffFFD24D【史诗】麒麟心|r</v>
      </c>
      <c r="I363" s="27" t="str">
        <f>VLOOKUP(B363,物品!B:CV,99,FALSE)</f>
        <v>暴击伤害|Cffffc926+60%|n|n|r|Cffaaaaaa○刻印槽 【空】|r|n|n|Cff00ff7f点击穿戴或脱卸。|r</v>
      </c>
      <c r="J363" s="169" t="str">
        <f t="shared" si="135"/>
        <v>|CffFFD24D【史诗】麒麟心|r</v>
      </c>
      <c r="K363" s="169" t="str">
        <f t="shared" si="136"/>
        <v>暴击伤害|Cffffc926+60%|n|n|r|Cffaaaaaa○刻印槽 【空】|r|n|n|Cff00ff7f点击穿戴或脱卸。|r</v>
      </c>
      <c r="L363" s="27"/>
      <c r="M363" s="170" t="str">
        <f>VLOOKUP(LEFT(RIGHT(B363,5),4),物品!B:CU,20,FALSE)</f>
        <v>ReplaceableTextures\\CommandButtons\\BTNSST14.blp</v>
      </c>
      <c r="N363" s="188" t="s">
        <v>83</v>
      </c>
      <c r="O363" s="170" t="s">
        <v>94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71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ht="14.4" spans="1:42">
      <c r="A364" s="167"/>
      <c r="B364" s="27" t="str">
        <f>物品!B364</f>
        <v>IK6B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暴击伤害|Cffffc926+60%|n|n|r|Cffaaaaaa○|CffFFD24D金之刻印+1|r|r|n|n|Cff00ff7f点击穿戴或脱卸。|r</v>
      </c>
      <c r="J364" s="169" t="str">
        <f t="shared" si="135"/>
        <v>|CffFFD24D【史诗】麒麟心|r</v>
      </c>
      <c r="K364" s="169" t="str">
        <f t="shared" si="136"/>
        <v>暴击伤害|Cffffc926+60%|n|n|r|Cffaaaaaa○|CffFFD24D金之刻印+1|r|r|n|n|Cff00ff7f点击穿戴或脱卸。|r</v>
      </c>
      <c r="L364" s="27"/>
      <c r="M364" s="170" t="str">
        <f>VLOOKUP(LEFT(RIGHT(B364,5),4),物品!B:CU,20,FALSE)</f>
        <v>ReplaceableTextures\\CommandButtons\\BTNSST14.blp</v>
      </c>
      <c r="N364" s="188" t="s">
        <v>83</v>
      </c>
      <c r="O364" s="170" t="s">
        <v>94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71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ht="14.4" spans="1:42">
      <c r="A365" s="167"/>
      <c r="B365" s="27" t="str">
        <f>物品!B365</f>
        <v>IK6C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暴击伤害|Cffffc926+60%|n|n|r|Cffaaaaaa○|CffFFD24D木之刻印+1|r|r|n|n|Cff00ff7f点击穿戴或脱卸。|r</v>
      </c>
      <c r="J365" s="169" t="str">
        <f t="shared" si="135"/>
        <v>|CffFFD24D【史诗】麒麟心|r</v>
      </c>
      <c r="K365" s="169" t="str">
        <f t="shared" si="136"/>
        <v>暴击伤害|Cffffc926+60%|n|n|r|Cffaaaaaa○|CffFFD24D木之刻印+1|r|r|n|n|Cff00ff7f点击穿戴或脱卸。|r</v>
      </c>
      <c r="L365" s="27"/>
      <c r="M365" s="170" t="str">
        <f>VLOOKUP(LEFT(RIGHT(B365,5),4),物品!B:CU,20,FALSE)</f>
        <v>ReplaceableTextures\\CommandButtons\\BTNSST14.blp</v>
      </c>
      <c r="N365" s="188" t="s">
        <v>83</v>
      </c>
      <c r="O365" s="170" t="s">
        <v>94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71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ht="14.4" spans="1:42">
      <c r="A366" s="167"/>
      <c r="B366" s="27" t="str">
        <f>物品!B366</f>
        <v>IK6D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暴击伤害|Cffffc926+60%|n|n|r|Cffaaaaaa○|CffFFD24D水之刻印+1|r|r|n|n|Cff00ff7f点击穿戴或脱卸。|r</v>
      </c>
      <c r="J366" s="169" t="str">
        <f t="shared" si="135"/>
        <v>|CffFFD24D【史诗】麒麟心|r</v>
      </c>
      <c r="K366" s="169" t="str">
        <f t="shared" si="136"/>
        <v>暴击伤害|Cffffc926+60%|n|n|r|Cffaaaaaa○|CffFFD24D水之刻印+1|r|r|n|n|Cff00ff7f点击穿戴或脱卸。|r</v>
      </c>
      <c r="L366" s="27"/>
      <c r="M366" s="170" t="str">
        <f>VLOOKUP(LEFT(RIGHT(B366,5),4),物品!B:CU,20,FALSE)</f>
        <v>ReplaceableTextures\\CommandButtons\\BTNSST14.blp</v>
      </c>
      <c r="N366" s="188" t="s">
        <v>83</v>
      </c>
      <c r="O366" s="170" t="s">
        <v>94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71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ht="14.4" spans="1:42">
      <c r="A367" s="167"/>
      <c r="B367" s="27" t="str">
        <f>物品!B367</f>
        <v>IK6E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暴击伤害|Cffffc926+60%|n|n|r|Cffaaaaaa○|CffFFD24D火之刻印+1|r|r|n|n|Cff00ff7f点击穿戴或脱卸。|r</v>
      </c>
      <c r="J367" s="169" t="str">
        <f t="shared" si="135"/>
        <v>|CffFFD24D【史诗】麒麟心|r</v>
      </c>
      <c r="K367" s="169" t="str">
        <f t="shared" si="136"/>
        <v>暴击伤害|Cffffc926+60%|n|n|r|Cffaaaaaa○|CffFFD24D火之刻印+1|r|r|n|n|Cff00ff7f点击穿戴或脱卸。|r</v>
      </c>
      <c r="L367" s="27"/>
      <c r="M367" s="170" t="str">
        <f>VLOOKUP(LEFT(RIGHT(B367,5),4),物品!B:CU,20,FALSE)</f>
        <v>ReplaceableTextures\\CommandButtons\\BTNSST14.blp</v>
      </c>
      <c r="N367" s="188" t="s">
        <v>83</v>
      </c>
      <c r="O367" s="170" t="s">
        <v>94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71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ht="14.4" spans="1:42">
      <c r="A368" s="167"/>
      <c r="B368" s="27" t="str">
        <f>物品!B368</f>
        <v>IK6F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暴击伤害|Cffffc926+60%|n|n|r|Cffaaaaaa○|CffFFD24D土之刻印+1|r|r|n|n|Cff00ff7f点击穿戴或脱卸。|r</v>
      </c>
      <c r="J368" s="169" t="str">
        <f t="shared" si="135"/>
        <v>|CffFFD24D【史诗】麒麟心|r</v>
      </c>
      <c r="K368" s="169" t="str">
        <f t="shared" si="136"/>
        <v>暴击伤害|Cffffc926+60%|n|n|r|Cffaaaaaa○|CffFFD24D土之刻印+1|r|r|n|n|Cff00ff7f点击穿戴或脱卸。|r</v>
      </c>
      <c r="L368" s="27"/>
      <c r="M368" s="170" t="str">
        <f>VLOOKUP(LEFT(RIGHT(B368,5),4),物品!B:CU,20,FALSE)</f>
        <v>ReplaceableTextures\\CommandButtons\\BTNSST14.blp</v>
      </c>
      <c r="N368" s="188" t="s">
        <v>83</v>
      </c>
      <c r="O368" s="170" t="s">
        <v>94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71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ht="14.4" spans="1:42">
      <c r="A369" s="167"/>
      <c r="B369" s="27" t="str">
        <f>物品!B369</f>
        <v>IK6G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暴击伤害|Cffffc926+60%|n|n|r|Cffaaaaaa○|CffFFD24D雷之刻印+1|r|r|n|n|Cff00ff7f点击穿戴或脱卸。|r</v>
      </c>
      <c r="J369" s="169" t="str">
        <f t="shared" si="135"/>
        <v>|CffFFD24D【史诗】麒麟心|r</v>
      </c>
      <c r="K369" s="169" t="str">
        <f t="shared" si="136"/>
        <v>暴击伤害|Cffffc926+60%|n|n|r|Cffaaaaaa○|CffFFD24D雷之刻印+1|r|r|n|n|Cff00ff7f点击穿戴或脱卸。|r</v>
      </c>
      <c r="L369" s="27"/>
      <c r="M369" s="170" t="str">
        <f>VLOOKUP(LEFT(RIGHT(B369,5),4),物品!B:CU,20,FALSE)</f>
        <v>ReplaceableTextures\\CommandButtons\\BTNSST14.blp</v>
      </c>
      <c r="N369" s="188" t="s">
        <v>83</v>
      </c>
      <c r="O369" s="170" t="s">
        <v>94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71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ht="14.4" spans="1:42">
      <c r="A370" s="167"/>
      <c r="B370" s="27" t="str">
        <f>物品!B370</f>
        <v>IK6H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暴击伤害|Cffffc926+60%|n|n|r|Cffaaaaaa○|CffFFD24D光之刻印+1|r|r|n|n|Cff00ff7f点击穿戴或脱卸。|r</v>
      </c>
      <c r="J370" s="169" t="str">
        <f t="shared" si="135"/>
        <v>|CffFFD24D【史诗】麒麟心|r</v>
      </c>
      <c r="K370" s="169" t="str">
        <f t="shared" si="136"/>
        <v>暴击伤害|Cffffc926+60%|n|n|r|Cffaaaaaa○|CffFFD24D光之刻印+1|r|r|n|n|Cff00ff7f点击穿戴或脱卸。|r</v>
      </c>
      <c r="L370" s="27"/>
      <c r="M370" s="170" t="str">
        <f>VLOOKUP(LEFT(RIGHT(B370,5),4),物品!B:CU,20,FALSE)</f>
        <v>ReplaceableTextures\\CommandButtons\\BTNSST14.blp</v>
      </c>
      <c r="N370" s="188" t="s">
        <v>83</v>
      </c>
      <c r="O370" s="170" t="s">
        <v>94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71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ht="14.4" spans="1:42">
      <c r="A371" s="167"/>
      <c r="B371" s="27" t="str">
        <f>物品!B371</f>
        <v>IK6I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暴击伤害|Cffffc926+60%|n|n|r|Cffaaaaaa○|CffFFD24D暗之刻印+1|r|r|n|n|Cff00ff7f点击穿戴或脱卸。|r</v>
      </c>
      <c r="J371" s="169" t="str">
        <f t="shared" si="135"/>
        <v>|CffFFD24D【史诗】麒麟心|r</v>
      </c>
      <c r="K371" s="169" t="str">
        <f t="shared" si="136"/>
        <v>暴击伤害|Cffffc926+60%|n|n|r|Cffaaaaaa○|CffFFD24D暗之刻印+1|r|r|n|n|Cff00ff7f点击穿戴或脱卸。|r</v>
      </c>
      <c r="L371" s="27"/>
      <c r="M371" s="170" t="str">
        <f>VLOOKUP(LEFT(RIGHT(B371,5),4),物品!B:CU,20,FALSE)</f>
        <v>ReplaceableTextures\\CommandButtons\\BTNSST14.blp</v>
      </c>
      <c r="N371" s="188" t="s">
        <v>83</v>
      </c>
      <c r="O371" s="170" t="s">
        <v>94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71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ht="14.4" spans="1:42">
      <c r="A372" s="167"/>
      <c r="B372" s="27" t="str">
        <f>物品!B372</f>
        <v>IK7A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|CffFFD24D【史诗】腾蛇之牙|r</v>
      </c>
      <c r="I372" s="27" t="str">
        <f>VLOOKUP(B372,物品!B:CV,99,FALSE)</f>
        <v>护甲|Cffffc926+100|n|n|r|Cffaaaaaa○刻印槽 【空】|r|n|n|Cff00ff7f点击穿戴或脱卸。|r</v>
      </c>
      <c r="J372" s="169" t="str">
        <f t="shared" si="135"/>
        <v>|CffFFD24D【史诗】腾蛇之牙|r</v>
      </c>
      <c r="K372" s="169" t="str">
        <f t="shared" si="136"/>
        <v>护甲|Cffffc926+100|n|n|r|Cffaaaaaa○刻印槽 【空】|r|n|n|Cff00ff7f点击穿戴或脱卸。|r</v>
      </c>
      <c r="L372" s="27"/>
      <c r="M372" s="170" t="str">
        <f>VLOOKUP(LEFT(RIGHT(B372,5),4),物品!B:CU,20,FALSE)</f>
        <v>ReplaceableTextures\\CommandButtons\\BTNSST15.blp</v>
      </c>
      <c r="N372" s="188" t="s">
        <v>83</v>
      </c>
      <c r="O372" s="170" t="s">
        <v>94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71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ht="14.4" spans="1:42">
      <c r="A373" s="167"/>
      <c r="B373" s="27" t="str">
        <f>物品!B373</f>
        <v>IK7B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护甲|Cffffc926+100|n|n|r|Cffaaaaaa○|CffFFD24D金之刻印+1|r|r|n|n|Cff00ff7f点击穿戴或脱卸。|r</v>
      </c>
      <c r="J373" s="169" t="str">
        <f t="shared" si="135"/>
        <v>|CffFFD24D【史诗】腾蛇之牙|r</v>
      </c>
      <c r="K373" s="169" t="str">
        <f t="shared" si="136"/>
        <v>护甲|Cffffc926+100|n|n|r|Cffaaaaaa○|CffFFD24D金之刻印+1|r|r|n|n|Cff00ff7f点击穿戴或脱卸。|r</v>
      </c>
      <c r="L373" s="27"/>
      <c r="M373" s="170" t="str">
        <f>VLOOKUP(LEFT(RIGHT(B373,5),4),物品!B:CU,20,FALSE)</f>
        <v>ReplaceableTextures\\CommandButtons\\BTNSST15.blp</v>
      </c>
      <c r="N373" s="188" t="s">
        <v>83</v>
      </c>
      <c r="O373" s="170" t="s">
        <v>94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71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ht="14.4" spans="1:42">
      <c r="A374" s="167"/>
      <c r="B374" s="27" t="str">
        <f>物品!B374</f>
        <v>IK7C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护甲|Cffffc926+100|n|n|r|Cffaaaaaa○|CffFFD24D木之刻印+1|r|r|n|n|Cff00ff7f点击穿戴或脱卸。|r</v>
      </c>
      <c r="J374" s="169" t="str">
        <f t="shared" si="135"/>
        <v>|CffFFD24D【史诗】腾蛇之牙|r</v>
      </c>
      <c r="K374" s="169" t="str">
        <f t="shared" si="136"/>
        <v>护甲|Cffffc926+100|n|n|r|Cffaaaaaa○|CffFFD24D木之刻印+1|r|r|n|n|Cff00ff7f点击穿戴或脱卸。|r</v>
      </c>
      <c r="L374" s="27"/>
      <c r="M374" s="170" t="str">
        <f>VLOOKUP(LEFT(RIGHT(B374,5),4),物品!B:CU,20,FALSE)</f>
        <v>ReplaceableTextures\\CommandButtons\\BTNSST15.blp</v>
      </c>
      <c r="N374" s="188" t="s">
        <v>83</v>
      </c>
      <c r="O374" s="170" t="s">
        <v>94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71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ht="14.4" spans="1:42">
      <c r="A375" s="167"/>
      <c r="B375" s="27" t="str">
        <f>物品!B375</f>
        <v>IK7D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护甲|Cffffc926+100|n|n|r|Cffaaaaaa○|CffFFD24D水之刻印+1|r|r|n|n|Cff00ff7f点击穿戴或脱卸。|r</v>
      </c>
      <c r="J375" s="169" t="str">
        <f t="shared" si="135"/>
        <v>|CffFFD24D【史诗】腾蛇之牙|r</v>
      </c>
      <c r="K375" s="169" t="str">
        <f t="shared" si="136"/>
        <v>护甲|Cffffc926+100|n|n|r|Cffaaaaaa○|CffFFD24D水之刻印+1|r|r|n|n|Cff00ff7f点击穿戴或脱卸。|r</v>
      </c>
      <c r="L375" s="27"/>
      <c r="M375" s="170" t="str">
        <f>VLOOKUP(LEFT(RIGHT(B375,5),4),物品!B:CU,20,FALSE)</f>
        <v>ReplaceableTextures\\CommandButtons\\BTNSST15.blp</v>
      </c>
      <c r="N375" s="188" t="s">
        <v>83</v>
      </c>
      <c r="O375" s="170" t="s">
        <v>94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71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ht="14.4" spans="1:42">
      <c r="A376" s="167"/>
      <c r="B376" s="27" t="str">
        <f>物品!B376</f>
        <v>IK7E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护甲|Cffffc926+100|n|n|r|Cffaaaaaa○|CffFFD24D火之刻印+1|r|r|n|n|Cff00ff7f点击穿戴或脱卸。|r</v>
      </c>
      <c r="J376" s="169" t="str">
        <f t="shared" si="135"/>
        <v>|CffFFD24D【史诗】腾蛇之牙|r</v>
      </c>
      <c r="K376" s="169" t="str">
        <f t="shared" si="136"/>
        <v>护甲|Cffffc926+100|n|n|r|Cffaaaaaa○|CffFFD24D火之刻印+1|r|r|n|n|Cff00ff7f点击穿戴或脱卸。|r</v>
      </c>
      <c r="L376" s="27"/>
      <c r="M376" s="170" t="str">
        <f>VLOOKUP(LEFT(RIGHT(B376,5),4),物品!B:CU,20,FALSE)</f>
        <v>ReplaceableTextures\\CommandButtons\\BTNSST15.blp</v>
      </c>
      <c r="N376" s="188" t="s">
        <v>83</v>
      </c>
      <c r="O376" s="170" t="s">
        <v>94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71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ht="14.4" spans="1:42">
      <c r="A377" s="167"/>
      <c r="B377" s="27" t="str">
        <f>物品!B377</f>
        <v>IK7F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护甲|Cffffc926+100|n|n|r|Cffaaaaaa○|CffFFD24D土之刻印+1|r|r|n|n|Cff00ff7f点击穿戴或脱卸。|r</v>
      </c>
      <c r="J377" s="169" t="str">
        <f t="shared" si="135"/>
        <v>|CffFFD24D【史诗】腾蛇之牙|r</v>
      </c>
      <c r="K377" s="169" t="str">
        <f t="shared" si="136"/>
        <v>护甲|Cffffc926+100|n|n|r|Cffaaaaaa○|CffFFD24D土之刻印+1|r|r|n|n|Cff00ff7f点击穿戴或脱卸。|r</v>
      </c>
      <c r="L377" s="27"/>
      <c r="M377" s="170" t="str">
        <f>VLOOKUP(LEFT(RIGHT(B377,5),4),物品!B:CU,20,FALSE)</f>
        <v>ReplaceableTextures\\CommandButtons\\BTNSST15.blp</v>
      </c>
      <c r="N377" s="188" t="s">
        <v>83</v>
      </c>
      <c r="O377" s="170" t="s">
        <v>94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71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ht="14.4" spans="1:42">
      <c r="A378" s="167"/>
      <c r="B378" s="27" t="str">
        <f>物品!B378</f>
        <v>IK7G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护甲|Cffffc926+100|n|n|r|Cffaaaaaa○|CffFFD24D雷之刻印+1|r|r|n|n|Cff00ff7f点击穿戴或脱卸。|r</v>
      </c>
      <c r="J378" s="169" t="str">
        <f t="shared" si="135"/>
        <v>|CffFFD24D【史诗】腾蛇之牙|r</v>
      </c>
      <c r="K378" s="169" t="str">
        <f t="shared" si="136"/>
        <v>护甲|Cffffc926+100|n|n|r|Cffaaaaaa○|CffFFD24D雷之刻印+1|r|r|n|n|Cff00ff7f点击穿戴或脱卸。|r</v>
      </c>
      <c r="L378" s="27"/>
      <c r="M378" s="170" t="str">
        <f>VLOOKUP(LEFT(RIGHT(B378,5),4),物品!B:CU,20,FALSE)</f>
        <v>ReplaceableTextures\\CommandButtons\\BTNSST15.blp</v>
      </c>
      <c r="N378" s="188" t="s">
        <v>83</v>
      </c>
      <c r="O378" s="170" t="s">
        <v>94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71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ht="14.4" spans="1:42">
      <c r="A379" s="167"/>
      <c r="B379" s="27" t="str">
        <f>物品!B379</f>
        <v>IK7H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护甲|Cffffc926+100|n|n|r|Cffaaaaaa○|CffFFD24D光之刻印+1|r|r|n|n|Cff00ff7f点击穿戴或脱卸。|r</v>
      </c>
      <c r="J379" s="169" t="str">
        <f t="shared" si="135"/>
        <v>|CffFFD24D【史诗】腾蛇之牙|r</v>
      </c>
      <c r="K379" s="169" t="str">
        <f t="shared" si="136"/>
        <v>护甲|Cffffc926+100|n|n|r|Cffaaaaaa○|CffFFD24D光之刻印+1|r|r|n|n|Cff00ff7f点击穿戴或脱卸。|r</v>
      </c>
      <c r="L379" s="27"/>
      <c r="M379" s="170" t="str">
        <f>VLOOKUP(LEFT(RIGHT(B379,5),4),物品!B:CU,20,FALSE)</f>
        <v>ReplaceableTextures\\CommandButtons\\BTNSST15.blp</v>
      </c>
      <c r="N379" s="188" t="s">
        <v>83</v>
      </c>
      <c r="O379" s="170" t="s">
        <v>94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71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ht="14.4" spans="1:42">
      <c r="A380" s="167"/>
      <c r="B380" s="27" t="str">
        <f>物品!B380</f>
        <v>IK7I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护甲|Cffffc926+100|n|n|r|Cffaaaaaa○|CffFFD24D暗之刻印+1|r|r|n|n|Cff00ff7f点击穿戴或脱卸。|r</v>
      </c>
      <c r="J380" s="169" t="str">
        <f t="shared" si="135"/>
        <v>|CffFFD24D【史诗】腾蛇之牙|r</v>
      </c>
      <c r="K380" s="169" t="str">
        <f t="shared" si="136"/>
        <v>护甲|Cffffc926+100|n|n|r|Cffaaaaaa○|CffFFD24D暗之刻印+1|r|r|n|n|Cff00ff7f点击穿戴或脱卸。|r</v>
      </c>
      <c r="L380" s="27"/>
      <c r="M380" s="170" t="str">
        <f>VLOOKUP(LEFT(RIGHT(B380,5),4),物品!B:CU,20,FALSE)</f>
        <v>ReplaceableTextures\\CommandButtons\\BTNSST15.blp</v>
      </c>
      <c r="N380" s="188" t="s">
        <v>83</v>
      </c>
      <c r="O380" s="170" t="s">
        <v>94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71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ht="14.4" spans="1:42">
      <c r="A381" s="167"/>
      <c r="B381" s="27" t="str">
        <f>物品!B381</f>
        <v>IK8A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|CffFFD24D【史诗】悟道碑石|r</v>
      </c>
      <c r="I381" s="27" t="str">
        <f>VLOOKUP(B381,物品!B:CV,99,FALSE)</f>
        <v>业力|Cffffc926+50000|r，业力|Cffffc926+12%|n|n|r|Cffaaaaaa○刻印槽 【空】|r|n|n|Cff00ff7f点击穿戴或脱卸。|r</v>
      </c>
      <c r="J381" s="169" t="str">
        <f t="shared" si="135"/>
        <v>|CffFFD24D【史诗】悟道碑石|r</v>
      </c>
      <c r="K381" s="169" t="str">
        <f t="shared" si="136"/>
        <v>业力|Cffffc926+50000|r，业力|Cffffc926+12%|n|n|r|Cffaaaaaa○刻印槽 【空】|r|n|n|Cff00ff7f点击穿戴或脱卸。|r</v>
      </c>
      <c r="L381" s="27"/>
      <c r="M381" s="170" t="str">
        <f>VLOOKUP(LEFT(RIGHT(B381,5),4),物品!B:CU,20,FALSE)</f>
        <v>ReplaceableTextures\\CommandButtons\\BTNSST16.blp</v>
      </c>
      <c r="N381" s="188" t="s">
        <v>83</v>
      </c>
      <c r="O381" s="170" t="s">
        <v>94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71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ht="14.4" spans="1:42">
      <c r="A382" s="167"/>
      <c r="B382" s="27" t="str">
        <f>物品!B382</f>
        <v>IK8B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业力|Cffffc926+50000|r，业力|Cffffc926+12%|n|n|r|Cffaaaaaa○|CffFFD24D金之刻印+1|r|r|n|n|Cff00ff7f点击穿戴或脱卸。|r</v>
      </c>
      <c r="J382" s="169" t="str">
        <f t="shared" si="135"/>
        <v>|CffFFD24D【史诗】悟道碑石|r</v>
      </c>
      <c r="K382" s="169" t="str">
        <f t="shared" si="136"/>
        <v>业力|Cffffc926+50000|r，业力|Cffffc926+12%|n|n|r|Cffaaaaaa○|CffFFD24D金之刻印+1|r|r|n|n|Cff00ff7f点击穿戴或脱卸。|r</v>
      </c>
      <c r="L382" s="27"/>
      <c r="M382" s="170" t="str">
        <f>VLOOKUP(LEFT(RIGHT(B382,5),4),物品!B:CU,20,FALSE)</f>
        <v>ReplaceableTextures\\CommandButtons\\BTNSST16.blp</v>
      </c>
      <c r="N382" s="188" t="s">
        <v>83</v>
      </c>
      <c r="O382" s="170" t="s">
        <v>94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71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ht="14.4" spans="1:42">
      <c r="A383" s="167"/>
      <c r="B383" s="27" t="str">
        <f>物品!B383</f>
        <v>IK8C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业力|Cffffc926+50000|r，业力|Cffffc926+12%|n|n|r|Cffaaaaaa○|CffFFD24D木之刻印+1|r|r|n|n|Cff00ff7f点击穿戴或脱卸。|r</v>
      </c>
      <c r="J383" s="169" t="str">
        <f t="shared" si="135"/>
        <v>|CffFFD24D【史诗】悟道碑石|r</v>
      </c>
      <c r="K383" s="169" t="str">
        <f t="shared" si="136"/>
        <v>业力|Cffffc926+50000|r，业力|Cffffc926+12%|n|n|r|Cffaaaaaa○|CffFFD24D木之刻印+1|r|r|n|n|Cff00ff7f点击穿戴或脱卸。|r</v>
      </c>
      <c r="L383" s="27"/>
      <c r="M383" s="170" t="str">
        <f>VLOOKUP(LEFT(RIGHT(B383,5),4),物品!B:CU,20,FALSE)</f>
        <v>ReplaceableTextures\\CommandButtons\\BTNSST16.blp</v>
      </c>
      <c r="N383" s="188" t="s">
        <v>83</v>
      </c>
      <c r="O383" s="170" t="s">
        <v>94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71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ht="14.4" spans="1:42">
      <c r="A384" s="167"/>
      <c r="B384" s="27" t="str">
        <f>物品!B384</f>
        <v>IK8D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业力|Cffffc926+50000|r，业力|Cffffc926+12%|n|n|r|Cffaaaaaa○|CffFFD24D水之刻印+1|r|r|n|n|Cff00ff7f点击穿戴或脱卸。|r</v>
      </c>
      <c r="J384" s="169" t="str">
        <f t="shared" si="135"/>
        <v>|CffFFD24D【史诗】悟道碑石|r</v>
      </c>
      <c r="K384" s="169" t="str">
        <f t="shared" si="136"/>
        <v>业力|Cffffc926+50000|r，业力|Cffffc926+12%|n|n|r|Cffaaaaaa○|CffFFD24D水之刻印+1|r|r|n|n|Cff00ff7f点击穿戴或脱卸。|r</v>
      </c>
      <c r="L384" s="27"/>
      <c r="M384" s="170" t="str">
        <f>VLOOKUP(LEFT(RIGHT(B384,5),4),物品!B:CU,20,FALSE)</f>
        <v>ReplaceableTextures\\CommandButtons\\BTNSST16.blp</v>
      </c>
      <c r="N384" s="188" t="s">
        <v>83</v>
      </c>
      <c r="O384" s="170" t="s">
        <v>94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71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ht="14.4" spans="1:42">
      <c r="A385" s="167"/>
      <c r="B385" s="27" t="str">
        <f>物品!B385</f>
        <v>IK8E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业力|Cffffc926+50000|r，业力|Cffffc926+12%|n|n|r|Cffaaaaaa○|CffFFD24D火之刻印+1|r|r|n|n|Cff00ff7f点击穿戴或脱卸。|r</v>
      </c>
      <c r="J385" s="169" t="str">
        <f t="shared" si="135"/>
        <v>|CffFFD24D【史诗】悟道碑石|r</v>
      </c>
      <c r="K385" s="169" t="str">
        <f t="shared" si="136"/>
        <v>业力|Cffffc926+50000|r，业力|Cffffc926+12%|n|n|r|Cffaaaaaa○|CffFFD24D火之刻印+1|r|r|n|n|Cff00ff7f点击穿戴或脱卸。|r</v>
      </c>
      <c r="L385" s="27"/>
      <c r="M385" s="170" t="str">
        <f>VLOOKUP(LEFT(RIGHT(B385,5),4),物品!B:CU,20,FALSE)</f>
        <v>ReplaceableTextures\\CommandButtons\\BTNSST16.blp</v>
      </c>
      <c r="N385" s="188" t="s">
        <v>83</v>
      </c>
      <c r="O385" s="170" t="s">
        <v>94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71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ht="14.4" spans="1:42">
      <c r="A386" s="167"/>
      <c r="B386" s="27" t="str">
        <f>物品!B386</f>
        <v>IK8F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业力|Cffffc926+50000|r，业力|Cffffc926+12%|n|n|r|Cffaaaaaa○|CffFFD24D土之刻印+1|r|r|n|n|Cff00ff7f点击穿戴或脱卸。|r</v>
      </c>
      <c r="J386" s="169" t="str">
        <f t="shared" si="135"/>
        <v>|CffFFD24D【史诗】悟道碑石|r</v>
      </c>
      <c r="K386" s="169" t="str">
        <f t="shared" si="136"/>
        <v>业力|Cffffc926+50000|r，业力|Cffffc926+12%|n|n|r|Cffaaaaaa○|CffFFD24D土之刻印+1|r|r|n|n|Cff00ff7f点击穿戴或脱卸。|r</v>
      </c>
      <c r="L386" s="27"/>
      <c r="M386" s="170" t="str">
        <f>VLOOKUP(LEFT(RIGHT(B386,5),4),物品!B:CU,20,FALSE)</f>
        <v>ReplaceableTextures\\CommandButtons\\BTNSST16.blp</v>
      </c>
      <c r="N386" s="188" t="s">
        <v>83</v>
      </c>
      <c r="O386" s="170" t="s">
        <v>94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71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ht="14.4" spans="1:42">
      <c r="A387" s="167"/>
      <c r="B387" s="27" t="str">
        <f>物品!B387</f>
        <v>IK8G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业力|Cffffc926+50000|r，业力|Cffffc926+12%|n|n|r|Cffaaaaaa○|CffFFD24D雷之刻印+1|r|r|n|n|Cff00ff7f点击穿戴或脱卸。|r</v>
      </c>
      <c r="J387" s="169" t="str">
        <f t="shared" si="135"/>
        <v>|CffFFD24D【史诗】悟道碑石|r</v>
      </c>
      <c r="K387" s="169" t="str">
        <f t="shared" si="136"/>
        <v>业力|Cffffc926+50000|r，业力|Cffffc926+12%|n|n|r|Cffaaaaaa○|CffFFD24D雷之刻印+1|r|r|n|n|Cff00ff7f点击穿戴或脱卸。|r</v>
      </c>
      <c r="L387" s="27"/>
      <c r="M387" s="170" t="str">
        <f>VLOOKUP(LEFT(RIGHT(B387,5),4),物品!B:CU,20,FALSE)</f>
        <v>ReplaceableTextures\\CommandButtons\\BTNSST16.blp</v>
      </c>
      <c r="N387" s="188" t="s">
        <v>83</v>
      </c>
      <c r="O387" s="170" t="s">
        <v>94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71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ht="14.4" spans="1:42">
      <c r="A388" s="167"/>
      <c r="B388" s="27" t="str">
        <f>物品!B388</f>
        <v>IK8H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业力|Cffffc926+50000|r，业力|Cffffc926+12%|n|n|r|Cffaaaaaa○|CffFFD24D光之刻印+1|r|r|n|n|Cff00ff7f点击穿戴或脱卸。|r</v>
      </c>
      <c r="J388" s="169" t="str">
        <f t="shared" si="135"/>
        <v>|CffFFD24D【史诗】悟道碑石|r</v>
      </c>
      <c r="K388" s="169" t="str">
        <f t="shared" si="136"/>
        <v>业力|Cffffc926+50000|r，业力|Cffffc926+12%|n|n|r|Cffaaaaaa○|CffFFD24D光之刻印+1|r|r|n|n|Cff00ff7f点击穿戴或脱卸。|r</v>
      </c>
      <c r="L388" s="27"/>
      <c r="M388" s="170" t="str">
        <f>VLOOKUP(LEFT(RIGHT(B388,5),4),物品!B:CU,20,FALSE)</f>
        <v>ReplaceableTextures\\CommandButtons\\BTNSST16.blp</v>
      </c>
      <c r="N388" s="188" t="s">
        <v>83</v>
      </c>
      <c r="O388" s="170" t="s">
        <v>94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71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ht="14.4" spans="1:42">
      <c r="A389" s="167"/>
      <c r="B389" s="27" t="str">
        <f>物品!B389</f>
        <v>IK8I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业力|Cffffc926+50000|r，业力|Cffffc926+12%|n|n|r|Cffaaaaaa○|CffFFD24D暗之刻印+1|r|r|n|n|Cff00ff7f点击穿戴或脱卸。|r</v>
      </c>
      <c r="J389" s="169" t="str">
        <f t="shared" si="135"/>
        <v>|CffFFD24D【史诗】悟道碑石|r</v>
      </c>
      <c r="K389" s="169" t="str">
        <f t="shared" si="136"/>
        <v>业力|Cffffc926+50000|r，业力|Cffffc926+12%|n|n|r|Cffaaaaaa○|CffFFD24D暗之刻印+1|r|r|n|n|Cff00ff7f点击穿戴或脱卸。|r</v>
      </c>
      <c r="L389" s="27"/>
      <c r="M389" s="170" t="str">
        <f>VLOOKUP(LEFT(RIGHT(B389,5),4),物品!B:CU,20,FALSE)</f>
        <v>ReplaceableTextures\\CommandButtons\\BTNSST16.blp</v>
      </c>
      <c r="N389" s="188" t="s">
        <v>83</v>
      </c>
      <c r="O389" s="170" t="s">
        <v>94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71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ht="14.4" spans="1:42">
      <c r="A390" s="167"/>
      <c r="B390" s="27" t="str">
        <f>物品!B390</f>
        <v>IK91</v>
      </c>
      <c r="C390" s="27" t="s">
        <v>41</v>
      </c>
      <c r="D390" s="27" t="s">
        <v>81</v>
      </c>
      <c r="E390" s="27" t="s">
        <v>110</v>
      </c>
      <c r="F390" s="27"/>
      <c r="G390" s="27"/>
      <c r="H390" s="27" t="str">
        <f>VLOOKUP(LEFT(RIGHT(B390,5),4),物品!B:CU,2,FALSE)</f>
        <v>|CffFFD24D金之刻印|r</v>
      </c>
      <c r="I390" s="27" t="str">
        <f>VLOOKUP(B390,物品!B:CV,99,FALSE)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0" s="169" t="str">
        <f t="shared" si="135"/>
        <v>|CffFFD24D金之刻印|r</v>
      </c>
      <c r="K390" s="169" t="str">
        <f t="shared" si="136"/>
        <v>为|Cffffc926史诗品质|r的|Cffffc926宝物|r附加一条|Cffffc926金之符印|r属性。|n|n|Cff00ff7f点击可将刻印镶嵌至指定史诗品质的宝物。|n|r|Cffff0000镶嵌后不可拆卸和替换。|r</v>
      </c>
      <c r="L390" s="27"/>
      <c r="M390" s="170" t="str">
        <f>VLOOKUP(LEFT(RIGHT(B390,5),4),物品!B:CU,20,FALSE)</f>
        <v>ReplaceableTextures\\CommandButtons\\BTNUI_Fuin_01.blp</v>
      </c>
      <c r="N390" s="188" t="s">
        <v>83</v>
      </c>
      <c r="O390" s="170" t="s">
        <v>94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71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ht="14.4" spans="1:42">
      <c r="A391" s="167"/>
      <c r="B391" s="27" t="str">
        <f>物品!B391</f>
        <v>IK92</v>
      </c>
      <c r="C391" s="27" t="s">
        <v>41</v>
      </c>
      <c r="D391" s="27" t="s">
        <v>81</v>
      </c>
      <c r="E391" s="27" t="s">
        <v>111</v>
      </c>
      <c r="F391" s="27"/>
      <c r="G391" s="27"/>
      <c r="H391" s="27" t="str">
        <f>VLOOKUP(LEFT(RIGHT(B391,5),4),物品!B:CU,2,FALSE)</f>
        <v>|CffFFD24D木之刻印|r</v>
      </c>
      <c r="I391" s="27" t="str">
        <f>VLOOKUP(B391,物品!B:CV,99,FALSE)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1" s="169" t="str">
        <f t="shared" si="135"/>
        <v>|CffFFD24D木之刻印|r</v>
      </c>
      <c r="K391" s="169" t="str">
        <f t="shared" si="136"/>
        <v>为|Cffffc926史诗品质|r的|Cffffc926宝物|r附加一条|Cffffc926木之符印|r属性。|n|n|Cff00ff7f点击可将刻印镶嵌至指定史诗品质的宝物。|n|r|Cffff0000镶嵌后不可拆卸和替换。|r</v>
      </c>
      <c r="L391" s="27"/>
      <c r="M391" s="170" t="str">
        <f>VLOOKUP(LEFT(RIGHT(B391,5),4),物品!B:CU,20,FALSE)</f>
        <v>ReplaceableTextures\\CommandButtons\\BTNUI_Fuin_02.blp</v>
      </c>
      <c r="N391" s="188" t="s">
        <v>83</v>
      </c>
      <c r="O391" s="170" t="s">
        <v>94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71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ht="14.4" spans="1:42">
      <c r="A392" s="167"/>
      <c r="B392" s="27" t="str">
        <f>物品!B392</f>
        <v>IK93</v>
      </c>
      <c r="C392" s="27" t="s">
        <v>41</v>
      </c>
      <c r="D392" s="27" t="s">
        <v>81</v>
      </c>
      <c r="E392" s="27" t="s">
        <v>112</v>
      </c>
      <c r="F392" s="27"/>
      <c r="G392" s="27"/>
      <c r="H392" s="27" t="str">
        <f>VLOOKUP(LEFT(RIGHT(B392,5),4),物品!B:CU,2,FALSE)</f>
        <v>|CffFFD24D水之刻印|r</v>
      </c>
      <c r="I392" s="27" t="str">
        <f>VLOOKUP(B392,物品!B:CV,99,FALSE)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2" s="169" t="str">
        <f t="shared" si="135"/>
        <v>|CffFFD24D水之刻印|r</v>
      </c>
      <c r="K392" s="169" t="str">
        <f t="shared" si="136"/>
        <v>为|Cffffc926史诗品质|r的|Cffffc926宝物|r附加一条|Cffffc926水之符印|r属性。|n|n|Cff00ff7f点击可将刻印镶嵌至指定史诗品质的宝物。|n|r|Cffff0000镶嵌后不可拆卸和替换。|r</v>
      </c>
      <c r="L392" s="27"/>
      <c r="M392" s="170" t="str">
        <f>VLOOKUP(LEFT(RIGHT(B392,5),4),物品!B:CU,20,FALSE)</f>
        <v>ReplaceableTextures\\CommandButtons\\BTNUI_Fuin_03.blp</v>
      </c>
      <c r="N392" s="188" t="s">
        <v>83</v>
      </c>
      <c r="O392" s="170" t="s">
        <v>94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71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ht="14.4" spans="1:42">
      <c r="A393" s="167"/>
      <c r="B393" s="27" t="str">
        <f>物品!B393</f>
        <v>IK94</v>
      </c>
      <c r="C393" s="27" t="s">
        <v>41</v>
      </c>
      <c r="D393" s="27" t="s">
        <v>81</v>
      </c>
      <c r="E393" s="27" t="s">
        <v>113</v>
      </c>
      <c r="F393" s="27"/>
      <c r="G393" s="27"/>
      <c r="H393" s="27" t="str">
        <f>VLOOKUP(LEFT(RIGHT(B393,5),4),物品!B:CU,2,FALSE)</f>
        <v>|CffFFD24D火之刻印|r</v>
      </c>
      <c r="I393" s="27" t="str">
        <f>VLOOKUP(B393,物品!B:CV,99,FALSE)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3" s="169" t="str">
        <f t="shared" si="135"/>
        <v>|CffFFD24D火之刻印|r</v>
      </c>
      <c r="K393" s="169" t="str">
        <f t="shared" si="136"/>
        <v>为|Cffffc926史诗品质|r的|Cffffc926宝物|r附加一条|Cffffc926火之符印|r属性。|n|n|Cff00ff7f点击可将刻印镶嵌至指定史诗品质的宝物。|n|r|Cffff0000镶嵌后不可拆卸和替换。|r</v>
      </c>
      <c r="L393" s="27"/>
      <c r="M393" s="170" t="str">
        <f>VLOOKUP(LEFT(RIGHT(B393,5),4),物品!B:CU,20,FALSE)</f>
        <v>ReplaceableTextures\\CommandButtons\\BTNUI_Fuin_04.blp</v>
      </c>
      <c r="N393" s="188" t="s">
        <v>83</v>
      </c>
      <c r="O393" s="170" t="s">
        <v>94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71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ht="14.4" spans="1:42">
      <c r="A394" s="167"/>
      <c r="B394" s="27" t="str">
        <f>物品!B394</f>
        <v>IK95</v>
      </c>
      <c r="C394" s="27" t="s">
        <v>41</v>
      </c>
      <c r="D394" s="27" t="s">
        <v>81</v>
      </c>
      <c r="E394" s="27" t="s">
        <v>114</v>
      </c>
      <c r="F394" s="27"/>
      <c r="G394" s="27"/>
      <c r="H394" s="27" t="str">
        <f>VLOOKUP(LEFT(RIGHT(B394,5),4),物品!B:CU,2,FALSE)</f>
        <v>|CffFFD24D土之刻印|r</v>
      </c>
      <c r="I394" s="27" t="str">
        <f>VLOOKUP(B394,物品!B:CV,99,FALSE)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4" s="169" t="str">
        <f t="shared" si="135"/>
        <v>|CffFFD24D土之刻印|r</v>
      </c>
      <c r="K394" s="169" t="str">
        <f t="shared" si="136"/>
        <v>为|Cffffc926史诗品质|r的|Cffffc926宝物|r附加一条|Cffffc926土之符印|r属性。|n|n|Cff00ff7f点击可将刻印镶嵌至指定史诗品质的宝物。|n|r|Cffff0000镶嵌后不可拆卸和替换。|r</v>
      </c>
      <c r="L394" s="27"/>
      <c r="M394" s="170" t="str">
        <f>VLOOKUP(LEFT(RIGHT(B394,5),4),物品!B:CU,20,FALSE)</f>
        <v>ReplaceableTextures\\CommandButtons\\BTNUI_Fuin_05.blp</v>
      </c>
      <c r="N394" s="188" t="s">
        <v>83</v>
      </c>
      <c r="O394" s="170" t="s">
        <v>94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71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ht="14.4" spans="1:42">
      <c r="A395" s="167"/>
      <c r="B395" s="27" t="str">
        <f>物品!B395</f>
        <v>IK96</v>
      </c>
      <c r="C395" s="27" t="s">
        <v>41</v>
      </c>
      <c r="D395" s="27" t="s">
        <v>81</v>
      </c>
      <c r="E395" s="27" t="s">
        <v>115</v>
      </c>
      <c r="F395" s="27"/>
      <c r="G395" s="27"/>
      <c r="H395" s="27" t="str">
        <f>VLOOKUP(LEFT(RIGHT(B395,5),4),物品!B:CU,2,FALSE)</f>
        <v>|CffFFD24D雷之刻印|r</v>
      </c>
      <c r="I395" s="27" t="str">
        <f>VLOOKUP(B395,物品!B:CV,99,FALSE)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5" s="169" t="str">
        <f t="shared" si="135"/>
        <v>|CffFFD24D雷之刻印|r</v>
      </c>
      <c r="K395" s="169" t="str">
        <f t="shared" si="136"/>
        <v>为|Cffffc926史诗品质|r的|Cffffc926宝物|r附加一条|Cffffc926雷之符印|r属性。|n|n|Cff00ff7f点击可将刻印镶嵌至指定史诗品质的宝物。|n|r|Cffff0000镶嵌后不可拆卸和替换。|r</v>
      </c>
      <c r="L395" s="27"/>
      <c r="M395" s="170" t="str">
        <f>VLOOKUP(LEFT(RIGHT(B395,5),4),物品!B:CU,20,FALSE)</f>
        <v>ReplaceableTextures\\CommandButtons\\BTNUI_Fuin_06.blp</v>
      </c>
      <c r="N395" s="188" t="s">
        <v>83</v>
      </c>
      <c r="O395" s="170" t="s">
        <v>94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71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ht="14.4" spans="1:42">
      <c r="A396" s="167"/>
      <c r="B396" s="27" t="str">
        <f>物品!B396</f>
        <v>IK97</v>
      </c>
      <c r="C396" s="27" t="s">
        <v>41</v>
      </c>
      <c r="D396" s="27" t="s">
        <v>81</v>
      </c>
      <c r="E396" s="27" t="s">
        <v>116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9" t="str">
        <f t="shared" si="135"/>
        <v>|CffFFD24D光之刻印|r</v>
      </c>
      <c r="K396" s="169" t="str">
        <f t="shared" si="136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70" t="str">
        <f>VLOOKUP(LEFT(RIGHT(B396,5),4),物品!B:CU,20,FALSE)</f>
        <v>ReplaceableTextures\\CommandButtons\\BTNUI_Fuin_07.blp</v>
      </c>
      <c r="N396" s="188" t="s">
        <v>83</v>
      </c>
      <c r="O396" s="170" t="s">
        <v>94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71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ht="14.4" spans="1:42">
      <c r="A397" s="167"/>
      <c r="B397" s="27" t="str">
        <f>物品!B397</f>
        <v>IK98</v>
      </c>
      <c r="C397" s="27" t="s">
        <v>41</v>
      </c>
      <c r="D397" s="27" t="s">
        <v>81</v>
      </c>
      <c r="E397" s="27" t="s">
        <v>117</v>
      </c>
      <c r="F397" s="27"/>
      <c r="G397" s="27"/>
      <c r="H397" s="27" t="str">
        <f>VLOOKUP(LEFT(RIGHT(B397,5),4),物品!B:CU,2,FALSE)</f>
        <v>|CffFFD24D暗之刻印|r</v>
      </c>
      <c r="I397" s="27" t="str">
        <f>VLOOKUP(B397,物品!B:CV,99,FALSE)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7" s="169" t="str">
        <f t="shared" si="135"/>
        <v>|CffFFD24D暗之刻印|r</v>
      </c>
      <c r="K397" s="169" t="str">
        <f t="shared" si="136"/>
        <v>为|Cffffc926史诗品质|r的|Cffffc926宝物|r附加一条|Cffffc926暗之符印|r属性。|n|n|Cff00ff7f点击可将刻印镶嵌至指定史诗品质的宝物。|n|r|Cffff0000镶嵌后不可拆卸和替换。|r</v>
      </c>
      <c r="L397" s="27"/>
      <c r="M397" s="170" t="str">
        <f>VLOOKUP(LEFT(RIGHT(B397,5),4),物品!B:CU,20,FALSE)</f>
        <v>ReplaceableTextures\\CommandButtons\\BTNUI_Fuin_08.blp</v>
      </c>
      <c r="N397" s="188" t="s">
        <v>83</v>
      </c>
      <c r="O397" s="170" t="s">
        <v>94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71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2:42">
      <c r="B398" s="163"/>
      <c r="C398" s="27"/>
      <c r="D398" s="27"/>
      <c r="E398" s="27"/>
      <c r="H398" s="27"/>
      <c r="J398" s="173"/>
      <c r="K398" s="163"/>
      <c r="L398" s="27"/>
      <c r="M398" s="174"/>
      <c r="O398" s="170"/>
      <c r="P398" s="27"/>
      <c r="Q398" s="27"/>
      <c r="W398" s="163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63"/>
      <c r="C399" s="27"/>
      <c r="D399" s="27"/>
      <c r="E399" s="27"/>
      <c r="H399" s="27"/>
      <c r="J399" s="173"/>
      <c r="K399" s="163"/>
      <c r="L399" s="27"/>
      <c r="M399" s="174"/>
      <c r="O399" s="170"/>
      <c r="P399" s="27"/>
      <c r="Q399" s="27"/>
      <c r="W399" s="163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63"/>
      <c r="C400" s="27"/>
      <c r="D400" s="27"/>
      <c r="E400" s="27"/>
      <c r="H400" s="27"/>
      <c r="J400" s="173"/>
      <c r="K400" s="163"/>
      <c r="L400" s="27"/>
      <c r="M400" s="174"/>
      <c r="O400" s="170"/>
      <c r="P400" s="27"/>
      <c r="Q400" s="27"/>
      <c r="W400" s="163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3"/>
      <c r="C401" s="27"/>
      <c r="D401" s="27"/>
      <c r="E401" s="27"/>
      <c r="H401" s="27"/>
      <c r="J401" s="173"/>
      <c r="K401" s="163"/>
      <c r="L401" s="27"/>
      <c r="M401" s="174"/>
      <c r="O401" s="170"/>
      <c r="P401" s="27"/>
      <c r="Q401" s="27"/>
      <c r="W401" s="163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3"/>
      <c r="C402" s="27"/>
      <c r="D402" s="27"/>
      <c r="E402" s="27"/>
      <c r="H402" s="27"/>
      <c r="J402" s="173"/>
      <c r="K402" s="163"/>
      <c r="L402" s="27"/>
      <c r="M402" s="174"/>
      <c r="O402" s="170"/>
      <c r="P402" s="27"/>
      <c r="Q402" s="27"/>
      <c r="R402" s="163"/>
      <c r="S402" s="163"/>
      <c r="T402" s="163"/>
      <c r="W402" s="163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3"/>
      <c r="C403" s="27"/>
      <c r="D403" s="27"/>
      <c r="E403" s="27"/>
      <c r="H403" s="27"/>
      <c r="J403" s="173"/>
      <c r="K403" s="163"/>
      <c r="L403" s="27"/>
      <c r="M403" s="174"/>
      <c r="O403" s="170"/>
      <c r="P403" s="27"/>
      <c r="Q403" s="27"/>
      <c r="R403" s="163"/>
      <c r="S403" s="163"/>
      <c r="T403" s="163"/>
      <c r="W403" s="163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3"/>
      <c r="C404" s="27"/>
      <c r="D404" s="27"/>
      <c r="E404" s="27"/>
      <c r="H404" s="27"/>
      <c r="J404" s="173"/>
      <c r="K404" s="163"/>
      <c r="L404" s="27"/>
      <c r="M404" s="174"/>
      <c r="O404" s="170"/>
      <c r="P404" s="27"/>
      <c r="Q404" s="27"/>
      <c r="R404" s="163"/>
      <c r="S404" s="163"/>
      <c r="T404" s="163"/>
      <c r="W404" s="163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3"/>
      <c r="C405" s="27"/>
      <c r="D405" s="27"/>
      <c r="E405" s="27"/>
      <c r="H405" s="27"/>
      <c r="J405" s="173"/>
      <c r="K405" s="163"/>
      <c r="L405" s="27"/>
      <c r="M405" s="174"/>
      <c r="O405" s="170"/>
      <c r="P405" s="27"/>
      <c r="Q405" s="27"/>
      <c r="R405" s="163"/>
      <c r="S405" s="163"/>
      <c r="T405" s="163"/>
      <c r="W405" s="163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3"/>
      <c r="C406" s="27"/>
      <c r="D406" s="27"/>
      <c r="E406" s="27"/>
      <c r="H406" s="27"/>
      <c r="J406" s="173"/>
      <c r="K406" s="163"/>
      <c r="L406" s="27"/>
      <c r="M406" s="174"/>
      <c r="O406" s="170"/>
      <c r="P406" s="27"/>
      <c r="Q406" s="27"/>
      <c r="R406" s="163"/>
      <c r="S406" s="163"/>
      <c r="T406" s="163"/>
      <c r="W406" s="163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3"/>
      <c r="C407" s="27"/>
      <c r="D407" s="27"/>
      <c r="E407" s="27"/>
      <c r="H407" s="27"/>
      <c r="J407" s="173"/>
      <c r="K407" s="163"/>
      <c r="L407" s="27"/>
      <c r="M407" s="174"/>
      <c r="O407" s="170"/>
      <c r="P407" s="27"/>
      <c r="Q407" s="27"/>
      <c r="R407" s="163"/>
      <c r="S407" s="163"/>
      <c r="T407" s="163"/>
      <c r="W407" s="163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3"/>
      <c r="C408" s="27"/>
      <c r="D408" s="27"/>
      <c r="E408" s="27"/>
      <c r="H408" s="27"/>
      <c r="J408" s="173"/>
      <c r="K408" s="163"/>
      <c r="L408" s="27"/>
      <c r="M408" s="174"/>
      <c r="O408" s="170"/>
      <c r="P408" s="27"/>
      <c r="Q408" s="27"/>
      <c r="R408" s="163"/>
      <c r="S408" s="163"/>
      <c r="T408" s="163"/>
      <c r="W408" s="163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3"/>
      <c r="C409" s="27"/>
      <c r="D409" s="27"/>
      <c r="E409" s="27"/>
      <c r="H409" s="27"/>
      <c r="J409" s="173"/>
      <c r="K409" s="163"/>
      <c r="L409" s="27"/>
      <c r="M409" s="174"/>
      <c r="O409" s="170"/>
      <c r="P409" s="27"/>
      <c r="Q409" s="27"/>
      <c r="R409" s="163"/>
      <c r="S409" s="163"/>
      <c r="T409" s="163"/>
      <c r="W409" s="163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3"/>
      <c r="C410" s="27"/>
      <c r="D410" s="27"/>
      <c r="E410" s="27"/>
      <c r="H410" s="27"/>
      <c r="J410" s="173"/>
      <c r="K410" s="163"/>
      <c r="L410" s="27"/>
      <c r="M410" s="174"/>
      <c r="O410" s="170"/>
      <c r="P410" s="27"/>
      <c r="Q410" s="27"/>
      <c r="R410" s="163"/>
      <c r="S410" s="163"/>
      <c r="T410" s="163"/>
      <c r="W410" s="163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3"/>
      <c r="C411" s="27"/>
      <c r="D411" s="27"/>
      <c r="E411" s="27"/>
      <c r="H411" s="27"/>
      <c r="J411" s="173"/>
      <c r="K411" s="163"/>
      <c r="L411" s="27"/>
      <c r="M411" s="174"/>
      <c r="O411" s="170"/>
      <c r="P411" s="27"/>
      <c r="Q411" s="27"/>
      <c r="R411" s="163"/>
      <c r="S411" s="163"/>
      <c r="T411" s="163"/>
      <c r="W411" s="163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3"/>
      <c r="C412" s="27"/>
      <c r="D412" s="27"/>
      <c r="E412" s="27"/>
      <c r="H412" s="27"/>
      <c r="J412" s="173"/>
      <c r="K412" s="163"/>
      <c r="L412" s="27"/>
      <c r="M412" s="174"/>
      <c r="O412" s="170"/>
      <c r="P412" s="27"/>
      <c r="Q412" s="27"/>
      <c r="R412" s="163"/>
      <c r="S412" s="163"/>
      <c r="T412" s="163"/>
      <c r="W412" s="163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3"/>
      <c r="C413" s="27"/>
      <c r="D413" s="27"/>
      <c r="E413" s="27"/>
      <c r="H413" s="27"/>
      <c r="J413" s="173"/>
      <c r="K413" s="163"/>
      <c r="L413" s="27"/>
      <c r="M413" s="174"/>
      <c r="O413" s="170"/>
      <c r="P413" s="27"/>
      <c r="Q413" s="27"/>
      <c r="R413" s="163"/>
      <c r="S413" s="163"/>
      <c r="T413" s="163"/>
      <c r="W413" s="163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3"/>
      <c r="C414" s="27"/>
      <c r="D414" s="27"/>
      <c r="E414" s="27"/>
      <c r="H414" s="27"/>
      <c r="J414" s="173"/>
      <c r="K414" s="163"/>
      <c r="L414" s="27"/>
      <c r="M414" s="174"/>
      <c r="O414" s="170"/>
      <c r="P414" s="27"/>
      <c r="Q414" s="27"/>
      <c r="R414" s="27"/>
      <c r="S414" s="27"/>
      <c r="T414" s="27"/>
      <c r="W414" s="163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3"/>
      <c r="C415" s="27"/>
      <c r="D415" s="27"/>
      <c r="E415" s="27"/>
      <c r="H415" s="27"/>
      <c r="J415" s="173"/>
      <c r="K415" s="163"/>
      <c r="L415" s="27"/>
      <c r="M415" s="174"/>
      <c r="O415" s="170"/>
      <c r="P415" s="27"/>
      <c r="Q415" s="27"/>
      <c r="R415" s="27"/>
      <c r="S415" s="27"/>
      <c r="T415" s="27"/>
      <c r="W415" s="163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="164" customFormat="1" spans="5:28">
      <c r="E416" s="27"/>
      <c r="H416" s="27"/>
      <c r="J416" s="169"/>
      <c r="AB416" s="27"/>
    </row>
    <row r="417" s="164" customFormat="1" spans="5:28">
      <c r="E417" s="27"/>
      <c r="H417" s="27"/>
      <c r="J417" s="169"/>
      <c r="AB417" s="27"/>
    </row>
    <row r="418" s="164" customFormat="1" spans="5:28">
      <c r="E418" s="27"/>
      <c r="H418" s="27"/>
      <c r="J418" s="169"/>
      <c r="AB418" s="27"/>
    </row>
    <row r="419" s="164" customFormat="1" spans="5:28">
      <c r="E419" s="27"/>
      <c r="H419" s="27"/>
      <c r="J419" s="169"/>
      <c r="AB419" s="27"/>
    </row>
    <row r="420" s="164" customFormat="1" spans="5:28">
      <c r="E420" s="27"/>
      <c r="H420" s="27"/>
      <c r="J420" s="169"/>
      <c r="AB420" s="27"/>
    </row>
    <row r="421" s="164" customFormat="1" spans="5:28">
      <c r="E421" s="27"/>
      <c r="H421" s="27"/>
      <c r="J421" s="169"/>
      <c r="AB421" s="27"/>
    </row>
    <row r="422" s="164" customFormat="1" spans="5:28">
      <c r="E422" s="27"/>
      <c r="H422" s="27"/>
      <c r="J422" s="169"/>
      <c r="AB422" s="27"/>
    </row>
    <row r="423" s="164" customFormat="1" spans="5:28">
      <c r="E423" s="27"/>
      <c r="H423" s="27"/>
      <c r="J423" s="169"/>
      <c r="AB423" s="27"/>
    </row>
    <row r="424" s="164" customFormat="1" spans="5:28">
      <c r="E424" s="27"/>
      <c r="H424" s="27"/>
      <c r="J424" s="169"/>
      <c r="AB424" s="27"/>
    </row>
    <row r="425" s="164" customFormat="1" spans="5:28">
      <c r="E425" s="27"/>
      <c r="H425" s="27"/>
      <c r="J425" s="169"/>
      <c r="AB425" s="27"/>
    </row>
    <row r="426" s="164" customFormat="1" spans="5:28">
      <c r="E426" s="27"/>
      <c r="H426" s="27"/>
      <c r="J426" s="169"/>
      <c r="AB426" s="27"/>
    </row>
    <row r="427" s="164" customFormat="1" spans="5:28">
      <c r="E427" s="27"/>
      <c r="H427" s="27"/>
      <c r="J427" s="169"/>
      <c r="AB427" s="27"/>
    </row>
    <row r="428" s="164" customFormat="1" spans="5:28">
      <c r="E428" s="27"/>
      <c r="H428" s="27"/>
      <c r="J428" s="169"/>
      <c r="AB428" s="27"/>
    </row>
    <row r="429" s="164" customFormat="1" spans="5:28">
      <c r="E429" s="27"/>
      <c r="H429" s="27"/>
      <c r="J429" s="169"/>
      <c r="AB429" s="27"/>
    </row>
    <row r="430" s="164" customFormat="1" spans="5:28">
      <c r="E430" s="27"/>
      <c r="H430" s="27"/>
      <c r="J430" s="169"/>
      <c r="AB430" s="27"/>
    </row>
    <row r="431" s="164" customFormat="1" spans="5:28">
      <c r="E431" s="27"/>
      <c r="H431" s="27"/>
      <c r="J431" s="169"/>
      <c r="AB431" s="27"/>
    </row>
    <row r="432" s="164" customFormat="1" spans="5:28">
      <c r="E432" s="27"/>
      <c r="H432" s="27"/>
      <c r="J432" s="169"/>
      <c r="AB432" s="27"/>
    </row>
    <row r="433" s="164" customFormat="1" spans="5:28">
      <c r="E433" s="27"/>
      <c r="H433" s="27"/>
      <c r="J433" s="169"/>
      <c r="AB433" s="27"/>
    </row>
    <row r="434" spans="2:42">
      <c r="B434" s="163"/>
      <c r="C434" s="27"/>
      <c r="D434" s="27"/>
      <c r="E434" s="27"/>
      <c r="H434" s="27"/>
      <c r="J434" s="169"/>
      <c r="K434" s="27"/>
      <c r="L434" s="27"/>
      <c r="O434" s="170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63"/>
      <c r="C435" s="27"/>
      <c r="D435" s="27"/>
      <c r="E435" s="27"/>
      <c r="H435" s="27"/>
      <c r="I435" s="164"/>
      <c r="J435" s="169"/>
      <c r="K435" s="27"/>
      <c r="L435" s="27"/>
      <c r="M435" s="164"/>
      <c r="O435" s="170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3"/>
      <c r="C436" s="27"/>
      <c r="D436" s="27"/>
      <c r="E436" s="27"/>
      <c r="H436" s="27"/>
      <c r="I436" s="164"/>
      <c r="J436" s="169"/>
      <c r="K436" s="27"/>
      <c r="L436" s="27"/>
      <c r="M436" s="164"/>
      <c r="O436" s="170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3"/>
      <c r="C437" s="27"/>
      <c r="D437" s="27"/>
      <c r="E437" s="27"/>
      <c r="H437" s="27"/>
      <c r="I437" s="164"/>
      <c r="J437" s="169"/>
      <c r="K437" s="27"/>
      <c r="L437" s="27"/>
      <c r="M437" s="164"/>
      <c r="O437" s="170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3"/>
      <c r="C438" s="27"/>
      <c r="D438" s="27"/>
      <c r="E438" s="27"/>
      <c r="H438" s="27"/>
      <c r="I438" s="164"/>
      <c r="J438" s="164"/>
      <c r="K438" s="27"/>
      <c r="L438" s="27"/>
      <c r="M438" s="164"/>
      <c r="O438" s="170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3"/>
      <c r="C439" s="27"/>
      <c r="D439" s="27"/>
      <c r="E439" s="27"/>
      <c r="H439" s="27"/>
      <c r="I439" s="164"/>
      <c r="J439" s="164"/>
      <c r="K439" s="27"/>
      <c r="L439" s="27"/>
      <c r="M439" s="164"/>
      <c r="O439" s="170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3"/>
      <c r="C440" s="27"/>
      <c r="D440" s="27"/>
      <c r="E440" s="27"/>
      <c r="H440" s="27"/>
      <c r="I440" s="164"/>
      <c r="J440" s="164"/>
      <c r="K440" s="27"/>
      <c r="L440" s="27"/>
      <c r="M440" s="164"/>
      <c r="O440" s="170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3"/>
      <c r="C441" s="27"/>
      <c r="D441" s="27"/>
      <c r="E441" s="27"/>
      <c r="H441" s="27"/>
      <c r="I441" s="164"/>
      <c r="J441" s="163"/>
      <c r="K441" s="27"/>
      <c r="L441" s="27"/>
      <c r="M441" s="164"/>
      <c r="O441" s="170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3"/>
      <c r="C442" s="27"/>
      <c r="D442" s="27"/>
      <c r="E442" s="27"/>
      <c r="H442" s="27"/>
      <c r="I442" s="164"/>
      <c r="J442" s="163"/>
      <c r="K442" s="27"/>
      <c r="L442" s="27"/>
      <c r="M442" s="164"/>
      <c r="O442" s="170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3"/>
      <c r="C443" s="27"/>
      <c r="D443" s="27"/>
      <c r="E443" s="27"/>
      <c r="H443" s="27"/>
      <c r="J443" s="169"/>
      <c r="K443" s="27"/>
      <c r="L443" s="27"/>
      <c r="M443" s="174"/>
      <c r="O443" s="170"/>
      <c r="P443" s="27"/>
      <c r="Q443" s="27"/>
      <c r="W443" s="163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3"/>
      <c r="C444" s="27"/>
      <c r="D444" s="27"/>
      <c r="E444" s="27"/>
      <c r="H444" s="27"/>
      <c r="J444" s="169"/>
      <c r="K444" s="27"/>
      <c r="L444" s="27"/>
      <c r="M444" s="174"/>
      <c r="O444" s="170"/>
      <c r="P444" s="27"/>
      <c r="Q444" s="27"/>
      <c r="W444" s="163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3"/>
      <c r="C445" s="27"/>
      <c r="D445" s="27"/>
      <c r="E445" s="27"/>
      <c r="H445" s="27"/>
      <c r="J445" s="169"/>
      <c r="K445" s="27"/>
      <c r="L445" s="27"/>
      <c r="M445" s="174"/>
      <c r="O445" s="170"/>
      <c r="P445" s="27"/>
      <c r="Q445" s="27"/>
      <c r="W445" s="163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3"/>
      <c r="C446" s="27"/>
      <c r="D446" s="27"/>
      <c r="E446" s="27"/>
      <c r="H446" s="27"/>
      <c r="J446" s="169"/>
      <c r="K446" s="27"/>
      <c r="L446" s="27"/>
      <c r="M446" s="174"/>
      <c r="O446" s="170"/>
      <c r="P446" s="27"/>
      <c r="Q446" s="27"/>
      <c r="W446" s="163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3"/>
      <c r="C447" s="27"/>
      <c r="D447" s="27"/>
      <c r="E447" s="27"/>
      <c r="H447" s="27"/>
      <c r="J447" s="169"/>
      <c r="K447" s="27"/>
      <c r="L447" s="27"/>
      <c r="M447" s="175"/>
      <c r="O447" s="170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3"/>
      <c r="C448" s="27"/>
      <c r="D448" s="27"/>
      <c r="E448" s="27"/>
      <c r="H448" s="27"/>
      <c r="J448" s="169"/>
      <c r="K448" s="27"/>
      <c r="L448" s="27"/>
      <c r="M448" s="175"/>
      <c r="O448" s="170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3"/>
      <c r="C449" s="27"/>
      <c r="D449" s="27"/>
      <c r="E449" s="27"/>
      <c r="H449" s="27"/>
      <c r="J449" s="169"/>
      <c r="K449" s="27"/>
      <c r="L449" s="27"/>
      <c r="M449" s="175"/>
      <c r="O449" s="170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3"/>
      <c r="C450" s="27"/>
      <c r="D450" s="27"/>
      <c r="E450" s="27"/>
      <c r="H450" s="27"/>
      <c r="J450" s="169"/>
      <c r="K450" s="27"/>
      <c r="L450" s="27"/>
      <c r="M450" s="175"/>
      <c r="O450" s="170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3"/>
      <c r="C451" s="27"/>
      <c r="D451" s="27"/>
      <c r="E451" s="27"/>
      <c r="H451" s="27"/>
      <c r="J451" s="169"/>
      <c r="K451" s="27"/>
      <c r="L451" s="27"/>
      <c r="M451" s="175"/>
      <c r="O451" s="170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3"/>
      <c r="C452" s="27"/>
      <c r="D452" s="27"/>
      <c r="E452" s="27"/>
      <c r="H452" s="27"/>
      <c r="J452" s="169"/>
      <c r="K452" s="27"/>
      <c r="L452" s="27"/>
      <c r="M452" s="175"/>
      <c r="O452" s="170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3"/>
      <c r="C453" s="27"/>
      <c r="D453" s="27"/>
      <c r="E453" s="27"/>
      <c r="H453" s="27"/>
      <c r="J453" s="169"/>
      <c r="K453" s="27"/>
      <c r="L453" s="27"/>
      <c r="M453" s="175"/>
      <c r="O453" s="170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3"/>
      <c r="C454" s="27"/>
      <c r="D454" s="27"/>
      <c r="E454" s="27"/>
      <c r="H454" s="27"/>
      <c r="J454" s="169"/>
      <c r="K454" s="27"/>
      <c r="L454" s="27"/>
      <c r="M454" s="175"/>
      <c r="O454" s="170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4"/>
      <c r="C455" s="27"/>
      <c r="D455" s="27"/>
      <c r="E455" s="27"/>
      <c r="H455" s="27"/>
      <c r="J455" s="169"/>
      <c r="K455" s="27"/>
      <c r="L455" s="27"/>
      <c r="M455" s="175"/>
      <c r="O455" s="170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4"/>
      <c r="C456" s="27"/>
      <c r="D456" s="27"/>
      <c r="E456" s="27"/>
      <c r="H456" s="27"/>
      <c r="J456" s="169"/>
      <c r="K456" s="27"/>
      <c r="L456" s="27"/>
      <c r="M456" s="175"/>
      <c r="O456" s="170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4"/>
      <c r="C457" s="27"/>
      <c r="D457" s="27"/>
      <c r="E457" s="27"/>
      <c r="H457" s="27"/>
      <c r="J457" s="169"/>
      <c r="K457" s="27"/>
      <c r="L457" s="27"/>
      <c r="M457" s="175"/>
      <c r="O457" s="170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37">
      <c r="B458" s="163"/>
      <c r="C458" s="27"/>
      <c r="D458" s="27"/>
      <c r="E458" s="27"/>
      <c r="H458" s="27"/>
      <c r="I458" s="164"/>
      <c r="J458" s="169"/>
      <c r="K458" s="27"/>
      <c r="L458" s="27"/>
      <c r="M458" s="174"/>
      <c r="O458" s="170"/>
      <c r="P458" s="27"/>
      <c r="Q458" s="27"/>
      <c r="W458" s="163"/>
      <c r="X458" s="27"/>
      <c r="Z458" s="27"/>
      <c r="AA458" s="27"/>
      <c r="AC458" s="27"/>
      <c r="AD458" s="27"/>
      <c r="AJ458" s="27"/>
      <c r="AK458" s="27"/>
    </row>
    <row r="459" spans="2:37">
      <c r="B459" s="163"/>
      <c r="C459" s="27"/>
      <c r="D459" s="27"/>
      <c r="E459" s="27"/>
      <c r="H459" s="27"/>
      <c r="J459" s="169"/>
      <c r="K459" s="27"/>
      <c r="L459" s="27"/>
      <c r="M459" s="174"/>
      <c r="O459" s="170"/>
      <c r="P459" s="27"/>
      <c r="Q459" s="27"/>
      <c r="W459" s="163"/>
      <c r="X459" s="27"/>
      <c r="Z459" s="27"/>
      <c r="AA459" s="27"/>
      <c r="AC459" s="27"/>
      <c r="AD459" s="27"/>
      <c r="AJ459" s="27"/>
      <c r="AK459" s="27"/>
    </row>
    <row r="460" spans="2:37">
      <c r="B460" s="163"/>
      <c r="C460" s="27"/>
      <c r="D460" s="27"/>
      <c r="E460" s="27"/>
      <c r="H460" s="27"/>
      <c r="J460" s="169"/>
      <c r="K460" s="27"/>
      <c r="L460" s="27"/>
      <c r="M460" s="174"/>
      <c r="O460" s="170"/>
      <c r="P460" s="27"/>
      <c r="Q460" s="27"/>
      <c r="W460" s="163"/>
      <c r="X460" s="27"/>
      <c r="Z460" s="27"/>
      <c r="AA460" s="27"/>
      <c r="AC460" s="27"/>
      <c r="AD460" s="27"/>
      <c r="AJ460" s="27"/>
      <c r="AK460" s="27"/>
    </row>
    <row r="461" spans="2:37">
      <c r="B461" s="163"/>
      <c r="C461" s="27"/>
      <c r="D461" s="27"/>
      <c r="E461" s="27"/>
      <c r="H461" s="27"/>
      <c r="J461" s="169"/>
      <c r="K461" s="27"/>
      <c r="L461" s="27"/>
      <c r="M461" s="174"/>
      <c r="O461" s="170"/>
      <c r="P461" s="27"/>
      <c r="Q461" s="27"/>
      <c r="W461" s="163"/>
      <c r="X461" s="27"/>
      <c r="Z461" s="27"/>
      <c r="AA461" s="27"/>
      <c r="AC461" s="27"/>
      <c r="AD461" s="27"/>
      <c r="AJ461" s="27"/>
      <c r="AK461" s="27"/>
    </row>
    <row r="462" spans="2:42">
      <c r="B462" s="163"/>
      <c r="C462" s="27"/>
      <c r="D462" s="27"/>
      <c r="E462" s="27"/>
      <c r="H462" s="27"/>
      <c r="J462" s="169"/>
      <c r="K462" s="27"/>
      <c r="L462" s="27"/>
      <c r="P462" s="27"/>
      <c r="Q462" s="27"/>
      <c r="W462" s="163"/>
      <c r="X462" s="27"/>
      <c r="Z462" s="27"/>
      <c r="AA462" s="27"/>
      <c r="AC462" s="27"/>
      <c r="AD462" s="27"/>
      <c r="AJ462" s="27"/>
      <c r="AK462" s="27"/>
      <c r="AO462" s="27"/>
      <c r="AP462" s="27"/>
    </row>
    <row r="463" spans="2:42">
      <c r="B463" s="163"/>
      <c r="C463" s="27"/>
      <c r="D463" s="27"/>
      <c r="E463" s="27"/>
      <c r="H463" s="27"/>
      <c r="J463" s="169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3"/>
      <c r="C464" s="27"/>
      <c r="D464" s="27"/>
      <c r="E464" s="27"/>
      <c r="H464" s="27"/>
      <c r="J464" s="169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3"/>
      <c r="C465" s="27"/>
      <c r="D465" s="27"/>
      <c r="E465" s="27"/>
      <c r="H465" s="27"/>
      <c r="J465" s="169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3"/>
      <c r="C466" s="27"/>
      <c r="D466" s="27"/>
      <c r="E466" s="27"/>
      <c r="H466" s="27"/>
      <c r="J466" s="169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3"/>
      <c r="C467" s="27"/>
      <c r="D467" s="27"/>
      <c r="E467" s="27"/>
      <c r="H467" s="27"/>
      <c r="J467" s="169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3"/>
      <c r="C468" s="27"/>
      <c r="D468" s="27"/>
      <c r="E468" s="27"/>
      <c r="H468" s="27"/>
      <c r="J468" s="169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3"/>
      <c r="C469" s="27"/>
      <c r="D469" s="27"/>
      <c r="E469" s="27"/>
      <c r="H469" s="27"/>
      <c r="J469" s="169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3"/>
      <c r="C470" s="27"/>
      <c r="D470" s="27"/>
      <c r="E470" s="27"/>
      <c r="H470" s="27"/>
      <c r="J470" s="169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3"/>
      <c r="C471" s="27"/>
      <c r="D471" s="27"/>
      <c r="E471" s="27"/>
      <c r="H471" s="27"/>
      <c r="J471" s="169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3"/>
      <c r="C472" s="27"/>
      <c r="D472" s="27"/>
      <c r="E472" s="27"/>
      <c r="H472" s="27"/>
      <c r="J472" s="169"/>
      <c r="K472" s="27"/>
      <c r="L472" s="27"/>
      <c r="O472" s="170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3"/>
      <c r="C473" s="27"/>
      <c r="D473" s="27"/>
      <c r="E473" s="27"/>
      <c r="H473" s="27"/>
      <c r="J473" s="169"/>
      <c r="K473" s="27"/>
      <c r="L473" s="27"/>
      <c r="O473" s="170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3"/>
      <c r="C474" s="27"/>
      <c r="D474" s="27"/>
      <c r="E474" s="27"/>
      <c r="H474" s="27"/>
      <c r="J474" s="169"/>
      <c r="K474" s="27"/>
      <c r="L474" s="27"/>
      <c r="O474" s="170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3"/>
      <c r="C475" s="27"/>
      <c r="D475" s="27"/>
      <c r="E475" s="27"/>
      <c r="H475" s="27"/>
      <c r="J475" s="169"/>
      <c r="K475" s="27"/>
      <c r="L475" s="27"/>
      <c r="M475"/>
      <c r="O475" s="170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63"/>
      <c r="C476" s="27"/>
      <c r="D476" s="27"/>
      <c r="E476" s="27"/>
      <c r="H476" s="27"/>
      <c r="J476" s="169"/>
      <c r="K476" s="27"/>
      <c r="L476" s="27"/>
      <c r="M476"/>
      <c r="O476" s="170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3"/>
      <c r="C477" s="27"/>
      <c r="D477" s="27"/>
      <c r="E477" s="27"/>
      <c r="H477" s="27"/>
      <c r="J477" s="169"/>
      <c r="K477" s="27"/>
      <c r="L477" s="27"/>
      <c r="M477"/>
      <c r="O477" s="170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3"/>
      <c r="C478" s="27"/>
      <c r="D478" s="27"/>
      <c r="E478" s="27"/>
      <c r="H478" s="27"/>
      <c r="J478" s="169"/>
      <c r="K478" s="27"/>
      <c r="L478" s="27"/>
      <c r="M478"/>
      <c r="O478" s="170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3"/>
      <c r="C479" s="27"/>
      <c r="D479" s="27"/>
      <c r="E479" s="27"/>
      <c r="H479" s="27"/>
      <c r="J479" s="169"/>
      <c r="K479" s="27"/>
      <c r="L479" s="27"/>
      <c r="M479"/>
      <c r="O479" s="170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3"/>
      <c r="C480" s="27"/>
      <c r="D480" s="27"/>
      <c r="E480" s="27"/>
      <c r="H480" s="27"/>
      <c r="J480" s="169"/>
      <c r="K480" s="27"/>
      <c r="L480" s="27"/>
      <c r="M480"/>
      <c r="O480" s="170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3"/>
      <c r="C481" s="27"/>
      <c r="D481" s="27"/>
      <c r="E481" s="27"/>
      <c r="H481" s="27"/>
      <c r="J481" s="169"/>
      <c r="K481" s="27"/>
      <c r="L481" s="27"/>
      <c r="M481"/>
      <c r="O481" s="170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3"/>
      <c r="C482" s="27"/>
      <c r="D482" s="27"/>
      <c r="E482" s="27"/>
      <c r="H482" s="27"/>
      <c r="J482" s="169"/>
      <c r="K482" s="27"/>
      <c r="L482" s="27"/>
      <c r="M482"/>
      <c r="O482" s="170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3"/>
      <c r="C483" s="27"/>
      <c r="D483" s="27"/>
      <c r="E483" s="27"/>
      <c r="H483" s="27"/>
      <c r="J483" s="169"/>
      <c r="K483" s="27"/>
      <c r="L483" s="27"/>
      <c r="M483"/>
      <c r="O483" s="170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3"/>
      <c r="C484" s="27"/>
      <c r="D484" s="27"/>
      <c r="E484" s="27"/>
      <c r="H484" s="27"/>
      <c r="J484" s="169"/>
      <c r="K484" s="27"/>
      <c r="L484" s="27"/>
      <c r="M484"/>
      <c r="O484" s="170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3"/>
      <c r="C485" s="27"/>
      <c r="D485" s="27"/>
      <c r="E485" s="27"/>
      <c r="H485" s="27"/>
      <c r="J485" s="169"/>
      <c r="K485" s="27"/>
      <c r="L485" s="27"/>
      <c r="M485"/>
      <c r="O485" s="170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3"/>
      <c r="C486" s="27"/>
      <c r="D486" s="27"/>
      <c r="E486" s="27"/>
      <c r="H486" s="27"/>
      <c r="J486" s="169"/>
      <c r="K486" s="27"/>
      <c r="L486" s="27"/>
      <c r="M486"/>
      <c r="O486" s="170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3"/>
      <c r="C487" s="27"/>
      <c r="D487" s="27"/>
      <c r="E487" s="27"/>
      <c r="H487" s="27"/>
      <c r="J487" s="169"/>
      <c r="K487" s="27"/>
      <c r="L487" s="27"/>
      <c r="M487"/>
      <c r="O487" s="170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3"/>
      <c r="C488" s="27"/>
      <c r="D488" s="27"/>
      <c r="E488" s="27"/>
      <c r="H488" s="27"/>
      <c r="J488" s="169"/>
      <c r="K488" s="27"/>
      <c r="L488" s="27"/>
      <c r="M488"/>
      <c r="O488" s="170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3"/>
      <c r="C489" s="27"/>
      <c r="D489" s="27"/>
      <c r="E489" s="27"/>
      <c r="H489" s="27"/>
      <c r="J489" s="169"/>
      <c r="K489" s="27"/>
      <c r="L489" s="27"/>
      <c r="M489"/>
      <c r="O489" s="170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3"/>
      <c r="C490" s="27"/>
      <c r="D490" s="27"/>
      <c r="E490" s="27"/>
      <c r="H490" s="27"/>
      <c r="J490" s="169"/>
      <c r="K490" s="27"/>
      <c r="L490" s="27"/>
      <c r="M490"/>
      <c r="O490" s="170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3"/>
      <c r="C491" s="27"/>
      <c r="D491" s="27"/>
      <c r="E491" s="27"/>
      <c r="H491" s="27"/>
      <c r="J491" s="169"/>
      <c r="K491" s="27"/>
      <c r="L491" s="27"/>
      <c r="M491"/>
      <c r="O491" s="170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3"/>
      <c r="C492" s="27"/>
      <c r="D492" s="27"/>
      <c r="E492" s="27"/>
      <c r="H492" s="27"/>
      <c r="J492" s="169"/>
      <c r="K492" s="27"/>
      <c r="L492" s="27"/>
      <c r="M492"/>
      <c r="O492" s="170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3"/>
      <c r="C493" s="27"/>
      <c r="D493" s="27"/>
      <c r="E493" s="27"/>
      <c r="H493" s="27"/>
      <c r="J493" s="169"/>
      <c r="K493" s="27"/>
      <c r="L493" s="27"/>
      <c r="M493"/>
      <c r="O493" s="17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3"/>
      <c r="C494" s="27"/>
      <c r="D494" s="27"/>
      <c r="E494" s="27"/>
      <c r="H494" s="27"/>
      <c r="J494" s="169"/>
      <c r="K494" s="27"/>
      <c r="L494" s="27"/>
      <c r="M494"/>
      <c r="O494" s="17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3"/>
      <c r="C495" s="27"/>
      <c r="D495" s="27"/>
      <c r="E495" s="27"/>
      <c r="H495" s="27"/>
      <c r="J495" s="169"/>
      <c r="K495" s="27"/>
      <c r="L495" s="27"/>
      <c r="M495"/>
      <c r="O495" s="17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3"/>
      <c r="C496" s="27"/>
      <c r="D496" s="27"/>
      <c r="E496" s="27"/>
      <c r="H496" s="27"/>
      <c r="J496" s="169"/>
      <c r="K496" s="27"/>
      <c r="L496" s="27"/>
      <c r="M496"/>
      <c r="O496" s="170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3"/>
      <c r="C497" s="27"/>
      <c r="D497" s="27"/>
      <c r="E497" s="27"/>
      <c r="H497" s="27"/>
      <c r="J497" s="169"/>
      <c r="K497" s="27"/>
      <c r="L497" s="27"/>
      <c r="M497"/>
      <c r="O497" s="170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3"/>
      <c r="C498" s="27"/>
      <c r="D498" s="27"/>
      <c r="E498" s="27"/>
      <c r="H498" s="27"/>
      <c r="J498" s="169"/>
      <c r="K498" s="27"/>
      <c r="L498" s="27"/>
      <c r="M498"/>
      <c r="O498" s="170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3"/>
      <c r="C499" s="27"/>
      <c r="D499" s="27"/>
      <c r="E499" s="27"/>
      <c r="H499" s="27"/>
      <c r="J499" s="169"/>
      <c r="K499" s="27"/>
      <c r="M499" s="176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3"/>
      <c r="C500" s="27"/>
      <c r="D500" s="27"/>
      <c r="E500" s="27"/>
      <c r="H500" s="27"/>
      <c r="J500" s="169"/>
      <c r="K500" s="27"/>
      <c r="M500" s="176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3"/>
      <c r="C501" s="27"/>
      <c r="D501" s="27"/>
      <c r="E501" s="27"/>
      <c r="H501" s="27"/>
      <c r="J501" s="169"/>
      <c r="K501" s="27"/>
      <c r="M501" s="176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3"/>
      <c r="C502" s="27"/>
      <c r="D502" s="27"/>
      <c r="E502" s="27"/>
      <c r="H502" s="27"/>
      <c r="J502" s="169"/>
      <c r="K502" s="27"/>
      <c r="M502" s="176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3"/>
      <c r="C503" s="27"/>
      <c r="D503" s="27"/>
      <c r="E503" s="27"/>
      <c r="H503" s="27"/>
      <c r="J503" s="169"/>
      <c r="K503" s="27"/>
      <c r="M503" s="176"/>
      <c r="P503" s="27"/>
      <c r="Q503" s="27"/>
      <c r="W503" s="163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63"/>
      <c r="C504" s="27"/>
      <c r="D504" s="27"/>
      <c r="E504" s="27"/>
      <c r="H504" s="27"/>
      <c r="J504" s="169"/>
      <c r="K504" s="27"/>
      <c r="M504" s="176"/>
      <c r="P504" s="27"/>
      <c r="Q504" s="27"/>
      <c r="W504" s="163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3"/>
      <c r="C505" s="27"/>
      <c r="D505" s="27"/>
      <c r="E505" s="27"/>
      <c r="H505" s="27"/>
      <c r="J505" s="169"/>
      <c r="K505" s="27"/>
      <c r="M505" s="176"/>
      <c r="P505" s="27"/>
      <c r="Q505" s="27"/>
      <c r="W505" s="163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3"/>
      <c r="C506" s="27"/>
      <c r="D506" s="27"/>
      <c r="E506" s="27"/>
      <c r="H506" s="27"/>
      <c r="J506" s="169"/>
      <c r="K506" s="27"/>
      <c r="M506" s="176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3"/>
      <c r="C507" s="27"/>
      <c r="D507" s="27"/>
      <c r="E507" s="27"/>
      <c r="H507" s="27"/>
      <c r="J507" s="169"/>
      <c r="K507" s="27"/>
      <c r="M507" s="176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3"/>
      <c r="C508" s="27"/>
      <c r="D508" s="27"/>
      <c r="E508" s="27"/>
      <c r="H508" s="27"/>
      <c r="J508" s="169"/>
      <c r="K508" s="27"/>
      <c r="M508" s="176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3"/>
      <c r="C509" s="27"/>
      <c r="D509" s="27"/>
      <c r="E509" s="27"/>
      <c r="H509" s="27"/>
      <c r="J509" s="169"/>
      <c r="K509" s="27"/>
      <c r="M509" s="176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3"/>
      <c r="C510" s="27"/>
      <c r="D510" s="27"/>
      <c r="E510" s="27"/>
      <c r="H510" s="27"/>
      <c r="J510" s="169"/>
      <c r="K510" s="27"/>
      <c r="M510" s="176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3"/>
      <c r="C511" s="27"/>
      <c r="D511" s="27"/>
      <c r="E511" s="27"/>
      <c r="H511" s="27"/>
      <c r="J511" s="169"/>
      <c r="K511" s="27"/>
      <c r="M511" s="176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3"/>
      <c r="C512" s="27"/>
      <c r="D512" s="27"/>
      <c r="E512" s="27"/>
      <c r="H512" s="27"/>
      <c r="J512" s="169"/>
      <c r="K512" s="27"/>
      <c r="M512" s="17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3"/>
      <c r="C513" s="27"/>
      <c r="D513" s="27"/>
      <c r="E513" s="27"/>
      <c r="H513" s="27"/>
      <c r="J513" s="169"/>
      <c r="K513" s="27"/>
      <c r="M513" s="17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3"/>
      <c r="C514" s="27"/>
      <c r="D514" s="27"/>
      <c r="E514" s="27"/>
      <c r="H514" s="27"/>
      <c r="J514" s="169"/>
      <c r="K514" s="27"/>
      <c r="M514" s="17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3"/>
      <c r="C515" s="27"/>
      <c r="D515" s="27"/>
      <c r="E515" s="27"/>
      <c r="H515" s="27"/>
      <c r="J515" s="169"/>
      <c r="K515" s="27"/>
      <c r="M515" s="17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3"/>
      <c r="C516" s="27"/>
      <c r="D516" s="27"/>
      <c r="E516" s="27"/>
      <c r="H516" s="27"/>
      <c r="J516" s="169"/>
      <c r="K516" s="27"/>
      <c r="M516" s="17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3"/>
      <c r="C517" s="27"/>
      <c r="D517" s="27"/>
      <c r="E517" s="27"/>
      <c r="H517" s="27"/>
      <c r="J517" s="169"/>
      <c r="K517" s="27"/>
      <c r="M517" s="17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3"/>
      <c r="C518" s="27"/>
      <c r="D518" s="27"/>
      <c r="E518" s="27"/>
      <c r="H518" s="27"/>
      <c r="J518" s="169"/>
      <c r="K518" s="27"/>
      <c r="M518" s="17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4"/>
      <c r="C519" s="27"/>
      <c r="D519" s="27"/>
      <c r="E519" s="27"/>
      <c r="H519" s="27"/>
      <c r="I519" s="164"/>
      <c r="J519" s="169"/>
      <c r="K519" s="27"/>
      <c r="L519" s="27"/>
      <c r="M519" s="176"/>
      <c r="O519" s="170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4"/>
      <c r="C520" s="27"/>
      <c r="D520" s="27"/>
      <c r="E520" s="27"/>
      <c r="H520" s="27"/>
      <c r="I520" s="164"/>
      <c r="J520" s="169"/>
      <c r="K520" s="27"/>
      <c r="L520" s="27"/>
      <c r="M520" s="176"/>
      <c r="O520" s="170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4"/>
      <c r="C521" s="27"/>
      <c r="D521" s="27"/>
      <c r="E521" s="27"/>
      <c r="H521" s="27"/>
      <c r="I521" s="164"/>
      <c r="J521" s="169"/>
      <c r="K521" s="27"/>
      <c r="L521" s="27"/>
      <c r="M521" s="176"/>
      <c r="O521" s="170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4"/>
      <c r="C522" s="27"/>
      <c r="D522" s="27"/>
      <c r="E522" s="27"/>
      <c r="H522" s="27"/>
      <c r="I522" s="164"/>
      <c r="J522" s="169"/>
      <c r="K522" s="27"/>
      <c r="L522" s="27"/>
      <c r="M522" s="176"/>
      <c r="O522" s="170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4"/>
      <c r="C523" s="27"/>
      <c r="D523" s="27"/>
      <c r="E523" s="27"/>
      <c r="H523" s="27"/>
      <c r="I523" s="164"/>
      <c r="J523" s="169"/>
      <c r="K523" s="27"/>
      <c r="L523" s="27"/>
      <c r="M523" s="176"/>
      <c r="O523" s="170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4"/>
      <c r="C524" s="27"/>
      <c r="D524" s="27"/>
      <c r="E524" s="27"/>
      <c r="H524" s="27"/>
      <c r="I524" s="164"/>
      <c r="J524" s="169"/>
      <c r="K524" s="27"/>
      <c r="L524" s="27"/>
      <c r="M524" s="176"/>
      <c r="O524" s="170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4"/>
      <c r="C525" s="27"/>
      <c r="D525" s="27"/>
      <c r="E525" s="27"/>
      <c r="H525" s="27"/>
      <c r="I525" s="164"/>
      <c r="J525" s="169"/>
      <c r="K525" s="27"/>
      <c r="L525" s="27"/>
      <c r="M525" s="176"/>
      <c r="O525" s="170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4"/>
      <c r="C526" s="27"/>
      <c r="D526" s="27"/>
      <c r="E526" s="27"/>
      <c r="H526" s="27"/>
      <c r="I526" s="164"/>
      <c r="J526" s="169"/>
      <c r="K526" s="27"/>
      <c r="L526" s="27"/>
      <c r="M526" s="176"/>
      <c r="O526" s="170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4"/>
      <c r="C527" s="27"/>
      <c r="D527" s="27"/>
      <c r="E527" s="27"/>
      <c r="H527" s="27"/>
      <c r="I527" s="164"/>
      <c r="J527" s="169"/>
      <c r="K527" s="27"/>
      <c r="L527" s="27"/>
      <c r="M527" s="176"/>
      <c r="O527" s="170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4"/>
      <c r="C528" s="27"/>
      <c r="D528" s="27"/>
      <c r="E528" s="27"/>
      <c r="H528" s="27"/>
      <c r="I528" s="164"/>
      <c r="J528" s="169"/>
      <c r="K528" s="27"/>
      <c r="L528" s="27"/>
      <c r="M528" s="176"/>
      <c r="O528" s="170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4"/>
      <c r="C529" s="27"/>
      <c r="D529" s="27"/>
      <c r="E529" s="27"/>
      <c r="H529" s="27"/>
      <c r="I529" s="164"/>
      <c r="J529" s="169"/>
      <c r="K529" s="27"/>
      <c r="L529" s="27"/>
      <c r="M529" s="176"/>
      <c r="O529" s="170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4"/>
      <c r="C530" s="27"/>
      <c r="D530" s="27"/>
      <c r="E530" s="27"/>
      <c r="H530" s="27"/>
      <c r="I530" s="164"/>
      <c r="J530" s="169"/>
      <c r="K530" s="27"/>
      <c r="L530" s="27"/>
      <c r="M530" s="176"/>
      <c r="O530" s="170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4"/>
      <c r="C531" s="27"/>
      <c r="D531" s="27"/>
      <c r="E531" s="27"/>
      <c r="H531" s="27"/>
      <c r="I531" s="164"/>
      <c r="J531" s="169"/>
      <c r="K531" s="27"/>
      <c r="L531" s="27"/>
      <c r="M531" s="176"/>
      <c r="O531" s="170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4"/>
      <c r="C532" s="27"/>
      <c r="D532" s="27"/>
      <c r="E532" s="27"/>
      <c r="H532" s="27"/>
      <c r="I532" s="164"/>
      <c r="J532" s="169"/>
      <c r="K532" s="27"/>
      <c r="L532" s="27"/>
      <c r="M532" s="176"/>
      <c r="O532" s="170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4"/>
      <c r="C533" s="27"/>
      <c r="D533" s="27"/>
      <c r="E533" s="27"/>
      <c r="H533" s="27"/>
      <c r="I533" s="164"/>
      <c r="J533" s="169"/>
      <c r="K533" s="27"/>
      <c r="L533" s="27"/>
      <c r="M533" s="176"/>
      <c r="O533" s="170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4"/>
      <c r="C534" s="27"/>
      <c r="D534" s="27"/>
      <c r="E534" s="27"/>
      <c r="H534" s="27"/>
      <c r="I534" s="164"/>
      <c r="J534" s="169"/>
      <c r="K534" s="27"/>
      <c r="L534" s="27"/>
      <c r="M534" s="176"/>
      <c r="O534" s="170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4"/>
      <c r="C535" s="27"/>
      <c r="D535" s="27"/>
      <c r="E535" s="27"/>
      <c r="H535" s="27"/>
      <c r="I535" s="164"/>
      <c r="J535" s="169"/>
      <c r="K535" s="27"/>
      <c r="L535" s="27"/>
      <c r="M535" s="176"/>
      <c r="O535" s="170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4"/>
      <c r="C536" s="27"/>
      <c r="D536" s="27"/>
      <c r="E536" s="27"/>
      <c r="H536" s="27"/>
      <c r="I536" s="164"/>
      <c r="J536" s="169"/>
      <c r="K536" s="27"/>
      <c r="L536" s="27"/>
      <c r="M536" s="176"/>
      <c r="O536" s="170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4"/>
      <c r="C537" s="27"/>
      <c r="D537" s="27"/>
      <c r="E537" s="27"/>
      <c r="H537" s="27"/>
      <c r="I537" s="164"/>
      <c r="J537" s="169"/>
      <c r="K537" s="27"/>
      <c r="L537" s="27"/>
      <c r="M537" s="176"/>
      <c r="O537" s="170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3"/>
      <c r="C538" s="27"/>
      <c r="D538" s="27"/>
      <c r="E538" s="27"/>
      <c r="H538" s="27"/>
      <c r="J538" s="169"/>
      <c r="K538" s="27"/>
      <c r="L538" s="27"/>
      <c r="O538" s="170"/>
      <c r="P538" s="27"/>
      <c r="Q538" s="27"/>
      <c r="W538" s="163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3"/>
      <c r="C539" s="27"/>
      <c r="D539" s="27"/>
      <c r="E539" s="27"/>
      <c r="H539" s="27"/>
      <c r="J539" s="169"/>
      <c r="K539" s="27"/>
      <c r="L539" s="27"/>
      <c r="O539" s="170"/>
      <c r="P539" s="27"/>
      <c r="Q539" s="27"/>
      <c r="W539" s="163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3"/>
      <c r="C540" s="27"/>
      <c r="D540" s="27"/>
      <c r="E540" s="27"/>
      <c r="H540" s="27"/>
      <c r="J540" s="169"/>
      <c r="K540" s="27"/>
      <c r="L540" s="27"/>
      <c r="O540" s="170"/>
      <c r="P540" s="27"/>
      <c r="Q540" s="27"/>
      <c r="W540" s="163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3"/>
      <c r="C541" s="27"/>
      <c r="D541" s="27"/>
      <c r="E541" s="27"/>
      <c r="H541" s="27"/>
      <c r="J541" s="169"/>
      <c r="K541" s="27"/>
      <c r="L541" s="27"/>
      <c r="O541" s="170"/>
      <c r="P541" s="27"/>
      <c r="Q541" s="27"/>
      <c r="W541" s="163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3"/>
      <c r="C542" s="27"/>
      <c r="D542" s="27"/>
      <c r="E542" s="27"/>
      <c r="H542" s="27"/>
      <c r="J542" s="169"/>
      <c r="K542" s="27"/>
      <c r="L542" s="27"/>
      <c r="O542" s="170"/>
      <c r="P542" s="27"/>
      <c r="Q542" s="27"/>
      <c r="W542" s="163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3"/>
      <c r="C543" s="27"/>
      <c r="D543" s="27"/>
      <c r="E543" s="27"/>
      <c r="H543" s="27"/>
      <c r="J543" s="169"/>
      <c r="K543" s="27"/>
      <c r="L543" s="27"/>
      <c r="O543" s="170"/>
      <c r="P543" s="27"/>
      <c r="Q543" s="27"/>
      <c r="W543" s="163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3"/>
      <c r="C544" s="27"/>
      <c r="D544" s="27"/>
      <c r="E544" s="27"/>
      <c r="H544" s="27"/>
      <c r="J544" s="169"/>
      <c r="K544" s="27"/>
      <c r="L544" s="27"/>
      <c r="O544" s="170"/>
      <c r="P544" s="27"/>
      <c r="Q544" s="27"/>
      <c r="W544" s="163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3"/>
      <c r="C545" s="27"/>
      <c r="D545" s="27"/>
      <c r="E545" s="27"/>
      <c r="H545" s="27"/>
      <c r="J545" s="169"/>
      <c r="K545" s="27"/>
      <c r="L545" s="27"/>
      <c r="O545" s="170"/>
      <c r="P545" s="27"/>
      <c r="Q545" s="27"/>
      <c r="W545" s="163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3"/>
      <c r="C546" s="27"/>
      <c r="D546" s="27"/>
      <c r="E546" s="27"/>
      <c r="H546" s="27"/>
      <c r="J546" s="169"/>
      <c r="K546" s="27"/>
      <c r="L546" s="27"/>
      <c r="O546" s="170"/>
      <c r="P546" s="27"/>
      <c r="Q546" s="27"/>
      <c r="W546" s="163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3"/>
      <c r="C547" s="27"/>
      <c r="D547" s="27"/>
      <c r="E547" s="27"/>
      <c r="H547" s="27"/>
      <c r="J547" s="169"/>
      <c r="K547" s="27"/>
      <c r="L547" s="27"/>
      <c r="O547" s="170"/>
      <c r="P547" s="27"/>
      <c r="Q547" s="27"/>
      <c r="W547" s="163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3"/>
      <c r="C548" s="27"/>
      <c r="D548" s="27"/>
      <c r="E548" s="27"/>
      <c r="H548" s="27"/>
      <c r="J548" s="169"/>
      <c r="K548" s="27"/>
      <c r="L548" s="27"/>
      <c r="O548" s="170"/>
      <c r="P548" s="27"/>
      <c r="Q548" s="27"/>
      <c r="W548" s="163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3"/>
      <c r="C549" s="27"/>
      <c r="D549" s="27"/>
      <c r="E549" s="27"/>
      <c r="H549" s="27"/>
      <c r="I549" s="27"/>
      <c r="J549" s="169"/>
      <c r="K549" s="27"/>
      <c r="L549" s="27"/>
      <c r="N549" s="163"/>
      <c r="O549" s="170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3"/>
      <c r="C550" s="27"/>
      <c r="D550" s="27"/>
      <c r="E550" s="27"/>
      <c r="H550" s="27"/>
      <c r="I550" s="27"/>
      <c r="J550" s="169"/>
      <c r="K550" s="27"/>
      <c r="L550" s="27"/>
      <c r="N550" s="163"/>
      <c r="O550" s="170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3"/>
      <c r="C551" s="27"/>
      <c r="D551" s="27"/>
      <c r="E551" s="27"/>
      <c r="H551" s="27"/>
      <c r="I551" s="27"/>
      <c r="J551" s="169"/>
      <c r="K551" s="27"/>
      <c r="L551" s="27"/>
      <c r="N551" s="163"/>
      <c r="O551" s="170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3"/>
      <c r="C552" s="27"/>
      <c r="D552" s="27"/>
      <c r="E552" s="27"/>
      <c r="H552" s="27"/>
      <c r="I552" s="27"/>
      <c r="J552" s="169"/>
      <c r="K552" s="27"/>
      <c r="L552" s="27"/>
      <c r="N552" s="163"/>
      <c r="O552" s="170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="165" customFormat="1" spans="2:42">
      <c r="B553" s="177"/>
      <c r="C553" s="178"/>
      <c r="D553" s="178"/>
      <c r="E553" s="27"/>
      <c r="H553" s="27"/>
      <c r="I553" s="178"/>
      <c r="J553" s="179"/>
      <c r="K553" s="178"/>
      <c r="L553" s="178"/>
      <c r="M553" s="174"/>
      <c r="P553" s="178"/>
      <c r="Q553" s="178"/>
      <c r="W553" s="178"/>
      <c r="X553" s="178"/>
      <c r="Z553" s="178"/>
      <c r="AA553" s="27"/>
      <c r="AB553" s="177"/>
      <c r="AC553" s="178"/>
      <c r="AD553" s="178"/>
      <c r="AI553" s="178"/>
      <c r="AJ553" s="178"/>
      <c r="AK553" s="178"/>
      <c r="AN553" s="177"/>
      <c r="AO553" s="178"/>
      <c r="AP553" s="178"/>
    </row>
    <row r="554" s="165" customFormat="1" spans="2:42">
      <c r="B554" s="177"/>
      <c r="C554" s="178"/>
      <c r="D554" s="178"/>
      <c r="E554" s="27"/>
      <c r="H554" s="27"/>
      <c r="I554" s="178"/>
      <c r="J554" s="179"/>
      <c r="K554" s="178"/>
      <c r="L554" s="178"/>
      <c r="M554" s="174"/>
      <c r="P554" s="178"/>
      <c r="Q554" s="178"/>
      <c r="W554" s="178"/>
      <c r="X554" s="178"/>
      <c r="Z554" s="178"/>
      <c r="AA554" s="27"/>
      <c r="AB554" s="177"/>
      <c r="AC554" s="178"/>
      <c r="AD554" s="178"/>
      <c r="AI554" s="178"/>
      <c r="AJ554" s="178"/>
      <c r="AK554" s="178"/>
      <c r="AN554" s="177"/>
      <c r="AO554" s="178"/>
      <c r="AP554" s="178"/>
    </row>
    <row r="555" spans="2:42">
      <c r="B555" s="163"/>
      <c r="C555" s="27"/>
      <c r="D555" s="27"/>
      <c r="E555" s="27"/>
      <c r="H555" s="27"/>
      <c r="I555" s="27"/>
      <c r="J555" s="169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3"/>
      <c r="C556" s="27"/>
      <c r="D556" s="27"/>
      <c r="E556" s="27"/>
      <c r="H556" s="27"/>
      <c r="I556" s="27"/>
      <c r="J556" s="169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3"/>
      <c r="C557" s="27"/>
      <c r="D557" s="27"/>
      <c r="E557" s="27"/>
      <c r="H557" s="27"/>
      <c r="I557" s="27"/>
      <c r="J557" s="169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3"/>
      <c r="C558" s="27"/>
      <c r="D558" s="27"/>
      <c r="E558" s="27"/>
      <c r="H558" s="27"/>
      <c r="I558" s="27"/>
      <c r="J558" s="169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3"/>
      <c r="C559" s="27"/>
      <c r="D559" s="27"/>
      <c r="E559" s="27"/>
      <c r="H559" s="27"/>
      <c r="I559" s="27"/>
      <c r="J559" s="169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3"/>
      <c r="C560" s="27"/>
      <c r="D560" s="27"/>
      <c r="E560" s="27"/>
      <c r="H560" s="27"/>
      <c r="I560" s="27"/>
      <c r="J560" s="169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3"/>
      <c r="C561" s="27"/>
      <c r="D561" s="27"/>
      <c r="E561" s="27"/>
      <c r="H561" s="27"/>
      <c r="I561" s="27"/>
      <c r="J561" s="169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3"/>
      <c r="C562" s="27"/>
      <c r="D562" s="27"/>
      <c r="E562" s="27"/>
      <c r="H562" s="27"/>
      <c r="I562" s="27"/>
      <c r="J562" s="169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3"/>
      <c r="C563" s="27"/>
      <c r="D563" s="27"/>
      <c r="E563" s="27"/>
      <c r="H563" s="27"/>
      <c r="I563" s="27"/>
      <c r="J563" s="169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3"/>
      <c r="C564" s="27"/>
      <c r="D564" s="27"/>
      <c r="E564" s="27"/>
      <c r="H564" s="27"/>
      <c r="I564" s="27"/>
      <c r="J564" s="169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3"/>
      <c r="C565" s="27"/>
      <c r="D565" s="27"/>
      <c r="E565" s="27"/>
      <c r="H565" s="27"/>
      <c r="I565" s="27"/>
      <c r="J565" s="169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3"/>
      <c r="C566" s="27"/>
      <c r="D566" s="27"/>
      <c r="E566" s="27"/>
      <c r="H566" s="27"/>
      <c r="I566" s="27"/>
      <c r="J566" s="169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3"/>
      <c r="C567" s="27"/>
      <c r="D567" s="27"/>
      <c r="E567" s="27"/>
      <c r="H567" s="27"/>
      <c r="I567" s="27"/>
      <c r="J567" s="169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3"/>
      <c r="C568" s="27"/>
      <c r="D568" s="27"/>
      <c r="E568" s="27"/>
      <c r="H568" s="27"/>
      <c r="I568" s="27"/>
      <c r="J568" s="169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3"/>
      <c r="C569" s="27"/>
      <c r="D569" s="27"/>
      <c r="E569" s="27"/>
      <c r="H569" s="27"/>
      <c r="I569" s="27"/>
      <c r="J569" s="169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3"/>
      <c r="C570" s="27"/>
      <c r="D570" s="27"/>
      <c r="E570" s="27"/>
      <c r="H570" s="27"/>
      <c r="I570" s="27"/>
      <c r="J570" s="169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3"/>
      <c r="C571" s="27"/>
      <c r="D571" s="27"/>
      <c r="E571" s="27"/>
      <c r="H571" s="27"/>
      <c r="I571" s="27"/>
      <c r="J571" s="169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3"/>
      <c r="C572" s="27"/>
      <c r="D572" s="27"/>
      <c r="E572" s="27"/>
      <c r="H572" s="27"/>
      <c r="I572" s="27"/>
      <c r="J572" s="169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3"/>
      <c r="C573" s="27"/>
      <c r="D573" s="27"/>
      <c r="E573" s="27"/>
      <c r="H573" s="27"/>
      <c r="I573" s="27"/>
      <c r="J573" s="169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3"/>
      <c r="C574" s="27"/>
      <c r="D574" s="27"/>
      <c r="E574" s="27"/>
      <c r="H574" s="27"/>
      <c r="I574" s="164"/>
      <c r="J574" s="169"/>
      <c r="K574" s="27"/>
      <c r="L574" s="27"/>
      <c r="P574" s="27"/>
      <c r="Q574" s="27"/>
      <c r="V574" s="27"/>
      <c r="W574" s="163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63"/>
      <c r="C575" s="27"/>
      <c r="D575" s="27"/>
      <c r="E575" s="27"/>
      <c r="H575" s="27"/>
      <c r="I575" s="169"/>
      <c r="J575" s="169"/>
      <c r="K575" s="27"/>
      <c r="L575" s="27"/>
      <c r="P575" s="27"/>
      <c r="Q575" s="27"/>
      <c r="V575" s="27"/>
      <c r="W575" s="163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3"/>
      <c r="C576" s="27"/>
      <c r="D576" s="27"/>
      <c r="E576" s="27"/>
      <c r="H576" s="27"/>
      <c r="I576" s="169"/>
      <c r="J576" s="169"/>
      <c r="K576" s="27"/>
      <c r="L576" s="27"/>
      <c r="P576" s="27"/>
      <c r="Q576" s="27"/>
      <c r="V576" s="27"/>
      <c r="W576" s="163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3"/>
      <c r="C577" s="27"/>
      <c r="D577" s="27"/>
      <c r="E577" s="27"/>
      <c r="H577" s="27"/>
      <c r="I577" s="169"/>
      <c r="J577" s="169"/>
      <c r="K577" s="27"/>
      <c r="L577" s="27"/>
      <c r="P577" s="27"/>
      <c r="Q577" s="27"/>
      <c r="V577" s="27"/>
      <c r="W577" s="163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3"/>
      <c r="C578" s="27"/>
      <c r="D578" s="27"/>
      <c r="E578" s="27"/>
      <c r="H578" s="27"/>
      <c r="I578" s="169"/>
      <c r="J578" s="169"/>
      <c r="K578" s="27"/>
      <c r="L578" s="27"/>
      <c r="P578" s="27"/>
      <c r="Q578" s="27"/>
      <c r="V578" s="27"/>
      <c r="W578" s="163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3"/>
      <c r="C579" s="27"/>
      <c r="D579" s="27"/>
      <c r="E579" s="27"/>
      <c r="H579" s="27"/>
      <c r="I579" s="169"/>
      <c r="J579" s="169"/>
      <c r="K579" s="27"/>
      <c r="L579" s="27"/>
      <c r="P579" s="27"/>
      <c r="Q579" s="27"/>
      <c r="V579" s="27"/>
      <c r="W579" s="163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3"/>
      <c r="C580" s="27"/>
      <c r="D580" s="27"/>
      <c r="E580" s="27"/>
      <c r="H580" s="27"/>
      <c r="I580" s="169"/>
      <c r="J580" s="169"/>
      <c r="K580" s="27"/>
      <c r="L580" s="27"/>
      <c r="P580" s="27"/>
      <c r="Q580" s="27"/>
      <c r="V580" s="27"/>
      <c r="W580" s="163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3"/>
      <c r="C581" s="27"/>
      <c r="D581" s="27"/>
      <c r="E581" s="27"/>
      <c r="H581" s="27"/>
      <c r="I581" s="169"/>
      <c r="J581" s="169"/>
      <c r="K581" s="27"/>
      <c r="L581" s="27"/>
      <c r="P581" s="27"/>
      <c r="Q581" s="27"/>
      <c r="V581" s="27"/>
      <c r="W581" s="163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3"/>
      <c r="C582" s="27"/>
      <c r="D582" s="27"/>
      <c r="E582" s="27"/>
      <c r="H582" s="27"/>
      <c r="I582" s="169"/>
      <c r="J582" s="169"/>
      <c r="K582" s="27"/>
      <c r="L582" s="27"/>
      <c r="P582" s="27"/>
      <c r="Q582" s="27"/>
      <c r="V582" s="27"/>
      <c r="W582" s="163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27"/>
      <c r="C583" s="27"/>
      <c r="D583" s="27"/>
      <c r="E583" s="27"/>
      <c r="F583" s="27"/>
      <c r="G583" s="27"/>
      <c r="H583" s="27"/>
      <c r="I583" s="27"/>
      <c r="J583" s="169"/>
      <c r="K583" s="169"/>
      <c r="L583" s="27"/>
      <c r="M583" s="170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  <c r="AA583" s="27"/>
      <c r="AB583" s="27"/>
      <c r="AC583" s="27"/>
      <c r="AD583" s="27"/>
      <c r="AE583" s="27"/>
      <c r="AF583" s="27"/>
      <c r="AG583" s="27"/>
      <c r="AH583" s="27"/>
      <c r="AI583" s="27"/>
      <c r="AJ583" s="27"/>
      <c r="AK583" s="27"/>
      <c r="AL583" s="27"/>
      <c r="AM583" s="27"/>
      <c r="AN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9"/>
      <c r="K584" s="169"/>
      <c r="L584" s="27"/>
      <c r="M584" s="170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9"/>
      <c r="K585" s="169"/>
      <c r="L585" s="27"/>
      <c r="M585" s="170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9"/>
      <c r="K586" s="169"/>
      <c r="L586" s="27"/>
      <c r="M586" s="170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9"/>
      <c r="K587" s="169"/>
      <c r="L587" s="27"/>
      <c r="M587" s="170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9"/>
      <c r="K588" s="169"/>
      <c r="L588" s="27"/>
      <c r="M588" s="170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9"/>
      <c r="K589" s="169"/>
      <c r="L589" s="27"/>
      <c r="M589" s="170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H590" s="27"/>
      <c r="I590" s="169"/>
      <c r="J590" s="169"/>
      <c r="K590" s="27"/>
      <c r="L590" s="27"/>
      <c r="M590" s="180"/>
      <c r="O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169"/>
      <c r="J591" s="169"/>
      <c r="K591" s="27"/>
      <c r="L591" s="27"/>
      <c r="M591" s="180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9"/>
      <c r="J592" s="169"/>
      <c r="K592" s="27"/>
      <c r="L592" s="27"/>
      <c r="M592" s="181"/>
      <c r="O592" s="27"/>
      <c r="P592" s="27"/>
      <c r="Q592" s="27"/>
      <c r="W592" s="27"/>
      <c r="X592" s="27"/>
      <c r="Z592" s="27"/>
      <c r="AA592" s="27"/>
      <c r="AC592" s="27"/>
      <c r="AD592" s="27"/>
      <c r="AI592" s="163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9"/>
      <c r="J593" s="169"/>
      <c r="K593" s="27"/>
      <c r="L593" s="27"/>
      <c r="M593" s="180"/>
      <c r="O593" s="27"/>
      <c r="P593" s="27"/>
      <c r="Q593" s="27"/>
      <c r="W593" s="27"/>
      <c r="X593" s="27"/>
      <c r="Z593" s="27"/>
      <c r="AA593" s="27"/>
      <c r="AC593" s="27"/>
      <c r="AD593" s="27"/>
      <c r="AI593" s="163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9"/>
      <c r="J594" s="169"/>
      <c r="K594" s="27"/>
      <c r="L594" s="27"/>
      <c r="M594" s="180"/>
      <c r="O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69"/>
      <c r="K595" s="27"/>
      <c r="L595" s="27"/>
      <c r="M595" s="180"/>
      <c r="N595" s="163"/>
      <c r="O595" s="182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9"/>
      <c r="K596" s="27"/>
      <c r="L596" s="27"/>
      <c r="M596" s="180"/>
      <c r="N596" s="163"/>
      <c r="O596" s="182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9"/>
      <c r="K597" s="27"/>
      <c r="L597" s="27"/>
      <c r="M597" s="180"/>
      <c r="N597" s="163"/>
      <c r="O597" s="182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9"/>
      <c r="K598" s="27"/>
      <c r="L598" s="27"/>
      <c r="M598" s="180"/>
      <c r="N598" s="163"/>
      <c r="O598" s="182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9"/>
      <c r="K599" s="27"/>
      <c r="L599" s="27"/>
      <c r="M599" s="180"/>
      <c r="N599" s="163"/>
      <c r="O599" s="182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9"/>
      <c r="K600" s="27"/>
      <c r="L600" s="27"/>
      <c r="M600" s="180"/>
      <c r="N600" s="163"/>
      <c r="O600" s="182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9"/>
      <c r="K601" s="27"/>
      <c r="L601" s="27"/>
      <c r="M601" s="180"/>
      <c r="N601" s="163"/>
      <c r="O601" s="182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9"/>
      <c r="K602" s="27"/>
      <c r="L602" s="27"/>
      <c r="M602" s="180"/>
      <c r="N602" s="163"/>
      <c r="O602" s="182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9"/>
      <c r="K603" s="27"/>
      <c r="L603" s="27"/>
      <c r="M603" s="180"/>
      <c r="N603" s="163"/>
      <c r="O603" s="182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9"/>
      <c r="K604" s="27"/>
      <c r="L604" s="27"/>
      <c r="M604" s="180"/>
      <c r="N604" s="163"/>
      <c r="O604" s="182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9"/>
      <c r="K605" s="27"/>
      <c r="L605" s="27"/>
      <c r="M605" s="180"/>
      <c r="N605" s="163"/>
      <c r="O605" s="182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9"/>
      <c r="K606" s="27"/>
      <c r="L606" s="27"/>
      <c r="M606" s="180"/>
      <c r="N606" s="163"/>
      <c r="O606" s="182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9"/>
      <c r="K607" s="27"/>
      <c r="L607" s="27"/>
      <c r="M607" s="180"/>
      <c r="N607" s="163"/>
      <c r="O607" s="182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9"/>
      <c r="K608" s="27"/>
      <c r="L608" s="27"/>
      <c r="M608" s="180"/>
      <c r="N608" s="163"/>
      <c r="O608" s="182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9"/>
      <c r="K609" s="27"/>
      <c r="L609" s="27"/>
      <c r="M609" s="180"/>
      <c r="N609" s="163"/>
      <c r="O609" s="182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9"/>
      <c r="K610" s="27"/>
      <c r="L610" s="27"/>
      <c r="M610" s="180"/>
      <c r="N610" s="163"/>
      <c r="O610" s="182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9"/>
      <c r="K611" s="27"/>
      <c r="L611" s="27"/>
      <c r="M611" s="180"/>
      <c r="N611" s="163"/>
      <c r="O611" s="182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9"/>
      <c r="K612" s="27"/>
      <c r="L612" s="27"/>
      <c r="M612" s="180"/>
      <c r="N612" s="163"/>
      <c r="O612" s="182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9"/>
      <c r="K613" s="27"/>
      <c r="L613" s="27"/>
      <c r="M613" s="180"/>
      <c r="N613" s="163"/>
      <c r="O613" s="182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9"/>
      <c r="K614" s="27"/>
      <c r="L614" s="27"/>
      <c r="M614" s="180"/>
      <c r="N614" s="163"/>
      <c r="O614" s="182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9"/>
      <c r="K615" s="27"/>
      <c r="L615" s="27"/>
      <c r="M615" s="181"/>
      <c r="N615" s="163"/>
      <c r="O615" s="182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9"/>
      <c r="K616" s="27"/>
      <c r="L616" s="27"/>
      <c r="M616" s="181"/>
      <c r="N616" s="163"/>
      <c r="O616" s="182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9"/>
      <c r="K617" s="27"/>
      <c r="L617" s="27"/>
      <c r="M617" s="181"/>
      <c r="N617" s="163"/>
      <c r="O617" s="182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9"/>
      <c r="K618" s="27"/>
      <c r="L618" s="27"/>
      <c r="M618" s="181"/>
      <c r="N618" s="163"/>
      <c r="O618" s="182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9"/>
      <c r="K619" s="27"/>
      <c r="L619" s="27"/>
      <c r="M619" s="181"/>
      <c r="N619" s="163"/>
      <c r="O619" s="182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9"/>
      <c r="K620" s="27"/>
      <c r="L620" s="27"/>
      <c r="M620" s="181"/>
      <c r="N620" s="163"/>
      <c r="O620" s="182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9"/>
      <c r="K621" s="27"/>
      <c r="L621" s="27"/>
      <c r="M621" s="181"/>
      <c r="N621" s="163"/>
      <c r="O621" s="182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9"/>
      <c r="K622" s="27"/>
      <c r="L622" s="27"/>
      <c r="M622" s="181"/>
      <c r="N622" s="163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9"/>
      <c r="K623" s="27"/>
      <c r="L623" s="27"/>
      <c r="M623" s="181"/>
      <c r="N623" s="163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9"/>
      <c r="K624" s="27"/>
      <c r="L624" s="27"/>
      <c r="M624" s="181"/>
      <c r="N624" s="163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9"/>
      <c r="K625" s="27"/>
      <c r="L625" s="27"/>
      <c r="M625" s="180"/>
      <c r="N625" s="163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9"/>
      <c r="K626" s="27"/>
      <c r="L626" s="27"/>
      <c r="M626" s="180"/>
      <c r="N626" s="163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9"/>
      <c r="K627" s="27"/>
      <c r="L627" s="27"/>
      <c r="M627" s="180"/>
      <c r="N627" s="163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9"/>
      <c r="K628" s="27"/>
      <c r="L628" s="27"/>
      <c r="M628" s="180"/>
      <c r="N628" s="163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9"/>
      <c r="K629" s="27"/>
      <c r="L629" s="27"/>
      <c r="M629" s="180"/>
      <c r="N629" s="163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9"/>
      <c r="K630" s="27"/>
      <c r="L630" s="27"/>
      <c r="M630" s="180"/>
      <c r="N630" s="163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9"/>
      <c r="K631" s="27"/>
      <c r="L631" s="27"/>
      <c r="M631" s="180"/>
      <c r="N631" s="163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9"/>
      <c r="K632" s="27"/>
      <c r="L632" s="27"/>
      <c r="M632" s="180"/>
      <c r="N632" s="163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9"/>
      <c r="K633" s="27"/>
      <c r="L633" s="27"/>
      <c r="M633" s="180"/>
      <c r="N633" s="163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9"/>
      <c r="K634" s="27"/>
      <c r="L634" s="27"/>
      <c r="M634" s="180"/>
      <c r="N634" s="163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9"/>
      <c r="K635" s="27"/>
      <c r="M635" s="180"/>
      <c r="N635" s="163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9"/>
      <c r="K636" s="27"/>
      <c r="M636" s="180"/>
      <c r="N636" s="163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9"/>
      <c r="K637" s="27"/>
      <c r="M637" s="180"/>
      <c r="N637" s="163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9"/>
      <c r="K638" s="27"/>
      <c r="M638" s="180"/>
      <c r="N638" s="163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9"/>
      <c r="K639" s="27"/>
      <c r="M639" s="180"/>
      <c r="N639" s="163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9"/>
      <c r="K640" s="27"/>
      <c r="M640" s="180"/>
      <c r="N640" s="163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9"/>
      <c r="K641" s="27"/>
      <c r="M641" s="180"/>
      <c r="N641" s="163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9"/>
      <c r="K642" s="27"/>
      <c r="M642" s="180"/>
      <c r="N642" s="163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9"/>
      <c r="K643" s="27"/>
      <c r="M643" s="180"/>
      <c r="N643" s="163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9"/>
      <c r="K644" s="27"/>
      <c r="M644" s="180"/>
      <c r="N644" s="163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37">
      <c r="B645" s="27"/>
      <c r="C645" s="27"/>
      <c r="D645" s="27"/>
      <c r="E645" s="27"/>
      <c r="H645" s="27"/>
      <c r="I645" s="27"/>
      <c r="J645" s="169"/>
      <c r="K645" s="27"/>
      <c r="L645" s="27"/>
      <c r="M645" s="182"/>
      <c r="O645" s="167"/>
      <c r="P645" s="27"/>
      <c r="Q645" s="27"/>
      <c r="V645" s="27"/>
      <c r="W645" s="163"/>
      <c r="X645" s="27"/>
      <c r="Z645" s="27"/>
      <c r="AA645" s="27"/>
      <c r="AC645" s="27"/>
      <c r="AD645" s="27"/>
      <c r="AJ645" s="27"/>
      <c r="AK645" s="27"/>
    </row>
    <row r="646" spans="2:37">
      <c r="B646" s="27"/>
      <c r="C646" s="27"/>
      <c r="D646" s="27"/>
      <c r="E646" s="27"/>
      <c r="H646" s="27"/>
      <c r="I646" s="27"/>
      <c r="J646" s="169"/>
      <c r="K646" s="27"/>
      <c r="L646" s="27"/>
      <c r="M646" s="182"/>
      <c r="O646" s="167"/>
      <c r="P646" s="27"/>
      <c r="Q646" s="27"/>
      <c r="V646" s="27"/>
      <c r="W646" s="163"/>
      <c r="X646" s="27"/>
      <c r="Z646" s="27"/>
      <c r="AA646" s="27"/>
      <c r="AB646" s="27"/>
      <c r="AC646" s="27"/>
      <c r="AD646" s="27"/>
      <c r="AJ646" s="27"/>
      <c r="AK646" s="27"/>
    </row>
    <row r="647" spans="2:37">
      <c r="B647" s="27"/>
      <c r="C647" s="27"/>
      <c r="D647" s="27"/>
      <c r="E647" s="27"/>
      <c r="H647" s="27"/>
      <c r="I647" s="27"/>
      <c r="J647" s="169"/>
      <c r="K647" s="27"/>
      <c r="L647" s="27"/>
      <c r="M647" s="182"/>
      <c r="O647" s="167"/>
      <c r="P647" s="27"/>
      <c r="Q647" s="27"/>
      <c r="V647" s="27"/>
      <c r="W647" s="163"/>
      <c r="X647" s="27"/>
      <c r="Z647" s="27"/>
      <c r="AA647" s="27"/>
      <c r="AB647" s="27"/>
      <c r="AC647" s="27"/>
      <c r="AD647" s="27"/>
      <c r="AJ647" s="27"/>
      <c r="AK647" s="27"/>
    </row>
    <row r="648" spans="2:37">
      <c r="B648" s="27"/>
      <c r="C648" s="27"/>
      <c r="D648" s="27"/>
      <c r="E648" s="27"/>
      <c r="H648" s="27"/>
      <c r="I648" s="27"/>
      <c r="J648" s="169"/>
      <c r="K648" s="27"/>
      <c r="L648" s="27"/>
      <c r="M648" s="182"/>
      <c r="O648" s="167"/>
      <c r="P648" s="27"/>
      <c r="Q648" s="27"/>
      <c r="V648" s="27"/>
      <c r="W648" s="163"/>
      <c r="X648" s="27"/>
      <c r="Z648" s="27"/>
      <c r="AA648" s="27"/>
      <c r="AB648" s="27"/>
      <c r="AC648" s="27"/>
      <c r="AD648" s="27"/>
      <c r="AJ648" s="27"/>
      <c r="AK648" s="27"/>
    </row>
    <row r="649" s="166" customFormat="1" spans="2:40">
      <c r="B649" s="183"/>
      <c r="C649" s="183"/>
      <c r="D649" s="183"/>
      <c r="E649" s="27"/>
      <c r="H649" s="27"/>
      <c r="I649" s="183"/>
      <c r="J649" s="184"/>
      <c r="K649" s="183"/>
      <c r="L649" s="183"/>
      <c r="M649" s="185"/>
      <c r="O649" s="186"/>
      <c r="P649" s="183"/>
      <c r="Q649" s="183"/>
      <c r="V649" s="183"/>
      <c r="W649" s="187"/>
      <c r="X649" s="183"/>
      <c r="Z649" s="183"/>
      <c r="AA649" s="183"/>
      <c r="AB649" s="187"/>
      <c r="AC649" s="183"/>
      <c r="AD649" s="183"/>
      <c r="AJ649" s="183"/>
      <c r="AK649" s="183"/>
      <c r="AN649" s="187"/>
    </row>
    <row r="650" s="166" customFormat="1" spans="2:40">
      <c r="B650" s="183"/>
      <c r="C650" s="183"/>
      <c r="D650" s="183"/>
      <c r="E650" s="27"/>
      <c r="H650" s="27"/>
      <c r="I650" s="183"/>
      <c r="J650" s="184"/>
      <c r="K650" s="183"/>
      <c r="L650" s="183"/>
      <c r="M650" s="185"/>
      <c r="O650" s="186"/>
      <c r="P650" s="183"/>
      <c r="Q650" s="183"/>
      <c r="V650" s="183"/>
      <c r="W650" s="187"/>
      <c r="X650" s="183"/>
      <c r="Z650" s="183"/>
      <c r="AA650" s="183"/>
      <c r="AB650" s="187"/>
      <c r="AC650" s="183"/>
      <c r="AD650" s="183"/>
      <c r="AJ650" s="183"/>
      <c r="AK650" s="183"/>
      <c r="AN650" s="187"/>
    </row>
    <row r="651" s="166" customFormat="1" spans="2:40">
      <c r="B651" s="183"/>
      <c r="C651" s="183"/>
      <c r="D651" s="183"/>
      <c r="E651" s="27"/>
      <c r="H651" s="27"/>
      <c r="I651" s="183"/>
      <c r="J651" s="184"/>
      <c r="K651" s="183"/>
      <c r="L651" s="183"/>
      <c r="M651" s="185"/>
      <c r="O651" s="186"/>
      <c r="P651" s="183"/>
      <c r="Q651" s="183"/>
      <c r="V651" s="183"/>
      <c r="W651" s="187"/>
      <c r="X651" s="183"/>
      <c r="Z651" s="183"/>
      <c r="AA651" s="183"/>
      <c r="AB651" s="187"/>
      <c r="AC651" s="183"/>
      <c r="AD651" s="183"/>
      <c r="AJ651" s="183"/>
      <c r="AK651" s="183"/>
      <c r="AN651" s="187"/>
    </row>
    <row r="652" s="166" customFormat="1" spans="2:40">
      <c r="B652" s="183"/>
      <c r="C652" s="183"/>
      <c r="D652" s="183"/>
      <c r="E652" s="27"/>
      <c r="H652" s="27"/>
      <c r="I652" s="183"/>
      <c r="J652" s="184"/>
      <c r="K652" s="183"/>
      <c r="L652" s="183"/>
      <c r="M652" s="185"/>
      <c r="O652" s="186"/>
      <c r="P652" s="183"/>
      <c r="Q652" s="183"/>
      <c r="V652" s="183"/>
      <c r="W652" s="187"/>
      <c r="X652" s="183"/>
      <c r="Z652" s="183"/>
      <c r="AA652" s="183"/>
      <c r="AB652" s="187"/>
      <c r="AC652" s="183"/>
      <c r="AD652" s="183"/>
      <c r="AJ652" s="183"/>
      <c r="AK652" s="183"/>
      <c r="AN652" s="187"/>
    </row>
    <row r="653" spans="2:42">
      <c r="B653" s="27"/>
      <c r="C653" s="27"/>
      <c r="D653" s="27"/>
      <c r="E653" s="27"/>
      <c r="H653" s="27"/>
      <c r="I653" s="27"/>
      <c r="J653" s="169"/>
      <c r="K653" s="27"/>
      <c r="L653" s="27"/>
      <c r="M653" s="182"/>
      <c r="O653" s="167"/>
      <c r="P653" s="27"/>
      <c r="Q653" s="27"/>
      <c r="W653" s="27"/>
      <c r="X653" s="27"/>
      <c r="Z653" s="27"/>
      <c r="AA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9"/>
      <c r="K654" s="27"/>
      <c r="L654" s="27"/>
      <c r="M654" s="182"/>
      <c r="O654" s="167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9"/>
      <c r="K655" s="27"/>
      <c r="L655" s="27"/>
      <c r="M655" s="182"/>
      <c r="O655" s="167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9"/>
      <c r="K656" s="27"/>
      <c r="L656" s="27"/>
      <c r="M656" s="182"/>
      <c r="O656" s="167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="166" customFormat="1" spans="2:42">
      <c r="B657" s="183"/>
      <c r="C657" s="183"/>
      <c r="D657" s="183"/>
      <c r="E657" s="27"/>
      <c r="H657" s="27"/>
      <c r="I657" s="183"/>
      <c r="J657" s="184"/>
      <c r="K657" s="183"/>
      <c r="L657" s="183"/>
      <c r="M657" s="185"/>
      <c r="O657" s="186"/>
      <c r="P657" s="183"/>
      <c r="Q657" s="183"/>
      <c r="W657" s="183"/>
      <c r="X657" s="183"/>
      <c r="Z657" s="183"/>
      <c r="AA657" s="183"/>
      <c r="AB657" s="187"/>
      <c r="AC657" s="183"/>
      <c r="AD657" s="183"/>
      <c r="AJ657" s="183"/>
      <c r="AK657" s="183"/>
      <c r="AN657" s="187"/>
      <c r="AO657" s="183"/>
      <c r="AP657" s="183"/>
    </row>
    <row r="658" s="166" customFormat="1" spans="2:42">
      <c r="B658" s="183"/>
      <c r="C658" s="183"/>
      <c r="D658" s="183"/>
      <c r="E658" s="27"/>
      <c r="H658" s="27"/>
      <c r="I658" s="183"/>
      <c r="J658" s="184"/>
      <c r="K658" s="183"/>
      <c r="L658" s="183"/>
      <c r="M658" s="185"/>
      <c r="O658" s="186"/>
      <c r="P658" s="183"/>
      <c r="Q658" s="183"/>
      <c r="W658" s="183"/>
      <c r="X658" s="183"/>
      <c r="Z658" s="183"/>
      <c r="AA658" s="183"/>
      <c r="AB658" s="187"/>
      <c r="AC658" s="183"/>
      <c r="AD658" s="183"/>
      <c r="AJ658" s="183"/>
      <c r="AK658" s="183"/>
      <c r="AN658" s="187"/>
      <c r="AO658" s="183"/>
      <c r="AP658" s="183"/>
    </row>
    <row r="659" s="166" customFormat="1" spans="2:42">
      <c r="B659" s="183"/>
      <c r="C659" s="183"/>
      <c r="D659" s="183"/>
      <c r="E659" s="27"/>
      <c r="H659" s="27"/>
      <c r="I659" s="183"/>
      <c r="J659" s="184"/>
      <c r="K659" s="183"/>
      <c r="L659" s="183"/>
      <c r="M659" s="185"/>
      <c r="O659" s="186"/>
      <c r="P659" s="183"/>
      <c r="Q659" s="183"/>
      <c r="W659" s="183"/>
      <c r="X659" s="183"/>
      <c r="Z659" s="183"/>
      <c r="AA659" s="183"/>
      <c r="AB659" s="187"/>
      <c r="AC659" s="183"/>
      <c r="AD659" s="183"/>
      <c r="AJ659" s="183"/>
      <c r="AK659" s="183"/>
      <c r="AN659" s="187"/>
      <c r="AO659" s="183"/>
      <c r="AP659" s="183"/>
    </row>
    <row r="660" s="166" customFormat="1" spans="2:42">
      <c r="B660" s="183"/>
      <c r="C660" s="183"/>
      <c r="D660" s="183"/>
      <c r="E660" s="27"/>
      <c r="H660" s="27"/>
      <c r="I660" s="183"/>
      <c r="J660" s="184"/>
      <c r="K660" s="183"/>
      <c r="L660" s="183"/>
      <c r="M660" s="185"/>
      <c r="O660" s="186"/>
      <c r="P660" s="183"/>
      <c r="Q660" s="183"/>
      <c r="W660" s="183"/>
      <c r="X660" s="183"/>
      <c r="Z660" s="183"/>
      <c r="AA660" s="183"/>
      <c r="AB660" s="187"/>
      <c r="AC660" s="183"/>
      <c r="AD660" s="183"/>
      <c r="AJ660" s="183"/>
      <c r="AK660" s="183"/>
      <c r="AN660" s="187"/>
      <c r="AO660" s="183"/>
      <c r="AP660" s="183"/>
    </row>
    <row r="661" spans="2:42">
      <c r="B661" s="27"/>
      <c r="C661" s="27"/>
      <c r="D661" s="27"/>
      <c r="E661" s="27"/>
      <c r="H661" s="27"/>
      <c r="I661" s="27"/>
      <c r="J661" s="169"/>
      <c r="K661" s="27"/>
      <c r="L661" s="27"/>
      <c r="M661" s="170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9"/>
      <c r="K662" s="27"/>
      <c r="L662" s="27"/>
      <c r="M662" s="170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9"/>
      <c r="K663" s="27"/>
      <c r="L663" s="27"/>
      <c r="M663" s="170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9"/>
      <c r="K664" s="27"/>
      <c r="L664" s="27"/>
      <c r="M664" s="170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9"/>
      <c r="K665" s="27"/>
      <c r="L665" s="27"/>
      <c r="M665" s="170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9"/>
      <c r="K666" s="27"/>
      <c r="L666" s="27"/>
      <c r="M666" s="170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9"/>
      <c r="K667" s="27"/>
      <c r="L667" s="27"/>
      <c r="M667" s="170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9"/>
      <c r="K668" s="27"/>
      <c r="L668" s="27"/>
      <c r="M668" s="170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9"/>
      <c r="K669" s="27"/>
      <c r="L669" s="27"/>
      <c r="M669" s="170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9"/>
      <c r="K670" s="27"/>
      <c r="L670" s="27"/>
      <c r="M670" s="170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9"/>
      <c r="K671" s="27"/>
      <c r="L671" s="27"/>
      <c r="M671" s="170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9"/>
      <c r="K672" s="27"/>
      <c r="L672" s="27"/>
      <c r="M672" s="170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9"/>
      <c r="K673" s="27"/>
      <c r="L673" s="27"/>
      <c r="M673" s="170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9"/>
      <c r="K674" s="27"/>
      <c r="L674" s="27"/>
      <c r="M674" s="170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169"/>
      <c r="C675" s="27"/>
      <c r="D675" s="27"/>
      <c r="E675" s="27"/>
      <c r="H675" s="27"/>
      <c r="I675" s="169"/>
      <c r="J675" s="169"/>
      <c r="K675" s="27"/>
      <c r="L675" s="27"/>
      <c r="M675" s="170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9"/>
      <c r="K676" s="27"/>
      <c r="L676" s="27"/>
      <c r="O676" s="167"/>
      <c r="P676" s="27"/>
      <c r="Q676" s="27"/>
      <c r="V676" s="27"/>
      <c r="W676" s="163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9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9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9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9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9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9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9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9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37">
      <c r="B685" s="27"/>
      <c r="C685" s="27"/>
      <c r="D685" s="27"/>
      <c r="E685" s="27"/>
      <c r="H685" s="27"/>
      <c r="I685" s="27"/>
      <c r="J685" s="169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9"/>
      <c r="K686" s="27"/>
      <c r="L686" s="27"/>
      <c r="P686" s="27"/>
      <c r="Q686" s="27"/>
      <c r="R686" s="163"/>
      <c r="S686" s="163"/>
      <c r="T686" s="163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9"/>
      <c r="K687" s="27"/>
      <c r="L687" s="27"/>
      <c r="P687" s="27"/>
      <c r="Q687" s="27"/>
      <c r="R687" s="163"/>
      <c r="S687" s="163"/>
      <c r="T687" s="163"/>
      <c r="W687" s="27"/>
      <c r="X687" s="27"/>
      <c r="Z687" s="27"/>
      <c r="AA687" s="27"/>
      <c r="AC687" s="27"/>
      <c r="AD687" s="27"/>
      <c r="AJ687" s="27"/>
      <c r="AK687" s="27"/>
      <c r="AO687" s="27"/>
      <c r="AP687" s="27"/>
    </row>
    <row r="688" spans="2:37">
      <c r="B688" s="27"/>
      <c r="C688" s="27"/>
      <c r="D688" s="27"/>
      <c r="E688" s="27"/>
      <c r="H688" s="27"/>
      <c r="I688" s="27"/>
      <c r="J688" s="169"/>
      <c r="K688" s="27"/>
      <c r="L688" s="27"/>
      <c r="P688" s="27"/>
      <c r="Q688" s="27"/>
      <c r="R688" s="163"/>
      <c r="S688" s="163"/>
      <c r="T688" s="163"/>
      <c r="W688" s="27"/>
      <c r="X688" s="27"/>
      <c r="Z688" s="27"/>
      <c r="AA688" s="27"/>
      <c r="AC688" s="27"/>
      <c r="AD688" s="27"/>
      <c r="AJ688" s="27"/>
      <c r="AK688" s="27"/>
    </row>
    <row r="689" spans="2:37">
      <c r="B689" s="27"/>
      <c r="C689" s="27"/>
      <c r="D689" s="27"/>
      <c r="E689" s="27"/>
      <c r="H689" s="27"/>
      <c r="I689" s="27"/>
      <c r="J689" s="169"/>
      <c r="K689" s="27"/>
      <c r="L689" s="27"/>
      <c r="P689" s="27"/>
      <c r="Q689" s="27"/>
      <c r="R689" s="163"/>
      <c r="S689" s="163"/>
      <c r="T689" s="163"/>
      <c r="W689" s="27"/>
      <c r="X689" s="27"/>
      <c r="Z689" s="27"/>
      <c r="AA689" s="27"/>
      <c r="AC689" s="27"/>
      <c r="AD689" s="27"/>
      <c r="AJ689" s="27"/>
      <c r="AK689" s="27"/>
    </row>
    <row r="690" spans="2:37">
      <c r="B690" s="27"/>
      <c r="C690" s="27"/>
      <c r="D690" s="27"/>
      <c r="E690" s="27"/>
      <c r="H690" s="27"/>
      <c r="I690" s="27"/>
      <c r="J690" s="169"/>
      <c r="K690" s="27"/>
      <c r="L690" s="27"/>
      <c r="P690" s="27"/>
      <c r="Q690" s="27"/>
      <c r="R690" s="163"/>
      <c r="S690" s="163"/>
      <c r="T690" s="163"/>
      <c r="W690" s="27"/>
      <c r="X690" s="27"/>
      <c r="Z690" s="27"/>
      <c r="AA690" s="27"/>
      <c r="AC690" s="27"/>
      <c r="AD690" s="27"/>
      <c r="AJ690" s="27"/>
      <c r="AK690" s="27"/>
    </row>
    <row r="691" spans="2:37">
      <c r="B691" s="27"/>
      <c r="C691" s="27"/>
      <c r="D691" s="27"/>
      <c r="E691" s="27"/>
      <c r="H691" s="27"/>
      <c r="I691" s="27"/>
      <c r="J691" s="169"/>
      <c r="K691" s="27"/>
      <c r="L691" s="27"/>
      <c r="P691" s="27"/>
      <c r="Q691" s="27"/>
      <c r="R691" s="163"/>
      <c r="S691" s="163"/>
      <c r="T691" s="163"/>
      <c r="W691" s="27"/>
      <c r="X691" s="27"/>
      <c r="Z691" s="27"/>
      <c r="AA691" s="27"/>
      <c r="AC691" s="27"/>
      <c r="AD691" s="27"/>
      <c r="AJ691" s="27"/>
      <c r="AK691" s="27"/>
    </row>
    <row r="692" spans="2:37">
      <c r="B692" s="27"/>
      <c r="C692" s="27"/>
      <c r="D692" s="27"/>
      <c r="E692" s="27"/>
      <c r="H692" s="27"/>
      <c r="I692" s="27"/>
      <c r="J692" s="169"/>
      <c r="K692" s="27"/>
      <c r="L692" s="27"/>
      <c r="P692" s="27"/>
      <c r="Q692" s="27"/>
      <c r="R692" s="163"/>
      <c r="S692" s="163"/>
      <c r="T692" s="163"/>
      <c r="W692" s="27"/>
      <c r="X692" s="27"/>
      <c r="Z692" s="27"/>
      <c r="AA692" s="27"/>
      <c r="AC692" s="27"/>
      <c r="AD692" s="27"/>
      <c r="AJ692" s="27"/>
      <c r="AK692" s="27"/>
    </row>
    <row r="693" spans="2:37">
      <c r="B693" s="27"/>
      <c r="C693" s="27"/>
      <c r="D693" s="27"/>
      <c r="E693" s="27"/>
      <c r="H693" s="27"/>
      <c r="I693" s="27"/>
      <c r="J693" s="169"/>
      <c r="K693" s="27"/>
      <c r="L693" s="27"/>
      <c r="P693" s="27"/>
      <c r="Q693" s="27"/>
      <c r="R693" s="163"/>
      <c r="S693" s="163"/>
      <c r="T693" s="163"/>
      <c r="W693" s="27"/>
      <c r="X693" s="27"/>
      <c r="Z693" s="27"/>
      <c r="AA693" s="27"/>
      <c r="AC693" s="27"/>
      <c r="AD693" s="27"/>
      <c r="AJ693" s="27"/>
      <c r="AK693" s="27"/>
    </row>
    <row r="694" spans="2:37">
      <c r="B694" s="27"/>
      <c r="C694" s="27"/>
      <c r="D694" s="27"/>
      <c r="E694" s="27"/>
      <c r="H694" s="27"/>
      <c r="I694" s="27"/>
      <c r="J694" s="169"/>
      <c r="K694" s="27"/>
      <c r="L694" s="27"/>
      <c r="P694" s="27"/>
      <c r="Q694" s="27"/>
      <c r="R694" s="163"/>
      <c r="S694" s="163"/>
      <c r="T694" s="163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167"/>
      <c r="J695" s="169"/>
      <c r="K695" s="27"/>
      <c r="M695" s="176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I696" s="167"/>
      <c r="J696" s="169"/>
      <c r="K696" s="27"/>
      <c r="M696" s="176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7"/>
      <c r="J697" s="169"/>
      <c r="K697" s="27"/>
      <c r="M697" s="176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7"/>
      <c r="J698" s="169"/>
      <c r="K698" s="27"/>
      <c r="M698" s="176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7"/>
      <c r="J699" s="169"/>
      <c r="K699" s="27"/>
      <c r="M699" s="176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7"/>
      <c r="J700" s="169"/>
      <c r="K700" s="27"/>
      <c r="M700" s="176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7"/>
      <c r="J701" s="169"/>
      <c r="K701" s="27"/>
      <c r="M701" s="176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7"/>
      <c r="J702" s="169"/>
      <c r="K702" s="27"/>
      <c r="M702" s="176"/>
      <c r="W702" s="27"/>
      <c r="Z702" s="27"/>
      <c r="AA702" s="27"/>
      <c r="AC702" s="27"/>
      <c r="AD702" s="27"/>
      <c r="AI702" s="27"/>
      <c r="AO702" s="27"/>
    </row>
    <row r="703" spans="2:11">
      <c r="B703" s="27"/>
      <c r="C703" s="27"/>
      <c r="D703" s="27"/>
      <c r="E703" s="27"/>
      <c r="H703" s="27"/>
      <c r="J703" s="169"/>
      <c r="K703" s="27"/>
    </row>
    <row r="704" spans="2:11">
      <c r="B704" s="27"/>
      <c r="C704" s="27"/>
      <c r="D704" s="27"/>
      <c r="E704" s="27"/>
      <c r="H704" s="27"/>
      <c r="J704" s="169"/>
      <c r="K704" s="163"/>
    </row>
    <row r="705" spans="5:10">
      <c r="E705" s="27"/>
      <c r="J705" s="169"/>
    </row>
    <row r="706" spans="5:10">
      <c r="E706" s="27"/>
      <c r="J706" s="169"/>
    </row>
    <row r="707" spans="5:10">
      <c r="E707" s="27"/>
      <c r="J707" s="169"/>
    </row>
    <row r="708" spans="5:10">
      <c r="E708" s="27"/>
      <c r="J708" s="169"/>
    </row>
    <row r="709" spans="5:10">
      <c r="E709" s="27"/>
      <c r="J709" s="169"/>
    </row>
    <row r="710" spans="5:10">
      <c r="E710" s="27"/>
      <c r="J710" s="169"/>
    </row>
    <row r="711" spans="5:10">
      <c r="E711" s="27"/>
      <c r="J711" s="169"/>
    </row>
    <row r="712" spans="5:10">
      <c r="E712" s="27"/>
      <c r="J712" s="169"/>
    </row>
    <row r="713" spans="5:10">
      <c r="E713" s="27"/>
      <c r="J713" s="169"/>
    </row>
    <row r="714" spans="5:10">
      <c r="E714" s="27"/>
      <c r="J714" s="169"/>
    </row>
    <row r="715" spans="5:10">
      <c r="E715" s="27"/>
      <c r="J715" s="169"/>
    </row>
    <row r="716" spans="5:10">
      <c r="E716" s="27"/>
      <c r="J716" s="169"/>
    </row>
    <row r="717" spans="5:10">
      <c r="E717" s="27"/>
      <c r="J717" s="169"/>
    </row>
    <row r="718" spans="5:10">
      <c r="E718" s="27"/>
      <c r="J718" s="169"/>
    </row>
    <row r="719" spans="5:10">
      <c r="E719" s="27"/>
      <c r="J719" s="169"/>
    </row>
    <row r="720" spans="5:10">
      <c r="E720" s="27"/>
      <c r="J720" s="169"/>
    </row>
    <row r="721" spans="5:10">
      <c r="E721" s="27"/>
      <c r="J721" s="169"/>
    </row>
    <row r="722" spans="5:10">
      <c r="E722" s="27"/>
      <c r="J722" s="169"/>
    </row>
    <row r="723" spans="5:10">
      <c r="E723" s="27"/>
      <c r="J723" s="169"/>
    </row>
    <row r="724" spans="5:10">
      <c r="E724" s="27"/>
      <c r="J724" s="169"/>
    </row>
    <row r="725" spans="5:10">
      <c r="E725" s="27"/>
      <c r="J725" s="169"/>
    </row>
    <row r="726" spans="5:10">
      <c r="E726" s="27"/>
      <c r="J726" s="169"/>
    </row>
    <row r="727" spans="5:10">
      <c r="E727" s="27"/>
      <c r="J727" s="169"/>
    </row>
    <row r="728" spans="5:10">
      <c r="E728" s="27"/>
      <c r="J728" s="169"/>
    </row>
    <row r="729" spans="5:10">
      <c r="E729" s="27"/>
      <c r="J729" s="169"/>
    </row>
    <row r="730" spans="5:10">
      <c r="E730" s="27"/>
      <c r="J730" s="169"/>
    </row>
    <row r="731" spans="5:10">
      <c r="E731" s="27"/>
      <c r="J731" s="169"/>
    </row>
    <row r="732" spans="5:10">
      <c r="E732" s="27"/>
      <c r="J732" s="169"/>
    </row>
    <row r="733" spans="5:10">
      <c r="E733" s="27"/>
      <c r="J733" s="169"/>
    </row>
    <row r="734" spans="5:10">
      <c r="E734" s="27"/>
      <c r="J734" s="169"/>
    </row>
    <row r="735" spans="5:10">
      <c r="E735" s="27"/>
      <c r="J735" s="169"/>
    </row>
    <row r="736" spans="5:10">
      <c r="E736" s="27"/>
      <c r="J736" s="169"/>
    </row>
    <row r="737" spans="5:10">
      <c r="E737" s="27"/>
      <c r="J737" s="169"/>
    </row>
    <row r="738" spans="5:10">
      <c r="E738" s="27"/>
      <c r="J738" s="169"/>
    </row>
    <row r="739" spans="5:10">
      <c r="E739" s="27"/>
      <c r="J739" s="169"/>
    </row>
    <row r="740" spans="5:10">
      <c r="E740" s="27"/>
      <c r="J740" s="169"/>
    </row>
    <row r="741" spans="5:10">
      <c r="E741" s="27"/>
      <c r="J741" s="169"/>
    </row>
    <row r="742" spans="5:10">
      <c r="E742" s="27"/>
      <c r="J742" s="169"/>
    </row>
    <row r="743" spans="5:5">
      <c r="E743" s="27"/>
    </row>
    <row r="744" spans="5:5">
      <c r="E744" s="27"/>
    </row>
  </sheetData>
  <autoFilter ref="A1:AP742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452"/>
  <sheetViews>
    <sheetView workbookViewId="0">
      <pane xSplit="5" ySplit="2" topLeftCell="CU387" activePane="bottomRight" state="frozen"/>
      <selection/>
      <selection pane="topRight"/>
      <selection pane="bottomLeft"/>
      <selection pane="bottomRight" activeCell="CV310" sqref="CV310:CV397"/>
    </sheetView>
  </sheetViews>
  <sheetFormatPr defaultColWidth="9" defaultRowHeight="13.8"/>
  <cols>
    <col min="1" max="1" width="2.12962962962963" style="61" customWidth="1"/>
    <col min="2" max="2" width="5.12962962962963" style="61" customWidth="1"/>
    <col min="3" max="3" width="27.1296296296296" style="61" customWidth="1"/>
    <col min="4" max="4" width="6.12962962962963" style="61" customWidth="1"/>
    <col min="5" max="5" width="4.25" style="61" customWidth="1"/>
    <col min="6" max="6" width="8.12962962962963" style="62" customWidth="1"/>
    <col min="7" max="8" width="6.12962962962963" style="62" customWidth="1"/>
    <col min="9" max="9" width="6.62962962962963" style="62" customWidth="1"/>
    <col min="10" max="10" width="4.87962962962963" style="62" customWidth="1"/>
    <col min="11" max="11" width="5.12962962962963" style="62" customWidth="1"/>
    <col min="12" max="12" width="4.62962962962963" style="62" customWidth="1"/>
    <col min="13" max="13" width="5.25" style="62" customWidth="1"/>
    <col min="14" max="15" width="4.37962962962963" style="62" customWidth="1"/>
    <col min="16" max="18" width="5" style="63" customWidth="1"/>
    <col min="19" max="19" width="20.8796296296296" style="63" customWidth="1"/>
    <col min="20" max="20" width="37.6296296296296" style="64" customWidth="1"/>
    <col min="21" max="21" width="50.3796296296296" style="65" customWidth="1"/>
    <col min="22" max="22" width="8.62962962962963" style="66" customWidth="1"/>
    <col min="23" max="25" width="8.62962962962963" style="67" customWidth="1"/>
    <col min="26" max="26" width="10.1296296296296" style="67" customWidth="1"/>
    <col min="27" max="43" width="8.62962962962963" style="67" customWidth="1"/>
    <col min="44" max="45" width="8.62962962962963" style="68" customWidth="1"/>
    <col min="46" max="48" width="8.62962962962963" style="67" customWidth="1"/>
    <col min="49" max="49" width="12.1296296296296" style="67" customWidth="1"/>
    <col min="50" max="91" width="8.62962962962963" style="67" customWidth="1"/>
    <col min="92" max="92" width="9.62962962962963" style="69" hidden="1" customWidth="1"/>
    <col min="93" max="93" width="14.5" style="69" hidden="1" customWidth="1"/>
    <col min="94" max="94" width="12" style="69" hidden="1" customWidth="1"/>
    <col min="95" max="95" width="13.1296296296296" style="69" hidden="1" customWidth="1"/>
    <col min="96" max="98" width="15.3796296296296" style="69" hidden="1" customWidth="1"/>
    <col min="99" max="99" width="46" style="70" customWidth="1"/>
    <col min="100" max="104" width="9" style="70"/>
    <col min="105" max="105" width="63" style="70" customWidth="1"/>
    <col min="106" max="119" width="3.62962962962963" style="71" customWidth="1"/>
    <col min="120" max="120" width="14.8796296296296" style="71" customWidth="1"/>
    <col min="121" max="131" width="3.62962962962963" style="71" customWidth="1"/>
    <col min="132" max="132" width="19.8796296296296" style="71" customWidth="1"/>
    <col min="133" max="133" width="9" style="71" customWidth="1"/>
    <col min="134" max="146" width="3.62962962962963" style="71" customWidth="1"/>
    <col min="147" max="147" width="4" style="70" customWidth="1"/>
    <col min="148" max="175" width="3.62962962962963" style="70" customWidth="1"/>
    <col min="176" max="16384" width="9" style="70"/>
  </cols>
  <sheetData>
    <row r="1" spans="6:174">
      <c r="F1" s="72" t="s">
        <v>118</v>
      </c>
      <c r="G1" s="72"/>
      <c r="H1" s="72"/>
      <c r="I1" s="72"/>
      <c r="J1" s="72"/>
      <c r="K1" s="72"/>
      <c r="L1" s="72"/>
      <c r="M1" s="72"/>
      <c r="N1" s="72"/>
      <c r="O1" s="72"/>
      <c r="P1" s="82" t="s">
        <v>119</v>
      </c>
      <c r="Q1" s="85"/>
      <c r="R1" s="85"/>
      <c r="S1" s="83"/>
      <c r="T1" s="86" t="s">
        <v>7</v>
      </c>
      <c r="U1" s="86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3">
        <v>23</v>
      </c>
      <c r="AS1" s="93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70" t="s">
        <v>120</v>
      </c>
      <c r="CR1" s="96" t="s">
        <v>120</v>
      </c>
      <c r="CS1" s="98"/>
      <c r="CT1" s="98"/>
      <c r="DB1" s="80"/>
      <c r="DC1" s="80"/>
      <c r="DD1" s="80"/>
      <c r="DE1" s="80"/>
      <c r="DF1" s="80"/>
      <c r="DG1" s="80"/>
      <c r="DH1" s="80"/>
      <c r="DI1" s="80"/>
      <c r="DJ1" s="80" t="s">
        <v>121</v>
      </c>
      <c r="DK1" s="80" t="s">
        <v>121</v>
      </c>
      <c r="DL1" s="80" t="s">
        <v>121</v>
      </c>
      <c r="DM1" s="80"/>
      <c r="DN1" s="80"/>
      <c r="DO1" s="80" t="s">
        <v>121</v>
      </c>
      <c r="DP1" s="80" t="s">
        <v>121</v>
      </c>
      <c r="DQ1" s="80" t="s">
        <v>121</v>
      </c>
      <c r="DR1" s="80" t="s">
        <v>121</v>
      </c>
      <c r="DS1" s="80" t="s">
        <v>121</v>
      </c>
      <c r="DT1" s="80" t="s">
        <v>121</v>
      </c>
      <c r="DU1" s="80" t="s">
        <v>121</v>
      </c>
      <c r="DV1" s="80" t="s">
        <v>121</v>
      </c>
      <c r="DW1" s="80" t="s">
        <v>121</v>
      </c>
      <c r="DX1" s="80" t="s">
        <v>121</v>
      </c>
      <c r="DY1" s="80" t="s">
        <v>121</v>
      </c>
      <c r="DZ1" s="80" t="s">
        <v>121</v>
      </c>
      <c r="EA1" s="80"/>
      <c r="EB1" s="80"/>
      <c r="EC1" s="80"/>
      <c r="ED1" s="80"/>
      <c r="EE1" s="80"/>
      <c r="EF1" s="80" t="s">
        <v>121</v>
      </c>
      <c r="EG1" s="80" t="s">
        <v>121</v>
      </c>
      <c r="EH1" s="80" t="s">
        <v>121</v>
      </c>
      <c r="FJ1" s="70" t="s">
        <v>121</v>
      </c>
      <c r="FK1" s="70" t="s">
        <v>121</v>
      </c>
      <c r="FL1" s="70" t="s">
        <v>121</v>
      </c>
      <c r="FM1" s="70" t="s">
        <v>121</v>
      </c>
      <c r="FN1" s="70" t="s">
        <v>121</v>
      </c>
      <c r="FO1" s="70" t="s">
        <v>121</v>
      </c>
      <c r="FP1" s="70" t="s">
        <v>121</v>
      </c>
      <c r="FQ1" s="70" t="s">
        <v>121</v>
      </c>
      <c r="FR1" s="70" t="s">
        <v>121</v>
      </c>
    </row>
    <row r="2" ht="14.4" spans="2:175">
      <c r="B2" s="61" t="s">
        <v>122</v>
      </c>
      <c r="D2" s="61" t="s">
        <v>123</v>
      </c>
      <c r="E2" s="61" t="s">
        <v>124</v>
      </c>
      <c r="F2" s="62" t="s">
        <v>125</v>
      </c>
      <c r="G2" s="62" t="s">
        <v>126</v>
      </c>
      <c r="H2" s="62" t="s">
        <v>127</v>
      </c>
      <c r="I2" s="62" t="s">
        <v>128</v>
      </c>
      <c r="J2" s="62" t="s">
        <v>129</v>
      </c>
      <c r="K2" s="62" t="s">
        <v>130</v>
      </c>
      <c r="L2" s="62" t="s">
        <v>131</v>
      </c>
      <c r="M2" s="62" t="s">
        <v>132</v>
      </c>
      <c r="N2" s="62" t="s">
        <v>133</v>
      </c>
      <c r="O2" s="62" t="s">
        <v>134</v>
      </c>
      <c r="P2" s="83" t="s">
        <v>125</v>
      </c>
      <c r="Q2" s="83" t="s">
        <v>135</v>
      </c>
      <c r="R2" s="83" t="s">
        <v>136</v>
      </c>
      <c r="S2" s="83" t="s">
        <v>137</v>
      </c>
      <c r="T2" s="87" t="s">
        <v>138</v>
      </c>
      <c r="U2" s="65" t="s">
        <v>139</v>
      </c>
      <c r="V2" s="80" t="s">
        <v>140</v>
      </c>
      <c r="W2" s="80" t="s">
        <v>141</v>
      </c>
      <c r="X2" s="80" t="s">
        <v>142</v>
      </c>
      <c r="Y2" s="80" t="s">
        <v>143</v>
      </c>
      <c r="Z2" s="80" t="s">
        <v>23</v>
      </c>
      <c r="AA2" s="80" t="s">
        <v>144</v>
      </c>
      <c r="AB2" s="80" t="s">
        <v>145</v>
      </c>
      <c r="AC2" s="80" t="s">
        <v>146</v>
      </c>
      <c r="AD2" s="80" t="s">
        <v>147</v>
      </c>
      <c r="AE2" s="80" t="s">
        <v>148</v>
      </c>
      <c r="AF2" s="80" t="s">
        <v>149</v>
      </c>
      <c r="AG2" s="80" t="s">
        <v>150</v>
      </c>
      <c r="AH2" s="80" t="s">
        <v>151</v>
      </c>
      <c r="AI2" s="80" t="s">
        <v>152</v>
      </c>
      <c r="AJ2" s="80" t="s">
        <v>150</v>
      </c>
      <c r="AK2" s="80" t="s">
        <v>153</v>
      </c>
      <c r="AL2" s="80" t="s">
        <v>154</v>
      </c>
      <c r="AM2" s="80" t="s">
        <v>155</v>
      </c>
      <c r="AN2" s="80" t="s">
        <v>156</v>
      </c>
      <c r="AO2" s="80" t="s">
        <v>157</v>
      </c>
      <c r="AP2" s="80" t="s">
        <v>158</v>
      </c>
      <c r="AQ2" s="80" t="s">
        <v>159</v>
      </c>
      <c r="AR2" s="93" t="s">
        <v>160</v>
      </c>
      <c r="AS2" s="93" t="s">
        <v>161</v>
      </c>
      <c r="AT2" s="80" t="s">
        <v>162</v>
      </c>
      <c r="AU2" s="80" t="s">
        <v>163</v>
      </c>
      <c r="AV2" s="80" t="s">
        <v>164</v>
      </c>
      <c r="AW2" s="80" t="s">
        <v>165</v>
      </c>
      <c r="AX2" s="80" t="s">
        <v>166</v>
      </c>
      <c r="AY2" s="80"/>
      <c r="AZ2" s="80" t="s">
        <v>167</v>
      </c>
      <c r="BA2" s="80" t="s">
        <v>168</v>
      </c>
      <c r="BB2" s="80" t="s">
        <v>169</v>
      </c>
      <c r="BC2" s="80" t="s">
        <v>170</v>
      </c>
      <c r="BD2" s="80" t="s">
        <v>171</v>
      </c>
      <c r="BE2" s="80"/>
      <c r="BF2" s="80"/>
      <c r="BG2" s="80"/>
      <c r="BH2" s="80"/>
      <c r="BI2" s="80" t="s">
        <v>172</v>
      </c>
      <c r="BJ2" s="80" t="s">
        <v>173</v>
      </c>
      <c r="BK2" s="80"/>
      <c r="BL2" s="80" t="s">
        <v>174</v>
      </c>
      <c r="BM2" s="80" t="s">
        <v>175</v>
      </c>
      <c r="BN2" s="80" t="s">
        <v>176</v>
      </c>
      <c r="BO2" s="80" t="s">
        <v>177</v>
      </c>
      <c r="BP2" s="80" t="s">
        <v>178</v>
      </c>
      <c r="BQ2" s="80" t="s">
        <v>179</v>
      </c>
      <c r="BR2" s="80" t="s">
        <v>180</v>
      </c>
      <c r="BS2" s="80" t="s">
        <v>181</v>
      </c>
      <c r="BT2" s="80" t="s">
        <v>182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69" t="s">
        <v>183</v>
      </c>
      <c r="CO2" s="69" t="s">
        <v>184</v>
      </c>
      <c r="CP2" s="69" t="s">
        <v>185</v>
      </c>
      <c r="CQ2" s="69" t="s">
        <v>186</v>
      </c>
      <c r="CR2" s="69" t="s">
        <v>187</v>
      </c>
      <c r="CS2" s="69" t="s">
        <v>188</v>
      </c>
      <c r="CT2" s="69" t="s">
        <v>189</v>
      </c>
      <c r="DB2" s="100" t="str">
        <f>V2</f>
        <v>攻击</v>
      </c>
      <c r="DC2" s="100" t="str">
        <f t="shared" ref="DC2:FN2" si="0">W2</f>
        <v>业力</v>
      </c>
      <c r="DD2" s="100" t="str">
        <f t="shared" si="0"/>
        <v>护甲</v>
      </c>
      <c r="DE2" s="100" t="str">
        <f t="shared" si="0"/>
        <v>法抗</v>
      </c>
      <c r="DF2" s="100" t="str">
        <f t="shared" si="0"/>
        <v>生命值</v>
      </c>
      <c r="DG2" s="100" t="str">
        <f t="shared" si="0"/>
        <v>魔法值</v>
      </c>
      <c r="DH2" s="100" t="str">
        <f t="shared" si="0"/>
        <v>生命回复</v>
      </c>
      <c r="DI2" s="100" t="str">
        <f t="shared" si="0"/>
        <v>魔法回复</v>
      </c>
      <c r="DJ2" s="100" t="str">
        <f t="shared" si="0"/>
        <v>攻速</v>
      </c>
      <c r="DK2" s="100" t="str">
        <f t="shared" si="0"/>
        <v>闪避</v>
      </c>
      <c r="DL2" s="100" t="str">
        <f t="shared" si="0"/>
        <v>免伤</v>
      </c>
      <c r="DM2" s="100" t="str">
        <f t="shared" si="0"/>
        <v>攻击伤害</v>
      </c>
      <c r="DN2" s="100" t="str">
        <f t="shared" si="0"/>
        <v>物理穿透</v>
      </c>
      <c r="DO2" s="100" t="str">
        <f t="shared" si="0"/>
        <v>法术穿透</v>
      </c>
      <c r="DP2" s="100" t="str">
        <f t="shared" si="0"/>
        <v>攻击伤害</v>
      </c>
      <c r="DQ2" s="100" t="str">
        <f t="shared" si="0"/>
        <v>技能伤害</v>
      </c>
      <c r="DR2" s="100" t="str">
        <f t="shared" si="0"/>
        <v>伤害加成</v>
      </c>
      <c r="DS2" s="100" t="str">
        <f t="shared" si="0"/>
        <v>伤害减免</v>
      </c>
      <c r="DT2" s="100" t="str">
        <f t="shared" si="0"/>
        <v>暴击</v>
      </c>
      <c r="DU2" s="100" t="str">
        <f t="shared" si="0"/>
        <v>暴伤</v>
      </c>
      <c r="DV2" s="100" t="str">
        <f t="shared" si="0"/>
        <v>吸血</v>
      </c>
      <c r="DW2" s="100" t="str">
        <f t="shared" si="0"/>
        <v>分裂</v>
      </c>
      <c r="DX2" s="100" t="str">
        <f t="shared" si="0"/>
        <v>致命概率</v>
      </c>
      <c r="DY2" s="100" t="str">
        <f t="shared" si="0"/>
        <v>致命倍率</v>
      </c>
      <c r="DZ2" s="100" t="str">
        <f t="shared" si="0"/>
        <v>冷却缩减</v>
      </c>
      <c r="EA2" s="100" t="str">
        <f t="shared" si="0"/>
        <v>冷却降低</v>
      </c>
      <c r="EB2" s="100" t="str">
        <f t="shared" si="0"/>
        <v>触发概率</v>
      </c>
      <c r="EC2" s="100" t="str">
        <f t="shared" si="0"/>
        <v>生命恢复%</v>
      </c>
      <c r="ED2" s="100" t="str">
        <f t="shared" si="0"/>
        <v>魔法恢复%</v>
      </c>
      <c r="EE2" s="100">
        <f t="shared" si="0"/>
        <v>0</v>
      </c>
      <c r="EF2" s="100" t="str">
        <f t="shared" si="0"/>
        <v>生命%</v>
      </c>
      <c r="EG2" s="100" t="str">
        <f t="shared" si="0"/>
        <v>攻击%</v>
      </c>
      <c r="EH2" s="100" t="s">
        <v>141</v>
      </c>
      <c r="EI2" s="100" t="str">
        <f t="shared" si="0"/>
        <v>攻速-%</v>
      </c>
      <c r="EJ2" s="100" t="str">
        <f t="shared" si="0"/>
        <v>冷却-%</v>
      </c>
      <c r="EK2" s="100">
        <f t="shared" si="0"/>
        <v>0</v>
      </c>
      <c r="EL2" s="100">
        <f t="shared" si="0"/>
        <v>0</v>
      </c>
      <c r="EM2" s="100">
        <f t="shared" si="0"/>
        <v>0</v>
      </c>
      <c r="EN2" s="100">
        <f t="shared" si="0"/>
        <v>0</v>
      </c>
      <c r="EO2" s="100" t="str">
        <f t="shared" si="0"/>
        <v>元神力</v>
      </c>
      <c r="EP2" s="100" t="str">
        <f t="shared" si="0"/>
        <v>金币加成</v>
      </c>
      <c r="EQ2" s="100">
        <f t="shared" si="0"/>
        <v>0</v>
      </c>
      <c r="ER2" s="100" t="str">
        <f t="shared" si="0"/>
        <v>杀敌攻击</v>
      </c>
      <c r="ES2" s="100" t="str">
        <f t="shared" si="0"/>
        <v>杀敌业力</v>
      </c>
      <c r="ET2" s="100" t="str">
        <f t="shared" si="0"/>
        <v>杀敌生命</v>
      </c>
      <c r="EU2" s="100" t="str">
        <f t="shared" si="0"/>
        <v>杀敌金币</v>
      </c>
      <c r="EV2" s="100" t="str">
        <f t="shared" si="0"/>
        <v>每秒攻击</v>
      </c>
      <c r="EW2" s="100" t="str">
        <f t="shared" si="0"/>
        <v>每秒业力</v>
      </c>
      <c r="EX2" s="100" t="str">
        <f t="shared" si="0"/>
        <v>每秒生命</v>
      </c>
      <c r="EY2" s="100" t="str">
        <f t="shared" si="0"/>
        <v>每秒金币</v>
      </c>
      <c r="EZ2" s="100" t="str">
        <f t="shared" si="0"/>
        <v>攻击距离</v>
      </c>
      <c r="FA2" s="100">
        <f t="shared" si="0"/>
        <v>0</v>
      </c>
      <c r="FB2" s="100">
        <f t="shared" si="0"/>
        <v>0</v>
      </c>
      <c r="FC2" s="100">
        <f t="shared" si="0"/>
        <v>0</v>
      </c>
      <c r="FD2" s="100">
        <f t="shared" si="0"/>
        <v>0</v>
      </c>
      <c r="FE2" s="100">
        <f t="shared" si="0"/>
        <v>0</v>
      </c>
      <c r="FF2" s="100">
        <f t="shared" si="0"/>
        <v>0</v>
      </c>
      <c r="FG2" s="100">
        <f t="shared" si="0"/>
        <v>0</v>
      </c>
      <c r="FH2" s="100">
        <f t="shared" si="0"/>
        <v>0</v>
      </c>
      <c r="FI2" s="100">
        <f t="shared" si="0"/>
        <v>0</v>
      </c>
      <c r="FJ2" s="100">
        <f t="shared" si="0"/>
        <v>0</v>
      </c>
      <c r="FK2" s="100">
        <f t="shared" si="0"/>
        <v>0</v>
      </c>
      <c r="FL2" s="100">
        <f t="shared" si="0"/>
        <v>0</v>
      </c>
      <c r="FM2" s="100">
        <f t="shared" si="0"/>
        <v>0</v>
      </c>
      <c r="FN2" s="100">
        <f t="shared" si="0"/>
        <v>0</v>
      </c>
      <c r="FO2" s="100">
        <f t="shared" ref="FO2:FS2" si="1">CI2</f>
        <v>0</v>
      </c>
      <c r="FP2" s="100">
        <f t="shared" si="1"/>
        <v>0</v>
      </c>
      <c r="FQ2" s="100">
        <f t="shared" si="1"/>
        <v>0</v>
      </c>
      <c r="FR2" s="100">
        <f t="shared" si="1"/>
        <v>0</v>
      </c>
      <c r="FS2" s="100">
        <f t="shared" si="1"/>
        <v>0</v>
      </c>
    </row>
    <row r="3" s="60" customFormat="1" ht="15" spans="1:175">
      <c r="A3" s="73"/>
      <c r="B3" s="74" t="s">
        <v>190</v>
      </c>
      <c r="C3" s="73" t="s">
        <v>191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4"/>
      <c r="Q3" s="84"/>
      <c r="R3" s="84"/>
      <c r="S3" s="84"/>
      <c r="T3" s="88" t="s">
        <v>192</v>
      </c>
      <c r="U3" s="89" t="s">
        <v>193</v>
      </c>
      <c r="V3" s="19">
        <v>1000</v>
      </c>
      <c r="W3" s="90"/>
      <c r="X3" s="90"/>
      <c r="Y3" s="90"/>
      <c r="Z3" s="90"/>
      <c r="AA3" s="90"/>
      <c r="AB3" s="90"/>
      <c r="AC3" s="90"/>
      <c r="AD3" s="70"/>
      <c r="AE3" s="90"/>
      <c r="AF3" s="90"/>
      <c r="AG3" s="92"/>
      <c r="AH3" s="90"/>
      <c r="AI3" s="90"/>
      <c r="AJ3" s="90"/>
      <c r="AK3" s="90"/>
      <c r="AL3" s="92"/>
      <c r="AM3" s="90"/>
      <c r="AN3" s="90"/>
      <c r="AO3" s="90"/>
      <c r="AP3" s="94"/>
      <c r="AQ3" s="94"/>
      <c r="AR3" s="95"/>
      <c r="AS3" s="95"/>
      <c r="AT3" s="94"/>
      <c r="AU3" s="94"/>
      <c r="AV3" s="94"/>
      <c r="AW3" s="94"/>
      <c r="AX3" s="94"/>
      <c r="AY3" s="94"/>
      <c r="AZ3" s="94"/>
      <c r="BA3" s="94"/>
      <c r="BB3" s="94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4"/>
      <c r="CF3" s="94"/>
      <c r="CG3" s="94"/>
      <c r="CH3" s="94"/>
      <c r="CI3" s="94"/>
      <c r="CJ3" s="94"/>
      <c r="CK3" s="94"/>
      <c r="CL3" s="94"/>
      <c r="CM3" s="94"/>
      <c r="CN3" s="97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7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7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7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7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7"/>
      <c r="CT3" s="97"/>
      <c r="CU3" s="99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="60" customFormat="1" ht="15" spans="1:175">
      <c r="A4" s="73"/>
      <c r="B4" s="74" t="s">
        <v>194</v>
      </c>
      <c r="C4" s="73" t="s">
        <v>195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4"/>
      <c r="Q4" s="84"/>
      <c r="R4" s="84"/>
      <c r="S4" s="84"/>
      <c r="T4" s="88" t="s">
        <v>192</v>
      </c>
      <c r="U4" s="89" t="s">
        <v>193</v>
      </c>
      <c r="V4" s="19">
        <v>2000</v>
      </c>
      <c r="W4" s="90"/>
      <c r="X4" s="90"/>
      <c r="Y4" s="90"/>
      <c r="Z4" s="90"/>
      <c r="AA4" s="90"/>
      <c r="AB4" s="90"/>
      <c r="AC4" s="90"/>
      <c r="AD4" s="70"/>
      <c r="AE4" s="90"/>
      <c r="AF4" s="90"/>
      <c r="AG4" s="92"/>
      <c r="AH4" s="90"/>
      <c r="AI4" s="90"/>
      <c r="AJ4" s="90"/>
      <c r="AK4" s="90"/>
      <c r="AL4" s="92"/>
      <c r="AM4" s="90"/>
      <c r="AN4" s="90"/>
      <c r="AO4" s="90"/>
      <c r="AP4" s="94"/>
      <c r="AQ4" s="94"/>
      <c r="AR4" s="95"/>
      <c r="AS4" s="95"/>
      <c r="AT4" s="94"/>
      <c r="AU4" s="94"/>
      <c r="AV4" s="94"/>
      <c r="AW4" s="94"/>
      <c r="AX4" s="94"/>
      <c r="AY4" s="94"/>
      <c r="AZ4" s="94"/>
      <c r="BA4" s="94"/>
      <c r="BB4" s="94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4"/>
      <c r="CF4" s="94"/>
      <c r="CG4" s="94"/>
      <c r="CH4" s="94"/>
      <c r="CI4" s="94"/>
      <c r="CJ4" s="94"/>
      <c r="CK4" s="94"/>
      <c r="CL4" s="94"/>
      <c r="CM4" s="94"/>
      <c r="CN4" s="97" t="str">
        <f t="shared" si="2"/>
        <v>InitUnitState('E002',2000,,,,,,,,,)</v>
      </c>
      <c r="CO4" s="97" t="str">
        <f t="shared" si="3"/>
        <v>InitUnitNormal('E002',,,,,,,,,,)</v>
      </c>
      <c r="CP4" s="97" t="str">
        <f t="shared" si="4"/>
        <v>InitUnitMagic('E002',,,,,,,,,,)</v>
      </c>
      <c r="CQ4" s="97" t="str">
        <f t="shared" si="5"/>
        <v>InitUnitAdd('E002',,,,,,,,,,)</v>
      </c>
      <c r="CR4" s="97" t="str">
        <f t="shared" si="6"/>
        <v>InitEquipData('E002',,"",,E003,800,100,'','','','','','',"ReplaceableTextures\\CommandButtons\\BTNZ01.blp")</v>
      </c>
      <c r="CS4" s="97"/>
      <c r="CT4" s="97"/>
      <c r="CU4" s="99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="60" customFormat="1" ht="15" spans="1:175">
      <c r="A5" s="73"/>
      <c r="B5" s="74" t="s">
        <v>196</v>
      </c>
      <c r="C5" s="73" t="s">
        <v>197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4"/>
      <c r="Q5" s="84"/>
      <c r="R5" s="84"/>
      <c r="S5" s="84"/>
      <c r="T5" s="88" t="s">
        <v>192</v>
      </c>
      <c r="U5" s="89" t="s">
        <v>193</v>
      </c>
      <c r="V5" s="19">
        <v>3000</v>
      </c>
      <c r="W5" s="90"/>
      <c r="X5" s="90"/>
      <c r="Y5" s="90"/>
      <c r="Z5" s="90"/>
      <c r="AA5" s="90"/>
      <c r="AB5" s="90"/>
      <c r="AC5" s="90"/>
      <c r="AD5" s="70"/>
      <c r="AE5" s="90"/>
      <c r="AF5" s="90"/>
      <c r="AG5" s="92"/>
      <c r="AH5" s="90"/>
      <c r="AI5" s="90"/>
      <c r="AJ5" s="90"/>
      <c r="AK5" s="90"/>
      <c r="AL5" s="92"/>
      <c r="AM5" s="90"/>
      <c r="AN5" s="90"/>
      <c r="AO5" s="90"/>
      <c r="AP5" s="94"/>
      <c r="AQ5" s="94"/>
      <c r="AR5" s="95"/>
      <c r="AS5" s="95"/>
      <c r="AT5" s="94"/>
      <c r="AU5" s="94"/>
      <c r="AV5" s="94"/>
      <c r="AW5" s="94"/>
      <c r="AX5" s="94"/>
      <c r="AY5" s="94"/>
      <c r="AZ5" s="94"/>
      <c r="BA5" s="94"/>
      <c r="BB5" s="94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4"/>
      <c r="CF5" s="94"/>
      <c r="CG5" s="94"/>
      <c r="CH5" s="94"/>
      <c r="CI5" s="94"/>
      <c r="CJ5" s="94"/>
      <c r="CK5" s="94"/>
      <c r="CL5" s="94"/>
      <c r="CM5" s="94"/>
      <c r="CN5" s="97" t="str">
        <f t="shared" si="2"/>
        <v>InitUnitState('E003',3000,,,,,,,,,)</v>
      </c>
      <c r="CO5" s="97" t="str">
        <f t="shared" si="3"/>
        <v>InitUnitNormal('E003',,,,,,,,,,)</v>
      </c>
      <c r="CP5" s="97" t="str">
        <f t="shared" si="4"/>
        <v>InitUnitMagic('E003',,,,,,,,,,)</v>
      </c>
      <c r="CQ5" s="97" t="str">
        <f t="shared" si="5"/>
        <v>InitUnitAdd('E003',,,,,,,,,,)</v>
      </c>
      <c r="CR5" s="97" t="str">
        <f t="shared" si="6"/>
        <v>InitEquipData('E003',,"",,E004,800,100,'','','','','','',"ReplaceableTextures\\CommandButtons\\BTNZ01.blp")</v>
      </c>
      <c r="CS5" s="97"/>
      <c r="CT5" s="97"/>
      <c r="CU5" s="99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="60" customFormat="1" ht="15" spans="1:175">
      <c r="A6" s="73"/>
      <c r="B6" s="74" t="s">
        <v>198</v>
      </c>
      <c r="C6" s="73" t="s">
        <v>199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4"/>
      <c r="Q6" s="84"/>
      <c r="R6" s="84"/>
      <c r="S6" s="84"/>
      <c r="T6" s="88" t="s">
        <v>192</v>
      </c>
      <c r="U6" s="89" t="s">
        <v>193</v>
      </c>
      <c r="V6" s="19">
        <v>4000</v>
      </c>
      <c r="W6" s="90"/>
      <c r="X6" s="90"/>
      <c r="Y6" s="90"/>
      <c r="Z6" s="90"/>
      <c r="AA6" s="90"/>
      <c r="AB6" s="90"/>
      <c r="AC6" s="90"/>
      <c r="AD6" s="70"/>
      <c r="AE6" s="90"/>
      <c r="AF6" s="90"/>
      <c r="AG6" s="92"/>
      <c r="AH6" s="90"/>
      <c r="AI6" s="90"/>
      <c r="AJ6" s="90"/>
      <c r="AK6" s="90"/>
      <c r="AL6" s="92"/>
      <c r="AM6" s="90"/>
      <c r="AN6" s="90"/>
      <c r="AO6" s="90"/>
      <c r="AP6" s="94"/>
      <c r="AQ6" s="94"/>
      <c r="AR6" s="95"/>
      <c r="AS6" s="95"/>
      <c r="AT6" s="94"/>
      <c r="AU6" s="94"/>
      <c r="AV6" s="94"/>
      <c r="AW6" s="94"/>
      <c r="AX6" s="94"/>
      <c r="AY6" s="94"/>
      <c r="AZ6" s="94"/>
      <c r="BA6" s="94"/>
      <c r="BB6" s="94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4"/>
      <c r="CF6" s="94"/>
      <c r="CG6" s="94"/>
      <c r="CH6" s="94"/>
      <c r="CI6" s="94"/>
      <c r="CJ6" s="94"/>
      <c r="CK6" s="94"/>
      <c r="CL6" s="94"/>
      <c r="CM6" s="94"/>
      <c r="CN6" s="97" t="str">
        <f t="shared" si="2"/>
        <v>InitUnitState('E004',4000,,,,,,,,,)</v>
      </c>
      <c r="CO6" s="97" t="str">
        <f t="shared" si="3"/>
        <v>InitUnitNormal('E004',,,,,,,,,,)</v>
      </c>
      <c r="CP6" s="97" t="str">
        <f t="shared" si="4"/>
        <v>InitUnitMagic('E004',,,,,,,,,,)</v>
      </c>
      <c r="CQ6" s="97" t="str">
        <f t="shared" si="5"/>
        <v>InitUnitAdd('E004',,,,,,,,,,)</v>
      </c>
      <c r="CR6" s="97" t="str">
        <f t="shared" si="6"/>
        <v>InitEquipData('E004',,"",,E005,800,100,'','','','','','',"ReplaceableTextures\\CommandButtons\\BTNZ01.blp")</v>
      </c>
      <c r="CS6" s="97"/>
      <c r="CT6" s="97"/>
      <c r="CU6" s="99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="60" customFormat="1" ht="15" spans="1:175">
      <c r="A7" s="73"/>
      <c r="B7" s="74" t="s">
        <v>200</v>
      </c>
      <c r="C7" s="73" t="s">
        <v>201</v>
      </c>
      <c r="D7" s="75"/>
      <c r="E7" s="76"/>
      <c r="F7" s="77">
        <v>2500</v>
      </c>
      <c r="G7" s="78">
        <v>100</v>
      </c>
      <c r="H7" s="79" t="s">
        <v>202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4"/>
      <c r="Q7" s="84"/>
      <c r="R7" s="84"/>
      <c r="S7" s="84"/>
      <c r="T7" s="88" t="s">
        <v>192</v>
      </c>
      <c r="U7" s="89" t="s">
        <v>193</v>
      </c>
      <c r="V7" s="19">
        <v>5000</v>
      </c>
      <c r="W7" s="90"/>
      <c r="X7" s="90"/>
      <c r="Y7" s="90"/>
      <c r="Z7" s="90"/>
      <c r="AA7" s="90"/>
      <c r="AB7" s="90"/>
      <c r="AC7" s="90"/>
      <c r="AD7" s="70"/>
      <c r="AE7" s="90"/>
      <c r="AF7" s="90"/>
      <c r="AG7" s="92"/>
      <c r="AH7" s="90"/>
      <c r="AI7" s="90"/>
      <c r="AJ7" s="90"/>
      <c r="AK7" s="90"/>
      <c r="AL7" s="92"/>
      <c r="AM7" s="90"/>
      <c r="AN7" s="90"/>
      <c r="AO7" s="90"/>
      <c r="AP7" s="94"/>
      <c r="AQ7" s="94"/>
      <c r="AR7" s="95"/>
      <c r="AS7" s="95"/>
      <c r="AT7" s="94"/>
      <c r="AU7" s="94"/>
      <c r="AV7" s="94"/>
      <c r="AW7" s="94"/>
      <c r="AX7" s="94"/>
      <c r="AY7" s="94"/>
      <c r="AZ7" s="94"/>
      <c r="BA7" s="94"/>
      <c r="BB7" s="94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4"/>
      <c r="CF7" s="94"/>
      <c r="CG7" s="94"/>
      <c r="CH7" s="94"/>
      <c r="CI7" s="94"/>
      <c r="CJ7" s="94"/>
      <c r="CK7" s="94"/>
      <c r="CL7" s="94"/>
      <c r="CM7" s="94"/>
      <c r="CN7" s="97" t="str">
        <f t="shared" si="2"/>
        <v>InitUnitState('E005',5000,,,,,,,,,)</v>
      </c>
      <c r="CO7" s="97" t="str">
        <f t="shared" si="3"/>
        <v>InitUnitNormal('E005',,,,,,,,,,)</v>
      </c>
      <c r="CP7" s="97" t="str">
        <f t="shared" si="4"/>
        <v>InitUnitMagic('E005',,,,,,,,,,)</v>
      </c>
      <c r="CQ7" s="97" t="str">
        <f t="shared" si="5"/>
        <v>InitUnitAdd('E005',,,,,,,,,,)</v>
      </c>
      <c r="CR7" s="97" t="str">
        <f t="shared" si="6"/>
        <v>InitEquipData('E005',,"",,E006,2500,100,'','','','','','',"ReplaceableTextures\\CommandButtons\\BTNZ02.blp")</v>
      </c>
      <c r="CS7" s="97"/>
      <c r="CT7" s="97"/>
      <c r="CU7" s="99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="60" customFormat="1" ht="15" spans="1:175">
      <c r="A8" s="73"/>
      <c r="B8" s="74" t="s">
        <v>203</v>
      </c>
      <c r="C8" s="73" t="s">
        <v>204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4"/>
      <c r="Q8" s="84"/>
      <c r="R8" s="84"/>
      <c r="S8" s="84"/>
      <c r="T8" s="88" t="s">
        <v>192</v>
      </c>
      <c r="U8" s="89" t="s">
        <v>205</v>
      </c>
      <c r="V8" s="19">
        <v>8000</v>
      </c>
      <c r="W8" s="90"/>
      <c r="X8" s="90"/>
      <c r="Y8" s="90"/>
      <c r="Z8" s="90"/>
      <c r="AA8" s="90"/>
      <c r="AB8" s="90"/>
      <c r="AC8" s="90"/>
      <c r="AD8" s="90">
        <v>20</v>
      </c>
      <c r="AE8" s="90"/>
      <c r="AF8" s="90"/>
      <c r="AG8" s="92"/>
      <c r="AH8" s="90"/>
      <c r="AI8" s="90"/>
      <c r="AJ8" s="90"/>
      <c r="AK8" s="90"/>
      <c r="AL8" s="92"/>
      <c r="AM8" s="90"/>
      <c r="AN8" s="90"/>
      <c r="AO8" s="90"/>
      <c r="AP8" s="94">
        <v>4</v>
      </c>
      <c r="AQ8" s="94"/>
      <c r="AR8" s="95"/>
      <c r="AS8" s="95"/>
      <c r="AT8" s="94"/>
      <c r="AU8" s="94"/>
      <c r="AV8" s="94"/>
      <c r="AW8" s="94"/>
      <c r="AX8" s="94"/>
      <c r="AY8" s="94"/>
      <c r="AZ8" s="94"/>
      <c r="BA8" s="94"/>
      <c r="BB8" s="94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4"/>
      <c r="CF8" s="94"/>
      <c r="CG8" s="94"/>
      <c r="CH8" s="94"/>
      <c r="CI8" s="94"/>
      <c r="CJ8" s="94"/>
      <c r="CK8" s="94"/>
      <c r="CL8" s="94"/>
      <c r="CM8" s="94"/>
      <c r="CN8" s="97" t="str">
        <f t="shared" si="2"/>
        <v>InitUnitState('E006',8000,,,,,,,,20,)</v>
      </c>
      <c r="CO8" s="97" t="str">
        <f t="shared" si="3"/>
        <v>InitUnitNormal('E006',,,,,,,,,,)</v>
      </c>
      <c r="CP8" s="97" t="str">
        <f t="shared" si="4"/>
        <v>InitUnitMagic('E006',4,,,,,,,,,)</v>
      </c>
      <c r="CQ8" s="97" t="str">
        <f t="shared" si="5"/>
        <v>InitUnitAdd('E006',,,,,,,,,,)</v>
      </c>
      <c r="CR8" s="97" t="str">
        <f t="shared" si="6"/>
        <v>InitEquipData('E006',,"",,E007,2500,85,'','','','','','',"ReplaceableTextures\\CommandButtons\\BTNZ02.blp")</v>
      </c>
      <c r="CS8" s="97"/>
      <c r="CT8" s="97"/>
      <c r="CU8" s="99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="60" customFormat="1" ht="15" spans="1:175">
      <c r="A9" s="73"/>
      <c r="B9" s="74" t="s">
        <v>206</v>
      </c>
      <c r="C9" s="73" t="s">
        <v>207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4"/>
      <c r="Q9" s="84"/>
      <c r="R9" s="84"/>
      <c r="S9" s="84"/>
      <c r="T9" s="88" t="s">
        <v>192</v>
      </c>
      <c r="U9" s="89" t="s">
        <v>205</v>
      </c>
      <c r="V9" s="19">
        <v>10000</v>
      </c>
      <c r="W9" s="90"/>
      <c r="X9" s="90"/>
      <c r="Y9" s="90"/>
      <c r="Z9" s="90"/>
      <c r="AA9" s="90"/>
      <c r="AB9" s="90"/>
      <c r="AC9" s="90"/>
      <c r="AD9" s="90">
        <v>20</v>
      </c>
      <c r="AE9" s="90"/>
      <c r="AF9" s="90"/>
      <c r="AG9" s="92"/>
      <c r="AH9" s="90"/>
      <c r="AI9" s="90"/>
      <c r="AJ9" s="90"/>
      <c r="AK9" s="90"/>
      <c r="AL9" s="92"/>
      <c r="AM9" s="90"/>
      <c r="AN9" s="90"/>
      <c r="AO9" s="90"/>
      <c r="AP9" s="94">
        <v>4</v>
      </c>
      <c r="AQ9" s="94"/>
      <c r="AR9" s="95"/>
      <c r="AS9" s="95"/>
      <c r="AT9" s="94"/>
      <c r="AU9" s="94"/>
      <c r="AV9" s="94"/>
      <c r="AW9" s="94"/>
      <c r="AX9" s="94"/>
      <c r="AY9" s="94"/>
      <c r="AZ9" s="94"/>
      <c r="BA9" s="94"/>
      <c r="BB9" s="94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4"/>
      <c r="CF9" s="94"/>
      <c r="CG9" s="94"/>
      <c r="CH9" s="94"/>
      <c r="CI9" s="94"/>
      <c r="CJ9" s="94"/>
      <c r="CK9" s="94"/>
      <c r="CL9" s="94"/>
      <c r="CM9" s="94"/>
      <c r="CN9" s="97" t="str">
        <f t="shared" si="2"/>
        <v>InitUnitState('E007',10000,,,,,,,,20,)</v>
      </c>
      <c r="CO9" s="97" t="str">
        <f t="shared" si="3"/>
        <v>InitUnitNormal('E007',,,,,,,,,,)</v>
      </c>
      <c r="CP9" s="97" t="str">
        <f t="shared" si="4"/>
        <v>InitUnitMagic('E007',4,,,,,,,,,)</v>
      </c>
      <c r="CQ9" s="97" t="str">
        <f t="shared" si="5"/>
        <v>InitUnitAdd('E007',,,,,,,,,,)</v>
      </c>
      <c r="CR9" s="97" t="str">
        <f t="shared" si="6"/>
        <v>InitEquipData('E007',,"",,E008,2500,85,'','','','','','',"ReplaceableTextures\\CommandButtons\\BTNZ02.blp")</v>
      </c>
      <c r="CS9" s="97"/>
      <c r="CT9" s="97"/>
      <c r="CU9" s="99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="60" customFormat="1" ht="15" spans="1:175">
      <c r="A10" s="73"/>
      <c r="B10" s="74" t="s">
        <v>208</v>
      </c>
      <c r="C10" s="73" t="s">
        <v>209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4"/>
      <c r="Q10" s="84"/>
      <c r="R10" s="84"/>
      <c r="S10" s="84"/>
      <c r="T10" s="88" t="s">
        <v>192</v>
      </c>
      <c r="U10" s="89" t="s">
        <v>205</v>
      </c>
      <c r="V10" s="19">
        <v>12000</v>
      </c>
      <c r="W10" s="90"/>
      <c r="X10" s="90"/>
      <c r="Y10" s="90"/>
      <c r="Z10" s="90"/>
      <c r="AA10" s="90"/>
      <c r="AB10" s="90"/>
      <c r="AC10" s="90"/>
      <c r="AD10" s="90">
        <v>20</v>
      </c>
      <c r="AE10" s="90"/>
      <c r="AF10" s="90"/>
      <c r="AG10" s="92"/>
      <c r="AH10" s="90"/>
      <c r="AI10" s="90"/>
      <c r="AJ10" s="90"/>
      <c r="AK10" s="90"/>
      <c r="AL10" s="92"/>
      <c r="AM10" s="90"/>
      <c r="AN10" s="90"/>
      <c r="AO10" s="90"/>
      <c r="AP10" s="94">
        <v>4</v>
      </c>
      <c r="AQ10" s="94"/>
      <c r="AR10" s="95"/>
      <c r="AS10" s="95"/>
      <c r="AT10" s="94"/>
      <c r="AU10" s="94"/>
      <c r="AV10" s="94"/>
      <c r="AW10" s="94"/>
      <c r="AX10" s="94"/>
      <c r="AY10" s="94"/>
      <c r="AZ10" s="94"/>
      <c r="BA10" s="94"/>
      <c r="BB10" s="94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4"/>
      <c r="CF10" s="94"/>
      <c r="CG10" s="94"/>
      <c r="CH10" s="94"/>
      <c r="CI10" s="94"/>
      <c r="CJ10" s="94"/>
      <c r="CK10" s="94"/>
      <c r="CL10" s="94"/>
      <c r="CM10" s="94"/>
      <c r="CN10" s="97" t="str">
        <f t="shared" si="2"/>
        <v>InitUnitState('E008',12000,,,,,,,,20,)</v>
      </c>
      <c r="CO10" s="97" t="str">
        <f t="shared" si="3"/>
        <v>InitUnitNormal('E008',,,,,,,,,,)</v>
      </c>
      <c r="CP10" s="97" t="str">
        <f t="shared" si="4"/>
        <v>InitUnitMagic('E008',4,,,,,,,,,)</v>
      </c>
      <c r="CQ10" s="97" t="str">
        <f t="shared" si="5"/>
        <v>InitUnitAdd('E008',,,,,,,,,,)</v>
      </c>
      <c r="CR10" s="97" t="str">
        <f t="shared" si="6"/>
        <v>InitEquipData('E008',,"",,E009,2500,85,'','','','','','',"ReplaceableTextures\\CommandButtons\\BTNZ02.blp")</v>
      </c>
      <c r="CS10" s="97"/>
      <c r="CT10" s="97"/>
      <c r="CU10" s="99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="60" customFormat="1" ht="15" spans="1:175">
      <c r="A11" s="73"/>
      <c r="B11" s="74" t="s">
        <v>210</v>
      </c>
      <c r="C11" s="73" t="s">
        <v>211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4"/>
      <c r="Q11" s="84"/>
      <c r="R11" s="84"/>
      <c r="S11" s="84"/>
      <c r="T11" s="88" t="s">
        <v>192</v>
      </c>
      <c r="U11" s="89" t="s">
        <v>205</v>
      </c>
      <c r="V11" s="19">
        <v>14000</v>
      </c>
      <c r="W11" s="90"/>
      <c r="X11" s="90"/>
      <c r="Y11" s="90"/>
      <c r="Z11" s="90"/>
      <c r="AA11" s="90"/>
      <c r="AB11" s="90"/>
      <c r="AC11" s="90"/>
      <c r="AD11" s="90">
        <v>20</v>
      </c>
      <c r="AE11" s="90"/>
      <c r="AF11" s="90"/>
      <c r="AG11" s="92"/>
      <c r="AH11" s="90"/>
      <c r="AI11" s="90"/>
      <c r="AJ11" s="90"/>
      <c r="AK11" s="90"/>
      <c r="AL11" s="92"/>
      <c r="AM11" s="90"/>
      <c r="AN11" s="90"/>
      <c r="AO11" s="90"/>
      <c r="AP11" s="94">
        <v>4</v>
      </c>
      <c r="AQ11" s="94"/>
      <c r="AR11" s="95"/>
      <c r="AS11" s="95"/>
      <c r="AT11" s="94"/>
      <c r="AU11" s="94"/>
      <c r="AV11" s="94"/>
      <c r="AW11" s="94"/>
      <c r="AX11" s="94"/>
      <c r="AY11" s="94"/>
      <c r="AZ11" s="94"/>
      <c r="BA11" s="94"/>
      <c r="BB11" s="94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4"/>
      <c r="CF11" s="94"/>
      <c r="CG11" s="94"/>
      <c r="CH11" s="94"/>
      <c r="CI11" s="94"/>
      <c r="CJ11" s="94"/>
      <c r="CK11" s="94"/>
      <c r="CL11" s="94"/>
      <c r="CM11" s="94"/>
      <c r="CN11" s="97" t="str">
        <f t="shared" si="2"/>
        <v>InitUnitState('E009',14000,,,,,,,,20,)</v>
      </c>
      <c r="CO11" s="97" t="str">
        <f t="shared" si="3"/>
        <v>InitUnitNormal('E009',,,,,,,,,,)</v>
      </c>
      <c r="CP11" s="97" t="str">
        <f t="shared" si="4"/>
        <v>InitUnitMagic('E009',4,,,,,,,,,)</v>
      </c>
      <c r="CQ11" s="97" t="str">
        <f t="shared" si="5"/>
        <v>InitUnitAdd('E009',,,,,,,,,,)</v>
      </c>
      <c r="CR11" s="97" t="str">
        <f t="shared" si="6"/>
        <v>InitEquipData('E009',,"",,E010,2500,85,'','','','','','',"ReplaceableTextures\\CommandButtons\\BTNZ02.blp")</v>
      </c>
      <c r="CS11" s="97"/>
      <c r="CT11" s="97"/>
      <c r="CU11" s="99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="60" customFormat="1" ht="15" spans="1:175">
      <c r="A12" s="73"/>
      <c r="B12" s="74" t="s">
        <v>212</v>
      </c>
      <c r="C12" s="73" t="s">
        <v>213</v>
      </c>
      <c r="D12" s="75"/>
      <c r="E12" s="76"/>
      <c r="F12" s="77">
        <v>8000</v>
      </c>
      <c r="G12" s="78">
        <v>100</v>
      </c>
      <c r="H12" s="79" t="s">
        <v>214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4"/>
      <c r="Q12" s="84"/>
      <c r="R12" s="84"/>
      <c r="S12" s="84"/>
      <c r="T12" s="88" t="s">
        <v>192</v>
      </c>
      <c r="U12" s="89" t="s">
        <v>205</v>
      </c>
      <c r="V12" s="19">
        <v>16000</v>
      </c>
      <c r="W12" s="90"/>
      <c r="X12" s="90"/>
      <c r="Y12" s="90"/>
      <c r="Z12" s="90"/>
      <c r="AA12" s="90"/>
      <c r="AB12" s="90"/>
      <c r="AC12" s="90"/>
      <c r="AD12" s="90">
        <v>20</v>
      </c>
      <c r="AE12" s="90"/>
      <c r="AF12" s="90"/>
      <c r="AG12" s="92"/>
      <c r="AH12" s="90"/>
      <c r="AI12" s="90"/>
      <c r="AJ12" s="90"/>
      <c r="AK12" s="90"/>
      <c r="AL12" s="92"/>
      <c r="AM12" s="90"/>
      <c r="AN12" s="90"/>
      <c r="AO12" s="90"/>
      <c r="AP12" s="94">
        <v>4</v>
      </c>
      <c r="AQ12" s="94"/>
      <c r="AR12" s="95"/>
      <c r="AS12" s="95"/>
      <c r="AT12" s="94"/>
      <c r="AU12" s="94"/>
      <c r="AV12" s="94"/>
      <c r="AW12" s="94"/>
      <c r="AX12" s="94"/>
      <c r="AY12" s="94"/>
      <c r="AZ12" s="94"/>
      <c r="BA12" s="94"/>
      <c r="BB12" s="94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4"/>
      <c r="CF12" s="94"/>
      <c r="CG12" s="94"/>
      <c r="CH12" s="94"/>
      <c r="CI12" s="94"/>
      <c r="CJ12" s="94"/>
      <c r="CK12" s="94"/>
      <c r="CL12" s="94"/>
      <c r="CM12" s="94"/>
      <c r="CN12" s="97" t="str">
        <f t="shared" si="2"/>
        <v>InitUnitState('E010',16000,,,,,,,,20,)</v>
      </c>
      <c r="CO12" s="97" t="str">
        <f t="shared" si="3"/>
        <v>InitUnitNormal('E010',,,,,,,,,,)</v>
      </c>
      <c r="CP12" s="97" t="str">
        <f t="shared" si="4"/>
        <v>InitUnitMagic('E010',4,,,,,,,,,)</v>
      </c>
      <c r="CQ12" s="97" t="str">
        <f t="shared" si="5"/>
        <v>InitUnitAdd('E010',,,,,,,,,,)</v>
      </c>
      <c r="CR12" s="97" t="str">
        <f t="shared" si="6"/>
        <v>InitEquipData('E010',,"",,E011,8000,100,'','','','','','',"ReplaceableTextures\\CommandButtons\\BTNZ03.blp")</v>
      </c>
      <c r="CS12" s="97"/>
      <c r="CT12" s="97"/>
      <c r="CU12" s="99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="60" customFormat="1" ht="15" spans="1:175">
      <c r="A13" s="73"/>
      <c r="B13" s="74" t="s">
        <v>215</v>
      </c>
      <c r="C13" s="73" t="s">
        <v>216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4"/>
      <c r="Q13" s="84"/>
      <c r="R13" s="84"/>
      <c r="S13" s="84"/>
      <c r="T13" s="88" t="s">
        <v>192</v>
      </c>
      <c r="U13" s="89" t="s">
        <v>217</v>
      </c>
      <c r="V13" s="19">
        <v>24000</v>
      </c>
      <c r="W13" s="90"/>
      <c r="X13" s="90"/>
      <c r="Y13" s="90"/>
      <c r="Z13" s="90"/>
      <c r="AA13" s="90"/>
      <c r="AB13" s="90"/>
      <c r="AC13" s="90"/>
      <c r="AD13" s="90">
        <v>30</v>
      </c>
      <c r="AE13" s="90"/>
      <c r="AF13" s="90"/>
      <c r="AG13" s="92"/>
      <c r="AH13" s="90"/>
      <c r="AI13" s="90"/>
      <c r="AJ13" s="90"/>
      <c r="AK13" s="90"/>
      <c r="AL13" s="92"/>
      <c r="AM13" s="90"/>
      <c r="AN13" s="90"/>
      <c r="AO13" s="90"/>
      <c r="AP13" s="94">
        <v>6</v>
      </c>
      <c r="AQ13" s="94"/>
      <c r="AR13" s="95"/>
      <c r="AS13" s="95"/>
      <c r="AT13" s="94"/>
      <c r="AU13" s="94"/>
      <c r="AV13" s="94"/>
      <c r="AW13" s="94"/>
      <c r="AX13" s="94"/>
      <c r="AY13" s="94"/>
      <c r="AZ13" s="94"/>
      <c r="BA13" s="94"/>
      <c r="BB13" s="94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4"/>
      <c r="CF13" s="94"/>
      <c r="CG13" s="94"/>
      <c r="CH13" s="94"/>
      <c r="CI13" s="94"/>
      <c r="CJ13" s="94"/>
      <c r="CK13" s="94"/>
      <c r="CL13" s="94"/>
      <c r="CM13" s="94"/>
      <c r="CN13" s="97" t="str">
        <f t="shared" si="2"/>
        <v>InitUnitState('E011',24000,,,,,,,,30,)</v>
      </c>
      <c r="CO13" s="97" t="str">
        <f t="shared" si="3"/>
        <v>InitUnitNormal('E011',,,,,,,,,,)</v>
      </c>
      <c r="CP13" s="97" t="str">
        <f t="shared" si="4"/>
        <v>InitUnitMagic('E011',6,,,,,,,,,)</v>
      </c>
      <c r="CQ13" s="97" t="str">
        <f t="shared" si="5"/>
        <v>InitUnitAdd('E011',,,,,,,,,,)</v>
      </c>
      <c r="CR13" s="97" t="str">
        <f t="shared" si="6"/>
        <v>InitEquipData('E011',,"",,E012,6000,80,'','','','','','',"ReplaceableTextures\\CommandButtons\\BTNZ03.blp")</v>
      </c>
      <c r="CS13" s="97"/>
      <c r="CT13" s="97"/>
      <c r="CU13" s="99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="60" customFormat="1" ht="15" spans="1:175">
      <c r="A14" s="73"/>
      <c r="B14" s="74" t="s">
        <v>218</v>
      </c>
      <c r="C14" s="73" t="s">
        <v>219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4"/>
      <c r="Q14" s="84"/>
      <c r="R14" s="84"/>
      <c r="S14" s="84"/>
      <c r="T14" s="88" t="s">
        <v>192</v>
      </c>
      <c r="U14" s="89" t="s">
        <v>217</v>
      </c>
      <c r="V14" s="19">
        <v>28000</v>
      </c>
      <c r="W14" s="90"/>
      <c r="X14" s="90"/>
      <c r="Y14" s="90"/>
      <c r="Z14" s="90"/>
      <c r="AA14" s="90"/>
      <c r="AB14" s="90"/>
      <c r="AC14" s="90"/>
      <c r="AD14" s="90">
        <v>30</v>
      </c>
      <c r="AE14" s="90"/>
      <c r="AF14" s="90"/>
      <c r="AG14" s="92"/>
      <c r="AH14" s="90"/>
      <c r="AI14" s="90"/>
      <c r="AJ14" s="90"/>
      <c r="AK14" s="90"/>
      <c r="AL14" s="92"/>
      <c r="AM14" s="90"/>
      <c r="AN14" s="90"/>
      <c r="AO14" s="90"/>
      <c r="AP14" s="94">
        <v>6</v>
      </c>
      <c r="AQ14" s="94"/>
      <c r="AR14" s="95"/>
      <c r="AS14" s="95"/>
      <c r="AT14" s="94"/>
      <c r="AU14" s="94"/>
      <c r="AV14" s="94"/>
      <c r="AW14" s="94"/>
      <c r="AX14" s="94"/>
      <c r="AY14" s="94"/>
      <c r="AZ14" s="94"/>
      <c r="BA14" s="94"/>
      <c r="BB14" s="94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4"/>
      <c r="CF14" s="94"/>
      <c r="CG14" s="94"/>
      <c r="CH14" s="94"/>
      <c r="CI14" s="94"/>
      <c r="CJ14" s="94"/>
      <c r="CK14" s="94"/>
      <c r="CL14" s="94"/>
      <c r="CM14" s="94"/>
      <c r="CN14" s="97" t="str">
        <f t="shared" si="2"/>
        <v>InitUnitState('E012',28000,,,,,,,,30,)</v>
      </c>
      <c r="CO14" s="97" t="str">
        <f t="shared" si="3"/>
        <v>InitUnitNormal('E012',,,,,,,,,,)</v>
      </c>
      <c r="CP14" s="97" t="str">
        <f t="shared" si="4"/>
        <v>InitUnitMagic('E012',6,,,,,,,,,)</v>
      </c>
      <c r="CQ14" s="97" t="str">
        <f t="shared" si="5"/>
        <v>InitUnitAdd('E012',,,,,,,,,,)</v>
      </c>
      <c r="CR14" s="97" t="str">
        <f t="shared" si="6"/>
        <v>InitEquipData('E012',,"",,E013,6000,80,'','','','','','',"ReplaceableTextures\\CommandButtons\\BTNZ03.blp")</v>
      </c>
      <c r="CS14" s="97"/>
      <c r="CT14" s="97"/>
      <c r="CU14" s="99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="60" customFormat="1" ht="15" spans="1:175">
      <c r="A15" s="73"/>
      <c r="B15" s="74" t="s">
        <v>220</v>
      </c>
      <c r="C15" s="73" t="s">
        <v>221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4"/>
      <c r="Q15" s="84"/>
      <c r="R15" s="84"/>
      <c r="S15" s="84"/>
      <c r="T15" s="88" t="s">
        <v>192</v>
      </c>
      <c r="U15" s="89" t="s">
        <v>217</v>
      </c>
      <c r="V15" s="19">
        <v>32000</v>
      </c>
      <c r="W15" s="90"/>
      <c r="X15" s="90"/>
      <c r="Y15" s="90"/>
      <c r="Z15" s="90"/>
      <c r="AA15" s="90"/>
      <c r="AB15" s="90"/>
      <c r="AC15" s="90"/>
      <c r="AD15" s="90">
        <v>30</v>
      </c>
      <c r="AE15" s="90"/>
      <c r="AF15" s="90"/>
      <c r="AG15" s="92"/>
      <c r="AH15" s="90"/>
      <c r="AI15" s="90"/>
      <c r="AJ15" s="90"/>
      <c r="AK15" s="90"/>
      <c r="AL15" s="92"/>
      <c r="AM15" s="90"/>
      <c r="AN15" s="90"/>
      <c r="AO15" s="90"/>
      <c r="AP15" s="94">
        <v>6</v>
      </c>
      <c r="AQ15" s="94"/>
      <c r="AR15" s="95"/>
      <c r="AS15" s="95"/>
      <c r="AT15" s="94"/>
      <c r="AU15" s="94"/>
      <c r="AV15" s="94"/>
      <c r="AW15" s="94"/>
      <c r="AX15" s="94"/>
      <c r="AY15" s="94"/>
      <c r="AZ15" s="94"/>
      <c r="BA15" s="94"/>
      <c r="BB15" s="94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4"/>
      <c r="CF15" s="94"/>
      <c r="CG15" s="94"/>
      <c r="CH15" s="94"/>
      <c r="CI15" s="94"/>
      <c r="CJ15" s="94"/>
      <c r="CK15" s="94"/>
      <c r="CL15" s="94"/>
      <c r="CM15" s="94"/>
      <c r="CN15" s="97" t="str">
        <f t="shared" si="2"/>
        <v>InitUnitState('E013',32000,,,,,,,,30,)</v>
      </c>
      <c r="CO15" s="97" t="str">
        <f t="shared" si="3"/>
        <v>InitUnitNormal('E013',,,,,,,,,,)</v>
      </c>
      <c r="CP15" s="97" t="str">
        <f t="shared" si="4"/>
        <v>InitUnitMagic('E013',6,,,,,,,,,)</v>
      </c>
      <c r="CQ15" s="97" t="str">
        <f t="shared" si="5"/>
        <v>InitUnitAdd('E013',,,,,,,,,,)</v>
      </c>
      <c r="CR15" s="97" t="str">
        <f t="shared" si="6"/>
        <v>InitEquipData('E013',,"",,E014,6000,80,'','','','','','',"ReplaceableTextures\\CommandButtons\\BTNZ03.blp")</v>
      </c>
      <c r="CS15" s="97"/>
      <c r="CT15" s="97"/>
      <c r="CU15" s="99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="60" customFormat="1" ht="15" spans="1:175">
      <c r="A16" s="73"/>
      <c r="B16" s="74" t="s">
        <v>222</v>
      </c>
      <c r="C16" s="73" t="s">
        <v>223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4"/>
      <c r="Q16" s="84"/>
      <c r="R16" s="84"/>
      <c r="S16" s="84"/>
      <c r="T16" s="88" t="s">
        <v>192</v>
      </c>
      <c r="U16" s="89" t="s">
        <v>217</v>
      </c>
      <c r="V16" s="19">
        <v>40000</v>
      </c>
      <c r="W16" s="90"/>
      <c r="X16" s="90"/>
      <c r="Y16" s="90"/>
      <c r="Z16" s="90"/>
      <c r="AA16" s="90"/>
      <c r="AB16" s="90"/>
      <c r="AC16" s="90"/>
      <c r="AD16" s="90">
        <v>30</v>
      </c>
      <c r="AE16" s="90"/>
      <c r="AF16" s="90"/>
      <c r="AG16" s="92"/>
      <c r="AH16" s="90"/>
      <c r="AI16" s="90"/>
      <c r="AJ16" s="90"/>
      <c r="AK16" s="90"/>
      <c r="AL16" s="92"/>
      <c r="AM16" s="90"/>
      <c r="AN16" s="90"/>
      <c r="AO16" s="90"/>
      <c r="AP16" s="94">
        <v>6</v>
      </c>
      <c r="AQ16" s="94"/>
      <c r="AR16" s="95"/>
      <c r="AS16" s="95"/>
      <c r="AT16" s="94"/>
      <c r="AU16" s="94"/>
      <c r="AV16" s="94"/>
      <c r="AW16" s="94"/>
      <c r="AX16" s="94"/>
      <c r="AY16" s="94"/>
      <c r="AZ16" s="94"/>
      <c r="BA16" s="94"/>
      <c r="BB16" s="94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4"/>
      <c r="CF16" s="94"/>
      <c r="CG16" s="94"/>
      <c r="CH16" s="94"/>
      <c r="CI16" s="94"/>
      <c r="CJ16" s="94"/>
      <c r="CK16" s="94"/>
      <c r="CL16" s="94"/>
      <c r="CM16" s="94"/>
      <c r="CN16" s="97" t="str">
        <f t="shared" si="2"/>
        <v>InitUnitState('E014',40000,,,,,,,,30,)</v>
      </c>
      <c r="CO16" s="97" t="str">
        <f t="shared" si="3"/>
        <v>InitUnitNormal('E014',,,,,,,,,,)</v>
      </c>
      <c r="CP16" s="97" t="str">
        <f t="shared" si="4"/>
        <v>InitUnitMagic('E014',6,,,,,,,,,)</v>
      </c>
      <c r="CQ16" s="97" t="str">
        <f t="shared" si="5"/>
        <v>InitUnitAdd('E014',,,,,,,,,,)</v>
      </c>
      <c r="CR16" s="97" t="str">
        <f t="shared" si="6"/>
        <v>InitEquipData('E014',,"",,E015,6000,80,'','','','','','',"ReplaceableTextures\\CommandButtons\\BTNZ03.blp")</v>
      </c>
      <c r="CS16" s="97"/>
      <c r="CT16" s="97"/>
      <c r="CU16" s="99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="60" customFormat="1" ht="15" spans="1:175">
      <c r="A17" s="73"/>
      <c r="B17" s="74" t="s">
        <v>224</v>
      </c>
      <c r="C17" s="73" t="s">
        <v>225</v>
      </c>
      <c r="D17" s="75"/>
      <c r="E17" s="76"/>
      <c r="F17" s="77">
        <v>20000</v>
      </c>
      <c r="G17" s="78">
        <v>100</v>
      </c>
      <c r="H17" s="79" t="s">
        <v>226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4"/>
      <c r="Q17" s="84"/>
      <c r="R17" s="84"/>
      <c r="S17" s="84"/>
      <c r="T17" s="88" t="s">
        <v>192</v>
      </c>
      <c r="U17" s="89" t="s">
        <v>217</v>
      </c>
      <c r="V17" s="19">
        <v>48000</v>
      </c>
      <c r="W17" s="90"/>
      <c r="X17" s="90"/>
      <c r="Y17" s="90"/>
      <c r="Z17" s="90"/>
      <c r="AA17" s="90"/>
      <c r="AB17" s="90"/>
      <c r="AC17" s="90"/>
      <c r="AD17" s="90">
        <v>30</v>
      </c>
      <c r="AE17" s="90"/>
      <c r="AF17" s="90"/>
      <c r="AG17" s="92"/>
      <c r="AH17" s="90"/>
      <c r="AI17" s="90"/>
      <c r="AJ17" s="90"/>
      <c r="AK17" s="90"/>
      <c r="AL17" s="92"/>
      <c r="AM17" s="90"/>
      <c r="AN17" s="90"/>
      <c r="AO17" s="90"/>
      <c r="AP17" s="94">
        <v>6</v>
      </c>
      <c r="AQ17" s="94"/>
      <c r="AR17" s="95"/>
      <c r="AS17" s="95"/>
      <c r="AT17" s="94"/>
      <c r="AU17" s="94"/>
      <c r="AV17" s="94"/>
      <c r="AW17" s="94"/>
      <c r="AX17" s="94"/>
      <c r="AY17" s="94"/>
      <c r="AZ17" s="94"/>
      <c r="BA17" s="94"/>
      <c r="BB17" s="94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4"/>
      <c r="CF17" s="94"/>
      <c r="CG17" s="94"/>
      <c r="CH17" s="94"/>
      <c r="CI17" s="94"/>
      <c r="CJ17" s="94"/>
      <c r="CK17" s="94"/>
      <c r="CL17" s="94"/>
      <c r="CM17" s="94"/>
      <c r="CN17" s="97" t="str">
        <f t="shared" si="2"/>
        <v>InitUnitState('E015',48000,,,,,,,,30,)</v>
      </c>
      <c r="CO17" s="97" t="str">
        <f t="shared" si="3"/>
        <v>InitUnitNormal('E015',,,,,,,,,,)</v>
      </c>
      <c r="CP17" s="97" t="str">
        <f t="shared" si="4"/>
        <v>InitUnitMagic('E015',6,,,,,,,,,)</v>
      </c>
      <c r="CQ17" s="97" t="str">
        <f t="shared" si="5"/>
        <v>InitUnitAdd('E015',,,,,,,,,,)</v>
      </c>
      <c r="CR17" s="97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7"/>
      <c r="CT17" s="97"/>
      <c r="CU17" s="99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="60" customFormat="1" ht="15" spans="1:175">
      <c r="A18" s="73"/>
      <c r="B18" s="74" t="s">
        <v>227</v>
      </c>
      <c r="C18" s="73" t="s">
        <v>228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4"/>
      <c r="Q18" s="84"/>
      <c r="R18" s="84"/>
      <c r="S18" s="84"/>
      <c r="T18" s="88" t="s">
        <v>192</v>
      </c>
      <c r="U18" s="89" t="s">
        <v>229</v>
      </c>
      <c r="V18" s="19">
        <v>72000</v>
      </c>
      <c r="W18" s="90"/>
      <c r="X18" s="90"/>
      <c r="Y18" s="90"/>
      <c r="Z18" s="90"/>
      <c r="AA18" s="90"/>
      <c r="AB18" s="90"/>
      <c r="AC18" s="90"/>
      <c r="AD18" s="90">
        <v>40</v>
      </c>
      <c r="AE18" s="90"/>
      <c r="AF18" s="90"/>
      <c r="AG18" s="92"/>
      <c r="AH18" s="90"/>
      <c r="AI18" s="90"/>
      <c r="AJ18" s="90"/>
      <c r="AK18" s="90"/>
      <c r="AL18" s="92"/>
      <c r="AM18" s="90"/>
      <c r="AN18" s="90"/>
      <c r="AO18" s="90"/>
      <c r="AP18" s="94">
        <v>8</v>
      </c>
      <c r="AQ18" s="94"/>
      <c r="AR18" s="95"/>
      <c r="AS18" s="95"/>
      <c r="AT18" s="94"/>
      <c r="AU18" s="94"/>
      <c r="AV18" s="94"/>
      <c r="AW18" s="94"/>
      <c r="AX18" s="94"/>
      <c r="AY18" s="94"/>
      <c r="AZ18" s="94"/>
      <c r="BA18" s="94"/>
      <c r="BB18" s="94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4"/>
      <c r="CF18" s="94"/>
      <c r="CG18" s="94"/>
      <c r="CH18" s="94"/>
      <c r="CI18" s="94"/>
      <c r="CJ18" s="94"/>
      <c r="CK18" s="94"/>
      <c r="CL18" s="94"/>
      <c r="CM18" s="94"/>
      <c r="CN18" s="97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7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7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7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7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7"/>
      <c r="CT18" s="97"/>
      <c r="CU18" s="99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="60" customFormat="1" ht="15" spans="1:175">
      <c r="A19" s="73"/>
      <c r="B19" s="74" t="s">
        <v>230</v>
      </c>
      <c r="C19" s="73" t="s">
        <v>231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4"/>
      <c r="Q19" s="84"/>
      <c r="R19" s="84"/>
      <c r="S19" s="84"/>
      <c r="T19" s="88" t="s">
        <v>192</v>
      </c>
      <c r="U19" s="89" t="s">
        <v>229</v>
      </c>
      <c r="V19" s="19">
        <v>84000</v>
      </c>
      <c r="W19" s="90"/>
      <c r="X19" s="90"/>
      <c r="Y19" s="90"/>
      <c r="Z19" s="90"/>
      <c r="AA19" s="90"/>
      <c r="AB19" s="90"/>
      <c r="AC19" s="90"/>
      <c r="AD19" s="90">
        <v>40</v>
      </c>
      <c r="AE19" s="90"/>
      <c r="AF19" s="90"/>
      <c r="AG19" s="92"/>
      <c r="AH19" s="90"/>
      <c r="AI19" s="90"/>
      <c r="AJ19" s="90"/>
      <c r="AK19" s="90"/>
      <c r="AL19" s="92"/>
      <c r="AM19" s="90"/>
      <c r="AN19" s="90"/>
      <c r="AO19" s="90"/>
      <c r="AP19" s="94">
        <v>8</v>
      </c>
      <c r="AQ19" s="94"/>
      <c r="AR19" s="95"/>
      <c r="AS19" s="95"/>
      <c r="AT19" s="94"/>
      <c r="AU19" s="94"/>
      <c r="AV19" s="94"/>
      <c r="AW19" s="94"/>
      <c r="AX19" s="94"/>
      <c r="AY19" s="94"/>
      <c r="AZ19" s="94"/>
      <c r="BA19" s="94"/>
      <c r="BB19" s="94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4"/>
      <c r="CF19" s="94"/>
      <c r="CG19" s="94"/>
      <c r="CH19" s="94"/>
      <c r="CI19" s="94"/>
      <c r="CJ19" s="94"/>
      <c r="CK19" s="94"/>
      <c r="CL19" s="94"/>
      <c r="CM19" s="94"/>
      <c r="CN19" s="97" t="str">
        <f t="shared" si="219"/>
        <v>InitUnitState('E017',84000,,,,,,,,40,)</v>
      </c>
      <c r="CO19" s="97" t="str">
        <f t="shared" si="220"/>
        <v>InitUnitNormal('E017',,,,,,,,,,)</v>
      </c>
      <c r="CP19" s="97" t="str">
        <f t="shared" si="221"/>
        <v>InitUnitMagic('E017',8,,,,,,,,,)</v>
      </c>
      <c r="CQ19" s="97" t="str">
        <f t="shared" si="222"/>
        <v>InitUnitAdd('E017',,,,,,,,,,)</v>
      </c>
      <c r="CR19" s="97" t="str">
        <f t="shared" si="223"/>
        <v>InitEquipData('E017',,"",,E018,10000,70,'','','','','','',"ReplaceableTextures\\CommandButtons\\BTNZ21.blp")</v>
      </c>
      <c r="CS19" s="97"/>
      <c r="CT19" s="97"/>
      <c r="CU19" s="99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="60" customFormat="1" ht="15" spans="1:175">
      <c r="A20" s="73"/>
      <c r="B20" s="74" t="s">
        <v>232</v>
      </c>
      <c r="C20" s="73" t="s">
        <v>233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4"/>
      <c r="Q20" s="84"/>
      <c r="R20" s="84"/>
      <c r="S20" s="84"/>
      <c r="T20" s="88" t="s">
        <v>192</v>
      </c>
      <c r="U20" s="89" t="s">
        <v>229</v>
      </c>
      <c r="V20" s="19">
        <v>96000</v>
      </c>
      <c r="W20" s="90"/>
      <c r="X20" s="90"/>
      <c r="Y20" s="90"/>
      <c r="Z20" s="90"/>
      <c r="AA20" s="90"/>
      <c r="AB20" s="90"/>
      <c r="AC20" s="90"/>
      <c r="AD20" s="90">
        <v>40</v>
      </c>
      <c r="AE20" s="90"/>
      <c r="AF20" s="90"/>
      <c r="AG20" s="92"/>
      <c r="AH20" s="90"/>
      <c r="AI20" s="90"/>
      <c r="AJ20" s="90"/>
      <c r="AK20" s="90"/>
      <c r="AL20" s="92"/>
      <c r="AM20" s="90"/>
      <c r="AN20" s="90"/>
      <c r="AO20" s="90"/>
      <c r="AP20" s="94">
        <v>8</v>
      </c>
      <c r="AQ20" s="94"/>
      <c r="AR20" s="95"/>
      <c r="AS20" s="95"/>
      <c r="AT20" s="94"/>
      <c r="AU20" s="94"/>
      <c r="AV20" s="94"/>
      <c r="AW20" s="94"/>
      <c r="AX20" s="94"/>
      <c r="AY20" s="94"/>
      <c r="AZ20" s="94"/>
      <c r="BA20" s="94"/>
      <c r="BB20" s="94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4"/>
      <c r="CF20" s="94"/>
      <c r="CG20" s="94"/>
      <c r="CH20" s="94"/>
      <c r="CI20" s="94"/>
      <c r="CJ20" s="94"/>
      <c r="CK20" s="94"/>
      <c r="CL20" s="94"/>
      <c r="CM20" s="94"/>
      <c r="CN20" s="97" t="str">
        <f t="shared" si="219"/>
        <v>InitUnitState('E018',96000,,,,,,,,40,)</v>
      </c>
      <c r="CO20" s="97" t="str">
        <f t="shared" si="220"/>
        <v>InitUnitNormal('E018',,,,,,,,,,)</v>
      </c>
      <c r="CP20" s="97" t="str">
        <f t="shared" si="221"/>
        <v>InitUnitMagic('E018',8,,,,,,,,,)</v>
      </c>
      <c r="CQ20" s="97" t="str">
        <f t="shared" si="222"/>
        <v>InitUnitAdd('E018',,,,,,,,,,)</v>
      </c>
      <c r="CR20" s="97" t="str">
        <f t="shared" si="223"/>
        <v>InitEquipData('E018',,"",,E019,10000,70,'','','','','','',"ReplaceableTextures\\CommandButtons\\BTNZ21.blp")</v>
      </c>
      <c r="CS20" s="97"/>
      <c r="CT20" s="97"/>
      <c r="CU20" s="99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="60" customFormat="1" ht="15" spans="1:175">
      <c r="A21" s="73"/>
      <c r="B21" s="74" t="s">
        <v>234</v>
      </c>
      <c r="C21" s="73" t="s">
        <v>235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4"/>
      <c r="Q21" s="84"/>
      <c r="R21" s="84"/>
      <c r="S21" s="84"/>
      <c r="T21" s="88" t="s">
        <v>192</v>
      </c>
      <c r="U21" s="89" t="s">
        <v>229</v>
      </c>
      <c r="V21" s="19">
        <v>108000</v>
      </c>
      <c r="W21" s="90"/>
      <c r="X21" s="90"/>
      <c r="Y21" s="90"/>
      <c r="Z21" s="90"/>
      <c r="AA21" s="90"/>
      <c r="AB21" s="90"/>
      <c r="AC21" s="90"/>
      <c r="AD21" s="90">
        <v>40</v>
      </c>
      <c r="AE21" s="90"/>
      <c r="AF21" s="90"/>
      <c r="AG21" s="92"/>
      <c r="AH21" s="90"/>
      <c r="AI21" s="90"/>
      <c r="AJ21" s="90"/>
      <c r="AK21" s="90"/>
      <c r="AL21" s="92"/>
      <c r="AM21" s="90"/>
      <c r="AN21" s="90"/>
      <c r="AO21" s="90"/>
      <c r="AP21" s="94">
        <v>8</v>
      </c>
      <c r="AQ21" s="94"/>
      <c r="AR21" s="95"/>
      <c r="AS21" s="95"/>
      <c r="AT21" s="94"/>
      <c r="AU21" s="94"/>
      <c r="AV21" s="94"/>
      <c r="AW21" s="94"/>
      <c r="AX21" s="94"/>
      <c r="AY21" s="94"/>
      <c r="AZ21" s="94"/>
      <c r="BA21" s="94"/>
      <c r="BB21" s="94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4"/>
      <c r="CF21" s="94"/>
      <c r="CG21" s="94"/>
      <c r="CH21" s="94"/>
      <c r="CI21" s="94"/>
      <c r="CJ21" s="94"/>
      <c r="CK21" s="94"/>
      <c r="CL21" s="94"/>
      <c r="CM21" s="94"/>
      <c r="CN21" s="97" t="str">
        <f t="shared" si="219"/>
        <v>InitUnitState('E019',108000,,,,,,,,40,)</v>
      </c>
      <c r="CO21" s="97" t="str">
        <f t="shared" si="220"/>
        <v>InitUnitNormal('E019',,,,,,,,,,)</v>
      </c>
      <c r="CP21" s="97" t="str">
        <f t="shared" si="221"/>
        <v>InitUnitMagic('E019',8,,,,,,,,,)</v>
      </c>
      <c r="CQ21" s="97" t="str">
        <f t="shared" si="222"/>
        <v>InitUnitAdd('E019',,,,,,,,,,)</v>
      </c>
      <c r="CR21" s="97" t="str">
        <f t="shared" si="223"/>
        <v>InitEquipData('E019',,"",,E020,10000,70,'','','','','','',"ReplaceableTextures\\CommandButtons\\BTNZ21.blp")</v>
      </c>
      <c r="CS21" s="97"/>
      <c r="CT21" s="97"/>
      <c r="CU21" s="99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="60" customFormat="1" ht="15" spans="1:175">
      <c r="A22" s="73"/>
      <c r="B22" s="74" t="s">
        <v>236</v>
      </c>
      <c r="C22" s="73" t="s">
        <v>237</v>
      </c>
      <c r="D22" s="75"/>
      <c r="E22" s="76"/>
      <c r="F22" s="77">
        <v>30000</v>
      </c>
      <c r="G22" s="78">
        <v>100</v>
      </c>
      <c r="H22" s="79" t="s">
        <v>238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4"/>
      <c r="Q22" s="84"/>
      <c r="R22" s="84"/>
      <c r="S22" s="84"/>
      <c r="T22" s="88" t="s">
        <v>192</v>
      </c>
      <c r="U22" s="89" t="s">
        <v>229</v>
      </c>
      <c r="V22" s="19">
        <v>120000</v>
      </c>
      <c r="W22" s="90"/>
      <c r="X22" s="90"/>
      <c r="Y22" s="90"/>
      <c r="Z22" s="90"/>
      <c r="AA22" s="90"/>
      <c r="AB22" s="90"/>
      <c r="AC22" s="90"/>
      <c r="AD22" s="90">
        <v>40</v>
      </c>
      <c r="AE22" s="90"/>
      <c r="AF22" s="90"/>
      <c r="AG22" s="92"/>
      <c r="AH22" s="90"/>
      <c r="AI22" s="90"/>
      <c r="AJ22" s="90"/>
      <c r="AK22" s="90"/>
      <c r="AL22" s="92"/>
      <c r="AM22" s="90"/>
      <c r="AN22" s="90"/>
      <c r="AO22" s="90"/>
      <c r="AP22" s="94">
        <v>8</v>
      </c>
      <c r="AQ22" s="94"/>
      <c r="AR22" s="95"/>
      <c r="AS22" s="95"/>
      <c r="AT22" s="94"/>
      <c r="AU22" s="94"/>
      <c r="AV22" s="94"/>
      <c r="AW22" s="94"/>
      <c r="AX22" s="94"/>
      <c r="AY22" s="94"/>
      <c r="AZ22" s="94"/>
      <c r="BA22" s="94"/>
      <c r="BB22" s="94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4"/>
      <c r="CF22" s="94"/>
      <c r="CG22" s="94"/>
      <c r="CH22" s="94"/>
      <c r="CI22" s="94"/>
      <c r="CJ22" s="94"/>
      <c r="CK22" s="94"/>
      <c r="CL22" s="94"/>
      <c r="CM22" s="94"/>
      <c r="CN22" s="97" t="str">
        <f t="shared" si="219"/>
        <v>InitUnitState('E020',120000,,,,,,,,40,)</v>
      </c>
      <c r="CO22" s="97" t="str">
        <f t="shared" si="220"/>
        <v>InitUnitNormal('E020',,,,,,,,,,)</v>
      </c>
      <c r="CP22" s="97" t="str">
        <f t="shared" si="221"/>
        <v>InitUnitMagic('E020',8,,,,,,,,,)</v>
      </c>
      <c r="CQ22" s="97" t="str">
        <f t="shared" si="222"/>
        <v>InitUnitAdd('E020',,,,,,,,,,)</v>
      </c>
      <c r="CR22" s="97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7"/>
      <c r="CT22" s="97"/>
      <c r="CU22" s="99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="60" customFormat="1" ht="15" spans="1:175">
      <c r="A23" s="73"/>
      <c r="B23" s="74" t="s">
        <v>239</v>
      </c>
      <c r="C23" s="73" t="s">
        <v>240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4"/>
      <c r="Q23" s="84"/>
      <c r="R23" s="84"/>
      <c r="S23" s="84"/>
      <c r="T23" s="88" t="s">
        <v>192</v>
      </c>
      <c r="U23" s="89" t="s">
        <v>241</v>
      </c>
      <c r="V23" s="19">
        <v>160000</v>
      </c>
      <c r="W23" s="90"/>
      <c r="X23" s="90"/>
      <c r="Y23" s="90"/>
      <c r="Z23" s="90"/>
      <c r="AA23" s="90"/>
      <c r="AB23" s="90"/>
      <c r="AC23" s="90"/>
      <c r="AD23" s="90">
        <v>50</v>
      </c>
      <c r="AE23" s="90"/>
      <c r="AF23" s="90"/>
      <c r="AG23" s="92"/>
      <c r="AH23" s="90"/>
      <c r="AI23" s="90"/>
      <c r="AJ23" s="90"/>
      <c r="AK23" s="90"/>
      <c r="AL23" s="92"/>
      <c r="AM23" s="90"/>
      <c r="AN23" s="90"/>
      <c r="AO23" s="90"/>
      <c r="AP23" s="94">
        <v>10</v>
      </c>
      <c r="AQ23" s="94"/>
      <c r="AR23" s="95"/>
      <c r="AS23" s="95"/>
      <c r="AT23" s="94"/>
      <c r="AU23" s="94"/>
      <c r="AV23" s="94"/>
      <c r="AW23" s="94"/>
      <c r="AX23" s="94"/>
      <c r="AY23" s="94"/>
      <c r="AZ23" s="94"/>
      <c r="BA23" s="94"/>
      <c r="BB23" s="94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4"/>
      <c r="CF23" s="94"/>
      <c r="CG23" s="94"/>
      <c r="CH23" s="94"/>
      <c r="CI23" s="94"/>
      <c r="CJ23" s="94"/>
      <c r="CK23" s="94"/>
      <c r="CL23" s="94"/>
      <c r="CM23" s="94"/>
      <c r="CN23" s="97" t="str">
        <f t="shared" si="2"/>
        <v>InitUnitState('E021',160000,,,,,,,,50,)</v>
      </c>
      <c r="CO23" s="97" t="str">
        <f t="shared" si="3"/>
        <v>InitUnitNormal('E021',,,,,,,,,,)</v>
      </c>
      <c r="CP23" s="97" t="str">
        <f t="shared" si="4"/>
        <v>InitUnitMagic('E021',10,,,,,,,,,)</v>
      </c>
      <c r="CQ23" s="97" t="str">
        <f t="shared" si="5"/>
        <v>InitUnitAdd('E021',,,,,,,,,,)</v>
      </c>
      <c r="CR23" s="97" t="str">
        <f t="shared" si="6"/>
        <v>InitEquipData('E021',,"",,E022,20000,60,'','','','','','',"ReplaceableTextures\\CommandButtons\\BTNZ04.blp")</v>
      </c>
      <c r="CS23" s="97"/>
      <c r="CT23" s="97"/>
      <c r="CU23" s="99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="60" customFormat="1" ht="15" spans="1:175">
      <c r="A24" s="73"/>
      <c r="B24" s="74" t="s">
        <v>242</v>
      </c>
      <c r="C24" s="73" t="s">
        <v>243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4"/>
      <c r="Q24" s="84"/>
      <c r="R24" s="84"/>
      <c r="S24" s="84"/>
      <c r="T24" s="88" t="s">
        <v>192</v>
      </c>
      <c r="U24" s="89" t="s">
        <v>241</v>
      </c>
      <c r="V24" s="19">
        <v>180000</v>
      </c>
      <c r="W24" s="90"/>
      <c r="X24" s="90"/>
      <c r="Y24" s="90"/>
      <c r="Z24" s="90"/>
      <c r="AA24" s="90"/>
      <c r="AB24" s="90"/>
      <c r="AC24" s="90"/>
      <c r="AD24" s="90">
        <v>50</v>
      </c>
      <c r="AE24" s="90"/>
      <c r="AF24" s="90"/>
      <c r="AG24" s="92"/>
      <c r="AH24" s="90"/>
      <c r="AI24" s="90"/>
      <c r="AJ24" s="90"/>
      <c r="AK24" s="90"/>
      <c r="AL24" s="92"/>
      <c r="AM24" s="90"/>
      <c r="AN24" s="90"/>
      <c r="AO24" s="90"/>
      <c r="AP24" s="94">
        <v>10</v>
      </c>
      <c r="AQ24" s="94"/>
      <c r="AR24" s="95"/>
      <c r="AS24" s="95"/>
      <c r="AT24" s="94"/>
      <c r="AU24" s="94"/>
      <c r="AV24" s="94"/>
      <c r="AW24" s="94"/>
      <c r="AX24" s="94"/>
      <c r="AY24" s="94"/>
      <c r="AZ24" s="94"/>
      <c r="BA24" s="94"/>
      <c r="BB24" s="94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4"/>
      <c r="CF24" s="94"/>
      <c r="CG24" s="94"/>
      <c r="CH24" s="94"/>
      <c r="CI24" s="94"/>
      <c r="CJ24" s="94"/>
      <c r="CK24" s="94"/>
      <c r="CL24" s="94"/>
      <c r="CM24" s="94"/>
      <c r="CN24" s="97" t="str">
        <f t="shared" si="2"/>
        <v>InitUnitState('E022',180000,,,,,,,,50,)</v>
      </c>
      <c r="CO24" s="97" t="str">
        <f t="shared" si="3"/>
        <v>InitUnitNormal('E022',,,,,,,,,,)</v>
      </c>
      <c r="CP24" s="97" t="str">
        <f t="shared" si="4"/>
        <v>InitUnitMagic('E022',10,,,,,,,,,)</v>
      </c>
      <c r="CQ24" s="97" t="str">
        <f t="shared" si="5"/>
        <v>InitUnitAdd('E022',,,,,,,,,,)</v>
      </c>
      <c r="CR24" s="97" t="str">
        <f t="shared" si="6"/>
        <v>InitEquipData('E022',,"",,E023,20000,60,'','','','','','',"ReplaceableTextures\\CommandButtons\\BTNZ04.blp")</v>
      </c>
      <c r="CS24" s="97"/>
      <c r="CT24" s="97"/>
      <c r="CU24" s="99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="60" customFormat="1" ht="15" spans="1:175">
      <c r="A25" s="73"/>
      <c r="B25" s="74" t="s">
        <v>244</v>
      </c>
      <c r="C25" s="73" t="s">
        <v>245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4"/>
      <c r="Q25" s="84"/>
      <c r="R25" s="84"/>
      <c r="S25" s="84"/>
      <c r="T25" s="88" t="s">
        <v>192</v>
      </c>
      <c r="U25" s="89" t="s">
        <v>241</v>
      </c>
      <c r="V25" s="19">
        <v>200000</v>
      </c>
      <c r="W25" s="90"/>
      <c r="X25" s="90"/>
      <c r="Y25" s="90"/>
      <c r="Z25" s="90"/>
      <c r="AA25" s="90"/>
      <c r="AB25" s="90"/>
      <c r="AC25" s="90"/>
      <c r="AD25" s="90">
        <v>50</v>
      </c>
      <c r="AE25" s="90"/>
      <c r="AF25" s="90"/>
      <c r="AG25" s="92"/>
      <c r="AH25" s="90"/>
      <c r="AI25" s="90"/>
      <c r="AJ25" s="90"/>
      <c r="AK25" s="90"/>
      <c r="AL25" s="92"/>
      <c r="AM25" s="90"/>
      <c r="AN25" s="90"/>
      <c r="AO25" s="90"/>
      <c r="AP25" s="94">
        <v>10</v>
      </c>
      <c r="AQ25" s="94"/>
      <c r="AR25" s="95"/>
      <c r="AS25" s="95"/>
      <c r="AT25" s="94"/>
      <c r="AU25" s="94"/>
      <c r="AV25" s="94"/>
      <c r="AW25" s="94"/>
      <c r="AX25" s="94"/>
      <c r="AY25" s="94"/>
      <c r="AZ25" s="94"/>
      <c r="BA25" s="94"/>
      <c r="BB25" s="94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4"/>
      <c r="CF25" s="94"/>
      <c r="CG25" s="94"/>
      <c r="CH25" s="94"/>
      <c r="CI25" s="94"/>
      <c r="CJ25" s="94"/>
      <c r="CK25" s="94"/>
      <c r="CL25" s="94"/>
      <c r="CM25" s="94"/>
      <c r="CN25" s="97" t="str">
        <f t="shared" si="2"/>
        <v>InitUnitState('E023',200000,,,,,,,,50,)</v>
      </c>
      <c r="CO25" s="97" t="str">
        <f t="shared" si="3"/>
        <v>InitUnitNormal('E023',,,,,,,,,,)</v>
      </c>
      <c r="CP25" s="97" t="str">
        <f t="shared" si="4"/>
        <v>InitUnitMagic('E023',10,,,,,,,,,)</v>
      </c>
      <c r="CQ25" s="97" t="str">
        <f t="shared" si="5"/>
        <v>InitUnitAdd('E023',,,,,,,,,,)</v>
      </c>
      <c r="CR25" s="97" t="str">
        <f t="shared" si="6"/>
        <v>InitEquipData('E023',,"",,E024,20000,60,'','','','','','',"ReplaceableTextures\\CommandButtons\\BTNZ04.blp")</v>
      </c>
      <c r="CS25" s="97"/>
      <c r="CT25" s="97"/>
      <c r="CU25" s="99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="60" customFormat="1" ht="15" spans="1:175">
      <c r="A26" s="73"/>
      <c r="B26" s="74" t="s">
        <v>246</v>
      </c>
      <c r="C26" s="73" t="s">
        <v>247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4"/>
      <c r="Q26" s="84"/>
      <c r="R26" s="84"/>
      <c r="S26" s="84"/>
      <c r="T26" s="88" t="s">
        <v>192</v>
      </c>
      <c r="U26" s="89" t="s">
        <v>241</v>
      </c>
      <c r="V26" s="19">
        <v>220000</v>
      </c>
      <c r="W26" s="90"/>
      <c r="X26" s="90"/>
      <c r="Y26" s="90"/>
      <c r="Z26" s="90"/>
      <c r="AA26" s="90"/>
      <c r="AB26" s="90"/>
      <c r="AC26" s="90"/>
      <c r="AD26" s="90">
        <v>50</v>
      </c>
      <c r="AE26" s="90"/>
      <c r="AF26" s="90"/>
      <c r="AG26" s="92"/>
      <c r="AH26" s="90"/>
      <c r="AI26" s="90"/>
      <c r="AJ26" s="90"/>
      <c r="AK26" s="90"/>
      <c r="AL26" s="92"/>
      <c r="AM26" s="90"/>
      <c r="AN26" s="90"/>
      <c r="AO26" s="90"/>
      <c r="AP26" s="94">
        <v>10</v>
      </c>
      <c r="AQ26" s="94"/>
      <c r="AR26" s="95"/>
      <c r="AS26" s="95"/>
      <c r="AT26" s="94"/>
      <c r="AU26" s="94"/>
      <c r="AV26" s="94"/>
      <c r="AW26" s="94"/>
      <c r="AX26" s="94"/>
      <c r="AY26" s="94"/>
      <c r="AZ26" s="94"/>
      <c r="BA26" s="94"/>
      <c r="BB26" s="94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4"/>
      <c r="CF26" s="94"/>
      <c r="CG26" s="94"/>
      <c r="CH26" s="94"/>
      <c r="CI26" s="94"/>
      <c r="CJ26" s="94"/>
      <c r="CK26" s="94"/>
      <c r="CL26" s="94"/>
      <c r="CM26" s="94"/>
      <c r="CN26" s="97" t="str">
        <f t="shared" si="2"/>
        <v>InitUnitState('E024',220000,,,,,,,,50,)</v>
      </c>
      <c r="CO26" s="97" t="str">
        <f t="shared" si="3"/>
        <v>InitUnitNormal('E024',,,,,,,,,,)</v>
      </c>
      <c r="CP26" s="97" t="str">
        <f t="shared" si="4"/>
        <v>InitUnitMagic('E024',10,,,,,,,,,)</v>
      </c>
      <c r="CQ26" s="97" t="str">
        <f t="shared" si="5"/>
        <v>InitUnitAdd('E024',,,,,,,,,,)</v>
      </c>
      <c r="CR26" s="97" t="str">
        <f t="shared" si="6"/>
        <v>InitEquipData('E024',,"",,E025,20000,60,'','','','','','',"ReplaceableTextures\\CommandButtons\\BTNZ04.blp")</v>
      </c>
      <c r="CS26" s="97"/>
      <c r="CT26" s="97"/>
      <c r="CU26" s="99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="60" customFormat="1" ht="15" spans="1:175">
      <c r="A27" s="73"/>
      <c r="B27" s="74" t="s">
        <v>248</v>
      </c>
      <c r="C27" s="73" t="s">
        <v>249</v>
      </c>
      <c r="D27" s="75"/>
      <c r="E27" s="76"/>
      <c r="F27" s="77">
        <v>50000</v>
      </c>
      <c r="G27" s="78">
        <v>100</v>
      </c>
      <c r="H27" s="79" t="s">
        <v>250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4"/>
      <c r="Q27" s="84"/>
      <c r="R27" s="84"/>
      <c r="S27" s="84"/>
      <c r="T27" s="88" t="s">
        <v>192</v>
      </c>
      <c r="U27" s="89" t="s">
        <v>241</v>
      </c>
      <c r="V27" s="19">
        <v>240000</v>
      </c>
      <c r="W27" s="90"/>
      <c r="X27" s="90"/>
      <c r="Y27" s="90"/>
      <c r="Z27" s="90"/>
      <c r="AA27" s="90"/>
      <c r="AB27" s="90"/>
      <c r="AC27" s="90"/>
      <c r="AD27" s="90">
        <v>50</v>
      </c>
      <c r="AE27" s="90"/>
      <c r="AF27" s="90"/>
      <c r="AG27" s="92"/>
      <c r="AH27" s="90"/>
      <c r="AI27" s="90"/>
      <c r="AJ27" s="90"/>
      <c r="AK27" s="90"/>
      <c r="AL27" s="92"/>
      <c r="AM27" s="90"/>
      <c r="AN27" s="90"/>
      <c r="AO27" s="90"/>
      <c r="AP27" s="94">
        <v>10</v>
      </c>
      <c r="AQ27" s="94"/>
      <c r="AR27" s="95"/>
      <c r="AS27" s="95"/>
      <c r="AT27" s="94"/>
      <c r="AU27" s="94"/>
      <c r="AV27" s="94"/>
      <c r="AW27" s="94"/>
      <c r="AX27" s="94"/>
      <c r="AY27" s="94"/>
      <c r="AZ27" s="94"/>
      <c r="BA27" s="94"/>
      <c r="BB27" s="94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4"/>
      <c r="CF27" s="94"/>
      <c r="CG27" s="94"/>
      <c r="CH27" s="94"/>
      <c r="CI27" s="94"/>
      <c r="CJ27" s="94"/>
      <c r="CK27" s="94"/>
      <c r="CL27" s="94"/>
      <c r="CM27" s="94"/>
      <c r="CN27" s="97" t="str">
        <f t="shared" si="2"/>
        <v>InitUnitState('E025',240000,,,,,,,,50,)</v>
      </c>
      <c r="CO27" s="97" t="str">
        <f t="shared" si="3"/>
        <v>InitUnitNormal('E025',,,,,,,,,,)</v>
      </c>
      <c r="CP27" s="97" t="str">
        <f t="shared" si="4"/>
        <v>InitUnitMagic('E025',10,,,,,,,,,)</v>
      </c>
      <c r="CQ27" s="97" t="str">
        <f t="shared" si="5"/>
        <v>InitUnitAdd('E025',,,,,,,,,,)</v>
      </c>
      <c r="CR27" s="97" t="str">
        <f t="shared" si="6"/>
        <v>InitEquipData('E025',,"",,E026,50000,100,'','','','','','',"ReplaceableTextures\\CommandButtons\\BTNZ05.blp")</v>
      </c>
      <c r="CS27" s="97"/>
      <c r="CT27" s="97"/>
      <c r="CU27" s="99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="60" customFormat="1" ht="15" spans="1:175">
      <c r="A28" s="73"/>
      <c r="B28" s="74" t="s">
        <v>251</v>
      </c>
      <c r="C28" s="73" t="s">
        <v>252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4"/>
      <c r="Q28" s="84"/>
      <c r="R28" s="84"/>
      <c r="S28" s="84"/>
      <c r="T28" s="88" t="s">
        <v>192</v>
      </c>
      <c r="U28" s="89" t="s">
        <v>253</v>
      </c>
      <c r="V28" s="19">
        <v>360000</v>
      </c>
      <c r="W28" s="90"/>
      <c r="X28" s="90"/>
      <c r="Y28" s="90"/>
      <c r="Z28" s="90"/>
      <c r="AA28" s="90"/>
      <c r="AB28" s="90"/>
      <c r="AC28" s="90"/>
      <c r="AD28" s="90">
        <v>60</v>
      </c>
      <c r="AE28" s="90"/>
      <c r="AF28" s="90"/>
      <c r="AG28" s="92"/>
      <c r="AH28" s="90"/>
      <c r="AI28" s="90"/>
      <c r="AJ28" s="90"/>
      <c r="AK28" s="90"/>
      <c r="AL28" s="92"/>
      <c r="AM28" s="90"/>
      <c r="AN28" s="90"/>
      <c r="AO28" s="90"/>
      <c r="AP28" s="94">
        <v>12</v>
      </c>
      <c r="AQ28" s="94"/>
      <c r="AR28" s="95"/>
      <c r="AS28" s="95"/>
      <c r="AT28" s="94"/>
      <c r="AU28" s="94"/>
      <c r="AV28" s="94"/>
      <c r="AW28" s="94"/>
      <c r="AX28" s="94"/>
      <c r="AY28" s="94"/>
      <c r="AZ28" s="94"/>
      <c r="BA28" s="94"/>
      <c r="BB28" s="94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4"/>
      <c r="CF28" s="94"/>
      <c r="CG28" s="94"/>
      <c r="CH28" s="94"/>
      <c r="CI28" s="94"/>
      <c r="CJ28" s="94"/>
      <c r="CK28" s="94"/>
      <c r="CL28" s="94"/>
      <c r="CM28" s="94"/>
      <c r="CN28" s="97" t="str">
        <f t="shared" si="2"/>
        <v>InitUnitState('E026',360000,,,,,,,,60,)</v>
      </c>
      <c r="CO28" s="97" t="str">
        <f t="shared" si="3"/>
        <v>InitUnitNormal('E026',,,,,,,,,,)</v>
      </c>
      <c r="CP28" s="97" t="str">
        <f t="shared" si="4"/>
        <v>InitUnitMagic('E026',12,,,,,,,,,)</v>
      </c>
      <c r="CQ28" s="97" t="str">
        <f t="shared" si="5"/>
        <v>InitUnitAdd('E026',,,,,,,,,,)</v>
      </c>
      <c r="CR28" s="97" t="str">
        <f t="shared" si="6"/>
        <v>InitEquipData('E026',,"",,E027,30000,50,'','','','','','',"ReplaceableTextures\\CommandButtons\\BTNZ05.blp")</v>
      </c>
      <c r="CS28" s="97"/>
      <c r="CT28" s="97"/>
      <c r="CU28" s="99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="60" customFormat="1" ht="15" spans="1:175">
      <c r="A29" s="73"/>
      <c r="B29" s="74" t="s">
        <v>254</v>
      </c>
      <c r="C29" s="73" t="s">
        <v>255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4"/>
      <c r="Q29" s="84"/>
      <c r="R29" s="84"/>
      <c r="S29" s="84"/>
      <c r="T29" s="88" t="s">
        <v>192</v>
      </c>
      <c r="U29" s="89" t="s">
        <v>253</v>
      </c>
      <c r="V29" s="19">
        <v>420000</v>
      </c>
      <c r="W29" s="90"/>
      <c r="X29" s="90"/>
      <c r="Y29" s="90"/>
      <c r="Z29" s="90"/>
      <c r="AA29" s="90"/>
      <c r="AB29" s="90"/>
      <c r="AC29" s="90"/>
      <c r="AD29" s="90">
        <v>60</v>
      </c>
      <c r="AE29" s="90"/>
      <c r="AF29" s="90"/>
      <c r="AG29" s="92"/>
      <c r="AH29" s="90"/>
      <c r="AI29" s="90"/>
      <c r="AJ29" s="90"/>
      <c r="AK29" s="90"/>
      <c r="AL29" s="92"/>
      <c r="AM29" s="90"/>
      <c r="AN29" s="90"/>
      <c r="AO29" s="90"/>
      <c r="AP29" s="94">
        <v>12</v>
      </c>
      <c r="AQ29" s="94"/>
      <c r="AR29" s="95"/>
      <c r="AS29" s="95"/>
      <c r="AT29" s="94"/>
      <c r="AU29" s="94"/>
      <c r="AV29" s="94"/>
      <c r="AW29" s="94"/>
      <c r="AX29" s="94"/>
      <c r="AY29" s="94"/>
      <c r="AZ29" s="94"/>
      <c r="BA29" s="94"/>
      <c r="BB29" s="94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4"/>
      <c r="CF29" s="94"/>
      <c r="CG29" s="94"/>
      <c r="CH29" s="94"/>
      <c r="CI29" s="94"/>
      <c r="CJ29" s="94"/>
      <c r="CK29" s="94"/>
      <c r="CL29" s="94"/>
      <c r="CM29" s="94"/>
      <c r="CN29" s="97" t="str">
        <f t="shared" si="2"/>
        <v>InitUnitState('E027',420000,,,,,,,,60,)</v>
      </c>
      <c r="CO29" s="97" t="str">
        <f t="shared" si="3"/>
        <v>InitUnitNormal('E027',,,,,,,,,,)</v>
      </c>
      <c r="CP29" s="97" t="str">
        <f t="shared" si="4"/>
        <v>InitUnitMagic('E027',12,,,,,,,,,)</v>
      </c>
      <c r="CQ29" s="97" t="str">
        <f t="shared" si="5"/>
        <v>InitUnitAdd('E027',,,,,,,,,,)</v>
      </c>
      <c r="CR29" s="97" t="str">
        <f t="shared" si="6"/>
        <v>InitEquipData('E027',,"",,E028,30000,50,'','','','','','',"ReplaceableTextures\\CommandButtons\\BTNZ05.blp")</v>
      </c>
      <c r="CS29" s="97"/>
      <c r="CT29" s="97"/>
      <c r="CU29" s="99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="60" customFormat="1" ht="15" spans="1:175">
      <c r="A30" s="73"/>
      <c r="B30" s="74" t="s">
        <v>256</v>
      </c>
      <c r="C30" s="73" t="s">
        <v>257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4"/>
      <c r="Q30" s="84"/>
      <c r="R30" s="84"/>
      <c r="S30" s="84"/>
      <c r="T30" s="88" t="s">
        <v>192</v>
      </c>
      <c r="U30" s="89" t="s">
        <v>253</v>
      </c>
      <c r="V30" s="19">
        <v>480000</v>
      </c>
      <c r="W30" s="90"/>
      <c r="X30" s="90"/>
      <c r="Y30" s="90"/>
      <c r="Z30" s="90"/>
      <c r="AA30" s="90"/>
      <c r="AB30" s="90"/>
      <c r="AC30" s="90"/>
      <c r="AD30" s="90">
        <v>60</v>
      </c>
      <c r="AE30" s="90"/>
      <c r="AF30" s="90"/>
      <c r="AG30" s="92"/>
      <c r="AH30" s="90"/>
      <c r="AI30" s="90"/>
      <c r="AJ30" s="90"/>
      <c r="AK30" s="90"/>
      <c r="AL30" s="92"/>
      <c r="AM30" s="90"/>
      <c r="AN30" s="90"/>
      <c r="AO30" s="90"/>
      <c r="AP30" s="94">
        <v>12</v>
      </c>
      <c r="AQ30" s="94"/>
      <c r="AR30" s="95"/>
      <c r="AS30" s="95"/>
      <c r="AT30" s="94"/>
      <c r="AU30" s="94"/>
      <c r="AV30" s="94"/>
      <c r="AW30" s="94"/>
      <c r="AX30" s="94"/>
      <c r="AY30" s="94"/>
      <c r="AZ30" s="94"/>
      <c r="BA30" s="94"/>
      <c r="BB30" s="94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4"/>
      <c r="CF30" s="94"/>
      <c r="CG30" s="94"/>
      <c r="CH30" s="94"/>
      <c r="CI30" s="94"/>
      <c r="CJ30" s="94"/>
      <c r="CK30" s="94"/>
      <c r="CL30" s="94"/>
      <c r="CM30" s="94"/>
      <c r="CN30" s="97" t="str">
        <f t="shared" si="2"/>
        <v>InitUnitState('E028',480000,,,,,,,,60,)</v>
      </c>
      <c r="CO30" s="97" t="str">
        <f t="shared" si="3"/>
        <v>InitUnitNormal('E028',,,,,,,,,,)</v>
      </c>
      <c r="CP30" s="97" t="str">
        <f t="shared" si="4"/>
        <v>InitUnitMagic('E028',12,,,,,,,,,)</v>
      </c>
      <c r="CQ30" s="97" t="str">
        <f t="shared" si="5"/>
        <v>InitUnitAdd('E028',,,,,,,,,,)</v>
      </c>
      <c r="CR30" s="97" t="str">
        <f t="shared" si="6"/>
        <v>InitEquipData('E028',,"",,E029,30000,50,'','','','','','',"ReplaceableTextures\\CommandButtons\\BTNZ05.blp")</v>
      </c>
      <c r="CS30" s="97"/>
      <c r="CT30" s="97"/>
      <c r="CU30" s="99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="60" customFormat="1" ht="15" spans="1:175">
      <c r="A31" s="73"/>
      <c r="B31" s="74" t="s">
        <v>258</v>
      </c>
      <c r="C31" s="73" t="s">
        <v>259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4"/>
      <c r="Q31" s="84"/>
      <c r="R31" s="84"/>
      <c r="S31" s="84"/>
      <c r="T31" s="88" t="s">
        <v>192</v>
      </c>
      <c r="U31" s="89" t="s">
        <v>253</v>
      </c>
      <c r="V31" s="19">
        <v>540000</v>
      </c>
      <c r="W31" s="90"/>
      <c r="X31" s="90"/>
      <c r="Y31" s="90"/>
      <c r="Z31" s="90"/>
      <c r="AA31" s="90"/>
      <c r="AB31" s="90"/>
      <c r="AC31" s="90"/>
      <c r="AD31" s="90">
        <v>60</v>
      </c>
      <c r="AE31" s="90"/>
      <c r="AF31" s="90"/>
      <c r="AG31" s="92"/>
      <c r="AH31" s="90"/>
      <c r="AI31" s="90"/>
      <c r="AJ31" s="90"/>
      <c r="AK31" s="90"/>
      <c r="AL31" s="92"/>
      <c r="AM31" s="90"/>
      <c r="AN31" s="90"/>
      <c r="AO31" s="90"/>
      <c r="AP31" s="94">
        <v>12</v>
      </c>
      <c r="AQ31" s="94"/>
      <c r="AR31" s="95"/>
      <c r="AS31" s="95"/>
      <c r="AT31" s="94"/>
      <c r="AU31" s="94"/>
      <c r="AV31" s="94"/>
      <c r="AW31" s="94"/>
      <c r="AX31" s="94"/>
      <c r="AY31" s="94"/>
      <c r="AZ31" s="94"/>
      <c r="BA31" s="94"/>
      <c r="BB31" s="94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4"/>
      <c r="CF31" s="94"/>
      <c r="CG31" s="94"/>
      <c r="CH31" s="94"/>
      <c r="CI31" s="94"/>
      <c r="CJ31" s="94"/>
      <c r="CK31" s="94"/>
      <c r="CL31" s="94"/>
      <c r="CM31" s="94"/>
      <c r="CN31" s="97" t="str">
        <f t="shared" si="2"/>
        <v>InitUnitState('E029',540000,,,,,,,,60,)</v>
      </c>
      <c r="CO31" s="97" t="str">
        <f t="shared" si="3"/>
        <v>InitUnitNormal('E029',,,,,,,,,,)</v>
      </c>
      <c r="CP31" s="97" t="str">
        <f t="shared" si="4"/>
        <v>InitUnitMagic('E029',12,,,,,,,,,)</v>
      </c>
      <c r="CQ31" s="97" t="str">
        <f t="shared" si="5"/>
        <v>InitUnitAdd('E029',,,,,,,,,,)</v>
      </c>
      <c r="CR31" s="97" t="str">
        <f t="shared" si="6"/>
        <v>InitEquipData('E029',,"",,E030,30000,50,'','','','','','',"ReplaceableTextures\\CommandButtons\\BTNZ05.blp")</v>
      </c>
      <c r="CS31" s="97"/>
      <c r="CT31" s="97"/>
      <c r="CU31" s="99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="60" customFormat="1" ht="15" spans="1:175">
      <c r="A32" s="73"/>
      <c r="B32" s="74" t="s">
        <v>260</v>
      </c>
      <c r="C32" s="73" t="s">
        <v>261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4"/>
      <c r="Q32" s="84"/>
      <c r="R32" s="84"/>
      <c r="S32" s="84"/>
      <c r="T32" s="88" t="s">
        <v>192</v>
      </c>
      <c r="U32" s="89" t="s">
        <v>253</v>
      </c>
      <c r="V32" s="19">
        <v>600000</v>
      </c>
      <c r="W32" s="90"/>
      <c r="X32" s="90"/>
      <c r="Y32" s="90"/>
      <c r="Z32" s="90"/>
      <c r="AA32" s="90"/>
      <c r="AB32" s="90"/>
      <c r="AC32" s="90"/>
      <c r="AD32" s="90">
        <v>60</v>
      </c>
      <c r="AE32" s="90"/>
      <c r="AF32" s="90"/>
      <c r="AG32" s="92"/>
      <c r="AH32" s="90"/>
      <c r="AI32" s="90"/>
      <c r="AJ32" s="90"/>
      <c r="AK32" s="90"/>
      <c r="AL32" s="92"/>
      <c r="AM32" s="90"/>
      <c r="AN32" s="90"/>
      <c r="AO32" s="90"/>
      <c r="AP32" s="94">
        <v>12</v>
      </c>
      <c r="AQ32" s="94"/>
      <c r="AR32" s="95"/>
      <c r="AS32" s="95"/>
      <c r="AT32" s="94"/>
      <c r="AU32" s="94"/>
      <c r="AV32" s="94"/>
      <c r="AW32" s="94"/>
      <c r="AX32" s="94"/>
      <c r="AY32" s="94"/>
      <c r="AZ32" s="94"/>
      <c r="BA32" s="94"/>
      <c r="BB32" s="94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4"/>
      <c r="CF32" s="94"/>
      <c r="CG32" s="94"/>
      <c r="CH32" s="94"/>
      <c r="CI32" s="94"/>
      <c r="CJ32" s="94"/>
      <c r="CK32" s="94"/>
      <c r="CL32" s="94"/>
      <c r="CM32" s="94"/>
      <c r="CN32" s="97" t="str">
        <f t="shared" si="2"/>
        <v>InitUnitState('E030',600000,,,,,,,,60,)</v>
      </c>
      <c r="CO32" s="97" t="str">
        <f t="shared" si="3"/>
        <v>InitUnitNormal('E030',,,,,,,,,,)</v>
      </c>
      <c r="CP32" s="97" t="str">
        <f t="shared" si="4"/>
        <v>InitUnitMagic('E030',12,,,,,,,,,)</v>
      </c>
      <c r="CQ32" s="97" t="str">
        <f t="shared" si="5"/>
        <v>InitUnitAdd('E030',,,,,,,,,,)</v>
      </c>
      <c r="CR32" s="97" t="str">
        <f t="shared" si="6"/>
        <v>InitEquipData('E030',,"",,,,,'','','','','','',"ReplaceableTextures\\CommandButtons\\BTNZ06.blp")</v>
      </c>
      <c r="CS32" s="97"/>
      <c r="CT32" s="97"/>
      <c r="CU32" s="99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="60" customFormat="1" ht="15" spans="1:175">
      <c r="A33" s="73"/>
      <c r="B33" s="74" t="s">
        <v>262</v>
      </c>
      <c r="C33" s="80" t="s">
        <v>263</v>
      </c>
      <c r="D33" s="10">
        <v>200</v>
      </c>
      <c r="E33" s="76"/>
      <c r="F33" s="77"/>
      <c r="G33" s="10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4"/>
      <c r="Q33" s="84"/>
      <c r="R33" s="84"/>
      <c r="S33" s="84"/>
      <c r="T33" s="91" t="str">
        <f>"|n|Cff00ff7f击杀"&amp;D33&amp;"只怪有50%概率升级|r"</f>
        <v>|n|Cff00ff7f击杀200只怪有50%概率升级|r</v>
      </c>
      <c r="U33" s="89" t="s">
        <v>264</v>
      </c>
      <c r="V33" s="90">
        <v>250</v>
      </c>
      <c r="W33" s="90">
        <v>1000</v>
      </c>
      <c r="X33" s="90"/>
      <c r="Y33" s="90"/>
      <c r="Z33" s="90">
        <v>5000</v>
      </c>
      <c r="AA33" s="90"/>
      <c r="AB33" s="90"/>
      <c r="AC33" s="90"/>
      <c r="AD33" s="90"/>
      <c r="AE33" s="90"/>
      <c r="AF33" s="90"/>
      <c r="AG33" s="92"/>
      <c r="AH33" s="90"/>
      <c r="AI33" s="90"/>
      <c r="AJ33" s="90"/>
      <c r="AK33" s="90"/>
      <c r="AL33" s="92"/>
      <c r="AM33" s="90"/>
      <c r="AN33" s="90"/>
      <c r="AO33" s="90"/>
      <c r="AP33" s="94"/>
      <c r="AQ33" s="94"/>
      <c r="AR33" s="95"/>
      <c r="AS33" s="95"/>
      <c r="AT33" s="94"/>
      <c r="AU33" s="94"/>
      <c r="AV33" s="94"/>
      <c r="AW33" s="94"/>
      <c r="AX33" s="94"/>
      <c r="AY33" s="94"/>
      <c r="AZ33" s="94"/>
      <c r="BA33" s="94"/>
      <c r="BB33" s="94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4"/>
      <c r="CF33" s="94"/>
      <c r="CG33" s="94"/>
      <c r="CH33" s="94"/>
      <c r="CI33" s="94"/>
      <c r="CJ33" s="94"/>
      <c r="CK33" s="94"/>
      <c r="CL33" s="94"/>
      <c r="CM33" s="94"/>
      <c r="CN33" s="97" t="str">
        <f t="shared" si="2"/>
        <v>InitUnitState('E101',250,1000,,,5000,,,,,)</v>
      </c>
      <c r="CO33" s="97" t="str">
        <f t="shared" si="3"/>
        <v>InitUnitNormal('E101',,,,,,,,,,)</v>
      </c>
      <c r="CP33" s="97" t="str">
        <f t="shared" si="4"/>
        <v>InitUnitMagic('E101',,,,,,,,,,)</v>
      </c>
      <c r="CQ33" s="97" t="str">
        <f t="shared" si="5"/>
        <v>InitUnitAdd('E101',,,,,,,,,,)</v>
      </c>
      <c r="CR33" s="97" t="str">
        <f t="shared" si="6"/>
        <v>InitEquipData('E101',200,"",,E102,,60,'','','','','','',"ReplaceableTextures\\CommandButtons\\BTNZ06.blp")</v>
      </c>
      <c r="CS33" s="97"/>
      <c r="CT33" s="97"/>
      <c r="CU33" s="99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="60" customFormat="1" ht="15" spans="1:175">
      <c r="A34" s="73"/>
      <c r="B34" s="74" t="s">
        <v>265</v>
      </c>
      <c r="C34" s="80" t="s">
        <v>266</v>
      </c>
      <c r="D34" s="10">
        <v>200</v>
      </c>
      <c r="E34" s="76"/>
      <c r="F34" s="77"/>
      <c r="G34" s="10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4"/>
      <c r="Q34" s="84"/>
      <c r="R34" s="84"/>
      <c r="S34" s="84"/>
      <c r="T34" s="91" t="str">
        <f>"|n|Cff00ff7f击杀"&amp;D34&amp;"只怪有50%概率升级|r"</f>
        <v>|n|Cff00ff7f击杀200只怪有50%概率升级|r</v>
      </c>
      <c r="U34" s="89" t="s">
        <v>264</v>
      </c>
      <c r="V34" s="90">
        <v>500</v>
      </c>
      <c r="W34" s="90">
        <v>2000</v>
      </c>
      <c r="X34" s="90"/>
      <c r="Y34" s="90"/>
      <c r="Z34" s="90">
        <v>10000</v>
      </c>
      <c r="AA34" s="90"/>
      <c r="AB34" s="90"/>
      <c r="AC34" s="90"/>
      <c r="AD34" s="90"/>
      <c r="AE34" s="90"/>
      <c r="AF34" s="90"/>
      <c r="AG34" s="92"/>
      <c r="AH34" s="90"/>
      <c r="AI34" s="90"/>
      <c r="AJ34" s="90"/>
      <c r="AK34" s="90"/>
      <c r="AL34" s="92"/>
      <c r="AM34" s="90"/>
      <c r="AN34" s="90"/>
      <c r="AO34" s="90"/>
      <c r="AP34" s="94"/>
      <c r="AQ34" s="94"/>
      <c r="AR34" s="95"/>
      <c r="AS34" s="95"/>
      <c r="AT34" s="94"/>
      <c r="AU34" s="94"/>
      <c r="AV34" s="94"/>
      <c r="AW34" s="94"/>
      <c r="AX34" s="94"/>
      <c r="AY34" s="94"/>
      <c r="AZ34" s="94"/>
      <c r="BA34" s="94"/>
      <c r="BB34" s="94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4"/>
      <c r="CF34" s="94"/>
      <c r="CG34" s="94"/>
      <c r="CH34" s="94"/>
      <c r="CI34" s="94"/>
      <c r="CJ34" s="94"/>
      <c r="CK34" s="94"/>
      <c r="CL34" s="94"/>
      <c r="CM34" s="94"/>
      <c r="CN34" s="97" t="str">
        <f t="shared" si="2"/>
        <v>InitUnitState('E102',500,2000,,,10000,,,,,)</v>
      </c>
      <c r="CO34" s="97" t="str">
        <f t="shared" si="3"/>
        <v>InitUnitNormal('E102',,,,,,,,,,)</v>
      </c>
      <c r="CP34" s="97" t="str">
        <f t="shared" si="4"/>
        <v>InitUnitMagic('E102',,,,,,,,,,)</v>
      </c>
      <c r="CQ34" s="97" t="str">
        <f t="shared" si="5"/>
        <v>InitUnitAdd('E102',,,,,,,,,,)</v>
      </c>
      <c r="CR34" s="97" t="str">
        <f t="shared" si="6"/>
        <v>InitEquipData('E102',200,"",,E103,,60,'','','','','','',"ReplaceableTextures\\CommandButtons\\BTNZ06.blp")</v>
      </c>
      <c r="CS34" s="97"/>
      <c r="CT34" s="97"/>
      <c r="CU34" s="99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="60" customFormat="1" ht="15" spans="1:175">
      <c r="A35" s="73"/>
      <c r="B35" s="74" t="s">
        <v>267</v>
      </c>
      <c r="C35" s="80" t="s">
        <v>268</v>
      </c>
      <c r="D35" s="10">
        <v>200</v>
      </c>
      <c r="E35" s="76"/>
      <c r="F35" s="77"/>
      <c r="G35" s="10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4"/>
      <c r="Q35" s="84"/>
      <c r="R35" s="84"/>
      <c r="S35" s="84"/>
      <c r="T35" s="91" t="str">
        <f t="shared" ref="T35:T61" si="366">"|n|Cff00ff7f击杀"&amp;D35&amp;"只怪有50%概率升级|r"</f>
        <v>|n|Cff00ff7f击杀200只怪有50%概率升级|r</v>
      </c>
      <c r="U35" s="89" t="s">
        <v>264</v>
      </c>
      <c r="V35" s="90">
        <v>750</v>
      </c>
      <c r="W35" s="90">
        <v>3000</v>
      </c>
      <c r="X35" s="90"/>
      <c r="Y35" s="90"/>
      <c r="Z35" s="90">
        <v>15000</v>
      </c>
      <c r="AA35" s="90"/>
      <c r="AB35" s="90"/>
      <c r="AC35" s="90"/>
      <c r="AD35" s="90"/>
      <c r="AE35" s="90"/>
      <c r="AF35" s="90"/>
      <c r="AG35" s="92"/>
      <c r="AH35" s="90"/>
      <c r="AI35" s="90"/>
      <c r="AJ35" s="90"/>
      <c r="AK35" s="90"/>
      <c r="AL35" s="92"/>
      <c r="AM35" s="90"/>
      <c r="AN35" s="90"/>
      <c r="AO35" s="90"/>
      <c r="AP35" s="94"/>
      <c r="AQ35" s="94"/>
      <c r="AR35" s="95"/>
      <c r="AS35" s="95"/>
      <c r="AT35" s="94"/>
      <c r="AU35" s="94"/>
      <c r="AV35" s="94"/>
      <c r="AW35" s="94"/>
      <c r="AX35" s="94"/>
      <c r="AY35" s="94"/>
      <c r="AZ35" s="94"/>
      <c r="BA35" s="94"/>
      <c r="BB35" s="94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4"/>
      <c r="CF35" s="94"/>
      <c r="CG35" s="94"/>
      <c r="CH35" s="94"/>
      <c r="CI35" s="94"/>
      <c r="CJ35" s="94"/>
      <c r="CK35" s="94"/>
      <c r="CL35" s="94"/>
      <c r="CM35" s="94"/>
      <c r="CN35" s="97" t="str">
        <f t="shared" si="2"/>
        <v>InitUnitState('E103',750,3000,,,15000,,,,,)</v>
      </c>
      <c r="CO35" s="97" t="str">
        <f t="shared" si="3"/>
        <v>InitUnitNormal('E103',,,,,,,,,,)</v>
      </c>
      <c r="CP35" s="97" t="str">
        <f t="shared" si="4"/>
        <v>InitUnitMagic('E103',,,,,,,,,,)</v>
      </c>
      <c r="CQ35" s="97" t="str">
        <f t="shared" si="5"/>
        <v>InitUnitAdd('E103',,,,,,,,,,)</v>
      </c>
      <c r="CR35" s="97" t="str">
        <f t="shared" si="6"/>
        <v>InitEquipData('E103',200,"",,E104,,60,'','','','','','',"ReplaceableTextures\\CommandButtons\\BTNZ06.blp")</v>
      </c>
      <c r="CS35" s="97"/>
      <c r="CT35" s="97"/>
      <c r="CU35" s="99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="60" customFormat="1" ht="15" spans="1:175">
      <c r="A36" s="73"/>
      <c r="B36" s="74" t="s">
        <v>269</v>
      </c>
      <c r="C36" s="80" t="s">
        <v>270</v>
      </c>
      <c r="D36" s="10">
        <v>200</v>
      </c>
      <c r="E36" s="76"/>
      <c r="F36" s="77"/>
      <c r="G36" s="10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4"/>
      <c r="Q36" s="84"/>
      <c r="R36" s="84"/>
      <c r="S36" s="84"/>
      <c r="T36" s="91" t="str">
        <f t="shared" si="366"/>
        <v>|n|Cff00ff7f击杀200只怪有50%概率升级|r</v>
      </c>
      <c r="U36" s="89" t="s">
        <v>264</v>
      </c>
      <c r="V36" s="90">
        <v>1000</v>
      </c>
      <c r="W36" s="90">
        <v>4000</v>
      </c>
      <c r="X36" s="90"/>
      <c r="Y36" s="90"/>
      <c r="Z36" s="90">
        <v>20000</v>
      </c>
      <c r="AA36" s="90"/>
      <c r="AB36" s="90"/>
      <c r="AC36" s="90"/>
      <c r="AD36" s="90"/>
      <c r="AE36" s="90"/>
      <c r="AF36" s="90"/>
      <c r="AG36" s="92"/>
      <c r="AH36" s="90"/>
      <c r="AI36" s="90"/>
      <c r="AJ36" s="90"/>
      <c r="AK36" s="90"/>
      <c r="AL36" s="92"/>
      <c r="AM36" s="90"/>
      <c r="AN36" s="90"/>
      <c r="AO36" s="90"/>
      <c r="AP36" s="94"/>
      <c r="AQ36" s="94"/>
      <c r="AR36" s="95"/>
      <c r="AS36" s="95"/>
      <c r="AT36" s="94"/>
      <c r="AU36" s="94"/>
      <c r="AV36" s="94"/>
      <c r="AW36" s="94"/>
      <c r="AX36" s="94"/>
      <c r="AY36" s="94"/>
      <c r="AZ36" s="94"/>
      <c r="BA36" s="94"/>
      <c r="BB36" s="94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4"/>
      <c r="CF36" s="94"/>
      <c r="CG36" s="94"/>
      <c r="CH36" s="94"/>
      <c r="CI36" s="94"/>
      <c r="CJ36" s="94"/>
      <c r="CK36" s="94"/>
      <c r="CL36" s="94"/>
      <c r="CM36" s="94"/>
      <c r="CN36" s="97" t="str">
        <f t="shared" si="2"/>
        <v>InitUnitState('E104',1000,4000,,,20000,,,,,)</v>
      </c>
      <c r="CO36" s="97" t="str">
        <f t="shared" si="3"/>
        <v>InitUnitNormal('E104',,,,,,,,,,)</v>
      </c>
      <c r="CP36" s="97" t="str">
        <f t="shared" si="4"/>
        <v>InitUnitMagic('E104',,,,,,,,,,)</v>
      </c>
      <c r="CQ36" s="97" t="str">
        <f t="shared" si="5"/>
        <v>InitUnitAdd('E104',,,,,,,,,,)</v>
      </c>
      <c r="CR36" s="97" t="str">
        <f t="shared" si="6"/>
        <v>InitEquipData('E104',200,"",,E105,,60,'','','','','','',"ReplaceableTextures\\CommandButtons\\BTNZ06.blp")</v>
      </c>
      <c r="CS36" s="97"/>
      <c r="CT36" s="97"/>
      <c r="CU36" s="99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="60" customFormat="1" ht="15" spans="1:175">
      <c r="A37" s="73"/>
      <c r="B37" s="74" t="s">
        <v>271</v>
      </c>
      <c r="C37" s="80" t="s">
        <v>272</v>
      </c>
      <c r="D37" s="10">
        <v>300</v>
      </c>
      <c r="E37" s="76"/>
      <c r="F37" s="77"/>
      <c r="G37" s="10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4"/>
      <c r="Q37" s="84"/>
      <c r="R37" s="84"/>
      <c r="S37" s="84"/>
      <c r="T37" s="91" t="str">
        <f t="shared" si="366"/>
        <v>|n|Cff00ff7f击杀300只怪有50%概率升级|r</v>
      </c>
      <c r="U37" s="89" t="s">
        <v>264</v>
      </c>
      <c r="V37" s="90">
        <v>1250</v>
      </c>
      <c r="W37" s="90">
        <v>5000</v>
      </c>
      <c r="X37" s="90"/>
      <c r="Y37" s="90"/>
      <c r="Z37" s="90">
        <v>25000</v>
      </c>
      <c r="AA37" s="90"/>
      <c r="AB37" s="90"/>
      <c r="AC37" s="90"/>
      <c r="AD37" s="90"/>
      <c r="AE37" s="90"/>
      <c r="AF37" s="90"/>
      <c r="AG37" s="92"/>
      <c r="AH37" s="90"/>
      <c r="AI37" s="90"/>
      <c r="AJ37" s="90"/>
      <c r="AK37" s="90"/>
      <c r="AL37" s="92"/>
      <c r="AM37" s="90"/>
      <c r="AN37" s="90"/>
      <c r="AO37" s="90"/>
      <c r="AP37" s="94"/>
      <c r="AQ37" s="94"/>
      <c r="AR37" s="95"/>
      <c r="AS37" s="95"/>
      <c r="AT37" s="94"/>
      <c r="AU37" s="94"/>
      <c r="AV37" s="94"/>
      <c r="AW37" s="94"/>
      <c r="AX37" s="94"/>
      <c r="AY37" s="94"/>
      <c r="AZ37" s="94"/>
      <c r="BA37" s="94"/>
      <c r="BB37" s="94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4"/>
      <c r="CF37" s="94"/>
      <c r="CG37" s="94"/>
      <c r="CH37" s="94"/>
      <c r="CI37" s="94"/>
      <c r="CJ37" s="94"/>
      <c r="CK37" s="94"/>
      <c r="CL37" s="94"/>
      <c r="CM37" s="94"/>
      <c r="CN37" s="97" t="str">
        <f t="shared" si="2"/>
        <v>InitUnitState('E105',1250,5000,,,25000,,,,,)</v>
      </c>
      <c r="CO37" s="97" t="str">
        <f t="shared" si="3"/>
        <v>InitUnitNormal('E105',,,,,,,,,,)</v>
      </c>
      <c r="CP37" s="97" t="str">
        <f t="shared" si="4"/>
        <v>InitUnitMagic('E105',,,,,,,,,,)</v>
      </c>
      <c r="CQ37" s="97" t="str">
        <f t="shared" si="5"/>
        <v>InitUnitAdd('E105',,,,,,,,,,)</v>
      </c>
      <c r="CR37" s="97" t="str">
        <f t="shared" si="6"/>
        <v>InitEquipData('E105',300,"",,E106,,50,'','','','','','',"ReplaceableTextures\\CommandButtons\\BTNZ07.blp")</v>
      </c>
      <c r="CS37" s="97"/>
      <c r="CT37" s="97"/>
      <c r="CU37" s="99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="60" customFormat="1" ht="15" spans="1:175">
      <c r="A38" s="73"/>
      <c r="B38" s="74" t="s">
        <v>273</v>
      </c>
      <c r="C38" s="80" t="s">
        <v>274</v>
      </c>
      <c r="D38" s="10">
        <v>250</v>
      </c>
      <c r="E38" s="76"/>
      <c r="F38" s="77"/>
      <c r="G38" s="10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4"/>
      <c r="Q38" s="84"/>
      <c r="R38" s="84"/>
      <c r="S38" s="84"/>
      <c r="T38" s="91" t="str">
        <f t="shared" si="366"/>
        <v>|n|Cff00ff7f击杀250只怪有50%概率升级|r</v>
      </c>
      <c r="U38" s="89" t="s">
        <v>275</v>
      </c>
      <c r="V38" s="90">
        <v>2000</v>
      </c>
      <c r="W38" s="90">
        <v>8000</v>
      </c>
      <c r="X38" s="90"/>
      <c r="Y38" s="90"/>
      <c r="Z38" s="90">
        <v>40000</v>
      </c>
      <c r="AA38" s="90"/>
      <c r="AB38" s="90"/>
      <c r="AC38" s="90"/>
      <c r="AD38" s="90"/>
      <c r="AE38" s="90"/>
      <c r="AF38" s="90"/>
      <c r="AG38" s="92"/>
      <c r="AH38" s="90"/>
      <c r="AI38" s="90"/>
      <c r="AJ38" s="90"/>
      <c r="AK38" s="90"/>
      <c r="AL38" s="92"/>
      <c r="AM38" s="90"/>
      <c r="AN38" s="70">
        <v>4</v>
      </c>
      <c r="AO38" s="90"/>
      <c r="AP38" s="94"/>
      <c r="AQ38" s="94"/>
      <c r="AR38" s="95"/>
      <c r="AS38" s="95"/>
      <c r="AT38" s="94"/>
      <c r="AU38" s="94"/>
      <c r="AV38" s="94"/>
      <c r="AW38" s="94"/>
      <c r="AX38" s="94"/>
      <c r="AY38" s="94"/>
      <c r="AZ38" s="94"/>
      <c r="BA38" s="94"/>
      <c r="BB38" s="94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4"/>
      <c r="CF38" s="94"/>
      <c r="CG38" s="94"/>
      <c r="CH38" s="94"/>
      <c r="CI38" s="94"/>
      <c r="CJ38" s="94"/>
      <c r="CK38" s="94"/>
      <c r="CL38" s="94"/>
      <c r="CM38" s="94"/>
      <c r="CN38" s="97" t="str">
        <f t="shared" si="2"/>
        <v>InitUnitState('E106',2000,8000,,,40000,,,,,)</v>
      </c>
      <c r="CO38" s="97" t="str">
        <f t="shared" si="3"/>
        <v>InitUnitNormal('E106',,,,,,,,,4,)</v>
      </c>
      <c r="CP38" s="97" t="str">
        <f t="shared" si="4"/>
        <v>InitUnitMagic('E106',,,,,,,,,,)</v>
      </c>
      <c r="CQ38" s="97" t="str">
        <f t="shared" si="5"/>
        <v>InitUnitAdd('E106',,,,,,,,,,)</v>
      </c>
      <c r="CR38" s="97" t="str">
        <f t="shared" si="6"/>
        <v>InitEquipData('E106',250,"",,E107,,50,'','','','','','',"ReplaceableTextures\\CommandButtons\\BTNZ07.blp")</v>
      </c>
      <c r="CS38" s="97"/>
      <c r="CT38" s="97"/>
      <c r="CU38" s="99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="60" customFormat="1" ht="15" spans="1:175">
      <c r="A39" s="73"/>
      <c r="B39" s="74" t="s">
        <v>276</v>
      </c>
      <c r="C39" s="80" t="s">
        <v>277</v>
      </c>
      <c r="D39" s="10">
        <v>250</v>
      </c>
      <c r="E39" s="76"/>
      <c r="F39" s="77"/>
      <c r="G39" s="10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4"/>
      <c r="Q39" s="84"/>
      <c r="R39" s="84"/>
      <c r="S39" s="84"/>
      <c r="T39" s="91" t="str">
        <f t="shared" si="366"/>
        <v>|n|Cff00ff7f击杀250只怪有50%概率升级|r</v>
      </c>
      <c r="U39" s="89" t="s">
        <v>275</v>
      </c>
      <c r="V39" s="90">
        <v>2500</v>
      </c>
      <c r="W39" s="90">
        <v>10000</v>
      </c>
      <c r="X39" s="90"/>
      <c r="Y39" s="90"/>
      <c r="Z39" s="90">
        <v>50000</v>
      </c>
      <c r="AA39" s="90"/>
      <c r="AB39" s="90"/>
      <c r="AC39" s="90"/>
      <c r="AD39" s="90"/>
      <c r="AE39" s="90"/>
      <c r="AF39" s="90"/>
      <c r="AG39" s="92"/>
      <c r="AH39" s="90"/>
      <c r="AI39" s="90"/>
      <c r="AJ39" s="90"/>
      <c r="AK39" s="90"/>
      <c r="AL39" s="92"/>
      <c r="AM39" s="90"/>
      <c r="AN39" s="70">
        <v>4</v>
      </c>
      <c r="AO39" s="90"/>
      <c r="AP39" s="94"/>
      <c r="AQ39" s="94"/>
      <c r="AR39" s="95"/>
      <c r="AS39" s="95"/>
      <c r="AT39" s="94"/>
      <c r="AU39" s="94"/>
      <c r="AV39" s="94"/>
      <c r="AW39" s="94"/>
      <c r="AX39" s="94"/>
      <c r="AY39" s="94"/>
      <c r="AZ39" s="94"/>
      <c r="BA39" s="94"/>
      <c r="BB39" s="94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4"/>
      <c r="CF39" s="94"/>
      <c r="CG39" s="94"/>
      <c r="CH39" s="94"/>
      <c r="CI39" s="94"/>
      <c r="CJ39" s="94"/>
      <c r="CK39" s="94"/>
      <c r="CL39" s="94"/>
      <c r="CM39" s="94"/>
      <c r="CN39" s="97" t="str">
        <f t="shared" si="2"/>
        <v>InitUnitState('E107',2500,10000,,,50000,,,,,)</v>
      </c>
      <c r="CO39" s="97" t="str">
        <f t="shared" si="3"/>
        <v>InitUnitNormal('E107',,,,,,,,,4,)</v>
      </c>
      <c r="CP39" s="97" t="str">
        <f t="shared" si="4"/>
        <v>InitUnitMagic('E107',,,,,,,,,,)</v>
      </c>
      <c r="CQ39" s="97" t="str">
        <f t="shared" si="5"/>
        <v>InitUnitAdd('E107',,,,,,,,,,)</v>
      </c>
      <c r="CR39" s="97" t="str">
        <f t="shared" si="6"/>
        <v>InitEquipData('E107',250,"",,E108,,50,'','','','','','',"ReplaceableTextures\\CommandButtons\\BTNZ07.blp")</v>
      </c>
      <c r="CS39" s="97"/>
      <c r="CT39" s="97"/>
      <c r="CU39" s="99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="60" customFormat="1" ht="15" spans="1:175">
      <c r="A40" s="73"/>
      <c r="B40" s="74" t="s">
        <v>278</v>
      </c>
      <c r="C40" s="80" t="s">
        <v>279</v>
      </c>
      <c r="D40" s="10">
        <v>250</v>
      </c>
      <c r="E40" s="76"/>
      <c r="F40" s="77"/>
      <c r="G40" s="10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4"/>
      <c r="Q40" s="84"/>
      <c r="R40" s="84"/>
      <c r="S40" s="84"/>
      <c r="T40" s="91" t="str">
        <f t="shared" si="366"/>
        <v>|n|Cff00ff7f击杀250只怪有50%概率升级|r</v>
      </c>
      <c r="U40" s="89" t="s">
        <v>275</v>
      </c>
      <c r="V40" s="90">
        <v>3000</v>
      </c>
      <c r="W40" s="90">
        <v>12000</v>
      </c>
      <c r="X40" s="90"/>
      <c r="Y40" s="90"/>
      <c r="Z40" s="90">
        <v>60000</v>
      </c>
      <c r="AA40" s="90"/>
      <c r="AB40" s="90"/>
      <c r="AC40" s="90"/>
      <c r="AD40" s="90"/>
      <c r="AE40" s="90"/>
      <c r="AF40" s="90"/>
      <c r="AG40" s="92"/>
      <c r="AH40" s="90"/>
      <c r="AI40" s="90"/>
      <c r="AJ40" s="90"/>
      <c r="AK40" s="90"/>
      <c r="AL40" s="92"/>
      <c r="AM40" s="90"/>
      <c r="AN40" s="70">
        <v>4</v>
      </c>
      <c r="AO40" s="90"/>
      <c r="AP40" s="94"/>
      <c r="AQ40" s="94"/>
      <c r="AR40" s="95"/>
      <c r="AS40" s="95"/>
      <c r="AT40" s="94"/>
      <c r="AU40" s="94"/>
      <c r="AV40" s="94"/>
      <c r="AW40" s="94"/>
      <c r="AX40" s="94"/>
      <c r="AY40" s="94"/>
      <c r="AZ40" s="94"/>
      <c r="BA40" s="94"/>
      <c r="BB40" s="94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4"/>
      <c r="CF40" s="94"/>
      <c r="CG40" s="94"/>
      <c r="CH40" s="94"/>
      <c r="CI40" s="94"/>
      <c r="CJ40" s="94"/>
      <c r="CK40" s="94"/>
      <c r="CL40" s="94"/>
      <c r="CM40" s="94"/>
      <c r="CN40" s="97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7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7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7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7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7"/>
      <c r="CT40" s="97"/>
      <c r="CU40" s="99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="60" customFormat="1" ht="15" spans="1:175">
      <c r="A41" s="73"/>
      <c r="B41" s="74" t="s">
        <v>280</v>
      </c>
      <c r="C41" s="80" t="s">
        <v>281</v>
      </c>
      <c r="D41" s="10">
        <v>250</v>
      </c>
      <c r="E41" s="76"/>
      <c r="F41" s="77"/>
      <c r="G41" s="10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4"/>
      <c r="Q41" s="84"/>
      <c r="R41" s="84"/>
      <c r="S41" s="84"/>
      <c r="T41" s="91" t="str">
        <f t="shared" si="366"/>
        <v>|n|Cff00ff7f击杀250只怪有50%概率升级|r</v>
      </c>
      <c r="U41" s="89" t="s">
        <v>275</v>
      </c>
      <c r="V41" s="90">
        <v>3500</v>
      </c>
      <c r="W41" s="90">
        <v>14000</v>
      </c>
      <c r="X41" s="90"/>
      <c r="Y41" s="90"/>
      <c r="Z41" s="90">
        <v>70000</v>
      </c>
      <c r="AA41" s="90"/>
      <c r="AB41" s="90"/>
      <c r="AC41" s="90"/>
      <c r="AD41" s="90"/>
      <c r="AE41" s="90"/>
      <c r="AF41" s="90"/>
      <c r="AG41" s="92"/>
      <c r="AH41" s="90"/>
      <c r="AI41" s="90"/>
      <c r="AJ41" s="90"/>
      <c r="AK41" s="90"/>
      <c r="AL41" s="92"/>
      <c r="AM41" s="90"/>
      <c r="AN41" s="70">
        <v>4</v>
      </c>
      <c r="AO41" s="90"/>
      <c r="AP41" s="94"/>
      <c r="AQ41" s="94"/>
      <c r="AR41" s="95"/>
      <c r="AS41" s="95"/>
      <c r="AT41" s="94"/>
      <c r="AU41" s="94"/>
      <c r="AV41" s="94"/>
      <c r="AW41" s="94"/>
      <c r="AX41" s="94"/>
      <c r="AY41" s="94"/>
      <c r="AZ41" s="94"/>
      <c r="BA41" s="94"/>
      <c r="BB41" s="94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4"/>
      <c r="CF41" s="94"/>
      <c r="CG41" s="94"/>
      <c r="CH41" s="94"/>
      <c r="CI41" s="94"/>
      <c r="CJ41" s="94"/>
      <c r="CK41" s="94"/>
      <c r="CL41" s="94"/>
      <c r="CM41" s="94"/>
      <c r="CN41" s="97" t="str">
        <f t="shared" si="367"/>
        <v>InitUnitState('E109',3500,14000,,,70000,,,,,)</v>
      </c>
      <c r="CO41" s="97" t="str">
        <f t="shared" si="368"/>
        <v>InitUnitNormal('E109',,,,,,,,,4,)</v>
      </c>
      <c r="CP41" s="97" t="str">
        <f t="shared" si="369"/>
        <v>InitUnitMagic('E109',,,,,,,,,,)</v>
      </c>
      <c r="CQ41" s="97" t="str">
        <f t="shared" si="370"/>
        <v>InitUnitAdd('E109',,,,,,,,,,)</v>
      </c>
      <c r="CR41" s="97" t="str">
        <f t="shared" si="371"/>
        <v>InitEquipData('E109',250,"",,E110,,50,'','','','','','',"ReplaceableTextures\\CommandButtons\\BTNZ07.blp")</v>
      </c>
      <c r="CS41" s="97"/>
      <c r="CT41" s="97"/>
      <c r="CU41" s="99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="60" customFormat="1" ht="15" spans="1:175">
      <c r="A42" s="73"/>
      <c r="B42" s="74" t="s">
        <v>282</v>
      </c>
      <c r="C42" s="80" t="s">
        <v>283</v>
      </c>
      <c r="D42" s="10">
        <v>400</v>
      </c>
      <c r="E42" s="76"/>
      <c r="F42" s="77"/>
      <c r="G42" s="10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4"/>
      <c r="Q42" s="84"/>
      <c r="R42" s="84"/>
      <c r="S42" s="84"/>
      <c r="T42" s="91" t="str">
        <f t="shared" si="366"/>
        <v>|n|Cff00ff7f击杀400只怪有50%概率升级|r</v>
      </c>
      <c r="U42" s="89" t="s">
        <v>275</v>
      </c>
      <c r="V42" s="90">
        <v>4000</v>
      </c>
      <c r="W42" s="90">
        <v>16000</v>
      </c>
      <c r="X42" s="90"/>
      <c r="Y42" s="90"/>
      <c r="Z42" s="90">
        <v>80000</v>
      </c>
      <c r="AA42" s="90"/>
      <c r="AB42" s="90"/>
      <c r="AC42" s="90"/>
      <c r="AD42" s="90"/>
      <c r="AE42" s="90"/>
      <c r="AF42" s="90"/>
      <c r="AG42" s="92"/>
      <c r="AH42" s="90"/>
      <c r="AI42" s="90"/>
      <c r="AJ42" s="90"/>
      <c r="AK42" s="90"/>
      <c r="AL42" s="92"/>
      <c r="AM42" s="90"/>
      <c r="AN42" s="70">
        <v>4</v>
      </c>
      <c r="AO42" s="90"/>
      <c r="AP42" s="94"/>
      <c r="AQ42" s="94"/>
      <c r="AR42" s="95"/>
      <c r="AS42" s="95"/>
      <c r="AT42" s="94"/>
      <c r="AU42" s="94"/>
      <c r="AV42" s="94"/>
      <c r="AW42" s="94"/>
      <c r="AX42" s="94"/>
      <c r="AY42" s="94"/>
      <c r="AZ42" s="94"/>
      <c r="BA42" s="94"/>
      <c r="BB42" s="94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4"/>
      <c r="CF42" s="94"/>
      <c r="CG42" s="94"/>
      <c r="CH42" s="94"/>
      <c r="CI42" s="94"/>
      <c r="CJ42" s="94"/>
      <c r="CK42" s="94"/>
      <c r="CL42" s="94"/>
      <c r="CM42" s="94"/>
      <c r="CN42" s="97" t="str">
        <f t="shared" si="367"/>
        <v>InitUnitState('E110',4000,16000,,,80000,,,,,)</v>
      </c>
      <c r="CO42" s="97" t="str">
        <f t="shared" si="368"/>
        <v>InitUnitNormal('E110',,,,,,,,,4,)</v>
      </c>
      <c r="CP42" s="97" t="str">
        <f t="shared" si="369"/>
        <v>InitUnitMagic('E110',,,,,,,,,,)</v>
      </c>
      <c r="CQ42" s="97" t="str">
        <f t="shared" si="370"/>
        <v>InitUnitAdd('E110',,,,,,,,,,)</v>
      </c>
      <c r="CR42" s="97" t="str">
        <f t="shared" si="371"/>
        <v>InitEquipData('E110',400,"",,E111,,50,'','','','','','',"ReplaceableTextures\\CommandButtons\\BTNZ08.blp")</v>
      </c>
      <c r="CS42" s="97"/>
      <c r="CT42" s="97"/>
      <c r="CU42" s="99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="60" customFormat="1" ht="15" spans="1:175">
      <c r="A43" s="73"/>
      <c r="B43" s="74" t="s">
        <v>284</v>
      </c>
      <c r="C43" s="80" t="s">
        <v>285</v>
      </c>
      <c r="D43" s="10">
        <v>350</v>
      </c>
      <c r="E43" s="76"/>
      <c r="F43" s="77"/>
      <c r="G43" s="10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4"/>
      <c r="Q43" s="84"/>
      <c r="R43" s="84"/>
      <c r="S43" s="84"/>
      <c r="T43" s="91" t="str">
        <f t="shared" si="366"/>
        <v>|n|Cff00ff7f击杀350只怪有50%概率升级|r</v>
      </c>
      <c r="U43" s="89" t="s">
        <v>286</v>
      </c>
      <c r="V43" s="90">
        <v>6000</v>
      </c>
      <c r="W43" s="90">
        <v>24000</v>
      </c>
      <c r="X43" s="90"/>
      <c r="Y43" s="90"/>
      <c r="Z43" s="90">
        <v>120000</v>
      </c>
      <c r="AA43" s="90"/>
      <c r="AB43" s="90"/>
      <c r="AC43" s="90"/>
      <c r="AD43" s="90"/>
      <c r="AE43" s="90"/>
      <c r="AF43" s="90"/>
      <c r="AG43" s="92"/>
      <c r="AH43" s="90"/>
      <c r="AI43" s="90"/>
      <c r="AJ43" s="90"/>
      <c r="AK43" s="90"/>
      <c r="AL43" s="92"/>
      <c r="AM43" s="90"/>
      <c r="AN43" s="70">
        <v>6</v>
      </c>
      <c r="AO43" s="90"/>
      <c r="AP43" s="94"/>
      <c r="AQ43" s="94"/>
      <c r="AR43" s="95"/>
      <c r="AS43" s="95"/>
      <c r="AT43" s="94"/>
      <c r="AU43" s="94"/>
      <c r="AV43" s="94"/>
      <c r="AW43" s="94"/>
      <c r="AX43" s="94"/>
      <c r="AY43" s="94"/>
      <c r="AZ43" s="94"/>
      <c r="BA43" s="94"/>
      <c r="BB43" s="94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4"/>
      <c r="CF43" s="94"/>
      <c r="CG43" s="94"/>
      <c r="CH43" s="94"/>
      <c r="CI43" s="94"/>
      <c r="CJ43" s="94"/>
      <c r="CK43" s="94"/>
      <c r="CL43" s="94"/>
      <c r="CM43" s="94"/>
      <c r="CN43" s="97" t="str">
        <f t="shared" si="367"/>
        <v>InitUnitState('E111',6000,24000,,,120000,,,,,)</v>
      </c>
      <c r="CO43" s="97" t="str">
        <f t="shared" si="368"/>
        <v>InitUnitNormal('E111',,,,,,,,,6,)</v>
      </c>
      <c r="CP43" s="97" t="str">
        <f t="shared" si="369"/>
        <v>InitUnitMagic('E111',,,,,,,,,,)</v>
      </c>
      <c r="CQ43" s="97" t="str">
        <f t="shared" si="370"/>
        <v>InitUnitAdd('E111',,,,,,,,,,)</v>
      </c>
      <c r="CR43" s="97" t="str">
        <f t="shared" si="371"/>
        <v>InitEquipData('E111',350,"",,E112,,50,'','','','','','',"ReplaceableTextures\\CommandButtons\\BTNZ08.blp")</v>
      </c>
      <c r="CS43" s="97"/>
      <c r="CT43" s="97"/>
      <c r="CU43" s="99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="60" customFormat="1" ht="15" spans="1:175">
      <c r="A44" s="73"/>
      <c r="B44" s="74" t="s">
        <v>287</v>
      </c>
      <c r="C44" s="80" t="s">
        <v>288</v>
      </c>
      <c r="D44" s="10">
        <v>350</v>
      </c>
      <c r="E44" s="76"/>
      <c r="F44" s="77"/>
      <c r="G44" s="10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4"/>
      <c r="Q44" s="84"/>
      <c r="R44" s="84"/>
      <c r="S44" s="84"/>
      <c r="T44" s="91" t="str">
        <f t="shared" si="366"/>
        <v>|n|Cff00ff7f击杀350只怪有50%概率升级|r</v>
      </c>
      <c r="U44" s="89" t="s">
        <v>286</v>
      </c>
      <c r="V44" s="90">
        <v>7000</v>
      </c>
      <c r="W44" s="90">
        <v>28000</v>
      </c>
      <c r="X44" s="90"/>
      <c r="Y44" s="90"/>
      <c r="Z44" s="90">
        <v>140000</v>
      </c>
      <c r="AA44" s="90"/>
      <c r="AB44" s="90"/>
      <c r="AC44" s="90"/>
      <c r="AD44" s="90"/>
      <c r="AE44" s="90"/>
      <c r="AF44" s="90"/>
      <c r="AG44" s="92"/>
      <c r="AH44" s="90"/>
      <c r="AI44" s="90"/>
      <c r="AJ44" s="90"/>
      <c r="AK44" s="90"/>
      <c r="AL44" s="92"/>
      <c r="AM44" s="90"/>
      <c r="AN44" s="70">
        <v>6</v>
      </c>
      <c r="AO44" s="90"/>
      <c r="AP44" s="94"/>
      <c r="AQ44" s="94"/>
      <c r="AR44" s="95"/>
      <c r="AS44" s="95"/>
      <c r="AT44" s="94"/>
      <c r="AU44" s="94"/>
      <c r="AV44" s="94"/>
      <c r="AW44" s="94"/>
      <c r="AX44" s="94"/>
      <c r="AY44" s="94"/>
      <c r="AZ44" s="94"/>
      <c r="BA44" s="94"/>
      <c r="BB44" s="94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4"/>
      <c r="CF44" s="94"/>
      <c r="CG44" s="94"/>
      <c r="CH44" s="94"/>
      <c r="CI44" s="94"/>
      <c r="CJ44" s="94"/>
      <c r="CK44" s="94"/>
      <c r="CL44" s="94"/>
      <c r="CM44" s="94"/>
      <c r="CN44" s="97" t="str">
        <f t="shared" si="367"/>
        <v>InitUnitState('E112',7000,28000,,,140000,,,,,)</v>
      </c>
      <c r="CO44" s="97" t="str">
        <f t="shared" si="368"/>
        <v>InitUnitNormal('E112',,,,,,,,,6,)</v>
      </c>
      <c r="CP44" s="97" t="str">
        <f t="shared" si="369"/>
        <v>InitUnitMagic('E112',,,,,,,,,,)</v>
      </c>
      <c r="CQ44" s="97" t="str">
        <f t="shared" si="370"/>
        <v>InitUnitAdd('E112',,,,,,,,,,)</v>
      </c>
      <c r="CR44" s="97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7"/>
      <c r="CT44" s="97"/>
      <c r="CU44" s="99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="60" customFormat="1" ht="15" spans="1:175">
      <c r="A45" s="73"/>
      <c r="B45" s="74" t="s">
        <v>289</v>
      </c>
      <c r="C45" s="80" t="s">
        <v>290</v>
      </c>
      <c r="D45" s="10">
        <v>350</v>
      </c>
      <c r="E45" s="76"/>
      <c r="F45" s="77"/>
      <c r="G45" s="10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4"/>
      <c r="Q45" s="84"/>
      <c r="R45" s="84"/>
      <c r="S45" s="84"/>
      <c r="T45" s="91" t="str">
        <f t="shared" si="366"/>
        <v>|n|Cff00ff7f击杀350只怪有50%概率升级|r</v>
      </c>
      <c r="U45" s="89" t="s">
        <v>286</v>
      </c>
      <c r="V45" s="90">
        <v>8000</v>
      </c>
      <c r="W45" s="90">
        <v>32000</v>
      </c>
      <c r="X45" s="90"/>
      <c r="Y45" s="90"/>
      <c r="Z45" s="90">
        <v>160000</v>
      </c>
      <c r="AA45" s="90"/>
      <c r="AB45" s="90"/>
      <c r="AC45" s="90"/>
      <c r="AD45" s="90"/>
      <c r="AE45" s="90"/>
      <c r="AF45" s="90"/>
      <c r="AG45" s="92"/>
      <c r="AH45" s="90"/>
      <c r="AI45" s="90"/>
      <c r="AJ45" s="90"/>
      <c r="AK45" s="90"/>
      <c r="AL45" s="92"/>
      <c r="AM45" s="90"/>
      <c r="AN45" s="70">
        <v>6</v>
      </c>
      <c r="AO45" s="90"/>
      <c r="AP45" s="94"/>
      <c r="AQ45" s="94"/>
      <c r="AR45" s="95"/>
      <c r="AS45" s="95"/>
      <c r="AT45" s="94"/>
      <c r="AU45" s="94"/>
      <c r="AV45" s="94"/>
      <c r="AW45" s="94"/>
      <c r="AX45" s="94"/>
      <c r="AY45" s="94"/>
      <c r="AZ45" s="94"/>
      <c r="BA45" s="94"/>
      <c r="BB45" s="94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4"/>
      <c r="CF45" s="94"/>
      <c r="CG45" s="94"/>
      <c r="CH45" s="94"/>
      <c r="CI45" s="94"/>
      <c r="CJ45" s="94"/>
      <c r="CK45" s="94"/>
      <c r="CL45" s="94"/>
      <c r="CM45" s="94"/>
      <c r="CN45" s="97" t="str">
        <f t="shared" si="367"/>
        <v>InitUnitState('E113',8000,32000,,,160000,,,,,)</v>
      </c>
      <c r="CO45" s="97" t="str">
        <f t="shared" si="368"/>
        <v>InitUnitNormal('E113',,,,,,,,,6,)</v>
      </c>
      <c r="CP45" s="97" t="str">
        <f t="shared" si="369"/>
        <v>InitUnitMagic('E113',,,,,,,,,,)</v>
      </c>
      <c r="CQ45" s="97" t="str">
        <f t="shared" si="370"/>
        <v>InitUnitAdd('E113',,,,,,,,,,)</v>
      </c>
      <c r="CR45" s="97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7"/>
      <c r="CT45" s="97"/>
      <c r="CU45" s="99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="60" customFormat="1" ht="15" spans="1:175">
      <c r="A46" s="73"/>
      <c r="B46" s="74" t="s">
        <v>291</v>
      </c>
      <c r="C46" s="80" t="s">
        <v>292</v>
      </c>
      <c r="D46" s="10">
        <v>350</v>
      </c>
      <c r="E46" s="76"/>
      <c r="F46" s="77"/>
      <c r="G46" s="10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4"/>
      <c r="Q46" s="84"/>
      <c r="R46" s="84"/>
      <c r="S46" s="84"/>
      <c r="T46" s="91" t="str">
        <f t="shared" si="366"/>
        <v>|n|Cff00ff7f击杀350只怪有50%概率升级|r</v>
      </c>
      <c r="U46" s="89" t="s">
        <v>286</v>
      </c>
      <c r="V46" s="90">
        <v>10000</v>
      </c>
      <c r="W46" s="90">
        <v>40000</v>
      </c>
      <c r="X46" s="90"/>
      <c r="Y46" s="90"/>
      <c r="Z46" s="90">
        <v>200000</v>
      </c>
      <c r="AA46" s="90"/>
      <c r="AB46" s="90"/>
      <c r="AC46" s="90"/>
      <c r="AD46" s="90"/>
      <c r="AE46" s="90"/>
      <c r="AF46" s="90"/>
      <c r="AG46" s="92"/>
      <c r="AH46" s="90"/>
      <c r="AI46" s="90"/>
      <c r="AJ46" s="90"/>
      <c r="AK46" s="90"/>
      <c r="AL46" s="92"/>
      <c r="AM46" s="90"/>
      <c r="AN46" s="70">
        <v>6</v>
      </c>
      <c r="AO46" s="90"/>
      <c r="AP46" s="94"/>
      <c r="AQ46" s="94"/>
      <c r="AR46" s="95"/>
      <c r="AS46" s="95"/>
      <c r="AT46" s="94"/>
      <c r="AU46" s="94"/>
      <c r="AV46" s="94"/>
      <c r="AW46" s="94"/>
      <c r="AX46" s="94"/>
      <c r="AY46" s="94"/>
      <c r="AZ46" s="94"/>
      <c r="BA46" s="94"/>
      <c r="BB46" s="94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4"/>
      <c r="CF46" s="94"/>
      <c r="CG46" s="94"/>
      <c r="CH46" s="94"/>
      <c r="CI46" s="94"/>
      <c r="CJ46" s="94"/>
      <c r="CK46" s="94"/>
      <c r="CL46" s="94"/>
      <c r="CM46" s="94"/>
      <c r="CN46" s="97" t="str">
        <f t="shared" si="367"/>
        <v>InitUnitState('E114',10000,40000,,,200000,,,,,)</v>
      </c>
      <c r="CO46" s="97" t="str">
        <f t="shared" si="368"/>
        <v>InitUnitNormal('E114',,,,,,,,,6,)</v>
      </c>
      <c r="CP46" s="97" t="str">
        <f t="shared" si="369"/>
        <v>InitUnitMagic('E114',,,,,,,,,,)</v>
      </c>
      <c r="CQ46" s="97" t="str">
        <f t="shared" si="370"/>
        <v>InitUnitAdd('E114',,,,,,,,,,)</v>
      </c>
      <c r="CR46" s="97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7"/>
      <c r="CT46" s="97"/>
      <c r="CU46" s="99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="60" customFormat="1" ht="15" spans="1:175">
      <c r="A47" s="73"/>
      <c r="B47" s="74" t="s">
        <v>293</v>
      </c>
      <c r="C47" s="80" t="s">
        <v>294</v>
      </c>
      <c r="D47" s="10">
        <v>600</v>
      </c>
      <c r="E47" s="76"/>
      <c r="F47" s="77"/>
      <c r="G47" s="10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4"/>
      <c r="Q47" s="84"/>
      <c r="R47" s="84"/>
      <c r="S47" s="84"/>
      <c r="T47" s="91" t="str">
        <f t="shared" si="366"/>
        <v>|n|Cff00ff7f击杀600只怪有50%概率升级|r</v>
      </c>
      <c r="U47" s="89" t="s">
        <v>286</v>
      </c>
      <c r="V47" s="90">
        <v>12000</v>
      </c>
      <c r="W47" s="90">
        <v>48000</v>
      </c>
      <c r="X47" s="90"/>
      <c r="Y47" s="90"/>
      <c r="Z47" s="90">
        <v>240000</v>
      </c>
      <c r="AA47" s="90"/>
      <c r="AB47" s="90"/>
      <c r="AC47" s="90"/>
      <c r="AD47" s="90"/>
      <c r="AE47" s="90"/>
      <c r="AF47" s="90"/>
      <c r="AG47" s="92"/>
      <c r="AH47" s="90"/>
      <c r="AI47" s="90"/>
      <c r="AJ47" s="90"/>
      <c r="AK47" s="90"/>
      <c r="AL47" s="92"/>
      <c r="AM47" s="90"/>
      <c r="AN47" s="70">
        <v>6</v>
      </c>
      <c r="AO47" s="90"/>
      <c r="AP47" s="94"/>
      <c r="AQ47" s="94"/>
      <c r="AR47" s="95"/>
      <c r="AS47" s="95"/>
      <c r="AT47" s="94"/>
      <c r="AU47" s="94"/>
      <c r="AV47" s="94"/>
      <c r="AW47" s="94"/>
      <c r="AX47" s="94"/>
      <c r="AY47" s="94"/>
      <c r="AZ47" s="94"/>
      <c r="BA47" s="94"/>
      <c r="BB47" s="94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4"/>
      <c r="CF47" s="94"/>
      <c r="CG47" s="94"/>
      <c r="CH47" s="94"/>
      <c r="CI47" s="94"/>
      <c r="CJ47" s="94"/>
      <c r="CK47" s="94"/>
      <c r="CL47" s="94"/>
      <c r="CM47" s="94"/>
      <c r="CN47" s="97" t="str">
        <f t="shared" si="367"/>
        <v>InitUnitState('E115',12000,48000,,,240000,,,,,)</v>
      </c>
      <c r="CO47" s="97" t="str">
        <f t="shared" si="368"/>
        <v>InitUnitNormal('E115',,,,,,,,,6,)</v>
      </c>
      <c r="CP47" s="97" t="str">
        <f t="shared" si="369"/>
        <v>InitUnitMagic('E115',,,,,,,,,,)</v>
      </c>
      <c r="CQ47" s="97" t="str">
        <f t="shared" si="370"/>
        <v>InitUnitAdd('E115',,,,,,,,,,)</v>
      </c>
      <c r="CR47" s="97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7"/>
      <c r="CT47" s="97"/>
      <c r="CU47" s="99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="60" customFormat="1" ht="15" spans="1:175">
      <c r="A48" s="73"/>
      <c r="B48" s="74" t="s">
        <v>295</v>
      </c>
      <c r="C48" s="80" t="s">
        <v>296</v>
      </c>
      <c r="D48" s="10">
        <v>500</v>
      </c>
      <c r="E48" s="76"/>
      <c r="F48" s="77"/>
      <c r="G48" s="10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4"/>
      <c r="Q48" s="84"/>
      <c r="R48" s="84"/>
      <c r="S48" s="84"/>
      <c r="T48" s="91" t="str">
        <f t="shared" ref="T48:T52" si="442">"|n|Cff00ff7f击杀"&amp;D48&amp;"只怪有50%概率升级|r"</f>
        <v>|n|Cff00ff7f击杀500只怪有50%概率升级|r</v>
      </c>
      <c r="U48" s="89" t="s">
        <v>297</v>
      </c>
      <c r="V48" s="90">
        <v>18000</v>
      </c>
      <c r="W48" s="90">
        <v>72000</v>
      </c>
      <c r="X48" s="90"/>
      <c r="Y48" s="90"/>
      <c r="Z48" s="90">
        <v>360000</v>
      </c>
      <c r="AA48" s="90"/>
      <c r="AB48" s="90"/>
      <c r="AC48" s="90"/>
      <c r="AD48" s="90"/>
      <c r="AE48" s="90"/>
      <c r="AF48" s="90"/>
      <c r="AG48" s="92"/>
      <c r="AH48" s="90"/>
      <c r="AI48" s="90"/>
      <c r="AJ48" s="90"/>
      <c r="AK48" s="90"/>
      <c r="AL48" s="92"/>
      <c r="AM48" s="90"/>
      <c r="AN48" s="70">
        <v>8</v>
      </c>
      <c r="AO48" s="90"/>
      <c r="AP48" s="94"/>
      <c r="AQ48" s="94"/>
      <c r="AR48" s="95"/>
      <c r="AS48" s="95"/>
      <c r="AT48" s="94"/>
      <c r="AU48" s="94"/>
      <c r="AV48" s="94"/>
      <c r="AW48" s="94"/>
      <c r="AX48" s="94"/>
      <c r="AY48" s="94"/>
      <c r="AZ48" s="94"/>
      <c r="BA48" s="94"/>
      <c r="BB48" s="94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4"/>
      <c r="CF48" s="94"/>
      <c r="CG48" s="94"/>
      <c r="CH48" s="94"/>
      <c r="CI48" s="94"/>
      <c r="CJ48" s="94"/>
      <c r="CK48" s="94"/>
      <c r="CL48" s="94"/>
      <c r="CM48" s="94"/>
      <c r="CN48" s="97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7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7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7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7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7"/>
      <c r="CT48" s="97"/>
      <c r="CU48" s="99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="60" customFormat="1" ht="15" spans="1:175">
      <c r="A49" s="73"/>
      <c r="B49" s="74" t="s">
        <v>298</v>
      </c>
      <c r="C49" s="80" t="s">
        <v>299</v>
      </c>
      <c r="D49" s="10">
        <v>500</v>
      </c>
      <c r="E49" s="76"/>
      <c r="F49" s="77"/>
      <c r="G49" s="10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4"/>
      <c r="Q49" s="84"/>
      <c r="R49" s="84"/>
      <c r="S49" s="84"/>
      <c r="T49" s="91" t="str">
        <f t="shared" si="442"/>
        <v>|n|Cff00ff7f击杀500只怪有50%概率升级|r</v>
      </c>
      <c r="U49" s="89" t="s">
        <v>297</v>
      </c>
      <c r="V49" s="90">
        <v>21000</v>
      </c>
      <c r="W49" s="90">
        <v>84000</v>
      </c>
      <c r="X49" s="90"/>
      <c r="Y49" s="90"/>
      <c r="Z49" s="90">
        <v>420000</v>
      </c>
      <c r="AA49" s="90"/>
      <c r="AB49" s="90"/>
      <c r="AC49" s="90"/>
      <c r="AD49" s="90"/>
      <c r="AE49" s="90"/>
      <c r="AF49" s="90"/>
      <c r="AG49" s="92"/>
      <c r="AH49" s="90"/>
      <c r="AI49" s="90"/>
      <c r="AJ49" s="90"/>
      <c r="AK49" s="90"/>
      <c r="AL49" s="92"/>
      <c r="AM49" s="90"/>
      <c r="AN49" s="70">
        <v>8</v>
      </c>
      <c r="AO49" s="90"/>
      <c r="AP49" s="94"/>
      <c r="AQ49" s="94"/>
      <c r="AR49" s="95"/>
      <c r="AS49" s="95"/>
      <c r="AT49" s="94"/>
      <c r="AU49" s="94"/>
      <c r="AV49" s="94"/>
      <c r="AW49" s="94"/>
      <c r="AX49" s="94"/>
      <c r="AY49" s="94"/>
      <c r="AZ49" s="94"/>
      <c r="BA49" s="94"/>
      <c r="BB49" s="94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4"/>
      <c r="CF49" s="94"/>
      <c r="CG49" s="94"/>
      <c r="CH49" s="94"/>
      <c r="CI49" s="94"/>
      <c r="CJ49" s="94"/>
      <c r="CK49" s="94"/>
      <c r="CL49" s="94"/>
      <c r="CM49" s="94"/>
      <c r="CN49" s="97" t="str">
        <f t="shared" si="443"/>
        <v>InitUnitState('E117',21000,84000,,,420000,,,,,)</v>
      </c>
      <c r="CO49" s="97" t="str">
        <f t="shared" si="444"/>
        <v>InitUnitNormal('E117',,,,,,,,,8,)</v>
      </c>
      <c r="CP49" s="97" t="str">
        <f t="shared" si="445"/>
        <v>InitUnitMagic('E117',,,,,,,,,,)</v>
      </c>
      <c r="CQ49" s="97" t="str">
        <f t="shared" si="446"/>
        <v>InitUnitAdd('E117',,,,,,,,,,)</v>
      </c>
      <c r="CR49" s="97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7"/>
      <c r="CT49" s="97"/>
      <c r="CU49" s="99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="60" customFormat="1" ht="15" spans="1:175">
      <c r="A50" s="73"/>
      <c r="B50" s="74" t="s">
        <v>300</v>
      </c>
      <c r="C50" s="80" t="s">
        <v>301</v>
      </c>
      <c r="D50" s="10">
        <v>500</v>
      </c>
      <c r="E50" s="76"/>
      <c r="F50" s="77"/>
      <c r="G50" s="10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4"/>
      <c r="Q50" s="84"/>
      <c r="R50" s="84"/>
      <c r="S50" s="84"/>
      <c r="T50" s="91" t="str">
        <f t="shared" si="442"/>
        <v>|n|Cff00ff7f击杀500只怪有50%概率升级|r</v>
      </c>
      <c r="U50" s="89" t="s">
        <v>297</v>
      </c>
      <c r="V50" s="90">
        <v>24000</v>
      </c>
      <c r="W50" s="90">
        <v>96000</v>
      </c>
      <c r="X50" s="90"/>
      <c r="Y50" s="90"/>
      <c r="Z50" s="90">
        <v>480000</v>
      </c>
      <c r="AA50" s="90"/>
      <c r="AB50" s="90"/>
      <c r="AC50" s="90"/>
      <c r="AD50" s="90"/>
      <c r="AE50" s="90"/>
      <c r="AF50" s="90"/>
      <c r="AG50" s="92"/>
      <c r="AH50" s="90"/>
      <c r="AI50" s="90"/>
      <c r="AJ50" s="90"/>
      <c r="AK50" s="90"/>
      <c r="AL50" s="92"/>
      <c r="AM50" s="90"/>
      <c r="AN50" s="70">
        <v>8</v>
      </c>
      <c r="AO50" s="90"/>
      <c r="AP50" s="94"/>
      <c r="AQ50" s="94"/>
      <c r="AR50" s="95"/>
      <c r="AS50" s="95"/>
      <c r="AT50" s="94"/>
      <c r="AU50" s="94"/>
      <c r="AV50" s="94"/>
      <c r="AW50" s="94"/>
      <c r="AX50" s="94"/>
      <c r="AY50" s="94"/>
      <c r="AZ50" s="94"/>
      <c r="BA50" s="94"/>
      <c r="BB50" s="94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4"/>
      <c r="CF50" s="94"/>
      <c r="CG50" s="94"/>
      <c r="CH50" s="94"/>
      <c r="CI50" s="94"/>
      <c r="CJ50" s="94"/>
      <c r="CK50" s="94"/>
      <c r="CL50" s="94"/>
      <c r="CM50" s="94"/>
      <c r="CN50" s="97" t="str">
        <f t="shared" si="443"/>
        <v>InitUnitState('E118',24000,96000,,,480000,,,,,)</v>
      </c>
      <c r="CO50" s="97" t="str">
        <f t="shared" si="444"/>
        <v>InitUnitNormal('E118',,,,,,,,,8,)</v>
      </c>
      <c r="CP50" s="97" t="str">
        <f t="shared" si="445"/>
        <v>InitUnitMagic('E118',,,,,,,,,,)</v>
      </c>
      <c r="CQ50" s="97" t="str">
        <f t="shared" si="446"/>
        <v>InitUnitAdd('E118',,,,,,,,,,)</v>
      </c>
      <c r="CR50" s="97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7"/>
      <c r="CT50" s="97"/>
      <c r="CU50" s="99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="60" customFormat="1" ht="15" spans="1:175">
      <c r="A51" s="73"/>
      <c r="B51" s="74" t="s">
        <v>302</v>
      </c>
      <c r="C51" s="80" t="s">
        <v>303</v>
      </c>
      <c r="D51" s="10">
        <v>500</v>
      </c>
      <c r="E51" s="76"/>
      <c r="F51" s="77"/>
      <c r="G51" s="10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4"/>
      <c r="Q51" s="84"/>
      <c r="R51" s="84"/>
      <c r="S51" s="84"/>
      <c r="T51" s="91" t="str">
        <f t="shared" si="442"/>
        <v>|n|Cff00ff7f击杀500只怪有50%概率升级|r</v>
      </c>
      <c r="U51" s="89" t="s">
        <v>297</v>
      </c>
      <c r="V51" s="90">
        <v>27000</v>
      </c>
      <c r="W51" s="90">
        <v>108000</v>
      </c>
      <c r="X51" s="90"/>
      <c r="Y51" s="90"/>
      <c r="Z51" s="90">
        <v>540000</v>
      </c>
      <c r="AA51" s="90"/>
      <c r="AB51" s="90"/>
      <c r="AC51" s="90"/>
      <c r="AD51" s="90"/>
      <c r="AE51" s="90"/>
      <c r="AF51" s="90"/>
      <c r="AG51" s="92"/>
      <c r="AH51" s="90"/>
      <c r="AI51" s="90"/>
      <c r="AJ51" s="90"/>
      <c r="AK51" s="90"/>
      <c r="AL51" s="92"/>
      <c r="AM51" s="90"/>
      <c r="AN51" s="70">
        <v>8</v>
      </c>
      <c r="AO51" s="90"/>
      <c r="AP51" s="94"/>
      <c r="AQ51" s="94"/>
      <c r="AR51" s="95"/>
      <c r="AS51" s="95"/>
      <c r="AT51" s="94"/>
      <c r="AU51" s="94"/>
      <c r="AV51" s="94"/>
      <c r="AW51" s="94"/>
      <c r="AX51" s="94"/>
      <c r="AY51" s="94"/>
      <c r="AZ51" s="94"/>
      <c r="BA51" s="94"/>
      <c r="BB51" s="94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4"/>
      <c r="CF51" s="94"/>
      <c r="CG51" s="94"/>
      <c r="CH51" s="94"/>
      <c r="CI51" s="94"/>
      <c r="CJ51" s="94"/>
      <c r="CK51" s="94"/>
      <c r="CL51" s="94"/>
      <c r="CM51" s="94"/>
      <c r="CN51" s="97" t="str">
        <f t="shared" si="443"/>
        <v>InitUnitState('E119',27000,108000,,,540000,,,,,)</v>
      </c>
      <c r="CO51" s="97" t="str">
        <f t="shared" si="444"/>
        <v>InitUnitNormal('E119',,,,,,,,,8,)</v>
      </c>
      <c r="CP51" s="97" t="str">
        <f t="shared" si="445"/>
        <v>InitUnitMagic('E119',,,,,,,,,,)</v>
      </c>
      <c r="CQ51" s="97" t="str">
        <f t="shared" si="446"/>
        <v>InitUnitAdd('E119',,,,,,,,,,)</v>
      </c>
      <c r="CR51" s="97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7"/>
      <c r="CT51" s="97"/>
      <c r="CU51" s="99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="60" customFormat="1" ht="15" spans="1:175">
      <c r="A52" s="73"/>
      <c r="B52" s="74" t="s">
        <v>304</v>
      </c>
      <c r="C52" s="80" t="s">
        <v>305</v>
      </c>
      <c r="D52" s="10">
        <v>800</v>
      </c>
      <c r="E52" s="76"/>
      <c r="F52" s="77"/>
      <c r="G52" s="10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4"/>
      <c r="Q52" s="84"/>
      <c r="R52" s="84"/>
      <c r="S52" s="84"/>
      <c r="T52" s="91" t="str">
        <f t="shared" si="442"/>
        <v>|n|Cff00ff7f击杀800只怪有50%概率升级|r</v>
      </c>
      <c r="U52" s="89" t="s">
        <v>297</v>
      </c>
      <c r="V52" s="90">
        <v>30000</v>
      </c>
      <c r="W52" s="90">
        <v>120000</v>
      </c>
      <c r="X52" s="90"/>
      <c r="Y52" s="90"/>
      <c r="Z52" s="90">
        <v>600000</v>
      </c>
      <c r="AA52" s="90"/>
      <c r="AB52" s="90"/>
      <c r="AC52" s="90"/>
      <c r="AD52" s="90"/>
      <c r="AE52" s="90"/>
      <c r="AF52" s="90"/>
      <c r="AG52" s="92"/>
      <c r="AH52" s="90"/>
      <c r="AI52" s="90"/>
      <c r="AJ52" s="90"/>
      <c r="AK52" s="90"/>
      <c r="AL52" s="92"/>
      <c r="AM52" s="90"/>
      <c r="AN52" s="70">
        <v>8</v>
      </c>
      <c r="AO52" s="90"/>
      <c r="AP52" s="94"/>
      <c r="AQ52" s="94"/>
      <c r="AR52" s="95"/>
      <c r="AS52" s="95"/>
      <c r="AT52" s="94"/>
      <c r="AU52" s="94"/>
      <c r="AV52" s="94"/>
      <c r="AW52" s="94"/>
      <c r="AX52" s="94"/>
      <c r="AY52" s="94"/>
      <c r="AZ52" s="94"/>
      <c r="BA52" s="94"/>
      <c r="BB52" s="94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4"/>
      <c r="CF52" s="94"/>
      <c r="CG52" s="94"/>
      <c r="CH52" s="94"/>
      <c r="CI52" s="94"/>
      <c r="CJ52" s="94"/>
      <c r="CK52" s="94"/>
      <c r="CL52" s="94"/>
      <c r="CM52" s="94"/>
      <c r="CN52" s="97" t="str">
        <f t="shared" si="443"/>
        <v>InitUnitState('E120',30000,120000,,,600000,,,,,)</v>
      </c>
      <c r="CO52" s="97" t="str">
        <f t="shared" si="444"/>
        <v>InitUnitNormal('E120',,,,,,,,,8,)</v>
      </c>
      <c r="CP52" s="97" t="str">
        <f t="shared" si="445"/>
        <v>InitUnitMagic('E120',,,,,,,,,,)</v>
      </c>
      <c r="CQ52" s="97" t="str">
        <f t="shared" si="446"/>
        <v>InitUnitAdd('E120',,,,,,,,,,)</v>
      </c>
      <c r="CR52" s="97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7"/>
      <c r="CT52" s="97"/>
      <c r="CU52" s="99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="60" customFormat="1" ht="15" spans="1:175">
      <c r="A53" s="73"/>
      <c r="B53" s="74" t="s">
        <v>306</v>
      </c>
      <c r="C53" s="80" t="s">
        <v>307</v>
      </c>
      <c r="D53" s="10">
        <v>800</v>
      </c>
      <c r="E53" s="76"/>
      <c r="F53" s="77"/>
      <c r="G53" s="10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4"/>
      <c r="Q53" s="84"/>
      <c r="R53" s="84"/>
      <c r="S53" s="84"/>
      <c r="T53" s="91" t="str">
        <f t="shared" si="366"/>
        <v>|n|Cff00ff7f击杀800只怪有50%概率升级|r</v>
      </c>
      <c r="U53" s="89" t="s">
        <v>308</v>
      </c>
      <c r="V53" s="90">
        <v>40000</v>
      </c>
      <c r="W53" s="90">
        <v>160000</v>
      </c>
      <c r="X53" s="90"/>
      <c r="Y53" s="90"/>
      <c r="Z53" s="90">
        <v>800000</v>
      </c>
      <c r="AA53" s="90"/>
      <c r="AB53" s="90"/>
      <c r="AC53" s="90"/>
      <c r="AD53" s="90"/>
      <c r="AE53" s="90"/>
      <c r="AF53" s="90"/>
      <c r="AG53" s="92"/>
      <c r="AH53" s="90"/>
      <c r="AI53" s="90"/>
      <c r="AJ53" s="90"/>
      <c r="AK53" s="90"/>
      <c r="AL53" s="92"/>
      <c r="AM53" s="90"/>
      <c r="AN53" s="70">
        <v>10</v>
      </c>
      <c r="AO53" s="90"/>
      <c r="AP53" s="94"/>
      <c r="AQ53" s="94"/>
      <c r="AR53" s="95"/>
      <c r="AS53" s="95"/>
      <c r="AT53" s="94"/>
      <c r="AU53" s="94"/>
      <c r="AV53" s="94"/>
      <c r="AW53" s="94"/>
      <c r="AX53" s="94"/>
      <c r="AY53" s="94"/>
      <c r="AZ53" s="94"/>
      <c r="BA53" s="94"/>
      <c r="BB53" s="94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4"/>
      <c r="CF53" s="94"/>
      <c r="CG53" s="94"/>
      <c r="CH53" s="94"/>
      <c r="CI53" s="94"/>
      <c r="CJ53" s="94"/>
      <c r="CK53" s="94"/>
      <c r="CL53" s="94"/>
      <c r="CM53" s="94"/>
      <c r="CN53" s="97" t="str">
        <f t="shared" si="367"/>
        <v>InitUnitState('E121',40000,160000,,,800000,,,,,)</v>
      </c>
      <c r="CO53" s="97" t="str">
        <f t="shared" si="368"/>
        <v>InitUnitNormal('E121',,,,,,,,,10,)</v>
      </c>
      <c r="CP53" s="97" t="str">
        <f t="shared" si="369"/>
        <v>InitUnitMagic('E121',,,,,,,,,,)</v>
      </c>
      <c r="CQ53" s="97" t="str">
        <f t="shared" si="370"/>
        <v>InitUnitAdd('E121',,,,,,,,,,)</v>
      </c>
      <c r="CR53" s="97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7"/>
      <c r="CT53" s="97"/>
      <c r="CU53" s="99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="60" customFormat="1" ht="15" spans="1:175">
      <c r="A54" s="73"/>
      <c r="B54" s="74" t="s">
        <v>309</v>
      </c>
      <c r="C54" s="80" t="s">
        <v>310</v>
      </c>
      <c r="D54" s="10">
        <v>800</v>
      </c>
      <c r="E54" s="76"/>
      <c r="F54" s="77"/>
      <c r="G54" s="10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4"/>
      <c r="Q54" s="84"/>
      <c r="R54" s="84"/>
      <c r="S54" s="84"/>
      <c r="T54" s="91" t="str">
        <f t="shared" si="366"/>
        <v>|n|Cff00ff7f击杀800只怪有50%概率升级|r</v>
      </c>
      <c r="U54" s="89" t="s">
        <v>308</v>
      </c>
      <c r="V54" s="90">
        <v>45000</v>
      </c>
      <c r="W54" s="90">
        <v>180000</v>
      </c>
      <c r="X54" s="90"/>
      <c r="Y54" s="90"/>
      <c r="Z54" s="90">
        <v>900000</v>
      </c>
      <c r="AA54" s="90"/>
      <c r="AB54" s="90"/>
      <c r="AC54" s="90"/>
      <c r="AD54" s="90"/>
      <c r="AE54" s="90"/>
      <c r="AF54" s="90"/>
      <c r="AG54" s="92"/>
      <c r="AH54" s="90"/>
      <c r="AI54" s="90"/>
      <c r="AJ54" s="90"/>
      <c r="AK54" s="90"/>
      <c r="AL54" s="92"/>
      <c r="AM54" s="90"/>
      <c r="AN54" s="70">
        <v>10</v>
      </c>
      <c r="AO54" s="90"/>
      <c r="AP54" s="94"/>
      <c r="AQ54" s="94"/>
      <c r="AR54" s="95"/>
      <c r="AS54" s="95"/>
      <c r="AT54" s="94"/>
      <c r="AU54" s="94"/>
      <c r="AV54" s="94"/>
      <c r="AW54" s="94"/>
      <c r="AX54" s="94"/>
      <c r="AY54" s="94"/>
      <c r="AZ54" s="94"/>
      <c r="BA54" s="94"/>
      <c r="BB54" s="94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4"/>
      <c r="CF54" s="94"/>
      <c r="CG54" s="94"/>
      <c r="CH54" s="94"/>
      <c r="CI54" s="94"/>
      <c r="CJ54" s="94"/>
      <c r="CK54" s="94"/>
      <c r="CL54" s="94"/>
      <c r="CM54" s="94"/>
      <c r="CN54" s="97" t="str">
        <f t="shared" si="367"/>
        <v>InitUnitState('E122',45000,180000,,,900000,,,,,)</v>
      </c>
      <c r="CO54" s="97" t="str">
        <f t="shared" si="368"/>
        <v>InitUnitNormal('E122',,,,,,,,,10,)</v>
      </c>
      <c r="CP54" s="97" t="str">
        <f t="shared" si="369"/>
        <v>InitUnitMagic('E122',,,,,,,,,,)</v>
      </c>
      <c r="CQ54" s="97" t="str">
        <f t="shared" si="370"/>
        <v>InitUnitAdd('E122',,,,,,,,,,)</v>
      </c>
      <c r="CR54" s="97" t="str">
        <f t="shared" si="371"/>
        <v>InitEquipData('E122',800,"",,E123,,50,'','','','','','',"ReplaceableTextures\\CommandButtons\\BTNZ09.blp")</v>
      </c>
      <c r="CS54" s="97"/>
      <c r="CT54" s="97"/>
      <c r="CU54" s="99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="60" customFormat="1" ht="15" spans="1:175">
      <c r="A55" s="73"/>
      <c r="B55" s="74" t="s">
        <v>311</v>
      </c>
      <c r="C55" s="80" t="s">
        <v>312</v>
      </c>
      <c r="D55" s="10">
        <v>800</v>
      </c>
      <c r="E55" s="76"/>
      <c r="F55" s="77"/>
      <c r="G55" s="10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4"/>
      <c r="Q55" s="84"/>
      <c r="R55" s="84"/>
      <c r="S55" s="84"/>
      <c r="T55" s="91" t="str">
        <f t="shared" si="366"/>
        <v>|n|Cff00ff7f击杀800只怪有50%概率升级|r</v>
      </c>
      <c r="U55" s="89" t="s">
        <v>308</v>
      </c>
      <c r="V55" s="90">
        <v>50000</v>
      </c>
      <c r="W55" s="90">
        <v>200000</v>
      </c>
      <c r="X55" s="90"/>
      <c r="Y55" s="90"/>
      <c r="Z55" s="90">
        <v>1000000</v>
      </c>
      <c r="AA55" s="90"/>
      <c r="AB55" s="90"/>
      <c r="AC55" s="90"/>
      <c r="AD55" s="90"/>
      <c r="AE55" s="90"/>
      <c r="AF55" s="90"/>
      <c r="AG55" s="92"/>
      <c r="AH55" s="90"/>
      <c r="AI55" s="90"/>
      <c r="AJ55" s="90"/>
      <c r="AK55" s="90"/>
      <c r="AL55" s="92"/>
      <c r="AM55" s="90"/>
      <c r="AN55" s="70">
        <v>10</v>
      </c>
      <c r="AO55" s="90"/>
      <c r="AP55" s="94"/>
      <c r="AQ55" s="94"/>
      <c r="AR55" s="95"/>
      <c r="AS55" s="95"/>
      <c r="AT55" s="94"/>
      <c r="AU55" s="94"/>
      <c r="AV55" s="94"/>
      <c r="AW55" s="94"/>
      <c r="AX55" s="94"/>
      <c r="AY55" s="94"/>
      <c r="AZ55" s="94"/>
      <c r="BA55" s="94"/>
      <c r="BB55" s="94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4"/>
      <c r="CF55" s="94"/>
      <c r="CG55" s="94"/>
      <c r="CH55" s="94"/>
      <c r="CI55" s="94"/>
      <c r="CJ55" s="94"/>
      <c r="CK55" s="94"/>
      <c r="CL55" s="94"/>
      <c r="CM55" s="94"/>
      <c r="CN55" s="97" t="str">
        <f t="shared" si="367"/>
        <v>InitUnitState('E123',50000,200000,,,1000000,,,,,)</v>
      </c>
      <c r="CO55" s="97" t="str">
        <f t="shared" si="368"/>
        <v>InitUnitNormal('E123',,,,,,,,,10,)</v>
      </c>
      <c r="CP55" s="97" t="str">
        <f t="shared" si="369"/>
        <v>InitUnitMagic('E123',,,,,,,,,,)</v>
      </c>
      <c r="CQ55" s="97" t="str">
        <f t="shared" si="370"/>
        <v>InitUnitAdd('E123',,,,,,,,,,)</v>
      </c>
      <c r="CR55" s="97" t="str">
        <f t="shared" si="371"/>
        <v>InitEquipData('E123',800,"",,E124,,50,'','','','','','',"ReplaceableTextures\\CommandButtons\\BTNZ09.blp")</v>
      </c>
      <c r="CS55" s="97"/>
      <c r="CT55" s="97"/>
      <c r="CU55" s="99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="60" customFormat="1" ht="15" spans="1:175">
      <c r="A56" s="73"/>
      <c r="B56" s="74" t="s">
        <v>313</v>
      </c>
      <c r="C56" s="80" t="s">
        <v>314</v>
      </c>
      <c r="D56" s="10">
        <v>800</v>
      </c>
      <c r="E56" s="76"/>
      <c r="F56" s="77"/>
      <c r="G56" s="10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4"/>
      <c r="Q56" s="84"/>
      <c r="R56" s="84"/>
      <c r="S56" s="84"/>
      <c r="T56" s="91" t="str">
        <f t="shared" si="366"/>
        <v>|n|Cff00ff7f击杀800只怪有50%概率升级|r</v>
      </c>
      <c r="U56" s="89" t="s">
        <v>308</v>
      </c>
      <c r="V56" s="90">
        <v>55000</v>
      </c>
      <c r="W56" s="90">
        <v>220000</v>
      </c>
      <c r="X56" s="90"/>
      <c r="Y56" s="90"/>
      <c r="Z56" s="90">
        <v>1100000</v>
      </c>
      <c r="AA56" s="90"/>
      <c r="AB56" s="90"/>
      <c r="AC56" s="90"/>
      <c r="AD56" s="90"/>
      <c r="AE56" s="90"/>
      <c r="AF56" s="90"/>
      <c r="AG56" s="92"/>
      <c r="AH56" s="90"/>
      <c r="AI56" s="90"/>
      <c r="AJ56" s="90"/>
      <c r="AK56" s="90"/>
      <c r="AL56" s="92"/>
      <c r="AM56" s="90"/>
      <c r="AN56" s="70">
        <v>10</v>
      </c>
      <c r="AO56" s="90"/>
      <c r="AP56" s="94"/>
      <c r="AQ56" s="94"/>
      <c r="AR56" s="95"/>
      <c r="AS56" s="95"/>
      <c r="AT56" s="94"/>
      <c r="AU56" s="94"/>
      <c r="AV56" s="94"/>
      <c r="AW56" s="94"/>
      <c r="AX56" s="94"/>
      <c r="AY56" s="94"/>
      <c r="AZ56" s="94"/>
      <c r="BA56" s="94"/>
      <c r="BB56" s="94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4"/>
      <c r="CF56" s="94"/>
      <c r="CG56" s="94"/>
      <c r="CH56" s="94"/>
      <c r="CI56" s="94"/>
      <c r="CJ56" s="94"/>
      <c r="CK56" s="94"/>
      <c r="CL56" s="94"/>
      <c r="CM56" s="94"/>
      <c r="CN56" s="97" t="str">
        <f t="shared" si="367"/>
        <v>InitUnitState('E124',55000,220000,,,1100000,,,,,)</v>
      </c>
      <c r="CO56" s="97" t="str">
        <f t="shared" si="368"/>
        <v>InitUnitNormal('E124',,,,,,,,,10,)</v>
      </c>
      <c r="CP56" s="97" t="str">
        <f t="shared" si="369"/>
        <v>InitUnitMagic('E124',,,,,,,,,,)</v>
      </c>
      <c r="CQ56" s="97" t="str">
        <f t="shared" si="370"/>
        <v>InitUnitAdd('E124',,,,,,,,,,)</v>
      </c>
      <c r="CR56" s="97" t="str">
        <f t="shared" si="371"/>
        <v>InitEquipData('E124',800,"",,E125,,50,'','','','','','',"ReplaceableTextures\\CommandButtons\\BTNZ09.blp")</v>
      </c>
      <c r="CS56" s="97"/>
      <c r="CT56" s="97"/>
      <c r="CU56" s="99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="60" customFormat="1" ht="15" spans="1:175">
      <c r="A57" s="73"/>
      <c r="B57" s="74" t="s">
        <v>315</v>
      </c>
      <c r="C57" s="80" t="s">
        <v>316</v>
      </c>
      <c r="D57" s="10">
        <v>1200</v>
      </c>
      <c r="E57" s="76"/>
      <c r="F57" s="77"/>
      <c r="G57" s="10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4"/>
      <c r="Q57" s="84"/>
      <c r="R57" s="84"/>
      <c r="S57" s="84"/>
      <c r="T57" s="91" t="str">
        <f t="shared" si="366"/>
        <v>|n|Cff00ff7f击杀1200只怪有50%概率升级|r</v>
      </c>
      <c r="U57" s="89" t="s">
        <v>308</v>
      </c>
      <c r="V57" s="90">
        <v>60000</v>
      </c>
      <c r="W57" s="90">
        <v>240000</v>
      </c>
      <c r="X57" s="90"/>
      <c r="Y57" s="90"/>
      <c r="Z57" s="90">
        <v>1200000</v>
      </c>
      <c r="AA57" s="90"/>
      <c r="AB57" s="90"/>
      <c r="AC57" s="90"/>
      <c r="AD57" s="90"/>
      <c r="AE57" s="90"/>
      <c r="AF57" s="90"/>
      <c r="AG57" s="92"/>
      <c r="AH57" s="90"/>
      <c r="AI57" s="90"/>
      <c r="AJ57" s="90"/>
      <c r="AK57" s="90"/>
      <c r="AL57" s="92"/>
      <c r="AM57" s="90"/>
      <c r="AN57" s="70">
        <v>10</v>
      </c>
      <c r="AO57" s="90"/>
      <c r="AP57" s="94"/>
      <c r="AQ57" s="94"/>
      <c r="AR57" s="95"/>
      <c r="AS57" s="95"/>
      <c r="AT57" s="94"/>
      <c r="AU57" s="94"/>
      <c r="AV57" s="94"/>
      <c r="AW57" s="94"/>
      <c r="AX57" s="94"/>
      <c r="AY57" s="94"/>
      <c r="AZ57" s="94"/>
      <c r="BA57" s="94"/>
      <c r="BB57" s="94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4"/>
      <c r="CF57" s="94"/>
      <c r="CG57" s="94"/>
      <c r="CH57" s="94"/>
      <c r="CI57" s="94"/>
      <c r="CJ57" s="94"/>
      <c r="CK57" s="94"/>
      <c r="CL57" s="94"/>
      <c r="CM57" s="94"/>
      <c r="CN57" s="97" t="str">
        <f t="shared" si="367"/>
        <v>InitUnitState('E125',60000,240000,,,1200000,,,,,)</v>
      </c>
      <c r="CO57" s="97" t="str">
        <f t="shared" si="368"/>
        <v>InitUnitNormal('E125',,,,,,,,,10,)</v>
      </c>
      <c r="CP57" s="97" t="str">
        <f t="shared" si="369"/>
        <v>InitUnitMagic('E125',,,,,,,,,,)</v>
      </c>
      <c r="CQ57" s="97" t="str">
        <f t="shared" si="370"/>
        <v>InitUnitAdd('E125',,,,,,,,,,)</v>
      </c>
      <c r="CR57" s="97" t="str">
        <f t="shared" si="371"/>
        <v>InitEquipData('E125',1200,"",,E126,,40,'','','','','','',"ReplaceableTextures\\CommandButtons\\BTNZ10.blp")</v>
      </c>
      <c r="CS57" s="97"/>
      <c r="CT57" s="97"/>
      <c r="CU57" s="99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="60" customFormat="1" ht="15" spans="1:175">
      <c r="A58" s="73"/>
      <c r="B58" s="74" t="s">
        <v>317</v>
      </c>
      <c r="C58" s="80" t="s">
        <v>318</v>
      </c>
      <c r="D58" s="10">
        <v>1200</v>
      </c>
      <c r="E58" s="76"/>
      <c r="F58" s="77"/>
      <c r="G58" s="10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4"/>
      <c r="Q58" s="84"/>
      <c r="R58" s="84"/>
      <c r="S58" s="84"/>
      <c r="T58" s="91" t="str">
        <f t="shared" si="366"/>
        <v>|n|Cff00ff7f击杀1200只怪有50%概率升级|r</v>
      </c>
      <c r="U58" s="89" t="s">
        <v>319</v>
      </c>
      <c r="V58" s="90">
        <v>90000</v>
      </c>
      <c r="W58" s="90">
        <v>360000</v>
      </c>
      <c r="X58" s="90"/>
      <c r="Y58" s="90"/>
      <c r="Z58" s="90">
        <v>1800000</v>
      </c>
      <c r="AA58" s="90"/>
      <c r="AB58" s="90"/>
      <c r="AC58" s="90"/>
      <c r="AD58" s="90"/>
      <c r="AE58" s="90"/>
      <c r="AF58" s="90"/>
      <c r="AG58" s="92"/>
      <c r="AH58" s="90"/>
      <c r="AI58" s="90"/>
      <c r="AJ58" s="90"/>
      <c r="AK58" s="90"/>
      <c r="AL58" s="92"/>
      <c r="AM58" s="90"/>
      <c r="AN58" s="70">
        <v>12</v>
      </c>
      <c r="AO58" s="90"/>
      <c r="AP58" s="94"/>
      <c r="AQ58" s="94"/>
      <c r="AR58" s="95"/>
      <c r="AS58" s="95"/>
      <c r="AT58" s="94"/>
      <c r="AU58" s="94"/>
      <c r="AV58" s="94"/>
      <c r="AW58" s="94"/>
      <c r="AX58" s="94"/>
      <c r="AY58" s="94"/>
      <c r="AZ58" s="94"/>
      <c r="BA58" s="94"/>
      <c r="BB58" s="94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4"/>
      <c r="CF58" s="94"/>
      <c r="CG58" s="94"/>
      <c r="CH58" s="94"/>
      <c r="CI58" s="94"/>
      <c r="CJ58" s="94"/>
      <c r="CK58" s="94"/>
      <c r="CL58" s="94"/>
      <c r="CM58" s="94"/>
      <c r="CN58" s="97" t="str">
        <f t="shared" si="367"/>
        <v>InitUnitState('E126',90000,360000,,,1800000,,,,,)</v>
      </c>
      <c r="CO58" s="97" t="str">
        <f t="shared" si="368"/>
        <v>InitUnitNormal('E126',,,,,,,,,12,)</v>
      </c>
      <c r="CP58" s="97" t="str">
        <f t="shared" si="369"/>
        <v>InitUnitMagic('E126',,,,,,,,,,)</v>
      </c>
      <c r="CQ58" s="97" t="str">
        <f t="shared" si="370"/>
        <v>InitUnitAdd('E126',,,,,,,,,,)</v>
      </c>
      <c r="CR58" s="97" t="str">
        <f t="shared" si="371"/>
        <v>InitEquipData('E126',1200,"",,E127,,50,'','','','','','',"ReplaceableTextures\\CommandButtons\\BTNZ10.blp")</v>
      </c>
      <c r="CS58" s="97"/>
      <c r="CT58" s="97"/>
      <c r="CU58" s="99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="60" customFormat="1" ht="15" spans="1:175">
      <c r="A59" s="73"/>
      <c r="B59" s="74" t="s">
        <v>320</v>
      </c>
      <c r="C59" s="80" t="s">
        <v>321</v>
      </c>
      <c r="D59" s="10">
        <v>1200</v>
      </c>
      <c r="E59" s="76"/>
      <c r="F59" s="77"/>
      <c r="G59" s="10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4"/>
      <c r="Q59" s="84"/>
      <c r="R59" s="84"/>
      <c r="S59" s="84"/>
      <c r="T59" s="91" t="str">
        <f t="shared" si="366"/>
        <v>|n|Cff00ff7f击杀1200只怪有50%概率升级|r</v>
      </c>
      <c r="U59" s="89" t="s">
        <v>319</v>
      </c>
      <c r="V59" s="90">
        <v>105000</v>
      </c>
      <c r="W59" s="90">
        <v>420000</v>
      </c>
      <c r="X59" s="90"/>
      <c r="Y59" s="90"/>
      <c r="Z59" s="90">
        <v>2100000</v>
      </c>
      <c r="AA59" s="90"/>
      <c r="AB59" s="90"/>
      <c r="AC59" s="90"/>
      <c r="AD59" s="90"/>
      <c r="AE59" s="90"/>
      <c r="AF59" s="90"/>
      <c r="AG59" s="92"/>
      <c r="AH59" s="90"/>
      <c r="AI59" s="90"/>
      <c r="AJ59" s="90"/>
      <c r="AK59" s="90"/>
      <c r="AL59" s="92"/>
      <c r="AM59" s="90"/>
      <c r="AN59" s="70">
        <v>12</v>
      </c>
      <c r="AO59" s="90"/>
      <c r="AP59" s="94"/>
      <c r="AQ59" s="94"/>
      <c r="AR59" s="95"/>
      <c r="AS59" s="95"/>
      <c r="AT59" s="94"/>
      <c r="AU59" s="94"/>
      <c r="AV59" s="94"/>
      <c r="AW59" s="94"/>
      <c r="AX59" s="94"/>
      <c r="AY59" s="94"/>
      <c r="AZ59" s="94"/>
      <c r="BA59" s="94"/>
      <c r="BB59" s="94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4"/>
      <c r="CF59" s="94"/>
      <c r="CG59" s="94"/>
      <c r="CH59" s="94"/>
      <c r="CI59" s="94"/>
      <c r="CJ59" s="94"/>
      <c r="CK59" s="94"/>
      <c r="CL59" s="94"/>
      <c r="CM59" s="94"/>
      <c r="CN59" s="97" t="str">
        <f t="shared" si="367"/>
        <v>InitUnitState('E127',105000,420000,,,2100000,,,,,)</v>
      </c>
      <c r="CO59" s="97" t="str">
        <f t="shared" si="368"/>
        <v>InitUnitNormal('E127',,,,,,,,,12,)</v>
      </c>
      <c r="CP59" s="97" t="str">
        <f t="shared" si="369"/>
        <v>InitUnitMagic('E127',,,,,,,,,,)</v>
      </c>
      <c r="CQ59" s="97" t="str">
        <f t="shared" si="370"/>
        <v>InitUnitAdd('E127',,,,,,,,,,)</v>
      </c>
      <c r="CR59" s="97" t="str">
        <f t="shared" si="371"/>
        <v>InitEquipData('E127',1200,"",,E128,,50,'','','','','','',"ReplaceableTextures\\CommandButtons\\BTNZ10.blp")</v>
      </c>
      <c r="CS59" s="97"/>
      <c r="CT59" s="97"/>
      <c r="CU59" s="99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="60" customFormat="1" ht="15" spans="1:175">
      <c r="A60" s="73"/>
      <c r="B60" s="74" t="s">
        <v>322</v>
      </c>
      <c r="C60" s="80" t="s">
        <v>323</v>
      </c>
      <c r="D60" s="10">
        <v>1200</v>
      </c>
      <c r="E60" s="76"/>
      <c r="F60" s="77"/>
      <c r="G60" s="10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4"/>
      <c r="Q60" s="84"/>
      <c r="R60" s="84"/>
      <c r="S60" s="84"/>
      <c r="T60" s="91" t="str">
        <f t="shared" si="366"/>
        <v>|n|Cff00ff7f击杀1200只怪有50%概率升级|r</v>
      </c>
      <c r="U60" s="89" t="s">
        <v>319</v>
      </c>
      <c r="V60" s="90">
        <v>120000</v>
      </c>
      <c r="W60" s="90">
        <v>480000</v>
      </c>
      <c r="X60" s="90"/>
      <c r="Y60" s="90"/>
      <c r="Z60" s="90">
        <v>2400000</v>
      </c>
      <c r="AA60" s="90"/>
      <c r="AB60" s="90"/>
      <c r="AC60" s="90"/>
      <c r="AD60" s="90"/>
      <c r="AE60" s="90"/>
      <c r="AF60" s="90"/>
      <c r="AG60" s="92"/>
      <c r="AH60" s="90"/>
      <c r="AI60" s="90"/>
      <c r="AJ60" s="90"/>
      <c r="AK60" s="90"/>
      <c r="AL60" s="92"/>
      <c r="AM60" s="90"/>
      <c r="AN60" s="70">
        <v>12</v>
      </c>
      <c r="AO60" s="90"/>
      <c r="AP60" s="94"/>
      <c r="AQ60" s="94"/>
      <c r="AR60" s="95"/>
      <c r="AS60" s="95"/>
      <c r="AT60" s="94"/>
      <c r="AU60" s="94"/>
      <c r="AV60" s="94"/>
      <c r="AW60" s="94"/>
      <c r="AX60" s="94"/>
      <c r="AY60" s="94"/>
      <c r="AZ60" s="94"/>
      <c r="BA60" s="94"/>
      <c r="BB60" s="94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4"/>
      <c r="CF60" s="94"/>
      <c r="CG60" s="94"/>
      <c r="CH60" s="94"/>
      <c r="CI60" s="94"/>
      <c r="CJ60" s="94"/>
      <c r="CK60" s="94"/>
      <c r="CL60" s="94"/>
      <c r="CM60" s="94"/>
      <c r="CN60" s="97" t="str">
        <f t="shared" si="367"/>
        <v>InitUnitState('E128',120000,480000,,,2400000,,,,,)</v>
      </c>
      <c r="CO60" s="97" t="str">
        <f t="shared" si="368"/>
        <v>InitUnitNormal('E128',,,,,,,,,12,)</v>
      </c>
      <c r="CP60" s="97" t="str">
        <f t="shared" si="369"/>
        <v>InitUnitMagic('E128',,,,,,,,,,)</v>
      </c>
      <c r="CQ60" s="97" t="str">
        <f t="shared" si="370"/>
        <v>InitUnitAdd('E128',,,,,,,,,,)</v>
      </c>
      <c r="CR60" s="97" t="str">
        <f t="shared" si="371"/>
        <v>InitEquipData('E128',1200,"",,E129,,50,'','','','','','',"ReplaceableTextures\\CommandButtons\\BTNZ10.blp")</v>
      </c>
      <c r="CS60" s="97"/>
      <c r="CT60" s="97"/>
      <c r="CU60" s="99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="60" customFormat="1" ht="15" spans="1:175">
      <c r="A61" s="73"/>
      <c r="B61" s="74" t="s">
        <v>324</v>
      </c>
      <c r="C61" s="80" t="s">
        <v>325</v>
      </c>
      <c r="D61" s="10">
        <v>1200</v>
      </c>
      <c r="E61" s="76"/>
      <c r="F61" s="77"/>
      <c r="G61" s="10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4"/>
      <c r="Q61" s="84"/>
      <c r="R61" s="84"/>
      <c r="S61" s="84"/>
      <c r="T61" s="91" t="str">
        <f t="shared" si="366"/>
        <v>|n|Cff00ff7f击杀1200只怪有50%概率升级|r</v>
      </c>
      <c r="U61" s="89" t="s">
        <v>319</v>
      </c>
      <c r="V61" s="90">
        <v>135000</v>
      </c>
      <c r="W61" s="90">
        <v>540000</v>
      </c>
      <c r="X61" s="90"/>
      <c r="Y61" s="90"/>
      <c r="Z61" s="90">
        <v>2700000</v>
      </c>
      <c r="AA61" s="90"/>
      <c r="AB61" s="90"/>
      <c r="AC61" s="90"/>
      <c r="AD61" s="90"/>
      <c r="AE61" s="90"/>
      <c r="AF61" s="90"/>
      <c r="AG61" s="92"/>
      <c r="AH61" s="90"/>
      <c r="AI61" s="90"/>
      <c r="AJ61" s="90"/>
      <c r="AK61" s="90"/>
      <c r="AL61" s="92"/>
      <c r="AM61" s="90"/>
      <c r="AN61" s="70">
        <v>12</v>
      </c>
      <c r="AO61" s="90"/>
      <c r="AP61" s="94"/>
      <c r="AQ61" s="94"/>
      <c r="AR61" s="95"/>
      <c r="AS61" s="95"/>
      <c r="AT61" s="94"/>
      <c r="AU61" s="94"/>
      <c r="AV61" s="94"/>
      <c r="AW61" s="94"/>
      <c r="AX61" s="94"/>
      <c r="AY61" s="94"/>
      <c r="AZ61" s="94"/>
      <c r="BA61" s="94"/>
      <c r="BB61" s="94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4"/>
      <c r="CF61" s="94"/>
      <c r="CG61" s="94"/>
      <c r="CH61" s="94"/>
      <c r="CI61" s="94"/>
      <c r="CJ61" s="94"/>
      <c r="CK61" s="94"/>
      <c r="CL61" s="94"/>
      <c r="CM61" s="94"/>
      <c r="CN61" s="97" t="str">
        <f t="shared" si="367"/>
        <v>InitUnitState('E129',135000,540000,,,2700000,,,,,)</v>
      </c>
      <c r="CO61" s="97" t="str">
        <f t="shared" si="368"/>
        <v>InitUnitNormal('E129',,,,,,,,,12,)</v>
      </c>
      <c r="CP61" s="97" t="str">
        <f t="shared" si="369"/>
        <v>InitUnitMagic('E129',,,,,,,,,,)</v>
      </c>
      <c r="CQ61" s="97" t="str">
        <f t="shared" si="370"/>
        <v>InitUnitAdd('E129',,,,,,,,,,)</v>
      </c>
      <c r="CR61" s="97" t="str">
        <f t="shared" si="371"/>
        <v>InitEquipData('E129',1200,"",,E130,,50,'','','','','','',"ReplaceableTextures\\CommandButtons\\BTNZ10.blp")</v>
      </c>
      <c r="CS61" s="97"/>
      <c r="CT61" s="97"/>
      <c r="CU61" s="99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="60" customFormat="1" ht="15" spans="1:175">
      <c r="A62" s="73"/>
      <c r="B62" s="74" t="s">
        <v>326</v>
      </c>
      <c r="C62" s="80" t="s">
        <v>327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4"/>
      <c r="Q62" s="84"/>
      <c r="R62" s="84"/>
      <c r="S62" s="84"/>
      <c r="T62" s="91"/>
      <c r="U62" s="89" t="s">
        <v>319</v>
      </c>
      <c r="V62" s="90">
        <v>150000</v>
      </c>
      <c r="W62" s="90">
        <v>600000</v>
      </c>
      <c r="X62" s="90"/>
      <c r="Y62" s="90"/>
      <c r="Z62" s="90">
        <v>3000000</v>
      </c>
      <c r="AA62" s="90"/>
      <c r="AB62" s="90"/>
      <c r="AC62" s="90"/>
      <c r="AD62" s="90"/>
      <c r="AE62" s="90"/>
      <c r="AF62" s="90"/>
      <c r="AG62" s="92"/>
      <c r="AH62" s="90"/>
      <c r="AI62" s="90"/>
      <c r="AJ62" s="90"/>
      <c r="AK62" s="90"/>
      <c r="AL62" s="92"/>
      <c r="AM62" s="90"/>
      <c r="AN62" s="70">
        <v>12</v>
      </c>
      <c r="AO62" s="90"/>
      <c r="AP62" s="94"/>
      <c r="AQ62" s="94"/>
      <c r="AR62" s="95"/>
      <c r="AS62" s="95"/>
      <c r="AT62" s="94"/>
      <c r="AU62" s="94"/>
      <c r="AV62" s="94"/>
      <c r="AW62" s="94"/>
      <c r="AX62" s="94"/>
      <c r="AY62" s="94"/>
      <c r="AZ62" s="94"/>
      <c r="BA62" s="94"/>
      <c r="BB62" s="94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4"/>
      <c r="CF62" s="94"/>
      <c r="CG62" s="94"/>
      <c r="CH62" s="94"/>
      <c r="CI62" s="94"/>
      <c r="CJ62" s="94"/>
      <c r="CK62" s="94"/>
      <c r="CL62" s="94"/>
      <c r="CM62" s="94"/>
      <c r="CN62" s="97" t="str">
        <f t="shared" si="367"/>
        <v>InitUnitState('E130',150000,600000,,,3000000,,,,,)</v>
      </c>
      <c r="CO62" s="97" t="str">
        <f t="shared" si="368"/>
        <v>InitUnitNormal('E130',,,,,,,,,12,)</v>
      </c>
      <c r="CP62" s="97" t="str">
        <f t="shared" si="369"/>
        <v>InitUnitMagic('E130',,,,,,,,,,)</v>
      </c>
      <c r="CQ62" s="97" t="str">
        <f t="shared" si="370"/>
        <v>InitUnitAdd('E130',,,,,,,,,,)</v>
      </c>
      <c r="CR62" s="97" t="str">
        <f t="shared" si="371"/>
        <v>InitEquipData('E130',,"",,,,,'','','','','','',"ReplaceableTextures\\CommandButtons\\BTNZ11.blp")</v>
      </c>
      <c r="CS62" s="97"/>
      <c r="CT62" s="97"/>
      <c r="CU62" s="99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="60" customFormat="1" ht="15" spans="1:175">
      <c r="A63" s="73"/>
      <c r="B63" s="74" t="s">
        <v>328</v>
      </c>
      <c r="C63" s="73" t="s">
        <v>329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4"/>
      <c r="Q63" s="84"/>
      <c r="R63" s="84"/>
      <c r="S63" s="84"/>
      <c r="T63" s="91"/>
      <c r="U63" s="89" t="s">
        <v>330</v>
      </c>
      <c r="V63" s="90"/>
      <c r="W63" s="90"/>
      <c r="X63" s="90"/>
      <c r="Y63" s="90"/>
      <c r="Z63" s="90">
        <v>20000</v>
      </c>
      <c r="AA63" s="90"/>
      <c r="AB63" s="90">
        <v>500</v>
      </c>
      <c r="AC63" s="90"/>
      <c r="AD63" s="90"/>
      <c r="AE63" s="90"/>
      <c r="AF63" s="90"/>
      <c r="AG63" s="92"/>
      <c r="AH63" s="90"/>
      <c r="AI63" s="90"/>
      <c r="AJ63" s="90"/>
      <c r="AK63" s="90"/>
      <c r="AL63" s="92"/>
      <c r="AM63" s="90"/>
      <c r="AN63" s="90"/>
      <c r="AO63" s="90"/>
      <c r="AP63" s="94"/>
      <c r="AQ63" s="94"/>
      <c r="AR63" s="95"/>
      <c r="AS63" s="95"/>
      <c r="AT63" s="94"/>
      <c r="AU63" s="94"/>
      <c r="AV63" s="94"/>
      <c r="AW63" s="94"/>
      <c r="AX63" s="94"/>
      <c r="AY63" s="94"/>
      <c r="AZ63" s="94"/>
      <c r="BA63" s="94"/>
      <c r="BB63" s="94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4"/>
      <c r="CF63" s="94"/>
      <c r="CG63" s="94"/>
      <c r="CH63" s="94"/>
      <c r="CI63" s="94"/>
      <c r="CJ63" s="94"/>
      <c r="CK63" s="94"/>
      <c r="CL63" s="94"/>
      <c r="CM63" s="94"/>
      <c r="CN63" s="97" t="str">
        <f t="shared" si="367"/>
        <v>InitUnitState('E201',,,,,20000,,500,,,)</v>
      </c>
      <c r="CO63" s="97" t="str">
        <f t="shared" si="368"/>
        <v>InitUnitNormal('E201',,,,,,,,,,)</v>
      </c>
      <c r="CP63" s="97" t="str">
        <f t="shared" si="369"/>
        <v>InitUnitMagic('E201',,,,,,,,,,)</v>
      </c>
      <c r="CQ63" s="97" t="str">
        <f t="shared" si="370"/>
        <v>InitUnitAdd('E201',,,,,,,,,,)</v>
      </c>
      <c r="CR63" s="97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7"/>
      <c r="CT63" s="97"/>
      <c r="CU63" s="99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="60" customFormat="1" ht="15" spans="1:175">
      <c r="A64" s="73"/>
      <c r="B64" s="74" t="s">
        <v>331</v>
      </c>
      <c r="C64" s="73" t="s">
        <v>332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4"/>
      <c r="Q64" s="84"/>
      <c r="R64" s="84"/>
      <c r="S64" s="84"/>
      <c r="T64" s="91"/>
      <c r="U64" s="89" t="s">
        <v>330</v>
      </c>
      <c r="V64" s="90"/>
      <c r="W64" s="90"/>
      <c r="X64" s="90"/>
      <c r="Y64" s="90"/>
      <c r="Z64" s="90">
        <v>40000</v>
      </c>
      <c r="AA64" s="90"/>
      <c r="AB64" s="90">
        <v>1000</v>
      </c>
      <c r="AC64" s="90"/>
      <c r="AD64" s="90"/>
      <c r="AE64" s="90"/>
      <c r="AF64" s="90"/>
      <c r="AG64" s="92"/>
      <c r="AH64" s="90"/>
      <c r="AI64" s="90"/>
      <c r="AJ64" s="90"/>
      <c r="AK64" s="90"/>
      <c r="AL64" s="92"/>
      <c r="AM64" s="90"/>
      <c r="AN64" s="90"/>
      <c r="AO64" s="90"/>
      <c r="AP64" s="94"/>
      <c r="AQ64" s="94"/>
      <c r="AR64" s="95"/>
      <c r="AS64" s="95"/>
      <c r="AT64" s="94"/>
      <c r="AU64" s="94"/>
      <c r="AV64" s="94"/>
      <c r="AW64" s="94"/>
      <c r="AX64" s="94"/>
      <c r="AY64" s="94"/>
      <c r="AZ64" s="94"/>
      <c r="BA64" s="94"/>
      <c r="BB64" s="94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4"/>
      <c r="CF64" s="94"/>
      <c r="CG64" s="94"/>
      <c r="CH64" s="94"/>
      <c r="CI64" s="94"/>
      <c r="CJ64" s="94"/>
      <c r="CK64" s="94"/>
      <c r="CL64" s="94"/>
      <c r="CM64" s="94"/>
      <c r="CN64" s="97" t="str">
        <f t="shared" si="367"/>
        <v>InitUnitState('E202',,,,,40000,,1000,,,)</v>
      </c>
      <c r="CO64" s="97" t="str">
        <f t="shared" si="368"/>
        <v>InitUnitNormal('E202',,,,,,,,,,)</v>
      </c>
      <c r="CP64" s="97" t="str">
        <f t="shared" si="369"/>
        <v>InitUnitMagic('E202',,,,,,,,,,)</v>
      </c>
      <c r="CQ64" s="97" t="str">
        <f t="shared" si="370"/>
        <v>InitUnitAdd('E202',,,,,,,,,,)</v>
      </c>
      <c r="CR64" s="97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7"/>
      <c r="CT64" s="97"/>
      <c r="CU64" s="99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="60" customFormat="1" ht="15" spans="1:175">
      <c r="A65" s="73"/>
      <c r="B65" s="74" t="s">
        <v>333</v>
      </c>
      <c r="C65" s="73" t="s">
        <v>334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4"/>
      <c r="Q65" s="84"/>
      <c r="R65" s="84"/>
      <c r="S65" s="84"/>
      <c r="T65" s="91"/>
      <c r="U65" s="89" t="s">
        <v>330</v>
      </c>
      <c r="V65" s="90"/>
      <c r="W65" s="90"/>
      <c r="X65" s="90"/>
      <c r="Y65" s="90"/>
      <c r="Z65" s="90">
        <v>60000</v>
      </c>
      <c r="AA65" s="90"/>
      <c r="AB65" s="90">
        <v>1500</v>
      </c>
      <c r="AC65" s="90"/>
      <c r="AD65" s="90"/>
      <c r="AE65" s="90"/>
      <c r="AF65" s="90"/>
      <c r="AG65" s="92"/>
      <c r="AH65" s="90"/>
      <c r="AI65" s="90"/>
      <c r="AJ65" s="90"/>
      <c r="AK65" s="90"/>
      <c r="AL65" s="92"/>
      <c r="AM65" s="90"/>
      <c r="AN65" s="90"/>
      <c r="AO65" s="90"/>
      <c r="AP65" s="94"/>
      <c r="AQ65" s="94"/>
      <c r="AR65" s="95"/>
      <c r="AS65" s="95"/>
      <c r="AT65" s="94"/>
      <c r="AU65" s="94"/>
      <c r="AV65" s="94"/>
      <c r="AW65" s="94"/>
      <c r="AX65" s="94"/>
      <c r="AY65" s="94"/>
      <c r="AZ65" s="94"/>
      <c r="BA65" s="94"/>
      <c r="BB65" s="94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4"/>
      <c r="CF65" s="94"/>
      <c r="CG65" s="94"/>
      <c r="CH65" s="94"/>
      <c r="CI65" s="94"/>
      <c r="CJ65" s="94"/>
      <c r="CK65" s="94"/>
      <c r="CL65" s="94"/>
      <c r="CM65" s="94"/>
      <c r="CN65" s="97" t="str">
        <f t="shared" si="367"/>
        <v>InitUnitState('E203',,,,,60000,,1500,,,)</v>
      </c>
      <c r="CO65" s="97" t="str">
        <f t="shared" si="368"/>
        <v>InitUnitNormal('E203',,,,,,,,,,)</v>
      </c>
      <c r="CP65" s="97" t="str">
        <f t="shared" si="369"/>
        <v>InitUnitMagic('E203',,,,,,,,,,)</v>
      </c>
      <c r="CQ65" s="97" t="str">
        <f t="shared" si="370"/>
        <v>InitUnitAdd('E203',,,,,,,,,,)</v>
      </c>
      <c r="CR65" s="97" t="str">
        <f t="shared" si="590"/>
        <v>InitEquipData('E203',,"",,E204,800,100,'','','','','','',"ReplaceableTextures\\CommandButtons\\BTNZ13.blp")</v>
      </c>
      <c r="CS65" s="97"/>
      <c r="CT65" s="97"/>
      <c r="CU65" s="99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="60" customFormat="1" ht="15" spans="1:175">
      <c r="A66" s="73"/>
      <c r="B66" s="74" t="s">
        <v>335</v>
      </c>
      <c r="C66" s="73" t="s">
        <v>336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4"/>
      <c r="Q66" s="84"/>
      <c r="R66" s="84"/>
      <c r="S66" s="84"/>
      <c r="T66" s="91"/>
      <c r="U66" s="89" t="s">
        <v>330</v>
      </c>
      <c r="V66" s="90"/>
      <c r="W66" s="90"/>
      <c r="X66" s="90"/>
      <c r="Y66" s="90"/>
      <c r="Z66" s="90">
        <v>80000</v>
      </c>
      <c r="AA66" s="90"/>
      <c r="AB66" s="90">
        <v>2000</v>
      </c>
      <c r="AC66" s="90"/>
      <c r="AD66" s="90"/>
      <c r="AE66" s="90"/>
      <c r="AF66" s="90"/>
      <c r="AG66" s="92"/>
      <c r="AH66" s="90"/>
      <c r="AI66" s="90"/>
      <c r="AJ66" s="90"/>
      <c r="AK66" s="90"/>
      <c r="AL66" s="92"/>
      <c r="AM66" s="90"/>
      <c r="AN66" s="90"/>
      <c r="AO66" s="90"/>
      <c r="AP66" s="94"/>
      <c r="AQ66" s="94"/>
      <c r="AR66" s="95"/>
      <c r="AS66" s="95"/>
      <c r="AT66" s="94"/>
      <c r="AU66" s="94"/>
      <c r="AV66" s="94"/>
      <c r="AW66" s="94"/>
      <c r="AX66" s="94"/>
      <c r="AY66" s="94"/>
      <c r="AZ66" s="94"/>
      <c r="BA66" s="94"/>
      <c r="BB66" s="94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4"/>
      <c r="CF66" s="94"/>
      <c r="CG66" s="94"/>
      <c r="CH66" s="94"/>
      <c r="CI66" s="94"/>
      <c r="CJ66" s="94"/>
      <c r="CK66" s="94"/>
      <c r="CL66" s="94"/>
      <c r="CM66" s="94"/>
      <c r="CN66" s="97" t="str">
        <f t="shared" si="367"/>
        <v>InitUnitState('E204',,,,,80000,,2000,,,)</v>
      </c>
      <c r="CO66" s="97" t="str">
        <f t="shared" si="368"/>
        <v>InitUnitNormal('E204',,,,,,,,,,)</v>
      </c>
      <c r="CP66" s="97" t="str">
        <f t="shared" si="369"/>
        <v>InitUnitMagic('E204',,,,,,,,,,)</v>
      </c>
      <c r="CQ66" s="97" t="str">
        <f t="shared" si="370"/>
        <v>InitUnitAdd('E204',,,,,,,,,,)</v>
      </c>
      <c r="CR66" s="97" t="str">
        <f t="shared" si="590"/>
        <v>InitEquipData('E204',,"",,E205,800,100,'','','','','','',"ReplaceableTextures\\CommandButtons\\BTNZ13.blp")</v>
      </c>
      <c r="CS66" s="97"/>
      <c r="CT66" s="97"/>
      <c r="CU66" s="99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="60" customFormat="1" ht="15" spans="1:175">
      <c r="A67" s="73"/>
      <c r="B67" s="74" t="s">
        <v>337</v>
      </c>
      <c r="C67" s="73" t="s">
        <v>338</v>
      </c>
      <c r="D67" s="75"/>
      <c r="E67" s="76"/>
      <c r="F67" s="77">
        <v>2500</v>
      </c>
      <c r="G67" s="78">
        <v>100</v>
      </c>
      <c r="H67" s="79" t="s">
        <v>339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4"/>
      <c r="Q67" s="84"/>
      <c r="R67" s="84"/>
      <c r="S67" s="84"/>
      <c r="T67" s="91"/>
      <c r="U67" s="89" t="s">
        <v>330</v>
      </c>
      <c r="V67" s="90"/>
      <c r="W67" s="90"/>
      <c r="X67" s="90"/>
      <c r="Y67" s="90"/>
      <c r="Z67" s="90">
        <v>100000</v>
      </c>
      <c r="AA67" s="90"/>
      <c r="AB67" s="90">
        <v>2500</v>
      </c>
      <c r="AC67" s="90"/>
      <c r="AD67" s="90"/>
      <c r="AE67" s="90"/>
      <c r="AF67" s="90"/>
      <c r="AG67" s="92"/>
      <c r="AH67" s="90"/>
      <c r="AI67" s="90"/>
      <c r="AJ67" s="90"/>
      <c r="AK67" s="90"/>
      <c r="AL67" s="92"/>
      <c r="AM67" s="90"/>
      <c r="AN67" s="90"/>
      <c r="AO67" s="90"/>
      <c r="AP67" s="94"/>
      <c r="AQ67" s="94"/>
      <c r="AR67" s="95"/>
      <c r="AS67" s="95"/>
      <c r="AT67" s="94"/>
      <c r="AU67" s="94"/>
      <c r="AV67" s="94"/>
      <c r="AW67" s="94"/>
      <c r="AX67" s="94"/>
      <c r="AY67" s="94"/>
      <c r="AZ67" s="94"/>
      <c r="BA67" s="94"/>
      <c r="BB67" s="94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4"/>
      <c r="CF67" s="94"/>
      <c r="CG67" s="94"/>
      <c r="CH67" s="94"/>
      <c r="CI67" s="94"/>
      <c r="CJ67" s="94"/>
      <c r="CK67" s="94"/>
      <c r="CL67" s="94"/>
      <c r="CM67" s="94"/>
      <c r="CN67" s="97" t="str">
        <f t="shared" si="367"/>
        <v>InitUnitState('E205',,,,,100000,,2500,,,)</v>
      </c>
      <c r="CO67" s="97" t="str">
        <f t="shared" si="368"/>
        <v>InitUnitNormal('E205',,,,,,,,,,)</v>
      </c>
      <c r="CP67" s="97" t="str">
        <f t="shared" si="369"/>
        <v>InitUnitMagic('E205',,,,,,,,,,)</v>
      </c>
      <c r="CQ67" s="97" t="str">
        <f t="shared" si="370"/>
        <v>InitUnitAdd('E205',,,,,,,,,,)</v>
      </c>
      <c r="CR67" s="97" t="str">
        <f t="shared" si="590"/>
        <v>InitEquipData('E205',,"",,E206,2500,100,'','','','','','',"ReplaceableTextures\\CommandButtons\\BTNZ13.blp")</v>
      </c>
      <c r="CS67" s="97"/>
      <c r="CT67" s="97"/>
      <c r="CU67" s="99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="60" customFormat="1" ht="15" spans="1:175">
      <c r="A68" s="73"/>
      <c r="B68" s="74" t="s">
        <v>340</v>
      </c>
      <c r="C68" s="73" t="s">
        <v>341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4"/>
      <c r="Q68" s="84"/>
      <c r="R68" s="84"/>
      <c r="S68" s="84"/>
      <c r="T68" s="91"/>
      <c r="U68" s="89" t="s">
        <v>342</v>
      </c>
      <c r="V68" s="90"/>
      <c r="W68" s="90"/>
      <c r="X68" s="90">
        <v>50</v>
      </c>
      <c r="Y68" s="90"/>
      <c r="Z68" s="90">
        <v>160000</v>
      </c>
      <c r="AA68" s="90"/>
      <c r="AB68" s="90">
        <v>4000</v>
      </c>
      <c r="AC68" s="90"/>
      <c r="AD68" s="90"/>
      <c r="AE68" s="90"/>
      <c r="AF68" s="90"/>
      <c r="AG68" s="92"/>
      <c r="AH68" s="90"/>
      <c r="AI68" s="90"/>
      <c r="AJ68" s="90"/>
      <c r="AK68" s="90"/>
      <c r="AL68" s="92"/>
      <c r="AM68" s="90"/>
      <c r="AN68" s="90"/>
      <c r="AO68" s="90"/>
      <c r="AP68" s="94"/>
      <c r="AQ68" s="94"/>
      <c r="AR68" s="95"/>
      <c r="AS68" s="95"/>
      <c r="AT68" s="94"/>
      <c r="AU68" s="94"/>
      <c r="AV68" s="94"/>
      <c r="AW68" s="94"/>
      <c r="AX68" s="94"/>
      <c r="AY68" s="94"/>
      <c r="AZ68" s="94"/>
      <c r="BA68" s="94"/>
      <c r="BB68" s="94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4"/>
      <c r="CF68" s="94"/>
      <c r="CG68" s="94"/>
      <c r="CH68" s="94"/>
      <c r="CI68" s="94"/>
      <c r="CJ68" s="94"/>
      <c r="CK68" s="94"/>
      <c r="CL68" s="94"/>
      <c r="CM68" s="94"/>
      <c r="CN68" s="97" t="str">
        <f t="shared" si="367"/>
        <v>InitUnitState('E206',,,50,,160000,,4000,,,)</v>
      </c>
      <c r="CO68" s="97" t="str">
        <f t="shared" si="368"/>
        <v>InitUnitNormal('E206',,,,,,,,,,)</v>
      </c>
      <c r="CP68" s="97" t="str">
        <f t="shared" si="369"/>
        <v>InitUnitMagic('E206',,,,,,,,,,)</v>
      </c>
      <c r="CQ68" s="97" t="str">
        <f t="shared" si="370"/>
        <v>InitUnitAdd('E206',,,,,,,,,,)</v>
      </c>
      <c r="CR68" s="97" t="str">
        <f t="shared" si="590"/>
        <v>InitEquipData('E206',,"",,E207,2500,85,'','','','','','',"ReplaceableTextures\\CommandButtons\\BTNZ13.blp")</v>
      </c>
      <c r="CS68" s="97"/>
      <c r="CT68" s="97"/>
      <c r="CU68" s="99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="60" customFormat="1" ht="15" spans="1:175">
      <c r="A69" s="73"/>
      <c r="B69" s="74" t="s">
        <v>343</v>
      </c>
      <c r="C69" s="73" t="s">
        <v>344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4"/>
      <c r="Q69" s="84"/>
      <c r="R69" s="84"/>
      <c r="S69" s="84"/>
      <c r="T69" s="91"/>
      <c r="U69" s="89" t="s">
        <v>342</v>
      </c>
      <c r="V69" s="90"/>
      <c r="W69" s="90"/>
      <c r="X69" s="90">
        <v>50</v>
      </c>
      <c r="Y69" s="90"/>
      <c r="Z69" s="90">
        <v>200000</v>
      </c>
      <c r="AA69" s="90"/>
      <c r="AB69" s="90">
        <v>5000</v>
      </c>
      <c r="AC69" s="90"/>
      <c r="AD69" s="90"/>
      <c r="AE69" s="90"/>
      <c r="AF69" s="90"/>
      <c r="AG69" s="92"/>
      <c r="AH69" s="90"/>
      <c r="AI69" s="90"/>
      <c r="AJ69" s="90"/>
      <c r="AK69" s="90"/>
      <c r="AL69" s="92"/>
      <c r="AM69" s="90"/>
      <c r="AN69" s="90"/>
      <c r="AO69" s="90"/>
      <c r="AP69" s="94"/>
      <c r="AQ69" s="94"/>
      <c r="AR69" s="95"/>
      <c r="AS69" s="95"/>
      <c r="AT69" s="94"/>
      <c r="AU69" s="94"/>
      <c r="AV69" s="94"/>
      <c r="AW69" s="94"/>
      <c r="AX69" s="94"/>
      <c r="AY69" s="94"/>
      <c r="AZ69" s="94"/>
      <c r="BA69" s="94"/>
      <c r="BB69" s="94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4"/>
      <c r="CF69" s="94"/>
      <c r="CG69" s="94"/>
      <c r="CH69" s="94"/>
      <c r="CI69" s="94"/>
      <c r="CJ69" s="94"/>
      <c r="CK69" s="94"/>
      <c r="CL69" s="94"/>
      <c r="CM69" s="94"/>
      <c r="CN69" s="97" t="str">
        <f t="shared" si="367"/>
        <v>InitUnitState('E207',,,50,,200000,,5000,,,)</v>
      </c>
      <c r="CO69" s="97" t="str">
        <f t="shared" si="368"/>
        <v>InitUnitNormal('E207',,,,,,,,,,)</v>
      </c>
      <c r="CP69" s="97" t="str">
        <f t="shared" si="369"/>
        <v>InitUnitMagic('E207',,,,,,,,,,)</v>
      </c>
      <c r="CQ69" s="97" t="str">
        <f t="shared" si="370"/>
        <v>InitUnitAdd('E207',,,,,,,,,,)</v>
      </c>
      <c r="CR69" s="97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7"/>
      <c r="CT69" s="97"/>
      <c r="CU69" s="99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="60" customFormat="1" ht="15" spans="1:175">
      <c r="A70" s="73"/>
      <c r="B70" s="74" t="s">
        <v>345</v>
      </c>
      <c r="C70" s="73" t="s">
        <v>346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4"/>
      <c r="Q70" s="84"/>
      <c r="R70" s="84"/>
      <c r="S70" s="84"/>
      <c r="T70" s="91"/>
      <c r="U70" s="89" t="s">
        <v>342</v>
      </c>
      <c r="V70" s="90"/>
      <c r="W70" s="90"/>
      <c r="X70" s="90">
        <v>50</v>
      </c>
      <c r="Y70" s="90"/>
      <c r="Z70" s="90">
        <v>240000</v>
      </c>
      <c r="AA70" s="90"/>
      <c r="AB70" s="90">
        <v>6000</v>
      </c>
      <c r="AC70" s="90"/>
      <c r="AD70" s="90"/>
      <c r="AE70" s="90"/>
      <c r="AF70" s="90"/>
      <c r="AG70" s="92"/>
      <c r="AH70" s="90"/>
      <c r="AI70" s="90"/>
      <c r="AJ70" s="90"/>
      <c r="AK70" s="90"/>
      <c r="AL70" s="92"/>
      <c r="AM70" s="90"/>
      <c r="AN70" s="90"/>
      <c r="AO70" s="90"/>
      <c r="AP70" s="94"/>
      <c r="AQ70" s="94"/>
      <c r="AR70" s="95"/>
      <c r="AS70" s="95"/>
      <c r="AT70" s="94"/>
      <c r="AU70" s="94"/>
      <c r="AV70" s="94"/>
      <c r="AW70" s="94"/>
      <c r="AX70" s="94"/>
      <c r="AY70" s="94"/>
      <c r="AZ70" s="94"/>
      <c r="BA70" s="94"/>
      <c r="BB70" s="94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4"/>
      <c r="CF70" s="94"/>
      <c r="CG70" s="94"/>
      <c r="CH70" s="94"/>
      <c r="CI70" s="94"/>
      <c r="CJ70" s="94"/>
      <c r="CK70" s="94"/>
      <c r="CL70" s="94"/>
      <c r="CM70" s="94"/>
      <c r="CN70" s="97" t="str">
        <f t="shared" si="367"/>
        <v>InitUnitState('E208',,,50,,240000,,6000,,,)</v>
      </c>
      <c r="CO70" s="97" t="str">
        <f t="shared" si="368"/>
        <v>InitUnitNormal('E208',,,,,,,,,,)</v>
      </c>
      <c r="CP70" s="97" t="str">
        <f t="shared" si="369"/>
        <v>InitUnitMagic('E208',,,,,,,,,,)</v>
      </c>
      <c r="CQ70" s="97" t="str">
        <f t="shared" si="370"/>
        <v>InitUnitAdd('E208',,,,,,,,,,)</v>
      </c>
      <c r="CR70" s="97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7"/>
      <c r="CT70" s="97"/>
      <c r="CU70" s="99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="60" customFormat="1" ht="15" spans="1:175">
      <c r="A71" s="73"/>
      <c r="B71" s="74" t="s">
        <v>347</v>
      </c>
      <c r="C71" s="73" t="s">
        <v>348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4"/>
      <c r="Q71" s="84"/>
      <c r="R71" s="84"/>
      <c r="S71" s="84"/>
      <c r="T71" s="91"/>
      <c r="U71" s="89" t="s">
        <v>342</v>
      </c>
      <c r="V71" s="90"/>
      <c r="W71" s="90"/>
      <c r="X71" s="90">
        <v>50</v>
      </c>
      <c r="Y71" s="90"/>
      <c r="Z71" s="90">
        <v>280000</v>
      </c>
      <c r="AA71" s="90"/>
      <c r="AB71" s="90">
        <v>7000</v>
      </c>
      <c r="AC71" s="90"/>
      <c r="AD71" s="90"/>
      <c r="AE71" s="90"/>
      <c r="AF71" s="90"/>
      <c r="AG71" s="92"/>
      <c r="AH71" s="90"/>
      <c r="AI71" s="90"/>
      <c r="AJ71" s="90"/>
      <c r="AK71" s="90"/>
      <c r="AL71" s="92"/>
      <c r="AM71" s="90"/>
      <c r="AN71" s="90"/>
      <c r="AO71" s="90"/>
      <c r="AP71" s="94"/>
      <c r="AQ71" s="94"/>
      <c r="AR71" s="95"/>
      <c r="AS71" s="95"/>
      <c r="AT71" s="94"/>
      <c r="AU71" s="94"/>
      <c r="AV71" s="94"/>
      <c r="AW71" s="94"/>
      <c r="AX71" s="94"/>
      <c r="AY71" s="94"/>
      <c r="AZ71" s="94"/>
      <c r="BA71" s="94"/>
      <c r="BB71" s="94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4"/>
      <c r="CF71" s="94"/>
      <c r="CG71" s="94"/>
      <c r="CH71" s="94"/>
      <c r="CI71" s="94"/>
      <c r="CJ71" s="94"/>
      <c r="CK71" s="94"/>
      <c r="CL71" s="94"/>
      <c r="CM71" s="94"/>
      <c r="CN71" s="97" t="str">
        <f t="shared" si="367"/>
        <v>InitUnitState('E209',,,50,,280000,,7000,,,)</v>
      </c>
      <c r="CO71" s="97" t="str">
        <f t="shared" si="368"/>
        <v>InitUnitNormal('E209',,,,,,,,,,)</v>
      </c>
      <c r="CP71" s="97" t="str">
        <f t="shared" si="369"/>
        <v>InitUnitMagic('E209',,,,,,,,,,)</v>
      </c>
      <c r="CQ71" s="97" t="str">
        <f t="shared" si="370"/>
        <v>InitUnitAdd('E209',,,,,,,,,,)</v>
      </c>
      <c r="CR71" s="97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7"/>
      <c r="CT71" s="97"/>
      <c r="CU71" s="99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="60" customFormat="1" ht="15" spans="1:175">
      <c r="A72" s="73"/>
      <c r="B72" s="74" t="s">
        <v>349</v>
      </c>
      <c r="C72" s="73" t="s">
        <v>350</v>
      </c>
      <c r="D72" s="75"/>
      <c r="E72" s="76"/>
      <c r="F72" s="77">
        <v>8000</v>
      </c>
      <c r="G72" s="78">
        <v>100</v>
      </c>
      <c r="H72" s="79" t="s">
        <v>351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4"/>
      <c r="Q72" s="84"/>
      <c r="R72" s="84"/>
      <c r="S72" s="84"/>
      <c r="T72" s="91"/>
      <c r="U72" s="89" t="s">
        <v>342</v>
      </c>
      <c r="V72" s="90"/>
      <c r="W72" s="90"/>
      <c r="X72" s="90">
        <v>50</v>
      </c>
      <c r="Y72" s="90"/>
      <c r="Z72" s="90">
        <v>320000</v>
      </c>
      <c r="AA72" s="90"/>
      <c r="AB72" s="90">
        <v>8000</v>
      </c>
      <c r="AC72" s="90"/>
      <c r="AD72" s="90"/>
      <c r="AE72" s="90"/>
      <c r="AF72" s="90"/>
      <c r="AG72" s="92"/>
      <c r="AH72" s="90"/>
      <c r="AI72" s="90"/>
      <c r="AJ72" s="90"/>
      <c r="AK72" s="90"/>
      <c r="AL72" s="92"/>
      <c r="AM72" s="90"/>
      <c r="AN72" s="90"/>
      <c r="AO72" s="90"/>
      <c r="AP72" s="94"/>
      <c r="AQ72" s="94"/>
      <c r="AR72" s="95"/>
      <c r="AS72" s="95"/>
      <c r="AT72" s="94"/>
      <c r="AU72" s="94"/>
      <c r="AV72" s="94"/>
      <c r="AW72" s="94"/>
      <c r="AX72" s="94"/>
      <c r="AY72" s="94"/>
      <c r="AZ72" s="94"/>
      <c r="BA72" s="94"/>
      <c r="BB72" s="94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4"/>
      <c r="CF72" s="94"/>
      <c r="CG72" s="94"/>
      <c r="CH72" s="94"/>
      <c r="CI72" s="94"/>
      <c r="CJ72" s="94"/>
      <c r="CK72" s="94"/>
      <c r="CL72" s="94"/>
      <c r="CM72" s="94"/>
      <c r="CN72" s="97" t="str">
        <f t="shared" si="367"/>
        <v>InitUnitState('E210',,,50,,320000,,8000,,,)</v>
      </c>
      <c r="CO72" s="97" t="str">
        <f t="shared" si="368"/>
        <v>InitUnitNormal('E210',,,,,,,,,,)</v>
      </c>
      <c r="CP72" s="97" t="str">
        <f t="shared" si="369"/>
        <v>InitUnitMagic('E210',,,,,,,,,,)</v>
      </c>
      <c r="CQ72" s="97" t="str">
        <f t="shared" si="370"/>
        <v>InitUnitAdd('E210',,,,,,,,,,)</v>
      </c>
      <c r="CR72" s="97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7"/>
      <c r="CT72" s="97"/>
      <c r="CU72" s="99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="60" customFormat="1" ht="15" spans="1:175">
      <c r="A73" s="73"/>
      <c r="B73" s="74" t="s">
        <v>352</v>
      </c>
      <c r="C73" s="73" t="s">
        <v>353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7"/>
      <c r="Q73" s="107"/>
      <c r="R73" s="107"/>
      <c r="S73" s="108"/>
      <c r="T73" s="109"/>
      <c r="U73" s="89" t="s">
        <v>354</v>
      </c>
      <c r="V73" s="90"/>
      <c r="W73" s="90"/>
      <c r="X73" s="90">
        <v>100</v>
      </c>
      <c r="Y73" s="90"/>
      <c r="Z73" s="90">
        <v>480000</v>
      </c>
      <c r="AA73" s="90"/>
      <c r="AB73" s="90">
        <v>12000</v>
      </c>
      <c r="AC73" s="90"/>
      <c r="AD73" s="90"/>
      <c r="AE73" s="90"/>
      <c r="AF73" s="90"/>
      <c r="AG73" s="92"/>
      <c r="AH73" s="90"/>
      <c r="AI73" s="90"/>
      <c r="AJ73" s="90"/>
      <c r="AK73" s="90"/>
      <c r="AL73" s="92"/>
      <c r="AM73" s="90"/>
      <c r="AN73" s="90"/>
      <c r="AO73" s="90"/>
      <c r="AP73" s="94"/>
      <c r="AQ73" s="94"/>
      <c r="AR73" s="95"/>
      <c r="AS73" s="95"/>
      <c r="AT73" s="94"/>
      <c r="AU73" s="94"/>
      <c r="AV73" s="94"/>
      <c r="AW73" s="94"/>
      <c r="AX73" s="94"/>
      <c r="AY73" s="94"/>
      <c r="AZ73" s="94"/>
      <c r="BA73" s="94"/>
      <c r="BB73" s="94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4"/>
      <c r="CF73" s="94"/>
      <c r="CG73" s="94"/>
      <c r="CH73" s="94"/>
      <c r="CI73" s="94"/>
      <c r="CJ73" s="94"/>
      <c r="CK73" s="94"/>
      <c r="CL73" s="94"/>
      <c r="CM73" s="94"/>
      <c r="CN73" s="97" t="str">
        <f t="shared" si="367"/>
        <v>InitUnitState('E211',,,100,,480000,,12000,,,)</v>
      </c>
      <c r="CO73" s="97" t="str">
        <f t="shared" si="368"/>
        <v>InitUnitNormal('E211',,,,,,,,,,)</v>
      </c>
      <c r="CP73" s="97" t="str">
        <f t="shared" si="369"/>
        <v>InitUnitMagic('E211',,,,,,,,,,)</v>
      </c>
      <c r="CQ73" s="97" t="str">
        <f t="shared" si="370"/>
        <v>InitUnitAdd('E211',,,,,,,,,,)</v>
      </c>
      <c r="CR73" s="97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7"/>
      <c r="CT73" s="97"/>
      <c r="CU73" s="99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="60" customFormat="1" ht="15" spans="1:175">
      <c r="A74" s="73"/>
      <c r="B74" s="74" t="s">
        <v>355</v>
      </c>
      <c r="C74" s="73" t="s">
        <v>356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7"/>
      <c r="Q74" s="107"/>
      <c r="R74" s="107"/>
      <c r="S74" s="108"/>
      <c r="T74" s="109"/>
      <c r="U74" s="89" t="s">
        <v>354</v>
      </c>
      <c r="V74" s="90"/>
      <c r="W74" s="90"/>
      <c r="X74" s="90">
        <v>100</v>
      </c>
      <c r="Y74" s="90"/>
      <c r="Z74" s="90">
        <v>560000</v>
      </c>
      <c r="AA74" s="90"/>
      <c r="AB74" s="90">
        <v>14000</v>
      </c>
      <c r="AC74" s="90"/>
      <c r="AD74" s="90"/>
      <c r="AE74" s="90"/>
      <c r="AF74" s="90"/>
      <c r="AG74" s="92"/>
      <c r="AH74" s="90"/>
      <c r="AI74" s="90"/>
      <c r="AJ74" s="90"/>
      <c r="AK74" s="90"/>
      <c r="AL74" s="92"/>
      <c r="AM74" s="90"/>
      <c r="AN74" s="90"/>
      <c r="AO74" s="90"/>
      <c r="AP74" s="94"/>
      <c r="AQ74" s="94"/>
      <c r="AR74" s="95"/>
      <c r="AS74" s="95"/>
      <c r="AT74" s="94"/>
      <c r="AU74" s="94"/>
      <c r="AV74" s="94"/>
      <c r="AW74" s="94"/>
      <c r="AX74" s="94"/>
      <c r="AY74" s="94"/>
      <c r="AZ74" s="94"/>
      <c r="BA74" s="94"/>
      <c r="BB74" s="94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4"/>
      <c r="CF74" s="94"/>
      <c r="CG74" s="94"/>
      <c r="CH74" s="94"/>
      <c r="CI74" s="94"/>
      <c r="CJ74" s="94"/>
      <c r="CK74" s="94"/>
      <c r="CL74" s="94"/>
      <c r="CM74" s="94"/>
      <c r="CN74" s="97" t="str">
        <f t="shared" si="367"/>
        <v>InitUnitState('E212',,,100,,560000,,14000,,,)</v>
      </c>
      <c r="CO74" s="97" t="str">
        <f t="shared" si="368"/>
        <v>InitUnitNormal('E212',,,,,,,,,,)</v>
      </c>
      <c r="CP74" s="97" t="str">
        <f t="shared" si="369"/>
        <v>InitUnitMagic('E212',,,,,,,,,,)</v>
      </c>
      <c r="CQ74" s="97" t="str">
        <f t="shared" si="370"/>
        <v>InitUnitAdd('E212',,,,,,,,,,)</v>
      </c>
      <c r="CR74" s="97" t="str">
        <f t="shared" si="801"/>
        <v>InitEquipData('E212',,"",,E213,6000,80,'','','','','','',"ReplaceableTextures\\CommandButtons\\BTNZ13.blp")</v>
      </c>
      <c r="CS74" s="97"/>
      <c r="CT74" s="97"/>
      <c r="CU74" s="99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="60" customFormat="1" ht="15" spans="1:175">
      <c r="A75" s="73"/>
      <c r="B75" s="74" t="s">
        <v>357</v>
      </c>
      <c r="C75" s="73" t="s">
        <v>358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7"/>
      <c r="Q75" s="107"/>
      <c r="R75" s="107"/>
      <c r="S75" s="108"/>
      <c r="T75" s="109"/>
      <c r="U75" s="89" t="s">
        <v>354</v>
      </c>
      <c r="V75" s="90"/>
      <c r="W75" s="90"/>
      <c r="X75" s="90">
        <v>100</v>
      </c>
      <c r="Y75" s="90"/>
      <c r="Z75" s="90">
        <v>640000</v>
      </c>
      <c r="AA75" s="90"/>
      <c r="AB75" s="90">
        <v>16000</v>
      </c>
      <c r="AC75" s="90"/>
      <c r="AD75" s="90"/>
      <c r="AE75" s="90"/>
      <c r="AF75" s="90"/>
      <c r="AG75" s="92"/>
      <c r="AH75" s="90"/>
      <c r="AI75" s="90"/>
      <c r="AJ75" s="90"/>
      <c r="AK75" s="90"/>
      <c r="AL75" s="92"/>
      <c r="AM75" s="90"/>
      <c r="AN75" s="90"/>
      <c r="AO75" s="90"/>
      <c r="AP75" s="94"/>
      <c r="AQ75" s="94"/>
      <c r="AR75" s="95"/>
      <c r="AS75" s="95"/>
      <c r="AT75" s="94"/>
      <c r="AU75" s="94"/>
      <c r="AV75" s="94"/>
      <c r="AW75" s="94"/>
      <c r="AX75" s="94"/>
      <c r="AY75" s="94"/>
      <c r="AZ75" s="94"/>
      <c r="BA75" s="94"/>
      <c r="BB75" s="94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4"/>
      <c r="CF75" s="94"/>
      <c r="CG75" s="94"/>
      <c r="CH75" s="94"/>
      <c r="CI75" s="94"/>
      <c r="CJ75" s="94"/>
      <c r="CK75" s="94"/>
      <c r="CL75" s="94"/>
      <c r="CM75" s="94"/>
      <c r="CN75" s="97" t="str">
        <f t="shared" si="367"/>
        <v>InitUnitState('E213',,,100,,640000,,16000,,,)</v>
      </c>
      <c r="CO75" s="97" t="str">
        <f t="shared" si="368"/>
        <v>InitUnitNormal('E213',,,,,,,,,,)</v>
      </c>
      <c r="CP75" s="97" t="str">
        <f t="shared" si="369"/>
        <v>InitUnitMagic('E213',,,,,,,,,,)</v>
      </c>
      <c r="CQ75" s="97" t="str">
        <f t="shared" si="370"/>
        <v>InitUnitAdd('E213',,,,,,,,,,)</v>
      </c>
      <c r="CR75" s="97" t="str">
        <f t="shared" si="801"/>
        <v>InitEquipData('E213',,"",,E214,6000,80,'','','','','','',"ReplaceableTextures\\CommandButtons\\BTNZ13.blp")</v>
      </c>
      <c r="CS75" s="97"/>
      <c r="CT75" s="97"/>
      <c r="CU75" s="99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="60" customFormat="1" ht="15" spans="1:175">
      <c r="A76" s="73"/>
      <c r="B76" s="74" t="s">
        <v>359</v>
      </c>
      <c r="C76" s="73" t="s">
        <v>360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7"/>
      <c r="Q76" s="107"/>
      <c r="R76" s="107"/>
      <c r="S76" s="108"/>
      <c r="T76" s="109"/>
      <c r="U76" s="89" t="s">
        <v>354</v>
      </c>
      <c r="V76" s="90"/>
      <c r="W76" s="90"/>
      <c r="X76" s="90">
        <v>100</v>
      </c>
      <c r="Y76" s="90"/>
      <c r="Z76" s="90">
        <v>800000</v>
      </c>
      <c r="AA76" s="90"/>
      <c r="AB76" s="90">
        <v>20000</v>
      </c>
      <c r="AC76" s="90"/>
      <c r="AD76" s="90"/>
      <c r="AE76" s="90"/>
      <c r="AF76" s="90"/>
      <c r="AG76" s="92"/>
      <c r="AH76" s="90"/>
      <c r="AI76" s="90"/>
      <c r="AJ76" s="90"/>
      <c r="AK76" s="90"/>
      <c r="AL76" s="92"/>
      <c r="AM76" s="90"/>
      <c r="AN76" s="90"/>
      <c r="AO76" s="90"/>
      <c r="AP76" s="94"/>
      <c r="AQ76" s="94"/>
      <c r="AR76" s="95"/>
      <c r="AS76" s="95"/>
      <c r="AT76" s="94"/>
      <c r="AU76" s="94"/>
      <c r="AV76" s="94"/>
      <c r="AW76" s="94"/>
      <c r="AX76" s="94"/>
      <c r="AY76" s="94"/>
      <c r="AZ76" s="94"/>
      <c r="BA76" s="94"/>
      <c r="BB76" s="94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4"/>
      <c r="CF76" s="94"/>
      <c r="CG76" s="94"/>
      <c r="CH76" s="94"/>
      <c r="CI76" s="94"/>
      <c r="CJ76" s="94"/>
      <c r="CK76" s="94"/>
      <c r="CL76" s="94"/>
      <c r="CM76" s="94"/>
      <c r="CN76" s="97" t="str">
        <f t="shared" si="367"/>
        <v>InitUnitState('E214',,,100,,800000,,20000,,,)</v>
      </c>
      <c r="CO76" s="97" t="str">
        <f t="shared" si="368"/>
        <v>InitUnitNormal('E214',,,,,,,,,,)</v>
      </c>
      <c r="CP76" s="97" t="str">
        <f t="shared" si="369"/>
        <v>InitUnitMagic('E214',,,,,,,,,,)</v>
      </c>
      <c r="CQ76" s="97" t="str">
        <f t="shared" si="370"/>
        <v>InitUnitAdd('E214',,,,,,,,,,)</v>
      </c>
      <c r="CR76" s="97" t="str">
        <f t="shared" si="801"/>
        <v>InitEquipData('E214',,"",,E215,6000,80,'','','','','','',"ReplaceableTextures\\CommandButtons\\BTNZ13.blp")</v>
      </c>
      <c r="CS76" s="97"/>
      <c r="CT76" s="97"/>
      <c r="CU76" s="99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="60" customFormat="1" ht="15" spans="1:175">
      <c r="A77" s="73"/>
      <c r="B77" s="74" t="s">
        <v>361</v>
      </c>
      <c r="C77" s="73" t="s">
        <v>362</v>
      </c>
      <c r="D77" s="75"/>
      <c r="E77" s="76"/>
      <c r="F77" s="77">
        <v>20000</v>
      </c>
      <c r="G77" s="78">
        <v>100</v>
      </c>
      <c r="H77" s="79" t="s">
        <v>363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7"/>
      <c r="Q77" s="107"/>
      <c r="R77" s="107"/>
      <c r="S77" s="108"/>
      <c r="T77" s="109"/>
      <c r="U77" s="89" t="s">
        <v>354</v>
      </c>
      <c r="V77" s="90"/>
      <c r="W77" s="90"/>
      <c r="X77" s="90">
        <v>100</v>
      </c>
      <c r="Y77" s="90"/>
      <c r="Z77" s="90">
        <v>960000</v>
      </c>
      <c r="AA77" s="90"/>
      <c r="AB77" s="90">
        <v>24000</v>
      </c>
      <c r="AC77" s="90"/>
      <c r="AD77" s="90"/>
      <c r="AE77" s="90"/>
      <c r="AF77" s="90"/>
      <c r="AG77" s="92"/>
      <c r="AH77" s="90"/>
      <c r="AI77" s="90"/>
      <c r="AJ77" s="90"/>
      <c r="AK77" s="90"/>
      <c r="AL77" s="92"/>
      <c r="AM77" s="90"/>
      <c r="AN77" s="90"/>
      <c r="AO77" s="90"/>
      <c r="AP77" s="94"/>
      <c r="AQ77" s="94"/>
      <c r="AR77" s="95"/>
      <c r="AS77" s="95"/>
      <c r="AT77" s="94"/>
      <c r="AU77" s="94"/>
      <c r="AV77" s="94"/>
      <c r="AW77" s="94"/>
      <c r="AX77" s="94"/>
      <c r="AY77" s="94"/>
      <c r="AZ77" s="94"/>
      <c r="BA77" s="94"/>
      <c r="BB77" s="94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4"/>
      <c r="CF77" s="94"/>
      <c r="CG77" s="94"/>
      <c r="CH77" s="94"/>
      <c r="CI77" s="94"/>
      <c r="CJ77" s="94"/>
      <c r="CK77" s="94"/>
      <c r="CL77" s="94"/>
      <c r="CM77" s="94"/>
      <c r="CN77" s="97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7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7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7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7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7"/>
      <c r="CT77" s="97"/>
      <c r="CU77" s="99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="60" customFormat="1" ht="15" spans="1:175">
      <c r="A78" s="73"/>
      <c r="B78" s="74" t="s">
        <v>364</v>
      </c>
      <c r="C78" s="73" t="s">
        <v>365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7"/>
      <c r="Q78" s="107"/>
      <c r="R78" s="107"/>
      <c r="S78" s="108"/>
      <c r="T78" s="109"/>
      <c r="U78" s="89" t="s">
        <v>366</v>
      </c>
      <c r="V78" s="90"/>
      <c r="W78" s="90"/>
      <c r="X78" s="90">
        <v>150</v>
      </c>
      <c r="Y78" s="90"/>
      <c r="Z78" s="90">
        <v>1440000</v>
      </c>
      <c r="AA78" s="90"/>
      <c r="AB78" s="90">
        <v>36000</v>
      </c>
      <c r="AC78" s="90"/>
      <c r="AD78" s="90"/>
      <c r="AE78" s="90"/>
      <c r="AF78" s="90"/>
      <c r="AG78" s="92"/>
      <c r="AH78" s="90"/>
      <c r="AI78" s="90"/>
      <c r="AJ78" s="90"/>
      <c r="AK78" s="90"/>
      <c r="AL78" s="92"/>
      <c r="AM78" s="90"/>
      <c r="AN78" s="90"/>
      <c r="AO78" s="90"/>
      <c r="AP78" s="94"/>
      <c r="AQ78" s="94"/>
      <c r="AR78" s="95"/>
      <c r="AS78" s="95"/>
      <c r="AT78" s="94"/>
      <c r="AU78" s="94"/>
      <c r="AV78" s="94"/>
      <c r="AW78" s="94"/>
      <c r="AX78" s="94"/>
      <c r="AY78" s="94"/>
      <c r="AZ78" s="94"/>
      <c r="BA78" s="94"/>
      <c r="BB78" s="94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4"/>
      <c r="CF78" s="94"/>
      <c r="CG78" s="94"/>
      <c r="CH78" s="94"/>
      <c r="CI78" s="94"/>
      <c r="CJ78" s="94"/>
      <c r="CK78" s="94"/>
      <c r="CL78" s="94"/>
      <c r="CM78" s="94"/>
      <c r="CN78" s="97" t="str">
        <f t="shared" si="1012"/>
        <v>InitUnitState('E216',,,150,,1440000,,36000,,,)</v>
      </c>
      <c r="CO78" s="97" t="str">
        <f t="shared" si="1013"/>
        <v>InitUnitNormal('E216',,,,,,,,,,)</v>
      </c>
      <c r="CP78" s="97" t="str">
        <f t="shared" si="1014"/>
        <v>InitUnitMagic('E216',,,,,,,,,,)</v>
      </c>
      <c r="CQ78" s="97" t="str">
        <f t="shared" si="1015"/>
        <v>InitUnitAdd('E216',,,,,,,,,,)</v>
      </c>
      <c r="CR78" s="97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7"/>
      <c r="CT78" s="97"/>
      <c r="CU78" s="99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="60" customFormat="1" ht="15" spans="1:175">
      <c r="A79" s="73"/>
      <c r="B79" s="74" t="s">
        <v>367</v>
      </c>
      <c r="C79" s="73" t="s">
        <v>368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7"/>
      <c r="Q79" s="107"/>
      <c r="R79" s="107"/>
      <c r="S79" s="108"/>
      <c r="T79" s="109"/>
      <c r="U79" s="89" t="s">
        <v>366</v>
      </c>
      <c r="V79" s="90"/>
      <c r="W79" s="90"/>
      <c r="X79" s="90">
        <v>150</v>
      </c>
      <c r="Y79" s="90"/>
      <c r="Z79" s="90">
        <v>1680000</v>
      </c>
      <c r="AA79" s="90"/>
      <c r="AB79" s="90">
        <v>42000</v>
      </c>
      <c r="AC79" s="90"/>
      <c r="AD79" s="90"/>
      <c r="AE79" s="90"/>
      <c r="AF79" s="90"/>
      <c r="AG79" s="92"/>
      <c r="AH79" s="90"/>
      <c r="AI79" s="90"/>
      <c r="AJ79" s="90"/>
      <c r="AK79" s="90"/>
      <c r="AL79" s="92"/>
      <c r="AM79" s="90"/>
      <c r="AN79" s="90"/>
      <c r="AO79" s="90"/>
      <c r="AP79" s="94"/>
      <c r="AQ79" s="94"/>
      <c r="AR79" s="95"/>
      <c r="AS79" s="95"/>
      <c r="AT79" s="94"/>
      <c r="AU79" s="94"/>
      <c r="AV79" s="94"/>
      <c r="AW79" s="94"/>
      <c r="AX79" s="94"/>
      <c r="AY79" s="94"/>
      <c r="AZ79" s="94"/>
      <c r="BA79" s="94"/>
      <c r="BB79" s="94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4"/>
      <c r="CF79" s="94"/>
      <c r="CG79" s="94"/>
      <c r="CH79" s="94"/>
      <c r="CI79" s="94"/>
      <c r="CJ79" s="94"/>
      <c r="CK79" s="94"/>
      <c r="CL79" s="94"/>
      <c r="CM79" s="94"/>
      <c r="CN79" s="97" t="str">
        <f t="shared" si="1012"/>
        <v>InitUnitState('E217',,,150,,1680000,,42000,,,)</v>
      </c>
      <c r="CO79" s="97" t="str">
        <f t="shared" si="1013"/>
        <v>InitUnitNormal('E217',,,,,,,,,,)</v>
      </c>
      <c r="CP79" s="97" t="str">
        <f t="shared" si="1014"/>
        <v>InitUnitMagic('E217',,,,,,,,,,)</v>
      </c>
      <c r="CQ79" s="97" t="str">
        <f t="shared" si="1015"/>
        <v>InitUnitAdd('E217',,,,,,,,,,)</v>
      </c>
      <c r="CR79" s="97" t="str">
        <f t="shared" si="1016"/>
        <v>InitEquipData('E217',,"",,E218,10000,70,'','','','','','',"ReplaceableTextures\\CommandButtons\\BTNZ23.blp")</v>
      </c>
      <c r="CS79" s="97"/>
      <c r="CT79" s="97"/>
      <c r="CU79" s="99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="60" customFormat="1" ht="15" spans="1:175">
      <c r="A80" s="73"/>
      <c r="B80" s="74" t="s">
        <v>369</v>
      </c>
      <c r="C80" s="73" t="s">
        <v>370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7"/>
      <c r="Q80" s="107"/>
      <c r="R80" s="107"/>
      <c r="S80" s="108"/>
      <c r="T80" s="109"/>
      <c r="U80" s="89" t="s">
        <v>366</v>
      </c>
      <c r="V80" s="90"/>
      <c r="W80" s="90"/>
      <c r="X80" s="90">
        <v>150</v>
      </c>
      <c r="Y80" s="90"/>
      <c r="Z80" s="90">
        <v>1920000</v>
      </c>
      <c r="AA80" s="90"/>
      <c r="AB80" s="90">
        <v>48000</v>
      </c>
      <c r="AC80" s="90"/>
      <c r="AD80" s="90"/>
      <c r="AE80" s="90"/>
      <c r="AF80" s="90"/>
      <c r="AG80" s="92"/>
      <c r="AH80" s="90"/>
      <c r="AI80" s="90"/>
      <c r="AJ80" s="90"/>
      <c r="AK80" s="90"/>
      <c r="AL80" s="92"/>
      <c r="AM80" s="90"/>
      <c r="AN80" s="90"/>
      <c r="AO80" s="90"/>
      <c r="AP80" s="94"/>
      <c r="AQ80" s="94"/>
      <c r="AR80" s="95"/>
      <c r="AS80" s="95"/>
      <c r="AT80" s="94"/>
      <c r="AU80" s="94"/>
      <c r="AV80" s="94"/>
      <c r="AW80" s="94"/>
      <c r="AX80" s="94"/>
      <c r="AY80" s="94"/>
      <c r="AZ80" s="94"/>
      <c r="BA80" s="94"/>
      <c r="BB80" s="94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4"/>
      <c r="CF80" s="94"/>
      <c r="CG80" s="94"/>
      <c r="CH80" s="94"/>
      <c r="CI80" s="94"/>
      <c r="CJ80" s="94"/>
      <c r="CK80" s="94"/>
      <c r="CL80" s="94"/>
      <c r="CM80" s="94"/>
      <c r="CN80" s="97" t="str">
        <f t="shared" si="1012"/>
        <v>InitUnitState('E218',,,150,,1920000,,48000,,,)</v>
      </c>
      <c r="CO80" s="97" t="str">
        <f t="shared" si="1013"/>
        <v>InitUnitNormal('E218',,,,,,,,,,)</v>
      </c>
      <c r="CP80" s="97" t="str">
        <f t="shared" si="1014"/>
        <v>InitUnitMagic('E218',,,,,,,,,,)</v>
      </c>
      <c r="CQ80" s="97" t="str">
        <f t="shared" si="1015"/>
        <v>InitUnitAdd('E218',,,,,,,,,,)</v>
      </c>
      <c r="CR80" s="97" t="str">
        <f t="shared" si="1016"/>
        <v>InitEquipData('E218',,"",,E219,10000,70,'','','','','','',"ReplaceableTextures\\CommandButtons\\BTNZ23.blp")</v>
      </c>
      <c r="CS80" s="97"/>
      <c r="CT80" s="97"/>
      <c r="CU80" s="99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="60" customFormat="1" ht="15" spans="1:175">
      <c r="A81" s="73"/>
      <c r="B81" s="74" t="s">
        <v>371</v>
      </c>
      <c r="C81" s="73" t="s">
        <v>372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7"/>
      <c r="Q81" s="107"/>
      <c r="R81" s="107"/>
      <c r="S81" s="108"/>
      <c r="T81" s="109"/>
      <c r="U81" s="89" t="s">
        <v>366</v>
      </c>
      <c r="V81" s="90"/>
      <c r="W81" s="90"/>
      <c r="X81" s="90">
        <v>150</v>
      </c>
      <c r="Y81" s="90"/>
      <c r="Z81" s="90">
        <v>2160000</v>
      </c>
      <c r="AA81" s="90"/>
      <c r="AB81" s="90">
        <v>54000</v>
      </c>
      <c r="AC81" s="90"/>
      <c r="AD81" s="90"/>
      <c r="AE81" s="90"/>
      <c r="AF81" s="90"/>
      <c r="AG81" s="92"/>
      <c r="AH81" s="90"/>
      <c r="AI81" s="90"/>
      <c r="AJ81" s="90"/>
      <c r="AK81" s="90"/>
      <c r="AL81" s="92"/>
      <c r="AM81" s="90"/>
      <c r="AN81" s="90"/>
      <c r="AO81" s="90"/>
      <c r="AP81" s="94"/>
      <c r="AQ81" s="94"/>
      <c r="AR81" s="95"/>
      <c r="AS81" s="95"/>
      <c r="AT81" s="94"/>
      <c r="AU81" s="94"/>
      <c r="AV81" s="94"/>
      <c r="AW81" s="94"/>
      <c r="AX81" s="94"/>
      <c r="AY81" s="94"/>
      <c r="AZ81" s="94"/>
      <c r="BA81" s="94"/>
      <c r="BB81" s="94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4"/>
      <c r="CF81" s="94"/>
      <c r="CG81" s="94"/>
      <c r="CH81" s="94"/>
      <c r="CI81" s="94"/>
      <c r="CJ81" s="94"/>
      <c r="CK81" s="94"/>
      <c r="CL81" s="94"/>
      <c r="CM81" s="94"/>
      <c r="CN81" s="97" t="str">
        <f t="shared" si="1012"/>
        <v>InitUnitState('E219',,,150,,2160000,,54000,,,)</v>
      </c>
      <c r="CO81" s="97" t="str">
        <f t="shared" si="1013"/>
        <v>InitUnitNormal('E219',,,,,,,,,,)</v>
      </c>
      <c r="CP81" s="97" t="str">
        <f t="shared" si="1014"/>
        <v>InitUnitMagic('E219',,,,,,,,,,)</v>
      </c>
      <c r="CQ81" s="97" t="str">
        <f t="shared" si="1015"/>
        <v>InitUnitAdd('E219',,,,,,,,,,)</v>
      </c>
      <c r="CR81" s="97" t="str">
        <f t="shared" si="1016"/>
        <v>InitEquipData('E219',,"",,E220,10000,70,'','','','','','',"ReplaceableTextures\\CommandButtons\\BTNZ23.blp")</v>
      </c>
      <c r="CS81" s="97"/>
      <c r="CT81" s="97"/>
      <c r="CU81" s="99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="60" customFormat="1" ht="15" spans="1:175">
      <c r="A82" s="73"/>
      <c r="B82" s="74" t="s">
        <v>373</v>
      </c>
      <c r="C82" s="73" t="s">
        <v>374</v>
      </c>
      <c r="D82" s="75"/>
      <c r="E82" s="76"/>
      <c r="F82" s="77">
        <v>30000</v>
      </c>
      <c r="G82" s="78">
        <v>100</v>
      </c>
      <c r="H82" s="79" t="s">
        <v>375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7"/>
      <c r="Q82" s="107"/>
      <c r="R82" s="107"/>
      <c r="S82" s="108"/>
      <c r="T82" s="109"/>
      <c r="U82" s="89" t="s">
        <v>366</v>
      </c>
      <c r="V82" s="90"/>
      <c r="W82" s="90"/>
      <c r="X82" s="90">
        <v>150</v>
      </c>
      <c r="Y82" s="90"/>
      <c r="Z82" s="90">
        <v>2400000</v>
      </c>
      <c r="AA82" s="90"/>
      <c r="AB82" s="90">
        <v>60000</v>
      </c>
      <c r="AC82" s="90"/>
      <c r="AD82" s="90"/>
      <c r="AE82" s="90"/>
      <c r="AF82" s="90"/>
      <c r="AG82" s="92"/>
      <c r="AH82" s="90"/>
      <c r="AI82" s="90"/>
      <c r="AJ82" s="90"/>
      <c r="AK82" s="90"/>
      <c r="AL82" s="92"/>
      <c r="AM82" s="90"/>
      <c r="AN82" s="90"/>
      <c r="AO82" s="90"/>
      <c r="AP82" s="94"/>
      <c r="AQ82" s="94"/>
      <c r="AR82" s="95"/>
      <c r="AS82" s="95"/>
      <c r="AT82" s="94"/>
      <c r="AU82" s="94"/>
      <c r="AV82" s="94"/>
      <c r="AW82" s="94"/>
      <c r="AX82" s="94"/>
      <c r="AY82" s="94"/>
      <c r="AZ82" s="94"/>
      <c r="BA82" s="94"/>
      <c r="BB82" s="94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4"/>
      <c r="CF82" s="94"/>
      <c r="CG82" s="94"/>
      <c r="CH82" s="94"/>
      <c r="CI82" s="94"/>
      <c r="CJ82" s="94"/>
      <c r="CK82" s="94"/>
      <c r="CL82" s="94"/>
      <c r="CM82" s="94"/>
      <c r="CN82" s="97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7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7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7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7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7"/>
      <c r="CT82" s="97"/>
      <c r="CU82" s="99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="60" customFormat="1" ht="15" spans="1:175">
      <c r="A83" s="73"/>
      <c r="B83" s="74" t="s">
        <v>376</v>
      </c>
      <c r="C83" s="73" t="s">
        <v>377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7"/>
      <c r="Q83" s="107"/>
      <c r="R83" s="107"/>
      <c r="S83" s="108"/>
      <c r="T83" s="109"/>
      <c r="U83" s="89" t="s">
        <v>378</v>
      </c>
      <c r="V83" s="90"/>
      <c r="W83" s="90"/>
      <c r="X83" s="90">
        <v>200</v>
      </c>
      <c r="Y83" s="90"/>
      <c r="Z83" s="90">
        <v>3200000</v>
      </c>
      <c r="AA83" s="90"/>
      <c r="AB83" s="90">
        <v>80000</v>
      </c>
      <c r="AC83" s="90"/>
      <c r="AD83" s="90"/>
      <c r="AE83" s="90"/>
      <c r="AF83" s="90"/>
      <c r="AG83" s="92"/>
      <c r="AH83" s="90"/>
      <c r="AI83" s="90"/>
      <c r="AJ83" s="90"/>
      <c r="AK83" s="90"/>
      <c r="AL83" s="92"/>
      <c r="AM83" s="90"/>
      <c r="AN83" s="90"/>
      <c r="AO83" s="90"/>
      <c r="AP83" s="94"/>
      <c r="AQ83" s="94"/>
      <c r="AR83" s="95"/>
      <c r="AS83" s="95"/>
      <c r="AT83" s="94"/>
      <c r="AU83" s="94"/>
      <c r="AV83" s="94"/>
      <c r="AW83" s="94"/>
      <c r="AX83" s="94"/>
      <c r="AY83" s="94"/>
      <c r="AZ83" s="94"/>
      <c r="BA83" s="94"/>
      <c r="BB83" s="94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4"/>
      <c r="CF83" s="94"/>
      <c r="CG83" s="94"/>
      <c r="CH83" s="94"/>
      <c r="CI83" s="94"/>
      <c r="CJ83" s="94"/>
      <c r="CK83" s="94"/>
      <c r="CL83" s="94"/>
      <c r="CM83" s="94"/>
      <c r="CN83" s="97" t="str">
        <f t="shared" si="1012"/>
        <v>InitUnitState('E221',,,200,,3200000,,80000,,,)</v>
      </c>
      <c r="CO83" s="97" t="str">
        <f t="shared" si="1013"/>
        <v>InitUnitNormal('E221',,,,,,,,,,)</v>
      </c>
      <c r="CP83" s="97" t="str">
        <f t="shared" si="1014"/>
        <v>InitUnitMagic('E221',,,,,,,,,,)</v>
      </c>
      <c r="CQ83" s="97" t="str">
        <f t="shared" si="1015"/>
        <v>InitUnitAdd('E221',,,,,,,,,,)</v>
      </c>
      <c r="CR83" s="97" t="str">
        <f t="shared" si="801"/>
        <v>InitEquipData('E221',,"",,E222,20000,60,'','','','','','',"ReplaceableTextures\\CommandButtons\\BTNZ14.blp")</v>
      </c>
      <c r="CS83" s="97"/>
      <c r="CT83" s="97"/>
      <c r="CU83" s="99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="60" customFormat="1" ht="15" spans="1:175">
      <c r="A84" s="73"/>
      <c r="B84" s="74" t="s">
        <v>379</v>
      </c>
      <c r="C84" s="73" t="s">
        <v>380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7"/>
      <c r="Q84" s="107"/>
      <c r="R84" s="107"/>
      <c r="S84" s="108"/>
      <c r="T84" s="109"/>
      <c r="U84" s="89" t="s">
        <v>378</v>
      </c>
      <c r="V84" s="90"/>
      <c r="W84" s="90"/>
      <c r="X84" s="90">
        <v>200</v>
      </c>
      <c r="Y84" s="90"/>
      <c r="Z84" s="90">
        <v>3600000</v>
      </c>
      <c r="AA84" s="90"/>
      <c r="AB84" s="90">
        <v>90000</v>
      </c>
      <c r="AC84" s="90"/>
      <c r="AD84" s="90"/>
      <c r="AE84" s="90"/>
      <c r="AF84" s="90"/>
      <c r="AG84" s="92"/>
      <c r="AH84" s="90"/>
      <c r="AI84" s="90"/>
      <c r="AJ84" s="90"/>
      <c r="AK84" s="90"/>
      <c r="AL84" s="92"/>
      <c r="AM84" s="90"/>
      <c r="AN84" s="90"/>
      <c r="AO84" s="90"/>
      <c r="AP84" s="94"/>
      <c r="AQ84" s="94"/>
      <c r="AR84" s="95"/>
      <c r="AS84" s="95"/>
      <c r="AT84" s="94"/>
      <c r="AU84" s="94"/>
      <c r="AV84" s="94"/>
      <c r="AW84" s="94"/>
      <c r="AX84" s="94"/>
      <c r="AY84" s="94"/>
      <c r="AZ84" s="94"/>
      <c r="BA84" s="94"/>
      <c r="BB84" s="94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4"/>
      <c r="CF84" s="94"/>
      <c r="CG84" s="94"/>
      <c r="CH84" s="94"/>
      <c r="CI84" s="94"/>
      <c r="CJ84" s="94"/>
      <c r="CK84" s="94"/>
      <c r="CL84" s="94"/>
      <c r="CM84" s="94"/>
      <c r="CN84" s="97" t="str">
        <f t="shared" si="1012"/>
        <v>InitUnitState('E222',,,200,,3600000,,90000,,,)</v>
      </c>
      <c r="CO84" s="97" t="str">
        <f t="shared" si="1013"/>
        <v>InitUnitNormal('E222',,,,,,,,,,)</v>
      </c>
      <c r="CP84" s="97" t="str">
        <f t="shared" si="1014"/>
        <v>InitUnitMagic('E222',,,,,,,,,,)</v>
      </c>
      <c r="CQ84" s="97" t="str">
        <f t="shared" si="1015"/>
        <v>InitUnitAdd('E222',,,,,,,,,,)</v>
      </c>
      <c r="CR84" s="97" t="str">
        <f t="shared" si="801"/>
        <v>InitEquipData('E222',,"",,E223,20000,60,'','','','','','',"ReplaceableTextures\\CommandButtons\\BTNZ14.blp")</v>
      </c>
      <c r="CS84" s="97"/>
      <c r="CT84" s="97"/>
      <c r="CU84" s="99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="60" customFormat="1" ht="15" spans="1:175">
      <c r="A85" s="73"/>
      <c r="B85" s="74" t="s">
        <v>381</v>
      </c>
      <c r="C85" s="73" t="s">
        <v>382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7"/>
      <c r="Q85" s="107"/>
      <c r="R85" s="107"/>
      <c r="S85" s="108"/>
      <c r="T85" s="109"/>
      <c r="U85" s="89" t="s">
        <v>378</v>
      </c>
      <c r="V85" s="90"/>
      <c r="W85" s="90"/>
      <c r="X85" s="90">
        <v>200</v>
      </c>
      <c r="Y85" s="90"/>
      <c r="Z85" s="90">
        <v>4000000</v>
      </c>
      <c r="AA85" s="90"/>
      <c r="AB85" s="90">
        <v>100000</v>
      </c>
      <c r="AC85" s="90"/>
      <c r="AD85" s="90"/>
      <c r="AE85" s="90"/>
      <c r="AF85" s="90"/>
      <c r="AG85" s="92"/>
      <c r="AH85" s="90"/>
      <c r="AI85" s="90"/>
      <c r="AJ85" s="90"/>
      <c r="AK85" s="90"/>
      <c r="AL85" s="92"/>
      <c r="AM85" s="90"/>
      <c r="AN85" s="90"/>
      <c r="AO85" s="90"/>
      <c r="AP85" s="94"/>
      <c r="AQ85" s="94"/>
      <c r="AR85" s="95"/>
      <c r="AS85" s="95"/>
      <c r="AT85" s="94"/>
      <c r="AU85" s="94"/>
      <c r="AV85" s="94"/>
      <c r="AW85" s="94"/>
      <c r="AX85" s="94"/>
      <c r="AY85" s="94"/>
      <c r="AZ85" s="94"/>
      <c r="BA85" s="94"/>
      <c r="BB85" s="94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4"/>
      <c r="CF85" s="94"/>
      <c r="CG85" s="94"/>
      <c r="CH85" s="94"/>
      <c r="CI85" s="94"/>
      <c r="CJ85" s="94"/>
      <c r="CK85" s="94"/>
      <c r="CL85" s="94"/>
      <c r="CM85" s="94"/>
      <c r="CN85" s="97" t="str">
        <f t="shared" si="1012"/>
        <v>InitUnitState('E223',,,200,,4000000,,100000,,,)</v>
      </c>
      <c r="CO85" s="97" t="str">
        <f t="shared" si="1013"/>
        <v>InitUnitNormal('E223',,,,,,,,,,)</v>
      </c>
      <c r="CP85" s="97" t="str">
        <f t="shared" si="1014"/>
        <v>InitUnitMagic('E223',,,,,,,,,,)</v>
      </c>
      <c r="CQ85" s="97" t="str">
        <f t="shared" si="1015"/>
        <v>InitUnitAdd('E223',,,,,,,,,,)</v>
      </c>
      <c r="CR85" s="97" t="str">
        <f t="shared" si="801"/>
        <v>InitEquipData('E223',,"",,E224,20000,60,'','','','','','',"ReplaceableTextures\\CommandButtons\\BTNZ14.blp")</v>
      </c>
      <c r="CS85" s="97"/>
      <c r="CT85" s="97"/>
      <c r="CU85" s="99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="60" customFormat="1" ht="15" spans="1:175">
      <c r="A86" s="73"/>
      <c r="B86" s="74" t="s">
        <v>383</v>
      </c>
      <c r="C86" s="73" t="s">
        <v>384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7"/>
      <c r="Q86" s="107"/>
      <c r="R86" s="107"/>
      <c r="S86" s="108"/>
      <c r="T86" s="109"/>
      <c r="U86" s="89" t="s">
        <v>378</v>
      </c>
      <c r="V86" s="90"/>
      <c r="W86" s="90"/>
      <c r="X86" s="90">
        <v>200</v>
      </c>
      <c r="Y86" s="90"/>
      <c r="Z86" s="90">
        <v>4400000</v>
      </c>
      <c r="AA86" s="90"/>
      <c r="AB86" s="90">
        <v>110000</v>
      </c>
      <c r="AC86" s="90"/>
      <c r="AD86" s="90"/>
      <c r="AE86" s="90"/>
      <c r="AF86" s="90"/>
      <c r="AG86" s="92"/>
      <c r="AH86" s="90"/>
      <c r="AI86" s="90"/>
      <c r="AJ86" s="90"/>
      <c r="AK86" s="90"/>
      <c r="AL86" s="92"/>
      <c r="AM86" s="90"/>
      <c r="AN86" s="90"/>
      <c r="AO86" s="90"/>
      <c r="AP86" s="94"/>
      <c r="AQ86" s="94"/>
      <c r="AR86" s="95"/>
      <c r="AS86" s="95"/>
      <c r="AT86" s="94"/>
      <c r="AU86" s="94"/>
      <c r="AV86" s="94"/>
      <c r="AW86" s="94"/>
      <c r="AX86" s="94"/>
      <c r="AY86" s="94"/>
      <c r="AZ86" s="94"/>
      <c r="BA86" s="94"/>
      <c r="BB86" s="94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4"/>
      <c r="CF86" s="94"/>
      <c r="CG86" s="94"/>
      <c r="CH86" s="94"/>
      <c r="CI86" s="94"/>
      <c r="CJ86" s="94"/>
      <c r="CK86" s="94"/>
      <c r="CL86" s="94"/>
      <c r="CM86" s="94"/>
      <c r="CN86" s="97" t="str">
        <f t="shared" si="1012"/>
        <v>InitUnitState('E224',,,200,,4400000,,110000,,,)</v>
      </c>
      <c r="CO86" s="97" t="str">
        <f t="shared" si="1013"/>
        <v>InitUnitNormal('E224',,,,,,,,,,)</v>
      </c>
      <c r="CP86" s="97" t="str">
        <f t="shared" si="1014"/>
        <v>InitUnitMagic('E224',,,,,,,,,,)</v>
      </c>
      <c r="CQ86" s="97" t="str">
        <f t="shared" si="1015"/>
        <v>InitUnitAdd('E224',,,,,,,,,,)</v>
      </c>
      <c r="CR86" s="97" t="str">
        <f t="shared" si="801"/>
        <v>InitEquipData('E224',,"",,E225,20000,60,'','','','','','',"ReplaceableTextures\\CommandButtons\\BTNZ14.blp")</v>
      </c>
      <c r="CS86" s="97"/>
      <c r="CT86" s="97"/>
      <c r="CU86" s="99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="60" customFormat="1" ht="15" spans="1:175">
      <c r="A87" s="73"/>
      <c r="B87" s="74" t="s">
        <v>385</v>
      </c>
      <c r="C87" s="73" t="s">
        <v>386</v>
      </c>
      <c r="D87" s="75"/>
      <c r="E87" s="76"/>
      <c r="F87" s="77">
        <v>50000</v>
      </c>
      <c r="G87" s="78">
        <v>100</v>
      </c>
      <c r="H87" s="79" t="s">
        <v>387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7"/>
      <c r="Q87" s="107"/>
      <c r="R87" s="107"/>
      <c r="S87" s="108"/>
      <c r="T87" s="109"/>
      <c r="U87" s="89" t="s">
        <v>378</v>
      </c>
      <c r="V87" s="90"/>
      <c r="W87" s="90"/>
      <c r="X87" s="90">
        <v>200</v>
      </c>
      <c r="Y87" s="90"/>
      <c r="Z87" s="90">
        <v>4800000</v>
      </c>
      <c r="AA87" s="90"/>
      <c r="AB87" s="90">
        <v>120000</v>
      </c>
      <c r="AC87" s="90"/>
      <c r="AD87" s="90"/>
      <c r="AE87" s="90"/>
      <c r="AF87" s="90"/>
      <c r="AG87" s="92"/>
      <c r="AH87" s="90"/>
      <c r="AI87" s="90"/>
      <c r="AJ87" s="90"/>
      <c r="AK87" s="90"/>
      <c r="AL87" s="92"/>
      <c r="AM87" s="90"/>
      <c r="AN87" s="90"/>
      <c r="AO87" s="90"/>
      <c r="AP87" s="94"/>
      <c r="AQ87" s="94"/>
      <c r="AR87" s="95"/>
      <c r="AS87" s="95"/>
      <c r="AT87" s="94"/>
      <c r="AU87" s="94"/>
      <c r="AV87" s="94"/>
      <c r="AW87" s="94"/>
      <c r="AX87" s="94"/>
      <c r="AY87" s="94"/>
      <c r="AZ87" s="94"/>
      <c r="BA87" s="94"/>
      <c r="BB87" s="94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4"/>
      <c r="CF87" s="94"/>
      <c r="CG87" s="94"/>
      <c r="CH87" s="94"/>
      <c r="CI87" s="94"/>
      <c r="CJ87" s="94"/>
      <c r="CK87" s="94"/>
      <c r="CL87" s="94"/>
      <c r="CM87" s="94"/>
      <c r="CN87" s="97" t="str">
        <f t="shared" si="1012"/>
        <v>InitUnitState('E225',,,200,,4800000,,120000,,,)</v>
      </c>
      <c r="CO87" s="97" t="str">
        <f t="shared" si="1013"/>
        <v>InitUnitNormal('E225',,,,,,,,,,)</v>
      </c>
      <c r="CP87" s="97" t="str">
        <f t="shared" si="1014"/>
        <v>InitUnitMagic('E225',,,,,,,,,,)</v>
      </c>
      <c r="CQ87" s="97" t="str">
        <f t="shared" si="1015"/>
        <v>InitUnitAdd('E225',,,,,,,,,,)</v>
      </c>
      <c r="CR87" s="97" t="str">
        <f t="shared" si="801"/>
        <v>InitEquipData('E225',,"",,E226,50000,100,'','','','','','',"ReplaceableTextures\\CommandButtons\\BTNZ15.blp")</v>
      </c>
      <c r="CS87" s="97"/>
      <c r="CT87" s="97"/>
      <c r="CU87" s="99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="60" customFormat="1" ht="15" spans="1:175">
      <c r="A88" s="73"/>
      <c r="B88" s="74" t="s">
        <v>388</v>
      </c>
      <c r="C88" s="73" t="s">
        <v>389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7"/>
      <c r="Q88" s="107"/>
      <c r="R88" s="107"/>
      <c r="S88" s="108"/>
      <c r="T88" s="109"/>
      <c r="U88" s="89" t="s">
        <v>390</v>
      </c>
      <c r="V88" s="90"/>
      <c r="W88" s="90"/>
      <c r="X88" s="90">
        <v>300</v>
      </c>
      <c r="Y88" s="90"/>
      <c r="Z88" s="90">
        <v>7200000</v>
      </c>
      <c r="AA88" s="90"/>
      <c r="AB88" s="90">
        <v>180000</v>
      </c>
      <c r="AC88" s="90"/>
      <c r="AD88" s="90"/>
      <c r="AE88" s="90"/>
      <c r="AF88" s="90"/>
      <c r="AG88" s="92"/>
      <c r="AH88" s="90"/>
      <c r="AI88" s="90"/>
      <c r="AJ88" s="90"/>
      <c r="AK88" s="90"/>
      <c r="AL88" s="92"/>
      <c r="AM88" s="90"/>
      <c r="AN88" s="90"/>
      <c r="AO88" s="90"/>
      <c r="AP88" s="94"/>
      <c r="AQ88" s="94"/>
      <c r="AR88" s="95"/>
      <c r="AS88" s="95"/>
      <c r="AT88" s="94"/>
      <c r="AU88" s="94"/>
      <c r="AV88" s="94"/>
      <c r="AW88" s="94"/>
      <c r="AX88" s="94"/>
      <c r="AY88" s="94"/>
      <c r="AZ88" s="94"/>
      <c r="BA88" s="94"/>
      <c r="BB88" s="94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4"/>
      <c r="CF88" s="94"/>
      <c r="CG88" s="94"/>
      <c r="CH88" s="94"/>
      <c r="CI88" s="94"/>
      <c r="CJ88" s="94"/>
      <c r="CK88" s="94"/>
      <c r="CL88" s="94"/>
      <c r="CM88" s="94"/>
      <c r="CN88" s="97" t="str">
        <f t="shared" si="1012"/>
        <v>InitUnitState('E226',,,300,,7200000,,180000,,,)</v>
      </c>
      <c r="CO88" s="97" t="str">
        <f t="shared" si="1013"/>
        <v>InitUnitNormal('E226',,,,,,,,,,)</v>
      </c>
      <c r="CP88" s="97" t="str">
        <f t="shared" si="1014"/>
        <v>InitUnitMagic('E226',,,,,,,,,,)</v>
      </c>
      <c r="CQ88" s="97" t="str">
        <f t="shared" si="1015"/>
        <v>InitUnitAdd('E226',,,,,,,,,,)</v>
      </c>
      <c r="CR88" s="97" t="str">
        <f t="shared" si="801"/>
        <v>InitEquipData('E226',,"",,E227,30000,50,'','','','','','',"ReplaceableTextures\\CommandButtons\\BTNZ15.blp")</v>
      </c>
      <c r="CS88" s="97"/>
      <c r="CT88" s="97"/>
      <c r="CU88" s="99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="60" customFormat="1" ht="15" spans="1:175">
      <c r="A89" s="73"/>
      <c r="B89" s="74" t="s">
        <v>391</v>
      </c>
      <c r="C89" s="73" t="s">
        <v>392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7"/>
      <c r="Q89" s="107"/>
      <c r="R89" s="107"/>
      <c r="S89" s="108"/>
      <c r="T89" s="109"/>
      <c r="U89" s="89" t="s">
        <v>390</v>
      </c>
      <c r="V89" s="90"/>
      <c r="W89" s="90"/>
      <c r="X89" s="90">
        <v>300</v>
      </c>
      <c r="Y89" s="90"/>
      <c r="Z89" s="90">
        <v>8400000</v>
      </c>
      <c r="AA89" s="90"/>
      <c r="AB89" s="90">
        <v>210000</v>
      </c>
      <c r="AC89" s="90"/>
      <c r="AD89" s="90"/>
      <c r="AE89" s="90"/>
      <c r="AF89" s="90"/>
      <c r="AG89" s="92"/>
      <c r="AH89" s="90"/>
      <c r="AI89" s="90"/>
      <c r="AJ89" s="90"/>
      <c r="AK89" s="90"/>
      <c r="AL89" s="92"/>
      <c r="AM89" s="90"/>
      <c r="AN89" s="90"/>
      <c r="AO89" s="90"/>
      <c r="AP89" s="94"/>
      <c r="AQ89" s="94"/>
      <c r="AR89" s="95"/>
      <c r="AS89" s="95"/>
      <c r="AT89" s="94"/>
      <c r="AU89" s="94"/>
      <c r="AV89" s="94"/>
      <c r="AW89" s="94"/>
      <c r="AX89" s="94"/>
      <c r="AY89" s="94"/>
      <c r="AZ89" s="94"/>
      <c r="BA89" s="94"/>
      <c r="BB89" s="94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4"/>
      <c r="CF89" s="94"/>
      <c r="CG89" s="94"/>
      <c r="CH89" s="94"/>
      <c r="CI89" s="94"/>
      <c r="CJ89" s="94"/>
      <c r="CK89" s="94"/>
      <c r="CL89" s="94"/>
      <c r="CM89" s="94"/>
      <c r="CN89" s="97" t="str">
        <f t="shared" si="1012"/>
        <v>InitUnitState('E227',,,300,,8400000,,210000,,,)</v>
      </c>
      <c r="CO89" s="97" t="str">
        <f t="shared" si="1013"/>
        <v>InitUnitNormal('E227',,,,,,,,,,)</v>
      </c>
      <c r="CP89" s="97" t="str">
        <f t="shared" si="1014"/>
        <v>InitUnitMagic('E227',,,,,,,,,,)</v>
      </c>
      <c r="CQ89" s="97" t="str">
        <f t="shared" si="1015"/>
        <v>InitUnitAdd('E227',,,,,,,,,,)</v>
      </c>
      <c r="CR89" s="97" t="str">
        <f t="shared" si="801"/>
        <v>InitEquipData('E227',,"",,E228,30000,50,'','','','','','',"ReplaceableTextures\\CommandButtons\\BTNZ15.blp")</v>
      </c>
      <c r="CS89" s="97"/>
      <c r="CT89" s="97"/>
      <c r="CU89" s="99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="60" customFormat="1" ht="15" spans="1:175">
      <c r="A90" s="73"/>
      <c r="B90" s="74" t="s">
        <v>393</v>
      </c>
      <c r="C90" s="73" t="s">
        <v>394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7"/>
      <c r="Q90" s="107"/>
      <c r="R90" s="107"/>
      <c r="S90" s="108"/>
      <c r="T90" s="109"/>
      <c r="U90" s="89" t="s">
        <v>390</v>
      </c>
      <c r="V90" s="90"/>
      <c r="W90" s="90"/>
      <c r="X90" s="90">
        <v>300</v>
      </c>
      <c r="Y90" s="90"/>
      <c r="Z90" s="90">
        <v>9600000</v>
      </c>
      <c r="AA90" s="90"/>
      <c r="AB90" s="90">
        <v>240000</v>
      </c>
      <c r="AC90" s="90"/>
      <c r="AD90" s="90"/>
      <c r="AE90" s="90"/>
      <c r="AF90" s="90"/>
      <c r="AG90" s="92"/>
      <c r="AH90" s="90"/>
      <c r="AI90" s="90"/>
      <c r="AJ90" s="90"/>
      <c r="AK90" s="90"/>
      <c r="AL90" s="92"/>
      <c r="AM90" s="90"/>
      <c r="AN90" s="90"/>
      <c r="AO90" s="90"/>
      <c r="AP90" s="94"/>
      <c r="AQ90" s="94"/>
      <c r="AR90" s="95"/>
      <c r="AS90" s="95"/>
      <c r="AT90" s="94"/>
      <c r="AU90" s="94"/>
      <c r="AV90" s="94"/>
      <c r="AW90" s="94"/>
      <c r="AX90" s="94"/>
      <c r="AY90" s="94"/>
      <c r="AZ90" s="94"/>
      <c r="BA90" s="94"/>
      <c r="BB90" s="94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4"/>
      <c r="CF90" s="94"/>
      <c r="CG90" s="94"/>
      <c r="CH90" s="94"/>
      <c r="CI90" s="94"/>
      <c r="CJ90" s="94"/>
      <c r="CK90" s="94"/>
      <c r="CL90" s="94"/>
      <c r="CM90" s="94"/>
      <c r="CN90" s="97" t="str">
        <f t="shared" si="1012"/>
        <v>InitUnitState('E228',,,300,,9600000,,240000,,,)</v>
      </c>
      <c r="CO90" s="97" t="str">
        <f t="shared" si="1013"/>
        <v>InitUnitNormal('E228',,,,,,,,,,)</v>
      </c>
      <c r="CP90" s="97" t="str">
        <f t="shared" si="1014"/>
        <v>InitUnitMagic('E228',,,,,,,,,,)</v>
      </c>
      <c r="CQ90" s="97" t="str">
        <f t="shared" si="1015"/>
        <v>InitUnitAdd('E228',,,,,,,,,,)</v>
      </c>
      <c r="CR90" s="97" t="str">
        <f t="shared" si="801"/>
        <v>InitEquipData('E228',,"",,E229,30000,50,'','','','','','',"ReplaceableTextures\\CommandButtons\\BTNZ15.blp")</v>
      </c>
      <c r="CS90" s="97"/>
      <c r="CT90" s="97"/>
      <c r="CU90" s="99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="60" customFormat="1" ht="15" spans="1:175">
      <c r="A91" s="73"/>
      <c r="B91" s="74" t="s">
        <v>395</v>
      </c>
      <c r="C91" s="73" t="s">
        <v>396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7"/>
      <c r="Q91" s="107"/>
      <c r="R91" s="107"/>
      <c r="S91" s="108"/>
      <c r="T91" s="109"/>
      <c r="U91" s="89" t="s">
        <v>390</v>
      </c>
      <c r="V91" s="90"/>
      <c r="W91" s="90"/>
      <c r="X91" s="90">
        <v>300</v>
      </c>
      <c r="Y91" s="90"/>
      <c r="Z91" s="90">
        <v>10800000</v>
      </c>
      <c r="AA91" s="90"/>
      <c r="AB91" s="90">
        <v>270000</v>
      </c>
      <c r="AC91" s="90"/>
      <c r="AD91" s="90"/>
      <c r="AE91" s="90"/>
      <c r="AF91" s="90"/>
      <c r="AG91" s="92"/>
      <c r="AH91" s="90"/>
      <c r="AI91" s="90"/>
      <c r="AJ91" s="90"/>
      <c r="AK91" s="90"/>
      <c r="AL91" s="92"/>
      <c r="AM91" s="90"/>
      <c r="AN91" s="90"/>
      <c r="AO91" s="90"/>
      <c r="AP91" s="94"/>
      <c r="AQ91" s="94"/>
      <c r="AR91" s="95"/>
      <c r="AS91" s="95"/>
      <c r="AT91" s="94"/>
      <c r="AU91" s="94"/>
      <c r="AV91" s="94"/>
      <c r="AW91" s="94"/>
      <c r="AX91" s="94"/>
      <c r="AY91" s="94"/>
      <c r="AZ91" s="94"/>
      <c r="BA91" s="94"/>
      <c r="BB91" s="94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4"/>
      <c r="CF91" s="94"/>
      <c r="CG91" s="94"/>
      <c r="CH91" s="94"/>
      <c r="CI91" s="94"/>
      <c r="CJ91" s="94"/>
      <c r="CK91" s="94"/>
      <c r="CL91" s="94"/>
      <c r="CM91" s="94"/>
      <c r="CN91" s="97" t="str">
        <f t="shared" si="1012"/>
        <v>InitUnitState('E229',,,300,,10800000,,270000,,,)</v>
      </c>
      <c r="CO91" s="97" t="str">
        <f t="shared" si="1013"/>
        <v>InitUnitNormal('E229',,,,,,,,,,)</v>
      </c>
      <c r="CP91" s="97" t="str">
        <f t="shared" si="1014"/>
        <v>InitUnitMagic('E229',,,,,,,,,,)</v>
      </c>
      <c r="CQ91" s="97" t="str">
        <f t="shared" si="1015"/>
        <v>InitUnitAdd('E229',,,,,,,,,,)</v>
      </c>
      <c r="CR91" s="97" t="str">
        <f t="shared" si="801"/>
        <v>InitEquipData('E229',,"",,E230,30000,50,'','','','','','',"ReplaceableTextures\\CommandButtons\\BTNZ15.blp")</v>
      </c>
      <c r="CS91" s="97"/>
      <c r="CT91" s="97"/>
      <c r="CU91" s="99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="60" customFormat="1" ht="15" spans="1:175">
      <c r="A92" s="73"/>
      <c r="B92" s="74" t="s">
        <v>397</v>
      </c>
      <c r="C92" s="73" t="s">
        <v>398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7"/>
      <c r="Q92" s="107"/>
      <c r="R92" s="107"/>
      <c r="S92" s="108"/>
      <c r="T92" s="109"/>
      <c r="U92" s="89" t="s">
        <v>390</v>
      </c>
      <c r="V92" s="90"/>
      <c r="W92" s="90"/>
      <c r="X92" s="90">
        <v>300</v>
      </c>
      <c r="Y92" s="90"/>
      <c r="Z92" s="90">
        <v>12000000</v>
      </c>
      <c r="AA92" s="90"/>
      <c r="AB92" s="90">
        <v>300000</v>
      </c>
      <c r="AC92" s="90"/>
      <c r="AD92" s="90"/>
      <c r="AE92" s="90"/>
      <c r="AF92" s="90"/>
      <c r="AG92" s="92"/>
      <c r="AH92" s="90"/>
      <c r="AI92" s="90"/>
      <c r="AJ92" s="90"/>
      <c r="AK92" s="90"/>
      <c r="AL92" s="92"/>
      <c r="AM92" s="90"/>
      <c r="AN92" s="90"/>
      <c r="AO92" s="90"/>
      <c r="AP92" s="94"/>
      <c r="AQ92" s="94"/>
      <c r="AR92" s="95"/>
      <c r="AS92" s="95"/>
      <c r="AT92" s="94"/>
      <c r="AU92" s="94"/>
      <c r="AV92" s="94"/>
      <c r="AW92" s="94"/>
      <c r="AX92" s="94"/>
      <c r="AY92" s="94"/>
      <c r="AZ92" s="94"/>
      <c r="BA92" s="94"/>
      <c r="BB92" s="94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4"/>
      <c r="CF92" s="94"/>
      <c r="CG92" s="94"/>
      <c r="CH92" s="94"/>
      <c r="CI92" s="94"/>
      <c r="CJ92" s="94"/>
      <c r="CK92" s="94"/>
      <c r="CL92" s="94"/>
      <c r="CM92" s="94"/>
      <c r="CN92" s="97" t="str">
        <f t="shared" si="1012"/>
        <v>InitUnitState('E230',,,300,,12000000,,300000,,,)</v>
      </c>
      <c r="CO92" s="97" t="str">
        <f t="shared" si="1013"/>
        <v>InitUnitNormal('E230',,,,,,,,,,)</v>
      </c>
      <c r="CP92" s="97" t="str">
        <f t="shared" si="1014"/>
        <v>InitUnitMagic('E230',,,,,,,,,,)</v>
      </c>
      <c r="CQ92" s="97" t="str">
        <f t="shared" si="1015"/>
        <v>InitUnitAdd('E230',,,,,,,,,,)</v>
      </c>
      <c r="CR92" s="9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7"/>
      <c r="CT92" s="97"/>
      <c r="CU92" s="99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ht="15" spans="2:175">
      <c r="B93" s="74" t="s">
        <v>399</v>
      </c>
      <c r="C93" s="61" t="s">
        <v>400</v>
      </c>
      <c r="E93" s="101"/>
      <c r="U93" s="110" t="s">
        <v>401</v>
      </c>
      <c r="V93" s="10">
        <v>5000</v>
      </c>
      <c r="W93" s="111">
        <v>4000</v>
      </c>
      <c r="X93" s="111"/>
      <c r="Y93" s="111"/>
      <c r="Z93" s="10">
        <v>100000</v>
      </c>
      <c r="AA93" s="111"/>
      <c r="AB93" s="111">
        <v>2000</v>
      </c>
      <c r="AC93" s="111"/>
      <c r="AD93" s="111"/>
      <c r="AE93" s="111"/>
      <c r="AF93" s="111"/>
      <c r="AG93" s="114"/>
      <c r="AH93" s="111"/>
      <c r="AI93" s="111"/>
      <c r="AJ93" s="19">
        <v>9</v>
      </c>
      <c r="AK93" s="19">
        <v>8</v>
      </c>
      <c r="AL93" s="115"/>
      <c r="BC93" s="116"/>
      <c r="BD93" s="116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9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ht="15" spans="2:175">
      <c r="B94" s="74" t="s">
        <v>402</v>
      </c>
      <c r="C94" s="61" t="s">
        <v>403</v>
      </c>
      <c r="E94" s="101"/>
      <c r="U94" s="110" t="s">
        <v>404</v>
      </c>
      <c r="V94" s="10">
        <v>7500</v>
      </c>
      <c r="W94" s="111">
        <v>6000</v>
      </c>
      <c r="X94" s="111"/>
      <c r="Y94" s="111"/>
      <c r="Z94" s="10">
        <v>150000</v>
      </c>
      <c r="AA94" s="111"/>
      <c r="AB94" s="111">
        <v>3000</v>
      </c>
      <c r="AC94" s="111"/>
      <c r="AD94" s="111"/>
      <c r="AE94" s="111"/>
      <c r="AF94" s="111"/>
      <c r="AG94" s="114"/>
      <c r="AH94" s="111"/>
      <c r="AI94" s="111"/>
      <c r="AJ94" s="19">
        <v>9</v>
      </c>
      <c r="AK94" s="19">
        <v>8</v>
      </c>
      <c r="AL94" s="115"/>
      <c r="BC94" s="116"/>
      <c r="BD94" s="116"/>
      <c r="CU94" s="99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ht="15" spans="1:175">
      <c r="A95" s="102"/>
      <c r="B95" s="74" t="s">
        <v>405</v>
      </c>
      <c r="C95" s="102" t="s">
        <v>406</v>
      </c>
      <c r="E95" s="101"/>
      <c r="S95" s="112"/>
      <c r="U95" s="110" t="s">
        <v>407</v>
      </c>
      <c r="V95" s="10">
        <v>12500</v>
      </c>
      <c r="W95" s="111">
        <v>10000</v>
      </c>
      <c r="X95" s="111"/>
      <c r="Y95" s="111"/>
      <c r="Z95" s="10">
        <v>250000</v>
      </c>
      <c r="AA95" s="111"/>
      <c r="AB95" s="111">
        <v>5000</v>
      </c>
      <c r="AC95" s="111"/>
      <c r="AD95" s="111"/>
      <c r="AE95" s="111"/>
      <c r="AF95" s="111"/>
      <c r="AG95" s="114"/>
      <c r="AH95" s="111"/>
      <c r="AI95" s="111"/>
      <c r="AJ95" s="19">
        <v>9</v>
      </c>
      <c r="AK95" s="19">
        <v>8</v>
      </c>
      <c r="AL95" s="115"/>
      <c r="BC95" s="116"/>
      <c r="BD95" s="116"/>
      <c r="CU95" s="99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ht="15" spans="1:175">
      <c r="A96" s="102"/>
      <c r="B96" s="74" t="s">
        <v>408</v>
      </c>
      <c r="C96" s="102" t="s">
        <v>409</v>
      </c>
      <c r="E96" s="101"/>
      <c r="S96" s="112"/>
      <c r="U96" s="110" t="s">
        <v>410</v>
      </c>
      <c r="V96" s="10">
        <v>21250</v>
      </c>
      <c r="W96" s="111">
        <v>17000</v>
      </c>
      <c r="X96" s="111"/>
      <c r="Y96" s="111"/>
      <c r="Z96" s="10">
        <v>425000</v>
      </c>
      <c r="AA96" s="111"/>
      <c r="AB96" s="111">
        <v>8500</v>
      </c>
      <c r="AC96" s="111"/>
      <c r="AD96" s="111"/>
      <c r="AE96" s="111"/>
      <c r="AF96" s="111"/>
      <c r="AG96" s="114"/>
      <c r="AH96" s="111"/>
      <c r="AI96" s="111"/>
      <c r="AJ96" s="111">
        <v>18</v>
      </c>
      <c r="AK96" s="111">
        <v>15</v>
      </c>
      <c r="AL96" s="115"/>
      <c r="BC96" s="116"/>
      <c r="BD96" s="116"/>
      <c r="CU96" s="99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ht="15" spans="1:175">
      <c r="A97" s="102"/>
      <c r="B97" s="74" t="s">
        <v>411</v>
      </c>
      <c r="C97" s="102" t="s">
        <v>412</v>
      </c>
      <c r="E97" s="101"/>
      <c r="S97" s="112"/>
      <c r="U97" s="110" t="s">
        <v>413</v>
      </c>
      <c r="V97" s="10">
        <v>33750</v>
      </c>
      <c r="W97" s="111">
        <v>27000</v>
      </c>
      <c r="X97" s="111"/>
      <c r="Y97" s="111"/>
      <c r="Z97" s="10">
        <v>675000</v>
      </c>
      <c r="AA97" s="111"/>
      <c r="AB97" s="111">
        <v>13500</v>
      </c>
      <c r="AC97" s="111"/>
      <c r="AD97" s="111"/>
      <c r="AE97" s="111"/>
      <c r="AF97" s="111"/>
      <c r="AG97" s="114"/>
      <c r="AH97" s="111"/>
      <c r="AI97" s="111"/>
      <c r="AJ97" s="111">
        <v>18</v>
      </c>
      <c r="AK97" s="111">
        <v>15</v>
      </c>
      <c r="AL97" s="115"/>
      <c r="BC97" s="116"/>
      <c r="BD97" s="116"/>
      <c r="CU97" s="99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ht="15" spans="1:175">
      <c r="A98" s="73"/>
      <c r="B98" s="74" t="s">
        <v>414</v>
      </c>
      <c r="C98" s="73" t="s">
        <v>415</v>
      </c>
      <c r="E98" s="101"/>
      <c r="F98" s="103"/>
      <c r="S98" s="112"/>
      <c r="U98" s="110" t="s">
        <v>416</v>
      </c>
      <c r="V98" s="10">
        <v>50000</v>
      </c>
      <c r="W98" s="111">
        <v>40000</v>
      </c>
      <c r="X98" s="111"/>
      <c r="Y98" s="111"/>
      <c r="Z98" s="10">
        <v>1000000</v>
      </c>
      <c r="AA98" s="111"/>
      <c r="AB98" s="111">
        <v>20000</v>
      </c>
      <c r="AC98" s="111"/>
      <c r="AD98" s="111"/>
      <c r="AE98" s="111"/>
      <c r="AF98" s="111"/>
      <c r="AG98" s="114"/>
      <c r="AH98" s="111"/>
      <c r="AI98" s="111"/>
      <c r="AJ98" s="111">
        <v>18</v>
      </c>
      <c r="AK98" s="111">
        <v>15</v>
      </c>
      <c r="AL98" s="115"/>
      <c r="BC98" s="116"/>
      <c r="BD98" s="116"/>
      <c r="CU98" s="99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ht="15" spans="1:175">
      <c r="A99" s="73"/>
      <c r="B99" s="74" t="s">
        <v>417</v>
      </c>
      <c r="C99" s="73" t="s">
        <v>418</v>
      </c>
      <c r="E99" s="101"/>
      <c r="F99" s="103"/>
      <c r="S99" s="112"/>
      <c r="U99" s="110" t="s">
        <v>419</v>
      </c>
      <c r="V99" s="10">
        <v>72500</v>
      </c>
      <c r="W99" s="111">
        <v>58000</v>
      </c>
      <c r="X99" s="111"/>
      <c r="Y99" s="111"/>
      <c r="Z99" s="10">
        <v>1450000</v>
      </c>
      <c r="AA99" s="111"/>
      <c r="AB99" s="111">
        <v>29000</v>
      </c>
      <c r="AC99" s="111"/>
      <c r="AD99" s="111"/>
      <c r="AE99" s="111"/>
      <c r="AF99" s="111"/>
      <c r="AG99" s="114"/>
      <c r="AH99" s="111"/>
      <c r="AI99" s="111"/>
      <c r="AJ99" s="111">
        <v>24</v>
      </c>
      <c r="AK99" s="111">
        <v>20</v>
      </c>
      <c r="AL99" s="115"/>
      <c r="BC99" s="116"/>
      <c r="BD99" s="116"/>
      <c r="CU99" s="99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ht="15" spans="1:175">
      <c r="A100" s="73"/>
      <c r="B100" s="74" t="s">
        <v>420</v>
      </c>
      <c r="C100" s="73" t="s">
        <v>421</v>
      </c>
      <c r="E100" s="104"/>
      <c r="F100" s="103"/>
      <c r="S100" s="112"/>
      <c r="U100" s="110" t="s">
        <v>422</v>
      </c>
      <c r="V100" s="10">
        <v>102500</v>
      </c>
      <c r="W100" s="111">
        <v>82000</v>
      </c>
      <c r="X100" s="111"/>
      <c r="Y100" s="111"/>
      <c r="Z100" s="10">
        <v>2050000</v>
      </c>
      <c r="AA100" s="111"/>
      <c r="AB100" s="111">
        <v>41000</v>
      </c>
      <c r="AC100" s="111"/>
      <c r="AD100" s="111"/>
      <c r="AE100" s="111"/>
      <c r="AF100" s="111"/>
      <c r="AG100" s="114"/>
      <c r="AH100" s="111"/>
      <c r="AI100" s="111"/>
      <c r="AJ100" s="111">
        <v>24</v>
      </c>
      <c r="AK100" s="111">
        <v>20</v>
      </c>
      <c r="AL100" s="115"/>
      <c r="BC100" s="116"/>
      <c r="BD100" s="116"/>
      <c r="CU100" s="99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ht="15" spans="1:175">
      <c r="A101" s="73"/>
      <c r="B101" s="74" t="s">
        <v>423</v>
      </c>
      <c r="C101" s="73" t="s">
        <v>424</v>
      </c>
      <c r="E101" s="104"/>
      <c r="F101" s="103"/>
      <c r="S101" s="112"/>
      <c r="U101" s="110" t="s">
        <v>425</v>
      </c>
      <c r="V101" s="10">
        <v>141250</v>
      </c>
      <c r="W101" s="111">
        <v>113000</v>
      </c>
      <c r="X101" s="111"/>
      <c r="Y101" s="111"/>
      <c r="Z101" s="10">
        <v>2825000</v>
      </c>
      <c r="AA101" s="111"/>
      <c r="AB101" s="111">
        <v>56500</v>
      </c>
      <c r="AC101" s="111"/>
      <c r="AD101" s="111"/>
      <c r="AE101" s="111"/>
      <c r="AF101" s="111"/>
      <c r="AG101" s="114"/>
      <c r="AH101" s="111"/>
      <c r="AI101" s="111"/>
      <c r="AJ101" s="111">
        <v>24</v>
      </c>
      <c r="AK101" s="111">
        <v>20</v>
      </c>
      <c r="AL101" s="115"/>
      <c r="BC101" s="116"/>
      <c r="BD101" s="116"/>
      <c r="CU101" s="99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ht="15" spans="1:175">
      <c r="A102" s="73"/>
      <c r="B102" s="74" t="s">
        <v>426</v>
      </c>
      <c r="C102" s="73" t="s">
        <v>427</v>
      </c>
      <c r="E102" s="104"/>
      <c r="F102" s="103"/>
      <c r="S102" s="112"/>
      <c r="U102" s="110" t="s">
        <v>428</v>
      </c>
      <c r="V102" s="10">
        <v>191250</v>
      </c>
      <c r="W102" s="111">
        <v>153000</v>
      </c>
      <c r="X102" s="111"/>
      <c r="Y102" s="111"/>
      <c r="Z102" s="10">
        <v>3825000</v>
      </c>
      <c r="AA102" s="111"/>
      <c r="AB102" s="111">
        <v>76500</v>
      </c>
      <c r="AC102" s="111"/>
      <c r="AD102" s="111"/>
      <c r="AE102" s="111"/>
      <c r="AF102" s="111"/>
      <c r="AG102" s="114"/>
      <c r="AH102" s="111"/>
      <c r="AI102" s="111"/>
      <c r="AJ102" s="111">
        <v>36</v>
      </c>
      <c r="AK102" s="111">
        <v>30</v>
      </c>
      <c r="AL102" s="115"/>
      <c r="BC102" s="116"/>
      <c r="BD102" s="116"/>
      <c r="CU102" s="99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ht="15.75" customHeight="1" spans="1:175">
      <c r="A103" s="105"/>
      <c r="B103" s="105" t="s">
        <v>429</v>
      </c>
      <c r="C103" s="61" t="s">
        <v>430</v>
      </c>
      <c r="T103" s="105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9" t="s">
        <v>431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9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ht="15" spans="1:175">
      <c r="A104" s="105"/>
      <c r="B104" s="105" t="s">
        <v>432</v>
      </c>
      <c r="C104" s="61" t="s">
        <v>433</v>
      </c>
      <c r="T104" s="105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9" t="s">
        <v>434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9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ht="15" spans="1:175">
      <c r="A105" s="105"/>
      <c r="B105" s="105" t="s">
        <v>435</v>
      </c>
      <c r="C105" s="102" t="s">
        <v>436</v>
      </c>
      <c r="T105" s="105" t="str">
        <f t="shared" si="1239"/>
        <v>|CffCCCCCC道果属性：|r|n攻击+12500|n业力+10000|n生命值+250000|n生命回复+5000|n攻击伤害+9%|n技能伤害+8%|n|n|Cff00FF7F点击吸收道果，强行突破境界。|r</v>
      </c>
      <c r="U105" s="89" t="s">
        <v>437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9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ht="15" spans="1:175">
      <c r="A106" s="105"/>
      <c r="B106" s="105" t="s">
        <v>438</v>
      </c>
      <c r="C106" s="102" t="s">
        <v>439</v>
      </c>
      <c r="T106" s="105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9" t="s">
        <v>440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9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ht="15" spans="1:175">
      <c r="A107" s="105"/>
      <c r="B107" s="105" t="s">
        <v>441</v>
      </c>
      <c r="C107" s="102" t="s">
        <v>442</v>
      </c>
      <c r="T107" s="105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9" t="s">
        <v>443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9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ht="15" spans="1:175">
      <c r="A108" s="105"/>
      <c r="B108" s="105" t="s">
        <v>444</v>
      </c>
      <c r="C108" s="73" t="s">
        <v>445</v>
      </c>
      <c r="T108" s="105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9" t="s">
        <v>446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9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ht="15" spans="1:175">
      <c r="A109" s="105"/>
      <c r="B109" s="105" t="s">
        <v>447</v>
      </c>
      <c r="C109" s="73" t="s">
        <v>448</v>
      </c>
      <c r="T109" s="105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9" t="s">
        <v>449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9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ht="15" spans="1:175">
      <c r="A110" s="105"/>
      <c r="B110" s="105" t="s">
        <v>450</v>
      </c>
      <c r="C110" s="73" t="s">
        <v>451</v>
      </c>
      <c r="T110" s="105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9" t="s">
        <v>452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9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ht="15" spans="1:175">
      <c r="A111" s="105"/>
      <c r="B111" s="105" t="s">
        <v>453</v>
      </c>
      <c r="C111" s="73" t="s">
        <v>454</v>
      </c>
      <c r="T111" s="105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9" t="s">
        <v>455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9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ht="15" spans="1:175">
      <c r="A112" s="105"/>
      <c r="B112" s="105" t="s">
        <v>456</v>
      </c>
      <c r="C112" s="73" t="s">
        <v>457</v>
      </c>
      <c r="T112" s="105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9" t="s">
        <v>458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9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ht="15" spans="1:175">
      <c r="A113" s="105"/>
      <c r="B113" s="105" t="s">
        <v>459</v>
      </c>
      <c r="C113" s="61" t="s">
        <v>400</v>
      </c>
      <c r="T113" s="105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9" t="s">
        <v>460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9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ht="15" spans="1:175">
      <c r="A114" s="105"/>
      <c r="B114" s="105" t="s">
        <v>461</v>
      </c>
      <c r="C114" s="61" t="s">
        <v>403</v>
      </c>
      <c r="T114" s="105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9" t="s">
        <v>462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9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ht="15" spans="1:175">
      <c r="A115" s="105"/>
      <c r="B115" s="105" t="s">
        <v>463</v>
      </c>
      <c r="C115" s="102" t="s">
        <v>406</v>
      </c>
      <c r="T115" s="105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9" t="s">
        <v>464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9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ht="15" spans="1:175">
      <c r="A116" s="105"/>
      <c r="B116" s="105" t="s">
        <v>465</v>
      </c>
      <c r="C116" s="102" t="s">
        <v>409</v>
      </c>
      <c r="T116" s="105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9" t="s">
        <v>466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9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ht="15" spans="1:175">
      <c r="A117" s="105"/>
      <c r="B117" s="105" t="s">
        <v>467</v>
      </c>
      <c r="C117" s="102" t="s">
        <v>412</v>
      </c>
      <c r="T117" s="105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9" t="s">
        <v>468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9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ht="15" spans="1:175">
      <c r="A118" s="105"/>
      <c r="B118" s="105" t="s">
        <v>469</v>
      </c>
      <c r="C118" s="73" t="s">
        <v>415</v>
      </c>
      <c r="T118" s="105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9" t="s">
        <v>470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9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ht="15" spans="1:175">
      <c r="A119" s="105"/>
      <c r="B119" s="105" t="s">
        <v>471</v>
      </c>
      <c r="C119" s="73" t="s">
        <v>418</v>
      </c>
      <c r="T119" s="105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9" t="s">
        <v>472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9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ht="15" spans="1:175">
      <c r="A120" s="105"/>
      <c r="B120" s="105" t="s">
        <v>473</v>
      </c>
      <c r="C120" s="73" t="s">
        <v>421</v>
      </c>
      <c r="T120" s="105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9" t="s">
        <v>474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9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ht="15" spans="1:175">
      <c r="A121" s="105"/>
      <c r="B121" s="105" t="s">
        <v>475</v>
      </c>
      <c r="C121" s="73" t="s">
        <v>424</v>
      </c>
      <c r="T121" s="105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9" t="s">
        <v>476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9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ht="15" spans="1:175">
      <c r="A122" s="105"/>
      <c r="B122" s="105" t="s">
        <v>477</v>
      </c>
      <c r="C122" s="73" t="s">
        <v>427</v>
      </c>
      <c r="T122" s="105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9" t="s">
        <v>478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9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ht="15" spans="1:175">
      <c r="A123" s="105"/>
      <c r="B123" s="105" t="s">
        <v>479</v>
      </c>
      <c r="C123" s="106" t="s">
        <v>480</v>
      </c>
      <c r="T123" s="113" t="s">
        <v>481</v>
      </c>
      <c r="U123" s="89" t="s">
        <v>482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9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ht="15" spans="1:175">
      <c r="A124" s="105"/>
      <c r="B124" s="105" t="s">
        <v>483</v>
      </c>
      <c r="C124" s="105" t="s">
        <v>484</v>
      </c>
      <c r="T124" s="105" t="s">
        <v>485</v>
      </c>
      <c r="U124" s="89" t="s">
        <v>486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9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ht="15" spans="1:175">
      <c r="A125" s="105"/>
      <c r="B125" s="105" t="s">
        <v>487</v>
      </c>
      <c r="C125" s="105" t="s">
        <v>488</v>
      </c>
      <c r="T125" s="113" t="s">
        <v>489</v>
      </c>
      <c r="U125" s="89" t="s">
        <v>490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9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ht="15" spans="1:175">
      <c r="A126" s="105"/>
      <c r="B126" s="105" t="s">
        <v>491</v>
      </c>
      <c r="C126" s="105" t="s">
        <v>492</v>
      </c>
      <c r="T126" s="113" t="s">
        <v>493</v>
      </c>
      <c r="U126" s="89" t="s">
        <v>494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9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ht="15" spans="1:175">
      <c r="A127" s="105"/>
      <c r="B127" s="105" t="s">
        <v>495</v>
      </c>
      <c r="C127" s="105" t="s">
        <v>496</v>
      </c>
      <c r="T127" s="113" t="s">
        <v>493</v>
      </c>
      <c r="U127" s="89" t="s">
        <v>497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9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ht="15" spans="1:175">
      <c r="A128" s="105"/>
      <c r="B128" s="105" t="s">
        <v>498</v>
      </c>
      <c r="C128" s="106" t="s">
        <v>499</v>
      </c>
      <c r="T128" s="113" t="s">
        <v>481</v>
      </c>
      <c r="U128" s="89" t="s">
        <v>500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9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ht="15" spans="1:175">
      <c r="A129" s="105"/>
      <c r="B129" s="105" t="s">
        <v>501</v>
      </c>
      <c r="C129" s="105" t="s">
        <v>502</v>
      </c>
      <c r="T129" s="105" t="s">
        <v>503</v>
      </c>
      <c r="U129" s="89" t="s">
        <v>504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9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ht="15" spans="1:175">
      <c r="A130" s="105"/>
      <c r="B130" s="105" t="s">
        <v>505</v>
      </c>
      <c r="C130" s="105" t="s">
        <v>506</v>
      </c>
      <c r="T130" s="105" t="s">
        <v>507</v>
      </c>
      <c r="U130" s="89" t="s">
        <v>508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9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ht="15" spans="1:175">
      <c r="A131" s="105"/>
      <c r="B131" s="105" t="s">
        <v>509</v>
      </c>
      <c r="C131" s="105" t="s">
        <v>510</v>
      </c>
      <c r="T131" s="105" t="s">
        <v>511</v>
      </c>
      <c r="U131" s="121" t="s">
        <v>512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9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ht="15" spans="1:175">
      <c r="A132" s="105"/>
      <c r="B132" s="105" t="s">
        <v>513</v>
      </c>
      <c r="C132" s="105" t="s">
        <v>514</v>
      </c>
      <c r="T132" s="105"/>
      <c r="U132" s="89" t="s">
        <v>508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9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ht="15" spans="1:175">
      <c r="A133" s="105"/>
      <c r="B133" s="105" t="s">
        <v>515</v>
      </c>
      <c r="C133" s="105" t="s">
        <v>502</v>
      </c>
      <c r="T133" s="105" t="s">
        <v>516</v>
      </c>
      <c r="U133" s="89" t="s">
        <v>504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9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ht="15" spans="1:175">
      <c r="A134" s="105"/>
      <c r="B134" s="105" t="s">
        <v>517</v>
      </c>
      <c r="C134" s="9" t="s">
        <v>518</v>
      </c>
      <c r="T134" s="9" t="s">
        <v>519</v>
      </c>
      <c r="U134" s="89" t="s">
        <v>508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9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ht="15" spans="1:175">
      <c r="A135" s="105"/>
      <c r="B135" s="105" t="s">
        <v>520</v>
      </c>
      <c r="C135" s="105" t="s">
        <v>510</v>
      </c>
      <c r="T135" s="105" t="s">
        <v>521</v>
      </c>
      <c r="U135" s="121" t="s">
        <v>512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9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ht="15" spans="1:175">
      <c r="A136" s="105"/>
      <c r="B136" s="105" t="s">
        <v>522</v>
      </c>
      <c r="C136" s="105" t="s">
        <v>514</v>
      </c>
      <c r="T136" s="105"/>
      <c r="U136" s="89" t="s">
        <v>508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9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ht="15" spans="1:175">
      <c r="A137" s="117"/>
      <c r="B137" s="105" t="s">
        <v>523</v>
      </c>
      <c r="C137" s="117" t="s">
        <v>524</v>
      </c>
      <c r="T137" s="122" t="s">
        <v>525</v>
      </c>
      <c r="U137" s="89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9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ht="15" spans="1:175">
      <c r="A138" s="105"/>
      <c r="B138" s="105" t="s">
        <v>526</v>
      </c>
      <c r="C138" s="105" t="s">
        <v>527</v>
      </c>
      <c r="T138" s="123" t="s">
        <v>528</v>
      </c>
      <c r="U138" s="89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9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ht="15" spans="1:175">
      <c r="A139" s="105"/>
      <c r="B139" s="105" t="s">
        <v>529</v>
      </c>
      <c r="C139" s="105" t="s">
        <v>530</v>
      </c>
      <c r="T139" s="123" t="s">
        <v>531</v>
      </c>
      <c r="U139" s="89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9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ht="15" spans="1:175">
      <c r="A140" s="105"/>
      <c r="B140" s="105" t="s">
        <v>532</v>
      </c>
      <c r="C140" s="105" t="s">
        <v>533</v>
      </c>
      <c r="T140" s="123" t="s">
        <v>534</v>
      </c>
      <c r="U140" s="89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9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ht="15" spans="1:175">
      <c r="A141" s="105"/>
      <c r="B141" s="105" t="s">
        <v>535</v>
      </c>
      <c r="C141" s="105" t="s">
        <v>536</v>
      </c>
      <c r="T141" s="123" t="s">
        <v>537</v>
      </c>
      <c r="U141" s="89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9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ht="15" spans="1:175">
      <c r="A142" s="105"/>
      <c r="B142" s="105" t="s">
        <v>538</v>
      </c>
      <c r="C142" s="105" t="s">
        <v>539</v>
      </c>
      <c r="T142" s="123" t="s">
        <v>540</v>
      </c>
      <c r="U142" s="89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9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ht="15" spans="1:175">
      <c r="A143" s="105"/>
      <c r="B143" s="105" t="s">
        <v>541</v>
      </c>
      <c r="C143" s="80" t="s">
        <v>542</v>
      </c>
      <c r="T143" s="9" t="s">
        <v>543</v>
      </c>
      <c r="U143" s="121" t="s">
        <v>544</v>
      </c>
      <c r="V143" s="90"/>
      <c r="W143" s="90"/>
      <c r="X143" s="90">
        <v>5</v>
      </c>
      <c r="Y143" s="90"/>
      <c r="Z143" s="90"/>
      <c r="AA143" s="90"/>
      <c r="AB143" s="90"/>
      <c r="AC143" s="90"/>
      <c r="AD143" s="90"/>
      <c r="AE143" s="90"/>
      <c r="AF143" s="90"/>
      <c r="AG143" s="92"/>
      <c r="AH143" s="90"/>
      <c r="AI143" s="90"/>
      <c r="AJ143" s="90"/>
      <c r="AK143" s="90"/>
      <c r="AL143" s="92"/>
      <c r="AM143" s="90"/>
      <c r="AN143" s="90"/>
      <c r="AO143" s="90"/>
      <c r="AP143" s="90"/>
      <c r="AQ143" s="90"/>
      <c r="AR143" s="92"/>
      <c r="AS143" s="92"/>
      <c r="AT143" s="90"/>
      <c r="AU143" s="90"/>
      <c r="AV143" s="90"/>
      <c r="AW143" s="90"/>
      <c r="AX143" s="90"/>
      <c r="AY143" s="90"/>
      <c r="AZ143" s="90"/>
      <c r="BA143" s="90"/>
      <c r="BB143" s="90"/>
      <c r="BC143" s="90"/>
      <c r="BD143" s="90"/>
      <c r="BE143" s="90"/>
      <c r="BF143" s="90"/>
      <c r="BG143" s="90"/>
      <c r="BH143" s="90"/>
      <c r="BI143" s="90"/>
      <c r="BJ143" s="90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9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ht="15" spans="1:175">
      <c r="A144" s="105"/>
      <c r="B144" s="105" t="s">
        <v>545</v>
      </c>
      <c r="C144" s="80" t="s">
        <v>546</v>
      </c>
      <c r="T144" s="9" t="s">
        <v>547</v>
      </c>
      <c r="U144" s="121" t="s">
        <v>544</v>
      </c>
      <c r="V144" s="90"/>
      <c r="W144" s="90"/>
      <c r="X144" s="90">
        <v>10</v>
      </c>
      <c r="Y144" s="90"/>
      <c r="Z144" s="90"/>
      <c r="AA144" s="90"/>
      <c r="AB144" s="90"/>
      <c r="AC144" s="90"/>
      <c r="AD144" s="90"/>
      <c r="AE144" s="90"/>
      <c r="AF144" s="90"/>
      <c r="AG144" s="92"/>
      <c r="AH144" s="90"/>
      <c r="AI144" s="90"/>
      <c r="AJ144" s="90"/>
      <c r="AK144" s="90"/>
      <c r="AL144" s="92"/>
      <c r="AM144" s="90"/>
      <c r="AN144" s="90"/>
      <c r="AO144" s="90"/>
      <c r="AP144" s="90"/>
      <c r="AQ144" s="90"/>
      <c r="AR144" s="92"/>
      <c r="AS144" s="92"/>
      <c r="AT144" s="90"/>
      <c r="AU144" s="90"/>
      <c r="AV144" s="90"/>
      <c r="AW144" s="90"/>
      <c r="AX144" s="90"/>
      <c r="AY144" s="90"/>
      <c r="AZ144" s="90"/>
      <c r="BA144" s="90"/>
      <c r="BB144" s="90"/>
      <c r="BC144" s="90"/>
      <c r="BD144" s="90"/>
      <c r="BE144" s="90"/>
      <c r="BF144" s="90"/>
      <c r="BG144" s="90"/>
      <c r="BH144" s="90"/>
      <c r="BI144" s="90"/>
      <c r="BJ144" s="90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9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ht="15" spans="1:175">
      <c r="A145" s="105"/>
      <c r="B145" s="105" t="s">
        <v>548</v>
      </c>
      <c r="C145" s="118" t="s">
        <v>549</v>
      </c>
      <c r="T145" s="9" t="s">
        <v>550</v>
      </c>
      <c r="U145" s="121" t="s">
        <v>551</v>
      </c>
      <c r="V145" s="90"/>
      <c r="W145" s="90"/>
      <c r="X145" s="90">
        <v>20</v>
      </c>
      <c r="Y145" s="90"/>
      <c r="Z145" s="90"/>
      <c r="AA145" s="90"/>
      <c r="AB145" s="90"/>
      <c r="AC145" s="90"/>
      <c r="AD145" s="90"/>
      <c r="AE145" s="90"/>
      <c r="AF145" s="90"/>
      <c r="AG145" s="92"/>
      <c r="AH145" s="90"/>
      <c r="AI145" s="90"/>
      <c r="AJ145" s="90"/>
      <c r="AK145" s="90"/>
      <c r="AL145" s="92"/>
      <c r="AM145" s="90"/>
      <c r="AN145" s="90"/>
      <c r="AO145" s="90"/>
      <c r="AP145" s="90"/>
      <c r="AQ145" s="90"/>
      <c r="AR145" s="92"/>
      <c r="AS145" s="92"/>
      <c r="AT145" s="90"/>
      <c r="AU145" s="90"/>
      <c r="AV145" s="90"/>
      <c r="AW145" s="90"/>
      <c r="AX145" s="90"/>
      <c r="AY145" s="90"/>
      <c r="AZ145" s="90"/>
      <c r="BA145" s="90"/>
      <c r="BB145" s="90"/>
      <c r="BC145" s="90"/>
      <c r="BD145" s="90"/>
      <c r="BE145" s="90"/>
      <c r="BF145" s="90"/>
      <c r="BG145" s="90"/>
      <c r="BH145" s="90"/>
      <c r="BI145" s="90"/>
      <c r="BJ145" s="90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9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ht="15" spans="1:175">
      <c r="A146" s="105"/>
      <c r="B146" s="105" t="s">
        <v>552</v>
      </c>
      <c r="C146" s="118" t="s">
        <v>553</v>
      </c>
      <c r="T146" s="9" t="s">
        <v>554</v>
      </c>
      <c r="U146" s="121" t="s">
        <v>555</v>
      </c>
      <c r="V146" s="90"/>
      <c r="W146" s="90"/>
      <c r="X146" s="90">
        <v>30</v>
      </c>
      <c r="Y146" s="90"/>
      <c r="Z146" s="90"/>
      <c r="AA146" s="90"/>
      <c r="AB146" s="90"/>
      <c r="AC146" s="90"/>
      <c r="AD146" s="90"/>
      <c r="AE146" s="90"/>
      <c r="AF146" s="90"/>
      <c r="AG146" s="92"/>
      <c r="AH146" s="90"/>
      <c r="AI146" s="90"/>
      <c r="AJ146" s="90"/>
      <c r="AK146" s="90"/>
      <c r="AL146" s="92"/>
      <c r="AM146" s="90"/>
      <c r="AN146" s="90"/>
      <c r="AO146" s="90"/>
      <c r="AP146" s="90"/>
      <c r="AQ146" s="90"/>
      <c r="AR146" s="92"/>
      <c r="AS146" s="92"/>
      <c r="AT146" s="90"/>
      <c r="AU146" s="90"/>
      <c r="AV146" s="90"/>
      <c r="AW146" s="90"/>
      <c r="AX146" s="90"/>
      <c r="AY146" s="90"/>
      <c r="AZ146" s="90"/>
      <c r="BA146" s="90"/>
      <c r="BB146" s="90"/>
      <c r="BC146" s="90"/>
      <c r="BD146" s="90"/>
      <c r="BE146" s="90"/>
      <c r="BF146" s="90"/>
      <c r="BG146" s="90"/>
      <c r="BH146" s="90"/>
      <c r="BI146" s="90"/>
      <c r="BJ146" s="90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9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ht="15" spans="1:175">
      <c r="A147" s="105"/>
      <c r="B147" s="105" t="s">
        <v>556</v>
      </c>
      <c r="C147" s="118" t="s">
        <v>557</v>
      </c>
      <c r="T147" s="9" t="s">
        <v>558</v>
      </c>
      <c r="U147" s="121" t="s">
        <v>559</v>
      </c>
      <c r="V147" s="90"/>
      <c r="W147" s="90"/>
      <c r="X147" s="90">
        <v>40</v>
      </c>
      <c r="Y147" s="90"/>
      <c r="Z147" s="90"/>
      <c r="AA147" s="90"/>
      <c r="AB147" s="90"/>
      <c r="AC147" s="90"/>
      <c r="AD147" s="90"/>
      <c r="AE147" s="90"/>
      <c r="AF147" s="90"/>
      <c r="AG147" s="92"/>
      <c r="AH147" s="90"/>
      <c r="AI147" s="90"/>
      <c r="AJ147" s="90"/>
      <c r="AK147" s="90"/>
      <c r="AL147" s="92"/>
      <c r="AM147" s="90"/>
      <c r="AN147" s="90"/>
      <c r="AO147" s="90"/>
      <c r="AP147" s="90"/>
      <c r="AQ147" s="90"/>
      <c r="AR147" s="92"/>
      <c r="AS147" s="92"/>
      <c r="AT147" s="90"/>
      <c r="AU147" s="90"/>
      <c r="AV147" s="90"/>
      <c r="AW147" s="90"/>
      <c r="AX147" s="90"/>
      <c r="AY147" s="90"/>
      <c r="AZ147" s="90"/>
      <c r="BA147" s="90"/>
      <c r="BB147" s="90"/>
      <c r="BC147" s="90"/>
      <c r="BD147" s="90"/>
      <c r="BE147" s="90"/>
      <c r="BF147" s="90"/>
      <c r="BG147" s="90"/>
      <c r="BH147" s="90"/>
      <c r="BI147" s="90"/>
      <c r="BJ147" s="90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9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ht="15" spans="1:175">
      <c r="A148" s="105"/>
      <c r="B148" s="105" t="s">
        <v>560</v>
      </c>
      <c r="C148" s="118" t="s">
        <v>561</v>
      </c>
      <c r="T148" s="9" t="s">
        <v>562</v>
      </c>
      <c r="U148" s="121" t="s">
        <v>563</v>
      </c>
      <c r="V148" s="90"/>
      <c r="W148" s="90"/>
      <c r="X148" s="90">
        <v>50</v>
      </c>
      <c r="Y148" s="90"/>
      <c r="Z148" s="90"/>
      <c r="AA148" s="90"/>
      <c r="AB148" s="90"/>
      <c r="AC148" s="90"/>
      <c r="AD148" s="90"/>
      <c r="AE148" s="90"/>
      <c r="AF148" s="90"/>
      <c r="AG148" s="92"/>
      <c r="AH148" s="90"/>
      <c r="AI148" s="90"/>
      <c r="AJ148" s="90"/>
      <c r="AK148" s="90"/>
      <c r="AL148" s="92"/>
      <c r="AM148" s="90"/>
      <c r="AN148" s="90"/>
      <c r="AO148" s="90"/>
      <c r="AP148" s="90"/>
      <c r="AQ148" s="90"/>
      <c r="AR148" s="92"/>
      <c r="AS148" s="92"/>
      <c r="AT148" s="90"/>
      <c r="AU148" s="90"/>
      <c r="AV148" s="90"/>
      <c r="AW148" s="90"/>
      <c r="AX148" s="90"/>
      <c r="AY148" s="90"/>
      <c r="AZ148" s="90"/>
      <c r="BA148" s="90"/>
      <c r="BB148" s="90"/>
      <c r="BC148" s="90"/>
      <c r="BD148" s="90"/>
      <c r="BE148" s="90"/>
      <c r="BF148" s="90"/>
      <c r="BG148" s="90"/>
      <c r="BH148" s="90"/>
      <c r="BI148" s="90"/>
      <c r="BJ148" s="90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9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ht="15" spans="1:175">
      <c r="A149" s="105"/>
      <c r="B149" s="105" t="s">
        <v>564</v>
      </c>
      <c r="C149" s="105" t="s">
        <v>565</v>
      </c>
      <c r="T149" s="122" t="s">
        <v>566</v>
      </c>
      <c r="U149" s="89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9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ht="15" spans="1:175">
      <c r="A150" s="105"/>
      <c r="B150" s="119" t="s">
        <v>567</v>
      </c>
      <c r="C150" s="22" t="s">
        <v>568</v>
      </c>
      <c r="T150" s="70" t="s">
        <v>569</v>
      </c>
      <c r="U150" s="89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9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ht="15" spans="1:175">
      <c r="A151" s="105"/>
      <c r="B151" s="105" t="s">
        <v>570</v>
      </c>
      <c r="C151" s="70" t="s">
        <v>571</v>
      </c>
      <c r="T151" s="70" t="s">
        <v>572</v>
      </c>
      <c r="U151" s="89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9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ht="15" spans="1:175">
      <c r="A152" s="105"/>
      <c r="B152" s="119" t="s">
        <v>573</v>
      </c>
      <c r="C152" s="22" t="s">
        <v>574</v>
      </c>
      <c r="T152" s="70" t="s">
        <v>575</v>
      </c>
      <c r="U152" s="89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9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ht="15" spans="1:175">
      <c r="A153" s="105"/>
      <c r="B153" s="119" t="s">
        <v>576</v>
      </c>
      <c r="C153" s="22" t="s">
        <v>577</v>
      </c>
      <c r="T153" s="70" t="s">
        <v>578</v>
      </c>
      <c r="U153" s="89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9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ht="15" spans="1:175">
      <c r="A154" s="105"/>
      <c r="B154" s="119" t="s">
        <v>579</v>
      </c>
      <c r="C154" s="22" t="s">
        <v>580</v>
      </c>
      <c r="T154" s="70" t="s">
        <v>581</v>
      </c>
      <c r="U154" s="89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9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ht="15" spans="1:175">
      <c r="A155" s="105"/>
      <c r="B155" s="119" t="s">
        <v>582</v>
      </c>
      <c r="C155" s="22" t="s">
        <v>583</v>
      </c>
      <c r="T155" s="70" t="s">
        <v>584</v>
      </c>
      <c r="U155" s="89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9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ht="15" spans="1:175">
      <c r="A156" s="105"/>
      <c r="B156" s="119" t="s">
        <v>585</v>
      </c>
      <c r="C156" s="22" t="s">
        <v>586</v>
      </c>
      <c r="T156" s="70" t="s">
        <v>587</v>
      </c>
      <c r="U156" s="89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9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ht="15" spans="1:175">
      <c r="A157" s="105"/>
      <c r="B157" s="119" t="s">
        <v>588</v>
      </c>
      <c r="C157" s="22" t="s">
        <v>589</v>
      </c>
      <c r="T157" s="70" t="s">
        <v>590</v>
      </c>
      <c r="U157" s="89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9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ht="15" spans="1:175">
      <c r="A158" s="105"/>
      <c r="B158" s="119" t="s">
        <v>591</v>
      </c>
      <c r="C158" s="22" t="s">
        <v>592</v>
      </c>
      <c r="T158" s="70" t="s">
        <v>593</v>
      </c>
      <c r="U158" s="89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9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ht="15" spans="1:175">
      <c r="A159" s="105"/>
      <c r="B159" s="119" t="s">
        <v>594</v>
      </c>
      <c r="C159" s="119" t="s">
        <v>595</v>
      </c>
      <c r="T159" s="70" t="s">
        <v>596</v>
      </c>
      <c r="U159" s="89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9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ht="15" spans="1:175">
      <c r="A160" s="105"/>
      <c r="B160" s="119" t="s">
        <v>597</v>
      </c>
      <c r="C160" s="22" t="s">
        <v>598</v>
      </c>
      <c r="T160" s="70" t="s">
        <v>599</v>
      </c>
      <c r="U160" s="89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9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ht="15" spans="1:175">
      <c r="A161" s="105"/>
      <c r="B161" s="119" t="s">
        <v>600</v>
      </c>
      <c r="C161" s="22" t="s">
        <v>601</v>
      </c>
      <c r="T161" s="70" t="s">
        <v>602</v>
      </c>
      <c r="U161" s="89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9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ht="15" spans="1:175">
      <c r="A162" s="105"/>
      <c r="B162" s="105" t="s">
        <v>603</v>
      </c>
      <c r="C162" s="70" t="s">
        <v>604</v>
      </c>
      <c r="T162" s="70" t="s">
        <v>605</v>
      </c>
      <c r="U162" s="89" t="s">
        <v>606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9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ht="15" spans="1:175">
      <c r="A163" s="105"/>
      <c r="B163" s="119" t="s">
        <v>607</v>
      </c>
      <c r="C163" s="22" t="s">
        <v>608</v>
      </c>
      <c r="T163" s="70" t="s">
        <v>609</v>
      </c>
      <c r="U163" s="89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9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ht="15" spans="1:175">
      <c r="A164" s="105"/>
      <c r="B164" s="119" t="s">
        <v>610</v>
      </c>
      <c r="C164" s="22" t="s">
        <v>611</v>
      </c>
      <c r="T164" s="70" t="s">
        <v>612</v>
      </c>
      <c r="U164" s="89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9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ht="15" spans="1:175">
      <c r="A165" s="105"/>
      <c r="B165" s="105" t="s">
        <v>613</v>
      </c>
      <c r="C165" s="99" t="s">
        <v>614</v>
      </c>
      <c r="T165" s="70" t="s">
        <v>615</v>
      </c>
      <c r="U165" s="89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9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ht="15" spans="1:175">
      <c r="A166" s="105"/>
      <c r="B166" s="119" t="s">
        <v>616</v>
      </c>
      <c r="C166" s="22" t="s">
        <v>617</v>
      </c>
      <c r="T166" s="70" t="s">
        <v>618</v>
      </c>
      <c r="U166" s="89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219&amp;CR$1&amp;")"</f>
        <v>InitEquipData('IN23',,"",,,,,'','','','','','',"ReplaceableTextures\\CommandButtons\\BTN023.blp")</v>
      </c>
      <c r="CU166" s="99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ht="15" spans="1:175">
      <c r="A167" s="105"/>
      <c r="B167" s="119" t="s">
        <v>619</v>
      </c>
      <c r="C167" s="22" t="s">
        <v>620</v>
      </c>
      <c r="T167" s="70" t="s">
        <v>621</v>
      </c>
      <c r="U167" s="89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220&amp;CR$1&amp;")"</f>
        <v>InitEquipData('IN24',,"",,,,,'','','','','','',"ReplaceableTextures\\CommandButtons\\BTN020.blp")</v>
      </c>
      <c r="CU167" s="99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ht="15" spans="1:175">
      <c r="A168" s="105"/>
      <c r="B168" s="120" t="s">
        <v>622</v>
      </c>
      <c r="C168" s="99" t="s">
        <v>623</v>
      </c>
      <c r="T168" s="70" t="s">
        <v>624</v>
      </c>
      <c r="U168" s="89" t="s">
        <v>625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221&amp;CR$1&amp;")"</f>
        <v>InitEquipData('IN25',,"",,,,,'','','','','','',"ReplaceableTextures\\CommandButtons\\BTN001.blp")</v>
      </c>
      <c r="CU168" s="99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ht="15" spans="1:175">
      <c r="A169" s="105"/>
      <c r="B169" s="120" t="s">
        <v>626</v>
      </c>
      <c r="C169" s="99" t="s">
        <v>627</v>
      </c>
      <c r="T169" s="70" t="s">
        <v>628</v>
      </c>
      <c r="U169" s="89" t="s">
        <v>629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225&amp;CR$1&amp;")"</f>
        <v>InitEquipData('IN26',,"",,,,,'','','','','','',"ReplaceableTextures\\CommandButtons\\BTNIN01.blp")</v>
      </c>
      <c r="CU169" s="99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ht="15" spans="1:175">
      <c r="A170" s="105"/>
      <c r="B170" s="120" t="s">
        <v>630</v>
      </c>
      <c r="C170" s="99" t="s">
        <v>631</v>
      </c>
      <c r="T170" s="70" t="s">
        <v>632</v>
      </c>
      <c r="U170" s="89" t="s">
        <v>633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9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ht="15" spans="1:175">
      <c r="A171" s="105"/>
      <c r="B171" s="120" t="s">
        <v>634</v>
      </c>
      <c r="C171" s="70" t="s">
        <v>635</v>
      </c>
      <c r="T171" s="70" t="s">
        <v>636</v>
      </c>
      <c r="U171" s="89" t="s">
        <v>637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9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ht="15" spans="1:175">
      <c r="A172" s="105"/>
      <c r="B172" s="120" t="s">
        <v>638</v>
      </c>
      <c r="C172" s="70" t="s">
        <v>639</v>
      </c>
      <c r="T172" s="70" t="s">
        <v>605</v>
      </c>
      <c r="U172" s="89" t="s">
        <v>486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9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ht="15" spans="1:175">
      <c r="A173" s="105"/>
      <c r="B173" s="120" t="s">
        <v>640</v>
      </c>
      <c r="C173" s="70" t="s">
        <v>641</v>
      </c>
      <c r="T173" s="70" t="s">
        <v>642</v>
      </c>
      <c r="U173" s="89" t="s">
        <v>643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9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ht="15" spans="1:175">
      <c r="A174" s="105"/>
      <c r="B174" s="120" t="s">
        <v>644</v>
      </c>
      <c r="C174" s="70" t="s">
        <v>645</v>
      </c>
      <c r="T174" s="70" t="s">
        <v>646</v>
      </c>
      <c r="U174" s="89" t="s">
        <v>647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9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ht="15" spans="1:175">
      <c r="A175" s="105"/>
      <c r="B175" s="120" t="s">
        <v>648</v>
      </c>
      <c r="C175" s="70" t="s">
        <v>635</v>
      </c>
      <c r="T175" s="70" t="s">
        <v>636</v>
      </c>
      <c r="U175" s="89" t="s">
        <v>637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9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ht="15" spans="1:175">
      <c r="A176" s="105"/>
      <c r="B176" s="119" t="s">
        <v>649</v>
      </c>
      <c r="C176" s="22" t="s">
        <v>650</v>
      </c>
      <c r="T176" s="70" t="s">
        <v>651</v>
      </c>
      <c r="U176" s="89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9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ht="15" spans="1:175">
      <c r="A177" s="105"/>
      <c r="B177" s="105" t="s">
        <v>652</v>
      </c>
      <c r="C177" s="99" t="s">
        <v>653</v>
      </c>
      <c r="T177" s="70" t="s">
        <v>654</v>
      </c>
      <c r="U177" s="89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222&amp;CR$1&amp;")"</f>
        <v>InitEquipData('IN34',,"",,,,,'','','','','','',"ReplaceableTextures\\CommandButtons\\BTN024.blp")</v>
      </c>
      <c r="CU177" s="99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ht="15" spans="1:175">
      <c r="A178" s="105"/>
      <c r="B178" s="119" t="s">
        <v>655</v>
      </c>
      <c r="C178" s="22" t="s">
        <v>656</v>
      </c>
      <c r="T178" s="70" t="s">
        <v>657</v>
      </c>
      <c r="U178" s="89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223&amp;CR$1&amp;")"</f>
        <v>InitEquipData('IN35',,"",,,,,'','','','','','',"ReplaceableTextures\\CommandButtons\\BTN021.blp")</v>
      </c>
      <c r="CU178" s="99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ht="15" spans="1:175">
      <c r="A179" s="105"/>
      <c r="B179" s="105" t="s">
        <v>658</v>
      </c>
      <c r="C179" s="22" t="s">
        <v>659</v>
      </c>
      <c r="T179" s="70" t="s">
        <v>660</v>
      </c>
      <c r="U179" s="89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224&amp;CR$1&amp;")"</f>
        <v>InitEquipData('IN36',,"",,,,,'','','','','','',"ReplaceableTextures\\CommandButtons\\BTN002.blp")</v>
      </c>
      <c r="CU179" s="99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ht="15" spans="1:175">
      <c r="A180" s="105"/>
      <c r="B180" s="119" t="s">
        <v>661</v>
      </c>
      <c r="C180" s="22" t="s">
        <v>662</v>
      </c>
      <c r="T180" s="70" t="s">
        <v>663</v>
      </c>
      <c r="U180" s="89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220&amp;CR$1&amp;")"</f>
        <v>InitEquipData('IN37',,"",,,,,'','','','','','',"ReplaceableTextures\\CommandButtons\\BTN020.blp")</v>
      </c>
      <c r="CU180" s="99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ht="15" spans="1:175">
      <c r="A181" s="105"/>
      <c r="B181" s="105" t="s">
        <v>664</v>
      </c>
      <c r="C181" s="99" t="s">
        <v>665</v>
      </c>
      <c r="T181" s="70" t="s">
        <v>666</v>
      </c>
      <c r="U181" s="89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226&amp;CR$1&amp;")"</f>
        <v>InitEquipData('IN38',,"",,,,,'','','','','','',"ReplaceableTextures\\CommandButtons\\BTNIN02.blp")</v>
      </c>
      <c r="CU181" s="99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ht="15" spans="1:175">
      <c r="A182" s="105"/>
      <c r="B182" s="119" t="s">
        <v>667</v>
      </c>
      <c r="C182" s="22" t="s">
        <v>668</v>
      </c>
      <c r="T182" s="70" t="s">
        <v>669</v>
      </c>
      <c r="U182" s="89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227&amp;CR$1&amp;")"</f>
        <v>InitEquipData('IN39',,"",,,,,'','','','','','',"ReplaceableTextures\\CommandButtons\\BTNIN03.blp")</v>
      </c>
      <c r="CU182" s="99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ht="15" spans="1:175">
      <c r="A183" s="105"/>
      <c r="B183" s="105" t="s">
        <v>670</v>
      </c>
      <c r="C183" s="22" t="s">
        <v>671</v>
      </c>
      <c r="T183" s="70" t="s">
        <v>672</v>
      </c>
      <c r="U183" s="89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228&amp;CR$1&amp;")"</f>
        <v>InitEquipData('IN40',,"",,,,,'','','','','','',"ReplaceableTextures\\CommandButtons\\BTN009.blp")</v>
      </c>
      <c r="CU183" s="99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ht="15" spans="1:175">
      <c r="A184" s="105"/>
      <c r="B184" s="105" t="s">
        <v>673</v>
      </c>
      <c r="C184" s="105" t="s">
        <v>674</v>
      </c>
      <c r="T184" s="124" t="s">
        <v>675</v>
      </c>
      <c r="U184" s="89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9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ht="15" spans="1:175">
      <c r="A185" s="80"/>
      <c r="B185" s="105" t="s">
        <v>676</v>
      </c>
      <c r="C185" s="80" t="s">
        <v>677</v>
      </c>
      <c r="T185" s="125" t="s">
        <v>678</v>
      </c>
      <c r="U185" s="89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9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ht="15" spans="1:175">
      <c r="A186" s="80"/>
      <c r="B186" s="105" t="s">
        <v>679</v>
      </c>
      <c r="C186" s="80" t="s">
        <v>680</v>
      </c>
      <c r="T186" s="118" t="s">
        <v>681</v>
      </c>
      <c r="U186" s="89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9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ht="15" spans="1:175">
      <c r="A187" s="80"/>
      <c r="B187" s="105" t="s">
        <v>682</v>
      </c>
      <c r="C187" s="80" t="s">
        <v>683</v>
      </c>
      <c r="T187" s="118" t="s">
        <v>684</v>
      </c>
      <c r="U187" s="89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9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ht="15" spans="1:175">
      <c r="A188" s="80"/>
      <c r="B188" s="105" t="s">
        <v>685</v>
      </c>
      <c r="C188" s="80" t="s">
        <v>686</v>
      </c>
      <c r="T188" s="118" t="s">
        <v>687</v>
      </c>
      <c r="U188" s="89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9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ht="15" spans="1:175">
      <c r="A189" s="80"/>
      <c r="B189" s="105" t="s">
        <v>688</v>
      </c>
      <c r="C189" s="80" t="s">
        <v>689</v>
      </c>
      <c r="T189" s="126" t="s">
        <v>690</v>
      </c>
      <c r="U189" s="89" t="s">
        <v>691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9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ht="15" spans="1:175">
      <c r="A190" s="80"/>
      <c r="B190" s="105" t="s">
        <v>692</v>
      </c>
      <c r="C190" s="80" t="s">
        <v>693</v>
      </c>
      <c r="T190" s="118" t="s">
        <v>694</v>
      </c>
      <c r="U190" s="89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9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ht="15" spans="1:175">
      <c r="A191" s="80"/>
      <c r="B191" s="105" t="s">
        <v>695</v>
      </c>
      <c r="C191" s="80" t="s">
        <v>696</v>
      </c>
      <c r="T191" s="118" t="s">
        <v>697</v>
      </c>
      <c r="U191" s="89" t="s">
        <v>698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9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ht="15" spans="1:175">
      <c r="A192" s="80"/>
      <c r="B192" s="105" t="s">
        <v>699</v>
      </c>
      <c r="C192" s="80" t="s">
        <v>700</v>
      </c>
      <c r="T192" s="126" t="s">
        <v>701</v>
      </c>
      <c r="U192" s="89" t="s">
        <v>702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9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ht="15" spans="1:175">
      <c r="A193" s="80"/>
      <c r="B193" s="105" t="s">
        <v>703</v>
      </c>
      <c r="C193" s="80" t="s">
        <v>683</v>
      </c>
      <c r="T193" s="118" t="s">
        <v>684</v>
      </c>
      <c r="U193" s="89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9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ht="20.25" customHeight="1" spans="1:175">
      <c r="A194" s="80"/>
      <c r="B194" s="105" t="s">
        <v>704</v>
      </c>
      <c r="C194" s="80" t="s">
        <v>705</v>
      </c>
      <c r="R194" s="63">
        <v>-8086</v>
      </c>
      <c r="S194" s="63">
        <v>-3245</v>
      </c>
      <c r="T194" s="124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9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9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ht="18" customHeight="1" spans="1:175">
      <c r="A195" s="80"/>
      <c r="B195" s="105" t="s">
        <v>706</v>
      </c>
      <c r="C195" s="80" t="s">
        <v>707</v>
      </c>
      <c r="R195" s="63">
        <v>-7991</v>
      </c>
      <c r="S195" s="63">
        <v>-2312</v>
      </c>
      <c r="T195" s="124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9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9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ht="15" spans="1:175">
      <c r="A196" s="80"/>
      <c r="B196" s="105" t="s">
        <v>708</v>
      </c>
      <c r="C196" s="80" t="s">
        <v>709</v>
      </c>
      <c r="R196" s="63">
        <v>-8089</v>
      </c>
      <c r="S196" s="63">
        <v>-1230</v>
      </c>
      <c r="T196" s="124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9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9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ht="15" spans="1:175">
      <c r="A197" s="80"/>
      <c r="B197" s="105" t="s">
        <v>710</v>
      </c>
      <c r="C197" s="80" t="s">
        <v>711</v>
      </c>
      <c r="R197" s="63">
        <v>-7794</v>
      </c>
      <c r="S197" s="63">
        <v>195</v>
      </c>
      <c r="T197" s="124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9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9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ht="15" spans="1:175">
      <c r="A198" s="80"/>
      <c r="B198" s="105" t="s">
        <v>712</v>
      </c>
      <c r="C198" s="80" t="s">
        <v>713</v>
      </c>
      <c r="R198" s="63">
        <v>-8110</v>
      </c>
      <c r="S198" s="63">
        <v>1810</v>
      </c>
      <c r="T198" s="124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9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9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ht="15" spans="1:175">
      <c r="A199" s="80"/>
      <c r="B199" s="105" t="s">
        <v>714</v>
      </c>
      <c r="C199" s="80" t="s">
        <v>715</v>
      </c>
      <c r="R199" s="63">
        <v>-7896</v>
      </c>
      <c r="S199" s="63">
        <v>3839</v>
      </c>
      <c r="T199" s="124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9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9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ht="15" spans="1:175">
      <c r="A200" s="80"/>
      <c r="B200" s="105" t="s">
        <v>716</v>
      </c>
      <c r="C200" s="80" t="s">
        <v>717</v>
      </c>
      <c r="R200" s="63">
        <v>-7896</v>
      </c>
      <c r="S200" s="63">
        <v>5906</v>
      </c>
      <c r="T200" s="124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9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9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ht="15" spans="1:175">
      <c r="A201" s="80" t="s">
        <v>718</v>
      </c>
      <c r="B201" s="105" t="s">
        <v>719</v>
      </c>
      <c r="C201" s="80" t="s">
        <v>720</v>
      </c>
      <c r="R201" s="63">
        <v>-7970</v>
      </c>
      <c r="S201" s="63">
        <v>7965</v>
      </c>
      <c r="T201" s="124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9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9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ht="15" spans="1:175">
      <c r="A202" s="80"/>
      <c r="B202" s="105" t="s">
        <v>721</v>
      </c>
      <c r="C202" s="80" t="s">
        <v>722</v>
      </c>
      <c r="R202" s="63">
        <v>2100</v>
      </c>
      <c r="S202" s="63">
        <v>-5120</v>
      </c>
      <c r="T202" s="124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9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9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ht="15" spans="1:175">
      <c r="A203" s="80"/>
      <c r="B203" s="105" t="s">
        <v>723</v>
      </c>
      <c r="C203" s="80" t="s">
        <v>724</v>
      </c>
      <c r="R203" s="63">
        <v>2268</v>
      </c>
      <c r="S203" s="63">
        <v>-8065</v>
      </c>
      <c r="T203" s="124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9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220&amp;CR$1&amp;")"</f>
        <v>InitEquipData('IT10',,"",,,,,'','','','','','',"ReplaceableTextures\\CommandButtons\\BTN020.blp")</v>
      </c>
      <c r="CU203" s="99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ht="15" spans="1:175">
      <c r="A204" s="80" t="s">
        <v>718</v>
      </c>
      <c r="B204" s="105" t="s">
        <v>725</v>
      </c>
      <c r="C204" s="80" t="s">
        <v>726</v>
      </c>
      <c r="T204" s="124" t="s">
        <v>727</v>
      </c>
      <c r="U204" s="89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9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ht="15" spans="1:175">
      <c r="A205" s="80"/>
      <c r="B205" s="105" t="s">
        <v>728</v>
      </c>
      <c r="C205" s="80" t="s">
        <v>729</v>
      </c>
      <c r="T205" s="124" t="s">
        <v>730</v>
      </c>
      <c r="U205" s="89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9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ht="15" spans="1:175">
      <c r="A206" s="80"/>
      <c r="B206" s="105" t="s">
        <v>731</v>
      </c>
      <c r="C206" s="80" t="s">
        <v>732</v>
      </c>
      <c r="T206" s="124" t="s">
        <v>733</v>
      </c>
      <c r="U206" s="89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9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ht="15" spans="1:175">
      <c r="A207" s="80"/>
      <c r="B207" s="105" t="s">
        <v>734</v>
      </c>
      <c r="C207" s="80" t="s">
        <v>735</v>
      </c>
      <c r="T207" s="124" t="s">
        <v>735</v>
      </c>
      <c r="U207" s="89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232&amp;CR$1&amp;")"</f>
        <v>InitEquipData('IT14',,"",,,,,'','','','','','',"ReplaceableTextures\\CommandButtons\\BTNIH00.blp")</v>
      </c>
      <c r="CU207" s="99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ht="15" spans="1:175">
      <c r="A208" s="80"/>
      <c r="B208" s="105" t="s">
        <v>736</v>
      </c>
      <c r="C208" s="80" t="s">
        <v>737</v>
      </c>
      <c r="T208" s="124" t="s">
        <v>738</v>
      </c>
      <c r="U208" s="89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9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ht="15" spans="1:175">
      <c r="A209" s="80"/>
      <c r="B209" s="105" t="s">
        <v>739</v>
      </c>
      <c r="C209" s="80" t="s">
        <v>740</v>
      </c>
      <c r="T209" s="124" t="s">
        <v>741</v>
      </c>
      <c r="U209" s="89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219&amp;CR$1&amp;")"</f>
        <v>InitEquipData('IZ0B',,"",,,,,'','','','','','',"ReplaceableTextures\\CommandButtons\\BTN023.blp")</v>
      </c>
      <c r="CU209" s="99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ht="15" spans="1:175">
      <c r="A210" s="80"/>
      <c r="B210" s="105" t="s">
        <v>742</v>
      </c>
      <c r="C210" s="80"/>
      <c r="T210" s="124" t="s">
        <v>738</v>
      </c>
      <c r="U210" s="89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220&amp;CR$1&amp;")"</f>
        <v>InitEquipData('IZ0D',,"",,,,,'','','','','','',"ReplaceableTextures\\CommandButtons\\BTN020.blp")</v>
      </c>
      <c r="CU210" s="99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ht="15" spans="1:175">
      <c r="A211" s="80"/>
      <c r="B211" s="105" t="s">
        <v>743</v>
      </c>
      <c r="C211" s="80"/>
      <c r="T211" s="124" t="s">
        <v>738</v>
      </c>
      <c r="U211" s="89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221&amp;CR$1&amp;")"</f>
        <v>InitEquipData('IZ0E',,"",,,,,'','','','','','',"ReplaceableTextures\\CommandButtons\\BTN001.blp")</v>
      </c>
      <c r="CU211" s="99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ht="15" spans="1:175">
      <c r="A212" s="80"/>
      <c r="B212" s="105" t="s">
        <v>744</v>
      </c>
      <c r="C212" s="80"/>
      <c r="T212" s="124" t="s">
        <v>738</v>
      </c>
      <c r="U212" s="89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225&amp;CR$1&amp;")"</f>
        <v>InitEquipData('IZ0F',,"",,,,,'','','','','','',"ReplaceableTextures\\CommandButtons\\BTNIN01.blp")</v>
      </c>
      <c r="CU212" s="99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ht="15" spans="1:175">
      <c r="A213" s="80"/>
      <c r="B213" s="105" t="s">
        <v>745</v>
      </c>
      <c r="C213" s="80"/>
      <c r="T213" s="124" t="s">
        <v>738</v>
      </c>
      <c r="U213" s="89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226&amp;CR$1&amp;")"</f>
        <v>InitEquipData('IZ0G',,"",,,,,'','','','','','',"ReplaceableTextures\\CommandButtons\\BTNIN02.blp")</v>
      </c>
      <c r="CU213" s="99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ht="15" spans="1:175">
      <c r="A214" s="80"/>
      <c r="B214" s="105" t="s">
        <v>746</v>
      </c>
      <c r="C214" s="127" t="s">
        <v>747</v>
      </c>
      <c r="T214" s="127" t="s">
        <v>748</v>
      </c>
      <c r="U214" s="89" t="s">
        <v>749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9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ht="15" spans="1:175">
      <c r="A215" s="80"/>
      <c r="B215" s="105" t="s">
        <v>750</v>
      </c>
      <c r="C215" s="80" t="s">
        <v>751</v>
      </c>
      <c r="T215" s="9" t="s">
        <v>752</v>
      </c>
      <c r="U215" s="89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9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ht="15" spans="1:175">
      <c r="A216" s="80"/>
      <c r="B216" s="105" t="s">
        <v>753</v>
      </c>
      <c r="C216" s="80" t="s">
        <v>754</v>
      </c>
      <c r="T216" s="9" t="s">
        <v>755</v>
      </c>
      <c r="U216" s="89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9" t="str">
        <f t="shared" si="3396"/>
        <v>|n</v>
      </c>
      <c r="CV216" s="70" t="str">
        <f t="shared" si="3397"/>
        <v>暂未开放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ht="15" spans="1:175">
      <c r="A217" s="80"/>
      <c r="B217" s="105" t="s">
        <v>756</v>
      </c>
      <c r="C217" s="80" t="s">
        <v>757</v>
      </c>
      <c r="T217" s="9" t="s">
        <v>755</v>
      </c>
      <c r="U217" s="89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219&amp;CR$1&amp;")"</f>
        <v>InitEquipData('IZ03',,"",,,,,'','','','','','',"ReplaceableTextures\\CommandButtons\\BTN023.blp")</v>
      </c>
      <c r="CU217" s="99" t="str">
        <f t="shared" si="3396"/>
        <v>|n</v>
      </c>
      <c r="CV217" s="70" t="str">
        <f t="shared" si="3397"/>
        <v>暂未开放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ht="15" spans="1:175">
      <c r="A218" s="80"/>
      <c r="B218" s="105" t="s">
        <v>758</v>
      </c>
      <c r="C218" s="80" t="s">
        <v>759</v>
      </c>
      <c r="T218" s="9" t="s">
        <v>760</v>
      </c>
      <c r="U218" s="89" t="s">
        <v>761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220&amp;CR$1&amp;")"</f>
        <v>InitEquipData('IZ04',,"",,,,,'','','','','','',"ReplaceableTextures\\CommandButtons\\BTN020.blp")</v>
      </c>
      <c r="CU218" s="99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ht="15" spans="1:175">
      <c r="A219" s="80"/>
      <c r="B219" s="105" t="s">
        <v>762</v>
      </c>
      <c r="C219" s="80" t="s">
        <v>763</v>
      </c>
      <c r="T219" s="113" t="s">
        <v>489</v>
      </c>
      <c r="U219" s="89" t="s">
        <v>764</v>
      </c>
      <c r="CN219" s="69" t="str">
        <f t="shared" ref="CN219:CN235" si="3484">"InitUnitState('"&amp;B219&amp;"',"&amp;V219&amp;","&amp;W219&amp;","&amp;X219&amp;","&amp;Y219&amp;","&amp;Z219&amp;","&amp;AA219&amp;","&amp;AB219&amp;","&amp;AC219&amp;","&amp;AD219&amp;","&amp;AE219&amp;")"</f>
        <v>InitUnitState('IS01',,,,,,,,,,)</v>
      </c>
      <c r="CO219" s="69" t="str">
        <f t="shared" ref="CO219:CO235" si="3485">"InitUnitNormal('"&amp;B219&amp;"',"&amp;AF219&amp;","&amp;AG219&amp;","&amp;AH219&amp;","&amp;AI219&amp;","&amp;AJ219&amp;","&amp;AK219&amp;","&amp;AL219&amp;","&amp;AM219&amp;","&amp;AN219&amp;","&amp;AO219&amp;")"</f>
        <v>InitUnitNormal('IS01',,,,,,,,,,)</v>
      </c>
      <c r="CP219" s="69" t="str">
        <f t="shared" ref="CP219:CP235" si="3486">"InitUnitMagic('"&amp;B219&amp;"',"&amp;AP219&amp;","&amp;AQ219&amp;","&amp;AR219&amp;","&amp;AS219&amp;","&amp;AT219&amp;","&amp;AU219&amp;","&amp;AV219&amp;","&amp;AW219&amp;","&amp;BI219&amp;","&amp;BJ219&amp;")"</f>
        <v>InitUnitMagic('IS01',,,,,,,,,,)</v>
      </c>
      <c r="CQ219" s="69" t="str">
        <f t="shared" ref="CQ219:CQ235" si="3487">"InitUnitAdd('"&amp;B219&amp;"',"&amp;BK219&amp;","&amp;BL219&amp;","&amp;BM219&amp;","&amp;BN219&amp;","&amp;BO219&amp;","&amp;BP219&amp;","&amp;BQ219&amp;","&amp;BR219&amp;","&amp;BS219&amp;","&amp;BT219&amp;")"</f>
        <v>InitUnitAdd('IS01',,,,,,,,,,)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InitEquipData('IS01',,"",,,,,'','','','','','',"ReplaceableTextures\\CommandButtons\\BTN020.blp")</v>
      </c>
      <c r="CU219" s="99" t="str">
        <f t="shared" ref="CU219:CU226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:CV226" si="3489">T219</f>
        <v>高概率获得D级技能，低概率获得|Cff00ff7fC级技能|r</v>
      </c>
      <c r="CW219" s="60"/>
      <c r="CX219" s="60"/>
      <c r="CY219" s="60"/>
      <c r="CZ219" s="60"/>
      <c r="DA219" s="60"/>
      <c r="DB219" s="71" t="str">
        <f t="shared" ref="DB219:DK220" si="3490">IF(V219="","","|n"&amp;DB$2&amp;"+"&amp;V219&amp;DB$1)</f>
        <v/>
      </c>
      <c r="DC219" s="71" t="str">
        <f t="shared" si="3490"/>
        <v/>
      </c>
      <c r="DD219" s="71" t="str">
        <f t="shared" si="3490"/>
        <v/>
      </c>
      <c r="DE219" s="71" t="str">
        <f t="shared" si="3490"/>
        <v/>
      </c>
      <c r="DF219" s="71" t="str">
        <f t="shared" si="3490"/>
        <v/>
      </c>
      <c r="DG219" s="71" t="str">
        <f t="shared" si="3490"/>
        <v/>
      </c>
      <c r="DH219" s="71" t="str">
        <f t="shared" si="3490"/>
        <v/>
      </c>
      <c r="DI219" s="71" t="str">
        <f t="shared" si="3490"/>
        <v/>
      </c>
      <c r="DJ219" s="71" t="str">
        <f t="shared" si="3490"/>
        <v/>
      </c>
      <c r="DK219" s="71" t="str">
        <f t="shared" si="3490"/>
        <v/>
      </c>
      <c r="DL219" s="71" t="str">
        <f t="shared" ref="DL219:DU220" si="3491">IF(AF219="","","|n"&amp;DL$2&amp;"+"&amp;AF219&amp;DL$1)</f>
        <v/>
      </c>
      <c r="DM219" s="71" t="str">
        <f t="shared" si="3491"/>
        <v/>
      </c>
      <c r="DN219" s="71" t="str">
        <f t="shared" si="3491"/>
        <v/>
      </c>
      <c r="DO219" s="71" t="str">
        <f t="shared" si="3491"/>
        <v/>
      </c>
      <c r="DP219" s="71" t="str">
        <f t="shared" si="3491"/>
        <v/>
      </c>
      <c r="DQ219" s="71" t="str">
        <f t="shared" si="3491"/>
        <v/>
      </c>
      <c r="DR219" s="71" t="str">
        <f t="shared" si="3491"/>
        <v/>
      </c>
      <c r="DS219" s="71" t="str">
        <f t="shared" si="3491"/>
        <v/>
      </c>
      <c r="DT219" s="71" t="str">
        <f t="shared" si="3491"/>
        <v/>
      </c>
      <c r="DU219" s="71" t="str">
        <f t="shared" si="3491"/>
        <v/>
      </c>
      <c r="DV219" s="71" t="str">
        <f t="shared" ref="DV219:EE220" si="3492">IF(AP219="","","|n"&amp;DV$2&amp;"+"&amp;AP219&amp;DV$1)</f>
        <v/>
      </c>
      <c r="DW219" s="71" t="str">
        <f t="shared" si="3492"/>
        <v/>
      </c>
      <c r="DX219" s="71" t="str">
        <f t="shared" si="3492"/>
        <v/>
      </c>
      <c r="DY219" s="71" t="str">
        <f t="shared" si="3492"/>
        <v/>
      </c>
      <c r="DZ219" s="71" t="str">
        <f t="shared" si="3492"/>
        <v/>
      </c>
      <c r="EA219" s="71" t="str">
        <f t="shared" si="3492"/>
        <v/>
      </c>
      <c r="EB219" s="71" t="str">
        <f t="shared" si="3492"/>
        <v/>
      </c>
      <c r="EC219" s="71" t="str">
        <f t="shared" si="3492"/>
        <v/>
      </c>
      <c r="ED219" s="71" t="str">
        <f t="shared" si="3492"/>
        <v/>
      </c>
      <c r="EE219" s="71" t="str">
        <f t="shared" si="3492"/>
        <v/>
      </c>
      <c r="EF219" s="71" t="str">
        <f t="shared" ref="EF219:EO220" si="3493">IF(AZ219="","","|n"&amp;EF$2&amp;"+"&amp;AZ219&amp;EF$1)</f>
        <v/>
      </c>
      <c r="EG219" s="71" t="str">
        <f t="shared" si="3493"/>
        <v/>
      </c>
      <c r="EH219" s="71" t="str">
        <f t="shared" si="3493"/>
        <v/>
      </c>
      <c r="EI219" s="71" t="str">
        <f t="shared" si="3493"/>
        <v/>
      </c>
      <c r="EJ219" s="71" t="str">
        <f t="shared" si="3493"/>
        <v/>
      </c>
      <c r="EK219" s="71" t="str">
        <f t="shared" si="3493"/>
        <v/>
      </c>
      <c r="EL219" s="71" t="str">
        <f t="shared" si="3493"/>
        <v/>
      </c>
      <c r="EM219" s="71" t="str">
        <f t="shared" si="3493"/>
        <v/>
      </c>
      <c r="EN219" s="71" t="str">
        <f t="shared" si="3493"/>
        <v/>
      </c>
      <c r="EO219" s="71" t="str">
        <f t="shared" si="3493"/>
        <v/>
      </c>
      <c r="EP219" s="71" t="str">
        <f t="shared" ref="EP219:EY220" si="3494">IF(BJ219="","","|n"&amp;EP$2&amp;"+"&amp;BJ219&amp;EP$1)</f>
        <v/>
      </c>
      <c r="EQ219" s="71" t="str">
        <f t="shared" si="3494"/>
        <v/>
      </c>
      <c r="ER219" s="71" t="str">
        <f t="shared" si="3494"/>
        <v/>
      </c>
      <c r="ES219" s="71" t="str">
        <f t="shared" si="3494"/>
        <v/>
      </c>
      <c r="ET219" s="71" t="str">
        <f t="shared" si="3494"/>
        <v/>
      </c>
      <c r="EU219" s="71" t="str">
        <f t="shared" si="3494"/>
        <v/>
      </c>
      <c r="EV219" s="71" t="str">
        <f t="shared" si="3494"/>
        <v/>
      </c>
      <c r="EW219" s="71" t="str">
        <f t="shared" si="3494"/>
        <v/>
      </c>
      <c r="EX219" s="71" t="str">
        <f t="shared" si="3494"/>
        <v/>
      </c>
      <c r="EY219" s="71" t="str">
        <f t="shared" si="3494"/>
        <v/>
      </c>
      <c r="EZ219" s="71" t="str">
        <f t="shared" ref="EZ219:FI220" si="3495">IF(BT219="","","|n"&amp;EZ$2&amp;"+"&amp;BT219&amp;EZ$1)</f>
        <v/>
      </c>
      <c r="FA219" s="71" t="str">
        <f t="shared" si="3495"/>
        <v/>
      </c>
      <c r="FB219" s="71" t="str">
        <f t="shared" si="3495"/>
        <v/>
      </c>
      <c r="FC219" s="71" t="str">
        <f t="shared" si="3495"/>
        <v/>
      </c>
      <c r="FD219" s="71" t="str">
        <f t="shared" si="3495"/>
        <v/>
      </c>
      <c r="FE219" s="71" t="str">
        <f t="shared" si="3495"/>
        <v/>
      </c>
      <c r="FF219" s="71" t="str">
        <f t="shared" si="3495"/>
        <v/>
      </c>
      <c r="FG219" s="71" t="str">
        <f t="shared" si="3495"/>
        <v/>
      </c>
      <c r="FH219" s="71" t="str">
        <f t="shared" si="3495"/>
        <v/>
      </c>
      <c r="FI219" s="71" t="str">
        <f t="shared" si="3495"/>
        <v/>
      </c>
      <c r="FJ219" s="71" t="str">
        <f t="shared" ref="FJ219:FS220" si="3496">IF(CD219="","","|n"&amp;FJ$2&amp;"+"&amp;CD219&amp;FJ$1)</f>
        <v/>
      </c>
      <c r="FK219" s="71" t="str">
        <f t="shared" si="3496"/>
        <v/>
      </c>
      <c r="FL219" s="71" t="str">
        <f t="shared" si="3496"/>
        <v/>
      </c>
      <c r="FM219" s="71" t="str">
        <f t="shared" si="3496"/>
        <v/>
      </c>
      <c r="FN219" s="71" t="str">
        <f t="shared" si="3496"/>
        <v/>
      </c>
      <c r="FO219" s="71" t="str">
        <f t="shared" si="3496"/>
        <v/>
      </c>
      <c r="FP219" s="71" t="str">
        <f t="shared" si="3496"/>
        <v/>
      </c>
      <c r="FQ219" s="71" t="str">
        <f t="shared" si="3496"/>
        <v/>
      </c>
      <c r="FR219" s="71" t="str">
        <f t="shared" si="3496"/>
        <v/>
      </c>
      <c r="FS219" s="71" t="str">
        <f t="shared" si="3496"/>
        <v/>
      </c>
    </row>
    <row r="220" ht="15" spans="1:175">
      <c r="A220" s="80"/>
      <c r="B220" s="105" t="s">
        <v>765</v>
      </c>
      <c r="C220" s="80" t="s">
        <v>766</v>
      </c>
      <c r="T220" s="113" t="s">
        <v>493</v>
      </c>
      <c r="U220" s="89" t="s">
        <v>767</v>
      </c>
      <c r="CN220" s="69" t="str">
        <f t="shared" si="3484"/>
        <v>InitUnitState('IS02',,,,,,,,,,)</v>
      </c>
      <c r="CO220" s="69" t="str">
        <f t="shared" si="3485"/>
        <v>InitUnitNormal('IS02',,,,,,,,,,)</v>
      </c>
      <c r="CP220" s="69" t="str">
        <f t="shared" si="3486"/>
        <v>InitUnitMagic('IS02',,,,,,,,,,)</v>
      </c>
      <c r="CQ220" s="69" t="str">
        <f t="shared" si="3487"/>
        <v>InitUnitAdd('IS02',,,,,,,,,,)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InitEquipData('IS02',,"",,,,,'','','','','','',"ReplaceableTextures\\CommandButtons\\BTN001.blp")</v>
      </c>
      <c r="CU220" s="99" t="str">
        <f t="shared" si="3488"/>
        <v>|n</v>
      </c>
      <c r="CV220" s="70" t="str">
        <f t="shared" si="3489"/>
        <v>较高概率获得D级技能，高概率获得|Cff00ff7fC级技能|r，极低概率获得|Cff2693ffB级技能|r。</v>
      </c>
      <c r="CW220" s="60"/>
      <c r="CX220" s="60"/>
      <c r="CY220" s="60"/>
      <c r="CZ220" s="60"/>
      <c r="DA220" s="60"/>
      <c r="DB220" s="71" t="str">
        <f t="shared" si="3490"/>
        <v/>
      </c>
      <c r="DC220" s="71" t="str">
        <f t="shared" si="3490"/>
        <v/>
      </c>
      <c r="DD220" s="71" t="str">
        <f t="shared" si="3490"/>
        <v/>
      </c>
      <c r="DE220" s="71" t="str">
        <f t="shared" si="3490"/>
        <v/>
      </c>
      <c r="DF220" s="71" t="str">
        <f t="shared" si="3490"/>
        <v/>
      </c>
      <c r="DG220" s="71" t="str">
        <f t="shared" si="3490"/>
        <v/>
      </c>
      <c r="DH220" s="71" t="str">
        <f t="shared" si="3490"/>
        <v/>
      </c>
      <c r="DI220" s="71" t="str">
        <f t="shared" si="3490"/>
        <v/>
      </c>
      <c r="DJ220" s="71" t="str">
        <f t="shared" si="3490"/>
        <v/>
      </c>
      <c r="DK220" s="71" t="str">
        <f t="shared" si="3490"/>
        <v/>
      </c>
      <c r="DL220" s="71" t="str">
        <f t="shared" si="3491"/>
        <v/>
      </c>
      <c r="DM220" s="71" t="str">
        <f t="shared" si="3491"/>
        <v/>
      </c>
      <c r="DN220" s="71" t="str">
        <f t="shared" si="3491"/>
        <v/>
      </c>
      <c r="DO220" s="71" t="str">
        <f t="shared" si="3491"/>
        <v/>
      </c>
      <c r="DP220" s="71" t="str">
        <f t="shared" si="3491"/>
        <v/>
      </c>
      <c r="DQ220" s="71" t="str">
        <f t="shared" si="3491"/>
        <v/>
      </c>
      <c r="DR220" s="71" t="str">
        <f t="shared" si="3491"/>
        <v/>
      </c>
      <c r="DS220" s="71" t="str">
        <f t="shared" si="3491"/>
        <v/>
      </c>
      <c r="DT220" s="71" t="str">
        <f t="shared" si="3491"/>
        <v/>
      </c>
      <c r="DU220" s="71" t="str">
        <f t="shared" si="3491"/>
        <v/>
      </c>
      <c r="DV220" s="71" t="str">
        <f t="shared" si="3492"/>
        <v/>
      </c>
      <c r="DW220" s="71" t="str">
        <f t="shared" si="3492"/>
        <v/>
      </c>
      <c r="DX220" s="71" t="str">
        <f t="shared" si="3492"/>
        <v/>
      </c>
      <c r="DY220" s="71" t="str">
        <f t="shared" si="3492"/>
        <v/>
      </c>
      <c r="DZ220" s="71" t="str">
        <f t="shared" si="3492"/>
        <v/>
      </c>
      <c r="EA220" s="71" t="str">
        <f t="shared" si="3492"/>
        <v/>
      </c>
      <c r="EB220" s="71" t="str">
        <f t="shared" si="3492"/>
        <v/>
      </c>
      <c r="EC220" s="71" t="str">
        <f t="shared" si="3492"/>
        <v/>
      </c>
      <c r="ED220" s="71" t="str">
        <f t="shared" si="3492"/>
        <v/>
      </c>
      <c r="EE220" s="71" t="str">
        <f t="shared" si="3492"/>
        <v/>
      </c>
      <c r="EF220" s="71" t="str">
        <f t="shared" si="3493"/>
        <v/>
      </c>
      <c r="EG220" s="71" t="str">
        <f t="shared" si="3493"/>
        <v/>
      </c>
      <c r="EH220" s="71" t="str">
        <f t="shared" si="3493"/>
        <v/>
      </c>
      <c r="EI220" s="71" t="str">
        <f t="shared" si="3493"/>
        <v/>
      </c>
      <c r="EJ220" s="71" t="str">
        <f t="shared" si="3493"/>
        <v/>
      </c>
      <c r="EK220" s="71" t="str">
        <f t="shared" si="3493"/>
        <v/>
      </c>
      <c r="EL220" s="71" t="str">
        <f t="shared" si="3493"/>
        <v/>
      </c>
      <c r="EM220" s="71" t="str">
        <f t="shared" si="3493"/>
        <v/>
      </c>
      <c r="EN220" s="71" t="str">
        <f t="shared" si="3493"/>
        <v/>
      </c>
      <c r="EO220" s="71" t="str">
        <f t="shared" si="3493"/>
        <v/>
      </c>
      <c r="EP220" s="71" t="str">
        <f t="shared" si="3494"/>
        <v/>
      </c>
      <c r="EQ220" s="71" t="str">
        <f t="shared" si="3494"/>
        <v/>
      </c>
      <c r="ER220" s="71" t="str">
        <f t="shared" si="3494"/>
        <v/>
      </c>
      <c r="ES220" s="71" t="str">
        <f t="shared" si="3494"/>
        <v/>
      </c>
      <c r="ET220" s="71" t="str">
        <f t="shared" si="3494"/>
        <v/>
      </c>
      <c r="EU220" s="71" t="str">
        <f t="shared" si="3494"/>
        <v/>
      </c>
      <c r="EV220" s="71" t="str">
        <f t="shared" si="3494"/>
        <v/>
      </c>
      <c r="EW220" s="71" t="str">
        <f t="shared" si="3494"/>
        <v/>
      </c>
      <c r="EX220" s="71" t="str">
        <f t="shared" si="3494"/>
        <v/>
      </c>
      <c r="EY220" s="71" t="str">
        <f t="shared" si="3494"/>
        <v/>
      </c>
      <c r="EZ220" s="71" t="str">
        <f t="shared" si="3495"/>
        <v/>
      </c>
      <c r="FA220" s="71" t="str">
        <f t="shared" si="3495"/>
        <v/>
      </c>
      <c r="FB220" s="71" t="str">
        <f t="shared" si="3495"/>
        <v/>
      </c>
      <c r="FC220" s="71" t="str">
        <f t="shared" si="3495"/>
        <v/>
      </c>
      <c r="FD220" s="71" t="str">
        <f t="shared" si="3495"/>
        <v/>
      </c>
      <c r="FE220" s="71" t="str">
        <f t="shared" si="3495"/>
        <v/>
      </c>
      <c r="FF220" s="71" t="str">
        <f t="shared" si="3495"/>
        <v/>
      </c>
      <c r="FG220" s="71" t="str">
        <f t="shared" si="3495"/>
        <v/>
      </c>
      <c r="FH220" s="71" t="str">
        <f t="shared" si="3495"/>
        <v/>
      </c>
      <c r="FI220" s="71" t="str">
        <f t="shared" si="3495"/>
        <v/>
      </c>
      <c r="FJ220" s="71" t="str">
        <f t="shared" si="3496"/>
        <v/>
      </c>
      <c r="FK220" s="71" t="str">
        <f t="shared" si="3496"/>
        <v/>
      </c>
      <c r="FL220" s="71" t="str">
        <f t="shared" si="3496"/>
        <v/>
      </c>
      <c r="FM220" s="71" t="str">
        <f t="shared" si="3496"/>
        <v/>
      </c>
      <c r="FN220" s="71" t="str">
        <f t="shared" si="3496"/>
        <v/>
      </c>
      <c r="FO220" s="71" t="str">
        <f t="shared" si="3496"/>
        <v/>
      </c>
      <c r="FP220" s="71" t="str">
        <f t="shared" si="3496"/>
        <v/>
      </c>
      <c r="FQ220" s="71" t="str">
        <f t="shared" si="3496"/>
        <v/>
      </c>
      <c r="FR220" s="71" t="str">
        <f t="shared" si="3496"/>
        <v/>
      </c>
      <c r="FS220" s="71" t="str">
        <f t="shared" si="3496"/>
        <v/>
      </c>
    </row>
    <row r="221" ht="15" spans="1:175">
      <c r="A221" s="80"/>
      <c r="B221" s="105" t="s">
        <v>768</v>
      </c>
      <c r="C221" s="80" t="s">
        <v>769</v>
      </c>
      <c r="T221" s="113" t="s">
        <v>481</v>
      </c>
      <c r="U221" s="89" t="s">
        <v>770</v>
      </c>
      <c r="CN221" s="69" t="str">
        <f t="shared" si="3484"/>
        <v>InitUnitState('IS03',,,,,,,,,,)</v>
      </c>
      <c r="CO221" s="69" t="str">
        <f t="shared" si="3485"/>
        <v>InitUnitNormal('IS03',,,,,,,,,,)</v>
      </c>
      <c r="CP221" s="69" t="str">
        <f t="shared" si="3486"/>
        <v>InitUnitMagic('IS03',,,,,,,,,,)</v>
      </c>
      <c r="CQ221" s="69" t="str">
        <f t="shared" si="3487"/>
        <v>InitUnitAdd('IS03',,,,,,,,,,)</v>
      </c>
      <c r="CR221" s="69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9" t="str">
        <f t="shared" si="3488"/>
        <v>|n</v>
      </c>
      <c r="CV221" s="70" t="str">
        <f t="shared" si="3489"/>
        <v>低概率获得C级技能，高概率获得|Cff00ff7fB级技能|r，低概率获得|Cff2693ffA级技能|r。</v>
      </c>
      <c r="CW221" s="60"/>
      <c r="CX221" s="60"/>
      <c r="CY221" s="60"/>
      <c r="CZ221" s="60"/>
      <c r="DA221" s="60"/>
      <c r="DB221" s="71" t="str">
        <f t="shared" ref="DB221:DK226" si="3497">IF(V221="","","|n"&amp;DB$2&amp;"+"&amp;V221&amp;DB$1)</f>
        <v/>
      </c>
      <c r="DC221" s="71" t="str">
        <f t="shared" si="3497"/>
        <v/>
      </c>
      <c r="DD221" s="71" t="str">
        <f t="shared" si="3497"/>
        <v/>
      </c>
      <c r="DE221" s="71" t="str">
        <f t="shared" si="3497"/>
        <v/>
      </c>
      <c r="DF221" s="71" t="str">
        <f t="shared" si="3497"/>
        <v/>
      </c>
      <c r="DG221" s="71" t="str">
        <f t="shared" si="3497"/>
        <v/>
      </c>
      <c r="DH221" s="71" t="str">
        <f t="shared" si="3497"/>
        <v/>
      </c>
      <c r="DI221" s="71" t="str">
        <f t="shared" si="3497"/>
        <v/>
      </c>
      <c r="DJ221" s="71" t="str">
        <f t="shared" si="3497"/>
        <v/>
      </c>
      <c r="DK221" s="71" t="str">
        <f t="shared" si="3497"/>
        <v/>
      </c>
      <c r="DL221" s="71" t="str">
        <f t="shared" ref="DL221:DU226" si="3498">IF(AF221="","","|n"&amp;DL$2&amp;"+"&amp;AF221&amp;DL$1)</f>
        <v/>
      </c>
      <c r="DM221" s="71" t="str">
        <f t="shared" si="3498"/>
        <v/>
      </c>
      <c r="DN221" s="71" t="str">
        <f t="shared" si="3498"/>
        <v/>
      </c>
      <c r="DO221" s="71" t="str">
        <f t="shared" si="3498"/>
        <v/>
      </c>
      <c r="DP221" s="71" t="str">
        <f t="shared" si="3498"/>
        <v/>
      </c>
      <c r="DQ221" s="71" t="str">
        <f t="shared" si="3498"/>
        <v/>
      </c>
      <c r="DR221" s="71" t="str">
        <f t="shared" si="3498"/>
        <v/>
      </c>
      <c r="DS221" s="71" t="str">
        <f t="shared" si="3498"/>
        <v/>
      </c>
      <c r="DT221" s="71" t="str">
        <f t="shared" si="3498"/>
        <v/>
      </c>
      <c r="DU221" s="71" t="str">
        <f t="shared" si="3498"/>
        <v/>
      </c>
      <c r="DV221" s="71" t="str">
        <f t="shared" ref="DV221:EE226" si="3499">IF(AP221="","","|n"&amp;DV$2&amp;"+"&amp;AP221&amp;DV$1)</f>
        <v/>
      </c>
      <c r="DW221" s="71" t="str">
        <f t="shared" si="3499"/>
        <v/>
      </c>
      <c r="DX221" s="71" t="str">
        <f t="shared" si="3499"/>
        <v/>
      </c>
      <c r="DY221" s="71" t="str">
        <f t="shared" si="3499"/>
        <v/>
      </c>
      <c r="DZ221" s="71" t="str">
        <f t="shared" si="3499"/>
        <v/>
      </c>
      <c r="EA221" s="71" t="str">
        <f t="shared" si="3499"/>
        <v/>
      </c>
      <c r="EB221" s="71" t="str">
        <f t="shared" si="3499"/>
        <v/>
      </c>
      <c r="EC221" s="71" t="str">
        <f t="shared" si="3499"/>
        <v/>
      </c>
      <c r="ED221" s="71" t="str">
        <f t="shared" si="3499"/>
        <v/>
      </c>
      <c r="EE221" s="71" t="str">
        <f t="shared" si="3499"/>
        <v/>
      </c>
      <c r="EF221" s="71" t="str">
        <f t="shared" ref="EF221:EO226" si="3500">IF(AZ221="","","|n"&amp;EF$2&amp;"+"&amp;AZ221&amp;EF$1)</f>
        <v/>
      </c>
      <c r="EG221" s="71" t="str">
        <f t="shared" si="3500"/>
        <v/>
      </c>
      <c r="EH221" s="71" t="str">
        <f t="shared" si="3500"/>
        <v/>
      </c>
      <c r="EI221" s="71" t="str">
        <f t="shared" si="3500"/>
        <v/>
      </c>
      <c r="EJ221" s="71" t="str">
        <f t="shared" si="3500"/>
        <v/>
      </c>
      <c r="EK221" s="71" t="str">
        <f t="shared" si="3500"/>
        <v/>
      </c>
      <c r="EL221" s="71" t="str">
        <f t="shared" si="3500"/>
        <v/>
      </c>
      <c r="EM221" s="71" t="str">
        <f t="shared" si="3500"/>
        <v/>
      </c>
      <c r="EN221" s="71" t="str">
        <f t="shared" si="3500"/>
        <v/>
      </c>
      <c r="EO221" s="71" t="str">
        <f t="shared" si="3500"/>
        <v/>
      </c>
      <c r="EP221" s="71" t="str">
        <f t="shared" ref="EP221:EY226" si="3501">IF(BJ221="","","|n"&amp;EP$2&amp;"+"&amp;BJ221&amp;EP$1)</f>
        <v/>
      </c>
      <c r="EQ221" s="71" t="str">
        <f t="shared" si="3501"/>
        <v/>
      </c>
      <c r="ER221" s="71" t="str">
        <f t="shared" si="3501"/>
        <v/>
      </c>
      <c r="ES221" s="71" t="str">
        <f t="shared" si="3501"/>
        <v/>
      </c>
      <c r="ET221" s="71" t="str">
        <f t="shared" si="3501"/>
        <v/>
      </c>
      <c r="EU221" s="71" t="str">
        <f t="shared" si="3501"/>
        <v/>
      </c>
      <c r="EV221" s="71" t="str">
        <f t="shared" si="3501"/>
        <v/>
      </c>
      <c r="EW221" s="71" t="str">
        <f t="shared" si="3501"/>
        <v/>
      </c>
      <c r="EX221" s="71" t="str">
        <f t="shared" si="3501"/>
        <v/>
      </c>
      <c r="EY221" s="71" t="str">
        <f t="shared" si="3501"/>
        <v/>
      </c>
      <c r="EZ221" s="71" t="str">
        <f t="shared" ref="EZ221:FI226" si="3502">IF(BT221="","","|n"&amp;EZ$2&amp;"+"&amp;BT221&amp;EZ$1)</f>
        <v/>
      </c>
      <c r="FA221" s="71" t="str">
        <f t="shared" si="3502"/>
        <v/>
      </c>
      <c r="FB221" s="71" t="str">
        <f t="shared" si="3502"/>
        <v/>
      </c>
      <c r="FC221" s="71" t="str">
        <f t="shared" si="3502"/>
        <v/>
      </c>
      <c r="FD221" s="71" t="str">
        <f t="shared" si="3502"/>
        <v/>
      </c>
      <c r="FE221" s="71" t="str">
        <f t="shared" si="3502"/>
        <v/>
      </c>
      <c r="FF221" s="71" t="str">
        <f t="shared" si="3502"/>
        <v/>
      </c>
      <c r="FG221" s="71" t="str">
        <f t="shared" si="3502"/>
        <v/>
      </c>
      <c r="FH221" s="71" t="str">
        <f t="shared" si="3502"/>
        <v/>
      </c>
      <c r="FI221" s="71" t="str">
        <f t="shared" si="3502"/>
        <v/>
      </c>
      <c r="FJ221" s="71" t="str">
        <f t="shared" ref="FJ221:FS226" si="3503">IF(CD221="","","|n"&amp;FJ$2&amp;"+"&amp;CD221&amp;FJ$1)</f>
        <v/>
      </c>
      <c r="FK221" s="71" t="str">
        <f t="shared" si="3503"/>
        <v/>
      </c>
      <c r="FL221" s="71" t="str">
        <f t="shared" si="3503"/>
        <v/>
      </c>
      <c r="FM221" s="71" t="str">
        <f t="shared" si="3503"/>
        <v/>
      </c>
      <c r="FN221" s="71" t="str">
        <f t="shared" si="3503"/>
        <v/>
      </c>
      <c r="FO221" s="71" t="str">
        <f t="shared" si="3503"/>
        <v/>
      </c>
      <c r="FP221" s="71" t="str">
        <f t="shared" si="3503"/>
        <v/>
      </c>
      <c r="FQ221" s="71" t="str">
        <f t="shared" si="3503"/>
        <v/>
      </c>
      <c r="FR221" s="71" t="str">
        <f t="shared" si="3503"/>
        <v/>
      </c>
      <c r="FS221" s="71" t="str">
        <f t="shared" si="3503"/>
        <v/>
      </c>
    </row>
    <row r="222" ht="15" spans="1:175">
      <c r="A222" s="80"/>
      <c r="B222" s="105" t="s">
        <v>771</v>
      </c>
      <c r="C222" s="80" t="s">
        <v>772</v>
      </c>
      <c r="T222" s="113" t="s">
        <v>489</v>
      </c>
      <c r="U222" s="89" t="s">
        <v>773</v>
      </c>
      <c r="CN222" s="69" t="str">
        <f t="shared" ref="CN222:CN224" si="3504">"InitUnitState('"&amp;B222&amp;"',"&amp;V222&amp;","&amp;W222&amp;","&amp;X222&amp;","&amp;Y222&amp;","&amp;Z222&amp;","&amp;AA222&amp;","&amp;AB222&amp;","&amp;AC222&amp;","&amp;AD222&amp;","&amp;AE222&amp;")"</f>
        <v>InitUnitState('IS06',,,,,,,,,,)</v>
      </c>
      <c r="CO222" s="69" t="str">
        <f t="shared" ref="CO222:CO224" si="3505">"InitUnitNormal('"&amp;B222&amp;"',"&amp;AF222&amp;","&amp;AG222&amp;","&amp;AH222&amp;","&amp;AI222&amp;","&amp;AJ222&amp;","&amp;AK222&amp;","&amp;AL222&amp;","&amp;AM222&amp;","&amp;AN222&amp;","&amp;AO222&amp;")"</f>
        <v>InitUnitNormal('IS06',,,,,,,,,,)</v>
      </c>
      <c r="CP222" s="69" t="str">
        <f t="shared" ref="CP222:CP224" si="3506">"InitUnitMagic('"&amp;B222&amp;"',"&amp;AP222&amp;","&amp;AQ222&amp;","&amp;AR222&amp;","&amp;AS222&amp;","&amp;AT222&amp;","&amp;AU222&amp;","&amp;AV222&amp;","&amp;AW222&amp;","&amp;BI222&amp;","&amp;BJ222&amp;")"</f>
        <v>InitUnitMagic('IS06',,,,,,,,,,)</v>
      </c>
      <c r="CQ222" s="69" t="str">
        <f t="shared" ref="CQ222:CQ224" si="3507">"InitUnitAdd('"&amp;B222&amp;"',"&amp;BK222&amp;","&amp;BL222&amp;","&amp;BM222&amp;","&amp;BN222&amp;","&amp;BO222&amp;","&amp;BP222&amp;","&amp;BQ222&amp;","&amp;BR222&amp;","&amp;BS222&amp;","&amp;BT222&amp;")"</f>
        <v>InitUnitAdd('IS06',,,,,,,,,,)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InitEquipData('IS06',,"",,,,,'','','','','','',"ReplaceableTextures\\CommandButtons\\BTN021.blp")</v>
      </c>
      <c r="CU222" s="99" t="str">
        <f t="shared" ref="CU222:CU224" si="3508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24" si="3509">T222</f>
        <v>高概率获得D级技能，低概率获得|Cff00ff7fC级技能|r</v>
      </c>
      <c r="CW222" s="60"/>
      <c r="CX222" s="60"/>
      <c r="CY222" s="60"/>
      <c r="CZ222" s="60"/>
      <c r="DA222" s="60"/>
      <c r="DB222" s="71" t="str">
        <f t="shared" si="3497"/>
        <v/>
      </c>
      <c r="DC222" s="71" t="str">
        <f t="shared" si="3497"/>
        <v/>
      </c>
      <c r="DD222" s="71" t="str">
        <f t="shared" si="3497"/>
        <v/>
      </c>
      <c r="DE222" s="71" t="str">
        <f t="shared" si="3497"/>
        <v/>
      </c>
      <c r="DF222" s="71" t="str">
        <f t="shared" si="3497"/>
        <v/>
      </c>
      <c r="DG222" s="71" t="str">
        <f t="shared" si="3497"/>
        <v/>
      </c>
      <c r="DH222" s="71" t="str">
        <f t="shared" si="3497"/>
        <v/>
      </c>
      <c r="DI222" s="71" t="str">
        <f t="shared" si="3497"/>
        <v/>
      </c>
      <c r="DJ222" s="71" t="str">
        <f t="shared" si="3497"/>
        <v/>
      </c>
      <c r="DK222" s="71" t="str">
        <f t="shared" si="3497"/>
        <v/>
      </c>
      <c r="DL222" s="71" t="str">
        <f t="shared" si="3498"/>
        <v/>
      </c>
      <c r="DM222" s="71" t="str">
        <f t="shared" si="3498"/>
        <v/>
      </c>
      <c r="DN222" s="71" t="str">
        <f t="shared" si="3498"/>
        <v/>
      </c>
      <c r="DO222" s="71" t="str">
        <f t="shared" si="3498"/>
        <v/>
      </c>
      <c r="DP222" s="71" t="str">
        <f t="shared" si="3498"/>
        <v/>
      </c>
      <c r="DQ222" s="71" t="str">
        <f t="shared" si="3498"/>
        <v/>
      </c>
      <c r="DR222" s="71" t="str">
        <f t="shared" si="3498"/>
        <v/>
      </c>
      <c r="DS222" s="71" t="str">
        <f t="shared" si="3498"/>
        <v/>
      </c>
      <c r="DT222" s="71" t="str">
        <f t="shared" si="3498"/>
        <v/>
      </c>
      <c r="DU222" s="71" t="str">
        <f t="shared" si="3498"/>
        <v/>
      </c>
      <c r="DV222" s="71" t="str">
        <f t="shared" si="3499"/>
        <v/>
      </c>
      <c r="DW222" s="71" t="str">
        <f t="shared" si="3499"/>
        <v/>
      </c>
      <c r="DX222" s="71" t="str">
        <f t="shared" si="3499"/>
        <v/>
      </c>
      <c r="DY222" s="71" t="str">
        <f t="shared" si="3499"/>
        <v/>
      </c>
      <c r="DZ222" s="71" t="str">
        <f t="shared" si="3499"/>
        <v/>
      </c>
      <c r="EA222" s="71" t="str">
        <f t="shared" si="3499"/>
        <v/>
      </c>
      <c r="EB222" s="71" t="str">
        <f t="shared" si="3499"/>
        <v/>
      </c>
      <c r="EC222" s="71" t="str">
        <f t="shared" si="3499"/>
        <v/>
      </c>
      <c r="ED222" s="71" t="str">
        <f t="shared" si="3499"/>
        <v/>
      </c>
      <c r="EE222" s="71" t="str">
        <f t="shared" si="3499"/>
        <v/>
      </c>
      <c r="EF222" s="71" t="str">
        <f t="shared" si="3500"/>
        <v/>
      </c>
      <c r="EG222" s="71" t="str">
        <f t="shared" si="3500"/>
        <v/>
      </c>
      <c r="EH222" s="71" t="str">
        <f t="shared" si="3500"/>
        <v/>
      </c>
      <c r="EI222" s="71" t="str">
        <f t="shared" si="3500"/>
        <v/>
      </c>
      <c r="EJ222" s="71" t="str">
        <f t="shared" si="3500"/>
        <v/>
      </c>
      <c r="EK222" s="71" t="str">
        <f t="shared" si="3500"/>
        <v/>
      </c>
      <c r="EL222" s="71" t="str">
        <f t="shared" si="3500"/>
        <v/>
      </c>
      <c r="EM222" s="71" t="str">
        <f t="shared" si="3500"/>
        <v/>
      </c>
      <c r="EN222" s="71" t="str">
        <f t="shared" si="3500"/>
        <v/>
      </c>
      <c r="EO222" s="71" t="str">
        <f t="shared" si="3500"/>
        <v/>
      </c>
      <c r="EP222" s="71" t="str">
        <f t="shared" si="3501"/>
        <v/>
      </c>
      <c r="EQ222" s="71" t="str">
        <f t="shared" si="3501"/>
        <v/>
      </c>
      <c r="ER222" s="71" t="str">
        <f t="shared" si="3501"/>
        <v/>
      </c>
      <c r="ES222" s="71" t="str">
        <f t="shared" si="3501"/>
        <v/>
      </c>
      <c r="ET222" s="71" t="str">
        <f t="shared" si="3501"/>
        <v/>
      </c>
      <c r="EU222" s="71" t="str">
        <f t="shared" si="3501"/>
        <v/>
      </c>
      <c r="EV222" s="71" t="str">
        <f t="shared" si="3501"/>
        <v/>
      </c>
      <c r="EW222" s="71" t="str">
        <f t="shared" si="3501"/>
        <v/>
      </c>
      <c r="EX222" s="71" t="str">
        <f t="shared" si="3501"/>
        <v/>
      </c>
      <c r="EY222" s="71" t="str">
        <f t="shared" si="3501"/>
        <v/>
      </c>
      <c r="EZ222" s="71" t="str">
        <f t="shared" si="3502"/>
        <v/>
      </c>
      <c r="FA222" s="71" t="str">
        <f t="shared" si="3502"/>
        <v/>
      </c>
      <c r="FB222" s="71" t="str">
        <f t="shared" si="3502"/>
        <v/>
      </c>
      <c r="FC222" s="71" t="str">
        <f t="shared" si="3502"/>
        <v/>
      </c>
      <c r="FD222" s="71" t="str">
        <f t="shared" si="3502"/>
        <v/>
      </c>
      <c r="FE222" s="71" t="str">
        <f t="shared" si="3502"/>
        <v/>
      </c>
      <c r="FF222" s="71" t="str">
        <f t="shared" si="3502"/>
        <v/>
      </c>
      <c r="FG222" s="71" t="str">
        <f t="shared" si="3502"/>
        <v/>
      </c>
      <c r="FH222" s="71" t="str">
        <f t="shared" si="3502"/>
        <v/>
      </c>
      <c r="FI222" s="71" t="str">
        <f t="shared" si="3502"/>
        <v/>
      </c>
      <c r="FJ222" s="71" t="str">
        <f t="shared" si="3503"/>
        <v/>
      </c>
      <c r="FK222" s="71" t="str">
        <f t="shared" si="3503"/>
        <v/>
      </c>
      <c r="FL222" s="71" t="str">
        <f t="shared" si="3503"/>
        <v/>
      </c>
      <c r="FM222" s="71" t="str">
        <f t="shared" si="3503"/>
        <v/>
      </c>
      <c r="FN222" s="71" t="str">
        <f t="shared" si="3503"/>
        <v/>
      </c>
      <c r="FO222" s="71" t="str">
        <f t="shared" si="3503"/>
        <v/>
      </c>
      <c r="FP222" s="71" t="str">
        <f t="shared" si="3503"/>
        <v/>
      </c>
      <c r="FQ222" s="71" t="str">
        <f t="shared" si="3503"/>
        <v/>
      </c>
      <c r="FR222" s="71" t="str">
        <f t="shared" si="3503"/>
        <v/>
      </c>
      <c r="FS222" s="71" t="str">
        <f t="shared" si="3503"/>
        <v/>
      </c>
    </row>
    <row r="223" ht="15" spans="1:175">
      <c r="A223" s="80"/>
      <c r="B223" s="105" t="s">
        <v>774</v>
      </c>
      <c r="C223" s="80" t="s">
        <v>775</v>
      </c>
      <c r="T223" s="113" t="s">
        <v>493</v>
      </c>
      <c r="U223" s="89" t="s">
        <v>776</v>
      </c>
      <c r="CN223" s="69" t="str">
        <f t="shared" si="3504"/>
        <v>InitUnitState('IS07',,,,,,,,,,)</v>
      </c>
      <c r="CO223" s="69" t="str">
        <f t="shared" si="3505"/>
        <v>InitUnitNormal('IS07',,,,,,,,,,)</v>
      </c>
      <c r="CP223" s="69" t="str">
        <f t="shared" si="3506"/>
        <v>InitUnitMagic('IS07',,,,,,,,,,)</v>
      </c>
      <c r="CQ223" s="69" t="str">
        <f t="shared" si="3507"/>
        <v>InitUnitAdd('IS07',,,,,,,,,,)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InitEquipData('IS07',,"",,,,,'','','','','','',"ReplaceableTextures\\CommandButtons\\BTN002.blp")</v>
      </c>
      <c r="CU223" s="99" t="str">
        <f t="shared" si="3508"/>
        <v>|n</v>
      </c>
      <c r="CV223" s="70" t="str">
        <f t="shared" si="3509"/>
        <v>较高概率获得D级技能，高概率获得|Cff00ff7fC级技能|r，极低概率获得|Cff2693ffB级技能|r。</v>
      </c>
      <c r="CW223" s="60"/>
      <c r="CX223" s="60"/>
      <c r="CY223" s="60"/>
      <c r="CZ223" s="60"/>
      <c r="DA223" s="60"/>
      <c r="DB223" s="71" t="str">
        <f t="shared" si="3497"/>
        <v/>
      </c>
      <c r="DC223" s="71" t="str">
        <f t="shared" si="3497"/>
        <v/>
      </c>
      <c r="DD223" s="71" t="str">
        <f t="shared" si="3497"/>
        <v/>
      </c>
      <c r="DE223" s="71" t="str">
        <f t="shared" si="3497"/>
        <v/>
      </c>
      <c r="DF223" s="71" t="str">
        <f t="shared" si="3497"/>
        <v/>
      </c>
      <c r="DG223" s="71" t="str">
        <f t="shared" si="3497"/>
        <v/>
      </c>
      <c r="DH223" s="71" t="str">
        <f t="shared" si="3497"/>
        <v/>
      </c>
      <c r="DI223" s="71" t="str">
        <f t="shared" si="3497"/>
        <v/>
      </c>
      <c r="DJ223" s="71" t="str">
        <f t="shared" si="3497"/>
        <v/>
      </c>
      <c r="DK223" s="71" t="str">
        <f t="shared" si="3497"/>
        <v/>
      </c>
      <c r="DL223" s="71" t="str">
        <f t="shared" si="3498"/>
        <v/>
      </c>
      <c r="DM223" s="71" t="str">
        <f t="shared" si="3498"/>
        <v/>
      </c>
      <c r="DN223" s="71" t="str">
        <f t="shared" si="3498"/>
        <v/>
      </c>
      <c r="DO223" s="71" t="str">
        <f t="shared" si="3498"/>
        <v/>
      </c>
      <c r="DP223" s="71" t="str">
        <f t="shared" si="3498"/>
        <v/>
      </c>
      <c r="DQ223" s="71" t="str">
        <f t="shared" si="3498"/>
        <v/>
      </c>
      <c r="DR223" s="71" t="str">
        <f t="shared" si="3498"/>
        <v/>
      </c>
      <c r="DS223" s="71" t="str">
        <f t="shared" si="3498"/>
        <v/>
      </c>
      <c r="DT223" s="71" t="str">
        <f t="shared" si="3498"/>
        <v/>
      </c>
      <c r="DU223" s="71" t="str">
        <f t="shared" si="3498"/>
        <v/>
      </c>
      <c r="DV223" s="71" t="str">
        <f t="shared" si="3499"/>
        <v/>
      </c>
      <c r="DW223" s="71" t="str">
        <f t="shared" si="3499"/>
        <v/>
      </c>
      <c r="DX223" s="71" t="str">
        <f t="shared" si="3499"/>
        <v/>
      </c>
      <c r="DY223" s="71" t="str">
        <f t="shared" si="3499"/>
        <v/>
      </c>
      <c r="DZ223" s="71" t="str">
        <f t="shared" si="3499"/>
        <v/>
      </c>
      <c r="EA223" s="71" t="str">
        <f t="shared" si="3499"/>
        <v/>
      </c>
      <c r="EB223" s="71" t="str">
        <f t="shared" si="3499"/>
        <v/>
      </c>
      <c r="EC223" s="71" t="str">
        <f t="shared" si="3499"/>
        <v/>
      </c>
      <c r="ED223" s="71" t="str">
        <f t="shared" si="3499"/>
        <v/>
      </c>
      <c r="EE223" s="71" t="str">
        <f t="shared" si="3499"/>
        <v/>
      </c>
      <c r="EF223" s="71" t="str">
        <f t="shared" si="3500"/>
        <v/>
      </c>
      <c r="EG223" s="71" t="str">
        <f t="shared" si="3500"/>
        <v/>
      </c>
      <c r="EH223" s="71" t="str">
        <f t="shared" si="3500"/>
        <v/>
      </c>
      <c r="EI223" s="71" t="str">
        <f t="shared" si="3500"/>
        <v/>
      </c>
      <c r="EJ223" s="71" t="str">
        <f t="shared" si="3500"/>
        <v/>
      </c>
      <c r="EK223" s="71" t="str">
        <f t="shared" si="3500"/>
        <v/>
      </c>
      <c r="EL223" s="71" t="str">
        <f t="shared" si="3500"/>
        <v/>
      </c>
      <c r="EM223" s="71" t="str">
        <f t="shared" si="3500"/>
        <v/>
      </c>
      <c r="EN223" s="71" t="str">
        <f t="shared" si="3500"/>
        <v/>
      </c>
      <c r="EO223" s="71" t="str">
        <f t="shared" si="3500"/>
        <v/>
      </c>
      <c r="EP223" s="71" t="str">
        <f t="shared" si="3501"/>
        <v/>
      </c>
      <c r="EQ223" s="71" t="str">
        <f t="shared" si="3501"/>
        <v/>
      </c>
      <c r="ER223" s="71" t="str">
        <f t="shared" si="3501"/>
        <v/>
      </c>
      <c r="ES223" s="71" t="str">
        <f t="shared" si="3501"/>
        <v/>
      </c>
      <c r="ET223" s="71" t="str">
        <f t="shared" si="3501"/>
        <v/>
      </c>
      <c r="EU223" s="71" t="str">
        <f t="shared" si="3501"/>
        <v/>
      </c>
      <c r="EV223" s="71" t="str">
        <f t="shared" si="3501"/>
        <v/>
      </c>
      <c r="EW223" s="71" t="str">
        <f t="shared" si="3501"/>
        <v/>
      </c>
      <c r="EX223" s="71" t="str">
        <f t="shared" si="3501"/>
        <v/>
      </c>
      <c r="EY223" s="71" t="str">
        <f t="shared" si="3501"/>
        <v/>
      </c>
      <c r="EZ223" s="71" t="str">
        <f t="shared" si="3502"/>
        <v/>
      </c>
      <c r="FA223" s="71" t="str">
        <f t="shared" si="3502"/>
        <v/>
      </c>
      <c r="FB223" s="71" t="str">
        <f t="shared" si="3502"/>
        <v/>
      </c>
      <c r="FC223" s="71" t="str">
        <f t="shared" si="3502"/>
        <v/>
      </c>
      <c r="FD223" s="71" t="str">
        <f t="shared" si="3502"/>
        <v/>
      </c>
      <c r="FE223" s="71" t="str">
        <f t="shared" si="3502"/>
        <v/>
      </c>
      <c r="FF223" s="71" t="str">
        <f t="shared" si="3502"/>
        <v/>
      </c>
      <c r="FG223" s="71" t="str">
        <f t="shared" si="3502"/>
        <v/>
      </c>
      <c r="FH223" s="71" t="str">
        <f t="shared" si="3502"/>
        <v/>
      </c>
      <c r="FI223" s="71" t="str">
        <f t="shared" si="3502"/>
        <v/>
      </c>
      <c r="FJ223" s="71" t="str">
        <f t="shared" si="3503"/>
        <v/>
      </c>
      <c r="FK223" s="71" t="str">
        <f t="shared" si="3503"/>
        <v/>
      </c>
      <c r="FL223" s="71" t="str">
        <f t="shared" si="3503"/>
        <v/>
      </c>
      <c r="FM223" s="71" t="str">
        <f t="shared" si="3503"/>
        <v/>
      </c>
      <c r="FN223" s="71" t="str">
        <f t="shared" si="3503"/>
        <v/>
      </c>
      <c r="FO223" s="71" t="str">
        <f t="shared" si="3503"/>
        <v/>
      </c>
      <c r="FP223" s="71" t="str">
        <f t="shared" si="3503"/>
        <v/>
      </c>
      <c r="FQ223" s="71" t="str">
        <f t="shared" si="3503"/>
        <v/>
      </c>
      <c r="FR223" s="71" t="str">
        <f t="shared" si="3503"/>
        <v/>
      </c>
      <c r="FS223" s="71" t="str">
        <f t="shared" si="3503"/>
        <v/>
      </c>
    </row>
    <row r="224" ht="15" spans="1:175">
      <c r="A224" s="80"/>
      <c r="B224" s="105" t="s">
        <v>777</v>
      </c>
      <c r="C224" s="80" t="s">
        <v>778</v>
      </c>
      <c r="T224" s="113" t="s">
        <v>481</v>
      </c>
      <c r="U224" s="89" t="s">
        <v>779</v>
      </c>
      <c r="CN224" s="69" t="str">
        <f t="shared" si="3504"/>
        <v>InitUnitState('IS08',,,,,,,,,,)</v>
      </c>
      <c r="CO224" s="69" t="str">
        <f t="shared" si="3505"/>
        <v>InitUnitNormal('IS08',,,,,,,,,,)</v>
      </c>
      <c r="CP224" s="69" t="str">
        <f t="shared" si="3506"/>
        <v>InitUnitMagic('IS08',,,,,,,,,,)</v>
      </c>
      <c r="CQ224" s="69" t="str">
        <f t="shared" si="3507"/>
        <v>InitUnitAdd('IS08',,,,,,,,,,)</v>
      </c>
      <c r="CR224" s="69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9" t="str">
        <f t="shared" si="3508"/>
        <v>|n</v>
      </c>
      <c r="CV224" s="70" t="str">
        <f t="shared" si="3509"/>
        <v>低概率获得C级技能，高概率获得|Cff00ff7fB级技能|r，低概率获得|Cff2693ffA级技能|r。</v>
      </c>
      <c r="CW224" s="60"/>
      <c r="CX224" s="60"/>
      <c r="CY224" s="60"/>
      <c r="CZ224" s="60"/>
      <c r="DA224" s="60"/>
      <c r="DB224" s="71" t="str">
        <f t="shared" ref="DB224" si="3510">IF(V224="","","|n"&amp;DB$2&amp;"+"&amp;V224&amp;DB$1)</f>
        <v/>
      </c>
      <c r="DC224" s="71" t="str">
        <f t="shared" ref="DC224" si="3511">IF(W224="","","|n"&amp;DC$2&amp;"+"&amp;W224&amp;DC$1)</f>
        <v/>
      </c>
      <c r="DD224" s="71" t="str">
        <f t="shared" ref="DD224" si="3512">IF(X224="","","|n"&amp;DD$2&amp;"+"&amp;X224&amp;DD$1)</f>
        <v/>
      </c>
      <c r="DE224" s="71" t="str">
        <f t="shared" ref="DE224" si="3513">IF(Y224="","","|n"&amp;DE$2&amp;"+"&amp;Y224&amp;DE$1)</f>
        <v/>
      </c>
      <c r="DF224" s="71" t="str">
        <f t="shared" ref="DF224" si="3514">IF(Z224="","","|n"&amp;DF$2&amp;"+"&amp;Z224&amp;DF$1)</f>
        <v/>
      </c>
      <c r="DG224" s="71" t="str">
        <f t="shared" ref="DG224" si="3515">IF(AA224="","","|n"&amp;DG$2&amp;"+"&amp;AA224&amp;DG$1)</f>
        <v/>
      </c>
      <c r="DH224" s="71" t="str">
        <f t="shared" ref="DH224" si="3516">IF(AB224="","","|n"&amp;DH$2&amp;"+"&amp;AB224&amp;DH$1)</f>
        <v/>
      </c>
      <c r="DI224" s="71" t="str">
        <f t="shared" ref="DI224" si="3517">IF(AC224="","","|n"&amp;DI$2&amp;"+"&amp;AC224&amp;DI$1)</f>
        <v/>
      </c>
      <c r="DJ224" s="71" t="str">
        <f t="shared" ref="DJ224" si="3518">IF(AD224="","","|n"&amp;DJ$2&amp;"+"&amp;AD224&amp;DJ$1)</f>
        <v/>
      </c>
      <c r="DK224" s="71" t="str">
        <f t="shared" ref="DK224" si="3519">IF(AE224="","","|n"&amp;DK$2&amp;"+"&amp;AE224&amp;DK$1)</f>
        <v/>
      </c>
      <c r="DL224" s="71" t="str">
        <f t="shared" ref="DL224" si="3520">IF(AF224="","","|n"&amp;DL$2&amp;"+"&amp;AF224&amp;DL$1)</f>
        <v/>
      </c>
      <c r="DM224" s="71" t="str">
        <f t="shared" ref="DM224" si="3521">IF(AG224="","","|n"&amp;DM$2&amp;"+"&amp;AG224&amp;DM$1)</f>
        <v/>
      </c>
      <c r="DN224" s="71" t="str">
        <f t="shared" ref="DN224" si="3522">IF(AH224="","","|n"&amp;DN$2&amp;"+"&amp;AH224&amp;DN$1)</f>
        <v/>
      </c>
      <c r="DO224" s="71" t="str">
        <f t="shared" ref="DO224" si="3523">IF(AI224="","","|n"&amp;DO$2&amp;"+"&amp;AI224&amp;DO$1)</f>
        <v/>
      </c>
      <c r="DP224" s="71" t="str">
        <f t="shared" ref="DP224" si="3524">IF(AJ224="","","|n"&amp;DP$2&amp;"+"&amp;AJ224&amp;DP$1)</f>
        <v/>
      </c>
      <c r="DQ224" s="71" t="str">
        <f t="shared" ref="DQ224" si="3525">IF(AK224="","","|n"&amp;DQ$2&amp;"+"&amp;AK224&amp;DQ$1)</f>
        <v/>
      </c>
      <c r="DR224" s="71" t="str">
        <f t="shared" ref="DR224" si="3526">IF(AL224="","","|n"&amp;DR$2&amp;"+"&amp;AL224&amp;DR$1)</f>
        <v/>
      </c>
      <c r="DS224" s="71" t="str">
        <f t="shared" ref="DS224" si="3527">IF(AM224="","","|n"&amp;DS$2&amp;"+"&amp;AM224&amp;DS$1)</f>
        <v/>
      </c>
      <c r="DT224" s="71" t="str">
        <f t="shared" ref="DT224" si="3528">IF(AN224="","","|n"&amp;DT$2&amp;"+"&amp;AN224&amp;DT$1)</f>
        <v/>
      </c>
      <c r="DU224" s="71" t="str">
        <f t="shared" ref="DU224" si="3529">IF(AO224="","","|n"&amp;DU$2&amp;"+"&amp;AO224&amp;DU$1)</f>
        <v/>
      </c>
      <c r="DV224" s="71" t="str">
        <f t="shared" ref="DV224" si="3530">IF(AP224="","","|n"&amp;DV$2&amp;"+"&amp;AP224&amp;DV$1)</f>
        <v/>
      </c>
      <c r="DW224" s="71" t="str">
        <f t="shared" ref="DW224" si="3531">IF(AQ224="","","|n"&amp;DW$2&amp;"+"&amp;AQ224&amp;DW$1)</f>
        <v/>
      </c>
      <c r="DX224" s="71" t="str">
        <f t="shared" ref="DX224" si="3532">IF(AR224="","","|n"&amp;DX$2&amp;"+"&amp;AR224&amp;DX$1)</f>
        <v/>
      </c>
      <c r="DY224" s="71" t="str">
        <f t="shared" ref="DY224" si="3533">IF(AS224="","","|n"&amp;DY$2&amp;"+"&amp;AS224&amp;DY$1)</f>
        <v/>
      </c>
      <c r="DZ224" s="71" t="str">
        <f t="shared" ref="DZ224" si="3534">IF(AT224="","","|n"&amp;DZ$2&amp;"+"&amp;AT224&amp;DZ$1)</f>
        <v/>
      </c>
      <c r="EA224" s="71" t="str">
        <f t="shared" ref="EA224" si="3535">IF(AU224="","","|n"&amp;EA$2&amp;"+"&amp;AU224&amp;EA$1)</f>
        <v/>
      </c>
      <c r="EB224" s="71" t="str">
        <f t="shared" ref="EB224" si="3536">IF(AV224="","","|n"&amp;EB$2&amp;"+"&amp;AV224&amp;EB$1)</f>
        <v/>
      </c>
      <c r="EC224" s="71" t="str">
        <f t="shared" ref="EC224" si="3537">IF(AW224="","","|n"&amp;EC$2&amp;"+"&amp;AW224&amp;EC$1)</f>
        <v/>
      </c>
      <c r="ED224" s="71" t="str">
        <f t="shared" ref="ED224" si="3538">IF(AX224="","","|n"&amp;ED$2&amp;"+"&amp;AX224&amp;ED$1)</f>
        <v/>
      </c>
      <c r="EE224" s="71" t="str">
        <f t="shared" ref="EE224" si="3539">IF(AY224="","","|n"&amp;EE$2&amp;"+"&amp;AY224&amp;EE$1)</f>
        <v/>
      </c>
      <c r="EF224" s="71" t="str">
        <f t="shared" ref="EF224" si="3540">IF(AZ224="","","|n"&amp;EF$2&amp;"+"&amp;AZ224&amp;EF$1)</f>
        <v/>
      </c>
      <c r="EG224" s="71" t="str">
        <f t="shared" ref="EG224" si="3541">IF(BA224="","","|n"&amp;EG$2&amp;"+"&amp;BA224&amp;EG$1)</f>
        <v/>
      </c>
      <c r="EH224" s="71" t="str">
        <f t="shared" ref="EH224" si="3542">IF(BB224="","","|n"&amp;EH$2&amp;"+"&amp;BB224&amp;EH$1)</f>
        <v/>
      </c>
      <c r="EI224" s="71" t="str">
        <f t="shared" ref="EI224" si="3543">IF(BC224="","","|n"&amp;EI$2&amp;"+"&amp;BC224&amp;EI$1)</f>
        <v/>
      </c>
      <c r="EJ224" s="71" t="str">
        <f t="shared" ref="EJ224" si="3544">IF(BD224="","","|n"&amp;EJ$2&amp;"+"&amp;BD224&amp;EJ$1)</f>
        <v/>
      </c>
      <c r="EK224" s="71" t="str">
        <f t="shared" ref="EK224" si="3545">IF(BE224="","","|n"&amp;EK$2&amp;"+"&amp;BE224&amp;EK$1)</f>
        <v/>
      </c>
      <c r="EL224" s="71" t="str">
        <f t="shared" ref="EL224" si="3546">IF(BF224="","","|n"&amp;EL$2&amp;"+"&amp;BF224&amp;EL$1)</f>
        <v/>
      </c>
      <c r="EM224" s="71" t="str">
        <f t="shared" ref="EM224" si="3547">IF(BG224="","","|n"&amp;EM$2&amp;"+"&amp;BG224&amp;EM$1)</f>
        <v/>
      </c>
      <c r="EN224" s="71" t="str">
        <f t="shared" ref="EN224" si="3548">IF(BH224="","","|n"&amp;EN$2&amp;"+"&amp;BH224&amp;EN$1)</f>
        <v/>
      </c>
      <c r="EO224" s="71" t="str">
        <f t="shared" ref="EO224" si="3549">IF(BI224="","","|n"&amp;EO$2&amp;"+"&amp;BI224&amp;EO$1)</f>
        <v/>
      </c>
      <c r="EP224" s="71" t="str">
        <f t="shared" ref="EP224" si="3550">IF(BJ224="","","|n"&amp;EP$2&amp;"+"&amp;BJ224&amp;EP$1)</f>
        <v/>
      </c>
      <c r="EQ224" s="71" t="str">
        <f t="shared" ref="EQ224" si="3551">IF(BK224="","","|n"&amp;EQ$2&amp;"+"&amp;BK224&amp;EQ$1)</f>
        <v/>
      </c>
      <c r="ER224" s="71" t="str">
        <f t="shared" ref="ER224" si="3552">IF(BL224="","","|n"&amp;ER$2&amp;"+"&amp;BL224&amp;ER$1)</f>
        <v/>
      </c>
      <c r="ES224" s="71" t="str">
        <f t="shared" ref="ES224" si="3553">IF(BM224="","","|n"&amp;ES$2&amp;"+"&amp;BM224&amp;ES$1)</f>
        <v/>
      </c>
      <c r="ET224" s="71" t="str">
        <f t="shared" ref="ET224" si="3554">IF(BN224="","","|n"&amp;ET$2&amp;"+"&amp;BN224&amp;ET$1)</f>
        <v/>
      </c>
      <c r="EU224" s="71" t="str">
        <f t="shared" ref="EU224" si="3555">IF(BO224="","","|n"&amp;EU$2&amp;"+"&amp;BO224&amp;EU$1)</f>
        <v/>
      </c>
      <c r="EV224" s="71" t="str">
        <f t="shared" ref="EV224" si="3556">IF(BP224="","","|n"&amp;EV$2&amp;"+"&amp;BP224&amp;EV$1)</f>
        <v/>
      </c>
      <c r="EW224" s="71" t="str">
        <f t="shared" ref="EW224" si="3557">IF(BQ224="","","|n"&amp;EW$2&amp;"+"&amp;BQ224&amp;EW$1)</f>
        <v/>
      </c>
      <c r="EX224" s="71" t="str">
        <f t="shared" ref="EX224" si="3558">IF(BR224="","","|n"&amp;EX$2&amp;"+"&amp;BR224&amp;EX$1)</f>
        <v/>
      </c>
      <c r="EY224" s="71" t="str">
        <f t="shared" ref="EY224" si="3559">IF(BS224="","","|n"&amp;EY$2&amp;"+"&amp;BS224&amp;EY$1)</f>
        <v/>
      </c>
      <c r="EZ224" s="71" t="str">
        <f t="shared" ref="EZ224" si="3560">IF(BT224="","","|n"&amp;EZ$2&amp;"+"&amp;BT224&amp;EZ$1)</f>
        <v/>
      </c>
      <c r="FA224" s="71" t="str">
        <f t="shared" ref="FA224" si="3561">IF(BU224="","","|n"&amp;FA$2&amp;"+"&amp;BU224&amp;FA$1)</f>
        <v/>
      </c>
      <c r="FB224" s="71" t="str">
        <f t="shared" ref="FB224" si="3562">IF(BV224="","","|n"&amp;FB$2&amp;"+"&amp;BV224&amp;FB$1)</f>
        <v/>
      </c>
      <c r="FC224" s="71" t="str">
        <f t="shared" ref="FC224" si="3563">IF(BW224="","","|n"&amp;FC$2&amp;"+"&amp;BW224&amp;FC$1)</f>
        <v/>
      </c>
      <c r="FD224" s="71" t="str">
        <f t="shared" ref="FD224" si="3564">IF(BX224="","","|n"&amp;FD$2&amp;"+"&amp;BX224&amp;FD$1)</f>
        <v/>
      </c>
      <c r="FE224" s="71" t="str">
        <f t="shared" ref="FE224" si="3565">IF(BY224="","","|n"&amp;FE$2&amp;"+"&amp;BY224&amp;FE$1)</f>
        <v/>
      </c>
      <c r="FF224" s="71" t="str">
        <f t="shared" ref="FF224" si="3566">IF(BZ224="","","|n"&amp;FF$2&amp;"+"&amp;BZ224&amp;FF$1)</f>
        <v/>
      </c>
      <c r="FG224" s="71" t="str">
        <f t="shared" ref="FG224" si="3567">IF(CA224="","","|n"&amp;FG$2&amp;"+"&amp;CA224&amp;FG$1)</f>
        <v/>
      </c>
      <c r="FH224" s="71" t="str">
        <f t="shared" ref="FH224" si="3568">IF(CB224="","","|n"&amp;FH$2&amp;"+"&amp;CB224&amp;FH$1)</f>
        <v/>
      </c>
      <c r="FI224" s="71" t="str">
        <f t="shared" ref="FI224" si="3569">IF(CC224="","","|n"&amp;FI$2&amp;"+"&amp;CC224&amp;FI$1)</f>
        <v/>
      </c>
      <c r="FJ224" s="71" t="str">
        <f t="shared" ref="FJ224" si="3570">IF(CD224="","","|n"&amp;FJ$2&amp;"+"&amp;CD224&amp;FJ$1)</f>
        <v/>
      </c>
      <c r="FK224" s="71" t="str">
        <f t="shared" ref="FK224" si="3571">IF(CE224="","","|n"&amp;FK$2&amp;"+"&amp;CE224&amp;FK$1)</f>
        <v/>
      </c>
      <c r="FL224" s="71" t="str">
        <f t="shared" ref="FL224" si="3572">IF(CF224="","","|n"&amp;FL$2&amp;"+"&amp;CF224&amp;FL$1)</f>
        <v/>
      </c>
      <c r="FM224" s="71" t="str">
        <f t="shared" ref="FM224" si="3573">IF(CG224="","","|n"&amp;FM$2&amp;"+"&amp;CG224&amp;FM$1)</f>
        <v/>
      </c>
      <c r="FN224" s="71" t="str">
        <f t="shared" ref="FN224" si="3574">IF(CH224="","","|n"&amp;FN$2&amp;"+"&amp;CH224&amp;FN$1)</f>
        <v/>
      </c>
      <c r="FO224" s="71" t="str">
        <f t="shared" ref="FO224" si="3575">IF(CI224="","","|n"&amp;FO$2&amp;"+"&amp;CI224&amp;FO$1)</f>
        <v/>
      </c>
      <c r="FP224" s="71" t="str">
        <f t="shared" ref="FP224" si="3576">IF(CJ224="","","|n"&amp;FP$2&amp;"+"&amp;CJ224&amp;FP$1)</f>
        <v/>
      </c>
      <c r="FQ224" s="71" t="str">
        <f t="shared" ref="FQ224" si="3577">IF(CK224="","","|n"&amp;FQ$2&amp;"+"&amp;CK224&amp;FQ$1)</f>
        <v/>
      </c>
      <c r="FR224" s="71" t="str">
        <f t="shared" ref="FR224" si="3578">IF(CL224="","","|n"&amp;FR$2&amp;"+"&amp;CL224&amp;FR$1)</f>
        <v/>
      </c>
      <c r="FS224" s="71" t="str">
        <f t="shared" ref="FS224" si="3579">IF(CM224="","","|n"&amp;FS$2&amp;"+"&amp;CM224&amp;FS$1)</f>
        <v/>
      </c>
    </row>
    <row r="225" ht="15" spans="1:175">
      <c r="A225" s="80"/>
      <c r="B225" s="105" t="s">
        <v>780</v>
      </c>
      <c r="C225" s="80" t="s">
        <v>781</v>
      </c>
      <c r="T225" s="124" t="s">
        <v>782</v>
      </c>
      <c r="U225" s="89" t="s">
        <v>783</v>
      </c>
      <c r="CN225" s="69" t="str">
        <f t="shared" si="3484"/>
        <v>InitUnitState('IS21',,,,,,,,,,)</v>
      </c>
      <c r="CO225" s="69" t="str">
        <f t="shared" si="3485"/>
        <v>InitUnitNormal('IS21',,,,,,,,,,)</v>
      </c>
      <c r="CP225" s="69" t="str">
        <f t="shared" si="3486"/>
        <v>InitUnitMagic('IS21',,,,,,,,,,)</v>
      </c>
      <c r="CQ225" s="69" t="str">
        <f t="shared" si="3487"/>
        <v>InitUnitAdd('IS21',,,,,,,,,,)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InitEquipData('IS21',,"",,,,,'','','','','','',"ReplaceableTextures\\CommandButtons\\BTNIN02.blp")</v>
      </c>
      <c r="CU225" s="99" t="str">
        <f t="shared" si="3488"/>
        <v>|n</v>
      </c>
      <c r="CV225" s="70" t="str">
        <f t="shared" si="3489"/>
        <v>为|Cffffd24dQ技能|r附魔一条|Cffffd24d随机属性|r。</v>
      </c>
      <c r="CW225" s="60"/>
      <c r="CX225" s="60"/>
      <c r="CY225" s="60"/>
      <c r="CZ225" s="60"/>
      <c r="DA225" s="60"/>
      <c r="DB225" s="71" t="str">
        <f t="shared" si="3497"/>
        <v/>
      </c>
      <c r="DC225" s="71" t="str">
        <f t="shared" si="3497"/>
        <v/>
      </c>
      <c r="DD225" s="71" t="str">
        <f t="shared" si="3497"/>
        <v/>
      </c>
      <c r="DE225" s="71" t="str">
        <f t="shared" si="3497"/>
        <v/>
      </c>
      <c r="DF225" s="71" t="str">
        <f t="shared" si="3497"/>
        <v/>
      </c>
      <c r="DG225" s="71" t="str">
        <f t="shared" si="3497"/>
        <v/>
      </c>
      <c r="DH225" s="71" t="str">
        <f t="shared" si="3497"/>
        <v/>
      </c>
      <c r="DI225" s="71" t="str">
        <f t="shared" si="3497"/>
        <v/>
      </c>
      <c r="DJ225" s="71" t="str">
        <f t="shared" si="3497"/>
        <v/>
      </c>
      <c r="DK225" s="71" t="str">
        <f t="shared" si="3497"/>
        <v/>
      </c>
      <c r="DL225" s="71" t="str">
        <f t="shared" si="3498"/>
        <v/>
      </c>
      <c r="DM225" s="71" t="str">
        <f t="shared" si="3498"/>
        <v/>
      </c>
      <c r="DN225" s="71" t="str">
        <f t="shared" si="3498"/>
        <v/>
      </c>
      <c r="DO225" s="71" t="str">
        <f t="shared" si="3498"/>
        <v/>
      </c>
      <c r="DP225" s="71" t="str">
        <f t="shared" si="3498"/>
        <v/>
      </c>
      <c r="DQ225" s="71" t="str">
        <f t="shared" si="3498"/>
        <v/>
      </c>
      <c r="DR225" s="71" t="str">
        <f t="shared" si="3498"/>
        <v/>
      </c>
      <c r="DS225" s="71" t="str">
        <f t="shared" si="3498"/>
        <v/>
      </c>
      <c r="DT225" s="71" t="str">
        <f t="shared" si="3498"/>
        <v/>
      </c>
      <c r="DU225" s="71" t="str">
        <f t="shared" si="3498"/>
        <v/>
      </c>
      <c r="DV225" s="71" t="str">
        <f t="shared" si="3499"/>
        <v/>
      </c>
      <c r="DW225" s="71" t="str">
        <f t="shared" si="3499"/>
        <v/>
      </c>
      <c r="DX225" s="71" t="str">
        <f t="shared" si="3499"/>
        <v/>
      </c>
      <c r="DY225" s="71" t="str">
        <f t="shared" si="3499"/>
        <v/>
      </c>
      <c r="DZ225" s="71" t="str">
        <f t="shared" si="3499"/>
        <v/>
      </c>
      <c r="EA225" s="71" t="str">
        <f t="shared" si="3499"/>
        <v/>
      </c>
      <c r="EB225" s="71" t="str">
        <f t="shared" si="3499"/>
        <v/>
      </c>
      <c r="EC225" s="71" t="str">
        <f t="shared" si="3499"/>
        <v/>
      </c>
      <c r="ED225" s="71" t="str">
        <f t="shared" si="3499"/>
        <v/>
      </c>
      <c r="EE225" s="71" t="str">
        <f t="shared" si="3499"/>
        <v/>
      </c>
      <c r="EF225" s="71" t="str">
        <f t="shared" si="3500"/>
        <v/>
      </c>
      <c r="EG225" s="71" t="str">
        <f t="shared" si="3500"/>
        <v/>
      </c>
      <c r="EH225" s="71" t="str">
        <f t="shared" si="3500"/>
        <v/>
      </c>
      <c r="EI225" s="71" t="str">
        <f t="shared" si="3500"/>
        <v/>
      </c>
      <c r="EJ225" s="71" t="str">
        <f t="shared" si="3500"/>
        <v/>
      </c>
      <c r="EK225" s="71" t="str">
        <f t="shared" si="3500"/>
        <v/>
      </c>
      <c r="EL225" s="71" t="str">
        <f t="shared" si="3500"/>
        <v/>
      </c>
      <c r="EM225" s="71" t="str">
        <f t="shared" si="3500"/>
        <v/>
      </c>
      <c r="EN225" s="71" t="str">
        <f t="shared" si="3500"/>
        <v/>
      </c>
      <c r="EO225" s="71" t="str">
        <f t="shared" si="3500"/>
        <v/>
      </c>
      <c r="EP225" s="71" t="str">
        <f t="shared" si="3501"/>
        <v/>
      </c>
      <c r="EQ225" s="71" t="str">
        <f t="shared" si="3501"/>
        <v/>
      </c>
      <c r="ER225" s="71" t="str">
        <f t="shared" si="3501"/>
        <v/>
      </c>
      <c r="ES225" s="71" t="str">
        <f t="shared" si="3501"/>
        <v/>
      </c>
      <c r="ET225" s="71" t="str">
        <f t="shared" si="3501"/>
        <v/>
      </c>
      <c r="EU225" s="71" t="str">
        <f t="shared" si="3501"/>
        <v/>
      </c>
      <c r="EV225" s="71" t="str">
        <f t="shared" si="3501"/>
        <v/>
      </c>
      <c r="EW225" s="71" t="str">
        <f t="shared" si="3501"/>
        <v/>
      </c>
      <c r="EX225" s="71" t="str">
        <f t="shared" si="3501"/>
        <v/>
      </c>
      <c r="EY225" s="71" t="str">
        <f t="shared" si="3501"/>
        <v/>
      </c>
      <c r="EZ225" s="71" t="str">
        <f t="shared" si="3502"/>
        <v/>
      </c>
      <c r="FA225" s="71" t="str">
        <f t="shared" si="3502"/>
        <v/>
      </c>
      <c r="FB225" s="71" t="str">
        <f t="shared" si="3502"/>
        <v/>
      </c>
      <c r="FC225" s="71" t="str">
        <f t="shared" si="3502"/>
        <v/>
      </c>
      <c r="FD225" s="71" t="str">
        <f t="shared" si="3502"/>
        <v/>
      </c>
      <c r="FE225" s="71" t="str">
        <f t="shared" si="3502"/>
        <v/>
      </c>
      <c r="FF225" s="71" t="str">
        <f t="shared" si="3502"/>
        <v/>
      </c>
      <c r="FG225" s="71" t="str">
        <f t="shared" si="3502"/>
        <v/>
      </c>
      <c r="FH225" s="71" t="str">
        <f t="shared" si="3502"/>
        <v/>
      </c>
      <c r="FI225" s="71" t="str">
        <f t="shared" si="3502"/>
        <v/>
      </c>
      <c r="FJ225" s="71" t="str">
        <f t="shared" si="3503"/>
        <v/>
      </c>
      <c r="FK225" s="71" t="str">
        <f t="shared" si="3503"/>
        <v/>
      </c>
      <c r="FL225" s="71" t="str">
        <f t="shared" si="3503"/>
        <v/>
      </c>
      <c r="FM225" s="71" t="str">
        <f t="shared" si="3503"/>
        <v/>
      </c>
      <c r="FN225" s="71" t="str">
        <f t="shared" si="3503"/>
        <v/>
      </c>
      <c r="FO225" s="71" t="str">
        <f t="shared" si="3503"/>
        <v/>
      </c>
      <c r="FP225" s="71" t="str">
        <f t="shared" si="3503"/>
        <v/>
      </c>
      <c r="FQ225" s="71" t="str">
        <f t="shared" si="3503"/>
        <v/>
      </c>
      <c r="FR225" s="71" t="str">
        <f t="shared" si="3503"/>
        <v/>
      </c>
      <c r="FS225" s="71" t="str">
        <f t="shared" si="3503"/>
        <v/>
      </c>
    </row>
    <row r="226" ht="15" spans="1:175">
      <c r="A226" s="80"/>
      <c r="B226" s="105" t="s">
        <v>784</v>
      </c>
      <c r="C226" s="80" t="s">
        <v>785</v>
      </c>
      <c r="T226" s="124" t="s">
        <v>786</v>
      </c>
      <c r="U226" s="89" t="s">
        <v>787</v>
      </c>
      <c r="CN226" s="69" t="str">
        <f t="shared" si="3484"/>
        <v>InitUnitState('IS22',,,,,,,,,,)</v>
      </c>
      <c r="CO226" s="69" t="str">
        <f t="shared" si="3485"/>
        <v>InitUnitNormal('IS22',,,,,,,,,,)</v>
      </c>
      <c r="CP226" s="69" t="str">
        <f t="shared" si="3486"/>
        <v>InitUnitMagic('IS22',,,,,,,,,,)</v>
      </c>
      <c r="CQ226" s="69" t="str">
        <f t="shared" si="3487"/>
        <v>InitUnitAdd('IS22',,,,,,,,,,)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InitEquipData('IS22',,"",,,,,'','','','','','',"ReplaceableTextures\\CommandButtons\\BTNIN03.blp")</v>
      </c>
      <c r="CU226" s="99" t="str">
        <f t="shared" si="3488"/>
        <v>|n</v>
      </c>
      <c r="CV226" s="70" t="str">
        <f t="shared" si="3489"/>
        <v>为|Cffffd24dW技能|r附魔一条|Cffffd24d随机属性|r。</v>
      </c>
      <c r="CW226" s="60"/>
      <c r="CX226" s="60"/>
      <c r="CY226" s="60"/>
      <c r="CZ226" s="60"/>
      <c r="DA226" s="60"/>
      <c r="DB226" s="71" t="str">
        <f t="shared" si="3497"/>
        <v/>
      </c>
      <c r="DC226" s="71" t="str">
        <f t="shared" si="3497"/>
        <v/>
      </c>
      <c r="DD226" s="71" t="str">
        <f t="shared" si="3497"/>
        <v/>
      </c>
      <c r="DE226" s="71" t="str">
        <f t="shared" si="3497"/>
        <v/>
      </c>
      <c r="DF226" s="71" t="str">
        <f t="shared" si="3497"/>
        <v/>
      </c>
      <c r="DG226" s="71" t="str">
        <f t="shared" si="3497"/>
        <v/>
      </c>
      <c r="DH226" s="71" t="str">
        <f t="shared" si="3497"/>
        <v/>
      </c>
      <c r="DI226" s="71" t="str">
        <f t="shared" si="3497"/>
        <v/>
      </c>
      <c r="DJ226" s="71" t="str">
        <f t="shared" si="3497"/>
        <v/>
      </c>
      <c r="DK226" s="71" t="str">
        <f t="shared" si="3497"/>
        <v/>
      </c>
      <c r="DL226" s="71" t="str">
        <f t="shared" si="3498"/>
        <v/>
      </c>
      <c r="DM226" s="71" t="str">
        <f t="shared" si="3498"/>
        <v/>
      </c>
      <c r="DN226" s="71" t="str">
        <f t="shared" si="3498"/>
        <v/>
      </c>
      <c r="DO226" s="71" t="str">
        <f t="shared" si="3498"/>
        <v/>
      </c>
      <c r="DP226" s="71" t="str">
        <f t="shared" si="3498"/>
        <v/>
      </c>
      <c r="DQ226" s="71" t="str">
        <f t="shared" si="3498"/>
        <v/>
      </c>
      <c r="DR226" s="71" t="str">
        <f t="shared" si="3498"/>
        <v/>
      </c>
      <c r="DS226" s="71" t="str">
        <f t="shared" si="3498"/>
        <v/>
      </c>
      <c r="DT226" s="71" t="str">
        <f t="shared" si="3498"/>
        <v/>
      </c>
      <c r="DU226" s="71" t="str">
        <f t="shared" si="3498"/>
        <v/>
      </c>
      <c r="DV226" s="71" t="str">
        <f t="shared" si="3499"/>
        <v/>
      </c>
      <c r="DW226" s="71" t="str">
        <f t="shared" si="3499"/>
        <v/>
      </c>
      <c r="DX226" s="71" t="str">
        <f t="shared" si="3499"/>
        <v/>
      </c>
      <c r="DY226" s="71" t="str">
        <f t="shared" si="3499"/>
        <v/>
      </c>
      <c r="DZ226" s="71" t="str">
        <f t="shared" si="3499"/>
        <v/>
      </c>
      <c r="EA226" s="71" t="str">
        <f t="shared" si="3499"/>
        <v/>
      </c>
      <c r="EB226" s="71" t="str">
        <f t="shared" si="3499"/>
        <v/>
      </c>
      <c r="EC226" s="71" t="str">
        <f t="shared" si="3499"/>
        <v/>
      </c>
      <c r="ED226" s="71" t="str">
        <f t="shared" si="3499"/>
        <v/>
      </c>
      <c r="EE226" s="71" t="str">
        <f t="shared" si="3499"/>
        <v/>
      </c>
      <c r="EF226" s="71" t="str">
        <f t="shared" si="3500"/>
        <v/>
      </c>
      <c r="EG226" s="71" t="str">
        <f t="shared" si="3500"/>
        <v/>
      </c>
      <c r="EH226" s="71" t="str">
        <f t="shared" si="3500"/>
        <v/>
      </c>
      <c r="EI226" s="71" t="str">
        <f t="shared" si="3500"/>
        <v/>
      </c>
      <c r="EJ226" s="71" t="str">
        <f t="shared" si="3500"/>
        <v/>
      </c>
      <c r="EK226" s="71" t="str">
        <f t="shared" si="3500"/>
        <v/>
      </c>
      <c r="EL226" s="71" t="str">
        <f t="shared" si="3500"/>
        <v/>
      </c>
      <c r="EM226" s="71" t="str">
        <f t="shared" si="3500"/>
        <v/>
      </c>
      <c r="EN226" s="71" t="str">
        <f t="shared" si="3500"/>
        <v/>
      </c>
      <c r="EO226" s="71" t="str">
        <f t="shared" si="3500"/>
        <v/>
      </c>
      <c r="EP226" s="71" t="str">
        <f t="shared" si="3501"/>
        <v/>
      </c>
      <c r="EQ226" s="71" t="str">
        <f t="shared" si="3501"/>
        <v/>
      </c>
      <c r="ER226" s="71" t="str">
        <f t="shared" si="3501"/>
        <v/>
      </c>
      <c r="ES226" s="71" t="str">
        <f t="shared" si="3501"/>
        <v/>
      </c>
      <c r="ET226" s="71" t="str">
        <f t="shared" si="3501"/>
        <v/>
      </c>
      <c r="EU226" s="71" t="str">
        <f t="shared" si="3501"/>
        <v/>
      </c>
      <c r="EV226" s="71" t="str">
        <f t="shared" si="3501"/>
        <v/>
      </c>
      <c r="EW226" s="71" t="str">
        <f t="shared" si="3501"/>
        <v/>
      </c>
      <c r="EX226" s="71" t="str">
        <f t="shared" si="3501"/>
        <v/>
      </c>
      <c r="EY226" s="71" t="str">
        <f t="shared" si="3501"/>
        <v/>
      </c>
      <c r="EZ226" s="71" t="str">
        <f t="shared" si="3502"/>
        <v/>
      </c>
      <c r="FA226" s="71" t="str">
        <f t="shared" si="3502"/>
        <v/>
      </c>
      <c r="FB226" s="71" t="str">
        <f t="shared" si="3502"/>
        <v/>
      </c>
      <c r="FC226" s="71" t="str">
        <f t="shared" si="3502"/>
        <v/>
      </c>
      <c r="FD226" s="71" t="str">
        <f t="shared" si="3502"/>
        <v/>
      </c>
      <c r="FE226" s="71" t="str">
        <f t="shared" si="3502"/>
        <v/>
      </c>
      <c r="FF226" s="71" t="str">
        <f t="shared" si="3502"/>
        <v/>
      </c>
      <c r="FG226" s="71" t="str">
        <f t="shared" si="3502"/>
        <v/>
      </c>
      <c r="FH226" s="71" t="str">
        <f t="shared" si="3502"/>
        <v/>
      </c>
      <c r="FI226" s="71" t="str">
        <f t="shared" si="3502"/>
        <v/>
      </c>
      <c r="FJ226" s="71" t="str">
        <f t="shared" si="3503"/>
        <v/>
      </c>
      <c r="FK226" s="71" t="str">
        <f t="shared" si="3503"/>
        <v/>
      </c>
      <c r="FL226" s="71" t="str">
        <f t="shared" si="3503"/>
        <v/>
      </c>
      <c r="FM226" s="71" t="str">
        <f t="shared" si="3503"/>
        <v/>
      </c>
      <c r="FN226" s="71" t="str">
        <f t="shared" si="3503"/>
        <v/>
      </c>
      <c r="FO226" s="71" t="str">
        <f t="shared" si="3503"/>
        <v/>
      </c>
      <c r="FP226" s="71" t="str">
        <f t="shared" si="3503"/>
        <v/>
      </c>
      <c r="FQ226" s="71" t="str">
        <f t="shared" si="3503"/>
        <v/>
      </c>
      <c r="FR226" s="71" t="str">
        <f t="shared" si="3503"/>
        <v/>
      </c>
      <c r="FS226" s="71" t="str">
        <f t="shared" si="3503"/>
        <v/>
      </c>
    </row>
    <row r="227" ht="15" spans="1:175">
      <c r="A227" s="80"/>
      <c r="B227" s="105" t="s">
        <v>788</v>
      </c>
      <c r="C227" s="80" t="s">
        <v>789</v>
      </c>
      <c r="T227" s="124" t="s">
        <v>790</v>
      </c>
      <c r="U227" s="89" t="s">
        <v>791</v>
      </c>
      <c r="CN227" s="69" t="str">
        <f t="shared" si="3484"/>
        <v>InitUnitState('IS23',,,,,,,,,,)</v>
      </c>
      <c r="CO227" s="69" t="str">
        <f t="shared" si="3485"/>
        <v>InitUnitNormal('IS23',,,,,,,,,,)</v>
      </c>
      <c r="CP227" s="69" t="str">
        <f t="shared" si="3486"/>
        <v>InitUnitMagic('IS23',,,,,,,,,,)</v>
      </c>
      <c r="CQ227" s="69" t="str">
        <f t="shared" si="3487"/>
        <v>InitUnitAdd('IS23',,,,,,,,,,)</v>
      </c>
      <c r="CR227" s="69" t="e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#REF!&amp;CR$1&amp;")"</f>
        <v>#REF!</v>
      </c>
      <c r="CU227" s="99" t="str">
        <f t="shared" ref="CU227:CU230" si="3580">CONCATENATE(DB227,DC227,DD227,DE227,DF227,DG227,DH227,DI227,DJ227,DK227,DL227,DM227,DN227,DO227,DP227,DQ227,DR227,DS227,DT227,DU227,DV227,DW227,DX227,DY227,DZ227,EA227,EB227,EC227,ED227,EE227,EF227,EG227,EH227,EI227,EJ227,EK227,EL227,EM227,EN227,EO227,EP227&amp;"|n")</f>
        <v>|n</v>
      </c>
      <c r="CV227" s="70" t="str">
        <f t="shared" ref="CV227:CV230" si="3581">T227</f>
        <v>为|Cffffd24dE技能|r附魔一条|Cffffd24d随机属性|r。</v>
      </c>
      <c r="CW227" s="60"/>
      <c r="CX227" s="60"/>
      <c r="CY227" s="60"/>
      <c r="CZ227" s="60"/>
      <c r="DA227" s="60"/>
      <c r="DB227" s="71" t="str">
        <f t="shared" ref="DB227" si="3582">IF(V227="","","|n"&amp;DB$2&amp;"+"&amp;V227&amp;DB$1)</f>
        <v/>
      </c>
      <c r="DC227" s="71" t="str">
        <f t="shared" ref="DC227" si="3583">IF(W227="","","|n"&amp;DC$2&amp;"+"&amp;W227&amp;DC$1)</f>
        <v/>
      </c>
      <c r="DD227" s="71" t="str">
        <f t="shared" ref="DD227" si="3584">IF(X227="","","|n"&amp;DD$2&amp;"+"&amp;X227&amp;DD$1)</f>
        <v/>
      </c>
      <c r="DE227" s="71" t="str">
        <f t="shared" ref="DE227" si="3585">IF(Y227="","","|n"&amp;DE$2&amp;"+"&amp;Y227&amp;DE$1)</f>
        <v/>
      </c>
      <c r="DF227" s="71" t="str">
        <f t="shared" ref="DF227" si="3586">IF(Z227="","","|n"&amp;DF$2&amp;"+"&amp;Z227&amp;DF$1)</f>
        <v/>
      </c>
      <c r="DG227" s="71" t="str">
        <f t="shared" ref="DG227" si="3587">IF(AA227="","","|n"&amp;DG$2&amp;"+"&amp;AA227&amp;DG$1)</f>
        <v/>
      </c>
      <c r="DH227" s="71" t="str">
        <f t="shared" ref="DH227" si="3588">IF(AB227="","","|n"&amp;DH$2&amp;"+"&amp;AB227&amp;DH$1)</f>
        <v/>
      </c>
      <c r="DI227" s="71" t="str">
        <f t="shared" ref="DI227" si="3589">IF(AC227="","","|n"&amp;DI$2&amp;"+"&amp;AC227&amp;DI$1)</f>
        <v/>
      </c>
      <c r="DJ227" s="71" t="str">
        <f t="shared" ref="DJ227" si="3590">IF(AD227="","","|n"&amp;DJ$2&amp;"+"&amp;AD227&amp;DJ$1)</f>
        <v/>
      </c>
      <c r="DK227" s="71" t="str">
        <f t="shared" ref="DK227" si="3591">IF(AE227="","","|n"&amp;DK$2&amp;"+"&amp;AE227&amp;DK$1)</f>
        <v/>
      </c>
      <c r="DL227" s="71" t="str">
        <f t="shared" ref="DL227" si="3592">IF(AF227="","","|n"&amp;DL$2&amp;"+"&amp;AF227&amp;DL$1)</f>
        <v/>
      </c>
      <c r="DM227" s="71" t="str">
        <f t="shared" ref="DM227" si="3593">IF(AG227="","","|n"&amp;DM$2&amp;"+"&amp;AG227&amp;DM$1)</f>
        <v/>
      </c>
      <c r="DN227" s="71" t="str">
        <f t="shared" ref="DN227" si="3594">IF(AH227="","","|n"&amp;DN$2&amp;"+"&amp;AH227&amp;DN$1)</f>
        <v/>
      </c>
      <c r="DO227" s="71" t="str">
        <f t="shared" ref="DO227" si="3595">IF(AI227="","","|n"&amp;DO$2&amp;"+"&amp;AI227&amp;DO$1)</f>
        <v/>
      </c>
      <c r="DP227" s="71" t="str">
        <f t="shared" ref="DP227" si="3596">IF(AJ227="","","|n"&amp;DP$2&amp;"+"&amp;AJ227&amp;DP$1)</f>
        <v/>
      </c>
      <c r="DQ227" s="71" t="str">
        <f t="shared" ref="DQ227" si="3597">IF(AK227="","","|n"&amp;DQ$2&amp;"+"&amp;AK227&amp;DQ$1)</f>
        <v/>
      </c>
      <c r="DR227" s="71" t="str">
        <f t="shared" ref="DR227" si="3598">IF(AL227="","","|n"&amp;DR$2&amp;"+"&amp;AL227&amp;DR$1)</f>
        <v/>
      </c>
      <c r="DS227" s="71" t="str">
        <f t="shared" ref="DS227" si="3599">IF(AM227="","","|n"&amp;DS$2&amp;"+"&amp;AM227&amp;DS$1)</f>
        <v/>
      </c>
      <c r="DT227" s="71" t="str">
        <f t="shared" ref="DT227" si="3600">IF(AN227="","","|n"&amp;DT$2&amp;"+"&amp;AN227&amp;DT$1)</f>
        <v/>
      </c>
      <c r="DU227" s="71" t="str">
        <f t="shared" ref="DU227" si="3601">IF(AO227="","","|n"&amp;DU$2&amp;"+"&amp;AO227&amp;DU$1)</f>
        <v/>
      </c>
      <c r="DV227" s="71" t="str">
        <f t="shared" ref="DV227" si="3602">IF(AP227="","","|n"&amp;DV$2&amp;"+"&amp;AP227&amp;DV$1)</f>
        <v/>
      </c>
      <c r="DW227" s="71" t="str">
        <f t="shared" ref="DW227" si="3603">IF(AQ227="","","|n"&amp;DW$2&amp;"+"&amp;AQ227&amp;DW$1)</f>
        <v/>
      </c>
      <c r="DX227" s="71" t="str">
        <f t="shared" ref="DX227" si="3604">IF(AR227="","","|n"&amp;DX$2&amp;"+"&amp;AR227&amp;DX$1)</f>
        <v/>
      </c>
      <c r="DY227" s="71" t="str">
        <f t="shared" ref="DY227" si="3605">IF(AS227="","","|n"&amp;DY$2&amp;"+"&amp;AS227&amp;DY$1)</f>
        <v/>
      </c>
      <c r="DZ227" s="71" t="str">
        <f t="shared" ref="DZ227" si="3606">IF(AT227="","","|n"&amp;DZ$2&amp;"+"&amp;AT227&amp;DZ$1)</f>
        <v/>
      </c>
      <c r="EA227" s="71" t="str">
        <f t="shared" ref="EA227" si="3607">IF(AU227="","","|n"&amp;EA$2&amp;"+"&amp;AU227&amp;EA$1)</f>
        <v/>
      </c>
      <c r="EB227" s="71" t="str">
        <f t="shared" ref="EB227" si="3608">IF(AV227="","","|n"&amp;EB$2&amp;"+"&amp;AV227&amp;EB$1)</f>
        <v/>
      </c>
      <c r="EC227" s="71" t="str">
        <f t="shared" ref="EC227" si="3609">IF(AW227="","","|n"&amp;EC$2&amp;"+"&amp;AW227&amp;EC$1)</f>
        <v/>
      </c>
      <c r="ED227" s="71" t="str">
        <f t="shared" ref="ED227" si="3610">IF(AX227="","","|n"&amp;ED$2&amp;"+"&amp;AX227&amp;ED$1)</f>
        <v/>
      </c>
      <c r="EE227" s="71" t="str">
        <f t="shared" ref="EE227" si="3611">IF(AY227="","","|n"&amp;EE$2&amp;"+"&amp;AY227&amp;EE$1)</f>
        <v/>
      </c>
      <c r="EF227" s="71" t="str">
        <f t="shared" ref="EF227" si="3612">IF(AZ227="","","|n"&amp;EF$2&amp;"+"&amp;AZ227&amp;EF$1)</f>
        <v/>
      </c>
      <c r="EG227" s="71" t="str">
        <f t="shared" ref="EG227" si="3613">IF(BA227="","","|n"&amp;EG$2&amp;"+"&amp;BA227&amp;EG$1)</f>
        <v/>
      </c>
      <c r="EH227" s="71" t="str">
        <f t="shared" ref="EH227" si="3614">IF(BB227="","","|n"&amp;EH$2&amp;"+"&amp;BB227&amp;EH$1)</f>
        <v/>
      </c>
      <c r="EI227" s="71" t="str">
        <f t="shared" ref="EI227" si="3615">IF(BC227="","","|n"&amp;EI$2&amp;"+"&amp;BC227&amp;EI$1)</f>
        <v/>
      </c>
      <c r="EJ227" s="71" t="str">
        <f t="shared" ref="EJ227" si="3616">IF(BD227="","","|n"&amp;EJ$2&amp;"+"&amp;BD227&amp;EJ$1)</f>
        <v/>
      </c>
      <c r="EK227" s="71" t="str">
        <f t="shared" ref="EK227" si="3617">IF(BE227="","","|n"&amp;EK$2&amp;"+"&amp;BE227&amp;EK$1)</f>
        <v/>
      </c>
      <c r="EL227" s="71" t="str">
        <f t="shared" ref="EL227" si="3618">IF(BF227="","","|n"&amp;EL$2&amp;"+"&amp;BF227&amp;EL$1)</f>
        <v/>
      </c>
      <c r="EM227" s="71" t="str">
        <f t="shared" ref="EM227" si="3619">IF(BG227="","","|n"&amp;EM$2&amp;"+"&amp;BG227&amp;EM$1)</f>
        <v/>
      </c>
      <c r="EN227" s="71" t="str">
        <f t="shared" ref="EN227" si="3620">IF(BH227="","","|n"&amp;EN$2&amp;"+"&amp;BH227&amp;EN$1)</f>
        <v/>
      </c>
      <c r="EO227" s="71" t="str">
        <f t="shared" ref="EO227" si="3621">IF(BI227="","","|n"&amp;EO$2&amp;"+"&amp;BI227&amp;EO$1)</f>
        <v/>
      </c>
      <c r="EP227" s="71" t="str">
        <f t="shared" ref="EP227" si="3622">IF(BJ227="","","|n"&amp;EP$2&amp;"+"&amp;BJ227&amp;EP$1)</f>
        <v/>
      </c>
      <c r="EQ227" s="71" t="str">
        <f t="shared" ref="EQ227" si="3623">IF(BK227="","","|n"&amp;EQ$2&amp;"+"&amp;BK227&amp;EQ$1)</f>
        <v/>
      </c>
      <c r="ER227" s="71" t="str">
        <f t="shared" ref="ER227" si="3624">IF(BL227="","","|n"&amp;ER$2&amp;"+"&amp;BL227&amp;ER$1)</f>
        <v/>
      </c>
      <c r="ES227" s="71" t="str">
        <f t="shared" ref="ES227" si="3625">IF(BM227="","","|n"&amp;ES$2&amp;"+"&amp;BM227&amp;ES$1)</f>
        <v/>
      </c>
      <c r="ET227" s="71" t="str">
        <f t="shared" ref="ET227" si="3626">IF(BN227="","","|n"&amp;ET$2&amp;"+"&amp;BN227&amp;ET$1)</f>
        <v/>
      </c>
      <c r="EU227" s="71" t="str">
        <f t="shared" ref="EU227" si="3627">IF(BO227="","","|n"&amp;EU$2&amp;"+"&amp;BO227&amp;EU$1)</f>
        <v/>
      </c>
      <c r="EV227" s="71" t="str">
        <f t="shared" ref="EV227" si="3628">IF(BP227="","","|n"&amp;EV$2&amp;"+"&amp;BP227&amp;EV$1)</f>
        <v/>
      </c>
      <c r="EW227" s="71" t="str">
        <f t="shared" ref="EW227" si="3629">IF(BQ227="","","|n"&amp;EW$2&amp;"+"&amp;BQ227&amp;EW$1)</f>
        <v/>
      </c>
      <c r="EX227" s="71" t="str">
        <f t="shared" ref="EX227" si="3630">IF(BR227="","","|n"&amp;EX$2&amp;"+"&amp;BR227&amp;EX$1)</f>
        <v/>
      </c>
      <c r="EY227" s="71" t="str">
        <f t="shared" ref="EY227" si="3631">IF(BS227="","","|n"&amp;EY$2&amp;"+"&amp;BS227&amp;EY$1)</f>
        <v/>
      </c>
      <c r="EZ227" s="71" t="str">
        <f t="shared" ref="EZ227" si="3632">IF(BT227="","","|n"&amp;EZ$2&amp;"+"&amp;BT227&amp;EZ$1)</f>
        <v/>
      </c>
      <c r="FA227" s="71" t="str">
        <f t="shared" ref="FA227" si="3633">IF(BU227="","","|n"&amp;FA$2&amp;"+"&amp;BU227&amp;FA$1)</f>
        <v/>
      </c>
      <c r="FB227" s="71" t="str">
        <f t="shared" ref="FB227" si="3634">IF(BV227="","","|n"&amp;FB$2&amp;"+"&amp;BV227&amp;FB$1)</f>
        <v/>
      </c>
      <c r="FC227" s="71" t="str">
        <f t="shared" ref="FC227" si="3635">IF(BW227="","","|n"&amp;FC$2&amp;"+"&amp;BW227&amp;FC$1)</f>
        <v/>
      </c>
      <c r="FD227" s="71" t="str">
        <f t="shared" ref="FD227" si="3636">IF(BX227="","","|n"&amp;FD$2&amp;"+"&amp;BX227&amp;FD$1)</f>
        <v/>
      </c>
      <c r="FE227" s="71" t="str">
        <f t="shared" ref="FE227" si="3637">IF(BY227="","","|n"&amp;FE$2&amp;"+"&amp;BY227&amp;FE$1)</f>
        <v/>
      </c>
      <c r="FF227" s="71" t="str">
        <f t="shared" ref="FF227" si="3638">IF(BZ227="","","|n"&amp;FF$2&amp;"+"&amp;BZ227&amp;FF$1)</f>
        <v/>
      </c>
      <c r="FG227" s="71" t="str">
        <f t="shared" ref="FG227" si="3639">IF(CA227="","","|n"&amp;FG$2&amp;"+"&amp;CA227&amp;FG$1)</f>
        <v/>
      </c>
      <c r="FH227" s="71" t="str">
        <f t="shared" ref="FH227" si="3640">IF(CB227="","","|n"&amp;FH$2&amp;"+"&amp;CB227&amp;FH$1)</f>
        <v/>
      </c>
      <c r="FI227" s="71" t="str">
        <f t="shared" ref="FI227" si="3641">IF(CC227="","","|n"&amp;FI$2&amp;"+"&amp;CC227&amp;FI$1)</f>
        <v/>
      </c>
      <c r="FJ227" s="71" t="str">
        <f t="shared" ref="FJ227" si="3642">IF(CD227="","","|n"&amp;FJ$2&amp;"+"&amp;CD227&amp;FJ$1)</f>
        <v/>
      </c>
      <c r="FK227" s="71" t="str">
        <f t="shared" ref="FK227" si="3643">IF(CE227="","","|n"&amp;FK$2&amp;"+"&amp;CE227&amp;FK$1)</f>
        <v/>
      </c>
      <c r="FL227" s="71" t="str">
        <f t="shared" ref="FL227" si="3644">IF(CF227="","","|n"&amp;FL$2&amp;"+"&amp;CF227&amp;FL$1)</f>
        <v/>
      </c>
      <c r="FM227" s="71" t="str">
        <f t="shared" ref="FM227" si="3645">IF(CG227="","","|n"&amp;FM$2&amp;"+"&amp;CG227&amp;FM$1)</f>
        <v/>
      </c>
      <c r="FN227" s="71" t="str">
        <f t="shared" ref="FN227" si="3646">IF(CH227="","","|n"&amp;FN$2&amp;"+"&amp;CH227&amp;FN$1)</f>
        <v/>
      </c>
      <c r="FO227" s="71" t="str">
        <f t="shared" ref="FO227" si="3647">IF(CI227="","","|n"&amp;FO$2&amp;"+"&amp;CI227&amp;FO$1)</f>
        <v/>
      </c>
      <c r="FP227" s="71" t="str">
        <f t="shared" ref="FP227" si="3648">IF(CJ227="","","|n"&amp;FP$2&amp;"+"&amp;CJ227&amp;FP$1)</f>
        <v/>
      </c>
      <c r="FQ227" s="71" t="str">
        <f t="shared" ref="FQ227" si="3649">IF(CK227="","","|n"&amp;FQ$2&amp;"+"&amp;CK227&amp;FQ$1)</f>
        <v/>
      </c>
      <c r="FR227" s="71" t="str">
        <f t="shared" ref="FR227" si="3650">IF(CL227="","","|n"&amp;FR$2&amp;"+"&amp;CL227&amp;FR$1)</f>
        <v/>
      </c>
      <c r="FS227" s="71" t="str">
        <f t="shared" ref="FS227" si="3651">IF(CM227="","","|n"&amp;FS$2&amp;"+"&amp;CM227&amp;FS$1)</f>
        <v/>
      </c>
    </row>
    <row r="228" ht="15" spans="1:175">
      <c r="A228" s="80"/>
      <c r="B228" s="105" t="s">
        <v>792</v>
      </c>
      <c r="C228" s="80" t="s">
        <v>793</v>
      </c>
      <c r="T228" s="124" t="s">
        <v>782</v>
      </c>
      <c r="U228" s="89" t="s">
        <v>794</v>
      </c>
      <c r="CN228" s="69" t="str">
        <f t="shared" si="3484"/>
        <v>InitUnitState('IS24',,,,,,,,,,)</v>
      </c>
      <c r="CO228" s="69" t="str">
        <f t="shared" si="3485"/>
        <v>InitUnitNormal('IS24',,,,,,,,,,)</v>
      </c>
      <c r="CP228" s="69" t="str">
        <f t="shared" si="3486"/>
        <v>InitUnitMagic('IS24',,,,,,,,,,)</v>
      </c>
      <c r="CQ228" s="69" t="str">
        <f t="shared" si="3487"/>
        <v>InitUnitAdd('IS24',,,,,,,,,,)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InitEquipData('IS24',,"",,,,,'','','','','','',"ReplaceableTextures\\CommandButtons\\BTN010.blp")</v>
      </c>
      <c r="CU228" s="99" t="str">
        <f t="shared" si="3580"/>
        <v>|n</v>
      </c>
      <c r="CV228" s="70" t="str">
        <f t="shared" si="3581"/>
        <v>为|Cffffd24dQ技能|r附魔一条|Cffffd24d随机属性|r。</v>
      </c>
      <c r="CW228" s="60"/>
      <c r="CX228" s="60"/>
      <c r="CY228" s="60"/>
      <c r="CZ228" s="60"/>
      <c r="DA228" s="60"/>
      <c r="DB228" s="71" t="str">
        <f t="shared" ref="DB228:FM228" si="3652">IF(V228="","","|n"&amp;DB$2&amp;"+"&amp;V228&amp;DB$1)</f>
        <v/>
      </c>
      <c r="DC228" s="71" t="str">
        <f t="shared" si="3652"/>
        <v/>
      </c>
      <c r="DD228" s="71" t="str">
        <f t="shared" si="3652"/>
        <v/>
      </c>
      <c r="DE228" s="71" t="str">
        <f t="shared" si="3652"/>
        <v/>
      </c>
      <c r="DF228" s="71" t="str">
        <f t="shared" si="3652"/>
        <v/>
      </c>
      <c r="DG228" s="71" t="str">
        <f t="shared" si="3652"/>
        <v/>
      </c>
      <c r="DH228" s="71" t="str">
        <f t="shared" si="3652"/>
        <v/>
      </c>
      <c r="DI228" s="71" t="str">
        <f t="shared" si="3652"/>
        <v/>
      </c>
      <c r="DJ228" s="71" t="str">
        <f t="shared" si="3652"/>
        <v/>
      </c>
      <c r="DK228" s="71" t="str">
        <f t="shared" si="3652"/>
        <v/>
      </c>
      <c r="DL228" s="71" t="str">
        <f t="shared" si="3652"/>
        <v/>
      </c>
      <c r="DM228" s="71" t="str">
        <f t="shared" si="3652"/>
        <v/>
      </c>
      <c r="DN228" s="71" t="str">
        <f t="shared" si="3652"/>
        <v/>
      </c>
      <c r="DO228" s="71" t="str">
        <f t="shared" si="3652"/>
        <v/>
      </c>
      <c r="DP228" s="71" t="str">
        <f t="shared" si="3652"/>
        <v/>
      </c>
      <c r="DQ228" s="71" t="str">
        <f t="shared" si="3652"/>
        <v/>
      </c>
      <c r="DR228" s="71" t="str">
        <f t="shared" si="3652"/>
        <v/>
      </c>
      <c r="DS228" s="71" t="str">
        <f t="shared" si="3652"/>
        <v/>
      </c>
      <c r="DT228" s="71" t="str">
        <f t="shared" si="3652"/>
        <v/>
      </c>
      <c r="DU228" s="71" t="str">
        <f t="shared" si="3652"/>
        <v/>
      </c>
      <c r="DV228" s="71" t="str">
        <f t="shared" si="3652"/>
        <v/>
      </c>
      <c r="DW228" s="71" t="str">
        <f t="shared" si="3652"/>
        <v/>
      </c>
      <c r="DX228" s="71" t="str">
        <f t="shared" si="3652"/>
        <v/>
      </c>
      <c r="DY228" s="71" t="str">
        <f t="shared" si="3652"/>
        <v/>
      </c>
      <c r="DZ228" s="71" t="str">
        <f t="shared" si="3652"/>
        <v/>
      </c>
      <c r="EA228" s="71" t="str">
        <f t="shared" si="3652"/>
        <v/>
      </c>
      <c r="EB228" s="71" t="str">
        <f t="shared" si="3652"/>
        <v/>
      </c>
      <c r="EC228" s="71" t="str">
        <f t="shared" si="3652"/>
        <v/>
      </c>
      <c r="ED228" s="71" t="str">
        <f t="shared" si="3652"/>
        <v/>
      </c>
      <c r="EE228" s="71" t="str">
        <f t="shared" si="3652"/>
        <v/>
      </c>
      <c r="EF228" s="71" t="str">
        <f t="shared" si="3652"/>
        <v/>
      </c>
      <c r="EG228" s="71" t="str">
        <f t="shared" si="3652"/>
        <v/>
      </c>
      <c r="EH228" s="71" t="str">
        <f t="shared" si="3652"/>
        <v/>
      </c>
      <c r="EI228" s="71" t="str">
        <f t="shared" si="3652"/>
        <v/>
      </c>
      <c r="EJ228" s="71" t="str">
        <f t="shared" si="3652"/>
        <v/>
      </c>
      <c r="EK228" s="71" t="str">
        <f t="shared" si="3652"/>
        <v/>
      </c>
      <c r="EL228" s="71" t="str">
        <f t="shared" si="3652"/>
        <v/>
      </c>
      <c r="EM228" s="71" t="str">
        <f t="shared" si="3652"/>
        <v/>
      </c>
      <c r="EN228" s="71" t="str">
        <f t="shared" si="3652"/>
        <v/>
      </c>
      <c r="EO228" s="71" t="str">
        <f t="shared" si="3652"/>
        <v/>
      </c>
      <c r="EP228" s="71" t="str">
        <f t="shared" si="3652"/>
        <v/>
      </c>
      <c r="EQ228" s="71" t="str">
        <f t="shared" si="3652"/>
        <v/>
      </c>
      <c r="ER228" s="71" t="str">
        <f t="shared" si="3652"/>
        <v/>
      </c>
      <c r="ES228" s="71" t="str">
        <f t="shared" si="3652"/>
        <v/>
      </c>
      <c r="ET228" s="71" t="str">
        <f t="shared" si="3652"/>
        <v/>
      </c>
      <c r="EU228" s="71" t="str">
        <f t="shared" si="3652"/>
        <v/>
      </c>
      <c r="EV228" s="71" t="str">
        <f t="shared" si="3652"/>
        <v/>
      </c>
      <c r="EW228" s="71" t="str">
        <f t="shared" si="3652"/>
        <v/>
      </c>
      <c r="EX228" s="71" t="str">
        <f t="shared" si="3652"/>
        <v/>
      </c>
      <c r="EY228" s="71" t="str">
        <f t="shared" si="3652"/>
        <v/>
      </c>
      <c r="EZ228" s="71" t="str">
        <f t="shared" si="3652"/>
        <v/>
      </c>
      <c r="FA228" s="71" t="str">
        <f t="shared" si="3652"/>
        <v/>
      </c>
      <c r="FB228" s="71" t="str">
        <f t="shared" si="3652"/>
        <v/>
      </c>
      <c r="FC228" s="71" t="str">
        <f t="shared" si="3652"/>
        <v/>
      </c>
      <c r="FD228" s="71" t="str">
        <f t="shared" si="3652"/>
        <v/>
      </c>
      <c r="FE228" s="71" t="str">
        <f t="shared" si="3652"/>
        <v/>
      </c>
      <c r="FF228" s="71" t="str">
        <f t="shared" si="3652"/>
        <v/>
      </c>
      <c r="FG228" s="71" t="str">
        <f t="shared" si="3652"/>
        <v/>
      </c>
      <c r="FH228" s="71" t="str">
        <f t="shared" si="3652"/>
        <v/>
      </c>
      <c r="FI228" s="71" t="str">
        <f t="shared" si="3652"/>
        <v/>
      </c>
      <c r="FJ228" s="71" t="str">
        <f t="shared" si="3652"/>
        <v/>
      </c>
      <c r="FK228" s="71" t="str">
        <f t="shared" si="3652"/>
        <v/>
      </c>
      <c r="FL228" s="71" t="str">
        <f t="shared" si="3652"/>
        <v/>
      </c>
      <c r="FM228" s="71" t="str">
        <f t="shared" si="3652"/>
        <v/>
      </c>
      <c r="FN228" s="71" t="str">
        <f t="shared" ref="FN228:FS228" si="3653">IF(CH228="","","|n"&amp;FN$2&amp;"+"&amp;CH228&amp;FN$1)</f>
        <v/>
      </c>
      <c r="FO228" s="71" t="str">
        <f t="shared" si="3653"/>
        <v/>
      </c>
      <c r="FP228" s="71" t="str">
        <f t="shared" si="3653"/>
        <v/>
      </c>
      <c r="FQ228" s="71" t="str">
        <f t="shared" si="3653"/>
        <v/>
      </c>
      <c r="FR228" s="71" t="str">
        <f t="shared" si="3653"/>
        <v/>
      </c>
      <c r="FS228" s="71" t="str">
        <f t="shared" si="3653"/>
        <v/>
      </c>
    </row>
    <row r="229" ht="15" spans="1:175">
      <c r="A229" s="80"/>
      <c r="B229" s="105" t="s">
        <v>795</v>
      </c>
      <c r="C229" s="105" t="s">
        <v>796</v>
      </c>
      <c r="T229" s="124" t="s">
        <v>786</v>
      </c>
      <c r="U229" s="89" t="s">
        <v>797</v>
      </c>
      <c r="CN229" s="69" t="str">
        <f t="shared" si="3484"/>
        <v>InitUnitState('IS25',,,,,,,,,,)</v>
      </c>
      <c r="CO229" s="69" t="str">
        <f t="shared" si="3485"/>
        <v>InitUnitNormal('IS25',,,,,,,,,,)</v>
      </c>
      <c r="CP229" s="69" t="str">
        <f t="shared" si="3486"/>
        <v>InitUnitMagic('IS25',,,,,,,,,,)</v>
      </c>
      <c r="CQ229" s="69" t="str">
        <f t="shared" si="3487"/>
        <v>InitUnitAdd('IS25',,,,,,,,,,)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InitEquipData('IS25',,"",,,,,'','','','','','',"ReplaceableTextures\\CommandButtons\\BTN011.blp")</v>
      </c>
      <c r="CU229" s="99" t="str">
        <f t="shared" si="3580"/>
        <v>|n</v>
      </c>
      <c r="CV229" s="70" t="str">
        <f t="shared" si="3581"/>
        <v>为|Cffffd24dW技能|r附魔一条|Cffffd24d随机属性|r。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654">IF(V229="","","|n"&amp;DB$2&amp;"+"&amp;V229&amp;DB$1)</f>
        <v/>
      </c>
      <c r="DC229" s="71" t="str">
        <f t="shared" si="3654"/>
        <v/>
      </c>
      <c r="DD229" s="71" t="str">
        <f t="shared" si="3654"/>
        <v/>
      </c>
      <c r="DE229" s="71" t="str">
        <f t="shared" si="3654"/>
        <v/>
      </c>
      <c r="DF229" s="71" t="str">
        <f t="shared" si="3654"/>
        <v/>
      </c>
      <c r="DG229" s="71" t="str">
        <f t="shared" si="3654"/>
        <v/>
      </c>
      <c r="DH229" s="71" t="str">
        <f t="shared" si="3654"/>
        <v/>
      </c>
      <c r="DI229" s="71" t="str">
        <f t="shared" si="3654"/>
        <v/>
      </c>
      <c r="DJ229" s="71" t="str">
        <f t="shared" si="3654"/>
        <v/>
      </c>
      <c r="DK229" s="71" t="str">
        <f t="shared" si="3654"/>
        <v/>
      </c>
      <c r="DL229" s="71" t="str">
        <f t="shared" si="3654"/>
        <v/>
      </c>
      <c r="DM229" s="71" t="str">
        <f t="shared" si="3654"/>
        <v/>
      </c>
      <c r="DN229" s="71" t="str">
        <f t="shared" si="3654"/>
        <v/>
      </c>
      <c r="DO229" s="71" t="str">
        <f t="shared" si="3654"/>
        <v/>
      </c>
      <c r="DP229" s="71" t="str">
        <f t="shared" si="3654"/>
        <v/>
      </c>
      <c r="DQ229" s="71" t="str">
        <f t="shared" si="3654"/>
        <v/>
      </c>
      <c r="DR229" s="71" t="str">
        <f t="shared" si="3654"/>
        <v/>
      </c>
      <c r="DS229" s="71" t="str">
        <f t="shared" si="3654"/>
        <v/>
      </c>
      <c r="DT229" s="71" t="str">
        <f t="shared" si="3654"/>
        <v/>
      </c>
      <c r="DU229" s="71" t="str">
        <f t="shared" si="3654"/>
        <v/>
      </c>
      <c r="DV229" s="71" t="str">
        <f t="shared" si="3654"/>
        <v/>
      </c>
      <c r="DW229" s="71" t="str">
        <f t="shared" si="3654"/>
        <v/>
      </c>
      <c r="DX229" s="71" t="str">
        <f t="shared" si="3654"/>
        <v/>
      </c>
      <c r="DY229" s="71" t="str">
        <f t="shared" si="3654"/>
        <v/>
      </c>
      <c r="DZ229" s="71" t="str">
        <f t="shared" si="3654"/>
        <v/>
      </c>
      <c r="EA229" s="71" t="str">
        <f t="shared" si="3654"/>
        <v/>
      </c>
      <c r="EB229" s="71" t="str">
        <f t="shared" si="3654"/>
        <v/>
      </c>
      <c r="EC229" s="71" t="str">
        <f t="shared" si="3654"/>
        <v/>
      </c>
      <c r="ED229" s="71" t="str">
        <f t="shared" si="3654"/>
        <v/>
      </c>
      <c r="EE229" s="71" t="str">
        <f t="shared" si="3654"/>
        <v/>
      </c>
      <c r="EF229" s="71" t="str">
        <f t="shared" si="3654"/>
        <v/>
      </c>
      <c r="EG229" s="71" t="str">
        <f t="shared" si="3654"/>
        <v/>
      </c>
      <c r="EH229" s="71" t="str">
        <f t="shared" si="3654"/>
        <v/>
      </c>
      <c r="EI229" s="71" t="str">
        <f t="shared" si="3654"/>
        <v/>
      </c>
      <c r="EJ229" s="71" t="str">
        <f t="shared" si="3654"/>
        <v/>
      </c>
      <c r="EK229" s="71" t="str">
        <f t="shared" si="3654"/>
        <v/>
      </c>
      <c r="EL229" s="71" t="str">
        <f t="shared" si="3654"/>
        <v/>
      </c>
      <c r="EM229" s="71" t="str">
        <f t="shared" si="3654"/>
        <v/>
      </c>
      <c r="EN229" s="71" t="str">
        <f t="shared" si="3654"/>
        <v/>
      </c>
      <c r="EO229" s="71" t="str">
        <f t="shared" si="3654"/>
        <v/>
      </c>
      <c r="EP229" s="71" t="str">
        <f t="shared" si="3654"/>
        <v/>
      </c>
      <c r="EQ229" s="71" t="str">
        <f t="shared" si="3654"/>
        <v/>
      </c>
      <c r="ER229" s="71" t="str">
        <f t="shared" si="3654"/>
        <v/>
      </c>
      <c r="ES229" s="71" t="str">
        <f t="shared" si="3654"/>
        <v/>
      </c>
      <c r="ET229" s="71" t="str">
        <f t="shared" si="3654"/>
        <v/>
      </c>
      <c r="EU229" s="71" t="str">
        <f t="shared" si="3654"/>
        <v/>
      </c>
      <c r="EV229" s="71" t="str">
        <f t="shared" si="3654"/>
        <v/>
      </c>
      <c r="EW229" s="71" t="str">
        <f t="shared" si="3654"/>
        <v/>
      </c>
      <c r="EX229" s="71" t="str">
        <f t="shared" si="3654"/>
        <v/>
      </c>
      <c r="EY229" s="71" t="str">
        <f t="shared" si="3654"/>
        <v/>
      </c>
      <c r="EZ229" s="71" t="str">
        <f t="shared" si="3654"/>
        <v/>
      </c>
      <c r="FA229" s="71" t="str">
        <f t="shared" si="3654"/>
        <v/>
      </c>
      <c r="FB229" s="71" t="str">
        <f t="shared" si="3654"/>
        <v/>
      </c>
      <c r="FC229" s="71" t="str">
        <f t="shared" si="3654"/>
        <v/>
      </c>
      <c r="FD229" s="71" t="str">
        <f t="shared" si="3654"/>
        <v/>
      </c>
      <c r="FE229" s="71" t="str">
        <f t="shared" si="3654"/>
        <v/>
      </c>
      <c r="FF229" s="71" t="str">
        <f t="shared" si="3654"/>
        <v/>
      </c>
      <c r="FG229" s="71" t="str">
        <f t="shared" si="3654"/>
        <v/>
      </c>
      <c r="FH229" s="71" t="str">
        <f t="shared" si="3654"/>
        <v/>
      </c>
      <c r="FI229" s="71" t="str">
        <f t="shared" si="3654"/>
        <v/>
      </c>
      <c r="FJ229" s="71" t="str">
        <f t="shared" si="3654"/>
        <v/>
      </c>
      <c r="FK229" s="71" t="str">
        <f t="shared" si="3654"/>
        <v/>
      </c>
      <c r="FL229" s="71" t="str">
        <f t="shared" si="3654"/>
        <v/>
      </c>
      <c r="FM229" s="71" t="str">
        <f t="shared" si="3654"/>
        <v/>
      </c>
      <c r="FN229" s="71" t="str">
        <f t="shared" ref="FN229:FS229" si="3655">IF(CH229="","","|n"&amp;FN$2&amp;"+"&amp;CH229&amp;FN$1)</f>
        <v/>
      </c>
      <c r="FO229" s="71" t="str">
        <f t="shared" si="3655"/>
        <v/>
      </c>
      <c r="FP229" s="71" t="str">
        <f t="shared" si="3655"/>
        <v/>
      </c>
      <c r="FQ229" s="71" t="str">
        <f t="shared" si="3655"/>
        <v/>
      </c>
      <c r="FR229" s="71" t="str">
        <f t="shared" si="3655"/>
        <v/>
      </c>
      <c r="FS229" s="71" t="str">
        <f t="shared" si="3655"/>
        <v/>
      </c>
    </row>
    <row r="230" ht="15" spans="1:175">
      <c r="A230" s="80"/>
      <c r="B230" s="105" t="s">
        <v>798</v>
      </c>
      <c r="C230" s="105" t="s">
        <v>799</v>
      </c>
      <c r="T230" s="124" t="s">
        <v>790</v>
      </c>
      <c r="U230" s="89" t="s">
        <v>800</v>
      </c>
      <c r="CN230" s="69" t="str">
        <f t="shared" si="3484"/>
        <v>InitUnitState('IS26',,,,,,,,,,)</v>
      </c>
      <c r="CO230" s="69" t="str">
        <f t="shared" si="3485"/>
        <v>InitUnitNormal('IS26',,,,,,,,,,)</v>
      </c>
      <c r="CP230" s="69" t="str">
        <f t="shared" si="3486"/>
        <v>InitUnitMagic('IS26',,,,,,,,,,)</v>
      </c>
      <c r="CQ230" s="69" t="str">
        <f t="shared" si="3487"/>
        <v>InitUnitAdd('IS26',,,,,,,,,,)</v>
      </c>
      <c r="CR230" s="69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9" t="str">
        <f t="shared" si="3580"/>
        <v>|n</v>
      </c>
      <c r="CV230" s="70" t="str">
        <f t="shared" si="3581"/>
        <v>为|Cffffd24dE技能|r附魔一条|Cffffd24d随机属性|r。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656">IF(V230="","","|n"&amp;DB$2&amp;"+"&amp;V230&amp;DB$1)</f>
        <v/>
      </c>
      <c r="DC230" s="71" t="str">
        <f t="shared" si="3656"/>
        <v/>
      </c>
      <c r="DD230" s="71" t="str">
        <f t="shared" si="3656"/>
        <v/>
      </c>
      <c r="DE230" s="71" t="str">
        <f t="shared" si="3656"/>
        <v/>
      </c>
      <c r="DF230" s="71" t="str">
        <f t="shared" si="3656"/>
        <v/>
      </c>
      <c r="DG230" s="71" t="str">
        <f t="shared" si="3656"/>
        <v/>
      </c>
      <c r="DH230" s="71" t="str">
        <f t="shared" si="3656"/>
        <v/>
      </c>
      <c r="DI230" s="71" t="str">
        <f t="shared" si="3656"/>
        <v/>
      </c>
      <c r="DJ230" s="71" t="str">
        <f t="shared" si="3656"/>
        <v/>
      </c>
      <c r="DK230" s="71" t="str">
        <f t="shared" si="3656"/>
        <v/>
      </c>
      <c r="DL230" s="71" t="str">
        <f t="shared" si="3656"/>
        <v/>
      </c>
      <c r="DM230" s="71" t="str">
        <f t="shared" si="3656"/>
        <v/>
      </c>
      <c r="DN230" s="71" t="str">
        <f t="shared" si="3656"/>
        <v/>
      </c>
      <c r="DO230" s="71" t="str">
        <f t="shared" si="3656"/>
        <v/>
      </c>
      <c r="DP230" s="71" t="str">
        <f t="shared" si="3656"/>
        <v/>
      </c>
      <c r="DQ230" s="71" t="str">
        <f t="shared" si="3656"/>
        <v/>
      </c>
      <c r="DR230" s="71" t="str">
        <f t="shared" si="3656"/>
        <v/>
      </c>
      <c r="DS230" s="71" t="str">
        <f t="shared" si="3656"/>
        <v/>
      </c>
      <c r="DT230" s="71" t="str">
        <f t="shared" si="3656"/>
        <v/>
      </c>
      <c r="DU230" s="71" t="str">
        <f t="shared" si="3656"/>
        <v/>
      </c>
      <c r="DV230" s="71" t="str">
        <f t="shared" si="3656"/>
        <v/>
      </c>
      <c r="DW230" s="71" t="str">
        <f t="shared" si="3656"/>
        <v/>
      </c>
      <c r="DX230" s="71" t="str">
        <f t="shared" si="3656"/>
        <v/>
      </c>
      <c r="DY230" s="71" t="str">
        <f t="shared" si="3656"/>
        <v/>
      </c>
      <c r="DZ230" s="71" t="str">
        <f t="shared" si="3656"/>
        <v/>
      </c>
      <c r="EA230" s="71" t="str">
        <f t="shared" si="3656"/>
        <v/>
      </c>
      <c r="EB230" s="71" t="str">
        <f t="shared" si="3656"/>
        <v/>
      </c>
      <c r="EC230" s="71" t="str">
        <f t="shared" si="3656"/>
        <v/>
      </c>
      <c r="ED230" s="71" t="str">
        <f t="shared" si="3656"/>
        <v/>
      </c>
      <c r="EE230" s="71" t="str">
        <f t="shared" si="3656"/>
        <v/>
      </c>
      <c r="EF230" s="71" t="str">
        <f t="shared" si="3656"/>
        <v/>
      </c>
      <c r="EG230" s="71" t="str">
        <f t="shared" si="3656"/>
        <v/>
      </c>
      <c r="EH230" s="71" t="str">
        <f t="shared" si="3656"/>
        <v/>
      </c>
      <c r="EI230" s="71" t="str">
        <f t="shared" si="3656"/>
        <v/>
      </c>
      <c r="EJ230" s="71" t="str">
        <f t="shared" si="3656"/>
        <v/>
      </c>
      <c r="EK230" s="71" t="str">
        <f t="shared" si="3656"/>
        <v/>
      </c>
      <c r="EL230" s="71" t="str">
        <f t="shared" si="3656"/>
        <v/>
      </c>
      <c r="EM230" s="71" t="str">
        <f t="shared" si="3656"/>
        <v/>
      </c>
      <c r="EN230" s="71" t="str">
        <f t="shared" si="3656"/>
        <v/>
      </c>
      <c r="EO230" s="71" t="str">
        <f t="shared" si="3656"/>
        <v/>
      </c>
      <c r="EP230" s="71" t="str">
        <f t="shared" si="3656"/>
        <v/>
      </c>
      <c r="EQ230" s="71" t="str">
        <f t="shared" si="3656"/>
        <v/>
      </c>
      <c r="ER230" s="71" t="str">
        <f t="shared" si="3656"/>
        <v/>
      </c>
      <c r="ES230" s="71" t="str">
        <f t="shared" si="3656"/>
        <v/>
      </c>
      <c r="ET230" s="71" t="str">
        <f t="shared" si="3656"/>
        <v/>
      </c>
      <c r="EU230" s="71" t="str">
        <f t="shared" si="3656"/>
        <v/>
      </c>
      <c r="EV230" s="71" t="str">
        <f t="shared" si="3656"/>
        <v/>
      </c>
      <c r="EW230" s="71" t="str">
        <f t="shared" si="3656"/>
        <v/>
      </c>
      <c r="EX230" s="71" t="str">
        <f t="shared" si="3656"/>
        <v/>
      </c>
      <c r="EY230" s="71" t="str">
        <f t="shared" si="3656"/>
        <v/>
      </c>
      <c r="EZ230" s="71" t="str">
        <f t="shared" si="3656"/>
        <v/>
      </c>
      <c r="FA230" s="71" t="str">
        <f t="shared" si="3656"/>
        <v/>
      </c>
      <c r="FB230" s="71" t="str">
        <f t="shared" si="3656"/>
        <v/>
      </c>
      <c r="FC230" s="71" t="str">
        <f t="shared" si="3656"/>
        <v/>
      </c>
      <c r="FD230" s="71" t="str">
        <f t="shared" si="3656"/>
        <v/>
      </c>
      <c r="FE230" s="71" t="str">
        <f t="shared" si="3656"/>
        <v/>
      </c>
      <c r="FF230" s="71" t="str">
        <f t="shared" si="3656"/>
        <v/>
      </c>
      <c r="FG230" s="71" t="str">
        <f t="shared" si="3656"/>
        <v/>
      </c>
      <c r="FH230" s="71" t="str">
        <f t="shared" si="3656"/>
        <v/>
      </c>
      <c r="FI230" s="71" t="str">
        <f t="shared" si="3656"/>
        <v/>
      </c>
      <c r="FJ230" s="71" t="str">
        <f t="shared" si="3656"/>
        <v/>
      </c>
      <c r="FK230" s="71" t="str">
        <f t="shared" si="3656"/>
        <v/>
      </c>
      <c r="FL230" s="71" t="str">
        <f t="shared" si="3656"/>
        <v/>
      </c>
      <c r="FM230" s="71" t="str">
        <f t="shared" si="3656"/>
        <v/>
      </c>
      <c r="FN230" s="71" t="str">
        <f t="shared" ref="FN230:FS230" si="3657">IF(CH230="","","|n"&amp;FN$2&amp;"+"&amp;CH230&amp;FN$1)</f>
        <v/>
      </c>
      <c r="FO230" s="71" t="str">
        <f t="shared" si="3657"/>
        <v/>
      </c>
      <c r="FP230" s="71" t="str">
        <f t="shared" si="3657"/>
        <v/>
      </c>
      <c r="FQ230" s="71" t="str">
        <f t="shared" si="3657"/>
        <v/>
      </c>
      <c r="FR230" s="71" t="str">
        <f t="shared" si="3657"/>
        <v/>
      </c>
      <c r="FS230" s="71" t="str">
        <f t="shared" si="3657"/>
        <v/>
      </c>
    </row>
    <row r="231" ht="15" spans="1:175">
      <c r="A231" s="80"/>
      <c r="B231" s="105" t="s">
        <v>801</v>
      </c>
      <c r="C231" s="80" t="s">
        <v>802</v>
      </c>
      <c r="T231" s="124" t="str">
        <f t="shared" ref="T231:T233" si="3658">C231</f>
        <v>|CffFF0000占星|r</v>
      </c>
      <c r="U231" s="89" t="str">
        <f t="shared" ref="U231" si="3659">"ReplaceableTextures\\CommandButtons\\BTN"&amp;B231&amp;".blp"</f>
        <v>ReplaceableTextures\\CommandButtons\\BTNIS11.blp</v>
      </c>
      <c r="CN231" s="69" t="str">
        <f t="shared" si="3484"/>
        <v>InitUnitState('IS11',,,,,,,,,,)</v>
      </c>
      <c r="CO231" s="69" t="str">
        <f t="shared" si="3485"/>
        <v>InitUnitNormal('IS11',,,,,,,,,,)</v>
      </c>
      <c r="CP231" s="69" t="str">
        <f t="shared" si="3486"/>
        <v>InitUnitMagic('IS11',,,,,,,,,,)</v>
      </c>
      <c r="CQ231" s="69" t="str">
        <f t="shared" si="3487"/>
        <v>InitUnitAdd('IS11',,,,,,,,,,)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9" t="str">
        <f t="shared" ref="CU231:CU235" si="3660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70" t="str">
        <f t="shared" ref="CV231:CV235" si="3661">T231</f>
        <v>|CffFF0000占星|r</v>
      </c>
      <c r="CW231" s="60"/>
      <c r="CX231" s="60"/>
      <c r="CY231" s="60"/>
      <c r="CZ231" s="60"/>
      <c r="DA231" s="60"/>
      <c r="DB231" s="71" t="str">
        <f t="shared" ref="DB231" si="3662">IF(V231="","","|n"&amp;DB$2&amp;"+"&amp;V231&amp;DB$1)</f>
        <v/>
      </c>
      <c r="DC231" s="71" t="str">
        <f t="shared" ref="DC231" si="3663">IF(W231="","","|n"&amp;DC$2&amp;"+"&amp;W231&amp;DC$1)</f>
        <v/>
      </c>
      <c r="DD231" s="71" t="str">
        <f t="shared" ref="DD231" si="3664">IF(X231="","","|n"&amp;DD$2&amp;"+"&amp;X231&amp;DD$1)</f>
        <v/>
      </c>
      <c r="DE231" s="71" t="str">
        <f t="shared" ref="DE231" si="3665">IF(Y231="","","|n"&amp;DE$2&amp;"+"&amp;Y231&amp;DE$1)</f>
        <v/>
      </c>
      <c r="DF231" s="71" t="str">
        <f t="shared" ref="DF231" si="3666">IF(Z231="","","|n"&amp;DF$2&amp;"+"&amp;Z231&amp;DF$1)</f>
        <v/>
      </c>
      <c r="DG231" s="71" t="str">
        <f t="shared" ref="DG231" si="3667">IF(AA231="","","|n"&amp;DG$2&amp;"+"&amp;AA231&amp;DG$1)</f>
        <v/>
      </c>
      <c r="DH231" s="71" t="str">
        <f t="shared" ref="DH231" si="3668">IF(AB231="","","|n"&amp;DH$2&amp;"+"&amp;AB231&amp;DH$1)</f>
        <v/>
      </c>
      <c r="DI231" s="71" t="str">
        <f t="shared" ref="DI231" si="3669">IF(AC231="","","|n"&amp;DI$2&amp;"+"&amp;AC231&amp;DI$1)</f>
        <v/>
      </c>
      <c r="DJ231" s="71" t="str">
        <f t="shared" ref="DJ231" si="3670">IF(AD231="","","|n"&amp;DJ$2&amp;"+"&amp;AD231&amp;DJ$1)</f>
        <v/>
      </c>
      <c r="DK231" s="71" t="str">
        <f t="shared" ref="DK231" si="3671">IF(AE231="","","|n"&amp;DK$2&amp;"+"&amp;AE231&amp;DK$1)</f>
        <v/>
      </c>
      <c r="DL231" s="71" t="str">
        <f t="shared" ref="DL231" si="3672">IF(AF231="","","|n"&amp;DL$2&amp;"+"&amp;AF231&amp;DL$1)</f>
        <v/>
      </c>
      <c r="DM231" s="71" t="str">
        <f t="shared" ref="DM231" si="3673">IF(AG231="","","|n"&amp;DM$2&amp;"+"&amp;AG231&amp;DM$1)</f>
        <v/>
      </c>
      <c r="DN231" s="71" t="str">
        <f t="shared" ref="DN231" si="3674">IF(AH231="","","|n"&amp;DN$2&amp;"+"&amp;AH231&amp;DN$1)</f>
        <v/>
      </c>
      <c r="DO231" s="71" t="str">
        <f t="shared" ref="DO231" si="3675">IF(AI231="","","|n"&amp;DO$2&amp;"+"&amp;AI231&amp;DO$1)</f>
        <v/>
      </c>
      <c r="DP231" s="71" t="str">
        <f t="shared" ref="DP231" si="3676">IF(AJ231="","","|n"&amp;DP$2&amp;"+"&amp;AJ231&amp;DP$1)</f>
        <v/>
      </c>
      <c r="DQ231" s="71" t="str">
        <f t="shared" ref="DQ231" si="3677">IF(AK231="","","|n"&amp;DQ$2&amp;"+"&amp;AK231&amp;DQ$1)</f>
        <v/>
      </c>
      <c r="DR231" s="71" t="str">
        <f t="shared" ref="DR231" si="3678">IF(AL231="","","|n"&amp;DR$2&amp;"+"&amp;AL231&amp;DR$1)</f>
        <v/>
      </c>
      <c r="DS231" s="71" t="str">
        <f t="shared" ref="DS231" si="3679">IF(AM231="","","|n"&amp;DS$2&amp;"+"&amp;AM231&amp;DS$1)</f>
        <v/>
      </c>
      <c r="DT231" s="71" t="str">
        <f t="shared" ref="DT231" si="3680">IF(AN231="","","|n"&amp;DT$2&amp;"+"&amp;AN231&amp;DT$1)</f>
        <v/>
      </c>
      <c r="DU231" s="71" t="str">
        <f t="shared" ref="DU231" si="3681">IF(AO231="","","|n"&amp;DU$2&amp;"+"&amp;AO231&amp;DU$1)</f>
        <v/>
      </c>
      <c r="DV231" s="71" t="str">
        <f t="shared" ref="DV231" si="3682">IF(AP231="","","|n"&amp;DV$2&amp;"+"&amp;AP231&amp;DV$1)</f>
        <v/>
      </c>
      <c r="DW231" s="71" t="str">
        <f t="shared" ref="DW231" si="3683">IF(AQ231="","","|n"&amp;DW$2&amp;"+"&amp;AQ231&amp;DW$1)</f>
        <v/>
      </c>
      <c r="DX231" s="71" t="str">
        <f t="shared" ref="DX231" si="3684">IF(AR231="","","|n"&amp;DX$2&amp;"+"&amp;AR231&amp;DX$1)</f>
        <v/>
      </c>
      <c r="DY231" s="71" t="str">
        <f t="shared" ref="DY231" si="3685">IF(AS231="","","|n"&amp;DY$2&amp;"+"&amp;AS231&amp;DY$1)</f>
        <v/>
      </c>
      <c r="DZ231" s="71" t="str">
        <f t="shared" ref="DZ231" si="3686">IF(AT231="","","|n"&amp;DZ$2&amp;"+"&amp;AT231&amp;DZ$1)</f>
        <v/>
      </c>
      <c r="EA231" s="71" t="str">
        <f t="shared" ref="EA231" si="3687">IF(AU231="","","|n"&amp;EA$2&amp;"+"&amp;AU231&amp;EA$1)</f>
        <v/>
      </c>
      <c r="EB231" s="71" t="str">
        <f t="shared" ref="EB231" si="3688">IF(AV231="","","|n"&amp;EB$2&amp;"+"&amp;AV231&amp;EB$1)</f>
        <v/>
      </c>
      <c r="EC231" s="71" t="str">
        <f t="shared" ref="EC231" si="3689">IF(AW231="","","|n"&amp;EC$2&amp;"+"&amp;AW231&amp;EC$1)</f>
        <v/>
      </c>
      <c r="ED231" s="71" t="str">
        <f t="shared" ref="ED231" si="3690">IF(AX231="","","|n"&amp;ED$2&amp;"+"&amp;AX231&amp;ED$1)</f>
        <v/>
      </c>
      <c r="EE231" s="71" t="str">
        <f t="shared" ref="EE231" si="3691">IF(AY231="","","|n"&amp;EE$2&amp;"+"&amp;AY231&amp;EE$1)</f>
        <v/>
      </c>
      <c r="EF231" s="71" t="str">
        <f t="shared" ref="EF231" si="3692">IF(AZ231="","","|n"&amp;EF$2&amp;"+"&amp;AZ231&amp;EF$1)</f>
        <v/>
      </c>
      <c r="EG231" s="71" t="str">
        <f t="shared" ref="EG231" si="3693">IF(BA231="","","|n"&amp;EG$2&amp;"+"&amp;BA231&amp;EG$1)</f>
        <v/>
      </c>
      <c r="EH231" s="71" t="str">
        <f t="shared" ref="EH231" si="3694">IF(BB231="","","|n"&amp;EH$2&amp;"+"&amp;BB231&amp;EH$1)</f>
        <v/>
      </c>
      <c r="EI231" s="71" t="str">
        <f t="shared" ref="EI231" si="3695">IF(BC231="","","|n"&amp;EI$2&amp;"+"&amp;BC231&amp;EI$1)</f>
        <v/>
      </c>
      <c r="EJ231" s="71" t="str">
        <f t="shared" ref="EJ231" si="3696">IF(BD231="","","|n"&amp;EJ$2&amp;"+"&amp;BD231&amp;EJ$1)</f>
        <v/>
      </c>
      <c r="EK231" s="71" t="str">
        <f t="shared" ref="EK231" si="3697">IF(BE231="","","|n"&amp;EK$2&amp;"+"&amp;BE231&amp;EK$1)</f>
        <v/>
      </c>
      <c r="EL231" s="71" t="str">
        <f t="shared" ref="EL231" si="3698">IF(BF231="","","|n"&amp;EL$2&amp;"+"&amp;BF231&amp;EL$1)</f>
        <v/>
      </c>
      <c r="EM231" s="71" t="str">
        <f t="shared" ref="EM231" si="3699">IF(BG231="","","|n"&amp;EM$2&amp;"+"&amp;BG231&amp;EM$1)</f>
        <v/>
      </c>
      <c r="EN231" s="71" t="str">
        <f t="shared" ref="EN231" si="3700">IF(BH231="","","|n"&amp;EN$2&amp;"+"&amp;BH231&amp;EN$1)</f>
        <v/>
      </c>
      <c r="EO231" s="71" t="str">
        <f t="shared" ref="EO231" si="3701">IF(BI231="","","|n"&amp;EO$2&amp;"+"&amp;BI231&amp;EO$1)</f>
        <v/>
      </c>
      <c r="EP231" s="71" t="str">
        <f t="shared" ref="EP231" si="3702">IF(BJ231="","","|n"&amp;EP$2&amp;"+"&amp;BJ231&amp;EP$1)</f>
        <v/>
      </c>
      <c r="EQ231" s="71" t="str">
        <f t="shared" ref="EQ231" si="3703">IF(BK231="","","|n"&amp;EQ$2&amp;"+"&amp;BK231&amp;EQ$1)</f>
        <v/>
      </c>
      <c r="ER231" s="71" t="str">
        <f t="shared" ref="ER231" si="3704">IF(BL231="","","|n"&amp;ER$2&amp;"+"&amp;BL231&amp;ER$1)</f>
        <v/>
      </c>
      <c r="ES231" s="71" t="str">
        <f t="shared" ref="ES231" si="3705">IF(BM231="","","|n"&amp;ES$2&amp;"+"&amp;BM231&amp;ES$1)</f>
        <v/>
      </c>
      <c r="ET231" s="71" t="str">
        <f t="shared" ref="ET231" si="3706">IF(BN231="","","|n"&amp;ET$2&amp;"+"&amp;BN231&amp;ET$1)</f>
        <v/>
      </c>
      <c r="EU231" s="71" t="str">
        <f t="shared" ref="EU231" si="3707">IF(BO231="","","|n"&amp;EU$2&amp;"+"&amp;BO231&amp;EU$1)</f>
        <v/>
      </c>
      <c r="EV231" s="71" t="str">
        <f t="shared" ref="EV231" si="3708">IF(BP231="","","|n"&amp;EV$2&amp;"+"&amp;BP231&amp;EV$1)</f>
        <v/>
      </c>
      <c r="EW231" s="71" t="str">
        <f t="shared" ref="EW231" si="3709">IF(BQ231="","","|n"&amp;EW$2&amp;"+"&amp;BQ231&amp;EW$1)</f>
        <v/>
      </c>
      <c r="EX231" s="71" t="str">
        <f t="shared" ref="EX231" si="3710">IF(BR231="","","|n"&amp;EX$2&amp;"+"&amp;BR231&amp;EX$1)</f>
        <v/>
      </c>
      <c r="EY231" s="71" t="str">
        <f t="shared" ref="EY231" si="3711">IF(BS231="","","|n"&amp;EY$2&amp;"+"&amp;BS231&amp;EY$1)</f>
        <v/>
      </c>
      <c r="EZ231" s="71" t="str">
        <f t="shared" ref="EZ231" si="3712">IF(BT231="","","|n"&amp;EZ$2&amp;"+"&amp;BT231&amp;EZ$1)</f>
        <v/>
      </c>
      <c r="FA231" s="71" t="str">
        <f t="shared" ref="FA231" si="3713">IF(BU231="","","|n"&amp;FA$2&amp;"+"&amp;BU231&amp;FA$1)</f>
        <v/>
      </c>
      <c r="FB231" s="71" t="str">
        <f t="shared" ref="FB231" si="3714">IF(BV231="","","|n"&amp;FB$2&amp;"+"&amp;BV231&amp;FB$1)</f>
        <v/>
      </c>
      <c r="FC231" s="71" t="str">
        <f t="shared" ref="FC231" si="3715">IF(BW231="","","|n"&amp;FC$2&amp;"+"&amp;BW231&amp;FC$1)</f>
        <v/>
      </c>
      <c r="FD231" s="71" t="str">
        <f t="shared" ref="FD231" si="3716">IF(BX231="","","|n"&amp;FD$2&amp;"+"&amp;BX231&amp;FD$1)</f>
        <v/>
      </c>
      <c r="FE231" s="71" t="str">
        <f t="shared" ref="FE231" si="3717">IF(BY231="","","|n"&amp;FE$2&amp;"+"&amp;BY231&amp;FE$1)</f>
        <v/>
      </c>
      <c r="FF231" s="71" t="str">
        <f t="shared" ref="FF231" si="3718">IF(BZ231="","","|n"&amp;FF$2&amp;"+"&amp;BZ231&amp;FF$1)</f>
        <v/>
      </c>
      <c r="FG231" s="71" t="str">
        <f t="shared" ref="FG231" si="3719">IF(CA231="","","|n"&amp;FG$2&amp;"+"&amp;CA231&amp;FG$1)</f>
        <v/>
      </c>
      <c r="FH231" s="71" t="str">
        <f t="shared" ref="FH231" si="3720">IF(CB231="","","|n"&amp;FH$2&amp;"+"&amp;CB231&amp;FH$1)</f>
        <v/>
      </c>
      <c r="FI231" s="71" t="str">
        <f t="shared" ref="FI231" si="3721">IF(CC231="","","|n"&amp;FI$2&amp;"+"&amp;CC231&amp;FI$1)</f>
        <v/>
      </c>
      <c r="FJ231" s="71" t="str">
        <f t="shared" ref="FJ231" si="3722">IF(CD231="","","|n"&amp;FJ$2&amp;"+"&amp;CD231&amp;FJ$1)</f>
        <v/>
      </c>
      <c r="FK231" s="71" t="str">
        <f t="shared" ref="FK231" si="3723">IF(CE231="","","|n"&amp;FK$2&amp;"+"&amp;CE231&amp;FK$1)</f>
        <v/>
      </c>
      <c r="FL231" s="71" t="str">
        <f t="shared" ref="FL231" si="3724">IF(CF231="","","|n"&amp;FL$2&amp;"+"&amp;CF231&amp;FL$1)</f>
        <v/>
      </c>
      <c r="FM231" s="71" t="str">
        <f t="shared" ref="FM231" si="3725">IF(CG231="","","|n"&amp;FM$2&amp;"+"&amp;CG231&amp;FM$1)</f>
        <v/>
      </c>
      <c r="FN231" s="71" t="str">
        <f t="shared" ref="FN231" si="3726">IF(CH231="","","|n"&amp;FN$2&amp;"+"&amp;CH231&amp;FN$1)</f>
        <v/>
      </c>
      <c r="FO231" s="71" t="str">
        <f t="shared" ref="FO231" si="3727">IF(CI231="","","|n"&amp;FO$2&amp;"+"&amp;CI231&amp;FO$1)</f>
        <v/>
      </c>
      <c r="FP231" s="71" t="str">
        <f t="shared" ref="FP231" si="3728">IF(CJ231="","","|n"&amp;FP$2&amp;"+"&amp;CJ231&amp;FP$1)</f>
        <v/>
      </c>
      <c r="FQ231" s="71" t="str">
        <f t="shared" ref="FQ231" si="3729">IF(CK231="","","|n"&amp;FQ$2&amp;"+"&amp;CK231&amp;FQ$1)</f>
        <v/>
      </c>
      <c r="FR231" s="71" t="str">
        <f t="shared" ref="FR231" si="3730">IF(CL231="","","|n"&amp;FR$2&amp;"+"&amp;CL231&amp;FR$1)</f>
        <v/>
      </c>
      <c r="FS231" s="71" t="str">
        <f t="shared" ref="FS231" si="3731">IF(CM231="","","|n"&amp;FS$2&amp;"+"&amp;CM231&amp;FS$1)</f>
        <v/>
      </c>
    </row>
    <row r="232" ht="15" spans="1:175">
      <c r="A232" s="80"/>
      <c r="B232" s="105" t="s">
        <v>803</v>
      </c>
      <c r="C232" s="80" t="s">
        <v>804</v>
      </c>
      <c r="T232" s="124" t="str">
        <f t="shared" si="3658"/>
        <v>|CffFFD24D兽魂抽奖|r</v>
      </c>
      <c r="U232" s="89" t="s">
        <v>805</v>
      </c>
      <c r="CN232" s="69" t="str">
        <f t="shared" si="3484"/>
        <v>InitUnitState('IS12',,,,,,,,,,)</v>
      </c>
      <c r="CO232" s="69" t="str">
        <f t="shared" si="3485"/>
        <v>InitUnitNormal('IS12',,,,,,,,,,)</v>
      </c>
      <c r="CP232" s="69" t="str">
        <f t="shared" si="3486"/>
        <v>InitUnitMagic('IS12',,,,,,,,,,)</v>
      </c>
      <c r="CQ232" s="69" t="str">
        <f t="shared" si="3487"/>
        <v>InitUnitAdd('IS12',,,,,,,,,,)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9" t="str">
        <f t="shared" si="3660"/>
        <v>|n</v>
      </c>
      <c r="CV232" s="70" t="str">
        <f t="shared" si="3661"/>
        <v>|CffFFD24D兽魂抽奖|r</v>
      </c>
      <c r="CW232" s="60"/>
      <c r="CX232" s="60"/>
      <c r="CY232" s="60"/>
      <c r="CZ232" s="60"/>
      <c r="DA232" s="60"/>
      <c r="DB232" s="71" t="str">
        <f t="shared" ref="DB232:EG232" si="3732">IF(V232="","","|n"&amp;DB$2&amp;"+"&amp;V232&amp;DB$1)</f>
        <v/>
      </c>
      <c r="DC232" s="71" t="str">
        <f t="shared" si="3732"/>
        <v/>
      </c>
      <c r="DD232" s="71" t="str">
        <f t="shared" si="3732"/>
        <v/>
      </c>
      <c r="DE232" s="71" t="str">
        <f t="shared" si="3732"/>
        <v/>
      </c>
      <c r="DF232" s="71" t="str">
        <f t="shared" si="3732"/>
        <v/>
      </c>
      <c r="DG232" s="71" t="str">
        <f t="shared" si="3732"/>
        <v/>
      </c>
      <c r="DH232" s="71" t="str">
        <f t="shared" si="3732"/>
        <v/>
      </c>
      <c r="DI232" s="71" t="str">
        <f t="shared" si="3732"/>
        <v/>
      </c>
      <c r="DJ232" s="71" t="str">
        <f t="shared" si="3732"/>
        <v/>
      </c>
      <c r="DK232" s="71" t="str">
        <f t="shared" si="3732"/>
        <v/>
      </c>
      <c r="DL232" s="71" t="str">
        <f t="shared" si="3732"/>
        <v/>
      </c>
      <c r="DM232" s="71" t="str">
        <f t="shared" si="3732"/>
        <v/>
      </c>
      <c r="DN232" s="71" t="str">
        <f t="shared" si="3732"/>
        <v/>
      </c>
      <c r="DO232" s="71" t="str">
        <f t="shared" si="3732"/>
        <v/>
      </c>
      <c r="DP232" s="71" t="str">
        <f t="shared" si="3732"/>
        <v/>
      </c>
      <c r="DQ232" s="71" t="str">
        <f t="shared" si="3732"/>
        <v/>
      </c>
      <c r="DR232" s="71" t="str">
        <f t="shared" si="3732"/>
        <v/>
      </c>
      <c r="DS232" s="71" t="str">
        <f t="shared" si="3732"/>
        <v/>
      </c>
      <c r="DT232" s="71" t="str">
        <f t="shared" si="3732"/>
        <v/>
      </c>
      <c r="DU232" s="71" t="str">
        <f t="shared" si="3732"/>
        <v/>
      </c>
      <c r="DV232" s="71" t="str">
        <f t="shared" si="3732"/>
        <v/>
      </c>
      <c r="DW232" s="71" t="str">
        <f t="shared" si="3732"/>
        <v/>
      </c>
      <c r="DX232" s="71" t="str">
        <f t="shared" si="3732"/>
        <v/>
      </c>
      <c r="DY232" s="71" t="str">
        <f t="shared" si="3732"/>
        <v/>
      </c>
      <c r="DZ232" s="71" t="str">
        <f t="shared" si="3732"/>
        <v/>
      </c>
      <c r="EA232" s="71" t="str">
        <f t="shared" si="3732"/>
        <v/>
      </c>
      <c r="EB232" s="71" t="str">
        <f t="shared" si="3732"/>
        <v/>
      </c>
      <c r="EC232" s="71" t="str">
        <f t="shared" si="3732"/>
        <v/>
      </c>
      <c r="ED232" s="71" t="str">
        <f t="shared" si="3732"/>
        <v/>
      </c>
      <c r="EE232" s="71" t="str">
        <f t="shared" si="3732"/>
        <v/>
      </c>
      <c r="EF232" s="71" t="str">
        <f t="shared" si="3732"/>
        <v/>
      </c>
      <c r="EG232" s="71" t="str">
        <f t="shared" si="3732"/>
        <v/>
      </c>
      <c r="EH232" s="71" t="str">
        <f t="shared" ref="EH232:FM232" si="3733">IF(BB232="","","|n"&amp;EH$2&amp;"+"&amp;BB232&amp;EH$1)</f>
        <v/>
      </c>
      <c r="EI232" s="71" t="str">
        <f t="shared" si="3733"/>
        <v/>
      </c>
      <c r="EJ232" s="71" t="str">
        <f t="shared" si="3733"/>
        <v/>
      </c>
      <c r="EK232" s="71" t="str">
        <f t="shared" si="3733"/>
        <v/>
      </c>
      <c r="EL232" s="71" t="str">
        <f t="shared" si="3733"/>
        <v/>
      </c>
      <c r="EM232" s="71" t="str">
        <f t="shared" si="3733"/>
        <v/>
      </c>
      <c r="EN232" s="71" t="str">
        <f t="shared" si="3733"/>
        <v/>
      </c>
      <c r="EO232" s="71" t="str">
        <f t="shared" si="3733"/>
        <v/>
      </c>
      <c r="EP232" s="71" t="str">
        <f t="shared" si="3733"/>
        <v/>
      </c>
      <c r="EQ232" s="71" t="str">
        <f t="shared" si="3733"/>
        <v/>
      </c>
      <c r="ER232" s="71" t="str">
        <f t="shared" si="3733"/>
        <v/>
      </c>
      <c r="ES232" s="71" t="str">
        <f t="shared" si="3733"/>
        <v/>
      </c>
      <c r="ET232" s="71" t="str">
        <f t="shared" si="3733"/>
        <v/>
      </c>
      <c r="EU232" s="71" t="str">
        <f t="shared" si="3733"/>
        <v/>
      </c>
      <c r="EV232" s="71" t="str">
        <f t="shared" si="3733"/>
        <v/>
      </c>
      <c r="EW232" s="71" t="str">
        <f t="shared" si="3733"/>
        <v/>
      </c>
      <c r="EX232" s="71" t="str">
        <f t="shared" si="3733"/>
        <v/>
      </c>
      <c r="EY232" s="71" t="str">
        <f t="shared" si="3733"/>
        <v/>
      </c>
      <c r="EZ232" s="71" t="str">
        <f t="shared" si="3733"/>
        <v/>
      </c>
      <c r="FA232" s="71" t="str">
        <f t="shared" si="3733"/>
        <v/>
      </c>
      <c r="FB232" s="71" t="str">
        <f t="shared" si="3733"/>
        <v/>
      </c>
      <c r="FC232" s="71" t="str">
        <f t="shared" si="3733"/>
        <v/>
      </c>
      <c r="FD232" s="71" t="str">
        <f t="shared" si="3733"/>
        <v/>
      </c>
      <c r="FE232" s="71" t="str">
        <f t="shared" si="3733"/>
        <v/>
      </c>
      <c r="FF232" s="71" t="str">
        <f t="shared" si="3733"/>
        <v/>
      </c>
      <c r="FG232" s="71" t="str">
        <f t="shared" si="3733"/>
        <v/>
      </c>
      <c r="FH232" s="71" t="str">
        <f t="shared" si="3733"/>
        <v/>
      </c>
      <c r="FI232" s="71" t="str">
        <f t="shared" si="3733"/>
        <v/>
      </c>
      <c r="FJ232" s="71" t="str">
        <f t="shared" si="3733"/>
        <v/>
      </c>
      <c r="FK232" s="71" t="str">
        <f t="shared" si="3733"/>
        <v/>
      </c>
      <c r="FL232" s="71" t="str">
        <f t="shared" si="3733"/>
        <v/>
      </c>
      <c r="FM232" s="71" t="str">
        <f t="shared" si="3733"/>
        <v/>
      </c>
      <c r="FN232" s="71" t="str">
        <f t="shared" ref="FN232:FS232" si="3734">IF(CH232="","","|n"&amp;FN$2&amp;"+"&amp;CH232&amp;FN$1)</f>
        <v/>
      </c>
      <c r="FO232" s="71" t="str">
        <f t="shared" si="3734"/>
        <v/>
      </c>
      <c r="FP232" s="71" t="str">
        <f t="shared" si="3734"/>
        <v/>
      </c>
      <c r="FQ232" s="71" t="str">
        <f t="shared" si="3734"/>
        <v/>
      </c>
      <c r="FR232" s="71" t="str">
        <f t="shared" si="3734"/>
        <v/>
      </c>
      <c r="FS232" s="71" t="str">
        <f t="shared" si="3734"/>
        <v/>
      </c>
    </row>
    <row r="233" ht="15" spans="1:175">
      <c r="A233" s="80"/>
      <c r="B233" s="105" t="s">
        <v>806</v>
      </c>
      <c r="C233" s="80" t="s">
        <v>804</v>
      </c>
      <c r="T233" s="124" t="str">
        <f t="shared" si="3658"/>
        <v>|CffFFD24D兽魂抽奖|r</v>
      </c>
      <c r="U233" s="89" t="s">
        <v>805</v>
      </c>
      <c r="CN233" s="69" t="str">
        <f t="shared" si="3484"/>
        <v>InitUnitState('IZ0C',,,,,,,,,,)</v>
      </c>
      <c r="CO233" s="69" t="str">
        <f t="shared" si="3485"/>
        <v>InitUnitNormal('IZ0C',,,,,,,,,,)</v>
      </c>
      <c r="CP233" s="69" t="str">
        <f t="shared" si="3486"/>
        <v>InitUnitMagic('IZ0C',,,,,,,,,,)</v>
      </c>
      <c r="CQ233" s="69" t="str">
        <f t="shared" si="3487"/>
        <v>InitUnitAdd('IZ0C',,,,,,,,,,)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9" t="str">
        <f t="shared" si="3660"/>
        <v>|n</v>
      </c>
      <c r="CV233" s="70" t="str">
        <f t="shared" si="3661"/>
        <v>|CffFFD24D兽魂抽奖|r</v>
      </c>
      <c r="CW233" s="60"/>
      <c r="CX233" s="60"/>
      <c r="CY233" s="60"/>
      <c r="CZ233" s="60"/>
      <c r="DA233" s="60"/>
      <c r="DB233" s="71" t="str">
        <f t="shared" ref="DB233:FM233" si="3735">IF(V233="","","|n"&amp;DB$2&amp;"+"&amp;V233&amp;DB$1)</f>
        <v/>
      </c>
      <c r="DC233" s="71" t="str">
        <f t="shared" si="3735"/>
        <v/>
      </c>
      <c r="DD233" s="71" t="str">
        <f t="shared" si="3735"/>
        <v/>
      </c>
      <c r="DE233" s="71" t="str">
        <f t="shared" si="3735"/>
        <v/>
      </c>
      <c r="DF233" s="71" t="str">
        <f t="shared" si="3735"/>
        <v/>
      </c>
      <c r="DG233" s="71" t="str">
        <f t="shared" si="3735"/>
        <v/>
      </c>
      <c r="DH233" s="71" t="str">
        <f t="shared" si="3735"/>
        <v/>
      </c>
      <c r="DI233" s="71" t="str">
        <f t="shared" si="3735"/>
        <v/>
      </c>
      <c r="DJ233" s="71" t="str">
        <f t="shared" si="3735"/>
        <v/>
      </c>
      <c r="DK233" s="71" t="str">
        <f t="shared" si="3735"/>
        <v/>
      </c>
      <c r="DL233" s="71" t="str">
        <f t="shared" si="3735"/>
        <v/>
      </c>
      <c r="DM233" s="71" t="str">
        <f t="shared" si="3735"/>
        <v/>
      </c>
      <c r="DN233" s="71" t="str">
        <f t="shared" si="3735"/>
        <v/>
      </c>
      <c r="DO233" s="71" t="str">
        <f t="shared" si="3735"/>
        <v/>
      </c>
      <c r="DP233" s="71" t="str">
        <f t="shared" si="3735"/>
        <v/>
      </c>
      <c r="DQ233" s="71" t="str">
        <f t="shared" si="3735"/>
        <v/>
      </c>
      <c r="DR233" s="71" t="str">
        <f t="shared" si="3735"/>
        <v/>
      </c>
      <c r="DS233" s="71" t="str">
        <f t="shared" si="3735"/>
        <v/>
      </c>
      <c r="DT233" s="71" t="str">
        <f t="shared" si="3735"/>
        <v/>
      </c>
      <c r="DU233" s="71" t="str">
        <f t="shared" si="3735"/>
        <v/>
      </c>
      <c r="DV233" s="71" t="str">
        <f t="shared" si="3735"/>
        <v/>
      </c>
      <c r="DW233" s="71" t="str">
        <f t="shared" si="3735"/>
        <v/>
      </c>
      <c r="DX233" s="71" t="str">
        <f t="shared" si="3735"/>
        <v/>
      </c>
      <c r="DY233" s="71" t="str">
        <f t="shared" si="3735"/>
        <v/>
      </c>
      <c r="DZ233" s="71" t="str">
        <f t="shared" si="3735"/>
        <v/>
      </c>
      <c r="EA233" s="71" t="str">
        <f t="shared" si="3735"/>
        <v/>
      </c>
      <c r="EB233" s="71" t="str">
        <f t="shared" si="3735"/>
        <v/>
      </c>
      <c r="EC233" s="71" t="str">
        <f t="shared" si="3735"/>
        <v/>
      </c>
      <c r="ED233" s="71" t="str">
        <f t="shared" si="3735"/>
        <v/>
      </c>
      <c r="EE233" s="71" t="str">
        <f t="shared" si="3735"/>
        <v/>
      </c>
      <c r="EF233" s="71" t="str">
        <f t="shared" si="3735"/>
        <v/>
      </c>
      <c r="EG233" s="71" t="str">
        <f t="shared" si="3735"/>
        <v/>
      </c>
      <c r="EH233" s="71" t="str">
        <f t="shared" si="3735"/>
        <v/>
      </c>
      <c r="EI233" s="71" t="str">
        <f t="shared" si="3735"/>
        <v/>
      </c>
      <c r="EJ233" s="71" t="str">
        <f t="shared" si="3735"/>
        <v/>
      </c>
      <c r="EK233" s="71" t="str">
        <f t="shared" si="3735"/>
        <v/>
      </c>
      <c r="EL233" s="71" t="str">
        <f t="shared" si="3735"/>
        <v/>
      </c>
      <c r="EM233" s="71" t="str">
        <f t="shared" si="3735"/>
        <v/>
      </c>
      <c r="EN233" s="71" t="str">
        <f t="shared" si="3735"/>
        <v/>
      </c>
      <c r="EO233" s="71" t="str">
        <f t="shared" si="3735"/>
        <v/>
      </c>
      <c r="EP233" s="71" t="str">
        <f t="shared" si="3735"/>
        <v/>
      </c>
      <c r="EQ233" s="71" t="str">
        <f t="shared" si="3735"/>
        <v/>
      </c>
      <c r="ER233" s="71" t="str">
        <f t="shared" si="3735"/>
        <v/>
      </c>
      <c r="ES233" s="71" t="str">
        <f t="shared" si="3735"/>
        <v/>
      </c>
      <c r="ET233" s="71" t="str">
        <f t="shared" si="3735"/>
        <v/>
      </c>
      <c r="EU233" s="71" t="str">
        <f t="shared" si="3735"/>
        <v/>
      </c>
      <c r="EV233" s="71" t="str">
        <f t="shared" si="3735"/>
        <v/>
      </c>
      <c r="EW233" s="71" t="str">
        <f t="shared" si="3735"/>
        <v/>
      </c>
      <c r="EX233" s="71" t="str">
        <f t="shared" si="3735"/>
        <v/>
      </c>
      <c r="EY233" s="71" t="str">
        <f t="shared" si="3735"/>
        <v/>
      </c>
      <c r="EZ233" s="71" t="str">
        <f t="shared" si="3735"/>
        <v/>
      </c>
      <c r="FA233" s="71" t="str">
        <f t="shared" si="3735"/>
        <v/>
      </c>
      <c r="FB233" s="71" t="str">
        <f t="shared" si="3735"/>
        <v/>
      </c>
      <c r="FC233" s="71" t="str">
        <f t="shared" si="3735"/>
        <v/>
      </c>
      <c r="FD233" s="71" t="str">
        <f t="shared" si="3735"/>
        <v/>
      </c>
      <c r="FE233" s="71" t="str">
        <f t="shared" si="3735"/>
        <v/>
      </c>
      <c r="FF233" s="71" t="str">
        <f t="shared" si="3735"/>
        <v/>
      </c>
      <c r="FG233" s="71" t="str">
        <f t="shared" si="3735"/>
        <v/>
      </c>
      <c r="FH233" s="71" t="str">
        <f t="shared" si="3735"/>
        <v/>
      </c>
      <c r="FI233" s="71" t="str">
        <f t="shared" si="3735"/>
        <v/>
      </c>
      <c r="FJ233" s="71" t="str">
        <f t="shared" si="3735"/>
        <v/>
      </c>
      <c r="FK233" s="71" t="str">
        <f t="shared" si="3735"/>
        <v/>
      </c>
      <c r="FL233" s="71" t="str">
        <f t="shared" si="3735"/>
        <v/>
      </c>
      <c r="FM233" s="71" t="str">
        <f t="shared" si="3735"/>
        <v/>
      </c>
      <c r="FN233" s="71" t="str">
        <f t="shared" ref="FN233:FS233" si="3736">IF(CH233="","","|n"&amp;FN$2&amp;"+"&amp;CH233&amp;FN$1)</f>
        <v/>
      </c>
      <c r="FO233" s="71" t="str">
        <f t="shared" si="3736"/>
        <v/>
      </c>
      <c r="FP233" s="71" t="str">
        <f t="shared" si="3736"/>
        <v/>
      </c>
      <c r="FQ233" s="71" t="str">
        <f t="shared" si="3736"/>
        <v/>
      </c>
      <c r="FR233" s="71" t="str">
        <f t="shared" si="3736"/>
        <v/>
      </c>
      <c r="FS233" s="71" t="str">
        <f t="shared" si="3736"/>
        <v/>
      </c>
    </row>
    <row r="234" ht="15" spans="1:175">
      <c r="A234" s="80"/>
      <c r="B234" s="105" t="s">
        <v>807</v>
      </c>
      <c r="C234" s="80" t="s">
        <v>808</v>
      </c>
      <c r="T234" s="124" t="s">
        <v>809</v>
      </c>
      <c r="U234" s="89" t="s">
        <v>805</v>
      </c>
      <c r="CN234" s="69" t="str">
        <f t="shared" si="3484"/>
        <v>InitUnitState('IZ10',,,,,,,,,,)</v>
      </c>
      <c r="CO234" s="69" t="str">
        <f t="shared" si="3485"/>
        <v>InitUnitNormal('IZ10',,,,,,,,,,)</v>
      </c>
      <c r="CP234" s="69" t="str">
        <f t="shared" si="3486"/>
        <v>InitUnitMagic('IZ10',,,,,,,,,,)</v>
      </c>
      <c r="CQ234" s="69" t="str">
        <f t="shared" si="3487"/>
        <v>InitUnitAdd('IZ10',,,,,,,,,,)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9" t="str">
        <f t="shared" si="3660"/>
        <v>|n</v>
      </c>
      <c r="CV234" s="70" t="str">
        <f t="shared" si="3661"/>
        <v>|CffF0F0F0有几率获得|r|Cffffd24d好东西|r|Cfff0f0f0，也有可能|r|Cffcccccc打水漂|r|Cfff0f0f0。|n|n|r|Cff00ff7f观今夜星象，抽就完事了...|r</v>
      </c>
      <c r="CW234" s="60"/>
      <c r="CX234" s="60"/>
      <c r="CY234" s="60"/>
      <c r="CZ234" s="60"/>
      <c r="DA234" s="60"/>
      <c r="DB234" s="71" t="str">
        <f t="shared" ref="DB234:FM234" si="3737">IF(V234="","","|n"&amp;DB$2&amp;"+"&amp;V234&amp;DB$1)</f>
        <v/>
      </c>
      <c r="DC234" s="71" t="str">
        <f t="shared" si="3737"/>
        <v/>
      </c>
      <c r="DD234" s="71" t="str">
        <f t="shared" si="3737"/>
        <v/>
      </c>
      <c r="DE234" s="71" t="str">
        <f t="shared" si="3737"/>
        <v/>
      </c>
      <c r="DF234" s="71" t="str">
        <f t="shared" si="3737"/>
        <v/>
      </c>
      <c r="DG234" s="71" t="str">
        <f t="shared" si="3737"/>
        <v/>
      </c>
      <c r="DH234" s="71" t="str">
        <f t="shared" si="3737"/>
        <v/>
      </c>
      <c r="DI234" s="71" t="str">
        <f t="shared" si="3737"/>
        <v/>
      </c>
      <c r="DJ234" s="71" t="str">
        <f t="shared" si="3737"/>
        <v/>
      </c>
      <c r="DK234" s="71" t="str">
        <f t="shared" si="3737"/>
        <v/>
      </c>
      <c r="DL234" s="71" t="str">
        <f t="shared" si="3737"/>
        <v/>
      </c>
      <c r="DM234" s="71" t="str">
        <f t="shared" si="3737"/>
        <v/>
      </c>
      <c r="DN234" s="71" t="str">
        <f t="shared" si="3737"/>
        <v/>
      </c>
      <c r="DO234" s="71" t="str">
        <f t="shared" si="3737"/>
        <v/>
      </c>
      <c r="DP234" s="71" t="str">
        <f t="shared" si="3737"/>
        <v/>
      </c>
      <c r="DQ234" s="71" t="str">
        <f t="shared" si="3737"/>
        <v/>
      </c>
      <c r="DR234" s="71" t="str">
        <f t="shared" si="3737"/>
        <v/>
      </c>
      <c r="DS234" s="71" t="str">
        <f t="shared" si="3737"/>
        <v/>
      </c>
      <c r="DT234" s="71" t="str">
        <f t="shared" si="3737"/>
        <v/>
      </c>
      <c r="DU234" s="71" t="str">
        <f t="shared" si="3737"/>
        <v/>
      </c>
      <c r="DV234" s="71" t="str">
        <f t="shared" si="3737"/>
        <v/>
      </c>
      <c r="DW234" s="71" t="str">
        <f t="shared" si="3737"/>
        <v/>
      </c>
      <c r="DX234" s="71" t="str">
        <f t="shared" si="3737"/>
        <v/>
      </c>
      <c r="DY234" s="71" t="str">
        <f t="shared" si="3737"/>
        <v/>
      </c>
      <c r="DZ234" s="71" t="str">
        <f t="shared" si="3737"/>
        <v/>
      </c>
      <c r="EA234" s="71" t="str">
        <f t="shared" si="3737"/>
        <v/>
      </c>
      <c r="EB234" s="71" t="str">
        <f t="shared" si="3737"/>
        <v/>
      </c>
      <c r="EC234" s="71" t="str">
        <f t="shared" si="3737"/>
        <v/>
      </c>
      <c r="ED234" s="71" t="str">
        <f t="shared" si="3737"/>
        <v/>
      </c>
      <c r="EE234" s="71" t="str">
        <f t="shared" si="3737"/>
        <v/>
      </c>
      <c r="EF234" s="71" t="str">
        <f t="shared" si="3737"/>
        <v/>
      </c>
      <c r="EG234" s="71" t="str">
        <f t="shared" si="3737"/>
        <v/>
      </c>
      <c r="EH234" s="71" t="str">
        <f t="shared" si="3737"/>
        <v/>
      </c>
      <c r="EI234" s="71" t="str">
        <f t="shared" si="3737"/>
        <v/>
      </c>
      <c r="EJ234" s="71" t="str">
        <f t="shared" si="3737"/>
        <v/>
      </c>
      <c r="EK234" s="71" t="str">
        <f t="shared" si="3737"/>
        <v/>
      </c>
      <c r="EL234" s="71" t="str">
        <f t="shared" si="3737"/>
        <v/>
      </c>
      <c r="EM234" s="71" t="str">
        <f t="shared" si="3737"/>
        <v/>
      </c>
      <c r="EN234" s="71" t="str">
        <f t="shared" si="3737"/>
        <v/>
      </c>
      <c r="EO234" s="71" t="str">
        <f t="shared" si="3737"/>
        <v/>
      </c>
      <c r="EP234" s="71" t="str">
        <f t="shared" si="3737"/>
        <v/>
      </c>
      <c r="EQ234" s="71" t="str">
        <f t="shared" si="3737"/>
        <v/>
      </c>
      <c r="ER234" s="71" t="str">
        <f t="shared" si="3737"/>
        <v/>
      </c>
      <c r="ES234" s="71" t="str">
        <f t="shared" si="3737"/>
        <v/>
      </c>
      <c r="ET234" s="71" t="str">
        <f t="shared" si="3737"/>
        <v/>
      </c>
      <c r="EU234" s="71" t="str">
        <f t="shared" si="3737"/>
        <v/>
      </c>
      <c r="EV234" s="71" t="str">
        <f t="shared" si="3737"/>
        <v/>
      </c>
      <c r="EW234" s="71" t="str">
        <f t="shared" si="3737"/>
        <v/>
      </c>
      <c r="EX234" s="71" t="str">
        <f t="shared" si="3737"/>
        <v/>
      </c>
      <c r="EY234" s="71" t="str">
        <f t="shared" si="3737"/>
        <v/>
      </c>
      <c r="EZ234" s="71" t="str">
        <f t="shared" si="3737"/>
        <v/>
      </c>
      <c r="FA234" s="71" t="str">
        <f t="shared" si="3737"/>
        <v/>
      </c>
      <c r="FB234" s="71" t="str">
        <f t="shared" si="3737"/>
        <v/>
      </c>
      <c r="FC234" s="71" t="str">
        <f t="shared" si="3737"/>
        <v/>
      </c>
      <c r="FD234" s="71" t="str">
        <f t="shared" si="3737"/>
        <v/>
      </c>
      <c r="FE234" s="71" t="str">
        <f t="shared" si="3737"/>
        <v/>
      </c>
      <c r="FF234" s="71" t="str">
        <f t="shared" si="3737"/>
        <v/>
      </c>
      <c r="FG234" s="71" t="str">
        <f t="shared" si="3737"/>
        <v/>
      </c>
      <c r="FH234" s="71" t="str">
        <f t="shared" si="3737"/>
        <v/>
      </c>
      <c r="FI234" s="71" t="str">
        <f t="shared" si="3737"/>
        <v/>
      </c>
      <c r="FJ234" s="71" t="str">
        <f t="shared" si="3737"/>
        <v/>
      </c>
      <c r="FK234" s="71" t="str">
        <f t="shared" si="3737"/>
        <v/>
      </c>
      <c r="FL234" s="71" t="str">
        <f t="shared" si="3737"/>
        <v/>
      </c>
      <c r="FM234" s="71" t="str">
        <f t="shared" si="3737"/>
        <v/>
      </c>
      <c r="FN234" s="71" t="str">
        <f t="shared" ref="FN234:FS234" si="3738">IF(CH234="","","|n"&amp;FN$2&amp;"+"&amp;CH234&amp;FN$1)</f>
        <v/>
      </c>
      <c r="FO234" s="71" t="str">
        <f t="shared" si="3738"/>
        <v/>
      </c>
      <c r="FP234" s="71" t="str">
        <f t="shared" si="3738"/>
        <v/>
      </c>
      <c r="FQ234" s="71" t="str">
        <f t="shared" si="3738"/>
        <v/>
      </c>
      <c r="FR234" s="71" t="str">
        <f t="shared" si="3738"/>
        <v/>
      </c>
      <c r="FS234" s="71" t="str">
        <f t="shared" si="3738"/>
        <v/>
      </c>
    </row>
    <row r="235" ht="15" spans="1:175">
      <c r="A235" s="80"/>
      <c r="B235" s="105" t="s">
        <v>810</v>
      </c>
      <c r="C235" s="80" t="s">
        <v>811</v>
      </c>
      <c r="T235" s="124" t="s">
        <v>812</v>
      </c>
      <c r="U235" s="89" t="s">
        <v>805</v>
      </c>
      <c r="CN235" s="69" t="str">
        <f t="shared" si="3484"/>
        <v>InitUnitState('IZ11',,,,,,,,,,)</v>
      </c>
      <c r="CO235" s="69" t="str">
        <f t="shared" si="3485"/>
        <v>InitUnitNormal('IZ11',,,,,,,,,,)</v>
      </c>
      <c r="CP235" s="69" t="str">
        <f t="shared" si="3486"/>
        <v>InitUnitMagic('IZ11',,,,,,,,,,)</v>
      </c>
      <c r="CQ235" s="69" t="str">
        <f t="shared" si="3487"/>
        <v>InitUnitAdd('IZ11',,,,,,,,,,)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9" t="str">
        <f t="shared" si="3660"/>
        <v>|n</v>
      </c>
      <c r="CV235" s="70" t="str">
        <f t="shared" si="3661"/>
        <v>|CffF0F0F0有几率获得|r|Cffffd24d很多好东西|r|Cfff0f0f0，也有可能|r|Cffcccccc打很多水漂|r|Cfff0f0f0。|n|n|r|Cff00ff7f观今夜星象，使劲抽就完事了...|r</v>
      </c>
      <c r="CW235" s="60"/>
      <c r="CX235" s="60"/>
      <c r="CY235" s="60"/>
      <c r="CZ235" s="60"/>
      <c r="DA235" s="60"/>
      <c r="DB235" s="71" t="str">
        <f t="shared" ref="DB235:FM235" si="3739">IF(V235="","","|n"&amp;DB$2&amp;"+"&amp;V235&amp;DB$1)</f>
        <v/>
      </c>
      <c r="DC235" s="71" t="str">
        <f t="shared" si="3739"/>
        <v/>
      </c>
      <c r="DD235" s="71" t="str">
        <f t="shared" si="3739"/>
        <v/>
      </c>
      <c r="DE235" s="71" t="str">
        <f t="shared" si="3739"/>
        <v/>
      </c>
      <c r="DF235" s="71" t="str">
        <f t="shared" si="3739"/>
        <v/>
      </c>
      <c r="DG235" s="71" t="str">
        <f t="shared" si="3739"/>
        <v/>
      </c>
      <c r="DH235" s="71" t="str">
        <f t="shared" si="3739"/>
        <v/>
      </c>
      <c r="DI235" s="71" t="str">
        <f t="shared" si="3739"/>
        <v/>
      </c>
      <c r="DJ235" s="71" t="str">
        <f t="shared" si="3739"/>
        <v/>
      </c>
      <c r="DK235" s="71" t="str">
        <f t="shared" si="3739"/>
        <v/>
      </c>
      <c r="DL235" s="71" t="str">
        <f t="shared" si="3739"/>
        <v/>
      </c>
      <c r="DM235" s="71" t="str">
        <f t="shared" si="3739"/>
        <v/>
      </c>
      <c r="DN235" s="71" t="str">
        <f t="shared" si="3739"/>
        <v/>
      </c>
      <c r="DO235" s="71" t="str">
        <f t="shared" si="3739"/>
        <v/>
      </c>
      <c r="DP235" s="71" t="str">
        <f t="shared" si="3739"/>
        <v/>
      </c>
      <c r="DQ235" s="71" t="str">
        <f t="shared" si="3739"/>
        <v/>
      </c>
      <c r="DR235" s="71" t="str">
        <f t="shared" si="3739"/>
        <v/>
      </c>
      <c r="DS235" s="71" t="str">
        <f t="shared" si="3739"/>
        <v/>
      </c>
      <c r="DT235" s="71" t="str">
        <f t="shared" si="3739"/>
        <v/>
      </c>
      <c r="DU235" s="71" t="str">
        <f t="shared" si="3739"/>
        <v/>
      </c>
      <c r="DV235" s="71" t="str">
        <f t="shared" si="3739"/>
        <v/>
      </c>
      <c r="DW235" s="71" t="str">
        <f t="shared" si="3739"/>
        <v/>
      </c>
      <c r="DX235" s="71" t="str">
        <f t="shared" si="3739"/>
        <v/>
      </c>
      <c r="DY235" s="71" t="str">
        <f t="shared" si="3739"/>
        <v/>
      </c>
      <c r="DZ235" s="71" t="str">
        <f t="shared" si="3739"/>
        <v/>
      </c>
      <c r="EA235" s="71" t="str">
        <f t="shared" si="3739"/>
        <v/>
      </c>
      <c r="EB235" s="71" t="str">
        <f t="shared" si="3739"/>
        <v/>
      </c>
      <c r="EC235" s="71" t="str">
        <f t="shared" si="3739"/>
        <v/>
      </c>
      <c r="ED235" s="71" t="str">
        <f t="shared" si="3739"/>
        <v/>
      </c>
      <c r="EE235" s="71" t="str">
        <f t="shared" si="3739"/>
        <v/>
      </c>
      <c r="EF235" s="71" t="str">
        <f t="shared" si="3739"/>
        <v/>
      </c>
      <c r="EG235" s="71" t="str">
        <f t="shared" si="3739"/>
        <v/>
      </c>
      <c r="EH235" s="71" t="str">
        <f t="shared" si="3739"/>
        <v/>
      </c>
      <c r="EI235" s="71" t="str">
        <f t="shared" si="3739"/>
        <v/>
      </c>
      <c r="EJ235" s="71" t="str">
        <f t="shared" si="3739"/>
        <v/>
      </c>
      <c r="EK235" s="71" t="str">
        <f t="shared" si="3739"/>
        <v/>
      </c>
      <c r="EL235" s="71" t="str">
        <f t="shared" si="3739"/>
        <v/>
      </c>
      <c r="EM235" s="71" t="str">
        <f t="shared" si="3739"/>
        <v/>
      </c>
      <c r="EN235" s="71" t="str">
        <f t="shared" si="3739"/>
        <v/>
      </c>
      <c r="EO235" s="71" t="str">
        <f t="shared" si="3739"/>
        <v/>
      </c>
      <c r="EP235" s="71" t="str">
        <f t="shared" si="3739"/>
        <v/>
      </c>
      <c r="EQ235" s="71" t="str">
        <f t="shared" si="3739"/>
        <v/>
      </c>
      <c r="ER235" s="71" t="str">
        <f t="shared" si="3739"/>
        <v/>
      </c>
      <c r="ES235" s="71" t="str">
        <f t="shared" si="3739"/>
        <v/>
      </c>
      <c r="ET235" s="71" t="str">
        <f t="shared" si="3739"/>
        <v/>
      </c>
      <c r="EU235" s="71" t="str">
        <f t="shared" si="3739"/>
        <v/>
      </c>
      <c r="EV235" s="71" t="str">
        <f t="shared" si="3739"/>
        <v/>
      </c>
      <c r="EW235" s="71" t="str">
        <f t="shared" si="3739"/>
        <v/>
      </c>
      <c r="EX235" s="71" t="str">
        <f t="shared" si="3739"/>
        <v/>
      </c>
      <c r="EY235" s="71" t="str">
        <f t="shared" si="3739"/>
        <v/>
      </c>
      <c r="EZ235" s="71" t="str">
        <f t="shared" si="3739"/>
        <v/>
      </c>
      <c r="FA235" s="71" t="str">
        <f t="shared" si="3739"/>
        <v/>
      </c>
      <c r="FB235" s="71" t="str">
        <f t="shared" si="3739"/>
        <v/>
      </c>
      <c r="FC235" s="71" t="str">
        <f t="shared" si="3739"/>
        <v/>
      </c>
      <c r="FD235" s="71" t="str">
        <f t="shared" si="3739"/>
        <v/>
      </c>
      <c r="FE235" s="71" t="str">
        <f t="shared" si="3739"/>
        <v/>
      </c>
      <c r="FF235" s="71" t="str">
        <f t="shared" si="3739"/>
        <v/>
      </c>
      <c r="FG235" s="71" t="str">
        <f t="shared" si="3739"/>
        <v/>
      </c>
      <c r="FH235" s="71" t="str">
        <f t="shared" si="3739"/>
        <v/>
      </c>
      <c r="FI235" s="71" t="str">
        <f t="shared" si="3739"/>
        <v/>
      </c>
      <c r="FJ235" s="71" t="str">
        <f t="shared" si="3739"/>
        <v/>
      </c>
      <c r="FK235" s="71" t="str">
        <f t="shared" si="3739"/>
        <v/>
      </c>
      <c r="FL235" s="71" t="str">
        <f t="shared" si="3739"/>
        <v/>
      </c>
      <c r="FM235" s="71" t="str">
        <f t="shared" si="3739"/>
        <v/>
      </c>
      <c r="FN235" s="71" t="str">
        <f t="shared" ref="FN235:FS235" si="3740">IF(CH235="","","|n"&amp;FN$2&amp;"+"&amp;CH235&amp;FN$1)</f>
        <v/>
      </c>
      <c r="FO235" s="71" t="str">
        <f t="shared" si="3740"/>
        <v/>
      </c>
      <c r="FP235" s="71" t="str">
        <f t="shared" si="3740"/>
        <v/>
      </c>
      <c r="FQ235" s="71" t="str">
        <f t="shared" si="3740"/>
        <v/>
      </c>
      <c r="FR235" s="71" t="str">
        <f t="shared" si="3740"/>
        <v/>
      </c>
      <c r="FS235" s="71" t="str">
        <f t="shared" si="3740"/>
        <v/>
      </c>
    </row>
    <row r="236" ht="15" spans="1:175">
      <c r="A236" s="80"/>
      <c r="B236" s="105" t="s">
        <v>813</v>
      </c>
      <c r="C236" s="80" t="s">
        <v>814</v>
      </c>
      <c r="T236" s="130" t="s">
        <v>815</v>
      </c>
      <c r="U236" s="89" t="s">
        <v>319</v>
      </c>
      <c r="CN236" s="69" t="str">
        <f t="shared" ref="CN236" si="3741">"InitUnitState('"&amp;B236&amp;"',"&amp;V236&amp;","&amp;W236&amp;","&amp;X236&amp;","&amp;Y236&amp;","&amp;Z236&amp;","&amp;AA236&amp;","&amp;AB236&amp;","&amp;AC236&amp;","&amp;AD236&amp;","&amp;AE236&amp;")"</f>
        <v>InitUnitState('IS13',,,,,,,,,,)</v>
      </c>
      <c r="CO236" s="69" t="str">
        <f t="shared" ref="CO236" si="3742">"InitUnitNormal('"&amp;B236&amp;"',"&amp;AF236&amp;","&amp;AG236&amp;","&amp;AH236&amp;","&amp;AI236&amp;","&amp;AJ236&amp;","&amp;AK236&amp;","&amp;AL236&amp;","&amp;AM236&amp;","&amp;AN236&amp;","&amp;AO236&amp;")"</f>
        <v>InitUnitNormal('IS13',,,,,,,,,,)</v>
      </c>
      <c r="CP236" s="69" t="str">
        <f t="shared" ref="CP236" si="3743">"InitUnitMagic('"&amp;B236&amp;"',"&amp;AP236&amp;","&amp;AQ236&amp;","&amp;AR236&amp;","&amp;AS236&amp;","&amp;AT236&amp;","&amp;AU236&amp;","&amp;AV236&amp;","&amp;AW236&amp;","&amp;BI236&amp;","&amp;BJ236&amp;")"</f>
        <v>InitUnitMagic('IS13',,,,,,,,,,)</v>
      </c>
      <c r="CQ236" s="69" t="str">
        <f t="shared" ref="CQ236" si="3744">"InitUnitAdd('"&amp;B236&amp;"',"&amp;BK236&amp;","&amp;BL236&amp;","&amp;BM236&amp;","&amp;BN236&amp;","&amp;BO236&amp;","&amp;BP236&amp;","&amp;BQ236&amp;","&amp;BR236&amp;","&amp;BS236&amp;","&amp;BT236&amp;")"</f>
        <v>InitUnitAdd('IS13',,,,,,,,,,)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9" t="str">
        <f t="shared" ref="CU236:CU238" si="3745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70" t="str">
        <f t="shared" ref="CV236:CV238" si="3746">T236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6" s="60"/>
      <c r="CX236" s="60"/>
      <c r="CY236" s="60"/>
      <c r="CZ236" s="60"/>
      <c r="DA236" s="60"/>
      <c r="DB236" s="71" t="str">
        <f t="shared" ref="DB236" si="3747">IF(V236="","","|n"&amp;DB$2&amp;"+"&amp;V236&amp;DB$1)</f>
        <v/>
      </c>
      <c r="DC236" s="71" t="str">
        <f t="shared" ref="DC236" si="3748">IF(W236="","","|n"&amp;DC$2&amp;"+"&amp;W236&amp;DC$1)</f>
        <v/>
      </c>
      <c r="DD236" s="71" t="str">
        <f t="shared" ref="DD236" si="3749">IF(X236="","","|n"&amp;DD$2&amp;"+"&amp;X236&amp;DD$1)</f>
        <v/>
      </c>
      <c r="DE236" s="71" t="str">
        <f t="shared" ref="DE236" si="3750">IF(Y236="","","|n"&amp;DE$2&amp;"+"&amp;Y236&amp;DE$1)</f>
        <v/>
      </c>
      <c r="DF236" s="71" t="str">
        <f t="shared" ref="DF236" si="3751">IF(Z236="","","|n"&amp;DF$2&amp;"+"&amp;Z236&amp;DF$1)</f>
        <v/>
      </c>
      <c r="DG236" s="71" t="str">
        <f t="shared" ref="DG236" si="3752">IF(AA236="","","|n"&amp;DG$2&amp;"+"&amp;AA236&amp;DG$1)</f>
        <v/>
      </c>
      <c r="DH236" s="71" t="str">
        <f t="shared" ref="DH236" si="3753">IF(AB236="","","|n"&amp;DH$2&amp;"+"&amp;AB236&amp;DH$1)</f>
        <v/>
      </c>
      <c r="DI236" s="71" t="str">
        <f t="shared" ref="DI236" si="3754">IF(AC236="","","|n"&amp;DI$2&amp;"+"&amp;AC236&amp;DI$1)</f>
        <v/>
      </c>
      <c r="DJ236" s="71" t="str">
        <f t="shared" ref="DJ236" si="3755">IF(AD236="","","|n"&amp;DJ$2&amp;"+"&amp;AD236&amp;DJ$1)</f>
        <v/>
      </c>
      <c r="DK236" s="71" t="str">
        <f t="shared" ref="DK236" si="3756">IF(AE236="","","|n"&amp;DK$2&amp;"+"&amp;AE236&amp;DK$1)</f>
        <v/>
      </c>
      <c r="DL236" s="71" t="str">
        <f t="shared" ref="DL236" si="3757">IF(AF236="","","|n"&amp;DL$2&amp;"+"&amp;AF236&amp;DL$1)</f>
        <v/>
      </c>
      <c r="DM236" s="71" t="str">
        <f t="shared" ref="DM236" si="3758">IF(AG236="","","|n"&amp;DM$2&amp;"+"&amp;AG236&amp;DM$1)</f>
        <v/>
      </c>
      <c r="DN236" s="71" t="str">
        <f t="shared" ref="DN236" si="3759">IF(AH236="","","|n"&amp;DN$2&amp;"+"&amp;AH236&amp;DN$1)</f>
        <v/>
      </c>
      <c r="DO236" s="71" t="str">
        <f t="shared" ref="DO236" si="3760">IF(AI236="","","|n"&amp;DO$2&amp;"+"&amp;AI236&amp;DO$1)</f>
        <v/>
      </c>
      <c r="DP236" s="71" t="str">
        <f t="shared" ref="DP236" si="3761">IF(AJ236="","","|n"&amp;DP$2&amp;"+"&amp;AJ236&amp;DP$1)</f>
        <v/>
      </c>
      <c r="DQ236" s="71" t="str">
        <f t="shared" ref="DQ236" si="3762">IF(AK236="","","|n"&amp;DQ$2&amp;"+"&amp;AK236&amp;DQ$1)</f>
        <v/>
      </c>
      <c r="DR236" s="71" t="str">
        <f t="shared" ref="DR236" si="3763">IF(AL236="","","|n"&amp;DR$2&amp;"+"&amp;AL236&amp;DR$1)</f>
        <v/>
      </c>
      <c r="DS236" s="71" t="str">
        <f t="shared" ref="DS236" si="3764">IF(AM236="","","|n"&amp;DS$2&amp;"+"&amp;AM236&amp;DS$1)</f>
        <v/>
      </c>
      <c r="DT236" s="71" t="str">
        <f t="shared" ref="DT236" si="3765">IF(AN236="","","|n"&amp;DT$2&amp;"+"&amp;AN236&amp;DT$1)</f>
        <v/>
      </c>
      <c r="DU236" s="71" t="str">
        <f t="shared" ref="DU236" si="3766">IF(AO236="","","|n"&amp;DU$2&amp;"+"&amp;AO236&amp;DU$1)</f>
        <v/>
      </c>
      <c r="DV236" s="71" t="str">
        <f t="shared" ref="DV236" si="3767">IF(AP236="","","|n"&amp;DV$2&amp;"+"&amp;AP236&amp;DV$1)</f>
        <v/>
      </c>
      <c r="DW236" s="71" t="str">
        <f t="shared" ref="DW236" si="3768">IF(AQ236="","","|n"&amp;DW$2&amp;"+"&amp;AQ236&amp;DW$1)</f>
        <v/>
      </c>
      <c r="DX236" s="71" t="str">
        <f t="shared" ref="DX236" si="3769">IF(AR236="","","|n"&amp;DX$2&amp;"+"&amp;AR236&amp;DX$1)</f>
        <v/>
      </c>
      <c r="DY236" s="71" t="str">
        <f t="shared" ref="DY236" si="3770">IF(AS236="","","|n"&amp;DY$2&amp;"+"&amp;AS236&amp;DY$1)</f>
        <v/>
      </c>
      <c r="DZ236" s="71" t="str">
        <f t="shared" ref="DZ236" si="3771">IF(AT236="","","|n"&amp;DZ$2&amp;"+"&amp;AT236&amp;DZ$1)</f>
        <v/>
      </c>
      <c r="EA236" s="71" t="str">
        <f t="shared" ref="EA236" si="3772">IF(AU236="","","|n"&amp;EA$2&amp;"+"&amp;AU236&amp;EA$1)</f>
        <v/>
      </c>
      <c r="EB236" s="71" t="str">
        <f t="shared" ref="EB236" si="3773">IF(AV236="","","|n"&amp;EB$2&amp;"+"&amp;AV236&amp;EB$1)</f>
        <v/>
      </c>
      <c r="EC236" s="71" t="str">
        <f t="shared" ref="EC236" si="3774">IF(AW236="","","|n"&amp;EC$2&amp;"+"&amp;AW236&amp;EC$1)</f>
        <v/>
      </c>
      <c r="ED236" s="71" t="str">
        <f t="shared" ref="ED236" si="3775">IF(AX236="","","|n"&amp;ED$2&amp;"+"&amp;AX236&amp;ED$1)</f>
        <v/>
      </c>
      <c r="EE236" s="71" t="str">
        <f t="shared" ref="EE236" si="3776">IF(AY236="","","|n"&amp;EE$2&amp;"+"&amp;AY236&amp;EE$1)</f>
        <v/>
      </c>
      <c r="EF236" s="71" t="str">
        <f t="shared" ref="EF236" si="3777">IF(AZ236="","","|n"&amp;EF$2&amp;"+"&amp;AZ236&amp;EF$1)</f>
        <v/>
      </c>
      <c r="EG236" s="71" t="str">
        <f t="shared" ref="EG236" si="3778">IF(BA236="","","|n"&amp;EG$2&amp;"+"&amp;BA236&amp;EG$1)</f>
        <v/>
      </c>
      <c r="EH236" s="71" t="str">
        <f t="shared" ref="EH236" si="3779">IF(BB236="","","|n"&amp;EH$2&amp;"+"&amp;BB236&amp;EH$1)</f>
        <v/>
      </c>
      <c r="EI236" s="71" t="str">
        <f t="shared" ref="EI236" si="3780">IF(BC236="","","|n"&amp;EI$2&amp;"+"&amp;BC236&amp;EI$1)</f>
        <v/>
      </c>
      <c r="EJ236" s="71" t="str">
        <f t="shared" ref="EJ236" si="3781">IF(BD236="","","|n"&amp;EJ$2&amp;"+"&amp;BD236&amp;EJ$1)</f>
        <v/>
      </c>
      <c r="EK236" s="71" t="str">
        <f t="shared" ref="EK236" si="3782">IF(BE236="","","|n"&amp;EK$2&amp;"+"&amp;BE236&amp;EK$1)</f>
        <v/>
      </c>
      <c r="EL236" s="71" t="str">
        <f t="shared" ref="EL236" si="3783">IF(BF236="","","|n"&amp;EL$2&amp;"+"&amp;BF236&amp;EL$1)</f>
        <v/>
      </c>
      <c r="EM236" s="71" t="str">
        <f t="shared" ref="EM236" si="3784">IF(BG236="","","|n"&amp;EM$2&amp;"+"&amp;BG236&amp;EM$1)</f>
        <v/>
      </c>
      <c r="EN236" s="71" t="str">
        <f t="shared" ref="EN236" si="3785">IF(BH236="","","|n"&amp;EN$2&amp;"+"&amp;BH236&amp;EN$1)</f>
        <v/>
      </c>
      <c r="EO236" s="71" t="str">
        <f t="shared" ref="EO236" si="3786">IF(BI236="","","|n"&amp;EO$2&amp;"+"&amp;BI236&amp;EO$1)</f>
        <v/>
      </c>
      <c r="EP236" s="71" t="str">
        <f t="shared" ref="EP236" si="3787">IF(BJ236="","","|n"&amp;EP$2&amp;"+"&amp;BJ236&amp;EP$1)</f>
        <v/>
      </c>
      <c r="EQ236" s="71" t="str">
        <f t="shared" ref="EQ236" si="3788">IF(BK236="","","|n"&amp;EQ$2&amp;"+"&amp;BK236&amp;EQ$1)</f>
        <v/>
      </c>
      <c r="ER236" s="71" t="str">
        <f t="shared" ref="ER236" si="3789">IF(BL236="","","|n"&amp;ER$2&amp;"+"&amp;BL236&amp;ER$1)</f>
        <v/>
      </c>
      <c r="ES236" s="71" t="str">
        <f t="shared" ref="ES236" si="3790">IF(BM236="","","|n"&amp;ES$2&amp;"+"&amp;BM236&amp;ES$1)</f>
        <v/>
      </c>
      <c r="ET236" s="71" t="str">
        <f t="shared" ref="ET236" si="3791">IF(BN236="","","|n"&amp;ET$2&amp;"+"&amp;BN236&amp;ET$1)</f>
        <v/>
      </c>
      <c r="EU236" s="71" t="str">
        <f t="shared" ref="EU236" si="3792">IF(BO236="","","|n"&amp;EU$2&amp;"+"&amp;BO236&amp;EU$1)</f>
        <v/>
      </c>
      <c r="EV236" s="71" t="str">
        <f t="shared" ref="EV236" si="3793">IF(BP236="","","|n"&amp;EV$2&amp;"+"&amp;BP236&amp;EV$1)</f>
        <v/>
      </c>
      <c r="EW236" s="71" t="str">
        <f t="shared" ref="EW236" si="3794">IF(BQ236="","","|n"&amp;EW$2&amp;"+"&amp;BQ236&amp;EW$1)</f>
        <v/>
      </c>
      <c r="EX236" s="71" t="str">
        <f t="shared" ref="EX236" si="3795">IF(BR236="","","|n"&amp;EX$2&amp;"+"&amp;BR236&amp;EX$1)</f>
        <v/>
      </c>
      <c r="EY236" s="71" t="str">
        <f t="shared" ref="EY236" si="3796">IF(BS236="","","|n"&amp;EY$2&amp;"+"&amp;BS236&amp;EY$1)</f>
        <v/>
      </c>
      <c r="EZ236" s="71" t="str">
        <f t="shared" ref="EZ236" si="3797">IF(BT236="","","|n"&amp;EZ$2&amp;"+"&amp;BT236&amp;EZ$1)</f>
        <v/>
      </c>
      <c r="FA236" s="71" t="str">
        <f t="shared" ref="FA236" si="3798">IF(BU236="","","|n"&amp;FA$2&amp;"+"&amp;BU236&amp;FA$1)</f>
        <v/>
      </c>
      <c r="FB236" s="71" t="str">
        <f t="shared" ref="FB236" si="3799">IF(BV236="","","|n"&amp;FB$2&amp;"+"&amp;BV236&amp;FB$1)</f>
        <v/>
      </c>
      <c r="FC236" s="71" t="str">
        <f t="shared" ref="FC236" si="3800">IF(BW236="","","|n"&amp;FC$2&amp;"+"&amp;BW236&amp;FC$1)</f>
        <v/>
      </c>
      <c r="FD236" s="71" t="str">
        <f t="shared" ref="FD236" si="3801">IF(BX236="","","|n"&amp;FD$2&amp;"+"&amp;BX236&amp;FD$1)</f>
        <v/>
      </c>
      <c r="FE236" s="71" t="str">
        <f t="shared" ref="FE236" si="3802">IF(BY236="","","|n"&amp;FE$2&amp;"+"&amp;BY236&amp;FE$1)</f>
        <v/>
      </c>
      <c r="FF236" s="71" t="str">
        <f t="shared" ref="FF236" si="3803">IF(BZ236="","","|n"&amp;FF$2&amp;"+"&amp;BZ236&amp;FF$1)</f>
        <v/>
      </c>
      <c r="FG236" s="71" t="str">
        <f t="shared" ref="FG236" si="3804">IF(CA236="","","|n"&amp;FG$2&amp;"+"&amp;CA236&amp;FG$1)</f>
        <v/>
      </c>
      <c r="FH236" s="71" t="str">
        <f t="shared" ref="FH236" si="3805">IF(CB236="","","|n"&amp;FH$2&amp;"+"&amp;CB236&amp;FH$1)</f>
        <v/>
      </c>
      <c r="FI236" s="71" t="str">
        <f t="shared" ref="FI236" si="3806">IF(CC236="","","|n"&amp;FI$2&amp;"+"&amp;CC236&amp;FI$1)</f>
        <v/>
      </c>
      <c r="FJ236" s="71" t="str">
        <f t="shared" ref="FJ236" si="3807">IF(CD236="","","|n"&amp;FJ$2&amp;"+"&amp;CD236&amp;FJ$1)</f>
        <v/>
      </c>
      <c r="FK236" s="71" t="str">
        <f t="shared" ref="FK236" si="3808">IF(CE236="","","|n"&amp;FK$2&amp;"+"&amp;CE236&amp;FK$1)</f>
        <v/>
      </c>
      <c r="FL236" s="71" t="str">
        <f t="shared" ref="FL236" si="3809">IF(CF236="","","|n"&amp;FL$2&amp;"+"&amp;CF236&amp;FL$1)</f>
        <v/>
      </c>
      <c r="FM236" s="71" t="str">
        <f t="shared" ref="FM236" si="3810">IF(CG236="","","|n"&amp;FM$2&amp;"+"&amp;CG236&amp;FM$1)</f>
        <v/>
      </c>
      <c r="FN236" s="71" t="str">
        <f t="shared" ref="FN236" si="3811">IF(CH236="","","|n"&amp;FN$2&amp;"+"&amp;CH236&amp;FN$1)</f>
        <v/>
      </c>
      <c r="FO236" s="71" t="str">
        <f t="shared" ref="FO236" si="3812">IF(CI236="","","|n"&amp;FO$2&amp;"+"&amp;CI236&amp;FO$1)</f>
        <v/>
      </c>
      <c r="FP236" s="71" t="str">
        <f t="shared" ref="FP236" si="3813">IF(CJ236="","","|n"&amp;FP$2&amp;"+"&amp;CJ236&amp;FP$1)</f>
        <v/>
      </c>
      <c r="FQ236" s="71" t="str">
        <f t="shared" ref="FQ236" si="3814">IF(CK236="","","|n"&amp;FQ$2&amp;"+"&amp;CK236&amp;FQ$1)</f>
        <v/>
      </c>
      <c r="FR236" s="71" t="str">
        <f t="shared" ref="FR236" si="3815">IF(CL236="","","|n"&amp;FR$2&amp;"+"&amp;CL236&amp;FR$1)</f>
        <v/>
      </c>
      <c r="FS236" s="71" t="str">
        <f t="shared" ref="FS236" si="3816">IF(CM236="","","|n"&amp;FS$2&amp;"+"&amp;CM236&amp;FS$1)</f>
        <v/>
      </c>
    </row>
    <row r="237" ht="15" spans="1:175">
      <c r="A237" s="80"/>
      <c r="B237" s="105" t="s">
        <v>816</v>
      </c>
      <c r="C237" s="80" t="s">
        <v>817</v>
      </c>
      <c r="T237" s="113" t="s">
        <v>818</v>
      </c>
      <c r="U237" s="121" t="s">
        <v>819</v>
      </c>
      <c r="CN237" s="69" t="str">
        <f t="shared" ref="CN237:CN241" si="3817">"InitUnitState('"&amp;B237&amp;"',"&amp;V237&amp;","&amp;W237&amp;","&amp;X237&amp;","&amp;Y237&amp;","&amp;Z237&amp;","&amp;AA237&amp;","&amp;AB237&amp;","&amp;AC237&amp;","&amp;AD237&amp;","&amp;AE237&amp;")"</f>
        <v>InitUnitState('IS14',,,,,,,,,,)</v>
      </c>
      <c r="CO237" s="69" t="str">
        <f t="shared" ref="CO237:CO241" si="3818">"InitUnitNormal('"&amp;B237&amp;"',"&amp;AF237&amp;","&amp;AG237&amp;","&amp;AH237&amp;","&amp;AI237&amp;","&amp;AJ237&amp;","&amp;AK237&amp;","&amp;AL237&amp;","&amp;AM237&amp;","&amp;AN237&amp;","&amp;AO237&amp;")"</f>
        <v>InitUnitNormal('IS14',,,,,,,,,,)</v>
      </c>
      <c r="CP237" s="69" t="str">
        <f t="shared" ref="CP237:CP241" si="3819">"InitUnitMagic('"&amp;B237&amp;"',"&amp;AP237&amp;","&amp;AQ237&amp;","&amp;AR237&amp;","&amp;AS237&amp;","&amp;AT237&amp;","&amp;AU237&amp;","&amp;AV237&amp;","&amp;AW237&amp;","&amp;BI237&amp;","&amp;BJ237&amp;")"</f>
        <v>InitUnitMagic('IS14',,,,,,,,,,)</v>
      </c>
      <c r="CQ237" s="69" t="str">
        <f t="shared" ref="CQ237:CQ241" si="3820">"InitUnitAdd('"&amp;B237&amp;"',"&amp;BK237&amp;","&amp;BL237&amp;","&amp;BM237&amp;","&amp;BN237&amp;","&amp;BO237&amp;","&amp;BP237&amp;","&amp;BQ237&amp;","&amp;BR237&amp;","&amp;BS237&amp;","&amp;BT237&amp;")"</f>
        <v>InitUnitAdd('IS14',,,,,,,,,,)</v>
      </c>
      <c r="CR237" s="69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225&amp;CR$1&amp;")"</f>
        <v>InitEquipData('IS14',,"",,,,,'','','','','','',"ReplaceableTextures\\CommandButtons\\BTNIN01.blp")</v>
      </c>
      <c r="CU237" s="99" t="str">
        <f t="shared" si="3745"/>
        <v>|n</v>
      </c>
      <c r="CV237" s="70" t="str">
        <f t="shared" si="3746"/>
        <v>|cffffcc00升级消耗：|r150+等级*150杀敌数|n|n|cff00ff7f最高升至10级|r</v>
      </c>
      <c r="CW237" s="60"/>
      <c r="CX237" s="60"/>
      <c r="CY237" s="60"/>
      <c r="CZ237" s="60"/>
      <c r="DA237" s="60"/>
      <c r="DB237" s="71" t="str">
        <f t="shared" ref="DB237:EG238" si="3821">IF(V237="","","|n"&amp;DB$2&amp;"+"&amp;V237&amp;DB$1)</f>
        <v/>
      </c>
      <c r="DC237" s="71" t="str">
        <f t="shared" si="3821"/>
        <v/>
      </c>
      <c r="DD237" s="71" t="str">
        <f t="shared" si="3821"/>
        <v/>
      </c>
      <c r="DE237" s="71" t="str">
        <f t="shared" si="3821"/>
        <v/>
      </c>
      <c r="DF237" s="71" t="str">
        <f t="shared" si="3821"/>
        <v/>
      </c>
      <c r="DG237" s="71" t="str">
        <f t="shared" si="3821"/>
        <v/>
      </c>
      <c r="DH237" s="71" t="str">
        <f t="shared" si="3821"/>
        <v/>
      </c>
      <c r="DI237" s="71" t="str">
        <f t="shared" si="3821"/>
        <v/>
      </c>
      <c r="DJ237" s="71" t="str">
        <f t="shared" si="3821"/>
        <v/>
      </c>
      <c r="DK237" s="71" t="str">
        <f t="shared" si="3821"/>
        <v/>
      </c>
      <c r="DL237" s="71" t="str">
        <f t="shared" si="3821"/>
        <v/>
      </c>
      <c r="DM237" s="71" t="str">
        <f t="shared" si="3821"/>
        <v/>
      </c>
      <c r="DN237" s="71" t="str">
        <f t="shared" si="3821"/>
        <v/>
      </c>
      <c r="DO237" s="71" t="str">
        <f t="shared" si="3821"/>
        <v/>
      </c>
      <c r="DP237" s="71" t="str">
        <f t="shared" si="3821"/>
        <v/>
      </c>
      <c r="DQ237" s="71" t="str">
        <f t="shared" si="3821"/>
        <v/>
      </c>
      <c r="DR237" s="71" t="str">
        <f t="shared" si="3821"/>
        <v/>
      </c>
      <c r="DS237" s="71" t="str">
        <f t="shared" si="3821"/>
        <v/>
      </c>
      <c r="DT237" s="71" t="str">
        <f t="shared" si="3821"/>
        <v/>
      </c>
      <c r="DU237" s="71" t="str">
        <f t="shared" si="3821"/>
        <v/>
      </c>
      <c r="DV237" s="71" t="str">
        <f t="shared" si="3821"/>
        <v/>
      </c>
      <c r="DW237" s="71" t="str">
        <f t="shared" si="3821"/>
        <v/>
      </c>
      <c r="DX237" s="71" t="str">
        <f t="shared" si="3821"/>
        <v/>
      </c>
      <c r="DY237" s="71" t="str">
        <f t="shared" si="3821"/>
        <v/>
      </c>
      <c r="DZ237" s="71" t="str">
        <f t="shared" si="3821"/>
        <v/>
      </c>
      <c r="EA237" s="71" t="str">
        <f t="shared" si="3821"/>
        <v/>
      </c>
      <c r="EB237" s="71" t="str">
        <f t="shared" si="3821"/>
        <v/>
      </c>
      <c r="EC237" s="71" t="str">
        <f t="shared" si="3821"/>
        <v/>
      </c>
      <c r="ED237" s="71" t="str">
        <f t="shared" si="3821"/>
        <v/>
      </c>
      <c r="EE237" s="71" t="str">
        <f t="shared" si="3821"/>
        <v/>
      </c>
      <c r="EF237" s="71" t="str">
        <f t="shared" si="3821"/>
        <v/>
      </c>
      <c r="EG237" s="71" t="str">
        <f t="shared" si="3821"/>
        <v/>
      </c>
      <c r="EH237" s="71" t="str">
        <f t="shared" ref="EH237:FM238" si="3822">IF(BB237="","","|n"&amp;EH$2&amp;"+"&amp;BB237&amp;EH$1)</f>
        <v/>
      </c>
      <c r="EI237" s="71" t="str">
        <f t="shared" si="3822"/>
        <v/>
      </c>
      <c r="EJ237" s="71" t="str">
        <f t="shared" si="3822"/>
        <v/>
      </c>
      <c r="EK237" s="71" t="str">
        <f t="shared" si="3822"/>
        <v/>
      </c>
      <c r="EL237" s="71" t="str">
        <f t="shared" si="3822"/>
        <v/>
      </c>
      <c r="EM237" s="71" t="str">
        <f t="shared" si="3822"/>
        <v/>
      </c>
      <c r="EN237" s="71" t="str">
        <f t="shared" si="3822"/>
        <v/>
      </c>
      <c r="EO237" s="71" t="str">
        <f t="shared" si="3822"/>
        <v/>
      </c>
      <c r="EP237" s="71" t="str">
        <f t="shared" si="3822"/>
        <v/>
      </c>
      <c r="EQ237" s="71" t="str">
        <f t="shared" si="3822"/>
        <v/>
      </c>
      <c r="ER237" s="71" t="str">
        <f t="shared" si="3822"/>
        <v/>
      </c>
      <c r="ES237" s="71" t="str">
        <f t="shared" si="3822"/>
        <v/>
      </c>
      <c r="ET237" s="71" t="str">
        <f t="shared" si="3822"/>
        <v/>
      </c>
      <c r="EU237" s="71" t="str">
        <f t="shared" si="3822"/>
        <v/>
      </c>
      <c r="EV237" s="71" t="str">
        <f t="shared" si="3822"/>
        <v/>
      </c>
      <c r="EW237" s="71" t="str">
        <f t="shared" si="3822"/>
        <v/>
      </c>
      <c r="EX237" s="71" t="str">
        <f t="shared" si="3822"/>
        <v/>
      </c>
      <c r="EY237" s="71" t="str">
        <f t="shared" si="3822"/>
        <v/>
      </c>
      <c r="EZ237" s="71" t="str">
        <f t="shared" si="3822"/>
        <v/>
      </c>
      <c r="FA237" s="71" t="str">
        <f t="shared" si="3822"/>
        <v/>
      </c>
      <c r="FB237" s="71" t="str">
        <f t="shared" si="3822"/>
        <v/>
      </c>
      <c r="FC237" s="71" t="str">
        <f t="shared" si="3822"/>
        <v/>
      </c>
      <c r="FD237" s="71" t="str">
        <f t="shared" si="3822"/>
        <v/>
      </c>
      <c r="FE237" s="71" t="str">
        <f t="shared" si="3822"/>
        <v/>
      </c>
      <c r="FF237" s="71" t="str">
        <f t="shared" si="3822"/>
        <v/>
      </c>
      <c r="FG237" s="71" t="str">
        <f t="shared" si="3822"/>
        <v/>
      </c>
      <c r="FH237" s="71" t="str">
        <f t="shared" si="3822"/>
        <v/>
      </c>
      <c r="FI237" s="71" t="str">
        <f t="shared" si="3822"/>
        <v/>
      </c>
      <c r="FJ237" s="71" t="str">
        <f t="shared" si="3822"/>
        <v/>
      </c>
      <c r="FK237" s="71" t="str">
        <f t="shared" si="3822"/>
        <v/>
      </c>
      <c r="FL237" s="71" t="str">
        <f t="shared" si="3822"/>
        <v/>
      </c>
      <c r="FM237" s="71" t="str">
        <f t="shared" si="3822"/>
        <v/>
      </c>
      <c r="FN237" s="71" t="str">
        <f t="shared" ref="FN237:FS238" si="3823">IF(CH237="","","|n"&amp;FN$2&amp;"+"&amp;CH237&amp;FN$1)</f>
        <v/>
      </c>
      <c r="FO237" s="71" t="str">
        <f t="shared" si="3823"/>
        <v/>
      </c>
      <c r="FP237" s="71" t="str">
        <f t="shared" si="3823"/>
        <v/>
      </c>
      <c r="FQ237" s="71" t="str">
        <f t="shared" si="3823"/>
        <v/>
      </c>
      <c r="FR237" s="71" t="str">
        <f t="shared" si="3823"/>
        <v/>
      </c>
      <c r="FS237" s="71" t="str">
        <f t="shared" si="3823"/>
        <v/>
      </c>
    </row>
    <row r="238" ht="14.4" spans="1:175">
      <c r="A238" s="80"/>
      <c r="B238" s="81" t="s">
        <v>820</v>
      </c>
      <c r="C238" s="128" t="s">
        <v>821</v>
      </c>
      <c r="T238" s="131" t="s">
        <v>822</v>
      </c>
      <c r="U238" s="89" t="str">
        <f t="shared" ref="U238" si="3824">"ReplaceableTextures\\CommandButtons\\BTN"&amp;B238&amp;".blp"</f>
        <v>ReplaceableTextures\\CommandButtons\\BTNIB00.blp</v>
      </c>
      <c r="CN238" s="69" t="str">
        <f t="shared" ref="CN238" si="3825">"InitUnitState('"&amp;B238&amp;"',"&amp;V238&amp;","&amp;W238&amp;","&amp;X238&amp;","&amp;Y238&amp;","&amp;Z238&amp;","&amp;AA238&amp;","&amp;AB238&amp;","&amp;AC238&amp;","&amp;AD238&amp;","&amp;AE238&amp;")"</f>
        <v>InitUnitState('IB00',,,,,,,,,,)</v>
      </c>
      <c r="CO238" s="69" t="str">
        <f t="shared" ref="CO238" si="3826">"InitUnitNormal('"&amp;B238&amp;"',"&amp;AF238&amp;","&amp;AG238&amp;","&amp;AH238&amp;","&amp;AI238&amp;","&amp;AJ238&amp;","&amp;AK238&amp;","&amp;AL238&amp;","&amp;AM238&amp;","&amp;AN238&amp;","&amp;AO238&amp;")"</f>
        <v>InitUnitNormal('IB00',,,,,,,,,,)</v>
      </c>
      <c r="CP238" s="69" t="str">
        <f t="shared" ref="CP238" si="3827">"InitUnitMagic('"&amp;B238&amp;"',"&amp;AP238&amp;","&amp;AQ238&amp;","&amp;AR238&amp;","&amp;AS238&amp;","&amp;AT238&amp;","&amp;AU238&amp;","&amp;AV238&amp;","&amp;AW238&amp;","&amp;BI238&amp;","&amp;BJ238&amp;")"</f>
        <v>InitUnitMagic('IB00',,,,,,,,,,)</v>
      </c>
      <c r="CQ238" s="69" t="str">
        <f t="shared" ref="CQ238" si="3828">"InitUnitAdd('"&amp;B238&amp;"',"&amp;BK238&amp;","&amp;BL238&amp;","&amp;BM238&amp;","&amp;BN238&amp;","&amp;BO238&amp;","&amp;BP238&amp;","&amp;BQ238&amp;","&amp;BR238&amp;","&amp;BS238&amp;","&amp;BT238&amp;")"</f>
        <v>InitUnitAdd('IB00',,,,,,,,,,)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InitEquipData('IB00',,"",,,,,'','','','','','',"ReplaceableTextures\\CommandButtons\\BTNIB01.blp")</v>
      </c>
      <c r="CU238" s="99" t="str">
        <f t="shared" si="3745"/>
        <v>|n</v>
      </c>
      <c r="CV238" s="70" t="str">
        <f t="shared" si="3746"/>
        <v>|cffffcc33平台名称带有“星耀”开局自动激活！|n|n|r奖励：|n|cffffcc00每秒金币+1|n每秒攻击+1|n每秒生命+5|r</v>
      </c>
      <c r="CW238" s="60"/>
      <c r="CX238" s="60"/>
      <c r="CY238" s="60"/>
      <c r="CZ238" s="60"/>
      <c r="DA238" s="60"/>
      <c r="DB238" s="71" t="str">
        <f t="shared" si="3821"/>
        <v/>
      </c>
      <c r="DC238" s="71" t="str">
        <f t="shared" si="3821"/>
        <v/>
      </c>
      <c r="DD238" s="71" t="str">
        <f t="shared" si="3821"/>
        <v/>
      </c>
      <c r="DE238" s="71" t="str">
        <f t="shared" si="3821"/>
        <v/>
      </c>
      <c r="DF238" s="71" t="str">
        <f t="shared" si="3821"/>
        <v/>
      </c>
      <c r="DG238" s="71" t="str">
        <f t="shared" si="3821"/>
        <v/>
      </c>
      <c r="DH238" s="71" t="str">
        <f t="shared" si="3821"/>
        <v/>
      </c>
      <c r="DI238" s="71" t="str">
        <f t="shared" si="3821"/>
        <v/>
      </c>
      <c r="DJ238" s="71" t="str">
        <f t="shared" si="3821"/>
        <v/>
      </c>
      <c r="DK238" s="71" t="str">
        <f t="shared" si="3821"/>
        <v/>
      </c>
      <c r="DL238" s="71" t="str">
        <f t="shared" si="3821"/>
        <v/>
      </c>
      <c r="DM238" s="71" t="str">
        <f t="shared" si="3821"/>
        <v/>
      </c>
      <c r="DN238" s="71" t="str">
        <f t="shared" si="3821"/>
        <v/>
      </c>
      <c r="DO238" s="71" t="str">
        <f t="shared" si="3821"/>
        <v/>
      </c>
      <c r="DP238" s="71" t="str">
        <f t="shared" si="3821"/>
        <v/>
      </c>
      <c r="DQ238" s="71" t="str">
        <f t="shared" si="3821"/>
        <v/>
      </c>
      <c r="DR238" s="71" t="str">
        <f t="shared" si="3821"/>
        <v/>
      </c>
      <c r="DS238" s="71" t="str">
        <f t="shared" si="3821"/>
        <v/>
      </c>
      <c r="DT238" s="71" t="str">
        <f t="shared" si="3821"/>
        <v/>
      </c>
      <c r="DU238" s="71" t="str">
        <f t="shared" si="3821"/>
        <v/>
      </c>
      <c r="DV238" s="71" t="str">
        <f t="shared" si="3821"/>
        <v/>
      </c>
      <c r="DW238" s="71" t="str">
        <f t="shared" si="3821"/>
        <v/>
      </c>
      <c r="DX238" s="71" t="str">
        <f t="shared" si="3821"/>
        <v/>
      </c>
      <c r="DY238" s="71" t="str">
        <f t="shared" si="3821"/>
        <v/>
      </c>
      <c r="DZ238" s="71" t="str">
        <f t="shared" si="3821"/>
        <v/>
      </c>
      <c r="EA238" s="71" t="str">
        <f t="shared" si="3821"/>
        <v/>
      </c>
      <c r="EB238" s="71" t="str">
        <f t="shared" si="3821"/>
        <v/>
      </c>
      <c r="EC238" s="71" t="str">
        <f t="shared" si="3821"/>
        <v/>
      </c>
      <c r="ED238" s="71" t="str">
        <f t="shared" si="3821"/>
        <v/>
      </c>
      <c r="EE238" s="71" t="str">
        <f t="shared" si="3821"/>
        <v/>
      </c>
      <c r="EF238" s="71" t="str">
        <f t="shared" si="3821"/>
        <v/>
      </c>
      <c r="EG238" s="71" t="str">
        <f t="shared" si="3821"/>
        <v/>
      </c>
      <c r="EH238" s="71" t="str">
        <f t="shared" si="3822"/>
        <v/>
      </c>
      <c r="EI238" s="71" t="str">
        <f t="shared" si="3822"/>
        <v/>
      </c>
      <c r="EJ238" s="71" t="str">
        <f t="shared" si="3822"/>
        <v/>
      </c>
      <c r="EK238" s="71" t="str">
        <f t="shared" si="3822"/>
        <v/>
      </c>
      <c r="EL238" s="71" t="str">
        <f t="shared" si="3822"/>
        <v/>
      </c>
      <c r="EM238" s="71" t="str">
        <f t="shared" si="3822"/>
        <v/>
      </c>
      <c r="EN238" s="71" t="str">
        <f t="shared" si="3822"/>
        <v/>
      </c>
      <c r="EO238" s="71" t="str">
        <f t="shared" si="3822"/>
        <v/>
      </c>
      <c r="EP238" s="71" t="str">
        <f t="shared" si="3822"/>
        <v/>
      </c>
      <c r="EQ238" s="71" t="str">
        <f t="shared" si="3822"/>
        <v/>
      </c>
      <c r="ER238" s="71" t="str">
        <f t="shared" si="3822"/>
        <v/>
      </c>
      <c r="ES238" s="71" t="str">
        <f t="shared" si="3822"/>
        <v/>
      </c>
      <c r="ET238" s="71" t="str">
        <f t="shared" si="3822"/>
        <v/>
      </c>
      <c r="EU238" s="71" t="str">
        <f t="shared" si="3822"/>
        <v/>
      </c>
      <c r="EV238" s="71" t="str">
        <f t="shared" si="3822"/>
        <v/>
      </c>
      <c r="EW238" s="71" t="str">
        <f t="shared" si="3822"/>
        <v/>
      </c>
      <c r="EX238" s="71" t="str">
        <f t="shared" si="3822"/>
        <v/>
      </c>
      <c r="EY238" s="71" t="str">
        <f t="shared" si="3822"/>
        <v/>
      </c>
      <c r="EZ238" s="71" t="str">
        <f t="shared" si="3822"/>
        <v/>
      </c>
      <c r="FA238" s="71" t="str">
        <f t="shared" si="3822"/>
        <v/>
      </c>
      <c r="FB238" s="71" t="str">
        <f t="shared" si="3822"/>
        <v/>
      </c>
      <c r="FC238" s="71" t="str">
        <f t="shared" si="3822"/>
        <v/>
      </c>
      <c r="FD238" s="71" t="str">
        <f t="shared" si="3822"/>
        <v/>
      </c>
      <c r="FE238" s="71" t="str">
        <f t="shared" si="3822"/>
        <v/>
      </c>
      <c r="FF238" s="71" t="str">
        <f t="shared" si="3822"/>
        <v/>
      </c>
      <c r="FG238" s="71" t="str">
        <f t="shared" si="3822"/>
        <v/>
      </c>
      <c r="FH238" s="71" t="str">
        <f t="shared" si="3822"/>
        <v/>
      </c>
      <c r="FI238" s="71" t="str">
        <f t="shared" si="3822"/>
        <v/>
      </c>
      <c r="FJ238" s="71" t="str">
        <f t="shared" si="3822"/>
        <v/>
      </c>
      <c r="FK238" s="71" t="str">
        <f t="shared" si="3822"/>
        <v/>
      </c>
      <c r="FL238" s="71" t="str">
        <f t="shared" si="3822"/>
        <v/>
      </c>
      <c r="FM238" s="71" t="str">
        <f t="shared" si="3822"/>
        <v/>
      </c>
      <c r="FN238" s="71" t="str">
        <f t="shared" si="3823"/>
        <v/>
      </c>
      <c r="FO238" s="71" t="str">
        <f t="shared" si="3823"/>
        <v/>
      </c>
      <c r="FP238" s="71" t="str">
        <f t="shared" si="3823"/>
        <v/>
      </c>
      <c r="FQ238" s="71" t="str">
        <f t="shared" si="3823"/>
        <v/>
      </c>
      <c r="FR238" s="71" t="str">
        <f t="shared" si="3823"/>
        <v/>
      </c>
      <c r="FS238" s="71" t="str">
        <f t="shared" si="3823"/>
        <v/>
      </c>
    </row>
    <row r="239" ht="14.4" spans="1:175">
      <c r="A239" s="80"/>
      <c r="B239" s="81" t="s">
        <v>823</v>
      </c>
      <c r="C239" s="128" t="s">
        <v>824</v>
      </c>
      <c r="T239" s="131" t="s">
        <v>825</v>
      </c>
      <c r="U239" s="89" t="str">
        <f t="shared" ref="U239:U247" si="3829">"ReplaceableTextures\\CommandButtons\\BTN"&amp;B239&amp;".blp"</f>
        <v>ReplaceableTextures\\CommandButtons\\BTNIB01.blp</v>
      </c>
      <c r="CN239" s="69" t="str">
        <f t="shared" si="3817"/>
        <v>InitUnitState('IB01',,,,,,,,,,)</v>
      </c>
      <c r="CO239" s="69" t="str">
        <f t="shared" si="3818"/>
        <v>InitUnitNormal('IB01',,,,,,,,,,)</v>
      </c>
      <c r="CP239" s="69" t="str">
        <f t="shared" si="3819"/>
        <v>InitUnitMagic('IB01',,,,,,,,,,)</v>
      </c>
      <c r="CQ239" s="69" t="str">
        <f t="shared" si="3820"/>
        <v>InitUnitAdd('IB01',,,,,,,,,,)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InitEquipData('IB01',,"",,,,,'','','','','','',"ReplaceableTextures\\CommandButtons\\BTNIB02.blp")</v>
      </c>
      <c r="CU239" s="99" t="str">
        <f t="shared" ref="CU239:CU248" si="3830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0" t="str">
        <f t="shared" ref="CV239:CV248" si="3831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9" s="60"/>
      <c r="CX239" s="60"/>
      <c r="CY239" s="60"/>
      <c r="CZ239" s="60"/>
      <c r="DA239" s="60"/>
      <c r="DB239" s="71" t="str">
        <f t="shared" ref="DB239:DB246" si="3832">IF(V239="","","|n"&amp;DB$2&amp;"+"&amp;V239&amp;DB$1)</f>
        <v/>
      </c>
      <c r="DC239" s="71" t="str">
        <f t="shared" ref="DC239:DC246" si="3833">IF(W239="","","|n"&amp;DC$2&amp;"+"&amp;W239&amp;DC$1)</f>
        <v/>
      </c>
      <c r="DD239" s="71" t="str">
        <f t="shared" ref="DD239:DD246" si="3834">IF(X239="","","|n"&amp;DD$2&amp;"+"&amp;X239&amp;DD$1)</f>
        <v/>
      </c>
      <c r="DE239" s="71" t="str">
        <f t="shared" ref="DE239:DE246" si="3835">IF(Y239="","","|n"&amp;DE$2&amp;"+"&amp;Y239&amp;DE$1)</f>
        <v/>
      </c>
      <c r="DF239" s="71" t="str">
        <f t="shared" ref="DF239:DF246" si="3836">IF(Z239="","","|n"&amp;DF$2&amp;"+"&amp;Z239&amp;DF$1)</f>
        <v/>
      </c>
      <c r="DG239" s="71" t="str">
        <f t="shared" ref="DG239:DG246" si="3837">IF(AA239="","","|n"&amp;DG$2&amp;"+"&amp;AA239&amp;DG$1)</f>
        <v/>
      </c>
      <c r="DH239" s="71" t="str">
        <f t="shared" ref="DH239:DH246" si="3838">IF(AB239="","","|n"&amp;DH$2&amp;"+"&amp;AB239&amp;DH$1)</f>
        <v/>
      </c>
      <c r="DI239" s="71" t="str">
        <f t="shared" ref="DI239:DI246" si="3839">IF(AC239="","","|n"&amp;DI$2&amp;"+"&amp;AC239&amp;DI$1)</f>
        <v/>
      </c>
      <c r="DJ239" s="71" t="str">
        <f t="shared" ref="DJ239:DJ246" si="3840">IF(AD239="","","|n"&amp;DJ$2&amp;"+"&amp;AD239&amp;DJ$1)</f>
        <v/>
      </c>
      <c r="DK239" s="71" t="str">
        <f t="shared" ref="DK239:DK246" si="3841">IF(AE239="","","|n"&amp;DK$2&amp;"+"&amp;AE239&amp;DK$1)</f>
        <v/>
      </c>
      <c r="DL239" s="71" t="str">
        <f t="shared" ref="DL239:DL246" si="3842">IF(AF239="","","|n"&amp;DL$2&amp;"+"&amp;AF239&amp;DL$1)</f>
        <v/>
      </c>
      <c r="DM239" s="71" t="str">
        <f t="shared" ref="DM239:DM246" si="3843">IF(AG239="","","|n"&amp;DM$2&amp;"+"&amp;AG239&amp;DM$1)</f>
        <v/>
      </c>
      <c r="DN239" s="71" t="str">
        <f t="shared" ref="DN239:DN246" si="3844">IF(AH239="","","|n"&amp;DN$2&amp;"+"&amp;AH239&amp;DN$1)</f>
        <v/>
      </c>
      <c r="DO239" s="71" t="str">
        <f t="shared" ref="DO239:DO246" si="3845">IF(AI239="","","|n"&amp;DO$2&amp;"+"&amp;AI239&amp;DO$1)</f>
        <v/>
      </c>
      <c r="DP239" s="71" t="str">
        <f t="shared" ref="DP239:DP246" si="3846">IF(AJ239="","","|n"&amp;DP$2&amp;"+"&amp;AJ239&amp;DP$1)</f>
        <v/>
      </c>
      <c r="DQ239" s="71" t="str">
        <f t="shared" ref="DQ239:DQ246" si="3847">IF(AK239="","","|n"&amp;DQ$2&amp;"+"&amp;AK239&amp;DQ$1)</f>
        <v/>
      </c>
      <c r="DR239" s="71" t="str">
        <f t="shared" ref="DR239:DR246" si="3848">IF(AL239="","","|n"&amp;DR$2&amp;"+"&amp;AL239&amp;DR$1)</f>
        <v/>
      </c>
      <c r="DS239" s="71" t="str">
        <f t="shared" ref="DS239:DS246" si="3849">IF(AM239="","","|n"&amp;DS$2&amp;"+"&amp;AM239&amp;DS$1)</f>
        <v/>
      </c>
      <c r="DT239" s="71" t="str">
        <f t="shared" ref="DT239:DT246" si="3850">IF(AN239="","","|n"&amp;DT$2&amp;"+"&amp;AN239&amp;DT$1)</f>
        <v/>
      </c>
      <c r="DU239" s="71" t="str">
        <f t="shared" ref="DU239:DU246" si="3851">IF(AO239="","","|n"&amp;DU$2&amp;"+"&amp;AO239&amp;DU$1)</f>
        <v/>
      </c>
      <c r="DV239" s="71" t="str">
        <f t="shared" ref="DV239:DV246" si="3852">IF(AP239="","","|n"&amp;DV$2&amp;"+"&amp;AP239&amp;DV$1)</f>
        <v/>
      </c>
      <c r="DW239" s="71" t="str">
        <f t="shared" ref="DW239:DW246" si="3853">IF(AQ239="","","|n"&amp;DW$2&amp;"+"&amp;AQ239&amp;DW$1)</f>
        <v/>
      </c>
      <c r="DX239" s="71" t="str">
        <f t="shared" ref="DX239:DX246" si="3854">IF(AR239="","","|n"&amp;DX$2&amp;"+"&amp;AR239&amp;DX$1)</f>
        <v/>
      </c>
      <c r="DY239" s="71" t="str">
        <f t="shared" ref="DY239:DY246" si="3855">IF(AS239="","","|n"&amp;DY$2&amp;"+"&amp;AS239&amp;DY$1)</f>
        <v/>
      </c>
      <c r="DZ239" s="71" t="str">
        <f t="shared" ref="DZ239:DZ246" si="3856">IF(AT239="","","|n"&amp;DZ$2&amp;"+"&amp;AT239&amp;DZ$1)</f>
        <v/>
      </c>
      <c r="EA239" s="71" t="str">
        <f t="shared" ref="EA239:EA246" si="3857">IF(AU239="","","|n"&amp;EA$2&amp;"+"&amp;AU239&amp;EA$1)</f>
        <v/>
      </c>
      <c r="EB239" s="71" t="str">
        <f t="shared" ref="EB239:EB246" si="3858">IF(AV239="","","|n"&amp;EB$2&amp;"+"&amp;AV239&amp;EB$1)</f>
        <v/>
      </c>
      <c r="EC239" s="71" t="str">
        <f t="shared" ref="EC239:EC246" si="3859">IF(AW239="","","|n"&amp;EC$2&amp;"+"&amp;AW239&amp;EC$1)</f>
        <v/>
      </c>
      <c r="ED239" s="71" t="str">
        <f t="shared" ref="ED239:ED246" si="3860">IF(AX239="","","|n"&amp;ED$2&amp;"+"&amp;AX239&amp;ED$1)</f>
        <v/>
      </c>
      <c r="EE239" s="71" t="str">
        <f t="shared" ref="EE239:EE246" si="3861">IF(AY239="","","|n"&amp;EE$2&amp;"+"&amp;AY239&amp;EE$1)</f>
        <v/>
      </c>
      <c r="EF239" s="71" t="str">
        <f t="shared" ref="EF239:EF246" si="3862">IF(AZ239="","","|n"&amp;EF$2&amp;"+"&amp;AZ239&amp;EF$1)</f>
        <v/>
      </c>
      <c r="EG239" s="71" t="str">
        <f t="shared" ref="EG239:EG246" si="3863">IF(BA239="","","|n"&amp;EG$2&amp;"+"&amp;BA239&amp;EG$1)</f>
        <v/>
      </c>
      <c r="EH239" s="71" t="str">
        <f t="shared" ref="EH239:EH246" si="3864">IF(BB239="","","|n"&amp;EH$2&amp;"+"&amp;BB239&amp;EH$1)</f>
        <v/>
      </c>
      <c r="EI239" s="71" t="str">
        <f t="shared" ref="EI239:EI246" si="3865">IF(BC239="","","|n"&amp;EI$2&amp;"+"&amp;BC239&amp;EI$1)</f>
        <v/>
      </c>
      <c r="EJ239" s="71" t="str">
        <f t="shared" ref="EJ239:EJ246" si="3866">IF(BD239="","","|n"&amp;EJ$2&amp;"+"&amp;BD239&amp;EJ$1)</f>
        <v/>
      </c>
      <c r="EK239" s="71" t="str">
        <f t="shared" ref="EK239:EK246" si="3867">IF(BE239="","","|n"&amp;EK$2&amp;"+"&amp;BE239&amp;EK$1)</f>
        <v/>
      </c>
      <c r="EL239" s="71" t="str">
        <f t="shared" ref="EL239:EL246" si="3868">IF(BF239="","","|n"&amp;EL$2&amp;"+"&amp;BF239&amp;EL$1)</f>
        <v/>
      </c>
      <c r="EM239" s="71" t="str">
        <f t="shared" ref="EM239:EM246" si="3869">IF(BG239="","","|n"&amp;EM$2&amp;"+"&amp;BG239&amp;EM$1)</f>
        <v/>
      </c>
      <c r="EN239" s="71" t="str">
        <f t="shared" ref="EN239:EN246" si="3870">IF(BH239="","","|n"&amp;EN$2&amp;"+"&amp;BH239&amp;EN$1)</f>
        <v/>
      </c>
      <c r="EO239" s="71" t="str">
        <f t="shared" ref="EO239:EO246" si="3871">IF(BI239="","","|n"&amp;EO$2&amp;"+"&amp;BI239&amp;EO$1)</f>
        <v/>
      </c>
      <c r="EP239" s="71" t="str">
        <f t="shared" ref="EP239:EP246" si="3872">IF(BJ239="","","|n"&amp;EP$2&amp;"+"&amp;BJ239&amp;EP$1)</f>
        <v/>
      </c>
      <c r="EQ239" s="71" t="str">
        <f t="shared" ref="EQ239:EQ246" si="3873">IF(BK239="","","|n"&amp;EQ$2&amp;"+"&amp;BK239&amp;EQ$1)</f>
        <v/>
      </c>
      <c r="ER239" s="71" t="str">
        <f t="shared" ref="ER239:ER246" si="3874">IF(BL239="","","|n"&amp;ER$2&amp;"+"&amp;BL239&amp;ER$1)</f>
        <v/>
      </c>
      <c r="ES239" s="71" t="str">
        <f t="shared" ref="ES239:ES246" si="3875">IF(BM239="","","|n"&amp;ES$2&amp;"+"&amp;BM239&amp;ES$1)</f>
        <v/>
      </c>
      <c r="ET239" s="71" t="str">
        <f t="shared" ref="ET239:ET246" si="3876">IF(BN239="","","|n"&amp;ET$2&amp;"+"&amp;BN239&amp;ET$1)</f>
        <v/>
      </c>
      <c r="EU239" s="71" t="str">
        <f t="shared" ref="EU239:EU246" si="3877">IF(BO239="","","|n"&amp;EU$2&amp;"+"&amp;BO239&amp;EU$1)</f>
        <v/>
      </c>
      <c r="EV239" s="71" t="str">
        <f t="shared" ref="EV239:EV246" si="3878">IF(BP239="","","|n"&amp;EV$2&amp;"+"&amp;BP239&amp;EV$1)</f>
        <v/>
      </c>
      <c r="EW239" s="71" t="str">
        <f t="shared" ref="EW239:EW246" si="3879">IF(BQ239="","","|n"&amp;EW$2&amp;"+"&amp;BQ239&amp;EW$1)</f>
        <v/>
      </c>
      <c r="EX239" s="71" t="str">
        <f t="shared" ref="EX239:EX246" si="3880">IF(BR239="","","|n"&amp;EX$2&amp;"+"&amp;BR239&amp;EX$1)</f>
        <v/>
      </c>
      <c r="EY239" s="71" t="str">
        <f t="shared" ref="EY239:EY246" si="3881">IF(BS239="","","|n"&amp;EY$2&amp;"+"&amp;BS239&amp;EY$1)</f>
        <v/>
      </c>
      <c r="EZ239" s="71" t="str">
        <f t="shared" ref="EZ239:EZ246" si="3882">IF(BT239="","","|n"&amp;EZ$2&amp;"+"&amp;BT239&amp;EZ$1)</f>
        <v/>
      </c>
      <c r="FA239" s="71" t="str">
        <f t="shared" ref="FA239:FA246" si="3883">IF(BU239="","","|n"&amp;FA$2&amp;"+"&amp;BU239&amp;FA$1)</f>
        <v/>
      </c>
      <c r="FB239" s="71" t="str">
        <f t="shared" ref="FB239:FB246" si="3884">IF(BV239="","","|n"&amp;FB$2&amp;"+"&amp;BV239&amp;FB$1)</f>
        <v/>
      </c>
      <c r="FC239" s="71" t="str">
        <f t="shared" ref="FC239:FC246" si="3885">IF(BW239="","","|n"&amp;FC$2&amp;"+"&amp;BW239&amp;FC$1)</f>
        <v/>
      </c>
      <c r="FD239" s="71" t="str">
        <f t="shared" ref="FD239:FD246" si="3886">IF(BX239="","","|n"&amp;FD$2&amp;"+"&amp;BX239&amp;FD$1)</f>
        <v/>
      </c>
      <c r="FE239" s="71" t="str">
        <f t="shared" ref="FE239:FE246" si="3887">IF(BY239="","","|n"&amp;FE$2&amp;"+"&amp;BY239&amp;FE$1)</f>
        <v/>
      </c>
      <c r="FF239" s="71" t="str">
        <f t="shared" ref="FF239:FF246" si="3888">IF(BZ239="","","|n"&amp;FF$2&amp;"+"&amp;BZ239&amp;FF$1)</f>
        <v/>
      </c>
      <c r="FG239" s="71" t="str">
        <f t="shared" ref="FG239:FG246" si="3889">IF(CA239="","","|n"&amp;FG$2&amp;"+"&amp;CA239&amp;FG$1)</f>
        <v/>
      </c>
      <c r="FH239" s="71" t="str">
        <f t="shared" ref="FH239:FH246" si="3890">IF(CB239="","","|n"&amp;FH$2&amp;"+"&amp;CB239&amp;FH$1)</f>
        <v/>
      </c>
      <c r="FI239" s="71" t="str">
        <f t="shared" ref="FI239:FI246" si="3891">IF(CC239="","","|n"&amp;FI$2&amp;"+"&amp;CC239&amp;FI$1)</f>
        <v/>
      </c>
      <c r="FJ239" s="71" t="str">
        <f t="shared" ref="FJ239:FJ246" si="3892">IF(CD239="","","|n"&amp;FJ$2&amp;"+"&amp;CD239&amp;FJ$1)</f>
        <v/>
      </c>
      <c r="FK239" s="71" t="str">
        <f t="shared" ref="FK239:FK246" si="3893">IF(CE239="","","|n"&amp;FK$2&amp;"+"&amp;CE239&amp;FK$1)</f>
        <v/>
      </c>
      <c r="FL239" s="71" t="str">
        <f t="shared" ref="FL239:FL246" si="3894">IF(CF239="","","|n"&amp;FL$2&amp;"+"&amp;CF239&amp;FL$1)</f>
        <v/>
      </c>
      <c r="FM239" s="71" t="str">
        <f t="shared" ref="FM239:FM246" si="3895">IF(CG239="","","|n"&amp;FM$2&amp;"+"&amp;CG239&amp;FM$1)</f>
        <v/>
      </c>
      <c r="FN239" s="71" t="str">
        <f t="shared" ref="FN239:FN246" si="3896">IF(CH239="","","|n"&amp;FN$2&amp;"+"&amp;CH239&amp;FN$1)</f>
        <v/>
      </c>
      <c r="FO239" s="71" t="str">
        <f t="shared" ref="FO239:FO246" si="3897">IF(CI239="","","|n"&amp;FO$2&amp;"+"&amp;CI239&amp;FO$1)</f>
        <v/>
      </c>
      <c r="FP239" s="71" t="str">
        <f t="shared" ref="FP239:FP246" si="3898">IF(CJ239="","","|n"&amp;FP$2&amp;"+"&amp;CJ239&amp;FP$1)</f>
        <v/>
      </c>
      <c r="FQ239" s="71" t="str">
        <f t="shared" ref="FQ239:FQ246" si="3899">IF(CK239="","","|n"&amp;FQ$2&amp;"+"&amp;CK239&amp;FQ$1)</f>
        <v/>
      </c>
      <c r="FR239" s="71" t="str">
        <f t="shared" ref="FR239:FR246" si="3900">IF(CL239="","","|n"&amp;FR$2&amp;"+"&amp;CL239&amp;FR$1)</f>
        <v/>
      </c>
      <c r="FS239" s="71" t="str">
        <f t="shared" ref="FS239:FS246" si="3901">IF(CM239="","","|n"&amp;FS$2&amp;"+"&amp;CM239&amp;FS$1)</f>
        <v/>
      </c>
    </row>
    <row r="240" ht="14.4" spans="1:175">
      <c r="A240" s="80"/>
      <c r="B240" s="81" t="s">
        <v>826</v>
      </c>
      <c r="C240" s="128" t="s">
        <v>827</v>
      </c>
      <c r="T240" s="131" t="s">
        <v>828</v>
      </c>
      <c r="U240" s="89" t="str">
        <f t="shared" si="3829"/>
        <v>ReplaceableTextures\\CommandButtons\\BTNIB02.blp</v>
      </c>
      <c r="CN240" s="69" t="str">
        <f t="shared" si="3817"/>
        <v>InitUnitState('IB02',,,,,,,,,,)</v>
      </c>
      <c r="CO240" s="69" t="str">
        <f t="shared" si="3818"/>
        <v>InitUnitNormal('IB02',,,,,,,,,,)</v>
      </c>
      <c r="CP240" s="69" t="str">
        <f t="shared" si="3819"/>
        <v>InitUnitMagic('IB02',,,,,,,,,,)</v>
      </c>
      <c r="CQ240" s="69" t="str">
        <f t="shared" si="3820"/>
        <v>InitUnitAdd('IB02',,,,,,,,,,)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InitEquipData('IB02',,"",,,,,'','','','','','',"ReplaceableTextures\\CommandButtons\\BTNIB03.blp")</v>
      </c>
      <c r="CU240" s="99" t="str">
        <f t="shared" si="3830"/>
        <v>|n</v>
      </c>
      <c r="CV240" s="70" t="str">
        <f t="shared" si="3831"/>
        <v>加入《|cff00ffcc全民封神|r》官方QQ群，即可获得入群礼包码！|n|n输入礼包码即可获得：|n金币+1000，每秒攻击+2，每秒业力+2</v>
      </c>
      <c r="CW240" s="60"/>
      <c r="CX240" s="60"/>
      <c r="CY240" s="60"/>
      <c r="CZ240" s="60"/>
      <c r="DA240" s="60"/>
      <c r="DB240" s="71" t="str">
        <f t="shared" si="3832"/>
        <v/>
      </c>
      <c r="DC240" s="71" t="str">
        <f t="shared" si="3833"/>
        <v/>
      </c>
      <c r="DD240" s="71" t="str">
        <f t="shared" si="3834"/>
        <v/>
      </c>
      <c r="DE240" s="71" t="str">
        <f t="shared" si="3835"/>
        <v/>
      </c>
      <c r="DF240" s="71" t="str">
        <f t="shared" si="3836"/>
        <v/>
      </c>
      <c r="DG240" s="71" t="str">
        <f t="shared" si="3837"/>
        <v/>
      </c>
      <c r="DH240" s="71" t="str">
        <f t="shared" si="3838"/>
        <v/>
      </c>
      <c r="DI240" s="71" t="str">
        <f t="shared" si="3839"/>
        <v/>
      </c>
      <c r="DJ240" s="71" t="str">
        <f t="shared" si="3840"/>
        <v/>
      </c>
      <c r="DK240" s="71" t="str">
        <f t="shared" si="3841"/>
        <v/>
      </c>
      <c r="DL240" s="71" t="str">
        <f t="shared" si="3842"/>
        <v/>
      </c>
      <c r="DM240" s="71" t="str">
        <f t="shared" si="3843"/>
        <v/>
      </c>
      <c r="DN240" s="71" t="str">
        <f t="shared" si="3844"/>
        <v/>
      </c>
      <c r="DO240" s="71" t="str">
        <f t="shared" si="3845"/>
        <v/>
      </c>
      <c r="DP240" s="71" t="str">
        <f t="shared" si="3846"/>
        <v/>
      </c>
      <c r="DQ240" s="71" t="str">
        <f t="shared" si="3847"/>
        <v/>
      </c>
      <c r="DR240" s="71" t="str">
        <f t="shared" si="3848"/>
        <v/>
      </c>
      <c r="DS240" s="71" t="str">
        <f t="shared" si="3849"/>
        <v/>
      </c>
      <c r="DT240" s="71" t="str">
        <f t="shared" si="3850"/>
        <v/>
      </c>
      <c r="DU240" s="71" t="str">
        <f t="shared" si="3851"/>
        <v/>
      </c>
      <c r="DV240" s="71" t="str">
        <f t="shared" si="3852"/>
        <v/>
      </c>
      <c r="DW240" s="71" t="str">
        <f t="shared" si="3853"/>
        <v/>
      </c>
      <c r="DX240" s="71" t="str">
        <f t="shared" si="3854"/>
        <v/>
      </c>
      <c r="DY240" s="71" t="str">
        <f t="shared" si="3855"/>
        <v/>
      </c>
      <c r="DZ240" s="71" t="str">
        <f t="shared" si="3856"/>
        <v/>
      </c>
      <c r="EA240" s="71" t="str">
        <f t="shared" si="3857"/>
        <v/>
      </c>
      <c r="EB240" s="71" t="str">
        <f t="shared" si="3858"/>
        <v/>
      </c>
      <c r="EC240" s="71" t="str">
        <f t="shared" si="3859"/>
        <v/>
      </c>
      <c r="ED240" s="71" t="str">
        <f t="shared" si="3860"/>
        <v/>
      </c>
      <c r="EE240" s="71" t="str">
        <f t="shared" si="3861"/>
        <v/>
      </c>
      <c r="EF240" s="71" t="str">
        <f t="shared" si="3862"/>
        <v/>
      </c>
      <c r="EG240" s="71" t="str">
        <f t="shared" si="3863"/>
        <v/>
      </c>
      <c r="EH240" s="71" t="str">
        <f t="shared" si="3864"/>
        <v/>
      </c>
      <c r="EI240" s="71" t="str">
        <f t="shared" si="3865"/>
        <v/>
      </c>
      <c r="EJ240" s="71" t="str">
        <f t="shared" si="3866"/>
        <v/>
      </c>
      <c r="EK240" s="71" t="str">
        <f t="shared" si="3867"/>
        <v/>
      </c>
      <c r="EL240" s="71" t="str">
        <f t="shared" si="3868"/>
        <v/>
      </c>
      <c r="EM240" s="71" t="str">
        <f t="shared" si="3869"/>
        <v/>
      </c>
      <c r="EN240" s="71" t="str">
        <f t="shared" si="3870"/>
        <v/>
      </c>
      <c r="EO240" s="71" t="str">
        <f t="shared" si="3871"/>
        <v/>
      </c>
      <c r="EP240" s="71" t="str">
        <f t="shared" si="3872"/>
        <v/>
      </c>
      <c r="EQ240" s="71" t="str">
        <f t="shared" si="3873"/>
        <v/>
      </c>
      <c r="ER240" s="71" t="str">
        <f t="shared" si="3874"/>
        <v/>
      </c>
      <c r="ES240" s="71" t="str">
        <f t="shared" si="3875"/>
        <v/>
      </c>
      <c r="ET240" s="71" t="str">
        <f t="shared" si="3876"/>
        <v/>
      </c>
      <c r="EU240" s="71" t="str">
        <f t="shared" si="3877"/>
        <v/>
      </c>
      <c r="EV240" s="71" t="str">
        <f t="shared" si="3878"/>
        <v/>
      </c>
      <c r="EW240" s="71" t="str">
        <f t="shared" si="3879"/>
        <v/>
      </c>
      <c r="EX240" s="71" t="str">
        <f t="shared" si="3880"/>
        <v/>
      </c>
      <c r="EY240" s="71" t="str">
        <f t="shared" si="3881"/>
        <v/>
      </c>
      <c r="EZ240" s="71" t="str">
        <f t="shared" si="3882"/>
        <v/>
      </c>
      <c r="FA240" s="71" t="str">
        <f t="shared" si="3883"/>
        <v/>
      </c>
      <c r="FB240" s="71" t="str">
        <f t="shared" si="3884"/>
        <v/>
      </c>
      <c r="FC240" s="71" t="str">
        <f t="shared" si="3885"/>
        <v/>
      </c>
      <c r="FD240" s="71" t="str">
        <f t="shared" si="3886"/>
        <v/>
      </c>
      <c r="FE240" s="71" t="str">
        <f t="shared" si="3887"/>
        <v/>
      </c>
      <c r="FF240" s="71" t="str">
        <f t="shared" si="3888"/>
        <v/>
      </c>
      <c r="FG240" s="71" t="str">
        <f t="shared" si="3889"/>
        <v/>
      </c>
      <c r="FH240" s="71" t="str">
        <f t="shared" si="3890"/>
        <v/>
      </c>
      <c r="FI240" s="71" t="str">
        <f t="shared" si="3891"/>
        <v/>
      </c>
      <c r="FJ240" s="71" t="str">
        <f t="shared" si="3892"/>
        <v/>
      </c>
      <c r="FK240" s="71" t="str">
        <f t="shared" si="3893"/>
        <v/>
      </c>
      <c r="FL240" s="71" t="str">
        <f t="shared" si="3894"/>
        <v/>
      </c>
      <c r="FM240" s="71" t="str">
        <f t="shared" si="3895"/>
        <v/>
      </c>
      <c r="FN240" s="71" t="str">
        <f t="shared" si="3896"/>
        <v/>
      </c>
      <c r="FO240" s="71" t="str">
        <f t="shared" si="3897"/>
        <v/>
      </c>
      <c r="FP240" s="71" t="str">
        <f t="shared" si="3898"/>
        <v/>
      </c>
      <c r="FQ240" s="71" t="str">
        <f t="shared" si="3899"/>
        <v/>
      </c>
      <c r="FR240" s="71" t="str">
        <f t="shared" si="3900"/>
        <v/>
      </c>
      <c r="FS240" s="71" t="str">
        <f t="shared" si="3901"/>
        <v/>
      </c>
    </row>
    <row r="241" ht="14.4" spans="1:175">
      <c r="A241" s="80"/>
      <c r="B241" s="81" t="s">
        <v>829</v>
      </c>
      <c r="C241" s="128" t="s">
        <v>830</v>
      </c>
      <c r="T241" s="131" t="s">
        <v>831</v>
      </c>
      <c r="U241" s="89" t="str">
        <f t="shared" si="3829"/>
        <v>ReplaceableTextures\\CommandButtons\\BTNIB03.blp</v>
      </c>
      <c r="CN241" s="69" t="str">
        <f t="shared" si="3817"/>
        <v>InitUnitState('IB03',,,,,,,,,,)</v>
      </c>
      <c r="CO241" s="69" t="str">
        <f t="shared" si="3818"/>
        <v>InitUnitNormal('IB03',,,,,,,,,,)</v>
      </c>
      <c r="CP241" s="69" t="str">
        <f t="shared" si="3819"/>
        <v>InitUnitMagic('IB03',,,,,,,,,,)</v>
      </c>
      <c r="CQ241" s="69" t="str">
        <f t="shared" si="3820"/>
        <v>InitUnitAdd('IB03',,,,,,,,,,)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InitEquipData('IB03',,"",,,,,'','','','','','',"ReplaceableTextures\\CommandButtons\\BTNIB04.blp")</v>
      </c>
      <c r="CU241" s="99" t="str">
        <f t="shared" si="3830"/>
        <v>|n</v>
      </c>
      <c r="CV241" s="70" t="str">
        <f t="shared" si="3831"/>
        <v>|cff99ccff给与地图有效评论建议|r即可领取：|n每秒生命+100，每秒业力+2|n|n|r|cff808080地图等级达到3级可领取|r</v>
      </c>
      <c r="CW241" s="60"/>
      <c r="CX241" s="60"/>
      <c r="CY241" s="60"/>
      <c r="CZ241" s="60"/>
      <c r="DA241" s="60"/>
      <c r="DB241" s="71" t="str">
        <f t="shared" si="3832"/>
        <v/>
      </c>
      <c r="DC241" s="71" t="str">
        <f t="shared" si="3833"/>
        <v/>
      </c>
      <c r="DD241" s="71" t="str">
        <f t="shared" si="3834"/>
        <v/>
      </c>
      <c r="DE241" s="71" t="str">
        <f t="shared" si="3835"/>
        <v/>
      </c>
      <c r="DF241" s="71" t="str">
        <f t="shared" si="3836"/>
        <v/>
      </c>
      <c r="DG241" s="71" t="str">
        <f t="shared" si="3837"/>
        <v/>
      </c>
      <c r="DH241" s="71" t="str">
        <f t="shared" si="3838"/>
        <v/>
      </c>
      <c r="DI241" s="71" t="str">
        <f t="shared" si="3839"/>
        <v/>
      </c>
      <c r="DJ241" s="71" t="str">
        <f t="shared" si="3840"/>
        <v/>
      </c>
      <c r="DK241" s="71" t="str">
        <f t="shared" si="3841"/>
        <v/>
      </c>
      <c r="DL241" s="71" t="str">
        <f t="shared" si="3842"/>
        <v/>
      </c>
      <c r="DM241" s="71" t="str">
        <f t="shared" si="3843"/>
        <v/>
      </c>
      <c r="DN241" s="71" t="str">
        <f t="shared" si="3844"/>
        <v/>
      </c>
      <c r="DO241" s="71" t="str">
        <f t="shared" si="3845"/>
        <v/>
      </c>
      <c r="DP241" s="71" t="str">
        <f t="shared" si="3846"/>
        <v/>
      </c>
      <c r="DQ241" s="71" t="str">
        <f t="shared" si="3847"/>
        <v/>
      </c>
      <c r="DR241" s="71" t="str">
        <f t="shared" si="3848"/>
        <v/>
      </c>
      <c r="DS241" s="71" t="str">
        <f t="shared" si="3849"/>
        <v/>
      </c>
      <c r="DT241" s="71" t="str">
        <f t="shared" si="3850"/>
        <v/>
      </c>
      <c r="DU241" s="71" t="str">
        <f t="shared" si="3851"/>
        <v/>
      </c>
      <c r="DV241" s="71" t="str">
        <f t="shared" si="3852"/>
        <v/>
      </c>
      <c r="DW241" s="71" t="str">
        <f t="shared" si="3853"/>
        <v/>
      </c>
      <c r="DX241" s="71" t="str">
        <f t="shared" si="3854"/>
        <v/>
      </c>
      <c r="DY241" s="71" t="str">
        <f t="shared" si="3855"/>
        <v/>
      </c>
      <c r="DZ241" s="71" t="str">
        <f t="shared" si="3856"/>
        <v/>
      </c>
      <c r="EA241" s="71" t="str">
        <f t="shared" si="3857"/>
        <v/>
      </c>
      <c r="EB241" s="71" t="str">
        <f t="shared" si="3858"/>
        <v/>
      </c>
      <c r="EC241" s="71" t="str">
        <f t="shared" si="3859"/>
        <v/>
      </c>
      <c r="ED241" s="71" t="str">
        <f t="shared" si="3860"/>
        <v/>
      </c>
      <c r="EE241" s="71" t="str">
        <f t="shared" si="3861"/>
        <v/>
      </c>
      <c r="EF241" s="71" t="str">
        <f t="shared" si="3862"/>
        <v/>
      </c>
      <c r="EG241" s="71" t="str">
        <f t="shared" si="3863"/>
        <v/>
      </c>
      <c r="EH241" s="71" t="str">
        <f t="shared" si="3864"/>
        <v/>
      </c>
      <c r="EI241" s="71" t="str">
        <f t="shared" si="3865"/>
        <v/>
      </c>
      <c r="EJ241" s="71" t="str">
        <f t="shared" si="3866"/>
        <v/>
      </c>
      <c r="EK241" s="71" t="str">
        <f t="shared" si="3867"/>
        <v/>
      </c>
      <c r="EL241" s="71" t="str">
        <f t="shared" si="3868"/>
        <v/>
      </c>
      <c r="EM241" s="71" t="str">
        <f t="shared" si="3869"/>
        <v/>
      </c>
      <c r="EN241" s="71" t="str">
        <f t="shared" si="3870"/>
        <v/>
      </c>
      <c r="EO241" s="71" t="str">
        <f t="shared" si="3871"/>
        <v/>
      </c>
      <c r="EP241" s="71" t="str">
        <f t="shared" si="3872"/>
        <v/>
      </c>
      <c r="EQ241" s="71" t="str">
        <f t="shared" si="3873"/>
        <v/>
      </c>
      <c r="ER241" s="71" t="str">
        <f t="shared" si="3874"/>
        <v/>
      </c>
      <c r="ES241" s="71" t="str">
        <f t="shared" si="3875"/>
        <v/>
      </c>
      <c r="ET241" s="71" t="str">
        <f t="shared" si="3876"/>
        <v/>
      </c>
      <c r="EU241" s="71" t="str">
        <f t="shared" si="3877"/>
        <v/>
      </c>
      <c r="EV241" s="71" t="str">
        <f t="shared" si="3878"/>
        <v/>
      </c>
      <c r="EW241" s="71" t="str">
        <f t="shared" si="3879"/>
        <v/>
      </c>
      <c r="EX241" s="71" t="str">
        <f t="shared" si="3880"/>
        <v/>
      </c>
      <c r="EY241" s="71" t="str">
        <f t="shared" si="3881"/>
        <v/>
      </c>
      <c r="EZ241" s="71" t="str">
        <f t="shared" si="3882"/>
        <v/>
      </c>
      <c r="FA241" s="71" t="str">
        <f t="shared" si="3883"/>
        <v/>
      </c>
      <c r="FB241" s="71" t="str">
        <f t="shared" si="3884"/>
        <v/>
      </c>
      <c r="FC241" s="71" t="str">
        <f t="shared" si="3885"/>
        <v/>
      </c>
      <c r="FD241" s="71" t="str">
        <f t="shared" si="3886"/>
        <v/>
      </c>
      <c r="FE241" s="71" t="str">
        <f t="shared" si="3887"/>
        <v/>
      </c>
      <c r="FF241" s="71" t="str">
        <f t="shared" si="3888"/>
        <v/>
      </c>
      <c r="FG241" s="71" t="str">
        <f t="shared" si="3889"/>
        <v/>
      </c>
      <c r="FH241" s="71" t="str">
        <f t="shared" si="3890"/>
        <v/>
      </c>
      <c r="FI241" s="71" t="str">
        <f t="shared" si="3891"/>
        <v/>
      </c>
      <c r="FJ241" s="71" t="str">
        <f t="shared" si="3892"/>
        <v/>
      </c>
      <c r="FK241" s="71" t="str">
        <f t="shared" si="3893"/>
        <v/>
      </c>
      <c r="FL241" s="71" t="str">
        <f t="shared" si="3894"/>
        <v/>
      </c>
      <c r="FM241" s="71" t="str">
        <f t="shared" si="3895"/>
        <v/>
      </c>
      <c r="FN241" s="71" t="str">
        <f t="shared" si="3896"/>
        <v/>
      </c>
      <c r="FO241" s="71" t="str">
        <f t="shared" si="3897"/>
        <v/>
      </c>
      <c r="FP241" s="71" t="str">
        <f t="shared" si="3898"/>
        <v/>
      </c>
      <c r="FQ241" s="71" t="str">
        <f t="shared" si="3899"/>
        <v/>
      </c>
      <c r="FR241" s="71" t="str">
        <f t="shared" si="3900"/>
        <v/>
      </c>
      <c r="FS241" s="71" t="str">
        <f t="shared" si="3901"/>
        <v/>
      </c>
    </row>
    <row r="242" ht="14.4" spans="1:175">
      <c r="A242" s="80"/>
      <c r="B242" s="81" t="s">
        <v>832</v>
      </c>
      <c r="C242" s="128" t="s">
        <v>833</v>
      </c>
      <c r="T242" s="131" t="s">
        <v>834</v>
      </c>
      <c r="U242" s="89" t="str">
        <f t="shared" si="3829"/>
        <v>ReplaceableTextures\\CommandButtons\\BTNIB04.blp</v>
      </c>
      <c r="CN242" s="69" t="str">
        <f t="shared" ref="CN242:CN249" si="3902">"InitUnitState('"&amp;B242&amp;"',"&amp;V242&amp;","&amp;W242&amp;","&amp;X242&amp;","&amp;Y242&amp;","&amp;Z242&amp;","&amp;AA242&amp;","&amp;AB242&amp;","&amp;AC242&amp;","&amp;AD242&amp;","&amp;AE242&amp;")"</f>
        <v>InitUnitState('IB04',,,,,,,,,,)</v>
      </c>
      <c r="CO242" s="69" t="str">
        <f t="shared" ref="CO242:CO249" si="3903">"InitUnitNormal('"&amp;B242&amp;"',"&amp;AF242&amp;","&amp;AG242&amp;","&amp;AH242&amp;","&amp;AI242&amp;","&amp;AJ242&amp;","&amp;AK242&amp;","&amp;AL242&amp;","&amp;AM242&amp;","&amp;AN242&amp;","&amp;AO242&amp;")"</f>
        <v>InitUnitNormal('IB04',,,,,,,,,,)</v>
      </c>
      <c r="CP242" s="69" t="str">
        <f t="shared" ref="CP242:CP249" si="3904">"InitUnitMagic('"&amp;B242&amp;"',"&amp;AP242&amp;","&amp;AQ242&amp;","&amp;AR242&amp;","&amp;AS242&amp;","&amp;AT242&amp;","&amp;AU242&amp;","&amp;AV242&amp;","&amp;AW242&amp;","&amp;BI242&amp;","&amp;BJ242&amp;")"</f>
        <v>InitUnitMagic('IB04',,,,,,,,,,)</v>
      </c>
      <c r="CQ242" s="69" t="str">
        <f t="shared" ref="CQ242:CQ249" si="3905">"InitUnitAdd('"&amp;B242&amp;"',"&amp;BK242&amp;","&amp;BL242&amp;","&amp;BM242&amp;","&amp;BN242&amp;","&amp;BO242&amp;","&amp;BP242&amp;","&amp;BQ242&amp;","&amp;BR242&amp;","&amp;BS242&amp;","&amp;BT242&amp;")"</f>
        <v>InitUnitAdd('IB04',,,,,,,,,,)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InitEquipData('IB04',,"",,,,,'','','','','','',"ReplaceableTextures\\CommandButtons\\BTNIB05.blp")</v>
      </c>
      <c r="CU242" s="99" t="str">
        <f t="shared" si="3830"/>
        <v>|n</v>
      </c>
      <c r="CV242" s="70" t="str">
        <f t="shared" si="3831"/>
        <v>|cff99ccff房间大厅界面点击右上角《|r|cffcc99ff收藏|r|cff99ccff》后可领取该礼包。|n|n|r属性：|n|cffffcc33攻击伤害+5%|n技能伤害+5%|r</v>
      </c>
      <c r="CW242" s="60"/>
      <c r="CX242" s="60"/>
      <c r="CY242" s="60"/>
      <c r="CZ242" s="60"/>
      <c r="DA242" s="60"/>
      <c r="DB242" s="71" t="str">
        <f t="shared" si="3832"/>
        <v/>
      </c>
      <c r="DC242" s="71" t="str">
        <f t="shared" si="3833"/>
        <v/>
      </c>
      <c r="DD242" s="71" t="str">
        <f t="shared" si="3834"/>
        <v/>
      </c>
      <c r="DE242" s="71" t="str">
        <f t="shared" si="3835"/>
        <v/>
      </c>
      <c r="DF242" s="71" t="str">
        <f t="shared" si="3836"/>
        <v/>
      </c>
      <c r="DG242" s="71" t="str">
        <f t="shared" si="3837"/>
        <v/>
      </c>
      <c r="DH242" s="71" t="str">
        <f t="shared" si="3838"/>
        <v/>
      </c>
      <c r="DI242" s="71" t="str">
        <f t="shared" si="3839"/>
        <v/>
      </c>
      <c r="DJ242" s="71" t="str">
        <f t="shared" si="3840"/>
        <v/>
      </c>
      <c r="DK242" s="71" t="str">
        <f t="shared" si="3841"/>
        <v/>
      </c>
      <c r="DL242" s="71" t="str">
        <f t="shared" si="3842"/>
        <v/>
      </c>
      <c r="DM242" s="71" t="str">
        <f t="shared" si="3843"/>
        <v/>
      </c>
      <c r="DN242" s="71" t="str">
        <f t="shared" si="3844"/>
        <v/>
      </c>
      <c r="DO242" s="71" t="str">
        <f t="shared" si="3845"/>
        <v/>
      </c>
      <c r="DP242" s="71" t="str">
        <f t="shared" si="3846"/>
        <v/>
      </c>
      <c r="DQ242" s="71" t="str">
        <f t="shared" si="3847"/>
        <v/>
      </c>
      <c r="DR242" s="71" t="str">
        <f t="shared" si="3848"/>
        <v/>
      </c>
      <c r="DS242" s="71" t="str">
        <f t="shared" si="3849"/>
        <v/>
      </c>
      <c r="DT242" s="71" t="str">
        <f t="shared" si="3850"/>
        <v/>
      </c>
      <c r="DU242" s="71" t="str">
        <f t="shared" si="3851"/>
        <v/>
      </c>
      <c r="DV242" s="71" t="str">
        <f t="shared" si="3852"/>
        <v/>
      </c>
      <c r="DW242" s="71" t="str">
        <f t="shared" si="3853"/>
        <v/>
      </c>
      <c r="DX242" s="71" t="str">
        <f t="shared" si="3854"/>
        <v/>
      </c>
      <c r="DY242" s="71" t="str">
        <f t="shared" si="3855"/>
        <v/>
      </c>
      <c r="DZ242" s="71" t="str">
        <f t="shared" si="3856"/>
        <v/>
      </c>
      <c r="EA242" s="71" t="str">
        <f t="shared" si="3857"/>
        <v/>
      </c>
      <c r="EB242" s="71" t="str">
        <f t="shared" si="3858"/>
        <v/>
      </c>
      <c r="EC242" s="71" t="str">
        <f t="shared" si="3859"/>
        <v/>
      </c>
      <c r="ED242" s="71" t="str">
        <f t="shared" si="3860"/>
        <v/>
      </c>
      <c r="EE242" s="71" t="str">
        <f t="shared" si="3861"/>
        <v/>
      </c>
      <c r="EF242" s="71" t="str">
        <f t="shared" si="3862"/>
        <v/>
      </c>
      <c r="EG242" s="71" t="str">
        <f t="shared" si="3863"/>
        <v/>
      </c>
      <c r="EH242" s="71" t="str">
        <f t="shared" si="3864"/>
        <v/>
      </c>
      <c r="EI242" s="71" t="str">
        <f t="shared" si="3865"/>
        <v/>
      </c>
      <c r="EJ242" s="71" t="str">
        <f t="shared" si="3866"/>
        <v/>
      </c>
      <c r="EK242" s="71" t="str">
        <f t="shared" si="3867"/>
        <v/>
      </c>
      <c r="EL242" s="71" t="str">
        <f t="shared" si="3868"/>
        <v/>
      </c>
      <c r="EM242" s="71" t="str">
        <f t="shared" si="3869"/>
        <v/>
      </c>
      <c r="EN242" s="71" t="str">
        <f t="shared" si="3870"/>
        <v/>
      </c>
      <c r="EO242" s="71" t="str">
        <f t="shared" si="3871"/>
        <v/>
      </c>
      <c r="EP242" s="71" t="str">
        <f t="shared" si="3872"/>
        <v/>
      </c>
      <c r="EQ242" s="71" t="str">
        <f t="shared" si="3873"/>
        <v/>
      </c>
      <c r="ER242" s="71" t="str">
        <f t="shared" si="3874"/>
        <v/>
      </c>
      <c r="ES242" s="71" t="str">
        <f t="shared" si="3875"/>
        <v/>
      </c>
      <c r="ET242" s="71" t="str">
        <f t="shared" si="3876"/>
        <v/>
      </c>
      <c r="EU242" s="71" t="str">
        <f t="shared" si="3877"/>
        <v/>
      </c>
      <c r="EV242" s="71" t="str">
        <f t="shared" si="3878"/>
        <v/>
      </c>
      <c r="EW242" s="71" t="str">
        <f t="shared" si="3879"/>
        <v/>
      </c>
      <c r="EX242" s="71" t="str">
        <f t="shared" si="3880"/>
        <v/>
      </c>
      <c r="EY242" s="71" t="str">
        <f t="shared" si="3881"/>
        <v/>
      </c>
      <c r="EZ242" s="71" t="str">
        <f t="shared" si="3882"/>
        <v/>
      </c>
      <c r="FA242" s="71" t="str">
        <f t="shared" si="3883"/>
        <v/>
      </c>
      <c r="FB242" s="71" t="str">
        <f t="shared" si="3884"/>
        <v/>
      </c>
      <c r="FC242" s="71" t="str">
        <f t="shared" si="3885"/>
        <v/>
      </c>
      <c r="FD242" s="71" t="str">
        <f t="shared" si="3886"/>
        <v/>
      </c>
      <c r="FE242" s="71" t="str">
        <f t="shared" si="3887"/>
        <v/>
      </c>
      <c r="FF242" s="71" t="str">
        <f t="shared" si="3888"/>
        <v/>
      </c>
      <c r="FG242" s="71" t="str">
        <f t="shared" si="3889"/>
        <v/>
      </c>
      <c r="FH242" s="71" t="str">
        <f t="shared" si="3890"/>
        <v/>
      </c>
      <c r="FI242" s="71" t="str">
        <f t="shared" si="3891"/>
        <v/>
      </c>
      <c r="FJ242" s="71" t="str">
        <f t="shared" si="3892"/>
        <v/>
      </c>
      <c r="FK242" s="71" t="str">
        <f t="shared" si="3893"/>
        <v/>
      </c>
      <c r="FL242" s="71" t="str">
        <f t="shared" si="3894"/>
        <v/>
      </c>
      <c r="FM242" s="71" t="str">
        <f t="shared" si="3895"/>
        <v/>
      </c>
      <c r="FN242" s="71" t="str">
        <f t="shared" si="3896"/>
        <v/>
      </c>
      <c r="FO242" s="71" t="str">
        <f t="shared" si="3897"/>
        <v/>
      </c>
      <c r="FP242" s="71" t="str">
        <f t="shared" si="3898"/>
        <v/>
      </c>
      <c r="FQ242" s="71" t="str">
        <f t="shared" si="3899"/>
        <v/>
      </c>
      <c r="FR242" s="71" t="str">
        <f t="shared" si="3900"/>
        <v/>
      </c>
      <c r="FS242" s="71" t="str">
        <f t="shared" si="3901"/>
        <v/>
      </c>
    </row>
    <row r="243" ht="14.4" spans="1:175">
      <c r="A243" s="80"/>
      <c r="B243" s="81" t="s">
        <v>835</v>
      </c>
      <c r="C243" s="128" t="s">
        <v>836</v>
      </c>
      <c r="T243" s="131" t="s">
        <v>837</v>
      </c>
      <c r="U243" s="89" t="str">
        <f t="shared" si="3829"/>
        <v>ReplaceableTextures\\CommandButtons\\BTNIB05.blp</v>
      </c>
      <c r="CN243" s="69" t="str">
        <f t="shared" si="3902"/>
        <v>InitUnitState('IB05',,,,,,,,,,)</v>
      </c>
      <c r="CO243" s="69" t="str">
        <f t="shared" si="3903"/>
        <v>InitUnitNormal('IB05',,,,,,,,,,)</v>
      </c>
      <c r="CP243" s="69" t="str">
        <f t="shared" si="3904"/>
        <v>InitUnitMagic('IB05',,,,,,,,,,)</v>
      </c>
      <c r="CQ243" s="69" t="str">
        <f t="shared" si="3905"/>
        <v>InitUnitAdd('IB05',,,,,,,,,,)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271&amp;CR$1&amp;")"</f>
        <v>InitEquipData('IB05',,"",,,,,'','','','','','',"")</v>
      </c>
      <c r="CU243" s="99" t="str">
        <f t="shared" si="3830"/>
        <v>|n</v>
      </c>
      <c r="CV243" s="70" t="str">
        <f t="shared" si="3831"/>
        <v>|cff33ff00购买魔兽重制版可领取该礼包！|n|n|r奖励：|n招魂幡Lv3</v>
      </c>
      <c r="CW243" s="60"/>
      <c r="CX243" s="60"/>
      <c r="CY243" s="60"/>
      <c r="CZ243" s="60"/>
      <c r="DA243" s="60"/>
      <c r="DB243" s="71" t="str">
        <f t="shared" si="3832"/>
        <v/>
      </c>
      <c r="DC243" s="71" t="str">
        <f t="shared" si="3833"/>
        <v/>
      </c>
      <c r="DD243" s="71" t="str">
        <f t="shared" si="3834"/>
        <v/>
      </c>
      <c r="DE243" s="71" t="str">
        <f t="shared" si="3835"/>
        <v/>
      </c>
      <c r="DF243" s="71" t="str">
        <f t="shared" si="3836"/>
        <v/>
      </c>
      <c r="DG243" s="71" t="str">
        <f t="shared" si="3837"/>
        <v/>
      </c>
      <c r="DH243" s="71" t="str">
        <f t="shared" si="3838"/>
        <v/>
      </c>
      <c r="DI243" s="71" t="str">
        <f t="shared" si="3839"/>
        <v/>
      </c>
      <c r="DJ243" s="71" t="str">
        <f t="shared" si="3840"/>
        <v/>
      </c>
      <c r="DK243" s="71" t="str">
        <f t="shared" si="3841"/>
        <v/>
      </c>
      <c r="DL243" s="71" t="str">
        <f t="shared" si="3842"/>
        <v/>
      </c>
      <c r="DM243" s="71" t="str">
        <f t="shared" si="3843"/>
        <v/>
      </c>
      <c r="DN243" s="71" t="str">
        <f t="shared" si="3844"/>
        <v/>
      </c>
      <c r="DO243" s="71" t="str">
        <f t="shared" si="3845"/>
        <v/>
      </c>
      <c r="DP243" s="71" t="str">
        <f t="shared" si="3846"/>
        <v/>
      </c>
      <c r="DQ243" s="71" t="str">
        <f t="shared" si="3847"/>
        <v/>
      </c>
      <c r="DR243" s="71" t="str">
        <f t="shared" si="3848"/>
        <v/>
      </c>
      <c r="DS243" s="71" t="str">
        <f t="shared" si="3849"/>
        <v/>
      </c>
      <c r="DT243" s="71" t="str">
        <f t="shared" si="3850"/>
        <v/>
      </c>
      <c r="DU243" s="71" t="str">
        <f t="shared" si="3851"/>
        <v/>
      </c>
      <c r="DV243" s="71" t="str">
        <f t="shared" si="3852"/>
        <v/>
      </c>
      <c r="DW243" s="71" t="str">
        <f t="shared" si="3853"/>
        <v/>
      </c>
      <c r="DX243" s="71" t="str">
        <f t="shared" si="3854"/>
        <v/>
      </c>
      <c r="DY243" s="71" t="str">
        <f t="shared" si="3855"/>
        <v/>
      </c>
      <c r="DZ243" s="71" t="str">
        <f t="shared" si="3856"/>
        <v/>
      </c>
      <c r="EA243" s="71" t="str">
        <f t="shared" si="3857"/>
        <v/>
      </c>
      <c r="EB243" s="71" t="str">
        <f t="shared" si="3858"/>
        <v/>
      </c>
      <c r="EC243" s="71" t="str">
        <f t="shared" si="3859"/>
        <v/>
      </c>
      <c r="ED243" s="71" t="str">
        <f t="shared" si="3860"/>
        <v/>
      </c>
      <c r="EE243" s="71" t="str">
        <f t="shared" si="3861"/>
        <v/>
      </c>
      <c r="EF243" s="71" t="str">
        <f t="shared" si="3862"/>
        <v/>
      </c>
      <c r="EG243" s="71" t="str">
        <f t="shared" si="3863"/>
        <v/>
      </c>
      <c r="EH243" s="71" t="str">
        <f t="shared" si="3864"/>
        <v/>
      </c>
      <c r="EI243" s="71" t="str">
        <f t="shared" si="3865"/>
        <v/>
      </c>
      <c r="EJ243" s="71" t="str">
        <f t="shared" si="3866"/>
        <v/>
      </c>
      <c r="EK243" s="71" t="str">
        <f t="shared" si="3867"/>
        <v/>
      </c>
      <c r="EL243" s="71" t="str">
        <f t="shared" si="3868"/>
        <v/>
      </c>
      <c r="EM243" s="71" t="str">
        <f t="shared" si="3869"/>
        <v/>
      </c>
      <c r="EN243" s="71" t="str">
        <f t="shared" si="3870"/>
        <v/>
      </c>
      <c r="EO243" s="71" t="str">
        <f t="shared" si="3871"/>
        <v/>
      </c>
      <c r="EP243" s="71" t="str">
        <f t="shared" si="3872"/>
        <v/>
      </c>
      <c r="EQ243" s="71" t="str">
        <f t="shared" si="3873"/>
        <v/>
      </c>
      <c r="ER243" s="71" t="str">
        <f t="shared" si="3874"/>
        <v/>
      </c>
      <c r="ES243" s="71" t="str">
        <f t="shared" si="3875"/>
        <v/>
      </c>
      <c r="ET243" s="71" t="str">
        <f t="shared" si="3876"/>
        <v/>
      </c>
      <c r="EU243" s="71" t="str">
        <f t="shared" si="3877"/>
        <v/>
      </c>
      <c r="EV243" s="71" t="str">
        <f t="shared" si="3878"/>
        <v/>
      </c>
      <c r="EW243" s="71" t="str">
        <f t="shared" si="3879"/>
        <v/>
      </c>
      <c r="EX243" s="71" t="str">
        <f t="shared" si="3880"/>
        <v/>
      </c>
      <c r="EY243" s="71" t="str">
        <f t="shared" si="3881"/>
        <v/>
      </c>
      <c r="EZ243" s="71" t="str">
        <f t="shared" si="3882"/>
        <v/>
      </c>
      <c r="FA243" s="71" t="str">
        <f t="shared" si="3883"/>
        <v/>
      </c>
      <c r="FB243" s="71" t="str">
        <f t="shared" si="3884"/>
        <v/>
      </c>
      <c r="FC243" s="71" t="str">
        <f t="shared" si="3885"/>
        <v/>
      </c>
      <c r="FD243" s="71" t="str">
        <f t="shared" si="3886"/>
        <v/>
      </c>
      <c r="FE243" s="71" t="str">
        <f t="shared" si="3887"/>
        <v/>
      </c>
      <c r="FF243" s="71" t="str">
        <f t="shared" si="3888"/>
        <v/>
      </c>
      <c r="FG243" s="71" t="str">
        <f t="shared" si="3889"/>
        <v/>
      </c>
      <c r="FH243" s="71" t="str">
        <f t="shared" si="3890"/>
        <v/>
      </c>
      <c r="FI243" s="71" t="str">
        <f t="shared" si="3891"/>
        <v/>
      </c>
      <c r="FJ243" s="71" t="str">
        <f t="shared" si="3892"/>
        <v/>
      </c>
      <c r="FK243" s="71" t="str">
        <f t="shared" si="3893"/>
        <v/>
      </c>
      <c r="FL243" s="71" t="str">
        <f t="shared" si="3894"/>
        <v/>
      </c>
      <c r="FM243" s="71" t="str">
        <f t="shared" si="3895"/>
        <v/>
      </c>
      <c r="FN243" s="71" t="str">
        <f t="shared" si="3896"/>
        <v/>
      </c>
      <c r="FO243" s="71" t="str">
        <f t="shared" si="3897"/>
        <v/>
      </c>
      <c r="FP243" s="71" t="str">
        <f t="shared" si="3898"/>
        <v/>
      </c>
      <c r="FQ243" s="71" t="str">
        <f t="shared" si="3899"/>
        <v/>
      </c>
      <c r="FR243" s="71" t="str">
        <f t="shared" si="3900"/>
        <v/>
      </c>
      <c r="FS243" s="71" t="str">
        <f t="shared" si="3901"/>
        <v/>
      </c>
    </row>
    <row r="244" ht="14.4" spans="1:175">
      <c r="A244" s="80"/>
      <c r="B244" s="81" t="s">
        <v>838</v>
      </c>
      <c r="C244" s="128" t="s">
        <v>839</v>
      </c>
      <c r="T244" s="131" t="s">
        <v>840</v>
      </c>
      <c r="U244" s="89" t="str">
        <f t="shared" si="3829"/>
        <v>ReplaceableTextures\\CommandButtons\\BTNIB06.blp</v>
      </c>
      <c r="CN244" s="69" t="str">
        <f t="shared" si="3902"/>
        <v>InitUnitState('IB06',,,,,,,,,,)</v>
      </c>
      <c r="CO244" s="69" t="str">
        <f t="shared" si="3903"/>
        <v>InitUnitNormal('IB06',,,,,,,,,,)</v>
      </c>
      <c r="CP244" s="69" t="str">
        <f t="shared" si="3904"/>
        <v>InitUnitMagic('IB06',,,,,,,,,,)</v>
      </c>
      <c r="CQ244" s="69" t="str">
        <f t="shared" si="3905"/>
        <v>InitUnitAdd('IB06',,,,,,,,,,)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InitEquipData('IB06',,"",,,,,'','','','','','',"ReplaceableTextures\\CommandButtons\\BTNIB07.blp")</v>
      </c>
      <c r="CU244" s="99" t="str">
        <f t="shared" si="3830"/>
        <v>|n</v>
      </c>
      <c r="CV244" s="70" t="str">
        <f t="shared" si="383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4" s="60"/>
      <c r="CX244" s="60"/>
      <c r="CY244" s="60"/>
      <c r="CZ244" s="60"/>
      <c r="DA244" s="60"/>
      <c r="DB244" s="71" t="str">
        <f t="shared" si="3832"/>
        <v/>
      </c>
      <c r="DC244" s="71" t="str">
        <f t="shared" si="3833"/>
        <v/>
      </c>
      <c r="DD244" s="71" t="str">
        <f t="shared" si="3834"/>
        <v/>
      </c>
      <c r="DE244" s="71" t="str">
        <f t="shared" si="3835"/>
        <v/>
      </c>
      <c r="DF244" s="71" t="str">
        <f t="shared" si="3836"/>
        <v/>
      </c>
      <c r="DG244" s="71" t="str">
        <f t="shared" si="3837"/>
        <v/>
      </c>
      <c r="DH244" s="71" t="str">
        <f t="shared" si="3838"/>
        <v/>
      </c>
      <c r="DI244" s="71" t="str">
        <f t="shared" si="3839"/>
        <v/>
      </c>
      <c r="DJ244" s="71" t="str">
        <f t="shared" si="3840"/>
        <v/>
      </c>
      <c r="DK244" s="71" t="str">
        <f t="shared" si="3841"/>
        <v/>
      </c>
      <c r="DL244" s="71" t="str">
        <f t="shared" si="3842"/>
        <v/>
      </c>
      <c r="DM244" s="71" t="str">
        <f t="shared" si="3843"/>
        <v/>
      </c>
      <c r="DN244" s="71" t="str">
        <f t="shared" si="3844"/>
        <v/>
      </c>
      <c r="DO244" s="71" t="str">
        <f t="shared" si="3845"/>
        <v/>
      </c>
      <c r="DP244" s="71" t="str">
        <f t="shared" si="3846"/>
        <v/>
      </c>
      <c r="DQ244" s="71" t="str">
        <f t="shared" si="3847"/>
        <v/>
      </c>
      <c r="DR244" s="71" t="str">
        <f t="shared" si="3848"/>
        <v/>
      </c>
      <c r="DS244" s="71" t="str">
        <f t="shared" si="3849"/>
        <v/>
      </c>
      <c r="DT244" s="71" t="str">
        <f t="shared" si="3850"/>
        <v/>
      </c>
      <c r="DU244" s="71" t="str">
        <f t="shared" si="3851"/>
        <v/>
      </c>
      <c r="DV244" s="71" t="str">
        <f t="shared" si="3852"/>
        <v/>
      </c>
      <c r="DW244" s="71" t="str">
        <f t="shared" si="3853"/>
        <v/>
      </c>
      <c r="DX244" s="71" t="str">
        <f t="shared" si="3854"/>
        <v/>
      </c>
      <c r="DY244" s="71" t="str">
        <f t="shared" si="3855"/>
        <v/>
      </c>
      <c r="DZ244" s="71" t="str">
        <f t="shared" si="3856"/>
        <v/>
      </c>
      <c r="EA244" s="71" t="str">
        <f t="shared" si="3857"/>
        <v/>
      </c>
      <c r="EB244" s="71" t="str">
        <f t="shared" si="3858"/>
        <v/>
      </c>
      <c r="EC244" s="71" t="str">
        <f t="shared" si="3859"/>
        <v/>
      </c>
      <c r="ED244" s="71" t="str">
        <f t="shared" si="3860"/>
        <v/>
      </c>
      <c r="EE244" s="71" t="str">
        <f t="shared" si="3861"/>
        <v/>
      </c>
      <c r="EF244" s="71" t="str">
        <f t="shared" si="3862"/>
        <v/>
      </c>
      <c r="EG244" s="71" t="str">
        <f t="shared" si="3863"/>
        <v/>
      </c>
      <c r="EH244" s="71" t="str">
        <f t="shared" si="3864"/>
        <v/>
      </c>
      <c r="EI244" s="71" t="str">
        <f t="shared" si="3865"/>
        <v/>
      </c>
      <c r="EJ244" s="71" t="str">
        <f t="shared" si="3866"/>
        <v/>
      </c>
      <c r="EK244" s="71" t="str">
        <f t="shared" si="3867"/>
        <v/>
      </c>
      <c r="EL244" s="71" t="str">
        <f t="shared" si="3868"/>
        <v/>
      </c>
      <c r="EM244" s="71" t="str">
        <f t="shared" si="3869"/>
        <v/>
      </c>
      <c r="EN244" s="71" t="str">
        <f t="shared" si="3870"/>
        <v/>
      </c>
      <c r="EO244" s="71" t="str">
        <f t="shared" si="3871"/>
        <v/>
      </c>
      <c r="EP244" s="71" t="str">
        <f t="shared" si="3872"/>
        <v/>
      </c>
      <c r="EQ244" s="71" t="str">
        <f t="shared" si="3873"/>
        <v/>
      </c>
      <c r="ER244" s="71" t="str">
        <f t="shared" si="3874"/>
        <v/>
      </c>
      <c r="ES244" s="71" t="str">
        <f t="shared" si="3875"/>
        <v/>
      </c>
      <c r="ET244" s="71" t="str">
        <f t="shared" si="3876"/>
        <v/>
      </c>
      <c r="EU244" s="71" t="str">
        <f t="shared" si="3877"/>
        <v/>
      </c>
      <c r="EV244" s="71" t="str">
        <f t="shared" si="3878"/>
        <v/>
      </c>
      <c r="EW244" s="71" t="str">
        <f t="shared" si="3879"/>
        <v/>
      </c>
      <c r="EX244" s="71" t="str">
        <f t="shared" si="3880"/>
        <v/>
      </c>
      <c r="EY244" s="71" t="str">
        <f t="shared" si="3881"/>
        <v/>
      </c>
      <c r="EZ244" s="71" t="str">
        <f t="shared" si="3882"/>
        <v/>
      </c>
      <c r="FA244" s="71" t="str">
        <f t="shared" si="3883"/>
        <v/>
      </c>
      <c r="FB244" s="71" t="str">
        <f t="shared" si="3884"/>
        <v/>
      </c>
      <c r="FC244" s="71" t="str">
        <f t="shared" si="3885"/>
        <v/>
      </c>
      <c r="FD244" s="71" t="str">
        <f t="shared" si="3886"/>
        <v/>
      </c>
      <c r="FE244" s="71" t="str">
        <f t="shared" si="3887"/>
        <v/>
      </c>
      <c r="FF244" s="71" t="str">
        <f t="shared" si="3888"/>
        <v/>
      </c>
      <c r="FG244" s="71" t="str">
        <f t="shared" si="3889"/>
        <v/>
      </c>
      <c r="FH244" s="71" t="str">
        <f t="shared" si="3890"/>
        <v/>
      </c>
      <c r="FI244" s="71" t="str">
        <f t="shared" si="3891"/>
        <v/>
      </c>
      <c r="FJ244" s="71" t="str">
        <f t="shared" si="3892"/>
        <v/>
      </c>
      <c r="FK244" s="71" t="str">
        <f t="shared" si="3893"/>
        <v/>
      </c>
      <c r="FL244" s="71" t="str">
        <f t="shared" si="3894"/>
        <v/>
      </c>
      <c r="FM244" s="71" t="str">
        <f t="shared" si="3895"/>
        <v/>
      </c>
      <c r="FN244" s="71" t="str">
        <f t="shared" si="3896"/>
        <v/>
      </c>
      <c r="FO244" s="71" t="str">
        <f t="shared" si="3897"/>
        <v/>
      </c>
      <c r="FP244" s="71" t="str">
        <f t="shared" si="3898"/>
        <v/>
      </c>
      <c r="FQ244" s="71" t="str">
        <f t="shared" si="3899"/>
        <v/>
      </c>
      <c r="FR244" s="71" t="str">
        <f t="shared" si="3900"/>
        <v/>
      </c>
      <c r="FS244" s="71" t="str">
        <f t="shared" si="3901"/>
        <v/>
      </c>
    </row>
    <row r="245" ht="14.4" spans="1:175">
      <c r="A245" s="80"/>
      <c r="B245" s="81" t="s">
        <v>841</v>
      </c>
      <c r="C245" s="128" t="s">
        <v>842</v>
      </c>
      <c r="T245" s="128" t="s">
        <v>843</v>
      </c>
      <c r="U245" s="89" t="str">
        <f t="shared" si="3829"/>
        <v>ReplaceableTextures\\CommandButtons\\BTNIB07.blp</v>
      </c>
      <c r="CN245" s="69" t="str">
        <f t="shared" si="3902"/>
        <v>InitUnitState('IB07',,,,,,,,,,)</v>
      </c>
      <c r="CO245" s="69" t="str">
        <f t="shared" si="3903"/>
        <v>InitUnitNormal('IB07',,,,,,,,,,)</v>
      </c>
      <c r="CP245" s="69" t="str">
        <f t="shared" si="3904"/>
        <v>InitUnitMagic('IB07',,,,,,,,,,)</v>
      </c>
      <c r="CQ245" s="69" t="str">
        <f t="shared" si="3905"/>
        <v>InitUnitAdd('IB07',,,,,,,,,,)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InitEquipData('IB07',,"",,,,,'','','','','','',"ReplaceableTextures\\CommandButtons\\BTNIB08.blp")</v>
      </c>
      <c r="CU245" s="99" t="str">
        <f t="shared" si="3830"/>
        <v>|n</v>
      </c>
      <c r="CV245" s="70" t="str">
        <f t="shared" si="383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5" s="60"/>
      <c r="CX245" s="60"/>
      <c r="CY245" s="60"/>
      <c r="CZ245" s="60"/>
      <c r="DA245" s="60"/>
      <c r="DB245" s="71" t="str">
        <f t="shared" si="3832"/>
        <v/>
      </c>
      <c r="DC245" s="71" t="str">
        <f t="shared" si="3833"/>
        <v/>
      </c>
      <c r="DD245" s="71" t="str">
        <f t="shared" si="3834"/>
        <v/>
      </c>
      <c r="DE245" s="71" t="str">
        <f t="shared" si="3835"/>
        <v/>
      </c>
      <c r="DF245" s="71" t="str">
        <f t="shared" si="3836"/>
        <v/>
      </c>
      <c r="DG245" s="71" t="str">
        <f t="shared" si="3837"/>
        <v/>
      </c>
      <c r="DH245" s="71" t="str">
        <f t="shared" si="3838"/>
        <v/>
      </c>
      <c r="DI245" s="71" t="str">
        <f t="shared" si="3839"/>
        <v/>
      </c>
      <c r="DJ245" s="71" t="str">
        <f t="shared" si="3840"/>
        <v/>
      </c>
      <c r="DK245" s="71" t="str">
        <f t="shared" si="3841"/>
        <v/>
      </c>
      <c r="DL245" s="71" t="str">
        <f t="shared" si="3842"/>
        <v/>
      </c>
      <c r="DM245" s="71" t="str">
        <f t="shared" si="3843"/>
        <v/>
      </c>
      <c r="DN245" s="71" t="str">
        <f t="shared" si="3844"/>
        <v/>
      </c>
      <c r="DO245" s="71" t="str">
        <f t="shared" si="3845"/>
        <v/>
      </c>
      <c r="DP245" s="71" t="str">
        <f t="shared" si="3846"/>
        <v/>
      </c>
      <c r="DQ245" s="71" t="str">
        <f t="shared" si="3847"/>
        <v/>
      </c>
      <c r="DR245" s="71" t="str">
        <f t="shared" si="3848"/>
        <v/>
      </c>
      <c r="DS245" s="71" t="str">
        <f t="shared" si="3849"/>
        <v/>
      </c>
      <c r="DT245" s="71" t="str">
        <f t="shared" si="3850"/>
        <v/>
      </c>
      <c r="DU245" s="71" t="str">
        <f t="shared" si="3851"/>
        <v/>
      </c>
      <c r="DV245" s="71" t="str">
        <f t="shared" si="3852"/>
        <v/>
      </c>
      <c r="DW245" s="71" t="str">
        <f t="shared" si="3853"/>
        <v/>
      </c>
      <c r="DX245" s="71" t="str">
        <f t="shared" si="3854"/>
        <v/>
      </c>
      <c r="DY245" s="71" t="str">
        <f t="shared" si="3855"/>
        <v/>
      </c>
      <c r="DZ245" s="71" t="str">
        <f t="shared" si="3856"/>
        <v/>
      </c>
      <c r="EA245" s="71" t="str">
        <f t="shared" si="3857"/>
        <v/>
      </c>
      <c r="EB245" s="71" t="str">
        <f t="shared" si="3858"/>
        <v/>
      </c>
      <c r="EC245" s="71" t="str">
        <f t="shared" si="3859"/>
        <v/>
      </c>
      <c r="ED245" s="71" t="str">
        <f t="shared" si="3860"/>
        <v/>
      </c>
      <c r="EE245" s="71" t="str">
        <f t="shared" si="3861"/>
        <v/>
      </c>
      <c r="EF245" s="71" t="str">
        <f t="shared" si="3862"/>
        <v/>
      </c>
      <c r="EG245" s="71" t="str">
        <f t="shared" si="3863"/>
        <v/>
      </c>
      <c r="EH245" s="71" t="str">
        <f t="shared" si="3864"/>
        <v/>
      </c>
      <c r="EI245" s="71" t="str">
        <f t="shared" si="3865"/>
        <v/>
      </c>
      <c r="EJ245" s="71" t="str">
        <f t="shared" si="3866"/>
        <v/>
      </c>
      <c r="EK245" s="71" t="str">
        <f t="shared" si="3867"/>
        <v/>
      </c>
      <c r="EL245" s="71" t="str">
        <f t="shared" si="3868"/>
        <v/>
      </c>
      <c r="EM245" s="71" t="str">
        <f t="shared" si="3869"/>
        <v/>
      </c>
      <c r="EN245" s="71" t="str">
        <f t="shared" si="3870"/>
        <v/>
      </c>
      <c r="EO245" s="71" t="str">
        <f t="shared" si="3871"/>
        <v/>
      </c>
      <c r="EP245" s="71" t="str">
        <f t="shared" si="3872"/>
        <v/>
      </c>
      <c r="EQ245" s="71" t="str">
        <f t="shared" si="3873"/>
        <v/>
      </c>
      <c r="ER245" s="71" t="str">
        <f t="shared" si="3874"/>
        <v/>
      </c>
      <c r="ES245" s="71" t="str">
        <f t="shared" si="3875"/>
        <v/>
      </c>
      <c r="ET245" s="71" t="str">
        <f t="shared" si="3876"/>
        <v/>
      </c>
      <c r="EU245" s="71" t="str">
        <f t="shared" si="3877"/>
        <v/>
      </c>
      <c r="EV245" s="71" t="str">
        <f t="shared" si="3878"/>
        <v/>
      </c>
      <c r="EW245" s="71" t="str">
        <f t="shared" si="3879"/>
        <v/>
      </c>
      <c r="EX245" s="71" t="str">
        <f t="shared" si="3880"/>
        <v/>
      </c>
      <c r="EY245" s="71" t="str">
        <f t="shared" si="3881"/>
        <v/>
      </c>
      <c r="EZ245" s="71" t="str">
        <f t="shared" si="3882"/>
        <v/>
      </c>
      <c r="FA245" s="71" t="str">
        <f t="shared" si="3883"/>
        <v/>
      </c>
      <c r="FB245" s="71" t="str">
        <f t="shared" si="3884"/>
        <v/>
      </c>
      <c r="FC245" s="71" t="str">
        <f t="shared" si="3885"/>
        <v/>
      </c>
      <c r="FD245" s="71" t="str">
        <f t="shared" si="3886"/>
        <v/>
      </c>
      <c r="FE245" s="71" t="str">
        <f t="shared" si="3887"/>
        <v/>
      </c>
      <c r="FF245" s="71" t="str">
        <f t="shared" si="3888"/>
        <v/>
      </c>
      <c r="FG245" s="71" t="str">
        <f t="shared" si="3889"/>
        <v/>
      </c>
      <c r="FH245" s="71" t="str">
        <f t="shared" si="3890"/>
        <v/>
      </c>
      <c r="FI245" s="71" t="str">
        <f t="shared" si="3891"/>
        <v/>
      </c>
      <c r="FJ245" s="71" t="str">
        <f t="shared" si="3892"/>
        <v/>
      </c>
      <c r="FK245" s="71" t="str">
        <f t="shared" si="3893"/>
        <v/>
      </c>
      <c r="FL245" s="71" t="str">
        <f t="shared" si="3894"/>
        <v/>
      </c>
      <c r="FM245" s="71" t="str">
        <f t="shared" si="3895"/>
        <v/>
      </c>
      <c r="FN245" s="71" t="str">
        <f t="shared" si="3896"/>
        <v/>
      </c>
      <c r="FO245" s="71" t="str">
        <f t="shared" si="3897"/>
        <v/>
      </c>
      <c r="FP245" s="71" t="str">
        <f t="shared" si="3898"/>
        <v/>
      </c>
      <c r="FQ245" s="71" t="str">
        <f t="shared" si="3899"/>
        <v/>
      </c>
      <c r="FR245" s="71" t="str">
        <f t="shared" si="3900"/>
        <v/>
      </c>
      <c r="FS245" s="71" t="str">
        <f t="shared" si="3901"/>
        <v/>
      </c>
    </row>
    <row r="246" ht="14.4" spans="1:175">
      <c r="A246" s="80"/>
      <c r="B246" s="81" t="s">
        <v>844</v>
      </c>
      <c r="C246" s="128" t="s">
        <v>845</v>
      </c>
      <c r="T246" s="131" t="s">
        <v>846</v>
      </c>
      <c r="U246" s="89" t="str">
        <f t="shared" si="3829"/>
        <v>ReplaceableTextures\\CommandButtons\\BTNIB08.blp</v>
      </c>
      <c r="CN246" s="69" t="str">
        <f t="shared" si="3902"/>
        <v>InitUnitState('IB08',,,,,,,,,,)</v>
      </c>
      <c r="CO246" s="69" t="str">
        <f t="shared" si="3903"/>
        <v>InitUnitNormal('IB08',,,,,,,,,,)</v>
      </c>
      <c r="CP246" s="69" t="str">
        <f t="shared" si="3904"/>
        <v>InitUnitMagic('IB08',,,,,,,,,,)</v>
      </c>
      <c r="CQ246" s="69" t="str">
        <f t="shared" si="3905"/>
        <v>InitUnitAdd('IB08',,,,,,,,,,)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InitEquipData('IB08',,"",,,,,'','','','','','',"")</v>
      </c>
      <c r="CU246" s="99" t="str">
        <f t="shared" si="3830"/>
        <v>|n</v>
      </c>
      <c r="CV246" s="70" t="str">
        <f t="shared" si="3831"/>
        <v>|cff99ccff游戏中输入《|r|cff33ff00魔芝RPG|r|cff99ccff》领取本礼包！|r|n|n|r奖励：|n|cffffcc00练功房怪物数量+1|r</v>
      </c>
      <c r="CW246" s="60"/>
      <c r="CX246" s="60"/>
      <c r="CY246" s="60"/>
      <c r="CZ246" s="60"/>
      <c r="DA246" s="60"/>
      <c r="DB246" s="71" t="str">
        <f t="shared" si="3832"/>
        <v/>
      </c>
      <c r="DC246" s="71" t="str">
        <f t="shared" si="3833"/>
        <v/>
      </c>
      <c r="DD246" s="71" t="str">
        <f t="shared" si="3834"/>
        <v/>
      </c>
      <c r="DE246" s="71" t="str">
        <f t="shared" si="3835"/>
        <v/>
      </c>
      <c r="DF246" s="71" t="str">
        <f t="shared" si="3836"/>
        <v/>
      </c>
      <c r="DG246" s="71" t="str">
        <f t="shared" si="3837"/>
        <v/>
      </c>
      <c r="DH246" s="71" t="str">
        <f t="shared" si="3838"/>
        <v/>
      </c>
      <c r="DI246" s="71" t="str">
        <f t="shared" si="3839"/>
        <v/>
      </c>
      <c r="DJ246" s="71" t="str">
        <f t="shared" si="3840"/>
        <v/>
      </c>
      <c r="DK246" s="71" t="str">
        <f t="shared" si="3841"/>
        <v/>
      </c>
      <c r="DL246" s="71" t="str">
        <f t="shared" si="3842"/>
        <v/>
      </c>
      <c r="DM246" s="71" t="str">
        <f t="shared" si="3843"/>
        <v/>
      </c>
      <c r="DN246" s="71" t="str">
        <f t="shared" si="3844"/>
        <v/>
      </c>
      <c r="DO246" s="71" t="str">
        <f t="shared" si="3845"/>
        <v/>
      </c>
      <c r="DP246" s="71" t="str">
        <f t="shared" si="3846"/>
        <v/>
      </c>
      <c r="DQ246" s="71" t="str">
        <f t="shared" si="3847"/>
        <v/>
      </c>
      <c r="DR246" s="71" t="str">
        <f t="shared" si="3848"/>
        <v/>
      </c>
      <c r="DS246" s="71" t="str">
        <f t="shared" si="3849"/>
        <v/>
      </c>
      <c r="DT246" s="71" t="str">
        <f t="shared" si="3850"/>
        <v/>
      </c>
      <c r="DU246" s="71" t="str">
        <f t="shared" si="3851"/>
        <v/>
      </c>
      <c r="DV246" s="71" t="str">
        <f t="shared" si="3852"/>
        <v/>
      </c>
      <c r="DW246" s="71" t="str">
        <f t="shared" si="3853"/>
        <v/>
      </c>
      <c r="DX246" s="71" t="str">
        <f t="shared" si="3854"/>
        <v/>
      </c>
      <c r="DY246" s="71" t="str">
        <f t="shared" si="3855"/>
        <v/>
      </c>
      <c r="DZ246" s="71" t="str">
        <f t="shared" si="3856"/>
        <v/>
      </c>
      <c r="EA246" s="71" t="str">
        <f t="shared" si="3857"/>
        <v/>
      </c>
      <c r="EB246" s="71" t="str">
        <f t="shared" si="3858"/>
        <v/>
      </c>
      <c r="EC246" s="71" t="str">
        <f t="shared" si="3859"/>
        <v/>
      </c>
      <c r="ED246" s="71" t="str">
        <f t="shared" si="3860"/>
        <v/>
      </c>
      <c r="EE246" s="71" t="str">
        <f t="shared" si="3861"/>
        <v/>
      </c>
      <c r="EF246" s="71" t="str">
        <f t="shared" si="3862"/>
        <v/>
      </c>
      <c r="EG246" s="71" t="str">
        <f t="shared" si="3863"/>
        <v/>
      </c>
      <c r="EH246" s="71" t="str">
        <f t="shared" si="3864"/>
        <v/>
      </c>
      <c r="EI246" s="71" t="str">
        <f t="shared" si="3865"/>
        <v/>
      </c>
      <c r="EJ246" s="71" t="str">
        <f t="shared" si="3866"/>
        <v/>
      </c>
      <c r="EK246" s="71" t="str">
        <f t="shared" si="3867"/>
        <v/>
      </c>
      <c r="EL246" s="71" t="str">
        <f t="shared" si="3868"/>
        <v/>
      </c>
      <c r="EM246" s="71" t="str">
        <f t="shared" si="3869"/>
        <v/>
      </c>
      <c r="EN246" s="71" t="str">
        <f t="shared" si="3870"/>
        <v/>
      </c>
      <c r="EO246" s="71" t="str">
        <f t="shared" si="3871"/>
        <v/>
      </c>
      <c r="EP246" s="71" t="str">
        <f t="shared" si="3872"/>
        <v/>
      </c>
      <c r="EQ246" s="71" t="str">
        <f t="shared" si="3873"/>
        <v/>
      </c>
      <c r="ER246" s="71" t="str">
        <f t="shared" si="3874"/>
        <v/>
      </c>
      <c r="ES246" s="71" t="str">
        <f t="shared" si="3875"/>
        <v/>
      </c>
      <c r="ET246" s="71" t="str">
        <f t="shared" si="3876"/>
        <v/>
      </c>
      <c r="EU246" s="71" t="str">
        <f t="shared" si="3877"/>
        <v/>
      </c>
      <c r="EV246" s="71" t="str">
        <f t="shared" si="3878"/>
        <v/>
      </c>
      <c r="EW246" s="71" t="str">
        <f t="shared" si="3879"/>
        <v/>
      </c>
      <c r="EX246" s="71" t="str">
        <f t="shared" si="3880"/>
        <v/>
      </c>
      <c r="EY246" s="71" t="str">
        <f t="shared" si="3881"/>
        <v/>
      </c>
      <c r="EZ246" s="71" t="str">
        <f t="shared" si="3882"/>
        <v/>
      </c>
      <c r="FA246" s="71" t="str">
        <f t="shared" si="3883"/>
        <v/>
      </c>
      <c r="FB246" s="71" t="str">
        <f t="shared" si="3884"/>
        <v/>
      </c>
      <c r="FC246" s="71" t="str">
        <f t="shared" si="3885"/>
        <v/>
      </c>
      <c r="FD246" s="71" t="str">
        <f t="shared" si="3886"/>
        <v/>
      </c>
      <c r="FE246" s="71" t="str">
        <f t="shared" si="3887"/>
        <v/>
      </c>
      <c r="FF246" s="71" t="str">
        <f t="shared" si="3888"/>
        <v/>
      </c>
      <c r="FG246" s="71" t="str">
        <f t="shared" si="3889"/>
        <v/>
      </c>
      <c r="FH246" s="71" t="str">
        <f t="shared" si="3890"/>
        <v/>
      </c>
      <c r="FI246" s="71" t="str">
        <f t="shared" si="3891"/>
        <v/>
      </c>
      <c r="FJ246" s="71" t="str">
        <f t="shared" si="3892"/>
        <v/>
      </c>
      <c r="FK246" s="71" t="str">
        <f t="shared" si="3893"/>
        <v/>
      </c>
      <c r="FL246" s="71" t="str">
        <f t="shared" si="3894"/>
        <v/>
      </c>
      <c r="FM246" s="71" t="str">
        <f t="shared" si="3895"/>
        <v/>
      </c>
      <c r="FN246" s="71" t="str">
        <f t="shared" si="3896"/>
        <v/>
      </c>
      <c r="FO246" s="71" t="str">
        <f t="shared" si="3897"/>
        <v/>
      </c>
      <c r="FP246" s="71" t="str">
        <f t="shared" si="3898"/>
        <v/>
      </c>
      <c r="FQ246" s="71" t="str">
        <f t="shared" si="3899"/>
        <v/>
      </c>
      <c r="FR246" s="71" t="str">
        <f t="shared" si="3900"/>
        <v/>
      </c>
      <c r="FS246" s="71" t="str">
        <f t="shared" si="3901"/>
        <v/>
      </c>
    </row>
    <row r="247" ht="14.4" spans="1:175">
      <c r="A247" s="80"/>
      <c r="B247" s="81" t="s">
        <v>847</v>
      </c>
      <c r="C247" s="128" t="s">
        <v>848</v>
      </c>
      <c r="T247" s="132"/>
      <c r="U247" s="89" t="str">
        <f t="shared" si="3829"/>
        <v>ReplaceableTextures\\CommandButtons\\BTNIB09.blp</v>
      </c>
      <c r="CN247" s="69" t="str">
        <f t="shared" si="3902"/>
        <v>InitUnitState('IB09',,,,,,,,,,)</v>
      </c>
      <c r="CO247" s="69" t="str">
        <f t="shared" si="3903"/>
        <v>InitUnitNormal('IB09',,,,,,,,,,)</v>
      </c>
      <c r="CP247" s="69" t="str">
        <f t="shared" si="3904"/>
        <v>InitUnitMagic('IB09',,,,,,,,,,)</v>
      </c>
      <c r="CQ247" s="69" t="str">
        <f t="shared" si="3905"/>
        <v>InitUnitAdd('IB09',,,,,,,,,,)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InitEquipData('IB09',,"",,,,,'','','','','','',"")</v>
      </c>
      <c r="CU247" s="99" t="str">
        <f t="shared" si="3830"/>
        <v>|n</v>
      </c>
      <c r="CV247" s="70">
        <f t="shared" si="3831"/>
        <v>0</v>
      </c>
      <c r="CW247" s="60"/>
      <c r="CX247" s="60"/>
      <c r="CY247" s="60"/>
      <c r="CZ247" s="60"/>
      <c r="DA247" s="60"/>
      <c r="DB247" s="71" t="str">
        <f t="shared" ref="DB247:FM248" si="3906">IF(V247="","","|n"&amp;DB$2&amp;"+"&amp;V247&amp;DB$1)</f>
        <v/>
      </c>
      <c r="DC247" s="71" t="str">
        <f t="shared" si="3906"/>
        <v/>
      </c>
      <c r="DD247" s="71" t="str">
        <f t="shared" si="3906"/>
        <v/>
      </c>
      <c r="DE247" s="71" t="str">
        <f t="shared" si="3906"/>
        <v/>
      </c>
      <c r="DF247" s="71" t="str">
        <f t="shared" si="3906"/>
        <v/>
      </c>
      <c r="DG247" s="71" t="str">
        <f t="shared" si="3906"/>
        <v/>
      </c>
      <c r="DH247" s="71" t="str">
        <f t="shared" si="3906"/>
        <v/>
      </c>
      <c r="DI247" s="71" t="str">
        <f t="shared" si="3906"/>
        <v/>
      </c>
      <c r="DJ247" s="71" t="str">
        <f t="shared" si="3906"/>
        <v/>
      </c>
      <c r="DK247" s="71" t="str">
        <f t="shared" si="3906"/>
        <v/>
      </c>
      <c r="DL247" s="71" t="str">
        <f t="shared" si="3906"/>
        <v/>
      </c>
      <c r="DM247" s="71" t="str">
        <f t="shared" si="3906"/>
        <v/>
      </c>
      <c r="DN247" s="71" t="str">
        <f t="shared" si="3906"/>
        <v/>
      </c>
      <c r="DO247" s="71" t="str">
        <f t="shared" si="3906"/>
        <v/>
      </c>
      <c r="DP247" s="71" t="str">
        <f t="shared" si="3906"/>
        <v/>
      </c>
      <c r="DQ247" s="71" t="str">
        <f t="shared" si="3906"/>
        <v/>
      </c>
      <c r="DR247" s="71" t="str">
        <f t="shared" si="3906"/>
        <v/>
      </c>
      <c r="DS247" s="71" t="str">
        <f t="shared" si="3906"/>
        <v/>
      </c>
      <c r="DT247" s="71" t="str">
        <f t="shared" si="3906"/>
        <v/>
      </c>
      <c r="DU247" s="71" t="str">
        <f t="shared" si="3906"/>
        <v/>
      </c>
      <c r="DV247" s="71" t="str">
        <f t="shared" si="3906"/>
        <v/>
      </c>
      <c r="DW247" s="71" t="str">
        <f t="shared" si="3906"/>
        <v/>
      </c>
      <c r="DX247" s="71" t="str">
        <f t="shared" si="3906"/>
        <v/>
      </c>
      <c r="DY247" s="71" t="str">
        <f t="shared" si="3906"/>
        <v/>
      </c>
      <c r="DZ247" s="71" t="str">
        <f t="shared" si="3906"/>
        <v/>
      </c>
      <c r="EA247" s="71" t="str">
        <f t="shared" si="3906"/>
        <v/>
      </c>
      <c r="EB247" s="71" t="str">
        <f t="shared" si="3906"/>
        <v/>
      </c>
      <c r="EC247" s="71" t="str">
        <f t="shared" si="3906"/>
        <v/>
      </c>
      <c r="ED247" s="71" t="str">
        <f t="shared" si="3906"/>
        <v/>
      </c>
      <c r="EE247" s="71" t="str">
        <f t="shared" si="3906"/>
        <v/>
      </c>
      <c r="EF247" s="71" t="str">
        <f t="shared" si="3906"/>
        <v/>
      </c>
      <c r="EG247" s="71" t="str">
        <f t="shared" si="3906"/>
        <v/>
      </c>
      <c r="EH247" s="71" t="str">
        <f t="shared" si="3906"/>
        <v/>
      </c>
      <c r="EI247" s="71" t="str">
        <f t="shared" si="3906"/>
        <v/>
      </c>
      <c r="EJ247" s="71" t="str">
        <f t="shared" si="3906"/>
        <v/>
      </c>
      <c r="EK247" s="71" t="str">
        <f t="shared" si="3906"/>
        <v/>
      </c>
      <c r="EL247" s="71" t="str">
        <f t="shared" si="3906"/>
        <v/>
      </c>
      <c r="EM247" s="71" t="str">
        <f t="shared" si="3906"/>
        <v/>
      </c>
      <c r="EN247" s="71" t="str">
        <f t="shared" si="3906"/>
        <v/>
      </c>
      <c r="EO247" s="71" t="str">
        <f t="shared" si="3906"/>
        <v/>
      </c>
      <c r="EP247" s="71" t="str">
        <f t="shared" si="3906"/>
        <v/>
      </c>
      <c r="EQ247" s="71" t="str">
        <f t="shared" si="3906"/>
        <v/>
      </c>
      <c r="ER247" s="71" t="str">
        <f t="shared" si="3906"/>
        <v/>
      </c>
      <c r="ES247" s="71" t="str">
        <f t="shared" si="3906"/>
        <v/>
      </c>
      <c r="ET247" s="71" t="str">
        <f t="shared" si="3906"/>
        <v/>
      </c>
      <c r="EU247" s="71" t="str">
        <f t="shared" si="3906"/>
        <v/>
      </c>
      <c r="EV247" s="71" t="str">
        <f t="shared" si="3906"/>
        <v/>
      </c>
      <c r="EW247" s="71" t="str">
        <f t="shared" si="3906"/>
        <v/>
      </c>
      <c r="EX247" s="71" t="str">
        <f t="shared" si="3906"/>
        <v/>
      </c>
      <c r="EY247" s="71" t="str">
        <f t="shared" si="3906"/>
        <v/>
      </c>
      <c r="EZ247" s="71" t="str">
        <f t="shared" si="3906"/>
        <v/>
      </c>
      <c r="FA247" s="71" t="str">
        <f t="shared" si="3906"/>
        <v/>
      </c>
      <c r="FB247" s="71" t="str">
        <f t="shared" si="3906"/>
        <v/>
      </c>
      <c r="FC247" s="71" t="str">
        <f t="shared" si="3906"/>
        <v/>
      </c>
      <c r="FD247" s="71" t="str">
        <f t="shared" si="3906"/>
        <v/>
      </c>
      <c r="FE247" s="71" t="str">
        <f t="shared" si="3906"/>
        <v/>
      </c>
      <c r="FF247" s="71" t="str">
        <f t="shared" si="3906"/>
        <v/>
      </c>
      <c r="FG247" s="71" t="str">
        <f t="shared" si="3906"/>
        <v/>
      </c>
      <c r="FH247" s="71" t="str">
        <f t="shared" si="3906"/>
        <v/>
      </c>
      <c r="FI247" s="71" t="str">
        <f t="shared" si="3906"/>
        <v/>
      </c>
      <c r="FJ247" s="71" t="str">
        <f t="shared" si="3906"/>
        <v/>
      </c>
      <c r="FK247" s="71" t="str">
        <f t="shared" si="3906"/>
        <v/>
      </c>
      <c r="FL247" s="71" t="str">
        <f t="shared" si="3906"/>
        <v/>
      </c>
      <c r="FM247" s="71" t="str">
        <f t="shared" si="3906"/>
        <v/>
      </c>
      <c r="FN247" s="71" t="str">
        <f t="shared" ref="FN247:FS248" si="3907">IF(CH247="","","|n"&amp;FN$2&amp;"+"&amp;CH247&amp;FN$1)</f>
        <v/>
      </c>
      <c r="FO247" s="71" t="str">
        <f t="shared" si="3907"/>
        <v/>
      </c>
      <c r="FP247" s="71" t="str">
        <f t="shared" si="3907"/>
        <v/>
      </c>
      <c r="FQ247" s="71" t="str">
        <f t="shared" si="3907"/>
        <v/>
      </c>
      <c r="FR247" s="71" t="str">
        <f t="shared" si="3907"/>
        <v/>
      </c>
      <c r="FS247" s="71" t="str">
        <f t="shared" si="3907"/>
        <v/>
      </c>
    </row>
    <row r="248" ht="14.4" spans="1:175">
      <c r="A248" s="80"/>
      <c r="B248" s="129" t="s">
        <v>849</v>
      </c>
      <c r="C248" s="128" t="str">
        <f>"已领取"&amp;C238</f>
        <v>已领取星耀福利</v>
      </c>
      <c r="T248" s="131" t="str">
        <f>T238&amp;"|N|N|cff00ff00已领取该礼包"</f>
        <v>|cffffcc33平台名称带有“星耀”开局自动激活！|n|n|r奖励：|n|cffffcc00每秒金币+1|n每秒攻击+1|n每秒生命+5|r|N|N|cff00ff00已领取该礼包</v>
      </c>
      <c r="U248" s="80" t="s">
        <v>850</v>
      </c>
      <c r="CN248" s="69" t="str">
        <f t="shared" ref="CN248" si="3908">"InitUnitState('"&amp;B248&amp;"',"&amp;V248&amp;","&amp;W248&amp;","&amp;X248&amp;","&amp;Y248&amp;","&amp;Z248&amp;","&amp;AA248&amp;","&amp;AB248&amp;","&amp;AC248&amp;","&amp;AD248&amp;","&amp;AE248&amp;")"</f>
        <v>InitUnitState('IB50',,,,,,,,,,)</v>
      </c>
      <c r="CO248" s="69" t="str">
        <f t="shared" ref="CO248" si="3909">"InitUnitNormal('"&amp;B248&amp;"',"&amp;AF248&amp;","&amp;AG248&amp;","&amp;AH248&amp;","&amp;AI248&amp;","&amp;AJ248&amp;","&amp;AK248&amp;","&amp;AL248&amp;","&amp;AM248&amp;","&amp;AN248&amp;","&amp;AO248&amp;")"</f>
        <v>InitUnitNormal('IB50',,,,,,,,,,)</v>
      </c>
      <c r="CP248" s="69" t="str">
        <f t="shared" ref="CP248" si="3910">"InitUnitMagic('"&amp;B248&amp;"',"&amp;AP248&amp;","&amp;AQ248&amp;","&amp;AR248&amp;","&amp;AS248&amp;","&amp;AT248&amp;","&amp;AU248&amp;","&amp;AV248&amp;","&amp;AW248&amp;","&amp;BI248&amp;","&amp;BJ248&amp;")"</f>
        <v>InitUnitMagic('IB50',,,,,,,,,,)</v>
      </c>
      <c r="CQ248" s="69" t="str">
        <f t="shared" ref="CQ248" si="3911">"InitUnitAdd('"&amp;B248&amp;"',"&amp;BK248&amp;","&amp;BL248&amp;","&amp;BM248&amp;","&amp;BN248&amp;","&amp;BO248&amp;","&amp;BP248&amp;","&amp;BQ248&amp;","&amp;BR248&amp;","&amp;BS248&amp;","&amp;BT248&amp;")"</f>
        <v>InitUnitAdd('IB50',,,,,,,,,,)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InitEquipData('IB50',,"",,,,,'','','','','','',"ReplaceableTextures\\commandButtons\\BTNLBUI01.blp")</v>
      </c>
      <c r="CU248" s="99" t="str">
        <f t="shared" si="3830"/>
        <v>|n</v>
      </c>
      <c r="CV248" s="70" t="str">
        <f t="shared" si="3831"/>
        <v>|cffffcc33平台名称带有“星耀”开局自动激活！|n|n|r奖励：|n|cffffcc00每秒金币+1|n每秒攻击+1|n每秒生命+5|r|N|N|cff00ff00已领取该礼包</v>
      </c>
      <c r="CW248" s="60"/>
      <c r="CX248" s="60"/>
      <c r="CY248" s="60"/>
      <c r="CZ248" s="60"/>
      <c r="DA248" s="60"/>
      <c r="DB248" s="71" t="str">
        <f t="shared" si="3906"/>
        <v/>
      </c>
      <c r="DC248" s="71" t="str">
        <f t="shared" si="3906"/>
        <v/>
      </c>
      <c r="DD248" s="71" t="str">
        <f t="shared" si="3906"/>
        <v/>
      </c>
      <c r="DE248" s="71" t="str">
        <f t="shared" si="3906"/>
        <v/>
      </c>
      <c r="DF248" s="71" t="str">
        <f t="shared" si="3906"/>
        <v/>
      </c>
      <c r="DG248" s="71" t="str">
        <f t="shared" si="3906"/>
        <v/>
      </c>
      <c r="DH248" s="71" t="str">
        <f t="shared" si="3906"/>
        <v/>
      </c>
      <c r="DI248" s="71" t="str">
        <f t="shared" si="3906"/>
        <v/>
      </c>
      <c r="DJ248" s="71" t="str">
        <f t="shared" si="3906"/>
        <v/>
      </c>
      <c r="DK248" s="71" t="str">
        <f t="shared" si="3906"/>
        <v/>
      </c>
      <c r="DL248" s="71" t="str">
        <f t="shared" si="3906"/>
        <v/>
      </c>
      <c r="DM248" s="71" t="str">
        <f t="shared" si="3906"/>
        <v/>
      </c>
      <c r="DN248" s="71" t="str">
        <f t="shared" si="3906"/>
        <v/>
      </c>
      <c r="DO248" s="71" t="str">
        <f t="shared" si="3906"/>
        <v/>
      </c>
      <c r="DP248" s="71" t="str">
        <f t="shared" si="3906"/>
        <v/>
      </c>
      <c r="DQ248" s="71" t="str">
        <f t="shared" si="3906"/>
        <v/>
      </c>
      <c r="DR248" s="71" t="str">
        <f t="shared" si="3906"/>
        <v/>
      </c>
      <c r="DS248" s="71" t="str">
        <f t="shared" si="3906"/>
        <v/>
      </c>
      <c r="DT248" s="71" t="str">
        <f t="shared" si="3906"/>
        <v/>
      </c>
      <c r="DU248" s="71" t="str">
        <f t="shared" si="3906"/>
        <v/>
      </c>
      <c r="DV248" s="71" t="str">
        <f t="shared" si="3906"/>
        <v/>
      </c>
      <c r="DW248" s="71" t="str">
        <f t="shared" si="3906"/>
        <v/>
      </c>
      <c r="DX248" s="71" t="str">
        <f t="shared" si="3906"/>
        <v/>
      </c>
      <c r="DY248" s="71" t="str">
        <f t="shared" si="3906"/>
        <v/>
      </c>
      <c r="DZ248" s="71" t="str">
        <f t="shared" si="3906"/>
        <v/>
      </c>
      <c r="EA248" s="71" t="str">
        <f t="shared" si="3906"/>
        <v/>
      </c>
      <c r="EB248" s="71" t="str">
        <f t="shared" si="3906"/>
        <v/>
      </c>
      <c r="EC248" s="71" t="str">
        <f t="shared" si="3906"/>
        <v/>
      </c>
      <c r="ED248" s="71" t="str">
        <f t="shared" si="3906"/>
        <v/>
      </c>
      <c r="EE248" s="71" t="str">
        <f t="shared" si="3906"/>
        <v/>
      </c>
      <c r="EF248" s="71" t="str">
        <f t="shared" si="3906"/>
        <v/>
      </c>
      <c r="EG248" s="71" t="str">
        <f t="shared" si="3906"/>
        <v/>
      </c>
      <c r="EH248" s="71" t="str">
        <f t="shared" si="3906"/>
        <v/>
      </c>
      <c r="EI248" s="71" t="str">
        <f t="shared" si="3906"/>
        <v/>
      </c>
      <c r="EJ248" s="71" t="str">
        <f t="shared" si="3906"/>
        <v/>
      </c>
      <c r="EK248" s="71" t="str">
        <f t="shared" si="3906"/>
        <v/>
      </c>
      <c r="EL248" s="71" t="str">
        <f t="shared" si="3906"/>
        <v/>
      </c>
      <c r="EM248" s="71" t="str">
        <f t="shared" si="3906"/>
        <v/>
      </c>
      <c r="EN248" s="71" t="str">
        <f t="shared" si="3906"/>
        <v/>
      </c>
      <c r="EO248" s="71" t="str">
        <f t="shared" si="3906"/>
        <v/>
      </c>
      <c r="EP248" s="71" t="str">
        <f t="shared" si="3906"/>
        <v/>
      </c>
      <c r="EQ248" s="71" t="str">
        <f t="shared" si="3906"/>
        <v/>
      </c>
      <c r="ER248" s="71" t="str">
        <f t="shared" si="3906"/>
        <v/>
      </c>
      <c r="ES248" s="71" t="str">
        <f t="shared" si="3906"/>
        <v/>
      </c>
      <c r="ET248" s="71" t="str">
        <f t="shared" si="3906"/>
        <v/>
      </c>
      <c r="EU248" s="71" t="str">
        <f t="shared" si="3906"/>
        <v/>
      </c>
      <c r="EV248" s="71" t="str">
        <f t="shared" si="3906"/>
        <v/>
      </c>
      <c r="EW248" s="71" t="str">
        <f t="shared" si="3906"/>
        <v/>
      </c>
      <c r="EX248" s="71" t="str">
        <f t="shared" si="3906"/>
        <v/>
      </c>
      <c r="EY248" s="71" t="str">
        <f t="shared" si="3906"/>
        <v/>
      </c>
      <c r="EZ248" s="71" t="str">
        <f t="shared" si="3906"/>
        <v/>
      </c>
      <c r="FA248" s="71" t="str">
        <f t="shared" si="3906"/>
        <v/>
      </c>
      <c r="FB248" s="71" t="str">
        <f t="shared" si="3906"/>
        <v/>
      </c>
      <c r="FC248" s="71" t="str">
        <f t="shared" si="3906"/>
        <v/>
      </c>
      <c r="FD248" s="71" t="str">
        <f t="shared" si="3906"/>
        <v/>
      </c>
      <c r="FE248" s="71" t="str">
        <f t="shared" si="3906"/>
        <v/>
      </c>
      <c r="FF248" s="71" t="str">
        <f t="shared" si="3906"/>
        <v/>
      </c>
      <c r="FG248" s="71" t="str">
        <f t="shared" si="3906"/>
        <v/>
      </c>
      <c r="FH248" s="71" t="str">
        <f t="shared" si="3906"/>
        <v/>
      </c>
      <c r="FI248" s="71" t="str">
        <f t="shared" si="3906"/>
        <v/>
      </c>
      <c r="FJ248" s="71" t="str">
        <f t="shared" si="3906"/>
        <v/>
      </c>
      <c r="FK248" s="71" t="str">
        <f t="shared" si="3906"/>
        <v/>
      </c>
      <c r="FL248" s="71" t="str">
        <f t="shared" si="3906"/>
        <v/>
      </c>
      <c r="FM248" s="71" t="str">
        <f t="shared" si="3906"/>
        <v/>
      </c>
      <c r="FN248" s="71" t="str">
        <f t="shared" si="3907"/>
        <v/>
      </c>
      <c r="FO248" s="71" t="str">
        <f t="shared" si="3907"/>
        <v/>
      </c>
      <c r="FP248" s="71" t="str">
        <f t="shared" si="3907"/>
        <v/>
      </c>
      <c r="FQ248" s="71" t="str">
        <f t="shared" si="3907"/>
        <v/>
      </c>
      <c r="FR248" s="71" t="str">
        <f t="shared" si="3907"/>
        <v/>
      </c>
      <c r="FS248" s="71" t="str">
        <f t="shared" si="3907"/>
        <v/>
      </c>
    </row>
    <row r="249" ht="14.4" spans="1:175">
      <c r="A249" s="80"/>
      <c r="B249" s="129" t="s">
        <v>851</v>
      </c>
      <c r="C249" s="128" t="str">
        <f>"已领取"&amp;C239</f>
        <v>已领取公众号礼包</v>
      </c>
      <c r="T249" s="131" t="str">
        <f>T239&amp;"|N|N|cff00ff00已领取该礼包"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9" s="80" t="s">
        <v>850</v>
      </c>
      <c r="CN249" s="69" t="str">
        <f t="shared" si="3902"/>
        <v>InitUnitState('IB51',,,,,,,,,,)</v>
      </c>
      <c r="CO249" s="69" t="str">
        <f t="shared" si="3903"/>
        <v>InitUnitNormal('IB51',,,,,,,,,,)</v>
      </c>
      <c r="CP249" s="69" t="str">
        <f t="shared" si="3904"/>
        <v>InitUnitMagic('IB51',,,,,,,,,,)</v>
      </c>
      <c r="CQ249" s="69" t="str">
        <f t="shared" si="3905"/>
        <v>InitUnitAdd('IB51',,,,,,,,,,)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InitEquipData('IB51',,"",,,,,'','','','','','',"ReplaceableTextures\\commandButtons\\BTNLBUI01.blp")</v>
      </c>
      <c r="CU249" s="99" t="str">
        <f t="shared" ref="CU249:CU257" si="3912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70" t="str">
        <f t="shared" ref="CV249:CV263" si="3913">T249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9" s="60"/>
      <c r="CX249" s="60"/>
      <c r="CY249" s="60"/>
      <c r="CZ249" s="60"/>
      <c r="DA249" s="60"/>
      <c r="DB249" s="71" t="str">
        <f t="shared" ref="DB249:DB255" si="3914">IF(V249="","","|n"&amp;DB$2&amp;"+"&amp;V249&amp;DB$1)</f>
        <v/>
      </c>
      <c r="DC249" s="71" t="str">
        <f t="shared" ref="DC249:DC255" si="3915">IF(W249="","","|n"&amp;DC$2&amp;"+"&amp;W249&amp;DC$1)</f>
        <v/>
      </c>
      <c r="DD249" s="71" t="str">
        <f t="shared" ref="DD249:DD255" si="3916">IF(X249="","","|n"&amp;DD$2&amp;"+"&amp;X249&amp;DD$1)</f>
        <v/>
      </c>
      <c r="DE249" s="71" t="str">
        <f t="shared" ref="DE249:DE255" si="3917">IF(Y249="","","|n"&amp;DE$2&amp;"+"&amp;Y249&amp;DE$1)</f>
        <v/>
      </c>
      <c r="DF249" s="71" t="str">
        <f t="shared" ref="DF249:DF255" si="3918">IF(Z249="","","|n"&amp;DF$2&amp;"+"&amp;Z249&amp;DF$1)</f>
        <v/>
      </c>
      <c r="DG249" s="71" t="str">
        <f t="shared" ref="DG249:DG255" si="3919">IF(AA249="","","|n"&amp;DG$2&amp;"+"&amp;AA249&amp;DG$1)</f>
        <v/>
      </c>
      <c r="DH249" s="71" t="str">
        <f t="shared" ref="DH249:DH255" si="3920">IF(AB249="","","|n"&amp;DH$2&amp;"+"&amp;AB249&amp;DH$1)</f>
        <v/>
      </c>
      <c r="DI249" s="71" t="str">
        <f t="shared" ref="DI249:DI255" si="3921">IF(AC249="","","|n"&amp;DI$2&amp;"+"&amp;AC249&amp;DI$1)</f>
        <v/>
      </c>
      <c r="DJ249" s="71" t="str">
        <f t="shared" ref="DJ249:DJ255" si="3922">IF(AD249="","","|n"&amp;DJ$2&amp;"+"&amp;AD249&amp;DJ$1)</f>
        <v/>
      </c>
      <c r="DK249" s="71" t="str">
        <f t="shared" ref="DK249:DK255" si="3923">IF(AE249="","","|n"&amp;DK$2&amp;"+"&amp;AE249&amp;DK$1)</f>
        <v/>
      </c>
      <c r="DL249" s="71" t="str">
        <f t="shared" ref="DL249:DL255" si="3924">IF(AF249="","","|n"&amp;DL$2&amp;"+"&amp;AF249&amp;DL$1)</f>
        <v/>
      </c>
      <c r="DM249" s="71" t="str">
        <f t="shared" ref="DM249:DM255" si="3925">IF(AG249="","","|n"&amp;DM$2&amp;"+"&amp;AG249&amp;DM$1)</f>
        <v/>
      </c>
      <c r="DN249" s="71" t="str">
        <f t="shared" ref="DN249:DN255" si="3926">IF(AH249="","","|n"&amp;DN$2&amp;"+"&amp;AH249&amp;DN$1)</f>
        <v/>
      </c>
      <c r="DO249" s="71" t="str">
        <f t="shared" ref="DO249:DO255" si="3927">IF(AI249="","","|n"&amp;DO$2&amp;"+"&amp;AI249&amp;DO$1)</f>
        <v/>
      </c>
      <c r="DP249" s="71" t="str">
        <f t="shared" ref="DP249:DP255" si="3928">IF(AJ249="","","|n"&amp;DP$2&amp;"+"&amp;AJ249&amp;DP$1)</f>
        <v/>
      </c>
      <c r="DQ249" s="71" t="str">
        <f t="shared" ref="DQ249:DQ255" si="3929">IF(AK249="","","|n"&amp;DQ$2&amp;"+"&amp;AK249&amp;DQ$1)</f>
        <v/>
      </c>
      <c r="DR249" s="71" t="str">
        <f t="shared" ref="DR249:DR255" si="3930">IF(AL249="","","|n"&amp;DR$2&amp;"+"&amp;AL249&amp;DR$1)</f>
        <v/>
      </c>
      <c r="DS249" s="71" t="str">
        <f t="shared" ref="DS249:DS255" si="3931">IF(AM249="","","|n"&amp;DS$2&amp;"+"&amp;AM249&amp;DS$1)</f>
        <v/>
      </c>
      <c r="DT249" s="71" t="str">
        <f t="shared" ref="DT249:DT255" si="3932">IF(AN249="","","|n"&amp;DT$2&amp;"+"&amp;AN249&amp;DT$1)</f>
        <v/>
      </c>
      <c r="DU249" s="71" t="str">
        <f t="shared" ref="DU249:DU255" si="3933">IF(AO249="","","|n"&amp;DU$2&amp;"+"&amp;AO249&amp;DU$1)</f>
        <v/>
      </c>
      <c r="DV249" s="71" t="str">
        <f t="shared" ref="DV249:DV255" si="3934">IF(AP249="","","|n"&amp;DV$2&amp;"+"&amp;AP249&amp;DV$1)</f>
        <v/>
      </c>
      <c r="DW249" s="71" t="str">
        <f t="shared" ref="DW249:DW255" si="3935">IF(AQ249="","","|n"&amp;DW$2&amp;"+"&amp;AQ249&amp;DW$1)</f>
        <v/>
      </c>
      <c r="DX249" s="71" t="str">
        <f t="shared" ref="DX249:DX255" si="3936">IF(AR249="","","|n"&amp;DX$2&amp;"+"&amp;AR249&amp;DX$1)</f>
        <v/>
      </c>
      <c r="DY249" s="71" t="str">
        <f t="shared" ref="DY249:DY255" si="3937">IF(AS249="","","|n"&amp;DY$2&amp;"+"&amp;AS249&amp;DY$1)</f>
        <v/>
      </c>
      <c r="DZ249" s="71" t="str">
        <f t="shared" ref="DZ249:DZ255" si="3938">IF(AT249="","","|n"&amp;DZ$2&amp;"+"&amp;AT249&amp;DZ$1)</f>
        <v/>
      </c>
      <c r="EA249" s="71" t="str">
        <f t="shared" ref="EA249:EA255" si="3939">IF(AU249="","","|n"&amp;EA$2&amp;"+"&amp;AU249&amp;EA$1)</f>
        <v/>
      </c>
      <c r="EB249" s="71" t="str">
        <f t="shared" ref="EB249:EB255" si="3940">IF(AV249="","","|n"&amp;EB$2&amp;"+"&amp;AV249&amp;EB$1)</f>
        <v/>
      </c>
      <c r="EC249" s="71" t="str">
        <f t="shared" ref="EC249:EC255" si="3941">IF(AW249="","","|n"&amp;EC$2&amp;"+"&amp;AW249&amp;EC$1)</f>
        <v/>
      </c>
      <c r="ED249" s="71" t="str">
        <f t="shared" ref="ED249:ED255" si="3942">IF(AX249="","","|n"&amp;ED$2&amp;"+"&amp;AX249&amp;ED$1)</f>
        <v/>
      </c>
      <c r="EE249" s="71" t="str">
        <f t="shared" ref="EE249:EE255" si="3943">IF(AY249="","","|n"&amp;EE$2&amp;"+"&amp;AY249&amp;EE$1)</f>
        <v/>
      </c>
      <c r="EF249" s="71" t="str">
        <f t="shared" ref="EF249:EF255" si="3944">IF(AZ249="","","|n"&amp;EF$2&amp;"+"&amp;AZ249&amp;EF$1)</f>
        <v/>
      </c>
      <c r="EG249" s="71" t="str">
        <f t="shared" ref="EG249:EG255" si="3945">IF(BA249="","","|n"&amp;EG$2&amp;"+"&amp;BA249&amp;EG$1)</f>
        <v/>
      </c>
      <c r="EH249" s="71" t="str">
        <f t="shared" ref="EH249:EH255" si="3946">IF(BB249="","","|n"&amp;EH$2&amp;"+"&amp;BB249&amp;EH$1)</f>
        <v/>
      </c>
      <c r="EI249" s="71" t="str">
        <f t="shared" ref="EI249:EI255" si="3947">IF(BC249="","","|n"&amp;EI$2&amp;"+"&amp;BC249&amp;EI$1)</f>
        <v/>
      </c>
      <c r="EJ249" s="71" t="str">
        <f t="shared" ref="EJ249:EJ255" si="3948">IF(BD249="","","|n"&amp;EJ$2&amp;"+"&amp;BD249&amp;EJ$1)</f>
        <v/>
      </c>
      <c r="EK249" s="71" t="str">
        <f t="shared" ref="EK249:EK255" si="3949">IF(BE249="","","|n"&amp;EK$2&amp;"+"&amp;BE249&amp;EK$1)</f>
        <v/>
      </c>
      <c r="EL249" s="71" t="str">
        <f t="shared" ref="EL249:EL255" si="3950">IF(BF249="","","|n"&amp;EL$2&amp;"+"&amp;BF249&amp;EL$1)</f>
        <v/>
      </c>
      <c r="EM249" s="71" t="str">
        <f t="shared" ref="EM249:EM255" si="3951">IF(BG249="","","|n"&amp;EM$2&amp;"+"&amp;BG249&amp;EM$1)</f>
        <v/>
      </c>
      <c r="EN249" s="71" t="str">
        <f t="shared" ref="EN249:EN255" si="3952">IF(BH249="","","|n"&amp;EN$2&amp;"+"&amp;BH249&amp;EN$1)</f>
        <v/>
      </c>
      <c r="EO249" s="71" t="str">
        <f t="shared" ref="EO249:EO255" si="3953">IF(BI249="","","|n"&amp;EO$2&amp;"+"&amp;BI249&amp;EO$1)</f>
        <v/>
      </c>
      <c r="EP249" s="71" t="str">
        <f t="shared" ref="EP249:EP255" si="3954">IF(BJ249="","","|n"&amp;EP$2&amp;"+"&amp;BJ249&amp;EP$1)</f>
        <v/>
      </c>
      <c r="EQ249" s="71" t="str">
        <f t="shared" ref="EQ249:EQ255" si="3955">IF(BK249="","","|n"&amp;EQ$2&amp;"+"&amp;BK249&amp;EQ$1)</f>
        <v/>
      </c>
      <c r="ER249" s="71" t="str">
        <f t="shared" ref="ER249:ER255" si="3956">IF(BL249="","","|n"&amp;ER$2&amp;"+"&amp;BL249&amp;ER$1)</f>
        <v/>
      </c>
      <c r="ES249" s="71" t="str">
        <f t="shared" ref="ES249:ES255" si="3957">IF(BM249="","","|n"&amp;ES$2&amp;"+"&amp;BM249&amp;ES$1)</f>
        <v/>
      </c>
      <c r="ET249" s="71" t="str">
        <f t="shared" ref="ET249:ET255" si="3958">IF(BN249="","","|n"&amp;ET$2&amp;"+"&amp;BN249&amp;ET$1)</f>
        <v/>
      </c>
      <c r="EU249" s="71" t="str">
        <f t="shared" ref="EU249:EU255" si="3959">IF(BO249="","","|n"&amp;EU$2&amp;"+"&amp;BO249&amp;EU$1)</f>
        <v/>
      </c>
      <c r="EV249" s="71" t="str">
        <f t="shared" ref="EV249:EV255" si="3960">IF(BP249="","","|n"&amp;EV$2&amp;"+"&amp;BP249&amp;EV$1)</f>
        <v/>
      </c>
      <c r="EW249" s="71" t="str">
        <f t="shared" ref="EW249:EW255" si="3961">IF(BQ249="","","|n"&amp;EW$2&amp;"+"&amp;BQ249&amp;EW$1)</f>
        <v/>
      </c>
      <c r="EX249" s="71" t="str">
        <f t="shared" ref="EX249:EX255" si="3962">IF(BR249="","","|n"&amp;EX$2&amp;"+"&amp;BR249&amp;EX$1)</f>
        <v/>
      </c>
      <c r="EY249" s="71" t="str">
        <f t="shared" ref="EY249:EY255" si="3963">IF(BS249="","","|n"&amp;EY$2&amp;"+"&amp;BS249&amp;EY$1)</f>
        <v/>
      </c>
      <c r="EZ249" s="71" t="str">
        <f t="shared" ref="EZ249:EZ255" si="3964">IF(BT249="","","|n"&amp;EZ$2&amp;"+"&amp;BT249&amp;EZ$1)</f>
        <v/>
      </c>
      <c r="FA249" s="71" t="str">
        <f t="shared" ref="FA249:FA255" si="3965">IF(BU249="","","|n"&amp;FA$2&amp;"+"&amp;BU249&amp;FA$1)</f>
        <v/>
      </c>
      <c r="FB249" s="71" t="str">
        <f t="shared" ref="FB249:FB255" si="3966">IF(BV249="","","|n"&amp;FB$2&amp;"+"&amp;BV249&amp;FB$1)</f>
        <v/>
      </c>
      <c r="FC249" s="71" t="str">
        <f t="shared" ref="FC249:FC255" si="3967">IF(BW249="","","|n"&amp;FC$2&amp;"+"&amp;BW249&amp;FC$1)</f>
        <v/>
      </c>
      <c r="FD249" s="71" t="str">
        <f t="shared" ref="FD249:FD255" si="3968">IF(BX249="","","|n"&amp;FD$2&amp;"+"&amp;BX249&amp;FD$1)</f>
        <v/>
      </c>
      <c r="FE249" s="71" t="str">
        <f t="shared" ref="FE249:FE255" si="3969">IF(BY249="","","|n"&amp;FE$2&amp;"+"&amp;BY249&amp;FE$1)</f>
        <v/>
      </c>
      <c r="FF249" s="71" t="str">
        <f t="shared" ref="FF249:FF255" si="3970">IF(BZ249="","","|n"&amp;FF$2&amp;"+"&amp;BZ249&amp;FF$1)</f>
        <v/>
      </c>
      <c r="FG249" s="71" t="str">
        <f t="shared" ref="FG249:FG255" si="3971">IF(CA249="","","|n"&amp;FG$2&amp;"+"&amp;CA249&amp;FG$1)</f>
        <v/>
      </c>
      <c r="FH249" s="71" t="str">
        <f t="shared" ref="FH249:FH255" si="3972">IF(CB249="","","|n"&amp;FH$2&amp;"+"&amp;CB249&amp;FH$1)</f>
        <v/>
      </c>
      <c r="FI249" s="71" t="str">
        <f t="shared" ref="FI249:FI255" si="3973">IF(CC249="","","|n"&amp;FI$2&amp;"+"&amp;CC249&amp;FI$1)</f>
        <v/>
      </c>
      <c r="FJ249" s="71" t="str">
        <f t="shared" ref="FJ249:FJ255" si="3974">IF(CD249="","","|n"&amp;FJ$2&amp;"+"&amp;CD249&amp;FJ$1)</f>
        <v/>
      </c>
      <c r="FK249" s="71" t="str">
        <f t="shared" ref="FK249:FK255" si="3975">IF(CE249="","","|n"&amp;FK$2&amp;"+"&amp;CE249&amp;FK$1)</f>
        <v/>
      </c>
      <c r="FL249" s="71" t="str">
        <f t="shared" ref="FL249:FL255" si="3976">IF(CF249="","","|n"&amp;FL$2&amp;"+"&amp;CF249&amp;FL$1)</f>
        <v/>
      </c>
      <c r="FM249" s="71" t="str">
        <f t="shared" ref="FM249:FM255" si="3977">IF(CG249="","","|n"&amp;FM$2&amp;"+"&amp;CG249&amp;FM$1)</f>
        <v/>
      </c>
      <c r="FN249" s="71" t="str">
        <f t="shared" ref="FN249:FN255" si="3978">IF(CH249="","","|n"&amp;FN$2&amp;"+"&amp;CH249&amp;FN$1)</f>
        <v/>
      </c>
      <c r="FO249" s="71" t="str">
        <f t="shared" ref="FO249:FO255" si="3979">IF(CI249="","","|n"&amp;FO$2&amp;"+"&amp;CI249&amp;FO$1)</f>
        <v/>
      </c>
      <c r="FP249" s="71" t="str">
        <f t="shared" ref="FP249:FP255" si="3980">IF(CJ249="","","|n"&amp;FP$2&amp;"+"&amp;CJ249&amp;FP$1)</f>
        <v/>
      </c>
      <c r="FQ249" s="71" t="str">
        <f t="shared" ref="FQ249:FQ255" si="3981">IF(CK249="","","|n"&amp;FQ$2&amp;"+"&amp;CK249&amp;FQ$1)</f>
        <v/>
      </c>
      <c r="FR249" s="71" t="str">
        <f t="shared" ref="FR249:FR255" si="3982">IF(CL249="","","|n"&amp;FR$2&amp;"+"&amp;CL249&amp;FR$1)</f>
        <v/>
      </c>
      <c r="FS249" s="71" t="str">
        <f t="shared" ref="FS249:FS255" si="3983">IF(CM249="","","|n"&amp;FS$2&amp;"+"&amp;CM249&amp;FS$1)</f>
        <v/>
      </c>
    </row>
    <row r="250" ht="14.4" spans="1:175">
      <c r="A250" s="80"/>
      <c r="B250" s="129" t="s">
        <v>852</v>
      </c>
      <c r="C250" s="128" t="str">
        <f t="shared" ref="C250:C257" si="3984">"已领取"&amp;C240</f>
        <v>已领取入群礼包</v>
      </c>
      <c r="T250" s="131" t="str">
        <f t="shared" ref="T250:T257" si="3985">T240&amp;"|N|N|cff00ff00已领取该礼包"</f>
        <v>加入《|cff00ffcc全民封神|r》官方QQ群，即可获得入群礼包码！|n|n输入礼包码即可获得：|n金币+1000，每秒攻击+2，每秒业力+2|N|N|cff00ff00已领取该礼包</v>
      </c>
      <c r="U250" s="80" t="s">
        <v>850</v>
      </c>
      <c r="CN250" s="69" t="str">
        <f t="shared" ref="CN250:CN257" si="3986">"InitUnitState('"&amp;B250&amp;"',"&amp;V250&amp;","&amp;W250&amp;","&amp;X250&amp;","&amp;Y250&amp;","&amp;Z250&amp;","&amp;AA250&amp;","&amp;AB250&amp;","&amp;AC250&amp;","&amp;AD250&amp;","&amp;AE250&amp;")"</f>
        <v>InitUnitState('IB52',,,,,,,,,,)</v>
      </c>
      <c r="CO250" s="69" t="str">
        <f t="shared" ref="CO250:CO257" si="3987">"InitUnitNormal('"&amp;B250&amp;"',"&amp;AF250&amp;","&amp;AG250&amp;","&amp;AH250&amp;","&amp;AI250&amp;","&amp;AJ250&amp;","&amp;AK250&amp;","&amp;AL250&amp;","&amp;AM250&amp;","&amp;AN250&amp;","&amp;AO250&amp;")"</f>
        <v>InitUnitNormal('IB52',,,,,,,,,,)</v>
      </c>
      <c r="CP250" s="69" t="str">
        <f t="shared" ref="CP250:CP257" si="3988">"InitUnitMagic('"&amp;B250&amp;"',"&amp;AP250&amp;","&amp;AQ250&amp;","&amp;AR250&amp;","&amp;AS250&amp;","&amp;AT250&amp;","&amp;AU250&amp;","&amp;AV250&amp;","&amp;AW250&amp;","&amp;BI250&amp;","&amp;BJ250&amp;")"</f>
        <v>InitUnitMagic('IB52',,,,,,,,,,)</v>
      </c>
      <c r="CQ250" s="69" t="str">
        <f t="shared" ref="CQ250:CQ257" si="3989">"InitUnitAdd('"&amp;B250&amp;"',"&amp;BK250&amp;","&amp;BL250&amp;","&amp;BM250&amp;","&amp;BN250&amp;","&amp;BO250&amp;","&amp;BP250&amp;","&amp;BQ250&amp;","&amp;BR250&amp;","&amp;BS250&amp;","&amp;BT250&amp;")"</f>
        <v>InitUnitAdd('IB52',,,,,,,,,,)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InitEquipData('IB52',,"",,,,,'','','','','','',"ReplaceableTextures\\commandButtons\\BTNLBUI01.blp")</v>
      </c>
      <c r="CU250" s="99" t="str">
        <f t="shared" si="3912"/>
        <v>|n</v>
      </c>
      <c r="CV250" s="70" t="str">
        <f t="shared" si="3913"/>
        <v>加入《|cff00ffcc全民封神|r》官方QQ群，即可获得入群礼包码！|n|n输入礼包码即可获得：|n金币+1000，每秒攻击+2，每秒业力+2|N|N|cff00ff00已领取该礼包</v>
      </c>
      <c r="CW250" s="60"/>
      <c r="CX250" s="60"/>
      <c r="CY250" s="60"/>
      <c r="CZ250" s="60"/>
      <c r="DA250" s="60"/>
      <c r="DB250" s="71" t="str">
        <f t="shared" si="3914"/>
        <v/>
      </c>
      <c r="DC250" s="71" t="str">
        <f t="shared" si="3915"/>
        <v/>
      </c>
      <c r="DD250" s="71" t="str">
        <f t="shared" si="3916"/>
        <v/>
      </c>
      <c r="DE250" s="71" t="str">
        <f t="shared" si="3917"/>
        <v/>
      </c>
      <c r="DF250" s="71" t="str">
        <f t="shared" si="3918"/>
        <v/>
      </c>
      <c r="DG250" s="71" t="str">
        <f t="shared" si="3919"/>
        <v/>
      </c>
      <c r="DH250" s="71" t="str">
        <f t="shared" si="3920"/>
        <v/>
      </c>
      <c r="DI250" s="71" t="str">
        <f t="shared" si="3921"/>
        <v/>
      </c>
      <c r="DJ250" s="71" t="str">
        <f t="shared" si="3922"/>
        <v/>
      </c>
      <c r="DK250" s="71" t="str">
        <f t="shared" si="3923"/>
        <v/>
      </c>
      <c r="DL250" s="71" t="str">
        <f t="shared" si="3924"/>
        <v/>
      </c>
      <c r="DM250" s="71" t="str">
        <f t="shared" si="3925"/>
        <v/>
      </c>
      <c r="DN250" s="71" t="str">
        <f t="shared" si="3926"/>
        <v/>
      </c>
      <c r="DO250" s="71" t="str">
        <f t="shared" si="3927"/>
        <v/>
      </c>
      <c r="DP250" s="71" t="str">
        <f t="shared" si="3928"/>
        <v/>
      </c>
      <c r="DQ250" s="71" t="str">
        <f t="shared" si="3929"/>
        <v/>
      </c>
      <c r="DR250" s="71" t="str">
        <f t="shared" si="3930"/>
        <v/>
      </c>
      <c r="DS250" s="71" t="str">
        <f t="shared" si="3931"/>
        <v/>
      </c>
      <c r="DT250" s="71" t="str">
        <f t="shared" si="3932"/>
        <v/>
      </c>
      <c r="DU250" s="71" t="str">
        <f t="shared" si="3933"/>
        <v/>
      </c>
      <c r="DV250" s="71" t="str">
        <f t="shared" si="3934"/>
        <v/>
      </c>
      <c r="DW250" s="71" t="str">
        <f t="shared" si="3935"/>
        <v/>
      </c>
      <c r="DX250" s="71" t="str">
        <f t="shared" si="3936"/>
        <v/>
      </c>
      <c r="DY250" s="71" t="str">
        <f t="shared" si="3937"/>
        <v/>
      </c>
      <c r="DZ250" s="71" t="str">
        <f t="shared" si="3938"/>
        <v/>
      </c>
      <c r="EA250" s="71" t="str">
        <f t="shared" si="3939"/>
        <v/>
      </c>
      <c r="EB250" s="71" t="str">
        <f t="shared" si="3940"/>
        <v/>
      </c>
      <c r="EC250" s="71" t="str">
        <f t="shared" si="3941"/>
        <v/>
      </c>
      <c r="ED250" s="71" t="str">
        <f t="shared" si="3942"/>
        <v/>
      </c>
      <c r="EE250" s="71" t="str">
        <f t="shared" si="3943"/>
        <v/>
      </c>
      <c r="EF250" s="71" t="str">
        <f t="shared" si="3944"/>
        <v/>
      </c>
      <c r="EG250" s="71" t="str">
        <f t="shared" si="3945"/>
        <v/>
      </c>
      <c r="EH250" s="71" t="str">
        <f t="shared" si="3946"/>
        <v/>
      </c>
      <c r="EI250" s="71" t="str">
        <f t="shared" si="3947"/>
        <v/>
      </c>
      <c r="EJ250" s="71" t="str">
        <f t="shared" si="3948"/>
        <v/>
      </c>
      <c r="EK250" s="71" t="str">
        <f t="shared" si="3949"/>
        <v/>
      </c>
      <c r="EL250" s="71" t="str">
        <f t="shared" si="3950"/>
        <v/>
      </c>
      <c r="EM250" s="71" t="str">
        <f t="shared" si="3951"/>
        <v/>
      </c>
      <c r="EN250" s="71" t="str">
        <f t="shared" si="3952"/>
        <v/>
      </c>
      <c r="EO250" s="71" t="str">
        <f t="shared" si="3953"/>
        <v/>
      </c>
      <c r="EP250" s="71" t="str">
        <f t="shared" si="3954"/>
        <v/>
      </c>
      <c r="EQ250" s="71" t="str">
        <f t="shared" si="3955"/>
        <v/>
      </c>
      <c r="ER250" s="71" t="str">
        <f t="shared" si="3956"/>
        <v/>
      </c>
      <c r="ES250" s="71" t="str">
        <f t="shared" si="3957"/>
        <v/>
      </c>
      <c r="ET250" s="71" t="str">
        <f t="shared" si="3958"/>
        <v/>
      </c>
      <c r="EU250" s="71" t="str">
        <f t="shared" si="3959"/>
        <v/>
      </c>
      <c r="EV250" s="71" t="str">
        <f t="shared" si="3960"/>
        <v/>
      </c>
      <c r="EW250" s="71" t="str">
        <f t="shared" si="3961"/>
        <v/>
      </c>
      <c r="EX250" s="71" t="str">
        <f t="shared" si="3962"/>
        <v/>
      </c>
      <c r="EY250" s="71" t="str">
        <f t="shared" si="3963"/>
        <v/>
      </c>
      <c r="EZ250" s="71" t="str">
        <f t="shared" si="3964"/>
        <v/>
      </c>
      <c r="FA250" s="71" t="str">
        <f t="shared" si="3965"/>
        <v/>
      </c>
      <c r="FB250" s="71" t="str">
        <f t="shared" si="3966"/>
        <v/>
      </c>
      <c r="FC250" s="71" t="str">
        <f t="shared" si="3967"/>
        <v/>
      </c>
      <c r="FD250" s="71" t="str">
        <f t="shared" si="3968"/>
        <v/>
      </c>
      <c r="FE250" s="71" t="str">
        <f t="shared" si="3969"/>
        <v/>
      </c>
      <c r="FF250" s="71" t="str">
        <f t="shared" si="3970"/>
        <v/>
      </c>
      <c r="FG250" s="71" t="str">
        <f t="shared" si="3971"/>
        <v/>
      </c>
      <c r="FH250" s="71" t="str">
        <f t="shared" si="3972"/>
        <v/>
      </c>
      <c r="FI250" s="71" t="str">
        <f t="shared" si="3973"/>
        <v/>
      </c>
      <c r="FJ250" s="71" t="str">
        <f t="shared" si="3974"/>
        <v/>
      </c>
      <c r="FK250" s="71" t="str">
        <f t="shared" si="3975"/>
        <v/>
      </c>
      <c r="FL250" s="71" t="str">
        <f t="shared" si="3976"/>
        <v/>
      </c>
      <c r="FM250" s="71" t="str">
        <f t="shared" si="3977"/>
        <v/>
      </c>
      <c r="FN250" s="71" t="str">
        <f t="shared" si="3978"/>
        <v/>
      </c>
      <c r="FO250" s="71" t="str">
        <f t="shared" si="3979"/>
        <v/>
      </c>
      <c r="FP250" s="71" t="str">
        <f t="shared" si="3980"/>
        <v/>
      </c>
      <c r="FQ250" s="71" t="str">
        <f t="shared" si="3981"/>
        <v/>
      </c>
      <c r="FR250" s="71" t="str">
        <f t="shared" si="3982"/>
        <v/>
      </c>
      <c r="FS250" s="71" t="str">
        <f t="shared" si="3983"/>
        <v/>
      </c>
    </row>
    <row r="251" ht="14.4" spans="1:175">
      <c r="A251" s="80"/>
      <c r="B251" s="129" t="s">
        <v>853</v>
      </c>
      <c r="C251" s="128" t="str">
        <f t="shared" si="3984"/>
        <v>已领取拜年礼包</v>
      </c>
      <c r="T251" s="131" t="str">
        <f t="shared" si="3985"/>
        <v>|cff99ccff给与地图有效评论建议|r即可领取：|n每秒生命+100，每秒业力+2|n|n|r|cff808080地图等级达到3级可领取|r|N|N|cff00ff00已领取该礼包</v>
      </c>
      <c r="U251" s="80" t="s">
        <v>850</v>
      </c>
      <c r="CN251" s="69" t="str">
        <f t="shared" si="3986"/>
        <v>InitUnitState('IB53',,,,,,,,,,)</v>
      </c>
      <c r="CO251" s="69" t="str">
        <f t="shared" si="3987"/>
        <v>InitUnitNormal('IB53',,,,,,,,,,)</v>
      </c>
      <c r="CP251" s="69" t="str">
        <f t="shared" si="3988"/>
        <v>InitUnitMagic('IB53',,,,,,,,,,)</v>
      </c>
      <c r="CQ251" s="69" t="str">
        <f t="shared" si="3989"/>
        <v>InitUnitAdd('IB53',,,,,,,,,,)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InitEquipData('IB53',,"",,,,,'','','','','','',"ReplaceableTextures\\commandButtons\\BTNLBUI01.blp")</v>
      </c>
      <c r="CU251" s="99" t="str">
        <f t="shared" si="3912"/>
        <v>|n</v>
      </c>
      <c r="CV251" s="70" t="str">
        <f t="shared" si="3913"/>
        <v>|cff99ccff给与地图有效评论建议|r即可领取：|n每秒生命+100，每秒业力+2|n|n|r|cff808080地图等级达到3级可领取|r|N|N|cff00ff00已领取该礼包</v>
      </c>
      <c r="CW251" s="60"/>
      <c r="CX251" s="60"/>
      <c r="CY251" s="60"/>
      <c r="CZ251" s="60"/>
      <c r="DA251" s="60"/>
      <c r="DB251" s="71" t="str">
        <f t="shared" si="3914"/>
        <v/>
      </c>
      <c r="DC251" s="71" t="str">
        <f t="shared" si="3915"/>
        <v/>
      </c>
      <c r="DD251" s="71" t="str">
        <f t="shared" si="3916"/>
        <v/>
      </c>
      <c r="DE251" s="71" t="str">
        <f t="shared" si="3917"/>
        <v/>
      </c>
      <c r="DF251" s="71" t="str">
        <f t="shared" si="3918"/>
        <v/>
      </c>
      <c r="DG251" s="71" t="str">
        <f t="shared" si="3919"/>
        <v/>
      </c>
      <c r="DH251" s="71" t="str">
        <f t="shared" si="3920"/>
        <v/>
      </c>
      <c r="DI251" s="71" t="str">
        <f t="shared" si="3921"/>
        <v/>
      </c>
      <c r="DJ251" s="71" t="str">
        <f t="shared" si="3922"/>
        <v/>
      </c>
      <c r="DK251" s="71" t="str">
        <f t="shared" si="3923"/>
        <v/>
      </c>
      <c r="DL251" s="71" t="str">
        <f t="shared" si="3924"/>
        <v/>
      </c>
      <c r="DM251" s="71" t="str">
        <f t="shared" si="3925"/>
        <v/>
      </c>
      <c r="DN251" s="71" t="str">
        <f t="shared" si="3926"/>
        <v/>
      </c>
      <c r="DO251" s="71" t="str">
        <f t="shared" si="3927"/>
        <v/>
      </c>
      <c r="DP251" s="71" t="str">
        <f t="shared" si="3928"/>
        <v/>
      </c>
      <c r="DQ251" s="71" t="str">
        <f t="shared" si="3929"/>
        <v/>
      </c>
      <c r="DR251" s="71" t="str">
        <f t="shared" si="3930"/>
        <v/>
      </c>
      <c r="DS251" s="71" t="str">
        <f t="shared" si="3931"/>
        <v/>
      </c>
      <c r="DT251" s="71" t="str">
        <f t="shared" si="3932"/>
        <v/>
      </c>
      <c r="DU251" s="71" t="str">
        <f t="shared" si="3933"/>
        <v/>
      </c>
      <c r="DV251" s="71" t="str">
        <f t="shared" si="3934"/>
        <v/>
      </c>
      <c r="DW251" s="71" t="str">
        <f t="shared" si="3935"/>
        <v/>
      </c>
      <c r="DX251" s="71" t="str">
        <f t="shared" si="3936"/>
        <v/>
      </c>
      <c r="DY251" s="71" t="str">
        <f t="shared" si="3937"/>
        <v/>
      </c>
      <c r="DZ251" s="71" t="str">
        <f t="shared" si="3938"/>
        <v/>
      </c>
      <c r="EA251" s="71" t="str">
        <f t="shared" si="3939"/>
        <v/>
      </c>
      <c r="EB251" s="71" t="str">
        <f t="shared" si="3940"/>
        <v/>
      </c>
      <c r="EC251" s="71" t="str">
        <f t="shared" si="3941"/>
        <v/>
      </c>
      <c r="ED251" s="71" t="str">
        <f t="shared" si="3942"/>
        <v/>
      </c>
      <c r="EE251" s="71" t="str">
        <f t="shared" si="3943"/>
        <v/>
      </c>
      <c r="EF251" s="71" t="str">
        <f t="shared" si="3944"/>
        <v/>
      </c>
      <c r="EG251" s="71" t="str">
        <f t="shared" si="3945"/>
        <v/>
      </c>
      <c r="EH251" s="71" t="str">
        <f t="shared" si="3946"/>
        <v/>
      </c>
      <c r="EI251" s="71" t="str">
        <f t="shared" si="3947"/>
        <v/>
      </c>
      <c r="EJ251" s="71" t="str">
        <f t="shared" si="3948"/>
        <v/>
      </c>
      <c r="EK251" s="71" t="str">
        <f t="shared" si="3949"/>
        <v/>
      </c>
      <c r="EL251" s="71" t="str">
        <f t="shared" si="3950"/>
        <v/>
      </c>
      <c r="EM251" s="71" t="str">
        <f t="shared" si="3951"/>
        <v/>
      </c>
      <c r="EN251" s="71" t="str">
        <f t="shared" si="3952"/>
        <v/>
      </c>
      <c r="EO251" s="71" t="str">
        <f t="shared" si="3953"/>
        <v/>
      </c>
      <c r="EP251" s="71" t="str">
        <f t="shared" si="3954"/>
        <v/>
      </c>
      <c r="EQ251" s="71" t="str">
        <f t="shared" si="3955"/>
        <v/>
      </c>
      <c r="ER251" s="71" t="str">
        <f t="shared" si="3956"/>
        <v/>
      </c>
      <c r="ES251" s="71" t="str">
        <f t="shared" si="3957"/>
        <v/>
      </c>
      <c r="ET251" s="71" t="str">
        <f t="shared" si="3958"/>
        <v/>
      </c>
      <c r="EU251" s="71" t="str">
        <f t="shared" si="3959"/>
        <v/>
      </c>
      <c r="EV251" s="71" t="str">
        <f t="shared" si="3960"/>
        <v/>
      </c>
      <c r="EW251" s="71" t="str">
        <f t="shared" si="3961"/>
        <v/>
      </c>
      <c r="EX251" s="71" t="str">
        <f t="shared" si="3962"/>
        <v/>
      </c>
      <c r="EY251" s="71" t="str">
        <f t="shared" si="3963"/>
        <v/>
      </c>
      <c r="EZ251" s="71" t="str">
        <f t="shared" si="3964"/>
        <v/>
      </c>
      <c r="FA251" s="71" t="str">
        <f t="shared" si="3965"/>
        <v/>
      </c>
      <c r="FB251" s="71" t="str">
        <f t="shared" si="3966"/>
        <v/>
      </c>
      <c r="FC251" s="71" t="str">
        <f t="shared" si="3967"/>
        <v/>
      </c>
      <c r="FD251" s="71" t="str">
        <f t="shared" si="3968"/>
        <v/>
      </c>
      <c r="FE251" s="71" t="str">
        <f t="shared" si="3969"/>
        <v/>
      </c>
      <c r="FF251" s="71" t="str">
        <f t="shared" si="3970"/>
        <v/>
      </c>
      <c r="FG251" s="71" t="str">
        <f t="shared" si="3971"/>
        <v/>
      </c>
      <c r="FH251" s="71" t="str">
        <f t="shared" si="3972"/>
        <v/>
      </c>
      <c r="FI251" s="71" t="str">
        <f t="shared" si="3973"/>
        <v/>
      </c>
      <c r="FJ251" s="71" t="str">
        <f t="shared" si="3974"/>
        <v/>
      </c>
      <c r="FK251" s="71" t="str">
        <f t="shared" si="3975"/>
        <v/>
      </c>
      <c r="FL251" s="71" t="str">
        <f t="shared" si="3976"/>
        <v/>
      </c>
      <c r="FM251" s="71" t="str">
        <f t="shared" si="3977"/>
        <v/>
      </c>
      <c r="FN251" s="71" t="str">
        <f t="shared" si="3978"/>
        <v/>
      </c>
      <c r="FO251" s="71" t="str">
        <f t="shared" si="3979"/>
        <v/>
      </c>
      <c r="FP251" s="71" t="str">
        <f t="shared" si="3980"/>
        <v/>
      </c>
      <c r="FQ251" s="71" t="str">
        <f t="shared" si="3981"/>
        <v/>
      </c>
      <c r="FR251" s="71" t="str">
        <f t="shared" si="3982"/>
        <v/>
      </c>
      <c r="FS251" s="71" t="str">
        <f t="shared" si="3983"/>
        <v/>
      </c>
    </row>
    <row r="252" ht="14.4" spans="1:175">
      <c r="A252" s="80"/>
      <c r="B252" s="129" t="s">
        <v>854</v>
      </c>
      <c r="C252" s="128" t="str">
        <f t="shared" si="3984"/>
        <v>已领取收藏礼包</v>
      </c>
      <c r="T252" s="131" t="str">
        <f t="shared" si="3985"/>
        <v>|cff99ccff房间大厅界面点击右上角《|r|cffcc99ff收藏|r|cff99ccff》后可领取该礼包。|n|n|r属性：|n|cffffcc33攻击伤害+5%|n技能伤害+5%|r|N|N|cff00ff00已领取该礼包</v>
      </c>
      <c r="U252" s="80" t="s">
        <v>850</v>
      </c>
      <c r="CN252" s="69" t="str">
        <f t="shared" si="3986"/>
        <v>InitUnitState('IB54',,,,,,,,,,)</v>
      </c>
      <c r="CO252" s="69" t="str">
        <f t="shared" si="3987"/>
        <v>InitUnitNormal('IB54',,,,,,,,,,)</v>
      </c>
      <c r="CP252" s="69" t="str">
        <f t="shared" si="3988"/>
        <v>InitUnitMagic('IB54',,,,,,,,,,)</v>
      </c>
      <c r="CQ252" s="69" t="str">
        <f t="shared" si="3989"/>
        <v>InitUnitAdd('IB54',,,,,,,,,,)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InitEquipData('IB54',,"",,,,,'','','','','','',"ReplaceableTextures\\commandButtons\\BTNLBUI01.blp")</v>
      </c>
      <c r="CU252" s="99" t="str">
        <f t="shared" si="3912"/>
        <v>|n</v>
      </c>
      <c r="CV252" s="70" t="str">
        <f t="shared" si="3913"/>
        <v>|cff99ccff房间大厅界面点击右上角《|r|cffcc99ff收藏|r|cff99ccff》后可领取该礼包。|n|n|r属性：|n|cffffcc33攻击伤害+5%|n技能伤害+5%|r|N|N|cff00ff00已领取该礼包</v>
      </c>
      <c r="CW252" s="60"/>
      <c r="CX252" s="60"/>
      <c r="CY252" s="60"/>
      <c r="CZ252" s="60"/>
      <c r="DA252" s="60"/>
      <c r="DB252" s="71" t="str">
        <f t="shared" si="3914"/>
        <v/>
      </c>
      <c r="DC252" s="71" t="str">
        <f t="shared" si="3915"/>
        <v/>
      </c>
      <c r="DD252" s="71" t="str">
        <f t="shared" si="3916"/>
        <v/>
      </c>
      <c r="DE252" s="71" t="str">
        <f t="shared" si="3917"/>
        <v/>
      </c>
      <c r="DF252" s="71" t="str">
        <f t="shared" si="3918"/>
        <v/>
      </c>
      <c r="DG252" s="71" t="str">
        <f t="shared" si="3919"/>
        <v/>
      </c>
      <c r="DH252" s="71" t="str">
        <f t="shared" si="3920"/>
        <v/>
      </c>
      <c r="DI252" s="71" t="str">
        <f t="shared" si="3921"/>
        <v/>
      </c>
      <c r="DJ252" s="71" t="str">
        <f t="shared" si="3922"/>
        <v/>
      </c>
      <c r="DK252" s="71" t="str">
        <f t="shared" si="3923"/>
        <v/>
      </c>
      <c r="DL252" s="71" t="str">
        <f t="shared" si="3924"/>
        <v/>
      </c>
      <c r="DM252" s="71" t="str">
        <f t="shared" si="3925"/>
        <v/>
      </c>
      <c r="DN252" s="71" t="str">
        <f t="shared" si="3926"/>
        <v/>
      </c>
      <c r="DO252" s="71" t="str">
        <f t="shared" si="3927"/>
        <v/>
      </c>
      <c r="DP252" s="71" t="str">
        <f t="shared" si="3928"/>
        <v/>
      </c>
      <c r="DQ252" s="71" t="str">
        <f t="shared" si="3929"/>
        <v/>
      </c>
      <c r="DR252" s="71" t="str">
        <f t="shared" si="3930"/>
        <v/>
      </c>
      <c r="DS252" s="71" t="str">
        <f t="shared" si="3931"/>
        <v/>
      </c>
      <c r="DT252" s="71" t="str">
        <f t="shared" si="3932"/>
        <v/>
      </c>
      <c r="DU252" s="71" t="str">
        <f t="shared" si="3933"/>
        <v/>
      </c>
      <c r="DV252" s="71" t="str">
        <f t="shared" si="3934"/>
        <v/>
      </c>
      <c r="DW252" s="71" t="str">
        <f t="shared" si="3935"/>
        <v/>
      </c>
      <c r="DX252" s="71" t="str">
        <f t="shared" si="3936"/>
        <v/>
      </c>
      <c r="DY252" s="71" t="str">
        <f t="shared" si="3937"/>
        <v/>
      </c>
      <c r="DZ252" s="71" t="str">
        <f t="shared" si="3938"/>
        <v/>
      </c>
      <c r="EA252" s="71" t="str">
        <f t="shared" si="3939"/>
        <v/>
      </c>
      <c r="EB252" s="71" t="str">
        <f t="shared" si="3940"/>
        <v/>
      </c>
      <c r="EC252" s="71" t="str">
        <f t="shared" si="3941"/>
        <v/>
      </c>
      <c r="ED252" s="71" t="str">
        <f t="shared" si="3942"/>
        <v/>
      </c>
      <c r="EE252" s="71" t="str">
        <f t="shared" si="3943"/>
        <v/>
      </c>
      <c r="EF252" s="71" t="str">
        <f t="shared" si="3944"/>
        <v/>
      </c>
      <c r="EG252" s="71" t="str">
        <f t="shared" si="3945"/>
        <v/>
      </c>
      <c r="EH252" s="71" t="str">
        <f t="shared" si="3946"/>
        <v/>
      </c>
      <c r="EI252" s="71" t="str">
        <f t="shared" si="3947"/>
        <v/>
      </c>
      <c r="EJ252" s="71" t="str">
        <f t="shared" si="3948"/>
        <v/>
      </c>
      <c r="EK252" s="71" t="str">
        <f t="shared" si="3949"/>
        <v/>
      </c>
      <c r="EL252" s="71" t="str">
        <f t="shared" si="3950"/>
        <v/>
      </c>
      <c r="EM252" s="71" t="str">
        <f t="shared" si="3951"/>
        <v/>
      </c>
      <c r="EN252" s="71" t="str">
        <f t="shared" si="3952"/>
        <v/>
      </c>
      <c r="EO252" s="71" t="str">
        <f t="shared" si="3953"/>
        <v/>
      </c>
      <c r="EP252" s="71" t="str">
        <f t="shared" si="3954"/>
        <v/>
      </c>
      <c r="EQ252" s="71" t="str">
        <f t="shared" si="3955"/>
        <v/>
      </c>
      <c r="ER252" s="71" t="str">
        <f t="shared" si="3956"/>
        <v/>
      </c>
      <c r="ES252" s="71" t="str">
        <f t="shared" si="3957"/>
        <v/>
      </c>
      <c r="ET252" s="71" t="str">
        <f t="shared" si="3958"/>
        <v/>
      </c>
      <c r="EU252" s="71" t="str">
        <f t="shared" si="3959"/>
        <v/>
      </c>
      <c r="EV252" s="71" t="str">
        <f t="shared" si="3960"/>
        <v/>
      </c>
      <c r="EW252" s="71" t="str">
        <f t="shared" si="3961"/>
        <v/>
      </c>
      <c r="EX252" s="71" t="str">
        <f t="shared" si="3962"/>
        <v/>
      </c>
      <c r="EY252" s="71" t="str">
        <f t="shared" si="3963"/>
        <v/>
      </c>
      <c r="EZ252" s="71" t="str">
        <f t="shared" si="3964"/>
        <v/>
      </c>
      <c r="FA252" s="71" t="str">
        <f t="shared" si="3965"/>
        <v/>
      </c>
      <c r="FB252" s="71" t="str">
        <f t="shared" si="3966"/>
        <v/>
      </c>
      <c r="FC252" s="71" t="str">
        <f t="shared" si="3967"/>
        <v/>
      </c>
      <c r="FD252" s="71" t="str">
        <f t="shared" si="3968"/>
        <v/>
      </c>
      <c r="FE252" s="71" t="str">
        <f t="shared" si="3969"/>
        <v/>
      </c>
      <c r="FF252" s="71" t="str">
        <f t="shared" si="3970"/>
        <v/>
      </c>
      <c r="FG252" s="71" t="str">
        <f t="shared" si="3971"/>
        <v/>
      </c>
      <c r="FH252" s="71" t="str">
        <f t="shared" si="3972"/>
        <v/>
      </c>
      <c r="FI252" s="71" t="str">
        <f t="shared" si="3973"/>
        <v/>
      </c>
      <c r="FJ252" s="71" t="str">
        <f t="shared" si="3974"/>
        <v/>
      </c>
      <c r="FK252" s="71" t="str">
        <f t="shared" si="3975"/>
        <v/>
      </c>
      <c r="FL252" s="71" t="str">
        <f t="shared" si="3976"/>
        <v/>
      </c>
      <c r="FM252" s="71" t="str">
        <f t="shared" si="3977"/>
        <v/>
      </c>
      <c r="FN252" s="71" t="str">
        <f t="shared" si="3978"/>
        <v/>
      </c>
      <c r="FO252" s="71" t="str">
        <f t="shared" si="3979"/>
        <v/>
      </c>
      <c r="FP252" s="71" t="str">
        <f t="shared" si="3980"/>
        <v/>
      </c>
      <c r="FQ252" s="71" t="str">
        <f t="shared" si="3981"/>
        <v/>
      </c>
      <c r="FR252" s="71" t="str">
        <f t="shared" si="3982"/>
        <v/>
      </c>
      <c r="FS252" s="71" t="str">
        <f t="shared" si="3983"/>
        <v/>
      </c>
    </row>
    <row r="253" ht="14.4" spans="1:175">
      <c r="A253" s="80"/>
      <c r="B253" s="129" t="s">
        <v>855</v>
      </c>
      <c r="C253" s="128" t="str">
        <f t="shared" si="3984"/>
        <v>已领取重置版礼包</v>
      </c>
      <c r="T253" s="131" t="str">
        <f t="shared" si="3985"/>
        <v>|cff33ff00购买魔兽重制版可领取该礼包！|n|n|r奖励：|n招魂幡Lv3|N|N|cff00ff00已领取该礼包</v>
      </c>
      <c r="U253" s="80" t="s">
        <v>850</v>
      </c>
      <c r="CN253" s="69" t="str">
        <f t="shared" si="3986"/>
        <v>InitUnitState('IB55',,,,,,,,,,)</v>
      </c>
      <c r="CO253" s="69" t="str">
        <f t="shared" si="3987"/>
        <v>InitUnitNormal('IB55',,,,,,,,,,)</v>
      </c>
      <c r="CP253" s="69" t="str">
        <f t="shared" si="3988"/>
        <v>InitUnitMagic('IB55',,,,,,,,,,)</v>
      </c>
      <c r="CQ253" s="69" t="str">
        <f t="shared" si="3989"/>
        <v>InitUnitAdd('IB55',,,,,,,,,,)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279&amp;CR$1&amp;")"</f>
        <v>InitEquipData('IB55',,"",,,,,'','','','','','',"")</v>
      </c>
      <c r="CU253" s="99" t="str">
        <f t="shared" si="3912"/>
        <v>|n</v>
      </c>
      <c r="CV253" s="70" t="str">
        <f t="shared" si="3913"/>
        <v>|cff33ff00购买魔兽重制版可领取该礼包！|n|n|r奖励：|n招魂幡Lv3|N|N|cff00ff00已领取该礼包</v>
      </c>
      <c r="CW253" s="60"/>
      <c r="CX253" s="60"/>
      <c r="CY253" s="60"/>
      <c r="CZ253" s="60"/>
      <c r="DA253" s="60"/>
      <c r="DB253" s="71" t="str">
        <f t="shared" si="3914"/>
        <v/>
      </c>
      <c r="DC253" s="71" t="str">
        <f t="shared" si="3915"/>
        <v/>
      </c>
      <c r="DD253" s="71" t="str">
        <f t="shared" si="3916"/>
        <v/>
      </c>
      <c r="DE253" s="71" t="str">
        <f t="shared" si="3917"/>
        <v/>
      </c>
      <c r="DF253" s="71" t="str">
        <f t="shared" si="3918"/>
        <v/>
      </c>
      <c r="DG253" s="71" t="str">
        <f t="shared" si="3919"/>
        <v/>
      </c>
      <c r="DH253" s="71" t="str">
        <f t="shared" si="3920"/>
        <v/>
      </c>
      <c r="DI253" s="71" t="str">
        <f t="shared" si="3921"/>
        <v/>
      </c>
      <c r="DJ253" s="71" t="str">
        <f t="shared" si="3922"/>
        <v/>
      </c>
      <c r="DK253" s="71" t="str">
        <f t="shared" si="3923"/>
        <v/>
      </c>
      <c r="DL253" s="71" t="str">
        <f t="shared" si="3924"/>
        <v/>
      </c>
      <c r="DM253" s="71" t="str">
        <f t="shared" si="3925"/>
        <v/>
      </c>
      <c r="DN253" s="71" t="str">
        <f t="shared" si="3926"/>
        <v/>
      </c>
      <c r="DO253" s="71" t="str">
        <f t="shared" si="3927"/>
        <v/>
      </c>
      <c r="DP253" s="71" t="str">
        <f t="shared" si="3928"/>
        <v/>
      </c>
      <c r="DQ253" s="71" t="str">
        <f t="shared" si="3929"/>
        <v/>
      </c>
      <c r="DR253" s="71" t="str">
        <f t="shared" si="3930"/>
        <v/>
      </c>
      <c r="DS253" s="71" t="str">
        <f t="shared" si="3931"/>
        <v/>
      </c>
      <c r="DT253" s="71" t="str">
        <f t="shared" si="3932"/>
        <v/>
      </c>
      <c r="DU253" s="71" t="str">
        <f t="shared" si="3933"/>
        <v/>
      </c>
      <c r="DV253" s="71" t="str">
        <f t="shared" si="3934"/>
        <v/>
      </c>
      <c r="DW253" s="71" t="str">
        <f t="shared" si="3935"/>
        <v/>
      </c>
      <c r="DX253" s="71" t="str">
        <f t="shared" si="3936"/>
        <v/>
      </c>
      <c r="DY253" s="71" t="str">
        <f t="shared" si="3937"/>
        <v/>
      </c>
      <c r="DZ253" s="71" t="str">
        <f t="shared" si="3938"/>
        <v/>
      </c>
      <c r="EA253" s="71" t="str">
        <f t="shared" si="3939"/>
        <v/>
      </c>
      <c r="EB253" s="71" t="str">
        <f t="shared" si="3940"/>
        <v/>
      </c>
      <c r="EC253" s="71" t="str">
        <f t="shared" si="3941"/>
        <v/>
      </c>
      <c r="ED253" s="71" t="str">
        <f t="shared" si="3942"/>
        <v/>
      </c>
      <c r="EE253" s="71" t="str">
        <f t="shared" si="3943"/>
        <v/>
      </c>
      <c r="EF253" s="71" t="str">
        <f t="shared" si="3944"/>
        <v/>
      </c>
      <c r="EG253" s="71" t="str">
        <f t="shared" si="3945"/>
        <v/>
      </c>
      <c r="EH253" s="71" t="str">
        <f t="shared" si="3946"/>
        <v/>
      </c>
      <c r="EI253" s="71" t="str">
        <f t="shared" si="3947"/>
        <v/>
      </c>
      <c r="EJ253" s="71" t="str">
        <f t="shared" si="3948"/>
        <v/>
      </c>
      <c r="EK253" s="71" t="str">
        <f t="shared" si="3949"/>
        <v/>
      </c>
      <c r="EL253" s="71" t="str">
        <f t="shared" si="3950"/>
        <v/>
      </c>
      <c r="EM253" s="71" t="str">
        <f t="shared" si="3951"/>
        <v/>
      </c>
      <c r="EN253" s="71" t="str">
        <f t="shared" si="3952"/>
        <v/>
      </c>
      <c r="EO253" s="71" t="str">
        <f t="shared" si="3953"/>
        <v/>
      </c>
      <c r="EP253" s="71" t="str">
        <f t="shared" si="3954"/>
        <v/>
      </c>
      <c r="EQ253" s="71" t="str">
        <f t="shared" si="3955"/>
        <v/>
      </c>
      <c r="ER253" s="71" t="str">
        <f t="shared" si="3956"/>
        <v/>
      </c>
      <c r="ES253" s="71" t="str">
        <f t="shared" si="3957"/>
        <v/>
      </c>
      <c r="ET253" s="71" t="str">
        <f t="shared" si="3958"/>
        <v/>
      </c>
      <c r="EU253" s="71" t="str">
        <f t="shared" si="3959"/>
        <v/>
      </c>
      <c r="EV253" s="71" t="str">
        <f t="shared" si="3960"/>
        <v/>
      </c>
      <c r="EW253" s="71" t="str">
        <f t="shared" si="3961"/>
        <v/>
      </c>
      <c r="EX253" s="71" t="str">
        <f t="shared" si="3962"/>
        <v/>
      </c>
      <c r="EY253" s="71" t="str">
        <f t="shared" si="3963"/>
        <v/>
      </c>
      <c r="EZ253" s="71" t="str">
        <f t="shared" si="3964"/>
        <v/>
      </c>
      <c r="FA253" s="71" t="str">
        <f t="shared" si="3965"/>
        <v/>
      </c>
      <c r="FB253" s="71" t="str">
        <f t="shared" si="3966"/>
        <v/>
      </c>
      <c r="FC253" s="71" t="str">
        <f t="shared" si="3967"/>
        <v/>
      </c>
      <c r="FD253" s="71" t="str">
        <f t="shared" si="3968"/>
        <v/>
      </c>
      <c r="FE253" s="71" t="str">
        <f t="shared" si="3969"/>
        <v/>
      </c>
      <c r="FF253" s="71" t="str">
        <f t="shared" si="3970"/>
        <v/>
      </c>
      <c r="FG253" s="71" t="str">
        <f t="shared" si="3971"/>
        <v/>
      </c>
      <c r="FH253" s="71" t="str">
        <f t="shared" si="3972"/>
        <v/>
      </c>
      <c r="FI253" s="71" t="str">
        <f t="shared" si="3973"/>
        <v/>
      </c>
      <c r="FJ253" s="71" t="str">
        <f t="shared" si="3974"/>
        <v/>
      </c>
      <c r="FK253" s="71" t="str">
        <f t="shared" si="3975"/>
        <v/>
      </c>
      <c r="FL253" s="71" t="str">
        <f t="shared" si="3976"/>
        <v/>
      </c>
      <c r="FM253" s="71" t="str">
        <f t="shared" si="3977"/>
        <v/>
      </c>
      <c r="FN253" s="71" t="str">
        <f t="shared" si="3978"/>
        <v/>
      </c>
      <c r="FO253" s="71" t="str">
        <f t="shared" si="3979"/>
        <v/>
      </c>
      <c r="FP253" s="71" t="str">
        <f t="shared" si="3980"/>
        <v/>
      </c>
      <c r="FQ253" s="71" t="str">
        <f t="shared" si="3981"/>
        <v/>
      </c>
      <c r="FR253" s="71" t="str">
        <f t="shared" si="3982"/>
        <v/>
      </c>
      <c r="FS253" s="71" t="str">
        <f t="shared" si="3983"/>
        <v/>
      </c>
    </row>
    <row r="254" ht="14.4" spans="1:175">
      <c r="A254" s="80"/>
      <c r="B254" s="129" t="s">
        <v>856</v>
      </c>
      <c r="C254" s="128" t="str">
        <f t="shared" si="3984"/>
        <v>已领取公会福利</v>
      </c>
      <c r="T254" s="131" t="str">
        <f t="shared" si="398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4" s="80" t="s">
        <v>850</v>
      </c>
      <c r="CN254" s="69" t="str">
        <f t="shared" si="3986"/>
        <v>InitUnitState('IB56',,,,,,,,,,)</v>
      </c>
      <c r="CO254" s="69" t="str">
        <f t="shared" si="3987"/>
        <v>InitUnitNormal('IB56',,,,,,,,,,)</v>
      </c>
      <c r="CP254" s="69" t="str">
        <f t="shared" si="3988"/>
        <v>InitUnitMagic('IB56',,,,,,,,,,)</v>
      </c>
      <c r="CQ254" s="69" t="str">
        <f t="shared" si="3989"/>
        <v>InitUnitAdd('IB56',,,,,,,,,,)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InitEquipData('IB56',,"",,,,,'','','','','','',"ReplaceableTextures\\commandButtons\\BTNLBUI01.blp")</v>
      </c>
      <c r="CU254" s="99" t="str">
        <f t="shared" si="3912"/>
        <v>|n</v>
      </c>
      <c r="CV254" s="70" t="str">
        <f t="shared" si="391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4" s="60"/>
      <c r="CX254" s="60"/>
      <c r="CY254" s="60"/>
      <c r="CZ254" s="60"/>
      <c r="DA254" s="60"/>
      <c r="DB254" s="71" t="str">
        <f t="shared" si="3914"/>
        <v/>
      </c>
      <c r="DC254" s="71" t="str">
        <f t="shared" si="3915"/>
        <v/>
      </c>
      <c r="DD254" s="71" t="str">
        <f t="shared" si="3916"/>
        <v/>
      </c>
      <c r="DE254" s="71" t="str">
        <f t="shared" si="3917"/>
        <v/>
      </c>
      <c r="DF254" s="71" t="str">
        <f t="shared" si="3918"/>
        <v/>
      </c>
      <c r="DG254" s="71" t="str">
        <f t="shared" si="3919"/>
        <v/>
      </c>
      <c r="DH254" s="71" t="str">
        <f t="shared" si="3920"/>
        <v/>
      </c>
      <c r="DI254" s="71" t="str">
        <f t="shared" si="3921"/>
        <v/>
      </c>
      <c r="DJ254" s="71" t="str">
        <f t="shared" si="3922"/>
        <v/>
      </c>
      <c r="DK254" s="71" t="str">
        <f t="shared" si="3923"/>
        <v/>
      </c>
      <c r="DL254" s="71" t="str">
        <f t="shared" si="3924"/>
        <v/>
      </c>
      <c r="DM254" s="71" t="str">
        <f t="shared" si="3925"/>
        <v/>
      </c>
      <c r="DN254" s="71" t="str">
        <f t="shared" si="3926"/>
        <v/>
      </c>
      <c r="DO254" s="71" t="str">
        <f t="shared" si="3927"/>
        <v/>
      </c>
      <c r="DP254" s="71" t="str">
        <f t="shared" si="3928"/>
        <v/>
      </c>
      <c r="DQ254" s="71" t="str">
        <f t="shared" si="3929"/>
        <v/>
      </c>
      <c r="DR254" s="71" t="str">
        <f t="shared" si="3930"/>
        <v/>
      </c>
      <c r="DS254" s="71" t="str">
        <f t="shared" si="3931"/>
        <v/>
      </c>
      <c r="DT254" s="71" t="str">
        <f t="shared" si="3932"/>
        <v/>
      </c>
      <c r="DU254" s="71" t="str">
        <f t="shared" si="3933"/>
        <v/>
      </c>
      <c r="DV254" s="71" t="str">
        <f t="shared" si="3934"/>
        <v/>
      </c>
      <c r="DW254" s="71" t="str">
        <f t="shared" si="3935"/>
        <v/>
      </c>
      <c r="DX254" s="71" t="str">
        <f t="shared" si="3936"/>
        <v/>
      </c>
      <c r="DY254" s="71" t="str">
        <f t="shared" si="3937"/>
        <v/>
      </c>
      <c r="DZ254" s="71" t="str">
        <f t="shared" si="3938"/>
        <v/>
      </c>
      <c r="EA254" s="71" t="str">
        <f t="shared" si="3939"/>
        <v/>
      </c>
      <c r="EB254" s="71" t="str">
        <f t="shared" si="3940"/>
        <v/>
      </c>
      <c r="EC254" s="71" t="str">
        <f t="shared" si="3941"/>
        <v/>
      </c>
      <c r="ED254" s="71" t="str">
        <f t="shared" si="3942"/>
        <v/>
      </c>
      <c r="EE254" s="71" t="str">
        <f t="shared" si="3943"/>
        <v/>
      </c>
      <c r="EF254" s="71" t="str">
        <f t="shared" si="3944"/>
        <v/>
      </c>
      <c r="EG254" s="71" t="str">
        <f t="shared" si="3945"/>
        <v/>
      </c>
      <c r="EH254" s="71" t="str">
        <f t="shared" si="3946"/>
        <v/>
      </c>
      <c r="EI254" s="71" t="str">
        <f t="shared" si="3947"/>
        <v/>
      </c>
      <c r="EJ254" s="71" t="str">
        <f t="shared" si="3948"/>
        <v/>
      </c>
      <c r="EK254" s="71" t="str">
        <f t="shared" si="3949"/>
        <v/>
      </c>
      <c r="EL254" s="71" t="str">
        <f t="shared" si="3950"/>
        <v/>
      </c>
      <c r="EM254" s="71" t="str">
        <f t="shared" si="3951"/>
        <v/>
      </c>
      <c r="EN254" s="71" t="str">
        <f t="shared" si="3952"/>
        <v/>
      </c>
      <c r="EO254" s="71" t="str">
        <f t="shared" si="3953"/>
        <v/>
      </c>
      <c r="EP254" s="71" t="str">
        <f t="shared" si="3954"/>
        <v/>
      </c>
      <c r="EQ254" s="71" t="str">
        <f t="shared" si="3955"/>
        <v/>
      </c>
      <c r="ER254" s="71" t="str">
        <f t="shared" si="3956"/>
        <v/>
      </c>
      <c r="ES254" s="71" t="str">
        <f t="shared" si="3957"/>
        <v/>
      </c>
      <c r="ET254" s="71" t="str">
        <f t="shared" si="3958"/>
        <v/>
      </c>
      <c r="EU254" s="71" t="str">
        <f t="shared" si="3959"/>
        <v/>
      </c>
      <c r="EV254" s="71" t="str">
        <f t="shared" si="3960"/>
        <v/>
      </c>
      <c r="EW254" s="71" t="str">
        <f t="shared" si="3961"/>
        <v/>
      </c>
      <c r="EX254" s="71" t="str">
        <f t="shared" si="3962"/>
        <v/>
      </c>
      <c r="EY254" s="71" t="str">
        <f t="shared" si="3963"/>
        <v/>
      </c>
      <c r="EZ254" s="71" t="str">
        <f t="shared" si="3964"/>
        <v/>
      </c>
      <c r="FA254" s="71" t="str">
        <f t="shared" si="3965"/>
        <v/>
      </c>
      <c r="FB254" s="71" t="str">
        <f t="shared" si="3966"/>
        <v/>
      </c>
      <c r="FC254" s="71" t="str">
        <f t="shared" si="3967"/>
        <v/>
      </c>
      <c r="FD254" s="71" t="str">
        <f t="shared" si="3968"/>
        <v/>
      </c>
      <c r="FE254" s="71" t="str">
        <f t="shared" si="3969"/>
        <v/>
      </c>
      <c r="FF254" s="71" t="str">
        <f t="shared" si="3970"/>
        <v/>
      </c>
      <c r="FG254" s="71" t="str">
        <f t="shared" si="3971"/>
        <v/>
      </c>
      <c r="FH254" s="71" t="str">
        <f t="shared" si="3972"/>
        <v/>
      </c>
      <c r="FI254" s="71" t="str">
        <f t="shared" si="3973"/>
        <v/>
      </c>
      <c r="FJ254" s="71" t="str">
        <f t="shared" si="3974"/>
        <v/>
      </c>
      <c r="FK254" s="71" t="str">
        <f t="shared" si="3975"/>
        <v/>
      </c>
      <c r="FL254" s="71" t="str">
        <f t="shared" si="3976"/>
        <v/>
      </c>
      <c r="FM254" s="71" t="str">
        <f t="shared" si="3977"/>
        <v/>
      </c>
      <c r="FN254" s="71" t="str">
        <f t="shared" si="3978"/>
        <v/>
      </c>
      <c r="FO254" s="71" t="str">
        <f t="shared" si="3979"/>
        <v/>
      </c>
      <c r="FP254" s="71" t="str">
        <f t="shared" si="3980"/>
        <v/>
      </c>
      <c r="FQ254" s="71" t="str">
        <f t="shared" si="3981"/>
        <v/>
      </c>
      <c r="FR254" s="71" t="str">
        <f t="shared" si="3982"/>
        <v/>
      </c>
      <c r="FS254" s="71" t="str">
        <f t="shared" si="3983"/>
        <v/>
      </c>
    </row>
    <row r="255" ht="14.4" spans="1:175">
      <c r="A255" s="80"/>
      <c r="B255" s="129" t="s">
        <v>857</v>
      </c>
      <c r="C255" s="128" t="str">
        <f t="shared" si="3984"/>
        <v>已领取星耀礼包</v>
      </c>
      <c r="T255" s="131" t="str">
        <f t="shared" si="398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5" s="80" t="s">
        <v>850</v>
      </c>
      <c r="CN255" s="69" t="str">
        <f t="shared" si="3986"/>
        <v>InitUnitState('IB57',,,,,,,,,,)</v>
      </c>
      <c r="CO255" s="69" t="str">
        <f t="shared" si="3987"/>
        <v>InitUnitNormal('IB57',,,,,,,,,,)</v>
      </c>
      <c r="CP255" s="69" t="str">
        <f t="shared" si="3988"/>
        <v>InitUnitMagic('IB57',,,,,,,,,,)</v>
      </c>
      <c r="CQ255" s="69" t="str">
        <f t="shared" si="3989"/>
        <v>InitUnitAdd('IB57',,,,,,,,,,)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257&amp;CR$1&amp;")"</f>
        <v>InitEquipData('IB57',,"",,,,,'','','','','','',"ReplaceableTextures\\commandButtons\\BTNLBUI01.blp")</v>
      </c>
      <c r="CU255" s="99" t="str">
        <f t="shared" si="3912"/>
        <v>|n</v>
      </c>
      <c r="CV255" s="70" t="str">
        <f t="shared" si="391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5" s="60"/>
      <c r="CX255" s="60"/>
      <c r="CY255" s="60"/>
      <c r="CZ255" s="60"/>
      <c r="DA255" s="60"/>
      <c r="DB255" s="71" t="str">
        <f t="shared" si="3914"/>
        <v/>
      </c>
      <c r="DC255" s="71" t="str">
        <f t="shared" si="3915"/>
        <v/>
      </c>
      <c r="DD255" s="71" t="str">
        <f t="shared" si="3916"/>
        <v/>
      </c>
      <c r="DE255" s="71" t="str">
        <f t="shared" si="3917"/>
        <v/>
      </c>
      <c r="DF255" s="71" t="str">
        <f t="shared" si="3918"/>
        <v/>
      </c>
      <c r="DG255" s="71" t="str">
        <f t="shared" si="3919"/>
        <v/>
      </c>
      <c r="DH255" s="71" t="str">
        <f t="shared" si="3920"/>
        <v/>
      </c>
      <c r="DI255" s="71" t="str">
        <f t="shared" si="3921"/>
        <v/>
      </c>
      <c r="DJ255" s="71" t="str">
        <f t="shared" si="3922"/>
        <v/>
      </c>
      <c r="DK255" s="71" t="str">
        <f t="shared" si="3923"/>
        <v/>
      </c>
      <c r="DL255" s="71" t="str">
        <f t="shared" si="3924"/>
        <v/>
      </c>
      <c r="DM255" s="71" t="str">
        <f t="shared" si="3925"/>
        <v/>
      </c>
      <c r="DN255" s="71" t="str">
        <f t="shared" si="3926"/>
        <v/>
      </c>
      <c r="DO255" s="71" t="str">
        <f t="shared" si="3927"/>
        <v/>
      </c>
      <c r="DP255" s="71" t="str">
        <f t="shared" si="3928"/>
        <v/>
      </c>
      <c r="DQ255" s="71" t="str">
        <f t="shared" si="3929"/>
        <v/>
      </c>
      <c r="DR255" s="71" t="str">
        <f t="shared" si="3930"/>
        <v/>
      </c>
      <c r="DS255" s="71" t="str">
        <f t="shared" si="3931"/>
        <v/>
      </c>
      <c r="DT255" s="71" t="str">
        <f t="shared" si="3932"/>
        <v/>
      </c>
      <c r="DU255" s="71" t="str">
        <f t="shared" si="3933"/>
        <v/>
      </c>
      <c r="DV255" s="71" t="str">
        <f t="shared" si="3934"/>
        <v/>
      </c>
      <c r="DW255" s="71" t="str">
        <f t="shared" si="3935"/>
        <v/>
      </c>
      <c r="DX255" s="71" t="str">
        <f t="shared" si="3936"/>
        <v/>
      </c>
      <c r="DY255" s="71" t="str">
        <f t="shared" si="3937"/>
        <v/>
      </c>
      <c r="DZ255" s="71" t="str">
        <f t="shared" si="3938"/>
        <v/>
      </c>
      <c r="EA255" s="71" t="str">
        <f t="shared" si="3939"/>
        <v/>
      </c>
      <c r="EB255" s="71" t="str">
        <f t="shared" si="3940"/>
        <v/>
      </c>
      <c r="EC255" s="71" t="str">
        <f t="shared" si="3941"/>
        <v/>
      </c>
      <c r="ED255" s="71" t="str">
        <f t="shared" si="3942"/>
        <v/>
      </c>
      <c r="EE255" s="71" t="str">
        <f t="shared" si="3943"/>
        <v/>
      </c>
      <c r="EF255" s="71" t="str">
        <f t="shared" si="3944"/>
        <v/>
      </c>
      <c r="EG255" s="71" t="str">
        <f t="shared" si="3945"/>
        <v/>
      </c>
      <c r="EH255" s="71" t="str">
        <f t="shared" si="3946"/>
        <v/>
      </c>
      <c r="EI255" s="71" t="str">
        <f t="shared" si="3947"/>
        <v/>
      </c>
      <c r="EJ255" s="71" t="str">
        <f t="shared" si="3948"/>
        <v/>
      </c>
      <c r="EK255" s="71" t="str">
        <f t="shared" si="3949"/>
        <v/>
      </c>
      <c r="EL255" s="71" t="str">
        <f t="shared" si="3950"/>
        <v/>
      </c>
      <c r="EM255" s="71" t="str">
        <f t="shared" si="3951"/>
        <v/>
      </c>
      <c r="EN255" s="71" t="str">
        <f t="shared" si="3952"/>
        <v/>
      </c>
      <c r="EO255" s="71" t="str">
        <f t="shared" si="3953"/>
        <v/>
      </c>
      <c r="EP255" s="71" t="str">
        <f t="shared" si="3954"/>
        <v/>
      </c>
      <c r="EQ255" s="71" t="str">
        <f t="shared" si="3955"/>
        <v/>
      </c>
      <c r="ER255" s="71" t="str">
        <f t="shared" si="3956"/>
        <v/>
      </c>
      <c r="ES255" s="71" t="str">
        <f t="shared" si="3957"/>
        <v/>
      </c>
      <c r="ET255" s="71" t="str">
        <f t="shared" si="3958"/>
        <v/>
      </c>
      <c r="EU255" s="71" t="str">
        <f t="shared" si="3959"/>
        <v/>
      </c>
      <c r="EV255" s="71" t="str">
        <f t="shared" si="3960"/>
        <v/>
      </c>
      <c r="EW255" s="71" t="str">
        <f t="shared" si="3961"/>
        <v/>
      </c>
      <c r="EX255" s="71" t="str">
        <f t="shared" si="3962"/>
        <v/>
      </c>
      <c r="EY255" s="71" t="str">
        <f t="shared" si="3963"/>
        <v/>
      </c>
      <c r="EZ255" s="71" t="str">
        <f t="shared" si="3964"/>
        <v/>
      </c>
      <c r="FA255" s="71" t="str">
        <f t="shared" si="3965"/>
        <v/>
      </c>
      <c r="FB255" s="71" t="str">
        <f t="shared" si="3966"/>
        <v/>
      </c>
      <c r="FC255" s="71" t="str">
        <f t="shared" si="3967"/>
        <v/>
      </c>
      <c r="FD255" s="71" t="str">
        <f t="shared" si="3968"/>
        <v/>
      </c>
      <c r="FE255" s="71" t="str">
        <f t="shared" si="3969"/>
        <v/>
      </c>
      <c r="FF255" s="71" t="str">
        <f t="shared" si="3970"/>
        <v/>
      </c>
      <c r="FG255" s="71" t="str">
        <f t="shared" si="3971"/>
        <v/>
      </c>
      <c r="FH255" s="71" t="str">
        <f t="shared" si="3972"/>
        <v/>
      </c>
      <c r="FI255" s="71" t="str">
        <f t="shared" si="3973"/>
        <v/>
      </c>
      <c r="FJ255" s="71" t="str">
        <f t="shared" si="3974"/>
        <v/>
      </c>
      <c r="FK255" s="71" t="str">
        <f t="shared" si="3975"/>
        <v/>
      </c>
      <c r="FL255" s="71" t="str">
        <f t="shared" si="3976"/>
        <v/>
      </c>
      <c r="FM255" s="71" t="str">
        <f t="shared" si="3977"/>
        <v/>
      </c>
      <c r="FN255" s="71" t="str">
        <f t="shared" si="3978"/>
        <v/>
      </c>
      <c r="FO255" s="71" t="str">
        <f t="shared" si="3979"/>
        <v/>
      </c>
      <c r="FP255" s="71" t="str">
        <f t="shared" si="3980"/>
        <v/>
      </c>
      <c r="FQ255" s="71" t="str">
        <f t="shared" si="3981"/>
        <v/>
      </c>
      <c r="FR255" s="71" t="str">
        <f t="shared" si="3982"/>
        <v/>
      </c>
      <c r="FS255" s="71" t="str">
        <f t="shared" si="3983"/>
        <v/>
      </c>
    </row>
    <row r="256" ht="14.4" spans="1:175">
      <c r="A256" s="80"/>
      <c r="B256" s="129" t="s">
        <v>858</v>
      </c>
      <c r="C256" s="128" t="str">
        <f t="shared" si="3984"/>
        <v>已领取魔芝RPG礼包</v>
      </c>
      <c r="T256" s="131" t="str">
        <f t="shared" si="3985"/>
        <v>|cff99ccff游戏中输入《|r|cff33ff00魔芝RPG|r|cff99ccff》领取本礼包！|r|n|n|r奖励：|n|cffffcc00练功房怪物数量+1|r|N|N|cff00ff00已领取该礼包</v>
      </c>
      <c r="U256" s="80" t="s">
        <v>850</v>
      </c>
      <c r="CN256" s="69" t="str">
        <f t="shared" si="3986"/>
        <v>InitUnitState('IB58',,,,,,,,,,)</v>
      </c>
      <c r="CO256" s="69" t="str">
        <f t="shared" si="3987"/>
        <v>InitUnitNormal('IB58',,,,,,,,,,)</v>
      </c>
      <c r="CP256" s="69" t="str">
        <f t="shared" si="3988"/>
        <v>InitUnitMagic('IB58',,,,,,,,,,)</v>
      </c>
      <c r="CQ256" s="69" t="str">
        <f t="shared" si="3989"/>
        <v>InitUnitAdd('IB58',,,,,,,,,,)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InitEquipData('IB58',,"",,,,,'','','','','','',"")</v>
      </c>
      <c r="CU256" s="99" t="str">
        <f t="shared" si="3912"/>
        <v>|n</v>
      </c>
      <c r="CV256" s="70" t="str">
        <f t="shared" si="3913"/>
        <v>|cff99ccff游戏中输入《|r|cff33ff00魔芝RPG|r|cff99ccff》领取本礼包！|r|n|n|r奖励：|n|cffffcc00练功房怪物数量+1|r|N|N|cff00ff00已领取该礼包</v>
      </c>
      <c r="CW256" s="60"/>
      <c r="CX256" s="60"/>
      <c r="CY256" s="60"/>
      <c r="CZ256" s="60"/>
      <c r="DA256" s="60"/>
      <c r="DB256" s="71" t="str">
        <f t="shared" ref="DB256:FM256" si="3990">IF(V256="","","|n"&amp;DB$2&amp;"+"&amp;V256&amp;DB$1)</f>
        <v/>
      </c>
      <c r="DC256" s="71" t="str">
        <f t="shared" si="3990"/>
        <v/>
      </c>
      <c r="DD256" s="71" t="str">
        <f t="shared" si="3990"/>
        <v/>
      </c>
      <c r="DE256" s="71" t="str">
        <f t="shared" si="3990"/>
        <v/>
      </c>
      <c r="DF256" s="71" t="str">
        <f t="shared" si="3990"/>
        <v/>
      </c>
      <c r="DG256" s="71" t="str">
        <f t="shared" si="3990"/>
        <v/>
      </c>
      <c r="DH256" s="71" t="str">
        <f t="shared" si="3990"/>
        <v/>
      </c>
      <c r="DI256" s="71" t="str">
        <f t="shared" si="3990"/>
        <v/>
      </c>
      <c r="DJ256" s="71" t="str">
        <f t="shared" si="3990"/>
        <v/>
      </c>
      <c r="DK256" s="71" t="str">
        <f t="shared" si="3990"/>
        <v/>
      </c>
      <c r="DL256" s="71" t="str">
        <f t="shared" si="3990"/>
        <v/>
      </c>
      <c r="DM256" s="71" t="str">
        <f t="shared" si="3990"/>
        <v/>
      </c>
      <c r="DN256" s="71" t="str">
        <f t="shared" si="3990"/>
        <v/>
      </c>
      <c r="DO256" s="71" t="str">
        <f t="shared" si="3990"/>
        <v/>
      </c>
      <c r="DP256" s="71" t="str">
        <f t="shared" si="3990"/>
        <v/>
      </c>
      <c r="DQ256" s="71" t="str">
        <f t="shared" si="3990"/>
        <v/>
      </c>
      <c r="DR256" s="71" t="str">
        <f t="shared" si="3990"/>
        <v/>
      </c>
      <c r="DS256" s="71" t="str">
        <f t="shared" si="3990"/>
        <v/>
      </c>
      <c r="DT256" s="71" t="str">
        <f t="shared" si="3990"/>
        <v/>
      </c>
      <c r="DU256" s="71" t="str">
        <f t="shared" si="3990"/>
        <v/>
      </c>
      <c r="DV256" s="71" t="str">
        <f t="shared" si="3990"/>
        <v/>
      </c>
      <c r="DW256" s="71" t="str">
        <f t="shared" si="3990"/>
        <v/>
      </c>
      <c r="DX256" s="71" t="str">
        <f t="shared" si="3990"/>
        <v/>
      </c>
      <c r="DY256" s="71" t="str">
        <f t="shared" si="3990"/>
        <v/>
      </c>
      <c r="DZ256" s="71" t="str">
        <f t="shared" si="3990"/>
        <v/>
      </c>
      <c r="EA256" s="71" t="str">
        <f t="shared" si="3990"/>
        <v/>
      </c>
      <c r="EB256" s="71" t="str">
        <f t="shared" si="3990"/>
        <v/>
      </c>
      <c r="EC256" s="71" t="str">
        <f t="shared" si="3990"/>
        <v/>
      </c>
      <c r="ED256" s="71" t="str">
        <f t="shared" si="3990"/>
        <v/>
      </c>
      <c r="EE256" s="71" t="str">
        <f t="shared" si="3990"/>
        <v/>
      </c>
      <c r="EF256" s="71" t="str">
        <f t="shared" si="3990"/>
        <v/>
      </c>
      <c r="EG256" s="71" t="str">
        <f t="shared" si="3990"/>
        <v/>
      </c>
      <c r="EH256" s="71" t="str">
        <f t="shared" si="3990"/>
        <v/>
      </c>
      <c r="EI256" s="71" t="str">
        <f t="shared" si="3990"/>
        <v/>
      </c>
      <c r="EJ256" s="71" t="str">
        <f t="shared" si="3990"/>
        <v/>
      </c>
      <c r="EK256" s="71" t="str">
        <f t="shared" si="3990"/>
        <v/>
      </c>
      <c r="EL256" s="71" t="str">
        <f t="shared" si="3990"/>
        <v/>
      </c>
      <c r="EM256" s="71" t="str">
        <f t="shared" si="3990"/>
        <v/>
      </c>
      <c r="EN256" s="71" t="str">
        <f t="shared" si="3990"/>
        <v/>
      </c>
      <c r="EO256" s="71" t="str">
        <f t="shared" si="3990"/>
        <v/>
      </c>
      <c r="EP256" s="71" t="str">
        <f t="shared" si="3990"/>
        <v/>
      </c>
      <c r="EQ256" s="71" t="str">
        <f t="shared" si="3990"/>
        <v/>
      </c>
      <c r="ER256" s="71" t="str">
        <f t="shared" si="3990"/>
        <v/>
      </c>
      <c r="ES256" s="71" t="str">
        <f t="shared" si="3990"/>
        <v/>
      </c>
      <c r="ET256" s="71" t="str">
        <f t="shared" si="3990"/>
        <v/>
      </c>
      <c r="EU256" s="71" t="str">
        <f t="shared" si="3990"/>
        <v/>
      </c>
      <c r="EV256" s="71" t="str">
        <f t="shared" si="3990"/>
        <v/>
      </c>
      <c r="EW256" s="71" t="str">
        <f t="shared" si="3990"/>
        <v/>
      </c>
      <c r="EX256" s="71" t="str">
        <f t="shared" si="3990"/>
        <v/>
      </c>
      <c r="EY256" s="71" t="str">
        <f t="shared" si="3990"/>
        <v/>
      </c>
      <c r="EZ256" s="71" t="str">
        <f t="shared" si="3990"/>
        <v/>
      </c>
      <c r="FA256" s="71" t="str">
        <f t="shared" si="3990"/>
        <v/>
      </c>
      <c r="FB256" s="71" t="str">
        <f t="shared" si="3990"/>
        <v/>
      </c>
      <c r="FC256" s="71" t="str">
        <f t="shared" si="3990"/>
        <v/>
      </c>
      <c r="FD256" s="71" t="str">
        <f t="shared" si="3990"/>
        <v/>
      </c>
      <c r="FE256" s="71" t="str">
        <f t="shared" si="3990"/>
        <v/>
      </c>
      <c r="FF256" s="71" t="str">
        <f t="shared" si="3990"/>
        <v/>
      </c>
      <c r="FG256" s="71" t="str">
        <f t="shared" si="3990"/>
        <v/>
      </c>
      <c r="FH256" s="71" t="str">
        <f t="shared" si="3990"/>
        <v/>
      </c>
      <c r="FI256" s="71" t="str">
        <f t="shared" si="3990"/>
        <v/>
      </c>
      <c r="FJ256" s="71" t="str">
        <f t="shared" si="3990"/>
        <v/>
      </c>
      <c r="FK256" s="71" t="str">
        <f t="shared" si="3990"/>
        <v/>
      </c>
      <c r="FL256" s="71" t="str">
        <f t="shared" si="3990"/>
        <v/>
      </c>
      <c r="FM256" s="71" t="str">
        <f t="shared" si="3990"/>
        <v/>
      </c>
      <c r="FN256" s="71" t="str">
        <f t="shared" ref="FN256:FS256" si="3991">IF(CH256="","","|n"&amp;FN$2&amp;"+"&amp;CH256&amp;FN$1)</f>
        <v/>
      </c>
      <c r="FO256" s="71" t="str">
        <f t="shared" si="3991"/>
        <v/>
      </c>
      <c r="FP256" s="71" t="str">
        <f t="shared" si="3991"/>
        <v/>
      </c>
      <c r="FQ256" s="71" t="str">
        <f t="shared" si="3991"/>
        <v/>
      </c>
      <c r="FR256" s="71" t="str">
        <f t="shared" si="3991"/>
        <v/>
      </c>
      <c r="FS256" s="71" t="str">
        <f t="shared" si="3991"/>
        <v/>
      </c>
    </row>
    <row r="257" ht="14.4" spans="1:175">
      <c r="A257" s="80"/>
      <c r="B257" s="129" t="s">
        <v>859</v>
      </c>
      <c r="C257" s="128" t="str">
        <f t="shared" si="3984"/>
        <v>已领取老铁礼包</v>
      </c>
      <c r="T257" s="131" t="str">
        <f t="shared" si="3985"/>
        <v>|N|N|cff00ff00已领取该礼包</v>
      </c>
      <c r="U257" s="80" t="s">
        <v>850</v>
      </c>
      <c r="CN257" s="69" t="str">
        <f t="shared" si="3986"/>
        <v>InitUnitState('IB59',,,,,,,,,,)</v>
      </c>
      <c r="CO257" s="69" t="str">
        <f t="shared" si="3987"/>
        <v>InitUnitNormal('IB59',,,,,,,,,,)</v>
      </c>
      <c r="CP257" s="69" t="str">
        <f t="shared" si="3988"/>
        <v>InitUnitMagic('IB59',,,,,,,,,,)</v>
      </c>
      <c r="CQ257" s="69" t="str">
        <f t="shared" si="3989"/>
        <v>InitUnitAdd('IB59',,,,,,,,,,)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InitEquipData('IB59',,"",,,,,'','','','','','',"")</v>
      </c>
      <c r="CU257" s="99" t="str">
        <f t="shared" si="3912"/>
        <v>|n</v>
      </c>
      <c r="CV257" s="70" t="str">
        <f t="shared" si="3913"/>
        <v>|N|N|cff00ff00已领取该礼包</v>
      </c>
      <c r="CW257" s="60"/>
      <c r="CX257" s="60"/>
      <c r="CY257" s="60"/>
      <c r="CZ257" s="60"/>
      <c r="DA257" s="60"/>
      <c r="DB257" s="71" t="str">
        <f t="shared" ref="DB257:FM261" si="3992">IF(V257="","","|n"&amp;DB$2&amp;"+"&amp;V257&amp;DB$1)</f>
        <v/>
      </c>
      <c r="DC257" s="71" t="str">
        <f t="shared" si="3992"/>
        <v/>
      </c>
      <c r="DD257" s="71" t="str">
        <f t="shared" si="3992"/>
        <v/>
      </c>
      <c r="DE257" s="71" t="str">
        <f t="shared" si="3992"/>
        <v/>
      </c>
      <c r="DF257" s="71" t="str">
        <f t="shared" si="3992"/>
        <v/>
      </c>
      <c r="DG257" s="71" t="str">
        <f t="shared" si="3992"/>
        <v/>
      </c>
      <c r="DH257" s="71" t="str">
        <f t="shared" si="3992"/>
        <v/>
      </c>
      <c r="DI257" s="71" t="str">
        <f t="shared" si="3992"/>
        <v/>
      </c>
      <c r="DJ257" s="71" t="str">
        <f t="shared" si="3992"/>
        <v/>
      </c>
      <c r="DK257" s="71" t="str">
        <f t="shared" si="3992"/>
        <v/>
      </c>
      <c r="DL257" s="71" t="str">
        <f t="shared" si="3992"/>
        <v/>
      </c>
      <c r="DM257" s="71" t="str">
        <f t="shared" si="3992"/>
        <v/>
      </c>
      <c r="DN257" s="71" t="str">
        <f t="shared" si="3992"/>
        <v/>
      </c>
      <c r="DO257" s="71" t="str">
        <f t="shared" si="3992"/>
        <v/>
      </c>
      <c r="DP257" s="71" t="str">
        <f t="shared" si="3992"/>
        <v/>
      </c>
      <c r="DQ257" s="71" t="str">
        <f t="shared" si="3992"/>
        <v/>
      </c>
      <c r="DR257" s="71" t="str">
        <f t="shared" si="3992"/>
        <v/>
      </c>
      <c r="DS257" s="71" t="str">
        <f t="shared" si="3992"/>
        <v/>
      </c>
      <c r="DT257" s="71" t="str">
        <f t="shared" si="3992"/>
        <v/>
      </c>
      <c r="DU257" s="71" t="str">
        <f t="shared" si="3992"/>
        <v/>
      </c>
      <c r="DV257" s="71" t="str">
        <f t="shared" si="3992"/>
        <v/>
      </c>
      <c r="DW257" s="71" t="str">
        <f t="shared" si="3992"/>
        <v/>
      </c>
      <c r="DX257" s="71" t="str">
        <f t="shared" si="3992"/>
        <v/>
      </c>
      <c r="DY257" s="71" t="str">
        <f t="shared" si="3992"/>
        <v/>
      </c>
      <c r="DZ257" s="71" t="str">
        <f t="shared" si="3992"/>
        <v/>
      </c>
      <c r="EA257" s="71" t="str">
        <f t="shared" si="3992"/>
        <v/>
      </c>
      <c r="EB257" s="71" t="str">
        <f t="shared" si="3992"/>
        <v/>
      </c>
      <c r="EC257" s="71" t="str">
        <f t="shared" si="3992"/>
        <v/>
      </c>
      <c r="ED257" s="71" t="str">
        <f t="shared" si="3992"/>
        <v/>
      </c>
      <c r="EE257" s="71" t="str">
        <f t="shared" si="3992"/>
        <v/>
      </c>
      <c r="EF257" s="71" t="str">
        <f t="shared" si="3992"/>
        <v/>
      </c>
      <c r="EG257" s="71" t="str">
        <f t="shared" si="3992"/>
        <v/>
      </c>
      <c r="EH257" s="71" t="str">
        <f t="shared" si="3992"/>
        <v/>
      </c>
      <c r="EI257" s="71" t="str">
        <f t="shared" si="3992"/>
        <v/>
      </c>
      <c r="EJ257" s="71" t="str">
        <f t="shared" si="3992"/>
        <v/>
      </c>
      <c r="EK257" s="71" t="str">
        <f t="shared" si="3992"/>
        <v/>
      </c>
      <c r="EL257" s="71" t="str">
        <f t="shared" si="3992"/>
        <v/>
      </c>
      <c r="EM257" s="71" t="str">
        <f t="shared" si="3992"/>
        <v/>
      </c>
      <c r="EN257" s="71" t="str">
        <f t="shared" si="3992"/>
        <v/>
      </c>
      <c r="EO257" s="71" t="str">
        <f t="shared" si="3992"/>
        <v/>
      </c>
      <c r="EP257" s="71" t="str">
        <f t="shared" si="3992"/>
        <v/>
      </c>
      <c r="EQ257" s="71" t="str">
        <f t="shared" si="3992"/>
        <v/>
      </c>
      <c r="ER257" s="71" t="str">
        <f t="shared" si="3992"/>
        <v/>
      </c>
      <c r="ES257" s="71" t="str">
        <f t="shared" si="3992"/>
        <v/>
      </c>
      <c r="ET257" s="71" t="str">
        <f t="shared" si="3992"/>
        <v/>
      </c>
      <c r="EU257" s="71" t="str">
        <f t="shared" si="3992"/>
        <v/>
      </c>
      <c r="EV257" s="71" t="str">
        <f t="shared" si="3992"/>
        <v/>
      </c>
      <c r="EW257" s="71" t="str">
        <f t="shared" si="3992"/>
        <v/>
      </c>
      <c r="EX257" s="71" t="str">
        <f t="shared" si="3992"/>
        <v/>
      </c>
      <c r="EY257" s="71" t="str">
        <f t="shared" si="3992"/>
        <v/>
      </c>
      <c r="EZ257" s="71" t="str">
        <f t="shared" si="3992"/>
        <v/>
      </c>
      <c r="FA257" s="71" t="str">
        <f t="shared" si="3992"/>
        <v/>
      </c>
      <c r="FB257" s="71" t="str">
        <f t="shared" si="3992"/>
        <v/>
      </c>
      <c r="FC257" s="71" t="str">
        <f t="shared" si="3992"/>
        <v/>
      </c>
      <c r="FD257" s="71" t="str">
        <f t="shared" si="3992"/>
        <v/>
      </c>
      <c r="FE257" s="71" t="str">
        <f t="shared" si="3992"/>
        <v/>
      </c>
      <c r="FF257" s="71" t="str">
        <f t="shared" si="3992"/>
        <v/>
      </c>
      <c r="FG257" s="71" t="str">
        <f t="shared" si="3992"/>
        <v/>
      </c>
      <c r="FH257" s="71" t="str">
        <f t="shared" si="3992"/>
        <v/>
      </c>
      <c r="FI257" s="71" t="str">
        <f t="shared" si="3992"/>
        <v/>
      </c>
      <c r="FJ257" s="71" t="str">
        <f t="shared" si="3992"/>
        <v/>
      </c>
      <c r="FK257" s="71" t="str">
        <f t="shared" si="3992"/>
        <v/>
      </c>
      <c r="FL257" s="71" t="str">
        <f t="shared" si="3992"/>
        <v/>
      </c>
      <c r="FM257" s="71" t="str">
        <f t="shared" si="3992"/>
        <v/>
      </c>
      <c r="FN257" s="71" t="str">
        <f t="shared" ref="FN257:FS261" si="3993">IF(CH257="","","|n"&amp;FN$2&amp;"+"&amp;CH257&amp;FN$1)</f>
        <v/>
      </c>
      <c r="FO257" s="71" t="str">
        <f t="shared" si="3993"/>
        <v/>
      </c>
      <c r="FP257" s="71" t="str">
        <f t="shared" si="3993"/>
        <v/>
      </c>
      <c r="FQ257" s="71" t="str">
        <f t="shared" si="3993"/>
        <v/>
      </c>
      <c r="FR257" s="71" t="str">
        <f t="shared" si="3993"/>
        <v/>
      </c>
      <c r="FS257" s="71" t="str">
        <f t="shared" si="3993"/>
        <v/>
      </c>
    </row>
    <row r="258" ht="15.6" spans="1:175">
      <c r="A258" s="73"/>
      <c r="B258" s="133" t="s">
        <v>860</v>
      </c>
      <c r="C258" s="133" t="s">
        <v>861</v>
      </c>
      <c r="E258" s="104"/>
      <c r="F258" s="103"/>
      <c r="S258" s="112"/>
      <c r="T258" s="133" t="s">
        <v>861</v>
      </c>
      <c r="U258" s="89" t="s">
        <v>862</v>
      </c>
      <c r="V258" s="80"/>
      <c r="Z258" s="80"/>
      <c r="AG258" s="115"/>
      <c r="AL258" s="115"/>
      <c r="BC258" s="116"/>
      <c r="BD258" s="116"/>
      <c r="CU258" s="99" t="str">
        <f t="shared" ref="CU258" si="3994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70" t="str">
        <f t="shared" ref="CV258" si="3995">T258</f>
        <v>积分兑换-永久</v>
      </c>
      <c r="CW258" s="60"/>
      <c r="CX258" s="60"/>
      <c r="CY258" s="60"/>
      <c r="CZ258" s="60"/>
      <c r="DA258" s="60"/>
      <c r="DB258" s="71" t="str">
        <f t="shared" ref="DB258" si="3996">IF(V258="","","|n"&amp;DB$2&amp;"+"&amp;V258&amp;DB$1)</f>
        <v/>
      </c>
      <c r="DC258" s="71" t="str">
        <f t="shared" ref="DC258" si="3997">IF(W258="","","|n"&amp;DC$2&amp;"+"&amp;W258&amp;DC$1)</f>
        <v/>
      </c>
      <c r="DD258" s="71" t="str">
        <f t="shared" ref="DD258" si="3998">IF(X258="","","|n"&amp;DD$2&amp;"+"&amp;X258&amp;DD$1)</f>
        <v/>
      </c>
      <c r="DE258" s="71" t="str">
        <f t="shared" ref="DE258" si="3999">IF(Y258="","","|n"&amp;DE$2&amp;"+"&amp;Y258&amp;DE$1)</f>
        <v/>
      </c>
      <c r="DF258" s="71" t="str">
        <f t="shared" ref="DF258" si="4000">IF(Z258="","","|n"&amp;DF$2&amp;"+"&amp;Z258&amp;DF$1)</f>
        <v/>
      </c>
      <c r="DG258" s="71" t="str">
        <f t="shared" ref="DG258" si="4001">IF(AA258="","","|n"&amp;DG$2&amp;"+"&amp;AA258&amp;DG$1)</f>
        <v/>
      </c>
      <c r="DH258" s="71" t="str">
        <f t="shared" ref="DH258" si="4002">IF(AB258="","","|n"&amp;DH$2&amp;"+"&amp;AB258&amp;DH$1)</f>
        <v/>
      </c>
      <c r="DI258" s="71" t="str">
        <f t="shared" ref="DI258" si="4003">IF(AC258="","","|n"&amp;DI$2&amp;"+"&amp;AC258&amp;DI$1)</f>
        <v/>
      </c>
      <c r="DJ258" s="71" t="str">
        <f t="shared" ref="DJ258" si="4004">IF(AD258="","","|n"&amp;DJ$2&amp;"+"&amp;AD258&amp;DJ$1)</f>
        <v/>
      </c>
      <c r="DK258" s="71" t="str">
        <f t="shared" ref="DK258" si="4005">IF(AE258="","","|n"&amp;DK$2&amp;"+"&amp;AE258&amp;DK$1)</f>
        <v/>
      </c>
      <c r="DL258" s="71" t="str">
        <f t="shared" ref="DL258" si="4006">IF(AF258="","","|n"&amp;DL$2&amp;"+"&amp;AF258&amp;DL$1)</f>
        <v/>
      </c>
      <c r="DM258" s="71" t="str">
        <f t="shared" ref="DM258" si="4007">IF(AG258="","","|n"&amp;DM$2&amp;"+"&amp;AG258&amp;DM$1)</f>
        <v/>
      </c>
      <c r="DN258" s="71" t="str">
        <f t="shared" ref="DN258" si="4008">IF(AH258="","","|n"&amp;DN$2&amp;"+"&amp;AH258&amp;DN$1)</f>
        <v/>
      </c>
      <c r="DO258" s="71" t="str">
        <f t="shared" ref="DO258" si="4009">IF(AI258="","","|n"&amp;DO$2&amp;"+"&amp;AI258&amp;DO$1)</f>
        <v/>
      </c>
      <c r="DP258" s="71" t="str">
        <f t="shared" ref="DP258" si="4010">IF(AJ258="","","|n"&amp;DP$2&amp;"+"&amp;AJ258&amp;DP$1)</f>
        <v/>
      </c>
      <c r="DQ258" s="71" t="str">
        <f t="shared" ref="DQ258" si="4011">IF(AK258="","","|n"&amp;DQ$2&amp;"+"&amp;AK258&amp;DQ$1)</f>
        <v/>
      </c>
      <c r="DR258" s="71" t="str">
        <f t="shared" ref="DR258" si="4012">IF(AL258="","","|n"&amp;DR$2&amp;"+"&amp;AL258&amp;DR$1)</f>
        <v/>
      </c>
      <c r="DS258" s="71" t="str">
        <f t="shared" ref="DS258" si="4013">IF(AM258="","","|n"&amp;DS$2&amp;"+"&amp;AM258&amp;DS$1)</f>
        <v/>
      </c>
      <c r="DT258" s="71" t="str">
        <f t="shared" ref="DT258" si="4014">IF(AN258="","","|n"&amp;DT$2&amp;"+"&amp;AN258&amp;DT$1)</f>
        <v/>
      </c>
      <c r="DU258" s="71" t="str">
        <f t="shared" ref="DU258" si="4015">IF(AO258="","","|n"&amp;DU$2&amp;"+"&amp;AO258&amp;DU$1)</f>
        <v/>
      </c>
      <c r="DV258" s="71" t="str">
        <f t="shared" ref="DV258" si="4016">IF(AP258="","","|n"&amp;DV$2&amp;"+"&amp;AP258&amp;DV$1)</f>
        <v/>
      </c>
      <c r="DW258" s="71" t="str">
        <f t="shared" ref="DW258" si="4017">IF(AQ258="","","|n"&amp;DW$2&amp;"+"&amp;AQ258&amp;DW$1)</f>
        <v/>
      </c>
      <c r="DX258" s="71" t="str">
        <f t="shared" ref="DX258" si="4018">IF(AR258="","","|n"&amp;DX$2&amp;"+"&amp;AR258&amp;DX$1)</f>
        <v/>
      </c>
      <c r="DY258" s="71" t="str">
        <f t="shared" ref="DY258" si="4019">IF(AS258="","","|n"&amp;DY$2&amp;"+"&amp;AS258&amp;DY$1)</f>
        <v/>
      </c>
      <c r="DZ258" s="71" t="str">
        <f t="shared" ref="DZ258" si="4020">IF(AT258="","","|n"&amp;DZ$2&amp;"+"&amp;AT258&amp;DZ$1)</f>
        <v/>
      </c>
      <c r="EA258" s="71" t="str">
        <f t="shared" ref="EA258" si="4021">IF(AU258="","","|n"&amp;EA$2&amp;"+"&amp;AU258&amp;EA$1)</f>
        <v/>
      </c>
      <c r="EB258" s="71" t="str">
        <f t="shared" ref="EB258" si="4022">IF(AV258="","","|n"&amp;EB$2&amp;"+"&amp;AV258&amp;EB$1)</f>
        <v/>
      </c>
      <c r="EC258" s="71" t="str">
        <f t="shared" ref="EC258" si="4023">IF(AW258="","","|n"&amp;EC$2&amp;"+"&amp;AW258&amp;EC$1)</f>
        <v/>
      </c>
      <c r="ED258" s="71" t="str">
        <f t="shared" ref="ED258" si="4024">IF(AX258="","","|n"&amp;ED$2&amp;"+"&amp;AX258&amp;ED$1)</f>
        <v/>
      </c>
      <c r="EE258" s="71" t="str">
        <f t="shared" ref="EE258" si="4025">IF(AY258="","","|n"&amp;EE$2&amp;"+"&amp;AY258&amp;EE$1)</f>
        <v/>
      </c>
      <c r="EF258" s="71" t="str">
        <f t="shared" ref="EF258" si="4026">IF(AZ258="","","|n"&amp;EF$2&amp;"+"&amp;AZ258&amp;EF$1)</f>
        <v/>
      </c>
      <c r="EG258" s="71" t="str">
        <f t="shared" ref="EG258" si="4027">IF(BA258="","","|n"&amp;EG$2&amp;"+"&amp;BA258&amp;EG$1)</f>
        <v/>
      </c>
      <c r="EH258" s="71" t="str">
        <f t="shared" ref="EH258" si="4028">IF(BB258="","","|n"&amp;EH$2&amp;"+"&amp;BB258&amp;EH$1)</f>
        <v/>
      </c>
      <c r="EI258" s="71" t="str">
        <f t="shared" ref="EI258" si="4029">IF(BC258="","","|n"&amp;EI$2&amp;"+"&amp;BC258&amp;EI$1)</f>
        <v/>
      </c>
      <c r="EJ258" s="71" t="str">
        <f t="shared" ref="EJ258" si="4030">IF(BD258="","","|n"&amp;EJ$2&amp;"+"&amp;BD258&amp;EJ$1)</f>
        <v/>
      </c>
      <c r="EK258" s="71" t="str">
        <f t="shared" ref="EK258" si="4031">IF(BE258="","","|n"&amp;EK$2&amp;"+"&amp;BE258&amp;EK$1)</f>
        <v/>
      </c>
      <c r="EL258" s="71" t="str">
        <f t="shared" ref="EL258" si="4032">IF(BF258="","","|n"&amp;EL$2&amp;"+"&amp;BF258&amp;EL$1)</f>
        <v/>
      </c>
      <c r="EM258" s="71" t="str">
        <f t="shared" ref="EM258" si="4033">IF(BG258="","","|n"&amp;EM$2&amp;"+"&amp;BG258&amp;EM$1)</f>
        <v/>
      </c>
      <c r="EN258" s="71" t="str">
        <f t="shared" ref="EN258" si="4034">IF(BH258="","","|n"&amp;EN$2&amp;"+"&amp;BH258&amp;EN$1)</f>
        <v/>
      </c>
      <c r="EO258" s="71" t="str">
        <f t="shared" ref="EO258" si="4035">IF(BI258="","","|n"&amp;EO$2&amp;"+"&amp;BI258&amp;EO$1)</f>
        <v/>
      </c>
      <c r="EP258" s="71" t="str">
        <f t="shared" ref="EP258" si="4036">IF(BJ258="","","|n"&amp;EP$2&amp;"+"&amp;BJ258&amp;EP$1)</f>
        <v/>
      </c>
      <c r="EQ258" s="71" t="str">
        <f t="shared" ref="EQ258" si="4037">IF(BK258="","","|n"&amp;EQ$2&amp;"+"&amp;BK258&amp;EQ$1)</f>
        <v/>
      </c>
      <c r="ER258" s="71" t="str">
        <f t="shared" ref="ER258" si="4038">IF(BL258="","","|n"&amp;ER$2&amp;"+"&amp;BL258&amp;ER$1)</f>
        <v/>
      </c>
      <c r="ES258" s="71" t="str">
        <f t="shared" ref="ES258" si="4039">IF(BM258="","","|n"&amp;ES$2&amp;"+"&amp;BM258&amp;ES$1)</f>
        <v/>
      </c>
      <c r="ET258" s="71" t="str">
        <f t="shared" ref="ET258" si="4040">IF(BN258="","","|n"&amp;ET$2&amp;"+"&amp;BN258&amp;ET$1)</f>
        <v/>
      </c>
      <c r="EU258" s="71" t="str">
        <f t="shared" ref="EU258" si="4041">IF(BO258="","","|n"&amp;EU$2&amp;"+"&amp;BO258&amp;EU$1)</f>
        <v/>
      </c>
      <c r="EV258" s="71" t="str">
        <f t="shared" ref="EV258" si="4042">IF(BP258="","","|n"&amp;EV$2&amp;"+"&amp;BP258&amp;EV$1)</f>
        <v/>
      </c>
      <c r="EW258" s="71" t="str">
        <f t="shared" ref="EW258" si="4043">IF(BQ258="","","|n"&amp;EW$2&amp;"+"&amp;BQ258&amp;EW$1)</f>
        <v/>
      </c>
      <c r="EX258" s="71" t="str">
        <f t="shared" ref="EX258" si="4044">IF(BR258="","","|n"&amp;EX$2&amp;"+"&amp;BR258&amp;EX$1)</f>
        <v/>
      </c>
      <c r="EY258" s="71" t="str">
        <f t="shared" ref="EY258" si="4045">IF(BS258="","","|n"&amp;EY$2&amp;"+"&amp;BS258&amp;EY$1)</f>
        <v/>
      </c>
      <c r="EZ258" s="71" t="str">
        <f t="shared" ref="EZ258" si="4046">IF(BT258="","","|n"&amp;EZ$2&amp;"+"&amp;BT258&amp;EZ$1)</f>
        <v/>
      </c>
      <c r="FA258" s="71" t="str">
        <f t="shared" ref="FA258" si="4047">IF(BU258="","","|n"&amp;FA$2&amp;"+"&amp;BU258&amp;FA$1)</f>
        <v/>
      </c>
      <c r="FB258" s="71" t="str">
        <f t="shared" ref="FB258" si="4048">IF(BV258="","","|n"&amp;FB$2&amp;"+"&amp;BV258&amp;FB$1)</f>
        <v/>
      </c>
      <c r="FC258" s="71" t="str">
        <f t="shared" ref="FC258" si="4049">IF(BW258="","","|n"&amp;FC$2&amp;"+"&amp;BW258&amp;FC$1)</f>
        <v/>
      </c>
      <c r="FD258" s="71" t="str">
        <f t="shared" ref="FD258" si="4050">IF(BX258="","","|n"&amp;FD$2&amp;"+"&amp;BX258&amp;FD$1)</f>
        <v/>
      </c>
      <c r="FE258" s="71" t="str">
        <f t="shared" ref="FE258" si="4051">IF(BY258="","","|n"&amp;FE$2&amp;"+"&amp;BY258&amp;FE$1)</f>
        <v/>
      </c>
      <c r="FF258" s="71" t="str">
        <f t="shared" ref="FF258" si="4052">IF(BZ258="","","|n"&amp;FF$2&amp;"+"&amp;BZ258&amp;FF$1)</f>
        <v/>
      </c>
      <c r="FG258" s="71" t="str">
        <f t="shared" ref="FG258" si="4053">IF(CA258="","","|n"&amp;FG$2&amp;"+"&amp;CA258&amp;FG$1)</f>
        <v/>
      </c>
      <c r="FH258" s="71" t="str">
        <f t="shared" ref="FH258" si="4054">IF(CB258="","","|n"&amp;FH$2&amp;"+"&amp;CB258&amp;FH$1)</f>
        <v/>
      </c>
      <c r="FI258" s="71" t="str">
        <f t="shared" ref="FI258" si="4055">IF(CC258="","","|n"&amp;FI$2&amp;"+"&amp;CC258&amp;FI$1)</f>
        <v/>
      </c>
      <c r="FJ258" s="71" t="str">
        <f t="shared" ref="FJ258" si="4056">IF(CD258="","","|n"&amp;FJ$2&amp;"+"&amp;CD258&amp;FJ$1)</f>
        <v/>
      </c>
      <c r="FK258" s="71" t="str">
        <f t="shared" ref="FK258" si="4057">IF(CE258="","","|n"&amp;FK$2&amp;"+"&amp;CE258&amp;FK$1)</f>
        <v/>
      </c>
      <c r="FL258" s="71" t="str">
        <f t="shared" ref="FL258" si="4058">IF(CF258="","","|n"&amp;FL$2&amp;"+"&amp;CF258&amp;FL$1)</f>
        <v/>
      </c>
      <c r="FM258" s="71" t="str">
        <f t="shared" ref="FM258" si="4059">IF(CG258="","","|n"&amp;FM$2&amp;"+"&amp;CG258&amp;FM$1)</f>
        <v/>
      </c>
      <c r="FN258" s="71" t="str">
        <f t="shared" ref="FN258" si="4060">IF(CH258="","","|n"&amp;FN$2&amp;"+"&amp;CH258&amp;FN$1)</f>
        <v/>
      </c>
      <c r="FO258" s="71" t="str">
        <f t="shared" ref="FO258" si="4061">IF(CI258="","","|n"&amp;FO$2&amp;"+"&amp;CI258&amp;FO$1)</f>
        <v/>
      </c>
      <c r="FP258" s="71" t="str">
        <f t="shared" ref="FP258" si="4062">IF(CJ258="","","|n"&amp;FP$2&amp;"+"&amp;CJ258&amp;FP$1)</f>
        <v/>
      </c>
      <c r="FQ258" s="71" t="str">
        <f t="shared" ref="FQ258" si="4063">IF(CK258="","","|n"&amp;FQ$2&amp;"+"&amp;CK258&amp;FQ$1)</f>
        <v/>
      </c>
      <c r="FR258" s="71" t="str">
        <f t="shared" ref="FR258" si="4064">IF(CL258="","","|n"&amp;FR$2&amp;"+"&amp;CL258&amp;FR$1)</f>
        <v/>
      </c>
      <c r="FS258" s="71" t="str">
        <f t="shared" ref="FS258" si="4065">IF(CM258="","","|n"&amp;FS$2&amp;"+"&amp;CM258&amp;FS$1)</f>
        <v/>
      </c>
    </row>
    <row r="259" ht="15.6" spans="1:175">
      <c r="A259" s="73"/>
      <c r="B259" s="133" t="s">
        <v>863</v>
      </c>
      <c r="C259" s="133" t="s">
        <v>864</v>
      </c>
      <c r="E259" s="104"/>
      <c r="F259" s="103"/>
      <c r="S259" s="112"/>
      <c r="T259" s="70" t="s">
        <v>865</v>
      </c>
      <c r="U259" s="89" t="str">
        <f t="shared" ref="U259:U263" si="4066">"ReplaceableTextures\\CommandButtons\\BTNR"&amp;RIGHT(B259,3)&amp;".blp"</f>
        <v>ReplaceableTextures\\CommandButtons\\BTNRY1C.blp</v>
      </c>
      <c r="V259" s="80"/>
      <c r="Z259" s="80"/>
      <c r="AG259" s="115"/>
      <c r="AL259" s="115"/>
      <c r="BC259" s="116"/>
      <c r="BD259" s="116"/>
      <c r="CU259" s="99" t="str">
        <f t="shared" ref="CU259:CU261" si="4067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si="3913"/>
        <v>代码生成</v>
      </c>
      <c r="CW259" s="60"/>
      <c r="CX259" s="60"/>
      <c r="CY259" s="60"/>
      <c r="CZ259" s="60"/>
      <c r="DA259" s="60"/>
      <c r="DB259" s="71" t="str">
        <f t="shared" si="3992"/>
        <v/>
      </c>
      <c r="DC259" s="71" t="str">
        <f t="shared" si="3992"/>
        <v/>
      </c>
      <c r="DD259" s="71" t="str">
        <f t="shared" si="3992"/>
        <v/>
      </c>
      <c r="DE259" s="71" t="str">
        <f t="shared" si="3992"/>
        <v/>
      </c>
      <c r="DF259" s="71" t="str">
        <f t="shared" si="3992"/>
        <v/>
      </c>
      <c r="DG259" s="71" t="str">
        <f t="shared" si="3992"/>
        <v/>
      </c>
      <c r="DH259" s="71" t="str">
        <f t="shared" si="3992"/>
        <v/>
      </c>
      <c r="DI259" s="71" t="str">
        <f t="shared" si="3992"/>
        <v/>
      </c>
      <c r="DJ259" s="71" t="str">
        <f t="shared" si="3992"/>
        <v/>
      </c>
      <c r="DK259" s="71" t="str">
        <f t="shared" si="3992"/>
        <v/>
      </c>
      <c r="DL259" s="71" t="str">
        <f t="shared" si="3992"/>
        <v/>
      </c>
      <c r="DM259" s="71" t="str">
        <f t="shared" si="3992"/>
        <v/>
      </c>
      <c r="DN259" s="71" t="str">
        <f t="shared" si="3992"/>
        <v/>
      </c>
      <c r="DO259" s="71" t="str">
        <f t="shared" si="3992"/>
        <v/>
      </c>
      <c r="DP259" s="71" t="str">
        <f t="shared" si="3992"/>
        <v/>
      </c>
      <c r="DQ259" s="71" t="str">
        <f t="shared" si="3992"/>
        <v/>
      </c>
      <c r="DR259" s="71" t="str">
        <f t="shared" si="3992"/>
        <v/>
      </c>
      <c r="DS259" s="71" t="str">
        <f t="shared" si="3992"/>
        <v/>
      </c>
      <c r="DT259" s="71" t="str">
        <f t="shared" si="3992"/>
        <v/>
      </c>
      <c r="DU259" s="71" t="str">
        <f t="shared" si="3992"/>
        <v/>
      </c>
      <c r="DV259" s="71" t="str">
        <f t="shared" si="3992"/>
        <v/>
      </c>
      <c r="DW259" s="71" t="str">
        <f t="shared" si="3992"/>
        <v/>
      </c>
      <c r="DX259" s="71" t="str">
        <f t="shared" si="3992"/>
        <v/>
      </c>
      <c r="DY259" s="71" t="str">
        <f t="shared" si="3992"/>
        <v/>
      </c>
      <c r="DZ259" s="71" t="str">
        <f t="shared" si="3992"/>
        <v/>
      </c>
      <c r="EA259" s="71" t="str">
        <f t="shared" si="3992"/>
        <v/>
      </c>
      <c r="EB259" s="71" t="str">
        <f t="shared" si="3992"/>
        <v/>
      </c>
      <c r="EC259" s="71" t="str">
        <f t="shared" si="3992"/>
        <v/>
      </c>
      <c r="ED259" s="71" t="str">
        <f t="shared" si="3992"/>
        <v/>
      </c>
      <c r="EE259" s="71" t="str">
        <f t="shared" si="3992"/>
        <v/>
      </c>
      <c r="EF259" s="71" t="str">
        <f t="shared" si="3992"/>
        <v/>
      </c>
      <c r="EG259" s="71" t="str">
        <f t="shared" si="3992"/>
        <v/>
      </c>
      <c r="EH259" s="71" t="str">
        <f t="shared" si="3992"/>
        <v/>
      </c>
      <c r="EI259" s="71" t="str">
        <f t="shared" si="3992"/>
        <v/>
      </c>
      <c r="EJ259" s="71" t="str">
        <f t="shared" si="3992"/>
        <v/>
      </c>
      <c r="EK259" s="71" t="str">
        <f t="shared" si="3992"/>
        <v/>
      </c>
      <c r="EL259" s="71" t="str">
        <f t="shared" si="3992"/>
        <v/>
      </c>
      <c r="EM259" s="71" t="str">
        <f t="shared" si="3992"/>
        <v/>
      </c>
      <c r="EN259" s="71" t="str">
        <f t="shared" si="3992"/>
        <v/>
      </c>
      <c r="EO259" s="71" t="str">
        <f t="shared" si="3992"/>
        <v/>
      </c>
      <c r="EP259" s="71" t="str">
        <f t="shared" si="3992"/>
        <v/>
      </c>
      <c r="EQ259" s="71" t="str">
        <f t="shared" si="3992"/>
        <v/>
      </c>
      <c r="ER259" s="71" t="str">
        <f t="shared" si="3992"/>
        <v/>
      </c>
      <c r="ES259" s="71" t="str">
        <f t="shared" si="3992"/>
        <v/>
      </c>
      <c r="ET259" s="71" t="str">
        <f t="shared" si="3992"/>
        <v/>
      </c>
      <c r="EU259" s="71" t="str">
        <f t="shared" si="3992"/>
        <v/>
      </c>
      <c r="EV259" s="71" t="str">
        <f t="shared" si="3992"/>
        <v/>
      </c>
      <c r="EW259" s="71" t="str">
        <f t="shared" si="3992"/>
        <v/>
      </c>
      <c r="EX259" s="71" t="str">
        <f t="shared" si="3992"/>
        <v/>
      </c>
      <c r="EY259" s="71" t="str">
        <f t="shared" si="3992"/>
        <v/>
      </c>
      <c r="EZ259" s="71" t="str">
        <f t="shared" si="3992"/>
        <v/>
      </c>
      <c r="FA259" s="71" t="str">
        <f t="shared" si="3992"/>
        <v/>
      </c>
      <c r="FB259" s="71" t="str">
        <f t="shared" si="3992"/>
        <v/>
      </c>
      <c r="FC259" s="71" t="str">
        <f t="shared" si="3992"/>
        <v/>
      </c>
      <c r="FD259" s="71" t="str">
        <f t="shared" si="3992"/>
        <v/>
      </c>
      <c r="FE259" s="71" t="str">
        <f t="shared" si="3992"/>
        <v/>
      </c>
      <c r="FF259" s="71" t="str">
        <f t="shared" si="3992"/>
        <v/>
      </c>
      <c r="FG259" s="71" t="str">
        <f t="shared" si="3992"/>
        <v/>
      </c>
      <c r="FH259" s="71" t="str">
        <f t="shared" si="3992"/>
        <v/>
      </c>
      <c r="FI259" s="71" t="str">
        <f t="shared" si="3992"/>
        <v/>
      </c>
      <c r="FJ259" s="71" t="str">
        <f t="shared" si="3992"/>
        <v/>
      </c>
      <c r="FK259" s="71" t="str">
        <f t="shared" si="3992"/>
        <v/>
      </c>
      <c r="FL259" s="71" t="str">
        <f t="shared" si="3992"/>
        <v/>
      </c>
      <c r="FM259" s="71" t="str">
        <f t="shared" si="3992"/>
        <v/>
      </c>
      <c r="FN259" s="71" t="str">
        <f t="shared" si="3993"/>
        <v/>
      </c>
      <c r="FO259" s="71" t="str">
        <f t="shared" si="3993"/>
        <v/>
      </c>
      <c r="FP259" s="71" t="str">
        <f t="shared" si="3993"/>
        <v/>
      </c>
      <c r="FQ259" s="71" t="str">
        <f t="shared" si="3993"/>
        <v/>
      </c>
      <c r="FR259" s="71" t="str">
        <f t="shared" si="3993"/>
        <v/>
      </c>
      <c r="FS259" s="71" t="str">
        <f t="shared" si="3993"/>
        <v/>
      </c>
    </row>
    <row r="260" ht="17.4" spans="1:175">
      <c r="A260" s="73"/>
      <c r="B260" s="134" t="s">
        <v>866</v>
      </c>
      <c r="C260" s="135" t="s">
        <v>867</v>
      </c>
      <c r="E260" s="104"/>
      <c r="F260" s="103"/>
      <c r="S260" s="112"/>
      <c r="T260" s="70" t="s">
        <v>865</v>
      </c>
      <c r="U260" s="89" t="str">
        <f t="shared" si="4066"/>
        <v>ReplaceableTextures\\CommandButtons\\BTNRY2C.blp</v>
      </c>
      <c r="V260" s="80"/>
      <c r="Z260" s="80"/>
      <c r="AG260" s="115"/>
      <c r="AL260" s="115"/>
      <c r="BC260" s="116"/>
      <c r="BD260" s="116"/>
      <c r="CU260" s="99" t="str">
        <f t="shared" ref="CU260" si="4068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13"/>
        <v>代码生成</v>
      </c>
      <c r="CW260" s="60"/>
      <c r="CX260" s="60"/>
      <c r="CY260" s="60"/>
      <c r="CZ260" s="60"/>
      <c r="DA260" s="60"/>
      <c r="DB260" s="71" t="str">
        <f t="shared" ref="DB260" si="4069">IF(V260="","","|n"&amp;DB$2&amp;"+"&amp;V260&amp;DB$1)</f>
        <v/>
      </c>
      <c r="DC260" s="71" t="str">
        <f t="shared" ref="DC260" si="4070">IF(W260="","","|n"&amp;DC$2&amp;"+"&amp;W260&amp;DC$1)</f>
        <v/>
      </c>
      <c r="DD260" s="71" t="str">
        <f t="shared" ref="DD260" si="4071">IF(X260="","","|n"&amp;DD$2&amp;"+"&amp;X260&amp;DD$1)</f>
        <v/>
      </c>
      <c r="DE260" s="71" t="str">
        <f t="shared" ref="DE260" si="4072">IF(Y260="","","|n"&amp;DE$2&amp;"+"&amp;Y260&amp;DE$1)</f>
        <v/>
      </c>
      <c r="DF260" s="71" t="str">
        <f t="shared" ref="DF260" si="4073">IF(Z260="","","|n"&amp;DF$2&amp;"+"&amp;Z260&amp;DF$1)</f>
        <v/>
      </c>
      <c r="DG260" s="71" t="str">
        <f t="shared" ref="DG260" si="4074">IF(AA260="","","|n"&amp;DG$2&amp;"+"&amp;AA260&amp;DG$1)</f>
        <v/>
      </c>
      <c r="DH260" s="71" t="str">
        <f t="shared" ref="DH260" si="4075">IF(AB260="","","|n"&amp;DH$2&amp;"+"&amp;AB260&amp;DH$1)</f>
        <v/>
      </c>
      <c r="DI260" s="71" t="str">
        <f t="shared" ref="DI260" si="4076">IF(AC260="","","|n"&amp;DI$2&amp;"+"&amp;AC260&amp;DI$1)</f>
        <v/>
      </c>
      <c r="DJ260" s="71" t="str">
        <f t="shared" ref="DJ260" si="4077">IF(AD260="","","|n"&amp;DJ$2&amp;"+"&amp;AD260&amp;DJ$1)</f>
        <v/>
      </c>
      <c r="DK260" s="71" t="str">
        <f t="shared" ref="DK260" si="4078">IF(AE260="","","|n"&amp;DK$2&amp;"+"&amp;AE260&amp;DK$1)</f>
        <v/>
      </c>
      <c r="DL260" s="71" t="str">
        <f t="shared" ref="DL260" si="4079">IF(AF260="","","|n"&amp;DL$2&amp;"+"&amp;AF260&amp;DL$1)</f>
        <v/>
      </c>
      <c r="DM260" s="71" t="str">
        <f t="shared" ref="DM260" si="4080">IF(AG260="","","|n"&amp;DM$2&amp;"+"&amp;AG260&amp;DM$1)</f>
        <v/>
      </c>
      <c r="DN260" s="71" t="str">
        <f t="shared" ref="DN260" si="4081">IF(AH260="","","|n"&amp;DN$2&amp;"+"&amp;AH260&amp;DN$1)</f>
        <v/>
      </c>
      <c r="DO260" s="71" t="str">
        <f t="shared" ref="DO260" si="4082">IF(AI260="","","|n"&amp;DO$2&amp;"+"&amp;AI260&amp;DO$1)</f>
        <v/>
      </c>
      <c r="DP260" s="71" t="str">
        <f t="shared" ref="DP260" si="4083">IF(AJ260="","","|n"&amp;DP$2&amp;"+"&amp;AJ260&amp;DP$1)</f>
        <v/>
      </c>
      <c r="DQ260" s="71" t="str">
        <f t="shared" ref="DQ260" si="4084">IF(AK260="","","|n"&amp;DQ$2&amp;"+"&amp;AK260&amp;DQ$1)</f>
        <v/>
      </c>
      <c r="DR260" s="71" t="str">
        <f t="shared" ref="DR260" si="4085">IF(AL260="","","|n"&amp;DR$2&amp;"+"&amp;AL260&amp;DR$1)</f>
        <v/>
      </c>
      <c r="DS260" s="71" t="str">
        <f t="shared" ref="DS260" si="4086">IF(AM260="","","|n"&amp;DS$2&amp;"+"&amp;AM260&amp;DS$1)</f>
        <v/>
      </c>
      <c r="DT260" s="71" t="str">
        <f t="shared" ref="DT260" si="4087">IF(AN260="","","|n"&amp;DT$2&amp;"+"&amp;AN260&amp;DT$1)</f>
        <v/>
      </c>
      <c r="DU260" s="71" t="str">
        <f t="shared" ref="DU260" si="4088">IF(AO260="","","|n"&amp;DU$2&amp;"+"&amp;AO260&amp;DU$1)</f>
        <v/>
      </c>
      <c r="DV260" s="71" t="str">
        <f t="shared" ref="DV260" si="4089">IF(AP260="","","|n"&amp;DV$2&amp;"+"&amp;AP260&amp;DV$1)</f>
        <v/>
      </c>
      <c r="DW260" s="71" t="str">
        <f t="shared" ref="DW260" si="4090">IF(AQ260="","","|n"&amp;DW$2&amp;"+"&amp;AQ260&amp;DW$1)</f>
        <v/>
      </c>
      <c r="DX260" s="71" t="str">
        <f t="shared" ref="DX260" si="4091">IF(AR260="","","|n"&amp;DX$2&amp;"+"&amp;AR260&amp;DX$1)</f>
        <v/>
      </c>
      <c r="DY260" s="71" t="str">
        <f t="shared" ref="DY260" si="4092">IF(AS260="","","|n"&amp;DY$2&amp;"+"&amp;AS260&amp;DY$1)</f>
        <v/>
      </c>
      <c r="DZ260" s="71" t="str">
        <f t="shared" ref="DZ260" si="4093">IF(AT260="","","|n"&amp;DZ$2&amp;"+"&amp;AT260&amp;DZ$1)</f>
        <v/>
      </c>
      <c r="EA260" s="71" t="str">
        <f t="shared" ref="EA260" si="4094">IF(AU260="","","|n"&amp;EA$2&amp;"+"&amp;AU260&amp;EA$1)</f>
        <v/>
      </c>
      <c r="EB260" s="71" t="str">
        <f t="shared" ref="EB260" si="4095">IF(AV260="","","|n"&amp;EB$2&amp;"+"&amp;AV260&amp;EB$1)</f>
        <v/>
      </c>
      <c r="EC260" s="71" t="str">
        <f t="shared" ref="EC260" si="4096">IF(AW260="","","|n"&amp;EC$2&amp;"+"&amp;AW260&amp;EC$1)</f>
        <v/>
      </c>
      <c r="ED260" s="71" t="str">
        <f t="shared" ref="ED260" si="4097">IF(AX260="","","|n"&amp;ED$2&amp;"+"&amp;AX260&amp;ED$1)</f>
        <v/>
      </c>
      <c r="EE260" s="71" t="str">
        <f t="shared" ref="EE260" si="4098">IF(AY260="","","|n"&amp;EE$2&amp;"+"&amp;AY260&amp;EE$1)</f>
        <v/>
      </c>
      <c r="EF260" s="71" t="str">
        <f t="shared" ref="EF260" si="4099">IF(AZ260="","","|n"&amp;EF$2&amp;"+"&amp;AZ260&amp;EF$1)</f>
        <v/>
      </c>
      <c r="EG260" s="71" t="str">
        <f t="shared" ref="EG260" si="4100">IF(BA260="","","|n"&amp;EG$2&amp;"+"&amp;BA260&amp;EG$1)</f>
        <v/>
      </c>
      <c r="EH260" s="71" t="str">
        <f t="shared" ref="EH260" si="4101">IF(BB260="","","|n"&amp;EH$2&amp;"+"&amp;BB260&amp;EH$1)</f>
        <v/>
      </c>
      <c r="EI260" s="71" t="str">
        <f t="shared" ref="EI260" si="4102">IF(BC260="","","|n"&amp;EI$2&amp;"+"&amp;BC260&amp;EI$1)</f>
        <v/>
      </c>
      <c r="EJ260" s="71" t="str">
        <f t="shared" ref="EJ260" si="4103">IF(BD260="","","|n"&amp;EJ$2&amp;"+"&amp;BD260&amp;EJ$1)</f>
        <v/>
      </c>
      <c r="EK260" s="71" t="str">
        <f t="shared" ref="EK260" si="4104">IF(BE260="","","|n"&amp;EK$2&amp;"+"&amp;BE260&amp;EK$1)</f>
        <v/>
      </c>
      <c r="EL260" s="71" t="str">
        <f t="shared" ref="EL260" si="4105">IF(BF260="","","|n"&amp;EL$2&amp;"+"&amp;BF260&amp;EL$1)</f>
        <v/>
      </c>
      <c r="EM260" s="71" t="str">
        <f t="shared" ref="EM260" si="4106">IF(BG260="","","|n"&amp;EM$2&amp;"+"&amp;BG260&amp;EM$1)</f>
        <v/>
      </c>
      <c r="EN260" s="71" t="str">
        <f t="shared" ref="EN260" si="4107">IF(BH260="","","|n"&amp;EN$2&amp;"+"&amp;BH260&amp;EN$1)</f>
        <v/>
      </c>
      <c r="EO260" s="71" t="str">
        <f t="shared" ref="EO260" si="4108">IF(BI260="","","|n"&amp;EO$2&amp;"+"&amp;BI260&amp;EO$1)</f>
        <v/>
      </c>
      <c r="EP260" s="71" t="str">
        <f t="shared" ref="EP260" si="4109">IF(BJ260="","","|n"&amp;EP$2&amp;"+"&amp;BJ260&amp;EP$1)</f>
        <v/>
      </c>
      <c r="EQ260" s="71" t="str">
        <f t="shared" ref="EQ260" si="4110">IF(BK260="","","|n"&amp;EQ$2&amp;"+"&amp;BK260&amp;EQ$1)</f>
        <v/>
      </c>
      <c r="ER260" s="71" t="str">
        <f t="shared" ref="ER260" si="4111">IF(BL260="","","|n"&amp;ER$2&amp;"+"&amp;BL260&amp;ER$1)</f>
        <v/>
      </c>
      <c r="ES260" s="71" t="str">
        <f t="shared" ref="ES260" si="4112">IF(BM260="","","|n"&amp;ES$2&amp;"+"&amp;BM260&amp;ES$1)</f>
        <v/>
      </c>
      <c r="ET260" s="71" t="str">
        <f t="shared" ref="ET260" si="4113">IF(BN260="","","|n"&amp;ET$2&amp;"+"&amp;BN260&amp;ET$1)</f>
        <v/>
      </c>
      <c r="EU260" s="71" t="str">
        <f t="shared" ref="EU260" si="4114">IF(BO260="","","|n"&amp;EU$2&amp;"+"&amp;BO260&amp;EU$1)</f>
        <v/>
      </c>
      <c r="EV260" s="71" t="str">
        <f t="shared" ref="EV260" si="4115">IF(BP260="","","|n"&amp;EV$2&amp;"+"&amp;BP260&amp;EV$1)</f>
        <v/>
      </c>
      <c r="EW260" s="71" t="str">
        <f t="shared" ref="EW260" si="4116">IF(BQ260="","","|n"&amp;EW$2&amp;"+"&amp;BQ260&amp;EW$1)</f>
        <v/>
      </c>
      <c r="EX260" s="71" t="str">
        <f t="shared" ref="EX260" si="4117">IF(BR260="","","|n"&amp;EX$2&amp;"+"&amp;BR260&amp;EX$1)</f>
        <v/>
      </c>
      <c r="EY260" s="71" t="str">
        <f t="shared" ref="EY260" si="4118">IF(BS260="","","|n"&amp;EY$2&amp;"+"&amp;BS260&amp;EY$1)</f>
        <v/>
      </c>
      <c r="EZ260" s="71" t="str">
        <f t="shared" ref="EZ260" si="4119">IF(BT260="","","|n"&amp;EZ$2&amp;"+"&amp;BT260&amp;EZ$1)</f>
        <v/>
      </c>
      <c r="FA260" s="71" t="str">
        <f t="shared" ref="FA260" si="4120">IF(BU260="","","|n"&amp;FA$2&amp;"+"&amp;BU260&amp;FA$1)</f>
        <v/>
      </c>
      <c r="FB260" s="71" t="str">
        <f t="shared" ref="FB260" si="4121">IF(BV260="","","|n"&amp;FB$2&amp;"+"&amp;BV260&amp;FB$1)</f>
        <v/>
      </c>
      <c r="FC260" s="71" t="str">
        <f t="shared" ref="FC260" si="4122">IF(BW260="","","|n"&amp;FC$2&amp;"+"&amp;BW260&amp;FC$1)</f>
        <v/>
      </c>
      <c r="FD260" s="71" t="str">
        <f t="shared" ref="FD260" si="4123">IF(BX260="","","|n"&amp;FD$2&amp;"+"&amp;BX260&amp;FD$1)</f>
        <v/>
      </c>
      <c r="FE260" s="71" t="str">
        <f t="shared" ref="FE260" si="4124">IF(BY260="","","|n"&amp;FE$2&amp;"+"&amp;BY260&amp;FE$1)</f>
        <v/>
      </c>
      <c r="FF260" s="71" t="str">
        <f t="shared" ref="FF260" si="4125">IF(BZ260="","","|n"&amp;FF$2&amp;"+"&amp;BZ260&amp;FF$1)</f>
        <v/>
      </c>
      <c r="FG260" s="71" t="str">
        <f t="shared" ref="FG260" si="4126">IF(CA260="","","|n"&amp;FG$2&amp;"+"&amp;CA260&amp;FG$1)</f>
        <v/>
      </c>
      <c r="FH260" s="71" t="str">
        <f t="shared" ref="FH260" si="4127">IF(CB260="","","|n"&amp;FH$2&amp;"+"&amp;CB260&amp;FH$1)</f>
        <v/>
      </c>
      <c r="FI260" s="71" t="str">
        <f t="shared" ref="FI260" si="4128">IF(CC260="","","|n"&amp;FI$2&amp;"+"&amp;CC260&amp;FI$1)</f>
        <v/>
      </c>
      <c r="FJ260" s="71" t="str">
        <f t="shared" ref="FJ260" si="4129">IF(CD260="","","|n"&amp;FJ$2&amp;"+"&amp;CD260&amp;FJ$1)</f>
        <v/>
      </c>
      <c r="FK260" s="71" t="str">
        <f t="shared" ref="FK260" si="4130">IF(CE260="","","|n"&amp;FK$2&amp;"+"&amp;CE260&amp;FK$1)</f>
        <v/>
      </c>
      <c r="FL260" s="71" t="str">
        <f t="shared" ref="FL260" si="4131">IF(CF260="","","|n"&amp;FL$2&amp;"+"&amp;CF260&amp;FL$1)</f>
        <v/>
      </c>
      <c r="FM260" s="71" t="str">
        <f t="shared" ref="FM260" si="4132">IF(CG260="","","|n"&amp;FM$2&amp;"+"&amp;CG260&amp;FM$1)</f>
        <v/>
      </c>
      <c r="FN260" s="71" t="str">
        <f t="shared" ref="FN260" si="4133">IF(CH260="","","|n"&amp;FN$2&amp;"+"&amp;CH260&amp;FN$1)</f>
        <v/>
      </c>
      <c r="FO260" s="71" t="str">
        <f t="shared" ref="FO260" si="4134">IF(CI260="","","|n"&amp;FO$2&amp;"+"&amp;CI260&amp;FO$1)</f>
        <v/>
      </c>
      <c r="FP260" s="71" t="str">
        <f t="shared" ref="FP260" si="4135">IF(CJ260="","","|n"&amp;FP$2&amp;"+"&amp;CJ260&amp;FP$1)</f>
        <v/>
      </c>
      <c r="FQ260" s="71" t="str">
        <f t="shared" ref="FQ260" si="4136">IF(CK260="","","|n"&amp;FQ$2&amp;"+"&amp;CK260&amp;FQ$1)</f>
        <v/>
      </c>
      <c r="FR260" s="71" t="str">
        <f t="shared" ref="FR260" si="4137">IF(CL260="","","|n"&amp;FR$2&amp;"+"&amp;CL260&amp;FR$1)</f>
        <v/>
      </c>
      <c r="FS260" s="71" t="str">
        <f t="shared" ref="FS260" si="4138">IF(CM260="","","|n"&amp;FS$2&amp;"+"&amp;CM260&amp;FS$1)</f>
        <v/>
      </c>
    </row>
    <row r="261" ht="15" spans="1:175">
      <c r="A261" s="73"/>
      <c r="B261" s="134" t="s">
        <v>868</v>
      </c>
      <c r="C261" s="134" t="s">
        <v>869</v>
      </c>
      <c r="E261" s="104"/>
      <c r="F261" s="103"/>
      <c r="S261" s="112"/>
      <c r="T261" s="70" t="s">
        <v>865</v>
      </c>
      <c r="U261" s="89" t="str">
        <f t="shared" si="4066"/>
        <v>ReplaceableTextures\\CommandButtons\\BTNRY3C.blp</v>
      </c>
      <c r="V261" s="80"/>
      <c r="Z261" s="80"/>
      <c r="AG261" s="115"/>
      <c r="AL261" s="115"/>
      <c r="BC261" s="116"/>
      <c r="BD261" s="116"/>
      <c r="CU261" s="99" t="str">
        <f t="shared" si="4067"/>
        <v>|n</v>
      </c>
      <c r="CV261" s="70" t="str">
        <f t="shared" si="3913"/>
        <v>代码生成</v>
      </c>
      <c r="CW261" s="60"/>
      <c r="CX261" s="60"/>
      <c r="CY261" s="60"/>
      <c r="CZ261" s="60"/>
      <c r="DA261" s="60"/>
      <c r="DB261" s="71" t="str">
        <f t="shared" si="3992"/>
        <v/>
      </c>
      <c r="DC261" s="71" t="str">
        <f t="shared" si="3992"/>
        <v/>
      </c>
      <c r="DD261" s="71" t="str">
        <f t="shared" si="3992"/>
        <v/>
      </c>
      <c r="DE261" s="71" t="str">
        <f t="shared" si="3992"/>
        <v/>
      </c>
      <c r="DF261" s="71" t="str">
        <f t="shared" si="3992"/>
        <v/>
      </c>
      <c r="DG261" s="71" t="str">
        <f t="shared" si="3992"/>
        <v/>
      </c>
      <c r="DH261" s="71" t="str">
        <f t="shared" si="3992"/>
        <v/>
      </c>
      <c r="DI261" s="71" t="str">
        <f t="shared" si="3992"/>
        <v/>
      </c>
      <c r="DJ261" s="71" t="str">
        <f t="shared" si="3992"/>
        <v/>
      </c>
      <c r="DK261" s="71" t="str">
        <f t="shared" si="3992"/>
        <v/>
      </c>
      <c r="DL261" s="71" t="str">
        <f t="shared" si="3992"/>
        <v/>
      </c>
      <c r="DM261" s="71" t="str">
        <f t="shared" si="3992"/>
        <v/>
      </c>
      <c r="DN261" s="71" t="str">
        <f t="shared" si="3992"/>
        <v/>
      </c>
      <c r="DO261" s="71" t="str">
        <f t="shared" si="3992"/>
        <v/>
      </c>
      <c r="DP261" s="71" t="str">
        <f t="shared" si="3992"/>
        <v/>
      </c>
      <c r="DQ261" s="71" t="str">
        <f t="shared" si="3992"/>
        <v/>
      </c>
      <c r="DR261" s="71" t="str">
        <f t="shared" si="3992"/>
        <v/>
      </c>
      <c r="DS261" s="71" t="str">
        <f t="shared" si="3992"/>
        <v/>
      </c>
      <c r="DT261" s="71" t="str">
        <f t="shared" si="3992"/>
        <v/>
      </c>
      <c r="DU261" s="71" t="str">
        <f t="shared" si="3992"/>
        <v/>
      </c>
      <c r="DV261" s="71" t="str">
        <f t="shared" si="3992"/>
        <v/>
      </c>
      <c r="DW261" s="71" t="str">
        <f t="shared" si="3992"/>
        <v/>
      </c>
      <c r="DX261" s="71" t="str">
        <f t="shared" si="3992"/>
        <v/>
      </c>
      <c r="DY261" s="71" t="str">
        <f t="shared" si="3992"/>
        <v/>
      </c>
      <c r="DZ261" s="71" t="str">
        <f t="shared" si="3992"/>
        <v/>
      </c>
      <c r="EA261" s="71" t="str">
        <f t="shared" si="3992"/>
        <v/>
      </c>
      <c r="EB261" s="71" t="str">
        <f t="shared" si="3992"/>
        <v/>
      </c>
      <c r="EC261" s="71" t="str">
        <f t="shared" si="3992"/>
        <v/>
      </c>
      <c r="ED261" s="71" t="str">
        <f t="shared" si="3992"/>
        <v/>
      </c>
      <c r="EE261" s="71" t="str">
        <f t="shared" si="3992"/>
        <v/>
      </c>
      <c r="EF261" s="71" t="str">
        <f t="shared" si="3992"/>
        <v/>
      </c>
      <c r="EG261" s="71" t="str">
        <f t="shared" si="3992"/>
        <v/>
      </c>
      <c r="EH261" s="71" t="str">
        <f t="shared" si="3992"/>
        <v/>
      </c>
      <c r="EI261" s="71" t="str">
        <f t="shared" si="3992"/>
        <v/>
      </c>
      <c r="EJ261" s="71" t="str">
        <f t="shared" si="3992"/>
        <v/>
      </c>
      <c r="EK261" s="71" t="str">
        <f t="shared" si="3992"/>
        <v/>
      </c>
      <c r="EL261" s="71" t="str">
        <f t="shared" si="3992"/>
        <v/>
      </c>
      <c r="EM261" s="71" t="str">
        <f t="shared" si="3992"/>
        <v/>
      </c>
      <c r="EN261" s="71" t="str">
        <f t="shared" si="3992"/>
        <v/>
      </c>
      <c r="EO261" s="71" t="str">
        <f t="shared" si="3992"/>
        <v/>
      </c>
      <c r="EP261" s="71" t="str">
        <f t="shared" si="3992"/>
        <v/>
      </c>
      <c r="EQ261" s="71" t="str">
        <f t="shared" si="3992"/>
        <v/>
      </c>
      <c r="ER261" s="71" t="str">
        <f t="shared" si="3992"/>
        <v/>
      </c>
      <c r="ES261" s="71" t="str">
        <f t="shared" si="3992"/>
        <v/>
      </c>
      <c r="ET261" s="71" t="str">
        <f t="shared" si="3992"/>
        <v/>
      </c>
      <c r="EU261" s="71" t="str">
        <f t="shared" si="3992"/>
        <v/>
      </c>
      <c r="EV261" s="71" t="str">
        <f t="shared" si="3992"/>
        <v/>
      </c>
      <c r="EW261" s="71" t="str">
        <f t="shared" si="3992"/>
        <v/>
      </c>
      <c r="EX261" s="71" t="str">
        <f t="shared" si="3992"/>
        <v/>
      </c>
      <c r="EY261" s="71" t="str">
        <f t="shared" si="3992"/>
        <v/>
      </c>
      <c r="EZ261" s="71" t="str">
        <f t="shared" si="3992"/>
        <v/>
      </c>
      <c r="FA261" s="71" t="str">
        <f t="shared" si="3992"/>
        <v/>
      </c>
      <c r="FB261" s="71" t="str">
        <f t="shared" si="3992"/>
        <v/>
      </c>
      <c r="FC261" s="71" t="str">
        <f t="shared" si="3992"/>
        <v/>
      </c>
      <c r="FD261" s="71" t="str">
        <f t="shared" si="3992"/>
        <v/>
      </c>
      <c r="FE261" s="71" t="str">
        <f t="shared" si="3992"/>
        <v/>
      </c>
      <c r="FF261" s="71" t="str">
        <f t="shared" si="3992"/>
        <v/>
      </c>
      <c r="FG261" s="71" t="str">
        <f t="shared" si="3992"/>
        <v/>
      </c>
      <c r="FH261" s="71" t="str">
        <f t="shared" si="3992"/>
        <v/>
      </c>
      <c r="FI261" s="71" t="str">
        <f t="shared" si="3992"/>
        <v/>
      </c>
      <c r="FJ261" s="71" t="str">
        <f t="shared" si="3992"/>
        <v/>
      </c>
      <c r="FK261" s="71" t="str">
        <f t="shared" si="3992"/>
        <v/>
      </c>
      <c r="FL261" s="71" t="str">
        <f t="shared" si="3992"/>
        <v/>
      </c>
      <c r="FM261" s="71" t="str">
        <f t="shared" si="3992"/>
        <v/>
      </c>
      <c r="FN261" s="71" t="str">
        <f t="shared" si="3993"/>
        <v/>
      </c>
      <c r="FO261" s="71" t="str">
        <f t="shared" si="3993"/>
        <v/>
      </c>
      <c r="FP261" s="71" t="str">
        <f t="shared" si="3993"/>
        <v/>
      </c>
      <c r="FQ261" s="71" t="str">
        <f t="shared" si="3993"/>
        <v/>
      </c>
      <c r="FR261" s="71" t="str">
        <f t="shared" si="3993"/>
        <v/>
      </c>
      <c r="FS261" s="71" t="str">
        <f t="shared" si="3993"/>
        <v/>
      </c>
    </row>
    <row r="262" ht="15" spans="1:175">
      <c r="A262" s="73"/>
      <c r="B262" s="134" t="s">
        <v>870</v>
      </c>
      <c r="C262" s="134" t="s">
        <v>871</v>
      </c>
      <c r="E262" s="104"/>
      <c r="F262" s="103"/>
      <c r="S262" s="112"/>
      <c r="T262" s="70" t="s">
        <v>865</v>
      </c>
      <c r="U262" s="89" t="str">
        <f t="shared" si="4066"/>
        <v>ReplaceableTextures\\CommandButtons\\BTNRY4C.blp</v>
      </c>
      <c r="V262" s="80"/>
      <c r="Z262" s="80"/>
      <c r="AG262" s="115"/>
      <c r="AL262" s="115"/>
      <c r="BC262" s="116"/>
      <c r="BD262" s="116"/>
      <c r="CU262" s="99" t="str">
        <f t="shared" ref="CU262:CU264" si="4139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70" t="str">
        <f t="shared" si="3913"/>
        <v>代码生成</v>
      </c>
      <c r="CW262" s="60"/>
      <c r="CX262" s="60"/>
      <c r="CY262" s="60"/>
      <c r="CZ262" s="60"/>
      <c r="DA262" s="60"/>
      <c r="DB262" s="71" t="str">
        <f t="shared" ref="DB262:DB264" si="4140">IF(V262="","","|n"&amp;DB$2&amp;"+"&amp;V262&amp;DB$1)</f>
        <v/>
      </c>
      <c r="DC262" s="71" t="str">
        <f t="shared" ref="DC262:DC264" si="4141">IF(W262="","","|n"&amp;DC$2&amp;"+"&amp;W262&amp;DC$1)</f>
        <v/>
      </c>
      <c r="DD262" s="71" t="str">
        <f t="shared" ref="DD262:DD264" si="4142">IF(X262="","","|n"&amp;DD$2&amp;"+"&amp;X262&amp;DD$1)</f>
        <v/>
      </c>
      <c r="DE262" s="71" t="str">
        <f t="shared" ref="DE262:DE264" si="4143">IF(Y262="","","|n"&amp;DE$2&amp;"+"&amp;Y262&amp;DE$1)</f>
        <v/>
      </c>
      <c r="DF262" s="71" t="str">
        <f t="shared" ref="DF262:DF264" si="4144">IF(Z262="","","|n"&amp;DF$2&amp;"+"&amp;Z262&amp;DF$1)</f>
        <v/>
      </c>
      <c r="DG262" s="71" t="str">
        <f t="shared" ref="DG262:DG264" si="4145">IF(AA262="","","|n"&amp;DG$2&amp;"+"&amp;AA262&amp;DG$1)</f>
        <v/>
      </c>
      <c r="DH262" s="71" t="str">
        <f t="shared" ref="DH262:DH264" si="4146">IF(AB262="","","|n"&amp;DH$2&amp;"+"&amp;AB262&amp;DH$1)</f>
        <v/>
      </c>
      <c r="DI262" s="71" t="str">
        <f t="shared" ref="DI262:DI264" si="4147">IF(AC262="","","|n"&amp;DI$2&amp;"+"&amp;AC262&amp;DI$1)</f>
        <v/>
      </c>
      <c r="DJ262" s="71" t="str">
        <f t="shared" ref="DJ262:DJ264" si="4148">IF(AD262="","","|n"&amp;DJ$2&amp;"+"&amp;AD262&amp;DJ$1)</f>
        <v/>
      </c>
      <c r="DK262" s="71" t="str">
        <f t="shared" ref="DK262:DK264" si="4149">IF(AE262="","","|n"&amp;DK$2&amp;"+"&amp;AE262&amp;DK$1)</f>
        <v/>
      </c>
      <c r="DL262" s="71" t="str">
        <f t="shared" ref="DL262:DL264" si="4150">IF(AF262="","","|n"&amp;DL$2&amp;"+"&amp;AF262&amp;DL$1)</f>
        <v/>
      </c>
      <c r="DM262" s="71" t="str">
        <f t="shared" ref="DM262:DM264" si="4151">IF(AG262="","","|n"&amp;DM$2&amp;"+"&amp;AG262&amp;DM$1)</f>
        <v/>
      </c>
      <c r="DN262" s="71" t="str">
        <f t="shared" ref="DN262:DN264" si="4152">IF(AH262="","","|n"&amp;DN$2&amp;"+"&amp;AH262&amp;DN$1)</f>
        <v/>
      </c>
      <c r="DO262" s="71" t="str">
        <f t="shared" ref="DO262:DO264" si="4153">IF(AI262="","","|n"&amp;DO$2&amp;"+"&amp;AI262&amp;DO$1)</f>
        <v/>
      </c>
      <c r="DP262" s="71" t="str">
        <f t="shared" ref="DP262:DP264" si="4154">IF(AJ262="","","|n"&amp;DP$2&amp;"+"&amp;AJ262&amp;DP$1)</f>
        <v/>
      </c>
      <c r="DQ262" s="71" t="str">
        <f t="shared" ref="DQ262:DQ264" si="4155">IF(AK262="","","|n"&amp;DQ$2&amp;"+"&amp;AK262&amp;DQ$1)</f>
        <v/>
      </c>
      <c r="DR262" s="71" t="str">
        <f t="shared" ref="DR262:DR264" si="4156">IF(AL262="","","|n"&amp;DR$2&amp;"+"&amp;AL262&amp;DR$1)</f>
        <v/>
      </c>
      <c r="DS262" s="71" t="str">
        <f t="shared" ref="DS262:DS264" si="4157">IF(AM262="","","|n"&amp;DS$2&amp;"+"&amp;AM262&amp;DS$1)</f>
        <v/>
      </c>
      <c r="DT262" s="71" t="str">
        <f t="shared" ref="DT262:DT264" si="4158">IF(AN262="","","|n"&amp;DT$2&amp;"+"&amp;AN262&amp;DT$1)</f>
        <v/>
      </c>
      <c r="DU262" s="71" t="str">
        <f t="shared" ref="DU262:DU264" si="4159">IF(AO262="","","|n"&amp;DU$2&amp;"+"&amp;AO262&amp;DU$1)</f>
        <v/>
      </c>
      <c r="DV262" s="71" t="str">
        <f t="shared" ref="DV262:DV264" si="4160">IF(AP262="","","|n"&amp;DV$2&amp;"+"&amp;AP262&amp;DV$1)</f>
        <v/>
      </c>
      <c r="DW262" s="71" t="str">
        <f t="shared" ref="DW262:DW264" si="4161">IF(AQ262="","","|n"&amp;DW$2&amp;"+"&amp;AQ262&amp;DW$1)</f>
        <v/>
      </c>
      <c r="DX262" s="71" t="str">
        <f t="shared" ref="DX262:DX264" si="4162">IF(AR262="","","|n"&amp;DX$2&amp;"+"&amp;AR262&amp;DX$1)</f>
        <v/>
      </c>
      <c r="DY262" s="71" t="str">
        <f t="shared" ref="DY262:DY264" si="4163">IF(AS262="","","|n"&amp;DY$2&amp;"+"&amp;AS262&amp;DY$1)</f>
        <v/>
      </c>
      <c r="DZ262" s="71" t="str">
        <f t="shared" ref="DZ262:DZ264" si="4164">IF(AT262="","","|n"&amp;DZ$2&amp;"+"&amp;AT262&amp;DZ$1)</f>
        <v/>
      </c>
      <c r="EA262" s="71" t="str">
        <f t="shared" ref="EA262:EA264" si="4165">IF(AU262="","","|n"&amp;EA$2&amp;"+"&amp;AU262&amp;EA$1)</f>
        <v/>
      </c>
      <c r="EB262" s="71" t="str">
        <f t="shared" ref="EB262:EB264" si="4166">IF(AV262="","","|n"&amp;EB$2&amp;"+"&amp;AV262&amp;EB$1)</f>
        <v/>
      </c>
      <c r="EC262" s="71" t="str">
        <f t="shared" ref="EC262:EC264" si="4167">IF(AW262="","","|n"&amp;EC$2&amp;"+"&amp;AW262&amp;EC$1)</f>
        <v/>
      </c>
      <c r="ED262" s="71" t="str">
        <f t="shared" ref="ED262:ED264" si="4168">IF(AX262="","","|n"&amp;ED$2&amp;"+"&amp;AX262&amp;ED$1)</f>
        <v/>
      </c>
      <c r="EE262" s="71" t="str">
        <f t="shared" ref="EE262:EE264" si="4169">IF(AY262="","","|n"&amp;EE$2&amp;"+"&amp;AY262&amp;EE$1)</f>
        <v/>
      </c>
      <c r="EF262" s="71" t="str">
        <f t="shared" ref="EF262:EF264" si="4170">IF(AZ262="","","|n"&amp;EF$2&amp;"+"&amp;AZ262&amp;EF$1)</f>
        <v/>
      </c>
      <c r="EG262" s="71" t="str">
        <f t="shared" ref="EG262:EG264" si="4171">IF(BA262="","","|n"&amp;EG$2&amp;"+"&amp;BA262&amp;EG$1)</f>
        <v/>
      </c>
      <c r="EH262" s="71" t="str">
        <f t="shared" ref="EH262:EH264" si="4172">IF(BB262="","","|n"&amp;EH$2&amp;"+"&amp;BB262&amp;EH$1)</f>
        <v/>
      </c>
      <c r="EI262" s="71" t="str">
        <f t="shared" ref="EI262:EI264" si="4173">IF(BC262="","","|n"&amp;EI$2&amp;"+"&amp;BC262&amp;EI$1)</f>
        <v/>
      </c>
      <c r="EJ262" s="71" t="str">
        <f t="shared" ref="EJ262:EJ264" si="4174">IF(BD262="","","|n"&amp;EJ$2&amp;"+"&amp;BD262&amp;EJ$1)</f>
        <v/>
      </c>
      <c r="EK262" s="71" t="str">
        <f t="shared" ref="EK262:EK264" si="4175">IF(BE262="","","|n"&amp;EK$2&amp;"+"&amp;BE262&amp;EK$1)</f>
        <v/>
      </c>
      <c r="EL262" s="71" t="str">
        <f t="shared" ref="EL262:EL264" si="4176">IF(BF262="","","|n"&amp;EL$2&amp;"+"&amp;BF262&amp;EL$1)</f>
        <v/>
      </c>
      <c r="EM262" s="71" t="str">
        <f t="shared" ref="EM262:EM264" si="4177">IF(BG262="","","|n"&amp;EM$2&amp;"+"&amp;BG262&amp;EM$1)</f>
        <v/>
      </c>
      <c r="EN262" s="71" t="str">
        <f t="shared" ref="EN262:EN264" si="4178">IF(BH262="","","|n"&amp;EN$2&amp;"+"&amp;BH262&amp;EN$1)</f>
        <v/>
      </c>
      <c r="EO262" s="71" t="str">
        <f t="shared" ref="EO262:EO264" si="4179">IF(BI262="","","|n"&amp;EO$2&amp;"+"&amp;BI262&amp;EO$1)</f>
        <v/>
      </c>
      <c r="EP262" s="71" t="str">
        <f t="shared" ref="EP262:EP264" si="4180">IF(BJ262="","","|n"&amp;EP$2&amp;"+"&amp;BJ262&amp;EP$1)</f>
        <v/>
      </c>
      <c r="EQ262" s="71" t="str">
        <f t="shared" ref="EQ262:EQ264" si="4181">IF(BK262="","","|n"&amp;EQ$2&amp;"+"&amp;BK262&amp;EQ$1)</f>
        <v/>
      </c>
      <c r="ER262" s="71" t="str">
        <f t="shared" ref="ER262:ER264" si="4182">IF(BL262="","","|n"&amp;ER$2&amp;"+"&amp;BL262&amp;ER$1)</f>
        <v/>
      </c>
      <c r="ES262" s="71" t="str">
        <f t="shared" ref="ES262:ES264" si="4183">IF(BM262="","","|n"&amp;ES$2&amp;"+"&amp;BM262&amp;ES$1)</f>
        <v/>
      </c>
      <c r="ET262" s="71" t="str">
        <f t="shared" ref="ET262:ET264" si="4184">IF(BN262="","","|n"&amp;ET$2&amp;"+"&amp;BN262&amp;ET$1)</f>
        <v/>
      </c>
      <c r="EU262" s="71" t="str">
        <f t="shared" ref="EU262:EU264" si="4185">IF(BO262="","","|n"&amp;EU$2&amp;"+"&amp;BO262&amp;EU$1)</f>
        <v/>
      </c>
      <c r="EV262" s="71" t="str">
        <f t="shared" ref="EV262:EV264" si="4186">IF(BP262="","","|n"&amp;EV$2&amp;"+"&amp;BP262&amp;EV$1)</f>
        <v/>
      </c>
      <c r="EW262" s="71" t="str">
        <f t="shared" ref="EW262:EW264" si="4187">IF(BQ262="","","|n"&amp;EW$2&amp;"+"&amp;BQ262&amp;EW$1)</f>
        <v/>
      </c>
      <c r="EX262" s="71" t="str">
        <f t="shared" ref="EX262:EX264" si="4188">IF(BR262="","","|n"&amp;EX$2&amp;"+"&amp;BR262&amp;EX$1)</f>
        <v/>
      </c>
      <c r="EY262" s="71" t="str">
        <f t="shared" ref="EY262:EY264" si="4189">IF(BS262="","","|n"&amp;EY$2&amp;"+"&amp;BS262&amp;EY$1)</f>
        <v/>
      </c>
      <c r="EZ262" s="71" t="str">
        <f t="shared" ref="EZ262:EZ264" si="4190">IF(BT262="","","|n"&amp;EZ$2&amp;"+"&amp;BT262&amp;EZ$1)</f>
        <v/>
      </c>
      <c r="FA262" s="71" t="str">
        <f t="shared" ref="FA262:FA264" si="4191">IF(BU262="","","|n"&amp;FA$2&amp;"+"&amp;BU262&amp;FA$1)</f>
        <v/>
      </c>
      <c r="FB262" s="71" t="str">
        <f t="shared" ref="FB262:FB264" si="4192">IF(BV262="","","|n"&amp;FB$2&amp;"+"&amp;BV262&amp;FB$1)</f>
        <v/>
      </c>
      <c r="FC262" s="71" t="str">
        <f t="shared" ref="FC262:FC264" si="4193">IF(BW262="","","|n"&amp;FC$2&amp;"+"&amp;BW262&amp;FC$1)</f>
        <v/>
      </c>
      <c r="FD262" s="71" t="str">
        <f t="shared" ref="FD262:FD264" si="4194">IF(BX262="","","|n"&amp;FD$2&amp;"+"&amp;BX262&amp;FD$1)</f>
        <v/>
      </c>
      <c r="FE262" s="71" t="str">
        <f t="shared" ref="FE262:FE264" si="4195">IF(BY262="","","|n"&amp;FE$2&amp;"+"&amp;BY262&amp;FE$1)</f>
        <v/>
      </c>
      <c r="FF262" s="71" t="str">
        <f t="shared" ref="FF262:FF264" si="4196">IF(BZ262="","","|n"&amp;FF$2&amp;"+"&amp;BZ262&amp;FF$1)</f>
        <v/>
      </c>
      <c r="FG262" s="71" t="str">
        <f t="shared" ref="FG262:FG264" si="4197">IF(CA262="","","|n"&amp;FG$2&amp;"+"&amp;CA262&amp;FG$1)</f>
        <v/>
      </c>
      <c r="FH262" s="71" t="str">
        <f t="shared" ref="FH262:FH264" si="4198">IF(CB262="","","|n"&amp;FH$2&amp;"+"&amp;CB262&amp;FH$1)</f>
        <v/>
      </c>
      <c r="FI262" s="71" t="str">
        <f t="shared" ref="FI262:FI264" si="4199">IF(CC262="","","|n"&amp;FI$2&amp;"+"&amp;CC262&amp;FI$1)</f>
        <v/>
      </c>
      <c r="FJ262" s="71" t="str">
        <f t="shared" ref="FJ262:FJ264" si="4200">IF(CD262="","","|n"&amp;FJ$2&amp;"+"&amp;CD262&amp;FJ$1)</f>
        <v/>
      </c>
      <c r="FK262" s="71" t="str">
        <f t="shared" ref="FK262:FK264" si="4201">IF(CE262="","","|n"&amp;FK$2&amp;"+"&amp;CE262&amp;FK$1)</f>
        <v/>
      </c>
      <c r="FL262" s="71" t="str">
        <f t="shared" ref="FL262:FL264" si="4202">IF(CF262="","","|n"&amp;FL$2&amp;"+"&amp;CF262&amp;FL$1)</f>
        <v/>
      </c>
      <c r="FM262" s="71" t="str">
        <f t="shared" ref="FM262:FM264" si="4203">IF(CG262="","","|n"&amp;FM$2&amp;"+"&amp;CG262&amp;FM$1)</f>
        <v/>
      </c>
      <c r="FN262" s="71" t="str">
        <f t="shared" ref="FN262:FN264" si="4204">IF(CH262="","","|n"&amp;FN$2&amp;"+"&amp;CH262&amp;FN$1)</f>
        <v/>
      </c>
      <c r="FO262" s="71" t="str">
        <f t="shared" ref="FO262:FO264" si="4205">IF(CI262="","","|n"&amp;FO$2&amp;"+"&amp;CI262&amp;FO$1)</f>
        <v/>
      </c>
      <c r="FP262" s="71" t="str">
        <f t="shared" ref="FP262:FP264" si="4206">IF(CJ262="","","|n"&amp;FP$2&amp;"+"&amp;CJ262&amp;FP$1)</f>
        <v/>
      </c>
      <c r="FQ262" s="71" t="str">
        <f t="shared" ref="FQ262:FQ264" si="4207">IF(CK262="","","|n"&amp;FQ$2&amp;"+"&amp;CK262&amp;FQ$1)</f>
        <v/>
      </c>
      <c r="FR262" s="71" t="str">
        <f t="shared" ref="FR262:FR264" si="4208">IF(CL262="","","|n"&amp;FR$2&amp;"+"&amp;CL262&amp;FR$1)</f>
        <v/>
      </c>
      <c r="FS262" s="71" t="str">
        <f t="shared" ref="FS262:FS264" si="4209">IF(CM262="","","|n"&amp;FS$2&amp;"+"&amp;CM262&amp;FS$1)</f>
        <v/>
      </c>
    </row>
    <row r="263" ht="15" spans="1:175">
      <c r="A263" s="73"/>
      <c r="B263" s="134" t="s">
        <v>872</v>
      </c>
      <c r="C263" s="136" t="s">
        <v>873</v>
      </c>
      <c r="E263" s="104"/>
      <c r="F263" s="103"/>
      <c r="S263" s="112"/>
      <c r="T263" s="70" t="s">
        <v>865</v>
      </c>
      <c r="U263" s="89" t="str">
        <f t="shared" si="4066"/>
        <v>ReplaceableTextures\\CommandButtons\\BTNRY2E.blp</v>
      </c>
      <c r="V263" s="80"/>
      <c r="Z263" s="80"/>
      <c r="AG263" s="115"/>
      <c r="AL263" s="115"/>
      <c r="BC263" s="116"/>
      <c r="BD263" s="116"/>
      <c r="CU263" s="99" t="str">
        <f t="shared" ref="CU263" si="4210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13"/>
        <v>代码生成</v>
      </c>
      <c r="CW263" s="60"/>
      <c r="CX263" s="60"/>
      <c r="CY263" s="60"/>
      <c r="CZ263" s="60"/>
      <c r="DA263" s="60"/>
      <c r="DB263" s="71" t="str">
        <f t="shared" ref="DB263" si="4211">IF(V263="","","|n"&amp;DB$2&amp;"+"&amp;V263&amp;DB$1)</f>
        <v/>
      </c>
      <c r="DC263" s="71" t="str">
        <f t="shared" ref="DC263" si="4212">IF(W263="","","|n"&amp;DC$2&amp;"+"&amp;W263&amp;DC$1)</f>
        <v/>
      </c>
      <c r="DD263" s="71" t="str">
        <f t="shared" ref="DD263" si="4213">IF(X263="","","|n"&amp;DD$2&amp;"+"&amp;X263&amp;DD$1)</f>
        <v/>
      </c>
      <c r="DE263" s="71" t="str">
        <f t="shared" ref="DE263" si="4214">IF(Y263="","","|n"&amp;DE$2&amp;"+"&amp;Y263&amp;DE$1)</f>
        <v/>
      </c>
      <c r="DF263" s="71" t="str">
        <f t="shared" ref="DF263" si="4215">IF(Z263="","","|n"&amp;DF$2&amp;"+"&amp;Z263&amp;DF$1)</f>
        <v/>
      </c>
      <c r="DG263" s="71" t="str">
        <f t="shared" ref="DG263" si="4216">IF(AA263="","","|n"&amp;DG$2&amp;"+"&amp;AA263&amp;DG$1)</f>
        <v/>
      </c>
      <c r="DH263" s="71" t="str">
        <f t="shared" ref="DH263" si="4217">IF(AB263="","","|n"&amp;DH$2&amp;"+"&amp;AB263&amp;DH$1)</f>
        <v/>
      </c>
      <c r="DI263" s="71" t="str">
        <f t="shared" ref="DI263" si="4218">IF(AC263="","","|n"&amp;DI$2&amp;"+"&amp;AC263&amp;DI$1)</f>
        <v/>
      </c>
      <c r="DJ263" s="71" t="str">
        <f t="shared" ref="DJ263" si="4219">IF(AD263="","","|n"&amp;DJ$2&amp;"+"&amp;AD263&amp;DJ$1)</f>
        <v/>
      </c>
      <c r="DK263" s="71" t="str">
        <f t="shared" ref="DK263" si="4220">IF(AE263="","","|n"&amp;DK$2&amp;"+"&amp;AE263&amp;DK$1)</f>
        <v/>
      </c>
      <c r="DL263" s="71" t="str">
        <f t="shared" ref="DL263" si="4221">IF(AF263="","","|n"&amp;DL$2&amp;"+"&amp;AF263&amp;DL$1)</f>
        <v/>
      </c>
      <c r="DM263" s="71" t="str">
        <f t="shared" ref="DM263" si="4222">IF(AG263="","","|n"&amp;DM$2&amp;"+"&amp;AG263&amp;DM$1)</f>
        <v/>
      </c>
      <c r="DN263" s="71" t="str">
        <f t="shared" ref="DN263" si="4223">IF(AH263="","","|n"&amp;DN$2&amp;"+"&amp;AH263&amp;DN$1)</f>
        <v/>
      </c>
      <c r="DO263" s="71" t="str">
        <f t="shared" ref="DO263" si="4224">IF(AI263="","","|n"&amp;DO$2&amp;"+"&amp;AI263&amp;DO$1)</f>
        <v/>
      </c>
      <c r="DP263" s="71" t="str">
        <f t="shared" ref="DP263" si="4225">IF(AJ263="","","|n"&amp;DP$2&amp;"+"&amp;AJ263&amp;DP$1)</f>
        <v/>
      </c>
      <c r="DQ263" s="71" t="str">
        <f t="shared" ref="DQ263" si="4226">IF(AK263="","","|n"&amp;DQ$2&amp;"+"&amp;AK263&amp;DQ$1)</f>
        <v/>
      </c>
      <c r="DR263" s="71" t="str">
        <f t="shared" ref="DR263" si="4227">IF(AL263="","","|n"&amp;DR$2&amp;"+"&amp;AL263&amp;DR$1)</f>
        <v/>
      </c>
      <c r="DS263" s="71" t="str">
        <f t="shared" ref="DS263" si="4228">IF(AM263="","","|n"&amp;DS$2&amp;"+"&amp;AM263&amp;DS$1)</f>
        <v/>
      </c>
      <c r="DT263" s="71" t="str">
        <f t="shared" ref="DT263" si="4229">IF(AN263="","","|n"&amp;DT$2&amp;"+"&amp;AN263&amp;DT$1)</f>
        <v/>
      </c>
      <c r="DU263" s="71" t="str">
        <f t="shared" ref="DU263" si="4230">IF(AO263="","","|n"&amp;DU$2&amp;"+"&amp;AO263&amp;DU$1)</f>
        <v/>
      </c>
      <c r="DV263" s="71" t="str">
        <f t="shared" ref="DV263" si="4231">IF(AP263="","","|n"&amp;DV$2&amp;"+"&amp;AP263&amp;DV$1)</f>
        <v/>
      </c>
      <c r="DW263" s="71" t="str">
        <f t="shared" ref="DW263" si="4232">IF(AQ263="","","|n"&amp;DW$2&amp;"+"&amp;AQ263&amp;DW$1)</f>
        <v/>
      </c>
      <c r="DX263" s="71" t="str">
        <f t="shared" ref="DX263" si="4233">IF(AR263="","","|n"&amp;DX$2&amp;"+"&amp;AR263&amp;DX$1)</f>
        <v/>
      </c>
      <c r="DY263" s="71" t="str">
        <f t="shared" ref="DY263" si="4234">IF(AS263="","","|n"&amp;DY$2&amp;"+"&amp;AS263&amp;DY$1)</f>
        <v/>
      </c>
      <c r="DZ263" s="71" t="str">
        <f t="shared" ref="DZ263" si="4235">IF(AT263="","","|n"&amp;DZ$2&amp;"+"&amp;AT263&amp;DZ$1)</f>
        <v/>
      </c>
      <c r="EA263" s="71" t="str">
        <f t="shared" ref="EA263" si="4236">IF(AU263="","","|n"&amp;EA$2&amp;"+"&amp;AU263&amp;EA$1)</f>
        <v/>
      </c>
      <c r="EB263" s="71" t="str">
        <f t="shared" ref="EB263" si="4237">IF(AV263="","","|n"&amp;EB$2&amp;"+"&amp;AV263&amp;EB$1)</f>
        <v/>
      </c>
      <c r="EC263" s="71" t="str">
        <f t="shared" ref="EC263" si="4238">IF(AW263="","","|n"&amp;EC$2&amp;"+"&amp;AW263&amp;EC$1)</f>
        <v/>
      </c>
      <c r="ED263" s="71" t="str">
        <f t="shared" ref="ED263" si="4239">IF(AX263="","","|n"&amp;ED$2&amp;"+"&amp;AX263&amp;ED$1)</f>
        <v/>
      </c>
      <c r="EE263" s="71" t="str">
        <f t="shared" ref="EE263" si="4240">IF(AY263="","","|n"&amp;EE$2&amp;"+"&amp;AY263&amp;EE$1)</f>
        <v/>
      </c>
      <c r="EF263" s="71" t="str">
        <f t="shared" ref="EF263" si="4241">IF(AZ263="","","|n"&amp;EF$2&amp;"+"&amp;AZ263&amp;EF$1)</f>
        <v/>
      </c>
      <c r="EG263" s="71" t="str">
        <f t="shared" ref="EG263" si="4242">IF(BA263="","","|n"&amp;EG$2&amp;"+"&amp;BA263&amp;EG$1)</f>
        <v/>
      </c>
      <c r="EH263" s="71" t="str">
        <f t="shared" ref="EH263" si="4243">IF(BB263="","","|n"&amp;EH$2&amp;"+"&amp;BB263&amp;EH$1)</f>
        <v/>
      </c>
      <c r="EI263" s="71" t="str">
        <f t="shared" ref="EI263" si="4244">IF(BC263="","","|n"&amp;EI$2&amp;"+"&amp;BC263&amp;EI$1)</f>
        <v/>
      </c>
      <c r="EJ263" s="71" t="str">
        <f t="shared" ref="EJ263" si="4245">IF(BD263="","","|n"&amp;EJ$2&amp;"+"&amp;BD263&amp;EJ$1)</f>
        <v/>
      </c>
      <c r="EK263" s="71" t="str">
        <f t="shared" ref="EK263" si="4246">IF(BE263="","","|n"&amp;EK$2&amp;"+"&amp;BE263&amp;EK$1)</f>
        <v/>
      </c>
      <c r="EL263" s="71" t="str">
        <f t="shared" ref="EL263" si="4247">IF(BF263="","","|n"&amp;EL$2&amp;"+"&amp;BF263&amp;EL$1)</f>
        <v/>
      </c>
      <c r="EM263" s="71" t="str">
        <f t="shared" ref="EM263" si="4248">IF(BG263="","","|n"&amp;EM$2&amp;"+"&amp;BG263&amp;EM$1)</f>
        <v/>
      </c>
      <c r="EN263" s="71" t="str">
        <f t="shared" ref="EN263" si="4249">IF(BH263="","","|n"&amp;EN$2&amp;"+"&amp;BH263&amp;EN$1)</f>
        <v/>
      </c>
      <c r="EO263" s="71" t="str">
        <f t="shared" ref="EO263" si="4250">IF(BI263="","","|n"&amp;EO$2&amp;"+"&amp;BI263&amp;EO$1)</f>
        <v/>
      </c>
      <c r="EP263" s="71" t="str">
        <f t="shared" ref="EP263" si="4251">IF(BJ263="","","|n"&amp;EP$2&amp;"+"&amp;BJ263&amp;EP$1)</f>
        <v/>
      </c>
      <c r="EQ263" s="71" t="str">
        <f t="shared" ref="EQ263" si="4252">IF(BK263="","","|n"&amp;EQ$2&amp;"+"&amp;BK263&amp;EQ$1)</f>
        <v/>
      </c>
      <c r="ER263" s="71" t="str">
        <f t="shared" ref="ER263" si="4253">IF(BL263="","","|n"&amp;ER$2&amp;"+"&amp;BL263&amp;ER$1)</f>
        <v/>
      </c>
      <c r="ES263" s="71" t="str">
        <f t="shared" ref="ES263" si="4254">IF(BM263="","","|n"&amp;ES$2&amp;"+"&amp;BM263&amp;ES$1)</f>
        <v/>
      </c>
      <c r="ET263" s="71" t="str">
        <f t="shared" ref="ET263" si="4255">IF(BN263="","","|n"&amp;ET$2&amp;"+"&amp;BN263&amp;ET$1)</f>
        <v/>
      </c>
      <c r="EU263" s="71" t="str">
        <f t="shared" ref="EU263" si="4256">IF(BO263="","","|n"&amp;EU$2&amp;"+"&amp;BO263&amp;EU$1)</f>
        <v/>
      </c>
      <c r="EV263" s="71" t="str">
        <f t="shared" ref="EV263" si="4257">IF(BP263="","","|n"&amp;EV$2&amp;"+"&amp;BP263&amp;EV$1)</f>
        <v/>
      </c>
      <c r="EW263" s="71" t="str">
        <f t="shared" ref="EW263" si="4258">IF(BQ263="","","|n"&amp;EW$2&amp;"+"&amp;BQ263&amp;EW$1)</f>
        <v/>
      </c>
      <c r="EX263" s="71" t="str">
        <f t="shared" ref="EX263" si="4259">IF(BR263="","","|n"&amp;EX$2&amp;"+"&amp;BR263&amp;EX$1)</f>
        <v/>
      </c>
      <c r="EY263" s="71" t="str">
        <f t="shared" ref="EY263" si="4260">IF(BS263="","","|n"&amp;EY$2&amp;"+"&amp;BS263&amp;EY$1)</f>
        <v/>
      </c>
      <c r="EZ263" s="71" t="str">
        <f t="shared" ref="EZ263" si="4261">IF(BT263="","","|n"&amp;EZ$2&amp;"+"&amp;BT263&amp;EZ$1)</f>
        <v/>
      </c>
      <c r="FA263" s="71" t="str">
        <f t="shared" ref="FA263" si="4262">IF(BU263="","","|n"&amp;FA$2&amp;"+"&amp;BU263&amp;FA$1)</f>
        <v/>
      </c>
      <c r="FB263" s="71" t="str">
        <f t="shared" ref="FB263" si="4263">IF(BV263="","","|n"&amp;FB$2&amp;"+"&amp;BV263&amp;FB$1)</f>
        <v/>
      </c>
      <c r="FC263" s="71" t="str">
        <f t="shared" ref="FC263" si="4264">IF(BW263="","","|n"&amp;FC$2&amp;"+"&amp;BW263&amp;FC$1)</f>
        <v/>
      </c>
      <c r="FD263" s="71" t="str">
        <f t="shared" ref="FD263" si="4265">IF(BX263="","","|n"&amp;FD$2&amp;"+"&amp;BX263&amp;FD$1)</f>
        <v/>
      </c>
      <c r="FE263" s="71" t="str">
        <f t="shared" ref="FE263" si="4266">IF(BY263="","","|n"&amp;FE$2&amp;"+"&amp;BY263&amp;FE$1)</f>
        <v/>
      </c>
      <c r="FF263" s="71" t="str">
        <f t="shared" ref="FF263" si="4267">IF(BZ263="","","|n"&amp;FF$2&amp;"+"&amp;BZ263&amp;FF$1)</f>
        <v/>
      </c>
      <c r="FG263" s="71" t="str">
        <f t="shared" ref="FG263" si="4268">IF(CA263="","","|n"&amp;FG$2&amp;"+"&amp;CA263&amp;FG$1)</f>
        <v/>
      </c>
      <c r="FH263" s="71" t="str">
        <f t="shared" ref="FH263" si="4269">IF(CB263="","","|n"&amp;FH$2&amp;"+"&amp;CB263&amp;FH$1)</f>
        <v/>
      </c>
      <c r="FI263" s="71" t="str">
        <f t="shared" ref="FI263" si="4270">IF(CC263="","","|n"&amp;FI$2&amp;"+"&amp;CC263&amp;FI$1)</f>
        <v/>
      </c>
      <c r="FJ263" s="71" t="str">
        <f t="shared" ref="FJ263" si="4271">IF(CD263="","","|n"&amp;FJ$2&amp;"+"&amp;CD263&amp;FJ$1)</f>
        <v/>
      </c>
      <c r="FK263" s="71" t="str">
        <f t="shared" ref="FK263" si="4272">IF(CE263="","","|n"&amp;FK$2&amp;"+"&amp;CE263&amp;FK$1)</f>
        <v/>
      </c>
      <c r="FL263" s="71" t="str">
        <f t="shared" ref="FL263" si="4273">IF(CF263="","","|n"&amp;FL$2&amp;"+"&amp;CF263&amp;FL$1)</f>
        <v/>
      </c>
      <c r="FM263" s="71" t="str">
        <f t="shared" ref="FM263" si="4274">IF(CG263="","","|n"&amp;FM$2&amp;"+"&amp;CG263&amp;FM$1)</f>
        <v/>
      </c>
      <c r="FN263" s="71" t="str">
        <f t="shared" ref="FN263" si="4275">IF(CH263="","","|n"&amp;FN$2&amp;"+"&amp;CH263&amp;FN$1)</f>
        <v/>
      </c>
      <c r="FO263" s="71" t="str">
        <f t="shared" ref="FO263" si="4276">IF(CI263="","","|n"&amp;FO$2&amp;"+"&amp;CI263&amp;FO$1)</f>
        <v/>
      </c>
      <c r="FP263" s="71" t="str">
        <f t="shared" ref="FP263" si="4277">IF(CJ263="","","|n"&amp;FP$2&amp;"+"&amp;CJ263&amp;FP$1)</f>
        <v/>
      </c>
      <c r="FQ263" s="71" t="str">
        <f t="shared" ref="FQ263" si="4278">IF(CK263="","","|n"&amp;FQ$2&amp;"+"&amp;CK263&amp;FQ$1)</f>
        <v/>
      </c>
      <c r="FR263" s="71" t="str">
        <f t="shared" ref="FR263" si="4279">IF(CL263="","","|n"&amp;FR$2&amp;"+"&amp;CL263&amp;FR$1)</f>
        <v/>
      </c>
      <c r="FS263" s="71" t="str">
        <f t="shared" ref="FS263" si="4280">IF(CM263="","","|n"&amp;FS$2&amp;"+"&amp;CM263&amp;FS$1)</f>
        <v/>
      </c>
    </row>
    <row r="264" ht="15" spans="1:175">
      <c r="A264" s="73"/>
      <c r="B264" s="134" t="s">
        <v>874</v>
      </c>
      <c r="C264" s="136" t="s">
        <v>875</v>
      </c>
      <c r="E264" s="104"/>
      <c r="F264" s="103"/>
      <c r="S264" s="112"/>
      <c r="T264" s="70" t="s">
        <v>865</v>
      </c>
      <c r="U264" s="89" t="str">
        <f t="shared" ref="U264" si="4281">"ReplaceableTextures\\CommandButtons\\BTNR"&amp;RIGHT(B264,3)&amp;".blp"</f>
        <v>ReplaceableTextures\\CommandButtons\\BTNRY2F.blp</v>
      </c>
      <c r="V264" s="80"/>
      <c r="Z264" s="80"/>
      <c r="AG264" s="115"/>
      <c r="AL264" s="115"/>
      <c r="BC264" s="116"/>
      <c r="BD264" s="116"/>
      <c r="CU264" s="99" t="str">
        <f t="shared" si="4139"/>
        <v>|n</v>
      </c>
      <c r="CV264" s="70" t="str">
        <f t="shared" ref="CV264" si="4282">T264</f>
        <v>代码生成</v>
      </c>
      <c r="CW264" s="60"/>
      <c r="CX264" s="60"/>
      <c r="CY264" s="60"/>
      <c r="CZ264" s="60"/>
      <c r="DA264" s="60"/>
      <c r="DB264" s="71" t="str">
        <f t="shared" si="4140"/>
        <v/>
      </c>
      <c r="DC264" s="71" t="str">
        <f t="shared" si="4141"/>
        <v/>
      </c>
      <c r="DD264" s="71" t="str">
        <f t="shared" si="4142"/>
        <v/>
      </c>
      <c r="DE264" s="71" t="str">
        <f t="shared" si="4143"/>
        <v/>
      </c>
      <c r="DF264" s="71" t="str">
        <f t="shared" si="4144"/>
        <v/>
      </c>
      <c r="DG264" s="71" t="str">
        <f t="shared" si="4145"/>
        <v/>
      </c>
      <c r="DH264" s="71" t="str">
        <f t="shared" si="4146"/>
        <v/>
      </c>
      <c r="DI264" s="71" t="str">
        <f t="shared" si="4147"/>
        <v/>
      </c>
      <c r="DJ264" s="71" t="str">
        <f t="shared" si="4148"/>
        <v/>
      </c>
      <c r="DK264" s="71" t="str">
        <f t="shared" si="4149"/>
        <v/>
      </c>
      <c r="DL264" s="71" t="str">
        <f t="shared" si="4150"/>
        <v/>
      </c>
      <c r="DM264" s="71" t="str">
        <f t="shared" si="4151"/>
        <v/>
      </c>
      <c r="DN264" s="71" t="str">
        <f t="shared" si="4152"/>
        <v/>
      </c>
      <c r="DO264" s="71" t="str">
        <f t="shared" si="4153"/>
        <v/>
      </c>
      <c r="DP264" s="71" t="str">
        <f t="shared" si="4154"/>
        <v/>
      </c>
      <c r="DQ264" s="71" t="str">
        <f t="shared" si="4155"/>
        <v/>
      </c>
      <c r="DR264" s="71" t="str">
        <f t="shared" si="4156"/>
        <v/>
      </c>
      <c r="DS264" s="71" t="str">
        <f t="shared" si="4157"/>
        <v/>
      </c>
      <c r="DT264" s="71" t="str">
        <f t="shared" si="4158"/>
        <v/>
      </c>
      <c r="DU264" s="71" t="str">
        <f t="shared" si="4159"/>
        <v/>
      </c>
      <c r="DV264" s="71" t="str">
        <f t="shared" si="4160"/>
        <v/>
      </c>
      <c r="DW264" s="71" t="str">
        <f t="shared" si="4161"/>
        <v/>
      </c>
      <c r="DX264" s="71" t="str">
        <f t="shared" si="4162"/>
        <v/>
      </c>
      <c r="DY264" s="71" t="str">
        <f t="shared" si="4163"/>
        <v/>
      </c>
      <c r="DZ264" s="71" t="str">
        <f t="shared" si="4164"/>
        <v/>
      </c>
      <c r="EA264" s="71" t="str">
        <f t="shared" si="4165"/>
        <v/>
      </c>
      <c r="EB264" s="71" t="str">
        <f t="shared" si="4166"/>
        <v/>
      </c>
      <c r="EC264" s="71" t="str">
        <f t="shared" si="4167"/>
        <v/>
      </c>
      <c r="ED264" s="71" t="str">
        <f t="shared" si="4168"/>
        <v/>
      </c>
      <c r="EE264" s="71" t="str">
        <f t="shared" si="4169"/>
        <v/>
      </c>
      <c r="EF264" s="71" t="str">
        <f t="shared" si="4170"/>
        <v/>
      </c>
      <c r="EG264" s="71" t="str">
        <f t="shared" si="4171"/>
        <v/>
      </c>
      <c r="EH264" s="71" t="str">
        <f t="shared" si="4172"/>
        <v/>
      </c>
      <c r="EI264" s="71" t="str">
        <f t="shared" si="4173"/>
        <v/>
      </c>
      <c r="EJ264" s="71" t="str">
        <f t="shared" si="4174"/>
        <v/>
      </c>
      <c r="EK264" s="71" t="str">
        <f t="shared" si="4175"/>
        <v/>
      </c>
      <c r="EL264" s="71" t="str">
        <f t="shared" si="4176"/>
        <v/>
      </c>
      <c r="EM264" s="71" t="str">
        <f t="shared" si="4177"/>
        <v/>
      </c>
      <c r="EN264" s="71" t="str">
        <f t="shared" si="4178"/>
        <v/>
      </c>
      <c r="EO264" s="71" t="str">
        <f t="shared" si="4179"/>
        <v/>
      </c>
      <c r="EP264" s="71" t="str">
        <f t="shared" si="4180"/>
        <v/>
      </c>
      <c r="EQ264" s="71" t="str">
        <f t="shared" si="4181"/>
        <v/>
      </c>
      <c r="ER264" s="71" t="str">
        <f t="shared" si="4182"/>
        <v/>
      </c>
      <c r="ES264" s="71" t="str">
        <f t="shared" si="4183"/>
        <v/>
      </c>
      <c r="ET264" s="71" t="str">
        <f t="shared" si="4184"/>
        <v/>
      </c>
      <c r="EU264" s="71" t="str">
        <f t="shared" si="4185"/>
        <v/>
      </c>
      <c r="EV264" s="71" t="str">
        <f t="shared" si="4186"/>
        <v/>
      </c>
      <c r="EW264" s="71" t="str">
        <f t="shared" si="4187"/>
        <v/>
      </c>
      <c r="EX264" s="71" t="str">
        <f t="shared" si="4188"/>
        <v/>
      </c>
      <c r="EY264" s="71" t="str">
        <f t="shared" si="4189"/>
        <v/>
      </c>
      <c r="EZ264" s="71" t="str">
        <f t="shared" si="4190"/>
        <v/>
      </c>
      <c r="FA264" s="71" t="str">
        <f t="shared" si="4191"/>
        <v/>
      </c>
      <c r="FB264" s="71" t="str">
        <f t="shared" si="4192"/>
        <v/>
      </c>
      <c r="FC264" s="71" t="str">
        <f t="shared" si="4193"/>
        <v/>
      </c>
      <c r="FD264" s="71" t="str">
        <f t="shared" si="4194"/>
        <v/>
      </c>
      <c r="FE264" s="71" t="str">
        <f t="shared" si="4195"/>
        <v/>
      </c>
      <c r="FF264" s="71" t="str">
        <f t="shared" si="4196"/>
        <v/>
      </c>
      <c r="FG264" s="71" t="str">
        <f t="shared" si="4197"/>
        <v/>
      </c>
      <c r="FH264" s="71" t="str">
        <f t="shared" si="4198"/>
        <v/>
      </c>
      <c r="FI264" s="71" t="str">
        <f t="shared" si="4199"/>
        <v/>
      </c>
      <c r="FJ264" s="71" t="str">
        <f t="shared" si="4200"/>
        <v/>
      </c>
      <c r="FK264" s="71" t="str">
        <f t="shared" si="4201"/>
        <v/>
      </c>
      <c r="FL264" s="71" t="str">
        <f t="shared" si="4202"/>
        <v/>
      </c>
      <c r="FM264" s="71" t="str">
        <f t="shared" si="4203"/>
        <v/>
      </c>
      <c r="FN264" s="71" t="str">
        <f t="shared" si="4204"/>
        <v/>
      </c>
      <c r="FO264" s="71" t="str">
        <f t="shared" si="4205"/>
        <v/>
      </c>
      <c r="FP264" s="71" t="str">
        <f t="shared" si="4206"/>
        <v/>
      </c>
      <c r="FQ264" s="71" t="str">
        <f t="shared" si="4207"/>
        <v/>
      </c>
      <c r="FR264" s="71" t="str">
        <f t="shared" si="4208"/>
        <v/>
      </c>
      <c r="FS264" s="71" t="str">
        <f t="shared" si="4209"/>
        <v/>
      </c>
    </row>
    <row r="265" ht="15" spans="1:175">
      <c r="A265" s="73"/>
      <c r="B265" s="9" t="s">
        <v>876</v>
      </c>
      <c r="C265" s="9" t="s">
        <v>877</v>
      </c>
      <c r="E265" s="104"/>
      <c r="F265" s="103"/>
      <c r="S265" s="112"/>
      <c r="T265" s="70" t="s">
        <v>865</v>
      </c>
      <c r="U265" s="89" t="str">
        <f t="shared" ref="U265" si="4283">"ReplaceableTextures\\CommandButtons\\BTNR"&amp;RIGHT(B265,3)&amp;".blp"</f>
        <v>ReplaceableTextures\\CommandButtons\\BTNRY4O.blp</v>
      </c>
      <c r="V265" s="80"/>
      <c r="Z265" s="80"/>
      <c r="AG265" s="115"/>
      <c r="AL265" s="115"/>
      <c r="BC265" s="116"/>
      <c r="BD265" s="116"/>
      <c r="CU265" s="99" t="str">
        <f t="shared" ref="CU265" si="4284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85">T265</f>
        <v>代码生成</v>
      </c>
      <c r="CW265" s="60"/>
      <c r="CX265" s="60"/>
      <c r="CY265" s="60"/>
      <c r="CZ265" s="60"/>
      <c r="DA265" s="60"/>
      <c r="DB265" s="71" t="str">
        <f t="shared" ref="DB265" si="4286">IF(V265="","","|n"&amp;DB$2&amp;"+"&amp;V265&amp;DB$1)</f>
        <v/>
      </c>
      <c r="DC265" s="71" t="str">
        <f t="shared" ref="DC265" si="4287">IF(W265="","","|n"&amp;DC$2&amp;"+"&amp;W265&amp;DC$1)</f>
        <v/>
      </c>
      <c r="DD265" s="71" t="str">
        <f t="shared" ref="DD265" si="4288">IF(X265="","","|n"&amp;DD$2&amp;"+"&amp;X265&amp;DD$1)</f>
        <v/>
      </c>
      <c r="DE265" s="71" t="str">
        <f t="shared" ref="DE265" si="4289">IF(Y265="","","|n"&amp;DE$2&amp;"+"&amp;Y265&amp;DE$1)</f>
        <v/>
      </c>
      <c r="DF265" s="71" t="str">
        <f t="shared" ref="DF265" si="4290">IF(Z265="","","|n"&amp;DF$2&amp;"+"&amp;Z265&amp;DF$1)</f>
        <v/>
      </c>
      <c r="DG265" s="71" t="str">
        <f t="shared" ref="DG265" si="4291">IF(AA265="","","|n"&amp;DG$2&amp;"+"&amp;AA265&amp;DG$1)</f>
        <v/>
      </c>
      <c r="DH265" s="71" t="str">
        <f t="shared" ref="DH265" si="4292">IF(AB265="","","|n"&amp;DH$2&amp;"+"&amp;AB265&amp;DH$1)</f>
        <v/>
      </c>
      <c r="DI265" s="71" t="str">
        <f t="shared" ref="DI265" si="4293">IF(AC265="","","|n"&amp;DI$2&amp;"+"&amp;AC265&amp;DI$1)</f>
        <v/>
      </c>
      <c r="DJ265" s="71" t="str">
        <f t="shared" ref="DJ265" si="4294">IF(AD265="","","|n"&amp;DJ$2&amp;"+"&amp;AD265&amp;DJ$1)</f>
        <v/>
      </c>
      <c r="DK265" s="71" t="str">
        <f t="shared" ref="DK265" si="4295">IF(AE265="","","|n"&amp;DK$2&amp;"+"&amp;AE265&amp;DK$1)</f>
        <v/>
      </c>
      <c r="DL265" s="71" t="str">
        <f t="shared" ref="DL265" si="4296">IF(AF265="","","|n"&amp;DL$2&amp;"+"&amp;AF265&amp;DL$1)</f>
        <v/>
      </c>
      <c r="DM265" s="71" t="str">
        <f t="shared" ref="DM265" si="4297">IF(AG265="","","|n"&amp;DM$2&amp;"+"&amp;AG265&amp;DM$1)</f>
        <v/>
      </c>
      <c r="DN265" s="71" t="str">
        <f t="shared" ref="DN265" si="4298">IF(AH265="","","|n"&amp;DN$2&amp;"+"&amp;AH265&amp;DN$1)</f>
        <v/>
      </c>
      <c r="DO265" s="71" t="str">
        <f t="shared" ref="DO265" si="4299">IF(AI265="","","|n"&amp;DO$2&amp;"+"&amp;AI265&amp;DO$1)</f>
        <v/>
      </c>
      <c r="DP265" s="71" t="str">
        <f t="shared" ref="DP265" si="4300">IF(AJ265="","","|n"&amp;DP$2&amp;"+"&amp;AJ265&amp;DP$1)</f>
        <v/>
      </c>
      <c r="DQ265" s="71" t="str">
        <f t="shared" ref="DQ265" si="4301">IF(AK265="","","|n"&amp;DQ$2&amp;"+"&amp;AK265&amp;DQ$1)</f>
        <v/>
      </c>
      <c r="DR265" s="71" t="str">
        <f t="shared" ref="DR265" si="4302">IF(AL265="","","|n"&amp;DR$2&amp;"+"&amp;AL265&amp;DR$1)</f>
        <v/>
      </c>
      <c r="DS265" s="71" t="str">
        <f t="shared" ref="DS265" si="4303">IF(AM265="","","|n"&amp;DS$2&amp;"+"&amp;AM265&amp;DS$1)</f>
        <v/>
      </c>
      <c r="DT265" s="71" t="str">
        <f t="shared" ref="DT265" si="4304">IF(AN265="","","|n"&amp;DT$2&amp;"+"&amp;AN265&amp;DT$1)</f>
        <v/>
      </c>
      <c r="DU265" s="71" t="str">
        <f t="shared" ref="DU265" si="4305">IF(AO265="","","|n"&amp;DU$2&amp;"+"&amp;AO265&amp;DU$1)</f>
        <v/>
      </c>
      <c r="DV265" s="71" t="str">
        <f t="shared" ref="DV265" si="4306">IF(AP265="","","|n"&amp;DV$2&amp;"+"&amp;AP265&amp;DV$1)</f>
        <v/>
      </c>
      <c r="DW265" s="71" t="str">
        <f t="shared" ref="DW265" si="4307">IF(AQ265="","","|n"&amp;DW$2&amp;"+"&amp;AQ265&amp;DW$1)</f>
        <v/>
      </c>
      <c r="DX265" s="71" t="str">
        <f t="shared" ref="DX265" si="4308">IF(AR265="","","|n"&amp;DX$2&amp;"+"&amp;AR265&amp;DX$1)</f>
        <v/>
      </c>
      <c r="DY265" s="71" t="str">
        <f t="shared" ref="DY265" si="4309">IF(AS265="","","|n"&amp;DY$2&amp;"+"&amp;AS265&amp;DY$1)</f>
        <v/>
      </c>
      <c r="DZ265" s="71" t="str">
        <f t="shared" ref="DZ265" si="4310">IF(AT265="","","|n"&amp;DZ$2&amp;"+"&amp;AT265&amp;DZ$1)</f>
        <v/>
      </c>
      <c r="EA265" s="71" t="str">
        <f t="shared" ref="EA265" si="4311">IF(AU265="","","|n"&amp;EA$2&amp;"+"&amp;AU265&amp;EA$1)</f>
        <v/>
      </c>
      <c r="EB265" s="71" t="str">
        <f t="shared" ref="EB265" si="4312">IF(AV265="","","|n"&amp;EB$2&amp;"+"&amp;AV265&amp;EB$1)</f>
        <v/>
      </c>
      <c r="EC265" s="71" t="str">
        <f t="shared" ref="EC265" si="4313">IF(AW265="","","|n"&amp;EC$2&amp;"+"&amp;AW265&amp;EC$1)</f>
        <v/>
      </c>
      <c r="ED265" s="71" t="str">
        <f t="shared" ref="ED265" si="4314">IF(AX265="","","|n"&amp;ED$2&amp;"+"&amp;AX265&amp;ED$1)</f>
        <v/>
      </c>
      <c r="EE265" s="71" t="str">
        <f t="shared" ref="EE265" si="4315">IF(AY265="","","|n"&amp;EE$2&amp;"+"&amp;AY265&amp;EE$1)</f>
        <v/>
      </c>
      <c r="EF265" s="71" t="str">
        <f t="shared" ref="EF265" si="4316">IF(AZ265="","","|n"&amp;EF$2&amp;"+"&amp;AZ265&amp;EF$1)</f>
        <v/>
      </c>
      <c r="EG265" s="71" t="str">
        <f t="shared" ref="EG265" si="4317">IF(BA265="","","|n"&amp;EG$2&amp;"+"&amp;BA265&amp;EG$1)</f>
        <v/>
      </c>
      <c r="EH265" s="71" t="str">
        <f t="shared" ref="EH265" si="4318">IF(BB265="","","|n"&amp;EH$2&amp;"+"&amp;BB265&amp;EH$1)</f>
        <v/>
      </c>
      <c r="EI265" s="71" t="str">
        <f t="shared" ref="EI265" si="4319">IF(BC265="","","|n"&amp;EI$2&amp;"+"&amp;BC265&amp;EI$1)</f>
        <v/>
      </c>
      <c r="EJ265" s="71" t="str">
        <f t="shared" ref="EJ265" si="4320">IF(BD265="","","|n"&amp;EJ$2&amp;"+"&amp;BD265&amp;EJ$1)</f>
        <v/>
      </c>
      <c r="EK265" s="71" t="str">
        <f t="shared" ref="EK265" si="4321">IF(BE265="","","|n"&amp;EK$2&amp;"+"&amp;BE265&amp;EK$1)</f>
        <v/>
      </c>
      <c r="EL265" s="71" t="str">
        <f t="shared" ref="EL265" si="4322">IF(BF265="","","|n"&amp;EL$2&amp;"+"&amp;BF265&amp;EL$1)</f>
        <v/>
      </c>
      <c r="EM265" s="71" t="str">
        <f t="shared" ref="EM265" si="4323">IF(BG265="","","|n"&amp;EM$2&amp;"+"&amp;BG265&amp;EM$1)</f>
        <v/>
      </c>
      <c r="EN265" s="71" t="str">
        <f t="shared" ref="EN265" si="4324">IF(BH265="","","|n"&amp;EN$2&amp;"+"&amp;BH265&amp;EN$1)</f>
        <v/>
      </c>
      <c r="EO265" s="71" t="str">
        <f t="shared" ref="EO265" si="4325">IF(BI265="","","|n"&amp;EO$2&amp;"+"&amp;BI265&amp;EO$1)</f>
        <v/>
      </c>
      <c r="EP265" s="71" t="str">
        <f t="shared" ref="EP265" si="4326">IF(BJ265="","","|n"&amp;EP$2&amp;"+"&amp;BJ265&amp;EP$1)</f>
        <v/>
      </c>
      <c r="EQ265" s="71" t="str">
        <f t="shared" ref="EQ265" si="4327">IF(BK265="","","|n"&amp;EQ$2&amp;"+"&amp;BK265&amp;EQ$1)</f>
        <v/>
      </c>
      <c r="ER265" s="71" t="str">
        <f t="shared" ref="ER265" si="4328">IF(BL265="","","|n"&amp;ER$2&amp;"+"&amp;BL265&amp;ER$1)</f>
        <v/>
      </c>
      <c r="ES265" s="71" t="str">
        <f t="shared" ref="ES265" si="4329">IF(BM265="","","|n"&amp;ES$2&amp;"+"&amp;BM265&amp;ES$1)</f>
        <v/>
      </c>
      <c r="ET265" s="71" t="str">
        <f t="shared" ref="ET265" si="4330">IF(BN265="","","|n"&amp;ET$2&amp;"+"&amp;BN265&amp;ET$1)</f>
        <v/>
      </c>
      <c r="EU265" s="71" t="str">
        <f t="shared" ref="EU265" si="4331">IF(BO265="","","|n"&amp;EU$2&amp;"+"&amp;BO265&amp;EU$1)</f>
        <v/>
      </c>
      <c r="EV265" s="71" t="str">
        <f t="shared" ref="EV265" si="4332">IF(BP265="","","|n"&amp;EV$2&amp;"+"&amp;BP265&amp;EV$1)</f>
        <v/>
      </c>
      <c r="EW265" s="71" t="str">
        <f t="shared" ref="EW265" si="4333">IF(BQ265="","","|n"&amp;EW$2&amp;"+"&amp;BQ265&amp;EW$1)</f>
        <v/>
      </c>
      <c r="EX265" s="71" t="str">
        <f t="shared" ref="EX265" si="4334">IF(BR265="","","|n"&amp;EX$2&amp;"+"&amp;BR265&amp;EX$1)</f>
        <v/>
      </c>
      <c r="EY265" s="71" t="str">
        <f t="shared" ref="EY265" si="4335">IF(BS265="","","|n"&amp;EY$2&amp;"+"&amp;BS265&amp;EY$1)</f>
        <v/>
      </c>
      <c r="EZ265" s="71" t="str">
        <f t="shared" ref="EZ265" si="4336">IF(BT265="","","|n"&amp;EZ$2&amp;"+"&amp;BT265&amp;EZ$1)</f>
        <v/>
      </c>
      <c r="FA265" s="71" t="str">
        <f t="shared" ref="FA265" si="4337">IF(BU265="","","|n"&amp;FA$2&amp;"+"&amp;BU265&amp;FA$1)</f>
        <v/>
      </c>
      <c r="FB265" s="71" t="str">
        <f t="shared" ref="FB265" si="4338">IF(BV265="","","|n"&amp;FB$2&amp;"+"&amp;BV265&amp;FB$1)</f>
        <v/>
      </c>
      <c r="FC265" s="71" t="str">
        <f t="shared" ref="FC265" si="4339">IF(BW265="","","|n"&amp;FC$2&amp;"+"&amp;BW265&amp;FC$1)</f>
        <v/>
      </c>
      <c r="FD265" s="71" t="str">
        <f t="shared" ref="FD265" si="4340">IF(BX265="","","|n"&amp;FD$2&amp;"+"&amp;BX265&amp;FD$1)</f>
        <v/>
      </c>
      <c r="FE265" s="71" t="str">
        <f t="shared" ref="FE265" si="4341">IF(BY265="","","|n"&amp;FE$2&amp;"+"&amp;BY265&amp;FE$1)</f>
        <v/>
      </c>
      <c r="FF265" s="71" t="str">
        <f t="shared" ref="FF265" si="4342">IF(BZ265="","","|n"&amp;FF$2&amp;"+"&amp;BZ265&amp;FF$1)</f>
        <v/>
      </c>
      <c r="FG265" s="71" t="str">
        <f t="shared" ref="FG265" si="4343">IF(CA265="","","|n"&amp;FG$2&amp;"+"&amp;CA265&amp;FG$1)</f>
        <v/>
      </c>
      <c r="FH265" s="71" t="str">
        <f t="shared" ref="FH265" si="4344">IF(CB265="","","|n"&amp;FH$2&amp;"+"&amp;CB265&amp;FH$1)</f>
        <v/>
      </c>
      <c r="FI265" s="71" t="str">
        <f t="shared" ref="FI265" si="4345">IF(CC265="","","|n"&amp;FI$2&amp;"+"&amp;CC265&amp;FI$1)</f>
        <v/>
      </c>
      <c r="FJ265" s="71" t="str">
        <f t="shared" ref="FJ265" si="4346">IF(CD265="","","|n"&amp;FJ$2&amp;"+"&amp;CD265&amp;FJ$1)</f>
        <v/>
      </c>
      <c r="FK265" s="71" t="str">
        <f t="shared" ref="FK265" si="4347">IF(CE265="","","|n"&amp;FK$2&amp;"+"&amp;CE265&amp;FK$1)</f>
        <v/>
      </c>
      <c r="FL265" s="71" t="str">
        <f t="shared" ref="FL265" si="4348">IF(CF265="","","|n"&amp;FL$2&amp;"+"&amp;CF265&amp;FL$1)</f>
        <v/>
      </c>
      <c r="FM265" s="71" t="str">
        <f t="shared" ref="FM265" si="4349">IF(CG265="","","|n"&amp;FM$2&amp;"+"&amp;CG265&amp;FM$1)</f>
        <v/>
      </c>
      <c r="FN265" s="71" t="str">
        <f t="shared" ref="FN265" si="4350">IF(CH265="","","|n"&amp;FN$2&amp;"+"&amp;CH265&amp;FN$1)</f>
        <v/>
      </c>
      <c r="FO265" s="71" t="str">
        <f t="shared" ref="FO265" si="4351">IF(CI265="","","|n"&amp;FO$2&amp;"+"&amp;CI265&amp;FO$1)</f>
        <v/>
      </c>
      <c r="FP265" s="71" t="str">
        <f t="shared" ref="FP265" si="4352">IF(CJ265="","","|n"&amp;FP$2&amp;"+"&amp;CJ265&amp;FP$1)</f>
        <v/>
      </c>
      <c r="FQ265" s="71" t="str">
        <f t="shared" ref="FQ265" si="4353">IF(CK265="","","|n"&amp;FQ$2&amp;"+"&amp;CK265&amp;FQ$1)</f>
        <v/>
      </c>
      <c r="FR265" s="71" t="str">
        <f t="shared" ref="FR265" si="4354">IF(CL265="","","|n"&amp;FR$2&amp;"+"&amp;CL265&amp;FR$1)</f>
        <v/>
      </c>
      <c r="FS265" s="71" t="str">
        <f t="shared" ref="FS265" si="4355">IF(CM265="","","|n"&amp;FS$2&amp;"+"&amp;CM265&amp;FS$1)</f>
        <v/>
      </c>
    </row>
    <row r="266" ht="15" spans="1:175">
      <c r="A266" s="137"/>
      <c r="B266" s="81" t="s">
        <v>878</v>
      </c>
      <c r="C266" s="70" t="s">
        <v>879</v>
      </c>
      <c r="T266" s="148"/>
      <c r="U266" s="89"/>
      <c r="CN266" s="69" t="str">
        <f t="shared" ref="CN266:CN292" si="4356">"InitUnitState('"&amp;B266&amp;"',"&amp;V266&amp;","&amp;W266&amp;","&amp;X266&amp;","&amp;Y266&amp;","&amp;Z266&amp;","&amp;AA266&amp;","&amp;AB266&amp;","&amp;AC266&amp;","&amp;AD266&amp;","&amp;AE266&amp;")"</f>
        <v>InitUnitState('IF01',,,,,,,,,,)</v>
      </c>
      <c r="CO266" s="69" t="str">
        <f t="shared" ref="CO266:CO292" si="4357">"InitUnitNormal('"&amp;B266&amp;"',"&amp;AF266&amp;","&amp;AG266&amp;","&amp;AH266&amp;","&amp;AI266&amp;","&amp;AJ266&amp;","&amp;AK266&amp;","&amp;AL266&amp;","&amp;AM266&amp;","&amp;AN266&amp;","&amp;AO266&amp;")"</f>
        <v>InitUnitNormal('IF01',,,,,,,,,,)</v>
      </c>
      <c r="CP266" s="69" t="str">
        <f t="shared" ref="CP266:CP292" si="4358">"InitUnitMagic('"&amp;B266&amp;"',"&amp;AP266&amp;","&amp;AQ266&amp;","&amp;AR266&amp;","&amp;AS266&amp;","&amp;AT266&amp;","&amp;AU266&amp;","&amp;AV266&amp;","&amp;AW266&amp;","&amp;BI266&amp;","&amp;BJ266&amp;")"</f>
        <v>InitUnitMagic('IF01',,,,,,,,,,)</v>
      </c>
      <c r="CQ266" s="69" t="str">
        <f t="shared" ref="CQ266:CQ292" si="4359">"InitUnitAdd('"&amp;B266&amp;"',"&amp;BK266&amp;","&amp;BL266&amp;","&amp;BM266&amp;","&amp;BN266&amp;","&amp;BO266&amp;","&amp;BP266&amp;","&amp;BQ266&amp;","&amp;BR266&amp;","&amp;BS266&amp;","&amp;BT266&amp;")"</f>
        <v>InitUnitAdd('IF01',,,,,,,,,,)</v>
      </c>
      <c r="CR266" s="69" t="str">
        <f t="shared" ref="CR266:CR308" si="4360"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InitEquipData('IF01',,"",,,,,'','','','','','',"")</v>
      </c>
      <c r="CU266" s="99" t="str">
        <f t="shared" ref="CU266:CU288" si="4361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:DB288" si="4362">IF(V266="","","|n"&amp;DB$2&amp;"+"&amp;V266&amp;DB$1)</f>
        <v/>
      </c>
      <c r="DC266" s="71" t="str">
        <f t="shared" ref="DC266:DC288" si="4363">IF(W266="","","|n"&amp;DC$2&amp;"+"&amp;W266&amp;DC$1)</f>
        <v/>
      </c>
      <c r="DD266" s="71" t="str">
        <f t="shared" ref="DD266:DD288" si="4364">IF(X266="","","|n"&amp;DD$2&amp;"+"&amp;X266&amp;DD$1)</f>
        <v/>
      </c>
      <c r="DE266" s="71" t="str">
        <f t="shared" ref="DE266:DE288" si="4365">IF(Y266="","","|n"&amp;DE$2&amp;"+"&amp;Y266&amp;DE$1)</f>
        <v/>
      </c>
      <c r="DF266" s="71" t="str">
        <f t="shared" ref="DF266:DF288" si="4366">IF(Z266="","","|n"&amp;DF$2&amp;"+"&amp;Z266&amp;DF$1)</f>
        <v/>
      </c>
      <c r="DG266" s="71" t="str">
        <f t="shared" ref="DG266:DG288" si="4367">IF(AA266="","","|n"&amp;DG$2&amp;"+"&amp;AA266&amp;DG$1)</f>
        <v/>
      </c>
      <c r="DH266" s="71" t="str">
        <f t="shared" ref="DH266:DH288" si="4368">IF(AB266="","","|n"&amp;DH$2&amp;"+"&amp;AB266&amp;DH$1)</f>
        <v/>
      </c>
      <c r="DI266" s="71" t="str">
        <f t="shared" ref="DI266:DI288" si="4369">IF(AC266="","","|n"&amp;DI$2&amp;"+"&amp;AC266&amp;DI$1)</f>
        <v/>
      </c>
      <c r="DJ266" s="71" t="str">
        <f t="shared" ref="DJ266:DJ288" si="4370">IF(AD266="","","|n"&amp;DJ$2&amp;"+"&amp;AD266&amp;DJ$1)</f>
        <v/>
      </c>
      <c r="DK266" s="71" t="str">
        <f t="shared" ref="DK266:DK288" si="4371">IF(AE266="","","|n"&amp;DK$2&amp;"+"&amp;AE266&amp;DK$1)</f>
        <v/>
      </c>
      <c r="DL266" s="71" t="str">
        <f t="shared" ref="DL266:DL288" si="4372">IF(AF266="","","|n"&amp;DL$2&amp;"+"&amp;AF266&amp;DL$1)</f>
        <v/>
      </c>
      <c r="DM266" s="71" t="str">
        <f t="shared" ref="DM266:DM288" si="4373">IF(AG266="","","|n"&amp;DM$2&amp;"+"&amp;AG266&amp;DM$1)</f>
        <v/>
      </c>
      <c r="DN266" s="71" t="str">
        <f t="shared" ref="DN266:DN288" si="4374">IF(AH266="","","|n"&amp;DN$2&amp;"+"&amp;AH266&amp;DN$1)</f>
        <v/>
      </c>
      <c r="DO266" s="71" t="str">
        <f t="shared" ref="DO266:DO288" si="4375">IF(AI266="","","|n"&amp;DO$2&amp;"+"&amp;AI266&amp;DO$1)</f>
        <v/>
      </c>
      <c r="DP266" s="71" t="str">
        <f t="shared" ref="DP266:DP288" si="4376">IF(AJ266="","","|n"&amp;DP$2&amp;"+"&amp;AJ266&amp;DP$1)</f>
        <v/>
      </c>
      <c r="DQ266" s="71" t="str">
        <f t="shared" ref="DQ266:DQ288" si="4377">IF(AK266="","","|n"&amp;DQ$2&amp;"+"&amp;AK266&amp;DQ$1)</f>
        <v/>
      </c>
      <c r="DR266" s="71" t="str">
        <f t="shared" ref="DR266:DR288" si="4378">IF(AL266="","","|n"&amp;DR$2&amp;"+"&amp;AL266&amp;DR$1)</f>
        <v/>
      </c>
      <c r="DS266" s="71" t="str">
        <f t="shared" ref="DS266:DS288" si="4379">IF(AM266="","","|n"&amp;DS$2&amp;"+"&amp;AM266&amp;DS$1)</f>
        <v/>
      </c>
      <c r="DT266" s="71" t="str">
        <f t="shared" ref="DT266:DT288" si="4380">IF(AN266="","","|n"&amp;DT$2&amp;"+"&amp;AN266&amp;DT$1)</f>
        <v/>
      </c>
      <c r="DU266" s="71" t="str">
        <f t="shared" ref="DU266:DU288" si="4381">IF(AO266="","","|n"&amp;DU$2&amp;"+"&amp;AO266&amp;DU$1)</f>
        <v/>
      </c>
      <c r="DV266" s="71" t="str">
        <f t="shared" ref="DV266:DV288" si="4382">IF(AP266="","","|n"&amp;DV$2&amp;"+"&amp;AP266&amp;DV$1)</f>
        <v/>
      </c>
      <c r="DW266" s="71" t="str">
        <f t="shared" ref="DW266:DW288" si="4383">IF(AQ266="","","|n"&amp;DW$2&amp;"+"&amp;AQ266&amp;DW$1)</f>
        <v/>
      </c>
      <c r="DX266" s="71" t="str">
        <f t="shared" ref="DX266:DX288" si="4384">IF(AR266="","","|n"&amp;DX$2&amp;"+"&amp;AR266&amp;DX$1)</f>
        <v/>
      </c>
      <c r="DY266" s="71" t="str">
        <f t="shared" ref="DY266:DY288" si="4385">IF(AS266="","","|n"&amp;DY$2&amp;"+"&amp;AS266&amp;DY$1)</f>
        <v/>
      </c>
      <c r="DZ266" s="71" t="str">
        <f t="shared" ref="DZ266:DZ288" si="4386">IF(AT266="","","|n"&amp;DZ$2&amp;"+"&amp;AT266&amp;DZ$1)</f>
        <v/>
      </c>
      <c r="EA266" s="71" t="str">
        <f t="shared" ref="EA266:EA288" si="4387">IF(AU266="","","|n"&amp;EA$2&amp;"+"&amp;AU266&amp;EA$1)</f>
        <v/>
      </c>
      <c r="EB266" s="71" t="str">
        <f t="shared" ref="EB266:EB288" si="4388">IF(AV266="","","|n"&amp;EB$2&amp;"+"&amp;AV266&amp;EB$1)</f>
        <v/>
      </c>
      <c r="EC266" s="71" t="str">
        <f t="shared" ref="EC266:EC288" si="4389">IF(AW266="","","|n"&amp;EC$2&amp;"+"&amp;AW266&amp;EC$1)</f>
        <v/>
      </c>
      <c r="ED266" s="71" t="str">
        <f t="shared" ref="ED266:ED288" si="4390">IF(AX266="","","|n"&amp;ED$2&amp;"+"&amp;AX266&amp;ED$1)</f>
        <v/>
      </c>
      <c r="EE266" s="71" t="str">
        <f t="shared" ref="EE266:EE288" si="4391">IF(AY266="","","|n"&amp;EE$2&amp;"+"&amp;AY266&amp;EE$1)</f>
        <v/>
      </c>
      <c r="EF266" s="71" t="str">
        <f t="shared" ref="EF266:EF288" si="4392">IF(AZ266="","","|n"&amp;EF$2&amp;"+"&amp;AZ266&amp;EF$1)</f>
        <v/>
      </c>
      <c r="EG266" s="71" t="str">
        <f t="shared" ref="EG266:EG288" si="4393">IF(BA266="","","|n"&amp;EG$2&amp;"+"&amp;BA266&amp;EG$1)</f>
        <v/>
      </c>
      <c r="EH266" s="71" t="str">
        <f t="shared" ref="EH266:EH288" si="4394">IF(BB266="","","|n"&amp;EH$2&amp;"+"&amp;BB266&amp;EH$1)</f>
        <v/>
      </c>
      <c r="EI266" s="71" t="str">
        <f t="shared" ref="EI266:EI288" si="4395">IF(BC266="","","|n"&amp;EI$2&amp;"+"&amp;BC266&amp;EI$1)</f>
        <v/>
      </c>
      <c r="EJ266" s="71" t="str">
        <f t="shared" ref="EJ266:EJ288" si="4396">IF(BD266="","","|n"&amp;EJ$2&amp;"+"&amp;BD266&amp;EJ$1)</f>
        <v/>
      </c>
      <c r="EK266" s="71" t="str">
        <f t="shared" ref="EK266:EK288" si="4397">IF(BE266="","","|n"&amp;EK$2&amp;"+"&amp;BE266&amp;EK$1)</f>
        <v/>
      </c>
      <c r="EL266" s="71" t="str">
        <f t="shared" ref="EL266:EL288" si="4398">IF(BF266="","","|n"&amp;EL$2&amp;"+"&amp;BF266&amp;EL$1)</f>
        <v/>
      </c>
      <c r="EM266" s="71" t="str">
        <f t="shared" ref="EM266:EM288" si="4399">IF(BG266="","","|n"&amp;EM$2&amp;"+"&amp;BG266&amp;EM$1)</f>
        <v/>
      </c>
      <c r="EN266" s="71" t="str">
        <f t="shared" ref="EN266:EN288" si="4400">IF(BH266="","","|n"&amp;EN$2&amp;"+"&amp;BH266&amp;EN$1)</f>
        <v/>
      </c>
      <c r="EO266" s="71" t="str">
        <f t="shared" ref="EO266:EO288" si="4401">IF(BI266="","","|n"&amp;EO$2&amp;"+"&amp;BI266&amp;EO$1)</f>
        <v/>
      </c>
      <c r="EP266" s="71" t="str">
        <f t="shared" ref="EP266:EP288" si="4402">IF(BJ266="","","|n"&amp;EP$2&amp;"+"&amp;BJ266&amp;EP$1)</f>
        <v/>
      </c>
      <c r="EQ266" s="71" t="str">
        <f t="shared" ref="EQ266:EQ288" si="4403">IF(BK266="","","|n"&amp;EQ$2&amp;"+"&amp;BK266&amp;EQ$1)</f>
        <v/>
      </c>
      <c r="ER266" s="71" t="str">
        <f t="shared" ref="ER266:ER288" si="4404">IF(BL266="","","|n"&amp;ER$2&amp;"+"&amp;BL266&amp;ER$1)</f>
        <v/>
      </c>
      <c r="ES266" s="71" t="str">
        <f t="shared" ref="ES266:ES288" si="4405">IF(BM266="","","|n"&amp;ES$2&amp;"+"&amp;BM266&amp;ES$1)</f>
        <v/>
      </c>
      <c r="ET266" s="71" t="str">
        <f t="shared" ref="ET266:ET288" si="4406">IF(BN266="","","|n"&amp;ET$2&amp;"+"&amp;BN266&amp;ET$1)</f>
        <v/>
      </c>
      <c r="EU266" s="71" t="str">
        <f t="shared" ref="EU266:EU288" si="4407">IF(BO266="","","|n"&amp;EU$2&amp;"+"&amp;BO266&amp;EU$1)</f>
        <v/>
      </c>
      <c r="EV266" s="71" t="str">
        <f t="shared" ref="EV266:EV288" si="4408">IF(BP266="","","|n"&amp;EV$2&amp;"+"&amp;BP266&amp;EV$1)</f>
        <v/>
      </c>
      <c r="EW266" s="71" t="str">
        <f t="shared" ref="EW266:EW288" si="4409">IF(BQ266="","","|n"&amp;EW$2&amp;"+"&amp;BQ266&amp;EW$1)</f>
        <v/>
      </c>
      <c r="EX266" s="71" t="str">
        <f t="shared" ref="EX266:EX288" si="4410">IF(BR266="","","|n"&amp;EX$2&amp;"+"&amp;BR266&amp;EX$1)</f>
        <v/>
      </c>
      <c r="EY266" s="71" t="str">
        <f t="shared" ref="EY266:EY288" si="4411">IF(BS266="","","|n"&amp;EY$2&amp;"+"&amp;BS266&amp;EY$1)</f>
        <v/>
      </c>
      <c r="EZ266" s="71" t="str">
        <f t="shared" ref="EZ266:EZ288" si="4412">IF(BT266="","","|n"&amp;EZ$2&amp;"+"&amp;BT266&amp;EZ$1)</f>
        <v/>
      </c>
      <c r="FA266" s="71" t="str">
        <f t="shared" ref="FA266:FA288" si="4413">IF(BU266="","","|n"&amp;FA$2&amp;"+"&amp;BU266&amp;FA$1)</f>
        <v/>
      </c>
      <c r="FB266" s="71" t="str">
        <f t="shared" ref="FB266:FB288" si="4414">IF(BV266="","","|n"&amp;FB$2&amp;"+"&amp;BV266&amp;FB$1)</f>
        <v/>
      </c>
      <c r="FC266" s="71" t="str">
        <f t="shared" ref="FC266:FC288" si="4415">IF(BW266="","","|n"&amp;FC$2&amp;"+"&amp;BW266&amp;FC$1)</f>
        <v/>
      </c>
      <c r="FD266" s="71" t="str">
        <f t="shared" ref="FD266:FD288" si="4416">IF(BX266="","","|n"&amp;FD$2&amp;"+"&amp;BX266&amp;FD$1)</f>
        <v/>
      </c>
      <c r="FE266" s="71" t="str">
        <f t="shared" ref="FE266:FE288" si="4417">IF(BY266="","","|n"&amp;FE$2&amp;"+"&amp;BY266&amp;FE$1)</f>
        <v/>
      </c>
      <c r="FF266" s="71" t="str">
        <f t="shared" ref="FF266:FF288" si="4418">IF(BZ266="","","|n"&amp;FF$2&amp;"+"&amp;BZ266&amp;FF$1)</f>
        <v/>
      </c>
      <c r="FG266" s="71" t="str">
        <f t="shared" ref="FG266:FG288" si="4419">IF(CA266="","","|n"&amp;FG$2&amp;"+"&amp;CA266&amp;FG$1)</f>
        <v/>
      </c>
      <c r="FH266" s="71" t="str">
        <f t="shared" ref="FH266:FH288" si="4420">IF(CB266="","","|n"&amp;FH$2&amp;"+"&amp;CB266&amp;FH$1)</f>
        <v/>
      </c>
      <c r="FI266" s="71" t="str">
        <f t="shared" ref="FI266:FI288" si="4421">IF(CC266="","","|n"&amp;FI$2&amp;"+"&amp;CC266&amp;FI$1)</f>
        <v/>
      </c>
      <c r="FJ266" s="71" t="str">
        <f t="shared" ref="FJ266:FJ288" si="4422">IF(CD266="","","|n"&amp;FJ$2&amp;"+"&amp;CD266&amp;FJ$1)</f>
        <v/>
      </c>
      <c r="FK266" s="71" t="str">
        <f t="shared" ref="FK266:FK288" si="4423">IF(CE266="","","|n"&amp;FK$2&amp;"+"&amp;CE266&amp;FK$1)</f>
        <v/>
      </c>
      <c r="FL266" s="71" t="str">
        <f t="shared" ref="FL266:FL288" si="4424">IF(CF266="","","|n"&amp;FL$2&amp;"+"&amp;CF266&amp;FL$1)</f>
        <v/>
      </c>
      <c r="FM266" s="71" t="str">
        <f t="shared" ref="FM266:FM288" si="4425">IF(CG266="","","|n"&amp;FM$2&amp;"+"&amp;CG266&amp;FM$1)</f>
        <v/>
      </c>
      <c r="FN266" s="71" t="str">
        <f t="shared" ref="FN266:FN288" si="4426">IF(CH266="","","|n"&amp;FN$2&amp;"+"&amp;CH266&amp;FN$1)</f>
        <v/>
      </c>
      <c r="FO266" s="71" t="str">
        <f t="shared" ref="FO266:FO288" si="4427">IF(CI266="","","|n"&amp;FO$2&amp;"+"&amp;CI266&amp;FO$1)</f>
        <v/>
      </c>
      <c r="FP266" s="71" t="str">
        <f t="shared" ref="FP266:FP288" si="4428">IF(CJ266="","","|n"&amp;FP$2&amp;"+"&amp;CJ266&amp;FP$1)</f>
        <v/>
      </c>
      <c r="FQ266" s="71" t="str">
        <f t="shared" ref="FQ266:FQ288" si="4429">IF(CK266="","","|n"&amp;FQ$2&amp;"+"&amp;CK266&amp;FQ$1)</f>
        <v/>
      </c>
      <c r="FR266" s="71" t="str">
        <f t="shared" ref="FR266:FR288" si="4430">IF(CL266="","","|n"&amp;FR$2&amp;"+"&amp;CL266&amp;FR$1)</f>
        <v/>
      </c>
      <c r="FS266" s="71" t="str">
        <f t="shared" ref="FS266:FS288" si="4431">IF(CM266="","","|n"&amp;FS$2&amp;"+"&amp;CM266&amp;FS$1)</f>
        <v/>
      </c>
    </row>
    <row r="267" ht="15" spans="1:175">
      <c r="A267" s="137"/>
      <c r="B267" s="81" t="s">
        <v>880</v>
      </c>
      <c r="C267" s="70" t="s">
        <v>879</v>
      </c>
      <c r="T267" s="148"/>
      <c r="U267" s="89"/>
      <c r="CN267" s="69" t="str">
        <f t="shared" si="4356"/>
        <v>InitUnitState('IF02',,,,,,,,,,)</v>
      </c>
      <c r="CO267" s="69" t="str">
        <f t="shared" si="4357"/>
        <v>InitUnitNormal('IF02',,,,,,,,,,)</v>
      </c>
      <c r="CP267" s="69" t="str">
        <f t="shared" si="4358"/>
        <v>InitUnitMagic('IF02',,,,,,,,,,)</v>
      </c>
      <c r="CQ267" s="69" t="str">
        <f t="shared" si="4359"/>
        <v>InitUnitAdd('IF02',,,,,,,,,,)</v>
      </c>
      <c r="CR267" s="69" t="str">
        <f t="shared" si="4360"/>
        <v>InitEquipData('IF02',,"",,,,,'','','','','','',"")</v>
      </c>
      <c r="CU267" s="99" t="str">
        <f t="shared" si="4361"/>
        <v>|n</v>
      </c>
      <c r="CW267" s="60"/>
      <c r="CX267" s="60"/>
      <c r="CY267" s="60"/>
      <c r="CZ267" s="60"/>
      <c r="DA267" s="60"/>
      <c r="DB267" s="71" t="str">
        <f t="shared" si="4362"/>
        <v/>
      </c>
      <c r="DC267" s="71" t="str">
        <f t="shared" si="4363"/>
        <v/>
      </c>
      <c r="DD267" s="71" t="str">
        <f t="shared" si="4364"/>
        <v/>
      </c>
      <c r="DE267" s="71" t="str">
        <f t="shared" si="4365"/>
        <v/>
      </c>
      <c r="DF267" s="71" t="str">
        <f t="shared" si="4366"/>
        <v/>
      </c>
      <c r="DG267" s="71" t="str">
        <f t="shared" si="4367"/>
        <v/>
      </c>
      <c r="DH267" s="71" t="str">
        <f t="shared" si="4368"/>
        <v/>
      </c>
      <c r="DI267" s="71" t="str">
        <f t="shared" si="4369"/>
        <v/>
      </c>
      <c r="DJ267" s="71" t="str">
        <f t="shared" si="4370"/>
        <v/>
      </c>
      <c r="DK267" s="71" t="str">
        <f t="shared" si="4371"/>
        <v/>
      </c>
      <c r="DL267" s="71" t="str">
        <f t="shared" si="4372"/>
        <v/>
      </c>
      <c r="DM267" s="71" t="str">
        <f t="shared" si="4373"/>
        <v/>
      </c>
      <c r="DN267" s="71" t="str">
        <f t="shared" si="4374"/>
        <v/>
      </c>
      <c r="DO267" s="71" t="str">
        <f t="shared" si="4375"/>
        <v/>
      </c>
      <c r="DP267" s="71" t="str">
        <f t="shared" si="4376"/>
        <v/>
      </c>
      <c r="DQ267" s="71" t="str">
        <f t="shared" si="4377"/>
        <v/>
      </c>
      <c r="DR267" s="71" t="str">
        <f t="shared" si="4378"/>
        <v/>
      </c>
      <c r="DS267" s="71" t="str">
        <f t="shared" si="4379"/>
        <v/>
      </c>
      <c r="DT267" s="71" t="str">
        <f t="shared" si="4380"/>
        <v/>
      </c>
      <c r="DU267" s="71" t="str">
        <f t="shared" si="4381"/>
        <v/>
      </c>
      <c r="DV267" s="71" t="str">
        <f t="shared" si="4382"/>
        <v/>
      </c>
      <c r="DW267" s="71" t="str">
        <f t="shared" si="4383"/>
        <v/>
      </c>
      <c r="DX267" s="71" t="str">
        <f t="shared" si="4384"/>
        <v/>
      </c>
      <c r="DY267" s="71" t="str">
        <f t="shared" si="4385"/>
        <v/>
      </c>
      <c r="DZ267" s="71" t="str">
        <f t="shared" si="4386"/>
        <v/>
      </c>
      <c r="EA267" s="71" t="str">
        <f t="shared" si="4387"/>
        <v/>
      </c>
      <c r="EB267" s="71" t="str">
        <f t="shared" si="4388"/>
        <v/>
      </c>
      <c r="EC267" s="71" t="str">
        <f t="shared" si="4389"/>
        <v/>
      </c>
      <c r="ED267" s="71" t="str">
        <f t="shared" si="4390"/>
        <v/>
      </c>
      <c r="EE267" s="71" t="str">
        <f t="shared" si="4391"/>
        <v/>
      </c>
      <c r="EF267" s="71" t="str">
        <f t="shared" si="4392"/>
        <v/>
      </c>
      <c r="EG267" s="71" t="str">
        <f t="shared" si="4393"/>
        <v/>
      </c>
      <c r="EH267" s="71" t="str">
        <f t="shared" si="4394"/>
        <v/>
      </c>
      <c r="EI267" s="71" t="str">
        <f t="shared" si="4395"/>
        <v/>
      </c>
      <c r="EJ267" s="71" t="str">
        <f t="shared" si="4396"/>
        <v/>
      </c>
      <c r="EK267" s="71" t="str">
        <f t="shared" si="4397"/>
        <v/>
      </c>
      <c r="EL267" s="71" t="str">
        <f t="shared" si="4398"/>
        <v/>
      </c>
      <c r="EM267" s="71" t="str">
        <f t="shared" si="4399"/>
        <v/>
      </c>
      <c r="EN267" s="71" t="str">
        <f t="shared" si="4400"/>
        <v/>
      </c>
      <c r="EO267" s="71" t="str">
        <f t="shared" si="4401"/>
        <v/>
      </c>
      <c r="EP267" s="71" t="str">
        <f t="shared" si="4402"/>
        <v/>
      </c>
      <c r="EQ267" s="71" t="str">
        <f t="shared" si="4403"/>
        <v/>
      </c>
      <c r="ER267" s="71" t="str">
        <f t="shared" si="4404"/>
        <v/>
      </c>
      <c r="ES267" s="71" t="str">
        <f t="shared" si="4405"/>
        <v/>
      </c>
      <c r="ET267" s="71" t="str">
        <f t="shared" si="4406"/>
        <v/>
      </c>
      <c r="EU267" s="71" t="str">
        <f t="shared" si="4407"/>
        <v/>
      </c>
      <c r="EV267" s="71" t="str">
        <f t="shared" si="4408"/>
        <v/>
      </c>
      <c r="EW267" s="71" t="str">
        <f t="shared" si="4409"/>
        <v/>
      </c>
      <c r="EX267" s="71" t="str">
        <f t="shared" si="4410"/>
        <v/>
      </c>
      <c r="EY267" s="71" t="str">
        <f t="shared" si="4411"/>
        <v/>
      </c>
      <c r="EZ267" s="71" t="str">
        <f t="shared" si="4412"/>
        <v/>
      </c>
      <c r="FA267" s="71" t="str">
        <f t="shared" si="4413"/>
        <v/>
      </c>
      <c r="FB267" s="71" t="str">
        <f t="shared" si="4414"/>
        <v/>
      </c>
      <c r="FC267" s="71" t="str">
        <f t="shared" si="4415"/>
        <v/>
      </c>
      <c r="FD267" s="71" t="str">
        <f t="shared" si="4416"/>
        <v/>
      </c>
      <c r="FE267" s="71" t="str">
        <f t="shared" si="4417"/>
        <v/>
      </c>
      <c r="FF267" s="71" t="str">
        <f t="shared" si="4418"/>
        <v/>
      </c>
      <c r="FG267" s="71" t="str">
        <f t="shared" si="4419"/>
        <v/>
      </c>
      <c r="FH267" s="71" t="str">
        <f t="shared" si="4420"/>
        <v/>
      </c>
      <c r="FI267" s="71" t="str">
        <f t="shared" si="4421"/>
        <v/>
      </c>
      <c r="FJ267" s="71" t="str">
        <f t="shared" si="4422"/>
        <v/>
      </c>
      <c r="FK267" s="71" t="str">
        <f t="shared" si="4423"/>
        <v/>
      </c>
      <c r="FL267" s="71" t="str">
        <f t="shared" si="4424"/>
        <v/>
      </c>
      <c r="FM267" s="71" t="str">
        <f t="shared" si="4425"/>
        <v/>
      </c>
      <c r="FN267" s="71" t="str">
        <f t="shared" si="4426"/>
        <v/>
      </c>
      <c r="FO267" s="71" t="str">
        <f t="shared" si="4427"/>
        <v/>
      </c>
      <c r="FP267" s="71" t="str">
        <f t="shared" si="4428"/>
        <v/>
      </c>
      <c r="FQ267" s="71" t="str">
        <f t="shared" si="4429"/>
        <v/>
      </c>
      <c r="FR267" s="71" t="str">
        <f t="shared" si="4430"/>
        <v/>
      </c>
      <c r="FS267" s="71" t="str">
        <f t="shared" si="4431"/>
        <v/>
      </c>
    </row>
    <row r="268" ht="15" spans="1:175">
      <c r="A268" s="138"/>
      <c r="B268" s="81" t="s">
        <v>881</v>
      </c>
      <c r="C268" s="70" t="s">
        <v>879</v>
      </c>
      <c r="T268" s="149"/>
      <c r="U268" s="89"/>
      <c r="CN268" s="69" t="str">
        <f t="shared" si="4356"/>
        <v>InitUnitState('IF03',,,,,,,,,,)</v>
      </c>
      <c r="CO268" s="69" t="str">
        <f t="shared" si="4357"/>
        <v>InitUnitNormal('IF03',,,,,,,,,,)</v>
      </c>
      <c r="CP268" s="69" t="str">
        <f t="shared" si="4358"/>
        <v>InitUnitMagic('IF03',,,,,,,,,,)</v>
      </c>
      <c r="CQ268" s="69" t="str">
        <f t="shared" si="4359"/>
        <v>InitUnitAdd('IF03',,,,,,,,,,)</v>
      </c>
      <c r="CR268" s="69" t="str">
        <f t="shared" si="4360"/>
        <v>InitEquipData('IF03',,"",,,,,'','','','','','',"")</v>
      </c>
      <c r="CU268" s="99" t="str">
        <f t="shared" si="4361"/>
        <v>|n</v>
      </c>
      <c r="CW268" s="60"/>
      <c r="CX268" s="60"/>
      <c r="CY268" s="60"/>
      <c r="CZ268" s="60"/>
      <c r="DA268" s="60"/>
      <c r="DB268" s="71" t="str">
        <f t="shared" si="4362"/>
        <v/>
      </c>
      <c r="DC268" s="71" t="str">
        <f t="shared" si="4363"/>
        <v/>
      </c>
      <c r="DD268" s="71" t="str">
        <f t="shared" si="4364"/>
        <v/>
      </c>
      <c r="DE268" s="71" t="str">
        <f t="shared" si="4365"/>
        <v/>
      </c>
      <c r="DF268" s="71" t="str">
        <f t="shared" si="4366"/>
        <v/>
      </c>
      <c r="DG268" s="71" t="str">
        <f t="shared" si="4367"/>
        <v/>
      </c>
      <c r="DH268" s="71" t="str">
        <f t="shared" si="4368"/>
        <v/>
      </c>
      <c r="DI268" s="71" t="str">
        <f t="shared" si="4369"/>
        <v/>
      </c>
      <c r="DJ268" s="71" t="str">
        <f t="shared" si="4370"/>
        <v/>
      </c>
      <c r="DK268" s="71" t="str">
        <f t="shared" si="4371"/>
        <v/>
      </c>
      <c r="DL268" s="71" t="str">
        <f t="shared" si="4372"/>
        <v/>
      </c>
      <c r="DM268" s="71" t="str">
        <f t="shared" si="4373"/>
        <v/>
      </c>
      <c r="DN268" s="71" t="str">
        <f t="shared" si="4374"/>
        <v/>
      </c>
      <c r="DO268" s="71" t="str">
        <f t="shared" si="4375"/>
        <v/>
      </c>
      <c r="DP268" s="71" t="str">
        <f t="shared" si="4376"/>
        <v/>
      </c>
      <c r="DQ268" s="71" t="str">
        <f t="shared" si="4377"/>
        <v/>
      </c>
      <c r="DR268" s="71" t="str">
        <f t="shared" si="4378"/>
        <v/>
      </c>
      <c r="DS268" s="71" t="str">
        <f t="shared" si="4379"/>
        <v/>
      </c>
      <c r="DT268" s="71" t="str">
        <f t="shared" si="4380"/>
        <v/>
      </c>
      <c r="DU268" s="71" t="str">
        <f t="shared" si="4381"/>
        <v/>
      </c>
      <c r="DV268" s="71" t="str">
        <f t="shared" si="4382"/>
        <v/>
      </c>
      <c r="DW268" s="71" t="str">
        <f t="shared" si="4383"/>
        <v/>
      </c>
      <c r="DX268" s="71" t="str">
        <f t="shared" si="4384"/>
        <v/>
      </c>
      <c r="DY268" s="71" t="str">
        <f t="shared" si="4385"/>
        <v/>
      </c>
      <c r="DZ268" s="71" t="str">
        <f t="shared" si="4386"/>
        <v/>
      </c>
      <c r="EA268" s="71" t="str">
        <f t="shared" si="4387"/>
        <v/>
      </c>
      <c r="EB268" s="71" t="str">
        <f t="shared" si="4388"/>
        <v/>
      </c>
      <c r="EC268" s="71" t="str">
        <f t="shared" si="4389"/>
        <v/>
      </c>
      <c r="ED268" s="71" t="str">
        <f t="shared" si="4390"/>
        <v/>
      </c>
      <c r="EE268" s="71" t="str">
        <f t="shared" si="4391"/>
        <v/>
      </c>
      <c r="EF268" s="71" t="str">
        <f t="shared" si="4392"/>
        <v/>
      </c>
      <c r="EG268" s="71" t="str">
        <f t="shared" si="4393"/>
        <v/>
      </c>
      <c r="EH268" s="71" t="str">
        <f t="shared" si="4394"/>
        <v/>
      </c>
      <c r="EI268" s="71" t="str">
        <f t="shared" si="4395"/>
        <v/>
      </c>
      <c r="EJ268" s="71" t="str">
        <f t="shared" si="4396"/>
        <v/>
      </c>
      <c r="EK268" s="71" t="str">
        <f t="shared" si="4397"/>
        <v/>
      </c>
      <c r="EL268" s="71" t="str">
        <f t="shared" si="4398"/>
        <v/>
      </c>
      <c r="EM268" s="71" t="str">
        <f t="shared" si="4399"/>
        <v/>
      </c>
      <c r="EN268" s="71" t="str">
        <f t="shared" si="4400"/>
        <v/>
      </c>
      <c r="EO268" s="71" t="str">
        <f t="shared" si="4401"/>
        <v/>
      </c>
      <c r="EP268" s="71" t="str">
        <f t="shared" si="4402"/>
        <v/>
      </c>
      <c r="EQ268" s="71" t="str">
        <f t="shared" si="4403"/>
        <v/>
      </c>
      <c r="ER268" s="71" t="str">
        <f t="shared" si="4404"/>
        <v/>
      </c>
      <c r="ES268" s="71" t="str">
        <f t="shared" si="4405"/>
        <v/>
      </c>
      <c r="ET268" s="71" t="str">
        <f t="shared" si="4406"/>
        <v/>
      </c>
      <c r="EU268" s="71" t="str">
        <f t="shared" si="4407"/>
        <v/>
      </c>
      <c r="EV268" s="71" t="str">
        <f t="shared" si="4408"/>
        <v/>
      </c>
      <c r="EW268" s="71" t="str">
        <f t="shared" si="4409"/>
        <v/>
      </c>
      <c r="EX268" s="71" t="str">
        <f t="shared" si="4410"/>
        <v/>
      </c>
      <c r="EY268" s="71" t="str">
        <f t="shared" si="4411"/>
        <v/>
      </c>
      <c r="EZ268" s="71" t="str">
        <f t="shared" si="4412"/>
        <v/>
      </c>
      <c r="FA268" s="71" t="str">
        <f t="shared" si="4413"/>
        <v/>
      </c>
      <c r="FB268" s="71" t="str">
        <f t="shared" si="4414"/>
        <v/>
      </c>
      <c r="FC268" s="71" t="str">
        <f t="shared" si="4415"/>
        <v/>
      </c>
      <c r="FD268" s="71" t="str">
        <f t="shared" si="4416"/>
        <v/>
      </c>
      <c r="FE268" s="71" t="str">
        <f t="shared" si="4417"/>
        <v/>
      </c>
      <c r="FF268" s="71" t="str">
        <f t="shared" si="4418"/>
        <v/>
      </c>
      <c r="FG268" s="71" t="str">
        <f t="shared" si="4419"/>
        <v/>
      </c>
      <c r="FH268" s="71" t="str">
        <f t="shared" si="4420"/>
        <v/>
      </c>
      <c r="FI268" s="71" t="str">
        <f t="shared" si="4421"/>
        <v/>
      </c>
      <c r="FJ268" s="71" t="str">
        <f t="shared" si="4422"/>
        <v/>
      </c>
      <c r="FK268" s="71" t="str">
        <f t="shared" si="4423"/>
        <v/>
      </c>
      <c r="FL268" s="71" t="str">
        <f t="shared" si="4424"/>
        <v/>
      </c>
      <c r="FM268" s="71" t="str">
        <f t="shared" si="4425"/>
        <v/>
      </c>
      <c r="FN268" s="71" t="str">
        <f t="shared" si="4426"/>
        <v/>
      </c>
      <c r="FO268" s="71" t="str">
        <f t="shared" si="4427"/>
        <v/>
      </c>
      <c r="FP268" s="71" t="str">
        <f t="shared" si="4428"/>
        <v/>
      </c>
      <c r="FQ268" s="71" t="str">
        <f t="shared" si="4429"/>
        <v/>
      </c>
      <c r="FR268" s="71" t="str">
        <f t="shared" si="4430"/>
        <v/>
      </c>
      <c r="FS268" s="71" t="str">
        <f t="shared" si="4431"/>
        <v/>
      </c>
    </row>
    <row r="269" ht="15" spans="1:175">
      <c r="A269" s="138"/>
      <c r="B269" s="81" t="s">
        <v>882</v>
      </c>
      <c r="C269" s="70" t="s">
        <v>879</v>
      </c>
      <c r="T269" s="149"/>
      <c r="U269" s="89"/>
      <c r="CN269" s="69" t="str">
        <f t="shared" si="4356"/>
        <v>InitUnitState('IF04',,,,,,,,,,)</v>
      </c>
      <c r="CO269" s="69" t="str">
        <f t="shared" si="4357"/>
        <v>InitUnitNormal('IF04',,,,,,,,,,)</v>
      </c>
      <c r="CP269" s="69" t="str">
        <f t="shared" si="4358"/>
        <v>InitUnitMagic('IF04',,,,,,,,,,)</v>
      </c>
      <c r="CQ269" s="69" t="str">
        <f t="shared" si="4359"/>
        <v>InitUnitAdd('IF04',,,,,,,,,,)</v>
      </c>
      <c r="CR269" s="69" t="str">
        <f t="shared" si="4360"/>
        <v>InitEquipData('IF04',,"",,,,,'','','','','','',"")</v>
      </c>
      <c r="CU269" s="99" t="str">
        <f t="shared" si="4361"/>
        <v>|n</v>
      </c>
      <c r="CW269" s="60"/>
      <c r="CX269" s="60"/>
      <c r="CY269" s="60"/>
      <c r="CZ269" s="60"/>
      <c r="DA269" s="60"/>
      <c r="DB269" s="71" t="str">
        <f t="shared" si="4362"/>
        <v/>
      </c>
      <c r="DC269" s="71" t="str">
        <f t="shared" si="4363"/>
        <v/>
      </c>
      <c r="DD269" s="71" t="str">
        <f t="shared" si="4364"/>
        <v/>
      </c>
      <c r="DE269" s="71" t="str">
        <f t="shared" si="4365"/>
        <v/>
      </c>
      <c r="DF269" s="71" t="str">
        <f t="shared" si="4366"/>
        <v/>
      </c>
      <c r="DG269" s="71" t="str">
        <f t="shared" si="4367"/>
        <v/>
      </c>
      <c r="DH269" s="71" t="str">
        <f t="shared" si="4368"/>
        <v/>
      </c>
      <c r="DI269" s="71" t="str">
        <f t="shared" si="4369"/>
        <v/>
      </c>
      <c r="DJ269" s="71" t="str">
        <f t="shared" si="4370"/>
        <v/>
      </c>
      <c r="DK269" s="71" t="str">
        <f t="shared" si="4371"/>
        <v/>
      </c>
      <c r="DL269" s="71" t="str">
        <f t="shared" si="4372"/>
        <v/>
      </c>
      <c r="DM269" s="71" t="str">
        <f t="shared" si="4373"/>
        <v/>
      </c>
      <c r="DN269" s="71" t="str">
        <f t="shared" si="4374"/>
        <v/>
      </c>
      <c r="DO269" s="71" t="str">
        <f t="shared" si="4375"/>
        <v/>
      </c>
      <c r="DP269" s="71" t="str">
        <f t="shared" si="4376"/>
        <v/>
      </c>
      <c r="DQ269" s="71" t="str">
        <f t="shared" si="4377"/>
        <v/>
      </c>
      <c r="DR269" s="71" t="str">
        <f t="shared" si="4378"/>
        <v/>
      </c>
      <c r="DS269" s="71" t="str">
        <f t="shared" si="4379"/>
        <v/>
      </c>
      <c r="DT269" s="71" t="str">
        <f t="shared" si="4380"/>
        <v/>
      </c>
      <c r="DU269" s="71" t="str">
        <f t="shared" si="4381"/>
        <v/>
      </c>
      <c r="DV269" s="71" t="str">
        <f t="shared" si="4382"/>
        <v/>
      </c>
      <c r="DW269" s="71" t="str">
        <f t="shared" si="4383"/>
        <v/>
      </c>
      <c r="DX269" s="71" t="str">
        <f t="shared" si="4384"/>
        <v/>
      </c>
      <c r="DY269" s="71" t="str">
        <f t="shared" si="4385"/>
        <v/>
      </c>
      <c r="DZ269" s="71" t="str">
        <f t="shared" si="4386"/>
        <v/>
      </c>
      <c r="EA269" s="71" t="str">
        <f t="shared" si="4387"/>
        <v/>
      </c>
      <c r="EB269" s="71" t="str">
        <f t="shared" si="4388"/>
        <v/>
      </c>
      <c r="EC269" s="71" t="str">
        <f t="shared" si="4389"/>
        <v/>
      </c>
      <c r="ED269" s="71" t="str">
        <f t="shared" si="4390"/>
        <v/>
      </c>
      <c r="EE269" s="71" t="str">
        <f t="shared" si="4391"/>
        <v/>
      </c>
      <c r="EF269" s="71" t="str">
        <f t="shared" si="4392"/>
        <v/>
      </c>
      <c r="EG269" s="71" t="str">
        <f t="shared" si="4393"/>
        <v/>
      </c>
      <c r="EH269" s="71" t="str">
        <f t="shared" si="4394"/>
        <v/>
      </c>
      <c r="EI269" s="71" t="str">
        <f t="shared" si="4395"/>
        <v/>
      </c>
      <c r="EJ269" s="71" t="str">
        <f t="shared" si="4396"/>
        <v/>
      </c>
      <c r="EK269" s="71" t="str">
        <f t="shared" si="4397"/>
        <v/>
      </c>
      <c r="EL269" s="71" t="str">
        <f t="shared" si="4398"/>
        <v/>
      </c>
      <c r="EM269" s="71" t="str">
        <f t="shared" si="4399"/>
        <v/>
      </c>
      <c r="EN269" s="71" t="str">
        <f t="shared" si="4400"/>
        <v/>
      </c>
      <c r="EO269" s="71" t="str">
        <f t="shared" si="4401"/>
        <v/>
      </c>
      <c r="EP269" s="71" t="str">
        <f t="shared" si="4402"/>
        <v/>
      </c>
      <c r="EQ269" s="71" t="str">
        <f t="shared" si="4403"/>
        <v/>
      </c>
      <c r="ER269" s="71" t="str">
        <f t="shared" si="4404"/>
        <v/>
      </c>
      <c r="ES269" s="71" t="str">
        <f t="shared" si="4405"/>
        <v/>
      </c>
      <c r="ET269" s="71" t="str">
        <f t="shared" si="4406"/>
        <v/>
      </c>
      <c r="EU269" s="71" t="str">
        <f t="shared" si="4407"/>
        <v/>
      </c>
      <c r="EV269" s="71" t="str">
        <f t="shared" si="4408"/>
        <v/>
      </c>
      <c r="EW269" s="71" t="str">
        <f t="shared" si="4409"/>
        <v/>
      </c>
      <c r="EX269" s="71" t="str">
        <f t="shared" si="4410"/>
        <v/>
      </c>
      <c r="EY269" s="71" t="str">
        <f t="shared" si="4411"/>
        <v/>
      </c>
      <c r="EZ269" s="71" t="str">
        <f t="shared" si="4412"/>
        <v/>
      </c>
      <c r="FA269" s="71" t="str">
        <f t="shared" si="4413"/>
        <v/>
      </c>
      <c r="FB269" s="71" t="str">
        <f t="shared" si="4414"/>
        <v/>
      </c>
      <c r="FC269" s="71" t="str">
        <f t="shared" si="4415"/>
        <v/>
      </c>
      <c r="FD269" s="71" t="str">
        <f t="shared" si="4416"/>
        <v/>
      </c>
      <c r="FE269" s="71" t="str">
        <f t="shared" si="4417"/>
        <v/>
      </c>
      <c r="FF269" s="71" t="str">
        <f t="shared" si="4418"/>
        <v/>
      </c>
      <c r="FG269" s="71" t="str">
        <f t="shared" si="4419"/>
        <v/>
      </c>
      <c r="FH269" s="71" t="str">
        <f t="shared" si="4420"/>
        <v/>
      </c>
      <c r="FI269" s="71" t="str">
        <f t="shared" si="4421"/>
        <v/>
      </c>
      <c r="FJ269" s="71" t="str">
        <f t="shared" si="4422"/>
        <v/>
      </c>
      <c r="FK269" s="71" t="str">
        <f t="shared" si="4423"/>
        <v/>
      </c>
      <c r="FL269" s="71" t="str">
        <f t="shared" si="4424"/>
        <v/>
      </c>
      <c r="FM269" s="71" t="str">
        <f t="shared" si="4425"/>
        <v/>
      </c>
      <c r="FN269" s="71" t="str">
        <f t="shared" si="4426"/>
        <v/>
      </c>
      <c r="FO269" s="71" t="str">
        <f t="shared" si="4427"/>
        <v/>
      </c>
      <c r="FP269" s="71" t="str">
        <f t="shared" si="4428"/>
        <v/>
      </c>
      <c r="FQ269" s="71" t="str">
        <f t="shared" si="4429"/>
        <v/>
      </c>
      <c r="FR269" s="71" t="str">
        <f t="shared" si="4430"/>
        <v/>
      </c>
      <c r="FS269" s="71" t="str">
        <f t="shared" si="4431"/>
        <v/>
      </c>
    </row>
    <row r="270" ht="15" spans="1:175">
      <c r="A270" s="138"/>
      <c r="B270" s="81" t="s">
        <v>883</v>
      </c>
      <c r="C270" s="70" t="s">
        <v>879</v>
      </c>
      <c r="T270" s="149"/>
      <c r="U270" s="89"/>
      <c r="CN270" s="69" t="str">
        <f t="shared" si="4356"/>
        <v>InitUnitState('IF05',,,,,,,,,,)</v>
      </c>
      <c r="CO270" s="69" t="str">
        <f t="shared" si="4357"/>
        <v>InitUnitNormal('IF05',,,,,,,,,,)</v>
      </c>
      <c r="CP270" s="69" t="str">
        <f t="shared" si="4358"/>
        <v>InitUnitMagic('IF05',,,,,,,,,,)</v>
      </c>
      <c r="CQ270" s="69" t="str">
        <f t="shared" si="4359"/>
        <v>InitUnitAdd('IF05',,,,,,,,,,)</v>
      </c>
      <c r="CR270" s="69" t="str">
        <f t="shared" si="4360"/>
        <v>InitEquipData('IF05',,"",,,,,'','','','','','',"")</v>
      </c>
      <c r="CU270" s="99" t="str">
        <f t="shared" si="4361"/>
        <v>|n</v>
      </c>
      <c r="CW270" s="60"/>
      <c r="CX270" s="60"/>
      <c r="CY270" s="60"/>
      <c r="CZ270" s="60"/>
      <c r="DA270" s="60"/>
      <c r="DB270" s="71" t="str">
        <f t="shared" si="4362"/>
        <v/>
      </c>
      <c r="DC270" s="71" t="str">
        <f t="shared" si="4363"/>
        <v/>
      </c>
      <c r="DD270" s="71" t="str">
        <f t="shared" si="4364"/>
        <v/>
      </c>
      <c r="DE270" s="71" t="str">
        <f t="shared" si="4365"/>
        <v/>
      </c>
      <c r="DF270" s="71" t="str">
        <f t="shared" si="4366"/>
        <v/>
      </c>
      <c r="DG270" s="71" t="str">
        <f t="shared" si="4367"/>
        <v/>
      </c>
      <c r="DH270" s="71" t="str">
        <f t="shared" si="4368"/>
        <v/>
      </c>
      <c r="DI270" s="71" t="str">
        <f t="shared" si="4369"/>
        <v/>
      </c>
      <c r="DJ270" s="71" t="str">
        <f t="shared" si="4370"/>
        <v/>
      </c>
      <c r="DK270" s="71" t="str">
        <f t="shared" si="4371"/>
        <v/>
      </c>
      <c r="DL270" s="71" t="str">
        <f t="shared" si="4372"/>
        <v/>
      </c>
      <c r="DM270" s="71" t="str">
        <f t="shared" si="4373"/>
        <v/>
      </c>
      <c r="DN270" s="71" t="str">
        <f t="shared" si="4374"/>
        <v/>
      </c>
      <c r="DO270" s="71" t="str">
        <f t="shared" si="4375"/>
        <v/>
      </c>
      <c r="DP270" s="71" t="str">
        <f t="shared" si="4376"/>
        <v/>
      </c>
      <c r="DQ270" s="71" t="str">
        <f t="shared" si="4377"/>
        <v/>
      </c>
      <c r="DR270" s="71" t="str">
        <f t="shared" si="4378"/>
        <v/>
      </c>
      <c r="DS270" s="71" t="str">
        <f t="shared" si="4379"/>
        <v/>
      </c>
      <c r="DT270" s="71" t="str">
        <f t="shared" si="4380"/>
        <v/>
      </c>
      <c r="DU270" s="71" t="str">
        <f t="shared" si="4381"/>
        <v/>
      </c>
      <c r="DV270" s="71" t="str">
        <f t="shared" si="4382"/>
        <v/>
      </c>
      <c r="DW270" s="71" t="str">
        <f t="shared" si="4383"/>
        <v/>
      </c>
      <c r="DX270" s="71" t="str">
        <f t="shared" si="4384"/>
        <v/>
      </c>
      <c r="DY270" s="71" t="str">
        <f t="shared" si="4385"/>
        <v/>
      </c>
      <c r="DZ270" s="71" t="str">
        <f t="shared" si="4386"/>
        <v/>
      </c>
      <c r="EA270" s="71" t="str">
        <f t="shared" si="4387"/>
        <v/>
      </c>
      <c r="EB270" s="71" t="str">
        <f t="shared" si="4388"/>
        <v/>
      </c>
      <c r="EC270" s="71" t="str">
        <f t="shared" si="4389"/>
        <v/>
      </c>
      <c r="ED270" s="71" t="str">
        <f t="shared" si="4390"/>
        <v/>
      </c>
      <c r="EE270" s="71" t="str">
        <f t="shared" si="4391"/>
        <v/>
      </c>
      <c r="EF270" s="71" t="str">
        <f t="shared" si="4392"/>
        <v/>
      </c>
      <c r="EG270" s="71" t="str">
        <f t="shared" si="4393"/>
        <v/>
      </c>
      <c r="EH270" s="71" t="str">
        <f t="shared" si="4394"/>
        <v/>
      </c>
      <c r="EI270" s="71" t="str">
        <f t="shared" si="4395"/>
        <v/>
      </c>
      <c r="EJ270" s="71" t="str">
        <f t="shared" si="4396"/>
        <v/>
      </c>
      <c r="EK270" s="71" t="str">
        <f t="shared" si="4397"/>
        <v/>
      </c>
      <c r="EL270" s="71" t="str">
        <f t="shared" si="4398"/>
        <v/>
      </c>
      <c r="EM270" s="71" t="str">
        <f t="shared" si="4399"/>
        <v/>
      </c>
      <c r="EN270" s="71" t="str">
        <f t="shared" si="4400"/>
        <v/>
      </c>
      <c r="EO270" s="71" t="str">
        <f t="shared" si="4401"/>
        <v/>
      </c>
      <c r="EP270" s="71" t="str">
        <f t="shared" si="4402"/>
        <v/>
      </c>
      <c r="EQ270" s="71" t="str">
        <f t="shared" si="4403"/>
        <v/>
      </c>
      <c r="ER270" s="71" t="str">
        <f t="shared" si="4404"/>
        <v/>
      </c>
      <c r="ES270" s="71" t="str">
        <f t="shared" si="4405"/>
        <v/>
      </c>
      <c r="ET270" s="71" t="str">
        <f t="shared" si="4406"/>
        <v/>
      </c>
      <c r="EU270" s="71" t="str">
        <f t="shared" si="4407"/>
        <v/>
      </c>
      <c r="EV270" s="71" t="str">
        <f t="shared" si="4408"/>
        <v/>
      </c>
      <c r="EW270" s="71" t="str">
        <f t="shared" si="4409"/>
        <v/>
      </c>
      <c r="EX270" s="71" t="str">
        <f t="shared" si="4410"/>
        <v/>
      </c>
      <c r="EY270" s="71" t="str">
        <f t="shared" si="4411"/>
        <v/>
      </c>
      <c r="EZ270" s="71" t="str">
        <f t="shared" si="4412"/>
        <v/>
      </c>
      <c r="FA270" s="71" t="str">
        <f t="shared" si="4413"/>
        <v/>
      </c>
      <c r="FB270" s="71" t="str">
        <f t="shared" si="4414"/>
        <v/>
      </c>
      <c r="FC270" s="71" t="str">
        <f t="shared" si="4415"/>
        <v/>
      </c>
      <c r="FD270" s="71" t="str">
        <f t="shared" si="4416"/>
        <v/>
      </c>
      <c r="FE270" s="71" t="str">
        <f t="shared" si="4417"/>
        <v/>
      </c>
      <c r="FF270" s="71" t="str">
        <f t="shared" si="4418"/>
        <v/>
      </c>
      <c r="FG270" s="71" t="str">
        <f t="shared" si="4419"/>
        <v/>
      </c>
      <c r="FH270" s="71" t="str">
        <f t="shared" si="4420"/>
        <v/>
      </c>
      <c r="FI270" s="71" t="str">
        <f t="shared" si="4421"/>
        <v/>
      </c>
      <c r="FJ270" s="71" t="str">
        <f t="shared" si="4422"/>
        <v/>
      </c>
      <c r="FK270" s="71" t="str">
        <f t="shared" si="4423"/>
        <v/>
      </c>
      <c r="FL270" s="71" t="str">
        <f t="shared" si="4424"/>
        <v/>
      </c>
      <c r="FM270" s="71" t="str">
        <f t="shared" si="4425"/>
        <v/>
      </c>
      <c r="FN270" s="71" t="str">
        <f t="shared" si="4426"/>
        <v/>
      </c>
      <c r="FO270" s="71" t="str">
        <f t="shared" si="4427"/>
        <v/>
      </c>
      <c r="FP270" s="71" t="str">
        <f t="shared" si="4428"/>
        <v/>
      </c>
      <c r="FQ270" s="71" t="str">
        <f t="shared" si="4429"/>
        <v/>
      </c>
      <c r="FR270" s="71" t="str">
        <f t="shared" si="4430"/>
        <v/>
      </c>
      <c r="FS270" s="71" t="str">
        <f t="shared" si="4431"/>
        <v/>
      </c>
    </row>
    <row r="271" ht="15" spans="1:175">
      <c r="A271" s="138"/>
      <c r="B271" s="81" t="s">
        <v>884</v>
      </c>
      <c r="C271" s="70" t="s">
        <v>879</v>
      </c>
      <c r="T271" s="149"/>
      <c r="U271" s="89"/>
      <c r="CN271" s="69" t="str">
        <f t="shared" si="4356"/>
        <v>InitUnitState('IF06',,,,,,,,,,)</v>
      </c>
      <c r="CO271" s="69" t="str">
        <f t="shared" si="4357"/>
        <v>InitUnitNormal('IF06',,,,,,,,,,)</v>
      </c>
      <c r="CP271" s="69" t="str">
        <f t="shared" si="4358"/>
        <v>InitUnitMagic('IF06',,,,,,,,,,)</v>
      </c>
      <c r="CQ271" s="69" t="str">
        <f t="shared" si="4359"/>
        <v>InitUnitAdd('IF06',,,,,,,,,,)</v>
      </c>
      <c r="CR271" s="69" t="str">
        <f t="shared" si="4360"/>
        <v>InitEquipData('IF06',,"",,,,,'','','','','','',"")</v>
      </c>
      <c r="CU271" s="99" t="str">
        <f t="shared" si="4361"/>
        <v>|n</v>
      </c>
      <c r="CW271" s="60"/>
      <c r="CX271" s="60"/>
      <c r="CY271" s="60"/>
      <c r="CZ271" s="60"/>
      <c r="DA271" s="60"/>
      <c r="DB271" s="71" t="str">
        <f t="shared" si="4362"/>
        <v/>
      </c>
      <c r="DC271" s="71" t="str">
        <f t="shared" si="4363"/>
        <v/>
      </c>
      <c r="DD271" s="71" t="str">
        <f t="shared" si="4364"/>
        <v/>
      </c>
      <c r="DE271" s="71" t="str">
        <f t="shared" si="4365"/>
        <v/>
      </c>
      <c r="DF271" s="71" t="str">
        <f t="shared" si="4366"/>
        <v/>
      </c>
      <c r="DG271" s="71" t="str">
        <f t="shared" si="4367"/>
        <v/>
      </c>
      <c r="DH271" s="71" t="str">
        <f t="shared" si="4368"/>
        <v/>
      </c>
      <c r="DI271" s="71" t="str">
        <f t="shared" si="4369"/>
        <v/>
      </c>
      <c r="DJ271" s="71" t="str">
        <f t="shared" si="4370"/>
        <v/>
      </c>
      <c r="DK271" s="71" t="str">
        <f t="shared" si="4371"/>
        <v/>
      </c>
      <c r="DL271" s="71" t="str">
        <f t="shared" si="4372"/>
        <v/>
      </c>
      <c r="DM271" s="71" t="str">
        <f t="shared" si="4373"/>
        <v/>
      </c>
      <c r="DN271" s="71" t="str">
        <f t="shared" si="4374"/>
        <v/>
      </c>
      <c r="DO271" s="71" t="str">
        <f t="shared" si="4375"/>
        <v/>
      </c>
      <c r="DP271" s="71" t="str">
        <f t="shared" si="4376"/>
        <v/>
      </c>
      <c r="DQ271" s="71" t="str">
        <f t="shared" si="4377"/>
        <v/>
      </c>
      <c r="DR271" s="71" t="str">
        <f t="shared" si="4378"/>
        <v/>
      </c>
      <c r="DS271" s="71" t="str">
        <f t="shared" si="4379"/>
        <v/>
      </c>
      <c r="DT271" s="71" t="str">
        <f t="shared" si="4380"/>
        <v/>
      </c>
      <c r="DU271" s="71" t="str">
        <f t="shared" si="4381"/>
        <v/>
      </c>
      <c r="DV271" s="71" t="str">
        <f t="shared" si="4382"/>
        <v/>
      </c>
      <c r="DW271" s="71" t="str">
        <f t="shared" si="4383"/>
        <v/>
      </c>
      <c r="DX271" s="71" t="str">
        <f t="shared" si="4384"/>
        <v/>
      </c>
      <c r="DY271" s="71" t="str">
        <f t="shared" si="4385"/>
        <v/>
      </c>
      <c r="DZ271" s="71" t="str">
        <f t="shared" si="4386"/>
        <v/>
      </c>
      <c r="EA271" s="71" t="str">
        <f t="shared" si="4387"/>
        <v/>
      </c>
      <c r="EB271" s="71" t="str">
        <f t="shared" si="4388"/>
        <v/>
      </c>
      <c r="EC271" s="71" t="str">
        <f t="shared" si="4389"/>
        <v/>
      </c>
      <c r="ED271" s="71" t="str">
        <f t="shared" si="4390"/>
        <v/>
      </c>
      <c r="EE271" s="71" t="str">
        <f t="shared" si="4391"/>
        <v/>
      </c>
      <c r="EF271" s="71" t="str">
        <f t="shared" si="4392"/>
        <v/>
      </c>
      <c r="EG271" s="71" t="str">
        <f t="shared" si="4393"/>
        <v/>
      </c>
      <c r="EH271" s="71" t="str">
        <f t="shared" si="4394"/>
        <v/>
      </c>
      <c r="EI271" s="71" t="str">
        <f t="shared" si="4395"/>
        <v/>
      </c>
      <c r="EJ271" s="71" t="str">
        <f t="shared" si="4396"/>
        <v/>
      </c>
      <c r="EK271" s="71" t="str">
        <f t="shared" si="4397"/>
        <v/>
      </c>
      <c r="EL271" s="71" t="str">
        <f t="shared" si="4398"/>
        <v/>
      </c>
      <c r="EM271" s="71" t="str">
        <f t="shared" si="4399"/>
        <v/>
      </c>
      <c r="EN271" s="71" t="str">
        <f t="shared" si="4400"/>
        <v/>
      </c>
      <c r="EO271" s="71" t="str">
        <f t="shared" si="4401"/>
        <v/>
      </c>
      <c r="EP271" s="71" t="str">
        <f t="shared" si="4402"/>
        <v/>
      </c>
      <c r="EQ271" s="71" t="str">
        <f t="shared" si="4403"/>
        <v/>
      </c>
      <c r="ER271" s="71" t="str">
        <f t="shared" si="4404"/>
        <v/>
      </c>
      <c r="ES271" s="71" t="str">
        <f t="shared" si="4405"/>
        <v/>
      </c>
      <c r="ET271" s="71" t="str">
        <f t="shared" si="4406"/>
        <v/>
      </c>
      <c r="EU271" s="71" t="str">
        <f t="shared" si="4407"/>
        <v/>
      </c>
      <c r="EV271" s="71" t="str">
        <f t="shared" si="4408"/>
        <v/>
      </c>
      <c r="EW271" s="71" t="str">
        <f t="shared" si="4409"/>
        <v/>
      </c>
      <c r="EX271" s="71" t="str">
        <f t="shared" si="4410"/>
        <v/>
      </c>
      <c r="EY271" s="71" t="str">
        <f t="shared" si="4411"/>
        <v/>
      </c>
      <c r="EZ271" s="71" t="str">
        <f t="shared" si="4412"/>
        <v/>
      </c>
      <c r="FA271" s="71" t="str">
        <f t="shared" si="4413"/>
        <v/>
      </c>
      <c r="FB271" s="71" t="str">
        <f t="shared" si="4414"/>
        <v/>
      </c>
      <c r="FC271" s="71" t="str">
        <f t="shared" si="4415"/>
        <v/>
      </c>
      <c r="FD271" s="71" t="str">
        <f t="shared" si="4416"/>
        <v/>
      </c>
      <c r="FE271" s="71" t="str">
        <f t="shared" si="4417"/>
        <v/>
      </c>
      <c r="FF271" s="71" t="str">
        <f t="shared" si="4418"/>
        <v/>
      </c>
      <c r="FG271" s="71" t="str">
        <f t="shared" si="4419"/>
        <v/>
      </c>
      <c r="FH271" s="71" t="str">
        <f t="shared" si="4420"/>
        <v/>
      </c>
      <c r="FI271" s="71" t="str">
        <f t="shared" si="4421"/>
        <v/>
      </c>
      <c r="FJ271" s="71" t="str">
        <f t="shared" si="4422"/>
        <v/>
      </c>
      <c r="FK271" s="71" t="str">
        <f t="shared" si="4423"/>
        <v/>
      </c>
      <c r="FL271" s="71" t="str">
        <f t="shared" si="4424"/>
        <v/>
      </c>
      <c r="FM271" s="71" t="str">
        <f t="shared" si="4425"/>
        <v/>
      </c>
      <c r="FN271" s="71" t="str">
        <f t="shared" si="4426"/>
        <v/>
      </c>
      <c r="FO271" s="71" t="str">
        <f t="shared" si="4427"/>
        <v/>
      </c>
      <c r="FP271" s="71" t="str">
        <f t="shared" si="4428"/>
        <v/>
      </c>
      <c r="FQ271" s="71" t="str">
        <f t="shared" si="4429"/>
        <v/>
      </c>
      <c r="FR271" s="71" t="str">
        <f t="shared" si="4430"/>
        <v/>
      </c>
      <c r="FS271" s="71" t="str">
        <f t="shared" si="4431"/>
        <v/>
      </c>
    </row>
    <row r="272" ht="15" spans="1:175">
      <c r="A272" s="138"/>
      <c r="B272" s="81" t="s">
        <v>885</v>
      </c>
      <c r="C272" s="70" t="s">
        <v>879</v>
      </c>
      <c r="T272" s="149"/>
      <c r="U272" s="89"/>
      <c r="CN272" s="69" t="str">
        <f t="shared" si="4356"/>
        <v>InitUnitState('IF07',,,,,,,,,,)</v>
      </c>
      <c r="CO272" s="69" t="str">
        <f t="shared" si="4357"/>
        <v>InitUnitNormal('IF07',,,,,,,,,,)</v>
      </c>
      <c r="CP272" s="69" t="str">
        <f t="shared" si="4358"/>
        <v>InitUnitMagic('IF07',,,,,,,,,,)</v>
      </c>
      <c r="CQ272" s="69" t="str">
        <f t="shared" si="4359"/>
        <v>InitUnitAdd('IF07',,,,,,,,,,)</v>
      </c>
      <c r="CR272" s="69" t="str">
        <f t="shared" si="4360"/>
        <v>InitEquipData('IF07',,"",,,,,'','','','','','',"")</v>
      </c>
      <c r="CU272" s="99" t="str">
        <f t="shared" si="4361"/>
        <v>|n</v>
      </c>
      <c r="CW272" s="60"/>
      <c r="CX272" s="60"/>
      <c r="CY272" s="60"/>
      <c r="CZ272" s="60"/>
      <c r="DA272" s="60"/>
      <c r="DB272" s="71" t="str">
        <f t="shared" si="4362"/>
        <v/>
      </c>
      <c r="DC272" s="71" t="str">
        <f t="shared" si="4363"/>
        <v/>
      </c>
      <c r="DD272" s="71" t="str">
        <f t="shared" si="4364"/>
        <v/>
      </c>
      <c r="DE272" s="71" t="str">
        <f t="shared" si="4365"/>
        <v/>
      </c>
      <c r="DF272" s="71" t="str">
        <f t="shared" si="4366"/>
        <v/>
      </c>
      <c r="DG272" s="71" t="str">
        <f t="shared" si="4367"/>
        <v/>
      </c>
      <c r="DH272" s="71" t="str">
        <f t="shared" si="4368"/>
        <v/>
      </c>
      <c r="DI272" s="71" t="str">
        <f t="shared" si="4369"/>
        <v/>
      </c>
      <c r="DJ272" s="71" t="str">
        <f t="shared" si="4370"/>
        <v/>
      </c>
      <c r="DK272" s="71" t="str">
        <f t="shared" si="4371"/>
        <v/>
      </c>
      <c r="DL272" s="71" t="str">
        <f t="shared" si="4372"/>
        <v/>
      </c>
      <c r="DM272" s="71" t="str">
        <f t="shared" si="4373"/>
        <v/>
      </c>
      <c r="DN272" s="71" t="str">
        <f t="shared" si="4374"/>
        <v/>
      </c>
      <c r="DO272" s="71" t="str">
        <f t="shared" si="4375"/>
        <v/>
      </c>
      <c r="DP272" s="71" t="str">
        <f t="shared" si="4376"/>
        <v/>
      </c>
      <c r="DQ272" s="71" t="str">
        <f t="shared" si="4377"/>
        <v/>
      </c>
      <c r="DR272" s="71" t="str">
        <f t="shared" si="4378"/>
        <v/>
      </c>
      <c r="DS272" s="71" t="str">
        <f t="shared" si="4379"/>
        <v/>
      </c>
      <c r="DT272" s="71" t="str">
        <f t="shared" si="4380"/>
        <v/>
      </c>
      <c r="DU272" s="71" t="str">
        <f t="shared" si="4381"/>
        <v/>
      </c>
      <c r="DV272" s="71" t="str">
        <f t="shared" si="4382"/>
        <v/>
      </c>
      <c r="DW272" s="71" t="str">
        <f t="shared" si="4383"/>
        <v/>
      </c>
      <c r="DX272" s="71" t="str">
        <f t="shared" si="4384"/>
        <v/>
      </c>
      <c r="DY272" s="71" t="str">
        <f t="shared" si="4385"/>
        <v/>
      </c>
      <c r="DZ272" s="71" t="str">
        <f t="shared" si="4386"/>
        <v/>
      </c>
      <c r="EA272" s="71" t="str">
        <f t="shared" si="4387"/>
        <v/>
      </c>
      <c r="EB272" s="71" t="str">
        <f t="shared" si="4388"/>
        <v/>
      </c>
      <c r="EC272" s="71" t="str">
        <f t="shared" si="4389"/>
        <v/>
      </c>
      <c r="ED272" s="71" t="str">
        <f t="shared" si="4390"/>
        <v/>
      </c>
      <c r="EE272" s="71" t="str">
        <f t="shared" si="4391"/>
        <v/>
      </c>
      <c r="EF272" s="71" t="str">
        <f t="shared" si="4392"/>
        <v/>
      </c>
      <c r="EG272" s="71" t="str">
        <f t="shared" si="4393"/>
        <v/>
      </c>
      <c r="EH272" s="71" t="str">
        <f t="shared" si="4394"/>
        <v/>
      </c>
      <c r="EI272" s="71" t="str">
        <f t="shared" si="4395"/>
        <v/>
      </c>
      <c r="EJ272" s="71" t="str">
        <f t="shared" si="4396"/>
        <v/>
      </c>
      <c r="EK272" s="71" t="str">
        <f t="shared" si="4397"/>
        <v/>
      </c>
      <c r="EL272" s="71" t="str">
        <f t="shared" si="4398"/>
        <v/>
      </c>
      <c r="EM272" s="71" t="str">
        <f t="shared" si="4399"/>
        <v/>
      </c>
      <c r="EN272" s="71" t="str">
        <f t="shared" si="4400"/>
        <v/>
      </c>
      <c r="EO272" s="71" t="str">
        <f t="shared" si="4401"/>
        <v/>
      </c>
      <c r="EP272" s="71" t="str">
        <f t="shared" si="4402"/>
        <v/>
      </c>
      <c r="EQ272" s="71" t="str">
        <f t="shared" si="4403"/>
        <v/>
      </c>
      <c r="ER272" s="71" t="str">
        <f t="shared" si="4404"/>
        <v/>
      </c>
      <c r="ES272" s="71" t="str">
        <f t="shared" si="4405"/>
        <v/>
      </c>
      <c r="ET272" s="71" t="str">
        <f t="shared" si="4406"/>
        <v/>
      </c>
      <c r="EU272" s="71" t="str">
        <f t="shared" si="4407"/>
        <v/>
      </c>
      <c r="EV272" s="71" t="str">
        <f t="shared" si="4408"/>
        <v/>
      </c>
      <c r="EW272" s="71" t="str">
        <f t="shared" si="4409"/>
        <v/>
      </c>
      <c r="EX272" s="71" t="str">
        <f t="shared" si="4410"/>
        <v/>
      </c>
      <c r="EY272" s="71" t="str">
        <f t="shared" si="4411"/>
        <v/>
      </c>
      <c r="EZ272" s="71" t="str">
        <f t="shared" si="4412"/>
        <v/>
      </c>
      <c r="FA272" s="71" t="str">
        <f t="shared" si="4413"/>
        <v/>
      </c>
      <c r="FB272" s="71" t="str">
        <f t="shared" si="4414"/>
        <v/>
      </c>
      <c r="FC272" s="71" t="str">
        <f t="shared" si="4415"/>
        <v/>
      </c>
      <c r="FD272" s="71" t="str">
        <f t="shared" si="4416"/>
        <v/>
      </c>
      <c r="FE272" s="71" t="str">
        <f t="shared" si="4417"/>
        <v/>
      </c>
      <c r="FF272" s="71" t="str">
        <f t="shared" si="4418"/>
        <v/>
      </c>
      <c r="FG272" s="71" t="str">
        <f t="shared" si="4419"/>
        <v/>
      </c>
      <c r="FH272" s="71" t="str">
        <f t="shared" si="4420"/>
        <v/>
      </c>
      <c r="FI272" s="71" t="str">
        <f t="shared" si="4421"/>
        <v/>
      </c>
      <c r="FJ272" s="71" t="str">
        <f t="shared" si="4422"/>
        <v/>
      </c>
      <c r="FK272" s="71" t="str">
        <f t="shared" si="4423"/>
        <v/>
      </c>
      <c r="FL272" s="71" t="str">
        <f t="shared" si="4424"/>
        <v/>
      </c>
      <c r="FM272" s="71" t="str">
        <f t="shared" si="4425"/>
        <v/>
      </c>
      <c r="FN272" s="71" t="str">
        <f t="shared" si="4426"/>
        <v/>
      </c>
      <c r="FO272" s="71" t="str">
        <f t="shared" si="4427"/>
        <v/>
      </c>
      <c r="FP272" s="71" t="str">
        <f t="shared" si="4428"/>
        <v/>
      </c>
      <c r="FQ272" s="71" t="str">
        <f t="shared" si="4429"/>
        <v/>
      </c>
      <c r="FR272" s="71" t="str">
        <f t="shared" si="4430"/>
        <v/>
      </c>
      <c r="FS272" s="71" t="str">
        <f t="shared" si="4431"/>
        <v/>
      </c>
    </row>
    <row r="273" ht="15" spans="1:175">
      <c r="A273" s="138"/>
      <c r="B273" s="81" t="s">
        <v>886</v>
      </c>
      <c r="C273" s="70" t="s">
        <v>879</v>
      </c>
      <c r="T273" s="149"/>
      <c r="U273" s="89"/>
      <c r="CN273" s="69" t="str">
        <f t="shared" si="4356"/>
        <v>InitUnitState('IF08',,,,,,,,,,)</v>
      </c>
      <c r="CO273" s="69" t="str">
        <f t="shared" si="4357"/>
        <v>InitUnitNormal('IF08',,,,,,,,,,)</v>
      </c>
      <c r="CP273" s="69" t="str">
        <f t="shared" si="4358"/>
        <v>InitUnitMagic('IF08',,,,,,,,,,)</v>
      </c>
      <c r="CQ273" s="69" t="str">
        <f t="shared" si="4359"/>
        <v>InitUnitAdd('IF08',,,,,,,,,,)</v>
      </c>
      <c r="CR273" s="69" t="str">
        <f t="shared" si="4360"/>
        <v>InitEquipData('IF08',,"",,,,,'','','','','','',"")</v>
      </c>
      <c r="CU273" s="99" t="str">
        <f t="shared" si="4361"/>
        <v>|n</v>
      </c>
      <c r="CW273" s="60"/>
      <c r="CX273" s="60"/>
      <c r="CY273" s="60"/>
      <c r="CZ273" s="60"/>
      <c r="DA273" s="60"/>
      <c r="DB273" s="71" t="str">
        <f t="shared" si="4362"/>
        <v/>
      </c>
      <c r="DC273" s="71" t="str">
        <f t="shared" si="4363"/>
        <v/>
      </c>
      <c r="DD273" s="71" t="str">
        <f t="shared" si="4364"/>
        <v/>
      </c>
      <c r="DE273" s="71" t="str">
        <f t="shared" si="4365"/>
        <v/>
      </c>
      <c r="DF273" s="71" t="str">
        <f t="shared" si="4366"/>
        <v/>
      </c>
      <c r="DG273" s="71" t="str">
        <f t="shared" si="4367"/>
        <v/>
      </c>
      <c r="DH273" s="71" t="str">
        <f t="shared" si="4368"/>
        <v/>
      </c>
      <c r="DI273" s="71" t="str">
        <f t="shared" si="4369"/>
        <v/>
      </c>
      <c r="DJ273" s="71" t="str">
        <f t="shared" si="4370"/>
        <v/>
      </c>
      <c r="DK273" s="71" t="str">
        <f t="shared" si="4371"/>
        <v/>
      </c>
      <c r="DL273" s="71" t="str">
        <f t="shared" si="4372"/>
        <v/>
      </c>
      <c r="DM273" s="71" t="str">
        <f t="shared" si="4373"/>
        <v/>
      </c>
      <c r="DN273" s="71" t="str">
        <f t="shared" si="4374"/>
        <v/>
      </c>
      <c r="DO273" s="71" t="str">
        <f t="shared" si="4375"/>
        <v/>
      </c>
      <c r="DP273" s="71" t="str">
        <f t="shared" si="4376"/>
        <v/>
      </c>
      <c r="DQ273" s="71" t="str">
        <f t="shared" si="4377"/>
        <v/>
      </c>
      <c r="DR273" s="71" t="str">
        <f t="shared" si="4378"/>
        <v/>
      </c>
      <c r="DS273" s="71" t="str">
        <f t="shared" si="4379"/>
        <v/>
      </c>
      <c r="DT273" s="71" t="str">
        <f t="shared" si="4380"/>
        <v/>
      </c>
      <c r="DU273" s="71" t="str">
        <f t="shared" si="4381"/>
        <v/>
      </c>
      <c r="DV273" s="71" t="str">
        <f t="shared" si="4382"/>
        <v/>
      </c>
      <c r="DW273" s="71" t="str">
        <f t="shared" si="4383"/>
        <v/>
      </c>
      <c r="DX273" s="71" t="str">
        <f t="shared" si="4384"/>
        <v/>
      </c>
      <c r="DY273" s="71" t="str">
        <f t="shared" si="4385"/>
        <v/>
      </c>
      <c r="DZ273" s="71" t="str">
        <f t="shared" si="4386"/>
        <v/>
      </c>
      <c r="EA273" s="71" t="str">
        <f t="shared" si="4387"/>
        <v/>
      </c>
      <c r="EB273" s="71" t="str">
        <f t="shared" si="4388"/>
        <v/>
      </c>
      <c r="EC273" s="71" t="str">
        <f t="shared" si="4389"/>
        <v/>
      </c>
      <c r="ED273" s="71" t="str">
        <f t="shared" si="4390"/>
        <v/>
      </c>
      <c r="EE273" s="71" t="str">
        <f t="shared" si="4391"/>
        <v/>
      </c>
      <c r="EF273" s="71" t="str">
        <f t="shared" si="4392"/>
        <v/>
      </c>
      <c r="EG273" s="71" t="str">
        <f t="shared" si="4393"/>
        <v/>
      </c>
      <c r="EH273" s="71" t="str">
        <f t="shared" si="4394"/>
        <v/>
      </c>
      <c r="EI273" s="71" t="str">
        <f t="shared" si="4395"/>
        <v/>
      </c>
      <c r="EJ273" s="71" t="str">
        <f t="shared" si="4396"/>
        <v/>
      </c>
      <c r="EK273" s="71" t="str">
        <f t="shared" si="4397"/>
        <v/>
      </c>
      <c r="EL273" s="71" t="str">
        <f t="shared" si="4398"/>
        <v/>
      </c>
      <c r="EM273" s="71" t="str">
        <f t="shared" si="4399"/>
        <v/>
      </c>
      <c r="EN273" s="71" t="str">
        <f t="shared" si="4400"/>
        <v/>
      </c>
      <c r="EO273" s="71" t="str">
        <f t="shared" si="4401"/>
        <v/>
      </c>
      <c r="EP273" s="71" t="str">
        <f t="shared" si="4402"/>
        <v/>
      </c>
      <c r="EQ273" s="71" t="str">
        <f t="shared" si="4403"/>
        <v/>
      </c>
      <c r="ER273" s="71" t="str">
        <f t="shared" si="4404"/>
        <v/>
      </c>
      <c r="ES273" s="71" t="str">
        <f t="shared" si="4405"/>
        <v/>
      </c>
      <c r="ET273" s="71" t="str">
        <f t="shared" si="4406"/>
        <v/>
      </c>
      <c r="EU273" s="71" t="str">
        <f t="shared" si="4407"/>
        <v/>
      </c>
      <c r="EV273" s="71" t="str">
        <f t="shared" si="4408"/>
        <v/>
      </c>
      <c r="EW273" s="71" t="str">
        <f t="shared" si="4409"/>
        <v/>
      </c>
      <c r="EX273" s="71" t="str">
        <f t="shared" si="4410"/>
        <v/>
      </c>
      <c r="EY273" s="71" t="str">
        <f t="shared" si="4411"/>
        <v/>
      </c>
      <c r="EZ273" s="71" t="str">
        <f t="shared" si="4412"/>
        <v/>
      </c>
      <c r="FA273" s="71" t="str">
        <f t="shared" si="4413"/>
        <v/>
      </c>
      <c r="FB273" s="71" t="str">
        <f t="shared" si="4414"/>
        <v/>
      </c>
      <c r="FC273" s="71" t="str">
        <f t="shared" si="4415"/>
        <v/>
      </c>
      <c r="FD273" s="71" t="str">
        <f t="shared" si="4416"/>
        <v/>
      </c>
      <c r="FE273" s="71" t="str">
        <f t="shared" si="4417"/>
        <v/>
      </c>
      <c r="FF273" s="71" t="str">
        <f t="shared" si="4418"/>
        <v/>
      </c>
      <c r="FG273" s="71" t="str">
        <f t="shared" si="4419"/>
        <v/>
      </c>
      <c r="FH273" s="71" t="str">
        <f t="shared" si="4420"/>
        <v/>
      </c>
      <c r="FI273" s="71" t="str">
        <f t="shared" si="4421"/>
        <v/>
      </c>
      <c r="FJ273" s="71" t="str">
        <f t="shared" si="4422"/>
        <v/>
      </c>
      <c r="FK273" s="71" t="str">
        <f t="shared" si="4423"/>
        <v/>
      </c>
      <c r="FL273" s="71" t="str">
        <f t="shared" si="4424"/>
        <v/>
      </c>
      <c r="FM273" s="71" t="str">
        <f t="shared" si="4425"/>
        <v/>
      </c>
      <c r="FN273" s="71" t="str">
        <f t="shared" si="4426"/>
        <v/>
      </c>
      <c r="FO273" s="71" t="str">
        <f t="shared" si="4427"/>
        <v/>
      </c>
      <c r="FP273" s="71" t="str">
        <f t="shared" si="4428"/>
        <v/>
      </c>
      <c r="FQ273" s="71" t="str">
        <f t="shared" si="4429"/>
        <v/>
      </c>
      <c r="FR273" s="71" t="str">
        <f t="shared" si="4430"/>
        <v/>
      </c>
      <c r="FS273" s="71" t="str">
        <f t="shared" si="4431"/>
        <v/>
      </c>
    </row>
    <row r="274" ht="15" spans="1:175">
      <c r="A274" s="138"/>
      <c r="B274" s="81" t="s">
        <v>887</v>
      </c>
      <c r="C274" s="70" t="s">
        <v>879</v>
      </c>
      <c r="T274" s="149"/>
      <c r="U274" s="89"/>
      <c r="CN274" s="69" t="str">
        <f t="shared" si="4356"/>
        <v>InitUnitState('IF09',,,,,,,,,,)</v>
      </c>
      <c r="CO274" s="69" t="str">
        <f t="shared" si="4357"/>
        <v>InitUnitNormal('IF09',,,,,,,,,,)</v>
      </c>
      <c r="CP274" s="69" t="str">
        <f t="shared" si="4358"/>
        <v>InitUnitMagic('IF09',,,,,,,,,,)</v>
      </c>
      <c r="CQ274" s="69" t="str">
        <f t="shared" si="4359"/>
        <v>InitUnitAdd('IF09',,,,,,,,,,)</v>
      </c>
      <c r="CR274" s="69" t="str">
        <f t="shared" si="4360"/>
        <v>InitEquipData('IF09',,"",,,,,'','','','','','',"")</v>
      </c>
      <c r="CU274" s="99" t="str">
        <f t="shared" si="4361"/>
        <v>|n</v>
      </c>
      <c r="CW274" s="60"/>
      <c r="CX274" s="60"/>
      <c r="CY274" s="60"/>
      <c r="CZ274" s="60"/>
      <c r="DA274" s="60"/>
      <c r="DB274" s="71" t="str">
        <f t="shared" si="4362"/>
        <v/>
      </c>
      <c r="DC274" s="71" t="str">
        <f t="shared" si="4363"/>
        <v/>
      </c>
      <c r="DD274" s="71" t="str">
        <f t="shared" si="4364"/>
        <v/>
      </c>
      <c r="DE274" s="71" t="str">
        <f t="shared" si="4365"/>
        <v/>
      </c>
      <c r="DF274" s="71" t="str">
        <f t="shared" si="4366"/>
        <v/>
      </c>
      <c r="DG274" s="71" t="str">
        <f t="shared" si="4367"/>
        <v/>
      </c>
      <c r="DH274" s="71" t="str">
        <f t="shared" si="4368"/>
        <v/>
      </c>
      <c r="DI274" s="71" t="str">
        <f t="shared" si="4369"/>
        <v/>
      </c>
      <c r="DJ274" s="71" t="str">
        <f t="shared" si="4370"/>
        <v/>
      </c>
      <c r="DK274" s="71" t="str">
        <f t="shared" si="4371"/>
        <v/>
      </c>
      <c r="DL274" s="71" t="str">
        <f t="shared" si="4372"/>
        <v/>
      </c>
      <c r="DM274" s="71" t="str">
        <f t="shared" si="4373"/>
        <v/>
      </c>
      <c r="DN274" s="71" t="str">
        <f t="shared" si="4374"/>
        <v/>
      </c>
      <c r="DO274" s="71" t="str">
        <f t="shared" si="4375"/>
        <v/>
      </c>
      <c r="DP274" s="71" t="str">
        <f t="shared" si="4376"/>
        <v/>
      </c>
      <c r="DQ274" s="71" t="str">
        <f t="shared" si="4377"/>
        <v/>
      </c>
      <c r="DR274" s="71" t="str">
        <f t="shared" si="4378"/>
        <v/>
      </c>
      <c r="DS274" s="71" t="str">
        <f t="shared" si="4379"/>
        <v/>
      </c>
      <c r="DT274" s="71" t="str">
        <f t="shared" si="4380"/>
        <v/>
      </c>
      <c r="DU274" s="71" t="str">
        <f t="shared" si="4381"/>
        <v/>
      </c>
      <c r="DV274" s="71" t="str">
        <f t="shared" si="4382"/>
        <v/>
      </c>
      <c r="DW274" s="71" t="str">
        <f t="shared" si="4383"/>
        <v/>
      </c>
      <c r="DX274" s="71" t="str">
        <f t="shared" si="4384"/>
        <v/>
      </c>
      <c r="DY274" s="71" t="str">
        <f t="shared" si="4385"/>
        <v/>
      </c>
      <c r="DZ274" s="71" t="str">
        <f t="shared" si="4386"/>
        <v/>
      </c>
      <c r="EA274" s="71" t="str">
        <f t="shared" si="4387"/>
        <v/>
      </c>
      <c r="EB274" s="71" t="str">
        <f t="shared" si="4388"/>
        <v/>
      </c>
      <c r="EC274" s="71" t="str">
        <f t="shared" si="4389"/>
        <v/>
      </c>
      <c r="ED274" s="71" t="str">
        <f t="shared" si="4390"/>
        <v/>
      </c>
      <c r="EE274" s="71" t="str">
        <f t="shared" si="4391"/>
        <v/>
      </c>
      <c r="EF274" s="71" t="str">
        <f t="shared" si="4392"/>
        <v/>
      </c>
      <c r="EG274" s="71" t="str">
        <f t="shared" si="4393"/>
        <v/>
      </c>
      <c r="EH274" s="71" t="str">
        <f t="shared" si="4394"/>
        <v/>
      </c>
      <c r="EI274" s="71" t="str">
        <f t="shared" si="4395"/>
        <v/>
      </c>
      <c r="EJ274" s="71" t="str">
        <f t="shared" si="4396"/>
        <v/>
      </c>
      <c r="EK274" s="71" t="str">
        <f t="shared" si="4397"/>
        <v/>
      </c>
      <c r="EL274" s="71" t="str">
        <f t="shared" si="4398"/>
        <v/>
      </c>
      <c r="EM274" s="71" t="str">
        <f t="shared" si="4399"/>
        <v/>
      </c>
      <c r="EN274" s="71" t="str">
        <f t="shared" si="4400"/>
        <v/>
      </c>
      <c r="EO274" s="71" t="str">
        <f t="shared" si="4401"/>
        <v/>
      </c>
      <c r="EP274" s="71" t="str">
        <f t="shared" si="4402"/>
        <v/>
      </c>
      <c r="EQ274" s="71" t="str">
        <f t="shared" si="4403"/>
        <v/>
      </c>
      <c r="ER274" s="71" t="str">
        <f t="shared" si="4404"/>
        <v/>
      </c>
      <c r="ES274" s="71" t="str">
        <f t="shared" si="4405"/>
        <v/>
      </c>
      <c r="ET274" s="71" t="str">
        <f t="shared" si="4406"/>
        <v/>
      </c>
      <c r="EU274" s="71" t="str">
        <f t="shared" si="4407"/>
        <v/>
      </c>
      <c r="EV274" s="71" t="str">
        <f t="shared" si="4408"/>
        <v/>
      </c>
      <c r="EW274" s="71" t="str">
        <f t="shared" si="4409"/>
        <v/>
      </c>
      <c r="EX274" s="71" t="str">
        <f t="shared" si="4410"/>
        <v/>
      </c>
      <c r="EY274" s="71" t="str">
        <f t="shared" si="4411"/>
        <v/>
      </c>
      <c r="EZ274" s="71" t="str">
        <f t="shared" si="4412"/>
        <v/>
      </c>
      <c r="FA274" s="71" t="str">
        <f t="shared" si="4413"/>
        <v/>
      </c>
      <c r="FB274" s="71" t="str">
        <f t="shared" si="4414"/>
        <v/>
      </c>
      <c r="FC274" s="71" t="str">
        <f t="shared" si="4415"/>
        <v/>
      </c>
      <c r="FD274" s="71" t="str">
        <f t="shared" si="4416"/>
        <v/>
      </c>
      <c r="FE274" s="71" t="str">
        <f t="shared" si="4417"/>
        <v/>
      </c>
      <c r="FF274" s="71" t="str">
        <f t="shared" si="4418"/>
        <v/>
      </c>
      <c r="FG274" s="71" t="str">
        <f t="shared" si="4419"/>
        <v/>
      </c>
      <c r="FH274" s="71" t="str">
        <f t="shared" si="4420"/>
        <v/>
      </c>
      <c r="FI274" s="71" t="str">
        <f t="shared" si="4421"/>
        <v/>
      </c>
      <c r="FJ274" s="71" t="str">
        <f t="shared" si="4422"/>
        <v/>
      </c>
      <c r="FK274" s="71" t="str">
        <f t="shared" si="4423"/>
        <v/>
      </c>
      <c r="FL274" s="71" t="str">
        <f t="shared" si="4424"/>
        <v/>
      </c>
      <c r="FM274" s="71" t="str">
        <f t="shared" si="4425"/>
        <v/>
      </c>
      <c r="FN274" s="71" t="str">
        <f t="shared" si="4426"/>
        <v/>
      </c>
      <c r="FO274" s="71" t="str">
        <f t="shared" si="4427"/>
        <v/>
      </c>
      <c r="FP274" s="71" t="str">
        <f t="shared" si="4428"/>
        <v/>
      </c>
      <c r="FQ274" s="71" t="str">
        <f t="shared" si="4429"/>
        <v/>
      </c>
      <c r="FR274" s="71" t="str">
        <f t="shared" si="4430"/>
        <v/>
      </c>
      <c r="FS274" s="71" t="str">
        <f t="shared" si="4431"/>
        <v/>
      </c>
    </row>
    <row r="275" ht="15" spans="1:175">
      <c r="A275" s="138"/>
      <c r="B275" s="81" t="s">
        <v>888</v>
      </c>
      <c r="C275" s="70" t="s">
        <v>879</v>
      </c>
      <c r="T275" s="149"/>
      <c r="U275" s="89"/>
      <c r="CN275" s="69" t="str">
        <f t="shared" si="4356"/>
        <v>InitUnitState('IF10',,,,,,,,,,)</v>
      </c>
      <c r="CO275" s="69" t="str">
        <f t="shared" si="4357"/>
        <v>InitUnitNormal('IF10',,,,,,,,,,)</v>
      </c>
      <c r="CP275" s="69" t="str">
        <f t="shared" si="4358"/>
        <v>InitUnitMagic('IF10',,,,,,,,,,)</v>
      </c>
      <c r="CQ275" s="69" t="str">
        <f t="shared" si="4359"/>
        <v>InitUnitAdd('IF10',,,,,,,,,,)</v>
      </c>
      <c r="CR275" s="69" t="str">
        <f t="shared" si="4360"/>
        <v>InitEquipData('IF10',,"",,,,,'','','','','','',"")</v>
      </c>
      <c r="CU275" s="99" t="str">
        <f t="shared" si="4361"/>
        <v>|n</v>
      </c>
      <c r="CW275" s="60"/>
      <c r="CX275" s="60"/>
      <c r="CY275" s="60"/>
      <c r="CZ275" s="60"/>
      <c r="DA275" s="60"/>
      <c r="DB275" s="71" t="str">
        <f t="shared" si="4362"/>
        <v/>
      </c>
      <c r="DC275" s="71" t="str">
        <f t="shared" si="4363"/>
        <v/>
      </c>
      <c r="DD275" s="71" t="str">
        <f t="shared" si="4364"/>
        <v/>
      </c>
      <c r="DE275" s="71" t="str">
        <f t="shared" si="4365"/>
        <v/>
      </c>
      <c r="DF275" s="71" t="str">
        <f t="shared" si="4366"/>
        <v/>
      </c>
      <c r="DG275" s="71" t="str">
        <f t="shared" si="4367"/>
        <v/>
      </c>
      <c r="DH275" s="71" t="str">
        <f t="shared" si="4368"/>
        <v/>
      </c>
      <c r="DI275" s="71" t="str">
        <f t="shared" si="4369"/>
        <v/>
      </c>
      <c r="DJ275" s="71" t="str">
        <f t="shared" si="4370"/>
        <v/>
      </c>
      <c r="DK275" s="71" t="str">
        <f t="shared" si="4371"/>
        <v/>
      </c>
      <c r="DL275" s="71" t="str">
        <f t="shared" si="4372"/>
        <v/>
      </c>
      <c r="DM275" s="71" t="str">
        <f t="shared" si="4373"/>
        <v/>
      </c>
      <c r="DN275" s="71" t="str">
        <f t="shared" si="4374"/>
        <v/>
      </c>
      <c r="DO275" s="71" t="str">
        <f t="shared" si="4375"/>
        <v/>
      </c>
      <c r="DP275" s="71" t="str">
        <f t="shared" si="4376"/>
        <v/>
      </c>
      <c r="DQ275" s="71" t="str">
        <f t="shared" si="4377"/>
        <v/>
      </c>
      <c r="DR275" s="71" t="str">
        <f t="shared" si="4378"/>
        <v/>
      </c>
      <c r="DS275" s="71" t="str">
        <f t="shared" si="4379"/>
        <v/>
      </c>
      <c r="DT275" s="71" t="str">
        <f t="shared" si="4380"/>
        <v/>
      </c>
      <c r="DU275" s="71" t="str">
        <f t="shared" si="4381"/>
        <v/>
      </c>
      <c r="DV275" s="71" t="str">
        <f t="shared" si="4382"/>
        <v/>
      </c>
      <c r="DW275" s="71" t="str">
        <f t="shared" si="4383"/>
        <v/>
      </c>
      <c r="DX275" s="71" t="str">
        <f t="shared" si="4384"/>
        <v/>
      </c>
      <c r="DY275" s="71" t="str">
        <f t="shared" si="4385"/>
        <v/>
      </c>
      <c r="DZ275" s="71" t="str">
        <f t="shared" si="4386"/>
        <v/>
      </c>
      <c r="EA275" s="71" t="str">
        <f t="shared" si="4387"/>
        <v/>
      </c>
      <c r="EB275" s="71" t="str">
        <f t="shared" si="4388"/>
        <v/>
      </c>
      <c r="EC275" s="71" t="str">
        <f t="shared" si="4389"/>
        <v/>
      </c>
      <c r="ED275" s="71" t="str">
        <f t="shared" si="4390"/>
        <v/>
      </c>
      <c r="EE275" s="71" t="str">
        <f t="shared" si="4391"/>
        <v/>
      </c>
      <c r="EF275" s="71" t="str">
        <f t="shared" si="4392"/>
        <v/>
      </c>
      <c r="EG275" s="71" t="str">
        <f t="shared" si="4393"/>
        <v/>
      </c>
      <c r="EH275" s="71" t="str">
        <f t="shared" si="4394"/>
        <v/>
      </c>
      <c r="EI275" s="71" t="str">
        <f t="shared" si="4395"/>
        <v/>
      </c>
      <c r="EJ275" s="71" t="str">
        <f t="shared" si="4396"/>
        <v/>
      </c>
      <c r="EK275" s="71" t="str">
        <f t="shared" si="4397"/>
        <v/>
      </c>
      <c r="EL275" s="71" t="str">
        <f t="shared" si="4398"/>
        <v/>
      </c>
      <c r="EM275" s="71" t="str">
        <f t="shared" si="4399"/>
        <v/>
      </c>
      <c r="EN275" s="71" t="str">
        <f t="shared" si="4400"/>
        <v/>
      </c>
      <c r="EO275" s="71" t="str">
        <f t="shared" si="4401"/>
        <v/>
      </c>
      <c r="EP275" s="71" t="str">
        <f t="shared" si="4402"/>
        <v/>
      </c>
      <c r="EQ275" s="71" t="str">
        <f t="shared" si="4403"/>
        <v/>
      </c>
      <c r="ER275" s="71" t="str">
        <f t="shared" si="4404"/>
        <v/>
      </c>
      <c r="ES275" s="71" t="str">
        <f t="shared" si="4405"/>
        <v/>
      </c>
      <c r="ET275" s="71" t="str">
        <f t="shared" si="4406"/>
        <v/>
      </c>
      <c r="EU275" s="71" t="str">
        <f t="shared" si="4407"/>
        <v/>
      </c>
      <c r="EV275" s="71" t="str">
        <f t="shared" si="4408"/>
        <v/>
      </c>
      <c r="EW275" s="71" t="str">
        <f t="shared" si="4409"/>
        <v/>
      </c>
      <c r="EX275" s="71" t="str">
        <f t="shared" si="4410"/>
        <v/>
      </c>
      <c r="EY275" s="71" t="str">
        <f t="shared" si="4411"/>
        <v/>
      </c>
      <c r="EZ275" s="71" t="str">
        <f t="shared" si="4412"/>
        <v/>
      </c>
      <c r="FA275" s="71" t="str">
        <f t="shared" si="4413"/>
        <v/>
      </c>
      <c r="FB275" s="71" t="str">
        <f t="shared" si="4414"/>
        <v/>
      </c>
      <c r="FC275" s="71" t="str">
        <f t="shared" si="4415"/>
        <v/>
      </c>
      <c r="FD275" s="71" t="str">
        <f t="shared" si="4416"/>
        <v/>
      </c>
      <c r="FE275" s="71" t="str">
        <f t="shared" si="4417"/>
        <v/>
      </c>
      <c r="FF275" s="71" t="str">
        <f t="shared" si="4418"/>
        <v/>
      </c>
      <c r="FG275" s="71" t="str">
        <f t="shared" si="4419"/>
        <v/>
      </c>
      <c r="FH275" s="71" t="str">
        <f t="shared" si="4420"/>
        <v/>
      </c>
      <c r="FI275" s="71" t="str">
        <f t="shared" si="4421"/>
        <v/>
      </c>
      <c r="FJ275" s="71" t="str">
        <f t="shared" si="4422"/>
        <v/>
      </c>
      <c r="FK275" s="71" t="str">
        <f t="shared" si="4423"/>
        <v/>
      </c>
      <c r="FL275" s="71" t="str">
        <f t="shared" si="4424"/>
        <v/>
      </c>
      <c r="FM275" s="71" t="str">
        <f t="shared" si="4425"/>
        <v/>
      </c>
      <c r="FN275" s="71" t="str">
        <f t="shared" si="4426"/>
        <v/>
      </c>
      <c r="FO275" s="71" t="str">
        <f t="shared" si="4427"/>
        <v/>
      </c>
      <c r="FP275" s="71" t="str">
        <f t="shared" si="4428"/>
        <v/>
      </c>
      <c r="FQ275" s="71" t="str">
        <f t="shared" si="4429"/>
        <v/>
      </c>
      <c r="FR275" s="71" t="str">
        <f t="shared" si="4430"/>
        <v/>
      </c>
      <c r="FS275" s="71" t="str">
        <f t="shared" si="4431"/>
        <v/>
      </c>
    </row>
    <row r="276" ht="15" spans="1:175">
      <c r="A276" s="138"/>
      <c r="B276" s="81" t="s">
        <v>889</v>
      </c>
      <c r="C276" s="70" t="s">
        <v>879</v>
      </c>
      <c r="T276" s="149"/>
      <c r="U276" s="89"/>
      <c r="CN276" s="69" t="str">
        <f t="shared" si="4356"/>
        <v>InitUnitState('IF11',,,,,,,,,,)</v>
      </c>
      <c r="CO276" s="69" t="str">
        <f t="shared" si="4357"/>
        <v>InitUnitNormal('IF11',,,,,,,,,,)</v>
      </c>
      <c r="CP276" s="69" t="str">
        <f t="shared" si="4358"/>
        <v>InitUnitMagic('IF11',,,,,,,,,,)</v>
      </c>
      <c r="CQ276" s="69" t="str">
        <f t="shared" si="4359"/>
        <v>InitUnitAdd('IF11',,,,,,,,,,)</v>
      </c>
      <c r="CR276" s="69" t="str">
        <f t="shared" si="4360"/>
        <v>InitEquipData('IF11',,"",,,,,'','','','','','',"")</v>
      </c>
      <c r="CU276" s="99" t="str">
        <f t="shared" si="4361"/>
        <v>|n</v>
      </c>
      <c r="CW276" s="60"/>
      <c r="CX276" s="60"/>
      <c r="CY276" s="60"/>
      <c r="CZ276" s="60"/>
      <c r="DA276" s="60"/>
      <c r="DB276" s="71" t="str">
        <f t="shared" si="4362"/>
        <v/>
      </c>
      <c r="DC276" s="71" t="str">
        <f t="shared" si="4363"/>
        <v/>
      </c>
      <c r="DD276" s="71" t="str">
        <f t="shared" si="4364"/>
        <v/>
      </c>
      <c r="DE276" s="71" t="str">
        <f t="shared" si="4365"/>
        <v/>
      </c>
      <c r="DF276" s="71" t="str">
        <f t="shared" si="4366"/>
        <v/>
      </c>
      <c r="DG276" s="71" t="str">
        <f t="shared" si="4367"/>
        <v/>
      </c>
      <c r="DH276" s="71" t="str">
        <f t="shared" si="4368"/>
        <v/>
      </c>
      <c r="DI276" s="71" t="str">
        <f t="shared" si="4369"/>
        <v/>
      </c>
      <c r="DJ276" s="71" t="str">
        <f t="shared" si="4370"/>
        <v/>
      </c>
      <c r="DK276" s="71" t="str">
        <f t="shared" si="4371"/>
        <v/>
      </c>
      <c r="DL276" s="71" t="str">
        <f t="shared" si="4372"/>
        <v/>
      </c>
      <c r="DM276" s="71" t="str">
        <f t="shared" si="4373"/>
        <v/>
      </c>
      <c r="DN276" s="71" t="str">
        <f t="shared" si="4374"/>
        <v/>
      </c>
      <c r="DO276" s="71" t="str">
        <f t="shared" si="4375"/>
        <v/>
      </c>
      <c r="DP276" s="71" t="str">
        <f t="shared" si="4376"/>
        <v/>
      </c>
      <c r="DQ276" s="71" t="str">
        <f t="shared" si="4377"/>
        <v/>
      </c>
      <c r="DR276" s="71" t="str">
        <f t="shared" si="4378"/>
        <v/>
      </c>
      <c r="DS276" s="71" t="str">
        <f t="shared" si="4379"/>
        <v/>
      </c>
      <c r="DT276" s="71" t="str">
        <f t="shared" si="4380"/>
        <v/>
      </c>
      <c r="DU276" s="71" t="str">
        <f t="shared" si="4381"/>
        <v/>
      </c>
      <c r="DV276" s="71" t="str">
        <f t="shared" si="4382"/>
        <v/>
      </c>
      <c r="DW276" s="71" t="str">
        <f t="shared" si="4383"/>
        <v/>
      </c>
      <c r="DX276" s="71" t="str">
        <f t="shared" si="4384"/>
        <v/>
      </c>
      <c r="DY276" s="71" t="str">
        <f t="shared" si="4385"/>
        <v/>
      </c>
      <c r="DZ276" s="71" t="str">
        <f t="shared" si="4386"/>
        <v/>
      </c>
      <c r="EA276" s="71" t="str">
        <f t="shared" si="4387"/>
        <v/>
      </c>
      <c r="EB276" s="71" t="str">
        <f t="shared" si="4388"/>
        <v/>
      </c>
      <c r="EC276" s="71" t="str">
        <f t="shared" si="4389"/>
        <v/>
      </c>
      <c r="ED276" s="71" t="str">
        <f t="shared" si="4390"/>
        <v/>
      </c>
      <c r="EE276" s="71" t="str">
        <f t="shared" si="4391"/>
        <v/>
      </c>
      <c r="EF276" s="71" t="str">
        <f t="shared" si="4392"/>
        <v/>
      </c>
      <c r="EG276" s="71" t="str">
        <f t="shared" si="4393"/>
        <v/>
      </c>
      <c r="EH276" s="71" t="str">
        <f t="shared" si="4394"/>
        <v/>
      </c>
      <c r="EI276" s="71" t="str">
        <f t="shared" si="4395"/>
        <v/>
      </c>
      <c r="EJ276" s="71" t="str">
        <f t="shared" si="4396"/>
        <v/>
      </c>
      <c r="EK276" s="71" t="str">
        <f t="shared" si="4397"/>
        <v/>
      </c>
      <c r="EL276" s="71" t="str">
        <f t="shared" si="4398"/>
        <v/>
      </c>
      <c r="EM276" s="71" t="str">
        <f t="shared" si="4399"/>
        <v/>
      </c>
      <c r="EN276" s="71" t="str">
        <f t="shared" si="4400"/>
        <v/>
      </c>
      <c r="EO276" s="71" t="str">
        <f t="shared" si="4401"/>
        <v/>
      </c>
      <c r="EP276" s="71" t="str">
        <f t="shared" si="4402"/>
        <v/>
      </c>
      <c r="EQ276" s="71" t="str">
        <f t="shared" si="4403"/>
        <v/>
      </c>
      <c r="ER276" s="71" t="str">
        <f t="shared" si="4404"/>
        <v/>
      </c>
      <c r="ES276" s="71" t="str">
        <f t="shared" si="4405"/>
        <v/>
      </c>
      <c r="ET276" s="71" t="str">
        <f t="shared" si="4406"/>
        <v/>
      </c>
      <c r="EU276" s="71" t="str">
        <f t="shared" si="4407"/>
        <v/>
      </c>
      <c r="EV276" s="71" t="str">
        <f t="shared" si="4408"/>
        <v/>
      </c>
      <c r="EW276" s="71" t="str">
        <f t="shared" si="4409"/>
        <v/>
      </c>
      <c r="EX276" s="71" t="str">
        <f t="shared" si="4410"/>
        <v/>
      </c>
      <c r="EY276" s="71" t="str">
        <f t="shared" si="4411"/>
        <v/>
      </c>
      <c r="EZ276" s="71" t="str">
        <f t="shared" si="4412"/>
        <v/>
      </c>
      <c r="FA276" s="71" t="str">
        <f t="shared" si="4413"/>
        <v/>
      </c>
      <c r="FB276" s="71" t="str">
        <f t="shared" si="4414"/>
        <v/>
      </c>
      <c r="FC276" s="71" t="str">
        <f t="shared" si="4415"/>
        <v/>
      </c>
      <c r="FD276" s="71" t="str">
        <f t="shared" si="4416"/>
        <v/>
      </c>
      <c r="FE276" s="71" t="str">
        <f t="shared" si="4417"/>
        <v/>
      </c>
      <c r="FF276" s="71" t="str">
        <f t="shared" si="4418"/>
        <v/>
      </c>
      <c r="FG276" s="71" t="str">
        <f t="shared" si="4419"/>
        <v/>
      </c>
      <c r="FH276" s="71" t="str">
        <f t="shared" si="4420"/>
        <v/>
      </c>
      <c r="FI276" s="71" t="str">
        <f t="shared" si="4421"/>
        <v/>
      </c>
      <c r="FJ276" s="71" t="str">
        <f t="shared" si="4422"/>
        <v/>
      </c>
      <c r="FK276" s="71" t="str">
        <f t="shared" si="4423"/>
        <v/>
      </c>
      <c r="FL276" s="71" t="str">
        <f t="shared" si="4424"/>
        <v/>
      </c>
      <c r="FM276" s="71" t="str">
        <f t="shared" si="4425"/>
        <v/>
      </c>
      <c r="FN276" s="71" t="str">
        <f t="shared" si="4426"/>
        <v/>
      </c>
      <c r="FO276" s="71" t="str">
        <f t="shared" si="4427"/>
        <v/>
      </c>
      <c r="FP276" s="71" t="str">
        <f t="shared" si="4428"/>
        <v/>
      </c>
      <c r="FQ276" s="71" t="str">
        <f t="shared" si="4429"/>
        <v/>
      </c>
      <c r="FR276" s="71" t="str">
        <f t="shared" si="4430"/>
        <v/>
      </c>
      <c r="FS276" s="71" t="str">
        <f t="shared" si="4431"/>
        <v/>
      </c>
    </row>
    <row r="277" ht="15" spans="1:175">
      <c r="A277" s="137"/>
      <c r="B277" s="81" t="s">
        <v>890</v>
      </c>
      <c r="C277" s="70" t="s">
        <v>879</v>
      </c>
      <c r="T277" s="150"/>
      <c r="U277" s="89"/>
      <c r="CN277" s="69" t="str">
        <f t="shared" si="4356"/>
        <v>InitUnitState('IF12',,,,,,,,,,)</v>
      </c>
      <c r="CO277" s="69" t="str">
        <f t="shared" si="4357"/>
        <v>InitUnitNormal('IF12',,,,,,,,,,)</v>
      </c>
      <c r="CP277" s="69" t="str">
        <f t="shared" si="4358"/>
        <v>InitUnitMagic('IF12',,,,,,,,,,)</v>
      </c>
      <c r="CQ277" s="69" t="str">
        <f t="shared" si="4359"/>
        <v>InitUnitAdd('IF12',,,,,,,,,,)</v>
      </c>
      <c r="CR277" s="69" t="str">
        <f t="shared" si="4360"/>
        <v>InitEquipData('IF12',,"",,,,,'','','','','','',"")</v>
      </c>
      <c r="CU277" s="99" t="str">
        <f t="shared" si="4361"/>
        <v>|n</v>
      </c>
      <c r="CW277" s="60"/>
      <c r="CX277" s="60"/>
      <c r="CY277" s="60"/>
      <c r="CZ277" s="60"/>
      <c r="DA277" s="60"/>
      <c r="DB277" s="71" t="str">
        <f t="shared" si="4362"/>
        <v/>
      </c>
      <c r="DC277" s="71" t="str">
        <f t="shared" si="4363"/>
        <v/>
      </c>
      <c r="DD277" s="71" t="str">
        <f t="shared" si="4364"/>
        <v/>
      </c>
      <c r="DE277" s="71" t="str">
        <f t="shared" si="4365"/>
        <v/>
      </c>
      <c r="DF277" s="71" t="str">
        <f t="shared" si="4366"/>
        <v/>
      </c>
      <c r="DG277" s="71" t="str">
        <f t="shared" si="4367"/>
        <v/>
      </c>
      <c r="DH277" s="71" t="str">
        <f t="shared" si="4368"/>
        <v/>
      </c>
      <c r="DI277" s="71" t="str">
        <f t="shared" si="4369"/>
        <v/>
      </c>
      <c r="DJ277" s="71" t="str">
        <f t="shared" si="4370"/>
        <v/>
      </c>
      <c r="DK277" s="71" t="str">
        <f t="shared" si="4371"/>
        <v/>
      </c>
      <c r="DL277" s="71" t="str">
        <f t="shared" si="4372"/>
        <v/>
      </c>
      <c r="DM277" s="71" t="str">
        <f t="shared" si="4373"/>
        <v/>
      </c>
      <c r="DN277" s="71" t="str">
        <f t="shared" si="4374"/>
        <v/>
      </c>
      <c r="DO277" s="71" t="str">
        <f t="shared" si="4375"/>
        <v/>
      </c>
      <c r="DP277" s="71" t="str">
        <f t="shared" si="4376"/>
        <v/>
      </c>
      <c r="DQ277" s="71" t="str">
        <f t="shared" si="4377"/>
        <v/>
      </c>
      <c r="DR277" s="71" t="str">
        <f t="shared" si="4378"/>
        <v/>
      </c>
      <c r="DS277" s="71" t="str">
        <f t="shared" si="4379"/>
        <v/>
      </c>
      <c r="DT277" s="71" t="str">
        <f t="shared" si="4380"/>
        <v/>
      </c>
      <c r="DU277" s="71" t="str">
        <f t="shared" si="4381"/>
        <v/>
      </c>
      <c r="DV277" s="71" t="str">
        <f t="shared" si="4382"/>
        <v/>
      </c>
      <c r="DW277" s="71" t="str">
        <f t="shared" si="4383"/>
        <v/>
      </c>
      <c r="DX277" s="71" t="str">
        <f t="shared" si="4384"/>
        <v/>
      </c>
      <c r="DY277" s="71" t="str">
        <f t="shared" si="4385"/>
        <v/>
      </c>
      <c r="DZ277" s="71" t="str">
        <f t="shared" si="4386"/>
        <v/>
      </c>
      <c r="EA277" s="71" t="str">
        <f t="shared" si="4387"/>
        <v/>
      </c>
      <c r="EB277" s="71" t="str">
        <f t="shared" si="4388"/>
        <v/>
      </c>
      <c r="EC277" s="71" t="str">
        <f t="shared" si="4389"/>
        <v/>
      </c>
      <c r="ED277" s="71" t="str">
        <f t="shared" si="4390"/>
        <v/>
      </c>
      <c r="EE277" s="71" t="str">
        <f t="shared" si="4391"/>
        <v/>
      </c>
      <c r="EF277" s="71" t="str">
        <f t="shared" si="4392"/>
        <v/>
      </c>
      <c r="EG277" s="71" t="str">
        <f t="shared" si="4393"/>
        <v/>
      </c>
      <c r="EH277" s="71" t="str">
        <f t="shared" si="4394"/>
        <v/>
      </c>
      <c r="EI277" s="71" t="str">
        <f t="shared" si="4395"/>
        <v/>
      </c>
      <c r="EJ277" s="71" t="str">
        <f t="shared" si="4396"/>
        <v/>
      </c>
      <c r="EK277" s="71" t="str">
        <f t="shared" si="4397"/>
        <v/>
      </c>
      <c r="EL277" s="71" t="str">
        <f t="shared" si="4398"/>
        <v/>
      </c>
      <c r="EM277" s="71" t="str">
        <f t="shared" si="4399"/>
        <v/>
      </c>
      <c r="EN277" s="71" t="str">
        <f t="shared" si="4400"/>
        <v/>
      </c>
      <c r="EO277" s="71" t="str">
        <f t="shared" si="4401"/>
        <v/>
      </c>
      <c r="EP277" s="71" t="str">
        <f t="shared" si="4402"/>
        <v/>
      </c>
      <c r="EQ277" s="71" t="str">
        <f t="shared" si="4403"/>
        <v/>
      </c>
      <c r="ER277" s="71" t="str">
        <f t="shared" si="4404"/>
        <v/>
      </c>
      <c r="ES277" s="71" t="str">
        <f t="shared" si="4405"/>
        <v/>
      </c>
      <c r="ET277" s="71" t="str">
        <f t="shared" si="4406"/>
        <v/>
      </c>
      <c r="EU277" s="71" t="str">
        <f t="shared" si="4407"/>
        <v/>
      </c>
      <c r="EV277" s="71" t="str">
        <f t="shared" si="4408"/>
        <v/>
      </c>
      <c r="EW277" s="71" t="str">
        <f t="shared" si="4409"/>
        <v/>
      </c>
      <c r="EX277" s="71" t="str">
        <f t="shared" si="4410"/>
        <v/>
      </c>
      <c r="EY277" s="71" t="str">
        <f t="shared" si="4411"/>
        <v/>
      </c>
      <c r="EZ277" s="71" t="str">
        <f t="shared" si="4412"/>
        <v/>
      </c>
      <c r="FA277" s="71" t="str">
        <f t="shared" si="4413"/>
        <v/>
      </c>
      <c r="FB277" s="71" t="str">
        <f t="shared" si="4414"/>
        <v/>
      </c>
      <c r="FC277" s="71" t="str">
        <f t="shared" si="4415"/>
        <v/>
      </c>
      <c r="FD277" s="71" t="str">
        <f t="shared" si="4416"/>
        <v/>
      </c>
      <c r="FE277" s="71" t="str">
        <f t="shared" si="4417"/>
        <v/>
      </c>
      <c r="FF277" s="71" t="str">
        <f t="shared" si="4418"/>
        <v/>
      </c>
      <c r="FG277" s="71" t="str">
        <f t="shared" si="4419"/>
        <v/>
      </c>
      <c r="FH277" s="71" t="str">
        <f t="shared" si="4420"/>
        <v/>
      </c>
      <c r="FI277" s="71" t="str">
        <f t="shared" si="4421"/>
        <v/>
      </c>
      <c r="FJ277" s="71" t="str">
        <f t="shared" si="4422"/>
        <v/>
      </c>
      <c r="FK277" s="71" t="str">
        <f t="shared" si="4423"/>
        <v/>
      </c>
      <c r="FL277" s="71" t="str">
        <f t="shared" si="4424"/>
        <v/>
      </c>
      <c r="FM277" s="71" t="str">
        <f t="shared" si="4425"/>
        <v/>
      </c>
      <c r="FN277" s="71" t="str">
        <f t="shared" si="4426"/>
        <v/>
      </c>
      <c r="FO277" s="71" t="str">
        <f t="shared" si="4427"/>
        <v/>
      </c>
      <c r="FP277" s="71" t="str">
        <f t="shared" si="4428"/>
        <v/>
      </c>
      <c r="FQ277" s="71" t="str">
        <f t="shared" si="4429"/>
        <v/>
      </c>
      <c r="FR277" s="71" t="str">
        <f t="shared" si="4430"/>
        <v/>
      </c>
      <c r="FS277" s="71" t="str">
        <f t="shared" si="4431"/>
        <v/>
      </c>
    </row>
    <row r="278" ht="15" spans="1:175">
      <c r="A278" s="137"/>
      <c r="B278" s="81" t="s">
        <v>891</v>
      </c>
      <c r="C278" s="70" t="s">
        <v>879</v>
      </c>
      <c r="T278" s="150"/>
      <c r="U278" s="89"/>
      <c r="CN278" s="69" t="str">
        <f t="shared" si="4356"/>
        <v>InitUnitState('IF13',,,,,,,,,,)</v>
      </c>
      <c r="CO278" s="69" t="str">
        <f t="shared" si="4357"/>
        <v>InitUnitNormal('IF13',,,,,,,,,,)</v>
      </c>
      <c r="CP278" s="69" t="str">
        <f t="shared" si="4358"/>
        <v>InitUnitMagic('IF13',,,,,,,,,,)</v>
      </c>
      <c r="CQ278" s="69" t="str">
        <f t="shared" si="4359"/>
        <v>InitUnitAdd('IF13',,,,,,,,,,)</v>
      </c>
      <c r="CR278" s="69" t="str">
        <f t="shared" si="4360"/>
        <v>InitEquipData('IF13',,"",,,,,'','','','','','',"")</v>
      </c>
      <c r="CU278" s="99" t="str">
        <f t="shared" si="4361"/>
        <v>|n</v>
      </c>
      <c r="CW278" s="60"/>
      <c r="CX278" s="60"/>
      <c r="CY278" s="60"/>
      <c r="CZ278" s="60"/>
      <c r="DA278" s="60"/>
      <c r="DB278" s="71" t="str">
        <f t="shared" si="4362"/>
        <v/>
      </c>
      <c r="DC278" s="71" t="str">
        <f t="shared" si="4363"/>
        <v/>
      </c>
      <c r="DD278" s="71" t="str">
        <f t="shared" si="4364"/>
        <v/>
      </c>
      <c r="DE278" s="71" t="str">
        <f t="shared" si="4365"/>
        <v/>
      </c>
      <c r="DF278" s="71" t="str">
        <f t="shared" si="4366"/>
        <v/>
      </c>
      <c r="DG278" s="71" t="str">
        <f t="shared" si="4367"/>
        <v/>
      </c>
      <c r="DH278" s="71" t="str">
        <f t="shared" si="4368"/>
        <v/>
      </c>
      <c r="DI278" s="71" t="str">
        <f t="shared" si="4369"/>
        <v/>
      </c>
      <c r="DJ278" s="71" t="str">
        <f t="shared" si="4370"/>
        <v/>
      </c>
      <c r="DK278" s="71" t="str">
        <f t="shared" si="4371"/>
        <v/>
      </c>
      <c r="DL278" s="71" t="str">
        <f t="shared" si="4372"/>
        <v/>
      </c>
      <c r="DM278" s="71" t="str">
        <f t="shared" si="4373"/>
        <v/>
      </c>
      <c r="DN278" s="71" t="str">
        <f t="shared" si="4374"/>
        <v/>
      </c>
      <c r="DO278" s="71" t="str">
        <f t="shared" si="4375"/>
        <v/>
      </c>
      <c r="DP278" s="71" t="str">
        <f t="shared" si="4376"/>
        <v/>
      </c>
      <c r="DQ278" s="71" t="str">
        <f t="shared" si="4377"/>
        <v/>
      </c>
      <c r="DR278" s="71" t="str">
        <f t="shared" si="4378"/>
        <v/>
      </c>
      <c r="DS278" s="71" t="str">
        <f t="shared" si="4379"/>
        <v/>
      </c>
      <c r="DT278" s="71" t="str">
        <f t="shared" si="4380"/>
        <v/>
      </c>
      <c r="DU278" s="71" t="str">
        <f t="shared" si="4381"/>
        <v/>
      </c>
      <c r="DV278" s="71" t="str">
        <f t="shared" si="4382"/>
        <v/>
      </c>
      <c r="DW278" s="71" t="str">
        <f t="shared" si="4383"/>
        <v/>
      </c>
      <c r="DX278" s="71" t="str">
        <f t="shared" si="4384"/>
        <v/>
      </c>
      <c r="DY278" s="71" t="str">
        <f t="shared" si="4385"/>
        <v/>
      </c>
      <c r="DZ278" s="71" t="str">
        <f t="shared" si="4386"/>
        <v/>
      </c>
      <c r="EA278" s="71" t="str">
        <f t="shared" si="4387"/>
        <v/>
      </c>
      <c r="EB278" s="71" t="str">
        <f t="shared" si="4388"/>
        <v/>
      </c>
      <c r="EC278" s="71" t="str">
        <f t="shared" si="4389"/>
        <v/>
      </c>
      <c r="ED278" s="71" t="str">
        <f t="shared" si="4390"/>
        <v/>
      </c>
      <c r="EE278" s="71" t="str">
        <f t="shared" si="4391"/>
        <v/>
      </c>
      <c r="EF278" s="71" t="str">
        <f t="shared" si="4392"/>
        <v/>
      </c>
      <c r="EG278" s="71" t="str">
        <f t="shared" si="4393"/>
        <v/>
      </c>
      <c r="EH278" s="71" t="str">
        <f t="shared" si="4394"/>
        <v/>
      </c>
      <c r="EI278" s="71" t="str">
        <f t="shared" si="4395"/>
        <v/>
      </c>
      <c r="EJ278" s="71" t="str">
        <f t="shared" si="4396"/>
        <v/>
      </c>
      <c r="EK278" s="71" t="str">
        <f t="shared" si="4397"/>
        <v/>
      </c>
      <c r="EL278" s="71" t="str">
        <f t="shared" si="4398"/>
        <v/>
      </c>
      <c r="EM278" s="71" t="str">
        <f t="shared" si="4399"/>
        <v/>
      </c>
      <c r="EN278" s="71" t="str">
        <f t="shared" si="4400"/>
        <v/>
      </c>
      <c r="EO278" s="71" t="str">
        <f t="shared" si="4401"/>
        <v/>
      </c>
      <c r="EP278" s="71" t="str">
        <f t="shared" si="4402"/>
        <v/>
      </c>
      <c r="EQ278" s="71" t="str">
        <f t="shared" si="4403"/>
        <v/>
      </c>
      <c r="ER278" s="71" t="str">
        <f t="shared" si="4404"/>
        <v/>
      </c>
      <c r="ES278" s="71" t="str">
        <f t="shared" si="4405"/>
        <v/>
      </c>
      <c r="ET278" s="71" t="str">
        <f t="shared" si="4406"/>
        <v/>
      </c>
      <c r="EU278" s="71" t="str">
        <f t="shared" si="4407"/>
        <v/>
      </c>
      <c r="EV278" s="71" t="str">
        <f t="shared" si="4408"/>
        <v/>
      </c>
      <c r="EW278" s="71" t="str">
        <f t="shared" si="4409"/>
        <v/>
      </c>
      <c r="EX278" s="71" t="str">
        <f t="shared" si="4410"/>
        <v/>
      </c>
      <c r="EY278" s="71" t="str">
        <f t="shared" si="4411"/>
        <v/>
      </c>
      <c r="EZ278" s="71" t="str">
        <f t="shared" si="4412"/>
        <v/>
      </c>
      <c r="FA278" s="71" t="str">
        <f t="shared" si="4413"/>
        <v/>
      </c>
      <c r="FB278" s="71" t="str">
        <f t="shared" si="4414"/>
        <v/>
      </c>
      <c r="FC278" s="71" t="str">
        <f t="shared" si="4415"/>
        <v/>
      </c>
      <c r="FD278" s="71" t="str">
        <f t="shared" si="4416"/>
        <v/>
      </c>
      <c r="FE278" s="71" t="str">
        <f t="shared" si="4417"/>
        <v/>
      </c>
      <c r="FF278" s="71" t="str">
        <f t="shared" si="4418"/>
        <v/>
      </c>
      <c r="FG278" s="71" t="str">
        <f t="shared" si="4419"/>
        <v/>
      </c>
      <c r="FH278" s="71" t="str">
        <f t="shared" si="4420"/>
        <v/>
      </c>
      <c r="FI278" s="71" t="str">
        <f t="shared" si="4421"/>
        <v/>
      </c>
      <c r="FJ278" s="71" t="str">
        <f t="shared" si="4422"/>
        <v/>
      </c>
      <c r="FK278" s="71" t="str">
        <f t="shared" si="4423"/>
        <v/>
      </c>
      <c r="FL278" s="71" t="str">
        <f t="shared" si="4424"/>
        <v/>
      </c>
      <c r="FM278" s="71" t="str">
        <f t="shared" si="4425"/>
        <v/>
      </c>
      <c r="FN278" s="71" t="str">
        <f t="shared" si="4426"/>
        <v/>
      </c>
      <c r="FO278" s="71" t="str">
        <f t="shared" si="4427"/>
        <v/>
      </c>
      <c r="FP278" s="71" t="str">
        <f t="shared" si="4428"/>
        <v/>
      </c>
      <c r="FQ278" s="71" t="str">
        <f t="shared" si="4429"/>
        <v/>
      </c>
      <c r="FR278" s="71" t="str">
        <f t="shared" si="4430"/>
        <v/>
      </c>
      <c r="FS278" s="71" t="str">
        <f t="shared" si="4431"/>
        <v/>
      </c>
    </row>
    <row r="279" ht="15" spans="1:175">
      <c r="A279" s="137"/>
      <c r="B279" s="81" t="s">
        <v>892</v>
      </c>
      <c r="C279" s="70" t="s">
        <v>879</v>
      </c>
      <c r="T279" s="150"/>
      <c r="U279" s="89"/>
      <c r="CN279" s="69" t="str">
        <f t="shared" si="4356"/>
        <v>InitUnitState('IF14',,,,,,,,,,)</v>
      </c>
      <c r="CO279" s="69" t="str">
        <f t="shared" si="4357"/>
        <v>InitUnitNormal('IF14',,,,,,,,,,)</v>
      </c>
      <c r="CP279" s="69" t="str">
        <f t="shared" si="4358"/>
        <v>InitUnitMagic('IF14',,,,,,,,,,)</v>
      </c>
      <c r="CQ279" s="69" t="str">
        <f t="shared" si="4359"/>
        <v>InitUnitAdd('IF14',,,,,,,,,,)</v>
      </c>
      <c r="CR279" s="69" t="str">
        <f t="shared" si="4360"/>
        <v>InitEquipData('IF14',,"",,,,,'','','','','','',"")</v>
      </c>
      <c r="CU279" s="99" t="str">
        <f t="shared" si="4361"/>
        <v>|n</v>
      </c>
      <c r="CW279" s="60"/>
      <c r="CX279" s="60"/>
      <c r="CY279" s="60"/>
      <c r="CZ279" s="60"/>
      <c r="DA279" s="60"/>
      <c r="DB279" s="71" t="str">
        <f t="shared" si="4362"/>
        <v/>
      </c>
      <c r="DC279" s="71" t="str">
        <f t="shared" si="4363"/>
        <v/>
      </c>
      <c r="DD279" s="71" t="str">
        <f t="shared" si="4364"/>
        <v/>
      </c>
      <c r="DE279" s="71" t="str">
        <f t="shared" si="4365"/>
        <v/>
      </c>
      <c r="DF279" s="71" t="str">
        <f t="shared" si="4366"/>
        <v/>
      </c>
      <c r="DG279" s="71" t="str">
        <f t="shared" si="4367"/>
        <v/>
      </c>
      <c r="DH279" s="71" t="str">
        <f t="shared" si="4368"/>
        <v/>
      </c>
      <c r="DI279" s="71" t="str">
        <f t="shared" si="4369"/>
        <v/>
      </c>
      <c r="DJ279" s="71" t="str">
        <f t="shared" si="4370"/>
        <v/>
      </c>
      <c r="DK279" s="71" t="str">
        <f t="shared" si="4371"/>
        <v/>
      </c>
      <c r="DL279" s="71" t="str">
        <f t="shared" si="4372"/>
        <v/>
      </c>
      <c r="DM279" s="71" t="str">
        <f t="shared" si="4373"/>
        <v/>
      </c>
      <c r="DN279" s="71" t="str">
        <f t="shared" si="4374"/>
        <v/>
      </c>
      <c r="DO279" s="71" t="str">
        <f t="shared" si="4375"/>
        <v/>
      </c>
      <c r="DP279" s="71" t="str">
        <f t="shared" si="4376"/>
        <v/>
      </c>
      <c r="DQ279" s="71" t="str">
        <f t="shared" si="4377"/>
        <v/>
      </c>
      <c r="DR279" s="71" t="str">
        <f t="shared" si="4378"/>
        <v/>
      </c>
      <c r="DS279" s="71" t="str">
        <f t="shared" si="4379"/>
        <v/>
      </c>
      <c r="DT279" s="71" t="str">
        <f t="shared" si="4380"/>
        <v/>
      </c>
      <c r="DU279" s="71" t="str">
        <f t="shared" si="4381"/>
        <v/>
      </c>
      <c r="DV279" s="71" t="str">
        <f t="shared" si="4382"/>
        <v/>
      </c>
      <c r="DW279" s="71" t="str">
        <f t="shared" si="4383"/>
        <v/>
      </c>
      <c r="DX279" s="71" t="str">
        <f t="shared" si="4384"/>
        <v/>
      </c>
      <c r="DY279" s="71" t="str">
        <f t="shared" si="4385"/>
        <v/>
      </c>
      <c r="DZ279" s="71" t="str">
        <f t="shared" si="4386"/>
        <v/>
      </c>
      <c r="EA279" s="71" t="str">
        <f t="shared" si="4387"/>
        <v/>
      </c>
      <c r="EB279" s="71" t="str">
        <f t="shared" si="4388"/>
        <v/>
      </c>
      <c r="EC279" s="71" t="str">
        <f t="shared" si="4389"/>
        <v/>
      </c>
      <c r="ED279" s="71" t="str">
        <f t="shared" si="4390"/>
        <v/>
      </c>
      <c r="EE279" s="71" t="str">
        <f t="shared" si="4391"/>
        <v/>
      </c>
      <c r="EF279" s="71" t="str">
        <f t="shared" si="4392"/>
        <v/>
      </c>
      <c r="EG279" s="71" t="str">
        <f t="shared" si="4393"/>
        <v/>
      </c>
      <c r="EH279" s="71" t="str">
        <f t="shared" si="4394"/>
        <v/>
      </c>
      <c r="EI279" s="71" t="str">
        <f t="shared" si="4395"/>
        <v/>
      </c>
      <c r="EJ279" s="71" t="str">
        <f t="shared" si="4396"/>
        <v/>
      </c>
      <c r="EK279" s="71" t="str">
        <f t="shared" si="4397"/>
        <v/>
      </c>
      <c r="EL279" s="71" t="str">
        <f t="shared" si="4398"/>
        <v/>
      </c>
      <c r="EM279" s="71" t="str">
        <f t="shared" si="4399"/>
        <v/>
      </c>
      <c r="EN279" s="71" t="str">
        <f t="shared" si="4400"/>
        <v/>
      </c>
      <c r="EO279" s="71" t="str">
        <f t="shared" si="4401"/>
        <v/>
      </c>
      <c r="EP279" s="71" t="str">
        <f t="shared" si="4402"/>
        <v/>
      </c>
      <c r="EQ279" s="71" t="str">
        <f t="shared" si="4403"/>
        <v/>
      </c>
      <c r="ER279" s="71" t="str">
        <f t="shared" si="4404"/>
        <v/>
      </c>
      <c r="ES279" s="71" t="str">
        <f t="shared" si="4405"/>
        <v/>
      </c>
      <c r="ET279" s="71" t="str">
        <f t="shared" si="4406"/>
        <v/>
      </c>
      <c r="EU279" s="71" t="str">
        <f t="shared" si="4407"/>
        <v/>
      </c>
      <c r="EV279" s="71" t="str">
        <f t="shared" si="4408"/>
        <v/>
      </c>
      <c r="EW279" s="71" t="str">
        <f t="shared" si="4409"/>
        <v/>
      </c>
      <c r="EX279" s="71" t="str">
        <f t="shared" si="4410"/>
        <v/>
      </c>
      <c r="EY279" s="71" t="str">
        <f t="shared" si="4411"/>
        <v/>
      </c>
      <c r="EZ279" s="71" t="str">
        <f t="shared" si="4412"/>
        <v/>
      </c>
      <c r="FA279" s="71" t="str">
        <f t="shared" si="4413"/>
        <v/>
      </c>
      <c r="FB279" s="71" t="str">
        <f t="shared" si="4414"/>
        <v/>
      </c>
      <c r="FC279" s="71" t="str">
        <f t="shared" si="4415"/>
        <v/>
      </c>
      <c r="FD279" s="71" t="str">
        <f t="shared" si="4416"/>
        <v/>
      </c>
      <c r="FE279" s="71" t="str">
        <f t="shared" si="4417"/>
        <v/>
      </c>
      <c r="FF279" s="71" t="str">
        <f t="shared" si="4418"/>
        <v/>
      </c>
      <c r="FG279" s="71" t="str">
        <f t="shared" si="4419"/>
        <v/>
      </c>
      <c r="FH279" s="71" t="str">
        <f t="shared" si="4420"/>
        <v/>
      </c>
      <c r="FI279" s="71" t="str">
        <f t="shared" si="4421"/>
        <v/>
      </c>
      <c r="FJ279" s="71" t="str">
        <f t="shared" si="4422"/>
        <v/>
      </c>
      <c r="FK279" s="71" t="str">
        <f t="shared" si="4423"/>
        <v/>
      </c>
      <c r="FL279" s="71" t="str">
        <f t="shared" si="4424"/>
        <v/>
      </c>
      <c r="FM279" s="71" t="str">
        <f t="shared" si="4425"/>
        <v/>
      </c>
      <c r="FN279" s="71" t="str">
        <f t="shared" si="4426"/>
        <v/>
      </c>
      <c r="FO279" s="71" t="str">
        <f t="shared" si="4427"/>
        <v/>
      </c>
      <c r="FP279" s="71" t="str">
        <f t="shared" si="4428"/>
        <v/>
      </c>
      <c r="FQ279" s="71" t="str">
        <f t="shared" si="4429"/>
        <v/>
      </c>
      <c r="FR279" s="71" t="str">
        <f t="shared" si="4430"/>
        <v/>
      </c>
      <c r="FS279" s="71" t="str">
        <f t="shared" si="4431"/>
        <v/>
      </c>
    </row>
    <row r="280" ht="15" spans="1:175">
      <c r="A280" s="137"/>
      <c r="B280" s="81" t="s">
        <v>893</v>
      </c>
      <c r="C280" s="70" t="s">
        <v>879</v>
      </c>
      <c r="T280" s="150"/>
      <c r="U280" s="89"/>
      <c r="CN280" s="69" t="str">
        <f t="shared" si="4356"/>
        <v>InitUnitState('IF15',,,,,,,,,,)</v>
      </c>
      <c r="CO280" s="69" t="str">
        <f t="shared" si="4357"/>
        <v>InitUnitNormal('IF15',,,,,,,,,,)</v>
      </c>
      <c r="CP280" s="69" t="str">
        <f t="shared" si="4358"/>
        <v>InitUnitMagic('IF15',,,,,,,,,,)</v>
      </c>
      <c r="CQ280" s="69" t="str">
        <f t="shared" si="4359"/>
        <v>InitUnitAdd('IF15',,,,,,,,,,)</v>
      </c>
      <c r="CR280" s="69" t="str">
        <f t="shared" si="4360"/>
        <v>InitEquipData('IF15',,"",,,,,'','','','','','',"")</v>
      </c>
      <c r="CU280" s="99" t="str">
        <f t="shared" si="4361"/>
        <v>|n</v>
      </c>
      <c r="CW280" s="60"/>
      <c r="CX280" s="60"/>
      <c r="CY280" s="60"/>
      <c r="CZ280" s="60"/>
      <c r="DA280" s="60"/>
      <c r="DB280" s="71" t="str">
        <f t="shared" si="4362"/>
        <v/>
      </c>
      <c r="DC280" s="71" t="str">
        <f t="shared" si="4363"/>
        <v/>
      </c>
      <c r="DD280" s="71" t="str">
        <f t="shared" si="4364"/>
        <v/>
      </c>
      <c r="DE280" s="71" t="str">
        <f t="shared" si="4365"/>
        <v/>
      </c>
      <c r="DF280" s="71" t="str">
        <f t="shared" si="4366"/>
        <v/>
      </c>
      <c r="DG280" s="71" t="str">
        <f t="shared" si="4367"/>
        <v/>
      </c>
      <c r="DH280" s="71" t="str">
        <f t="shared" si="4368"/>
        <v/>
      </c>
      <c r="DI280" s="71" t="str">
        <f t="shared" si="4369"/>
        <v/>
      </c>
      <c r="DJ280" s="71" t="str">
        <f t="shared" si="4370"/>
        <v/>
      </c>
      <c r="DK280" s="71" t="str">
        <f t="shared" si="4371"/>
        <v/>
      </c>
      <c r="DL280" s="71" t="str">
        <f t="shared" si="4372"/>
        <v/>
      </c>
      <c r="DM280" s="71" t="str">
        <f t="shared" si="4373"/>
        <v/>
      </c>
      <c r="DN280" s="71" t="str">
        <f t="shared" si="4374"/>
        <v/>
      </c>
      <c r="DO280" s="71" t="str">
        <f t="shared" si="4375"/>
        <v/>
      </c>
      <c r="DP280" s="71" t="str">
        <f t="shared" si="4376"/>
        <v/>
      </c>
      <c r="DQ280" s="71" t="str">
        <f t="shared" si="4377"/>
        <v/>
      </c>
      <c r="DR280" s="71" t="str">
        <f t="shared" si="4378"/>
        <v/>
      </c>
      <c r="DS280" s="71" t="str">
        <f t="shared" si="4379"/>
        <v/>
      </c>
      <c r="DT280" s="71" t="str">
        <f t="shared" si="4380"/>
        <v/>
      </c>
      <c r="DU280" s="71" t="str">
        <f t="shared" si="4381"/>
        <v/>
      </c>
      <c r="DV280" s="71" t="str">
        <f t="shared" si="4382"/>
        <v/>
      </c>
      <c r="DW280" s="71" t="str">
        <f t="shared" si="4383"/>
        <v/>
      </c>
      <c r="DX280" s="71" t="str">
        <f t="shared" si="4384"/>
        <v/>
      </c>
      <c r="DY280" s="71" t="str">
        <f t="shared" si="4385"/>
        <v/>
      </c>
      <c r="DZ280" s="71" t="str">
        <f t="shared" si="4386"/>
        <v/>
      </c>
      <c r="EA280" s="71" t="str">
        <f t="shared" si="4387"/>
        <v/>
      </c>
      <c r="EB280" s="71" t="str">
        <f t="shared" si="4388"/>
        <v/>
      </c>
      <c r="EC280" s="71" t="str">
        <f t="shared" si="4389"/>
        <v/>
      </c>
      <c r="ED280" s="71" t="str">
        <f t="shared" si="4390"/>
        <v/>
      </c>
      <c r="EE280" s="71" t="str">
        <f t="shared" si="4391"/>
        <v/>
      </c>
      <c r="EF280" s="71" t="str">
        <f t="shared" si="4392"/>
        <v/>
      </c>
      <c r="EG280" s="71" t="str">
        <f t="shared" si="4393"/>
        <v/>
      </c>
      <c r="EH280" s="71" t="str">
        <f t="shared" si="4394"/>
        <v/>
      </c>
      <c r="EI280" s="71" t="str">
        <f t="shared" si="4395"/>
        <v/>
      </c>
      <c r="EJ280" s="71" t="str">
        <f t="shared" si="4396"/>
        <v/>
      </c>
      <c r="EK280" s="71" t="str">
        <f t="shared" si="4397"/>
        <v/>
      </c>
      <c r="EL280" s="71" t="str">
        <f t="shared" si="4398"/>
        <v/>
      </c>
      <c r="EM280" s="71" t="str">
        <f t="shared" si="4399"/>
        <v/>
      </c>
      <c r="EN280" s="71" t="str">
        <f t="shared" si="4400"/>
        <v/>
      </c>
      <c r="EO280" s="71" t="str">
        <f t="shared" si="4401"/>
        <v/>
      </c>
      <c r="EP280" s="71" t="str">
        <f t="shared" si="4402"/>
        <v/>
      </c>
      <c r="EQ280" s="71" t="str">
        <f t="shared" si="4403"/>
        <v/>
      </c>
      <c r="ER280" s="71" t="str">
        <f t="shared" si="4404"/>
        <v/>
      </c>
      <c r="ES280" s="71" t="str">
        <f t="shared" si="4405"/>
        <v/>
      </c>
      <c r="ET280" s="71" t="str">
        <f t="shared" si="4406"/>
        <v/>
      </c>
      <c r="EU280" s="71" t="str">
        <f t="shared" si="4407"/>
        <v/>
      </c>
      <c r="EV280" s="71" t="str">
        <f t="shared" si="4408"/>
        <v/>
      </c>
      <c r="EW280" s="71" t="str">
        <f t="shared" si="4409"/>
        <v/>
      </c>
      <c r="EX280" s="71" t="str">
        <f t="shared" si="4410"/>
        <v/>
      </c>
      <c r="EY280" s="71" t="str">
        <f t="shared" si="4411"/>
        <v/>
      </c>
      <c r="EZ280" s="71" t="str">
        <f t="shared" si="4412"/>
        <v/>
      </c>
      <c r="FA280" s="71" t="str">
        <f t="shared" si="4413"/>
        <v/>
      </c>
      <c r="FB280" s="71" t="str">
        <f t="shared" si="4414"/>
        <v/>
      </c>
      <c r="FC280" s="71" t="str">
        <f t="shared" si="4415"/>
        <v/>
      </c>
      <c r="FD280" s="71" t="str">
        <f t="shared" si="4416"/>
        <v/>
      </c>
      <c r="FE280" s="71" t="str">
        <f t="shared" si="4417"/>
        <v/>
      </c>
      <c r="FF280" s="71" t="str">
        <f t="shared" si="4418"/>
        <v/>
      </c>
      <c r="FG280" s="71" t="str">
        <f t="shared" si="4419"/>
        <v/>
      </c>
      <c r="FH280" s="71" t="str">
        <f t="shared" si="4420"/>
        <v/>
      </c>
      <c r="FI280" s="71" t="str">
        <f t="shared" si="4421"/>
        <v/>
      </c>
      <c r="FJ280" s="71" t="str">
        <f t="shared" si="4422"/>
        <v/>
      </c>
      <c r="FK280" s="71" t="str">
        <f t="shared" si="4423"/>
        <v/>
      </c>
      <c r="FL280" s="71" t="str">
        <f t="shared" si="4424"/>
        <v/>
      </c>
      <c r="FM280" s="71" t="str">
        <f t="shared" si="4425"/>
        <v/>
      </c>
      <c r="FN280" s="71" t="str">
        <f t="shared" si="4426"/>
        <v/>
      </c>
      <c r="FO280" s="71" t="str">
        <f t="shared" si="4427"/>
        <v/>
      </c>
      <c r="FP280" s="71" t="str">
        <f t="shared" si="4428"/>
        <v/>
      </c>
      <c r="FQ280" s="71" t="str">
        <f t="shared" si="4429"/>
        <v/>
      </c>
      <c r="FR280" s="71" t="str">
        <f t="shared" si="4430"/>
        <v/>
      </c>
      <c r="FS280" s="71" t="str">
        <f t="shared" si="4431"/>
        <v/>
      </c>
    </row>
    <row r="281" ht="15" spans="1:175">
      <c r="A281" s="137"/>
      <c r="B281" s="81" t="s">
        <v>894</v>
      </c>
      <c r="C281" s="70" t="s">
        <v>879</v>
      </c>
      <c r="T281" s="150"/>
      <c r="U281" s="89"/>
      <c r="CN281" s="69" t="str">
        <f t="shared" si="4356"/>
        <v>InitUnitState('IF16',,,,,,,,,,)</v>
      </c>
      <c r="CO281" s="69" t="str">
        <f t="shared" si="4357"/>
        <v>InitUnitNormal('IF16',,,,,,,,,,)</v>
      </c>
      <c r="CP281" s="69" t="str">
        <f t="shared" si="4358"/>
        <v>InitUnitMagic('IF16',,,,,,,,,,)</v>
      </c>
      <c r="CQ281" s="69" t="str">
        <f t="shared" si="4359"/>
        <v>InitUnitAdd('IF16',,,,,,,,,,)</v>
      </c>
      <c r="CR281" s="69" t="str">
        <f t="shared" si="4360"/>
        <v>InitEquipData('IF16',,"",,,,,'','','','','','',"")</v>
      </c>
      <c r="CU281" s="99" t="str">
        <f t="shared" si="4361"/>
        <v>|n</v>
      </c>
      <c r="CW281" s="60"/>
      <c r="CX281" s="60"/>
      <c r="CY281" s="60"/>
      <c r="CZ281" s="60"/>
      <c r="DA281" s="60"/>
      <c r="DB281" s="71" t="str">
        <f t="shared" si="4362"/>
        <v/>
      </c>
      <c r="DC281" s="71" t="str">
        <f t="shared" si="4363"/>
        <v/>
      </c>
      <c r="DD281" s="71" t="str">
        <f t="shared" si="4364"/>
        <v/>
      </c>
      <c r="DE281" s="71" t="str">
        <f t="shared" si="4365"/>
        <v/>
      </c>
      <c r="DF281" s="71" t="str">
        <f t="shared" si="4366"/>
        <v/>
      </c>
      <c r="DG281" s="71" t="str">
        <f t="shared" si="4367"/>
        <v/>
      </c>
      <c r="DH281" s="71" t="str">
        <f t="shared" si="4368"/>
        <v/>
      </c>
      <c r="DI281" s="71" t="str">
        <f t="shared" si="4369"/>
        <v/>
      </c>
      <c r="DJ281" s="71" t="str">
        <f t="shared" si="4370"/>
        <v/>
      </c>
      <c r="DK281" s="71" t="str">
        <f t="shared" si="4371"/>
        <v/>
      </c>
      <c r="DL281" s="71" t="str">
        <f t="shared" si="4372"/>
        <v/>
      </c>
      <c r="DM281" s="71" t="str">
        <f t="shared" si="4373"/>
        <v/>
      </c>
      <c r="DN281" s="71" t="str">
        <f t="shared" si="4374"/>
        <v/>
      </c>
      <c r="DO281" s="71" t="str">
        <f t="shared" si="4375"/>
        <v/>
      </c>
      <c r="DP281" s="71" t="str">
        <f t="shared" si="4376"/>
        <v/>
      </c>
      <c r="DQ281" s="71" t="str">
        <f t="shared" si="4377"/>
        <v/>
      </c>
      <c r="DR281" s="71" t="str">
        <f t="shared" si="4378"/>
        <v/>
      </c>
      <c r="DS281" s="71" t="str">
        <f t="shared" si="4379"/>
        <v/>
      </c>
      <c r="DT281" s="71" t="str">
        <f t="shared" si="4380"/>
        <v/>
      </c>
      <c r="DU281" s="71" t="str">
        <f t="shared" si="4381"/>
        <v/>
      </c>
      <c r="DV281" s="71" t="str">
        <f t="shared" si="4382"/>
        <v/>
      </c>
      <c r="DW281" s="71" t="str">
        <f t="shared" si="4383"/>
        <v/>
      </c>
      <c r="DX281" s="71" t="str">
        <f t="shared" si="4384"/>
        <v/>
      </c>
      <c r="DY281" s="71" t="str">
        <f t="shared" si="4385"/>
        <v/>
      </c>
      <c r="DZ281" s="71" t="str">
        <f t="shared" si="4386"/>
        <v/>
      </c>
      <c r="EA281" s="71" t="str">
        <f t="shared" si="4387"/>
        <v/>
      </c>
      <c r="EB281" s="71" t="str">
        <f t="shared" si="4388"/>
        <v/>
      </c>
      <c r="EC281" s="71" t="str">
        <f t="shared" si="4389"/>
        <v/>
      </c>
      <c r="ED281" s="71" t="str">
        <f t="shared" si="4390"/>
        <v/>
      </c>
      <c r="EE281" s="71" t="str">
        <f t="shared" si="4391"/>
        <v/>
      </c>
      <c r="EF281" s="71" t="str">
        <f t="shared" si="4392"/>
        <v/>
      </c>
      <c r="EG281" s="71" t="str">
        <f t="shared" si="4393"/>
        <v/>
      </c>
      <c r="EH281" s="71" t="str">
        <f t="shared" si="4394"/>
        <v/>
      </c>
      <c r="EI281" s="71" t="str">
        <f t="shared" si="4395"/>
        <v/>
      </c>
      <c r="EJ281" s="71" t="str">
        <f t="shared" si="4396"/>
        <v/>
      </c>
      <c r="EK281" s="71" t="str">
        <f t="shared" si="4397"/>
        <v/>
      </c>
      <c r="EL281" s="71" t="str">
        <f t="shared" si="4398"/>
        <v/>
      </c>
      <c r="EM281" s="71" t="str">
        <f t="shared" si="4399"/>
        <v/>
      </c>
      <c r="EN281" s="71" t="str">
        <f t="shared" si="4400"/>
        <v/>
      </c>
      <c r="EO281" s="71" t="str">
        <f t="shared" si="4401"/>
        <v/>
      </c>
      <c r="EP281" s="71" t="str">
        <f t="shared" si="4402"/>
        <v/>
      </c>
      <c r="EQ281" s="71" t="str">
        <f t="shared" si="4403"/>
        <v/>
      </c>
      <c r="ER281" s="71" t="str">
        <f t="shared" si="4404"/>
        <v/>
      </c>
      <c r="ES281" s="71" t="str">
        <f t="shared" si="4405"/>
        <v/>
      </c>
      <c r="ET281" s="71" t="str">
        <f t="shared" si="4406"/>
        <v/>
      </c>
      <c r="EU281" s="71" t="str">
        <f t="shared" si="4407"/>
        <v/>
      </c>
      <c r="EV281" s="71" t="str">
        <f t="shared" si="4408"/>
        <v/>
      </c>
      <c r="EW281" s="71" t="str">
        <f t="shared" si="4409"/>
        <v/>
      </c>
      <c r="EX281" s="71" t="str">
        <f t="shared" si="4410"/>
        <v/>
      </c>
      <c r="EY281" s="71" t="str">
        <f t="shared" si="4411"/>
        <v/>
      </c>
      <c r="EZ281" s="71" t="str">
        <f t="shared" si="4412"/>
        <v/>
      </c>
      <c r="FA281" s="71" t="str">
        <f t="shared" si="4413"/>
        <v/>
      </c>
      <c r="FB281" s="71" t="str">
        <f t="shared" si="4414"/>
        <v/>
      </c>
      <c r="FC281" s="71" t="str">
        <f t="shared" si="4415"/>
        <v/>
      </c>
      <c r="FD281" s="71" t="str">
        <f t="shared" si="4416"/>
        <v/>
      </c>
      <c r="FE281" s="71" t="str">
        <f t="shared" si="4417"/>
        <v/>
      </c>
      <c r="FF281" s="71" t="str">
        <f t="shared" si="4418"/>
        <v/>
      </c>
      <c r="FG281" s="71" t="str">
        <f t="shared" si="4419"/>
        <v/>
      </c>
      <c r="FH281" s="71" t="str">
        <f t="shared" si="4420"/>
        <v/>
      </c>
      <c r="FI281" s="71" t="str">
        <f t="shared" si="4421"/>
        <v/>
      </c>
      <c r="FJ281" s="71" t="str">
        <f t="shared" si="4422"/>
        <v/>
      </c>
      <c r="FK281" s="71" t="str">
        <f t="shared" si="4423"/>
        <v/>
      </c>
      <c r="FL281" s="71" t="str">
        <f t="shared" si="4424"/>
        <v/>
      </c>
      <c r="FM281" s="71" t="str">
        <f t="shared" si="4425"/>
        <v/>
      </c>
      <c r="FN281" s="71" t="str">
        <f t="shared" si="4426"/>
        <v/>
      </c>
      <c r="FO281" s="71" t="str">
        <f t="shared" si="4427"/>
        <v/>
      </c>
      <c r="FP281" s="71" t="str">
        <f t="shared" si="4428"/>
        <v/>
      </c>
      <c r="FQ281" s="71" t="str">
        <f t="shared" si="4429"/>
        <v/>
      </c>
      <c r="FR281" s="71" t="str">
        <f t="shared" si="4430"/>
        <v/>
      </c>
      <c r="FS281" s="71" t="str">
        <f t="shared" si="4431"/>
        <v/>
      </c>
    </row>
    <row r="282" ht="15" spans="1:175">
      <c r="A282" s="137"/>
      <c r="B282" s="81" t="s">
        <v>895</v>
      </c>
      <c r="C282" s="70" t="s">
        <v>879</v>
      </c>
      <c r="T282" s="150"/>
      <c r="U282" s="89"/>
      <c r="CN282" s="69" t="str">
        <f t="shared" si="4356"/>
        <v>InitUnitState('IF17',,,,,,,,,,)</v>
      </c>
      <c r="CO282" s="69" t="str">
        <f t="shared" si="4357"/>
        <v>InitUnitNormal('IF17',,,,,,,,,,)</v>
      </c>
      <c r="CP282" s="69" t="str">
        <f t="shared" si="4358"/>
        <v>InitUnitMagic('IF17',,,,,,,,,,)</v>
      </c>
      <c r="CQ282" s="69" t="str">
        <f t="shared" si="4359"/>
        <v>InitUnitAdd('IF17',,,,,,,,,,)</v>
      </c>
      <c r="CR282" s="69" t="str">
        <f t="shared" si="4360"/>
        <v>InitEquipData('IF17',,"",,,,,'','','','','','',"")</v>
      </c>
      <c r="CU282" s="99" t="str">
        <f t="shared" si="4361"/>
        <v>|n</v>
      </c>
      <c r="CW282" s="60"/>
      <c r="CX282" s="60"/>
      <c r="CY282" s="60"/>
      <c r="CZ282" s="60"/>
      <c r="DA282" s="60"/>
      <c r="DB282" s="71" t="str">
        <f t="shared" si="4362"/>
        <v/>
      </c>
      <c r="DC282" s="71" t="str">
        <f t="shared" si="4363"/>
        <v/>
      </c>
      <c r="DD282" s="71" t="str">
        <f t="shared" si="4364"/>
        <v/>
      </c>
      <c r="DE282" s="71" t="str">
        <f t="shared" si="4365"/>
        <v/>
      </c>
      <c r="DF282" s="71" t="str">
        <f t="shared" si="4366"/>
        <v/>
      </c>
      <c r="DG282" s="71" t="str">
        <f t="shared" si="4367"/>
        <v/>
      </c>
      <c r="DH282" s="71" t="str">
        <f t="shared" si="4368"/>
        <v/>
      </c>
      <c r="DI282" s="71" t="str">
        <f t="shared" si="4369"/>
        <v/>
      </c>
      <c r="DJ282" s="71" t="str">
        <f t="shared" si="4370"/>
        <v/>
      </c>
      <c r="DK282" s="71" t="str">
        <f t="shared" si="4371"/>
        <v/>
      </c>
      <c r="DL282" s="71" t="str">
        <f t="shared" si="4372"/>
        <v/>
      </c>
      <c r="DM282" s="71" t="str">
        <f t="shared" si="4373"/>
        <v/>
      </c>
      <c r="DN282" s="71" t="str">
        <f t="shared" si="4374"/>
        <v/>
      </c>
      <c r="DO282" s="71" t="str">
        <f t="shared" si="4375"/>
        <v/>
      </c>
      <c r="DP282" s="71" t="str">
        <f t="shared" si="4376"/>
        <v/>
      </c>
      <c r="DQ282" s="71" t="str">
        <f t="shared" si="4377"/>
        <v/>
      </c>
      <c r="DR282" s="71" t="str">
        <f t="shared" si="4378"/>
        <v/>
      </c>
      <c r="DS282" s="71" t="str">
        <f t="shared" si="4379"/>
        <v/>
      </c>
      <c r="DT282" s="71" t="str">
        <f t="shared" si="4380"/>
        <v/>
      </c>
      <c r="DU282" s="71" t="str">
        <f t="shared" si="4381"/>
        <v/>
      </c>
      <c r="DV282" s="71" t="str">
        <f t="shared" si="4382"/>
        <v/>
      </c>
      <c r="DW282" s="71" t="str">
        <f t="shared" si="4383"/>
        <v/>
      </c>
      <c r="DX282" s="71" t="str">
        <f t="shared" si="4384"/>
        <v/>
      </c>
      <c r="DY282" s="71" t="str">
        <f t="shared" si="4385"/>
        <v/>
      </c>
      <c r="DZ282" s="71" t="str">
        <f t="shared" si="4386"/>
        <v/>
      </c>
      <c r="EA282" s="71" t="str">
        <f t="shared" si="4387"/>
        <v/>
      </c>
      <c r="EB282" s="71" t="str">
        <f t="shared" si="4388"/>
        <v/>
      </c>
      <c r="EC282" s="71" t="str">
        <f t="shared" si="4389"/>
        <v/>
      </c>
      <c r="ED282" s="71" t="str">
        <f t="shared" si="4390"/>
        <v/>
      </c>
      <c r="EE282" s="71" t="str">
        <f t="shared" si="4391"/>
        <v/>
      </c>
      <c r="EF282" s="71" t="str">
        <f t="shared" si="4392"/>
        <v/>
      </c>
      <c r="EG282" s="71" t="str">
        <f t="shared" si="4393"/>
        <v/>
      </c>
      <c r="EH282" s="71" t="str">
        <f t="shared" si="4394"/>
        <v/>
      </c>
      <c r="EI282" s="71" t="str">
        <f t="shared" si="4395"/>
        <v/>
      </c>
      <c r="EJ282" s="71" t="str">
        <f t="shared" si="4396"/>
        <v/>
      </c>
      <c r="EK282" s="71" t="str">
        <f t="shared" si="4397"/>
        <v/>
      </c>
      <c r="EL282" s="71" t="str">
        <f t="shared" si="4398"/>
        <v/>
      </c>
      <c r="EM282" s="71" t="str">
        <f t="shared" si="4399"/>
        <v/>
      </c>
      <c r="EN282" s="71" t="str">
        <f t="shared" si="4400"/>
        <v/>
      </c>
      <c r="EO282" s="71" t="str">
        <f t="shared" si="4401"/>
        <v/>
      </c>
      <c r="EP282" s="71" t="str">
        <f t="shared" si="4402"/>
        <v/>
      </c>
      <c r="EQ282" s="71" t="str">
        <f t="shared" si="4403"/>
        <v/>
      </c>
      <c r="ER282" s="71" t="str">
        <f t="shared" si="4404"/>
        <v/>
      </c>
      <c r="ES282" s="71" t="str">
        <f t="shared" si="4405"/>
        <v/>
      </c>
      <c r="ET282" s="71" t="str">
        <f t="shared" si="4406"/>
        <v/>
      </c>
      <c r="EU282" s="71" t="str">
        <f t="shared" si="4407"/>
        <v/>
      </c>
      <c r="EV282" s="71" t="str">
        <f t="shared" si="4408"/>
        <v/>
      </c>
      <c r="EW282" s="71" t="str">
        <f t="shared" si="4409"/>
        <v/>
      </c>
      <c r="EX282" s="71" t="str">
        <f t="shared" si="4410"/>
        <v/>
      </c>
      <c r="EY282" s="71" t="str">
        <f t="shared" si="4411"/>
        <v/>
      </c>
      <c r="EZ282" s="71" t="str">
        <f t="shared" si="4412"/>
        <v/>
      </c>
      <c r="FA282" s="71" t="str">
        <f t="shared" si="4413"/>
        <v/>
      </c>
      <c r="FB282" s="71" t="str">
        <f t="shared" si="4414"/>
        <v/>
      </c>
      <c r="FC282" s="71" t="str">
        <f t="shared" si="4415"/>
        <v/>
      </c>
      <c r="FD282" s="71" t="str">
        <f t="shared" si="4416"/>
        <v/>
      </c>
      <c r="FE282" s="71" t="str">
        <f t="shared" si="4417"/>
        <v/>
      </c>
      <c r="FF282" s="71" t="str">
        <f t="shared" si="4418"/>
        <v/>
      </c>
      <c r="FG282" s="71" t="str">
        <f t="shared" si="4419"/>
        <v/>
      </c>
      <c r="FH282" s="71" t="str">
        <f t="shared" si="4420"/>
        <v/>
      </c>
      <c r="FI282" s="71" t="str">
        <f t="shared" si="4421"/>
        <v/>
      </c>
      <c r="FJ282" s="71" t="str">
        <f t="shared" si="4422"/>
        <v/>
      </c>
      <c r="FK282" s="71" t="str">
        <f t="shared" si="4423"/>
        <v/>
      </c>
      <c r="FL282" s="71" t="str">
        <f t="shared" si="4424"/>
        <v/>
      </c>
      <c r="FM282" s="71" t="str">
        <f t="shared" si="4425"/>
        <v/>
      </c>
      <c r="FN282" s="71" t="str">
        <f t="shared" si="4426"/>
        <v/>
      </c>
      <c r="FO282" s="71" t="str">
        <f t="shared" si="4427"/>
        <v/>
      </c>
      <c r="FP282" s="71" t="str">
        <f t="shared" si="4428"/>
        <v/>
      </c>
      <c r="FQ282" s="71" t="str">
        <f t="shared" si="4429"/>
        <v/>
      </c>
      <c r="FR282" s="71" t="str">
        <f t="shared" si="4430"/>
        <v/>
      </c>
      <c r="FS282" s="71" t="str">
        <f t="shared" si="4431"/>
        <v/>
      </c>
    </row>
    <row r="283" ht="15" spans="1:175">
      <c r="A283" s="137"/>
      <c r="B283" s="81" t="s">
        <v>896</v>
      </c>
      <c r="C283" s="70" t="s">
        <v>879</v>
      </c>
      <c r="T283" s="151"/>
      <c r="U283" s="89"/>
      <c r="CN283" s="69" t="str">
        <f t="shared" si="4356"/>
        <v>InitUnitState('IF18',,,,,,,,,,)</v>
      </c>
      <c r="CO283" s="69" t="str">
        <f t="shared" si="4357"/>
        <v>InitUnitNormal('IF18',,,,,,,,,,)</v>
      </c>
      <c r="CP283" s="69" t="str">
        <f t="shared" si="4358"/>
        <v>InitUnitMagic('IF18',,,,,,,,,,)</v>
      </c>
      <c r="CQ283" s="69" t="str">
        <f t="shared" si="4359"/>
        <v>InitUnitAdd('IF18',,,,,,,,,,)</v>
      </c>
      <c r="CR283" s="69" t="str">
        <f t="shared" si="4360"/>
        <v>InitEquipData('IF18',,"",,,,,'','','','','','',"")</v>
      </c>
      <c r="CU283" s="99" t="str">
        <f t="shared" si="4361"/>
        <v>|n</v>
      </c>
      <c r="CW283" s="60"/>
      <c r="CX283" s="60"/>
      <c r="CY283" s="60"/>
      <c r="CZ283" s="60"/>
      <c r="DA283" s="60"/>
      <c r="DB283" s="71" t="str">
        <f t="shared" si="4362"/>
        <v/>
      </c>
      <c r="DC283" s="71" t="str">
        <f t="shared" si="4363"/>
        <v/>
      </c>
      <c r="DD283" s="71" t="str">
        <f t="shared" si="4364"/>
        <v/>
      </c>
      <c r="DE283" s="71" t="str">
        <f t="shared" si="4365"/>
        <v/>
      </c>
      <c r="DF283" s="71" t="str">
        <f t="shared" si="4366"/>
        <v/>
      </c>
      <c r="DG283" s="71" t="str">
        <f t="shared" si="4367"/>
        <v/>
      </c>
      <c r="DH283" s="71" t="str">
        <f t="shared" si="4368"/>
        <v/>
      </c>
      <c r="DI283" s="71" t="str">
        <f t="shared" si="4369"/>
        <v/>
      </c>
      <c r="DJ283" s="71" t="str">
        <f t="shared" si="4370"/>
        <v/>
      </c>
      <c r="DK283" s="71" t="str">
        <f t="shared" si="4371"/>
        <v/>
      </c>
      <c r="DL283" s="71" t="str">
        <f t="shared" si="4372"/>
        <v/>
      </c>
      <c r="DM283" s="71" t="str">
        <f t="shared" si="4373"/>
        <v/>
      </c>
      <c r="DN283" s="71" t="str">
        <f t="shared" si="4374"/>
        <v/>
      </c>
      <c r="DO283" s="71" t="str">
        <f t="shared" si="4375"/>
        <v/>
      </c>
      <c r="DP283" s="71" t="str">
        <f t="shared" si="4376"/>
        <v/>
      </c>
      <c r="DQ283" s="71" t="str">
        <f t="shared" si="4377"/>
        <v/>
      </c>
      <c r="DR283" s="71" t="str">
        <f t="shared" si="4378"/>
        <v/>
      </c>
      <c r="DS283" s="71" t="str">
        <f t="shared" si="4379"/>
        <v/>
      </c>
      <c r="DT283" s="71" t="str">
        <f t="shared" si="4380"/>
        <v/>
      </c>
      <c r="DU283" s="71" t="str">
        <f t="shared" si="4381"/>
        <v/>
      </c>
      <c r="DV283" s="71" t="str">
        <f t="shared" si="4382"/>
        <v/>
      </c>
      <c r="DW283" s="71" t="str">
        <f t="shared" si="4383"/>
        <v/>
      </c>
      <c r="DX283" s="71" t="str">
        <f t="shared" si="4384"/>
        <v/>
      </c>
      <c r="DY283" s="71" t="str">
        <f t="shared" si="4385"/>
        <v/>
      </c>
      <c r="DZ283" s="71" t="str">
        <f t="shared" si="4386"/>
        <v/>
      </c>
      <c r="EA283" s="71" t="str">
        <f t="shared" si="4387"/>
        <v/>
      </c>
      <c r="EB283" s="71" t="str">
        <f t="shared" si="4388"/>
        <v/>
      </c>
      <c r="EC283" s="71" t="str">
        <f t="shared" si="4389"/>
        <v/>
      </c>
      <c r="ED283" s="71" t="str">
        <f t="shared" si="4390"/>
        <v/>
      </c>
      <c r="EE283" s="71" t="str">
        <f t="shared" si="4391"/>
        <v/>
      </c>
      <c r="EF283" s="71" t="str">
        <f t="shared" si="4392"/>
        <v/>
      </c>
      <c r="EG283" s="71" t="str">
        <f t="shared" si="4393"/>
        <v/>
      </c>
      <c r="EH283" s="71" t="str">
        <f t="shared" si="4394"/>
        <v/>
      </c>
      <c r="EI283" s="71" t="str">
        <f t="shared" si="4395"/>
        <v/>
      </c>
      <c r="EJ283" s="71" t="str">
        <f t="shared" si="4396"/>
        <v/>
      </c>
      <c r="EK283" s="71" t="str">
        <f t="shared" si="4397"/>
        <v/>
      </c>
      <c r="EL283" s="71" t="str">
        <f t="shared" si="4398"/>
        <v/>
      </c>
      <c r="EM283" s="71" t="str">
        <f t="shared" si="4399"/>
        <v/>
      </c>
      <c r="EN283" s="71" t="str">
        <f t="shared" si="4400"/>
        <v/>
      </c>
      <c r="EO283" s="71" t="str">
        <f t="shared" si="4401"/>
        <v/>
      </c>
      <c r="EP283" s="71" t="str">
        <f t="shared" si="4402"/>
        <v/>
      </c>
      <c r="EQ283" s="71" t="str">
        <f t="shared" si="4403"/>
        <v/>
      </c>
      <c r="ER283" s="71" t="str">
        <f t="shared" si="4404"/>
        <v/>
      </c>
      <c r="ES283" s="71" t="str">
        <f t="shared" si="4405"/>
        <v/>
      </c>
      <c r="ET283" s="71" t="str">
        <f t="shared" si="4406"/>
        <v/>
      </c>
      <c r="EU283" s="71" t="str">
        <f t="shared" si="4407"/>
        <v/>
      </c>
      <c r="EV283" s="71" t="str">
        <f t="shared" si="4408"/>
        <v/>
      </c>
      <c r="EW283" s="71" t="str">
        <f t="shared" si="4409"/>
        <v/>
      </c>
      <c r="EX283" s="71" t="str">
        <f t="shared" si="4410"/>
        <v/>
      </c>
      <c r="EY283" s="71" t="str">
        <f t="shared" si="4411"/>
        <v/>
      </c>
      <c r="EZ283" s="71" t="str">
        <f t="shared" si="4412"/>
        <v/>
      </c>
      <c r="FA283" s="71" t="str">
        <f t="shared" si="4413"/>
        <v/>
      </c>
      <c r="FB283" s="71" t="str">
        <f t="shared" si="4414"/>
        <v/>
      </c>
      <c r="FC283" s="71" t="str">
        <f t="shared" si="4415"/>
        <v/>
      </c>
      <c r="FD283" s="71" t="str">
        <f t="shared" si="4416"/>
        <v/>
      </c>
      <c r="FE283" s="71" t="str">
        <f t="shared" si="4417"/>
        <v/>
      </c>
      <c r="FF283" s="71" t="str">
        <f t="shared" si="4418"/>
        <v/>
      </c>
      <c r="FG283" s="71" t="str">
        <f t="shared" si="4419"/>
        <v/>
      </c>
      <c r="FH283" s="71" t="str">
        <f t="shared" si="4420"/>
        <v/>
      </c>
      <c r="FI283" s="71" t="str">
        <f t="shared" si="4421"/>
        <v/>
      </c>
      <c r="FJ283" s="71" t="str">
        <f t="shared" si="4422"/>
        <v/>
      </c>
      <c r="FK283" s="71" t="str">
        <f t="shared" si="4423"/>
        <v/>
      </c>
      <c r="FL283" s="71" t="str">
        <f t="shared" si="4424"/>
        <v/>
      </c>
      <c r="FM283" s="71" t="str">
        <f t="shared" si="4425"/>
        <v/>
      </c>
      <c r="FN283" s="71" t="str">
        <f t="shared" si="4426"/>
        <v/>
      </c>
      <c r="FO283" s="71" t="str">
        <f t="shared" si="4427"/>
        <v/>
      </c>
      <c r="FP283" s="71" t="str">
        <f t="shared" si="4428"/>
        <v/>
      </c>
      <c r="FQ283" s="71" t="str">
        <f t="shared" si="4429"/>
        <v/>
      </c>
      <c r="FR283" s="71" t="str">
        <f t="shared" si="4430"/>
        <v/>
      </c>
      <c r="FS283" s="71" t="str">
        <f t="shared" si="4431"/>
        <v/>
      </c>
    </row>
    <row r="284" ht="15" spans="1:175">
      <c r="A284" s="137"/>
      <c r="B284" s="81" t="s">
        <v>897</v>
      </c>
      <c r="C284" s="70" t="s">
        <v>879</v>
      </c>
      <c r="T284" s="151"/>
      <c r="U284" s="89"/>
      <c r="CN284" s="69" t="str">
        <f t="shared" si="4356"/>
        <v>InitUnitState('IF19',,,,,,,,,,)</v>
      </c>
      <c r="CO284" s="69" t="str">
        <f t="shared" si="4357"/>
        <v>InitUnitNormal('IF19',,,,,,,,,,)</v>
      </c>
      <c r="CP284" s="69" t="str">
        <f t="shared" si="4358"/>
        <v>InitUnitMagic('IF19',,,,,,,,,,)</v>
      </c>
      <c r="CQ284" s="69" t="str">
        <f t="shared" si="4359"/>
        <v>InitUnitAdd('IF19',,,,,,,,,,)</v>
      </c>
      <c r="CR284" s="69" t="str">
        <f t="shared" si="4360"/>
        <v>InitEquipData('IF19',,"",,,,,'','','','','','',"")</v>
      </c>
      <c r="CU284" s="99" t="str">
        <f t="shared" si="4361"/>
        <v>|n</v>
      </c>
      <c r="CW284" s="60"/>
      <c r="CX284" s="60"/>
      <c r="CY284" s="60"/>
      <c r="CZ284" s="60"/>
      <c r="DA284" s="60"/>
      <c r="DB284" s="71" t="str">
        <f t="shared" si="4362"/>
        <v/>
      </c>
      <c r="DC284" s="71" t="str">
        <f t="shared" si="4363"/>
        <v/>
      </c>
      <c r="DD284" s="71" t="str">
        <f t="shared" si="4364"/>
        <v/>
      </c>
      <c r="DE284" s="71" t="str">
        <f t="shared" si="4365"/>
        <v/>
      </c>
      <c r="DF284" s="71" t="str">
        <f t="shared" si="4366"/>
        <v/>
      </c>
      <c r="DG284" s="71" t="str">
        <f t="shared" si="4367"/>
        <v/>
      </c>
      <c r="DH284" s="71" t="str">
        <f t="shared" si="4368"/>
        <v/>
      </c>
      <c r="DI284" s="71" t="str">
        <f t="shared" si="4369"/>
        <v/>
      </c>
      <c r="DJ284" s="71" t="str">
        <f t="shared" si="4370"/>
        <v/>
      </c>
      <c r="DK284" s="71" t="str">
        <f t="shared" si="4371"/>
        <v/>
      </c>
      <c r="DL284" s="71" t="str">
        <f t="shared" si="4372"/>
        <v/>
      </c>
      <c r="DM284" s="71" t="str">
        <f t="shared" si="4373"/>
        <v/>
      </c>
      <c r="DN284" s="71" t="str">
        <f t="shared" si="4374"/>
        <v/>
      </c>
      <c r="DO284" s="71" t="str">
        <f t="shared" si="4375"/>
        <v/>
      </c>
      <c r="DP284" s="71" t="str">
        <f t="shared" si="4376"/>
        <v/>
      </c>
      <c r="DQ284" s="71" t="str">
        <f t="shared" si="4377"/>
        <v/>
      </c>
      <c r="DR284" s="71" t="str">
        <f t="shared" si="4378"/>
        <v/>
      </c>
      <c r="DS284" s="71" t="str">
        <f t="shared" si="4379"/>
        <v/>
      </c>
      <c r="DT284" s="71" t="str">
        <f t="shared" si="4380"/>
        <v/>
      </c>
      <c r="DU284" s="71" t="str">
        <f t="shared" si="4381"/>
        <v/>
      </c>
      <c r="DV284" s="71" t="str">
        <f t="shared" si="4382"/>
        <v/>
      </c>
      <c r="DW284" s="71" t="str">
        <f t="shared" si="4383"/>
        <v/>
      </c>
      <c r="DX284" s="71" t="str">
        <f t="shared" si="4384"/>
        <v/>
      </c>
      <c r="DY284" s="71" t="str">
        <f t="shared" si="4385"/>
        <v/>
      </c>
      <c r="DZ284" s="71" t="str">
        <f t="shared" si="4386"/>
        <v/>
      </c>
      <c r="EA284" s="71" t="str">
        <f t="shared" si="4387"/>
        <v/>
      </c>
      <c r="EB284" s="71" t="str">
        <f t="shared" si="4388"/>
        <v/>
      </c>
      <c r="EC284" s="71" t="str">
        <f t="shared" si="4389"/>
        <v/>
      </c>
      <c r="ED284" s="71" t="str">
        <f t="shared" si="4390"/>
        <v/>
      </c>
      <c r="EE284" s="71" t="str">
        <f t="shared" si="4391"/>
        <v/>
      </c>
      <c r="EF284" s="71" t="str">
        <f t="shared" si="4392"/>
        <v/>
      </c>
      <c r="EG284" s="71" t="str">
        <f t="shared" si="4393"/>
        <v/>
      </c>
      <c r="EH284" s="71" t="str">
        <f t="shared" si="4394"/>
        <v/>
      </c>
      <c r="EI284" s="71" t="str">
        <f t="shared" si="4395"/>
        <v/>
      </c>
      <c r="EJ284" s="71" t="str">
        <f t="shared" si="4396"/>
        <v/>
      </c>
      <c r="EK284" s="71" t="str">
        <f t="shared" si="4397"/>
        <v/>
      </c>
      <c r="EL284" s="71" t="str">
        <f t="shared" si="4398"/>
        <v/>
      </c>
      <c r="EM284" s="71" t="str">
        <f t="shared" si="4399"/>
        <v/>
      </c>
      <c r="EN284" s="71" t="str">
        <f t="shared" si="4400"/>
        <v/>
      </c>
      <c r="EO284" s="71" t="str">
        <f t="shared" si="4401"/>
        <v/>
      </c>
      <c r="EP284" s="71" t="str">
        <f t="shared" si="4402"/>
        <v/>
      </c>
      <c r="EQ284" s="71" t="str">
        <f t="shared" si="4403"/>
        <v/>
      </c>
      <c r="ER284" s="71" t="str">
        <f t="shared" si="4404"/>
        <v/>
      </c>
      <c r="ES284" s="71" t="str">
        <f t="shared" si="4405"/>
        <v/>
      </c>
      <c r="ET284" s="71" t="str">
        <f t="shared" si="4406"/>
        <v/>
      </c>
      <c r="EU284" s="71" t="str">
        <f t="shared" si="4407"/>
        <v/>
      </c>
      <c r="EV284" s="71" t="str">
        <f t="shared" si="4408"/>
        <v/>
      </c>
      <c r="EW284" s="71" t="str">
        <f t="shared" si="4409"/>
        <v/>
      </c>
      <c r="EX284" s="71" t="str">
        <f t="shared" si="4410"/>
        <v/>
      </c>
      <c r="EY284" s="71" t="str">
        <f t="shared" si="4411"/>
        <v/>
      </c>
      <c r="EZ284" s="71" t="str">
        <f t="shared" si="4412"/>
        <v/>
      </c>
      <c r="FA284" s="71" t="str">
        <f t="shared" si="4413"/>
        <v/>
      </c>
      <c r="FB284" s="71" t="str">
        <f t="shared" si="4414"/>
        <v/>
      </c>
      <c r="FC284" s="71" t="str">
        <f t="shared" si="4415"/>
        <v/>
      </c>
      <c r="FD284" s="71" t="str">
        <f t="shared" si="4416"/>
        <v/>
      </c>
      <c r="FE284" s="71" t="str">
        <f t="shared" si="4417"/>
        <v/>
      </c>
      <c r="FF284" s="71" t="str">
        <f t="shared" si="4418"/>
        <v/>
      </c>
      <c r="FG284" s="71" t="str">
        <f t="shared" si="4419"/>
        <v/>
      </c>
      <c r="FH284" s="71" t="str">
        <f t="shared" si="4420"/>
        <v/>
      </c>
      <c r="FI284" s="71" t="str">
        <f t="shared" si="4421"/>
        <v/>
      </c>
      <c r="FJ284" s="71" t="str">
        <f t="shared" si="4422"/>
        <v/>
      </c>
      <c r="FK284" s="71" t="str">
        <f t="shared" si="4423"/>
        <v/>
      </c>
      <c r="FL284" s="71" t="str">
        <f t="shared" si="4424"/>
        <v/>
      </c>
      <c r="FM284" s="71" t="str">
        <f t="shared" si="4425"/>
        <v/>
      </c>
      <c r="FN284" s="71" t="str">
        <f t="shared" si="4426"/>
        <v/>
      </c>
      <c r="FO284" s="71" t="str">
        <f t="shared" si="4427"/>
        <v/>
      </c>
      <c r="FP284" s="71" t="str">
        <f t="shared" si="4428"/>
        <v/>
      </c>
      <c r="FQ284" s="71" t="str">
        <f t="shared" si="4429"/>
        <v/>
      </c>
      <c r="FR284" s="71" t="str">
        <f t="shared" si="4430"/>
        <v/>
      </c>
      <c r="FS284" s="71" t="str">
        <f t="shared" si="4431"/>
        <v/>
      </c>
    </row>
    <row r="285" ht="15" spans="1:175">
      <c r="A285" s="137"/>
      <c r="B285" s="81" t="s">
        <v>898</v>
      </c>
      <c r="C285" s="70" t="s">
        <v>879</v>
      </c>
      <c r="T285" s="151"/>
      <c r="U285" s="89"/>
      <c r="CN285" s="69" t="str">
        <f t="shared" si="4356"/>
        <v>InitUnitState('IF20',,,,,,,,,,)</v>
      </c>
      <c r="CO285" s="69" t="str">
        <f t="shared" si="4357"/>
        <v>InitUnitNormal('IF20',,,,,,,,,,)</v>
      </c>
      <c r="CP285" s="69" t="str">
        <f t="shared" si="4358"/>
        <v>InitUnitMagic('IF20',,,,,,,,,,)</v>
      </c>
      <c r="CQ285" s="69" t="str">
        <f t="shared" si="4359"/>
        <v>InitUnitAdd('IF20',,,,,,,,,,)</v>
      </c>
      <c r="CR285" s="69" t="str">
        <f t="shared" si="4360"/>
        <v>InitEquipData('IF20',,"",,,,,'','','','','','',"")</v>
      </c>
      <c r="CU285" s="99" t="str">
        <f t="shared" si="4361"/>
        <v>|n</v>
      </c>
      <c r="CW285" s="60"/>
      <c r="CX285" s="60"/>
      <c r="CY285" s="60"/>
      <c r="CZ285" s="60"/>
      <c r="DA285" s="60"/>
      <c r="DB285" s="71" t="str">
        <f t="shared" si="4362"/>
        <v/>
      </c>
      <c r="DC285" s="71" t="str">
        <f t="shared" si="4363"/>
        <v/>
      </c>
      <c r="DD285" s="71" t="str">
        <f t="shared" si="4364"/>
        <v/>
      </c>
      <c r="DE285" s="71" t="str">
        <f t="shared" si="4365"/>
        <v/>
      </c>
      <c r="DF285" s="71" t="str">
        <f t="shared" si="4366"/>
        <v/>
      </c>
      <c r="DG285" s="71" t="str">
        <f t="shared" si="4367"/>
        <v/>
      </c>
      <c r="DH285" s="71" t="str">
        <f t="shared" si="4368"/>
        <v/>
      </c>
      <c r="DI285" s="71" t="str">
        <f t="shared" si="4369"/>
        <v/>
      </c>
      <c r="DJ285" s="71" t="str">
        <f t="shared" si="4370"/>
        <v/>
      </c>
      <c r="DK285" s="71" t="str">
        <f t="shared" si="4371"/>
        <v/>
      </c>
      <c r="DL285" s="71" t="str">
        <f t="shared" si="4372"/>
        <v/>
      </c>
      <c r="DM285" s="71" t="str">
        <f t="shared" si="4373"/>
        <v/>
      </c>
      <c r="DN285" s="71" t="str">
        <f t="shared" si="4374"/>
        <v/>
      </c>
      <c r="DO285" s="71" t="str">
        <f t="shared" si="4375"/>
        <v/>
      </c>
      <c r="DP285" s="71" t="str">
        <f t="shared" si="4376"/>
        <v/>
      </c>
      <c r="DQ285" s="71" t="str">
        <f t="shared" si="4377"/>
        <v/>
      </c>
      <c r="DR285" s="71" t="str">
        <f t="shared" si="4378"/>
        <v/>
      </c>
      <c r="DS285" s="71" t="str">
        <f t="shared" si="4379"/>
        <v/>
      </c>
      <c r="DT285" s="71" t="str">
        <f t="shared" si="4380"/>
        <v/>
      </c>
      <c r="DU285" s="71" t="str">
        <f t="shared" si="4381"/>
        <v/>
      </c>
      <c r="DV285" s="71" t="str">
        <f t="shared" si="4382"/>
        <v/>
      </c>
      <c r="DW285" s="71" t="str">
        <f t="shared" si="4383"/>
        <v/>
      </c>
      <c r="DX285" s="71" t="str">
        <f t="shared" si="4384"/>
        <v/>
      </c>
      <c r="DY285" s="71" t="str">
        <f t="shared" si="4385"/>
        <v/>
      </c>
      <c r="DZ285" s="71" t="str">
        <f t="shared" si="4386"/>
        <v/>
      </c>
      <c r="EA285" s="71" t="str">
        <f t="shared" si="4387"/>
        <v/>
      </c>
      <c r="EB285" s="71" t="str">
        <f t="shared" si="4388"/>
        <v/>
      </c>
      <c r="EC285" s="71" t="str">
        <f t="shared" si="4389"/>
        <v/>
      </c>
      <c r="ED285" s="71" t="str">
        <f t="shared" si="4390"/>
        <v/>
      </c>
      <c r="EE285" s="71" t="str">
        <f t="shared" si="4391"/>
        <v/>
      </c>
      <c r="EF285" s="71" t="str">
        <f t="shared" si="4392"/>
        <v/>
      </c>
      <c r="EG285" s="71" t="str">
        <f t="shared" si="4393"/>
        <v/>
      </c>
      <c r="EH285" s="71" t="str">
        <f t="shared" si="4394"/>
        <v/>
      </c>
      <c r="EI285" s="71" t="str">
        <f t="shared" si="4395"/>
        <v/>
      </c>
      <c r="EJ285" s="71" t="str">
        <f t="shared" si="4396"/>
        <v/>
      </c>
      <c r="EK285" s="71" t="str">
        <f t="shared" si="4397"/>
        <v/>
      </c>
      <c r="EL285" s="71" t="str">
        <f t="shared" si="4398"/>
        <v/>
      </c>
      <c r="EM285" s="71" t="str">
        <f t="shared" si="4399"/>
        <v/>
      </c>
      <c r="EN285" s="71" t="str">
        <f t="shared" si="4400"/>
        <v/>
      </c>
      <c r="EO285" s="71" t="str">
        <f t="shared" si="4401"/>
        <v/>
      </c>
      <c r="EP285" s="71" t="str">
        <f t="shared" si="4402"/>
        <v/>
      </c>
      <c r="EQ285" s="71" t="str">
        <f t="shared" si="4403"/>
        <v/>
      </c>
      <c r="ER285" s="71" t="str">
        <f t="shared" si="4404"/>
        <v/>
      </c>
      <c r="ES285" s="71" t="str">
        <f t="shared" si="4405"/>
        <v/>
      </c>
      <c r="ET285" s="71" t="str">
        <f t="shared" si="4406"/>
        <v/>
      </c>
      <c r="EU285" s="71" t="str">
        <f t="shared" si="4407"/>
        <v/>
      </c>
      <c r="EV285" s="71" t="str">
        <f t="shared" si="4408"/>
        <v/>
      </c>
      <c r="EW285" s="71" t="str">
        <f t="shared" si="4409"/>
        <v/>
      </c>
      <c r="EX285" s="71" t="str">
        <f t="shared" si="4410"/>
        <v/>
      </c>
      <c r="EY285" s="71" t="str">
        <f t="shared" si="4411"/>
        <v/>
      </c>
      <c r="EZ285" s="71" t="str">
        <f t="shared" si="4412"/>
        <v/>
      </c>
      <c r="FA285" s="71" t="str">
        <f t="shared" si="4413"/>
        <v/>
      </c>
      <c r="FB285" s="71" t="str">
        <f t="shared" si="4414"/>
        <v/>
      </c>
      <c r="FC285" s="71" t="str">
        <f t="shared" si="4415"/>
        <v/>
      </c>
      <c r="FD285" s="71" t="str">
        <f t="shared" si="4416"/>
        <v/>
      </c>
      <c r="FE285" s="71" t="str">
        <f t="shared" si="4417"/>
        <v/>
      </c>
      <c r="FF285" s="71" t="str">
        <f t="shared" si="4418"/>
        <v/>
      </c>
      <c r="FG285" s="71" t="str">
        <f t="shared" si="4419"/>
        <v/>
      </c>
      <c r="FH285" s="71" t="str">
        <f t="shared" si="4420"/>
        <v/>
      </c>
      <c r="FI285" s="71" t="str">
        <f t="shared" si="4421"/>
        <v/>
      </c>
      <c r="FJ285" s="71" t="str">
        <f t="shared" si="4422"/>
        <v/>
      </c>
      <c r="FK285" s="71" t="str">
        <f t="shared" si="4423"/>
        <v/>
      </c>
      <c r="FL285" s="71" t="str">
        <f t="shared" si="4424"/>
        <v/>
      </c>
      <c r="FM285" s="71" t="str">
        <f t="shared" si="4425"/>
        <v/>
      </c>
      <c r="FN285" s="71" t="str">
        <f t="shared" si="4426"/>
        <v/>
      </c>
      <c r="FO285" s="71" t="str">
        <f t="shared" si="4427"/>
        <v/>
      </c>
      <c r="FP285" s="71" t="str">
        <f t="shared" si="4428"/>
        <v/>
      </c>
      <c r="FQ285" s="71" t="str">
        <f t="shared" si="4429"/>
        <v/>
      </c>
      <c r="FR285" s="71" t="str">
        <f t="shared" si="4430"/>
        <v/>
      </c>
      <c r="FS285" s="71" t="str">
        <f t="shared" si="4431"/>
        <v/>
      </c>
    </row>
    <row r="286" spans="1:175">
      <c r="A286" s="81"/>
      <c r="B286" s="81" t="s">
        <v>899</v>
      </c>
      <c r="C286" s="70" t="s">
        <v>879</v>
      </c>
      <c r="T286" s="152"/>
      <c r="U286" s="89"/>
      <c r="CN286" s="69" t="str">
        <f t="shared" si="4356"/>
        <v>InitUnitState('IF21',,,,,,,,,,)</v>
      </c>
      <c r="CO286" s="69" t="str">
        <f t="shared" si="4357"/>
        <v>InitUnitNormal('IF21',,,,,,,,,,)</v>
      </c>
      <c r="CP286" s="69" t="str">
        <f t="shared" si="4358"/>
        <v>InitUnitMagic('IF21',,,,,,,,,,)</v>
      </c>
      <c r="CQ286" s="69" t="str">
        <f t="shared" si="4359"/>
        <v>InitUnitAdd('IF21',,,,,,,,,,)</v>
      </c>
      <c r="CR286" s="69" t="str">
        <f t="shared" si="4360"/>
        <v>InitEquipData('IF21',,"",,,,,'','','','','','',"")</v>
      </c>
      <c r="CU286" s="99" t="str">
        <f t="shared" si="4361"/>
        <v>|n</v>
      </c>
      <c r="CW286" s="60"/>
      <c r="CX286" s="60"/>
      <c r="CY286" s="60"/>
      <c r="CZ286" s="60"/>
      <c r="DA286" s="60"/>
      <c r="DB286" s="71" t="str">
        <f t="shared" si="4362"/>
        <v/>
      </c>
      <c r="DC286" s="71" t="str">
        <f t="shared" si="4363"/>
        <v/>
      </c>
      <c r="DD286" s="71" t="str">
        <f t="shared" si="4364"/>
        <v/>
      </c>
      <c r="DE286" s="71" t="str">
        <f t="shared" si="4365"/>
        <v/>
      </c>
      <c r="DF286" s="71" t="str">
        <f t="shared" si="4366"/>
        <v/>
      </c>
      <c r="DG286" s="71" t="str">
        <f t="shared" si="4367"/>
        <v/>
      </c>
      <c r="DH286" s="71" t="str">
        <f t="shared" si="4368"/>
        <v/>
      </c>
      <c r="DI286" s="71" t="str">
        <f t="shared" si="4369"/>
        <v/>
      </c>
      <c r="DJ286" s="71" t="str">
        <f t="shared" si="4370"/>
        <v/>
      </c>
      <c r="DK286" s="71" t="str">
        <f t="shared" si="4371"/>
        <v/>
      </c>
      <c r="DL286" s="71" t="str">
        <f t="shared" si="4372"/>
        <v/>
      </c>
      <c r="DM286" s="71" t="str">
        <f t="shared" si="4373"/>
        <v/>
      </c>
      <c r="DN286" s="71" t="str">
        <f t="shared" si="4374"/>
        <v/>
      </c>
      <c r="DO286" s="71" t="str">
        <f t="shared" si="4375"/>
        <v/>
      </c>
      <c r="DP286" s="71" t="str">
        <f t="shared" si="4376"/>
        <v/>
      </c>
      <c r="DQ286" s="71" t="str">
        <f t="shared" si="4377"/>
        <v/>
      </c>
      <c r="DR286" s="71" t="str">
        <f t="shared" si="4378"/>
        <v/>
      </c>
      <c r="DS286" s="71" t="str">
        <f t="shared" si="4379"/>
        <v/>
      </c>
      <c r="DT286" s="71" t="str">
        <f t="shared" si="4380"/>
        <v/>
      </c>
      <c r="DU286" s="71" t="str">
        <f t="shared" si="4381"/>
        <v/>
      </c>
      <c r="DV286" s="71" t="str">
        <f t="shared" si="4382"/>
        <v/>
      </c>
      <c r="DW286" s="71" t="str">
        <f t="shared" si="4383"/>
        <v/>
      </c>
      <c r="DX286" s="71" t="str">
        <f t="shared" si="4384"/>
        <v/>
      </c>
      <c r="DY286" s="71" t="str">
        <f t="shared" si="4385"/>
        <v/>
      </c>
      <c r="DZ286" s="71" t="str">
        <f t="shared" si="4386"/>
        <v/>
      </c>
      <c r="EA286" s="71" t="str">
        <f t="shared" si="4387"/>
        <v/>
      </c>
      <c r="EB286" s="71" t="str">
        <f t="shared" si="4388"/>
        <v/>
      </c>
      <c r="EC286" s="71" t="str">
        <f t="shared" si="4389"/>
        <v/>
      </c>
      <c r="ED286" s="71" t="str">
        <f t="shared" si="4390"/>
        <v/>
      </c>
      <c r="EE286" s="71" t="str">
        <f t="shared" si="4391"/>
        <v/>
      </c>
      <c r="EF286" s="71" t="str">
        <f t="shared" si="4392"/>
        <v/>
      </c>
      <c r="EG286" s="71" t="str">
        <f t="shared" si="4393"/>
        <v/>
      </c>
      <c r="EH286" s="71" t="str">
        <f t="shared" si="4394"/>
        <v/>
      </c>
      <c r="EI286" s="71" t="str">
        <f t="shared" si="4395"/>
        <v/>
      </c>
      <c r="EJ286" s="71" t="str">
        <f t="shared" si="4396"/>
        <v/>
      </c>
      <c r="EK286" s="71" t="str">
        <f t="shared" si="4397"/>
        <v/>
      </c>
      <c r="EL286" s="71" t="str">
        <f t="shared" si="4398"/>
        <v/>
      </c>
      <c r="EM286" s="71" t="str">
        <f t="shared" si="4399"/>
        <v/>
      </c>
      <c r="EN286" s="71" t="str">
        <f t="shared" si="4400"/>
        <v/>
      </c>
      <c r="EO286" s="71" t="str">
        <f t="shared" si="4401"/>
        <v/>
      </c>
      <c r="EP286" s="71" t="str">
        <f t="shared" si="4402"/>
        <v/>
      </c>
      <c r="EQ286" s="71" t="str">
        <f t="shared" si="4403"/>
        <v/>
      </c>
      <c r="ER286" s="71" t="str">
        <f t="shared" si="4404"/>
        <v/>
      </c>
      <c r="ES286" s="71" t="str">
        <f t="shared" si="4405"/>
        <v/>
      </c>
      <c r="ET286" s="71" t="str">
        <f t="shared" si="4406"/>
        <v/>
      </c>
      <c r="EU286" s="71" t="str">
        <f t="shared" si="4407"/>
        <v/>
      </c>
      <c r="EV286" s="71" t="str">
        <f t="shared" si="4408"/>
        <v/>
      </c>
      <c r="EW286" s="71" t="str">
        <f t="shared" si="4409"/>
        <v/>
      </c>
      <c r="EX286" s="71" t="str">
        <f t="shared" si="4410"/>
        <v/>
      </c>
      <c r="EY286" s="71" t="str">
        <f t="shared" si="4411"/>
        <v/>
      </c>
      <c r="EZ286" s="71" t="str">
        <f t="shared" si="4412"/>
        <v/>
      </c>
      <c r="FA286" s="71" t="str">
        <f t="shared" si="4413"/>
        <v/>
      </c>
      <c r="FB286" s="71" t="str">
        <f t="shared" si="4414"/>
        <v/>
      </c>
      <c r="FC286" s="71" t="str">
        <f t="shared" si="4415"/>
        <v/>
      </c>
      <c r="FD286" s="71" t="str">
        <f t="shared" si="4416"/>
        <v/>
      </c>
      <c r="FE286" s="71" t="str">
        <f t="shared" si="4417"/>
        <v/>
      </c>
      <c r="FF286" s="71" t="str">
        <f t="shared" si="4418"/>
        <v/>
      </c>
      <c r="FG286" s="71" t="str">
        <f t="shared" si="4419"/>
        <v/>
      </c>
      <c r="FH286" s="71" t="str">
        <f t="shared" si="4420"/>
        <v/>
      </c>
      <c r="FI286" s="71" t="str">
        <f t="shared" si="4421"/>
        <v/>
      </c>
      <c r="FJ286" s="71" t="str">
        <f t="shared" si="4422"/>
        <v/>
      </c>
      <c r="FK286" s="71" t="str">
        <f t="shared" si="4423"/>
        <v/>
      </c>
      <c r="FL286" s="71" t="str">
        <f t="shared" si="4424"/>
        <v/>
      </c>
      <c r="FM286" s="71" t="str">
        <f t="shared" si="4425"/>
        <v/>
      </c>
      <c r="FN286" s="71" t="str">
        <f t="shared" si="4426"/>
        <v/>
      </c>
      <c r="FO286" s="71" t="str">
        <f t="shared" si="4427"/>
        <v/>
      </c>
      <c r="FP286" s="71" t="str">
        <f t="shared" si="4428"/>
        <v/>
      </c>
      <c r="FQ286" s="71" t="str">
        <f t="shared" si="4429"/>
        <v/>
      </c>
      <c r="FR286" s="71" t="str">
        <f t="shared" si="4430"/>
        <v/>
      </c>
      <c r="FS286" s="71" t="str">
        <f t="shared" si="4431"/>
        <v/>
      </c>
    </row>
    <row r="287" spans="1:175">
      <c r="A287" s="81"/>
      <c r="B287" s="81" t="s">
        <v>900</v>
      </c>
      <c r="C287" s="70" t="s">
        <v>879</v>
      </c>
      <c r="T287" s="152"/>
      <c r="U287" s="89"/>
      <c r="CN287" s="69" t="str">
        <f t="shared" si="4356"/>
        <v>InitUnitState('IF22',,,,,,,,,,)</v>
      </c>
      <c r="CO287" s="69" t="str">
        <f t="shared" si="4357"/>
        <v>InitUnitNormal('IF22',,,,,,,,,,)</v>
      </c>
      <c r="CP287" s="69" t="str">
        <f t="shared" si="4358"/>
        <v>InitUnitMagic('IF22',,,,,,,,,,)</v>
      </c>
      <c r="CQ287" s="69" t="str">
        <f t="shared" si="4359"/>
        <v>InitUnitAdd('IF22',,,,,,,,,,)</v>
      </c>
      <c r="CR287" s="69" t="str">
        <f t="shared" si="4360"/>
        <v>InitEquipData('IF22',,"",,,,,'','','','','','',"")</v>
      </c>
      <c r="CU287" s="99" t="str">
        <f t="shared" si="4361"/>
        <v>|n</v>
      </c>
      <c r="CW287" s="60"/>
      <c r="CX287" s="60"/>
      <c r="CY287" s="60"/>
      <c r="CZ287" s="60"/>
      <c r="DA287" s="60"/>
      <c r="DB287" s="71" t="str">
        <f t="shared" si="4362"/>
        <v/>
      </c>
      <c r="DC287" s="71" t="str">
        <f t="shared" si="4363"/>
        <v/>
      </c>
      <c r="DD287" s="71" t="str">
        <f t="shared" si="4364"/>
        <v/>
      </c>
      <c r="DE287" s="71" t="str">
        <f t="shared" si="4365"/>
        <v/>
      </c>
      <c r="DF287" s="71" t="str">
        <f t="shared" si="4366"/>
        <v/>
      </c>
      <c r="DG287" s="71" t="str">
        <f t="shared" si="4367"/>
        <v/>
      </c>
      <c r="DH287" s="71" t="str">
        <f t="shared" si="4368"/>
        <v/>
      </c>
      <c r="DI287" s="71" t="str">
        <f t="shared" si="4369"/>
        <v/>
      </c>
      <c r="DJ287" s="71" t="str">
        <f t="shared" si="4370"/>
        <v/>
      </c>
      <c r="DK287" s="71" t="str">
        <f t="shared" si="4371"/>
        <v/>
      </c>
      <c r="DL287" s="71" t="str">
        <f t="shared" si="4372"/>
        <v/>
      </c>
      <c r="DM287" s="71" t="str">
        <f t="shared" si="4373"/>
        <v/>
      </c>
      <c r="DN287" s="71" t="str">
        <f t="shared" si="4374"/>
        <v/>
      </c>
      <c r="DO287" s="71" t="str">
        <f t="shared" si="4375"/>
        <v/>
      </c>
      <c r="DP287" s="71" t="str">
        <f t="shared" si="4376"/>
        <v/>
      </c>
      <c r="DQ287" s="71" t="str">
        <f t="shared" si="4377"/>
        <v/>
      </c>
      <c r="DR287" s="71" t="str">
        <f t="shared" si="4378"/>
        <v/>
      </c>
      <c r="DS287" s="71" t="str">
        <f t="shared" si="4379"/>
        <v/>
      </c>
      <c r="DT287" s="71" t="str">
        <f t="shared" si="4380"/>
        <v/>
      </c>
      <c r="DU287" s="71" t="str">
        <f t="shared" si="4381"/>
        <v/>
      </c>
      <c r="DV287" s="71" t="str">
        <f t="shared" si="4382"/>
        <v/>
      </c>
      <c r="DW287" s="71" t="str">
        <f t="shared" si="4383"/>
        <v/>
      </c>
      <c r="DX287" s="71" t="str">
        <f t="shared" si="4384"/>
        <v/>
      </c>
      <c r="DY287" s="71" t="str">
        <f t="shared" si="4385"/>
        <v/>
      </c>
      <c r="DZ287" s="71" t="str">
        <f t="shared" si="4386"/>
        <v/>
      </c>
      <c r="EA287" s="71" t="str">
        <f t="shared" si="4387"/>
        <v/>
      </c>
      <c r="EB287" s="71" t="str">
        <f t="shared" si="4388"/>
        <v/>
      </c>
      <c r="EC287" s="71" t="str">
        <f t="shared" si="4389"/>
        <v/>
      </c>
      <c r="ED287" s="71" t="str">
        <f t="shared" si="4390"/>
        <v/>
      </c>
      <c r="EE287" s="71" t="str">
        <f t="shared" si="4391"/>
        <v/>
      </c>
      <c r="EF287" s="71" t="str">
        <f t="shared" si="4392"/>
        <v/>
      </c>
      <c r="EG287" s="71" t="str">
        <f t="shared" si="4393"/>
        <v/>
      </c>
      <c r="EH287" s="71" t="str">
        <f t="shared" si="4394"/>
        <v/>
      </c>
      <c r="EI287" s="71" t="str">
        <f t="shared" si="4395"/>
        <v/>
      </c>
      <c r="EJ287" s="71" t="str">
        <f t="shared" si="4396"/>
        <v/>
      </c>
      <c r="EK287" s="71" t="str">
        <f t="shared" si="4397"/>
        <v/>
      </c>
      <c r="EL287" s="71" t="str">
        <f t="shared" si="4398"/>
        <v/>
      </c>
      <c r="EM287" s="71" t="str">
        <f t="shared" si="4399"/>
        <v/>
      </c>
      <c r="EN287" s="71" t="str">
        <f t="shared" si="4400"/>
        <v/>
      </c>
      <c r="EO287" s="71" t="str">
        <f t="shared" si="4401"/>
        <v/>
      </c>
      <c r="EP287" s="71" t="str">
        <f t="shared" si="4402"/>
        <v/>
      </c>
      <c r="EQ287" s="71" t="str">
        <f t="shared" si="4403"/>
        <v/>
      </c>
      <c r="ER287" s="71" t="str">
        <f t="shared" si="4404"/>
        <v/>
      </c>
      <c r="ES287" s="71" t="str">
        <f t="shared" si="4405"/>
        <v/>
      </c>
      <c r="ET287" s="71" t="str">
        <f t="shared" si="4406"/>
        <v/>
      </c>
      <c r="EU287" s="71" t="str">
        <f t="shared" si="4407"/>
        <v/>
      </c>
      <c r="EV287" s="71" t="str">
        <f t="shared" si="4408"/>
        <v/>
      </c>
      <c r="EW287" s="71" t="str">
        <f t="shared" si="4409"/>
        <v/>
      </c>
      <c r="EX287" s="71" t="str">
        <f t="shared" si="4410"/>
        <v/>
      </c>
      <c r="EY287" s="71" t="str">
        <f t="shared" si="4411"/>
        <v/>
      </c>
      <c r="EZ287" s="71" t="str">
        <f t="shared" si="4412"/>
        <v/>
      </c>
      <c r="FA287" s="71" t="str">
        <f t="shared" si="4413"/>
        <v/>
      </c>
      <c r="FB287" s="71" t="str">
        <f t="shared" si="4414"/>
        <v/>
      </c>
      <c r="FC287" s="71" t="str">
        <f t="shared" si="4415"/>
        <v/>
      </c>
      <c r="FD287" s="71" t="str">
        <f t="shared" si="4416"/>
        <v/>
      </c>
      <c r="FE287" s="71" t="str">
        <f t="shared" si="4417"/>
        <v/>
      </c>
      <c r="FF287" s="71" t="str">
        <f t="shared" si="4418"/>
        <v/>
      </c>
      <c r="FG287" s="71" t="str">
        <f t="shared" si="4419"/>
        <v/>
      </c>
      <c r="FH287" s="71" t="str">
        <f t="shared" si="4420"/>
        <v/>
      </c>
      <c r="FI287" s="71" t="str">
        <f t="shared" si="4421"/>
        <v/>
      </c>
      <c r="FJ287" s="71" t="str">
        <f t="shared" si="4422"/>
        <v/>
      </c>
      <c r="FK287" s="71" t="str">
        <f t="shared" si="4423"/>
        <v/>
      </c>
      <c r="FL287" s="71" t="str">
        <f t="shared" si="4424"/>
        <v/>
      </c>
      <c r="FM287" s="71" t="str">
        <f t="shared" si="4425"/>
        <v/>
      </c>
      <c r="FN287" s="71" t="str">
        <f t="shared" si="4426"/>
        <v/>
      </c>
      <c r="FO287" s="71" t="str">
        <f t="shared" si="4427"/>
        <v/>
      </c>
      <c r="FP287" s="71" t="str">
        <f t="shared" si="4428"/>
        <v/>
      </c>
      <c r="FQ287" s="71" t="str">
        <f t="shared" si="4429"/>
        <v/>
      </c>
      <c r="FR287" s="71" t="str">
        <f t="shared" si="4430"/>
        <v/>
      </c>
      <c r="FS287" s="71" t="str">
        <f t="shared" si="4431"/>
        <v/>
      </c>
    </row>
    <row r="288" spans="1:175">
      <c r="A288" s="81"/>
      <c r="B288" s="81" t="s">
        <v>901</v>
      </c>
      <c r="C288" s="70" t="s">
        <v>879</v>
      </c>
      <c r="T288" s="152"/>
      <c r="U288" s="89"/>
      <c r="CN288" s="69" t="str">
        <f t="shared" si="4356"/>
        <v>InitUnitState('IF23',,,,,,,,,,)</v>
      </c>
      <c r="CO288" s="69" t="str">
        <f t="shared" si="4357"/>
        <v>InitUnitNormal('IF23',,,,,,,,,,)</v>
      </c>
      <c r="CP288" s="69" t="str">
        <f t="shared" si="4358"/>
        <v>InitUnitMagic('IF23',,,,,,,,,,)</v>
      </c>
      <c r="CQ288" s="69" t="str">
        <f t="shared" si="4359"/>
        <v>InitUnitAdd('IF23',,,,,,,,,,)</v>
      </c>
      <c r="CR288" s="69" t="str">
        <f t="shared" si="4360"/>
        <v>InitEquipData('IF23',,"",,,,,'','','','','','',"")</v>
      </c>
      <c r="CU288" s="99" t="str">
        <f t="shared" si="4361"/>
        <v>|n</v>
      </c>
      <c r="CW288" s="60"/>
      <c r="CX288" s="60"/>
      <c r="CY288" s="60"/>
      <c r="CZ288" s="60"/>
      <c r="DA288" s="60"/>
      <c r="DB288" s="71" t="str">
        <f t="shared" si="4362"/>
        <v/>
      </c>
      <c r="DC288" s="71" t="str">
        <f t="shared" si="4363"/>
        <v/>
      </c>
      <c r="DD288" s="71" t="str">
        <f t="shared" si="4364"/>
        <v/>
      </c>
      <c r="DE288" s="71" t="str">
        <f t="shared" si="4365"/>
        <v/>
      </c>
      <c r="DF288" s="71" t="str">
        <f t="shared" si="4366"/>
        <v/>
      </c>
      <c r="DG288" s="71" t="str">
        <f t="shared" si="4367"/>
        <v/>
      </c>
      <c r="DH288" s="71" t="str">
        <f t="shared" si="4368"/>
        <v/>
      </c>
      <c r="DI288" s="71" t="str">
        <f t="shared" si="4369"/>
        <v/>
      </c>
      <c r="DJ288" s="71" t="str">
        <f t="shared" si="4370"/>
        <v/>
      </c>
      <c r="DK288" s="71" t="str">
        <f t="shared" si="4371"/>
        <v/>
      </c>
      <c r="DL288" s="71" t="str">
        <f t="shared" si="4372"/>
        <v/>
      </c>
      <c r="DM288" s="71" t="str">
        <f t="shared" si="4373"/>
        <v/>
      </c>
      <c r="DN288" s="71" t="str">
        <f t="shared" si="4374"/>
        <v/>
      </c>
      <c r="DO288" s="71" t="str">
        <f t="shared" si="4375"/>
        <v/>
      </c>
      <c r="DP288" s="71" t="str">
        <f t="shared" si="4376"/>
        <v/>
      </c>
      <c r="DQ288" s="71" t="str">
        <f t="shared" si="4377"/>
        <v/>
      </c>
      <c r="DR288" s="71" t="str">
        <f t="shared" si="4378"/>
        <v/>
      </c>
      <c r="DS288" s="71" t="str">
        <f t="shared" si="4379"/>
        <v/>
      </c>
      <c r="DT288" s="71" t="str">
        <f t="shared" si="4380"/>
        <v/>
      </c>
      <c r="DU288" s="71" t="str">
        <f t="shared" si="4381"/>
        <v/>
      </c>
      <c r="DV288" s="71" t="str">
        <f t="shared" si="4382"/>
        <v/>
      </c>
      <c r="DW288" s="71" t="str">
        <f t="shared" si="4383"/>
        <v/>
      </c>
      <c r="DX288" s="71" t="str">
        <f t="shared" si="4384"/>
        <v/>
      </c>
      <c r="DY288" s="71" t="str">
        <f t="shared" si="4385"/>
        <v/>
      </c>
      <c r="DZ288" s="71" t="str">
        <f t="shared" si="4386"/>
        <v/>
      </c>
      <c r="EA288" s="71" t="str">
        <f t="shared" si="4387"/>
        <v/>
      </c>
      <c r="EB288" s="71" t="str">
        <f t="shared" si="4388"/>
        <v/>
      </c>
      <c r="EC288" s="71" t="str">
        <f t="shared" si="4389"/>
        <v/>
      </c>
      <c r="ED288" s="71" t="str">
        <f t="shared" si="4390"/>
        <v/>
      </c>
      <c r="EE288" s="71" t="str">
        <f t="shared" si="4391"/>
        <v/>
      </c>
      <c r="EF288" s="71" t="str">
        <f t="shared" si="4392"/>
        <v/>
      </c>
      <c r="EG288" s="71" t="str">
        <f t="shared" si="4393"/>
        <v/>
      </c>
      <c r="EH288" s="71" t="str">
        <f t="shared" si="4394"/>
        <v/>
      </c>
      <c r="EI288" s="71" t="str">
        <f t="shared" si="4395"/>
        <v/>
      </c>
      <c r="EJ288" s="71" t="str">
        <f t="shared" si="4396"/>
        <v/>
      </c>
      <c r="EK288" s="71" t="str">
        <f t="shared" si="4397"/>
        <v/>
      </c>
      <c r="EL288" s="71" t="str">
        <f t="shared" si="4398"/>
        <v/>
      </c>
      <c r="EM288" s="71" t="str">
        <f t="shared" si="4399"/>
        <v/>
      </c>
      <c r="EN288" s="71" t="str">
        <f t="shared" si="4400"/>
        <v/>
      </c>
      <c r="EO288" s="71" t="str">
        <f t="shared" si="4401"/>
        <v/>
      </c>
      <c r="EP288" s="71" t="str">
        <f t="shared" si="4402"/>
        <v/>
      </c>
      <c r="EQ288" s="71" t="str">
        <f t="shared" si="4403"/>
        <v/>
      </c>
      <c r="ER288" s="71" t="str">
        <f t="shared" si="4404"/>
        <v/>
      </c>
      <c r="ES288" s="71" t="str">
        <f t="shared" si="4405"/>
        <v/>
      </c>
      <c r="ET288" s="71" t="str">
        <f t="shared" si="4406"/>
        <v/>
      </c>
      <c r="EU288" s="71" t="str">
        <f t="shared" si="4407"/>
        <v/>
      </c>
      <c r="EV288" s="71" t="str">
        <f t="shared" si="4408"/>
        <v/>
      </c>
      <c r="EW288" s="71" t="str">
        <f t="shared" si="4409"/>
        <v/>
      </c>
      <c r="EX288" s="71" t="str">
        <f t="shared" si="4410"/>
        <v/>
      </c>
      <c r="EY288" s="71" t="str">
        <f t="shared" si="4411"/>
        <v/>
      </c>
      <c r="EZ288" s="71" t="str">
        <f t="shared" si="4412"/>
        <v/>
      </c>
      <c r="FA288" s="71" t="str">
        <f t="shared" si="4413"/>
        <v/>
      </c>
      <c r="FB288" s="71" t="str">
        <f t="shared" si="4414"/>
        <v/>
      </c>
      <c r="FC288" s="71" t="str">
        <f t="shared" si="4415"/>
        <v/>
      </c>
      <c r="FD288" s="71" t="str">
        <f t="shared" si="4416"/>
        <v/>
      </c>
      <c r="FE288" s="71" t="str">
        <f t="shared" si="4417"/>
        <v/>
      </c>
      <c r="FF288" s="71" t="str">
        <f t="shared" si="4418"/>
        <v/>
      </c>
      <c r="FG288" s="71" t="str">
        <f t="shared" si="4419"/>
        <v/>
      </c>
      <c r="FH288" s="71" t="str">
        <f t="shared" si="4420"/>
        <v/>
      </c>
      <c r="FI288" s="71" t="str">
        <f t="shared" si="4421"/>
        <v/>
      </c>
      <c r="FJ288" s="71" t="str">
        <f t="shared" si="4422"/>
        <v/>
      </c>
      <c r="FK288" s="71" t="str">
        <f t="shared" si="4423"/>
        <v/>
      </c>
      <c r="FL288" s="71" t="str">
        <f t="shared" si="4424"/>
        <v/>
      </c>
      <c r="FM288" s="71" t="str">
        <f t="shared" si="4425"/>
        <v/>
      </c>
      <c r="FN288" s="71" t="str">
        <f t="shared" si="4426"/>
        <v/>
      </c>
      <c r="FO288" s="71" t="str">
        <f t="shared" si="4427"/>
        <v/>
      </c>
      <c r="FP288" s="71" t="str">
        <f t="shared" si="4428"/>
        <v/>
      </c>
      <c r="FQ288" s="71" t="str">
        <f t="shared" si="4429"/>
        <v/>
      </c>
      <c r="FR288" s="71" t="str">
        <f t="shared" si="4430"/>
        <v/>
      </c>
      <c r="FS288" s="71" t="str">
        <f t="shared" si="4431"/>
        <v/>
      </c>
    </row>
    <row r="289" spans="1:175">
      <c r="A289" s="81"/>
      <c r="B289" s="81" t="s">
        <v>902</v>
      </c>
      <c r="C289" s="70" t="s">
        <v>879</v>
      </c>
      <c r="T289" s="152"/>
      <c r="U289" s="89"/>
      <c r="CN289" s="69" t="str">
        <f t="shared" si="4356"/>
        <v>InitUnitState('IF24',,,,,,,,,,)</v>
      </c>
      <c r="CO289" s="69" t="str">
        <f t="shared" si="4357"/>
        <v>InitUnitNormal('IF24',,,,,,,,,,)</v>
      </c>
      <c r="CP289" s="69" t="str">
        <f t="shared" si="4358"/>
        <v>InitUnitMagic('IF24',,,,,,,,,,)</v>
      </c>
      <c r="CQ289" s="69" t="str">
        <f t="shared" si="4359"/>
        <v>InitUnitAdd('IF24',,,,,,,,,,)</v>
      </c>
      <c r="CR289" s="69" t="str">
        <f t="shared" si="4360"/>
        <v>InitEquipData('IF24',,"",,,,,'','','','','','',"")</v>
      </c>
      <c r="CU289" s="99" t="str">
        <f t="shared" ref="CU289:CU400" si="4432">CONCATENATE(DB289,DC289,DD289,DE289,DF289,DG289,DH289,DI289,DJ289,DK289,DL289,DM289,DN289,DO289,DP289,DQ289,DR289,DS289,DT289,DU289,DV289,DW289,DX289,DY289,DZ289,EA289,EB289,EC289,ED289,EE289,EF289,EG289,EH289,EI289,EJ289,EK289,EL289,EM289,EN289,EO289,EP289&amp;"|n")</f>
        <v>|n</v>
      </c>
      <c r="CW289" s="60"/>
      <c r="CX289" s="60"/>
      <c r="CY289" s="60"/>
      <c r="CZ289" s="60"/>
      <c r="DA289" s="60"/>
      <c r="DB289" s="71" t="str">
        <f t="shared" ref="DB289:DB400" si="4433">IF(V289="","","|n"&amp;DB$2&amp;"+"&amp;V289&amp;DB$1)</f>
        <v/>
      </c>
      <c r="DC289" s="71" t="str">
        <f t="shared" ref="DC289:DC400" si="4434">IF(W289="","","|n"&amp;DC$2&amp;"+"&amp;W289&amp;DC$1)</f>
        <v/>
      </c>
      <c r="DD289" s="71" t="str">
        <f t="shared" ref="DD289:DD400" si="4435">IF(X289="","","|n"&amp;DD$2&amp;"+"&amp;X289&amp;DD$1)</f>
        <v/>
      </c>
      <c r="DE289" s="71" t="str">
        <f t="shared" ref="DE289:DE400" si="4436">IF(Y289="","","|n"&amp;DE$2&amp;"+"&amp;Y289&amp;DE$1)</f>
        <v/>
      </c>
      <c r="DF289" s="71" t="str">
        <f t="shared" ref="DF289:DF400" si="4437">IF(Z289="","","|n"&amp;DF$2&amp;"+"&amp;Z289&amp;DF$1)</f>
        <v/>
      </c>
      <c r="DG289" s="71" t="str">
        <f t="shared" ref="DG289:DG400" si="4438">IF(AA289="","","|n"&amp;DG$2&amp;"+"&amp;AA289&amp;DG$1)</f>
        <v/>
      </c>
      <c r="DH289" s="71" t="str">
        <f t="shared" ref="DH289:DH400" si="4439">IF(AB289="","","|n"&amp;DH$2&amp;"+"&amp;AB289&amp;DH$1)</f>
        <v/>
      </c>
      <c r="DI289" s="71" t="str">
        <f t="shared" ref="DI289:DI400" si="4440">IF(AC289="","","|n"&amp;DI$2&amp;"+"&amp;AC289&amp;DI$1)</f>
        <v/>
      </c>
      <c r="DJ289" s="71" t="str">
        <f t="shared" ref="DJ289:DJ400" si="4441">IF(AD289="","","|n"&amp;DJ$2&amp;"+"&amp;AD289&amp;DJ$1)</f>
        <v/>
      </c>
      <c r="DK289" s="71" t="str">
        <f t="shared" ref="DK289:DK400" si="4442">IF(AE289="","","|n"&amp;DK$2&amp;"+"&amp;AE289&amp;DK$1)</f>
        <v/>
      </c>
      <c r="DL289" s="71" t="str">
        <f t="shared" ref="DL289:DL400" si="4443">IF(AF289="","","|n"&amp;DL$2&amp;"+"&amp;AF289&amp;DL$1)</f>
        <v/>
      </c>
      <c r="DM289" s="71" t="str">
        <f t="shared" ref="DM289:DM400" si="4444">IF(AG289="","","|n"&amp;DM$2&amp;"+"&amp;AG289&amp;DM$1)</f>
        <v/>
      </c>
      <c r="DN289" s="71" t="str">
        <f t="shared" ref="DN289:DN400" si="4445">IF(AH289="","","|n"&amp;DN$2&amp;"+"&amp;AH289&amp;DN$1)</f>
        <v/>
      </c>
      <c r="DO289" s="71" t="str">
        <f t="shared" ref="DO289:DO400" si="4446">IF(AI289="","","|n"&amp;DO$2&amp;"+"&amp;AI289&amp;DO$1)</f>
        <v/>
      </c>
      <c r="DP289" s="71" t="str">
        <f t="shared" ref="DP289:DP400" si="4447">IF(AJ289="","","|n"&amp;DP$2&amp;"+"&amp;AJ289&amp;DP$1)</f>
        <v/>
      </c>
      <c r="DQ289" s="71" t="str">
        <f t="shared" ref="DQ289:DQ400" si="4448">IF(AK289="","","|n"&amp;DQ$2&amp;"+"&amp;AK289&amp;DQ$1)</f>
        <v/>
      </c>
      <c r="DR289" s="71" t="str">
        <f t="shared" ref="DR289:DR400" si="4449">IF(AL289="","","|n"&amp;DR$2&amp;"+"&amp;AL289&amp;DR$1)</f>
        <v/>
      </c>
      <c r="DS289" s="71" t="str">
        <f t="shared" ref="DS289:DS400" si="4450">IF(AM289="","","|n"&amp;DS$2&amp;"+"&amp;AM289&amp;DS$1)</f>
        <v/>
      </c>
      <c r="DT289" s="71" t="str">
        <f t="shared" ref="DT289:DT400" si="4451">IF(AN289="","","|n"&amp;DT$2&amp;"+"&amp;AN289&amp;DT$1)</f>
        <v/>
      </c>
      <c r="DU289" s="71" t="str">
        <f t="shared" ref="DU289:DU400" si="4452">IF(AO289="","","|n"&amp;DU$2&amp;"+"&amp;AO289&amp;DU$1)</f>
        <v/>
      </c>
      <c r="DV289" s="71" t="str">
        <f t="shared" ref="DV289:DV400" si="4453">IF(AP289="","","|n"&amp;DV$2&amp;"+"&amp;AP289&amp;DV$1)</f>
        <v/>
      </c>
      <c r="DW289" s="71" t="str">
        <f t="shared" ref="DW289:DW400" si="4454">IF(AQ289="","","|n"&amp;DW$2&amp;"+"&amp;AQ289&amp;DW$1)</f>
        <v/>
      </c>
      <c r="DX289" s="71" t="str">
        <f t="shared" ref="DX289:DX400" si="4455">IF(AR289="","","|n"&amp;DX$2&amp;"+"&amp;AR289&amp;DX$1)</f>
        <v/>
      </c>
      <c r="DY289" s="71" t="str">
        <f t="shared" ref="DY289:DY400" si="4456">IF(AS289="","","|n"&amp;DY$2&amp;"+"&amp;AS289&amp;DY$1)</f>
        <v/>
      </c>
      <c r="DZ289" s="71" t="str">
        <f t="shared" ref="DZ289:DZ400" si="4457">IF(AT289="","","|n"&amp;DZ$2&amp;"+"&amp;AT289&amp;DZ$1)</f>
        <v/>
      </c>
      <c r="EA289" s="71" t="str">
        <f t="shared" ref="EA289:EA400" si="4458">IF(AU289="","","|n"&amp;EA$2&amp;"+"&amp;AU289&amp;EA$1)</f>
        <v/>
      </c>
      <c r="EB289" s="71" t="str">
        <f t="shared" ref="EB289:EB400" si="4459">IF(AV289="","","|n"&amp;EB$2&amp;"+"&amp;AV289&amp;EB$1)</f>
        <v/>
      </c>
      <c r="EC289" s="71" t="str">
        <f t="shared" ref="EC289:EC400" si="4460">IF(AW289="","","|n"&amp;EC$2&amp;"+"&amp;AW289&amp;EC$1)</f>
        <v/>
      </c>
      <c r="ED289" s="71" t="str">
        <f t="shared" ref="ED289:ED400" si="4461">IF(AX289="","","|n"&amp;ED$2&amp;"+"&amp;AX289&amp;ED$1)</f>
        <v/>
      </c>
      <c r="EE289" s="71" t="str">
        <f t="shared" ref="EE289:EE400" si="4462">IF(AY289="","","|n"&amp;EE$2&amp;"+"&amp;AY289&amp;EE$1)</f>
        <v/>
      </c>
      <c r="EF289" s="71" t="str">
        <f t="shared" ref="EF289:EF400" si="4463">IF(AZ289="","","|n"&amp;EF$2&amp;"+"&amp;AZ289&amp;EF$1)</f>
        <v/>
      </c>
      <c r="EG289" s="71" t="str">
        <f t="shared" ref="EG289:EG400" si="4464">IF(BA289="","","|n"&amp;EG$2&amp;"+"&amp;BA289&amp;EG$1)</f>
        <v/>
      </c>
      <c r="EH289" s="71" t="str">
        <f t="shared" ref="EH289:EH400" si="4465">IF(BB289="","","|n"&amp;EH$2&amp;"+"&amp;BB289&amp;EH$1)</f>
        <v/>
      </c>
      <c r="EI289" s="71" t="str">
        <f t="shared" ref="EI289:EI400" si="4466">IF(BC289="","","|n"&amp;EI$2&amp;"+"&amp;BC289&amp;EI$1)</f>
        <v/>
      </c>
      <c r="EJ289" s="71" t="str">
        <f t="shared" ref="EJ289:EJ400" si="4467">IF(BD289="","","|n"&amp;EJ$2&amp;"+"&amp;BD289&amp;EJ$1)</f>
        <v/>
      </c>
      <c r="EK289" s="71" t="str">
        <f t="shared" ref="EK289:EK400" si="4468">IF(BE289="","","|n"&amp;EK$2&amp;"+"&amp;BE289&amp;EK$1)</f>
        <v/>
      </c>
      <c r="EL289" s="71" t="str">
        <f t="shared" ref="EL289:EL400" si="4469">IF(BF289="","","|n"&amp;EL$2&amp;"+"&amp;BF289&amp;EL$1)</f>
        <v/>
      </c>
      <c r="EM289" s="71" t="str">
        <f t="shared" ref="EM289:EM400" si="4470">IF(BG289="","","|n"&amp;EM$2&amp;"+"&amp;BG289&amp;EM$1)</f>
        <v/>
      </c>
      <c r="EN289" s="71" t="str">
        <f t="shared" ref="EN289:EN400" si="4471">IF(BH289="","","|n"&amp;EN$2&amp;"+"&amp;BH289&amp;EN$1)</f>
        <v/>
      </c>
      <c r="EO289" s="71" t="str">
        <f t="shared" ref="EO289:EO400" si="4472">IF(BI289="","","|n"&amp;EO$2&amp;"+"&amp;BI289&amp;EO$1)</f>
        <v/>
      </c>
      <c r="EP289" s="71" t="str">
        <f t="shared" ref="EP289:EP400" si="4473">IF(BJ289="","","|n"&amp;EP$2&amp;"+"&amp;BJ289&amp;EP$1)</f>
        <v/>
      </c>
      <c r="EQ289" s="71" t="str">
        <f t="shared" ref="EQ289:EQ400" si="4474">IF(BK289="","","|n"&amp;EQ$2&amp;"+"&amp;BK289&amp;EQ$1)</f>
        <v/>
      </c>
      <c r="ER289" s="71" t="str">
        <f t="shared" ref="ER289:ER400" si="4475">IF(BL289="","","|n"&amp;ER$2&amp;"+"&amp;BL289&amp;ER$1)</f>
        <v/>
      </c>
      <c r="ES289" s="71" t="str">
        <f t="shared" ref="ES289:ES400" si="4476">IF(BM289="","","|n"&amp;ES$2&amp;"+"&amp;BM289&amp;ES$1)</f>
        <v/>
      </c>
      <c r="ET289" s="71" t="str">
        <f t="shared" ref="ET289:ET400" si="4477">IF(BN289="","","|n"&amp;ET$2&amp;"+"&amp;BN289&amp;ET$1)</f>
        <v/>
      </c>
      <c r="EU289" s="71" t="str">
        <f t="shared" ref="EU289:EU400" si="4478">IF(BO289="","","|n"&amp;EU$2&amp;"+"&amp;BO289&amp;EU$1)</f>
        <v/>
      </c>
      <c r="EV289" s="71" t="str">
        <f t="shared" ref="EV289:EV400" si="4479">IF(BP289="","","|n"&amp;EV$2&amp;"+"&amp;BP289&amp;EV$1)</f>
        <v/>
      </c>
      <c r="EW289" s="71" t="str">
        <f t="shared" ref="EW289:EW400" si="4480">IF(BQ289="","","|n"&amp;EW$2&amp;"+"&amp;BQ289&amp;EW$1)</f>
        <v/>
      </c>
      <c r="EX289" s="71" t="str">
        <f t="shared" ref="EX289:EX400" si="4481">IF(BR289="","","|n"&amp;EX$2&amp;"+"&amp;BR289&amp;EX$1)</f>
        <v/>
      </c>
      <c r="EY289" s="71" t="str">
        <f t="shared" ref="EY289:EY400" si="4482">IF(BS289="","","|n"&amp;EY$2&amp;"+"&amp;BS289&amp;EY$1)</f>
        <v/>
      </c>
      <c r="EZ289" s="71" t="str">
        <f t="shared" ref="EZ289:EZ400" si="4483">IF(BT289="","","|n"&amp;EZ$2&amp;"+"&amp;BT289&amp;EZ$1)</f>
        <v/>
      </c>
      <c r="FA289" s="71" t="str">
        <f t="shared" ref="FA289:FA400" si="4484">IF(BU289="","","|n"&amp;FA$2&amp;"+"&amp;BU289&amp;FA$1)</f>
        <v/>
      </c>
      <c r="FB289" s="71" t="str">
        <f t="shared" ref="FB289:FB400" si="4485">IF(BV289="","","|n"&amp;FB$2&amp;"+"&amp;BV289&amp;FB$1)</f>
        <v/>
      </c>
      <c r="FC289" s="71" t="str">
        <f t="shared" ref="FC289:FC400" si="4486">IF(BW289="","","|n"&amp;FC$2&amp;"+"&amp;BW289&amp;FC$1)</f>
        <v/>
      </c>
      <c r="FD289" s="71" t="str">
        <f t="shared" ref="FD289:FD400" si="4487">IF(BX289="","","|n"&amp;FD$2&amp;"+"&amp;BX289&amp;FD$1)</f>
        <v/>
      </c>
      <c r="FE289" s="71" t="str">
        <f t="shared" ref="FE289:FE400" si="4488">IF(BY289="","","|n"&amp;FE$2&amp;"+"&amp;BY289&amp;FE$1)</f>
        <v/>
      </c>
      <c r="FF289" s="71" t="str">
        <f t="shared" ref="FF289:FF400" si="4489">IF(BZ289="","","|n"&amp;FF$2&amp;"+"&amp;BZ289&amp;FF$1)</f>
        <v/>
      </c>
      <c r="FG289" s="71" t="str">
        <f t="shared" ref="FG289:FG400" si="4490">IF(CA289="","","|n"&amp;FG$2&amp;"+"&amp;CA289&amp;FG$1)</f>
        <v/>
      </c>
      <c r="FH289" s="71" t="str">
        <f t="shared" ref="FH289:FH400" si="4491">IF(CB289="","","|n"&amp;FH$2&amp;"+"&amp;CB289&amp;FH$1)</f>
        <v/>
      </c>
      <c r="FI289" s="71" t="str">
        <f t="shared" ref="FI289:FI400" si="4492">IF(CC289="","","|n"&amp;FI$2&amp;"+"&amp;CC289&amp;FI$1)</f>
        <v/>
      </c>
      <c r="FJ289" s="71" t="str">
        <f t="shared" ref="FJ289:FJ400" si="4493">IF(CD289="","","|n"&amp;FJ$2&amp;"+"&amp;CD289&amp;FJ$1)</f>
        <v/>
      </c>
      <c r="FK289" s="71" t="str">
        <f t="shared" ref="FK289:FK400" si="4494">IF(CE289="","","|n"&amp;FK$2&amp;"+"&amp;CE289&amp;FK$1)</f>
        <v/>
      </c>
      <c r="FL289" s="71" t="str">
        <f t="shared" ref="FL289:FL400" si="4495">IF(CF289="","","|n"&amp;FL$2&amp;"+"&amp;CF289&amp;FL$1)</f>
        <v/>
      </c>
      <c r="FM289" s="71" t="str">
        <f t="shared" ref="FM289:FM400" si="4496">IF(CG289="","","|n"&amp;FM$2&amp;"+"&amp;CG289&amp;FM$1)</f>
        <v/>
      </c>
      <c r="FN289" s="71" t="str">
        <f t="shared" ref="FN289:FN400" si="4497">IF(CH289="","","|n"&amp;FN$2&amp;"+"&amp;CH289&amp;FN$1)</f>
        <v/>
      </c>
      <c r="FO289" s="71" t="str">
        <f t="shared" ref="FO289:FO400" si="4498">IF(CI289="","","|n"&amp;FO$2&amp;"+"&amp;CI289&amp;FO$1)</f>
        <v/>
      </c>
      <c r="FP289" s="71" t="str">
        <f t="shared" ref="FP289:FP400" si="4499">IF(CJ289="","","|n"&amp;FP$2&amp;"+"&amp;CJ289&amp;FP$1)</f>
        <v/>
      </c>
      <c r="FQ289" s="71" t="str">
        <f t="shared" ref="FQ289:FQ400" si="4500">IF(CK289="","","|n"&amp;FQ$2&amp;"+"&amp;CK289&amp;FQ$1)</f>
        <v/>
      </c>
      <c r="FR289" s="71" t="str">
        <f t="shared" ref="FR289:FR400" si="4501">IF(CL289="","","|n"&amp;FR$2&amp;"+"&amp;CL289&amp;FR$1)</f>
        <v/>
      </c>
      <c r="FS289" s="71" t="str">
        <f t="shared" ref="FS289:FS400" si="4502">IF(CM289="","","|n"&amp;FS$2&amp;"+"&amp;CM289&amp;FS$1)</f>
        <v/>
      </c>
    </row>
    <row r="290" spans="1:175">
      <c r="A290" s="81"/>
      <c r="B290" s="81" t="s">
        <v>903</v>
      </c>
      <c r="C290" s="70" t="s">
        <v>879</v>
      </c>
      <c r="T290" s="152"/>
      <c r="U290" s="89"/>
      <c r="CN290" s="69" t="str">
        <f t="shared" si="4356"/>
        <v>InitUnitState('IF25',,,,,,,,,,)</v>
      </c>
      <c r="CO290" s="69" t="str">
        <f t="shared" si="4357"/>
        <v>InitUnitNormal('IF25',,,,,,,,,,)</v>
      </c>
      <c r="CP290" s="69" t="str">
        <f t="shared" si="4358"/>
        <v>InitUnitMagic('IF25',,,,,,,,,,)</v>
      </c>
      <c r="CQ290" s="69" t="str">
        <f t="shared" si="4359"/>
        <v>InitUnitAdd('IF25',,,,,,,,,,)</v>
      </c>
      <c r="CR290" s="69" t="str">
        <f t="shared" si="4360"/>
        <v>InitEquipData('IF25',,"",,,,,'','','','','','',"")</v>
      </c>
      <c r="CU290" s="99" t="str">
        <f t="shared" si="4432"/>
        <v>|n</v>
      </c>
      <c r="CW290" s="60"/>
      <c r="CX290" s="60"/>
      <c r="CY290" s="60"/>
      <c r="CZ290" s="60"/>
      <c r="DA290" s="60"/>
      <c r="DB290" s="71" t="str">
        <f t="shared" si="4433"/>
        <v/>
      </c>
      <c r="DC290" s="71" t="str">
        <f t="shared" si="4434"/>
        <v/>
      </c>
      <c r="DD290" s="71" t="str">
        <f t="shared" si="4435"/>
        <v/>
      </c>
      <c r="DE290" s="71" t="str">
        <f t="shared" si="4436"/>
        <v/>
      </c>
      <c r="DF290" s="71" t="str">
        <f t="shared" si="4437"/>
        <v/>
      </c>
      <c r="DG290" s="71" t="str">
        <f t="shared" si="4438"/>
        <v/>
      </c>
      <c r="DH290" s="71" t="str">
        <f t="shared" si="4439"/>
        <v/>
      </c>
      <c r="DI290" s="71" t="str">
        <f t="shared" si="4440"/>
        <v/>
      </c>
      <c r="DJ290" s="71" t="str">
        <f t="shared" si="4441"/>
        <v/>
      </c>
      <c r="DK290" s="71" t="str">
        <f t="shared" si="4442"/>
        <v/>
      </c>
      <c r="DL290" s="71" t="str">
        <f t="shared" si="4443"/>
        <v/>
      </c>
      <c r="DM290" s="71" t="str">
        <f t="shared" si="4444"/>
        <v/>
      </c>
      <c r="DN290" s="71" t="str">
        <f t="shared" si="4445"/>
        <v/>
      </c>
      <c r="DO290" s="71" t="str">
        <f t="shared" si="4446"/>
        <v/>
      </c>
      <c r="DP290" s="71" t="str">
        <f t="shared" si="4447"/>
        <v/>
      </c>
      <c r="DQ290" s="71" t="str">
        <f t="shared" si="4448"/>
        <v/>
      </c>
      <c r="DR290" s="71" t="str">
        <f t="shared" si="4449"/>
        <v/>
      </c>
      <c r="DS290" s="71" t="str">
        <f t="shared" si="4450"/>
        <v/>
      </c>
      <c r="DT290" s="71" t="str">
        <f t="shared" si="4451"/>
        <v/>
      </c>
      <c r="DU290" s="71" t="str">
        <f t="shared" si="4452"/>
        <v/>
      </c>
      <c r="DV290" s="71" t="str">
        <f t="shared" si="4453"/>
        <v/>
      </c>
      <c r="DW290" s="71" t="str">
        <f t="shared" si="4454"/>
        <v/>
      </c>
      <c r="DX290" s="71" t="str">
        <f t="shared" si="4455"/>
        <v/>
      </c>
      <c r="DY290" s="71" t="str">
        <f t="shared" si="4456"/>
        <v/>
      </c>
      <c r="DZ290" s="71" t="str">
        <f t="shared" si="4457"/>
        <v/>
      </c>
      <c r="EA290" s="71" t="str">
        <f t="shared" si="4458"/>
        <v/>
      </c>
      <c r="EB290" s="71" t="str">
        <f t="shared" si="4459"/>
        <v/>
      </c>
      <c r="EC290" s="71" t="str">
        <f t="shared" si="4460"/>
        <v/>
      </c>
      <c r="ED290" s="71" t="str">
        <f t="shared" si="4461"/>
        <v/>
      </c>
      <c r="EE290" s="71" t="str">
        <f t="shared" si="4462"/>
        <v/>
      </c>
      <c r="EF290" s="71" t="str">
        <f t="shared" si="4463"/>
        <v/>
      </c>
      <c r="EG290" s="71" t="str">
        <f t="shared" si="4464"/>
        <v/>
      </c>
      <c r="EH290" s="71" t="str">
        <f t="shared" si="4465"/>
        <v/>
      </c>
      <c r="EI290" s="71" t="str">
        <f t="shared" si="4466"/>
        <v/>
      </c>
      <c r="EJ290" s="71" t="str">
        <f t="shared" si="4467"/>
        <v/>
      </c>
      <c r="EK290" s="71" t="str">
        <f t="shared" si="4468"/>
        <v/>
      </c>
      <c r="EL290" s="71" t="str">
        <f t="shared" si="4469"/>
        <v/>
      </c>
      <c r="EM290" s="71" t="str">
        <f t="shared" si="4470"/>
        <v/>
      </c>
      <c r="EN290" s="71" t="str">
        <f t="shared" si="4471"/>
        <v/>
      </c>
      <c r="EO290" s="71" t="str">
        <f t="shared" si="4472"/>
        <v/>
      </c>
      <c r="EP290" s="71" t="str">
        <f t="shared" si="4473"/>
        <v/>
      </c>
      <c r="EQ290" s="71" t="str">
        <f t="shared" si="4474"/>
        <v/>
      </c>
      <c r="ER290" s="71" t="str">
        <f t="shared" si="4475"/>
        <v/>
      </c>
      <c r="ES290" s="71" t="str">
        <f t="shared" si="4476"/>
        <v/>
      </c>
      <c r="ET290" s="71" t="str">
        <f t="shared" si="4477"/>
        <v/>
      </c>
      <c r="EU290" s="71" t="str">
        <f t="shared" si="4478"/>
        <v/>
      </c>
      <c r="EV290" s="71" t="str">
        <f t="shared" si="4479"/>
        <v/>
      </c>
      <c r="EW290" s="71" t="str">
        <f t="shared" si="4480"/>
        <v/>
      </c>
      <c r="EX290" s="71" t="str">
        <f t="shared" si="4481"/>
        <v/>
      </c>
      <c r="EY290" s="71" t="str">
        <f t="shared" si="4482"/>
        <v/>
      </c>
      <c r="EZ290" s="71" t="str">
        <f t="shared" si="4483"/>
        <v/>
      </c>
      <c r="FA290" s="71" t="str">
        <f t="shared" si="4484"/>
        <v/>
      </c>
      <c r="FB290" s="71" t="str">
        <f t="shared" si="4485"/>
        <v/>
      </c>
      <c r="FC290" s="71" t="str">
        <f t="shared" si="4486"/>
        <v/>
      </c>
      <c r="FD290" s="71" t="str">
        <f t="shared" si="4487"/>
        <v/>
      </c>
      <c r="FE290" s="71" t="str">
        <f t="shared" si="4488"/>
        <v/>
      </c>
      <c r="FF290" s="71" t="str">
        <f t="shared" si="4489"/>
        <v/>
      </c>
      <c r="FG290" s="71" t="str">
        <f t="shared" si="4490"/>
        <v/>
      </c>
      <c r="FH290" s="71" t="str">
        <f t="shared" si="4491"/>
        <v/>
      </c>
      <c r="FI290" s="71" t="str">
        <f t="shared" si="4492"/>
        <v/>
      </c>
      <c r="FJ290" s="71" t="str">
        <f t="shared" si="4493"/>
        <v/>
      </c>
      <c r="FK290" s="71" t="str">
        <f t="shared" si="4494"/>
        <v/>
      </c>
      <c r="FL290" s="71" t="str">
        <f t="shared" si="4495"/>
        <v/>
      </c>
      <c r="FM290" s="71" t="str">
        <f t="shared" si="4496"/>
        <v/>
      </c>
      <c r="FN290" s="71" t="str">
        <f t="shared" si="4497"/>
        <v/>
      </c>
      <c r="FO290" s="71" t="str">
        <f t="shared" si="4498"/>
        <v/>
      </c>
      <c r="FP290" s="71" t="str">
        <f t="shared" si="4499"/>
        <v/>
      </c>
      <c r="FQ290" s="71" t="str">
        <f t="shared" si="4500"/>
        <v/>
      </c>
      <c r="FR290" s="71" t="str">
        <f t="shared" si="4501"/>
        <v/>
      </c>
      <c r="FS290" s="71" t="str">
        <f t="shared" si="4502"/>
        <v/>
      </c>
    </row>
    <row r="291" spans="1:175">
      <c r="A291" s="81"/>
      <c r="B291" s="81" t="s">
        <v>904</v>
      </c>
      <c r="C291" s="70" t="s">
        <v>879</v>
      </c>
      <c r="T291" s="152"/>
      <c r="U291" s="89"/>
      <c r="CN291" s="69" t="str">
        <f t="shared" si="4356"/>
        <v>InitUnitState('IF26',,,,,,,,,,)</v>
      </c>
      <c r="CO291" s="69" t="str">
        <f t="shared" si="4357"/>
        <v>InitUnitNormal('IF26',,,,,,,,,,)</v>
      </c>
      <c r="CP291" s="69" t="str">
        <f t="shared" si="4358"/>
        <v>InitUnitMagic('IF26',,,,,,,,,,)</v>
      </c>
      <c r="CQ291" s="69" t="str">
        <f t="shared" si="4359"/>
        <v>InitUnitAdd('IF26',,,,,,,,,,)</v>
      </c>
      <c r="CR291" s="69" t="str">
        <f t="shared" si="4360"/>
        <v>InitEquipData('IF26',,"",,,,,'','','','','','',"")</v>
      </c>
      <c r="CU291" s="99" t="str">
        <f t="shared" si="4432"/>
        <v>|n</v>
      </c>
      <c r="CW291" s="60"/>
      <c r="CX291" s="60"/>
      <c r="CY291" s="60"/>
      <c r="CZ291" s="60"/>
      <c r="DA291" s="60"/>
      <c r="DB291" s="71" t="str">
        <f t="shared" si="4433"/>
        <v/>
      </c>
      <c r="DC291" s="71" t="str">
        <f t="shared" si="4434"/>
        <v/>
      </c>
      <c r="DD291" s="71" t="str">
        <f t="shared" si="4435"/>
        <v/>
      </c>
      <c r="DE291" s="71" t="str">
        <f t="shared" si="4436"/>
        <v/>
      </c>
      <c r="DF291" s="71" t="str">
        <f t="shared" si="4437"/>
        <v/>
      </c>
      <c r="DG291" s="71" t="str">
        <f t="shared" si="4438"/>
        <v/>
      </c>
      <c r="DH291" s="71" t="str">
        <f t="shared" si="4439"/>
        <v/>
      </c>
      <c r="DI291" s="71" t="str">
        <f t="shared" si="4440"/>
        <v/>
      </c>
      <c r="DJ291" s="71" t="str">
        <f t="shared" si="4441"/>
        <v/>
      </c>
      <c r="DK291" s="71" t="str">
        <f t="shared" si="4442"/>
        <v/>
      </c>
      <c r="DL291" s="71" t="str">
        <f t="shared" si="4443"/>
        <v/>
      </c>
      <c r="DM291" s="71" t="str">
        <f t="shared" si="4444"/>
        <v/>
      </c>
      <c r="DN291" s="71" t="str">
        <f t="shared" si="4445"/>
        <v/>
      </c>
      <c r="DO291" s="71" t="str">
        <f t="shared" si="4446"/>
        <v/>
      </c>
      <c r="DP291" s="71" t="str">
        <f t="shared" si="4447"/>
        <v/>
      </c>
      <c r="DQ291" s="71" t="str">
        <f t="shared" si="4448"/>
        <v/>
      </c>
      <c r="DR291" s="71" t="str">
        <f t="shared" si="4449"/>
        <v/>
      </c>
      <c r="DS291" s="71" t="str">
        <f t="shared" si="4450"/>
        <v/>
      </c>
      <c r="DT291" s="71" t="str">
        <f t="shared" si="4451"/>
        <v/>
      </c>
      <c r="DU291" s="71" t="str">
        <f t="shared" si="4452"/>
        <v/>
      </c>
      <c r="DV291" s="71" t="str">
        <f t="shared" si="4453"/>
        <v/>
      </c>
      <c r="DW291" s="71" t="str">
        <f t="shared" si="4454"/>
        <v/>
      </c>
      <c r="DX291" s="71" t="str">
        <f t="shared" si="4455"/>
        <v/>
      </c>
      <c r="DY291" s="71" t="str">
        <f t="shared" si="4456"/>
        <v/>
      </c>
      <c r="DZ291" s="71" t="str">
        <f t="shared" si="4457"/>
        <v/>
      </c>
      <c r="EA291" s="71" t="str">
        <f t="shared" si="4458"/>
        <v/>
      </c>
      <c r="EB291" s="71" t="str">
        <f t="shared" si="4459"/>
        <v/>
      </c>
      <c r="EC291" s="71" t="str">
        <f t="shared" si="4460"/>
        <v/>
      </c>
      <c r="ED291" s="71" t="str">
        <f t="shared" si="4461"/>
        <v/>
      </c>
      <c r="EE291" s="71" t="str">
        <f t="shared" si="4462"/>
        <v/>
      </c>
      <c r="EF291" s="71" t="str">
        <f t="shared" si="4463"/>
        <v/>
      </c>
      <c r="EG291" s="71" t="str">
        <f t="shared" si="4464"/>
        <v/>
      </c>
      <c r="EH291" s="71" t="str">
        <f t="shared" si="4465"/>
        <v/>
      </c>
      <c r="EI291" s="71" t="str">
        <f t="shared" si="4466"/>
        <v/>
      </c>
      <c r="EJ291" s="71" t="str">
        <f t="shared" si="4467"/>
        <v/>
      </c>
      <c r="EK291" s="71" t="str">
        <f t="shared" si="4468"/>
        <v/>
      </c>
      <c r="EL291" s="71" t="str">
        <f t="shared" si="4469"/>
        <v/>
      </c>
      <c r="EM291" s="71" t="str">
        <f t="shared" si="4470"/>
        <v/>
      </c>
      <c r="EN291" s="71" t="str">
        <f t="shared" si="4471"/>
        <v/>
      </c>
      <c r="EO291" s="71" t="str">
        <f t="shared" si="4472"/>
        <v/>
      </c>
      <c r="EP291" s="71" t="str">
        <f t="shared" si="4473"/>
        <v/>
      </c>
      <c r="EQ291" s="71" t="str">
        <f t="shared" si="4474"/>
        <v/>
      </c>
      <c r="ER291" s="71" t="str">
        <f t="shared" si="4475"/>
        <v/>
      </c>
      <c r="ES291" s="71" t="str">
        <f t="shared" si="4476"/>
        <v/>
      </c>
      <c r="ET291" s="71" t="str">
        <f t="shared" si="4477"/>
        <v/>
      </c>
      <c r="EU291" s="71" t="str">
        <f t="shared" si="4478"/>
        <v/>
      </c>
      <c r="EV291" s="71" t="str">
        <f t="shared" si="4479"/>
        <v/>
      </c>
      <c r="EW291" s="71" t="str">
        <f t="shared" si="4480"/>
        <v/>
      </c>
      <c r="EX291" s="71" t="str">
        <f t="shared" si="4481"/>
        <v/>
      </c>
      <c r="EY291" s="71" t="str">
        <f t="shared" si="4482"/>
        <v/>
      </c>
      <c r="EZ291" s="71" t="str">
        <f t="shared" si="4483"/>
        <v/>
      </c>
      <c r="FA291" s="71" t="str">
        <f t="shared" si="4484"/>
        <v/>
      </c>
      <c r="FB291" s="71" t="str">
        <f t="shared" si="4485"/>
        <v/>
      </c>
      <c r="FC291" s="71" t="str">
        <f t="shared" si="4486"/>
        <v/>
      </c>
      <c r="FD291" s="71" t="str">
        <f t="shared" si="4487"/>
        <v/>
      </c>
      <c r="FE291" s="71" t="str">
        <f t="shared" si="4488"/>
        <v/>
      </c>
      <c r="FF291" s="71" t="str">
        <f t="shared" si="4489"/>
        <v/>
      </c>
      <c r="FG291" s="71" t="str">
        <f t="shared" si="4490"/>
        <v/>
      </c>
      <c r="FH291" s="71" t="str">
        <f t="shared" si="4491"/>
        <v/>
      </c>
      <c r="FI291" s="71" t="str">
        <f t="shared" si="4492"/>
        <v/>
      </c>
      <c r="FJ291" s="71" t="str">
        <f t="shared" si="4493"/>
        <v/>
      </c>
      <c r="FK291" s="71" t="str">
        <f t="shared" si="4494"/>
        <v/>
      </c>
      <c r="FL291" s="71" t="str">
        <f t="shared" si="4495"/>
        <v/>
      </c>
      <c r="FM291" s="71" t="str">
        <f t="shared" si="4496"/>
        <v/>
      </c>
      <c r="FN291" s="71" t="str">
        <f t="shared" si="4497"/>
        <v/>
      </c>
      <c r="FO291" s="71" t="str">
        <f t="shared" si="4498"/>
        <v/>
      </c>
      <c r="FP291" s="71" t="str">
        <f t="shared" si="4499"/>
        <v/>
      </c>
      <c r="FQ291" s="71" t="str">
        <f t="shared" si="4500"/>
        <v/>
      </c>
      <c r="FR291" s="71" t="str">
        <f t="shared" si="4501"/>
        <v/>
      </c>
      <c r="FS291" s="71" t="str">
        <f t="shared" si="4502"/>
        <v/>
      </c>
    </row>
    <row r="292" spans="1:175">
      <c r="A292" s="81"/>
      <c r="B292" s="81" t="s">
        <v>905</v>
      </c>
      <c r="C292" s="70" t="s">
        <v>879</v>
      </c>
      <c r="T292" s="152"/>
      <c r="U292" s="89"/>
      <c r="CN292" s="69" t="str">
        <f t="shared" si="4356"/>
        <v>InitUnitState('IF27',,,,,,,,,,)</v>
      </c>
      <c r="CO292" s="69" t="str">
        <f t="shared" si="4357"/>
        <v>InitUnitNormal('IF27',,,,,,,,,,)</v>
      </c>
      <c r="CP292" s="69" t="str">
        <f t="shared" si="4358"/>
        <v>InitUnitMagic('IF27',,,,,,,,,,)</v>
      </c>
      <c r="CQ292" s="69" t="str">
        <f t="shared" si="4359"/>
        <v>InitUnitAdd('IF27',,,,,,,,,,)</v>
      </c>
      <c r="CR292" s="69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299&amp;CR$1&amp;")"</f>
        <v>InitEquipData('IF27',,"",,,,,'','','','','','',"")</v>
      </c>
      <c r="CU292" s="99" t="str">
        <f t="shared" si="4432"/>
        <v>|n</v>
      </c>
      <c r="CW292" s="60"/>
      <c r="CX292" s="60"/>
      <c r="CY292" s="60"/>
      <c r="CZ292" s="60"/>
      <c r="DA292" s="60"/>
      <c r="DB292" s="71" t="str">
        <f t="shared" si="4433"/>
        <v/>
      </c>
      <c r="DC292" s="71" t="str">
        <f t="shared" si="4434"/>
        <v/>
      </c>
      <c r="DD292" s="71" t="str">
        <f t="shared" si="4435"/>
        <v/>
      </c>
      <c r="DE292" s="71" t="str">
        <f t="shared" si="4436"/>
        <v/>
      </c>
      <c r="DF292" s="71" t="str">
        <f t="shared" si="4437"/>
        <v/>
      </c>
      <c r="DG292" s="71" t="str">
        <f t="shared" si="4438"/>
        <v/>
      </c>
      <c r="DH292" s="71" t="str">
        <f t="shared" si="4439"/>
        <v/>
      </c>
      <c r="DI292" s="71" t="str">
        <f t="shared" si="4440"/>
        <v/>
      </c>
      <c r="DJ292" s="71" t="str">
        <f t="shared" si="4441"/>
        <v/>
      </c>
      <c r="DK292" s="71" t="str">
        <f t="shared" si="4442"/>
        <v/>
      </c>
      <c r="DL292" s="71" t="str">
        <f t="shared" si="4443"/>
        <v/>
      </c>
      <c r="DM292" s="71" t="str">
        <f t="shared" si="4444"/>
        <v/>
      </c>
      <c r="DN292" s="71" t="str">
        <f t="shared" si="4445"/>
        <v/>
      </c>
      <c r="DO292" s="71" t="str">
        <f t="shared" si="4446"/>
        <v/>
      </c>
      <c r="DP292" s="71" t="str">
        <f t="shared" si="4447"/>
        <v/>
      </c>
      <c r="DQ292" s="71" t="str">
        <f t="shared" si="4448"/>
        <v/>
      </c>
      <c r="DR292" s="71" t="str">
        <f t="shared" si="4449"/>
        <v/>
      </c>
      <c r="DS292" s="71" t="str">
        <f t="shared" si="4450"/>
        <v/>
      </c>
      <c r="DT292" s="71" t="str">
        <f t="shared" si="4451"/>
        <v/>
      </c>
      <c r="DU292" s="71" t="str">
        <f t="shared" si="4452"/>
        <v/>
      </c>
      <c r="DV292" s="71" t="str">
        <f t="shared" si="4453"/>
        <v/>
      </c>
      <c r="DW292" s="71" t="str">
        <f t="shared" si="4454"/>
        <v/>
      </c>
      <c r="DX292" s="71" t="str">
        <f t="shared" si="4455"/>
        <v/>
      </c>
      <c r="DY292" s="71" t="str">
        <f t="shared" si="4456"/>
        <v/>
      </c>
      <c r="DZ292" s="71" t="str">
        <f t="shared" si="4457"/>
        <v/>
      </c>
      <c r="EA292" s="71" t="str">
        <f t="shared" si="4458"/>
        <v/>
      </c>
      <c r="EB292" s="71" t="str">
        <f t="shared" si="4459"/>
        <v/>
      </c>
      <c r="EC292" s="71" t="str">
        <f t="shared" si="4460"/>
        <v/>
      </c>
      <c r="ED292" s="71" t="str">
        <f t="shared" si="4461"/>
        <v/>
      </c>
      <c r="EE292" s="71" t="str">
        <f t="shared" si="4462"/>
        <v/>
      </c>
      <c r="EF292" s="71" t="str">
        <f t="shared" si="4463"/>
        <v/>
      </c>
      <c r="EG292" s="71" t="str">
        <f t="shared" si="4464"/>
        <v/>
      </c>
      <c r="EH292" s="71" t="str">
        <f t="shared" si="4465"/>
        <v/>
      </c>
      <c r="EI292" s="71" t="str">
        <f t="shared" si="4466"/>
        <v/>
      </c>
      <c r="EJ292" s="71" t="str">
        <f t="shared" si="4467"/>
        <v/>
      </c>
      <c r="EK292" s="71" t="str">
        <f t="shared" si="4468"/>
        <v/>
      </c>
      <c r="EL292" s="71" t="str">
        <f t="shared" si="4469"/>
        <v/>
      </c>
      <c r="EM292" s="71" t="str">
        <f t="shared" si="4470"/>
        <v/>
      </c>
      <c r="EN292" s="71" t="str">
        <f t="shared" si="4471"/>
        <v/>
      </c>
      <c r="EO292" s="71" t="str">
        <f t="shared" si="4472"/>
        <v/>
      </c>
      <c r="EP292" s="71" t="str">
        <f t="shared" si="4473"/>
        <v/>
      </c>
      <c r="EQ292" s="71" t="str">
        <f t="shared" si="4474"/>
        <v/>
      </c>
      <c r="ER292" s="71" t="str">
        <f t="shared" si="4475"/>
        <v/>
      </c>
      <c r="ES292" s="71" t="str">
        <f t="shared" si="4476"/>
        <v/>
      </c>
      <c r="ET292" s="71" t="str">
        <f t="shared" si="4477"/>
        <v/>
      </c>
      <c r="EU292" s="71" t="str">
        <f t="shared" si="4478"/>
        <v/>
      </c>
      <c r="EV292" s="71" t="str">
        <f t="shared" si="4479"/>
        <v/>
      </c>
      <c r="EW292" s="71" t="str">
        <f t="shared" si="4480"/>
        <v/>
      </c>
      <c r="EX292" s="71" t="str">
        <f t="shared" si="4481"/>
        <v/>
      </c>
      <c r="EY292" s="71" t="str">
        <f t="shared" si="4482"/>
        <v/>
      </c>
      <c r="EZ292" s="71" t="str">
        <f t="shared" si="4483"/>
        <v/>
      </c>
      <c r="FA292" s="71" t="str">
        <f t="shared" si="4484"/>
        <v/>
      </c>
      <c r="FB292" s="71" t="str">
        <f t="shared" si="4485"/>
        <v/>
      </c>
      <c r="FC292" s="71" t="str">
        <f t="shared" si="4486"/>
        <v/>
      </c>
      <c r="FD292" s="71" t="str">
        <f t="shared" si="4487"/>
        <v/>
      </c>
      <c r="FE292" s="71" t="str">
        <f t="shared" si="4488"/>
        <v/>
      </c>
      <c r="FF292" s="71" t="str">
        <f t="shared" si="4489"/>
        <v/>
      </c>
      <c r="FG292" s="71" t="str">
        <f t="shared" si="4490"/>
        <v/>
      </c>
      <c r="FH292" s="71" t="str">
        <f t="shared" si="4491"/>
        <v/>
      </c>
      <c r="FI292" s="71" t="str">
        <f t="shared" si="4492"/>
        <v/>
      </c>
      <c r="FJ292" s="71" t="str">
        <f t="shared" si="4493"/>
        <v/>
      </c>
      <c r="FK292" s="71" t="str">
        <f t="shared" si="4494"/>
        <v/>
      </c>
      <c r="FL292" s="71" t="str">
        <f t="shared" si="4495"/>
        <v/>
      </c>
      <c r="FM292" s="71" t="str">
        <f t="shared" si="4496"/>
        <v/>
      </c>
      <c r="FN292" s="71" t="str">
        <f t="shared" si="4497"/>
        <v/>
      </c>
      <c r="FO292" s="71" t="str">
        <f t="shared" si="4498"/>
        <v/>
      </c>
      <c r="FP292" s="71" t="str">
        <f t="shared" si="4499"/>
        <v/>
      </c>
      <c r="FQ292" s="71" t="str">
        <f t="shared" si="4500"/>
        <v/>
      </c>
      <c r="FR292" s="71" t="str">
        <f t="shared" si="4501"/>
        <v/>
      </c>
      <c r="FS292" s="71" t="str">
        <f t="shared" si="4502"/>
        <v/>
      </c>
    </row>
    <row r="293" spans="1:175">
      <c r="A293" s="81"/>
      <c r="B293" s="81" t="s">
        <v>906</v>
      </c>
      <c r="C293" s="70" t="s">
        <v>879</v>
      </c>
      <c r="T293" s="152"/>
      <c r="U293" s="89"/>
      <c r="CN293" s="69" t="str">
        <f t="shared" ref="CN293:CN298" si="4503">"InitUnitState('"&amp;B293&amp;"',"&amp;V293&amp;","&amp;W293&amp;","&amp;X293&amp;","&amp;Y293&amp;","&amp;Z293&amp;","&amp;AA293&amp;","&amp;AB293&amp;","&amp;AC293&amp;","&amp;AD293&amp;","&amp;AE293&amp;")"</f>
        <v>InitUnitState('IF28',,,,,,,,,,)</v>
      </c>
      <c r="CO293" s="69" t="str">
        <f t="shared" ref="CO293:CO298" si="4504">"InitUnitNormal('"&amp;B293&amp;"',"&amp;AF293&amp;","&amp;AG293&amp;","&amp;AH293&amp;","&amp;AI293&amp;","&amp;AJ293&amp;","&amp;AK293&amp;","&amp;AL293&amp;","&amp;AM293&amp;","&amp;AN293&amp;","&amp;AO293&amp;")"</f>
        <v>InitUnitNormal('IF28',,,,,,,,,,)</v>
      </c>
      <c r="CP293" s="69" t="str">
        <f t="shared" ref="CP293:CP298" si="4505">"InitUnitMagic('"&amp;B293&amp;"',"&amp;AP293&amp;","&amp;AQ293&amp;","&amp;AR293&amp;","&amp;AS293&amp;","&amp;AT293&amp;","&amp;AU293&amp;","&amp;AV293&amp;","&amp;AW293&amp;","&amp;BI293&amp;","&amp;BJ293&amp;")"</f>
        <v>InitUnitMagic('IF28',,,,,,,,,,)</v>
      </c>
      <c r="CQ293" s="69" t="str">
        <f t="shared" ref="CQ293:CQ298" si="4506">"InitUnitAdd('"&amp;B293&amp;"',"&amp;BK293&amp;","&amp;BL293&amp;","&amp;BM293&amp;","&amp;BN293&amp;","&amp;BO293&amp;","&amp;BP293&amp;","&amp;BQ293&amp;","&amp;BR293&amp;","&amp;BS293&amp;","&amp;BT293&amp;")"</f>
        <v>InitUnitAdd('IF28',,,,,,,,,,)</v>
      </c>
      <c r="CR293" s="69" t="str">
        <f t="shared" ref="CR293:CR295" si="4507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InitEquipData('IF28',,"",,,,,'','','','','','',"")</v>
      </c>
      <c r="CU293" s="99" t="str">
        <f t="shared" ref="CU293:CU298" si="4508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298" si="4509">IF(V293="","","|n"&amp;DB$2&amp;"+"&amp;V293&amp;DB$1)</f>
        <v/>
      </c>
      <c r="DC293" s="71" t="str">
        <f t="shared" ref="DC293:DC298" si="4510">IF(W293="","","|n"&amp;DC$2&amp;"+"&amp;W293&amp;DC$1)</f>
        <v/>
      </c>
      <c r="DD293" s="71" t="str">
        <f t="shared" ref="DD293:DD298" si="4511">IF(X293="","","|n"&amp;DD$2&amp;"+"&amp;X293&amp;DD$1)</f>
        <v/>
      </c>
      <c r="DE293" s="71" t="str">
        <f t="shared" ref="DE293:DE298" si="4512">IF(Y293="","","|n"&amp;DE$2&amp;"+"&amp;Y293&amp;DE$1)</f>
        <v/>
      </c>
      <c r="DF293" s="71" t="str">
        <f t="shared" ref="DF293:DF298" si="4513">IF(Z293="","","|n"&amp;DF$2&amp;"+"&amp;Z293&amp;DF$1)</f>
        <v/>
      </c>
      <c r="DG293" s="71" t="str">
        <f t="shared" ref="DG293:DG298" si="4514">IF(AA293="","","|n"&amp;DG$2&amp;"+"&amp;AA293&amp;DG$1)</f>
        <v/>
      </c>
      <c r="DH293" s="71" t="str">
        <f t="shared" ref="DH293:DH298" si="4515">IF(AB293="","","|n"&amp;DH$2&amp;"+"&amp;AB293&amp;DH$1)</f>
        <v/>
      </c>
      <c r="DI293" s="71" t="str">
        <f t="shared" ref="DI293:DI298" si="4516">IF(AC293="","","|n"&amp;DI$2&amp;"+"&amp;AC293&amp;DI$1)</f>
        <v/>
      </c>
      <c r="DJ293" s="71" t="str">
        <f t="shared" ref="DJ293:DJ298" si="4517">IF(AD293="","","|n"&amp;DJ$2&amp;"+"&amp;AD293&amp;DJ$1)</f>
        <v/>
      </c>
      <c r="DK293" s="71" t="str">
        <f t="shared" ref="DK293:DK298" si="4518">IF(AE293="","","|n"&amp;DK$2&amp;"+"&amp;AE293&amp;DK$1)</f>
        <v/>
      </c>
      <c r="DL293" s="71" t="str">
        <f t="shared" ref="DL293:DL298" si="4519">IF(AF293="","","|n"&amp;DL$2&amp;"+"&amp;AF293&amp;DL$1)</f>
        <v/>
      </c>
      <c r="DM293" s="71" t="str">
        <f t="shared" ref="DM293:DM298" si="4520">IF(AG293="","","|n"&amp;DM$2&amp;"+"&amp;AG293&amp;DM$1)</f>
        <v/>
      </c>
      <c r="DN293" s="71" t="str">
        <f t="shared" ref="DN293:DN298" si="4521">IF(AH293="","","|n"&amp;DN$2&amp;"+"&amp;AH293&amp;DN$1)</f>
        <v/>
      </c>
      <c r="DO293" s="71" t="str">
        <f t="shared" ref="DO293:DO298" si="4522">IF(AI293="","","|n"&amp;DO$2&amp;"+"&amp;AI293&amp;DO$1)</f>
        <v/>
      </c>
      <c r="DP293" s="71" t="str">
        <f t="shared" ref="DP293:DP298" si="4523">IF(AJ293="","","|n"&amp;DP$2&amp;"+"&amp;AJ293&amp;DP$1)</f>
        <v/>
      </c>
      <c r="DQ293" s="71" t="str">
        <f t="shared" ref="DQ293:DQ298" si="4524">IF(AK293="","","|n"&amp;DQ$2&amp;"+"&amp;AK293&amp;DQ$1)</f>
        <v/>
      </c>
      <c r="DR293" s="71" t="str">
        <f t="shared" ref="DR293:DR298" si="4525">IF(AL293="","","|n"&amp;DR$2&amp;"+"&amp;AL293&amp;DR$1)</f>
        <v/>
      </c>
      <c r="DS293" s="71" t="str">
        <f t="shared" ref="DS293:DS298" si="4526">IF(AM293="","","|n"&amp;DS$2&amp;"+"&amp;AM293&amp;DS$1)</f>
        <v/>
      </c>
      <c r="DT293" s="71" t="str">
        <f t="shared" ref="DT293:DT298" si="4527">IF(AN293="","","|n"&amp;DT$2&amp;"+"&amp;AN293&amp;DT$1)</f>
        <v/>
      </c>
      <c r="DU293" s="71" t="str">
        <f t="shared" ref="DU293:DU298" si="4528">IF(AO293="","","|n"&amp;DU$2&amp;"+"&amp;AO293&amp;DU$1)</f>
        <v/>
      </c>
      <c r="DV293" s="71" t="str">
        <f t="shared" ref="DV293:DV298" si="4529">IF(AP293="","","|n"&amp;DV$2&amp;"+"&amp;AP293&amp;DV$1)</f>
        <v/>
      </c>
      <c r="DW293" s="71" t="str">
        <f t="shared" ref="DW293:DW298" si="4530">IF(AQ293="","","|n"&amp;DW$2&amp;"+"&amp;AQ293&amp;DW$1)</f>
        <v/>
      </c>
      <c r="DX293" s="71" t="str">
        <f t="shared" ref="DX293:DX298" si="4531">IF(AR293="","","|n"&amp;DX$2&amp;"+"&amp;AR293&amp;DX$1)</f>
        <v/>
      </c>
      <c r="DY293" s="71" t="str">
        <f t="shared" ref="DY293:DY298" si="4532">IF(AS293="","","|n"&amp;DY$2&amp;"+"&amp;AS293&amp;DY$1)</f>
        <v/>
      </c>
      <c r="DZ293" s="71" t="str">
        <f t="shared" ref="DZ293:DZ298" si="4533">IF(AT293="","","|n"&amp;DZ$2&amp;"+"&amp;AT293&amp;DZ$1)</f>
        <v/>
      </c>
      <c r="EA293" s="71" t="str">
        <f t="shared" ref="EA293:EA298" si="4534">IF(AU293="","","|n"&amp;EA$2&amp;"+"&amp;AU293&amp;EA$1)</f>
        <v/>
      </c>
      <c r="EB293" s="71" t="str">
        <f t="shared" ref="EB293:EB298" si="4535">IF(AV293="","","|n"&amp;EB$2&amp;"+"&amp;AV293&amp;EB$1)</f>
        <v/>
      </c>
      <c r="EC293" s="71" t="str">
        <f t="shared" ref="EC293:EC298" si="4536">IF(AW293="","","|n"&amp;EC$2&amp;"+"&amp;AW293&amp;EC$1)</f>
        <v/>
      </c>
      <c r="ED293" s="71" t="str">
        <f t="shared" ref="ED293:ED298" si="4537">IF(AX293="","","|n"&amp;ED$2&amp;"+"&amp;AX293&amp;ED$1)</f>
        <v/>
      </c>
      <c r="EE293" s="71" t="str">
        <f t="shared" ref="EE293:EE298" si="4538">IF(AY293="","","|n"&amp;EE$2&amp;"+"&amp;AY293&amp;EE$1)</f>
        <v/>
      </c>
      <c r="EF293" s="71" t="str">
        <f t="shared" ref="EF293:EF298" si="4539">IF(AZ293="","","|n"&amp;EF$2&amp;"+"&amp;AZ293&amp;EF$1)</f>
        <v/>
      </c>
      <c r="EG293" s="71" t="str">
        <f t="shared" ref="EG293:EG298" si="4540">IF(BA293="","","|n"&amp;EG$2&amp;"+"&amp;BA293&amp;EG$1)</f>
        <v/>
      </c>
      <c r="EH293" s="71" t="str">
        <f t="shared" ref="EH293:EH298" si="4541">IF(BB293="","","|n"&amp;EH$2&amp;"+"&amp;BB293&amp;EH$1)</f>
        <v/>
      </c>
      <c r="EI293" s="71" t="str">
        <f t="shared" ref="EI293:EI298" si="4542">IF(BC293="","","|n"&amp;EI$2&amp;"+"&amp;BC293&amp;EI$1)</f>
        <v/>
      </c>
      <c r="EJ293" s="71" t="str">
        <f t="shared" ref="EJ293:EJ298" si="4543">IF(BD293="","","|n"&amp;EJ$2&amp;"+"&amp;BD293&amp;EJ$1)</f>
        <v/>
      </c>
      <c r="EK293" s="71" t="str">
        <f t="shared" ref="EK293:EK298" si="4544">IF(BE293="","","|n"&amp;EK$2&amp;"+"&amp;BE293&amp;EK$1)</f>
        <v/>
      </c>
      <c r="EL293" s="71" t="str">
        <f t="shared" ref="EL293:EL298" si="4545">IF(BF293="","","|n"&amp;EL$2&amp;"+"&amp;BF293&amp;EL$1)</f>
        <v/>
      </c>
      <c r="EM293" s="71" t="str">
        <f t="shared" ref="EM293:EM298" si="4546">IF(BG293="","","|n"&amp;EM$2&amp;"+"&amp;BG293&amp;EM$1)</f>
        <v/>
      </c>
      <c r="EN293" s="71" t="str">
        <f t="shared" ref="EN293:EN298" si="4547">IF(BH293="","","|n"&amp;EN$2&amp;"+"&amp;BH293&amp;EN$1)</f>
        <v/>
      </c>
      <c r="EO293" s="71" t="str">
        <f t="shared" ref="EO293:EO298" si="4548">IF(BI293="","","|n"&amp;EO$2&amp;"+"&amp;BI293&amp;EO$1)</f>
        <v/>
      </c>
      <c r="EP293" s="71" t="str">
        <f t="shared" ref="EP293:EP298" si="4549">IF(BJ293="","","|n"&amp;EP$2&amp;"+"&amp;BJ293&amp;EP$1)</f>
        <v/>
      </c>
      <c r="EQ293" s="71" t="str">
        <f t="shared" ref="EQ293:EQ298" si="4550">IF(BK293="","","|n"&amp;EQ$2&amp;"+"&amp;BK293&amp;EQ$1)</f>
        <v/>
      </c>
      <c r="ER293" s="71" t="str">
        <f t="shared" ref="ER293:ER298" si="4551">IF(BL293="","","|n"&amp;ER$2&amp;"+"&amp;BL293&amp;ER$1)</f>
        <v/>
      </c>
      <c r="ES293" s="71" t="str">
        <f t="shared" ref="ES293:ES298" si="4552">IF(BM293="","","|n"&amp;ES$2&amp;"+"&amp;BM293&amp;ES$1)</f>
        <v/>
      </c>
      <c r="ET293" s="71" t="str">
        <f t="shared" ref="ET293:ET298" si="4553">IF(BN293="","","|n"&amp;ET$2&amp;"+"&amp;BN293&amp;ET$1)</f>
        <v/>
      </c>
      <c r="EU293" s="71" t="str">
        <f t="shared" ref="EU293:EU298" si="4554">IF(BO293="","","|n"&amp;EU$2&amp;"+"&amp;BO293&amp;EU$1)</f>
        <v/>
      </c>
      <c r="EV293" s="71" t="str">
        <f t="shared" ref="EV293:EV298" si="4555">IF(BP293="","","|n"&amp;EV$2&amp;"+"&amp;BP293&amp;EV$1)</f>
        <v/>
      </c>
      <c r="EW293" s="71" t="str">
        <f t="shared" ref="EW293:EW298" si="4556">IF(BQ293="","","|n"&amp;EW$2&amp;"+"&amp;BQ293&amp;EW$1)</f>
        <v/>
      </c>
      <c r="EX293" s="71" t="str">
        <f t="shared" ref="EX293:EX298" si="4557">IF(BR293="","","|n"&amp;EX$2&amp;"+"&amp;BR293&amp;EX$1)</f>
        <v/>
      </c>
      <c r="EY293" s="71" t="str">
        <f t="shared" ref="EY293:EY298" si="4558">IF(BS293="","","|n"&amp;EY$2&amp;"+"&amp;BS293&amp;EY$1)</f>
        <v/>
      </c>
      <c r="EZ293" s="71" t="str">
        <f t="shared" ref="EZ293:EZ298" si="4559">IF(BT293="","","|n"&amp;EZ$2&amp;"+"&amp;BT293&amp;EZ$1)</f>
        <v/>
      </c>
      <c r="FA293" s="71" t="str">
        <f t="shared" ref="FA293:FA298" si="4560">IF(BU293="","","|n"&amp;FA$2&amp;"+"&amp;BU293&amp;FA$1)</f>
        <v/>
      </c>
      <c r="FB293" s="71" t="str">
        <f t="shared" ref="FB293:FB298" si="4561">IF(BV293="","","|n"&amp;FB$2&amp;"+"&amp;BV293&amp;FB$1)</f>
        <v/>
      </c>
      <c r="FC293" s="71" t="str">
        <f t="shared" ref="FC293:FC298" si="4562">IF(BW293="","","|n"&amp;FC$2&amp;"+"&amp;BW293&amp;FC$1)</f>
        <v/>
      </c>
      <c r="FD293" s="71" t="str">
        <f t="shared" ref="FD293:FD298" si="4563">IF(BX293="","","|n"&amp;FD$2&amp;"+"&amp;BX293&amp;FD$1)</f>
        <v/>
      </c>
      <c r="FE293" s="71" t="str">
        <f t="shared" ref="FE293:FE298" si="4564">IF(BY293="","","|n"&amp;FE$2&amp;"+"&amp;BY293&amp;FE$1)</f>
        <v/>
      </c>
      <c r="FF293" s="71" t="str">
        <f t="shared" ref="FF293:FF298" si="4565">IF(BZ293="","","|n"&amp;FF$2&amp;"+"&amp;BZ293&amp;FF$1)</f>
        <v/>
      </c>
      <c r="FG293" s="71" t="str">
        <f t="shared" ref="FG293:FG298" si="4566">IF(CA293="","","|n"&amp;FG$2&amp;"+"&amp;CA293&amp;FG$1)</f>
        <v/>
      </c>
      <c r="FH293" s="71" t="str">
        <f t="shared" ref="FH293:FH298" si="4567">IF(CB293="","","|n"&amp;FH$2&amp;"+"&amp;CB293&amp;FH$1)</f>
        <v/>
      </c>
      <c r="FI293" s="71" t="str">
        <f t="shared" ref="FI293:FI298" si="4568">IF(CC293="","","|n"&amp;FI$2&amp;"+"&amp;CC293&amp;FI$1)</f>
        <v/>
      </c>
      <c r="FJ293" s="71" t="str">
        <f t="shared" ref="FJ293:FJ298" si="4569">IF(CD293="","","|n"&amp;FJ$2&amp;"+"&amp;CD293&amp;FJ$1)</f>
        <v/>
      </c>
      <c r="FK293" s="71" t="str">
        <f t="shared" ref="FK293:FK298" si="4570">IF(CE293="","","|n"&amp;FK$2&amp;"+"&amp;CE293&amp;FK$1)</f>
        <v/>
      </c>
      <c r="FL293" s="71" t="str">
        <f t="shared" ref="FL293:FL298" si="4571">IF(CF293="","","|n"&amp;FL$2&amp;"+"&amp;CF293&amp;FL$1)</f>
        <v/>
      </c>
      <c r="FM293" s="71" t="str">
        <f t="shared" ref="FM293:FM298" si="4572">IF(CG293="","","|n"&amp;FM$2&amp;"+"&amp;CG293&amp;FM$1)</f>
        <v/>
      </c>
      <c r="FN293" s="71" t="str">
        <f t="shared" ref="FN293:FN298" si="4573">IF(CH293="","","|n"&amp;FN$2&amp;"+"&amp;CH293&amp;FN$1)</f>
        <v/>
      </c>
      <c r="FO293" s="71" t="str">
        <f t="shared" ref="FO293:FO298" si="4574">IF(CI293="","","|n"&amp;FO$2&amp;"+"&amp;CI293&amp;FO$1)</f>
        <v/>
      </c>
      <c r="FP293" s="71" t="str">
        <f t="shared" ref="FP293:FP298" si="4575">IF(CJ293="","","|n"&amp;FP$2&amp;"+"&amp;CJ293&amp;FP$1)</f>
        <v/>
      </c>
      <c r="FQ293" s="71" t="str">
        <f t="shared" ref="FQ293:FQ298" si="4576">IF(CK293="","","|n"&amp;FQ$2&amp;"+"&amp;CK293&amp;FQ$1)</f>
        <v/>
      </c>
      <c r="FR293" s="71" t="str">
        <f t="shared" ref="FR293:FR298" si="4577">IF(CL293="","","|n"&amp;FR$2&amp;"+"&amp;CL293&amp;FR$1)</f>
        <v/>
      </c>
      <c r="FS293" s="71" t="str">
        <f t="shared" ref="FS293:FS298" si="4578">IF(CM293="","","|n"&amp;FS$2&amp;"+"&amp;CM293&amp;FS$1)</f>
        <v/>
      </c>
    </row>
    <row r="294" spans="1:175">
      <c r="A294" s="81"/>
      <c r="B294" s="81" t="s">
        <v>907</v>
      </c>
      <c r="C294" s="70" t="s">
        <v>879</v>
      </c>
      <c r="T294" s="152"/>
      <c r="U294" s="89"/>
      <c r="CN294" s="69" t="str">
        <f t="shared" si="4503"/>
        <v>InitUnitState('IF29',,,,,,,,,,)</v>
      </c>
      <c r="CO294" s="69" t="str">
        <f t="shared" si="4504"/>
        <v>InitUnitNormal('IF29',,,,,,,,,,)</v>
      </c>
      <c r="CP294" s="69" t="str">
        <f t="shared" si="4505"/>
        <v>InitUnitMagic('IF29',,,,,,,,,,)</v>
      </c>
      <c r="CQ294" s="69" t="str">
        <f t="shared" si="4506"/>
        <v>InitUnitAdd('IF29',,,,,,,,,,)</v>
      </c>
      <c r="CR294" s="69" t="str">
        <f t="shared" si="4507"/>
        <v>InitEquipData('IF29',,"",,,,,'','','','','','',"")</v>
      </c>
      <c r="CU294" s="99" t="str">
        <f t="shared" si="4508"/>
        <v>|n</v>
      </c>
      <c r="CW294" s="60"/>
      <c r="CX294" s="60"/>
      <c r="CY294" s="60"/>
      <c r="CZ294" s="60"/>
      <c r="DA294" s="60"/>
      <c r="DB294" s="71" t="str">
        <f t="shared" si="4509"/>
        <v/>
      </c>
      <c r="DC294" s="71" t="str">
        <f t="shared" si="4510"/>
        <v/>
      </c>
      <c r="DD294" s="71" t="str">
        <f t="shared" si="4511"/>
        <v/>
      </c>
      <c r="DE294" s="71" t="str">
        <f t="shared" si="4512"/>
        <v/>
      </c>
      <c r="DF294" s="71" t="str">
        <f t="shared" si="4513"/>
        <v/>
      </c>
      <c r="DG294" s="71" t="str">
        <f t="shared" si="4514"/>
        <v/>
      </c>
      <c r="DH294" s="71" t="str">
        <f t="shared" si="4515"/>
        <v/>
      </c>
      <c r="DI294" s="71" t="str">
        <f t="shared" si="4516"/>
        <v/>
      </c>
      <c r="DJ294" s="71" t="str">
        <f t="shared" si="4517"/>
        <v/>
      </c>
      <c r="DK294" s="71" t="str">
        <f t="shared" si="4518"/>
        <v/>
      </c>
      <c r="DL294" s="71" t="str">
        <f t="shared" si="4519"/>
        <v/>
      </c>
      <c r="DM294" s="71" t="str">
        <f t="shared" si="4520"/>
        <v/>
      </c>
      <c r="DN294" s="71" t="str">
        <f t="shared" si="4521"/>
        <v/>
      </c>
      <c r="DO294" s="71" t="str">
        <f t="shared" si="4522"/>
        <v/>
      </c>
      <c r="DP294" s="71" t="str">
        <f t="shared" si="4523"/>
        <v/>
      </c>
      <c r="DQ294" s="71" t="str">
        <f t="shared" si="4524"/>
        <v/>
      </c>
      <c r="DR294" s="71" t="str">
        <f t="shared" si="4525"/>
        <v/>
      </c>
      <c r="DS294" s="71" t="str">
        <f t="shared" si="4526"/>
        <v/>
      </c>
      <c r="DT294" s="71" t="str">
        <f t="shared" si="4527"/>
        <v/>
      </c>
      <c r="DU294" s="71" t="str">
        <f t="shared" si="4528"/>
        <v/>
      </c>
      <c r="DV294" s="71" t="str">
        <f t="shared" si="4529"/>
        <v/>
      </c>
      <c r="DW294" s="71" t="str">
        <f t="shared" si="4530"/>
        <v/>
      </c>
      <c r="DX294" s="71" t="str">
        <f t="shared" si="4531"/>
        <v/>
      </c>
      <c r="DY294" s="71" t="str">
        <f t="shared" si="4532"/>
        <v/>
      </c>
      <c r="DZ294" s="71" t="str">
        <f t="shared" si="4533"/>
        <v/>
      </c>
      <c r="EA294" s="71" t="str">
        <f t="shared" si="4534"/>
        <v/>
      </c>
      <c r="EB294" s="71" t="str">
        <f t="shared" si="4535"/>
        <v/>
      </c>
      <c r="EC294" s="71" t="str">
        <f t="shared" si="4536"/>
        <v/>
      </c>
      <c r="ED294" s="71" t="str">
        <f t="shared" si="4537"/>
        <v/>
      </c>
      <c r="EE294" s="71" t="str">
        <f t="shared" si="4538"/>
        <v/>
      </c>
      <c r="EF294" s="71" t="str">
        <f t="shared" si="4539"/>
        <v/>
      </c>
      <c r="EG294" s="71" t="str">
        <f t="shared" si="4540"/>
        <v/>
      </c>
      <c r="EH294" s="71" t="str">
        <f t="shared" si="4541"/>
        <v/>
      </c>
      <c r="EI294" s="71" t="str">
        <f t="shared" si="4542"/>
        <v/>
      </c>
      <c r="EJ294" s="71" t="str">
        <f t="shared" si="4543"/>
        <v/>
      </c>
      <c r="EK294" s="71" t="str">
        <f t="shared" si="4544"/>
        <v/>
      </c>
      <c r="EL294" s="71" t="str">
        <f t="shared" si="4545"/>
        <v/>
      </c>
      <c r="EM294" s="71" t="str">
        <f t="shared" si="4546"/>
        <v/>
      </c>
      <c r="EN294" s="71" t="str">
        <f t="shared" si="4547"/>
        <v/>
      </c>
      <c r="EO294" s="71" t="str">
        <f t="shared" si="4548"/>
        <v/>
      </c>
      <c r="EP294" s="71" t="str">
        <f t="shared" si="4549"/>
        <v/>
      </c>
      <c r="EQ294" s="71" t="str">
        <f t="shared" si="4550"/>
        <v/>
      </c>
      <c r="ER294" s="71" t="str">
        <f t="shared" si="4551"/>
        <v/>
      </c>
      <c r="ES294" s="71" t="str">
        <f t="shared" si="4552"/>
        <v/>
      </c>
      <c r="ET294" s="71" t="str">
        <f t="shared" si="4553"/>
        <v/>
      </c>
      <c r="EU294" s="71" t="str">
        <f t="shared" si="4554"/>
        <v/>
      </c>
      <c r="EV294" s="71" t="str">
        <f t="shared" si="4555"/>
        <v/>
      </c>
      <c r="EW294" s="71" t="str">
        <f t="shared" si="4556"/>
        <v/>
      </c>
      <c r="EX294" s="71" t="str">
        <f t="shared" si="4557"/>
        <v/>
      </c>
      <c r="EY294" s="71" t="str">
        <f t="shared" si="4558"/>
        <v/>
      </c>
      <c r="EZ294" s="71" t="str">
        <f t="shared" si="4559"/>
        <v/>
      </c>
      <c r="FA294" s="71" t="str">
        <f t="shared" si="4560"/>
        <v/>
      </c>
      <c r="FB294" s="71" t="str">
        <f t="shared" si="4561"/>
        <v/>
      </c>
      <c r="FC294" s="71" t="str">
        <f t="shared" si="4562"/>
        <v/>
      </c>
      <c r="FD294" s="71" t="str">
        <f t="shared" si="4563"/>
        <v/>
      </c>
      <c r="FE294" s="71" t="str">
        <f t="shared" si="4564"/>
        <v/>
      </c>
      <c r="FF294" s="71" t="str">
        <f t="shared" si="4565"/>
        <v/>
      </c>
      <c r="FG294" s="71" t="str">
        <f t="shared" si="4566"/>
        <v/>
      </c>
      <c r="FH294" s="71" t="str">
        <f t="shared" si="4567"/>
        <v/>
      </c>
      <c r="FI294" s="71" t="str">
        <f t="shared" si="4568"/>
        <v/>
      </c>
      <c r="FJ294" s="71" t="str">
        <f t="shared" si="4569"/>
        <v/>
      </c>
      <c r="FK294" s="71" t="str">
        <f t="shared" si="4570"/>
        <v/>
      </c>
      <c r="FL294" s="71" t="str">
        <f t="shared" si="4571"/>
        <v/>
      </c>
      <c r="FM294" s="71" t="str">
        <f t="shared" si="4572"/>
        <v/>
      </c>
      <c r="FN294" s="71" t="str">
        <f t="shared" si="4573"/>
        <v/>
      </c>
      <c r="FO294" s="71" t="str">
        <f t="shared" si="4574"/>
        <v/>
      </c>
      <c r="FP294" s="71" t="str">
        <f t="shared" si="4575"/>
        <v/>
      </c>
      <c r="FQ294" s="71" t="str">
        <f t="shared" si="4576"/>
        <v/>
      </c>
      <c r="FR294" s="71" t="str">
        <f t="shared" si="4577"/>
        <v/>
      </c>
      <c r="FS294" s="71" t="str">
        <f t="shared" si="4578"/>
        <v/>
      </c>
    </row>
    <row r="295" spans="1:175">
      <c r="A295" s="81"/>
      <c r="B295" s="81" t="s">
        <v>908</v>
      </c>
      <c r="C295" s="70" t="s">
        <v>879</v>
      </c>
      <c r="T295" s="152"/>
      <c r="U295" s="89"/>
      <c r="CN295" s="69" t="str">
        <f t="shared" si="4503"/>
        <v>InitUnitState('IF30',,,,,,,,,,)</v>
      </c>
      <c r="CO295" s="69" t="str">
        <f t="shared" si="4504"/>
        <v>InitUnitNormal('IF30',,,,,,,,,,)</v>
      </c>
      <c r="CP295" s="69" t="str">
        <f t="shared" si="4505"/>
        <v>InitUnitMagic('IF30',,,,,,,,,,)</v>
      </c>
      <c r="CQ295" s="69" t="str">
        <f t="shared" si="4506"/>
        <v>InitUnitAdd('IF30',,,,,,,,,,)</v>
      </c>
      <c r="CR295" s="69" t="str">
        <f t="shared" si="4507"/>
        <v>InitEquipData('IF30',,"",,,,,'','','','','','',"")</v>
      </c>
      <c r="CU295" s="99" t="str">
        <f t="shared" si="4508"/>
        <v>|n</v>
      </c>
      <c r="CW295" s="60"/>
      <c r="CX295" s="60"/>
      <c r="CY295" s="60"/>
      <c r="CZ295" s="60"/>
      <c r="DA295" s="60"/>
      <c r="DB295" s="71" t="str">
        <f t="shared" si="4509"/>
        <v/>
      </c>
      <c r="DC295" s="71" t="str">
        <f t="shared" si="4510"/>
        <v/>
      </c>
      <c r="DD295" s="71" t="str">
        <f t="shared" si="4511"/>
        <v/>
      </c>
      <c r="DE295" s="71" t="str">
        <f t="shared" si="4512"/>
        <v/>
      </c>
      <c r="DF295" s="71" t="str">
        <f t="shared" si="4513"/>
        <v/>
      </c>
      <c r="DG295" s="71" t="str">
        <f t="shared" si="4514"/>
        <v/>
      </c>
      <c r="DH295" s="71" t="str">
        <f t="shared" si="4515"/>
        <v/>
      </c>
      <c r="DI295" s="71" t="str">
        <f t="shared" si="4516"/>
        <v/>
      </c>
      <c r="DJ295" s="71" t="str">
        <f t="shared" si="4517"/>
        <v/>
      </c>
      <c r="DK295" s="71" t="str">
        <f t="shared" si="4518"/>
        <v/>
      </c>
      <c r="DL295" s="71" t="str">
        <f t="shared" si="4519"/>
        <v/>
      </c>
      <c r="DM295" s="71" t="str">
        <f t="shared" si="4520"/>
        <v/>
      </c>
      <c r="DN295" s="71" t="str">
        <f t="shared" si="4521"/>
        <v/>
      </c>
      <c r="DO295" s="71" t="str">
        <f t="shared" si="4522"/>
        <v/>
      </c>
      <c r="DP295" s="71" t="str">
        <f t="shared" si="4523"/>
        <v/>
      </c>
      <c r="DQ295" s="71" t="str">
        <f t="shared" si="4524"/>
        <v/>
      </c>
      <c r="DR295" s="71" t="str">
        <f t="shared" si="4525"/>
        <v/>
      </c>
      <c r="DS295" s="71" t="str">
        <f t="shared" si="4526"/>
        <v/>
      </c>
      <c r="DT295" s="71" t="str">
        <f t="shared" si="4527"/>
        <v/>
      </c>
      <c r="DU295" s="71" t="str">
        <f t="shared" si="4528"/>
        <v/>
      </c>
      <c r="DV295" s="71" t="str">
        <f t="shared" si="4529"/>
        <v/>
      </c>
      <c r="DW295" s="71" t="str">
        <f t="shared" si="4530"/>
        <v/>
      </c>
      <c r="DX295" s="71" t="str">
        <f t="shared" si="4531"/>
        <v/>
      </c>
      <c r="DY295" s="71" t="str">
        <f t="shared" si="4532"/>
        <v/>
      </c>
      <c r="DZ295" s="71" t="str">
        <f t="shared" si="4533"/>
        <v/>
      </c>
      <c r="EA295" s="71" t="str">
        <f t="shared" si="4534"/>
        <v/>
      </c>
      <c r="EB295" s="71" t="str">
        <f t="shared" si="4535"/>
        <v/>
      </c>
      <c r="EC295" s="71" t="str">
        <f t="shared" si="4536"/>
        <v/>
      </c>
      <c r="ED295" s="71" t="str">
        <f t="shared" si="4537"/>
        <v/>
      </c>
      <c r="EE295" s="71" t="str">
        <f t="shared" si="4538"/>
        <v/>
      </c>
      <c r="EF295" s="71" t="str">
        <f t="shared" si="4539"/>
        <v/>
      </c>
      <c r="EG295" s="71" t="str">
        <f t="shared" si="4540"/>
        <v/>
      </c>
      <c r="EH295" s="71" t="str">
        <f t="shared" si="4541"/>
        <v/>
      </c>
      <c r="EI295" s="71" t="str">
        <f t="shared" si="4542"/>
        <v/>
      </c>
      <c r="EJ295" s="71" t="str">
        <f t="shared" si="4543"/>
        <v/>
      </c>
      <c r="EK295" s="71" t="str">
        <f t="shared" si="4544"/>
        <v/>
      </c>
      <c r="EL295" s="71" t="str">
        <f t="shared" si="4545"/>
        <v/>
      </c>
      <c r="EM295" s="71" t="str">
        <f t="shared" si="4546"/>
        <v/>
      </c>
      <c r="EN295" s="71" t="str">
        <f t="shared" si="4547"/>
        <v/>
      </c>
      <c r="EO295" s="71" t="str">
        <f t="shared" si="4548"/>
        <v/>
      </c>
      <c r="EP295" s="71" t="str">
        <f t="shared" si="4549"/>
        <v/>
      </c>
      <c r="EQ295" s="71" t="str">
        <f t="shared" si="4550"/>
        <v/>
      </c>
      <c r="ER295" s="71" t="str">
        <f t="shared" si="4551"/>
        <v/>
      </c>
      <c r="ES295" s="71" t="str">
        <f t="shared" si="4552"/>
        <v/>
      </c>
      <c r="ET295" s="71" t="str">
        <f t="shared" si="4553"/>
        <v/>
      </c>
      <c r="EU295" s="71" t="str">
        <f t="shared" si="4554"/>
        <v/>
      </c>
      <c r="EV295" s="71" t="str">
        <f t="shared" si="4555"/>
        <v/>
      </c>
      <c r="EW295" s="71" t="str">
        <f t="shared" si="4556"/>
        <v/>
      </c>
      <c r="EX295" s="71" t="str">
        <f t="shared" si="4557"/>
        <v/>
      </c>
      <c r="EY295" s="71" t="str">
        <f t="shared" si="4558"/>
        <v/>
      </c>
      <c r="EZ295" s="71" t="str">
        <f t="shared" si="4559"/>
        <v/>
      </c>
      <c r="FA295" s="71" t="str">
        <f t="shared" si="4560"/>
        <v/>
      </c>
      <c r="FB295" s="71" t="str">
        <f t="shared" si="4561"/>
        <v/>
      </c>
      <c r="FC295" s="71" t="str">
        <f t="shared" si="4562"/>
        <v/>
      </c>
      <c r="FD295" s="71" t="str">
        <f t="shared" si="4563"/>
        <v/>
      </c>
      <c r="FE295" s="71" t="str">
        <f t="shared" si="4564"/>
        <v/>
      </c>
      <c r="FF295" s="71" t="str">
        <f t="shared" si="4565"/>
        <v/>
      </c>
      <c r="FG295" s="71" t="str">
        <f t="shared" si="4566"/>
        <v/>
      </c>
      <c r="FH295" s="71" t="str">
        <f t="shared" si="4567"/>
        <v/>
      </c>
      <c r="FI295" s="71" t="str">
        <f t="shared" si="4568"/>
        <v/>
      </c>
      <c r="FJ295" s="71" t="str">
        <f t="shared" si="4569"/>
        <v/>
      </c>
      <c r="FK295" s="71" t="str">
        <f t="shared" si="4570"/>
        <v/>
      </c>
      <c r="FL295" s="71" t="str">
        <f t="shared" si="4571"/>
        <v/>
      </c>
      <c r="FM295" s="71" t="str">
        <f t="shared" si="4572"/>
        <v/>
      </c>
      <c r="FN295" s="71" t="str">
        <f t="shared" si="4573"/>
        <v/>
      </c>
      <c r="FO295" s="71" t="str">
        <f t="shared" si="4574"/>
        <v/>
      </c>
      <c r="FP295" s="71" t="str">
        <f t="shared" si="4575"/>
        <v/>
      </c>
      <c r="FQ295" s="71" t="str">
        <f t="shared" si="4576"/>
        <v/>
      </c>
      <c r="FR295" s="71" t="str">
        <f t="shared" si="4577"/>
        <v/>
      </c>
      <c r="FS295" s="71" t="str">
        <f t="shared" si="4578"/>
        <v/>
      </c>
    </row>
    <row r="296" spans="1:175">
      <c r="A296" s="81"/>
      <c r="B296" s="81" t="s">
        <v>909</v>
      </c>
      <c r="C296" s="70" t="s">
        <v>879</v>
      </c>
      <c r="T296" s="152"/>
      <c r="U296" s="89"/>
      <c r="CN296" s="69" t="str">
        <f t="shared" si="4503"/>
        <v>InitUnitState('IF31',,,,,,,,,,)</v>
      </c>
      <c r="CO296" s="69" t="str">
        <f t="shared" si="4504"/>
        <v>InitUnitNormal('IF31',,,,,,,,,,)</v>
      </c>
      <c r="CP296" s="69" t="str">
        <f t="shared" si="4505"/>
        <v>InitUnitMagic('IF31',,,,,,,,,,)</v>
      </c>
      <c r="CQ296" s="69" t="str">
        <f t="shared" si="4506"/>
        <v>InitUnitAdd('IF31',,,,,,,,,,)</v>
      </c>
      <c r="CR296" s="69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InitEquipData('IF31',,"",,,,,'','','','','','',"")</v>
      </c>
      <c r="CU296" s="99" t="str">
        <f t="shared" si="4508"/>
        <v>|n</v>
      </c>
      <c r="CW296" s="60"/>
      <c r="CX296" s="60"/>
      <c r="CY296" s="60"/>
      <c r="CZ296" s="60"/>
      <c r="DA296" s="60"/>
      <c r="DB296" s="71" t="str">
        <f t="shared" si="4509"/>
        <v/>
      </c>
      <c r="DC296" s="71" t="str">
        <f t="shared" si="4510"/>
        <v/>
      </c>
      <c r="DD296" s="71" t="str">
        <f t="shared" si="4511"/>
        <v/>
      </c>
      <c r="DE296" s="71" t="str">
        <f t="shared" si="4512"/>
        <v/>
      </c>
      <c r="DF296" s="71" t="str">
        <f t="shared" si="4513"/>
        <v/>
      </c>
      <c r="DG296" s="71" t="str">
        <f t="shared" si="4514"/>
        <v/>
      </c>
      <c r="DH296" s="71" t="str">
        <f t="shared" si="4515"/>
        <v/>
      </c>
      <c r="DI296" s="71" t="str">
        <f t="shared" si="4516"/>
        <v/>
      </c>
      <c r="DJ296" s="71" t="str">
        <f t="shared" si="4517"/>
        <v/>
      </c>
      <c r="DK296" s="71" t="str">
        <f t="shared" si="4518"/>
        <v/>
      </c>
      <c r="DL296" s="71" t="str">
        <f t="shared" si="4519"/>
        <v/>
      </c>
      <c r="DM296" s="71" t="str">
        <f t="shared" si="4520"/>
        <v/>
      </c>
      <c r="DN296" s="71" t="str">
        <f t="shared" si="4521"/>
        <v/>
      </c>
      <c r="DO296" s="71" t="str">
        <f t="shared" si="4522"/>
        <v/>
      </c>
      <c r="DP296" s="71" t="str">
        <f t="shared" si="4523"/>
        <v/>
      </c>
      <c r="DQ296" s="71" t="str">
        <f t="shared" si="4524"/>
        <v/>
      </c>
      <c r="DR296" s="71" t="str">
        <f t="shared" si="4525"/>
        <v/>
      </c>
      <c r="DS296" s="71" t="str">
        <f t="shared" si="4526"/>
        <v/>
      </c>
      <c r="DT296" s="71" t="str">
        <f t="shared" si="4527"/>
        <v/>
      </c>
      <c r="DU296" s="71" t="str">
        <f t="shared" si="4528"/>
        <v/>
      </c>
      <c r="DV296" s="71" t="str">
        <f t="shared" si="4529"/>
        <v/>
      </c>
      <c r="DW296" s="71" t="str">
        <f t="shared" si="4530"/>
        <v/>
      </c>
      <c r="DX296" s="71" t="str">
        <f t="shared" si="4531"/>
        <v/>
      </c>
      <c r="DY296" s="71" t="str">
        <f t="shared" si="4532"/>
        <v/>
      </c>
      <c r="DZ296" s="71" t="str">
        <f t="shared" si="4533"/>
        <v/>
      </c>
      <c r="EA296" s="71" t="str">
        <f t="shared" si="4534"/>
        <v/>
      </c>
      <c r="EB296" s="71" t="str">
        <f t="shared" si="4535"/>
        <v/>
      </c>
      <c r="EC296" s="71" t="str">
        <f t="shared" si="4536"/>
        <v/>
      </c>
      <c r="ED296" s="71" t="str">
        <f t="shared" si="4537"/>
        <v/>
      </c>
      <c r="EE296" s="71" t="str">
        <f t="shared" si="4538"/>
        <v/>
      </c>
      <c r="EF296" s="71" t="str">
        <f t="shared" si="4539"/>
        <v/>
      </c>
      <c r="EG296" s="71" t="str">
        <f t="shared" si="4540"/>
        <v/>
      </c>
      <c r="EH296" s="71" t="str">
        <f t="shared" si="4541"/>
        <v/>
      </c>
      <c r="EI296" s="71" t="str">
        <f t="shared" si="4542"/>
        <v/>
      </c>
      <c r="EJ296" s="71" t="str">
        <f t="shared" si="4543"/>
        <v/>
      </c>
      <c r="EK296" s="71" t="str">
        <f t="shared" si="4544"/>
        <v/>
      </c>
      <c r="EL296" s="71" t="str">
        <f t="shared" si="4545"/>
        <v/>
      </c>
      <c r="EM296" s="71" t="str">
        <f t="shared" si="4546"/>
        <v/>
      </c>
      <c r="EN296" s="71" t="str">
        <f t="shared" si="4547"/>
        <v/>
      </c>
      <c r="EO296" s="71" t="str">
        <f t="shared" si="4548"/>
        <v/>
      </c>
      <c r="EP296" s="71" t="str">
        <f t="shared" si="4549"/>
        <v/>
      </c>
      <c r="EQ296" s="71" t="str">
        <f t="shared" si="4550"/>
        <v/>
      </c>
      <c r="ER296" s="71" t="str">
        <f t="shared" si="4551"/>
        <v/>
      </c>
      <c r="ES296" s="71" t="str">
        <f t="shared" si="4552"/>
        <v/>
      </c>
      <c r="ET296" s="71" t="str">
        <f t="shared" si="4553"/>
        <v/>
      </c>
      <c r="EU296" s="71" t="str">
        <f t="shared" si="4554"/>
        <v/>
      </c>
      <c r="EV296" s="71" t="str">
        <f t="shared" si="4555"/>
        <v/>
      </c>
      <c r="EW296" s="71" t="str">
        <f t="shared" si="4556"/>
        <v/>
      </c>
      <c r="EX296" s="71" t="str">
        <f t="shared" si="4557"/>
        <v/>
      </c>
      <c r="EY296" s="71" t="str">
        <f t="shared" si="4558"/>
        <v/>
      </c>
      <c r="EZ296" s="71" t="str">
        <f t="shared" si="4559"/>
        <v/>
      </c>
      <c r="FA296" s="71" t="str">
        <f t="shared" si="4560"/>
        <v/>
      </c>
      <c r="FB296" s="71" t="str">
        <f t="shared" si="4561"/>
        <v/>
      </c>
      <c r="FC296" s="71" t="str">
        <f t="shared" si="4562"/>
        <v/>
      </c>
      <c r="FD296" s="71" t="str">
        <f t="shared" si="4563"/>
        <v/>
      </c>
      <c r="FE296" s="71" t="str">
        <f t="shared" si="4564"/>
        <v/>
      </c>
      <c r="FF296" s="71" t="str">
        <f t="shared" si="4565"/>
        <v/>
      </c>
      <c r="FG296" s="71" t="str">
        <f t="shared" si="4566"/>
        <v/>
      </c>
      <c r="FH296" s="71" t="str">
        <f t="shared" si="4567"/>
        <v/>
      </c>
      <c r="FI296" s="71" t="str">
        <f t="shared" si="4568"/>
        <v/>
      </c>
      <c r="FJ296" s="71" t="str">
        <f t="shared" si="4569"/>
        <v/>
      </c>
      <c r="FK296" s="71" t="str">
        <f t="shared" si="4570"/>
        <v/>
      </c>
      <c r="FL296" s="71" t="str">
        <f t="shared" si="4571"/>
        <v/>
      </c>
      <c r="FM296" s="71" t="str">
        <f t="shared" si="4572"/>
        <v/>
      </c>
      <c r="FN296" s="71" t="str">
        <f t="shared" si="4573"/>
        <v/>
      </c>
      <c r="FO296" s="71" t="str">
        <f t="shared" si="4574"/>
        <v/>
      </c>
      <c r="FP296" s="71" t="str">
        <f t="shared" si="4575"/>
        <v/>
      </c>
      <c r="FQ296" s="71" t="str">
        <f t="shared" si="4576"/>
        <v/>
      </c>
      <c r="FR296" s="71" t="str">
        <f t="shared" si="4577"/>
        <v/>
      </c>
      <c r="FS296" s="71" t="str">
        <f t="shared" si="4578"/>
        <v/>
      </c>
    </row>
    <row r="297" spans="1:175">
      <c r="A297" s="81"/>
      <c r="B297" s="81" t="s">
        <v>910</v>
      </c>
      <c r="C297" s="70" t="s">
        <v>879</v>
      </c>
      <c r="T297" s="152"/>
      <c r="U297" s="89"/>
      <c r="CN297" s="69" t="str">
        <f t="shared" ref="CN297" si="4579">"InitUnitState('"&amp;B297&amp;"',"&amp;V297&amp;","&amp;W297&amp;","&amp;X297&amp;","&amp;Y297&amp;","&amp;Z297&amp;","&amp;AA297&amp;","&amp;AB297&amp;","&amp;AC297&amp;","&amp;AD297&amp;","&amp;AE297&amp;")"</f>
        <v>InitUnitState('IF32',,,,,,,,,,)</v>
      </c>
      <c r="CO297" s="69" t="str">
        <f t="shared" ref="CO297" si="4580">"InitUnitNormal('"&amp;B297&amp;"',"&amp;AF297&amp;","&amp;AG297&amp;","&amp;AH297&amp;","&amp;AI297&amp;","&amp;AJ297&amp;","&amp;AK297&amp;","&amp;AL297&amp;","&amp;AM297&amp;","&amp;AN297&amp;","&amp;AO297&amp;")"</f>
        <v>InitUnitNormal('IF32',,,,,,,,,,)</v>
      </c>
      <c r="CP297" s="69" t="str">
        <f t="shared" ref="CP297" si="4581">"InitUnitMagic('"&amp;B297&amp;"',"&amp;AP297&amp;","&amp;AQ297&amp;","&amp;AR297&amp;","&amp;AS297&amp;","&amp;AT297&amp;","&amp;AU297&amp;","&amp;AV297&amp;","&amp;AW297&amp;","&amp;BI297&amp;","&amp;BJ297&amp;")"</f>
        <v>InitUnitMagic('IF32',,,,,,,,,,)</v>
      </c>
      <c r="CQ297" s="69" t="str">
        <f t="shared" ref="CQ297" si="4582">"InitUnitAdd('"&amp;B297&amp;"',"&amp;BK297&amp;","&amp;BL297&amp;","&amp;BM297&amp;","&amp;BN297&amp;","&amp;BO297&amp;","&amp;BP297&amp;","&amp;BQ297&amp;","&amp;BR297&amp;","&amp;BS297&amp;","&amp;BT297&amp;")"</f>
        <v>InitUnitAdd('IF32',,,,,,,,,,)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InitEquipData('IF32',,"",,,,,'','','','','','',"")</v>
      </c>
      <c r="CU297" s="99" t="str">
        <f t="shared" ref="CU297" si="4583">CONCATENATE(DB297,DC297,DD297,DE297,DF297,DG297,DH297,DI297,DJ297,DK297,DL297,DM297,DN297,DO297,DP297,DQ297,DR297,DS297,DT297,DU297,DV297,DW297,DX297,DY297,DZ297,EA297,EB297,EC297,ED297,EE297,EF297,EG297,EH297,EI297,EJ297,EK297,EL297,EM297,EN297,EO297,EP297&amp;"|n")</f>
        <v>|n</v>
      </c>
      <c r="CW297" s="60"/>
      <c r="CX297" s="60"/>
      <c r="CY297" s="60"/>
      <c r="CZ297" s="60"/>
      <c r="DA297" s="60"/>
      <c r="DB297" s="71" t="str">
        <f t="shared" ref="DB297" si="4584">IF(V297="","","|n"&amp;DB$2&amp;"+"&amp;V297&amp;DB$1)</f>
        <v/>
      </c>
      <c r="DC297" s="71" t="str">
        <f t="shared" ref="DC297" si="4585">IF(W297="","","|n"&amp;DC$2&amp;"+"&amp;W297&amp;DC$1)</f>
        <v/>
      </c>
      <c r="DD297" s="71" t="str">
        <f t="shared" ref="DD297" si="4586">IF(X297="","","|n"&amp;DD$2&amp;"+"&amp;X297&amp;DD$1)</f>
        <v/>
      </c>
      <c r="DE297" s="71" t="str">
        <f t="shared" ref="DE297" si="4587">IF(Y297="","","|n"&amp;DE$2&amp;"+"&amp;Y297&amp;DE$1)</f>
        <v/>
      </c>
      <c r="DF297" s="71" t="str">
        <f t="shared" ref="DF297" si="4588">IF(Z297="","","|n"&amp;DF$2&amp;"+"&amp;Z297&amp;DF$1)</f>
        <v/>
      </c>
      <c r="DG297" s="71" t="str">
        <f t="shared" ref="DG297" si="4589">IF(AA297="","","|n"&amp;DG$2&amp;"+"&amp;AA297&amp;DG$1)</f>
        <v/>
      </c>
      <c r="DH297" s="71" t="str">
        <f t="shared" ref="DH297" si="4590">IF(AB297="","","|n"&amp;DH$2&amp;"+"&amp;AB297&amp;DH$1)</f>
        <v/>
      </c>
      <c r="DI297" s="71" t="str">
        <f t="shared" ref="DI297" si="4591">IF(AC297="","","|n"&amp;DI$2&amp;"+"&amp;AC297&amp;DI$1)</f>
        <v/>
      </c>
      <c r="DJ297" s="71" t="str">
        <f t="shared" ref="DJ297" si="4592">IF(AD297="","","|n"&amp;DJ$2&amp;"+"&amp;AD297&amp;DJ$1)</f>
        <v/>
      </c>
      <c r="DK297" s="71" t="str">
        <f t="shared" ref="DK297" si="4593">IF(AE297="","","|n"&amp;DK$2&amp;"+"&amp;AE297&amp;DK$1)</f>
        <v/>
      </c>
      <c r="DL297" s="71" t="str">
        <f t="shared" ref="DL297" si="4594">IF(AF297="","","|n"&amp;DL$2&amp;"+"&amp;AF297&amp;DL$1)</f>
        <v/>
      </c>
      <c r="DM297" s="71" t="str">
        <f t="shared" ref="DM297" si="4595">IF(AG297="","","|n"&amp;DM$2&amp;"+"&amp;AG297&amp;DM$1)</f>
        <v/>
      </c>
      <c r="DN297" s="71" t="str">
        <f t="shared" ref="DN297" si="4596">IF(AH297="","","|n"&amp;DN$2&amp;"+"&amp;AH297&amp;DN$1)</f>
        <v/>
      </c>
      <c r="DO297" s="71" t="str">
        <f t="shared" ref="DO297" si="4597">IF(AI297="","","|n"&amp;DO$2&amp;"+"&amp;AI297&amp;DO$1)</f>
        <v/>
      </c>
      <c r="DP297" s="71" t="str">
        <f t="shared" ref="DP297" si="4598">IF(AJ297="","","|n"&amp;DP$2&amp;"+"&amp;AJ297&amp;DP$1)</f>
        <v/>
      </c>
      <c r="DQ297" s="71" t="str">
        <f t="shared" ref="DQ297" si="4599">IF(AK297="","","|n"&amp;DQ$2&amp;"+"&amp;AK297&amp;DQ$1)</f>
        <v/>
      </c>
      <c r="DR297" s="71" t="str">
        <f t="shared" ref="DR297" si="4600">IF(AL297="","","|n"&amp;DR$2&amp;"+"&amp;AL297&amp;DR$1)</f>
        <v/>
      </c>
      <c r="DS297" s="71" t="str">
        <f t="shared" ref="DS297" si="4601">IF(AM297="","","|n"&amp;DS$2&amp;"+"&amp;AM297&amp;DS$1)</f>
        <v/>
      </c>
      <c r="DT297" s="71" t="str">
        <f t="shared" ref="DT297" si="4602">IF(AN297="","","|n"&amp;DT$2&amp;"+"&amp;AN297&amp;DT$1)</f>
        <v/>
      </c>
      <c r="DU297" s="71" t="str">
        <f t="shared" ref="DU297" si="4603">IF(AO297="","","|n"&amp;DU$2&amp;"+"&amp;AO297&amp;DU$1)</f>
        <v/>
      </c>
      <c r="DV297" s="71" t="str">
        <f t="shared" ref="DV297" si="4604">IF(AP297="","","|n"&amp;DV$2&amp;"+"&amp;AP297&amp;DV$1)</f>
        <v/>
      </c>
      <c r="DW297" s="71" t="str">
        <f t="shared" ref="DW297" si="4605">IF(AQ297="","","|n"&amp;DW$2&amp;"+"&amp;AQ297&amp;DW$1)</f>
        <v/>
      </c>
      <c r="DX297" s="71" t="str">
        <f t="shared" ref="DX297" si="4606">IF(AR297="","","|n"&amp;DX$2&amp;"+"&amp;AR297&amp;DX$1)</f>
        <v/>
      </c>
      <c r="DY297" s="71" t="str">
        <f t="shared" ref="DY297" si="4607">IF(AS297="","","|n"&amp;DY$2&amp;"+"&amp;AS297&amp;DY$1)</f>
        <v/>
      </c>
      <c r="DZ297" s="71" t="str">
        <f t="shared" ref="DZ297" si="4608">IF(AT297="","","|n"&amp;DZ$2&amp;"+"&amp;AT297&amp;DZ$1)</f>
        <v/>
      </c>
      <c r="EA297" s="71" t="str">
        <f t="shared" ref="EA297" si="4609">IF(AU297="","","|n"&amp;EA$2&amp;"+"&amp;AU297&amp;EA$1)</f>
        <v/>
      </c>
      <c r="EB297" s="71" t="str">
        <f t="shared" ref="EB297" si="4610">IF(AV297="","","|n"&amp;EB$2&amp;"+"&amp;AV297&amp;EB$1)</f>
        <v/>
      </c>
      <c r="EC297" s="71" t="str">
        <f t="shared" ref="EC297" si="4611">IF(AW297="","","|n"&amp;EC$2&amp;"+"&amp;AW297&amp;EC$1)</f>
        <v/>
      </c>
      <c r="ED297" s="71" t="str">
        <f t="shared" ref="ED297" si="4612">IF(AX297="","","|n"&amp;ED$2&amp;"+"&amp;AX297&amp;ED$1)</f>
        <v/>
      </c>
      <c r="EE297" s="71" t="str">
        <f t="shared" ref="EE297" si="4613">IF(AY297="","","|n"&amp;EE$2&amp;"+"&amp;AY297&amp;EE$1)</f>
        <v/>
      </c>
      <c r="EF297" s="71" t="str">
        <f t="shared" ref="EF297" si="4614">IF(AZ297="","","|n"&amp;EF$2&amp;"+"&amp;AZ297&amp;EF$1)</f>
        <v/>
      </c>
      <c r="EG297" s="71" t="str">
        <f t="shared" ref="EG297" si="4615">IF(BA297="","","|n"&amp;EG$2&amp;"+"&amp;BA297&amp;EG$1)</f>
        <v/>
      </c>
      <c r="EH297" s="71" t="str">
        <f t="shared" ref="EH297" si="4616">IF(BB297="","","|n"&amp;EH$2&amp;"+"&amp;BB297&amp;EH$1)</f>
        <v/>
      </c>
      <c r="EI297" s="71" t="str">
        <f t="shared" ref="EI297" si="4617">IF(BC297="","","|n"&amp;EI$2&amp;"+"&amp;BC297&amp;EI$1)</f>
        <v/>
      </c>
      <c r="EJ297" s="71" t="str">
        <f t="shared" ref="EJ297" si="4618">IF(BD297="","","|n"&amp;EJ$2&amp;"+"&amp;BD297&amp;EJ$1)</f>
        <v/>
      </c>
      <c r="EK297" s="71" t="str">
        <f t="shared" ref="EK297" si="4619">IF(BE297="","","|n"&amp;EK$2&amp;"+"&amp;BE297&amp;EK$1)</f>
        <v/>
      </c>
      <c r="EL297" s="71" t="str">
        <f t="shared" ref="EL297" si="4620">IF(BF297="","","|n"&amp;EL$2&amp;"+"&amp;BF297&amp;EL$1)</f>
        <v/>
      </c>
      <c r="EM297" s="71" t="str">
        <f t="shared" ref="EM297" si="4621">IF(BG297="","","|n"&amp;EM$2&amp;"+"&amp;BG297&amp;EM$1)</f>
        <v/>
      </c>
      <c r="EN297" s="71" t="str">
        <f t="shared" ref="EN297" si="4622">IF(BH297="","","|n"&amp;EN$2&amp;"+"&amp;BH297&amp;EN$1)</f>
        <v/>
      </c>
      <c r="EO297" s="71" t="str">
        <f t="shared" ref="EO297" si="4623">IF(BI297="","","|n"&amp;EO$2&amp;"+"&amp;BI297&amp;EO$1)</f>
        <v/>
      </c>
      <c r="EP297" s="71" t="str">
        <f t="shared" ref="EP297" si="4624">IF(BJ297="","","|n"&amp;EP$2&amp;"+"&amp;BJ297&amp;EP$1)</f>
        <v/>
      </c>
      <c r="EQ297" s="71" t="str">
        <f t="shared" ref="EQ297" si="4625">IF(BK297="","","|n"&amp;EQ$2&amp;"+"&amp;BK297&amp;EQ$1)</f>
        <v/>
      </c>
      <c r="ER297" s="71" t="str">
        <f t="shared" ref="ER297" si="4626">IF(BL297="","","|n"&amp;ER$2&amp;"+"&amp;BL297&amp;ER$1)</f>
        <v/>
      </c>
      <c r="ES297" s="71" t="str">
        <f t="shared" ref="ES297" si="4627">IF(BM297="","","|n"&amp;ES$2&amp;"+"&amp;BM297&amp;ES$1)</f>
        <v/>
      </c>
      <c r="ET297" s="71" t="str">
        <f t="shared" ref="ET297" si="4628">IF(BN297="","","|n"&amp;ET$2&amp;"+"&amp;BN297&amp;ET$1)</f>
        <v/>
      </c>
      <c r="EU297" s="71" t="str">
        <f t="shared" ref="EU297" si="4629">IF(BO297="","","|n"&amp;EU$2&amp;"+"&amp;BO297&amp;EU$1)</f>
        <v/>
      </c>
      <c r="EV297" s="71" t="str">
        <f t="shared" ref="EV297" si="4630">IF(BP297="","","|n"&amp;EV$2&amp;"+"&amp;BP297&amp;EV$1)</f>
        <v/>
      </c>
      <c r="EW297" s="71" t="str">
        <f t="shared" ref="EW297" si="4631">IF(BQ297="","","|n"&amp;EW$2&amp;"+"&amp;BQ297&amp;EW$1)</f>
        <v/>
      </c>
      <c r="EX297" s="71" t="str">
        <f t="shared" ref="EX297" si="4632">IF(BR297="","","|n"&amp;EX$2&amp;"+"&amp;BR297&amp;EX$1)</f>
        <v/>
      </c>
      <c r="EY297" s="71" t="str">
        <f t="shared" ref="EY297" si="4633">IF(BS297="","","|n"&amp;EY$2&amp;"+"&amp;BS297&amp;EY$1)</f>
        <v/>
      </c>
      <c r="EZ297" s="71" t="str">
        <f t="shared" ref="EZ297" si="4634">IF(BT297="","","|n"&amp;EZ$2&amp;"+"&amp;BT297&amp;EZ$1)</f>
        <v/>
      </c>
      <c r="FA297" s="71" t="str">
        <f t="shared" ref="FA297" si="4635">IF(BU297="","","|n"&amp;FA$2&amp;"+"&amp;BU297&amp;FA$1)</f>
        <v/>
      </c>
      <c r="FB297" s="71" t="str">
        <f t="shared" ref="FB297" si="4636">IF(BV297="","","|n"&amp;FB$2&amp;"+"&amp;BV297&amp;FB$1)</f>
        <v/>
      </c>
      <c r="FC297" s="71" t="str">
        <f t="shared" ref="FC297" si="4637">IF(BW297="","","|n"&amp;FC$2&amp;"+"&amp;BW297&amp;FC$1)</f>
        <v/>
      </c>
      <c r="FD297" s="71" t="str">
        <f t="shared" ref="FD297" si="4638">IF(BX297="","","|n"&amp;FD$2&amp;"+"&amp;BX297&amp;FD$1)</f>
        <v/>
      </c>
      <c r="FE297" s="71" t="str">
        <f t="shared" ref="FE297" si="4639">IF(BY297="","","|n"&amp;FE$2&amp;"+"&amp;BY297&amp;FE$1)</f>
        <v/>
      </c>
      <c r="FF297" s="71" t="str">
        <f t="shared" ref="FF297" si="4640">IF(BZ297="","","|n"&amp;FF$2&amp;"+"&amp;BZ297&amp;FF$1)</f>
        <v/>
      </c>
      <c r="FG297" s="71" t="str">
        <f t="shared" ref="FG297" si="4641">IF(CA297="","","|n"&amp;FG$2&amp;"+"&amp;CA297&amp;FG$1)</f>
        <v/>
      </c>
      <c r="FH297" s="71" t="str">
        <f t="shared" ref="FH297" si="4642">IF(CB297="","","|n"&amp;FH$2&amp;"+"&amp;CB297&amp;FH$1)</f>
        <v/>
      </c>
      <c r="FI297" s="71" t="str">
        <f t="shared" ref="FI297" si="4643">IF(CC297="","","|n"&amp;FI$2&amp;"+"&amp;CC297&amp;FI$1)</f>
        <v/>
      </c>
      <c r="FJ297" s="71" t="str">
        <f t="shared" ref="FJ297" si="4644">IF(CD297="","","|n"&amp;FJ$2&amp;"+"&amp;CD297&amp;FJ$1)</f>
        <v/>
      </c>
      <c r="FK297" s="71" t="str">
        <f t="shared" ref="FK297" si="4645">IF(CE297="","","|n"&amp;FK$2&amp;"+"&amp;CE297&amp;FK$1)</f>
        <v/>
      </c>
      <c r="FL297" s="71" t="str">
        <f t="shared" ref="FL297" si="4646">IF(CF297="","","|n"&amp;FL$2&amp;"+"&amp;CF297&amp;FL$1)</f>
        <v/>
      </c>
      <c r="FM297" s="71" t="str">
        <f t="shared" ref="FM297" si="4647">IF(CG297="","","|n"&amp;FM$2&amp;"+"&amp;CG297&amp;FM$1)</f>
        <v/>
      </c>
      <c r="FN297" s="71" t="str">
        <f t="shared" ref="FN297" si="4648">IF(CH297="","","|n"&amp;FN$2&amp;"+"&amp;CH297&amp;FN$1)</f>
        <v/>
      </c>
      <c r="FO297" s="71" t="str">
        <f t="shared" ref="FO297" si="4649">IF(CI297="","","|n"&amp;FO$2&amp;"+"&amp;CI297&amp;FO$1)</f>
        <v/>
      </c>
      <c r="FP297" s="71" t="str">
        <f t="shared" ref="FP297" si="4650">IF(CJ297="","","|n"&amp;FP$2&amp;"+"&amp;CJ297&amp;FP$1)</f>
        <v/>
      </c>
      <c r="FQ297" s="71" t="str">
        <f t="shared" ref="FQ297" si="4651">IF(CK297="","","|n"&amp;FQ$2&amp;"+"&amp;CK297&amp;FQ$1)</f>
        <v/>
      </c>
      <c r="FR297" s="71" t="str">
        <f t="shared" ref="FR297" si="4652">IF(CL297="","","|n"&amp;FR$2&amp;"+"&amp;CL297&amp;FR$1)</f>
        <v/>
      </c>
      <c r="FS297" s="71" t="str">
        <f t="shared" ref="FS297" si="4653">IF(CM297="","","|n"&amp;FS$2&amp;"+"&amp;CM297&amp;FS$1)</f>
        <v/>
      </c>
    </row>
    <row r="298" ht="15" spans="1:175">
      <c r="A298" s="137"/>
      <c r="B298" s="105" t="s">
        <v>911</v>
      </c>
      <c r="C298" s="105" t="s">
        <v>912</v>
      </c>
      <c r="T298" s="148"/>
      <c r="U298" s="89"/>
      <c r="CN298" s="69" t="str">
        <f t="shared" si="4503"/>
        <v>InitUnitState('IC00',,,,,,,,,,)</v>
      </c>
      <c r="CO298" s="69" t="str">
        <f t="shared" si="4504"/>
        <v>InitUnitNormal('IC00',,,,,,,,,,)</v>
      </c>
      <c r="CP298" s="69" t="str">
        <f t="shared" si="4505"/>
        <v>InitUnitMagic('IC00',,,,,,,,,,)</v>
      </c>
      <c r="CQ298" s="69" t="str">
        <f t="shared" si="4506"/>
        <v>InitUnitAdd('IC00',,,,,,,,,,)</v>
      </c>
      <c r="CR298" s="69" t="str">
        <f t="shared" ref="CR298" si="4654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InitEquipData('IC00',,"",,,,,'','','','','','',"")</v>
      </c>
      <c r="CU298" s="99" t="str">
        <f t="shared" si="4508"/>
        <v>|n</v>
      </c>
      <c r="CW298" s="60"/>
      <c r="CX298" s="60"/>
      <c r="CY298" s="60"/>
      <c r="CZ298" s="60"/>
      <c r="DA298" s="60"/>
      <c r="DB298" s="71" t="str">
        <f t="shared" si="4509"/>
        <v/>
      </c>
      <c r="DC298" s="71" t="str">
        <f t="shared" si="4510"/>
        <v/>
      </c>
      <c r="DD298" s="71" t="str">
        <f t="shared" si="4511"/>
        <v/>
      </c>
      <c r="DE298" s="71" t="str">
        <f t="shared" si="4512"/>
        <v/>
      </c>
      <c r="DF298" s="71" t="str">
        <f t="shared" si="4513"/>
        <v/>
      </c>
      <c r="DG298" s="71" t="str">
        <f t="shared" si="4514"/>
        <v/>
      </c>
      <c r="DH298" s="71" t="str">
        <f t="shared" si="4515"/>
        <v/>
      </c>
      <c r="DI298" s="71" t="str">
        <f t="shared" si="4516"/>
        <v/>
      </c>
      <c r="DJ298" s="71" t="str">
        <f t="shared" si="4517"/>
        <v/>
      </c>
      <c r="DK298" s="71" t="str">
        <f t="shared" si="4518"/>
        <v/>
      </c>
      <c r="DL298" s="71" t="str">
        <f t="shared" si="4519"/>
        <v/>
      </c>
      <c r="DM298" s="71" t="str">
        <f t="shared" si="4520"/>
        <v/>
      </c>
      <c r="DN298" s="71" t="str">
        <f t="shared" si="4521"/>
        <v/>
      </c>
      <c r="DO298" s="71" t="str">
        <f t="shared" si="4522"/>
        <v/>
      </c>
      <c r="DP298" s="71" t="str">
        <f t="shared" si="4523"/>
        <v/>
      </c>
      <c r="DQ298" s="71" t="str">
        <f t="shared" si="4524"/>
        <v/>
      </c>
      <c r="DR298" s="71" t="str">
        <f t="shared" si="4525"/>
        <v/>
      </c>
      <c r="DS298" s="71" t="str">
        <f t="shared" si="4526"/>
        <v/>
      </c>
      <c r="DT298" s="71" t="str">
        <f t="shared" si="4527"/>
        <v/>
      </c>
      <c r="DU298" s="71" t="str">
        <f t="shared" si="4528"/>
        <v/>
      </c>
      <c r="DV298" s="71" t="str">
        <f t="shared" si="4529"/>
        <v/>
      </c>
      <c r="DW298" s="71" t="str">
        <f t="shared" si="4530"/>
        <v/>
      </c>
      <c r="DX298" s="71" t="str">
        <f t="shared" si="4531"/>
        <v/>
      </c>
      <c r="DY298" s="71" t="str">
        <f t="shared" si="4532"/>
        <v/>
      </c>
      <c r="DZ298" s="71" t="str">
        <f t="shared" si="4533"/>
        <v/>
      </c>
      <c r="EA298" s="71" t="str">
        <f t="shared" si="4534"/>
        <v/>
      </c>
      <c r="EB298" s="71" t="str">
        <f t="shared" si="4535"/>
        <v/>
      </c>
      <c r="EC298" s="71" t="str">
        <f t="shared" si="4536"/>
        <v/>
      </c>
      <c r="ED298" s="71" t="str">
        <f t="shared" si="4537"/>
        <v/>
      </c>
      <c r="EE298" s="71" t="str">
        <f t="shared" si="4538"/>
        <v/>
      </c>
      <c r="EF298" s="71" t="str">
        <f t="shared" si="4539"/>
        <v/>
      </c>
      <c r="EG298" s="71" t="str">
        <f t="shared" si="4540"/>
        <v/>
      </c>
      <c r="EH298" s="71" t="str">
        <f t="shared" si="4541"/>
        <v/>
      </c>
      <c r="EI298" s="71" t="str">
        <f t="shared" si="4542"/>
        <v/>
      </c>
      <c r="EJ298" s="71" t="str">
        <f t="shared" si="4543"/>
        <v/>
      </c>
      <c r="EK298" s="71" t="str">
        <f t="shared" si="4544"/>
        <v/>
      </c>
      <c r="EL298" s="71" t="str">
        <f t="shared" si="4545"/>
        <v/>
      </c>
      <c r="EM298" s="71" t="str">
        <f t="shared" si="4546"/>
        <v/>
      </c>
      <c r="EN298" s="71" t="str">
        <f t="shared" si="4547"/>
        <v/>
      </c>
      <c r="EO298" s="71" t="str">
        <f t="shared" si="4548"/>
        <v/>
      </c>
      <c r="EP298" s="71" t="str">
        <f t="shared" si="4549"/>
        <v/>
      </c>
      <c r="EQ298" s="71" t="str">
        <f t="shared" si="4550"/>
        <v/>
      </c>
      <c r="ER298" s="71" t="str">
        <f t="shared" si="4551"/>
        <v/>
      </c>
      <c r="ES298" s="71" t="str">
        <f t="shared" si="4552"/>
        <v/>
      </c>
      <c r="ET298" s="71" t="str">
        <f t="shared" si="4553"/>
        <v/>
      </c>
      <c r="EU298" s="71" t="str">
        <f t="shared" si="4554"/>
        <v/>
      </c>
      <c r="EV298" s="71" t="str">
        <f t="shared" si="4555"/>
        <v/>
      </c>
      <c r="EW298" s="71" t="str">
        <f t="shared" si="4556"/>
        <v/>
      </c>
      <c r="EX298" s="71" t="str">
        <f t="shared" si="4557"/>
        <v/>
      </c>
      <c r="EY298" s="71" t="str">
        <f t="shared" si="4558"/>
        <v/>
      </c>
      <c r="EZ298" s="71" t="str">
        <f t="shared" si="4559"/>
        <v/>
      </c>
      <c r="FA298" s="71" t="str">
        <f t="shared" si="4560"/>
        <v/>
      </c>
      <c r="FB298" s="71" t="str">
        <f t="shared" si="4561"/>
        <v/>
      </c>
      <c r="FC298" s="71" t="str">
        <f t="shared" si="4562"/>
        <v/>
      </c>
      <c r="FD298" s="71" t="str">
        <f t="shared" si="4563"/>
        <v/>
      </c>
      <c r="FE298" s="71" t="str">
        <f t="shared" si="4564"/>
        <v/>
      </c>
      <c r="FF298" s="71" t="str">
        <f t="shared" si="4565"/>
        <v/>
      </c>
      <c r="FG298" s="71" t="str">
        <f t="shared" si="4566"/>
        <v/>
      </c>
      <c r="FH298" s="71" t="str">
        <f t="shared" si="4567"/>
        <v/>
      </c>
      <c r="FI298" s="71" t="str">
        <f t="shared" si="4568"/>
        <v/>
      </c>
      <c r="FJ298" s="71" t="str">
        <f t="shared" si="4569"/>
        <v/>
      </c>
      <c r="FK298" s="71" t="str">
        <f t="shared" si="4570"/>
        <v/>
      </c>
      <c r="FL298" s="71" t="str">
        <f t="shared" si="4571"/>
        <v/>
      </c>
      <c r="FM298" s="71" t="str">
        <f t="shared" si="4572"/>
        <v/>
      </c>
      <c r="FN298" s="71" t="str">
        <f t="shared" si="4573"/>
        <v/>
      </c>
      <c r="FO298" s="71" t="str">
        <f t="shared" si="4574"/>
        <v/>
      </c>
      <c r="FP298" s="71" t="str">
        <f t="shared" si="4575"/>
        <v/>
      </c>
      <c r="FQ298" s="71" t="str">
        <f t="shared" si="4576"/>
        <v/>
      </c>
      <c r="FR298" s="71" t="str">
        <f t="shared" si="4577"/>
        <v/>
      </c>
      <c r="FS298" s="71" t="str">
        <f t="shared" si="4578"/>
        <v/>
      </c>
    </row>
    <row r="299" ht="15" spans="1:175">
      <c r="A299" s="137"/>
      <c r="B299" s="105" t="s">
        <v>913</v>
      </c>
      <c r="C299" s="105" t="s">
        <v>914</v>
      </c>
      <c r="T299" s="148"/>
      <c r="U299" s="89"/>
      <c r="CN299" s="69" t="str">
        <f t="shared" ref="CN299" si="4655">"InitUnitState('"&amp;B299&amp;"',"&amp;V299&amp;","&amp;W299&amp;","&amp;X299&amp;","&amp;Y299&amp;","&amp;Z299&amp;","&amp;AA299&amp;","&amp;AB299&amp;","&amp;AC299&amp;","&amp;AD299&amp;","&amp;AE299&amp;")"</f>
        <v>InitUnitState('IC01',,,,,,,,,,)</v>
      </c>
      <c r="CO299" s="69" t="str">
        <f t="shared" ref="CO299" si="4656">"InitUnitNormal('"&amp;B299&amp;"',"&amp;AF299&amp;","&amp;AG299&amp;","&amp;AH299&amp;","&amp;AI299&amp;","&amp;AJ299&amp;","&amp;AK299&amp;","&amp;AL299&amp;","&amp;AM299&amp;","&amp;AN299&amp;","&amp;AO299&amp;")"</f>
        <v>InitUnitNormal('IC01',,,,,,,,,,)</v>
      </c>
      <c r="CP299" s="69" t="str">
        <f t="shared" ref="CP299" si="4657">"InitUnitMagic('"&amp;B299&amp;"',"&amp;AP299&amp;","&amp;AQ299&amp;","&amp;AR299&amp;","&amp;AS299&amp;","&amp;AT299&amp;","&amp;AU299&amp;","&amp;AV299&amp;","&amp;AW299&amp;","&amp;BI299&amp;","&amp;BJ299&amp;")"</f>
        <v>InitUnitMagic('IC01',,,,,,,,,,)</v>
      </c>
      <c r="CQ299" s="69" t="str">
        <f t="shared" ref="CQ299" si="4658">"InitUnitAdd('"&amp;B299&amp;"',"&amp;BK299&amp;","&amp;BL299&amp;","&amp;BM299&amp;","&amp;BN299&amp;","&amp;BO299&amp;","&amp;BP299&amp;","&amp;BQ299&amp;","&amp;BR299&amp;","&amp;BS299&amp;","&amp;BT299&amp;")"</f>
        <v>InitUnitAdd('IC01',,,,,,,,,,)</v>
      </c>
      <c r="CR299" s="69" t="str">
        <f t="shared" ref="CR299" si="4659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InitEquipData('IC01',,"",,,,,'','','','','','',"")</v>
      </c>
      <c r="CU299" s="99" t="str">
        <f t="shared" si="4432"/>
        <v>|n</v>
      </c>
      <c r="CW299" s="60"/>
      <c r="CX299" s="60"/>
      <c r="CY299" s="60"/>
      <c r="CZ299" s="60"/>
      <c r="DA299" s="60"/>
      <c r="DB299" s="71" t="str">
        <f t="shared" si="4433"/>
        <v/>
      </c>
      <c r="DC299" s="71" t="str">
        <f t="shared" si="4434"/>
        <v/>
      </c>
      <c r="DD299" s="71" t="str">
        <f t="shared" si="4435"/>
        <v/>
      </c>
      <c r="DE299" s="71" t="str">
        <f t="shared" si="4436"/>
        <v/>
      </c>
      <c r="DF299" s="71" t="str">
        <f t="shared" si="4437"/>
        <v/>
      </c>
      <c r="DG299" s="71" t="str">
        <f t="shared" si="4438"/>
        <v/>
      </c>
      <c r="DH299" s="71" t="str">
        <f t="shared" si="4439"/>
        <v/>
      </c>
      <c r="DI299" s="71" t="str">
        <f t="shared" si="4440"/>
        <v/>
      </c>
      <c r="DJ299" s="71" t="str">
        <f t="shared" si="4441"/>
        <v/>
      </c>
      <c r="DK299" s="71" t="str">
        <f t="shared" si="4442"/>
        <v/>
      </c>
      <c r="DL299" s="71" t="str">
        <f t="shared" si="4443"/>
        <v/>
      </c>
      <c r="DM299" s="71" t="str">
        <f t="shared" si="4444"/>
        <v/>
      </c>
      <c r="DN299" s="71" t="str">
        <f t="shared" si="4445"/>
        <v/>
      </c>
      <c r="DO299" s="71" t="str">
        <f t="shared" si="4446"/>
        <v/>
      </c>
      <c r="DP299" s="71" t="str">
        <f t="shared" si="4447"/>
        <v/>
      </c>
      <c r="DQ299" s="71" t="str">
        <f t="shared" si="4448"/>
        <v/>
      </c>
      <c r="DR299" s="71" t="str">
        <f t="shared" si="4449"/>
        <v/>
      </c>
      <c r="DS299" s="71" t="str">
        <f t="shared" si="4450"/>
        <v/>
      </c>
      <c r="DT299" s="71" t="str">
        <f t="shared" si="4451"/>
        <v/>
      </c>
      <c r="DU299" s="71" t="str">
        <f t="shared" si="4452"/>
        <v/>
      </c>
      <c r="DV299" s="71" t="str">
        <f t="shared" si="4453"/>
        <v/>
      </c>
      <c r="DW299" s="71" t="str">
        <f t="shared" si="4454"/>
        <v/>
      </c>
      <c r="DX299" s="71" t="str">
        <f t="shared" si="4455"/>
        <v/>
      </c>
      <c r="DY299" s="71" t="str">
        <f t="shared" si="4456"/>
        <v/>
      </c>
      <c r="DZ299" s="71" t="str">
        <f t="shared" si="4457"/>
        <v/>
      </c>
      <c r="EA299" s="71" t="str">
        <f t="shared" si="4458"/>
        <v/>
      </c>
      <c r="EB299" s="71" t="str">
        <f t="shared" si="4459"/>
        <v/>
      </c>
      <c r="EC299" s="71" t="str">
        <f t="shared" si="4460"/>
        <v/>
      </c>
      <c r="ED299" s="71" t="str">
        <f t="shared" si="4461"/>
        <v/>
      </c>
      <c r="EE299" s="71" t="str">
        <f t="shared" si="4462"/>
        <v/>
      </c>
      <c r="EF299" s="71" t="str">
        <f t="shared" si="4463"/>
        <v/>
      </c>
      <c r="EG299" s="71" t="str">
        <f t="shared" si="4464"/>
        <v/>
      </c>
      <c r="EH299" s="71" t="str">
        <f t="shared" si="4465"/>
        <v/>
      </c>
      <c r="EI299" s="71" t="str">
        <f t="shared" si="4466"/>
        <v/>
      </c>
      <c r="EJ299" s="71" t="str">
        <f t="shared" si="4467"/>
        <v/>
      </c>
      <c r="EK299" s="71" t="str">
        <f t="shared" si="4468"/>
        <v/>
      </c>
      <c r="EL299" s="71" t="str">
        <f t="shared" si="4469"/>
        <v/>
      </c>
      <c r="EM299" s="71" t="str">
        <f t="shared" si="4470"/>
        <v/>
      </c>
      <c r="EN299" s="71" t="str">
        <f t="shared" si="4471"/>
        <v/>
      </c>
      <c r="EO299" s="71" t="str">
        <f t="shared" si="4472"/>
        <v/>
      </c>
      <c r="EP299" s="71" t="str">
        <f t="shared" si="4473"/>
        <v/>
      </c>
      <c r="EQ299" s="71" t="str">
        <f t="shared" si="4474"/>
        <v/>
      </c>
      <c r="ER299" s="71" t="str">
        <f t="shared" si="4475"/>
        <v/>
      </c>
      <c r="ES299" s="71" t="str">
        <f t="shared" si="4476"/>
        <v/>
      </c>
      <c r="ET299" s="71" t="str">
        <f t="shared" si="4477"/>
        <v/>
      </c>
      <c r="EU299" s="71" t="str">
        <f t="shared" si="4478"/>
        <v/>
      </c>
      <c r="EV299" s="71" t="str">
        <f t="shared" si="4479"/>
        <v/>
      </c>
      <c r="EW299" s="71" t="str">
        <f t="shared" si="4480"/>
        <v/>
      </c>
      <c r="EX299" s="71" t="str">
        <f t="shared" si="4481"/>
        <v/>
      </c>
      <c r="EY299" s="71" t="str">
        <f t="shared" si="4482"/>
        <v/>
      </c>
      <c r="EZ299" s="71" t="str">
        <f t="shared" si="4483"/>
        <v/>
      </c>
      <c r="FA299" s="71" t="str">
        <f t="shared" si="4484"/>
        <v/>
      </c>
      <c r="FB299" s="71" t="str">
        <f t="shared" si="4485"/>
        <v/>
      </c>
      <c r="FC299" s="71" t="str">
        <f t="shared" si="4486"/>
        <v/>
      </c>
      <c r="FD299" s="71" t="str">
        <f t="shared" si="4487"/>
        <v/>
      </c>
      <c r="FE299" s="71" t="str">
        <f t="shared" si="4488"/>
        <v/>
      </c>
      <c r="FF299" s="71" t="str">
        <f t="shared" si="4489"/>
        <v/>
      </c>
      <c r="FG299" s="71" t="str">
        <f t="shared" si="4490"/>
        <v/>
      </c>
      <c r="FH299" s="71" t="str">
        <f t="shared" si="4491"/>
        <v/>
      </c>
      <c r="FI299" s="71" t="str">
        <f t="shared" si="4492"/>
        <v/>
      </c>
      <c r="FJ299" s="71" t="str">
        <f t="shared" si="4493"/>
        <v/>
      </c>
      <c r="FK299" s="71" t="str">
        <f t="shared" si="4494"/>
        <v/>
      </c>
      <c r="FL299" s="71" t="str">
        <f t="shared" si="4495"/>
        <v/>
      </c>
      <c r="FM299" s="71" t="str">
        <f t="shared" si="4496"/>
        <v/>
      </c>
      <c r="FN299" s="71" t="str">
        <f t="shared" si="4497"/>
        <v/>
      </c>
      <c r="FO299" s="71" t="str">
        <f t="shared" si="4498"/>
        <v/>
      </c>
      <c r="FP299" s="71" t="str">
        <f t="shared" si="4499"/>
        <v/>
      </c>
      <c r="FQ299" s="71" t="str">
        <f t="shared" si="4500"/>
        <v/>
      </c>
      <c r="FR299" s="71" t="str">
        <f t="shared" si="4501"/>
        <v/>
      </c>
      <c r="FS299" s="71" t="str">
        <f t="shared" si="4502"/>
        <v/>
      </c>
    </row>
    <row r="300" ht="15" spans="1:175">
      <c r="A300" s="81"/>
      <c r="B300" s="105" t="s">
        <v>915</v>
      </c>
      <c r="C300" s="105" t="s">
        <v>127</v>
      </c>
      <c r="T300" s="152"/>
      <c r="U300" s="89"/>
      <c r="CN300" s="69" t="str">
        <f t="shared" ref="CN300:CN308" si="4660">"InitUnitState('"&amp;B300&amp;"',"&amp;V300&amp;","&amp;W300&amp;","&amp;X300&amp;","&amp;Y300&amp;","&amp;Z300&amp;","&amp;AA300&amp;","&amp;AB300&amp;","&amp;AC300&amp;","&amp;AD300&amp;","&amp;AE300&amp;")"</f>
        <v>InitUnitState('IC02',,,,,,,,,,)</v>
      </c>
      <c r="CO300" s="69" t="str">
        <f t="shared" ref="CO300:CO308" si="4661">"InitUnitNormal('"&amp;B300&amp;"',"&amp;AF300&amp;","&amp;AG300&amp;","&amp;AH300&amp;","&amp;AI300&amp;","&amp;AJ300&amp;","&amp;AK300&amp;","&amp;AL300&amp;","&amp;AM300&amp;","&amp;AN300&amp;","&amp;AO300&amp;")"</f>
        <v>InitUnitNormal('IC02',,,,,,,,,,)</v>
      </c>
      <c r="CP300" s="69" t="str">
        <f t="shared" ref="CP300:CP308" si="4662">"InitUnitMagic('"&amp;B300&amp;"',"&amp;AP300&amp;","&amp;AQ300&amp;","&amp;AR300&amp;","&amp;AS300&amp;","&amp;AT300&amp;","&amp;AU300&amp;","&amp;AV300&amp;","&amp;AW300&amp;","&amp;BI300&amp;","&amp;BJ300&amp;")"</f>
        <v>InitUnitMagic('IC02',,,,,,,,,,)</v>
      </c>
      <c r="CQ300" s="69" t="str">
        <f t="shared" ref="CQ300:CQ308" si="4663">"InitUnitAdd('"&amp;B300&amp;"',"&amp;BK300&amp;","&amp;BL300&amp;","&amp;BM300&amp;","&amp;BN300&amp;","&amp;BO300&amp;","&amp;BP300&amp;","&amp;BQ300&amp;","&amp;BR300&amp;","&amp;BS300&amp;","&amp;BT300&amp;")"</f>
        <v>InitUnitAdd('IC02',,,,,,,,,,)</v>
      </c>
      <c r="CR300" s="69" t="str">
        <f t="shared" si="4360"/>
        <v>InitEquipData('IC02',,"",,,,,'','','','','','',"")</v>
      </c>
      <c r="CU300" s="99" t="str">
        <f t="shared" si="4432"/>
        <v>|n</v>
      </c>
      <c r="CW300" s="60"/>
      <c r="CX300" s="60"/>
      <c r="CY300" s="60"/>
      <c r="CZ300" s="60"/>
      <c r="DA300" s="60"/>
      <c r="DB300" s="71" t="str">
        <f t="shared" si="4433"/>
        <v/>
      </c>
      <c r="DC300" s="71" t="str">
        <f t="shared" si="4434"/>
        <v/>
      </c>
      <c r="DD300" s="71" t="str">
        <f t="shared" si="4435"/>
        <v/>
      </c>
      <c r="DE300" s="71" t="str">
        <f t="shared" si="4436"/>
        <v/>
      </c>
      <c r="DF300" s="71" t="str">
        <f t="shared" si="4437"/>
        <v/>
      </c>
      <c r="DG300" s="71" t="str">
        <f t="shared" si="4438"/>
        <v/>
      </c>
      <c r="DH300" s="71" t="str">
        <f t="shared" si="4439"/>
        <v/>
      </c>
      <c r="DI300" s="71" t="str">
        <f t="shared" si="4440"/>
        <v/>
      </c>
      <c r="DJ300" s="71" t="str">
        <f t="shared" si="4441"/>
        <v/>
      </c>
      <c r="DK300" s="71" t="str">
        <f t="shared" si="4442"/>
        <v/>
      </c>
      <c r="DL300" s="71" t="str">
        <f t="shared" si="4443"/>
        <v/>
      </c>
      <c r="DM300" s="71" t="str">
        <f t="shared" si="4444"/>
        <v/>
      </c>
      <c r="DN300" s="71" t="str">
        <f t="shared" si="4445"/>
        <v/>
      </c>
      <c r="DO300" s="71" t="str">
        <f t="shared" si="4446"/>
        <v/>
      </c>
      <c r="DP300" s="71" t="str">
        <f t="shared" si="4447"/>
        <v/>
      </c>
      <c r="DQ300" s="71" t="str">
        <f t="shared" si="4448"/>
        <v/>
      </c>
      <c r="DR300" s="71" t="str">
        <f t="shared" si="4449"/>
        <v/>
      </c>
      <c r="DS300" s="71" t="str">
        <f t="shared" si="4450"/>
        <v/>
      </c>
      <c r="DT300" s="71" t="str">
        <f t="shared" si="4451"/>
        <v/>
      </c>
      <c r="DU300" s="71" t="str">
        <f t="shared" si="4452"/>
        <v/>
      </c>
      <c r="DV300" s="71" t="str">
        <f t="shared" si="4453"/>
        <v/>
      </c>
      <c r="DW300" s="71" t="str">
        <f t="shared" si="4454"/>
        <v/>
      </c>
      <c r="DX300" s="71" t="str">
        <f t="shared" si="4455"/>
        <v/>
      </c>
      <c r="DY300" s="71" t="str">
        <f t="shared" si="4456"/>
        <v/>
      </c>
      <c r="DZ300" s="71" t="str">
        <f t="shared" si="4457"/>
        <v/>
      </c>
      <c r="EA300" s="71" t="str">
        <f t="shared" si="4458"/>
        <v/>
      </c>
      <c r="EB300" s="71" t="str">
        <f t="shared" si="4459"/>
        <v/>
      </c>
      <c r="EC300" s="71" t="str">
        <f t="shared" si="4460"/>
        <v/>
      </c>
      <c r="ED300" s="71" t="str">
        <f t="shared" si="4461"/>
        <v/>
      </c>
      <c r="EE300" s="71" t="str">
        <f t="shared" si="4462"/>
        <v/>
      </c>
      <c r="EF300" s="71" t="str">
        <f t="shared" si="4463"/>
        <v/>
      </c>
      <c r="EG300" s="71" t="str">
        <f t="shared" si="4464"/>
        <v/>
      </c>
      <c r="EH300" s="71" t="str">
        <f t="shared" si="4465"/>
        <v/>
      </c>
      <c r="EI300" s="71" t="str">
        <f t="shared" si="4466"/>
        <v/>
      </c>
      <c r="EJ300" s="71" t="str">
        <f t="shared" si="4467"/>
        <v/>
      </c>
      <c r="EK300" s="71" t="str">
        <f t="shared" si="4468"/>
        <v/>
      </c>
      <c r="EL300" s="71" t="str">
        <f t="shared" si="4469"/>
        <v/>
      </c>
      <c r="EM300" s="71" t="str">
        <f t="shared" si="4470"/>
        <v/>
      </c>
      <c r="EN300" s="71" t="str">
        <f t="shared" si="4471"/>
        <v/>
      </c>
      <c r="EO300" s="71" t="str">
        <f t="shared" si="4472"/>
        <v/>
      </c>
      <c r="EP300" s="71" t="str">
        <f t="shared" si="4473"/>
        <v/>
      </c>
      <c r="EQ300" s="71" t="str">
        <f t="shared" si="4474"/>
        <v/>
      </c>
      <c r="ER300" s="71" t="str">
        <f t="shared" si="4475"/>
        <v/>
      </c>
      <c r="ES300" s="71" t="str">
        <f t="shared" si="4476"/>
        <v/>
      </c>
      <c r="ET300" s="71" t="str">
        <f t="shared" si="4477"/>
        <v/>
      </c>
      <c r="EU300" s="71" t="str">
        <f t="shared" si="4478"/>
        <v/>
      </c>
      <c r="EV300" s="71" t="str">
        <f t="shared" si="4479"/>
        <v/>
      </c>
      <c r="EW300" s="71" t="str">
        <f t="shared" si="4480"/>
        <v/>
      </c>
      <c r="EX300" s="71" t="str">
        <f t="shared" si="4481"/>
        <v/>
      </c>
      <c r="EY300" s="71" t="str">
        <f t="shared" si="4482"/>
        <v/>
      </c>
      <c r="EZ300" s="71" t="str">
        <f t="shared" si="4483"/>
        <v/>
      </c>
      <c r="FA300" s="71" t="str">
        <f t="shared" si="4484"/>
        <v/>
      </c>
      <c r="FB300" s="71" t="str">
        <f t="shared" si="4485"/>
        <v/>
      </c>
      <c r="FC300" s="71" t="str">
        <f t="shared" si="4486"/>
        <v/>
      </c>
      <c r="FD300" s="71" t="str">
        <f t="shared" si="4487"/>
        <v/>
      </c>
      <c r="FE300" s="71" t="str">
        <f t="shared" si="4488"/>
        <v/>
      </c>
      <c r="FF300" s="71" t="str">
        <f t="shared" si="4489"/>
        <v/>
      </c>
      <c r="FG300" s="71" t="str">
        <f t="shared" si="4490"/>
        <v/>
      </c>
      <c r="FH300" s="71" t="str">
        <f t="shared" si="4491"/>
        <v/>
      </c>
      <c r="FI300" s="71" t="str">
        <f t="shared" si="4492"/>
        <v/>
      </c>
      <c r="FJ300" s="71" t="str">
        <f t="shared" si="4493"/>
        <v/>
      </c>
      <c r="FK300" s="71" t="str">
        <f t="shared" si="4494"/>
        <v/>
      </c>
      <c r="FL300" s="71" t="str">
        <f t="shared" si="4495"/>
        <v/>
      </c>
      <c r="FM300" s="71" t="str">
        <f t="shared" si="4496"/>
        <v/>
      </c>
      <c r="FN300" s="71" t="str">
        <f t="shared" si="4497"/>
        <v/>
      </c>
      <c r="FO300" s="71" t="str">
        <f t="shared" si="4498"/>
        <v/>
      </c>
      <c r="FP300" s="71" t="str">
        <f t="shared" si="4499"/>
        <v/>
      </c>
      <c r="FQ300" s="71" t="str">
        <f t="shared" si="4500"/>
        <v/>
      </c>
      <c r="FR300" s="71" t="str">
        <f t="shared" si="4501"/>
        <v/>
      </c>
      <c r="FS300" s="71" t="str">
        <f t="shared" si="4502"/>
        <v/>
      </c>
    </row>
    <row r="301" s="60" customFormat="1" ht="15" spans="1:175">
      <c r="A301" s="139"/>
      <c r="B301" s="105" t="s">
        <v>916</v>
      </c>
      <c r="C301" s="105" t="s">
        <v>917</v>
      </c>
      <c r="D301" s="75"/>
      <c r="E301" s="76"/>
      <c r="F301" s="140"/>
      <c r="G301" s="141"/>
      <c r="H301" s="141"/>
      <c r="I301" s="141"/>
      <c r="J301" s="141"/>
      <c r="K301" s="141"/>
      <c r="L301" s="141"/>
      <c r="M301" s="141"/>
      <c r="N301" s="141"/>
      <c r="O301" s="141"/>
      <c r="P301" s="84"/>
      <c r="Q301" s="84"/>
      <c r="R301" s="84"/>
      <c r="S301" s="84"/>
      <c r="T301" s="109"/>
      <c r="U301" s="89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5"/>
      <c r="AS301" s="95"/>
      <c r="AT301" s="94"/>
      <c r="AU301" s="94"/>
      <c r="AV301" s="94"/>
      <c r="AW301" s="94"/>
      <c r="AX301" s="94"/>
      <c r="AY301" s="94"/>
      <c r="AZ301" s="94"/>
      <c r="BA301" s="94"/>
      <c r="BB301" s="94"/>
      <c r="BC301" s="94"/>
      <c r="BD301" s="94"/>
      <c r="BE301" s="94"/>
      <c r="BF301" s="94"/>
      <c r="BG301" s="94"/>
      <c r="BH301" s="94"/>
      <c r="BI301" s="94"/>
      <c r="BJ301" s="94"/>
      <c r="BK301" s="94"/>
      <c r="BL301" s="94"/>
      <c r="BM301" s="94"/>
      <c r="BN301" s="94"/>
      <c r="BO301" s="94"/>
      <c r="BP301" s="94"/>
      <c r="BQ301" s="94"/>
      <c r="BR301" s="94"/>
      <c r="BS301" s="94"/>
      <c r="BT301" s="94"/>
      <c r="BU301" s="94"/>
      <c r="BV301" s="94"/>
      <c r="BW301" s="94"/>
      <c r="BX301" s="94"/>
      <c r="BY301" s="94"/>
      <c r="BZ301" s="94"/>
      <c r="CA301" s="94"/>
      <c r="CB301" s="94"/>
      <c r="CC301" s="94"/>
      <c r="CD301" s="94"/>
      <c r="CE301" s="94"/>
      <c r="CF301" s="94"/>
      <c r="CG301" s="94"/>
      <c r="CH301" s="94"/>
      <c r="CI301" s="94"/>
      <c r="CJ301" s="94"/>
      <c r="CK301" s="94"/>
      <c r="CL301" s="94"/>
      <c r="CM301" s="94"/>
      <c r="CN301" s="97" t="str">
        <f t="shared" si="4660"/>
        <v>InitUnitState('IC03',,,,,,,,,,)</v>
      </c>
      <c r="CO301" s="97" t="str">
        <f t="shared" si="4661"/>
        <v>InitUnitNormal('IC03',,,,,,,,,,)</v>
      </c>
      <c r="CP301" s="97" t="str">
        <f t="shared" si="4662"/>
        <v>InitUnitMagic('IC03',,,,,,,,,,)</v>
      </c>
      <c r="CQ301" s="97" t="str">
        <f t="shared" si="4663"/>
        <v>InitUnitAdd('IC03',,,,,,,,,,)</v>
      </c>
      <c r="CR301" s="97" t="str">
        <f t="shared" si="4360"/>
        <v>InitEquipData('IC03',,"",,,,,'','','','','','',"")</v>
      </c>
      <c r="CS301" s="97"/>
      <c r="CT301" s="97"/>
      <c r="CU301" s="99" t="str">
        <f t="shared" si="4432"/>
        <v>|n</v>
      </c>
      <c r="CV301" s="70"/>
      <c r="DB301" s="71" t="str">
        <f t="shared" si="4433"/>
        <v/>
      </c>
      <c r="DC301" s="71" t="str">
        <f t="shared" si="4434"/>
        <v/>
      </c>
      <c r="DD301" s="71" t="str">
        <f t="shared" si="4435"/>
        <v/>
      </c>
      <c r="DE301" s="71" t="str">
        <f t="shared" si="4436"/>
        <v/>
      </c>
      <c r="DF301" s="71" t="str">
        <f t="shared" si="4437"/>
        <v/>
      </c>
      <c r="DG301" s="71" t="str">
        <f t="shared" si="4438"/>
        <v/>
      </c>
      <c r="DH301" s="71" t="str">
        <f t="shared" si="4439"/>
        <v/>
      </c>
      <c r="DI301" s="71" t="str">
        <f t="shared" si="4440"/>
        <v/>
      </c>
      <c r="DJ301" s="71" t="str">
        <f t="shared" si="4441"/>
        <v/>
      </c>
      <c r="DK301" s="71" t="str">
        <f t="shared" si="4442"/>
        <v/>
      </c>
      <c r="DL301" s="71" t="str">
        <f t="shared" si="4443"/>
        <v/>
      </c>
      <c r="DM301" s="71" t="str">
        <f t="shared" si="4444"/>
        <v/>
      </c>
      <c r="DN301" s="71" t="str">
        <f t="shared" si="4445"/>
        <v/>
      </c>
      <c r="DO301" s="71" t="str">
        <f t="shared" si="4446"/>
        <v/>
      </c>
      <c r="DP301" s="71" t="str">
        <f t="shared" si="4447"/>
        <v/>
      </c>
      <c r="DQ301" s="71" t="str">
        <f t="shared" si="4448"/>
        <v/>
      </c>
      <c r="DR301" s="71" t="str">
        <f t="shared" si="4449"/>
        <v/>
      </c>
      <c r="DS301" s="71" t="str">
        <f t="shared" si="4450"/>
        <v/>
      </c>
      <c r="DT301" s="71" t="str">
        <f t="shared" si="4451"/>
        <v/>
      </c>
      <c r="DU301" s="71" t="str">
        <f t="shared" si="4452"/>
        <v/>
      </c>
      <c r="DV301" s="71" t="str">
        <f t="shared" si="4453"/>
        <v/>
      </c>
      <c r="DW301" s="71" t="str">
        <f t="shared" si="4454"/>
        <v/>
      </c>
      <c r="DX301" s="71" t="str">
        <f t="shared" si="4455"/>
        <v/>
      </c>
      <c r="DY301" s="71" t="str">
        <f t="shared" si="4456"/>
        <v/>
      </c>
      <c r="DZ301" s="71" t="str">
        <f t="shared" si="4457"/>
        <v/>
      </c>
      <c r="EA301" s="71" t="str">
        <f t="shared" si="4458"/>
        <v/>
      </c>
      <c r="EB301" s="71" t="str">
        <f t="shared" si="4459"/>
        <v/>
      </c>
      <c r="EC301" s="71" t="str">
        <f t="shared" si="4460"/>
        <v/>
      </c>
      <c r="ED301" s="71" t="str">
        <f t="shared" si="4461"/>
        <v/>
      </c>
      <c r="EE301" s="71" t="str">
        <f t="shared" si="4462"/>
        <v/>
      </c>
      <c r="EF301" s="71" t="str">
        <f t="shared" si="4463"/>
        <v/>
      </c>
      <c r="EG301" s="71" t="str">
        <f t="shared" si="4464"/>
        <v/>
      </c>
      <c r="EH301" s="71" t="str">
        <f t="shared" si="4465"/>
        <v/>
      </c>
      <c r="EI301" s="71" t="str">
        <f t="shared" si="4466"/>
        <v/>
      </c>
      <c r="EJ301" s="71" t="str">
        <f t="shared" si="4467"/>
        <v/>
      </c>
      <c r="EK301" s="71" t="str">
        <f t="shared" si="4468"/>
        <v/>
      </c>
      <c r="EL301" s="71" t="str">
        <f t="shared" si="4469"/>
        <v/>
      </c>
      <c r="EM301" s="71" t="str">
        <f t="shared" si="4470"/>
        <v/>
      </c>
      <c r="EN301" s="71" t="str">
        <f t="shared" si="4471"/>
        <v/>
      </c>
      <c r="EO301" s="71" t="str">
        <f t="shared" si="4472"/>
        <v/>
      </c>
      <c r="EP301" s="71" t="str">
        <f t="shared" si="4473"/>
        <v/>
      </c>
      <c r="EQ301" s="71" t="str">
        <f t="shared" si="4474"/>
        <v/>
      </c>
      <c r="ER301" s="71" t="str">
        <f t="shared" si="4475"/>
        <v/>
      </c>
      <c r="ES301" s="71" t="str">
        <f t="shared" si="4476"/>
        <v/>
      </c>
      <c r="ET301" s="71" t="str">
        <f t="shared" si="4477"/>
        <v/>
      </c>
      <c r="EU301" s="71" t="str">
        <f t="shared" si="4478"/>
        <v/>
      </c>
      <c r="EV301" s="71" t="str">
        <f t="shared" si="4479"/>
        <v/>
      </c>
      <c r="EW301" s="71" t="str">
        <f t="shared" si="4480"/>
        <v/>
      </c>
      <c r="EX301" s="71" t="str">
        <f t="shared" si="4481"/>
        <v/>
      </c>
      <c r="EY301" s="71" t="str">
        <f t="shared" si="4482"/>
        <v/>
      </c>
      <c r="EZ301" s="71" t="str">
        <f t="shared" si="4483"/>
        <v/>
      </c>
      <c r="FA301" s="71" t="str">
        <f t="shared" si="4484"/>
        <v/>
      </c>
      <c r="FB301" s="71" t="str">
        <f t="shared" si="4485"/>
        <v/>
      </c>
      <c r="FC301" s="71" t="str">
        <f t="shared" si="4486"/>
        <v/>
      </c>
      <c r="FD301" s="71" t="str">
        <f t="shared" si="4487"/>
        <v/>
      </c>
      <c r="FE301" s="71" t="str">
        <f t="shared" si="4488"/>
        <v/>
      </c>
      <c r="FF301" s="71" t="str">
        <f t="shared" si="4489"/>
        <v/>
      </c>
      <c r="FG301" s="71" t="str">
        <f t="shared" si="4490"/>
        <v/>
      </c>
      <c r="FH301" s="71" t="str">
        <f t="shared" si="4491"/>
        <v/>
      </c>
      <c r="FI301" s="71" t="str">
        <f t="shared" si="4492"/>
        <v/>
      </c>
      <c r="FJ301" s="71" t="str">
        <f t="shared" si="4493"/>
        <v/>
      </c>
      <c r="FK301" s="71" t="str">
        <f t="shared" si="4494"/>
        <v/>
      </c>
      <c r="FL301" s="71" t="str">
        <f t="shared" si="4495"/>
        <v/>
      </c>
      <c r="FM301" s="71" t="str">
        <f t="shared" si="4496"/>
        <v/>
      </c>
      <c r="FN301" s="71" t="str">
        <f t="shared" si="4497"/>
        <v/>
      </c>
      <c r="FO301" s="71" t="str">
        <f t="shared" si="4498"/>
        <v/>
      </c>
      <c r="FP301" s="71" t="str">
        <f t="shared" si="4499"/>
        <v/>
      </c>
      <c r="FQ301" s="71" t="str">
        <f t="shared" si="4500"/>
        <v/>
      </c>
      <c r="FR301" s="71" t="str">
        <f t="shared" si="4501"/>
        <v/>
      </c>
      <c r="FS301" s="71" t="str">
        <f t="shared" si="4502"/>
        <v/>
      </c>
    </row>
    <row r="302" s="60" customFormat="1" ht="15" spans="1:175">
      <c r="A302" s="139"/>
      <c r="B302" s="105" t="s">
        <v>918</v>
      </c>
      <c r="C302" s="105" t="s">
        <v>919</v>
      </c>
      <c r="D302" s="75"/>
      <c r="E302" s="76"/>
      <c r="F302" s="140"/>
      <c r="G302" s="141"/>
      <c r="H302" s="141"/>
      <c r="I302" s="141"/>
      <c r="J302" s="141"/>
      <c r="K302" s="141"/>
      <c r="L302" s="141"/>
      <c r="M302" s="141"/>
      <c r="N302" s="141"/>
      <c r="O302" s="141"/>
      <c r="P302" s="84"/>
      <c r="Q302" s="84"/>
      <c r="R302" s="84"/>
      <c r="S302" s="84"/>
      <c r="T302" s="109"/>
      <c r="U302" s="89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5"/>
      <c r="AS302" s="95"/>
      <c r="AT302" s="94"/>
      <c r="AU302" s="94"/>
      <c r="AV302" s="94"/>
      <c r="AW302" s="94"/>
      <c r="AX302" s="94"/>
      <c r="AY302" s="94"/>
      <c r="AZ302" s="94"/>
      <c r="BA302" s="94"/>
      <c r="BB302" s="94"/>
      <c r="BC302" s="94"/>
      <c r="BD302" s="94"/>
      <c r="BE302" s="94"/>
      <c r="BF302" s="94"/>
      <c r="BG302" s="94"/>
      <c r="BH302" s="94"/>
      <c r="BI302" s="94"/>
      <c r="BJ302" s="94"/>
      <c r="BK302" s="94"/>
      <c r="BL302" s="94"/>
      <c r="BM302" s="94"/>
      <c r="BN302" s="94"/>
      <c r="BO302" s="94"/>
      <c r="BP302" s="94"/>
      <c r="BQ302" s="94"/>
      <c r="BR302" s="94"/>
      <c r="BS302" s="94"/>
      <c r="BT302" s="94"/>
      <c r="BU302" s="94"/>
      <c r="BV302" s="94"/>
      <c r="BW302" s="94"/>
      <c r="BX302" s="94"/>
      <c r="BY302" s="94"/>
      <c r="BZ302" s="94"/>
      <c r="CA302" s="94"/>
      <c r="CB302" s="94"/>
      <c r="CC302" s="94"/>
      <c r="CD302" s="94"/>
      <c r="CE302" s="94"/>
      <c r="CF302" s="94"/>
      <c r="CG302" s="94"/>
      <c r="CH302" s="94"/>
      <c r="CI302" s="94"/>
      <c r="CJ302" s="94"/>
      <c r="CK302" s="94"/>
      <c r="CL302" s="94"/>
      <c r="CM302" s="94"/>
      <c r="CN302" s="97" t="str">
        <f t="shared" si="4660"/>
        <v>InitUnitState('IC04',,,,,,,,,,)</v>
      </c>
      <c r="CO302" s="97" t="str">
        <f t="shared" si="4661"/>
        <v>InitUnitNormal('IC04',,,,,,,,,,)</v>
      </c>
      <c r="CP302" s="97" t="str">
        <f t="shared" si="4662"/>
        <v>InitUnitMagic('IC04',,,,,,,,,,)</v>
      </c>
      <c r="CQ302" s="97" t="str">
        <f t="shared" si="4663"/>
        <v>InitUnitAdd('IC04',,,,,,,,,,)</v>
      </c>
      <c r="CR302" s="97" t="str">
        <f t="shared" si="4360"/>
        <v>InitEquipData('IC04',,"",,,,,'','','','','','',"")</v>
      </c>
      <c r="CS302" s="97"/>
      <c r="CT302" s="97"/>
      <c r="CU302" s="99" t="str">
        <f t="shared" si="4432"/>
        <v>|n</v>
      </c>
      <c r="CV302" s="70"/>
      <c r="DB302" s="71" t="str">
        <f t="shared" si="4433"/>
        <v/>
      </c>
      <c r="DC302" s="71" t="str">
        <f t="shared" si="4434"/>
        <v/>
      </c>
      <c r="DD302" s="71" t="str">
        <f t="shared" si="4435"/>
        <v/>
      </c>
      <c r="DE302" s="71" t="str">
        <f t="shared" si="4436"/>
        <v/>
      </c>
      <c r="DF302" s="71" t="str">
        <f t="shared" si="4437"/>
        <v/>
      </c>
      <c r="DG302" s="71" t="str">
        <f t="shared" si="4438"/>
        <v/>
      </c>
      <c r="DH302" s="71" t="str">
        <f t="shared" si="4439"/>
        <v/>
      </c>
      <c r="DI302" s="71" t="str">
        <f t="shared" si="4440"/>
        <v/>
      </c>
      <c r="DJ302" s="71" t="str">
        <f t="shared" si="4441"/>
        <v/>
      </c>
      <c r="DK302" s="71" t="str">
        <f t="shared" si="4442"/>
        <v/>
      </c>
      <c r="DL302" s="71" t="str">
        <f t="shared" si="4443"/>
        <v/>
      </c>
      <c r="DM302" s="71" t="str">
        <f t="shared" si="4444"/>
        <v/>
      </c>
      <c r="DN302" s="71" t="str">
        <f t="shared" si="4445"/>
        <v/>
      </c>
      <c r="DO302" s="71" t="str">
        <f t="shared" si="4446"/>
        <v/>
      </c>
      <c r="DP302" s="71" t="str">
        <f t="shared" si="4447"/>
        <v/>
      </c>
      <c r="DQ302" s="71" t="str">
        <f t="shared" si="4448"/>
        <v/>
      </c>
      <c r="DR302" s="71" t="str">
        <f t="shared" si="4449"/>
        <v/>
      </c>
      <c r="DS302" s="71" t="str">
        <f t="shared" si="4450"/>
        <v/>
      </c>
      <c r="DT302" s="71" t="str">
        <f t="shared" si="4451"/>
        <v/>
      </c>
      <c r="DU302" s="71" t="str">
        <f t="shared" si="4452"/>
        <v/>
      </c>
      <c r="DV302" s="71" t="str">
        <f t="shared" si="4453"/>
        <v/>
      </c>
      <c r="DW302" s="71" t="str">
        <f t="shared" si="4454"/>
        <v/>
      </c>
      <c r="DX302" s="71" t="str">
        <f t="shared" si="4455"/>
        <v/>
      </c>
      <c r="DY302" s="71" t="str">
        <f t="shared" si="4456"/>
        <v/>
      </c>
      <c r="DZ302" s="71" t="str">
        <f t="shared" si="4457"/>
        <v/>
      </c>
      <c r="EA302" s="71" t="str">
        <f t="shared" si="4458"/>
        <v/>
      </c>
      <c r="EB302" s="71" t="str">
        <f t="shared" si="4459"/>
        <v/>
      </c>
      <c r="EC302" s="71" t="str">
        <f t="shared" si="4460"/>
        <v/>
      </c>
      <c r="ED302" s="71" t="str">
        <f t="shared" si="4461"/>
        <v/>
      </c>
      <c r="EE302" s="71" t="str">
        <f t="shared" si="4462"/>
        <v/>
      </c>
      <c r="EF302" s="71" t="str">
        <f t="shared" si="4463"/>
        <v/>
      </c>
      <c r="EG302" s="71" t="str">
        <f t="shared" si="4464"/>
        <v/>
      </c>
      <c r="EH302" s="71" t="str">
        <f t="shared" si="4465"/>
        <v/>
      </c>
      <c r="EI302" s="71" t="str">
        <f t="shared" si="4466"/>
        <v/>
      </c>
      <c r="EJ302" s="71" t="str">
        <f t="shared" si="4467"/>
        <v/>
      </c>
      <c r="EK302" s="71" t="str">
        <f t="shared" si="4468"/>
        <v/>
      </c>
      <c r="EL302" s="71" t="str">
        <f t="shared" si="4469"/>
        <v/>
      </c>
      <c r="EM302" s="71" t="str">
        <f t="shared" si="4470"/>
        <v/>
      </c>
      <c r="EN302" s="71" t="str">
        <f t="shared" si="4471"/>
        <v/>
      </c>
      <c r="EO302" s="71" t="str">
        <f t="shared" si="4472"/>
        <v/>
      </c>
      <c r="EP302" s="71" t="str">
        <f t="shared" si="4473"/>
        <v/>
      </c>
      <c r="EQ302" s="71" t="str">
        <f t="shared" si="4474"/>
        <v/>
      </c>
      <c r="ER302" s="71" t="str">
        <f t="shared" si="4475"/>
        <v/>
      </c>
      <c r="ES302" s="71" t="str">
        <f t="shared" si="4476"/>
        <v/>
      </c>
      <c r="ET302" s="71" t="str">
        <f t="shared" si="4477"/>
        <v/>
      </c>
      <c r="EU302" s="71" t="str">
        <f t="shared" si="4478"/>
        <v/>
      </c>
      <c r="EV302" s="71" t="str">
        <f t="shared" si="4479"/>
        <v/>
      </c>
      <c r="EW302" s="71" t="str">
        <f t="shared" si="4480"/>
        <v/>
      </c>
      <c r="EX302" s="71" t="str">
        <f t="shared" si="4481"/>
        <v/>
      </c>
      <c r="EY302" s="71" t="str">
        <f t="shared" si="4482"/>
        <v/>
      </c>
      <c r="EZ302" s="71" t="str">
        <f t="shared" si="4483"/>
        <v/>
      </c>
      <c r="FA302" s="71" t="str">
        <f t="shared" si="4484"/>
        <v/>
      </c>
      <c r="FB302" s="71" t="str">
        <f t="shared" si="4485"/>
        <v/>
      </c>
      <c r="FC302" s="71" t="str">
        <f t="shared" si="4486"/>
        <v/>
      </c>
      <c r="FD302" s="71" t="str">
        <f t="shared" si="4487"/>
        <v/>
      </c>
      <c r="FE302" s="71" t="str">
        <f t="shared" si="4488"/>
        <v/>
      </c>
      <c r="FF302" s="71" t="str">
        <f t="shared" si="4489"/>
        <v/>
      </c>
      <c r="FG302" s="71" t="str">
        <f t="shared" si="4490"/>
        <v/>
      </c>
      <c r="FH302" s="71" t="str">
        <f t="shared" si="4491"/>
        <v/>
      </c>
      <c r="FI302" s="71" t="str">
        <f t="shared" si="4492"/>
        <v/>
      </c>
      <c r="FJ302" s="71" t="str">
        <f t="shared" si="4493"/>
        <v/>
      </c>
      <c r="FK302" s="71" t="str">
        <f t="shared" si="4494"/>
        <v/>
      </c>
      <c r="FL302" s="71" t="str">
        <f t="shared" si="4495"/>
        <v/>
      </c>
      <c r="FM302" s="71" t="str">
        <f t="shared" si="4496"/>
        <v/>
      </c>
      <c r="FN302" s="71" t="str">
        <f t="shared" si="4497"/>
        <v/>
      </c>
      <c r="FO302" s="71" t="str">
        <f t="shared" si="4498"/>
        <v/>
      </c>
      <c r="FP302" s="71" t="str">
        <f t="shared" si="4499"/>
        <v/>
      </c>
      <c r="FQ302" s="71" t="str">
        <f t="shared" si="4500"/>
        <v/>
      </c>
      <c r="FR302" s="71" t="str">
        <f t="shared" si="4501"/>
        <v/>
      </c>
      <c r="FS302" s="71" t="str">
        <f t="shared" si="4502"/>
        <v/>
      </c>
    </row>
    <row r="303" s="60" customFormat="1" ht="15" spans="1:175">
      <c r="A303" s="139"/>
      <c r="B303" s="105" t="s">
        <v>920</v>
      </c>
      <c r="C303" s="105" t="s">
        <v>921</v>
      </c>
      <c r="D303" s="75"/>
      <c r="E303" s="76"/>
      <c r="F303" s="140"/>
      <c r="G303" s="141"/>
      <c r="H303" s="141"/>
      <c r="I303" s="141"/>
      <c r="J303" s="141"/>
      <c r="K303" s="141"/>
      <c r="L303" s="141"/>
      <c r="M303" s="141"/>
      <c r="N303" s="141"/>
      <c r="O303" s="141"/>
      <c r="P303" s="84"/>
      <c r="Q303" s="84"/>
      <c r="R303" s="84"/>
      <c r="S303" s="84"/>
      <c r="T303" s="109"/>
      <c r="U303" s="89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5"/>
      <c r="AS303" s="95"/>
      <c r="AT303" s="94"/>
      <c r="AU303" s="94"/>
      <c r="AV303" s="94"/>
      <c r="AW303" s="94"/>
      <c r="AX303" s="94"/>
      <c r="AY303" s="94"/>
      <c r="AZ303" s="94"/>
      <c r="BA303" s="94"/>
      <c r="BB303" s="94"/>
      <c r="BC303" s="94"/>
      <c r="BD303" s="94"/>
      <c r="BE303" s="94"/>
      <c r="BF303" s="94"/>
      <c r="BG303" s="94"/>
      <c r="BH303" s="94"/>
      <c r="BI303" s="94"/>
      <c r="BJ303" s="94"/>
      <c r="BK303" s="94"/>
      <c r="BL303" s="94"/>
      <c r="BM303" s="94"/>
      <c r="BN303" s="94"/>
      <c r="BO303" s="94"/>
      <c r="BP303" s="94"/>
      <c r="BQ303" s="94"/>
      <c r="BR303" s="94"/>
      <c r="BS303" s="94"/>
      <c r="BT303" s="94"/>
      <c r="BU303" s="94"/>
      <c r="BV303" s="94"/>
      <c r="BW303" s="94"/>
      <c r="BX303" s="94"/>
      <c r="BY303" s="94"/>
      <c r="BZ303" s="94"/>
      <c r="CA303" s="94"/>
      <c r="CB303" s="94"/>
      <c r="CC303" s="94"/>
      <c r="CD303" s="94"/>
      <c r="CE303" s="94"/>
      <c r="CF303" s="94"/>
      <c r="CG303" s="94"/>
      <c r="CH303" s="94"/>
      <c r="CI303" s="94"/>
      <c r="CJ303" s="94"/>
      <c r="CK303" s="94"/>
      <c r="CL303" s="94"/>
      <c r="CM303" s="94"/>
      <c r="CN303" s="97" t="str">
        <f t="shared" si="4660"/>
        <v>InitUnitState('IC05',,,,,,,,,,)</v>
      </c>
      <c r="CO303" s="97" t="str">
        <f t="shared" si="4661"/>
        <v>InitUnitNormal('IC05',,,,,,,,,,)</v>
      </c>
      <c r="CP303" s="97" t="str">
        <f t="shared" si="4662"/>
        <v>InitUnitMagic('IC05',,,,,,,,,,)</v>
      </c>
      <c r="CQ303" s="97" t="str">
        <f t="shared" si="4663"/>
        <v>InitUnitAdd('IC05',,,,,,,,,,)</v>
      </c>
      <c r="CR303" s="97" t="str">
        <f t="shared" si="4360"/>
        <v>InitEquipData('IC05',,"",,,,,'','','','','','',"")</v>
      </c>
      <c r="CS303" s="97"/>
      <c r="CT303" s="97"/>
      <c r="CU303" s="99" t="str">
        <f t="shared" si="4432"/>
        <v>|n</v>
      </c>
      <c r="CV303" s="70"/>
      <c r="DB303" s="71" t="str">
        <f t="shared" si="4433"/>
        <v/>
      </c>
      <c r="DC303" s="71" t="str">
        <f t="shared" si="4434"/>
        <v/>
      </c>
      <c r="DD303" s="71" t="str">
        <f t="shared" si="4435"/>
        <v/>
      </c>
      <c r="DE303" s="71" t="str">
        <f t="shared" si="4436"/>
        <v/>
      </c>
      <c r="DF303" s="71" t="str">
        <f t="shared" si="4437"/>
        <v/>
      </c>
      <c r="DG303" s="71" t="str">
        <f t="shared" si="4438"/>
        <v/>
      </c>
      <c r="DH303" s="71" t="str">
        <f t="shared" si="4439"/>
        <v/>
      </c>
      <c r="DI303" s="71" t="str">
        <f t="shared" si="4440"/>
        <v/>
      </c>
      <c r="DJ303" s="71" t="str">
        <f t="shared" si="4441"/>
        <v/>
      </c>
      <c r="DK303" s="71" t="str">
        <f t="shared" si="4442"/>
        <v/>
      </c>
      <c r="DL303" s="71" t="str">
        <f t="shared" si="4443"/>
        <v/>
      </c>
      <c r="DM303" s="71" t="str">
        <f t="shared" si="4444"/>
        <v/>
      </c>
      <c r="DN303" s="71" t="str">
        <f t="shared" si="4445"/>
        <v/>
      </c>
      <c r="DO303" s="71" t="str">
        <f t="shared" si="4446"/>
        <v/>
      </c>
      <c r="DP303" s="71" t="str">
        <f t="shared" si="4447"/>
        <v/>
      </c>
      <c r="DQ303" s="71" t="str">
        <f t="shared" si="4448"/>
        <v/>
      </c>
      <c r="DR303" s="71" t="str">
        <f t="shared" si="4449"/>
        <v/>
      </c>
      <c r="DS303" s="71" t="str">
        <f t="shared" si="4450"/>
        <v/>
      </c>
      <c r="DT303" s="71" t="str">
        <f t="shared" si="4451"/>
        <v/>
      </c>
      <c r="DU303" s="71" t="str">
        <f t="shared" si="4452"/>
        <v/>
      </c>
      <c r="DV303" s="71" t="str">
        <f t="shared" si="4453"/>
        <v/>
      </c>
      <c r="DW303" s="71" t="str">
        <f t="shared" si="4454"/>
        <v/>
      </c>
      <c r="DX303" s="71" t="str">
        <f t="shared" si="4455"/>
        <v/>
      </c>
      <c r="DY303" s="71" t="str">
        <f t="shared" si="4456"/>
        <v/>
      </c>
      <c r="DZ303" s="71" t="str">
        <f t="shared" si="4457"/>
        <v/>
      </c>
      <c r="EA303" s="71" t="str">
        <f t="shared" si="4458"/>
        <v/>
      </c>
      <c r="EB303" s="71" t="str">
        <f t="shared" si="4459"/>
        <v/>
      </c>
      <c r="EC303" s="71" t="str">
        <f t="shared" si="4460"/>
        <v/>
      </c>
      <c r="ED303" s="71" t="str">
        <f t="shared" si="4461"/>
        <v/>
      </c>
      <c r="EE303" s="71" t="str">
        <f t="shared" si="4462"/>
        <v/>
      </c>
      <c r="EF303" s="71" t="str">
        <f t="shared" si="4463"/>
        <v/>
      </c>
      <c r="EG303" s="71" t="str">
        <f t="shared" si="4464"/>
        <v/>
      </c>
      <c r="EH303" s="71" t="str">
        <f t="shared" si="4465"/>
        <v/>
      </c>
      <c r="EI303" s="71" t="str">
        <f t="shared" si="4466"/>
        <v/>
      </c>
      <c r="EJ303" s="71" t="str">
        <f t="shared" si="4467"/>
        <v/>
      </c>
      <c r="EK303" s="71" t="str">
        <f t="shared" si="4468"/>
        <v/>
      </c>
      <c r="EL303" s="71" t="str">
        <f t="shared" si="4469"/>
        <v/>
      </c>
      <c r="EM303" s="71" t="str">
        <f t="shared" si="4470"/>
        <v/>
      </c>
      <c r="EN303" s="71" t="str">
        <f t="shared" si="4471"/>
        <v/>
      </c>
      <c r="EO303" s="71" t="str">
        <f t="shared" si="4472"/>
        <v/>
      </c>
      <c r="EP303" s="71" t="str">
        <f t="shared" si="4473"/>
        <v/>
      </c>
      <c r="EQ303" s="71" t="str">
        <f t="shared" si="4474"/>
        <v/>
      </c>
      <c r="ER303" s="71" t="str">
        <f t="shared" si="4475"/>
        <v/>
      </c>
      <c r="ES303" s="71" t="str">
        <f t="shared" si="4476"/>
        <v/>
      </c>
      <c r="ET303" s="71" t="str">
        <f t="shared" si="4477"/>
        <v/>
      </c>
      <c r="EU303" s="71" t="str">
        <f t="shared" si="4478"/>
        <v/>
      </c>
      <c r="EV303" s="71" t="str">
        <f t="shared" si="4479"/>
        <v/>
      </c>
      <c r="EW303" s="71" t="str">
        <f t="shared" si="4480"/>
        <v/>
      </c>
      <c r="EX303" s="71" t="str">
        <f t="shared" si="4481"/>
        <v/>
      </c>
      <c r="EY303" s="71" t="str">
        <f t="shared" si="4482"/>
        <v/>
      </c>
      <c r="EZ303" s="71" t="str">
        <f t="shared" si="4483"/>
        <v/>
      </c>
      <c r="FA303" s="71" t="str">
        <f t="shared" si="4484"/>
        <v/>
      </c>
      <c r="FB303" s="71" t="str">
        <f t="shared" si="4485"/>
        <v/>
      </c>
      <c r="FC303" s="71" t="str">
        <f t="shared" si="4486"/>
        <v/>
      </c>
      <c r="FD303" s="71" t="str">
        <f t="shared" si="4487"/>
        <v/>
      </c>
      <c r="FE303" s="71" t="str">
        <f t="shared" si="4488"/>
        <v/>
      </c>
      <c r="FF303" s="71" t="str">
        <f t="shared" si="4489"/>
        <v/>
      </c>
      <c r="FG303" s="71" t="str">
        <f t="shared" si="4490"/>
        <v/>
      </c>
      <c r="FH303" s="71" t="str">
        <f t="shared" si="4491"/>
        <v/>
      </c>
      <c r="FI303" s="71" t="str">
        <f t="shared" si="4492"/>
        <v/>
      </c>
      <c r="FJ303" s="71" t="str">
        <f t="shared" si="4493"/>
        <v/>
      </c>
      <c r="FK303" s="71" t="str">
        <f t="shared" si="4494"/>
        <v/>
      </c>
      <c r="FL303" s="71" t="str">
        <f t="shared" si="4495"/>
        <v/>
      </c>
      <c r="FM303" s="71" t="str">
        <f t="shared" si="4496"/>
        <v/>
      </c>
      <c r="FN303" s="71" t="str">
        <f t="shared" si="4497"/>
        <v/>
      </c>
      <c r="FO303" s="71" t="str">
        <f t="shared" si="4498"/>
        <v/>
      </c>
      <c r="FP303" s="71" t="str">
        <f t="shared" si="4499"/>
        <v/>
      </c>
      <c r="FQ303" s="71" t="str">
        <f t="shared" si="4500"/>
        <v/>
      </c>
      <c r="FR303" s="71" t="str">
        <f t="shared" si="4501"/>
        <v/>
      </c>
      <c r="FS303" s="71" t="str">
        <f t="shared" si="4502"/>
        <v/>
      </c>
    </row>
    <row r="304" s="60" customFormat="1" ht="15" spans="1:175">
      <c r="A304" s="139"/>
      <c r="B304" s="105" t="s">
        <v>922</v>
      </c>
      <c r="C304" s="105" t="s">
        <v>923</v>
      </c>
      <c r="D304" s="75"/>
      <c r="E304" s="76"/>
      <c r="F304" s="140"/>
      <c r="G304" s="141"/>
      <c r="H304" s="141"/>
      <c r="I304" s="141"/>
      <c r="J304" s="141"/>
      <c r="K304" s="141"/>
      <c r="L304" s="141"/>
      <c r="M304" s="141"/>
      <c r="N304" s="141"/>
      <c r="O304" s="141"/>
      <c r="P304" s="84"/>
      <c r="Q304" s="84"/>
      <c r="R304" s="84"/>
      <c r="S304" s="84"/>
      <c r="T304" s="109"/>
      <c r="U304" s="89"/>
      <c r="V304" s="94"/>
      <c r="W304" s="94"/>
      <c r="X304" s="94"/>
      <c r="Y304" s="94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5"/>
      <c r="AS304" s="95"/>
      <c r="AT304" s="94"/>
      <c r="AU304" s="94"/>
      <c r="AV304" s="94"/>
      <c r="AW304" s="94"/>
      <c r="AX304" s="94"/>
      <c r="AY304" s="94"/>
      <c r="AZ304" s="94"/>
      <c r="BA304" s="94"/>
      <c r="BB304" s="94"/>
      <c r="BC304" s="94"/>
      <c r="BD304" s="94"/>
      <c r="BE304" s="94"/>
      <c r="BF304" s="94"/>
      <c r="BG304" s="94"/>
      <c r="BH304" s="94"/>
      <c r="BI304" s="94"/>
      <c r="BJ304" s="94"/>
      <c r="BK304" s="94"/>
      <c r="BL304" s="94"/>
      <c r="BM304" s="94"/>
      <c r="BN304" s="94"/>
      <c r="BO304" s="94"/>
      <c r="BP304" s="94"/>
      <c r="BQ304" s="94"/>
      <c r="BR304" s="94"/>
      <c r="BS304" s="94"/>
      <c r="BT304" s="94"/>
      <c r="BU304" s="94"/>
      <c r="BV304" s="94"/>
      <c r="BW304" s="94"/>
      <c r="BX304" s="94"/>
      <c r="BY304" s="94"/>
      <c r="BZ304" s="94"/>
      <c r="CA304" s="94"/>
      <c r="CB304" s="94"/>
      <c r="CC304" s="94"/>
      <c r="CD304" s="94"/>
      <c r="CE304" s="94"/>
      <c r="CF304" s="94"/>
      <c r="CG304" s="94"/>
      <c r="CH304" s="94"/>
      <c r="CI304" s="94"/>
      <c r="CJ304" s="94"/>
      <c r="CK304" s="94"/>
      <c r="CL304" s="94"/>
      <c r="CM304" s="94"/>
      <c r="CN304" s="97" t="str">
        <f t="shared" si="4660"/>
        <v>InitUnitState('IC06',,,,,,,,,,)</v>
      </c>
      <c r="CO304" s="97" t="str">
        <f t="shared" si="4661"/>
        <v>InitUnitNormal('IC06',,,,,,,,,,)</v>
      </c>
      <c r="CP304" s="97" t="str">
        <f t="shared" si="4662"/>
        <v>InitUnitMagic('IC06',,,,,,,,,,)</v>
      </c>
      <c r="CQ304" s="97" t="str">
        <f t="shared" si="4663"/>
        <v>InitUnitAdd('IC06',,,,,,,,,,)</v>
      </c>
      <c r="CR304" s="97" t="str">
        <f t="shared" si="4360"/>
        <v>InitEquipData('IC06',,"",,,,,'','','','','','',"")</v>
      </c>
      <c r="CS304" s="97"/>
      <c r="CT304" s="97"/>
      <c r="CU304" s="99" t="str">
        <f t="shared" si="4432"/>
        <v>|n</v>
      </c>
      <c r="CV304" s="70"/>
      <c r="DB304" s="71" t="str">
        <f t="shared" si="4433"/>
        <v/>
      </c>
      <c r="DC304" s="71" t="str">
        <f t="shared" si="4434"/>
        <v/>
      </c>
      <c r="DD304" s="71" t="str">
        <f t="shared" si="4435"/>
        <v/>
      </c>
      <c r="DE304" s="71" t="str">
        <f t="shared" si="4436"/>
        <v/>
      </c>
      <c r="DF304" s="71" t="str">
        <f t="shared" si="4437"/>
        <v/>
      </c>
      <c r="DG304" s="71" t="str">
        <f t="shared" si="4438"/>
        <v/>
      </c>
      <c r="DH304" s="71" t="str">
        <f t="shared" si="4439"/>
        <v/>
      </c>
      <c r="DI304" s="71" t="str">
        <f t="shared" si="4440"/>
        <v/>
      </c>
      <c r="DJ304" s="71" t="str">
        <f t="shared" si="4441"/>
        <v/>
      </c>
      <c r="DK304" s="71" t="str">
        <f t="shared" si="4442"/>
        <v/>
      </c>
      <c r="DL304" s="71" t="str">
        <f t="shared" si="4443"/>
        <v/>
      </c>
      <c r="DM304" s="71" t="str">
        <f t="shared" si="4444"/>
        <v/>
      </c>
      <c r="DN304" s="71" t="str">
        <f t="shared" si="4445"/>
        <v/>
      </c>
      <c r="DO304" s="71" t="str">
        <f t="shared" si="4446"/>
        <v/>
      </c>
      <c r="DP304" s="71" t="str">
        <f t="shared" si="4447"/>
        <v/>
      </c>
      <c r="DQ304" s="71" t="str">
        <f t="shared" si="4448"/>
        <v/>
      </c>
      <c r="DR304" s="71" t="str">
        <f t="shared" si="4449"/>
        <v/>
      </c>
      <c r="DS304" s="71" t="str">
        <f t="shared" si="4450"/>
        <v/>
      </c>
      <c r="DT304" s="71" t="str">
        <f t="shared" si="4451"/>
        <v/>
      </c>
      <c r="DU304" s="71" t="str">
        <f t="shared" si="4452"/>
        <v/>
      </c>
      <c r="DV304" s="71" t="str">
        <f t="shared" si="4453"/>
        <v/>
      </c>
      <c r="DW304" s="71" t="str">
        <f t="shared" si="4454"/>
        <v/>
      </c>
      <c r="DX304" s="71" t="str">
        <f t="shared" si="4455"/>
        <v/>
      </c>
      <c r="DY304" s="71" t="str">
        <f t="shared" si="4456"/>
        <v/>
      </c>
      <c r="DZ304" s="71" t="str">
        <f t="shared" si="4457"/>
        <v/>
      </c>
      <c r="EA304" s="71" t="str">
        <f t="shared" si="4458"/>
        <v/>
      </c>
      <c r="EB304" s="71" t="str">
        <f t="shared" si="4459"/>
        <v/>
      </c>
      <c r="EC304" s="71" t="str">
        <f t="shared" si="4460"/>
        <v/>
      </c>
      <c r="ED304" s="71" t="str">
        <f t="shared" si="4461"/>
        <v/>
      </c>
      <c r="EE304" s="71" t="str">
        <f t="shared" si="4462"/>
        <v/>
      </c>
      <c r="EF304" s="71" t="str">
        <f t="shared" si="4463"/>
        <v/>
      </c>
      <c r="EG304" s="71" t="str">
        <f t="shared" si="4464"/>
        <v/>
      </c>
      <c r="EH304" s="71" t="str">
        <f t="shared" si="4465"/>
        <v/>
      </c>
      <c r="EI304" s="71" t="str">
        <f t="shared" si="4466"/>
        <v/>
      </c>
      <c r="EJ304" s="71" t="str">
        <f t="shared" si="4467"/>
        <v/>
      </c>
      <c r="EK304" s="71" t="str">
        <f t="shared" si="4468"/>
        <v/>
      </c>
      <c r="EL304" s="71" t="str">
        <f t="shared" si="4469"/>
        <v/>
      </c>
      <c r="EM304" s="71" t="str">
        <f t="shared" si="4470"/>
        <v/>
      </c>
      <c r="EN304" s="71" t="str">
        <f t="shared" si="4471"/>
        <v/>
      </c>
      <c r="EO304" s="71" t="str">
        <f t="shared" si="4472"/>
        <v/>
      </c>
      <c r="EP304" s="71" t="str">
        <f t="shared" si="4473"/>
        <v/>
      </c>
      <c r="EQ304" s="71" t="str">
        <f t="shared" si="4474"/>
        <v/>
      </c>
      <c r="ER304" s="71" t="str">
        <f t="shared" si="4475"/>
        <v/>
      </c>
      <c r="ES304" s="71" t="str">
        <f t="shared" si="4476"/>
        <v/>
      </c>
      <c r="ET304" s="71" t="str">
        <f t="shared" si="4477"/>
        <v/>
      </c>
      <c r="EU304" s="71" t="str">
        <f t="shared" si="4478"/>
        <v/>
      </c>
      <c r="EV304" s="71" t="str">
        <f t="shared" si="4479"/>
        <v/>
      </c>
      <c r="EW304" s="71" t="str">
        <f t="shared" si="4480"/>
        <v/>
      </c>
      <c r="EX304" s="71" t="str">
        <f t="shared" si="4481"/>
        <v/>
      </c>
      <c r="EY304" s="71" t="str">
        <f t="shared" si="4482"/>
        <v/>
      </c>
      <c r="EZ304" s="71" t="str">
        <f t="shared" si="4483"/>
        <v/>
      </c>
      <c r="FA304" s="71" t="str">
        <f t="shared" si="4484"/>
        <v/>
      </c>
      <c r="FB304" s="71" t="str">
        <f t="shared" si="4485"/>
        <v/>
      </c>
      <c r="FC304" s="71" t="str">
        <f t="shared" si="4486"/>
        <v/>
      </c>
      <c r="FD304" s="71" t="str">
        <f t="shared" si="4487"/>
        <v/>
      </c>
      <c r="FE304" s="71" t="str">
        <f t="shared" si="4488"/>
        <v/>
      </c>
      <c r="FF304" s="71" t="str">
        <f t="shared" si="4489"/>
        <v/>
      </c>
      <c r="FG304" s="71" t="str">
        <f t="shared" si="4490"/>
        <v/>
      </c>
      <c r="FH304" s="71" t="str">
        <f t="shared" si="4491"/>
        <v/>
      </c>
      <c r="FI304" s="71" t="str">
        <f t="shared" si="4492"/>
        <v/>
      </c>
      <c r="FJ304" s="71" t="str">
        <f t="shared" si="4493"/>
        <v/>
      </c>
      <c r="FK304" s="71" t="str">
        <f t="shared" si="4494"/>
        <v/>
      </c>
      <c r="FL304" s="71" t="str">
        <f t="shared" si="4495"/>
        <v/>
      </c>
      <c r="FM304" s="71" t="str">
        <f t="shared" si="4496"/>
        <v/>
      </c>
      <c r="FN304" s="71" t="str">
        <f t="shared" si="4497"/>
        <v/>
      </c>
      <c r="FO304" s="71" t="str">
        <f t="shared" si="4498"/>
        <v/>
      </c>
      <c r="FP304" s="71" t="str">
        <f t="shared" si="4499"/>
        <v/>
      </c>
      <c r="FQ304" s="71" t="str">
        <f t="shared" si="4500"/>
        <v/>
      </c>
      <c r="FR304" s="71" t="str">
        <f t="shared" si="4501"/>
        <v/>
      </c>
      <c r="FS304" s="71" t="str">
        <f t="shared" si="4502"/>
        <v/>
      </c>
    </row>
    <row r="305" s="60" customFormat="1" ht="15" spans="1:175">
      <c r="A305" s="139"/>
      <c r="B305" s="105" t="s">
        <v>924</v>
      </c>
      <c r="C305" s="105" t="s">
        <v>925</v>
      </c>
      <c r="D305" s="75"/>
      <c r="E305" s="76"/>
      <c r="F305" s="140"/>
      <c r="G305" s="141"/>
      <c r="H305" s="141"/>
      <c r="I305" s="141"/>
      <c r="J305" s="141"/>
      <c r="K305" s="141"/>
      <c r="L305" s="141"/>
      <c r="M305" s="141"/>
      <c r="N305" s="141"/>
      <c r="O305" s="141"/>
      <c r="P305" s="84"/>
      <c r="Q305" s="84"/>
      <c r="R305" s="84"/>
      <c r="S305" s="84"/>
      <c r="T305" s="109"/>
      <c r="U305" s="89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5"/>
      <c r="AS305" s="95"/>
      <c r="AT305" s="94"/>
      <c r="AU305" s="94"/>
      <c r="AV305" s="94"/>
      <c r="AW305" s="94"/>
      <c r="AX305" s="94"/>
      <c r="AY305" s="94"/>
      <c r="AZ305" s="94"/>
      <c r="BA305" s="94"/>
      <c r="BB305" s="94"/>
      <c r="BC305" s="94"/>
      <c r="BD305" s="94"/>
      <c r="BE305" s="94"/>
      <c r="BF305" s="94"/>
      <c r="BG305" s="94"/>
      <c r="BH305" s="94"/>
      <c r="BI305" s="94"/>
      <c r="BJ305" s="94"/>
      <c r="BK305" s="94"/>
      <c r="BL305" s="94"/>
      <c r="BM305" s="94"/>
      <c r="BN305" s="94"/>
      <c r="BO305" s="94"/>
      <c r="BP305" s="94"/>
      <c r="BQ305" s="94"/>
      <c r="BR305" s="94"/>
      <c r="BS305" s="94"/>
      <c r="BT305" s="94"/>
      <c r="BU305" s="94"/>
      <c r="BV305" s="94"/>
      <c r="BW305" s="94"/>
      <c r="BX305" s="94"/>
      <c r="BY305" s="94"/>
      <c r="BZ305" s="94"/>
      <c r="CA305" s="94"/>
      <c r="CB305" s="94"/>
      <c r="CC305" s="94"/>
      <c r="CD305" s="94"/>
      <c r="CE305" s="94"/>
      <c r="CF305" s="94"/>
      <c r="CG305" s="94"/>
      <c r="CH305" s="94"/>
      <c r="CI305" s="94"/>
      <c r="CJ305" s="94"/>
      <c r="CK305" s="94"/>
      <c r="CL305" s="94"/>
      <c r="CM305" s="94"/>
      <c r="CN305" s="97" t="str">
        <f t="shared" si="4660"/>
        <v>InitUnitState('IC07',,,,,,,,,,)</v>
      </c>
      <c r="CO305" s="97" t="str">
        <f t="shared" si="4661"/>
        <v>InitUnitNormal('IC07',,,,,,,,,,)</v>
      </c>
      <c r="CP305" s="97" t="str">
        <f t="shared" si="4662"/>
        <v>InitUnitMagic('IC07',,,,,,,,,,)</v>
      </c>
      <c r="CQ305" s="97" t="str">
        <f t="shared" si="4663"/>
        <v>InitUnitAdd('IC07',,,,,,,,,,)</v>
      </c>
      <c r="CR305" s="97" t="str">
        <f t="shared" si="4360"/>
        <v>InitEquipData('IC07',,"",,,,,'','','','','','',"")</v>
      </c>
      <c r="CS305" s="97"/>
      <c r="CT305" s="97"/>
      <c r="CU305" s="99" t="str">
        <f t="shared" si="4432"/>
        <v>|n</v>
      </c>
      <c r="CV305" s="70"/>
      <c r="DB305" s="71" t="str">
        <f t="shared" si="4433"/>
        <v/>
      </c>
      <c r="DC305" s="71" t="str">
        <f t="shared" si="4434"/>
        <v/>
      </c>
      <c r="DD305" s="71" t="str">
        <f t="shared" si="4435"/>
        <v/>
      </c>
      <c r="DE305" s="71" t="str">
        <f t="shared" si="4436"/>
        <v/>
      </c>
      <c r="DF305" s="71" t="str">
        <f t="shared" si="4437"/>
        <v/>
      </c>
      <c r="DG305" s="71" t="str">
        <f t="shared" si="4438"/>
        <v/>
      </c>
      <c r="DH305" s="71" t="str">
        <f t="shared" si="4439"/>
        <v/>
      </c>
      <c r="DI305" s="71" t="str">
        <f t="shared" si="4440"/>
        <v/>
      </c>
      <c r="DJ305" s="71" t="str">
        <f t="shared" si="4441"/>
        <v/>
      </c>
      <c r="DK305" s="71" t="str">
        <f t="shared" si="4442"/>
        <v/>
      </c>
      <c r="DL305" s="71" t="str">
        <f t="shared" si="4443"/>
        <v/>
      </c>
      <c r="DM305" s="71" t="str">
        <f t="shared" si="4444"/>
        <v/>
      </c>
      <c r="DN305" s="71" t="str">
        <f t="shared" si="4445"/>
        <v/>
      </c>
      <c r="DO305" s="71" t="str">
        <f t="shared" si="4446"/>
        <v/>
      </c>
      <c r="DP305" s="71" t="str">
        <f t="shared" si="4447"/>
        <v/>
      </c>
      <c r="DQ305" s="71" t="str">
        <f t="shared" si="4448"/>
        <v/>
      </c>
      <c r="DR305" s="71" t="str">
        <f t="shared" si="4449"/>
        <v/>
      </c>
      <c r="DS305" s="71" t="str">
        <f t="shared" si="4450"/>
        <v/>
      </c>
      <c r="DT305" s="71" t="str">
        <f t="shared" si="4451"/>
        <v/>
      </c>
      <c r="DU305" s="71" t="str">
        <f t="shared" si="4452"/>
        <v/>
      </c>
      <c r="DV305" s="71" t="str">
        <f t="shared" si="4453"/>
        <v/>
      </c>
      <c r="DW305" s="71" t="str">
        <f t="shared" si="4454"/>
        <v/>
      </c>
      <c r="DX305" s="71" t="str">
        <f t="shared" si="4455"/>
        <v/>
      </c>
      <c r="DY305" s="71" t="str">
        <f t="shared" si="4456"/>
        <v/>
      </c>
      <c r="DZ305" s="71" t="str">
        <f t="shared" si="4457"/>
        <v/>
      </c>
      <c r="EA305" s="71" t="str">
        <f t="shared" si="4458"/>
        <v/>
      </c>
      <c r="EB305" s="71" t="str">
        <f t="shared" si="4459"/>
        <v/>
      </c>
      <c r="EC305" s="71" t="str">
        <f t="shared" si="4460"/>
        <v/>
      </c>
      <c r="ED305" s="71" t="str">
        <f t="shared" si="4461"/>
        <v/>
      </c>
      <c r="EE305" s="71" t="str">
        <f t="shared" si="4462"/>
        <v/>
      </c>
      <c r="EF305" s="71" t="str">
        <f t="shared" si="4463"/>
        <v/>
      </c>
      <c r="EG305" s="71" t="str">
        <f t="shared" si="4464"/>
        <v/>
      </c>
      <c r="EH305" s="71" t="str">
        <f t="shared" si="4465"/>
        <v/>
      </c>
      <c r="EI305" s="71" t="str">
        <f t="shared" si="4466"/>
        <v/>
      </c>
      <c r="EJ305" s="71" t="str">
        <f t="shared" si="4467"/>
        <v/>
      </c>
      <c r="EK305" s="71" t="str">
        <f t="shared" si="4468"/>
        <v/>
      </c>
      <c r="EL305" s="71" t="str">
        <f t="shared" si="4469"/>
        <v/>
      </c>
      <c r="EM305" s="71" t="str">
        <f t="shared" si="4470"/>
        <v/>
      </c>
      <c r="EN305" s="71" t="str">
        <f t="shared" si="4471"/>
        <v/>
      </c>
      <c r="EO305" s="71" t="str">
        <f t="shared" si="4472"/>
        <v/>
      </c>
      <c r="EP305" s="71" t="str">
        <f t="shared" si="4473"/>
        <v/>
      </c>
      <c r="EQ305" s="71" t="str">
        <f t="shared" si="4474"/>
        <v/>
      </c>
      <c r="ER305" s="71" t="str">
        <f t="shared" si="4475"/>
        <v/>
      </c>
      <c r="ES305" s="71" t="str">
        <f t="shared" si="4476"/>
        <v/>
      </c>
      <c r="ET305" s="71" t="str">
        <f t="shared" si="4477"/>
        <v/>
      </c>
      <c r="EU305" s="71" t="str">
        <f t="shared" si="4478"/>
        <v/>
      </c>
      <c r="EV305" s="71" t="str">
        <f t="shared" si="4479"/>
        <v/>
      </c>
      <c r="EW305" s="71" t="str">
        <f t="shared" si="4480"/>
        <v/>
      </c>
      <c r="EX305" s="71" t="str">
        <f t="shared" si="4481"/>
        <v/>
      </c>
      <c r="EY305" s="71" t="str">
        <f t="shared" si="4482"/>
        <v/>
      </c>
      <c r="EZ305" s="71" t="str">
        <f t="shared" si="4483"/>
        <v/>
      </c>
      <c r="FA305" s="71" t="str">
        <f t="shared" si="4484"/>
        <v/>
      </c>
      <c r="FB305" s="71" t="str">
        <f t="shared" si="4485"/>
        <v/>
      </c>
      <c r="FC305" s="71" t="str">
        <f t="shared" si="4486"/>
        <v/>
      </c>
      <c r="FD305" s="71" t="str">
        <f t="shared" si="4487"/>
        <v/>
      </c>
      <c r="FE305" s="71" t="str">
        <f t="shared" si="4488"/>
        <v/>
      </c>
      <c r="FF305" s="71" t="str">
        <f t="shared" si="4489"/>
        <v/>
      </c>
      <c r="FG305" s="71" t="str">
        <f t="shared" si="4490"/>
        <v/>
      </c>
      <c r="FH305" s="71" t="str">
        <f t="shared" si="4491"/>
        <v/>
      </c>
      <c r="FI305" s="71" t="str">
        <f t="shared" si="4492"/>
        <v/>
      </c>
      <c r="FJ305" s="71" t="str">
        <f t="shared" si="4493"/>
        <v/>
      </c>
      <c r="FK305" s="71" t="str">
        <f t="shared" si="4494"/>
        <v/>
      </c>
      <c r="FL305" s="71" t="str">
        <f t="shared" si="4495"/>
        <v/>
      </c>
      <c r="FM305" s="71" t="str">
        <f t="shared" si="4496"/>
        <v/>
      </c>
      <c r="FN305" s="71" t="str">
        <f t="shared" si="4497"/>
        <v/>
      </c>
      <c r="FO305" s="71" t="str">
        <f t="shared" si="4498"/>
        <v/>
      </c>
      <c r="FP305" s="71" t="str">
        <f t="shared" si="4499"/>
        <v/>
      </c>
      <c r="FQ305" s="71" t="str">
        <f t="shared" si="4500"/>
        <v/>
      </c>
      <c r="FR305" s="71" t="str">
        <f t="shared" si="4501"/>
        <v/>
      </c>
      <c r="FS305" s="71" t="str">
        <f t="shared" si="4502"/>
        <v/>
      </c>
    </row>
    <row r="306" s="60" customFormat="1" ht="15" spans="1:175">
      <c r="A306" s="139"/>
      <c r="B306" s="105" t="s">
        <v>926</v>
      </c>
      <c r="C306" s="105" t="s">
        <v>927</v>
      </c>
      <c r="D306" s="75"/>
      <c r="E306" s="76"/>
      <c r="F306" s="140"/>
      <c r="G306" s="141"/>
      <c r="H306" s="141"/>
      <c r="I306" s="141"/>
      <c r="J306" s="141"/>
      <c r="K306" s="141"/>
      <c r="L306" s="141"/>
      <c r="M306" s="141"/>
      <c r="N306" s="141"/>
      <c r="O306" s="141"/>
      <c r="P306" s="84"/>
      <c r="Q306" s="84"/>
      <c r="R306" s="84"/>
      <c r="S306" s="84"/>
      <c r="T306" s="109"/>
      <c r="U306" s="89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5"/>
      <c r="AS306" s="95"/>
      <c r="AT306" s="94"/>
      <c r="AU306" s="94"/>
      <c r="AV306" s="94"/>
      <c r="AW306" s="94"/>
      <c r="AX306" s="94"/>
      <c r="AY306" s="94"/>
      <c r="AZ306" s="94"/>
      <c r="BA306" s="94"/>
      <c r="BB306" s="94"/>
      <c r="BC306" s="94"/>
      <c r="BD306" s="94"/>
      <c r="BE306" s="94"/>
      <c r="BF306" s="94"/>
      <c r="BG306" s="94"/>
      <c r="BH306" s="94"/>
      <c r="BI306" s="94"/>
      <c r="BJ306" s="94"/>
      <c r="BK306" s="94"/>
      <c r="BL306" s="94"/>
      <c r="BM306" s="94"/>
      <c r="BN306" s="94"/>
      <c r="BO306" s="94"/>
      <c r="BP306" s="94"/>
      <c r="BQ306" s="94"/>
      <c r="BR306" s="94"/>
      <c r="BS306" s="94"/>
      <c r="BT306" s="94"/>
      <c r="BU306" s="94"/>
      <c r="BV306" s="94"/>
      <c r="BW306" s="94"/>
      <c r="BX306" s="94"/>
      <c r="BY306" s="94"/>
      <c r="BZ306" s="94"/>
      <c r="CA306" s="94"/>
      <c r="CB306" s="94"/>
      <c r="CC306" s="94"/>
      <c r="CD306" s="94"/>
      <c r="CE306" s="94"/>
      <c r="CF306" s="94"/>
      <c r="CG306" s="94"/>
      <c r="CH306" s="94"/>
      <c r="CI306" s="94"/>
      <c r="CJ306" s="94"/>
      <c r="CK306" s="94"/>
      <c r="CL306" s="94"/>
      <c r="CM306" s="94"/>
      <c r="CN306" s="97" t="str">
        <f t="shared" si="4660"/>
        <v>InitUnitState('IC08',,,,,,,,,,)</v>
      </c>
      <c r="CO306" s="97" t="str">
        <f t="shared" si="4661"/>
        <v>InitUnitNormal('IC08',,,,,,,,,,)</v>
      </c>
      <c r="CP306" s="97" t="str">
        <f t="shared" si="4662"/>
        <v>InitUnitMagic('IC08',,,,,,,,,,)</v>
      </c>
      <c r="CQ306" s="97" t="str">
        <f t="shared" si="4663"/>
        <v>InitUnitAdd('IC08',,,,,,,,,,)</v>
      </c>
      <c r="CR306" s="97" t="str">
        <f t="shared" si="4360"/>
        <v>InitEquipData('IC08',,"",,,,,'','','','','','',"")</v>
      </c>
      <c r="CS306" s="97"/>
      <c r="CT306" s="97"/>
      <c r="CU306" s="99" t="str">
        <f t="shared" si="4432"/>
        <v>|n</v>
      </c>
      <c r="CV306" s="70"/>
      <c r="DB306" s="71" t="str">
        <f t="shared" si="4433"/>
        <v/>
      </c>
      <c r="DC306" s="71" t="str">
        <f t="shared" si="4434"/>
        <v/>
      </c>
      <c r="DD306" s="71" t="str">
        <f t="shared" si="4435"/>
        <v/>
      </c>
      <c r="DE306" s="71" t="str">
        <f t="shared" si="4436"/>
        <v/>
      </c>
      <c r="DF306" s="71" t="str">
        <f t="shared" si="4437"/>
        <v/>
      </c>
      <c r="DG306" s="71" t="str">
        <f t="shared" si="4438"/>
        <v/>
      </c>
      <c r="DH306" s="71" t="str">
        <f t="shared" si="4439"/>
        <v/>
      </c>
      <c r="DI306" s="71" t="str">
        <f t="shared" si="4440"/>
        <v/>
      </c>
      <c r="DJ306" s="71" t="str">
        <f t="shared" si="4441"/>
        <v/>
      </c>
      <c r="DK306" s="71" t="str">
        <f t="shared" si="4442"/>
        <v/>
      </c>
      <c r="DL306" s="71" t="str">
        <f t="shared" si="4443"/>
        <v/>
      </c>
      <c r="DM306" s="71" t="str">
        <f t="shared" si="4444"/>
        <v/>
      </c>
      <c r="DN306" s="71" t="str">
        <f t="shared" si="4445"/>
        <v/>
      </c>
      <c r="DO306" s="71" t="str">
        <f t="shared" si="4446"/>
        <v/>
      </c>
      <c r="DP306" s="71" t="str">
        <f t="shared" si="4447"/>
        <v/>
      </c>
      <c r="DQ306" s="71" t="str">
        <f t="shared" si="4448"/>
        <v/>
      </c>
      <c r="DR306" s="71" t="str">
        <f t="shared" si="4449"/>
        <v/>
      </c>
      <c r="DS306" s="71" t="str">
        <f t="shared" si="4450"/>
        <v/>
      </c>
      <c r="DT306" s="71" t="str">
        <f t="shared" si="4451"/>
        <v/>
      </c>
      <c r="DU306" s="71" t="str">
        <f t="shared" si="4452"/>
        <v/>
      </c>
      <c r="DV306" s="71" t="str">
        <f t="shared" si="4453"/>
        <v/>
      </c>
      <c r="DW306" s="71" t="str">
        <f t="shared" si="4454"/>
        <v/>
      </c>
      <c r="DX306" s="71" t="str">
        <f t="shared" si="4455"/>
        <v/>
      </c>
      <c r="DY306" s="71" t="str">
        <f t="shared" si="4456"/>
        <v/>
      </c>
      <c r="DZ306" s="71" t="str">
        <f t="shared" si="4457"/>
        <v/>
      </c>
      <c r="EA306" s="71" t="str">
        <f t="shared" si="4458"/>
        <v/>
      </c>
      <c r="EB306" s="71" t="str">
        <f t="shared" si="4459"/>
        <v/>
      </c>
      <c r="EC306" s="71" t="str">
        <f t="shared" si="4460"/>
        <v/>
      </c>
      <c r="ED306" s="71" t="str">
        <f t="shared" si="4461"/>
        <v/>
      </c>
      <c r="EE306" s="71" t="str">
        <f t="shared" si="4462"/>
        <v/>
      </c>
      <c r="EF306" s="71" t="str">
        <f t="shared" si="4463"/>
        <v/>
      </c>
      <c r="EG306" s="71" t="str">
        <f t="shared" si="4464"/>
        <v/>
      </c>
      <c r="EH306" s="71" t="str">
        <f t="shared" si="4465"/>
        <v/>
      </c>
      <c r="EI306" s="71" t="str">
        <f t="shared" si="4466"/>
        <v/>
      </c>
      <c r="EJ306" s="71" t="str">
        <f t="shared" si="4467"/>
        <v/>
      </c>
      <c r="EK306" s="71" t="str">
        <f t="shared" si="4468"/>
        <v/>
      </c>
      <c r="EL306" s="71" t="str">
        <f t="shared" si="4469"/>
        <v/>
      </c>
      <c r="EM306" s="71" t="str">
        <f t="shared" si="4470"/>
        <v/>
      </c>
      <c r="EN306" s="71" t="str">
        <f t="shared" si="4471"/>
        <v/>
      </c>
      <c r="EO306" s="71" t="str">
        <f t="shared" si="4472"/>
        <v/>
      </c>
      <c r="EP306" s="71" t="str">
        <f t="shared" si="4473"/>
        <v/>
      </c>
      <c r="EQ306" s="71" t="str">
        <f t="shared" si="4474"/>
        <v/>
      </c>
      <c r="ER306" s="71" t="str">
        <f t="shared" si="4475"/>
        <v/>
      </c>
      <c r="ES306" s="71" t="str">
        <f t="shared" si="4476"/>
        <v/>
      </c>
      <c r="ET306" s="71" t="str">
        <f t="shared" si="4477"/>
        <v/>
      </c>
      <c r="EU306" s="71" t="str">
        <f t="shared" si="4478"/>
        <v/>
      </c>
      <c r="EV306" s="71" t="str">
        <f t="shared" si="4479"/>
        <v/>
      </c>
      <c r="EW306" s="71" t="str">
        <f t="shared" si="4480"/>
        <v/>
      </c>
      <c r="EX306" s="71" t="str">
        <f t="shared" si="4481"/>
        <v/>
      </c>
      <c r="EY306" s="71" t="str">
        <f t="shared" si="4482"/>
        <v/>
      </c>
      <c r="EZ306" s="71" t="str">
        <f t="shared" si="4483"/>
        <v/>
      </c>
      <c r="FA306" s="71" t="str">
        <f t="shared" si="4484"/>
        <v/>
      </c>
      <c r="FB306" s="71" t="str">
        <f t="shared" si="4485"/>
        <v/>
      </c>
      <c r="FC306" s="71" t="str">
        <f t="shared" si="4486"/>
        <v/>
      </c>
      <c r="FD306" s="71" t="str">
        <f t="shared" si="4487"/>
        <v/>
      </c>
      <c r="FE306" s="71" t="str">
        <f t="shared" si="4488"/>
        <v/>
      </c>
      <c r="FF306" s="71" t="str">
        <f t="shared" si="4489"/>
        <v/>
      </c>
      <c r="FG306" s="71" t="str">
        <f t="shared" si="4490"/>
        <v/>
      </c>
      <c r="FH306" s="71" t="str">
        <f t="shared" si="4491"/>
        <v/>
      </c>
      <c r="FI306" s="71" t="str">
        <f t="shared" si="4492"/>
        <v/>
      </c>
      <c r="FJ306" s="71" t="str">
        <f t="shared" si="4493"/>
        <v/>
      </c>
      <c r="FK306" s="71" t="str">
        <f t="shared" si="4494"/>
        <v/>
      </c>
      <c r="FL306" s="71" t="str">
        <f t="shared" si="4495"/>
        <v/>
      </c>
      <c r="FM306" s="71" t="str">
        <f t="shared" si="4496"/>
        <v/>
      </c>
      <c r="FN306" s="71" t="str">
        <f t="shared" si="4497"/>
        <v/>
      </c>
      <c r="FO306" s="71" t="str">
        <f t="shared" si="4498"/>
        <v/>
      </c>
      <c r="FP306" s="71" t="str">
        <f t="shared" si="4499"/>
        <v/>
      </c>
      <c r="FQ306" s="71" t="str">
        <f t="shared" si="4500"/>
        <v/>
      </c>
      <c r="FR306" s="71" t="str">
        <f t="shared" si="4501"/>
        <v/>
      </c>
      <c r="FS306" s="71" t="str">
        <f t="shared" si="4502"/>
        <v/>
      </c>
    </row>
    <row r="307" s="60" customFormat="1" ht="15" spans="1:175">
      <c r="A307" s="139"/>
      <c r="B307" s="105" t="s">
        <v>928</v>
      </c>
      <c r="C307" s="105" t="s">
        <v>929</v>
      </c>
      <c r="D307" s="75"/>
      <c r="E307" s="76"/>
      <c r="F307" s="140"/>
      <c r="G307" s="141"/>
      <c r="H307" s="141"/>
      <c r="I307" s="141"/>
      <c r="J307" s="141"/>
      <c r="K307" s="141"/>
      <c r="L307" s="141"/>
      <c r="M307" s="141"/>
      <c r="N307" s="141"/>
      <c r="O307" s="141"/>
      <c r="P307" s="84"/>
      <c r="Q307" s="84"/>
      <c r="R307" s="84"/>
      <c r="S307" s="84"/>
      <c r="T307" s="109"/>
      <c r="U307" s="89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5"/>
      <c r="AS307" s="95"/>
      <c r="AT307" s="94"/>
      <c r="AU307" s="94"/>
      <c r="AV307" s="94"/>
      <c r="AW307" s="94"/>
      <c r="AX307" s="94"/>
      <c r="AY307" s="94"/>
      <c r="AZ307" s="94"/>
      <c r="BA307" s="94"/>
      <c r="BB307" s="94"/>
      <c r="BC307" s="94"/>
      <c r="BD307" s="94"/>
      <c r="BE307" s="94"/>
      <c r="BF307" s="94"/>
      <c r="BG307" s="94"/>
      <c r="BH307" s="94"/>
      <c r="BI307" s="94"/>
      <c r="BJ307" s="94"/>
      <c r="BK307" s="94"/>
      <c r="BL307" s="94"/>
      <c r="BM307" s="94"/>
      <c r="BN307" s="94"/>
      <c r="BO307" s="94"/>
      <c r="BP307" s="94"/>
      <c r="BQ307" s="94"/>
      <c r="BR307" s="94"/>
      <c r="BS307" s="94"/>
      <c r="BT307" s="94"/>
      <c r="BU307" s="94"/>
      <c r="BV307" s="94"/>
      <c r="BW307" s="94"/>
      <c r="BX307" s="94"/>
      <c r="BY307" s="94"/>
      <c r="BZ307" s="94"/>
      <c r="CA307" s="94"/>
      <c r="CB307" s="94"/>
      <c r="CC307" s="94"/>
      <c r="CD307" s="94"/>
      <c r="CE307" s="94"/>
      <c r="CF307" s="94"/>
      <c r="CG307" s="94"/>
      <c r="CH307" s="94"/>
      <c r="CI307" s="94"/>
      <c r="CJ307" s="94"/>
      <c r="CK307" s="94"/>
      <c r="CL307" s="94"/>
      <c r="CM307" s="94"/>
      <c r="CN307" s="97" t="str">
        <f t="shared" si="4660"/>
        <v>InitUnitState('IC09',,,,,,,,,,)</v>
      </c>
      <c r="CO307" s="97" t="str">
        <f t="shared" si="4661"/>
        <v>InitUnitNormal('IC09',,,,,,,,,,)</v>
      </c>
      <c r="CP307" s="97" t="str">
        <f t="shared" si="4662"/>
        <v>InitUnitMagic('IC09',,,,,,,,,,)</v>
      </c>
      <c r="CQ307" s="97" t="str">
        <f t="shared" si="4663"/>
        <v>InitUnitAdd('IC09',,,,,,,,,,)</v>
      </c>
      <c r="CR307" s="97" t="str">
        <f t="shared" si="4360"/>
        <v>InitEquipData('IC09',,"",,,,,'','','','','','',"")</v>
      </c>
      <c r="CS307" s="97"/>
      <c r="CT307" s="97"/>
      <c r="CU307" s="99" t="str">
        <f t="shared" si="4432"/>
        <v>|n</v>
      </c>
      <c r="CV307" s="70"/>
      <c r="DB307" s="71" t="str">
        <f t="shared" si="4433"/>
        <v/>
      </c>
      <c r="DC307" s="71" t="str">
        <f t="shared" si="4434"/>
        <v/>
      </c>
      <c r="DD307" s="71" t="str">
        <f t="shared" si="4435"/>
        <v/>
      </c>
      <c r="DE307" s="71" t="str">
        <f t="shared" si="4436"/>
        <v/>
      </c>
      <c r="DF307" s="71" t="str">
        <f t="shared" si="4437"/>
        <v/>
      </c>
      <c r="DG307" s="71" t="str">
        <f t="shared" si="4438"/>
        <v/>
      </c>
      <c r="DH307" s="71" t="str">
        <f t="shared" si="4439"/>
        <v/>
      </c>
      <c r="DI307" s="71" t="str">
        <f t="shared" si="4440"/>
        <v/>
      </c>
      <c r="DJ307" s="71" t="str">
        <f t="shared" si="4441"/>
        <v/>
      </c>
      <c r="DK307" s="71" t="str">
        <f t="shared" si="4442"/>
        <v/>
      </c>
      <c r="DL307" s="71" t="str">
        <f t="shared" si="4443"/>
        <v/>
      </c>
      <c r="DM307" s="71" t="str">
        <f t="shared" si="4444"/>
        <v/>
      </c>
      <c r="DN307" s="71" t="str">
        <f t="shared" si="4445"/>
        <v/>
      </c>
      <c r="DO307" s="71" t="str">
        <f t="shared" si="4446"/>
        <v/>
      </c>
      <c r="DP307" s="71" t="str">
        <f t="shared" si="4447"/>
        <v/>
      </c>
      <c r="DQ307" s="71" t="str">
        <f t="shared" si="4448"/>
        <v/>
      </c>
      <c r="DR307" s="71" t="str">
        <f t="shared" si="4449"/>
        <v/>
      </c>
      <c r="DS307" s="71" t="str">
        <f t="shared" si="4450"/>
        <v/>
      </c>
      <c r="DT307" s="71" t="str">
        <f t="shared" si="4451"/>
        <v/>
      </c>
      <c r="DU307" s="71" t="str">
        <f t="shared" si="4452"/>
        <v/>
      </c>
      <c r="DV307" s="71" t="str">
        <f t="shared" si="4453"/>
        <v/>
      </c>
      <c r="DW307" s="71" t="str">
        <f t="shared" si="4454"/>
        <v/>
      </c>
      <c r="DX307" s="71" t="str">
        <f t="shared" si="4455"/>
        <v/>
      </c>
      <c r="DY307" s="71" t="str">
        <f t="shared" si="4456"/>
        <v/>
      </c>
      <c r="DZ307" s="71" t="str">
        <f t="shared" si="4457"/>
        <v/>
      </c>
      <c r="EA307" s="71" t="str">
        <f t="shared" si="4458"/>
        <v/>
      </c>
      <c r="EB307" s="71" t="str">
        <f t="shared" si="4459"/>
        <v/>
      </c>
      <c r="EC307" s="71" t="str">
        <f t="shared" si="4460"/>
        <v/>
      </c>
      <c r="ED307" s="71" t="str">
        <f t="shared" si="4461"/>
        <v/>
      </c>
      <c r="EE307" s="71" t="str">
        <f t="shared" si="4462"/>
        <v/>
      </c>
      <c r="EF307" s="71" t="str">
        <f t="shared" si="4463"/>
        <v/>
      </c>
      <c r="EG307" s="71" t="str">
        <f t="shared" si="4464"/>
        <v/>
      </c>
      <c r="EH307" s="71" t="str">
        <f t="shared" si="4465"/>
        <v/>
      </c>
      <c r="EI307" s="71" t="str">
        <f t="shared" si="4466"/>
        <v/>
      </c>
      <c r="EJ307" s="71" t="str">
        <f t="shared" si="4467"/>
        <v/>
      </c>
      <c r="EK307" s="71" t="str">
        <f t="shared" si="4468"/>
        <v/>
      </c>
      <c r="EL307" s="71" t="str">
        <f t="shared" si="4469"/>
        <v/>
      </c>
      <c r="EM307" s="71" t="str">
        <f t="shared" si="4470"/>
        <v/>
      </c>
      <c r="EN307" s="71" t="str">
        <f t="shared" si="4471"/>
        <v/>
      </c>
      <c r="EO307" s="71" t="str">
        <f t="shared" si="4472"/>
        <v/>
      </c>
      <c r="EP307" s="71" t="str">
        <f t="shared" si="4473"/>
        <v/>
      </c>
      <c r="EQ307" s="71" t="str">
        <f t="shared" si="4474"/>
        <v/>
      </c>
      <c r="ER307" s="71" t="str">
        <f t="shared" si="4475"/>
        <v/>
      </c>
      <c r="ES307" s="71" t="str">
        <f t="shared" si="4476"/>
        <v/>
      </c>
      <c r="ET307" s="71" t="str">
        <f t="shared" si="4477"/>
        <v/>
      </c>
      <c r="EU307" s="71" t="str">
        <f t="shared" si="4478"/>
        <v/>
      </c>
      <c r="EV307" s="71" t="str">
        <f t="shared" si="4479"/>
        <v/>
      </c>
      <c r="EW307" s="71" t="str">
        <f t="shared" si="4480"/>
        <v/>
      </c>
      <c r="EX307" s="71" t="str">
        <f t="shared" si="4481"/>
        <v/>
      </c>
      <c r="EY307" s="71" t="str">
        <f t="shared" si="4482"/>
        <v/>
      </c>
      <c r="EZ307" s="71" t="str">
        <f t="shared" si="4483"/>
        <v/>
      </c>
      <c r="FA307" s="71" t="str">
        <f t="shared" si="4484"/>
        <v/>
      </c>
      <c r="FB307" s="71" t="str">
        <f t="shared" si="4485"/>
        <v/>
      </c>
      <c r="FC307" s="71" t="str">
        <f t="shared" si="4486"/>
        <v/>
      </c>
      <c r="FD307" s="71" t="str">
        <f t="shared" si="4487"/>
        <v/>
      </c>
      <c r="FE307" s="71" t="str">
        <f t="shared" si="4488"/>
        <v/>
      </c>
      <c r="FF307" s="71" t="str">
        <f t="shared" si="4489"/>
        <v/>
      </c>
      <c r="FG307" s="71" t="str">
        <f t="shared" si="4490"/>
        <v/>
      </c>
      <c r="FH307" s="71" t="str">
        <f t="shared" si="4491"/>
        <v/>
      </c>
      <c r="FI307" s="71" t="str">
        <f t="shared" si="4492"/>
        <v/>
      </c>
      <c r="FJ307" s="71" t="str">
        <f t="shared" si="4493"/>
        <v/>
      </c>
      <c r="FK307" s="71" t="str">
        <f t="shared" si="4494"/>
        <v/>
      </c>
      <c r="FL307" s="71" t="str">
        <f t="shared" si="4495"/>
        <v/>
      </c>
      <c r="FM307" s="71" t="str">
        <f t="shared" si="4496"/>
        <v/>
      </c>
      <c r="FN307" s="71" t="str">
        <f t="shared" si="4497"/>
        <v/>
      </c>
      <c r="FO307" s="71" t="str">
        <f t="shared" si="4498"/>
        <v/>
      </c>
      <c r="FP307" s="71" t="str">
        <f t="shared" si="4499"/>
        <v/>
      </c>
      <c r="FQ307" s="71" t="str">
        <f t="shared" si="4500"/>
        <v/>
      </c>
      <c r="FR307" s="71" t="str">
        <f t="shared" si="4501"/>
        <v/>
      </c>
      <c r="FS307" s="71" t="str">
        <f t="shared" si="4502"/>
        <v/>
      </c>
    </row>
    <row r="308" s="60" customFormat="1" ht="15" spans="1:175">
      <c r="A308" s="139"/>
      <c r="B308" s="105" t="s">
        <v>930</v>
      </c>
      <c r="C308" s="105" t="s">
        <v>931</v>
      </c>
      <c r="D308" s="75"/>
      <c r="E308" s="76"/>
      <c r="F308" s="140"/>
      <c r="G308" s="141"/>
      <c r="H308" s="141"/>
      <c r="I308" s="141"/>
      <c r="J308" s="141"/>
      <c r="K308" s="141"/>
      <c r="L308" s="141"/>
      <c r="M308" s="141"/>
      <c r="N308" s="141"/>
      <c r="O308" s="141"/>
      <c r="P308" s="84"/>
      <c r="Q308" s="84"/>
      <c r="R308" s="84"/>
      <c r="S308" s="84"/>
      <c r="T308" s="109"/>
      <c r="U308" s="89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5"/>
      <c r="AS308" s="95"/>
      <c r="AT308" s="94"/>
      <c r="AU308" s="94"/>
      <c r="AV308" s="94"/>
      <c r="AW308" s="94"/>
      <c r="AX308" s="94"/>
      <c r="AY308" s="94"/>
      <c r="AZ308" s="94"/>
      <c r="BA308" s="94"/>
      <c r="BB308" s="94"/>
      <c r="BC308" s="94"/>
      <c r="BD308" s="94"/>
      <c r="BE308" s="94"/>
      <c r="BF308" s="94"/>
      <c r="BG308" s="94"/>
      <c r="BH308" s="94"/>
      <c r="BI308" s="94"/>
      <c r="BJ308" s="94"/>
      <c r="BK308" s="94"/>
      <c r="BL308" s="94"/>
      <c r="BM308" s="94"/>
      <c r="BN308" s="94"/>
      <c r="BO308" s="94"/>
      <c r="BP308" s="94"/>
      <c r="BQ308" s="94"/>
      <c r="BR308" s="94"/>
      <c r="BS308" s="94"/>
      <c r="BT308" s="94"/>
      <c r="BU308" s="94"/>
      <c r="BV308" s="94"/>
      <c r="BW308" s="94"/>
      <c r="BX308" s="94"/>
      <c r="BY308" s="94"/>
      <c r="BZ308" s="94"/>
      <c r="CA308" s="94"/>
      <c r="CB308" s="94"/>
      <c r="CC308" s="94"/>
      <c r="CD308" s="94"/>
      <c r="CE308" s="94"/>
      <c r="CF308" s="94"/>
      <c r="CG308" s="94"/>
      <c r="CH308" s="94"/>
      <c r="CI308" s="94"/>
      <c r="CJ308" s="94"/>
      <c r="CK308" s="94"/>
      <c r="CL308" s="94"/>
      <c r="CM308" s="94"/>
      <c r="CN308" s="97" t="str">
        <f t="shared" si="4660"/>
        <v>InitUnitState('IC10',,,,,,,,,,)</v>
      </c>
      <c r="CO308" s="97" t="str">
        <f t="shared" si="4661"/>
        <v>InitUnitNormal('IC10',,,,,,,,,,)</v>
      </c>
      <c r="CP308" s="97" t="str">
        <f t="shared" si="4662"/>
        <v>InitUnitMagic('IC10',,,,,,,,,,)</v>
      </c>
      <c r="CQ308" s="97" t="str">
        <f t="shared" si="4663"/>
        <v>InitUnitAdd('IC10',,,,,,,,,,)</v>
      </c>
      <c r="CR308" s="97" t="str">
        <f t="shared" si="4360"/>
        <v>InitEquipData('IC10',,"",,,,,'','','','','','',"")</v>
      </c>
      <c r="CS308" s="97"/>
      <c r="CT308" s="97"/>
      <c r="CU308" s="99" t="str">
        <f t="shared" si="4432"/>
        <v>|n</v>
      </c>
      <c r="CV308" s="70"/>
      <c r="DB308" s="71" t="str">
        <f t="shared" si="4433"/>
        <v/>
      </c>
      <c r="DC308" s="71" t="str">
        <f t="shared" si="4434"/>
        <v/>
      </c>
      <c r="DD308" s="71" t="str">
        <f t="shared" si="4435"/>
        <v/>
      </c>
      <c r="DE308" s="71" t="str">
        <f t="shared" si="4436"/>
        <v/>
      </c>
      <c r="DF308" s="71" t="str">
        <f t="shared" si="4437"/>
        <v/>
      </c>
      <c r="DG308" s="71" t="str">
        <f t="shared" si="4438"/>
        <v/>
      </c>
      <c r="DH308" s="71" t="str">
        <f t="shared" si="4439"/>
        <v/>
      </c>
      <c r="DI308" s="71" t="str">
        <f t="shared" si="4440"/>
        <v/>
      </c>
      <c r="DJ308" s="71" t="str">
        <f t="shared" si="4441"/>
        <v/>
      </c>
      <c r="DK308" s="71" t="str">
        <f t="shared" si="4442"/>
        <v/>
      </c>
      <c r="DL308" s="71" t="str">
        <f t="shared" si="4443"/>
        <v/>
      </c>
      <c r="DM308" s="71" t="str">
        <f t="shared" si="4444"/>
        <v/>
      </c>
      <c r="DN308" s="71" t="str">
        <f t="shared" si="4445"/>
        <v/>
      </c>
      <c r="DO308" s="71" t="str">
        <f t="shared" si="4446"/>
        <v/>
      </c>
      <c r="DP308" s="71" t="str">
        <f t="shared" si="4447"/>
        <v/>
      </c>
      <c r="DQ308" s="71" t="str">
        <f t="shared" si="4448"/>
        <v/>
      </c>
      <c r="DR308" s="71" t="str">
        <f t="shared" si="4449"/>
        <v/>
      </c>
      <c r="DS308" s="71" t="str">
        <f t="shared" si="4450"/>
        <v/>
      </c>
      <c r="DT308" s="71" t="str">
        <f t="shared" si="4451"/>
        <v/>
      </c>
      <c r="DU308" s="71" t="str">
        <f t="shared" si="4452"/>
        <v/>
      </c>
      <c r="DV308" s="71" t="str">
        <f t="shared" si="4453"/>
        <v/>
      </c>
      <c r="DW308" s="71" t="str">
        <f t="shared" si="4454"/>
        <v/>
      </c>
      <c r="DX308" s="71" t="str">
        <f t="shared" si="4455"/>
        <v/>
      </c>
      <c r="DY308" s="71" t="str">
        <f t="shared" si="4456"/>
        <v/>
      </c>
      <c r="DZ308" s="71" t="str">
        <f t="shared" si="4457"/>
        <v/>
      </c>
      <c r="EA308" s="71" t="str">
        <f t="shared" si="4458"/>
        <v/>
      </c>
      <c r="EB308" s="71" t="str">
        <f t="shared" si="4459"/>
        <v/>
      </c>
      <c r="EC308" s="71" t="str">
        <f t="shared" si="4460"/>
        <v/>
      </c>
      <c r="ED308" s="71" t="str">
        <f t="shared" si="4461"/>
        <v/>
      </c>
      <c r="EE308" s="71" t="str">
        <f t="shared" si="4462"/>
        <v/>
      </c>
      <c r="EF308" s="71" t="str">
        <f t="shared" si="4463"/>
        <v/>
      </c>
      <c r="EG308" s="71" t="str">
        <f t="shared" si="4464"/>
        <v/>
      </c>
      <c r="EH308" s="71" t="str">
        <f t="shared" si="4465"/>
        <v/>
      </c>
      <c r="EI308" s="71" t="str">
        <f t="shared" si="4466"/>
        <v/>
      </c>
      <c r="EJ308" s="71" t="str">
        <f t="shared" si="4467"/>
        <v/>
      </c>
      <c r="EK308" s="71" t="str">
        <f t="shared" si="4468"/>
        <v/>
      </c>
      <c r="EL308" s="71" t="str">
        <f t="shared" si="4469"/>
        <v/>
      </c>
      <c r="EM308" s="71" t="str">
        <f t="shared" si="4470"/>
        <v/>
      </c>
      <c r="EN308" s="71" t="str">
        <f t="shared" si="4471"/>
        <v/>
      </c>
      <c r="EO308" s="71" t="str">
        <f t="shared" si="4472"/>
        <v/>
      </c>
      <c r="EP308" s="71" t="str">
        <f t="shared" si="4473"/>
        <v/>
      </c>
      <c r="EQ308" s="71" t="str">
        <f t="shared" si="4474"/>
        <v/>
      </c>
      <c r="ER308" s="71" t="str">
        <f t="shared" si="4475"/>
        <v/>
      </c>
      <c r="ES308" s="71" t="str">
        <f t="shared" si="4476"/>
        <v/>
      </c>
      <c r="ET308" s="71" t="str">
        <f t="shared" si="4477"/>
        <v/>
      </c>
      <c r="EU308" s="71" t="str">
        <f t="shared" si="4478"/>
        <v/>
      </c>
      <c r="EV308" s="71" t="str">
        <f t="shared" si="4479"/>
        <v/>
      </c>
      <c r="EW308" s="71" t="str">
        <f t="shared" si="4480"/>
        <v/>
      </c>
      <c r="EX308" s="71" t="str">
        <f t="shared" si="4481"/>
        <v/>
      </c>
      <c r="EY308" s="71" t="str">
        <f t="shared" si="4482"/>
        <v/>
      </c>
      <c r="EZ308" s="71" t="str">
        <f t="shared" si="4483"/>
        <v/>
      </c>
      <c r="FA308" s="71" t="str">
        <f t="shared" si="4484"/>
        <v/>
      </c>
      <c r="FB308" s="71" t="str">
        <f t="shared" si="4485"/>
        <v/>
      </c>
      <c r="FC308" s="71" t="str">
        <f t="shared" si="4486"/>
        <v/>
      </c>
      <c r="FD308" s="71" t="str">
        <f t="shared" si="4487"/>
        <v/>
      </c>
      <c r="FE308" s="71" t="str">
        <f t="shared" si="4488"/>
        <v/>
      </c>
      <c r="FF308" s="71" t="str">
        <f t="shared" si="4489"/>
        <v/>
      </c>
      <c r="FG308" s="71" t="str">
        <f t="shared" si="4490"/>
        <v/>
      </c>
      <c r="FH308" s="71" t="str">
        <f t="shared" si="4491"/>
        <v/>
      </c>
      <c r="FI308" s="71" t="str">
        <f t="shared" si="4492"/>
        <v/>
      </c>
      <c r="FJ308" s="71" t="str">
        <f t="shared" si="4493"/>
        <v/>
      </c>
      <c r="FK308" s="71" t="str">
        <f t="shared" si="4494"/>
        <v/>
      </c>
      <c r="FL308" s="71" t="str">
        <f t="shared" si="4495"/>
        <v/>
      </c>
      <c r="FM308" s="71" t="str">
        <f t="shared" si="4496"/>
        <v/>
      </c>
      <c r="FN308" s="71" t="str">
        <f t="shared" si="4497"/>
        <v/>
      </c>
      <c r="FO308" s="71" t="str">
        <f t="shared" si="4498"/>
        <v/>
      </c>
      <c r="FP308" s="71" t="str">
        <f t="shared" si="4499"/>
        <v/>
      </c>
      <c r="FQ308" s="71" t="str">
        <f t="shared" si="4500"/>
        <v/>
      </c>
      <c r="FR308" s="71" t="str">
        <f t="shared" si="4501"/>
        <v/>
      </c>
      <c r="FS308" s="71" t="str">
        <f t="shared" si="4502"/>
        <v/>
      </c>
    </row>
    <row r="309" ht="15" spans="1:175">
      <c r="A309" s="73"/>
      <c r="B309" s="105" t="s">
        <v>932</v>
      </c>
      <c r="C309" s="105" t="s">
        <v>933</v>
      </c>
      <c r="E309" s="142"/>
      <c r="T309" s="153"/>
      <c r="U309" s="89"/>
      <c r="CU309" s="99" t="str">
        <f t="shared" si="4432"/>
        <v>|n</v>
      </c>
      <c r="CW309" s="60"/>
      <c r="CX309" s="60"/>
      <c r="CY309" s="60"/>
      <c r="CZ309" s="60"/>
      <c r="DA309" s="60"/>
      <c r="DB309" s="71" t="str">
        <f t="shared" si="4433"/>
        <v/>
      </c>
      <c r="DC309" s="71" t="str">
        <f t="shared" si="4434"/>
        <v/>
      </c>
      <c r="DD309" s="71" t="str">
        <f t="shared" si="4435"/>
        <v/>
      </c>
      <c r="DE309" s="71" t="str">
        <f t="shared" si="4436"/>
        <v/>
      </c>
      <c r="DF309" s="71" t="str">
        <f t="shared" si="4437"/>
        <v/>
      </c>
      <c r="DG309" s="71" t="str">
        <f t="shared" si="4438"/>
        <v/>
      </c>
      <c r="DH309" s="71" t="str">
        <f t="shared" si="4439"/>
        <v/>
      </c>
      <c r="DI309" s="71" t="str">
        <f t="shared" si="4440"/>
        <v/>
      </c>
      <c r="DJ309" s="71" t="str">
        <f t="shared" si="4441"/>
        <v/>
      </c>
      <c r="DK309" s="71" t="str">
        <f t="shared" si="4442"/>
        <v/>
      </c>
      <c r="DL309" s="71" t="str">
        <f t="shared" si="4443"/>
        <v/>
      </c>
      <c r="DM309" s="71" t="str">
        <f t="shared" si="4444"/>
        <v/>
      </c>
      <c r="DN309" s="71" t="str">
        <f t="shared" si="4445"/>
        <v/>
      </c>
      <c r="DO309" s="71" t="str">
        <f t="shared" si="4446"/>
        <v/>
      </c>
      <c r="DP309" s="71" t="str">
        <f t="shared" si="4447"/>
        <v/>
      </c>
      <c r="DQ309" s="71" t="str">
        <f t="shared" si="4448"/>
        <v/>
      </c>
      <c r="DR309" s="71" t="str">
        <f t="shared" si="4449"/>
        <v/>
      </c>
      <c r="DS309" s="71" t="str">
        <f t="shared" si="4450"/>
        <v/>
      </c>
      <c r="DT309" s="71" t="str">
        <f t="shared" si="4451"/>
        <v/>
      </c>
      <c r="DU309" s="71" t="str">
        <f t="shared" si="4452"/>
        <v/>
      </c>
      <c r="DV309" s="71" t="str">
        <f t="shared" si="4453"/>
        <v/>
      </c>
      <c r="DW309" s="71" t="str">
        <f t="shared" si="4454"/>
        <v/>
      </c>
      <c r="DX309" s="71" t="str">
        <f t="shared" si="4455"/>
        <v/>
      </c>
      <c r="DY309" s="71" t="str">
        <f t="shared" si="4456"/>
        <v/>
      </c>
      <c r="DZ309" s="71" t="str">
        <f t="shared" si="4457"/>
        <v/>
      </c>
      <c r="EA309" s="71" t="str">
        <f t="shared" si="4458"/>
        <v/>
      </c>
      <c r="EB309" s="71" t="str">
        <f t="shared" si="4459"/>
        <v/>
      </c>
      <c r="EC309" s="71" t="str">
        <f t="shared" si="4460"/>
        <v/>
      </c>
      <c r="ED309" s="71" t="str">
        <f t="shared" si="4461"/>
        <v/>
      </c>
      <c r="EE309" s="71" t="str">
        <f t="shared" si="4462"/>
        <v/>
      </c>
      <c r="EF309" s="71" t="str">
        <f t="shared" si="4463"/>
        <v/>
      </c>
      <c r="EG309" s="71" t="str">
        <f t="shared" si="4464"/>
        <v/>
      </c>
      <c r="EH309" s="71" t="str">
        <f t="shared" si="4465"/>
        <v/>
      </c>
      <c r="EI309" s="71" t="str">
        <f t="shared" si="4466"/>
        <v/>
      </c>
      <c r="EJ309" s="71" t="str">
        <f t="shared" si="4467"/>
        <v/>
      </c>
      <c r="EK309" s="71" t="str">
        <f t="shared" si="4468"/>
        <v/>
      </c>
      <c r="EL309" s="71" t="str">
        <f t="shared" si="4469"/>
        <v/>
      </c>
      <c r="EM309" s="71" t="str">
        <f t="shared" si="4470"/>
        <v/>
      </c>
      <c r="EN309" s="71" t="str">
        <f t="shared" si="4471"/>
        <v/>
      </c>
      <c r="EO309" s="71" t="str">
        <f t="shared" si="4472"/>
        <v/>
      </c>
      <c r="EP309" s="71" t="str">
        <f t="shared" si="4473"/>
        <v/>
      </c>
      <c r="EQ309" s="71" t="str">
        <f t="shared" si="4474"/>
        <v/>
      </c>
      <c r="ER309" s="71" t="str">
        <f t="shared" si="4475"/>
        <v/>
      </c>
      <c r="ES309" s="71" t="str">
        <f t="shared" si="4476"/>
        <v/>
      </c>
      <c r="ET309" s="71" t="str">
        <f t="shared" si="4477"/>
        <v/>
      </c>
      <c r="EU309" s="71" t="str">
        <f t="shared" si="4478"/>
        <v/>
      </c>
      <c r="EV309" s="71" t="str">
        <f t="shared" si="4479"/>
        <v/>
      </c>
      <c r="EW309" s="71" t="str">
        <f t="shared" si="4480"/>
        <v/>
      </c>
      <c r="EX309" s="71" t="str">
        <f t="shared" si="4481"/>
        <v/>
      </c>
      <c r="EY309" s="71" t="str">
        <f t="shared" si="4482"/>
        <v/>
      </c>
      <c r="EZ309" s="71" t="str">
        <f t="shared" si="4483"/>
        <v/>
      </c>
      <c r="FA309" s="71" t="str">
        <f t="shared" si="4484"/>
        <v/>
      </c>
      <c r="FB309" s="71" t="str">
        <f t="shared" si="4485"/>
        <v/>
      </c>
      <c r="FC309" s="71" t="str">
        <f t="shared" si="4486"/>
        <v/>
      </c>
      <c r="FD309" s="71" t="str">
        <f t="shared" si="4487"/>
        <v/>
      </c>
      <c r="FE309" s="71" t="str">
        <f t="shared" si="4488"/>
        <v/>
      </c>
      <c r="FF309" s="71" t="str">
        <f t="shared" si="4489"/>
        <v/>
      </c>
      <c r="FG309" s="71" t="str">
        <f t="shared" si="4490"/>
        <v/>
      </c>
      <c r="FH309" s="71" t="str">
        <f t="shared" si="4491"/>
        <v/>
      </c>
      <c r="FI309" s="71" t="str">
        <f t="shared" si="4492"/>
        <v/>
      </c>
      <c r="FJ309" s="71" t="str">
        <f t="shared" si="4493"/>
        <v/>
      </c>
      <c r="FK309" s="71" t="str">
        <f t="shared" si="4494"/>
        <v/>
      </c>
      <c r="FL309" s="71" t="str">
        <f t="shared" si="4495"/>
        <v/>
      </c>
      <c r="FM309" s="71" t="str">
        <f t="shared" si="4496"/>
        <v/>
      </c>
      <c r="FN309" s="71" t="str">
        <f t="shared" si="4497"/>
        <v/>
      </c>
      <c r="FO309" s="71" t="str">
        <f t="shared" si="4498"/>
        <v/>
      </c>
      <c r="FP309" s="71" t="str">
        <f t="shared" si="4499"/>
        <v/>
      </c>
      <c r="FQ309" s="71" t="str">
        <f t="shared" si="4500"/>
        <v/>
      </c>
      <c r="FR309" s="71" t="str">
        <f t="shared" si="4501"/>
        <v/>
      </c>
      <c r="FS309" s="71" t="str">
        <f t="shared" si="4502"/>
        <v/>
      </c>
    </row>
    <row r="310" ht="15" spans="1:175">
      <c r="A310" s="137"/>
      <c r="B310" s="81" t="s">
        <v>934</v>
      </c>
      <c r="C310" s="143" t="s">
        <v>935</v>
      </c>
      <c r="T310" s="154" t="s">
        <v>936</v>
      </c>
      <c r="U310" s="89" t="s">
        <v>937</v>
      </c>
      <c r="CN310" s="69" t="str">
        <f t="shared" ref="CN310:CN317" si="4664">"InitUnitState('"&amp;B310&amp;"',"&amp;V310&amp;","&amp;W310&amp;","&amp;X310&amp;","&amp;Y310&amp;","&amp;Z310&amp;","&amp;AA310&amp;","&amp;AB310&amp;","&amp;AC310&amp;","&amp;AD310&amp;","&amp;AE310&amp;")"</f>
        <v>InitUnitState('IK01',,,,,,,,,,)</v>
      </c>
      <c r="CO310" s="69" t="str">
        <f t="shared" ref="CO310:CO317" si="4665">"InitUnitNormal('"&amp;B310&amp;"',"&amp;AF310&amp;","&amp;AG310&amp;","&amp;AH310&amp;","&amp;AI310&amp;","&amp;AJ310&amp;","&amp;AK310&amp;","&amp;AL310&amp;","&amp;AM310&amp;","&amp;AN310&amp;","&amp;AO310&amp;")"</f>
        <v>InitUnitNormal('IK01',,,,,,,,,,)</v>
      </c>
      <c r="CP310" s="69" t="str">
        <f t="shared" ref="CP310:CP317" si="4666">"InitUnitMagic('"&amp;B310&amp;"',"&amp;AP310&amp;","&amp;AQ310&amp;","&amp;AR310&amp;","&amp;AS310&amp;","&amp;AT310&amp;","&amp;AU310&amp;","&amp;AV310&amp;","&amp;AW310&amp;","&amp;BI310&amp;","&amp;BJ310&amp;")"</f>
        <v>InitUnitMagic('IK01',,,,,,,,,,)</v>
      </c>
      <c r="CQ310" s="69" t="str">
        <f t="shared" ref="CQ310:CQ317" si="4667">"InitUnitAdd('"&amp;B310&amp;"',"&amp;BK310&amp;","&amp;BL310&amp;","&amp;BM310&amp;","&amp;BN310&amp;","&amp;BO310&amp;","&amp;BP310&amp;","&amp;BQ310&amp;","&amp;BR310&amp;","&amp;BS310&amp;","&amp;BT310&amp;")"</f>
        <v>InitUnitAdd('IK01',,,,,,,,,,)</v>
      </c>
      <c r="CR310" s="69" t="str">
        <f t="shared" ref="CR310:CR317" si="4668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InitEquipData('IK01',,"",,,,,'','','','','','',"ReplaceableTextures\\CommandButtons\\BTNSST02.blp")</v>
      </c>
      <c r="CU310" s="99" t="str">
        <f t="shared" si="4432"/>
        <v>|n</v>
      </c>
      <c r="CV310" s="70" t="str">
        <f t="shared" ref="CV310:CV373" si="4669">T310</f>
        <v>致命倍率|Cffffc926+10%|n|n|r|Cffff00bf【白虎】|r+|Cffff00bf【白虎】|r=|Cffffc926【神威虎爪】|n|n|r|Cff00ff7f点击穿戴或脱卸。|r</v>
      </c>
      <c r="CW310" s="60"/>
      <c r="CX310" s="60"/>
      <c r="CY310" s="60"/>
      <c r="CZ310" s="60"/>
      <c r="DA310" s="60"/>
      <c r="DB310" s="71" t="str">
        <f t="shared" si="4433"/>
        <v/>
      </c>
      <c r="DC310" s="71" t="str">
        <f t="shared" si="4434"/>
        <v/>
      </c>
      <c r="DD310" s="71" t="str">
        <f t="shared" si="4435"/>
        <v/>
      </c>
      <c r="DE310" s="71" t="str">
        <f t="shared" si="4436"/>
        <v/>
      </c>
      <c r="DF310" s="71" t="str">
        <f t="shared" si="4437"/>
        <v/>
      </c>
      <c r="DG310" s="71" t="str">
        <f t="shared" si="4438"/>
        <v/>
      </c>
      <c r="DH310" s="71" t="str">
        <f t="shared" si="4439"/>
        <v/>
      </c>
      <c r="DI310" s="71" t="str">
        <f t="shared" si="4440"/>
        <v/>
      </c>
      <c r="DJ310" s="71" t="str">
        <f t="shared" si="4441"/>
        <v/>
      </c>
      <c r="DK310" s="71" t="str">
        <f t="shared" si="4442"/>
        <v/>
      </c>
      <c r="DL310" s="71" t="str">
        <f t="shared" si="4443"/>
        <v/>
      </c>
      <c r="DM310" s="71" t="str">
        <f t="shared" si="4444"/>
        <v/>
      </c>
      <c r="DN310" s="71" t="str">
        <f t="shared" si="4445"/>
        <v/>
      </c>
      <c r="DO310" s="71" t="str">
        <f t="shared" si="4446"/>
        <v/>
      </c>
      <c r="DP310" s="71" t="str">
        <f t="shared" si="4447"/>
        <v/>
      </c>
      <c r="DQ310" s="71" t="str">
        <f t="shared" si="4448"/>
        <v/>
      </c>
      <c r="DR310" s="71" t="str">
        <f t="shared" si="4449"/>
        <v/>
      </c>
      <c r="DS310" s="71" t="str">
        <f t="shared" si="4450"/>
        <v/>
      </c>
      <c r="DT310" s="71" t="str">
        <f t="shared" si="4451"/>
        <v/>
      </c>
      <c r="DU310" s="71" t="str">
        <f t="shared" si="4452"/>
        <v/>
      </c>
      <c r="DV310" s="71" t="str">
        <f t="shared" si="4453"/>
        <v/>
      </c>
      <c r="DW310" s="71" t="str">
        <f t="shared" si="4454"/>
        <v/>
      </c>
      <c r="DX310" s="71" t="str">
        <f t="shared" si="4455"/>
        <v/>
      </c>
      <c r="DY310" s="71" t="str">
        <f t="shared" si="4456"/>
        <v/>
      </c>
      <c r="DZ310" s="71" t="str">
        <f t="shared" si="4457"/>
        <v/>
      </c>
      <c r="EA310" s="71" t="str">
        <f t="shared" si="4458"/>
        <v/>
      </c>
      <c r="EB310" s="71" t="str">
        <f t="shared" si="4459"/>
        <v/>
      </c>
      <c r="EC310" s="71" t="str">
        <f t="shared" si="4460"/>
        <v/>
      </c>
      <c r="ED310" s="71" t="str">
        <f t="shared" si="4461"/>
        <v/>
      </c>
      <c r="EE310" s="71" t="str">
        <f t="shared" si="4462"/>
        <v/>
      </c>
      <c r="EF310" s="71" t="str">
        <f t="shared" si="4463"/>
        <v/>
      </c>
      <c r="EG310" s="71" t="str">
        <f t="shared" si="4464"/>
        <v/>
      </c>
      <c r="EH310" s="71" t="str">
        <f t="shared" si="4465"/>
        <v/>
      </c>
      <c r="EI310" s="71" t="str">
        <f t="shared" si="4466"/>
        <v/>
      </c>
      <c r="EJ310" s="71" t="str">
        <f t="shared" si="4467"/>
        <v/>
      </c>
      <c r="EK310" s="71" t="str">
        <f t="shared" si="4468"/>
        <v/>
      </c>
      <c r="EL310" s="71" t="str">
        <f t="shared" si="4469"/>
        <v/>
      </c>
      <c r="EM310" s="71" t="str">
        <f t="shared" si="4470"/>
        <v/>
      </c>
      <c r="EN310" s="71" t="str">
        <f t="shared" si="4471"/>
        <v/>
      </c>
      <c r="EO310" s="71" t="str">
        <f t="shared" si="4472"/>
        <v/>
      </c>
      <c r="EP310" s="71" t="str">
        <f t="shared" si="4473"/>
        <v/>
      </c>
      <c r="EQ310" s="71" t="str">
        <f t="shared" si="4474"/>
        <v/>
      </c>
      <c r="ER310" s="71" t="str">
        <f t="shared" si="4475"/>
        <v/>
      </c>
      <c r="ES310" s="71" t="str">
        <f t="shared" si="4476"/>
        <v/>
      </c>
      <c r="ET310" s="71" t="str">
        <f t="shared" si="4477"/>
        <v/>
      </c>
      <c r="EU310" s="71" t="str">
        <f t="shared" si="4478"/>
        <v/>
      </c>
      <c r="EV310" s="71" t="str">
        <f t="shared" si="4479"/>
        <v/>
      </c>
      <c r="EW310" s="71" t="str">
        <f t="shared" si="4480"/>
        <v/>
      </c>
      <c r="EX310" s="71" t="str">
        <f t="shared" si="4481"/>
        <v/>
      </c>
      <c r="EY310" s="71" t="str">
        <f t="shared" si="4482"/>
        <v/>
      </c>
      <c r="EZ310" s="71" t="str">
        <f t="shared" si="4483"/>
        <v/>
      </c>
      <c r="FA310" s="71" t="str">
        <f t="shared" si="4484"/>
        <v/>
      </c>
      <c r="FB310" s="71" t="str">
        <f t="shared" si="4485"/>
        <v/>
      </c>
      <c r="FC310" s="71" t="str">
        <f t="shared" si="4486"/>
        <v/>
      </c>
      <c r="FD310" s="71" t="str">
        <f t="shared" si="4487"/>
        <v/>
      </c>
      <c r="FE310" s="71" t="str">
        <f t="shared" si="4488"/>
        <v/>
      </c>
      <c r="FF310" s="71" t="str">
        <f t="shared" si="4489"/>
        <v/>
      </c>
      <c r="FG310" s="71" t="str">
        <f t="shared" si="4490"/>
        <v/>
      </c>
      <c r="FH310" s="71" t="str">
        <f t="shared" si="4491"/>
        <v/>
      </c>
      <c r="FI310" s="71" t="str">
        <f t="shared" si="4492"/>
        <v/>
      </c>
      <c r="FJ310" s="71" t="str">
        <f t="shared" si="4493"/>
        <v/>
      </c>
      <c r="FK310" s="71" t="str">
        <f t="shared" si="4494"/>
        <v/>
      </c>
      <c r="FL310" s="71" t="str">
        <f t="shared" si="4495"/>
        <v/>
      </c>
      <c r="FM310" s="71" t="str">
        <f t="shared" si="4496"/>
        <v/>
      </c>
      <c r="FN310" s="71" t="str">
        <f t="shared" si="4497"/>
        <v/>
      </c>
      <c r="FO310" s="71" t="str">
        <f t="shared" si="4498"/>
        <v/>
      </c>
      <c r="FP310" s="71" t="str">
        <f t="shared" si="4499"/>
        <v/>
      </c>
      <c r="FQ310" s="71" t="str">
        <f t="shared" si="4500"/>
        <v/>
      </c>
      <c r="FR310" s="71" t="str">
        <f t="shared" si="4501"/>
        <v/>
      </c>
      <c r="FS310" s="71" t="str">
        <f t="shared" si="4502"/>
        <v/>
      </c>
    </row>
    <row r="311" ht="15" spans="1:175">
      <c r="A311" s="137"/>
      <c r="B311" s="81" t="s">
        <v>938</v>
      </c>
      <c r="C311" s="144" t="s">
        <v>939</v>
      </c>
      <c r="T311" s="155" t="s">
        <v>940</v>
      </c>
      <c r="U311" s="89" t="s">
        <v>941</v>
      </c>
      <c r="CN311" s="69" t="str">
        <f t="shared" si="4664"/>
        <v>InitUnitState('IK02',,,,,,,,,,)</v>
      </c>
      <c r="CO311" s="69" t="str">
        <f t="shared" si="4665"/>
        <v>InitUnitNormal('IK02',,,,,,,,,,)</v>
      </c>
      <c r="CP311" s="69" t="str">
        <f t="shared" si="4666"/>
        <v>InitUnitMagic('IK02',,,,,,,,,,)</v>
      </c>
      <c r="CQ311" s="69" t="str">
        <f t="shared" si="4667"/>
        <v>InitUnitAdd('IK02',,,,,,,,,,)</v>
      </c>
      <c r="CR311" s="69" t="str">
        <f t="shared" si="4668"/>
        <v>InitEquipData('IK02',,"",,,,,'','','','','','',"ReplaceableTextures\\CommandButtons\\BTNSST03.blp")</v>
      </c>
      <c r="CU311" s="99" t="str">
        <f t="shared" si="4432"/>
        <v>|n</v>
      </c>
      <c r="CV311" s="70" t="str">
        <f t="shared" si="4669"/>
        <v>最大生命|Cffffc926+10%|n|n|r|Cffff00bf【玄武】|r+|Cffff00bf【玄武】|r=|Cffffc926【佛陀舍利】|n|n|r|Cff00ff7f点击穿戴或脱卸。|r</v>
      </c>
      <c r="CW311" s="60"/>
      <c r="CX311" s="60"/>
      <c r="CY311" s="60"/>
      <c r="CZ311" s="60"/>
      <c r="DA311" s="60"/>
      <c r="DB311" s="71" t="str">
        <f t="shared" si="4433"/>
        <v/>
      </c>
      <c r="DC311" s="71" t="str">
        <f t="shared" si="4434"/>
        <v/>
      </c>
      <c r="DD311" s="71" t="str">
        <f t="shared" si="4435"/>
        <v/>
      </c>
      <c r="DE311" s="71" t="str">
        <f t="shared" si="4436"/>
        <v/>
      </c>
      <c r="DF311" s="71" t="str">
        <f t="shared" si="4437"/>
        <v/>
      </c>
      <c r="DG311" s="71" t="str">
        <f t="shared" si="4438"/>
        <v/>
      </c>
      <c r="DH311" s="71" t="str">
        <f t="shared" si="4439"/>
        <v/>
      </c>
      <c r="DI311" s="71" t="str">
        <f t="shared" si="4440"/>
        <v/>
      </c>
      <c r="DJ311" s="71" t="str">
        <f t="shared" si="4441"/>
        <v/>
      </c>
      <c r="DK311" s="71" t="str">
        <f t="shared" si="4442"/>
        <v/>
      </c>
      <c r="DL311" s="71" t="str">
        <f t="shared" si="4443"/>
        <v/>
      </c>
      <c r="DM311" s="71" t="str">
        <f t="shared" si="4444"/>
        <v/>
      </c>
      <c r="DN311" s="71" t="str">
        <f t="shared" si="4445"/>
        <v/>
      </c>
      <c r="DO311" s="71" t="str">
        <f t="shared" si="4446"/>
        <v/>
      </c>
      <c r="DP311" s="71" t="str">
        <f t="shared" si="4447"/>
        <v/>
      </c>
      <c r="DQ311" s="71" t="str">
        <f t="shared" si="4448"/>
        <v/>
      </c>
      <c r="DR311" s="71" t="str">
        <f t="shared" si="4449"/>
        <v/>
      </c>
      <c r="DS311" s="71" t="str">
        <f t="shared" si="4450"/>
        <v/>
      </c>
      <c r="DT311" s="71" t="str">
        <f t="shared" si="4451"/>
        <v/>
      </c>
      <c r="DU311" s="71" t="str">
        <f t="shared" si="4452"/>
        <v/>
      </c>
      <c r="DV311" s="71" t="str">
        <f t="shared" si="4453"/>
        <v/>
      </c>
      <c r="DW311" s="71" t="str">
        <f t="shared" si="4454"/>
        <v/>
      </c>
      <c r="DX311" s="71" t="str">
        <f t="shared" si="4455"/>
        <v/>
      </c>
      <c r="DY311" s="71" t="str">
        <f t="shared" si="4456"/>
        <v/>
      </c>
      <c r="DZ311" s="71" t="str">
        <f t="shared" si="4457"/>
        <v/>
      </c>
      <c r="EA311" s="71" t="str">
        <f t="shared" si="4458"/>
        <v/>
      </c>
      <c r="EB311" s="71" t="str">
        <f t="shared" si="4459"/>
        <v/>
      </c>
      <c r="EC311" s="71" t="str">
        <f t="shared" si="4460"/>
        <v/>
      </c>
      <c r="ED311" s="71" t="str">
        <f t="shared" si="4461"/>
        <v/>
      </c>
      <c r="EE311" s="71" t="str">
        <f t="shared" si="4462"/>
        <v/>
      </c>
      <c r="EF311" s="71" t="str">
        <f t="shared" si="4463"/>
        <v/>
      </c>
      <c r="EG311" s="71" t="str">
        <f t="shared" si="4464"/>
        <v/>
      </c>
      <c r="EH311" s="71" t="str">
        <f t="shared" si="4465"/>
        <v/>
      </c>
      <c r="EI311" s="71" t="str">
        <f t="shared" si="4466"/>
        <v/>
      </c>
      <c r="EJ311" s="71" t="str">
        <f t="shared" si="4467"/>
        <v/>
      </c>
      <c r="EK311" s="71" t="str">
        <f t="shared" si="4468"/>
        <v/>
      </c>
      <c r="EL311" s="71" t="str">
        <f t="shared" si="4469"/>
        <v/>
      </c>
      <c r="EM311" s="71" t="str">
        <f t="shared" si="4470"/>
        <v/>
      </c>
      <c r="EN311" s="71" t="str">
        <f t="shared" si="4471"/>
        <v/>
      </c>
      <c r="EO311" s="71" t="str">
        <f t="shared" si="4472"/>
        <v/>
      </c>
      <c r="EP311" s="71" t="str">
        <f t="shared" si="4473"/>
        <v/>
      </c>
      <c r="EQ311" s="71" t="str">
        <f t="shared" si="4474"/>
        <v/>
      </c>
      <c r="ER311" s="71" t="str">
        <f t="shared" si="4475"/>
        <v/>
      </c>
      <c r="ES311" s="71" t="str">
        <f t="shared" si="4476"/>
        <v/>
      </c>
      <c r="ET311" s="71" t="str">
        <f t="shared" si="4477"/>
        <v/>
      </c>
      <c r="EU311" s="71" t="str">
        <f t="shared" si="4478"/>
        <v/>
      </c>
      <c r="EV311" s="71" t="str">
        <f t="shared" si="4479"/>
        <v/>
      </c>
      <c r="EW311" s="71" t="str">
        <f t="shared" si="4480"/>
        <v/>
      </c>
      <c r="EX311" s="71" t="str">
        <f t="shared" si="4481"/>
        <v/>
      </c>
      <c r="EY311" s="71" t="str">
        <f t="shared" si="4482"/>
        <v/>
      </c>
      <c r="EZ311" s="71" t="str">
        <f t="shared" si="4483"/>
        <v/>
      </c>
      <c r="FA311" s="71" t="str">
        <f t="shared" si="4484"/>
        <v/>
      </c>
      <c r="FB311" s="71" t="str">
        <f t="shared" si="4485"/>
        <v/>
      </c>
      <c r="FC311" s="71" t="str">
        <f t="shared" si="4486"/>
        <v/>
      </c>
      <c r="FD311" s="71" t="str">
        <f t="shared" si="4487"/>
        <v/>
      </c>
      <c r="FE311" s="71" t="str">
        <f t="shared" si="4488"/>
        <v/>
      </c>
      <c r="FF311" s="71" t="str">
        <f t="shared" si="4489"/>
        <v/>
      </c>
      <c r="FG311" s="71" t="str">
        <f t="shared" si="4490"/>
        <v/>
      </c>
      <c r="FH311" s="71" t="str">
        <f t="shared" si="4491"/>
        <v/>
      </c>
      <c r="FI311" s="71" t="str">
        <f t="shared" si="4492"/>
        <v/>
      </c>
      <c r="FJ311" s="71" t="str">
        <f t="shared" si="4493"/>
        <v/>
      </c>
      <c r="FK311" s="71" t="str">
        <f t="shared" si="4494"/>
        <v/>
      </c>
      <c r="FL311" s="71" t="str">
        <f t="shared" si="4495"/>
        <v/>
      </c>
      <c r="FM311" s="71" t="str">
        <f t="shared" si="4496"/>
        <v/>
      </c>
      <c r="FN311" s="71" t="str">
        <f t="shared" si="4497"/>
        <v/>
      </c>
      <c r="FO311" s="71" t="str">
        <f t="shared" si="4498"/>
        <v/>
      </c>
      <c r="FP311" s="71" t="str">
        <f t="shared" si="4499"/>
        <v/>
      </c>
      <c r="FQ311" s="71" t="str">
        <f t="shared" si="4500"/>
        <v/>
      </c>
      <c r="FR311" s="71" t="str">
        <f t="shared" si="4501"/>
        <v/>
      </c>
      <c r="FS311" s="71" t="str">
        <f t="shared" si="4502"/>
        <v/>
      </c>
    </row>
    <row r="312" ht="15" spans="1:175">
      <c r="A312" s="138"/>
      <c r="B312" s="81" t="s">
        <v>942</v>
      </c>
      <c r="C312" s="144" t="s">
        <v>943</v>
      </c>
      <c r="T312" s="155" t="s">
        <v>944</v>
      </c>
      <c r="U312" s="89" t="s">
        <v>945</v>
      </c>
      <c r="CN312" s="69" t="str">
        <f t="shared" si="4664"/>
        <v>InitUnitState('IK03',,,,,,,,,,)</v>
      </c>
      <c r="CO312" s="69" t="str">
        <f t="shared" si="4665"/>
        <v>InitUnitNormal('IK03',,,,,,,,,,)</v>
      </c>
      <c r="CP312" s="69" t="str">
        <f t="shared" si="4666"/>
        <v>InitUnitMagic('IK03',,,,,,,,,,)</v>
      </c>
      <c r="CQ312" s="69" t="str">
        <f t="shared" si="4667"/>
        <v>InitUnitAdd('IK03',,,,,,,,,,)</v>
      </c>
      <c r="CR312" s="69" t="str">
        <f t="shared" si="4668"/>
        <v>InitEquipData('IK03',,"",,,,,'','','','','','',"ReplaceableTextures\\CommandButtons\\BTNSST04.blp")</v>
      </c>
      <c r="CU312" s="99" t="str">
        <f t="shared" si="4432"/>
        <v>|n</v>
      </c>
      <c r="CV312" s="70" t="str">
        <f t="shared" si="4669"/>
        <v>道兵伤害|Cffffc926+30%|n|n|r|Cffff00bf【帝魄】|r+|Cffff00bf【帝魄】|r=|Cffffc926【昊天帝玉】|n|n|r|Cff00ff7f点击穿戴或脱卸。|r</v>
      </c>
      <c r="CW312" s="60"/>
      <c r="CX312" s="60"/>
      <c r="CY312" s="60"/>
      <c r="CZ312" s="60"/>
      <c r="DA312" s="60"/>
      <c r="DB312" s="71" t="str">
        <f t="shared" si="4433"/>
        <v/>
      </c>
      <c r="DC312" s="71" t="str">
        <f t="shared" si="4434"/>
        <v/>
      </c>
      <c r="DD312" s="71" t="str">
        <f t="shared" si="4435"/>
        <v/>
      </c>
      <c r="DE312" s="71" t="str">
        <f t="shared" si="4436"/>
        <v/>
      </c>
      <c r="DF312" s="71" t="str">
        <f t="shared" si="4437"/>
        <v/>
      </c>
      <c r="DG312" s="71" t="str">
        <f t="shared" si="4438"/>
        <v/>
      </c>
      <c r="DH312" s="71" t="str">
        <f t="shared" si="4439"/>
        <v/>
      </c>
      <c r="DI312" s="71" t="str">
        <f t="shared" si="4440"/>
        <v/>
      </c>
      <c r="DJ312" s="71" t="str">
        <f t="shared" si="4441"/>
        <v/>
      </c>
      <c r="DK312" s="71" t="str">
        <f t="shared" si="4442"/>
        <v/>
      </c>
      <c r="DL312" s="71" t="str">
        <f t="shared" si="4443"/>
        <v/>
      </c>
      <c r="DM312" s="71" t="str">
        <f t="shared" si="4444"/>
        <v/>
      </c>
      <c r="DN312" s="71" t="str">
        <f t="shared" si="4445"/>
        <v/>
      </c>
      <c r="DO312" s="71" t="str">
        <f t="shared" si="4446"/>
        <v/>
      </c>
      <c r="DP312" s="71" t="str">
        <f t="shared" si="4447"/>
        <v/>
      </c>
      <c r="DQ312" s="71" t="str">
        <f t="shared" si="4448"/>
        <v/>
      </c>
      <c r="DR312" s="71" t="str">
        <f t="shared" si="4449"/>
        <v/>
      </c>
      <c r="DS312" s="71" t="str">
        <f t="shared" si="4450"/>
        <v/>
      </c>
      <c r="DT312" s="71" t="str">
        <f t="shared" si="4451"/>
        <v/>
      </c>
      <c r="DU312" s="71" t="str">
        <f t="shared" si="4452"/>
        <v/>
      </c>
      <c r="DV312" s="71" t="str">
        <f t="shared" si="4453"/>
        <v/>
      </c>
      <c r="DW312" s="71" t="str">
        <f t="shared" si="4454"/>
        <v/>
      </c>
      <c r="DX312" s="71" t="str">
        <f t="shared" si="4455"/>
        <v/>
      </c>
      <c r="DY312" s="71" t="str">
        <f t="shared" si="4456"/>
        <v/>
      </c>
      <c r="DZ312" s="71" t="str">
        <f t="shared" si="4457"/>
        <v/>
      </c>
      <c r="EA312" s="71" t="str">
        <f t="shared" si="4458"/>
        <v/>
      </c>
      <c r="EB312" s="71" t="str">
        <f t="shared" si="4459"/>
        <v/>
      </c>
      <c r="EC312" s="71" t="str">
        <f t="shared" si="4460"/>
        <v/>
      </c>
      <c r="ED312" s="71" t="str">
        <f t="shared" si="4461"/>
        <v/>
      </c>
      <c r="EE312" s="71" t="str">
        <f t="shared" si="4462"/>
        <v/>
      </c>
      <c r="EF312" s="71" t="str">
        <f t="shared" si="4463"/>
        <v/>
      </c>
      <c r="EG312" s="71" t="str">
        <f t="shared" si="4464"/>
        <v/>
      </c>
      <c r="EH312" s="71" t="str">
        <f t="shared" si="4465"/>
        <v/>
      </c>
      <c r="EI312" s="71" t="str">
        <f t="shared" si="4466"/>
        <v/>
      </c>
      <c r="EJ312" s="71" t="str">
        <f t="shared" si="4467"/>
        <v/>
      </c>
      <c r="EK312" s="71" t="str">
        <f t="shared" si="4468"/>
        <v/>
      </c>
      <c r="EL312" s="71" t="str">
        <f t="shared" si="4469"/>
        <v/>
      </c>
      <c r="EM312" s="71" t="str">
        <f t="shared" si="4470"/>
        <v/>
      </c>
      <c r="EN312" s="71" t="str">
        <f t="shared" si="4471"/>
        <v/>
      </c>
      <c r="EO312" s="71" t="str">
        <f t="shared" si="4472"/>
        <v/>
      </c>
      <c r="EP312" s="71" t="str">
        <f t="shared" si="4473"/>
        <v/>
      </c>
      <c r="EQ312" s="71" t="str">
        <f t="shared" si="4474"/>
        <v/>
      </c>
      <c r="ER312" s="71" t="str">
        <f t="shared" si="4475"/>
        <v/>
      </c>
      <c r="ES312" s="71" t="str">
        <f t="shared" si="4476"/>
        <v/>
      </c>
      <c r="ET312" s="71" t="str">
        <f t="shared" si="4477"/>
        <v/>
      </c>
      <c r="EU312" s="71" t="str">
        <f t="shared" si="4478"/>
        <v/>
      </c>
      <c r="EV312" s="71" t="str">
        <f t="shared" si="4479"/>
        <v/>
      </c>
      <c r="EW312" s="71" t="str">
        <f t="shared" si="4480"/>
        <v/>
      </c>
      <c r="EX312" s="71" t="str">
        <f t="shared" si="4481"/>
        <v/>
      </c>
      <c r="EY312" s="71" t="str">
        <f t="shared" si="4482"/>
        <v/>
      </c>
      <c r="EZ312" s="71" t="str">
        <f t="shared" si="4483"/>
        <v/>
      </c>
      <c r="FA312" s="71" t="str">
        <f t="shared" si="4484"/>
        <v/>
      </c>
      <c r="FB312" s="71" t="str">
        <f t="shared" si="4485"/>
        <v/>
      </c>
      <c r="FC312" s="71" t="str">
        <f t="shared" si="4486"/>
        <v/>
      </c>
      <c r="FD312" s="71" t="str">
        <f t="shared" si="4487"/>
        <v/>
      </c>
      <c r="FE312" s="71" t="str">
        <f t="shared" si="4488"/>
        <v/>
      </c>
      <c r="FF312" s="71" t="str">
        <f t="shared" si="4489"/>
        <v/>
      </c>
      <c r="FG312" s="71" t="str">
        <f t="shared" si="4490"/>
        <v/>
      </c>
      <c r="FH312" s="71" t="str">
        <f t="shared" si="4491"/>
        <v/>
      </c>
      <c r="FI312" s="71" t="str">
        <f t="shared" si="4492"/>
        <v/>
      </c>
      <c r="FJ312" s="71" t="str">
        <f t="shared" si="4493"/>
        <v/>
      </c>
      <c r="FK312" s="71" t="str">
        <f t="shared" si="4494"/>
        <v/>
      </c>
      <c r="FL312" s="71" t="str">
        <f t="shared" si="4495"/>
        <v/>
      </c>
      <c r="FM312" s="71" t="str">
        <f t="shared" si="4496"/>
        <v/>
      </c>
      <c r="FN312" s="71" t="str">
        <f t="shared" si="4497"/>
        <v/>
      </c>
      <c r="FO312" s="71" t="str">
        <f t="shared" si="4498"/>
        <v/>
      </c>
      <c r="FP312" s="71" t="str">
        <f t="shared" si="4499"/>
        <v/>
      </c>
      <c r="FQ312" s="71" t="str">
        <f t="shared" si="4500"/>
        <v/>
      </c>
      <c r="FR312" s="71" t="str">
        <f t="shared" si="4501"/>
        <v/>
      </c>
      <c r="FS312" s="71" t="str">
        <f t="shared" si="4502"/>
        <v/>
      </c>
    </row>
    <row r="313" ht="15" spans="1:175">
      <c r="A313" s="138"/>
      <c r="B313" s="81" t="s">
        <v>946</v>
      </c>
      <c r="C313" s="144" t="s">
        <v>947</v>
      </c>
      <c r="T313" s="155" t="s">
        <v>948</v>
      </c>
      <c r="U313" s="89" t="s">
        <v>949</v>
      </c>
      <c r="CN313" s="69" t="str">
        <f t="shared" si="4664"/>
        <v>InitUnitState('IK04',,,,,,,,,,)</v>
      </c>
      <c r="CO313" s="69" t="str">
        <f t="shared" si="4665"/>
        <v>InitUnitNormal('IK04',,,,,,,,,,)</v>
      </c>
      <c r="CP313" s="69" t="str">
        <f t="shared" si="4666"/>
        <v>InitUnitMagic('IK04',,,,,,,,,,)</v>
      </c>
      <c r="CQ313" s="69" t="str">
        <f t="shared" si="4667"/>
        <v>InitUnitAdd('IK04',,,,,,,,,,)</v>
      </c>
      <c r="CR313" s="69" t="str">
        <f t="shared" si="4668"/>
        <v>InitEquipData('IK04',,"",,,,,'','','','','','',"ReplaceableTextures\\CommandButtons\\BTNSST05.blp")</v>
      </c>
      <c r="CU313" s="99" t="str">
        <f t="shared" si="4432"/>
        <v>|n</v>
      </c>
      <c r="CV313" s="70" t="str">
        <f t="shared" si="4669"/>
        <v>攻击|Cffffc926+30000|r，攻击|Cffffc926+6%|n|n|r|Cffff00bf【青龙】|r+|Cffff00bf【青龙】|r=|Cffffc926【应龙珠】|n|n|r|Cff00ff7f点击穿戴或脱卸。|r</v>
      </c>
      <c r="CW313" s="60"/>
      <c r="CX313" s="60"/>
      <c r="CY313" s="60"/>
      <c r="CZ313" s="60"/>
      <c r="DA313" s="60"/>
      <c r="DB313" s="71" t="str">
        <f t="shared" si="4433"/>
        <v/>
      </c>
      <c r="DC313" s="71" t="str">
        <f t="shared" si="4434"/>
        <v/>
      </c>
      <c r="DD313" s="71" t="str">
        <f t="shared" si="4435"/>
        <v/>
      </c>
      <c r="DE313" s="71" t="str">
        <f t="shared" si="4436"/>
        <v/>
      </c>
      <c r="DF313" s="71" t="str">
        <f t="shared" si="4437"/>
        <v/>
      </c>
      <c r="DG313" s="71" t="str">
        <f t="shared" si="4438"/>
        <v/>
      </c>
      <c r="DH313" s="71" t="str">
        <f t="shared" si="4439"/>
        <v/>
      </c>
      <c r="DI313" s="71" t="str">
        <f t="shared" si="4440"/>
        <v/>
      </c>
      <c r="DJ313" s="71" t="str">
        <f t="shared" si="4441"/>
        <v/>
      </c>
      <c r="DK313" s="71" t="str">
        <f t="shared" si="4442"/>
        <v/>
      </c>
      <c r="DL313" s="71" t="str">
        <f t="shared" si="4443"/>
        <v/>
      </c>
      <c r="DM313" s="71" t="str">
        <f t="shared" si="4444"/>
        <v/>
      </c>
      <c r="DN313" s="71" t="str">
        <f t="shared" si="4445"/>
        <v/>
      </c>
      <c r="DO313" s="71" t="str">
        <f t="shared" si="4446"/>
        <v/>
      </c>
      <c r="DP313" s="71" t="str">
        <f t="shared" si="4447"/>
        <v/>
      </c>
      <c r="DQ313" s="71" t="str">
        <f t="shared" si="4448"/>
        <v/>
      </c>
      <c r="DR313" s="71" t="str">
        <f t="shared" si="4449"/>
        <v/>
      </c>
      <c r="DS313" s="71" t="str">
        <f t="shared" si="4450"/>
        <v/>
      </c>
      <c r="DT313" s="71" t="str">
        <f t="shared" si="4451"/>
        <v/>
      </c>
      <c r="DU313" s="71" t="str">
        <f t="shared" si="4452"/>
        <v/>
      </c>
      <c r="DV313" s="71" t="str">
        <f t="shared" si="4453"/>
        <v/>
      </c>
      <c r="DW313" s="71" t="str">
        <f t="shared" si="4454"/>
        <v/>
      </c>
      <c r="DX313" s="71" t="str">
        <f t="shared" si="4455"/>
        <v/>
      </c>
      <c r="DY313" s="71" t="str">
        <f t="shared" si="4456"/>
        <v/>
      </c>
      <c r="DZ313" s="71" t="str">
        <f t="shared" si="4457"/>
        <v/>
      </c>
      <c r="EA313" s="71" t="str">
        <f t="shared" si="4458"/>
        <v/>
      </c>
      <c r="EB313" s="71" t="str">
        <f t="shared" si="4459"/>
        <v/>
      </c>
      <c r="EC313" s="71" t="str">
        <f t="shared" si="4460"/>
        <v/>
      </c>
      <c r="ED313" s="71" t="str">
        <f t="shared" si="4461"/>
        <v/>
      </c>
      <c r="EE313" s="71" t="str">
        <f t="shared" si="4462"/>
        <v/>
      </c>
      <c r="EF313" s="71" t="str">
        <f t="shared" si="4463"/>
        <v/>
      </c>
      <c r="EG313" s="71" t="str">
        <f t="shared" si="4464"/>
        <v/>
      </c>
      <c r="EH313" s="71" t="str">
        <f t="shared" si="4465"/>
        <v/>
      </c>
      <c r="EI313" s="71" t="str">
        <f t="shared" si="4466"/>
        <v/>
      </c>
      <c r="EJ313" s="71" t="str">
        <f t="shared" si="4467"/>
        <v/>
      </c>
      <c r="EK313" s="71" t="str">
        <f t="shared" si="4468"/>
        <v/>
      </c>
      <c r="EL313" s="71" t="str">
        <f t="shared" si="4469"/>
        <v/>
      </c>
      <c r="EM313" s="71" t="str">
        <f t="shared" si="4470"/>
        <v/>
      </c>
      <c r="EN313" s="71" t="str">
        <f t="shared" si="4471"/>
        <v/>
      </c>
      <c r="EO313" s="71" t="str">
        <f t="shared" si="4472"/>
        <v/>
      </c>
      <c r="EP313" s="71" t="str">
        <f t="shared" si="4473"/>
        <v/>
      </c>
      <c r="EQ313" s="71" t="str">
        <f t="shared" si="4474"/>
        <v/>
      </c>
      <c r="ER313" s="71" t="str">
        <f t="shared" si="4475"/>
        <v/>
      </c>
      <c r="ES313" s="71" t="str">
        <f t="shared" si="4476"/>
        <v/>
      </c>
      <c r="ET313" s="71" t="str">
        <f t="shared" si="4477"/>
        <v/>
      </c>
      <c r="EU313" s="71" t="str">
        <f t="shared" si="4478"/>
        <v/>
      </c>
      <c r="EV313" s="71" t="str">
        <f t="shared" si="4479"/>
        <v/>
      </c>
      <c r="EW313" s="71" t="str">
        <f t="shared" si="4480"/>
        <v/>
      </c>
      <c r="EX313" s="71" t="str">
        <f t="shared" si="4481"/>
        <v/>
      </c>
      <c r="EY313" s="71" t="str">
        <f t="shared" si="4482"/>
        <v/>
      </c>
      <c r="EZ313" s="71" t="str">
        <f t="shared" si="4483"/>
        <v/>
      </c>
      <c r="FA313" s="71" t="str">
        <f t="shared" si="4484"/>
        <v/>
      </c>
      <c r="FB313" s="71" t="str">
        <f t="shared" si="4485"/>
        <v/>
      </c>
      <c r="FC313" s="71" t="str">
        <f t="shared" si="4486"/>
        <v/>
      </c>
      <c r="FD313" s="71" t="str">
        <f t="shared" si="4487"/>
        <v/>
      </c>
      <c r="FE313" s="71" t="str">
        <f t="shared" si="4488"/>
        <v/>
      </c>
      <c r="FF313" s="71" t="str">
        <f t="shared" si="4489"/>
        <v/>
      </c>
      <c r="FG313" s="71" t="str">
        <f t="shared" si="4490"/>
        <v/>
      </c>
      <c r="FH313" s="71" t="str">
        <f t="shared" si="4491"/>
        <v/>
      </c>
      <c r="FI313" s="71" t="str">
        <f t="shared" si="4492"/>
        <v/>
      </c>
      <c r="FJ313" s="71" t="str">
        <f t="shared" si="4493"/>
        <v/>
      </c>
      <c r="FK313" s="71" t="str">
        <f t="shared" si="4494"/>
        <v/>
      </c>
      <c r="FL313" s="71" t="str">
        <f t="shared" si="4495"/>
        <v/>
      </c>
      <c r="FM313" s="71" t="str">
        <f t="shared" si="4496"/>
        <v/>
      </c>
      <c r="FN313" s="71" t="str">
        <f t="shared" si="4497"/>
        <v/>
      </c>
      <c r="FO313" s="71" t="str">
        <f t="shared" si="4498"/>
        <v/>
      </c>
      <c r="FP313" s="71" t="str">
        <f t="shared" si="4499"/>
        <v/>
      </c>
      <c r="FQ313" s="71" t="str">
        <f t="shared" si="4500"/>
        <v/>
      </c>
      <c r="FR313" s="71" t="str">
        <f t="shared" si="4501"/>
        <v/>
      </c>
      <c r="FS313" s="71" t="str">
        <f t="shared" si="4502"/>
        <v/>
      </c>
    </row>
    <row r="314" ht="15" spans="1:175">
      <c r="A314" s="138"/>
      <c r="B314" s="81" t="s">
        <v>950</v>
      </c>
      <c r="C314" s="144" t="s">
        <v>951</v>
      </c>
      <c r="T314" s="155" t="s">
        <v>952</v>
      </c>
      <c r="U314" s="89" t="s">
        <v>953</v>
      </c>
      <c r="CN314" s="69" t="str">
        <f t="shared" si="4664"/>
        <v>InitUnitState('IK05',,,,,,,,,,)</v>
      </c>
      <c r="CO314" s="69" t="str">
        <f t="shared" si="4665"/>
        <v>InitUnitNormal('IK05',,,,,,,,,,)</v>
      </c>
      <c r="CP314" s="69" t="str">
        <f t="shared" si="4666"/>
        <v>InitUnitMagic('IK05',,,,,,,,,,)</v>
      </c>
      <c r="CQ314" s="69" t="str">
        <f t="shared" si="4667"/>
        <v>InitUnitAdd('IK05',,,,,,,,,,)</v>
      </c>
      <c r="CR314" s="69" t="str">
        <f t="shared" si="4668"/>
        <v>InitEquipData('IK05',,"",,,,,'','','','','','',"ReplaceableTextures\\CommandButtons\\BTNSST06.blp")</v>
      </c>
      <c r="CU314" s="99" t="str">
        <f t="shared" si="4432"/>
        <v>|n</v>
      </c>
      <c r="CV314" s="70" t="str">
        <f t="shared" si="4669"/>
        <v>护甲穿透|Cffffc926+80|n|n|r|Cffff00bf【白泽】|r+|Cffff00bf【白泽】|r=|Cffffc926【白泽之灵】|n|n|r|Cff00ff7f点击穿戴或脱卸。|r</v>
      </c>
      <c r="CW314" s="60"/>
      <c r="CX314" s="60"/>
      <c r="CY314" s="60"/>
      <c r="CZ314" s="60"/>
      <c r="DA314" s="60"/>
      <c r="DB314" s="71" t="str">
        <f t="shared" si="4433"/>
        <v/>
      </c>
      <c r="DC314" s="71" t="str">
        <f t="shared" si="4434"/>
        <v/>
      </c>
      <c r="DD314" s="71" t="str">
        <f t="shared" si="4435"/>
        <v/>
      </c>
      <c r="DE314" s="71" t="str">
        <f t="shared" si="4436"/>
        <v/>
      </c>
      <c r="DF314" s="71" t="str">
        <f t="shared" si="4437"/>
        <v/>
      </c>
      <c r="DG314" s="71" t="str">
        <f t="shared" si="4438"/>
        <v/>
      </c>
      <c r="DH314" s="71" t="str">
        <f t="shared" si="4439"/>
        <v/>
      </c>
      <c r="DI314" s="71" t="str">
        <f t="shared" si="4440"/>
        <v/>
      </c>
      <c r="DJ314" s="71" t="str">
        <f t="shared" si="4441"/>
        <v/>
      </c>
      <c r="DK314" s="71" t="str">
        <f t="shared" si="4442"/>
        <v/>
      </c>
      <c r="DL314" s="71" t="str">
        <f t="shared" si="4443"/>
        <v/>
      </c>
      <c r="DM314" s="71" t="str">
        <f t="shared" si="4444"/>
        <v/>
      </c>
      <c r="DN314" s="71" t="str">
        <f t="shared" si="4445"/>
        <v/>
      </c>
      <c r="DO314" s="71" t="str">
        <f t="shared" si="4446"/>
        <v/>
      </c>
      <c r="DP314" s="71" t="str">
        <f t="shared" si="4447"/>
        <v/>
      </c>
      <c r="DQ314" s="71" t="str">
        <f t="shared" si="4448"/>
        <v/>
      </c>
      <c r="DR314" s="71" t="str">
        <f t="shared" si="4449"/>
        <v/>
      </c>
      <c r="DS314" s="71" t="str">
        <f t="shared" si="4450"/>
        <v/>
      </c>
      <c r="DT314" s="71" t="str">
        <f t="shared" si="4451"/>
        <v/>
      </c>
      <c r="DU314" s="71" t="str">
        <f t="shared" si="4452"/>
        <v/>
      </c>
      <c r="DV314" s="71" t="str">
        <f t="shared" si="4453"/>
        <v/>
      </c>
      <c r="DW314" s="71" t="str">
        <f t="shared" si="4454"/>
        <v/>
      </c>
      <c r="DX314" s="71" t="str">
        <f t="shared" si="4455"/>
        <v/>
      </c>
      <c r="DY314" s="71" t="str">
        <f t="shared" si="4456"/>
        <v/>
      </c>
      <c r="DZ314" s="71" t="str">
        <f t="shared" si="4457"/>
        <v/>
      </c>
      <c r="EA314" s="71" t="str">
        <f t="shared" si="4458"/>
        <v/>
      </c>
      <c r="EB314" s="71" t="str">
        <f t="shared" si="4459"/>
        <v/>
      </c>
      <c r="EC314" s="71" t="str">
        <f t="shared" si="4460"/>
        <v/>
      </c>
      <c r="ED314" s="71" t="str">
        <f t="shared" si="4461"/>
        <v/>
      </c>
      <c r="EE314" s="71" t="str">
        <f t="shared" si="4462"/>
        <v/>
      </c>
      <c r="EF314" s="71" t="str">
        <f t="shared" si="4463"/>
        <v/>
      </c>
      <c r="EG314" s="71" t="str">
        <f t="shared" si="4464"/>
        <v/>
      </c>
      <c r="EH314" s="71" t="str">
        <f t="shared" si="4465"/>
        <v/>
      </c>
      <c r="EI314" s="71" t="str">
        <f t="shared" si="4466"/>
        <v/>
      </c>
      <c r="EJ314" s="71" t="str">
        <f t="shared" si="4467"/>
        <v/>
      </c>
      <c r="EK314" s="71" t="str">
        <f t="shared" si="4468"/>
        <v/>
      </c>
      <c r="EL314" s="71" t="str">
        <f t="shared" si="4469"/>
        <v/>
      </c>
      <c r="EM314" s="71" t="str">
        <f t="shared" si="4470"/>
        <v/>
      </c>
      <c r="EN314" s="71" t="str">
        <f t="shared" si="4471"/>
        <v/>
      </c>
      <c r="EO314" s="71" t="str">
        <f t="shared" si="4472"/>
        <v/>
      </c>
      <c r="EP314" s="71" t="str">
        <f t="shared" si="4473"/>
        <v/>
      </c>
      <c r="EQ314" s="71" t="str">
        <f t="shared" si="4474"/>
        <v/>
      </c>
      <c r="ER314" s="71" t="str">
        <f t="shared" si="4475"/>
        <v/>
      </c>
      <c r="ES314" s="71" t="str">
        <f t="shared" si="4476"/>
        <v/>
      </c>
      <c r="ET314" s="71" t="str">
        <f t="shared" si="4477"/>
        <v/>
      </c>
      <c r="EU314" s="71" t="str">
        <f t="shared" si="4478"/>
        <v/>
      </c>
      <c r="EV314" s="71" t="str">
        <f t="shared" si="4479"/>
        <v/>
      </c>
      <c r="EW314" s="71" t="str">
        <f t="shared" si="4480"/>
        <v/>
      </c>
      <c r="EX314" s="71" t="str">
        <f t="shared" si="4481"/>
        <v/>
      </c>
      <c r="EY314" s="71" t="str">
        <f t="shared" si="4482"/>
        <v/>
      </c>
      <c r="EZ314" s="71" t="str">
        <f t="shared" si="4483"/>
        <v/>
      </c>
      <c r="FA314" s="71" t="str">
        <f t="shared" si="4484"/>
        <v/>
      </c>
      <c r="FB314" s="71" t="str">
        <f t="shared" si="4485"/>
        <v/>
      </c>
      <c r="FC314" s="71" t="str">
        <f t="shared" si="4486"/>
        <v/>
      </c>
      <c r="FD314" s="71" t="str">
        <f t="shared" si="4487"/>
        <v/>
      </c>
      <c r="FE314" s="71" t="str">
        <f t="shared" si="4488"/>
        <v/>
      </c>
      <c r="FF314" s="71" t="str">
        <f t="shared" si="4489"/>
        <v/>
      </c>
      <c r="FG314" s="71" t="str">
        <f t="shared" si="4490"/>
        <v/>
      </c>
      <c r="FH314" s="71" t="str">
        <f t="shared" si="4491"/>
        <v/>
      </c>
      <c r="FI314" s="71" t="str">
        <f t="shared" si="4492"/>
        <v/>
      </c>
      <c r="FJ314" s="71" t="str">
        <f t="shared" si="4493"/>
        <v/>
      </c>
      <c r="FK314" s="71" t="str">
        <f t="shared" si="4494"/>
        <v/>
      </c>
      <c r="FL314" s="71" t="str">
        <f t="shared" si="4495"/>
        <v/>
      </c>
      <c r="FM314" s="71" t="str">
        <f t="shared" si="4496"/>
        <v/>
      </c>
      <c r="FN314" s="71" t="str">
        <f t="shared" si="4497"/>
        <v/>
      </c>
      <c r="FO314" s="71" t="str">
        <f t="shared" si="4498"/>
        <v/>
      </c>
      <c r="FP314" s="71" t="str">
        <f t="shared" si="4499"/>
        <v/>
      </c>
      <c r="FQ314" s="71" t="str">
        <f t="shared" si="4500"/>
        <v/>
      </c>
      <c r="FR314" s="71" t="str">
        <f t="shared" si="4501"/>
        <v/>
      </c>
      <c r="FS314" s="71" t="str">
        <f t="shared" si="4502"/>
        <v/>
      </c>
    </row>
    <row r="315" ht="15" spans="1:175">
      <c r="A315" s="138"/>
      <c r="B315" s="81" t="s">
        <v>954</v>
      </c>
      <c r="C315" s="144" t="s">
        <v>955</v>
      </c>
      <c r="T315" s="155" t="s">
        <v>956</v>
      </c>
      <c r="U315" s="89" t="s">
        <v>957</v>
      </c>
      <c r="CN315" s="69" t="str">
        <f t="shared" si="4664"/>
        <v>InitUnitState('IK06',,,,,,,,,,)</v>
      </c>
      <c r="CO315" s="69" t="str">
        <f t="shared" si="4665"/>
        <v>InitUnitNormal('IK06',,,,,,,,,,)</v>
      </c>
      <c r="CP315" s="69" t="str">
        <f t="shared" si="4666"/>
        <v>InitUnitMagic('IK06',,,,,,,,,,)</v>
      </c>
      <c r="CQ315" s="69" t="str">
        <f t="shared" si="4667"/>
        <v>InitUnitAdd('IK06',,,,,,,,,,)</v>
      </c>
      <c r="CR315" s="69" t="str">
        <f t="shared" si="4668"/>
        <v>InitEquipData('IK06',,"",,,,,'','','','','','',"ReplaceableTextures\\CommandButtons\\BTNSST07.blp")</v>
      </c>
      <c r="CU315" s="99" t="str">
        <f t="shared" si="4432"/>
        <v>|n</v>
      </c>
      <c r="CV315" s="70" t="str">
        <f t="shared" si="4669"/>
        <v>暴击伤害|Cffffc926+30%|n|n|r|Cffff00bf【麒麟】|r+|Cffff00bf【麒麟】|r=|Cffffc926【麒麟心】|n|n|r|Cff00ff7f点击穿戴或脱卸。|r</v>
      </c>
      <c r="CW315" s="60"/>
      <c r="CX315" s="60"/>
      <c r="CY315" s="60"/>
      <c r="CZ315" s="60"/>
      <c r="DA315" s="60"/>
      <c r="DB315" s="71" t="str">
        <f t="shared" si="4433"/>
        <v/>
      </c>
      <c r="DC315" s="71" t="str">
        <f t="shared" si="4434"/>
        <v/>
      </c>
      <c r="DD315" s="71" t="str">
        <f t="shared" si="4435"/>
        <v/>
      </c>
      <c r="DE315" s="71" t="str">
        <f t="shared" si="4436"/>
        <v/>
      </c>
      <c r="DF315" s="71" t="str">
        <f t="shared" si="4437"/>
        <v/>
      </c>
      <c r="DG315" s="71" t="str">
        <f t="shared" si="4438"/>
        <v/>
      </c>
      <c r="DH315" s="71" t="str">
        <f t="shared" si="4439"/>
        <v/>
      </c>
      <c r="DI315" s="71" t="str">
        <f t="shared" si="4440"/>
        <v/>
      </c>
      <c r="DJ315" s="71" t="str">
        <f t="shared" si="4441"/>
        <v/>
      </c>
      <c r="DK315" s="71" t="str">
        <f t="shared" si="4442"/>
        <v/>
      </c>
      <c r="DL315" s="71" t="str">
        <f t="shared" si="4443"/>
        <v/>
      </c>
      <c r="DM315" s="71" t="str">
        <f t="shared" si="4444"/>
        <v/>
      </c>
      <c r="DN315" s="71" t="str">
        <f t="shared" si="4445"/>
        <v/>
      </c>
      <c r="DO315" s="71" t="str">
        <f t="shared" si="4446"/>
        <v/>
      </c>
      <c r="DP315" s="71" t="str">
        <f t="shared" si="4447"/>
        <v/>
      </c>
      <c r="DQ315" s="71" t="str">
        <f t="shared" si="4448"/>
        <v/>
      </c>
      <c r="DR315" s="71" t="str">
        <f t="shared" si="4449"/>
        <v/>
      </c>
      <c r="DS315" s="71" t="str">
        <f t="shared" si="4450"/>
        <v/>
      </c>
      <c r="DT315" s="71" t="str">
        <f t="shared" si="4451"/>
        <v/>
      </c>
      <c r="DU315" s="71" t="str">
        <f t="shared" si="4452"/>
        <v/>
      </c>
      <c r="DV315" s="71" t="str">
        <f t="shared" si="4453"/>
        <v/>
      </c>
      <c r="DW315" s="71" t="str">
        <f t="shared" si="4454"/>
        <v/>
      </c>
      <c r="DX315" s="71" t="str">
        <f t="shared" si="4455"/>
        <v/>
      </c>
      <c r="DY315" s="71" t="str">
        <f t="shared" si="4456"/>
        <v/>
      </c>
      <c r="DZ315" s="71" t="str">
        <f t="shared" si="4457"/>
        <v/>
      </c>
      <c r="EA315" s="71" t="str">
        <f t="shared" si="4458"/>
        <v/>
      </c>
      <c r="EB315" s="71" t="str">
        <f t="shared" si="4459"/>
        <v/>
      </c>
      <c r="EC315" s="71" t="str">
        <f t="shared" si="4460"/>
        <v/>
      </c>
      <c r="ED315" s="71" t="str">
        <f t="shared" si="4461"/>
        <v/>
      </c>
      <c r="EE315" s="71" t="str">
        <f t="shared" si="4462"/>
        <v/>
      </c>
      <c r="EF315" s="71" t="str">
        <f t="shared" si="4463"/>
        <v/>
      </c>
      <c r="EG315" s="71" t="str">
        <f t="shared" si="4464"/>
        <v/>
      </c>
      <c r="EH315" s="71" t="str">
        <f t="shared" si="4465"/>
        <v/>
      </c>
      <c r="EI315" s="71" t="str">
        <f t="shared" si="4466"/>
        <v/>
      </c>
      <c r="EJ315" s="71" t="str">
        <f t="shared" si="4467"/>
        <v/>
      </c>
      <c r="EK315" s="71" t="str">
        <f t="shared" si="4468"/>
        <v/>
      </c>
      <c r="EL315" s="71" t="str">
        <f t="shared" si="4469"/>
        <v/>
      </c>
      <c r="EM315" s="71" t="str">
        <f t="shared" si="4470"/>
        <v/>
      </c>
      <c r="EN315" s="71" t="str">
        <f t="shared" si="4471"/>
        <v/>
      </c>
      <c r="EO315" s="71" t="str">
        <f t="shared" si="4472"/>
        <v/>
      </c>
      <c r="EP315" s="71" t="str">
        <f t="shared" si="4473"/>
        <v/>
      </c>
      <c r="EQ315" s="71" t="str">
        <f t="shared" si="4474"/>
        <v/>
      </c>
      <c r="ER315" s="71" t="str">
        <f t="shared" si="4475"/>
        <v/>
      </c>
      <c r="ES315" s="71" t="str">
        <f t="shared" si="4476"/>
        <v/>
      </c>
      <c r="ET315" s="71" t="str">
        <f t="shared" si="4477"/>
        <v/>
      </c>
      <c r="EU315" s="71" t="str">
        <f t="shared" si="4478"/>
        <v/>
      </c>
      <c r="EV315" s="71" t="str">
        <f t="shared" si="4479"/>
        <v/>
      </c>
      <c r="EW315" s="71" t="str">
        <f t="shared" si="4480"/>
        <v/>
      </c>
      <c r="EX315" s="71" t="str">
        <f t="shared" si="4481"/>
        <v/>
      </c>
      <c r="EY315" s="71" t="str">
        <f t="shared" si="4482"/>
        <v/>
      </c>
      <c r="EZ315" s="71" t="str">
        <f t="shared" si="4483"/>
        <v/>
      </c>
      <c r="FA315" s="71" t="str">
        <f t="shared" si="4484"/>
        <v/>
      </c>
      <c r="FB315" s="71" t="str">
        <f t="shared" si="4485"/>
        <v/>
      </c>
      <c r="FC315" s="71" t="str">
        <f t="shared" si="4486"/>
        <v/>
      </c>
      <c r="FD315" s="71" t="str">
        <f t="shared" si="4487"/>
        <v/>
      </c>
      <c r="FE315" s="71" t="str">
        <f t="shared" si="4488"/>
        <v/>
      </c>
      <c r="FF315" s="71" t="str">
        <f t="shared" si="4489"/>
        <v/>
      </c>
      <c r="FG315" s="71" t="str">
        <f t="shared" si="4490"/>
        <v/>
      </c>
      <c r="FH315" s="71" t="str">
        <f t="shared" si="4491"/>
        <v/>
      </c>
      <c r="FI315" s="71" t="str">
        <f t="shared" si="4492"/>
        <v/>
      </c>
      <c r="FJ315" s="71" t="str">
        <f t="shared" si="4493"/>
        <v/>
      </c>
      <c r="FK315" s="71" t="str">
        <f t="shared" si="4494"/>
        <v/>
      </c>
      <c r="FL315" s="71" t="str">
        <f t="shared" si="4495"/>
        <v/>
      </c>
      <c r="FM315" s="71" t="str">
        <f t="shared" si="4496"/>
        <v/>
      </c>
      <c r="FN315" s="71" t="str">
        <f t="shared" si="4497"/>
        <v/>
      </c>
      <c r="FO315" s="71" t="str">
        <f t="shared" si="4498"/>
        <v/>
      </c>
      <c r="FP315" s="71" t="str">
        <f t="shared" si="4499"/>
        <v/>
      </c>
      <c r="FQ315" s="71" t="str">
        <f t="shared" si="4500"/>
        <v/>
      </c>
      <c r="FR315" s="71" t="str">
        <f t="shared" si="4501"/>
        <v/>
      </c>
      <c r="FS315" s="71" t="str">
        <f t="shared" si="4502"/>
        <v/>
      </c>
    </row>
    <row r="316" ht="15" spans="1:175">
      <c r="A316" s="138"/>
      <c r="B316" s="81" t="s">
        <v>958</v>
      </c>
      <c r="C316" s="144" t="s">
        <v>959</v>
      </c>
      <c r="T316" s="155" t="s">
        <v>960</v>
      </c>
      <c r="U316" s="89" t="s">
        <v>961</v>
      </c>
      <c r="CN316" s="69" t="str">
        <f t="shared" si="4664"/>
        <v>InitUnitState('IK07',,,,,,,,,,)</v>
      </c>
      <c r="CO316" s="69" t="str">
        <f t="shared" si="4665"/>
        <v>InitUnitNormal('IK07',,,,,,,,,,)</v>
      </c>
      <c r="CP316" s="69" t="str">
        <f t="shared" si="4666"/>
        <v>InitUnitMagic('IK07',,,,,,,,,,)</v>
      </c>
      <c r="CQ316" s="69" t="str">
        <f t="shared" si="4667"/>
        <v>InitUnitAdd('IK07',,,,,,,,,,)</v>
      </c>
      <c r="CR316" s="69" t="str">
        <f t="shared" si="4668"/>
        <v>InitEquipData('IK07',,"",,,,,'','','','','','',"ReplaceableTextures\\CommandButtons\\BTNSST08.blp")</v>
      </c>
      <c r="CU316" s="99" t="str">
        <f t="shared" si="4432"/>
        <v>|n</v>
      </c>
      <c r="CV316" s="70" t="str">
        <f t="shared" si="4669"/>
        <v>护甲|Cffffc926+60|n|n|r|Cffff00bf【腾蛇】|r+|Cffff00bf【腾蛇】|r=|Cffffc926【腾蛇之牙】|n|n|r|Cff00ff7f点击穿戴或脱卸。|r</v>
      </c>
      <c r="CW316" s="60"/>
      <c r="CX316" s="60"/>
      <c r="CY316" s="60"/>
      <c r="CZ316" s="60"/>
      <c r="DA316" s="60"/>
      <c r="DB316" s="71" t="str">
        <f t="shared" si="4433"/>
        <v/>
      </c>
      <c r="DC316" s="71" t="str">
        <f t="shared" si="4434"/>
        <v/>
      </c>
      <c r="DD316" s="71" t="str">
        <f t="shared" si="4435"/>
        <v/>
      </c>
      <c r="DE316" s="71" t="str">
        <f t="shared" si="4436"/>
        <v/>
      </c>
      <c r="DF316" s="71" t="str">
        <f t="shared" si="4437"/>
        <v/>
      </c>
      <c r="DG316" s="71" t="str">
        <f t="shared" si="4438"/>
        <v/>
      </c>
      <c r="DH316" s="71" t="str">
        <f t="shared" si="4439"/>
        <v/>
      </c>
      <c r="DI316" s="71" t="str">
        <f t="shared" si="4440"/>
        <v/>
      </c>
      <c r="DJ316" s="71" t="str">
        <f t="shared" si="4441"/>
        <v/>
      </c>
      <c r="DK316" s="71" t="str">
        <f t="shared" si="4442"/>
        <v/>
      </c>
      <c r="DL316" s="71" t="str">
        <f t="shared" si="4443"/>
        <v/>
      </c>
      <c r="DM316" s="71" t="str">
        <f t="shared" si="4444"/>
        <v/>
      </c>
      <c r="DN316" s="71" t="str">
        <f t="shared" si="4445"/>
        <v/>
      </c>
      <c r="DO316" s="71" t="str">
        <f t="shared" si="4446"/>
        <v/>
      </c>
      <c r="DP316" s="71" t="str">
        <f t="shared" si="4447"/>
        <v/>
      </c>
      <c r="DQ316" s="71" t="str">
        <f t="shared" si="4448"/>
        <v/>
      </c>
      <c r="DR316" s="71" t="str">
        <f t="shared" si="4449"/>
        <v/>
      </c>
      <c r="DS316" s="71" t="str">
        <f t="shared" si="4450"/>
        <v/>
      </c>
      <c r="DT316" s="71" t="str">
        <f t="shared" si="4451"/>
        <v/>
      </c>
      <c r="DU316" s="71" t="str">
        <f t="shared" si="4452"/>
        <v/>
      </c>
      <c r="DV316" s="71" t="str">
        <f t="shared" si="4453"/>
        <v/>
      </c>
      <c r="DW316" s="71" t="str">
        <f t="shared" si="4454"/>
        <v/>
      </c>
      <c r="DX316" s="71" t="str">
        <f t="shared" si="4455"/>
        <v/>
      </c>
      <c r="DY316" s="71" t="str">
        <f t="shared" si="4456"/>
        <v/>
      </c>
      <c r="DZ316" s="71" t="str">
        <f t="shared" si="4457"/>
        <v/>
      </c>
      <c r="EA316" s="71" t="str">
        <f t="shared" si="4458"/>
        <v/>
      </c>
      <c r="EB316" s="71" t="str">
        <f t="shared" si="4459"/>
        <v/>
      </c>
      <c r="EC316" s="71" t="str">
        <f t="shared" si="4460"/>
        <v/>
      </c>
      <c r="ED316" s="71" t="str">
        <f t="shared" si="4461"/>
        <v/>
      </c>
      <c r="EE316" s="71" t="str">
        <f t="shared" si="4462"/>
        <v/>
      </c>
      <c r="EF316" s="71" t="str">
        <f t="shared" si="4463"/>
        <v/>
      </c>
      <c r="EG316" s="71" t="str">
        <f t="shared" si="4464"/>
        <v/>
      </c>
      <c r="EH316" s="71" t="str">
        <f t="shared" si="4465"/>
        <v/>
      </c>
      <c r="EI316" s="71" t="str">
        <f t="shared" si="4466"/>
        <v/>
      </c>
      <c r="EJ316" s="71" t="str">
        <f t="shared" si="4467"/>
        <v/>
      </c>
      <c r="EK316" s="71" t="str">
        <f t="shared" si="4468"/>
        <v/>
      </c>
      <c r="EL316" s="71" t="str">
        <f t="shared" si="4469"/>
        <v/>
      </c>
      <c r="EM316" s="71" t="str">
        <f t="shared" si="4470"/>
        <v/>
      </c>
      <c r="EN316" s="71" t="str">
        <f t="shared" si="4471"/>
        <v/>
      </c>
      <c r="EO316" s="71" t="str">
        <f t="shared" si="4472"/>
        <v/>
      </c>
      <c r="EP316" s="71" t="str">
        <f t="shared" si="4473"/>
        <v/>
      </c>
      <c r="EQ316" s="71" t="str">
        <f t="shared" si="4474"/>
        <v/>
      </c>
      <c r="ER316" s="71" t="str">
        <f t="shared" si="4475"/>
        <v/>
      </c>
      <c r="ES316" s="71" t="str">
        <f t="shared" si="4476"/>
        <v/>
      </c>
      <c r="ET316" s="71" t="str">
        <f t="shared" si="4477"/>
        <v/>
      </c>
      <c r="EU316" s="71" t="str">
        <f t="shared" si="4478"/>
        <v/>
      </c>
      <c r="EV316" s="71" t="str">
        <f t="shared" si="4479"/>
        <v/>
      </c>
      <c r="EW316" s="71" t="str">
        <f t="shared" si="4480"/>
        <v/>
      </c>
      <c r="EX316" s="71" t="str">
        <f t="shared" si="4481"/>
        <v/>
      </c>
      <c r="EY316" s="71" t="str">
        <f t="shared" si="4482"/>
        <v/>
      </c>
      <c r="EZ316" s="71" t="str">
        <f t="shared" si="4483"/>
        <v/>
      </c>
      <c r="FA316" s="71" t="str">
        <f t="shared" si="4484"/>
        <v/>
      </c>
      <c r="FB316" s="71" t="str">
        <f t="shared" si="4485"/>
        <v/>
      </c>
      <c r="FC316" s="71" t="str">
        <f t="shared" si="4486"/>
        <v/>
      </c>
      <c r="FD316" s="71" t="str">
        <f t="shared" si="4487"/>
        <v/>
      </c>
      <c r="FE316" s="71" t="str">
        <f t="shared" si="4488"/>
        <v/>
      </c>
      <c r="FF316" s="71" t="str">
        <f t="shared" si="4489"/>
        <v/>
      </c>
      <c r="FG316" s="71" t="str">
        <f t="shared" si="4490"/>
        <v/>
      </c>
      <c r="FH316" s="71" t="str">
        <f t="shared" si="4491"/>
        <v/>
      </c>
      <c r="FI316" s="71" t="str">
        <f t="shared" si="4492"/>
        <v/>
      </c>
      <c r="FJ316" s="71" t="str">
        <f t="shared" si="4493"/>
        <v/>
      </c>
      <c r="FK316" s="71" t="str">
        <f t="shared" si="4494"/>
        <v/>
      </c>
      <c r="FL316" s="71" t="str">
        <f t="shared" si="4495"/>
        <v/>
      </c>
      <c r="FM316" s="71" t="str">
        <f t="shared" si="4496"/>
        <v/>
      </c>
      <c r="FN316" s="71" t="str">
        <f t="shared" si="4497"/>
        <v/>
      </c>
      <c r="FO316" s="71" t="str">
        <f t="shared" si="4498"/>
        <v/>
      </c>
      <c r="FP316" s="71" t="str">
        <f t="shared" si="4499"/>
        <v/>
      </c>
      <c r="FQ316" s="71" t="str">
        <f t="shared" si="4500"/>
        <v/>
      </c>
      <c r="FR316" s="71" t="str">
        <f t="shared" si="4501"/>
        <v/>
      </c>
      <c r="FS316" s="71" t="str">
        <f t="shared" si="4502"/>
        <v/>
      </c>
    </row>
    <row r="317" ht="15" spans="1:175">
      <c r="A317" s="138"/>
      <c r="B317" s="81" t="s">
        <v>962</v>
      </c>
      <c r="C317" s="144" t="s">
        <v>963</v>
      </c>
      <c r="T317" s="155" t="s">
        <v>964</v>
      </c>
      <c r="U317" s="89" t="s">
        <v>965</v>
      </c>
      <c r="CN317" s="69" t="str">
        <f t="shared" si="4664"/>
        <v>InitUnitState('IK08',,,,,,,,,,)</v>
      </c>
      <c r="CO317" s="69" t="str">
        <f t="shared" si="4665"/>
        <v>InitUnitNormal('IK08',,,,,,,,,,)</v>
      </c>
      <c r="CP317" s="69" t="str">
        <f t="shared" si="4666"/>
        <v>InitUnitMagic('IK08',,,,,,,,,,)</v>
      </c>
      <c r="CQ317" s="69" t="str">
        <f t="shared" si="4667"/>
        <v>InitUnitAdd('IK08',,,,,,,,,,)</v>
      </c>
      <c r="CR317" s="69" t="str">
        <f t="shared" si="4668"/>
        <v>InitEquipData('IK08',,"",,,,,'','','','','','',"ReplaceableTextures\\CommandButtons\\BTNSST09.blp")</v>
      </c>
      <c r="CU317" s="99" t="str">
        <f t="shared" si="4432"/>
        <v>|n</v>
      </c>
      <c r="CV317" s="70" t="str">
        <f t="shared" si="4669"/>
        <v>业力|Cffffc926+30000|r，业力|Cffffc926+6%|n|n|r|Cffff00bf【朱雀】|r+|Cffff00bf【朱雀】|r=|Cffffc926【悟道碑石】|n|n|r|Cff00ff7f点击穿戴或脱卸。|r</v>
      </c>
      <c r="CW317" s="60"/>
      <c r="CX317" s="60"/>
      <c r="CY317" s="60"/>
      <c r="CZ317" s="60"/>
      <c r="DA317" s="60"/>
      <c r="DB317" s="71" t="str">
        <f t="shared" si="4433"/>
        <v/>
      </c>
      <c r="DC317" s="71" t="str">
        <f t="shared" si="4434"/>
        <v/>
      </c>
      <c r="DD317" s="71" t="str">
        <f t="shared" si="4435"/>
        <v/>
      </c>
      <c r="DE317" s="71" t="str">
        <f t="shared" si="4436"/>
        <v/>
      </c>
      <c r="DF317" s="71" t="str">
        <f t="shared" si="4437"/>
        <v/>
      </c>
      <c r="DG317" s="71" t="str">
        <f t="shared" si="4438"/>
        <v/>
      </c>
      <c r="DH317" s="71" t="str">
        <f t="shared" si="4439"/>
        <v/>
      </c>
      <c r="DI317" s="71" t="str">
        <f t="shared" si="4440"/>
        <v/>
      </c>
      <c r="DJ317" s="71" t="str">
        <f t="shared" si="4441"/>
        <v/>
      </c>
      <c r="DK317" s="71" t="str">
        <f t="shared" si="4442"/>
        <v/>
      </c>
      <c r="DL317" s="71" t="str">
        <f t="shared" si="4443"/>
        <v/>
      </c>
      <c r="DM317" s="71" t="str">
        <f t="shared" si="4444"/>
        <v/>
      </c>
      <c r="DN317" s="71" t="str">
        <f t="shared" si="4445"/>
        <v/>
      </c>
      <c r="DO317" s="71" t="str">
        <f t="shared" si="4446"/>
        <v/>
      </c>
      <c r="DP317" s="71" t="str">
        <f t="shared" si="4447"/>
        <v/>
      </c>
      <c r="DQ317" s="71" t="str">
        <f t="shared" si="4448"/>
        <v/>
      </c>
      <c r="DR317" s="71" t="str">
        <f t="shared" si="4449"/>
        <v/>
      </c>
      <c r="DS317" s="71" t="str">
        <f t="shared" si="4450"/>
        <v/>
      </c>
      <c r="DT317" s="71" t="str">
        <f t="shared" si="4451"/>
        <v/>
      </c>
      <c r="DU317" s="71" t="str">
        <f t="shared" si="4452"/>
        <v/>
      </c>
      <c r="DV317" s="71" t="str">
        <f t="shared" si="4453"/>
        <v/>
      </c>
      <c r="DW317" s="71" t="str">
        <f t="shared" si="4454"/>
        <v/>
      </c>
      <c r="DX317" s="71" t="str">
        <f t="shared" si="4455"/>
        <v/>
      </c>
      <c r="DY317" s="71" t="str">
        <f t="shared" si="4456"/>
        <v/>
      </c>
      <c r="DZ317" s="71" t="str">
        <f t="shared" si="4457"/>
        <v/>
      </c>
      <c r="EA317" s="71" t="str">
        <f t="shared" si="4458"/>
        <v/>
      </c>
      <c r="EB317" s="71" t="str">
        <f t="shared" si="4459"/>
        <v/>
      </c>
      <c r="EC317" s="71" t="str">
        <f t="shared" si="4460"/>
        <v/>
      </c>
      <c r="ED317" s="71" t="str">
        <f t="shared" si="4461"/>
        <v/>
      </c>
      <c r="EE317" s="71" t="str">
        <f t="shared" si="4462"/>
        <v/>
      </c>
      <c r="EF317" s="71" t="str">
        <f t="shared" si="4463"/>
        <v/>
      </c>
      <c r="EG317" s="71" t="str">
        <f t="shared" si="4464"/>
        <v/>
      </c>
      <c r="EH317" s="71" t="str">
        <f t="shared" si="4465"/>
        <v/>
      </c>
      <c r="EI317" s="71" t="str">
        <f t="shared" si="4466"/>
        <v/>
      </c>
      <c r="EJ317" s="71" t="str">
        <f t="shared" si="4467"/>
        <v/>
      </c>
      <c r="EK317" s="71" t="str">
        <f t="shared" si="4468"/>
        <v/>
      </c>
      <c r="EL317" s="71" t="str">
        <f t="shared" si="4469"/>
        <v/>
      </c>
      <c r="EM317" s="71" t="str">
        <f t="shared" si="4470"/>
        <v/>
      </c>
      <c r="EN317" s="71" t="str">
        <f t="shared" si="4471"/>
        <v/>
      </c>
      <c r="EO317" s="71" t="str">
        <f t="shared" si="4472"/>
        <v/>
      </c>
      <c r="EP317" s="71" t="str">
        <f t="shared" si="4473"/>
        <v/>
      </c>
      <c r="EQ317" s="71" t="str">
        <f t="shared" si="4474"/>
        <v/>
      </c>
      <c r="ER317" s="71" t="str">
        <f t="shared" si="4475"/>
        <v/>
      </c>
      <c r="ES317" s="71" t="str">
        <f t="shared" si="4476"/>
        <v/>
      </c>
      <c r="ET317" s="71" t="str">
        <f t="shared" si="4477"/>
        <v/>
      </c>
      <c r="EU317" s="71" t="str">
        <f t="shared" si="4478"/>
        <v/>
      </c>
      <c r="EV317" s="71" t="str">
        <f t="shared" si="4479"/>
        <v/>
      </c>
      <c r="EW317" s="71" t="str">
        <f t="shared" si="4480"/>
        <v/>
      </c>
      <c r="EX317" s="71" t="str">
        <f t="shared" si="4481"/>
        <v/>
      </c>
      <c r="EY317" s="71" t="str">
        <f t="shared" si="4482"/>
        <v/>
      </c>
      <c r="EZ317" s="71" t="str">
        <f t="shared" si="4483"/>
        <v/>
      </c>
      <c r="FA317" s="71" t="str">
        <f t="shared" si="4484"/>
        <v/>
      </c>
      <c r="FB317" s="71" t="str">
        <f t="shared" si="4485"/>
        <v/>
      </c>
      <c r="FC317" s="71" t="str">
        <f t="shared" si="4486"/>
        <v/>
      </c>
      <c r="FD317" s="71" t="str">
        <f t="shared" si="4487"/>
        <v/>
      </c>
      <c r="FE317" s="71" t="str">
        <f t="shared" si="4488"/>
        <v/>
      </c>
      <c r="FF317" s="71" t="str">
        <f t="shared" si="4489"/>
        <v/>
      </c>
      <c r="FG317" s="71" t="str">
        <f t="shared" si="4490"/>
        <v/>
      </c>
      <c r="FH317" s="71" t="str">
        <f t="shared" si="4491"/>
        <v/>
      </c>
      <c r="FI317" s="71" t="str">
        <f t="shared" si="4492"/>
        <v/>
      </c>
      <c r="FJ317" s="71" t="str">
        <f t="shared" si="4493"/>
        <v/>
      </c>
      <c r="FK317" s="71" t="str">
        <f t="shared" si="4494"/>
        <v/>
      </c>
      <c r="FL317" s="71" t="str">
        <f t="shared" si="4495"/>
        <v/>
      </c>
      <c r="FM317" s="71" t="str">
        <f t="shared" si="4496"/>
        <v/>
      </c>
      <c r="FN317" s="71" t="str">
        <f t="shared" si="4497"/>
        <v/>
      </c>
      <c r="FO317" s="71" t="str">
        <f t="shared" si="4498"/>
        <v/>
      </c>
      <c r="FP317" s="71" t="str">
        <f t="shared" si="4499"/>
        <v/>
      </c>
      <c r="FQ317" s="71" t="str">
        <f t="shared" si="4500"/>
        <v/>
      </c>
      <c r="FR317" s="71" t="str">
        <f t="shared" si="4501"/>
        <v/>
      </c>
      <c r="FS317" s="71" t="str">
        <f t="shared" si="4502"/>
        <v/>
      </c>
    </row>
    <row r="318" ht="15" spans="1:175">
      <c r="A318" s="137"/>
      <c r="B318" s="81" t="s">
        <v>966</v>
      </c>
      <c r="C318" s="145" t="s">
        <v>967</v>
      </c>
      <c r="T318" s="154" t="s">
        <v>968</v>
      </c>
      <c r="U318" s="89" t="s">
        <v>969</v>
      </c>
      <c r="CN318" s="69" t="str">
        <f t="shared" ref="CN318:CN397" si="4670">"InitUnitState('"&amp;B318&amp;"',"&amp;V318&amp;","&amp;W318&amp;","&amp;X318&amp;","&amp;Y318&amp;","&amp;Z318&amp;","&amp;AA318&amp;","&amp;AB318&amp;","&amp;AC318&amp;","&amp;AD318&amp;","&amp;AE318&amp;")"</f>
        <v>InitUnitState('IK1A',,,,,,,,,,)</v>
      </c>
      <c r="CO318" s="69" t="str">
        <f t="shared" ref="CO318:CO397" si="4671">"InitUnitNormal('"&amp;B318&amp;"',"&amp;AF318&amp;","&amp;AG318&amp;","&amp;AH318&amp;","&amp;AI318&amp;","&amp;AJ318&amp;","&amp;AK318&amp;","&amp;AL318&amp;","&amp;AM318&amp;","&amp;AN318&amp;","&amp;AO318&amp;")"</f>
        <v>InitUnitNormal('IK1A',,,,,,,,,,)</v>
      </c>
      <c r="CP318" s="69" t="str">
        <f t="shared" ref="CP318:CP397" si="4672">"InitUnitMagic('"&amp;B318&amp;"',"&amp;AP318&amp;","&amp;AQ318&amp;","&amp;AR318&amp;","&amp;AS318&amp;","&amp;AT318&amp;","&amp;AU318&amp;","&amp;AV318&amp;","&amp;AW318&amp;","&amp;BI318&amp;","&amp;BJ318&amp;")"</f>
        <v>InitUnitMagic('IK1A',,,,,,,,,,)</v>
      </c>
      <c r="CQ318" s="69" t="str">
        <f t="shared" ref="CQ318:CQ397" si="4673">"InitUnitAdd('"&amp;B318&amp;"',"&amp;BK318&amp;","&amp;BL318&amp;","&amp;BM318&amp;","&amp;BN318&amp;","&amp;BO318&amp;","&amp;BP318&amp;","&amp;BQ318&amp;","&amp;BR318&amp;","&amp;BS318&amp;","&amp;BT318&amp;")"</f>
        <v>InitUnitAdd('IK1A',,,,,,,,,,)</v>
      </c>
      <c r="CR318" s="69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327&amp;CR$1&amp;")"</f>
        <v>InitEquipData('IK1A',,"",,,,,'','','','','','',"ReplaceableTextures\\CommandButtons\\BTNSST10.blp")</v>
      </c>
      <c r="CU318" s="99" t="str">
        <f t="shared" ref="CU318:CU397" si="4674">CONCATENATE(DB318,DC318,DD318,DE318,DF318,DG318,DH318,DI318,DJ318,DK318,DL318,DM318,DN318,DO318,DP318,DQ318,DR318,DS318,DT318,DU318,DV318,DW318,DX318,DY318,DZ318,EA318,EB318,EC318,ED318,EE318,EF318,EG318,EH318,EI318,EJ318,EK318,EL318,EM318,EN318,EO318,EP318&amp;"|n")</f>
        <v>|n</v>
      </c>
      <c r="CV318" s="70" t="str">
        <f t="shared" si="4669"/>
        <v>致命倍率|Cffffc926+300%|n|n|r|Cffaaaaaa○刻印槽 【空】|r|n|n|Cff00ff7f点击穿戴或脱卸。|r</v>
      </c>
      <c r="CW318" s="60"/>
      <c r="CX318" s="60"/>
      <c r="CY318" s="60"/>
      <c r="CZ318" s="60"/>
      <c r="DA318" s="60"/>
      <c r="DB318" s="71" t="str">
        <f t="shared" ref="DB318:DB397" si="4675">IF(V318="","","|n"&amp;DB$2&amp;"+"&amp;V318&amp;DB$1)</f>
        <v/>
      </c>
      <c r="DC318" s="71" t="str">
        <f t="shared" ref="DC318:DC397" si="4676">IF(W318="","","|n"&amp;DC$2&amp;"+"&amp;W318&amp;DC$1)</f>
        <v/>
      </c>
      <c r="DD318" s="71" t="str">
        <f t="shared" ref="DD318:DD397" si="4677">IF(X318="","","|n"&amp;DD$2&amp;"+"&amp;X318&amp;DD$1)</f>
        <v/>
      </c>
      <c r="DE318" s="71" t="str">
        <f t="shared" ref="DE318:DE397" si="4678">IF(Y318="","","|n"&amp;DE$2&amp;"+"&amp;Y318&amp;DE$1)</f>
        <v/>
      </c>
      <c r="DF318" s="71" t="str">
        <f t="shared" ref="DF318:DF397" si="4679">IF(Z318="","","|n"&amp;DF$2&amp;"+"&amp;Z318&amp;DF$1)</f>
        <v/>
      </c>
      <c r="DG318" s="71" t="str">
        <f t="shared" ref="DG318:DG397" si="4680">IF(AA318="","","|n"&amp;DG$2&amp;"+"&amp;AA318&amp;DG$1)</f>
        <v/>
      </c>
      <c r="DH318" s="71" t="str">
        <f t="shared" ref="DH318:DH397" si="4681">IF(AB318="","","|n"&amp;DH$2&amp;"+"&amp;AB318&amp;DH$1)</f>
        <v/>
      </c>
      <c r="DI318" s="71" t="str">
        <f t="shared" ref="DI318:DI397" si="4682">IF(AC318="","","|n"&amp;DI$2&amp;"+"&amp;AC318&amp;DI$1)</f>
        <v/>
      </c>
      <c r="DJ318" s="71" t="str">
        <f t="shared" ref="DJ318:DJ397" si="4683">IF(AD318="","","|n"&amp;DJ$2&amp;"+"&amp;AD318&amp;DJ$1)</f>
        <v/>
      </c>
      <c r="DK318" s="71" t="str">
        <f t="shared" ref="DK318:DK397" si="4684">IF(AE318="","","|n"&amp;DK$2&amp;"+"&amp;AE318&amp;DK$1)</f>
        <v/>
      </c>
      <c r="DL318" s="71" t="str">
        <f t="shared" ref="DL318:DL397" si="4685">IF(AF318="","","|n"&amp;DL$2&amp;"+"&amp;AF318&amp;DL$1)</f>
        <v/>
      </c>
      <c r="DM318" s="71" t="str">
        <f t="shared" ref="DM318:DM397" si="4686">IF(AG318="","","|n"&amp;DM$2&amp;"+"&amp;AG318&amp;DM$1)</f>
        <v/>
      </c>
      <c r="DN318" s="71" t="str">
        <f t="shared" ref="DN318:DN397" si="4687">IF(AH318="","","|n"&amp;DN$2&amp;"+"&amp;AH318&amp;DN$1)</f>
        <v/>
      </c>
      <c r="DO318" s="71" t="str">
        <f t="shared" ref="DO318:DO397" si="4688">IF(AI318="","","|n"&amp;DO$2&amp;"+"&amp;AI318&amp;DO$1)</f>
        <v/>
      </c>
      <c r="DP318" s="71" t="str">
        <f t="shared" ref="DP318:DP397" si="4689">IF(AJ318="","","|n"&amp;DP$2&amp;"+"&amp;AJ318&amp;DP$1)</f>
        <v/>
      </c>
      <c r="DQ318" s="71" t="str">
        <f t="shared" ref="DQ318:DQ397" si="4690">IF(AK318="","","|n"&amp;DQ$2&amp;"+"&amp;AK318&amp;DQ$1)</f>
        <v/>
      </c>
      <c r="DR318" s="71" t="str">
        <f t="shared" ref="DR318:DR397" si="4691">IF(AL318="","","|n"&amp;DR$2&amp;"+"&amp;AL318&amp;DR$1)</f>
        <v/>
      </c>
      <c r="DS318" s="71" t="str">
        <f t="shared" ref="DS318:DS397" si="4692">IF(AM318="","","|n"&amp;DS$2&amp;"+"&amp;AM318&amp;DS$1)</f>
        <v/>
      </c>
      <c r="DT318" s="71" t="str">
        <f t="shared" ref="DT318:DT397" si="4693">IF(AN318="","","|n"&amp;DT$2&amp;"+"&amp;AN318&amp;DT$1)</f>
        <v/>
      </c>
      <c r="DU318" s="71" t="str">
        <f t="shared" ref="DU318:DU397" si="4694">IF(AO318="","","|n"&amp;DU$2&amp;"+"&amp;AO318&amp;DU$1)</f>
        <v/>
      </c>
      <c r="DV318" s="71" t="str">
        <f t="shared" ref="DV318:DV397" si="4695">IF(AP318="","","|n"&amp;DV$2&amp;"+"&amp;AP318&amp;DV$1)</f>
        <v/>
      </c>
      <c r="DW318" s="71" t="str">
        <f t="shared" ref="DW318:DW397" si="4696">IF(AQ318="","","|n"&amp;DW$2&amp;"+"&amp;AQ318&amp;DW$1)</f>
        <v/>
      </c>
      <c r="DX318" s="71" t="str">
        <f t="shared" ref="DX318:DX397" si="4697">IF(AR318="","","|n"&amp;DX$2&amp;"+"&amp;AR318&amp;DX$1)</f>
        <v/>
      </c>
      <c r="DY318" s="71" t="str">
        <f t="shared" ref="DY318:DY397" si="4698">IF(AS318="","","|n"&amp;DY$2&amp;"+"&amp;AS318&amp;DY$1)</f>
        <v/>
      </c>
      <c r="DZ318" s="71" t="str">
        <f t="shared" ref="DZ318:DZ397" si="4699">IF(AT318="","","|n"&amp;DZ$2&amp;"+"&amp;AT318&amp;DZ$1)</f>
        <v/>
      </c>
      <c r="EA318" s="71" t="str">
        <f t="shared" ref="EA318:EA397" si="4700">IF(AU318="","","|n"&amp;EA$2&amp;"+"&amp;AU318&amp;EA$1)</f>
        <v/>
      </c>
      <c r="EB318" s="71" t="str">
        <f t="shared" ref="EB318:EB397" si="4701">IF(AV318="","","|n"&amp;EB$2&amp;"+"&amp;AV318&amp;EB$1)</f>
        <v/>
      </c>
      <c r="EC318" s="71" t="str">
        <f t="shared" ref="EC318:EC397" si="4702">IF(AW318="","","|n"&amp;EC$2&amp;"+"&amp;AW318&amp;EC$1)</f>
        <v/>
      </c>
      <c r="ED318" s="71" t="str">
        <f t="shared" ref="ED318:ED397" si="4703">IF(AX318="","","|n"&amp;ED$2&amp;"+"&amp;AX318&amp;ED$1)</f>
        <v/>
      </c>
      <c r="EE318" s="71" t="str">
        <f t="shared" ref="EE318:EE397" si="4704">IF(AY318="","","|n"&amp;EE$2&amp;"+"&amp;AY318&amp;EE$1)</f>
        <v/>
      </c>
      <c r="EF318" s="71" t="str">
        <f t="shared" ref="EF318:EF397" si="4705">IF(AZ318="","","|n"&amp;EF$2&amp;"+"&amp;AZ318&amp;EF$1)</f>
        <v/>
      </c>
      <c r="EG318" s="71" t="str">
        <f t="shared" ref="EG318:EG397" si="4706">IF(BA318="","","|n"&amp;EG$2&amp;"+"&amp;BA318&amp;EG$1)</f>
        <v/>
      </c>
      <c r="EH318" s="71" t="str">
        <f t="shared" ref="EH318:EH397" si="4707">IF(BB318="","","|n"&amp;EH$2&amp;"+"&amp;BB318&amp;EH$1)</f>
        <v/>
      </c>
      <c r="EI318" s="71" t="str">
        <f t="shared" ref="EI318:EI397" si="4708">IF(BC318="","","|n"&amp;EI$2&amp;"+"&amp;BC318&amp;EI$1)</f>
        <v/>
      </c>
      <c r="EJ318" s="71" t="str">
        <f t="shared" ref="EJ318:EJ397" si="4709">IF(BD318="","","|n"&amp;EJ$2&amp;"+"&amp;BD318&amp;EJ$1)</f>
        <v/>
      </c>
      <c r="EK318" s="71" t="str">
        <f t="shared" ref="EK318:EK397" si="4710">IF(BE318="","","|n"&amp;EK$2&amp;"+"&amp;BE318&amp;EK$1)</f>
        <v/>
      </c>
      <c r="EL318" s="71" t="str">
        <f t="shared" ref="EL318:EL397" si="4711">IF(BF318="","","|n"&amp;EL$2&amp;"+"&amp;BF318&amp;EL$1)</f>
        <v/>
      </c>
      <c r="EM318" s="71" t="str">
        <f t="shared" ref="EM318:EM397" si="4712">IF(BG318="","","|n"&amp;EM$2&amp;"+"&amp;BG318&amp;EM$1)</f>
        <v/>
      </c>
      <c r="EN318" s="71" t="str">
        <f t="shared" ref="EN318:EN397" si="4713">IF(BH318="","","|n"&amp;EN$2&amp;"+"&amp;BH318&amp;EN$1)</f>
        <v/>
      </c>
      <c r="EO318" s="71" t="str">
        <f t="shared" ref="EO318:EO397" si="4714">IF(BI318="","","|n"&amp;EO$2&amp;"+"&amp;BI318&amp;EO$1)</f>
        <v/>
      </c>
      <c r="EP318" s="71" t="str">
        <f t="shared" ref="EP318:EP397" si="4715">IF(BJ318="","","|n"&amp;EP$2&amp;"+"&amp;BJ318&amp;EP$1)</f>
        <v/>
      </c>
      <c r="EQ318" s="71" t="str">
        <f t="shared" ref="EQ318:EQ397" si="4716">IF(BK318="","","|n"&amp;EQ$2&amp;"+"&amp;BK318&amp;EQ$1)</f>
        <v/>
      </c>
      <c r="ER318" s="71" t="str">
        <f t="shared" ref="ER318:ER397" si="4717">IF(BL318="","","|n"&amp;ER$2&amp;"+"&amp;BL318&amp;ER$1)</f>
        <v/>
      </c>
      <c r="ES318" s="71" t="str">
        <f t="shared" ref="ES318:ES397" si="4718">IF(BM318="","","|n"&amp;ES$2&amp;"+"&amp;BM318&amp;ES$1)</f>
        <v/>
      </c>
      <c r="ET318" s="71" t="str">
        <f t="shared" ref="ET318:ET397" si="4719">IF(BN318="","","|n"&amp;ET$2&amp;"+"&amp;BN318&amp;ET$1)</f>
        <v/>
      </c>
      <c r="EU318" s="71" t="str">
        <f t="shared" ref="EU318:EU397" si="4720">IF(BO318="","","|n"&amp;EU$2&amp;"+"&amp;BO318&amp;EU$1)</f>
        <v/>
      </c>
      <c r="EV318" s="71" t="str">
        <f t="shared" ref="EV318:EV397" si="4721">IF(BP318="","","|n"&amp;EV$2&amp;"+"&amp;BP318&amp;EV$1)</f>
        <v/>
      </c>
      <c r="EW318" s="71" t="str">
        <f t="shared" ref="EW318:EW397" si="4722">IF(BQ318="","","|n"&amp;EW$2&amp;"+"&amp;BQ318&amp;EW$1)</f>
        <v/>
      </c>
      <c r="EX318" s="71" t="str">
        <f t="shared" ref="EX318:EX397" si="4723">IF(BR318="","","|n"&amp;EX$2&amp;"+"&amp;BR318&amp;EX$1)</f>
        <v/>
      </c>
      <c r="EY318" s="71" t="str">
        <f t="shared" ref="EY318:EY397" si="4724">IF(BS318="","","|n"&amp;EY$2&amp;"+"&amp;BS318&amp;EY$1)</f>
        <v/>
      </c>
      <c r="EZ318" s="71" t="str">
        <f t="shared" ref="EZ318:EZ397" si="4725">IF(BT318="","","|n"&amp;EZ$2&amp;"+"&amp;BT318&amp;EZ$1)</f>
        <v/>
      </c>
      <c r="FA318" s="71" t="str">
        <f t="shared" ref="FA318:FA397" si="4726">IF(BU318="","","|n"&amp;FA$2&amp;"+"&amp;BU318&amp;FA$1)</f>
        <v/>
      </c>
      <c r="FB318" s="71" t="str">
        <f t="shared" ref="FB318:FB397" si="4727">IF(BV318="","","|n"&amp;FB$2&amp;"+"&amp;BV318&amp;FB$1)</f>
        <v/>
      </c>
      <c r="FC318" s="71" t="str">
        <f t="shared" ref="FC318:FC397" si="4728">IF(BW318="","","|n"&amp;FC$2&amp;"+"&amp;BW318&amp;FC$1)</f>
        <v/>
      </c>
      <c r="FD318" s="71" t="str">
        <f t="shared" ref="FD318:FD397" si="4729">IF(BX318="","","|n"&amp;FD$2&amp;"+"&amp;BX318&amp;FD$1)</f>
        <v/>
      </c>
      <c r="FE318" s="71" t="str">
        <f t="shared" ref="FE318:FE397" si="4730">IF(BY318="","","|n"&amp;FE$2&amp;"+"&amp;BY318&amp;FE$1)</f>
        <v/>
      </c>
      <c r="FF318" s="71" t="str">
        <f t="shared" ref="FF318:FF397" si="4731">IF(BZ318="","","|n"&amp;FF$2&amp;"+"&amp;BZ318&amp;FF$1)</f>
        <v/>
      </c>
      <c r="FG318" s="71" t="str">
        <f t="shared" ref="FG318:FG397" si="4732">IF(CA318="","","|n"&amp;FG$2&amp;"+"&amp;CA318&amp;FG$1)</f>
        <v/>
      </c>
      <c r="FH318" s="71" t="str">
        <f t="shared" ref="FH318:FH397" si="4733">IF(CB318="","","|n"&amp;FH$2&amp;"+"&amp;CB318&amp;FH$1)</f>
        <v/>
      </c>
      <c r="FI318" s="71" t="str">
        <f t="shared" ref="FI318:FI397" si="4734">IF(CC318="","","|n"&amp;FI$2&amp;"+"&amp;CC318&amp;FI$1)</f>
        <v/>
      </c>
      <c r="FJ318" s="71" t="str">
        <f t="shared" ref="FJ318:FJ397" si="4735">IF(CD318="","","|n"&amp;FJ$2&amp;"+"&amp;CD318&amp;FJ$1)</f>
        <v/>
      </c>
      <c r="FK318" s="71" t="str">
        <f t="shared" ref="FK318:FK397" si="4736">IF(CE318="","","|n"&amp;FK$2&amp;"+"&amp;CE318&amp;FK$1)</f>
        <v/>
      </c>
      <c r="FL318" s="71" t="str">
        <f t="shared" ref="FL318:FL397" si="4737">IF(CF318="","","|n"&amp;FL$2&amp;"+"&amp;CF318&amp;FL$1)</f>
        <v/>
      </c>
      <c r="FM318" s="71" t="str">
        <f t="shared" ref="FM318:FM397" si="4738">IF(CG318="","","|n"&amp;FM$2&amp;"+"&amp;CG318&amp;FM$1)</f>
        <v/>
      </c>
      <c r="FN318" s="71" t="str">
        <f t="shared" ref="FN318:FN397" si="4739">IF(CH318="","","|n"&amp;FN$2&amp;"+"&amp;CH318&amp;FN$1)</f>
        <v/>
      </c>
      <c r="FO318" s="71" t="str">
        <f t="shared" ref="FO318:FO397" si="4740">IF(CI318="","","|n"&amp;FO$2&amp;"+"&amp;CI318&amp;FO$1)</f>
        <v/>
      </c>
      <c r="FP318" s="71" t="str">
        <f t="shared" ref="FP318:FP397" si="4741">IF(CJ318="","","|n"&amp;FP$2&amp;"+"&amp;CJ318&amp;FP$1)</f>
        <v/>
      </c>
      <c r="FQ318" s="71" t="str">
        <f t="shared" ref="FQ318:FQ397" si="4742">IF(CK318="","","|n"&amp;FQ$2&amp;"+"&amp;CK318&amp;FQ$1)</f>
        <v/>
      </c>
      <c r="FR318" s="71" t="str">
        <f t="shared" ref="FR318:FR397" si="4743">IF(CL318="","","|n"&amp;FR$2&amp;"+"&amp;CL318&amp;FR$1)</f>
        <v/>
      </c>
      <c r="FS318" s="71" t="str">
        <f t="shared" ref="FS318:FS397" si="4744">IF(CM318="","","|n"&amp;FS$2&amp;"+"&amp;CM318&amp;FS$1)</f>
        <v/>
      </c>
    </row>
    <row r="319" ht="15" spans="1:175">
      <c r="A319" s="137"/>
      <c r="B319" s="81" t="s">
        <v>970</v>
      </c>
      <c r="C319" s="145" t="s">
        <v>967</v>
      </c>
      <c r="K319" s="146"/>
      <c r="T319" s="154" t="s">
        <v>971</v>
      </c>
      <c r="U319" s="89" t="s">
        <v>969</v>
      </c>
      <c r="CN319" s="69" t="str">
        <f t="shared" ref="CN319:CN326" si="4745">"InitUnitState('"&amp;B319&amp;"',"&amp;V319&amp;","&amp;W319&amp;","&amp;X319&amp;","&amp;Y319&amp;","&amp;Z319&amp;","&amp;AA319&amp;","&amp;AB319&amp;","&amp;AC319&amp;","&amp;AD319&amp;","&amp;AE319&amp;")"</f>
        <v>InitUnitState('IK1B',,,,,,,,,,)</v>
      </c>
      <c r="CO319" s="69" t="str">
        <f t="shared" ref="CO319:CO326" si="4746">"InitUnitNormal('"&amp;B319&amp;"',"&amp;AF319&amp;","&amp;AG319&amp;","&amp;AH319&amp;","&amp;AI319&amp;","&amp;AJ319&amp;","&amp;AK319&amp;","&amp;AL319&amp;","&amp;AM319&amp;","&amp;AN319&amp;","&amp;AO319&amp;")"</f>
        <v>InitUnitNormal('IK1B',,,,,,,,,,)</v>
      </c>
      <c r="CP319" s="69" t="str">
        <f t="shared" ref="CP319:CP326" si="4747">"InitUnitMagic('"&amp;B319&amp;"',"&amp;AP319&amp;","&amp;AQ319&amp;","&amp;AR319&amp;","&amp;AS319&amp;","&amp;AT319&amp;","&amp;AU319&amp;","&amp;AV319&amp;","&amp;AW319&amp;","&amp;BI319&amp;","&amp;BJ319&amp;")"</f>
        <v>InitUnitMagic('IK1B',,,,,,,,,,)</v>
      </c>
      <c r="CQ319" s="69" t="str">
        <f t="shared" ref="CQ319:CQ326" si="4748">"InitUnitAdd('"&amp;B319&amp;"',"&amp;BK319&amp;","&amp;BL319&amp;","&amp;BM319&amp;","&amp;BN319&amp;","&amp;BO319&amp;","&amp;BP319&amp;","&amp;BQ319&amp;","&amp;BR319&amp;","&amp;BS319&amp;","&amp;BT319&amp;")"</f>
        <v>InitUnitAdd('IK1B',,,,,,,,,,)</v>
      </c>
      <c r="CR319" s="69" t="str">
        <f t="shared" ref="CR319:CR326" si="4749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InitEquipData('IK1B',,"",,,,,'','','','','','',"ReplaceableTextures\\CommandButtons\\BTNSST10.blp")</v>
      </c>
      <c r="CU319" s="99" t="str">
        <f t="shared" ref="CU319:CU326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669"/>
        <v>致命倍率|Cffffc926+300%|n|n|r|Cffaaaaaa○|CffFFD24D金之刻印+1|r|r|n|n|Cff00ff7f点击穿戴或脱卸。|r</v>
      </c>
      <c r="CW319" s="60"/>
      <c r="CX319" s="60"/>
      <c r="CY319" s="60"/>
      <c r="CZ319" s="60"/>
      <c r="DA319" s="60"/>
      <c r="DB319" s="71" t="str">
        <f t="shared" ref="DB319:DB326" si="4751">IF(V319="","","|n"&amp;DB$2&amp;"+"&amp;V319&amp;DB$1)</f>
        <v/>
      </c>
      <c r="DC319" s="71" t="str">
        <f t="shared" ref="DC319:DC326" si="4752">IF(W319="","","|n"&amp;DC$2&amp;"+"&amp;W319&amp;DC$1)</f>
        <v/>
      </c>
      <c r="DD319" s="71" t="str">
        <f t="shared" ref="DD319:DD326" si="4753">IF(X319="","","|n"&amp;DD$2&amp;"+"&amp;X319&amp;DD$1)</f>
        <v/>
      </c>
      <c r="DE319" s="71" t="str">
        <f t="shared" ref="DE319:DE326" si="4754">IF(Y319="","","|n"&amp;DE$2&amp;"+"&amp;Y319&amp;DE$1)</f>
        <v/>
      </c>
      <c r="DF319" s="71" t="str">
        <f t="shared" ref="DF319:DF326" si="4755">IF(Z319="","","|n"&amp;DF$2&amp;"+"&amp;Z319&amp;DF$1)</f>
        <v/>
      </c>
      <c r="DG319" s="71" t="str">
        <f t="shared" ref="DG319:DG326" si="4756">IF(AA319="","","|n"&amp;DG$2&amp;"+"&amp;AA319&amp;DG$1)</f>
        <v/>
      </c>
      <c r="DH319" s="71" t="str">
        <f t="shared" ref="DH319:DH326" si="4757">IF(AB319="","","|n"&amp;DH$2&amp;"+"&amp;AB319&amp;DH$1)</f>
        <v/>
      </c>
      <c r="DI319" s="71" t="str">
        <f t="shared" ref="DI319:DI326" si="4758">IF(AC319="","","|n"&amp;DI$2&amp;"+"&amp;AC319&amp;DI$1)</f>
        <v/>
      </c>
      <c r="DJ319" s="71" t="str">
        <f t="shared" ref="DJ319:DJ326" si="4759">IF(AD319="","","|n"&amp;DJ$2&amp;"+"&amp;AD319&amp;DJ$1)</f>
        <v/>
      </c>
      <c r="DK319" s="71" t="str">
        <f t="shared" ref="DK319:DK326" si="4760">IF(AE319="","","|n"&amp;DK$2&amp;"+"&amp;AE319&amp;DK$1)</f>
        <v/>
      </c>
      <c r="DL319" s="71" t="str">
        <f t="shared" ref="DL319:DL326" si="4761">IF(AF319="","","|n"&amp;DL$2&amp;"+"&amp;AF319&amp;DL$1)</f>
        <v/>
      </c>
      <c r="DM319" s="71" t="str">
        <f t="shared" ref="DM319:DM326" si="4762">IF(AG319="","","|n"&amp;DM$2&amp;"+"&amp;AG319&amp;DM$1)</f>
        <v/>
      </c>
      <c r="DN319" s="71" t="str">
        <f t="shared" ref="DN319:DN326" si="4763">IF(AH319="","","|n"&amp;DN$2&amp;"+"&amp;AH319&amp;DN$1)</f>
        <v/>
      </c>
      <c r="DO319" s="71" t="str">
        <f t="shared" ref="DO319:DO326" si="4764">IF(AI319="","","|n"&amp;DO$2&amp;"+"&amp;AI319&amp;DO$1)</f>
        <v/>
      </c>
      <c r="DP319" s="71" t="str">
        <f t="shared" ref="DP319:DP326" si="4765">IF(AJ319="","","|n"&amp;DP$2&amp;"+"&amp;AJ319&amp;DP$1)</f>
        <v/>
      </c>
      <c r="DQ319" s="71" t="str">
        <f t="shared" ref="DQ319:DQ326" si="4766">IF(AK319="","","|n"&amp;DQ$2&amp;"+"&amp;AK319&amp;DQ$1)</f>
        <v/>
      </c>
      <c r="DR319" s="71" t="str">
        <f t="shared" ref="DR319:DR326" si="4767">IF(AL319="","","|n"&amp;DR$2&amp;"+"&amp;AL319&amp;DR$1)</f>
        <v/>
      </c>
      <c r="DS319" s="71" t="str">
        <f t="shared" ref="DS319:DS326" si="4768">IF(AM319="","","|n"&amp;DS$2&amp;"+"&amp;AM319&amp;DS$1)</f>
        <v/>
      </c>
      <c r="DT319" s="71" t="str">
        <f t="shared" ref="DT319:DT326" si="4769">IF(AN319="","","|n"&amp;DT$2&amp;"+"&amp;AN319&amp;DT$1)</f>
        <v/>
      </c>
      <c r="DU319" s="71" t="str">
        <f t="shared" ref="DU319:DU326" si="4770">IF(AO319="","","|n"&amp;DU$2&amp;"+"&amp;AO319&amp;DU$1)</f>
        <v/>
      </c>
      <c r="DV319" s="71" t="str">
        <f t="shared" ref="DV319:DV326" si="4771">IF(AP319="","","|n"&amp;DV$2&amp;"+"&amp;AP319&amp;DV$1)</f>
        <v/>
      </c>
      <c r="DW319" s="71" t="str">
        <f t="shared" ref="DW319:DW326" si="4772">IF(AQ319="","","|n"&amp;DW$2&amp;"+"&amp;AQ319&amp;DW$1)</f>
        <v/>
      </c>
      <c r="DX319" s="71" t="str">
        <f t="shared" ref="DX319:DX326" si="4773">IF(AR319="","","|n"&amp;DX$2&amp;"+"&amp;AR319&amp;DX$1)</f>
        <v/>
      </c>
      <c r="DY319" s="71" t="str">
        <f t="shared" ref="DY319:DY326" si="4774">IF(AS319="","","|n"&amp;DY$2&amp;"+"&amp;AS319&amp;DY$1)</f>
        <v/>
      </c>
      <c r="DZ319" s="71" t="str">
        <f t="shared" ref="DZ319:DZ326" si="4775">IF(AT319="","","|n"&amp;DZ$2&amp;"+"&amp;AT319&amp;DZ$1)</f>
        <v/>
      </c>
      <c r="EA319" s="71" t="str">
        <f t="shared" ref="EA319:EA326" si="4776">IF(AU319="","","|n"&amp;EA$2&amp;"+"&amp;AU319&amp;EA$1)</f>
        <v/>
      </c>
      <c r="EB319" s="71" t="str">
        <f t="shared" ref="EB319:EB326" si="4777">IF(AV319="","","|n"&amp;EB$2&amp;"+"&amp;AV319&amp;EB$1)</f>
        <v/>
      </c>
      <c r="EC319" s="71" t="str">
        <f t="shared" ref="EC319:EC326" si="4778">IF(AW319="","","|n"&amp;EC$2&amp;"+"&amp;AW319&amp;EC$1)</f>
        <v/>
      </c>
      <c r="ED319" s="71" t="str">
        <f t="shared" ref="ED319:ED326" si="4779">IF(AX319="","","|n"&amp;ED$2&amp;"+"&amp;AX319&amp;ED$1)</f>
        <v/>
      </c>
      <c r="EE319" s="71" t="str">
        <f t="shared" ref="EE319:EE326" si="4780">IF(AY319="","","|n"&amp;EE$2&amp;"+"&amp;AY319&amp;EE$1)</f>
        <v/>
      </c>
      <c r="EF319" s="71" t="str">
        <f t="shared" ref="EF319:EF326" si="4781">IF(AZ319="","","|n"&amp;EF$2&amp;"+"&amp;AZ319&amp;EF$1)</f>
        <v/>
      </c>
      <c r="EG319" s="71" t="str">
        <f t="shared" ref="EG319:EG326" si="4782">IF(BA319="","","|n"&amp;EG$2&amp;"+"&amp;BA319&amp;EG$1)</f>
        <v/>
      </c>
      <c r="EH319" s="71" t="str">
        <f t="shared" ref="EH319:EH326" si="4783">IF(BB319="","","|n"&amp;EH$2&amp;"+"&amp;BB319&amp;EH$1)</f>
        <v/>
      </c>
      <c r="EI319" s="71" t="str">
        <f t="shared" ref="EI319:EI326" si="4784">IF(BC319="","","|n"&amp;EI$2&amp;"+"&amp;BC319&amp;EI$1)</f>
        <v/>
      </c>
      <c r="EJ319" s="71" t="str">
        <f t="shared" ref="EJ319:EJ326" si="4785">IF(BD319="","","|n"&amp;EJ$2&amp;"+"&amp;BD319&amp;EJ$1)</f>
        <v/>
      </c>
      <c r="EK319" s="71" t="str">
        <f t="shared" ref="EK319:EK326" si="4786">IF(BE319="","","|n"&amp;EK$2&amp;"+"&amp;BE319&amp;EK$1)</f>
        <v/>
      </c>
      <c r="EL319" s="71" t="str">
        <f t="shared" ref="EL319:EL326" si="4787">IF(BF319="","","|n"&amp;EL$2&amp;"+"&amp;BF319&amp;EL$1)</f>
        <v/>
      </c>
      <c r="EM319" s="71" t="str">
        <f t="shared" ref="EM319:EM326" si="4788">IF(BG319="","","|n"&amp;EM$2&amp;"+"&amp;BG319&amp;EM$1)</f>
        <v/>
      </c>
      <c r="EN319" s="71" t="str">
        <f t="shared" ref="EN319:EN326" si="4789">IF(BH319="","","|n"&amp;EN$2&amp;"+"&amp;BH319&amp;EN$1)</f>
        <v/>
      </c>
      <c r="EO319" s="71" t="str">
        <f t="shared" ref="EO319:EO326" si="4790">IF(BI319="","","|n"&amp;EO$2&amp;"+"&amp;BI319&amp;EO$1)</f>
        <v/>
      </c>
      <c r="EP319" s="71" t="str">
        <f t="shared" ref="EP319:EP326" si="4791">IF(BJ319="","","|n"&amp;EP$2&amp;"+"&amp;BJ319&amp;EP$1)</f>
        <v/>
      </c>
      <c r="EQ319" s="71" t="str">
        <f t="shared" ref="EQ319:EQ326" si="4792">IF(BK319="","","|n"&amp;EQ$2&amp;"+"&amp;BK319&amp;EQ$1)</f>
        <v/>
      </c>
      <c r="ER319" s="71" t="str">
        <f t="shared" ref="ER319:ER326" si="4793">IF(BL319="","","|n"&amp;ER$2&amp;"+"&amp;BL319&amp;ER$1)</f>
        <v/>
      </c>
      <c r="ES319" s="71" t="str">
        <f t="shared" ref="ES319:ES326" si="4794">IF(BM319="","","|n"&amp;ES$2&amp;"+"&amp;BM319&amp;ES$1)</f>
        <v/>
      </c>
      <c r="ET319" s="71" t="str">
        <f t="shared" ref="ET319:ET326" si="4795">IF(BN319="","","|n"&amp;ET$2&amp;"+"&amp;BN319&amp;ET$1)</f>
        <v/>
      </c>
      <c r="EU319" s="71" t="str">
        <f t="shared" ref="EU319:EU326" si="4796">IF(BO319="","","|n"&amp;EU$2&amp;"+"&amp;BO319&amp;EU$1)</f>
        <v/>
      </c>
      <c r="EV319" s="71" t="str">
        <f t="shared" ref="EV319:EV326" si="4797">IF(BP319="","","|n"&amp;EV$2&amp;"+"&amp;BP319&amp;EV$1)</f>
        <v/>
      </c>
      <c r="EW319" s="71" t="str">
        <f t="shared" ref="EW319:EW326" si="4798">IF(BQ319="","","|n"&amp;EW$2&amp;"+"&amp;BQ319&amp;EW$1)</f>
        <v/>
      </c>
      <c r="EX319" s="71" t="str">
        <f t="shared" ref="EX319:EX326" si="4799">IF(BR319="","","|n"&amp;EX$2&amp;"+"&amp;BR319&amp;EX$1)</f>
        <v/>
      </c>
      <c r="EY319" s="71" t="str">
        <f t="shared" ref="EY319:EY326" si="4800">IF(BS319="","","|n"&amp;EY$2&amp;"+"&amp;BS319&amp;EY$1)</f>
        <v/>
      </c>
      <c r="EZ319" s="71" t="str">
        <f t="shared" ref="EZ319:EZ326" si="4801">IF(BT319="","","|n"&amp;EZ$2&amp;"+"&amp;BT319&amp;EZ$1)</f>
        <v/>
      </c>
      <c r="FA319" s="71" t="str">
        <f t="shared" ref="FA319:FA326" si="4802">IF(BU319="","","|n"&amp;FA$2&amp;"+"&amp;BU319&amp;FA$1)</f>
        <v/>
      </c>
      <c r="FB319" s="71" t="str">
        <f t="shared" ref="FB319:FB326" si="4803">IF(BV319="","","|n"&amp;FB$2&amp;"+"&amp;BV319&amp;FB$1)</f>
        <v/>
      </c>
      <c r="FC319" s="71" t="str">
        <f t="shared" ref="FC319:FC326" si="4804">IF(BW319="","","|n"&amp;FC$2&amp;"+"&amp;BW319&amp;FC$1)</f>
        <v/>
      </c>
      <c r="FD319" s="71" t="str">
        <f t="shared" ref="FD319:FD326" si="4805">IF(BX319="","","|n"&amp;FD$2&amp;"+"&amp;BX319&amp;FD$1)</f>
        <v/>
      </c>
      <c r="FE319" s="71" t="str">
        <f t="shared" ref="FE319:FE326" si="4806">IF(BY319="","","|n"&amp;FE$2&amp;"+"&amp;BY319&amp;FE$1)</f>
        <v/>
      </c>
      <c r="FF319" s="71" t="str">
        <f t="shared" ref="FF319:FF326" si="4807">IF(BZ319="","","|n"&amp;FF$2&amp;"+"&amp;BZ319&amp;FF$1)</f>
        <v/>
      </c>
      <c r="FG319" s="71" t="str">
        <f t="shared" ref="FG319:FG326" si="4808">IF(CA319="","","|n"&amp;FG$2&amp;"+"&amp;CA319&amp;FG$1)</f>
        <v/>
      </c>
      <c r="FH319" s="71" t="str">
        <f t="shared" ref="FH319:FH326" si="4809">IF(CB319="","","|n"&amp;FH$2&amp;"+"&amp;CB319&amp;FH$1)</f>
        <v/>
      </c>
      <c r="FI319" s="71" t="str">
        <f t="shared" ref="FI319:FI326" si="4810">IF(CC319="","","|n"&amp;FI$2&amp;"+"&amp;CC319&amp;FI$1)</f>
        <v/>
      </c>
      <c r="FJ319" s="71" t="str">
        <f t="shared" ref="FJ319:FJ326" si="4811">IF(CD319="","","|n"&amp;FJ$2&amp;"+"&amp;CD319&amp;FJ$1)</f>
        <v/>
      </c>
      <c r="FK319" s="71" t="str">
        <f t="shared" ref="FK319:FK326" si="4812">IF(CE319="","","|n"&amp;FK$2&amp;"+"&amp;CE319&amp;FK$1)</f>
        <v/>
      </c>
      <c r="FL319" s="71" t="str">
        <f t="shared" ref="FL319:FL326" si="4813">IF(CF319="","","|n"&amp;FL$2&amp;"+"&amp;CF319&amp;FL$1)</f>
        <v/>
      </c>
      <c r="FM319" s="71" t="str">
        <f t="shared" ref="FM319:FM326" si="4814">IF(CG319="","","|n"&amp;FM$2&amp;"+"&amp;CG319&amp;FM$1)</f>
        <v/>
      </c>
      <c r="FN319" s="71" t="str">
        <f t="shared" ref="FN319:FN326" si="4815">IF(CH319="","","|n"&amp;FN$2&amp;"+"&amp;CH319&amp;FN$1)</f>
        <v/>
      </c>
      <c r="FO319" s="71" t="str">
        <f t="shared" ref="FO319:FO326" si="4816">IF(CI319="","","|n"&amp;FO$2&amp;"+"&amp;CI319&amp;FO$1)</f>
        <v/>
      </c>
      <c r="FP319" s="71" t="str">
        <f t="shared" ref="FP319:FP326" si="4817">IF(CJ319="","","|n"&amp;FP$2&amp;"+"&amp;CJ319&amp;FP$1)</f>
        <v/>
      </c>
      <c r="FQ319" s="71" t="str">
        <f t="shared" ref="FQ319:FQ326" si="4818">IF(CK319="","","|n"&amp;FQ$2&amp;"+"&amp;CK319&amp;FQ$1)</f>
        <v/>
      </c>
      <c r="FR319" s="71" t="str">
        <f t="shared" ref="FR319:FR326" si="4819">IF(CL319="","","|n"&amp;FR$2&amp;"+"&amp;CL319&amp;FR$1)</f>
        <v/>
      </c>
      <c r="FS319" s="71" t="str">
        <f t="shared" ref="FS319:FS326" si="4820">IF(CM319="","","|n"&amp;FS$2&amp;"+"&amp;CM319&amp;FS$1)</f>
        <v/>
      </c>
    </row>
    <row r="320" ht="15" spans="1:175">
      <c r="A320" s="137"/>
      <c r="B320" s="81" t="s">
        <v>972</v>
      </c>
      <c r="C320" s="145" t="s">
        <v>967</v>
      </c>
      <c r="K320" s="147"/>
      <c r="T320" s="154" t="s">
        <v>973</v>
      </c>
      <c r="U320" s="89" t="s">
        <v>969</v>
      </c>
      <c r="CN320" s="69" t="str">
        <f t="shared" si="4745"/>
        <v>InitUnitState('IK1C',,,,,,,,,,)</v>
      </c>
      <c r="CO320" s="69" t="str">
        <f t="shared" si="4746"/>
        <v>InitUnitNormal('IK1C',,,,,,,,,,)</v>
      </c>
      <c r="CP320" s="69" t="str">
        <f t="shared" si="4747"/>
        <v>InitUnitMagic('IK1C',,,,,,,,,,)</v>
      </c>
      <c r="CQ320" s="69" t="str">
        <f t="shared" si="4748"/>
        <v>InitUnitAdd('IK1C',,,,,,,,,,)</v>
      </c>
      <c r="CR320" s="69" t="str">
        <f t="shared" si="4749"/>
        <v>InitEquipData('IK1C',,"",,,,,'','','','','','',"ReplaceableTextures\\CommandButtons\\BTNSST10.blp")</v>
      </c>
      <c r="CU320" s="99" t="str">
        <f t="shared" si="4750"/>
        <v>|n</v>
      </c>
      <c r="CV320" s="70" t="str">
        <f t="shared" si="4669"/>
        <v>致命倍率|Cffffc926+300%|n|n|r|Cffaaaaaa○|CffFFD24D木之刻印+1|r|r|n|n|Cff00ff7f点击穿戴或脱卸。|r</v>
      </c>
      <c r="CW320" s="60"/>
      <c r="CX320" s="60"/>
      <c r="CY320" s="60"/>
      <c r="CZ320" s="60"/>
      <c r="DA320" s="60"/>
      <c r="DB320" s="71" t="str">
        <f t="shared" si="4751"/>
        <v/>
      </c>
      <c r="DC320" s="71" t="str">
        <f t="shared" si="4752"/>
        <v/>
      </c>
      <c r="DD320" s="71" t="str">
        <f t="shared" si="4753"/>
        <v/>
      </c>
      <c r="DE320" s="71" t="str">
        <f t="shared" si="4754"/>
        <v/>
      </c>
      <c r="DF320" s="71" t="str">
        <f t="shared" si="4755"/>
        <v/>
      </c>
      <c r="DG320" s="71" t="str">
        <f t="shared" si="4756"/>
        <v/>
      </c>
      <c r="DH320" s="71" t="str">
        <f t="shared" si="4757"/>
        <v/>
      </c>
      <c r="DI320" s="71" t="str">
        <f t="shared" si="4758"/>
        <v/>
      </c>
      <c r="DJ320" s="71" t="str">
        <f t="shared" si="4759"/>
        <v/>
      </c>
      <c r="DK320" s="71" t="str">
        <f t="shared" si="4760"/>
        <v/>
      </c>
      <c r="DL320" s="71" t="str">
        <f t="shared" si="4761"/>
        <v/>
      </c>
      <c r="DM320" s="71" t="str">
        <f t="shared" si="4762"/>
        <v/>
      </c>
      <c r="DN320" s="71" t="str">
        <f t="shared" si="4763"/>
        <v/>
      </c>
      <c r="DO320" s="71" t="str">
        <f t="shared" si="4764"/>
        <v/>
      </c>
      <c r="DP320" s="71" t="str">
        <f t="shared" si="4765"/>
        <v/>
      </c>
      <c r="DQ320" s="71" t="str">
        <f t="shared" si="4766"/>
        <v/>
      </c>
      <c r="DR320" s="71" t="str">
        <f t="shared" si="4767"/>
        <v/>
      </c>
      <c r="DS320" s="71" t="str">
        <f t="shared" si="4768"/>
        <v/>
      </c>
      <c r="DT320" s="71" t="str">
        <f t="shared" si="4769"/>
        <v/>
      </c>
      <c r="DU320" s="71" t="str">
        <f t="shared" si="4770"/>
        <v/>
      </c>
      <c r="DV320" s="71" t="str">
        <f t="shared" si="4771"/>
        <v/>
      </c>
      <c r="DW320" s="71" t="str">
        <f t="shared" si="4772"/>
        <v/>
      </c>
      <c r="DX320" s="71" t="str">
        <f t="shared" si="4773"/>
        <v/>
      </c>
      <c r="DY320" s="71" t="str">
        <f t="shared" si="4774"/>
        <v/>
      </c>
      <c r="DZ320" s="71" t="str">
        <f t="shared" si="4775"/>
        <v/>
      </c>
      <c r="EA320" s="71" t="str">
        <f t="shared" si="4776"/>
        <v/>
      </c>
      <c r="EB320" s="71" t="str">
        <f t="shared" si="4777"/>
        <v/>
      </c>
      <c r="EC320" s="71" t="str">
        <f t="shared" si="4778"/>
        <v/>
      </c>
      <c r="ED320" s="71" t="str">
        <f t="shared" si="4779"/>
        <v/>
      </c>
      <c r="EE320" s="71" t="str">
        <f t="shared" si="4780"/>
        <v/>
      </c>
      <c r="EF320" s="71" t="str">
        <f t="shared" si="4781"/>
        <v/>
      </c>
      <c r="EG320" s="71" t="str">
        <f t="shared" si="4782"/>
        <v/>
      </c>
      <c r="EH320" s="71" t="str">
        <f t="shared" si="4783"/>
        <v/>
      </c>
      <c r="EI320" s="71" t="str">
        <f t="shared" si="4784"/>
        <v/>
      </c>
      <c r="EJ320" s="71" t="str">
        <f t="shared" si="4785"/>
        <v/>
      </c>
      <c r="EK320" s="71" t="str">
        <f t="shared" si="4786"/>
        <v/>
      </c>
      <c r="EL320" s="71" t="str">
        <f t="shared" si="4787"/>
        <v/>
      </c>
      <c r="EM320" s="71" t="str">
        <f t="shared" si="4788"/>
        <v/>
      </c>
      <c r="EN320" s="71" t="str">
        <f t="shared" si="4789"/>
        <v/>
      </c>
      <c r="EO320" s="71" t="str">
        <f t="shared" si="4790"/>
        <v/>
      </c>
      <c r="EP320" s="71" t="str">
        <f t="shared" si="4791"/>
        <v/>
      </c>
      <c r="EQ320" s="71" t="str">
        <f t="shared" si="4792"/>
        <v/>
      </c>
      <c r="ER320" s="71" t="str">
        <f t="shared" si="4793"/>
        <v/>
      </c>
      <c r="ES320" s="71" t="str">
        <f t="shared" si="4794"/>
        <v/>
      </c>
      <c r="ET320" s="71" t="str">
        <f t="shared" si="4795"/>
        <v/>
      </c>
      <c r="EU320" s="71" t="str">
        <f t="shared" si="4796"/>
        <v/>
      </c>
      <c r="EV320" s="71" t="str">
        <f t="shared" si="4797"/>
        <v/>
      </c>
      <c r="EW320" s="71" t="str">
        <f t="shared" si="4798"/>
        <v/>
      </c>
      <c r="EX320" s="71" t="str">
        <f t="shared" si="4799"/>
        <v/>
      </c>
      <c r="EY320" s="71" t="str">
        <f t="shared" si="4800"/>
        <v/>
      </c>
      <c r="EZ320" s="71" t="str">
        <f t="shared" si="4801"/>
        <v/>
      </c>
      <c r="FA320" s="71" t="str">
        <f t="shared" si="4802"/>
        <v/>
      </c>
      <c r="FB320" s="71" t="str">
        <f t="shared" si="4803"/>
        <v/>
      </c>
      <c r="FC320" s="71" t="str">
        <f t="shared" si="4804"/>
        <v/>
      </c>
      <c r="FD320" s="71" t="str">
        <f t="shared" si="4805"/>
        <v/>
      </c>
      <c r="FE320" s="71" t="str">
        <f t="shared" si="4806"/>
        <v/>
      </c>
      <c r="FF320" s="71" t="str">
        <f t="shared" si="4807"/>
        <v/>
      </c>
      <c r="FG320" s="71" t="str">
        <f t="shared" si="4808"/>
        <v/>
      </c>
      <c r="FH320" s="71" t="str">
        <f t="shared" si="4809"/>
        <v/>
      </c>
      <c r="FI320" s="71" t="str">
        <f t="shared" si="4810"/>
        <v/>
      </c>
      <c r="FJ320" s="71" t="str">
        <f t="shared" si="4811"/>
        <v/>
      </c>
      <c r="FK320" s="71" t="str">
        <f t="shared" si="4812"/>
        <v/>
      </c>
      <c r="FL320" s="71" t="str">
        <f t="shared" si="4813"/>
        <v/>
      </c>
      <c r="FM320" s="71" t="str">
        <f t="shared" si="4814"/>
        <v/>
      </c>
      <c r="FN320" s="71" t="str">
        <f t="shared" si="4815"/>
        <v/>
      </c>
      <c r="FO320" s="71" t="str">
        <f t="shared" si="4816"/>
        <v/>
      </c>
      <c r="FP320" s="71" t="str">
        <f t="shared" si="4817"/>
        <v/>
      </c>
      <c r="FQ320" s="71" t="str">
        <f t="shared" si="4818"/>
        <v/>
      </c>
      <c r="FR320" s="71" t="str">
        <f t="shared" si="4819"/>
        <v/>
      </c>
      <c r="FS320" s="71" t="str">
        <f t="shared" si="4820"/>
        <v/>
      </c>
    </row>
    <row r="321" ht="15" spans="1:175">
      <c r="A321" s="137"/>
      <c r="B321" s="81" t="s">
        <v>974</v>
      </c>
      <c r="C321" s="145" t="s">
        <v>967</v>
      </c>
      <c r="K321" s="147"/>
      <c r="T321" s="154" t="s">
        <v>975</v>
      </c>
      <c r="U321" s="89" t="s">
        <v>969</v>
      </c>
      <c r="CN321" s="69" t="str">
        <f t="shared" si="4745"/>
        <v>InitUnitState('IK1D',,,,,,,,,,)</v>
      </c>
      <c r="CO321" s="69" t="str">
        <f t="shared" si="4746"/>
        <v>InitUnitNormal('IK1D',,,,,,,,,,)</v>
      </c>
      <c r="CP321" s="69" t="str">
        <f t="shared" si="4747"/>
        <v>InitUnitMagic('IK1D',,,,,,,,,,)</v>
      </c>
      <c r="CQ321" s="69" t="str">
        <f t="shared" si="4748"/>
        <v>InitUnitAdd('IK1D',,,,,,,,,,)</v>
      </c>
      <c r="CR321" s="69" t="str">
        <f t="shared" si="4749"/>
        <v>InitEquipData('IK1D',,"",,,,,'','','','','','',"ReplaceableTextures\\CommandButtons\\BTNSST10.blp")</v>
      </c>
      <c r="CU321" s="99" t="str">
        <f t="shared" si="4750"/>
        <v>|n</v>
      </c>
      <c r="CV321" s="70" t="str">
        <f t="shared" si="4669"/>
        <v>致命倍率|Cffffc926+300%|n|n|r|Cffaaaaaa○|CffFFD24D水之刻印+1|r|r|n|n|Cff00ff7f点击穿戴或脱卸。|r</v>
      </c>
      <c r="CW321" s="60"/>
      <c r="CX321" s="60"/>
      <c r="CY321" s="60"/>
      <c r="CZ321" s="60"/>
      <c r="DA321" s="60"/>
      <c r="DB321" s="71" t="str">
        <f t="shared" si="4751"/>
        <v/>
      </c>
      <c r="DC321" s="71" t="str">
        <f t="shared" si="4752"/>
        <v/>
      </c>
      <c r="DD321" s="71" t="str">
        <f t="shared" si="4753"/>
        <v/>
      </c>
      <c r="DE321" s="71" t="str">
        <f t="shared" si="4754"/>
        <v/>
      </c>
      <c r="DF321" s="71" t="str">
        <f t="shared" si="4755"/>
        <v/>
      </c>
      <c r="DG321" s="71" t="str">
        <f t="shared" si="4756"/>
        <v/>
      </c>
      <c r="DH321" s="71" t="str">
        <f t="shared" si="4757"/>
        <v/>
      </c>
      <c r="DI321" s="71" t="str">
        <f t="shared" si="4758"/>
        <v/>
      </c>
      <c r="DJ321" s="71" t="str">
        <f t="shared" si="4759"/>
        <v/>
      </c>
      <c r="DK321" s="71" t="str">
        <f t="shared" si="4760"/>
        <v/>
      </c>
      <c r="DL321" s="71" t="str">
        <f t="shared" si="4761"/>
        <v/>
      </c>
      <c r="DM321" s="71" t="str">
        <f t="shared" si="4762"/>
        <v/>
      </c>
      <c r="DN321" s="71" t="str">
        <f t="shared" si="4763"/>
        <v/>
      </c>
      <c r="DO321" s="71" t="str">
        <f t="shared" si="4764"/>
        <v/>
      </c>
      <c r="DP321" s="71" t="str">
        <f t="shared" si="4765"/>
        <v/>
      </c>
      <c r="DQ321" s="71" t="str">
        <f t="shared" si="4766"/>
        <v/>
      </c>
      <c r="DR321" s="71" t="str">
        <f t="shared" si="4767"/>
        <v/>
      </c>
      <c r="DS321" s="71" t="str">
        <f t="shared" si="4768"/>
        <v/>
      </c>
      <c r="DT321" s="71" t="str">
        <f t="shared" si="4769"/>
        <v/>
      </c>
      <c r="DU321" s="71" t="str">
        <f t="shared" si="4770"/>
        <v/>
      </c>
      <c r="DV321" s="71" t="str">
        <f t="shared" si="4771"/>
        <v/>
      </c>
      <c r="DW321" s="71" t="str">
        <f t="shared" si="4772"/>
        <v/>
      </c>
      <c r="DX321" s="71" t="str">
        <f t="shared" si="4773"/>
        <v/>
      </c>
      <c r="DY321" s="71" t="str">
        <f t="shared" si="4774"/>
        <v/>
      </c>
      <c r="DZ321" s="71" t="str">
        <f t="shared" si="4775"/>
        <v/>
      </c>
      <c r="EA321" s="71" t="str">
        <f t="shared" si="4776"/>
        <v/>
      </c>
      <c r="EB321" s="71" t="str">
        <f t="shared" si="4777"/>
        <v/>
      </c>
      <c r="EC321" s="71" t="str">
        <f t="shared" si="4778"/>
        <v/>
      </c>
      <c r="ED321" s="71" t="str">
        <f t="shared" si="4779"/>
        <v/>
      </c>
      <c r="EE321" s="71" t="str">
        <f t="shared" si="4780"/>
        <v/>
      </c>
      <c r="EF321" s="71" t="str">
        <f t="shared" si="4781"/>
        <v/>
      </c>
      <c r="EG321" s="71" t="str">
        <f t="shared" si="4782"/>
        <v/>
      </c>
      <c r="EH321" s="71" t="str">
        <f t="shared" si="4783"/>
        <v/>
      </c>
      <c r="EI321" s="71" t="str">
        <f t="shared" si="4784"/>
        <v/>
      </c>
      <c r="EJ321" s="71" t="str">
        <f t="shared" si="4785"/>
        <v/>
      </c>
      <c r="EK321" s="71" t="str">
        <f t="shared" si="4786"/>
        <v/>
      </c>
      <c r="EL321" s="71" t="str">
        <f t="shared" si="4787"/>
        <v/>
      </c>
      <c r="EM321" s="71" t="str">
        <f t="shared" si="4788"/>
        <v/>
      </c>
      <c r="EN321" s="71" t="str">
        <f t="shared" si="4789"/>
        <v/>
      </c>
      <c r="EO321" s="71" t="str">
        <f t="shared" si="4790"/>
        <v/>
      </c>
      <c r="EP321" s="71" t="str">
        <f t="shared" si="4791"/>
        <v/>
      </c>
      <c r="EQ321" s="71" t="str">
        <f t="shared" si="4792"/>
        <v/>
      </c>
      <c r="ER321" s="71" t="str">
        <f t="shared" si="4793"/>
        <v/>
      </c>
      <c r="ES321" s="71" t="str">
        <f t="shared" si="4794"/>
        <v/>
      </c>
      <c r="ET321" s="71" t="str">
        <f t="shared" si="4795"/>
        <v/>
      </c>
      <c r="EU321" s="71" t="str">
        <f t="shared" si="4796"/>
        <v/>
      </c>
      <c r="EV321" s="71" t="str">
        <f t="shared" si="4797"/>
        <v/>
      </c>
      <c r="EW321" s="71" t="str">
        <f t="shared" si="4798"/>
        <v/>
      </c>
      <c r="EX321" s="71" t="str">
        <f t="shared" si="4799"/>
        <v/>
      </c>
      <c r="EY321" s="71" t="str">
        <f t="shared" si="4800"/>
        <v/>
      </c>
      <c r="EZ321" s="71" t="str">
        <f t="shared" si="4801"/>
        <v/>
      </c>
      <c r="FA321" s="71" t="str">
        <f t="shared" si="4802"/>
        <v/>
      </c>
      <c r="FB321" s="71" t="str">
        <f t="shared" si="4803"/>
        <v/>
      </c>
      <c r="FC321" s="71" t="str">
        <f t="shared" si="4804"/>
        <v/>
      </c>
      <c r="FD321" s="71" t="str">
        <f t="shared" si="4805"/>
        <v/>
      </c>
      <c r="FE321" s="71" t="str">
        <f t="shared" si="4806"/>
        <v/>
      </c>
      <c r="FF321" s="71" t="str">
        <f t="shared" si="4807"/>
        <v/>
      </c>
      <c r="FG321" s="71" t="str">
        <f t="shared" si="4808"/>
        <v/>
      </c>
      <c r="FH321" s="71" t="str">
        <f t="shared" si="4809"/>
        <v/>
      </c>
      <c r="FI321" s="71" t="str">
        <f t="shared" si="4810"/>
        <v/>
      </c>
      <c r="FJ321" s="71" t="str">
        <f t="shared" si="4811"/>
        <v/>
      </c>
      <c r="FK321" s="71" t="str">
        <f t="shared" si="4812"/>
        <v/>
      </c>
      <c r="FL321" s="71" t="str">
        <f t="shared" si="4813"/>
        <v/>
      </c>
      <c r="FM321" s="71" t="str">
        <f t="shared" si="4814"/>
        <v/>
      </c>
      <c r="FN321" s="71" t="str">
        <f t="shared" si="4815"/>
        <v/>
      </c>
      <c r="FO321" s="71" t="str">
        <f t="shared" si="4816"/>
        <v/>
      </c>
      <c r="FP321" s="71" t="str">
        <f t="shared" si="4817"/>
        <v/>
      </c>
      <c r="FQ321" s="71" t="str">
        <f t="shared" si="4818"/>
        <v/>
      </c>
      <c r="FR321" s="71" t="str">
        <f t="shared" si="4819"/>
        <v/>
      </c>
      <c r="FS321" s="71" t="str">
        <f t="shared" si="4820"/>
        <v/>
      </c>
    </row>
    <row r="322" ht="15" spans="1:175">
      <c r="A322" s="137"/>
      <c r="B322" s="81" t="s">
        <v>976</v>
      </c>
      <c r="C322" s="145" t="s">
        <v>967</v>
      </c>
      <c r="K322" s="147"/>
      <c r="T322" s="154" t="s">
        <v>977</v>
      </c>
      <c r="U322" s="89" t="s">
        <v>969</v>
      </c>
      <c r="CN322" s="69" t="str">
        <f t="shared" si="4745"/>
        <v>InitUnitState('IK1E',,,,,,,,,,)</v>
      </c>
      <c r="CO322" s="69" t="str">
        <f t="shared" si="4746"/>
        <v>InitUnitNormal('IK1E',,,,,,,,,,)</v>
      </c>
      <c r="CP322" s="69" t="str">
        <f t="shared" si="4747"/>
        <v>InitUnitMagic('IK1E',,,,,,,,,,)</v>
      </c>
      <c r="CQ322" s="69" t="str">
        <f t="shared" si="4748"/>
        <v>InitUnitAdd('IK1E',,,,,,,,,,)</v>
      </c>
      <c r="CR322" s="69" t="str">
        <f t="shared" si="4749"/>
        <v>InitEquipData('IK1E',,"",,,,,'','','','','','',"ReplaceableTextures\\CommandButtons\\BTNSST10.blp")</v>
      </c>
      <c r="CU322" s="99" t="str">
        <f t="shared" si="4750"/>
        <v>|n</v>
      </c>
      <c r="CV322" s="70" t="str">
        <f t="shared" si="4669"/>
        <v>致命倍率|Cffffc926+300%|n|n|r|Cffaaaaaa○|CffFFD24D火之刻印+1|r|r|n|n|Cff00ff7f点击穿戴或脱卸。|r</v>
      </c>
      <c r="CW322" s="60"/>
      <c r="CX322" s="60"/>
      <c r="CY322" s="60"/>
      <c r="CZ322" s="60"/>
      <c r="DA322" s="60"/>
      <c r="DB322" s="71" t="str">
        <f t="shared" si="4751"/>
        <v/>
      </c>
      <c r="DC322" s="71" t="str">
        <f t="shared" si="4752"/>
        <v/>
      </c>
      <c r="DD322" s="71" t="str">
        <f t="shared" si="4753"/>
        <v/>
      </c>
      <c r="DE322" s="71" t="str">
        <f t="shared" si="4754"/>
        <v/>
      </c>
      <c r="DF322" s="71" t="str">
        <f t="shared" si="4755"/>
        <v/>
      </c>
      <c r="DG322" s="71" t="str">
        <f t="shared" si="4756"/>
        <v/>
      </c>
      <c r="DH322" s="71" t="str">
        <f t="shared" si="4757"/>
        <v/>
      </c>
      <c r="DI322" s="71" t="str">
        <f t="shared" si="4758"/>
        <v/>
      </c>
      <c r="DJ322" s="71" t="str">
        <f t="shared" si="4759"/>
        <v/>
      </c>
      <c r="DK322" s="71" t="str">
        <f t="shared" si="4760"/>
        <v/>
      </c>
      <c r="DL322" s="71" t="str">
        <f t="shared" si="4761"/>
        <v/>
      </c>
      <c r="DM322" s="71" t="str">
        <f t="shared" si="4762"/>
        <v/>
      </c>
      <c r="DN322" s="71" t="str">
        <f t="shared" si="4763"/>
        <v/>
      </c>
      <c r="DO322" s="71" t="str">
        <f t="shared" si="4764"/>
        <v/>
      </c>
      <c r="DP322" s="71" t="str">
        <f t="shared" si="4765"/>
        <v/>
      </c>
      <c r="DQ322" s="71" t="str">
        <f t="shared" si="4766"/>
        <v/>
      </c>
      <c r="DR322" s="71" t="str">
        <f t="shared" si="4767"/>
        <v/>
      </c>
      <c r="DS322" s="71" t="str">
        <f t="shared" si="4768"/>
        <v/>
      </c>
      <c r="DT322" s="71" t="str">
        <f t="shared" si="4769"/>
        <v/>
      </c>
      <c r="DU322" s="71" t="str">
        <f t="shared" si="4770"/>
        <v/>
      </c>
      <c r="DV322" s="71" t="str">
        <f t="shared" si="4771"/>
        <v/>
      </c>
      <c r="DW322" s="71" t="str">
        <f t="shared" si="4772"/>
        <v/>
      </c>
      <c r="DX322" s="71" t="str">
        <f t="shared" si="4773"/>
        <v/>
      </c>
      <c r="DY322" s="71" t="str">
        <f t="shared" si="4774"/>
        <v/>
      </c>
      <c r="DZ322" s="71" t="str">
        <f t="shared" si="4775"/>
        <v/>
      </c>
      <c r="EA322" s="71" t="str">
        <f t="shared" si="4776"/>
        <v/>
      </c>
      <c r="EB322" s="71" t="str">
        <f t="shared" si="4777"/>
        <v/>
      </c>
      <c r="EC322" s="71" t="str">
        <f t="shared" si="4778"/>
        <v/>
      </c>
      <c r="ED322" s="71" t="str">
        <f t="shared" si="4779"/>
        <v/>
      </c>
      <c r="EE322" s="71" t="str">
        <f t="shared" si="4780"/>
        <v/>
      </c>
      <c r="EF322" s="71" t="str">
        <f t="shared" si="4781"/>
        <v/>
      </c>
      <c r="EG322" s="71" t="str">
        <f t="shared" si="4782"/>
        <v/>
      </c>
      <c r="EH322" s="71" t="str">
        <f t="shared" si="4783"/>
        <v/>
      </c>
      <c r="EI322" s="71" t="str">
        <f t="shared" si="4784"/>
        <v/>
      </c>
      <c r="EJ322" s="71" t="str">
        <f t="shared" si="4785"/>
        <v/>
      </c>
      <c r="EK322" s="71" t="str">
        <f t="shared" si="4786"/>
        <v/>
      </c>
      <c r="EL322" s="71" t="str">
        <f t="shared" si="4787"/>
        <v/>
      </c>
      <c r="EM322" s="71" t="str">
        <f t="shared" si="4788"/>
        <v/>
      </c>
      <c r="EN322" s="71" t="str">
        <f t="shared" si="4789"/>
        <v/>
      </c>
      <c r="EO322" s="71" t="str">
        <f t="shared" si="4790"/>
        <v/>
      </c>
      <c r="EP322" s="71" t="str">
        <f t="shared" si="4791"/>
        <v/>
      </c>
      <c r="EQ322" s="71" t="str">
        <f t="shared" si="4792"/>
        <v/>
      </c>
      <c r="ER322" s="71" t="str">
        <f t="shared" si="4793"/>
        <v/>
      </c>
      <c r="ES322" s="71" t="str">
        <f t="shared" si="4794"/>
        <v/>
      </c>
      <c r="ET322" s="71" t="str">
        <f t="shared" si="4795"/>
        <v/>
      </c>
      <c r="EU322" s="71" t="str">
        <f t="shared" si="4796"/>
        <v/>
      </c>
      <c r="EV322" s="71" t="str">
        <f t="shared" si="4797"/>
        <v/>
      </c>
      <c r="EW322" s="71" t="str">
        <f t="shared" si="4798"/>
        <v/>
      </c>
      <c r="EX322" s="71" t="str">
        <f t="shared" si="4799"/>
        <v/>
      </c>
      <c r="EY322" s="71" t="str">
        <f t="shared" si="4800"/>
        <v/>
      </c>
      <c r="EZ322" s="71" t="str">
        <f t="shared" si="4801"/>
        <v/>
      </c>
      <c r="FA322" s="71" t="str">
        <f t="shared" si="4802"/>
        <v/>
      </c>
      <c r="FB322" s="71" t="str">
        <f t="shared" si="4803"/>
        <v/>
      </c>
      <c r="FC322" s="71" t="str">
        <f t="shared" si="4804"/>
        <v/>
      </c>
      <c r="FD322" s="71" t="str">
        <f t="shared" si="4805"/>
        <v/>
      </c>
      <c r="FE322" s="71" t="str">
        <f t="shared" si="4806"/>
        <v/>
      </c>
      <c r="FF322" s="71" t="str">
        <f t="shared" si="4807"/>
        <v/>
      </c>
      <c r="FG322" s="71" t="str">
        <f t="shared" si="4808"/>
        <v/>
      </c>
      <c r="FH322" s="71" t="str">
        <f t="shared" si="4809"/>
        <v/>
      </c>
      <c r="FI322" s="71" t="str">
        <f t="shared" si="4810"/>
        <v/>
      </c>
      <c r="FJ322" s="71" t="str">
        <f t="shared" si="4811"/>
        <v/>
      </c>
      <c r="FK322" s="71" t="str">
        <f t="shared" si="4812"/>
        <v/>
      </c>
      <c r="FL322" s="71" t="str">
        <f t="shared" si="4813"/>
        <v/>
      </c>
      <c r="FM322" s="71" t="str">
        <f t="shared" si="4814"/>
        <v/>
      </c>
      <c r="FN322" s="71" t="str">
        <f t="shared" si="4815"/>
        <v/>
      </c>
      <c r="FO322" s="71" t="str">
        <f t="shared" si="4816"/>
        <v/>
      </c>
      <c r="FP322" s="71" t="str">
        <f t="shared" si="4817"/>
        <v/>
      </c>
      <c r="FQ322" s="71" t="str">
        <f t="shared" si="4818"/>
        <v/>
      </c>
      <c r="FR322" s="71" t="str">
        <f t="shared" si="4819"/>
        <v/>
      </c>
      <c r="FS322" s="71" t="str">
        <f t="shared" si="4820"/>
        <v/>
      </c>
    </row>
    <row r="323" ht="15" spans="1:175">
      <c r="A323" s="137"/>
      <c r="B323" s="81" t="s">
        <v>978</v>
      </c>
      <c r="C323" s="145" t="s">
        <v>967</v>
      </c>
      <c r="K323" s="147"/>
      <c r="T323" s="154" t="s">
        <v>979</v>
      </c>
      <c r="U323" s="89" t="s">
        <v>969</v>
      </c>
      <c r="CN323" s="69" t="str">
        <f t="shared" si="4745"/>
        <v>InitUnitState('IK1F',,,,,,,,,,)</v>
      </c>
      <c r="CO323" s="69" t="str">
        <f t="shared" si="4746"/>
        <v>InitUnitNormal('IK1F',,,,,,,,,,)</v>
      </c>
      <c r="CP323" s="69" t="str">
        <f t="shared" si="4747"/>
        <v>InitUnitMagic('IK1F',,,,,,,,,,)</v>
      </c>
      <c r="CQ323" s="69" t="str">
        <f t="shared" si="4748"/>
        <v>InitUnitAdd('IK1F',,,,,,,,,,)</v>
      </c>
      <c r="CR323" s="69" t="str">
        <f t="shared" si="4749"/>
        <v>InitEquipData('IK1F',,"",,,,,'','','','','','',"ReplaceableTextures\\CommandButtons\\BTNSST10.blp")</v>
      </c>
      <c r="CU323" s="99" t="str">
        <f t="shared" si="4750"/>
        <v>|n</v>
      </c>
      <c r="CV323" s="70" t="str">
        <f t="shared" si="4669"/>
        <v>致命倍率|Cffffc926+300%|n|n|r|Cffaaaaaa○|CffFFD24D土之刻印+1|r|r|n|n|Cff00ff7f点击穿戴或脱卸。|r</v>
      </c>
      <c r="CW323" s="60"/>
      <c r="CX323" s="60"/>
      <c r="CY323" s="60"/>
      <c r="CZ323" s="60"/>
      <c r="DA323" s="60"/>
      <c r="DB323" s="71" t="str">
        <f t="shared" si="4751"/>
        <v/>
      </c>
      <c r="DC323" s="71" t="str">
        <f t="shared" si="4752"/>
        <v/>
      </c>
      <c r="DD323" s="71" t="str">
        <f t="shared" si="4753"/>
        <v/>
      </c>
      <c r="DE323" s="71" t="str">
        <f t="shared" si="4754"/>
        <v/>
      </c>
      <c r="DF323" s="71" t="str">
        <f t="shared" si="4755"/>
        <v/>
      </c>
      <c r="DG323" s="71" t="str">
        <f t="shared" si="4756"/>
        <v/>
      </c>
      <c r="DH323" s="71" t="str">
        <f t="shared" si="4757"/>
        <v/>
      </c>
      <c r="DI323" s="71" t="str">
        <f t="shared" si="4758"/>
        <v/>
      </c>
      <c r="DJ323" s="71" t="str">
        <f t="shared" si="4759"/>
        <v/>
      </c>
      <c r="DK323" s="71" t="str">
        <f t="shared" si="4760"/>
        <v/>
      </c>
      <c r="DL323" s="71" t="str">
        <f t="shared" si="4761"/>
        <v/>
      </c>
      <c r="DM323" s="71" t="str">
        <f t="shared" si="4762"/>
        <v/>
      </c>
      <c r="DN323" s="71" t="str">
        <f t="shared" si="4763"/>
        <v/>
      </c>
      <c r="DO323" s="71" t="str">
        <f t="shared" si="4764"/>
        <v/>
      </c>
      <c r="DP323" s="71" t="str">
        <f t="shared" si="4765"/>
        <v/>
      </c>
      <c r="DQ323" s="71" t="str">
        <f t="shared" si="4766"/>
        <v/>
      </c>
      <c r="DR323" s="71" t="str">
        <f t="shared" si="4767"/>
        <v/>
      </c>
      <c r="DS323" s="71" t="str">
        <f t="shared" si="4768"/>
        <v/>
      </c>
      <c r="DT323" s="71" t="str">
        <f t="shared" si="4769"/>
        <v/>
      </c>
      <c r="DU323" s="71" t="str">
        <f t="shared" si="4770"/>
        <v/>
      </c>
      <c r="DV323" s="71" t="str">
        <f t="shared" si="4771"/>
        <v/>
      </c>
      <c r="DW323" s="71" t="str">
        <f t="shared" si="4772"/>
        <v/>
      </c>
      <c r="DX323" s="71" t="str">
        <f t="shared" si="4773"/>
        <v/>
      </c>
      <c r="DY323" s="71" t="str">
        <f t="shared" si="4774"/>
        <v/>
      </c>
      <c r="DZ323" s="71" t="str">
        <f t="shared" si="4775"/>
        <v/>
      </c>
      <c r="EA323" s="71" t="str">
        <f t="shared" si="4776"/>
        <v/>
      </c>
      <c r="EB323" s="71" t="str">
        <f t="shared" si="4777"/>
        <v/>
      </c>
      <c r="EC323" s="71" t="str">
        <f t="shared" si="4778"/>
        <v/>
      </c>
      <c r="ED323" s="71" t="str">
        <f t="shared" si="4779"/>
        <v/>
      </c>
      <c r="EE323" s="71" t="str">
        <f t="shared" si="4780"/>
        <v/>
      </c>
      <c r="EF323" s="71" t="str">
        <f t="shared" si="4781"/>
        <v/>
      </c>
      <c r="EG323" s="71" t="str">
        <f t="shared" si="4782"/>
        <v/>
      </c>
      <c r="EH323" s="71" t="str">
        <f t="shared" si="4783"/>
        <v/>
      </c>
      <c r="EI323" s="71" t="str">
        <f t="shared" si="4784"/>
        <v/>
      </c>
      <c r="EJ323" s="71" t="str">
        <f t="shared" si="4785"/>
        <v/>
      </c>
      <c r="EK323" s="71" t="str">
        <f t="shared" si="4786"/>
        <v/>
      </c>
      <c r="EL323" s="71" t="str">
        <f t="shared" si="4787"/>
        <v/>
      </c>
      <c r="EM323" s="71" t="str">
        <f t="shared" si="4788"/>
        <v/>
      </c>
      <c r="EN323" s="71" t="str">
        <f t="shared" si="4789"/>
        <v/>
      </c>
      <c r="EO323" s="71" t="str">
        <f t="shared" si="4790"/>
        <v/>
      </c>
      <c r="EP323" s="71" t="str">
        <f t="shared" si="4791"/>
        <v/>
      </c>
      <c r="EQ323" s="71" t="str">
        <f t="shared" si="4792"/>
        <v/>
      </c>
      <c r="ER323" s="71" t="str">
        <f t="shared" si="4793"/>
        <v/>
      </c>
      <c r="ES323" s="71" t="str">
        <f t="shared" si="4794"/>
        <v/>
      </c>
      <c r="ET323" s="71" t="str">
        <f t="shared" si="4795"/>
        <v/>
      </c>
      <c r="EU323" s="71" t="str">
        <f t="shared" si="4796"/>
        <v/>
      </c>
      <c r="EV323" s="71" t="str">
        <f t="shared" si="4797"/>
        <v/>
      </c>
      <c r="EW323" s="71" t="str">
        <f t="shared" si="4798"/>
        <v/>
      </c>
      <c r="EX323" s="71" t="str">
        <f t="shared" si="4799"/>
        <v/>
      </c>
      <c r="EY323" s="71" t="str">
        <f t="shared" si="4800"/>
        <v/>
      </c>
      <c r="EZ323" s="71" t="str">
        <f t="shared" si="4801"/>
        <v/>
      </c>
      <c r="FA323" s="71" t="str">
        <f t="shared" si="4802"/>
        <v/>
      </c>
      <c r="FB323" s="71" t="str">
        <f t="shared" si="4803"/>
        <v/>
      </c>
      <c r="FC323" s="71" t="str">
        <f t="shared" si="4804"/>
        <v/>
      </c>
      <c r="FD323" s="71" t="str">
        <f t="shared" si="4805"/>
        <v/>
      </c>
      <c r="FE323" s="71" t="str">
        <f t="shared" si="4806"/>
        <v/>
      </c>
      <c r="FF323" s="71" t="str">
        <f t="shared" si="4807"/>
        <v/>
      </c>
      <c r="FG323" s="71" t="str">
        <f t="shared" si="4808"/>
        <v/>
      </c>
      <c r="FH323" s="71" t="str">
        <f t="shared" si="4809"/>
        <v/>
      </c>
      <c r="FI323" s="71" t="str">
        <f t="shared" si="4810"/>
        <v/>
      </c>
      <c r="FJ323" s="71" t="str">
        <f t="shared" si="4811"/>
        <v/>
      </c>
      <c r="FK323" s="71" t="str">
        <f t="shared" si="4812"/>
        <v/>
      </c>
      <c r="FL323" s="71" t="str">
        <f t="shared" si="4813"/>
        <v/>
      </c>
      <c r="FM323" s="71" t="str">
        <f t="shared" si="4814"/>
        <v/>
      </c>
      <c r="FN323" s="71" t="str">
        <f t="shared" si="4815"/>
        <v/>
      </c>
      <c r="FO323" s="71" t="str">
        <f t="shared" si="4816"/>
        <v/>
      </c>
      <c r="FP323" s="71" t="str">
        <f t="shared" si="4817"/>
        <v/>
      </c>
      <c r="FQ323" s="71" t="str">
        <f t="shared" si="4818"/>
        <v/>
      </c>
      <c r="FR323" s="71" t="str">
        <f t="shared" si="4819"/>
        <v/>
      </c>
      <c r="FS323" s="71" t="str">
        <f t="shared" si="4820"/>
        <v/>
      </c>
    </row>
    <row r="324" ht="15" spans="1:175">
      <c r="A324" s="137"/>
      <c r="B324" s="81" t="s">
        <v>980</v>
      </c>
      <c r="C324" s="145" t="s">
        <v>967</v>
      </c>
      <c r="K324" s="147"/>
      <c r="T324" s="154" t="s">
        <v>981</v>
      </c>
      <c r="U324" s="89" t="s">
        <v>969</v>
      </c>
      <c r="CN324" s="69" t="str">
        <f t="shared" si="4745"/>
        <v>InitUnitState('IK1G',,,,,,,,,,)</v>
      </c>
      <c r="CO324" s="69" t="str">
        <f t="shared" si="4746"/>
        <v>InitUnitNormal('IK1G',,,,,,,,,,)</v>
      </c>
      <c r="CP324" s="69" t="str">
        <f t="shared" si="4747"/>
        <v>InitUnitMagic('IK1G',,,,,,,,,,)</v>
      </c>
      <c r="CQ324" s="69" t="str">
        <f t="shared" si="4748"/>
        <v>InitUnitAdd('IK1G',,,,,,,,,,)</v>
      </c>
      <c r="CR324" s="69" t="str">
        <f t="shared" si="4749"/>
        <v>InitEquipData('IK1G',,"",,,,,'','','','','','',"ReplaceableTextures\\CommandButtons\\BTNSST10.blp")</v>
      </c>
      <c r="CU324" s="99" t="str">
        <f t="shared" si="4750"/>
        <v>|n</v>
      </c>
      <c r="CV324" s="70" t="str">
        <f t="shared" si="4669"/>
        <v>致命倍率|Cffffc926+300%|n|n|r|Cffaaaaaa○|CffFFD24D雷之刻印+1|r|r|n|n|Cff00ff7f点击穿戴或脱卸。|r</v>
      </c>
      <c r="CW324" s="60"/>
      <c r="CX324" s="60"/>
      <c r="CY324" s="60"/>
      <c r="CZ324" s="60"/>
      <c r="DA324" s="60"/>
      <c r="DB324" s="71" t="str">
        <f t="shared" si="4751"/>
        <v/>
      </c>
      <c r="DC324" s="71" t="str">
        <f t="shared" si="4752"/>
        <v/>
      </c>
      <c r="DD324" s="71" t="str">
        <f t="shared" si="4753"/>
        <v/>
      </c>
      <c r="DE324" s="71" t="str">
        <f t="shared" si="4754"/>
        <v/>
      </c>
      <c r="DF324" s="71" t="str">
        <f t="shared" si="4755"/>
        <v/>
      </c>
      <c r="DG324" s="71" t="str">
        <f t="shared" si="4756"/>
        <v/>
      </c>
      <c r="DH324" s="71" t="str">
        <f t="shared" si="4757"/>
        <v/>
      </c>
      <c r="DI324" s="71" t="str">
        <f t="shared" si="4758"/>
        <v/>
      </c>
      <c r="DJ324" s="71" t="str">
        <f t="shared" si="4759"/>
        <v/>
      </c>
      <c r="DK324" s="71" t="str">
        <f t="shared" si="4760"/>
        <v/>
      </c>
      <c r="DL324" s="71" t="str">
        <f t="shared" si="4761"/>
        <v/>
      </c>
      <c r="DM324" s="71" t="str">
        <f t="shared" si="4762"/>
        <v/>
      </c>
      <c r="DN324" s="71" t="str">
        <f t="shared" si="4763"/>
        <v/>
      </c>
      <c r="DO324" s="71" t="str">
        <f t="shared" si="4764"/>
        <v/>
      </c>
      <c r="DP324" s="71" t="str">
        <f t="shared" si="4765"/>
        <v/>
      </c>
      <c r="DQ324" s="71" t="str">
        <f t="shared" si="4766"/>
        <v/>
      </c>
      <c r="DR324" s="71" t="str">
        <f t="shared" si="4767"/>
        <v/>
      </c>
      <c r="DS324" s="71" t="str">
        <f t="shared" si="4768"/>
        <v/>
      </c>
      <c r="DT324" s="71" t="str">
        <f t="shared" si="4769"/>
        <v/>
      </c>
      <c r="DU324" s="71" t="str">
        <f t="shared" si="4770"/>
        <v/>
      </c>
      <c r="DV324" s="71" t="str">
        <f t="shared" si="4771"/>
        <v/>
      </c>
      <c r="DW324" s="71" t="str">
        <f t="shared" si="4772"/>
        <v/>
      </c>
      <c r="DX324" s="71" t="str">
        <f t="shared" si="4773"/>
        <v/>
      </c>
      <c r="DY324" s="71" t="str">
        <f t="shared" si="4774"/>
        <v/>
      </c>
      <c r="DZ324" s="71" t="str">
        <f t="shared" si="4775"/>
        <v/>
      </c>
      <c r="EA324" s="71" t="str">
        <f t="shared" si="4776"/>
        <v/>
      </c>
      <c r="EB324" s="71" t="str">
        <f t="shared" si="4777"/>
        <v/>
      </c>
      <c r="EC324" s="71" t="str">
        <f t="shared" si="4778"/>
        <v/>
      </c>
      <c r="ED324" s="71" t="str">
        <f t="shared" si="4779"/>
        <v/>
      </c>
      <c r="EE324" s="71" t="str">
        <f t="shared" si="4780"/>
        <v/>
      </c>
      <c r="EF324" s="71" t="str">
        <f t="shared" si="4781"/>
        <v/>
      </c>
      <c r="EG324" s="71" t="str">
        <f t="shared" si="4782"/>
        <v/>
      </c>
      <c r="EH324" s="71" t="str">
        <f t="shared" si="4783"/>
        <v/>
      </c>
      <c r="EI324" s="71" t="str">
        <f t="shared" si="4784"/>
        <v/>
      </c>
      <c r="EJ324" s="71" t="str">
        <f t="shared" si="4785"/>
        <v/>
      </c>
      <c r="EK324" s="71" t="str">
        <f t="shared" si="4786"/>
        <v/>
      </c>
      <c r="EL324" s="71" t="str">
        <f t="shared" si="4787"/>
        <v/>
      </c>
      <c r="EM324" s="71" t="str">
        <f t="shared" si="4788"/>
        <v/>
      </c>
      <c r="EN324" s="71" t="str">
        <f t="shared" si="4789"/>
        <v/>
      </c>
      <c r="EO324" s="71" t="str">
        <f t="shared" si="4790"/>
        <v/>
      </c>
      <c r="EP324" s="71" t="str">
        <f t="shared" si="4791"/>
        <v/>
      </c>
      <c r="EQ324" s="71" t="str">
        <f t="shared" si="4792"/>
        <v/>
      </c>
      <c r="ER324" s="71" t="str">
        <f t="shared" si="4793"/>
        <v/>
      </c>
      <c r="ES324" s="71" t="str">
        <f t="shared" si="4794"/>
        <v/>
      </c>
      <c r="ET324" s="71" t="str">
        <f t="shared" si="4795"/>
        <v/>
      </c>
      <c r="EU324" s="71" t="str">
        <f t="shared" si="4796"/>
        <v/>
      </c>
      <c r="EV324" s="71" t="str">
        <f t="shared" si="4797"/>
        <v/>
      </c>
      <c r="EW324" s="71" t="str">
        <f t="shared" si="4798"/>
        <v/>
      </c>
      <c r="EX324" s="71" t="str">
        <f t="shared" si="4799"/>
        <v/>
      </c>
      <c r="EY324" s="71" t="str">
        <f t="shared" si="4800"/>
        <v/>
      </c>
      <c r="EZ324" s="71" t="str">
        <f t="shared" si="4801"/>
        <v/>
      </c>
      <c r="FA324" s="71" t="str">
        <f t="shared" si="4802"/>
        <v/>
      </c>
      <c r="FB324" s="71" t="str">
        <f t="shared" si="4803"/>
        <v/>
      </c>
      <c r="FC324" s="71" t="str">
        <f t="shared" si="4804"/>
        <v/>
      </c>
      <c r="FD324" s="71" t="str">
        <f t="shared" si="4805"/>
        <v/>
      </c>
      <c r="FE324" s="71" t="str">
        <f t="shared" si="4806"/>
        <v/>
      </c>
      <c r="FF324" s="71" t="str">
        <f t="shared" si="4807"/>
        <v/>
      </c>
      <c r="FG324" s="71" t="str">
        <f t="shared" si="4808"/>
        <v/>
      </c>
      <c r="FH324" s="71" t="str">
        <f t="shared" si="4809"/>
        <v/>
      </c>
      <c r="FI324" s="71" t="str">
        <f t="shared" si="4810"/>
        <v/>
      </c>
      <c r="FJ324" s="71" t="str">
        <f t="shared" si="4811"/>
        <v/>
      </c>
      <c r="FK324" s="71" t="str">
        <f t="shared" si="4812"/>
        <v/>
      </c>
      <c r="FL324" s="71" t="str">
        <f t="shared" si="4813"/>
        <v/>
      </c>
      <c r="FM324" s="71" t="str">
        <f t="shared" si="4814"/>
        <v/>
      </c>
      <c r="FN324" s="71" t="str">
        <f t="shared" si="4815"/>
        <v/>
      </c>
      <c r="FO324" s="71" t="str">
        <f t="shared" si="4816"/>
        <v/>
      </c>
      <c r="FP324" s="71" t="str">
        <f t="shared" si="4817"/>
        <v/>
      </c>
      <c r="FQ324" s="71" t="str">
        <f t="shared" si="4818"/>
        <v/>
      </c>
      <c r="FR324" s="71" t="str">
        <f t="shared" si="4819"/>
        <v/>
      </c>
      <c r="FS324" s="71" t="str">
        <f t="shared" si="4820"/>
        <v/>
      </c>
    </row>
    <row r="325" ht="15" spans="1:175">
      <c r="A325" s="137"/>
      <c r="B325" s="81" t="s">
        <v>982</v>
      </c>
      <c r="C325" s="145" t="s">
        <v>967</v>
      </c>
      <c r="K325" s="147"/>
      <c r="T325" s="154" t="s">
        <v>983</v>
      </c>
      <c r="U325" s="89" t="s">
        <v>969</v>
      </c>
      <c r="CN325" s="69" t="str">
        <f t="shared" si="4745"/>
        <v>InitUnitState('IK1H',,,,,,,,,,)</v>
      </c>
      <c r="CO325" s="69" t="str">
        <f t="shared" si="4746"/>
        <v>InitUnitNormal('IK1H',,,,,,,,,,)</v>
      </c>
      <c r="CP325" s="69" t="str">
        <f t="shared" si="4747"/>
        <v>InitUnitMagic('IK1H',,,,,,,,,,)</v>
      </c>
      <c r="CQ325" s="69" t="str">
        <f t="shared" si="4748"/>
        <v>InitUnitAdd('IK1H',,,,,,,,,,)</v>
      </c>
      <c r="CR325" s="69" t="str">
        <f t="shared" si="4749"/>
        <v>InitEquipData('IK1H',,"",,,,,'','','','','','',"ReplaceableTextures\\CommandButtons\\BTNSST10.blp")</v>
      </c>
      <c r="CU325" s="99" t="str">
        <f t="shared" si="4750"/>
        <v>|n</v>
      </c>
      <c r="CV325" s="70" t="str">
        <f t="shared" si="4669"/>
        <v>致命倍率|Cffffc926+300%|n|n|r|Cffaaaaaa○|CffFFD24D光之刻印+1|r|r|n|n|Cff00ff7f点击穿戴或脱卸。|r</v>
      </c>
      <c r="CW325" s="60"/>
      <c r="CX325" s="60"/>
      <c r="CY325" s="60"/>
      <c r="CZ325" s="60"/>
      <c r="DA325" s="60"/>
      <c r="DB325" s="71" t="str">
        <f t="shared" si="4751"/>
        <v/>
      </c>
      <c r="DC325" s="71" t="str">
        <f t="shared" si="4752"/>
        <v/>
      </c>
      <c r="DD325" s="71" t="str">
        <f t="shared" si="4753"/>
        <v/>
      </c>
      <c r="DE325" s="71" t="str">
        <f t="shared" si="4754"/>
        <v/>
      </c>
      <c r="DF325" s="71" t="str">
        <f t="shared" si="4755"/>
        <v/>
      </c>
      <c r="DG325" s="71" t="str">
        <f t="shared" si="4756"/>
        <v/>
      </c>
      <c r="DH325" s="71" t="str">
        <f t="shared" si="4757"/>
        <v/>
      </c>
      <c r="DI325" s="71" t="str">
        <f t="shared" si="4758"/>
        <v/>
      </c>
      <c r="DJ325" s="71" t="str">
        <f t="shared" si="4759"/>
        <v/>
      </c>
      <c r="DK325" s="71" t="str">
        <f t="shared" si="4760"/>
        <v/>
      </c>
      <c r="DL325" s="71" t="str">
        <f t="shared" si="4761"/>
        <v/>
      </c>
      <c r="DM325" s="71" t="str">
        <f t="shared" si="4762"/>
        <v/>
      </c>
      <c r="DN325" s="71" t="str">
        <f t="shared" si="4763"/>
        <v/>
      </c>
      <c r="DO325" s="71" t="str">
        <f t="shared" si="4764"/>
        <v/>
      </c>
      <c r="DP325" s="71" t="str">
        <f t="shared" si="4765"/>
        <v/>
      </c>
      <c r="DQ325" s="71" t="str">
        <f t="shared" si="4766"/>
        <v/>
      </c>
      <c r="DR325" s="71" t="str">
        <f t="shared" si="4767"/>
        <v/>
      </c>
      <c r="DS325" s="71" t="str">
        <f t="shared" si="4768"/>
        <v/>
      </c>
      <c r="DT325" s="71" t="str">
        <f t="shared" si="4769"/>
        <v/>
      </c>
      <c r="DU325" s="71" t="str">
        <f t="shared" si="4770"/>
        <v/>
      </c>
      <c r="DV325" s="71" t="str">
        <f t="shared" si="4771"/>
        <v/>
      </c>
      <c r="DW325" s="71" t="str">
        <f t="shared" si="4772"/>
        <v/>
      </c>
      <c r="DX325" s="71" t="str">
        <f t="shared" si="4773"/>
        <v/>
      </c>
      <c r="DY325" s="71" t="str">
        <f t="shared" si="4774"/>
        <v/>
      </c>
      <c r="DZ325" s="71" t="str">
        <f t="shared" si="4775"/>
        <v/>
      </c>
      <c r="EA325" s="71" t="str">
        <f t="shared" si="4776"/>
        <v/>
      </c>
      <c r="EB325" s="71" t="str">
        <f t="shared" si="4777"/>
        <v/>
      </c>
      <c r="EC325" s="71" t="str">
        <f t="shared" si="4778"/>
        <v/>
      </c>
      <c r="ED325" s="71" t="str">
        <f t="shared" si="4779"/>
        <v/>
      </c>
      <c r="EE325" s="71" t="str">
        <f t="shared" si="4780"/>
        <v/>
      </c>
      <c r="EF325" s="71" t="str">
        <f t="shared" si="4781"/>
        <v/>
      </c>
      <c r="EG325" s="71" t="str">
        <f t="shared" si="4782"/>
        <v/>
      </c>
      <c r="EH325" s="71" t="str">
        <f t="shared" si="4783"/>
        <v/>
      </c>
      <c r="EI325" s="71" t="str">
        <f t="shared" si="4784"/>
        <v/>
      </c>
      <c r="EJ325" s="71" t="str">
        <f t="shared" si="4785"/>
        <v/>
      </c>
      <c r="EK325" s="71" t="str">
        <f t="shared" si="4786"/>
        <v/>
      </c>
      <c r="EL325" s="71" t="str">
        <f t="shared" si="4787"/>
        <v/>
      </c>
      <c r="EM325" s="71" t="str">
        <f t="shared" si="4788"/>
        <v/>
      </c>
      <c r="EN325" s="71" t="str">
        <f t="shared" si="4789"/>
        <v/>
      </c>
      <c r="EO325" s="71" t="str">
        <f t="shared" si="4790"/>
        <v/>
      </c>
      <c r="EP325" s="71" t="str">
        <f t="shared" si="4791"/>
        <v/>
      </c>
      <c r="EQ325" s="71" t="str">
        <f t="shared" si="4792"/>
        <v/>
      </c>
      <c r="ER325" s="71" t="str">
        <f t="shared" si="4793"/>
        <v/>
      </c>
      <c r="ES325" s="71" t="str">
        <f t="shared" si="4794"/>
        <v/>
      </c>
      <c r="ET325" s="71" t="str">
        <f t="shared" si="4795"/>
        <v/>
      </c>
      <c r="EU325" s="71" t="str">
        <f t="shared" si="4796"/>
        <v/>
      </c>
      <c r="EV325" s="71" t="str">
        <f t="shared" si="4797"/>
        <v/>
      </c>
      <c r="EW325" s="71" t="str">
        <f t="shared" si="4798"/>
        <v/>
      </c>
      <c r="EX325" s="71" t="str">
        <f t="shared" si="4799"/>
        <v/>
      </c>
      <c r="EY325" s="71" t="str">
        <f t="shared" si="4800"/>
        <v/>
      </c>
      <c r="EZ325" s="71" t="str">
        <f t="shared" si="4801"/>
        <v/>
      </c>
      <c r="FA325" s="71" t="str">
        <f t="shared" si="4802"/>
        <v/>
      </c>
      <c r="FB325" s="71" t="str">
        <f t="shared" si="4803"/>
        <v/>
      </c>
      <c r="FC325" s="71" t="str">
        <f t="shared" si="4804"/>
        <v/>
      </c>
      <c r="FD325" s="71" t="str">
        <f t="shared" si="4805"/>
        <v/>
      </c>
      <c r="FE325" s="71" t="str">
        <f t="shared" si="4806"/>
        <v/>
      </c>
      <c r="FF325" s="71" t="str">
        <f t="shared" si="4807"/>
        <v/>
      </c>
      <c r="FG325" s="71" t="str">
        <f t="shared" si="4808"/>
        <v/>
      </c>
      <c r="FH325" s="71" t="str">
        <f t="shared" si="4809"/>
        <v/>
      </c>
      <c r="FI325" s="71" t="str">
        <f t="shared" si="4810"/>
        <v/>
      </c>
      <c r="FJ325" s="71" t="str">
        <f t="shared" si="4811"/>
        <v/>
      </c>
      <c r="FK325" s="71" t="str">
        <f t="shared" si="4812"/>
        <v/>
      </c>
      <c r="FL325" s="71" t="str">
        <f t="shared" si="4813"/>
        <v/>
      </c>
      <c r="FM325" s="71" t="str">
        <f t="shared" si="4814"/>
        <v/>
      </c>
      <c r="FN325" s="71" t="str">
        <f t="shared" si="4815"/>
        <v/>
      </c>
      <c r="FO325" s="71" t="str">
        <f t="shared" si="4816"/>
        <v/>
      </c>
      <c r="FP325" s="71" t="str">
        <f t="shared" si="4817"/>
        <v/>
      </c>
      <c r="FQ325" s="71" t="str">
        <f t="shared" si="4818"/>
        <v/>
      </c>
      <c r="FR325" s="71" t="str">
        <f t="shared" si="4819"/>
        <v/>
      </c>
      <c r="FS325" s="71" t="str">
        <f t="shared" si="4820"/>
        <v/>
      </c>
    </row>
    <row r="326" ht="15" spans="1:175">
      <c r="A326" s="137"/>
      <c r="B326" s="81" t="s">
        <v>984</v>
      </c>
      <c r="C326" s="145" t="s">
        <v>967</v>
      </c>
      <c r="K326" s="157"/>
      <c r="T326" s="154" t="s">
        <v>985</v>
      </c>
      <c r="U326" s="89" t="s">
        <v>969</v>
      </c>
      <c r="CN326" s="69" t="str">
        <f t="shared" si="4745"/>
        <v>InitUnitState('IK1I',,,,,,,,,,)</v>
      </c>
      <c r="CO326" s="69" t="str">
        <f t="shared" si="4746"/>
        <v>InitUnitNormal('IK1I',,,,,,,,,,)</v>
      </c>
      <c r="CP326" s="69" t="str">
        <f t="shared" si="4747"/>
        <v>InitUnitMagic('IK1I',,,,,,,,,,)</v>
      </c>
      <c r="CQ326" s="69" t="str">
        <f t="shared" si="4748"/>
        <v>InitUnitAdd('IK1I',,,,,,,,,,)</v>
      </c>
      <c r="CR326" s="69" t="str">
        <f t="shared" si="4749"/>
        <v>InitEquipData('IK1I',,"",,,,,'','','','','','',"ReplaceableTextures\\CommandButtons\\BTNSST10.blp")</v>
      </c>
      <c r="CU326" s="99" t="str">
        <f t="shared" si="4750"/>
        <v>|n</v>
      </c>
      <c r="CV326" s="70" t="str">
        <f t="shared" si="4669"/>
        <v>致命倍率|Cffffc926+300%|n|n|r|Cffaaaaaa○|CffFFD24D暗之刻印+1|r|r|n|n|Cff00ff7f点击穿戴或脱卸。|r</v>
      </c>
      <c r="CW326" s="60"/>
      <c r="CX326" s="60"/>
      <c r="CY326" s="60"/>
      <c r="CZ326" s="60"/>
      <c r="DA326" s="60"/>
      <c r="DB326" s="71" t="str">
        <f t="shared" si="4751"/>
        <v/>
      </c>
      <c r="DC326" s="71" t="str">
        <f t="shared" si="4752"/>
        <v/>
      </c>
      <c r="DD326" s="71" t="str">
        <f t="shared" si="4753"/>
        <v/>
      </c>
      <c r="DE326" s="71" t="str">
        <f t="shared" si="4754"/>
        <v/>
      </c>
      <c r="DF326" s="71" t="str">
        <f t="shared" si="4755"/>
        <v/>
      </c>
      <c r="DG326" s="71" t="str">
        <f t="shared" si="4756"/>
        <v/>
      </c>
      <c r="DH326" s="71" t="str">
        <f t="shared" si="4757"/>
        <v/>
      </c>
      <c r="DI326" s="71" t="str">
        <f t="shared" si="4758"/>
        <v/>
      </c>
      <c r="DJ326" s="71" t="str">
        <f t="shared" si="4759"/>
        <v/>
      </c>
      <c r="DK326" s="71" t="str">
        <f t="shared" si="4760"/>
        <v/>
      </c>
      <c r="DL326" s="71" t="str">
        <f t="shared" si="4761"/>
        <v/>
      </c>
      <c r="DM326" s="71" t="str">
        <f t="shared" si="4762"/>
        <v/>
      </c>
      <c r="DN326" s="71" t="str">
        <f t="shared" si="4763"/>
        <v/>
      </c>
      <c r="DO326" s="71" t="str">
        <f t="shared" si="4764"/>
        <v/>
      </c>
      <c r="DP326" s="71" t="str">
        <f t="shared" si="4765"/>
        <v/>
      </c>
      <c r="DQ326" s="71" t="str">
        <f t="shared" si="4766"/>
        <v/>
      </c>
      <c r="DR326" s="71" t="str">
        <f t="shared" si="4767"/>
        <v/>
      </c>
      <c r="DS326" s="71" t="str">
        <f t="shared" si="4768"/>
        <v/>
      </c>
      <c r="DT326" s="71" t="str">
        <f t="shared" si="4769"/>
        <v/>
      </c>
      <c r="DU326" s="71" t="str">
        <f t="shared" si="4770"/>
        <v/>
      </c>
      <c r="DV326" s="71" t="str">
        <f t="shared" si="4771"/>
        <v/>
      </c>
      <c r="DW326" s="71" t="str">
        <f t="shared" si="4772"/>
        <v/>
      </c>
      <c r="DX326" s="71" t="str">
        <f t="shared" si="4773"/>
        <v/>
      </c>
      <c r="DY326" s="71" t="str">
        <f t="shared" si="4774"/>
        <v/>
      </c>
      <c r="DZ326" s="71" t="str">
        <f t="shared" si="4775"/>
        <v/>
      </c>
      <c r="EA326" s="71" t="str">
        <f t="shared" si="4776"/>
        <v/>
      </c>
      <c r="EB326" s="71" t="str">
        <f t="shared" si="4777"/>
        <v/>
      </c>
      <c r="EC326" s="71" t="str">
        <f t="shared" si="4778"/>
        <v/>
      </c>
      <c r="ED326" s="71" t="str">
        <f t="shared" si="4779"/>
        <v/>
      </c>
      <c r="EE326" s="71" t="str">
        <f t="shared" si="4780"/>
        <v/>
      </c>
      <c r="EF326" s="71" t="str">
        <f t="shared" si="4781"/>
        <v/>
      </c>
      <c r="EG326" s="71" t="str">
        <f t="shared" si="4782"/>
        <v/>
      </c>
      <c r="EH326" s="71" t="str">
        <f t="shared" si="4783"/>
        <v/>
      </c>
      <c r="EI326" s="71" t="str">
        <f t="shared" si="4784"/>
        <v/>
      </c>
      <c r="EJ326" s="71" t="str">
        <f t="shared" si="4785"/>
        <v/>
      </c>
      <c r="EK326" s="71" t="str">
        <f t="shared" si="4786"/>
        <v/>
      </c>
      <c r="EL326" s="71" t="str">
        <f t="shared" si="4787"/>
        <v/>
      </c>
      <c r="EM326" s="71" t="str">
        <f t="shared" si="4788"/>
        <v/>
      </c>
      <c r="EN326" s="71" t="str">
        <f t="shared" si="4789"/>
        <v/>
      </c>
      <c r="EO326" s="71" t="str">
        <f t="shared" si="4790"/>
        <v/>
      </c>
      <c r="EP326" s="71" t="str">
        <f t="shared" si="4791"/>
        <v/>
      </c>
      <c r="EQ326" s="71" t="str">
        <f t="shared" si="4792"/>
        <v/>
      </c>
      <c r="ER326" s="71" t="str">
        <f t="shared" si="4793"/>
        <v/>
      </c>
      <c r="ES326" s="71" t="str">
        <f t="shared" si="4794"/>
        <v/>
      </c>
      <c r="ET326" s="71" t="str">
        <f t="shared" si="4795"/>
        <v/>
      </c>
      <c r="EU326" s="71" t="str">
        <f t="shared" si="4796"/>
        <v/>
      </c>
      <c r="EV326" s="71" t="str">
        <f t="shared" si="4797"/>
        <v/>
      </c>
      <c r="EW326" s="71" t="str">
        <f t="shared" si="4798"/>
        <v/>
      </c>
      <c r="EX326" s="71" t="str">
        <f t="shared" si="4799"/>
        <v/>
      </c>
      <c r="EY326" s="71" t="str">
        <f t="shared" si="4800"/>
        <v/>
      </c>
      <c r="EZ326" s="71" t="str">
        <f t="shared" si="4801"/>
        <v/>
      </c>
      <c r="FA326" s="71" t="str">
        <f t="shared" si="4802"/>
        <v/>
      </c>
      <c r="FB326" s="71" t="str">
        <f t="shared" si="4803"/>
        <v/>
      </c>
      <c r="FC326" s="71" t="str">
        <f t="shared" si="4804"/>
        <v/>
      </c>
      <c r="FD326" s="71" t="str">
        <f t="shared" si="4805"/>
        <v/>
      </c>
      <c r="FE326" s="71" t="str">
        <f t="shared" si="4806"/>
        <v/>
      </c>
      <c r="FF326" s="71" t="str">
        <f t="shared" si="4807"/>
        <v/>
      </c>
      <c r="FG326" s="71" t="str">
        <f t="shared" si="4808"/>
        <v/>
      </c>
      <c r="FH326" s="71" t="str">
        <f t="shared" si="4809"/>
        <v/>
      </c>
      <c r="FI326" s="71" t="str">
        <f t="shared" si="4810"/>
        <v/>
      </c>
      <c r="FJ326" s="71" t="str">
        <f t="shared" si="4811"/>
        <v/>
      </c>
      <c r="FK326" s="71" t="str">
        <f t="shared" si="4812"/>
        <v/>
      </c>
      <c r="FL326" s="71" t="str">
        <f t="shared" si="4813"/>
        <v/>
      </c>
      <c r="FM326" s="71" t="str">
        <f t="shared" si="4814"/>
        <v/>
      </c>
      <c r="FN326" s="71" t="str">
        <f t="shared" si="4815"/>
        <v/>
      </c>
      <c r="FO326" s="71" t="str">
        <f t="shared" si="4816"/>
        <v/>
      </c>
      <c r="FP326" s="71" t="str">
        <f t="shared" si="4817"/>
        <v/>
      </c>
      <c r="FQ326" s="71" t="str">
        <f t="shared" si="4818"/>
        <v/>
      </c>
      <c r="FR326" s="71" t="str">
        <f t="shared" si="4819"/>
        <v/>
      </c>
      <c r="FS326" s="71" t="str">
        <f t="shared" si="4820"/>
        <v/>
      </c>
    </row>
    <row r="327" ht="15" spans="1:175">
      <c r="A327" s="137"/>
      <c r="B327" s="81" t="s">
        <v>986</v>
      </c>
      <c r="C327" s="144" t="s">
        <v>987</v>
      </c>
      <c r="T327" s="155" t="s">
        <v>988</v>
      </c>
      <c r="U327" s="89" t="s">
        <v>989</v>
      </c>
      <c r="CN327" s="69" t="str">
        <f t="shared" si="4670"/>
        <v>InitUnitState('IK2A',,,,,,,,,,)</v>
      </c>
      <c r="CO327" s="69" t="str">
        <f t="shared" si="4671"/>
        <v>InitUnitNormal('IK2A',,,,,,,,,,)</v>
      </c>
      <c r="CP327" s="69" t="str">
        <f t="shared" si="4672"/>
        <v>InitUnitMagic('IK2A',,,,,,,,,,)</v>
      </c>
      <c r="CQ327" s="69" t="str">
        <f t="shared" si="4673"/>
        <v>InitUnitAdd('IK2A',,,,,,,,,,)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InitEquipData('IK2A',,"",,,,,'','','','','','',"ReplaceableTextures\\CommandButtons\\BTNSST11.blp")</v>
      </c>
      <c r="CU327" s="99" t="str">
        <f t="shared" si="4674"/>
        <v>|n</v>
      </c>
      <c r="CV327" s="70" t="str">
        <f t="shared" si="4669"/>
        <v>最大生命|Cffffc926+20%|n|n|r|Cffaaaaaa○刻印槽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si="4675"/>
        <v/>
      </c>
      <c r="DC327" s="71" t="str">
        <f t="shared" si="4676"/>
        <v/>
      </c>
      <c r="DD327" s="71" t="str">
        <f t="shared" si="4677"/>
        <v/>
      </c>
      <c r="DE327" s="71" t="str">
        <f t="shared" si="4678"/>
        <v/>
      </c>
      <c r="DF327" s="71" t="str">
        <f t="shared" si="4679"/>
        <v/>
      </c>
      <c r="DG327" s="71" t="str">
        <f t="shared" si="4680"/>
        <v/>
      </c>
      <c r="DH327" s="71" t="str">
        <f t="shared" si="4681"/>
        <v/>
      </c>
      <c r="DI327" s="71" t="str">
        <f t="shared" si="4682"/>
        <v/>
      </c>
      <c r="DJ327" s="71" t="str">
        <f t="shared" si="4683"/>
        <v/>
      </c>
      <c r="DK327" s="71" t="str">
        <f t="shared" si="4684"/>
        <v/>
      </c>
      <c r="DL327" s="71" t="str">
        <f t="shared" si="4685"/>
        <v/>
      </c>
      <c r="DM327" s="71" t="str">
        <f t="shared" si="4686"/>
        <v/>
      </c>
      <c r="DN327" s="71" t="str">
        <f t="shared" si="4687"/>
        <v/>
      </c>
      <c r="DO327" s="71" t="str">
        <f t="shared" si="4688"/>
        <v/>
      </c>
      <c r="DP327" s="71" t="str">
        <f t="shared" si="4689"/>
        <v/>
      </c>
      <c r="DQ327" s="71" t="str">
        <f t="shared" si="4690"/>
        <v/>
      </c>
      <c r="DR327" s="71" t="str">
        <f t="shared" si="4691"/>
        <v/>
      </c>
      <c r="DS327" s="71" t="str">
        <f t="shared" si="4692"/>
        <v/>
      </c>
      <c r="DT327" s="71" t="str">
        <f t="shared" si="4693"/>
        <v/>
      </c>
      <c r="DU327" s="71" t="str">
        <f t="shared" si="4694"/>
        <v/>
      </c>
      <c r="DV327" s="71" t="str">
        <f t="shared" si="4695"/>
        <v/>
      </c>
      <c r="DW327" s="71" t="str">
        <f t="shared" si="4696"/>
        <v/>
      </c>
      <c r="DX327" s="71" t="str">
        <f t="shared" si="4697"/>
        <v/>
      </c>
      <c r="DY327" s="71" t="str">
        <f t="shared" si="4698"/>
        <v/>
      </c>
      <c r="DZ327" s="71" t="str">
        <f t="shared" si="4699"/>
        <v/>
      </c>
      <c r="EA327" s="71" t="str">
        <f t="shared" si="4700"/>
        <v/>
      </c>
      <c r="EB327" s="71" t="str">
        <f t="shared" si="4701"/>
        <v/>
      </c>
      <c r="EC327" s="71" t="str">
        <f t="shared" si="4702"/>
        <v/>
      </c>
      <c r="ED327" s="71" t="str">
        <f t="shared" si="4703"/>
        <v/>
      </c>
      <c r="EE327" s="71" t="str">
        <f t="shared" si="4704"/>
        <v/>
      </c>
      <c r="EF327" s="71" t="str">
        <f t="shared" si="4705"/>
        <v/>
      </c>
      <c r="EG327" s="71" t="str">
        <f t="shared" si="4706"/>
        <v/>
      </c>
      <c r="EH327" s="71" t="str">
        <f t="shared" si="4707"/>
        <v/>
      </c>
      <c r="EI327" s="71" t="str">
        <f t="shared" si="4708"/>
        <v/>
      </c>
      <c r="EJ327" s="71" t="str">
        <f t="shared" si="4709"/>
        <v/>
      </c>
      <c r="EK327" s="71" t="str">
        <f t="shared" si="4710"/>
        <v/>
      </c>
      <c r="EL327" s="71" t="str">
        <f t="shared" si="4711"/>
        <v/>
      </c>
      <c r="EM327" s="71" t="str">
        <f t="shared" si="4712"/>
        <v/>
      </c>
      <c r="EN327" s="71" t="str">
        <f t="shared" si="4713"/>
        <v/>
      </c>
      <c r="EO327" s="71" t="str">
        <f t="shared" si="4714"/>
        <v/>
      </c>
      <c r="EP327" s="71" t="str">
        <f t="shared" si="4715"/>
        <v/>
      </c>
      <c r="EQ327" s="71" t="str">
        <f t="shared" si="4716"/>
        <v/>
      </c>
      <c r="ER327" s="71" t="str">
        <f t="shared" si="4717"/>
        <v/>
      </c>
      <c r="ES327" s="71" t="str">
        <f t="shared" si="4718"/>
        <v/>
      </c>
      <c r="ET327" s="71" t="str">
        <f t="shared" si="4719"/>
        <v/>
      </c>
      <c r="EU327" s="71" t="str">
        <f t="shared" si="4720"/>
        <v/>
      </c>
      <c r="EV327" s="71" t="str">
        <f t="shared" si="4721"/>
        <v/>
      </c>
      <c r="EW327" s="71" t="str">
        <f t="shared" si="4722"/>
        <v/>
      </c>
      <c r="EX327" s="71" t="str">
        <f t="shared" si="4723"/>
        <v/>
      </c>
      <c r="EY327" s="71" t="str">
        <f t="shared" si="4724"/>
        <v/>
      </c>
      <c r="EZ327" s="71" t="str">
        <f t="shared" si="4725"/>
        <v/>
      </c>
      <c r="FA327" s="71" t="str">
        <f t="shared" si="4726"/>
        <v/>
      </c>
      <c r="FB327" s="71" t="str">
        <f t="shared" si="4727"/>
        <v/>
      </c>
      <c r="FC327" s="71" t="str">
        <f t="shared" si="4728"/>
        <v/>
      </c>
      <c r="FD327" s="71" t="str">
        <f t="shared" si="4729"/>
        <v/>
      </c>
      <c r="FE327" s="71" t="str">
        <f t="shared" si="4730"/>
        <v/>
      </c>
      <c r="FF327" s="71" t="str">
        <f t="shared" si="4731"/>
        <v/>
      </c>
      <c r="FG327" s="71" t="str">
        <f t="shared" si="4732"/>
        <v/>
      </c>
      <c r="FH327" s="71" t="str">
        <f t="shared" si="4733"/>
        <v/>
      </c>
      <c r="FI327" s="71" t="str">
        <f t="shared" si="4734"/>
        <v/>
      </c>
      <c r="FJ327" s="71" t="str">
        <f t="shared" si="4735"/>
        <v/>
      </c>
      <c r="FK327" s="71" t="str">
        <f t="shared" si="4736"/>
        <v/>
      </c>
      <c r="FL327" s="71" t="str">
        <f t="shared" si="4737"/>
        <v/>
      </c>
      <c r="FM327" s="71" t="str">
        <f t="shared" si="4738"/>
        <v/>
      </c>
      <c r="FN327" s="71" t="str">
        <f t="shared" si="4739"/>
        <v/>
      </c>
      <c r="FO327" s="71" t="str">
        <f t="shared" si="4740"/>
        <v/>
      </c>
      <c r="FP327" s="71" t="str">
        <f t="shared" si="4741"/>
        <v/>
      </c>
      <c r="FQ327" s="71" t="str">
        <f t="shared" si="4742"/>
        <v/>
      </c>
      <c r="FR327" s="71" t="str">
        <f t="shared" si="4743"/>
        <v/>
      </c>
      <c r="FS327" s="71" t="str">
        <f t="shared" si="4744"/>
        <v/>
      </c>
    </row>
    <row r="328" ht="15" spans="1:175">
      <c r="A328" s="137"/>
      <c r="B328" s="81" t="s">
        <v>990</v>
      </c>
      <c r="C328" s="144" t="s">
        <v>987</v>
      </c>
      <c r="K328" s="146"/>
      <c r="T328" s="155" t="s">
        <v>991</v>
      </c>
      <c r="U328" s="89" t="s">
        <v>989</v>
      </c>
      <c r="CN328" s="69" t="str">
        <f t="shared" ref="CN328:CN335" si="4821">"InitUnitState('"&amp;B328&amp;"',"&amp;V328&amp;","&amp;W328&amp;","&amp;X328&amp;","&amp;Y328&amp;","&amp;Z328&amp;","&amp;AA328&amp;","&amp;AB328&amp;","&amp;AC328&amp;","&amp;AD328&amp;","&amp;AE328&amp;")"</f>
        <v>InitUnitState('IK2B',,,,,,,,,,)</v>
      </c>
      <c r="CO328" s="69" t="str">
        <f t="shared" ref="CO328:CO335" si="4822">"InitUnitNormal('"&amp;B328&amp;"',"&amp;AF328&amp;","&amp;AG328&amp;","&amp;AH328&amp;","&amp;AI328&amp;","&amp;AJ328&amp;","&amp;AK328&amp;","&amp;AL328&amp;","&amp;AM328&amp;","&amp;AN328&amp;","&amp;AO328&amp;")"</f>
        <v>InitUnitNormal('IK2B',,,,,,,,,,)</v>
      </c>
      <c r="CP328" s="69" t="str">
        <f t="shared" ref="CP328:CP335" si="4823">"InitUnitMagic('"&amp;B328&amp;"',"&amp;AP328&amp;","&amp;AQ328&amp;","&amp;AR328&amp;","&amp;AS328&amp;","&amp;AT328&amp;","&amp;AU328&amp;","&amp;AV328&amp;","&amp;AW328&amp;","&amp;BI328&amp;","&amp;BJ328&amp;")"</f>
        <v>InitUnitMagic('IK2B',,,,,,,,,,)</v>
      </c>
      <c r="CQ328" s="69" t="str">
        <f t="shared" ref="CQ328:CQ335" si="4824">"InitUnitAdd('"&amp;B328&amp;"',"&amp;BK328&amp;","&amp;BL328&amp;","&amp;BM328&amp;","&amp;BN328&amp;","&amp;BO328&amp;","&amp;BP328&amp;","&amp;BQ328&amp;","&amp;BR328&amp;","&amp;BS328&amp;","&amp;BT328&amp;")"</f>
        <v>InitUnitAdd('IK2B',,,,,,,,,,)</v>
      </c>
      <c r="CR328" s="69" t="str">
        <f t="shared" ref="CR328:CR335" si="4825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InitEquipData('IK2B',,"",,,,,'','','','','','',"ReplaceableTextures\\CommandButtons\\BTNSST11.blp")</v>
      </c>
      <c r="CU328" s="99" t="str">
        <f t="shared" ref="CU328:CU335" si="4826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4669"/>
        <v>最大生命|Cffffc926+20%|n|n|r|Cffaaaaaa○|CffFFD24D金之刻印+1|r|r|n|n|Cff00ff7f点击穿戴或脱卸。|r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4827">IF(V328="","","|n"&amp;DB$2&amp;"+"&amp;V328&amp;DB$1)</f>
        <v/>
      </c>
      <c r="DC328" s="71" t="str">
        <f t="shared" ref="DC328:DC335" si="4828">IF(W328="","","|n"&amp;DC$2&amp;"+"&amp;W328&amp;DC$1)</f>
        <v/>
      </c>
      <c r="DD328" s="71" t="str">
        <f t="shared" ref="DD328:DD335" si="4829">IF(X328="","","|n"&amp;DD$2&amp;"+"&amp;X328&amp;DD$1)</f>
        <v/>
      </c>
      <c r="DE328" s="71" t="str">
        <f t="shared" ref="DE328:DE335" si="4830">IF(Y328="","","|n"&amp;DE$2&amp;"+"&amp;Y328&amp;DE$1)</f>
        <v/>
      </c>
      <c r="DF328" s="71" t="str">
        <f t="shared" ref="DF328:DF335" si="4831">IF(Z328="","","|n"&amp;DF$2&amp;"+"&amp;Z328&amp;DF$1)</f>
        <v/>
      </c>
      <c r="DG328" s="71" t="str">
        <f t="shared" ref="DG328:DG335" si="4832">IF(AA328="","","|n"&amp;DG$2&amp;"+"&amp;AA328&amp;DG$1)</f>
        <v/>
      </c>
      <c r="DH328" s="71" t="str">
        <f t="shared" ref="DH328:DH335" si="4833">IF(AB328="","","|n"&amp;DH$2&amp;"+"&amp;AB328&amp;DH$1)</f>
        <v/>
      </c>
      <c r="DI328" s="71" t="str">
        <f t="shared" ref="DI328:DI335" si="4834">IF(AC328="","","|n"&amp;DI$2&amp;"+"&amp;AC328&amp;DI$1)</f>
        <v/>
      </c>
      <c r="DJ328" s="71" t="str">
        <f t="shared" ref="DJ328:DJ335" si="4835">IF(AD328="","","|n"&amp;DJ$2&amp;"+"&amp;AD328&amp;DJ$1)</f>
        <v/>
      </c>
      <c r="DK328" s="71" t="str">
        <f t="shared" ref="DK328:DK335" si="4836">IF(AE328="","","|n"&amp;DK$2&amp;"+"&amp;AE328&amp;DK$1)</f>
        <v/>
      </c>
      <c r="DL328" s="71" t="str">
        <f t="shared" ref="DL328:DL335" si="4837">IF(AF328="","","|n"&amp;DL$2&amp;"+"&amp;AF328&amp;DL$1)</f>
        <v/>
      </c>
      <c r="DM328" s="71" t="str">
        <f t="shared" ref="DM328:DM335" si="4838">IF(AG328="","","|n"&amp;DM$2&amp;"+"&amp;AG328&amp;DM$1)</f>
        <v/>
      </c>
      <c r="DN328" s="71" t="str">
        <f t="shared" ref="DN328:DN335" si="4839">IF(AH328="","","|n"&amp;DN$2&amp;"+"&amp;AH328&amp;DN$1)</f>
        <v/>
      </c>
      <c r="DO328" s="71" t="str">
        <f t="shared" ref="DO328:DO335" si="4840">IF(AI328="","","|n"&amp;DO$2&amp;"+"&amp;AI328&amp;DO$1)</f>
        <v/>
      </c>
      <c r="DP328" s="71" t="str">
        <f t="shared" ref="DP328:DP335" si="4841">IF(AJ328="","","|n"&amp;DP$2&amp;"+"&amp;AJ328&amp;DP$1)</f>
        <v/>
      </c>
      <c r="DQ328" s="71" t="str">
        <f t="shared" ref="DQ328:DQ335" si="4842">IF(AK328="","","|n"&amp;DQ$2&amp;"+"&amp;AK328&amp;DQ$1)</f>
        <v/>
      </c>
      <c r="DR328" s="71" t="str">
        <f t="shared" ref="DR328:DR335" si="4843">IF(AL328="","","|n"&amp;DR$2&amp;"+"&amp;AL328&amp;DR$1)</f>
        <v/>
      </c>
      <c r="DS328" s="71" t="str">
        <f t="shared" ref="DS328:DS335" si="4844">IF(AM328="","","|n"&amp;DS$2&amp;"+"&amp;AM328&amp;DS$1)</f>
        <v/>
      </c>
      <c r="DT328" s="71" t="str">
        <f t="shared" ref="DT328:DT335" si="4845">IF(AN328="","","|n"&amp;DT$2&amp;"+"&amp;AN328&amp;DT$1)</f>
        <v/>
      </c>
      <c r="DU328" s="71" t="str">
        <f t="shared" ref="DU328:DU335" si="4846">IF(AO328="","","|n"&amp;DU$2&amp;"+"&amp;AO328&amp;DU$1)</f>
        <v/>
      </c>
      <c r="DV328" s="71" t="str">
        <f t="shared" ref="DV328:DV335" si="4847">IF(AP328="","","|n"&amp;DV$2&amp;"+"&amp;AP328&amp;DV$1)</f>
        <v/>
      </c>
      <c r="DW328" s="71" t="str">
        <f t="shared" ref="DW328:DW335" si="4848">IF(AQ328="","","|n"&amp;DW$2&amp;"+"&amp;AQ328&amp;DW$1)</f>
        <v/>
      </c>
      <c r="DX328" s="71" t="str">
        <f t="shared" ref="DX328:DX335" si="4849">IF(AR328="","","|n"&amp;DX$2&amp;"+"&amp;AR328&amp;DX$1)</f>
        <v/>
      </c>
      <c r="DY328" s="71" t="str">
        <f t="shared" ref="DY328:DY335" si="4850">IF(AS328="","","|n"&amp;DY$2&amp;"+"&amp;AS328&amp;DY$1)</f>
        <v/>
      </c>
      <c r="DZ328" s="71" t="str">
        <f t="shared" ref="DZ328:DZ335" si="4851">IF(AT328="","","|n"&amp;DZ$2&amp;"+"&amp;AT328&amp;DZ$1)</f>
        <v/>
      </c>
      <c r="EA328" s="71" t="str">
        <f t="shared" ref="EA328:EA335" si="4852">IF(AU328="","","|n"&amp;EA$2&amp;"+"&amp;AU328&amp;EA$1)</f>
        <v/>
      </c>
      <c r="EB328" s="71" t="str">
        <f t="shared" ref="EB328:EB335" si="4853">IF(AV328="","","|n"&amp;EB$2&amp;"+"&amp;AV328&amp;EB$1)</f>
        <v/>
      </c>
      <c r="EC328" s="71" t="str">
        <f t="shared" ref="EC328:EC335" si="4854">IF(AW328="","","|n"&amp;EC$2&amp;"+"&amp;AW328&amp;EC$1)</f>
        <v/>
      </c>
      <c r="ED328" s="71" t="str">
        <f t="shared" ref="ED328:ED335" si="4855">IF(AX328="","","|n"&amp;ED$2&amp;"+"&amp;AX328&amp;ED$1)</f>
        <v/>
      </c>
      <c r="EE328" s="71" t="str">
        <f t="shared" ref="EE328:EE335" si="4856">IF(AY328="","","|n"&amp;EE$2&amp;"+"&amp;AY328&amp;EE$1)</f>
        <v/>
      </c>
      <c r="EF328" s="71" t="str">
        <f t="shared" ref="EF328:EF335" si="4857">IF(AZ328="","","|n"&amp;EF$2&amp;"+"&amp;AZ328&amp;EF$1)</f>
        <v/>
      </c>
      <c r="EG328" s="71" t="str">
        <f t="shared" ref="EG328:EG335" si="4858">IF(BA328="","","|n"&amp;EG$2&amp;"+"&amp;BA328&amp;EG$1)</f>
        <v/>
      </c>
      <c r="EH328" s="71" t="str">
        <f t="shared" ref="EH328:EH335" si="4859">IF(BB328="","","|n"&amp;EH$2&amp;"+"&amp;BB328&amp;EH$1)</f>
        <v/>
      </c>
      <c r="EI328" s="71" t="str">
        <f t="shared" ref="EI328:EI335" si="4860">IF(BC328="","","|n"&amp;EI$2&amp;"+"&amp;BC328&amp;EI$1)</f>
        <v/>
      </c>
      <c r="EJ328" s="71" t="str">
        <f t="shared" ref="EJ328:EJ335" si="4861">IF(BD328="","","|n"&amp;EJ$2&amp;"+"&amp;BD328&amp;EJ$1)</f>
        <v/>
      </c>
      <c r="EK328" s="71" t="str">
        <f t="shared" ref="EK328:EK335" si="4862">IF(BE328="","","|n"&amp;EK$2&amp;"+"&amp;BE328&amp;EK$1)</f>
        <v/>
      </c>
      <c r="EL328" s="71" t="str">
        <f t="shared" ref="EL328:EL335" si="4863">IF(BF328="","","|n"&amp;EL$2&amp;"+"&amp;BF328&amp;EL$1)</f>
        <v/>
      </c>
      <c r="EM328" s="71" t="str">
        <f t="shared" ref="EM328:EM335" si="4864">IF(BG328="","","|n"&amp;EM$2&amp;"+"&amp;BG328&amp;EM$1)</f>
        <v/>
      </c>
      <c r="EN328" s="71" t="str">
        <f t="shared" ref="EN328:EN335" si="4865">IF(BH328="","","|n"&amp;EN$2&amp;"+"&amp;BH328&amp;EN$1)</f>
        <v/>
      </c>
      <c r="EO328" s="71" t="str">
        <f t="shared" ref="EO328:EO335" si="4866">IF(BI328="","","|n"&amp;EO$2&amp;"+"&amp;BI328&amp;EO$1)</f>
        <v/>
      </c>
      <c r="EP328" s="71" t="str">
        <f t="shared" ref="EP328:EP335" si="4867">IF(BJ328="","","|n"&amp;EP$2&amp;"+"&amp;BJ328&amp;EP$1)</f>
        <v/>
      </c>
      <c r="EQ328" s="71" t="str">
        <f t="shared" ref="EQ328:EQ335" si="4868">IF(BK328="","","|n"&amp;EQ$2&amp;"+"&amp;BK328&amp;EQ$1)</f>
        <v/>
      </c>
      <c r="ER328" s="71" t="str">
        <f t="shared" ref="ER328:ER335" si="4869">IF(BL328="","","|n"&amp;ER$2&amp;"+"&amp;BL328&amp;ER$1)</f>
        <v/>
      </c>
      <c r="ES328" s="71" t="str">
        <f t="shared" ref="ES328:ES335" si="4870">IF(BM328="","","|n"&amp;ES$2&amp;"+"&amp;BM328&amp;ES$1)</f>
        <v/>
      </c>
      <c r="ET328" s="71" t="str">
        <f t="shared" ref="ET328:ET335" si="4871">IF(BN328="","","|n"&amp;ET$2&amp;"+"&amp;BN328&amp;ET$1)</f>
        <v/>
      </c>
      <c r="EU328" s="71" t="str">
        <f t="shared" ref="EU328:EU335" si="4872">IF(BO328="","","|n"&amp;EU$2&amp;"+"&amp;BO328&amp;EU$1)</f>
        <v/>
      </c>
      <c r="EV328" s="71" t="str">
        <f t="shared" ref="EV328:EV335" si="4873">IF(BP328="","","|n"&amp;EV$2&amp;"+"&amp;BP328&amp;EV$1)</f>
        <v/>
      </c>
      <c r="EW328" s="71" t="str">
        <f t="shared" ref="EW328:EW335" si="4874">IF(BQ328="","","|n"&amp;EW$2&amp;"+"&amp;BQ328&amp;EW$1)</f>
        <v/>
      </c>
      <c r="EX328" s="71" t="str">
        <f t="shared" ref="EX328:EX335" si="4875">IF(BR328="","","|n"&amp;EX$2&amp;"+"&amp;BR328&amp;EX$1)</f>
        <v/>
      </c>
      <c r="EY328" s="71" t="str">
        <f t="shared" ref="EY328:EY335" si="4876">IF(BS328="","","|n"&amp;EY$2&amp;"+"&amp;BS328&amp;EY$1)</f>
        <v/>
      </c>
      <c r="EZ328" s="71" t="str">
        <f t="shared" ref="EZ328:EZ335" si="4877">IF(BT328="","","|n"&amp;EZ$2&amp;"+"&amp;BT328&amp;EZ$1)</f>
        <v/>
      </c>
      <c r="FA328" s="71" t="str">
        <f t="shared" ref="FA328:FA335" si="4878">IF(BU328="","","|n"&amp;FA$2&amp;"+"&amp;BU328&amp;FA$1)</f>
        <v/>
      </c>
      <c r="FB328" s="71" t="str">
        <f t="shared" ref="FB328:FB335" si="4879">IF(BV328="","","|n"&amp;FB$2&amp;"+"&amp;BV328&amp;FB$1)</f>
        <v/>
      </c>
      <c r="FC328" s="71" t="str">
        <f t="shared" ref="FC328:FC335" si="4880">IF(BW328="","","|n"&amp;FC$2&amp;"+"&amp;BW328&amp;FC$1)</f>
        <v/>
      </c>
      <c r="FD328" s="71" t="str">
        <f t="shared" ref="FD328:FD335" si="4881">IF(BX328="","","|n"&amp;FD$2&amp;"+"&amp;BX328&amp;FD$1)</f>
        <v/>
      </c>
      <c r="FE328" s="71" t="str">
        <f t="shared" ref="FE328:FE335" si="4882">IF(BY328="","","|n"&amp;FE$2&amp;"+"&amp;BY328&amp;FE$1)</f>
        <v/>
      </c>
      <c r="FF328" s="71" t="str">
        <f t="shared" ref="FF328:FF335" si="4883">IF(BZ328="","","|n"&amp;FF$2&amp;"+"&amp;BZ328&amp;FF$1)</f>
        <v/>
      </c>
      <c r="FG328" s="71" t="str">
        <f t="shared" ref="FG328:FG335" si="4884">IF(CA328="","","|n"&amp;FG$2&amp;"+"&amp;CA328&amp;FG$1)</f>
        <v/>
      </c>
      <c r="FH328" s="71" t="str">
        <f t="shared" ref="FH328:FH335" si="4885">IF(CB328="","","|n"&amp;FH$2&amp;"+"&amp;CB328&amp;FH$1)</f>
        <v/>
      </c>
      <c r="FI328" s="71" t="str">
        <f t="shared" ref="FI328:FI335" si="4886">IF(CC328="","","|n"&amp;FI$2&amp;"+"&amp;CC328&amp;FI$1)</f>
        <v/>
      </c>
      <c r="FJ328" s="71" t="str">
        <f t="shared" ref="FJ328:FJ335" si="4887">IF(CD328="","","|n"&amp;FJ$2&amp;"+"&amp;CD328&amp;FJ$1)</f>
        <v/>
      </c>
      <c r="FK328" s="71" t="str">
        <f t="shared" ref="FK328:FK335" si="4888">IF(CE328="","","|n"&amp;FK$2&amp;"+"&amp;CE328&amp;FK$1)</f>
        <v/>
      </c>
      <c r="FL328" s="71" t="str">
        <f t="shared" ref="FL328:FL335" si="4889">IF(CF328="","","|n"&amp;FL$2&amp;"+"&amp;CF328&amp;FL$1)</f>
        <v/>
      </c>
      <c r="FM328" s="71" t="str">
        <f t="shared" ref="FM328:FM335" si="4890">IF(CG328="","","|n"&amp;FM$2&amp;"+"&amp;CG328&amp;FM$1)</f>
        <v/>
      </c>
      <c r="FN328" s="71" t="str">
        <f t="shared" ref="FN328:FN335" si="4891">IF(CH328="","","|n"&amp;FN$2&amp;"+"&amp;CH328&amp;FN$1)</f>
        <v/>
      </c>
      <c r="FO328" s="71" t="str">
        <f t="shared" ref="FO328:FO335" si="4892">IF(CI328="","","|n"&amp;FO$2&amp;"+"&amp;CI328&amp;FO$1)</f>
        <v/>
      </c>
      <c r="FP328" s="71" t="str">
        <f t="shared" ref="FP328:FP335" si="4893">IF(CJ328="","","|n"&amp;FP$2&amp;"+"&amp;CJ328&amp;FP$1)</f>
        <v/>
      </c>
      <c r="FQ328" s="71" t="str">
        <f t="shared" ref="FQ328:FQ335" si="4894">IF(CK328="","","|n"&amp;FQ$2&amp;"+"&amp;CK328&amp;FQ$1)</f>
        <v/>
      </c>
      <c r="FR328" s="71" t="str">
        <f t="shared" ref="FR328:FR335" si="4895">IF(CL328="","","|n"&amp;FR$2&amp;"+"&amp;CL328&amp;FR$1)</f>
        <v/>
      </c>
      <c r="FS328" s="71" t="str">
        <f t="shared" ref="FS328:FS335" si="4896">IF(CM328="","","|n"&amp;FS$2&amp;"+"&amp;CM328&amp;FS$1)</f>
        <v/>
      </c>
    </row>
    <row r="329" ht="15" spans="1:175">
      <c r="A329" s="137"/>
      <c r="B329" s="81" t="s">
        <v>992</v>
      </c>
      <c r="C329" s="144" t="s">
        <v>987</v>
      </c>
      <c r="K329" s="147"/>
      <c r="T329" s="155" t="s">
        <v>993</v>
      </c>
      <c r="U329" s="89" t="s">
        <v>989</v>
      </c>
      <c r="CN329" s="69" t="str">
        <f t="shared" si="4821"/>
        <v>InitUnitState('IK2C',,,,,,,,,,)</v>
      </c>
      <c r="CO329" s="69" t="str">
        <f t="shared" si="4822"/>
        <v>InitUnitNormal('IK2C',,,,,,,,,,)</v>
      </c>
      <c r="CP329" s="69" t="str">
        <f t="shared" si="4823"/>
        <v>InitUnitMagic('IK2C',,,,,,,,,,)</v>
      </c>
      <c r="CQ329" s="69" t="str">
        <f t="shared" si="4824"/>
        <v>InitUnitAdd('IK2C',,,,,,,,,,)</v>
      </c>
      <c r="CR329" s="69" t="str">
        <f t="shared" si="4825"/>
        <v>InitEquipData('IK2C',,"",,,,,'','','','','','',"ReplaceableTextures\\CommandButtons\\BTNSST11.blp")</v>
      </c>
      <c r="CU329" s="99" t="str">
        <f t="shared" si="4826"/>
        <v>|n</v>
      </c>
      <c r="CV329" s="70" t="str">
        <f t="shared" si="4669"/>
        <v>最大生命|Cffffc926+20%|n|n|r|Cffaaaaaa○|CffFFD24D木之刻印+1|r|r|n|n|Cff00ff7f点击穿戴或脱卸。|r</v>
      </c>
      <c r="CW329" s="60"/>
      <c r="CX329" s="60"/>
      <c r="CY329" s="60"/>
      <c r="CZ329" s="60"/>
      <c r="DA329" s="60"/>
      <c r="DB329" s="71" t="str">
        <f t="shared" si="4827"/>
        <v/>
      </c>
      <c r="DC329" s="71" t="str">
        <f t="shared" si="4828"/>
        <v/>
      </c>
      <c r="DD329" s="71" t="str">
        <f t="shared" si="4829"/>
        <v/>
      </c>
      <c r="DE329" s="71" t="str">
        <f t="shared" si="4830"/>
        <v/>
      </c>
      <c r="DF329" s="71" t="str">
        <f t="shared" si="4831"/>
        <v/>
      </c>
      <c r="DG329" s="71" t="str">
        <f t="shared" si="4832"/>
        <v/>
      </c>
      <c r="DH329" s="71" t="str">
        <f t="shared" si="4833"/>
        <v/>
      </c>
      <c r="DI329" s="71" t="str">
        <f t="shared" si="4834"/>
        <v/>
      </c>
      <c r="DJ329" s="71" t="str">
        <f t="shared" si="4835"/>
        <v/>
      </c>
      <c r="DK329" s="71" t="str">
        <f t="shared" si="4836"/>
        <v/>
      </c>
      <c r="DL329" s="71" t="str">
        <f t="shared" si="4837"/>
        <v/>
      </c>
      <c r="DM329" s="71" t="str">
        <f t="shared" si="4838"/>
        <v/>
      </c>
      <c r="DN329" s="71" t="str">
        <f t="shared" si="4839"/>
        <v/>
      </c>
      <c r="DO329" s="71" t="str">
        <f t="shared" si="4840"/>
        <v/>
      </c>
      <c r="DP329" s="71" t="str">
        <f t="shared" si="4841"/>
        <v/>
      </c>
      <c r="DQ329" s="71" t="str">
        <f t="shared" si="4842"/>
        <v/>
      </c>
      <c r="DR329" s="71" t="str">
        <f t="shared" si="4843"/>
        <v/>
      </c>
      <c r="DS329" s="71" t="str">
        <f t="shared" si="4844"/>
        <v/>
      </c>
      <c r="DT329" s="71" t="str">
        <f t="shared" si="4845"/>
        <v/>
      </c>
      <c r="DU329" s="71" t="str">
        <f t="shared" si="4846"/>
        <v/>
      </c>
      <c r="DV329" s="71" t="str">
        <f t="shared" si="4847"/>
        <v/>
      </c>
      <c r="DW329" s="71" t="str">
        <f t="shared" si="4848"/>
        <v/>
      </c>
      <c r="DX329" s="71" t="str">
        <f t="shared" si="4849"/>
        <v/>
      </c>
      <c r="DY329" s="71" t="str">
        <f t="shared" si="4850"/>
        <v/>
      </c>
      <c r="DZ329" s="71" t="str">
        <f t="shared" si="4851"/>
        <v/>
      </c>
      <c r="EA329" s="71" t="str">
        <f t="shared" si="4852"/>
        <v/>
      </c>
      <c r="EB329" s="71" t="str">
        <f t="shared" si="4853"/>
        <v/>
      </c>
      <c r="EC329" s="71" t="str">
        <f t="shared" si="4854"/>
        <v/>
      </c>
      <c r="ED329" s="71" t="str">
        <f t="shared" si="4855"/>
        <v/>
      </c>
      <c r="EE329" s="71" t="str">
        <f t="shared" si="4856"/>
        <v/>
      </c>
      <c r="EF329" s="71" t="str">
        <f t="shared" si="4857"/>
        <v/>
      </c>
      <c r="EG329" s="71" t="str">
        <f t="shared" si="4858"/>
        <v/>
      </c>
      <c r="EH329" s="71" t="str">
        <f t="shared" si="4859"/>
        <v/>
      </c>
      <c r="EI329" s="71" t="str">
        <f t="shared" si="4860"/>
        <v/>
      </c>
      <c r="EJ329" s="71" t="str">
        <f t="shared" si="4861"/>
        <v/>
      </c>
      <c r="EK329" s="71" t="str">
        <f t="shared" si="4862"/>
        <v/>
      </c>
      <c r="EL329" s="71" t="str">
        <f t="shared" si="4863"/>
        <v/>
      </c>
      <c r="EM329" s="71" t="str">
        <f t="shared" si="4864"/>
        <v/>
      </c>
      <c r="EN329" s="71" t="str">
        <f t="shared" si="4865"/>
        <v/>
      </c>
      <c r="EO329" s="71" t="str">
        <f t="shared" si="4866"/>
        <v/>
      </c>
      <c r="EP329" s="71" t="str">
        <f t="shared" si="4867"/>
        <v/>
      </c>
      <c r="EQ329" s="71" t="str">
        <f t="shared" si="4868"/>
        <v/>
      </c>
      <c r="ER329" s="71" t="str">
        <f t="shared" si="4869"/>
        <v/>
      </c>
      <c r="ES329" s="71" t="str">
        <f t="shared" si="4870"/>
        <v/>
      </c>
      <c r="ET329" s="71" t="str">
        <f t="shared" si="4871"/>
        <v/>
      </c>
      <c r="EU329" s="71" t="str">
        <f t="shared" si="4872"/>
        <v/>
      </c>
      <c r="EV329" s="71" t="str">
        <f t="shared" si="4873"/>
        <v/>
      </c>
      <c r="EW329" s="71" t="str">
        <f t="shared" si="4874"/>
        <v/>
      </c>
      <c r="EX329" s="71" t="str">
        <f t="shared" si="4875"/>
        <v/>
      </c>
      <c r="EY329" s="71" t="str">
        <f t="shared" si="4876"/>
        <v/>
      </c>
      <c r="EZ329" s="71" t="str">
        <f t="shared" si="4877"/>
        <v/>
      </c>
      <c r="FA329" s="71" t="str">
        <f t="shared" si="4878"/>
        <v/>
      </c>
      <c r="FB329" s="71" t="str">
        <f t="shared" si="4879"/>
        <v/>
      </c>
      <c r="FC329" s="71" t="str">
        <f t="shared" si="4880"/>
        <v/>
      </c>
      <c r="FD329" s="71" t="str">
        <f t="shared" si="4881"/>
        <v/>
      </c>
      <c r="FE329" s="71" t="str">
        <f t="shared" si="4882"/>
        <v/>
      </c>
      <c r="FF329" s="71" t="str">
        <f t="shared" si="4883"/>
        <v/>
      </c>
      <c r="FG329" s="71" t="str">
        <f t="shared" si="4884"/>
        <v/>
      </c>
      <c r="FH329" s="71" t="str">
        <f t="shared" si="4885"/>
        <v/>
      </c>
      <c r="FI329" s="71" t="str">
        <f t="shared" si="4886"/>
        <v/>
      </c>
      <c r="FJ329" s="71" t="str">
        <f t="shared" si="4887"/>
        <v/>
      </c>
      <c r="FK329" s="71" t="str">
        <f t="shared" si="4888"/>
        <v/>
      </c>
      <c r="FL329" s="71" t="str">
        <f t="shared" si="4889"/>
        <v/>
      </c>
      <c r="FM329" s="71" t="str">
        <f t="shared" si="4890"/>
        <v/>
      </c>
      <c r="FN329" s="71" t="str">
        <f t="shared" si="4891"/>
        <v/>
      </c>
      <c r="FO329" s="71" t="str">
        <f t="shared" si="4892"/>
        <v/>
      </c>
      <c r="FP329" s="71" t="str">
        <f t="shared" si="4893"/>
        <v/>
      </c>
      <c r="FQ329" s="71" t="str">
        <f t="shared" si="4894"/>
        <v/>
      </c>
      <c r="FR329" s="71" t="str">
        <f t="shared" si="4895"/>
        <v/>
      </c>
      <c r="FS329" s="71" t="str">
        <f t="shared" si="4896"/>
        <v/>
      </c>
    </row>
    <row r="330" ht="15" spans="1:175">
      <c r="A330" s="137"/>
      <c r="B330" s="81" t="s">
        <v>994</v>
      </c>
      <c r="C330" s="144" t="s">
        <v>987</v>
      </c>
      <c r="K330" s="147"/>
      <c r="T330" s="155" t="s">
        <v>995</v>
      </c>
      <c r="U330" s="89" t="s">
        <v>989</v>
      </c>
      <c r="CN330" s="69" t="str">
        <f t="shared" si="4821"/>
        <v>InitUnitState('IK2D',,,,,,,,,,)</v>
      </c>
      <c r="CO330" s="69" t="str">
        <f t="shared" si="4822"/>
        <v>InitUnitNormal('IK2D',,,,,,,,,,)</v>
      </c>
      <c r="CP330" s="69" t="str">
        <f t="shared" si="4823"/>
        <v>InitUnitMagic('IK2D',,,,,,,,,,)</v>
      </c>
      <c r="CQ330" s="69" t="str">
        <f t="shared" si="4824"/>
        <v>InitUnitAdd('IK2D',,,,,,,,,,)</v>
      </c>
      <c r="CR330" s="69" t="str">
        <f t="shared" si="4825"/>
        <v>InitEquipData('IK2D',,"",,,,,'','','','','','',"ReplaceableTextures\\CommandButtons\\BTNSST11.blp")</v>
      </c>
      <c r="CU330" s="99" t="str">
        <f t="shared" si="4826"/>
        <v>|n</v>
      </c>
      <c r="CV330" s="70" t="str">
        <f t="shared" si="4669"/>
        <v>最大生命|Cffffc926+20%|n|n|r|Cffaaaaaa○|CffFFD24D水之刻印+1|r|r|n|n|Cff00ff7f点击穿戴或脱卸。|r</v>
      </c>
      <c r="CW330" s="60"/>
      <c r="CX330" s="60"/>
      <c r="CY330" s="60"/>
      <c r="CZ330" s="60"/>
      <c r="DA330" s="60"/>
      <c r="DB330" s="71" t="str">
        <f t="shared" si="4827"/>
        <v/>
      </c>
      <c r="DC330" s="71" t="str">
        <f t="shared" si="4828"/>
        <v/>
      </c>
      <c r="DD330" s="71" t="str">
        <f t="shared" si="4829"/>
        <v/>
      </c>
      <c r="DE330" s="71" t="str">
        <f t="shared" si="4830"/>
        <v/>
      </c>
      <c r="DF330" s="71" t="str">
        <f t="shared" si="4831"/>
        <v/>
      </c>
      <c r="DG330" s="71" t="str">
        <f t="shared" si="4832"/>
        <v/>
      </c>
      <c r="DH330" s="71" t="str">
        <f t="shared" si="4833"/>
        <v/>
      </c>
      <c r="DI330" s="71" t="str">
        <f t="shared" si="4834"/>
        <v/>
      </c>
      <c r="DJ330" s="71" t="str">
        <f t="shared" si="4835"/>
        <v/>
      </c>
      <c r="DK330" s="71" t="str">
        <f t="shared" si="4836"/>
        <v/>
      </c>
      <c r="DL330" s="71" t="str">
        <f t="shared" si="4837"/>
        <v/>
      </c>
      <c r="DM330" s="71" t="str">
        <f t="shared" si="4838"/>
        <v/>
      </c>
      <c r="DN330" s="71" t="str">
        <f t="shared" si="4839"/>
        <v/>
      </c>
      <c r="DO330" s="71" t="str">
        <f t="shared" si="4840"/>
        <v/>
      </c>
      <c r="DP330" s="71" t="str">
        <f t="shared" si="4841"/>
        <v/>
      </c>
      <c r="DQ330" s="71" t="str">
        <f t="shared" si="4842"/>
        <v/>
      </c>
      <c r="DR330" s="71" t="str">
        <f t="shared" si="4843"/>
        <v/>
      </c>
      <c r="DS330" s="71" t="str">
        <f t="shared" si="4844"/>
        <v/>
      </c>
      <c r="DT330" s="71" t="str">
        <f t="shared" si="4845"/>
        <v/>
      </c>
      <c r="DU330" s="71" t="str">
        <f t="shared" si="4846"/>
        <v/>
      </c>
      <c r="DV330" s="71" t="str">
        <f t="shared" si="4847"/>
        <v/>
      </c>
      <c r="DW330" s="71" t="str">
        <f t="shared" si="4848"/>
        <v/>
      </c>
      <c r="DX330" s="71" t="str">
        <f t="shared" si="4849"/>
        <v/>
      </c>
      <c r="DY330" s="71" t="str">
        <f t="shared" si="4850"/>
        <v/>
      </c>
      <c r="DZ330" s="71" t="str">
        <f t="shared" si="4851"/>
        <v/>
      </c>
      <c r="EA330" s="71" t="str">
        <f t="shared" si="4852"/>
        <v/>
      </c>
      <c r="EB330" s="71" t="str">
        <f t="shared" si="4853"/>
        <v/>
      </c>
      <c r="EC330" s="71" t="str">
        <f t="shared" si="4854"/>
        <v/>
      </c>
      <c r="ED330" s="71" t="str">
        <f t="shared" si="4855"/>
        <v/>
      </c>
      <c r="EE330" s="71" t="str">
        <f t="shared" si="4856"/>
        <v/>
      </c>
      <c r="EF330" s="71" t="str">
        <f t="shared" si="4857"/>
        <v/>
      </c>
      <c r="EG330" s="71" t="str">
        <f t="shared" si="4858"/>
        <v/>
      </c>
      <c r="EH330" s="71" t="str">
        <f t="shared" si="4859"/>
        <v/>
      </c>
      <c r="EI330" s="71" t="str">
        <f t="shared" si="4860"/>
        <v/>
      </c>
      <c r="EJ330" s="71" t="str">
        <f t="shared" si="4861"/>
        <v/>
      </c>
      <c r="EK330" s="71" t="str">
        <f t="shared" si="4862"/>
        <v/>
      </c>
      <c r="EL330" s="71" t="str">
        <f t="shared" si="4863"/>
        <v/>
      </c>
      <c r="EM330" s="71" t="str">
        <f t="shared" si="4864"/>
        <v/>
      </c>
      <c r="EN330" s="71" t="str">
        <f t="shared" si="4865"/>
        <v/>
      </c>
      <c r="EO330" s="71" t="str">
        <f t="shared" si="4866"/>
        <v/>
      </c>
      <c r="EP330" s="71" t="str">
        <f t="shared" si="4867"/>
        <v/>
      </c>
      <c r="EQ330" s="71" t="str">
        <f t="shared" si="4868"/>
        <v/>
      </c>
      <c r="ER330" s="71" t="str">
        <f t="shared" si="4869"/>
        <v/>
      </c>
      <c r="ES330" s="71" t="str">
        <f t="shared" si="4870"/>
        <v/>
      </c>
      <c r="ET330" s="71" t="str">
        <f t="shared" si="4871"/>
        <v/>
      </c>
      <c r="EU330" s="71" t="str">
        <f t="shared" si="4872"/>
        <v/>
      </c>
      <c r="EV330" s="71" t="str">
        <f t="shared" si="4873"/>
        <v/>
      </c>
      <c r="EW330" s="71" t="str">
        <f t="shared" si="4874"/>
        <v/>
      </c>
      <c r="EX330" s="71" t="str">
        <f t="shared" si="4875"/>
        <v/>
      </c>
      <c r="EY330" s="71" t="str">
        <f t="shared" si="4876"/>
        <v/>
      </c>
      <c r="EZ330" s="71" t="str">
        <f t="shared" si="4877"/>
        <v/>
      </c>
      <c r="FA330" s="71" t="str">
        <f t="shared" si="4878"/>
        <v/>
      </c>
      <c r="FB330" s="71" t="str">
        <f t="shared" si="4879"/>
        <v/>
      </c>
      <c r="FC330" s="71" t="str">
        <f t="shared" si="4880"/>
        <v/>
      </c>
      <c r="FD330" s="71" t="str">
        <f t="shared" si="4881"/>
        <v/>
      </c>
      <c r="FE330" s="71" t="str">
        <f t="shared" si="4882"/>
        <v/>
      </c>
      <c r="FF330" s="71" t="str">
        <f t="shared" si="4883"/>
        <v/>
      </c>
      <c r="FG330" s="71" t="str">
        <f t="shared" si="4884"/>
        <v/>
      </c>
      <c r="FH330" s="71" t="str">
        <f t="shared" si="4885"/>
        <v/>
      </c>
      <c r="FI330" s="71" t="str">
        <f t="shared" si="4886"/>
        <v/>
      </c>
      <c r="FJ330" s="71" t="str">
        <f t="shared" si="4887"/>
        <v/>
      </c>
      <c r="FK330" s="71" t="str">
        <f t="shared" si="4888"/>
        <v/>
      </c>
      <c r="FL330" s="71" t="str">
        <f t="shared" si="4889"/>
        <v/>
      </c>
      <c r="FM330" s="71" t="str">
        <f t="shared" si="4890"/>
        <v/>
      </c>
      <c r="FN330" s="71" t="str">
        <f t="shared" si="4891"/>
        <v/>
      </c>
      <c r="FO330" s="71" t="str">
        <f t="shared" si="4892"/>
        <v/>
      </c>
      <c r="FP330" s="71" t="str">
        <f t="shared" si="4893"/>
        <v/>
      </c>
      <c r="FQ330" s="71" t="str">
        <f t="shared" si="4894"/>
        <v/>
      </c>
      <c r="FR330" s="71" t="str">
        <f t="shared" si="4895"/>
        <v/>
      </c>
      <c r="FS330" s="71" t="str">
        <f t="shared" si="4896"/>
        <v/>
      </c>
    </row>
    <row r="331" ht="15" spans="1:175">
      <c r="A331" s="137"/>
      <c r="B331" s="81" t="s">
        <v>996</v>
      </c>
      <c r="C331" s="144" t="s">
        <v>987</v>
      </c>
      <c r="K331" s="147"/>
      <c r="T331" s="155" t="s">
        <v>997</v>
      </c>
      <c r="U331" s="89" t="s">
        <v>989</v>
      </c>
      <c r="CN331" s="69" t="str">
        <f t="shared" si="4821"/>
        <v>InitUnitState('IK2E',,,,,,,,,,)</v>
      </c>
      <c r="CO331" s="69" t="str">
        <f t="shared" si="4822"/>
        <v>InitUnitNormal('IK2E',,,,,,,,,,)</v>
      </c>
      <c r="CP331" s="69" t="str">
        <f t="shared" si="4823"/>
        <v>InitUnitMagic('IK2E',,,,,,,,,,)</v>
      </c>
      <c r="CQ331" s="69" t="str">
        <f t="shared" si="4824"/>
        <v>InitUnitAdd('IK2E',,,,,,,,,,)</v>
      </c>
      <c r="CR331" s="69" t="str">
        <f t="shared" si="4825"/>
        <v>InitEquipData('IK2E',,"",,,,,'','','','','','',"ReplaceableTextures\\CommandButtons\\BTNSST11.blp")</v>
      </c>
      <c r="CU331" s="99" t="str">
        <f t="shared" si="4826"/>
        <v>|n</v>
      </c>
      <c r="CV331" s="70" t="str">
        <f t="shared" si="4669"/>
        <v>最大生命|Cffffc926+20%|n|n|r|Cffaaaaaa○|CffFFD24D火之刻印+1|r|r|n|n|Cff00ff7f点击穿戴或脱卸。|r</v>
      </c>
      <c r="CW331" s="60"/>
      <c r="CX331" s="60"/>
      <c r="CY331" s="60"/>
      <c r="CZ331" s="60"/>
      <c r="DA331" s="60"/>
      <c r="DB331" s="71" t="str">
        <f t="shared" si="4827"/>
        <v/>
      </c>
      <c r="DC331" s="71" t="str">
        <f t="shared" si="4828"/>
        <v/>
      </c>
      <c r="DD331" s="71" t="str">
        <f t="shared" si="4829"/>
        <v/>
      </c>
      <c r="DE331" s="71" t="str">
        <f t="shared" si="4830"/>
        <v/>
      </c>
      <c r="DF331" s="71" t="str">
        <f t="shared" si="4831"/>
        <v/>
      </c>
      <c r="DG331" s="71" t="str">
        <f t="shared" si="4832"/>
        <v/>
      </c>
      <c r="DH331" s="71" t="str">
        <f t="shared" si="4833"/>
        <v/>
      </c>
      <c r="DI331" s="71" t="str">
        <f t="shared" si="4834"/>
        <v/>
      </c>
      <c r="DJ331" s="71" t="str">
        <f t="shared" si="4835"/>
        <v/>
      </c>
      <c r="DK331" s="71" t="str">
        <f t="shared" si="4836"/>
        <v/>
      </c>
      <c r="DL331" s="71" t="str">
        <f t="shared" si="4837"/>
        <v/>
      </c>
      <c r="DM331" s="71" t="str">
        <f t="shared" si="4838"/>
        <v/>
      </c>
      <c r="DN331" s="71" t="str">
        <f t="shared" si="4839"/>
        <v/>
      </c>
      <c r="DO331" s="71" t="str">
        <f t="shared" si="4840"/>
        <v/>
      </c>
      <c r="DP331" s="71" t="str">
        <f t="shared" si="4841"/>
        <v/>
      </c>
      <c r="DQ331" s="71" t="str">
        <f t="shared" si="4842"/>
        <v/>
      </c>
      <c r="DR331" s="71" t="str">
        <f t="shared" si="4843"/>
        <v/>
      </c>
      <c r="DS331" s="71" t="str">
        <f t="shared" si="4844"/>
        <v/>
      </c>
      <c r="DT331" s="71" t="str">
        <f t="shared" si="4845"/>
        <v/>
      </c>
      <c r="DU331" s="71" t="str">
        <f t="shared" si="4846"/>
        <v/>
      </c>
      <c r="DV331" s="71" t="str">
        <f t="shared" si="4847"/>
        <v/>
      </c>
      <c r="DW331" s="71" t="str">
        <f t="shared" si="4848"/>
        <v/>
      </c>
      <c r="DX331" s="71" t="str">
        <f t="shared" si="4849"/>
        <v/>
      </c>
      <c r="DY331" s="71" t="str">
        <f t="shared" si="4850"/>
        <v/>
      </c>
      <c r="DZ331" s="71" t="str">
        <f t="shared" si="4851"/>
        <v/>
      </c>
      <c r="EA331" s="71" t="str">
        <f t="shared" si="4852"/>
        <v/>
      </c>
      <c r="EB331" s="71" t="str">
        <f t="shared" si="4853"/>
        <v/>
      </c>
      <c r="EC331" s="71" t="str">
        <f t="shared" si="4854"/>
        <v/>
      </c>
      <c r="ED331" s="71" t="str">
        <f t="shared" si="4855"/>
        <v/>
      </c>
      <c r="EE331" s="71" t="str">
        <f t="shared" si="4856"/>
        <v/>
      </c>
      <c r="EF331" s="71" t="str">
        <f t="shared" si="4857"/>
        <v/>
      </c>
      <c r="EG331" s="71" t="str">
        <f t="shared" si="4858"/>
        <v/>
      </c>
      <c r="EH331" s="71" t="str">
        <f t="shared" si="4859"/>
        <v/>
      </c>
      <c r="EI331" s="71" t="str">
        <f t="shared" si="4860"/>
        <v/>
      </c>
      <c r="EJ331" s="71" t="str">
        <f t="shared" si="4861"/>
        <v/>
      </c>
      <c r="EK331" s="71" t="str">
        <f t="shared" si="4862"/>
        <v/>
      </c>
      <c r="EL331" s="71" t="str">
        <f t="shared" si="4863"/>
        <v/>
      </c>
      <c r="EM331" s="71" t="str">
        <f t="shared" si="4864"/>
        <v/>
      </c>
      <c r="EN331" s="71" t="str">
        <f t="shared" si="4865"/>
        <v/>
      </c>
      <c r="EO331" s="71" t="str">
        <f t="shared" si="4866"/>
        <v/>
      </c>
      <c r="EP331" s="71" t="str">
        <f t="shared" si="4867"/>
        <v/>
      </c>
      <c r="EQ331" s="71" t="str">
        <f t="shared" si="4868"/>
        <v/>
      </c>
      <c r="ER331" s="71" t="str">
        <f t="shared" si="4869"/>
        <v/>
      </c>
      <c r="ES331" s="71" t="str">
        <f t="shared" si="4870"/>
        <v/>
      </c>
      <c r="ET331" s="71" t="str">
        <f t="shared" si="4871"/>
        <v/>
      </c>
      <c r="EU331" s="71" t="str">
        <f t="shared" si="4872"/>
        <v/>
      </c>
      <c r="EV331" s="71" t="str">
        <f t="shared" si="4873"/>
        <v/>
      </c>
      <c r="EW331" s="71" t="str">
        <f t="shared" si="4874"/>
        <v/>
      </c>
      <c r="EX331" s="71" t="str">
        <f t="shared" si="4875"/>
        <v/>
      </c>
      <c r="EY331" s="71" t="str">
        <f t="shared" si="4876"/>
        <v/>
      </c>
      <c r="EZ331" s="71" t="str">
        <f t="shared" si="4877"/>
        <v/>
      </c>
      <c r="FA331" s="71" t="str">
        <f t="shared" si="4878"/>
        <v/>
      </c>
      <c r="FB331" s="71" t="str">
        <f t="shared" si="4879"/>
        <v/>
      </c>
      <c r="FC331" s="71" t="str">
        <f t="shared" si="4880"/>
        <v/>
      </c>
      <c r="FD331" s="71" t="str">
        <f t="shared" si="4881"/>
        <v/>
      </c>
      <c r="FE331" s="71" t="str">
        <f t="shared" si="4882"/>
        <v/>
      </c>
      <c r="FF331" s="71" t="str">
        <f t="shared" si="4883"/>
        <v/>
      </c>
      <c r="FG331" s="71" t="str">
        <f t="shared" si="4884"/>
        <v/>
      </c>
      <c r="FH331" s="71" t="str">
        <f t="shared" si="4885"/>
        <v/>
      </c>
      <c r="FI331" s="71" t="str">
        <f t="shared" si="4886"/>
        <v/>
      </c>
      <c r="FJ331" s="71" t="str">
        <f t="shared" si="4887"/>
        <v/>
      </c>
      <c r="FK331" s="71" t="str">
        <f t="shared" si="4888"/>
        <v/>
      </c>
      <c r="FL331" s="71" t="str">
        <f t="shared" si="4889"/>
        <v/>
      </c>
      <c r="FM331" s="71" t="str">
        <f t="shared" si="4890"/>
        <v/>
      </c>
      <c r="FN331" s="71" t="str">
        <f t="shared" si="4891"/>
        <v/>
      </c>
      <c r="FO331" s="71" t="str">
        <f t="shared" si="4892"/>
        <v/>
      </c>
      <c r="FP331" s="71" t="str">
        <f t="shared" si="4893"/>
        <v/>
      </c>
      <c r="FQ331" s="71" t="str">
        <f t="shared" si="4894"/>
        <v/>
      </c>
      <c r="FR331" s="71" t="str">
        <f t="shared" si="4895"/>
        <v/>
      </c>
      <c r="FS331" s="71" t="str">
        <f t="shared" si="4896"/>
        <v/>
      </c>
    </row>
    <row r="332" ht="15" spans="1:175">
      <c r="A332" s="137"/>
      <c r="B332" s="81" t="s">
        <v>998</v>
      </c>
      <c r="C332" s="144" t="s">
        <v>987</v>
      </c>
      <c r="K332" s="147"/>
      <c r="T332" s="155" t="s">
        <v>999</v>
      </c>
      <c r="U332" s="89" t="s">
        <v>989</v>
      </c>
      <c r="CN332" s="69" t="str">
        <f t="shared" si="4821"/>
        <v>InitUnitState('IK2F',,,,,,,,,,)</v>
      </c>
      <c r="CO332" s="69" t="str">
        <f t="shared" si="4822"/>
        <v>InitUnitNormal('IK2F',,,,,,,,,,)</v>
      </c>
      <c r="CP332" s="69" t="str">
        <f t="shared" si="4823"/>
        <v>InitUnitMagic('IK2F',,,,,,,,,,)</v>
      </c>
      <c r="CQ332" s="69" t="str">
        <f t="shared" si="4824"/>
        <v>InitUnitAdd('IK2F',,,,,,,,,,)</v>
      </c>
      <c r="CR332" s="69" t="str">
        <f t="shared" si="4825"/>
        <v>InitEquipData('IK2F',,"",,,,,'','','','','','',"ReplaceableTextures\\CommandButtons\\BTNSST11.blp")</v>
      </c>
      <c r="CU332" s="99" t="str">
        <f t="shared" si="4826"/>
        <v>|n</v>
      </c>
      <c r="CV332" s="70" t="str">
        <f t="shared" si="4669"/>
        <v>最大生命|Cffffc926+20%|n|n|r|Cffaaaaaa○|CffFFD24D土之刻印+1|r|r|n|n|Cff00ff7f点击穿戴或脱卸。|r</v>
      </c>
      <c r="CW332" s="60"/>
      <c r="CX332" s="60"/>
      <c r="CY332" s="60"/>
      <c r="CZ332" s="60"/>
      <c r="DA332" s="60"/>
      <c r="DB332" s="71" t="str">
        <f t="shared" si="4827"/>
        <v/>
      </c>
      <c r="DC332" s="71" t="str">
        <f t="shared" si="4828"/>
        <v/>
      </c>
      <c r="DD332" s="71" t="str">
        <f t="shared" si="4829"/>
        <v/>
      </c>
      <c r="DE332" s="71" t="str">
        <f t="shared" si="4830"/>
        <v/>
      </c>
      <c r="DF332" s="71" t="str">
        <f t="shared" si="4831"/>
        <v/>
      </c>
      <c r="DG332" s="71" t="str">
        <f t="shared" si="4832"/>
        <v/>
      </c>
      <c r="DH332" s="71" t="str">
        <f t="shared" si="4833"/>
        <v/>
      </c>
      <c r="DI332" s="71" t="str">
        <f t="shared" si="4834"/>
        <v/>
      </c>
      <c r="DJ332" s="71" t="str">
        <f t="shared" si="4835"/>
        <v/>
      </c>
      <c r="DK332" s="71" t="str">
        <f t="shared" si="4836"/>
        <v/>
      </c>
      <c r="DL332" s="71" t="str">
        <f t="shared" si="4837"/>
        <v/>
      </c>
      <c r="DM332" s="71" t="str">
        <f t="shared" si="4838"/>
        <v/>
      </c>
      <c r="DN332" s="71" t="str">
        <f t="shared" si="4839"/>
        <v/>
      </c>
      <c r="DO332" s="71" t="str">
        <f t="shared" si="4840"/>
        <v/>
      </c>
      <c r="DP332" s="71" t="str">
        <f t="shared" si="4841"/>
        <v/>
      </c>
      <c r="DQ332" s="71" t="str">
        <f t="shared" si="4842"/>
        <v/>
      </c>
      <c r="DR332" s="71" t="str">
        <f t="shared" si="4843"/>
        <v/>
      </c>
      <c r="DS332" s="71" t="str">
        <f t="shared" si="4844"/>
        <v/>
      </c>
      <c r="DT332" s="71" t="str">
        <f t="shared" si="4845"/>
        <v/>
      </c>
      <c r="DU332" s="71" t="str">
        <f t="shared" si="4846"/>
        <v/>
      </c>
      <c r="DV332" s="71" t="str">
        <f t="shared" si="4847"/>
        <v/>
      </c>
      <c r="DW332" s="71" t="str">
        <f t="shared" si="4848"/>
        <v/>
      </c>
      <c r="DX332" s="71" t="str">
        <f t="shared" si="4849"/>
        <v/>
      </c>
      <c r="DY332" s="71" t="str">
        <f t="shared" si="4850"/>
        <v/>
      </c>
      <c r="DZ332" s="71" t="str">
        <f t="shared" si="4851"/>
        <v/>
      </c>
      <c r="EA332" s="71" t="str">
        <f t="shared" si="4852"/>
        <v/>
      </c>
      <c r="EB332" s="71" t="str">
        <f t="shared" si="4853"/>
        <v/>
      </c>
      <c r="EC332" s="71" t="str">
        <f t="shared" si="4854"/>
        <v/>
      </c>
      <c r="ED332" s="71" t="str">
        <f t="shared" si="4855"/>
        <v/>
      </c>
      <c r="EE332" s="71" t="str">
        <f t="shared" si="4856"/>
        <v/>
      </c>
      <c r="EF332" s="71" t="str">
        <f t="shared" si="4857"/>
        <v/>
      </c>
      <c r="EG332" s="71" t="str">
        <f t="shared" si="4858"/>
        <v/>
      </c>
      <c r="EH332" s="71" t="str">
        <f t="shared" si="4859"/>
        <v/>
      </c>
      <c r="EI332" s="71" t="str">
        <f t="shared" si="4860"/>
        <v/>
      </c>
      <c r="EJ332" s="71" t="str">
        <f t="shared" si="4861"/>
        <v/>
      </c>
      <c r="EK332" s="71" t="str">
        <f t="shared" si="4862"/>
        <v/>
      </c>
      <c r="EL332" s="71" t="str">
        <f t="shared" si="4863"/>
        <v/>
      </c>
      <c r="EM332" s="71" t="str">
        <f t="shared" si="4864"/>
        <v/>
      </c>
      <c r="EN332" s="71" t="str">
        <f t="shared" si="4865"/>
        <v/>
      </c>
      <c r="EO332" s="71" t="str">
        <f t="shared" si="4866"/>
        <v/>
      </c>
      <c r="EP332" s="71" t="str">
        <f t="shared" si="4867"/>
        <v/>
      </c>
      <c r="EQ332" s="71" t="str">
        <f t="shared" si="4868"/>
        <v/>
      </c>
      <c r="ER332" s="71" t="str">
        <f t="shared" si="4869"/>
        <v/>
      </c>
      <c r="ES332" s="71" t="str">
        <f t="shared" si="4870"/>
        <v/>
      </c>
      <c r="ET332" s="71" t="str">
        <f t="shared" si="4871"/>
        <v/>
      </c>
      <c r="EU332" s="71" t="str">
        <f t="shared" si="4872"/>
        <v/>
      </c>
      <c r="EV332" s="71" t="str">
        <f t="shared" si="4873"/>
        <v/>
      </c>
      <c r="EW332" s="71" t="str">
        <f t="shared" si="4874"/>
        <v/>
      </c>
      <c r="EX332" s="71" t="str">
        <f t="shared" si="4875"/>
        <v/>
      </c>
      <c r="EY332" s="71" t="str">
        <f t="shared" si="4876"/>
        <v/>
      </c>
      <c r="EZ332" s="71" t="str">
        <f t="shared" si="4877"/>
        <v/>
      </c>
      <c r="FA332" s="71" t="str">
        <f t="shared" si="4878"/>
        <v/>
      </c>
      <c r="FB332" s="71" t="str">
        <f t="shared" si="4879"/>
        <v/>
      </c>
      <c r="FC332" s="71" t="str">
        <f t="shared" si="4880"/>
        <v/>
      </c>
      <c r="FD332" s="71" t="str">
        <f t="shared" si="4881"/>
        <v/>
      </c>
      <c r="FE332" s="71" t="str">
        <f t="shared" si="4882"/>
        <v/>
      </c>
      <c r="FF332" s="71" t="str">
        <f t="shared" si="4883"/>
        <v/>
      </c>
      <c r="FG332" s="71" t="str">
        <f t="shared" si="4884"/>
        <v/>
      </c>
      <c r="FH332" s="71" t="str">
        <f t="shared" si="4885"/>
        <v/>
      </c>
      <c r="FI332" s="71" t="str">
        <f t="shared" si="4886"/>
        <v/>
      </c>
      <c r="FJ332" s="71" t="str">
        <f t="shared" si="4887"/>
        <v/>
      </c>
      <c r="FK332" s="71" t="str">
        <f t="shared" si="4888"/>
        <v/>
      </c>
      <c r="FL332" s="71" t="str">
        <f t="shared" si="4889"/>
        <v/>
      </c>
      <c r="FM332" s="71" t="str">
        <f t="shared" si="4890"/>
        <v/>
      </c>
      <c r="FN332" s="71" t="str">
        <f t="shared" si="4891"/>
        <v/>
      </c>
      <c r="FO332" s="71" t="str">
        <f t="shared" si="4892"/>
        <v/>
      </c>
      <c r="FP332" s="71" t="str">
        <f t="shared" si="4893"/>
        <v/>
      </c>
      <c r="FQ332" s="71" t="str">
        <f t="shared" si="4894"/>
        <v/>
      </c>
      <c r="FR332" s="71" t="str">
        <f t="shared" si="4895"/>
        <v/>
      </c>
      <c r="FS332" s="71" t="str">
        <f t="shared" si="4896"/>
        <v/>
      </c>
    </row>
    <row r="333" ht="15" spans="1:175">
      <c r="A333" s="137"/>
      <c r="B333" s="81" t="s">
        <v>1000</v>
      </c>
      <c r="C333" s="144" t="s">
        <v>987</v>
      </c>
      <c r="K333" s="147"/>
      <c r="T333" s="155" t="s">
        <v>1001</v>
      </c>
      <c r="U333" s="89" t="s">
        <v>989</v>
      </c>
      <c r="CN333" s="69" t="str">
        <f t="shared" si="4821"/>
        <v>InitUnitState('IK2G',,,,,,,,,,)</v>
      </c>
      <c r="CO333" s="69" t="str">
        <f t="shared" si="4822"/>
        <v>InitUnitNormal('IK2G',,,,,,,,,,)</v>
      </c>
      <c r="CP333" s="69" t="str">
        <f t="shared" si="4823"/>
        <v>InitUnitMagic('IK2G',,,,,,,,,,)</v>
      </c>
      <c r="CQ333" s="69" t="str">
        <f t="shared" si="4824"/>
        <v>InitUnitAdd('IK2G',,,,,,,,,,)</v>
      </c>
      <c r="CR333" s="69" t="str">
        <f t="shared" si="4825"/>
        <v>InitEquipData('IK2G',,"",,,,,'','','','','','',"ReplaceableTextures\\CommandButtons\\BTNSST11.blp")</v>
      </c>
      <c r="CU333" s="99" t="str">
        <f t="shared" si="4826"/>
        <v>|n</v>
      </c>
      <c r="CV333" s="70" t="str">
        <f t="shared" si="4669"/>
        <v>最大生命|Cffffc926+20%|n|n|r|Cffaaaaaa○|CffFFD24D雷之刻印+1|r|r|n|n|Cff00ff7f点击穿戴或脱卸。|r</v>
      </c>
      <c r="CW333" s="60"/>
      <c r="CX333" s="60"/>
      <c r="CY333" s="60"/>
      <c r="CZ333" s="60"/>
      <c r="DA333" s="60"/>
      <c r="DB333" s="71" t="str">
        <f t="shared" si="4827"/>
        <v/>
      </c>
      <c r="DC333" s="71" t="str">
        <f t="shared" si="4828"/>
        <v/>
      </c>
      <c r="DD333" s="71" t="str">
        <f t="shared" si="4829"/>
        <v/>
      </c>
      <c r="DE333" s="71" t="str">
        <f t="shared" si="4830"/>
        <v/>
      </c>
      <c r="DF333" s="71" t="str">
        <f t="shared" si="4831"/>
        <v/>
      </c>
      <c r="DG333" s="71" t="str">
        <f t="shared" si="4832"/>
        <v/>
      </c>
      <c r="DH333" s="71" t="str">
        <f t="shared" si="4833"/>
        <v/>
      </c>
      <c r="DI333" s="71" t="str">
        <f t="shared" si="4834"/>
        <v/>
      </c>
      <c r="DJ333" s="71" t="str">
        <f t="shared" si="4835"/>
        <v/>
      </c>
      <c r="DK333" s="71" t="str">
        <f t="shared" si="4836"/>
        <v/>
      </c>
      <c r="DL333" s="71" t="str">
        <f t="shared" si="4837"/>
        <v/>
      </c>
      <c r="DM333" s="71" t="str">
        <f t="shared" si="4838"/>
        <v/>
      </c>
      <c r="DN333" s="71" t="str">
        <f t="shared" si="4839"/>
        <v/>
      </c>
      <c r="DO333" s="71" t="str">
        <f t="shared" si="4840"/>
        <v/>
      </c>
      <c r="DP333" s="71" t="str">
        <f t="shared" si="4841"/>
        <v/>
      </c>
      <c r="DQ333" s="71" t="str">
        <f t="shared" si="4842"/>
        <v/>
      </c>
      <c r="DR333" s="71" t="str">
        <f t="shared" si="4843"/>
        <v/>
      </c>
      <c r="DS333" s="71" t="str">
        <f t="shared" si="4844"/>
        <v/>
      </c>
      <c r="DT333" s="71" t="str">
        <f t="shared" si="4845"/>
        <v/>
      </c>
      <c r="DU333" s="71" t="str">
        <f t="shared" si="4846"/>
        <v/>
      </c>
      <c r="DV333" s="71" t="str">
        <f t="shared" si="4847"/>
        <v/>
      </c>
      <c r="DW333" s="71" t="str">
        <f t="shared" si="4848"/>
        <v/>
      </c>
      <c r="DX333" s="71" t="str">
        <f t="shared" si="4849"/>
        <v/>
      </c>
      <c r="DY333" s="71" t="str">
        <f t="shared" si="4850"/>
        <v/>
      </c>
      <c r="DZ333" s="71" t="str">
        <f t="shared" si="4851"/>
        <v/>
      </c>
      <c r="EA333" s="71" t="str">
        <f t="shared" si="4852"/>
        <v/>
      </c>
      <c r="EB333" s="71" t="str">
        <f t="shared" si="4853"/>
        <v/>
      </c>
      <c r="EC333" s="71" t="str">
        <f t="shared" si="4854"/>
        <v/>
      </c>
      <c r="ED333" s="71" t="str">
        <f t="shared" si="4855"/>
        <v/>
      </c>
      <c r="EE333" s="71" t="str">
        <f t="shared" si="4856"/>
        <v/>
      </c>
      <c r="EF333" s="71" t="str">
        <f t="shared" si="4857"/>
        <v/>
      </c>
      <c r="EG333" s="71" t="str">
        <f t="shared" si="4858"/>
        <v/>
      </c>
      <c r="EH333" s="71" t="str">
        <f t="shared" si="4859"/>
        <v/>
      </c>
      <c r="EI333" s="71" t="str">
        <f t="shared" si="4860"/>
        <v/>
      </c>
      <c r="EJ333" s="71" t="str">
        <f t="shared" si="4861"/>
        <v/>
      </c>
      <c r="EK333" s="71" t="str">
        <f t="shared" si="4862"/>
        <v/>
      </c>
      <c r="EL333" s="71" t="str">
        <f t="shared" si="4863"/>
        <v/>
      </c>
      <c r="EM333" s="71" t="str">
        <f t="shared" si="4864"/>
        <v/>
      </c>
      <c r="EN333" s="71" t="str">
        <f t="shared" si="4865"/>
        <v/>
      </c>
      <c r="EO333" s="71" t="str">
        <f t="shared" si="4866"/>
        <v/>
      </c>
      <c r="EP333" s="71" t="str">
        <f t="shared" si="4867"/>
        <v/>
      </c>
      <c r="EQ333" s="71" t="str">
        <f t="shared" si="4868"/>
        <v/>
      </c>
      <c r="ER333" s="71" t="str">
        <f t="shared" si="4869"/>
        <v/>
      </c>
      <c r="ES333" s="71" t="str">
        <f t="shared" si="4870"/>
        <v/>
      </c>
      <c r="ET333" s="71" t="str">
        <f t="shared" si="4871"/>
        <v/>
      </c>
      <c r="EU333" s="71" t="str">
        <f t="shared" si="4872"/>
        <v/>
      </c>
      <c r="EV333" s="71" t="str">
        <f t="shared" si="4873"/>
        <v/>
      </c>
      <c r="EW333" s="71" t="str">
        <f t="shared" si="4874"/>
        <v/>
      </c>
      <c r="EX333" s="71" t="str">
        <f t="shared" si="4875"/>
        <v/>
      </c>
      <c r="EY333" s="71" t="str">
        <f t="shared" si="4876"/>
        <v/>
      </c>
      <c r="EZ333" s="71" t="str">
        <f t="shared" si="4877"/>
        <v/>
      </c>
      <c r="FA333" s="71" t="str">
        <f t="shared" si="4878"/>
        <v/>
      </c>
      <c r="FB333" s="71" t="str">
        <f t="shared" si="4879"/>
        <v/>
      </c>
      <c r="FC333" s="71" t="str">
        <f t="shared" si="4880"/>
        <v/>
      </c>
      <c r="FD333" s="71" t="str">
        <f t="shared" si="4881"/>
        <v/>
      </c>
      <c r="FE333" s="71" t="str">
        <f t="shared" si="4882"/>
        <v/>
      </c>
      <c r="FF333" s="71" t="str">
        <f t="shared" si="4883"/>
        <v/>
      </c>
      <c r="FG333" s="71" t="str">
        <f t="shared" si="4884"/>
        <v/>
      </c>
      <c r="FH333" s="71" t="str">
        <f t="shared" si="4885"/>
        <v/>
      </c>
      <c r="FI333" s="71" t="str">
        <f t="shared" si="4886"/>
        <v/>
      </c>
      <c r="FJ333" s="71" t="str">
        <f t="shared" si="4887"/>
        <v/>
      </c>
      <c r="FK333" s="71" t="str">
        <f t="shared" si="4888"/>
        <v/>
      </c>
      <c r="FL333" s="71" t="str">
        <f t="shared" si="4889"/>
        <v/>
      </c>
      <c r="FM333" s="71" t="str">
        <f t="shared" si="4890"/>
        <v/>
      </c>
      <c r="FN333" s="71" t="str">
        <f t="shared" si="4891"/>
        <v/>
      </c>
      <c r="FO333" s="71" t="str">
        <f t="shared" si="4892"/>
        <v/>
      </c>
      <c r="FP333" s="71" t="str">
        <f t="shared" si="4893"/>
        <v/>
      </c>
      <c r="FQ333" s="71" t="str">
        <f t="shared" si="4894"/>
        <v/>
      </c>
      <c r="FR333" s="71" t="str">
        <f t="shared" si="4895"/>
        <v/>
      </c>
      <c r="FS333" s="71" t="str">
        <f t="shared" si="4896"/>
        <v/>
      </c>
    </row>
    <row r="334" ht="15" spans="1:175">
      <c r="A334" s="137"/>
      <c r="B334" s="81" t="s">
        <v>1002</v>
      </c>
      <c r="C334" s="144" t="s">
        <v>987</v>
      </c>
      <c r="K334" s="147"/>
      <c r="T334" s="155" t="s">
        <v>1003</v>
      </c>
      <c r="U334" s="89" t="s">
        <v>989</v>
      </c>
      <c r="CN334" s="69" t="str">
        <f t="shared" si="4821"/>
        <v>InitUnitState('IK2H',,,,,,,,,,)</v>
      </c>
      <c r="CO334" s="69" t="str">
        <f t="shared" si="4822"/>
        <v>InitUnitNormal('IK2H',,,,,,,,,,)</v>
      </c>
      <c r="CP334" s="69" t="str">
        <f t="shared" si="4823"/>
        <v>InitUnitMagic('IK2H',,,,,,,,,,)</v>
      </c>
      <c r="CQ334" s="69" t="str">
        <f t="shared" si="4824"/>
        <v>InitUnitAdd('IK2H',,,,,,,,,,)</v>
      </c>
      <c r="CR334" s="69" t="str">
        <f t="shared" si="4825"/>
        <v>InitEquipData('IK2H',,"",,,,,'','','','','','',"ReplaceableTextures\\CommandButtons\\BTNSST11.blp")</v>
      </c>
      <c r="CU334" s="99" t="str">
        <f t="shared" si="4826"/>
        <v>|n</v>
      </c>
      <c r="CV334" s="70" t="str">
        <f t="shared" si="4669"/>
        <v>最大生命|Cffffc926+20%|n|n|r|Cffaaaaaa○|CffFFD24D光之刻印+1|r|r|n|n|Cff00ff7f点击穿戴或脱卸。|r</v>
      </c>
      <c r="CW334" s="60"/>
      <c r="CX334" s="60"/>
      <c r="CY334" s="60"/>
      <c r="CZ334" s="60"/>
      <c r="DA334" s="60"/>
      <c r="DB334" s="71" t="str">
        <f t="shared" si="4827"/>
        <v/>
      </c>
      <c r="DC334" s="71" t="str">
        <f t="shared" si="4828"/>
        <v/>
      </c>
      <c r="DD334" s="71" t="str">
        <f t="shared" si="4829"/>
        <v/>
      </c>
      <c r="DE334" s="71" t="str">
        <f t="shared" si="4830"/>
        <v/>
      </c>
      <c r="DF334" s="71" t="str">
        <f t="shared" si="4831"/>
        <v/>
      </c>
      <c r="DG334" s="71" t="str">
        <f t="shared" si="4832"/>
        <v/>
      </c>
      <c r="DH334" s="71" t="str">
        <f t="shared" si="4833"/>
        <v/>
      </c>
      <c r="DI334" s="71" t="str">
        <f t="shared" si="4834"/>
        <v/>
      </c>
      <c r="DJ334" s="71" t="str">
        <f t="shared" si="4835"/>
        <v/>
      </c>
      <c r="DK334" s="71" t="str">
        <f t="shared" si="4836"/>
        <v/>
      </c>
      <c r="DL334" s="71" t="str">
        <f t="shared" si="4837"/>
        <v/>
      </c>
      <c r="DM334" s="71" t="str">
        <f t="shared" si="4838"/>
        <v/>
      </c>
      <c r="DN334" s="71" t="str">
        <f t="shared" si="4839"/>
        <v/>
      </c>
      <c r="DO334" s="71" t="str">
        <f t="shared" si="4840"/>
        <v/>
      </c>
      <c r="DP334" s="71" t="str">
        <f t="shared" si="4841"/>
        <v/>
      </c>
      <c r="DQ334" s="71" t="str">
        <f t="shared" si="4842"/>
        <v/>
      </c>
      <c r="DR334" s="71" t="str">
        <f t="shared" si="4843"/>
        <v/>
      </c>
      <c r="DS334" s="71" t="str">
        <f t="shared" si="4844"/>
        <v/>
      </c>
      <c r="DT334" s="71" t="str">
        <f t="shared" si="4845"/>
        <v/>
      </c>
      <c r="DU334" s="71" t="str">
        <f t="shared" si="4846"/>
        <v/>
      </c>
      <c r="DV334" s="71" t="str">
        <f t="shared" si="4847"/>
        <v/>
      </c>
      <c r="DW334" s="71" t="str">
        <f t="shared" si="4848"/>
        <v/>
      </c>
      <c r="DX334" s="71" t="str">
        <f t="shared" si="4849"/>
        <v/>
      </c>
      <c r="DY334" s="71" t="str">
        <f t="shared" si="4850"/>
        <v/>
      </c>
      <c r="DZ334" s="71" t="str">
        <f t="shared" si="4851"/>
        <v/>
      </c>
      <c r="EA334" s="71" t="str">
        <f t="shared" si="4852"/>
        <v/>
      </c>
      <c r="EB334" s="71" t="str">
        <f t="shared" si="4853"/>
        <v/>
      </c>
      <c r="EC334" s="71" t="str">
        <f t="shared" si="4854"/>
        <v/>
      </c>
      <c r="ED334" s="71" t="str">
        <f t="shared" si="4855"/>
        <v/>
      </c>
      <c r="EE334" s="71" t="str">
        <f t="shared" si="4856"/>
        <v/>
      </c>
      <c r="EF334" s="71" t="str">
        <f t="shared" si="4857"/>
        <v/>
      </c>
      <c r="EG334" s="71" t="str">
        <f t="shared" si="4858"/>
        <v/>
      </c>
      <c r="EH334" s="71" t="str">
        <f t="shared" si="4859"/>
        <v/>
      </c>
      <c r="EI334" s="71" t="str">
        <f t="shared" si="4860"/>
        <v/>
      </c>
      <c r="EJ334" s="71" t="str">
        <f t="shared" si="4861"/>
        <v/>
      </c>
      <c r="EK334" s="71" t="str">
        <f t="shared" si="4862"/>
        <v/>
      </c>
      <c r="EL334" s="71" t="str">
        <f t="shared" si="4863"/>
        <v/>
      </c>
      <c r="EM334" s="71" t="str">
        <f t="shared" si="4864"/>
        <v/>
      </c>
      <c r="EN334" s="71" t="str">
        <f t="shared" si="4865"/>
        <v/>
      </c>
      <c r="EO334" s="71" t="str">
        <f t="shared" si="4866"/>
        <v/>
      </c>
      <c r="EP334" s="71" t="str">
        <f t="shared" si="4867"/>
        <v/>
      </c>
      <c r="EQ334" s="71" t="str">
        <f t="shared" si="4868"/>
        <v/>
      </c>
      <c r="ER334" s="71" t="str">
        <f t="shared" si="4869"/>
        <v/>
      </c>
      <c r="ES334" s="71" t="str">
        <f t="shared" si="4870"/>
        <v/>
      </c>
      <c r="ET334" s="71" t="str">
        <f t="shared" si="4871"/>
        <v/>
      </c>
      <c r="EU334" s="71" t="str">
        <f t="shared" si="4872"/>
        <v/>
      </c>
      <c r="EV334" s="71" t="str">
        <f t="shared" si="4873"/>
        <v/>
      </c>
      <c r="EW334" s="71" t="str">
        <f t="shared" si="4874"/>
        <v/>
      </c>
      <c r="EX334" s="71" t="str">
        <f t="shared" si="4875"/>
        <v/>
      </c>
      <c r="EY334" s="71" t="str">
        <f t="shared" si="4876"/>
        <v/>
      </c>
      <c r="EZ334" s="71" t="str">
        <f t="shared" si="4877"/>
        <v/>
      </c>
      <c r="FA334" s="71" t="str">
        <f t="shared" si="4878"/>
        <v/>
      </c>
      <c r="FB334" s="71" t="str">
        <f t="shared" si="4879"/>
        <v/>
      </c>
      <c r="FC334" s="71" t="str">
        <f t="shared" si="4880"/>
        <v/>
      </c>
      <c r="FD334" s="71" t="str">
        <f t="shared" si="4881"/>
        <v/>
      </c>
      <c r="FE334" s="71" t="str">
        <f t="shared" si="4882"/>
        <v/>
      </c>
      <c r="FF334" s="71" t="str">
        <f t="shared" si="4883"/>
        <v/>
      </c>
      <c r="FG334" s="71" t="str">
        <f t="shared" si="4884"/>
        <v/>
      </c>
      <c r="FH334" s="71" t="str">
        <f t="shared" si="4885"/>
        <v/>
      </c>
      <c r="FI334" s="71" t="str">
        <f t="shared" si="4886"/>
        <v/>
      </c>
      <c r="FJ334" s="71" t="str">
        <f t="shared" si="4887"/>
        <v/>
      </c>
      <c r="FK334" s="71" t="str">
        <f t="shared" si="4888"/>
        <v/>
      </c>
      <c r="FL334" s="71" t="str">
        <f t="shared" si="4889"/>
        <v/>
      </c>
      <c r="FM334" s="71" t="str">
        <f t="shared" si="4890"/>
        <v/>
      </c>
      <c r="FN334" s="71" t="str">
        <f t="shared" si="4891"/>
        <v/>
      </c>
      <c r="FO334" s="71" t="str">
        <f t="shared" si="4892"/>
        <v/>
      </c>
      <c r="FP334" s="71" t="str">
        <f t="shared" si="4893"/>
        <v/>
      </c>
      <c r="FQ334" s="71" t="str">
        <f t="shared" si="4894"/>
        <v/>
      </c>
      <c r="FR334" s="71" t="str">
        <f t="shared" si="4895"/>
        <v/>
      </c>
      <c r="FS334" s="71" t="str">
        <f t="shared" si="4896"/>
        <v/>
      </c>
    </row>
    <row r="335" ht="15" spans="1:175">
      <c r="A335" s="137"/>
      <c r="B335" s="81" t="s">
        <v>1004</v>
      </c>
      <c r="C335" s="144" t="s">
        <v>987</v>
      </c>
      <c r="K335" s="157"/>
      <c r="T335" s="155" t="s">
        <v>1005</v>
      </c>
      <c r="U335" s="89" t="s">
        <v>989</v>
      </c>
      <c r="CN335" s="69" t="str">
        <f t="shared" si="4821"/>
        <v>InitUnitState('IK2I',,,,,,,,,,)</v>
      </c>
      <c r="CO335" s="69" t="str">
        <f t="shared" si="4822"/>
        <v>InitUnitNormal('IK2I',,,,,,,,,,)</v>
      </c>
      <c r="CP335" s="69" t="str">
        <f t="shared" si="4823"/>
        <v>InitUnitMagic('IK2I',,,,,,,,,,)</v>
      </c>
      <c r="CQ335" s="69" t="str">
        <f t="shared" si="4824"/>
        <v>InitUnitAdd('IK2I',,,,,,,,,,)</v>
      </c>
      <c r="CR335" s="69" t="str">
        <f t="shared" si="4825"/>
        <v>InitEquipData('IK2I',,"",,,,,'','','','','','',"ReplaceableTextures\\CommandButtons\\BTNSST11.blp")</v>
      </c>
      <c r="CU335" s="99" t="str">
        <f t="shared" si="4826"/>
        <v>|n</v>
      </c>
      <c r="CV335" s="70" t="str">
        <f t="shared" si="4669"/>
        <v>最大生命|Cffffc926+20%|n|n|r|Cffaaaaaa○|CffFFD24D暗之刻印+1|r|r|n|n|Cff00ff7f点击穿戴或脱卸。|r</v>
      </c>
      <c r="CW335" s="60"/>
      <c r="CX335" s="60"/>
      <c r="CY335" s="60"/>
      <c r="CZ335" s="60"/>
      <c r="DA335" s="60"/>
      <c r="DB335" s="71" t="str">
        <f t="shared" si="4827"/>
        <v/>
      </c>
      <c r="DC335" s="71" t="str">
        <f t="shared" si="4828"/>
        <v/>
      </c>
      <c r="DD335" s="71" t="str">
        <f t="shared" si="4829"/>
        <v/>
      </c>
      <c r="DE335" s="71" t="str">
        <f t="shared" si="4830"/>
        <v/>
      </c>
      <c r="DF335" s="71" t="str">
        <f t="shared" si="4831"/>
        <v/>
      </c>
      <c r="DG335" s="71" t="str">
        <f t="shared" si="4832"/>
        <v/>
      </c>
      <c r="DH335" s="71" t="str">
        <f t="shared" si="4833"/>
        <v/>
      </c>
      <c r="DI335" s="71" t="str">
        <f t="shared" si="4834"/>
        <v/>
      </c>
      <c r="DJ335" s="71" t="str">
        <f t="shared" si="4835"/>
        <v/>
      </c>
      <c r="DK335" s="71" t="str">
        <f t="shared" si="4836"/>
        <v/>
      </c>
      <c r="DL335" s="71" t="str">
        <f t="shared" si="4837"/>
        <v/>
      </c>
      <c r="DM335" s="71" t="str">
        <f t="shared" si="4838"/>
        <v/>
      </c>
      <c r="DN335" s="71" t="str">
        <f t="shared" si="4839"/>
        <v/>
      </c>
      <c r="DO335" s="71" t="str">
        <f t="shared" si="4840"/>
        <v/>
      </c>
      <c r="DP335" s="71" t="str">
        <f t="shared" si="4841"/>
        <v/>
      </c>
      <c r="DQ335" s="71" t="str">
        <f t="shared" si="4842"/>
        <v/>
      </c>
      <c r="DR335" s="71" t="str">
        <f t="shared" si="4843"/>
        <v/>
      </c>
      <c r="DS335" s="71" t="str">
        <f t="shared" si="4844"/>
        <v/>
      </c>
      <c r="DT335" s="71" t="str">
        <f t="shared" si="4845"/>
        <v/>
      </c>
      <c r="DU335" s="71" t="str">
        <f t="shared" si="4846"/>
        <v/>
      </c>
      <c r="DV335" s="71" t="str">
        <f t="shared" si="4847"/>
        <v/>
      </c>
      <c r="DW335" s="71" t="str">
        <f t="shared" si="4848"/>
        <v/>
      </c>
      <c r="DX335" s="71" t="str">
        <f t="shared" si="4849"/>
        <v/>
      </c>
      <c r="DY335" s="71" t="str">
        <f t="shared" si="4850"/>
        <v/>
      </c>
      <c r="DZ335" s="71" t="str">
        <f t="shared" si="4851"/>
        <v/>
      </c>
      <c r="EA335" s="71" t="str">
        <f t="shared" si="4852"/>
        <v/>
      </c>
      <c r="EB335" s="71" t="str">
        <f t="shared" si="4853"/>
        <v/>
      </c>
      <c r="EC335" s="71" t="str">
        <f t="shared" si="4854"/>
        <v/>
      </c>
      <c r="ED335" s="71" t="str">
        <f t="shared" si="4855"/>
        <v/>
      </c>
      <c r="EE335" s="71" t="str">
        <f t="shared" si="4856"/>
        <v/>
      </c>
      <c r="EF335" s="71" t="str">
        <f t="shared" si="4857"/>
        <v/>
      </c>
      <c r="EG335" s="71" t="str">
        <f t="shared" si="4858"/>
        <v/>
      </c>
      <c r="EH335" s="71" t="str">
        <f t="shared" si="4859"/>
        <v/>
      </c>
      <c r="EI335" s="71" t="str">
        <f t="shared" si="4860"/>
        <v/>
      </c>
      <c r="EJ335" s="71" t="str">
        <f t="shared" si="4861"/>
        <v/>
      </c>
      <c r="EK335" s="71" t="str">
        <f t="shared" si="4862"/>
        <v/>
      </c>
      <c r="EL335" s="71" t="str">
        <f t="shared" si="4863"/>
        <v/>
      </c>
      <c r="EM335" s="71" t="str">
        <f t="shared" si="4864"/>
        <v/>
      </c>
      <c r="EN335" s="71" t="str">
        <f t="shared" si="4865"/>
        <v/>
      </c>
      <c r="EO335" s="71" t="str">
        <f t="shared" si="4866"/>
        <v/>
      </c>
      <c r="EP335" s="71" t="str">
        <f t="shared" si="4867"/>
        <v/>
      </c>
      <c r="EQ335" s="71" t="str">
        <f t="shared" si="4868"/>
        <v/>
      </c>
      <c r="ER335" s="71" t="str">
        <f t="shared" si="4869"/>
        <v/>
      </c>
      <c r="ES335" s="71" t="str">
        <f t="shared" si="4870"/>
        <v/>
      </c>
      <c r="ET335" s="71" t="str">
        <f t="shared" si="4871"/>
        <v/>
      </c>
      <c r="EU335" s="71" t="str">
        <f t="shared" si="4872"/>
        <v/>
      </c>
      <c r="EV335" s="71" t="str">
        <f t="shared" si="4873"/>
        <v/>
      </c>
      <c r="EW335" s="71" t="str">
        <f t="shared" si="4874"/>
        <v/>
      </c>
      <c r="EX335" s="71" t="str">
        <f t="shared" si="4875"/>
        <v/>
      </c>
      <c r="EY335" s="71" t="str">
        <f t="shared" si="4876"/>
        <v/>
      </c>
      <c r="EZ335" s="71" t="str">
        <f t="shared" si="4877"/>
        <v/>
      </c>
      <c r="FA335" s="71" t="str">
        <f t="shared" si="4878"/>
        <v/>
      </c>
      <c r="FB335" s="71" t="str">
        <f t="shared" si="4879"/>
        <v/>
      </c>
      <c r="FC335" s="71" t="str">
        <f t="shared" si="4880"/>
        <v/>
      </c>
      <c r="FD335" s="71" t="str">
        <f t="shared" si="4881"/>
        <v/>
      </c>
      <c r="FE335" s="71" t="str">
        <f t="shared" si="4882"/>
        <v/>
      </c>
      <c r="FF335" s="71" t="str">
        <f t="shared" si="4883"/>
        <v/>
      </c>
      <c r="FG335" s="71" t="str">
        <f t="shared" si="4884"/>
        <v/>
      </c>
      <c r="FH335" s="71" t="str">
        <f t="shared" si="4885"/>
        <v/>
      </c>
      <c r="FI335" s="71" t="str">
        <f t="shared" si="4886"/>
        <v/>
      </c>
      <c r="FJ335" s="71" t="str">
        <f t="shared" si="4887"/>
        <v/>
      </c>
      <c r="FK335" s="71" t="str">
        <f t="shared" si="4888"/>
        <v/>
      </c>
      <c r="FL335" s="71" t="str">
        <f t="shared" si="4889"/>
        <v/>
      </c>
      <c r="FM335" s="71" t="str">
        <f t="shared" si="4890"/>
        <v/>
      </c>
      <c r="FN335" s="71" t="str">
        <f t="shared" si="4891"/>
        <v/>
      </c>
      <c r="FO335" s="71" t="str">
        <f t="shared" si="4892"/>
        <v/>
      </c>
      <c r="FP335" s="71" t="str">
        <f t="shared" si="4893"/>
        <v/>
      </c>
      <c r="FQ335" s="71" t="str">
        <f t="shared" si="4894"/>
        <v/>
      </c>
      <c r="FR335" s="71" t="str">
        <f t="shared" si="4895"/>
        <v/>
      </c>
      <c r="FS335" s="71" t="str">
        <f t="shared" si="4896"/>
        <v/>
      </c>
    </row>
    <row r="336" ht="15" spans="1:175">
      <c r="A336" s="138"/>
      <c r="B336" s="81" t="s">
        <v>1006</v>
      </c>
      <c r="C336" s="144" t="s">
        <v>1007</v>
      </c>
      <c r="T336" s="155" t="s">
        <v>1008</v>
      </c>
      <c r="U336" s="89" t="s">
        <v>1009</v>
      </c>
      <c r="CN336" s="69" t="str">
        <f t="shared" si="4670"/>
        <v>InitUnitState('IK3A',,,,,,,,,,)</v>
      </c>
      <c r="CO336" s="69" t="str">
        <f t="shared" si="4671"/>
        <v>InitUnitNormal('IK3A',,,,,,,,,,)</v>
      </c>
      <c r="CP336" s="69" t="str">
        <f t="shared" si="4672"/>
        <v>InitUnitMagic('IK3A',,,,,,,,,,)</v>
      </c>
      <c r="CQ336" s="69" t="str">
        <f t="shared" si="4673"/>
        <v>InitUnitAdd('IK3A',,,,,,,,,,)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InitEquipData('IK3A',,"",,,,,'','','','','','',"ReplaceableTextures\\CommandButtons\\BTNSST12.blp")</v>
      </c>
      <c r="CU336" s="99" t="str">
        <f t="shared" si="4674"/>
        <v>|n</v>
      </c>
      <c r="CV336" s="70" t="str">
        <f t="shared" si="4669"/>
        <v>道兵伤害|Cffffc926+60%|n|n|r|Cffaaaaaa○刻印槽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4675"/>
        <v/>
      </c>
      <c r="DC336" s="71" t="str">
        <f t="shared" si="4676"/>
        <v/>
      </c>
      <c r="DD336" s="71" t="str">
        <f t="shared" si="4677"/>
        <v/>
      </c>
      <c r="DE336" s="71" t="str">
        <f t="shared" si="4678"/>
        <v/>
      </c>
      <c r="DF336" s="71" t="str">
        <f t="shared" si="4679"/>
        <v/>
      </c>
      <c r="DG336" s="71" t="str">
        <f t="shared" si="4680"/>
        <v/>
      </c>
      <c r="DH336" s="71" t="str">
        <f t="shared" si="4681"/>
        <v/>
      </c>
      <c r="DI336" s="71" t="str">
        <f t="shared" si="4682"/>
        <v/>
      </c>
      <c r="DJ336" s="71" t="str">
        <f t="shared" si="4683"/>
        <v/>
      </c>
      <c r="DK336" s="71" t="str">
        <f t="shared" si="4684"/>
        <v/>
      </c>
      <c r="DL336" s="71" t="str">
        <f t="shared" si="4685"/>
        <v/>
      </c>
      <c r="DM336" s="71" t="str">
        <f t="shared" si="4686"/>
        <v/>
      </c>
      <c r="DN336" s="71" t="str">
        <f t="shared" si="4687"/>
        <v/>
      </c>
      <c r="DO336" s="71" t="str">
        <f t="shared" si="4688"/>
        <v/>
      </c>
      <c r="DP336" s="71" t="str">
        <f t="shared" si="4689"/>
        <v/>
      </c>
      <c r="DQ336" s="71" t="str">
        <f t="shared" si="4690"/>
        <v/>
      </c>
      <c r="DR336" s="71" t="str">
        <f t="shared" si="4691"/>
        <v/>
      </c>
      <c r="DS336" s="71" t="str">
        <f t="shared" si="4692"/>
        <v/>
      </c>
      <c r="DT336" s="71" t="str">
        <f t="shared" si="4693"/>
        <v/>
      </c>
      <c r="DU336" s="71" t="str">
        <f t="shared" si="4694"/>
        <v/>
      </c>
      <c r="DV336" s="71" t="str">
        <f t="shared" si="4695"/>
        <v/>
      </c>
      <c r="DW336" s="71" t="str">
        <f t="shared" si="4696"/>
        <v/>
      </c>
      <c r="DX336" s="71" t="str">
        <f t="shared" si="4697"/>
        <v/>
      </c>
      <c r="DY336" s="71" t="str">
        <f t="shared" si="4698"/>
        <v/>
      </c>
      <c r="DZ336" s="71" t="str">
        <f t="shared" si="4699"/>
        <v/>
      </c>
      <c r="EA336" s="71" t="str">
        <f t="shared" si="4700"/>
        <v/>
      </c>
      <c r="EB336" s="71" t="str">
        <f t="shared" si="4701"/>
        <v/>
      </c>
      <c r="EC336" s="71" t="str">
        <f t="shared" si="4702"/>
        <v/>
      </c>
      <c r="ED336" s="71" t="str">
        <f t="shared" si="4703"/>
        <v/>
      </c>
      <c r="EE336" s="71" t="str">
        <f t="shared" si="4704"/>
        <v/>
      </c>
      <c r="EF336" s="71" t="str">
        <f t="shared" si="4705"/>
        <v/>
      </c>
      <c r="EG336" s="71" t="str">
        <f t="shared" si="4706"/>
        <v/>
      </c>
      <c r="EH336" s="71" t="str">
        <f t="shared" si="4707"/>
        <v/>
      </c>
      <c r="EI336" s="71" t="str">
        <f t="shared" si="4708"/>
        <v/>
      </c>
      <c r="EJ336" s="71" t="str">
        <f t="shared" si="4709"/>
        <v/>
      </c>
      <c r="EK336" s="71" t="str">
        <f t="shared" si="4710"/>
        <v/>
      </c>
      <c r="EL336" s="71" t="str">
        <f t="shared" si="4711"/>
        <v/>
      </c>
      <c r="EM336" s="71" t="str">
        <f t="shared" si="4712"/>
        <v/>
      </c>
      <c r="EN336" s="71" t="str">
        <f t="shared" si="4713"/>
        <v/>
      </c>
      <c r="EO336" s="71" t="str">
        <f t="shared" si="4714"/>
        <v/>
      </c>
      <c r="EP336" s="71" t="str">
        <f t="shared" si="4715"/>
        <v/>
      </c>
      <c r="EQ336" s="71" t="str">
        <f t="shared" si="4716"/>
        <v/>
      </c>
      <c r="ER336" s="71" t="str">
        <f t="shared" si="4717"/>
        <v/>
      </c>
      <c r="ES336" s="71" t="str">
        <f t="shared" si="4718"/>
        <v/>
      </c>
      <c r="ET336" s="71" t="str">
        <f t="shared" si="4719"/>
        <v/>
      </c>
      <c r="EU336" s="71" t="str">
        <f t="shared" si="4720"/>
        <v/>
      </c>
      <c r="EV336" s="71" t="str">
        <f t="shared" si="4721"/>
        <v/>
      </c>
      <c r="EW336" s="71" t="str">
        <f t="shared" si="4722"/>
        <v/>
      </c>
      <c r="EX336" s="71" t="str">
        <f t="shared" si="4723"/>
        <v/>
      </c>
      <c r="EY336" s="71" t="str">
        <f t="shared" si="4724"/>
        <v/>
      </c>
      <c r="EZ336" s="71" t="str">
        <f t="shared" si="4725"/>
        <v/>
      </c>
      <c r="FA336" s="71" t="str">
        <f t="shared" si="4726"/>
        <v/>
      </c>
      <c r="FB336" s="71" t="str">
        <f t="shared" si="4727"/>
        <v/>
      </c>
      <c r="FC336" s="71" t="str">
        <f t="shared" si="4728"/>
        <v/>
      </c>
      <c r="FD336" s="71" t="str">
        <f t="shared" si="4729"/>
        <v/>
      </c>
      <c r="FE336" s="71" t="str">
        <f t="shared" si="4730"/>
        <v/>
      </c>
      <c r="FF336" s="71" t="str">
        <f t="shared" si="4731"/>
        <v/>
      </c>
      <c r="FG336" s="71" t="str">
        <f t="shared" si="4732"/>
        <v/>
      </c>
      <c r="FH336" s="71" t="str">
        <f t="shared" si="4733"/>
        <v/>
      </c>
      <c r="FI336" s="71" t="str">
        <f t="shared" si="4734"/>
        <v/>
      </c>
      <c r="FJ336" s="71" t="str">
        <f t="shared" si="4735"/>
        <v/>
      </c>
      <c r="FK336" s="71" t="str">
        <f t="shared" si="4736"/>
        <v/>
      </c>
      <c r="FL336" s="71" t="str">
        <f t="shared" si="4737"/>
        <v/>
      </c>
      <c r="FM336" s="71" t="str">
        <f t="shared" si="4738"/>
        <v/>
      </c>
      <c r="FN336" s="71" t="str">
        <f t="shared" si="4739"/>
        <v/>
      </c>
      <c r="FO336" s="71" t="str">
        <f t="shared" si="4740"/>
        <v/>
      </c>
      <c r="FP336" s="71" t="str">
        <f t="shared" si="4741"/>
        <v/>
      </c>
      <c r="FQ336" s="71" t="str">
        <f t="shared" si="4742"/>
        <v/>
      </c>
      <c r="FR336" s="71" t="str">
        <f t="shared" si="4743"/>
        <v/>
      </c>
      <c r="FS336" s="71" t="str">
        <f t="shared" si="4744"/>
        <v/>
      </c>
    </row>
    <row r="337" ht="15" spans="1:175">
      <c r="A337" s="138"/>
      <c r="B337" s="81" t="s">
        <v>1010</v>
      </c>
      <c r="C337" s="144" t="s">
        <v>1007</v>
      </c>
      <c r="K337" s="146"/>
      <c r="T337" s="155" t="s">
        <v>1011</v>
      </c>
      <c r="U337" s="89" t="s">
        <v>1009</v>
      </c>
      <c r="CN337" s="69" t="str">
        <f t="shared" ref="CN337:CN344" si="4897">"InitUnitState('"&amp;B337&amp;"',"&amp;V337&amp;","&amp;W337&amp;","&amp;X337&amp;","&amp;Y337&amp;","&amp;Z337&amp;","&amp;AA337&amp;","&amp;AB337&amp;","&amp;AC337&amp;","&amp;AD337&amp;","&amp;AE337&amp;")"</f>
        <v>InitUnitState('IK3B',,,,,,,,,,)</v>
      </c>
      <c r="CO337" s="69" t="str">
        <f t="shared" ref="CO337:CO344" si="4898">"InitUnitNormal('"&amp;B337&amp;"',"&amp;AF337&amp;","&amp;AG337&amp;","&amp;AH337&amp;","&amp;AI337&amp;","&amp;AJ337&amp;","&amp;AK337&amp;","&amp;AL337&amp;","&amp;AM337&amp;","&amp;AN337&amp;","&amp;AO337&amp;")"</f>
        <v>InitUnitNormal('IK3B',,,,,,,,,,)</v>
      </c>
      <c r="CP337" s="69" t="str">
        <f t="shared" ref="CP337:CP344" si="4899">"InitUnitMagic('"&amp;B337&amp;"',"&amp;AP337&amp;","&amp;AQ337&amp;","&amp;AR337&amp;","&amp;AS337&amp;","&amp;AT337&amp;","&amp;AU337&amp;","&amp;AV337&amp;","&amp;AW337&amp;","&amp;BI337&amp;","&amp;BJ337&amp;")"</f>
        <v>InitUnitMagic('IK3B',,,,,,,,,,)</v>
      </c>
      <c r="CQ337" s="69" t="str">
        <f t="shared" ref="CQ337:CQ344" si="4900">"InitUnitAdd('"&amp;B337&amp;"',"&amp;BK337&amp;","&amp;BL337&amp;","&amp;BM337&amp;","&amp;BN337&amp;","&amp;BO337&amp;","&amp;BP337&amp;","&amp;BQ337&amp;","&amp;BR337&amp;","&amp;BS337&amp;","&amp;BT337&amp;")"</f>
        <v>InitUnitAdd('IK3B',,,,,,,,,,)</v>
      </c>
      <c r="CR337" s="69" t="str">
        <f t="shared" ref="CR337:CR344" si="4901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InitEquipData('IK3B',,"",,,,,'','','','','','',"ReplaceableTextures\\CommandButtons\\BTNSST12.blp")</v>
      </c>
      <c r="CU337" s="99" t="str">
        <f t="shared" ref="CU337:CU344" si="4902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4669"/>
        <v>道兵伤害|Cffffc926+60%|n|n|r|Cffaaaaaa○|CffFFD24D金之刻印+1|r|r|n|n|Cff00ff7f点击穿戴或脱卸。|r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4903">IF(V337="","","|n"&amp;DB$2&amp;"+"&amp;V337&amp;DB$1)</f>
        <v/>
      </c>
      <c r="DC337" s="71" t="str">
        <f t="shared" ref="DC337:DC344" si="4904">IF(W337="","","|n"&amp;DC$2&amp;"+"&amp;W337&amp;DC$1)</f>
        <v/>
      </c>
      <c r="DD337" s="71" t="str">
        <f t="shared" ref="DD337:DD344" si="4905">IF(X337="","","|n"&amp;DD$2&amp;"+"&amp;X337&amp;DD$1)</f>
        <v/>
      </c>
      <c r="DE337" s="71" t="str">
        <f t="shared" ref="DE337:DE344" si="4906">IF(Y337="","","|n"&amp;DE$2&amp;"+"&amp;Y337&amp;DE$1)</f>
        <v/>
      </c>
      <c r="DF337" s="71" t="str">
        <f t="shared" ref="DF337:DF344" si="4907">IF(Z337="","","|n"&amp;DF$2&amp;"+"&amp;Z337&amp;DF$1)</f>
        <v/>
      </c>
      <c r="DG337" s="71" t="str">
        <f t="shared" ref="DG337:DG344" si="4908">IF(AA337="","","|n"&amp;DG$2&amp;"+"&amp;AA337&amp;DG$1)</f>
        <v/>
      </c>
      <c r="DH337" s="71" t="str">
        <f t="shared" ref="DH337:DH344" si="4909">IF(AB337="","","|n"&amp;DH$2&amp;"+"&amp;AB337&amp;DH$1)</f>
        <v/>
      </c>
      <c r="DI337" s="71" t="str">
        <f t="shared" ref="DI337:DI344" si="4910">IF(AC337="","","|n"&amp;DI$2&amp;"+"&amp;AC337&amp;DI$1)</f>
        <v/>
      </c>
      <c r="DJ337" s="71" t="str">
        <f t="shared" ref="DJ337:DJ344" si="4911">IF(AD337="","","|n"&amp;DJ$2&amp;"+"&amp;AD337&amp;DJ$1)</f>
        <v/>
      </c>
      <c r="DK337" s="71" t="str">
        <f t="shared" ref="DK337:DK344" si="4912">IF(AE337="","","|n"&amp;DK$2&amp;"+"&amp;AE337&amp;DK$1)</f>
        <v/>
      </c>
      <c r="DL337" s="71" t="str">
        <f t="shared" ref="DL337:DL344" si="4913">IF(AF337="","","|n"&amp;DL$2&amp;"+"&amp;AF337&amp;DL$1)</f>
        <v/>
      </c>
      <c r="DM337" s="71" t="str">
        <f t="shared" ref="DM337:DM344" si="4914">IF(AG337="","","|n"&amp;DM$2&amp;"+"&amp;AG337&amp;DM$1)</f>
        <v/>
      </c>
      <c r="DN337" s="71" t="str">
        <f t="shared" ref="DN337:DN344" si="4915">IF(AH337="","","|n"&amp;DN$2&amp;"+"&amp;AH337&amp;DN$1)</f>
        <v/>
      </c>
      <c r="DO337" s="71" t="str">
        <f t="shared" ref="DO337:DO344" si="4916">IF(AI337="","","|n"&amp;DO$2&amp;"+"&amp;AI337&amp;DO$1)</f>
        <v/>
      </c>
      <c r="DP337" s="71" t="str">
        <f t="shared" ref="DP337:DP344" si="4917">IF(AJ337="","","|n"&amp;DP$2&amp;"+"&amp;AJ337&amp;DP$1)</f>
        <v/>
      </c>
      <c r="DQ337" s="71" t="str">
        <f t="shared" ref="DQ337:DQ344" si="4918">IF(AK337="","","|n"&amp;DQ$2&amp;"+"&amp;AK337&amp;DQ$1)</f>
        <v/>
      </c>
      <c r="DR337" s="71" t="str">
        <f t="shared" ref="DR337:DR344" si="4919">IF(AL337="","","|n"&amp;DR$2&amp;"+"&amp;AL337&amp;DR$1)</f>
        <v/>
      </c>
      <c r="DS337" s="71" t="str">
        <f t="shared" ref="DS337:DS344" si="4920">IF(AM337="","","|n"&amp;DS$2&amp;"+"&amp;AM337&amp;DS$1)</f>
        <v/>
      </c>
      <c r="DT337" s="71" t="str">
        <f t="shared" ref="DT337:DT344" si="4921">IF(AN337="","","|n"&amp;DT$2&amp;"+"&amp;AN337&amp;DT$1)</f>
        <v/>
      </c>
      <c r="DU337" s="71" t="str">
        <f t="shared" ref="DU337:DU344" si="4922">IF(AO337="","","|n"&amp;DU$2&amp;"+"&amp;AO337&amp;DU$1)</f>
        <v/>
      </c>
      <c r="DV337" s="71" t="str">
        <f t="shared" ref="DV337:DV344" si="4923">IF(AP337="","","|n"&amp;DV$2&amp;"+"&amp;AP337&amp;DV$1)</f>
        <v/>
      </c>
      <c r="DW337" s="71" t="str">
        <f t="shared" ref="DW337:DW344" si="4924">IF(AQ337="","","|n"&amp;DW$2&amp;"+"&amp;AQ337&amp;DW$1)</f>
        <v/>
      </c>
      <c r="DX337" s="71" t="str">
        <f t="shared" ref="DX337:DX344" si="4925">IF(AR337="","","|n"&amp;DX$2&amp;"+"&amp;AR337&amp;DX$1)</f>
        <v/>
      </c>
      <c r="DY337" s="71" t="str">
        <f t="shared" ref="DY337:DY344" si="4926">IF(AS337="","","|n"&amp;DY$2&amp;"+"&amp;AS337&amp;DY$1)</f>
        <v/>
      </c>
      <c r="DZ337" s="71" t="str">
        <f t="shared" ref="DZ337:DZ344" si="4927">IF(AT337="","","|n"&amp;DZ$2&amp;"+"&amp;AT337&amp;DZ$1)</f>
        <v/>
      </c>
      <c r="EA337" s="71" t="str">
        <f t="shared" ref="EA337:EA344" si="4928">IF(AU337="","","|n"&amp;EA$2&amp;"+"&amp;AU337&amp;EA$1)</f>
        <v/>
      </c>
      <c r="EB337" s="71" t="str">
        <f t="shared" ref="EB337:EB344" si="4929">IF(AV337="","","|n"&amp;EB$2&amp;"+"&amp;AV337&amp;EB$1)</f>
        <v/>
      </c>
      <c r="EC337" s="71" t="str">
        <f t="shared" ref="EC337:EC344" si="4930">IF(AW337="","","|n"&amp;EC$2&amp;"+"&amp;AW337&amp;EC$1)</f>
        <v/>
      </c>
      <c r="ED337" s="71" t="str">
        <f t="shared" ref="ED337:ED344" si="4931">IF(AX337="","","|n"&amp;ED$2&amp;"+"&amp;AX337&amp;ED$1)</f>
        <v/>
      </c>
      <c r="EE337" s="71" t="str">
        <f t="shared" ref="EE337:EE344" si="4932">IF(AY337="","","|n"&amp;EE$2&amp;"+"&amp;AY337&amp;EE$1)</f>
        <v/>
      </c>
      <c r="EF337" s="71" t="str">
        <f t="shared" ref="EF337:EF344" si="4933">IF(AZ337="","","|n"&amp;EF$2&amp;"+"&amp;AZ337&amp;EF$1)</f>
        <v/>
      </c>
      <c r="EG337" s="71" t="str">
        <f t="shared" ref="EG337:EG344" si="4934">IF(BA337="","","|n"&amp;EG$2&amp;"+"&amp;BA337&amp;EG$1)</f>
        <v/>
      </c>
      <c r="EH337" s="71" t="str">
        <f t="shared" ref="EH337:EH344" si="4935">IF(BB337="","","|n"&amp;EH$2&amp;"+"&amp;BB337&amp;EH$1)</f>
        <v/>
      </c>
      <c r="EI337" s="71" t="str">
        <f t="shared" ref="EI337:EI344" si="4936">IF(BC337="","","|n"&amp;EI$2&amp;"+"&amp;BC337&amp;EI$1)</f>
        <v/>
      </c>
      <c r="EJ337" s="71" t="str">
        <f t="shared" ref="EJ337:EJ344" si="4937">IF(BD337="","","|n"&amp;EJ$2&amp;"+"&amp;BD337&amp;EJ$1)</f>
        <v/>
      </c>
      <c r="EK337" s="71" t="str">
        <f t="shared" ref="EK337:EK344" si="4938">IF(BE337="","","|n"&amp;EK$2&amp;"+"&amp;BE337&amp;EK$1)</f>
        <v/>
      </c>
      <c r="EL337" s="71" t="str">
        <f t="shared" ref="EL337:EL344" si="4939">IF(BF337="","","|n"&amp;EL$2&amp;"+"&amp;BF337&amp;EL$1)</f>
        <v/>
      </c>
      <c r="EM337" s="71" t="str">
        <f t="shared" ref="EM337:EM344" si="4940">IF(BG337="","","|n"&amp;EM$2&amp;"+"&amp;BG337&amp;EM$1)</f>
        <v/>
      </c>
      <c r="EN337" s="71" t="str">
        <f t="shared" ref="EN337:EN344" si="4941">IF(BH337="","","|n"&amp;EN$2&amp;"+"&amp;BH337&amp;EN$1)</f>
        <v/>
      </c>
      <c r="EO337" s="71" t="str">
        <f t="shared" ref="EO337:EO344" si="4942">IF(BI337="","","|n"&amp;EO$2&amp;"+"&amp;BI337&amp;EO$1)</f>
        <v/>
      </c>
      <c r="EP337" s="71" t="str">
        <f t="shared" ref="EP337:EP344" si="4943">IF(BJ337="","","|n"&amp;EP$2&amp;"+"&amp;BJ337&amp;EP$1)</f>
        <v/>
      </c>
      <c r="EQ337" s="71" t="str">
        <f t="shared" ref="EQ337:EQ344" si="4944">IF(BK337="","","|n"&amp;EQ$2&amp;"+"&amp;BK337&amp;EQ$1)</f>
        <v/>
      </c>
      <c r="ER337" s="71" t="str">
        <f t="shared" ref="ER337:ER344" si="4945">IF(BL337="","","|n"&amp;ER$2&amp;"+"&amp;BL337&amp;ER$1)</f>
        <v/>
      </c>
      <c r="ES337" s="71" t="str">
        <f t="shared" ref="ES337:ES344" si="4946">IF(BM337="","","|n"&amp;ES$2&amp;"+"&amp;BM337&amp;ES$1)</f>
        <v/>
      </c>
      <c r="ET337" s="71" t="str">
        <f t="shared" ref="ET337:ET344" si="4947">IF(BN337="","","|n"&amp;ET$2&amp;"+"&amp;BN337&amp;ET$1)</f>
        <v/>
      </c>
      <c r="EU337" s="71" t="str">
        <f t="shared" ref="EU337:EU344" si="4948">IF(BO337="","","|n"&amp;EU$2&amp;"+"&amp;BO337&amp;EU$1)</f>
        <v/>
      </c>
      <c r="EV337" s="71" t="str">
        <f t="shared" ref="EV337:EV344" si="4949">IF(BP337="","","|n"&amp;EV$2&amp;"+"&amp;BP337&amp;EV$1)</f>
        <v/>
      </c>
      <c r="EW337" s="71" t="str">
        <f t="shared" ref="EW337:EW344" si="4950">IF(BQ337="","","|n"&amp;EW$2&amp;"+"&amp;BQ337&amp;EW$1)</f>
        <v/>
      </c>
      <c r="EX337" s="71" t="str">
        <f t="shared" ref="EX337:EX344" si="4951">IF(BR337="","","|n"&amp;EX$2&amp;"+"&amp;BR337&amp;EX$1)</f>
        <v/>
      </c>
      <c r="EY337" s="71" t="str">
        <f t="shared" ref="EY337:EY344" si="4952">IF(BS337="","","|n"&amp;EY$2&amp;"+"&amp;BS337&amp;EY$1)</f>
        <v/>
      </c>
      <c r="EZ337" s="71" t="str">
        <f t="shared" ref="EZ337:EZ344" si="4953">IF(BT337="","","|n"&amp;EZ$2&amp;"+"&amp;BT337&amp;EZ$1)</f>
        <v/>
      </c>
      <c r="FA337" s="71" t="str">
        <f t="shared" ref="FA337:FA344" si="4954">IF(BU337="","","|n"&amp;FA$2&amp;"+"&amp;BU337&amp;FA$1)</f>
        <v/>
      </c>
      <c r="FB337" s="71" t="str">
        <f t="shared" ref="FB337:FB344" si="4955">IF(BV337="","","|n"&amp;FB$2&amp;"+"&amp;BV337&amp;FB$1)</f>
        <v/>
      </c>
      <c r="FC337" s="71" t="str">
        <f t="shared" ref="FC337:FC344" si="4956">IF(BW337="","","|n"&amp;FC$2&amp;"+"&amp;BW337&amp;FC$1)</f>
        <v/>
      </c>
      <c r="FD337" s="71" t="str">
        <f t="shared" ref="FD337:FD344" si="4957">IF(BX337="","","|n"&amp;FD$2&amp;"+"&amp;BX337&amp;FD$1)</f>
        <v/>
      </c>
      <c r="FE337" s="71" t="str">
        <f t="shared" ref="FE337:FE344" si="4958">IF(BY337="","","|n"&amp;FE$2&amp;"+"&amp;BY337&amp;FE$1)</f>
        <v/>
      </c>
      <c r="FF337" s="71" t="str">
        <f t="shared" ref="FF337:FF344" si="4959">IF(BZ337="","","|n"&amp;FF$2&amp;"+"&amp;BZ337&amp;FF$1)</f>
        <v/>
      </c>
      <c r="FG337" s="71" t="str">
        <f t="shared" ref="FG337:FG344" si="4960">IF(CA337="","","|n"&amp;FG$2&amp;"+"&amp;CA337&amp;FG$1)</f>
        <v/>
      </c>
      <c r="FH337" s="71" t="str">
        <f t="shared" ref="FH337:FH344" si="4961">IF(CB337="","","|n"&amp;FH$2&amp;"+"&amp;CB337&amp;FH$1)</f>
        <v/>
      </c>
      <c r="FI337" s="71" t="str">
        <f t="shared" ref="FI337:FI344" si="4962">IF(CC337="","","|n"&amp;FI$2&amp;"+"&amp;CC337&amp;FI$1)</f>
        <v/>
      </c>
      <c r="FJ337" s="71" t="str">
        <f t="shared" ref="FJ337:FJ344" si="4963">IF(CD337="","","|n"&amp;FJ$2&amp;"+"&amp;CD337&amp;FJ$1)</f>
        <v/>
      </c>
      <c r="FK337" s="71" t="str">
        <f t="shared" ref="FK337:FK344" si="4964">IF(CE337="","","|n"&amp;FK$2&amp;"+"&amp;CE337&amp;FK$1)</f>
        <v/>
      </c>
      <c r="FL337" s="71" t="str">
        <f t="shared" ref="FL337:FL344" si="4965">IF(CF337="","","|n"&amp;FL$2&amp;"+"&amp;CF337&amp;FL$1)</f>
        <v/>
      </c>
      <c r="FM337" s="71" t="str">
        <f t="shared" ref="FM337:FM344" si="4966">IF(CG337="","","|n"&amp;FM$2&amp;"+"&amp;CG337&amp;FM$1)</f>
        <v/>
      </c>
      <c r="FN337" s="71" t="str">
        <f t="shared" ref="FN337:FN344" si="4967">IF(CH337="","","|n"&amp;FN$2&amp;"+"&amp;CH337&amp;FN$1)</f>
        <v/>
      </c>
      <c r="FO337" s="71" t="str">
        <f t="shared" ref="FO337:FO344" si="4968">IF(CI337="","","|n"&amp;FO$2&amp;"+"&amp;CI337&amp;FO$1)</f>
        <v/>
      </c>
      <c r="FP337" s="71" t="str">
        <f t="shared" ref="FP337:FP344" si="4969">IF(CJ337="","","|n"&amp;FP$2&amp;"+"&amp;CJ337&amp;FP$1)</f>
        <v/>
      </c>
      <c r="FQ337" s="71" t="str">
        <f t="shared" ref="FQ337:FQ344" si="4970">IF(CK337="","","|n"&amp;FQ$2&amp;"+"&amp;CK337&amp;FQ$1)</f>
        <v/>
      </c>
      <c r="FR337" s="71" t="str">
        <f t="shared" ref="FR337:FR344" si="4971">IF(CL337="","","|n"&amp;FR$2&amp;"+"&amp;CL337&amp;FR$1)</f>
        <v/>
      </c>
      <c r="FS337" s="71" t="str">
        <f t="shared" ref="FS337:FS344" si="4972">IF(CM337="","","|n"&amp;FS$2&amp;"+"&amp;CM337&amp;FS$1)</f>
        <v/>
      </c>
    </row>
    <row r="338" ht="15" spans="1:175">
      <c r="A338" s="138"/>
      <c r="B338" s="81" t="s">
        <v>1012</v>
      </c>
      <c r="C338" s="144" t="s">
        <v>1007</v>
      </c>
      <c r="K338" s="147"/>
      <c r="T338" s="155" t="s">
        <v>1013</v>
      </c>
      <c r="U338" s="89" t="s">
        <v>1009</v>
      </c>
      <c r="CN338" s="69" t="str">
        <f t="shared" si="4897"/>
        <v>InitUnitState('IK3C',,,,,,,,,,)</v>
      </c>
      <c r="CO338" s="69" t="str">
        <f t="shared" si="4898"/>
        <v>InitUnitNormal('IK3C',,,,,,,,,,)</v>
      </c>
      <c r="CP338" s="69" t="str">
        <f t="shared" si="4899"/>
        <v>InitUnitMagic('IK3C',,,,,,,,,,)</v>
      </c>
      <c r="CQ338" s="69" t="str">
        <f t="shared" si="4900"/>
        <v>InitUnitAdd('IK3C',,,,,,,,,,)</v>
      </c>
      <c r="CR338" s="69" t="str">
        <f t="shared" si="4901"/>
        <v>InitEquipData('IK3C',,"",,,,,'','','','','','',"ReplaceableTextures\\CommandButtons\\BTNSST12.blp")</v>
      </c>
      <c r="CU338" s="99" t="str">
        <f t="shared" si="4902"/>
        <v>|n</v>
      </c>
      <c r="CV338" s="70" t="str">
        <f t="shared" si="4669"/>
        <v>道兵伤害|Cffffc926+60%|n|n|r|Cffaaaaaa○|CffFFD24D木之刻印+1|r|r|n|n|Cff00ff7f点击穿戴或脱卸。|r</v>
      </c>
      <c r="CW338" s="60"/>
      <c r="CX338" s="60"/>
      <c r="CY338" s="60"/>
      <c r="CZ338" s="60"/>
      <c r="DA338" s="60"/>
      <c r="DB338" s="71" t="str">
        <f t="shared" si="4903"/>
        <v/>
      </c>
      <c r="DC338" s="71" t="str">
        <f t="shared" si="4904"/>
        <v/>
      </c>
      <c r="DD338" s="71" t="str">
        <f t="shared" si="4905"/>
        <v/>
      </c>
      <c r="DE338" s="71" t="str">
        <f t="shared" si="4906"/>
        <v/>
      </c>
      <c r="DF338" s="71" t="str">
        <f t="shared" si="4907"/>
        <v/>
      </c>
      <c r="DG338" s="71" t="str">
        <f t="shared" si="4908"/>
        <v/>
      </c>
      <c r="DH338" s="71" t="str">
        <f t="shared" si="4909"/>
        <v/>
      </c>
      <c r="DI338" s="71" t="str">
        <f t="shared" si="4910"/>
        <v/>
      </c>
      <c r="DJ338" s="71" t="str">
        <f t="shared" si="4911"/>
        <v/>
      </c>
      <c r="DK338" s="71" t="str">
        <f t="shared" si="4912"/>
        <v/>
      </c>
      <c r="DL338" s="71" t="str">
        <f t="shared" si="4913"/>
        <v/>
      </c>
      <c r="DM338" s="71" t="str">
        <f t="shared" si="4914"/>
        <v/>
      </c>
      <c r="DN338" s="71" t="str">
        <f t="shared" si="4915"/>
        <v/>
      </c>
      <c r="DO338" s="71" t="str">
        <f t="shared" si="4916"/>
        <v/>
      </c>
      <c r="DP338" s="71" t="str">
        <f t="shared" si="4917"/>
        <v/>
      </c>
      <c r="DQ338" s="71" t="str">
        <f t="shared" si="4918"/>
        <v/>
      </c>
      <c r="DR338" s="71" t="str">
        <f t="shared" si="4919"/>
        <v/>
      </c>
      <c r="DS338" s="71" t="str">
        <f t="shared" si="4920"/>
        <v/>
      </c>
      <c r="DT338" s="71" t="str">
        <f t="shared" si="4921"/>
        <v/>
      </c>
      <c r="DU338" s="71" t="str">
        <f t="shared" si="4922"/>
        <v/>
      </c>
      <c r="DV338" s="71" t="str">
        <f t="shared" si="4923"/>
        <v/>
      </c>
      <c r="DW338" s="71" t="str">
        <f t="shared" si="4924"/>
        <v/>
      </c>
      <c r="DX338" s="71" t="str">
        <f t="shared" si="4925"/>
        <v/>
      </c>
      <c r="DY338" s="71" t="str">
        <f t="shared" si="4926"/>
        <v/>
      </c>
      <c r="DZ338" s="71" t="str">
        <f t="shared" si="4927"/>
        <v/>
      </c>
      <c r="EA338" s="71" t="str">
        <f t="shared" si="4928"/>
        <v/>
      </c>
      <c r="EB338" s="71" t="str">
        <f t="shared" si="4929"/>
        <v/>
      </c>
      <c r="EC338" s="71" t="str">
        <f t="shared" si="4930"/>
        <v/>
      </c>
      <c r="ED338" s="71" t="str">
        <f t="shared" si="4931"/>
        <v/>
      </c>
      <c r="EE338" s="71" t="str">
        <f t="shared" si="4932"/>
        <v/>
      </c>
      <c r="EF338" s="71" t="str">
        <f t="shared" si="4933"/>
        <v/>
      </c>
      <c r="EG338" s="71" t="str">
        <f t="shared" si="4934"/>
        <v/>
      </c>
      <c r="EH338" s="71" t="str">
        <f t="shared" si="4935"/>
        <v/>
      </c>
      <c r="EI338" s="71" t="str">
        <f t="shared" si="4936"/>
        <v/>
      </c>
      <c r="EJ338" s="71" t="str">
        <f t="shared" si="4937"/>
        <v/>
      </c>
      <c r="EK338" s="71" t="str">
        <f t="shared" si="4938"/>
        <v/>
      </c>
      <c r="EL338" s="71" t="str">
        <f t="shared" si="4939"/>
        <v/>
      </c>
      <c r="EM338" s="71" t="str">
        <f t="shared" si="4940"/>
        <v/>
      </c>
      <c r="EN338" s="71" t="str">
        <f t="shared" si="4941"/>
        <v/>
      </c>
      <c r="EO338" s="71" t="str">
        <f t="shared" si="4942"/>
        <v/>
      </c>
      <c r="EP338" s="71" t="str">
        <f t="shared" si="4943"/>
        <v/>
      </c>
      <c r="EQ338" s="71" t="str">
        <f t="shared" si="4944"/>
        <v/>
      </c>
      <c r="ER338" s="71" t="str">
        <f t="shared" si="4945"/>
        <v/>
      </c>
      <c r="ES338" s="71" t="str">
        <f t="shared" si="4946"/>
        <v/>
      </c>
      <c r="ET338" s="71" t="str">
        <f t="shared" si="4947"/>
        <v/>
      </c>
      <c r="EU338" s="71" t="str">
        <f t="shared" si="4948"/>
        <v/>
      </c>
      <c r="EV338" s="71" t="str">
        <f t="shared" si="4949"/>
        <v/>
      </c>
      <c r="EW338" s="71" t="str">
        <f t="shared" si="4950"/>
        <v/>
      </c>
      <c r="EX338" s="71" t="str">
        <f t="shared" si="4951"/>
        <v/>
      </c>
      <c r="EY338" s="71" t="str">
        <f t="shared" si="4952"/>
        <v/>
      </c>
      <c r="EZ338" s="71" t="str">
        <f t="shared" si="4953"/>
        <v/>
      </c>
      <c r="FA338" s="71" t="str">
        <f t="shared" si="4954"/>
        <v/>
      </c>
      <c r="FB338" s="71" t="str">
        <f t="shared" si="4955"/>
        <v/>
      </c>
      <c r="FC338" s="71" t="str">
        <f t="shared" si="4956"/>
        <v/>
      </c>
      <c r="FD338" s="71" t="str">
        <f t="shared" si="4957"/>
        <v/>
      </c>
      <c r="FE338" s="71" t="str">
        <f t="shared" si="4958"/>
        <v/>
      </c>
      <c r="FF338" s="71" t="str">
        <f t="shared" si="4959"/>
        <v/>
      </c>
      <c r="FG338" s="71" t="str">
        <f t="shared" si="4960"/>
        <v/>
      </c>
      <c r="FH338" s="71" t="str">
        <f t="shared" si="4961"/>
        <v/>
      </c>
      <c r="FI338" s="71" t="str">
        <f t="shared" si="4962"/>
        <v/>
      </c>
      <c r="FJ338" s="71" t="str">
        <f t="shared" si="4963"/>
        <v/>
      </c>
      <c r="FK338" s="71" t="str">
        <f t="shared" si="4964"/>
        <v/>
      </c>
      <c r="FL338" s="71" t="str">
        <f t="shared" si="4965"/>
        <v/>
      </c>
      <c r="FM338" s="71" t="str">
        <f t="shared" si="4966"/>
        <v/>
      </c>
      <c r="FN338" s="71" t="str">
        <f t="shared" si="4967"/>
        <v/>
      </c>
      <c r="FO338" s="71" t="str">
        <f t="shared" si="4968"/>
        <v/>
      </c>
      <c r="FP338" s="71" t="str">
        <f t="shared" si="4969"/>
        <v/>
      </c>
      <c r="FQ338" s="71" t="str">
        <f t="shared" si="4970"/>
        <v/>
      </c>
      <c r="FR338" s="71" t="str">
        <f t="shared" si="4971"/>
        <v/>
      </c>
      <c r="FS338" s="71" t="str">
        <f t="shared" si="4972"/>
        <v/>
      </c>
    </row>
    <row r="339" ht="15" spans="1:175">
      <c r="A339" s="138"/>
      <c r="B339" s="81" t="s">
        <v>1014</v>
      </c>
      <c r="C339" s="144" t="s">
        <v>1007</v>
      </c>
      <c r="K339" s="147"/>
      <c r="T339" s="155" t="s">
        <v>1015</v>
      </c>
      <c r="U339" s="89" t="s">
        <v>1009</v>
      </c>
      <c r="CN339" s="69" t="str">
        <f t="shared" si="4897"/>
        <v>InitUnitState('IK3D',,,,,,,,,,)</v>
      </c>
      <c r="CO339" s="69" t="str">
        <f t="shared" si="4898"/>
        <v>InitUnitNormal('IK3D',,,,,,,,,,)</v>
      </c>
      <c r="CP339" s="69" t="str">
        <f t="shared" si="4899"/>
        <v>InitUnitMagic('IK3D',,,,,,,,,,)</v>
      </c>
      <c r="CQ339" s="69" t="str">
        <f t="shared" si="4900"/>
        <v>InitUnitAdd('IK3D',,,,,,,,,,)</v>
      </c>
      <c r="CR339" s="69" t="str">
        <f t="shared" si="4901"/>
        <v>InitEquipData('IK3D',,"",,,,,'','','','','','',"ReplaceableTextures\\CommandButtons\\BTNSST12.blp")</v>
      </c>
      <c r="CU339" s="99" t="str">
        <f t="shared" si="4902"/>
        <v>|n</v>
      </c>
      <c r="CV339" s="70" t="str">
        <f t="shared" si="4669"/>
        <v>道兵伤害|Cffffc926+60%|n|n|r|Cffaaaaaa○|CffFFD24D水之刻印+1|r|r|n|n|Cff00ff7f点击穿戴或脱卸。|r</v>
      </c>
      <c r="CW339" s="60"/>
      <c r="CX339" s="60"/>
      <c r="CY339" s="60"/>
      <c r="CZ339" s="60"/>
      <c r="DA339" s="60"/>
      <c r="DB339" s="71" t="str">
        <f t="shared" si="4903"/>
        <v/>
      </c>
      <c r="DC339" s="71" t="str">
        <f t="shared" si="4904"/>
        <v/>
      </c>
      <c r="DD339" s="71" t="str">
        <f t="shared" si="4905"/>
        <v/>
      </c>
      <c r="DE339" s="71" t="str">
        <f t="shared" si="4906"/>
        <v/>
      </c>
      <c r="DF339" s="71" t="str">
        <f t="shared" si="4907"/>
        <v/>
      </c>
      <c r="DG339" s="71" t="str">
        <f t="shared" si="4908"/>
        <v/>
      </c>
      <c r="DH339" s="71" t="str">
        <f t="shared" si="4909"/>
        <v/>
      </c>
      <c r="DI339" s="71" t="str">
        <f t="shared" si="4910"/>
        <v/>
      </c>
      <c r="DJ339" s="71" t="str">
        <f t="shared" si="4911"/>
        <v/>
      </c>
      <c r="DK339" s="71" t="str">
        <f t="shared" si="4912"/>
        <v/>
      </c>
      <c r="DL339" s="71" t="str">
        <f t="shared" si="4913"/>
        <v/>
      </c>
      <c r="DM339" s="71" t="str">
        <f t="shared" si="4914"/>
        <v/>
      </c>
      <c r="DN339" s="71" t="str">
        <f t="shared" si="4915"/>
        <v/>
      </c>
      <c r="DO339" s="71" t="str">
        <f t="shared" si="4916"/>
        <v/>
      </c>
      <c r="DP339" s="71" t="str">
        <f t="shared" si="4917"/>
        <v/>
      </c>
      <c r="DQ339" s="71" t="str">
        <f t="shared" si="4918"/>
        <v/>
      </c>
      <c r="DR339" s="71" t="str">
        <f t="shared" si="4919"/>
        <v/>
      </c>
      <c r="DS339" s="71" t="str">
        <f t="shared" si="4920"/>
        <v/>
      </c>
      <c r="DT339" s="71" t="str">
        <f t="shared" si="4921"/>
        <v/>
      </c>
      <c r="DU339" s="71" t="str">
        <f t="shared" si="4922"/>
        <v/>
      </c>
      <c r="DV339" s="71" t="str">
        <f t="shared" si="4923"/>
        <v/>
      </c>
      <c r="DW339" s="71" t="str">
        <f t="shared" si="4924"/>
        <v/>
      </c>
      <c r="DX339" s="71" t="str">
        <f t="shared" si="4925"/>
        <v/>
      </c>
      <c r="DY339" s="71" t="str">
        <f t="shared" si="4926"/>
        <v/>
      </c>
      <c r="DZ339" s="71" t="str">
        <f t="shared" si="4927"/>
        <v/>
      </c>
      <c r="EA339" s="71" t="str">
        <f t="shared" si="4928"/>
        <v/>
      </c>
      <c r="EB339" s="71" t="str">
        <f t="shared" si="4929"/>
        <v/>
      </c>
      <c r="EC339" s="71" t="str">
        <f t="shared" si="4930"/>
        <v/>
      </c>
      <c r="ED339" s="71" t="str">
        <f t="shared" si="4931"/>
        <v/>
      </c>
      <c r="EE339" s="71" t="str">
        <f t="shared" si="4932"/>
        <v/>
      </c>
      <c r="EF339" s="71" t="str">
        <f t="shared" si="4933"/>
        <v/>
      </c>
      <c r="EG339" s="71" t="str">
        <f t="shared" si="4934"/>
        <v/>
      </c>
      <c r="EH339" s="71" t="str">
        <f t="shared" si="4935"/>
        <v/>
      </c>
      <c r="EI339" s="71" t="str">
        <f t="shared" si="4936"/>
        <v/>
      </c>
      <c r="EJ339" s="71" t="str">
        <f t="shared" si="4937"/>
        <v/>
      </c>
      <c r="EK339" s="71" t="str">
        <f t="shared" si="4938"/>
        <v/>
      </c>
      <c r="EL339" s="71" t="str">
        <f t="shared" si="4939"/>
        <v/>
      </c>
      <c r="EM339" s="71" t="str">
        <f t="shared" si="4940"/>
        <v/>
      </c>
      <c r="EN339" s="71" t="str">
        <f t="shared" si="4941"/>
        <v/>
      </c>
      <c r="EO339" s="71" t="str">
        <f t="shared" si="4942"/>
        <v/>
      </c>
      <c r="EP339" s="71" t="str">
        <f t="shared" si="4943"/>
        <v/>
      </c>
      <c r="EQ339" s="71" t="str">
        <f t="shared" si="4944"/>
        <v/>
      </c>
      <c r="ER339" s="71" t="str">
        <f t="shared" si="4945"/>
        <v/>
      </c>
      <c r="ES339" s="71" t="str">
        <f t="shared" si="4946"/>
        <v/>
      </c>
      <c r="ET339" s="71" t="str">
        <f t="shared" si="4947"/>
        <v/>
      </c>
      <c r="EU339" s="71" t="str">
        <f t="shared" si="4948"/>
        <v/>
      </c>
      <c r="EV339" s="71" t="str">
        <f t="shared" si="4949"/>
        <v/>
      </c>
      <c r="EW339" s="71" t="str">
        <f t="shared" si="4950"/>
        <v/>
      </c>
      <c r="EX339" s="71" t="str">
        <f t="shared" si="4951"/>
        <v/>
      </c>
      <c r="EY339" s="71" t="str">
        <f t="shared" si="4952"/>
        <v/>
      </c>
      <c r="EZ339" s="71" t="str">
        <f t="shared" si="4953"/>
        <v/>
      </c>
      <c r="FA339" s="71" t="str">
        <f t="shared" si="4954"/>
        <v/>
      </c>
      <c r="FB339" s="71" t="str">
        <f t="shared" si="4955"/>
        <v/>
      </c>
      <c r="FC339" s="71" t="str">
        <f t="shared" si="4956"/>
        <v/>
      </c>
      <c r="FD339" s="71" t="str">
        <f t="shared" si="4957"/>
        <v/>
      </c>
      <c r="FE339" s="71" t="str">
        <f t="shared" si="4958"/>
        <v/>
      </c>
      <c r="FF339" s="71" t="str">
        <f t="shared" si="4959"/>
        <v/>
      </c>
      <c r="FG339" s="71" t="str">
        <f t="shared" si="4960"/>
        <v/>
      </c>
      <c r="FH339" s="71" t="str">
        <f t="shared" si="4961"/>
        <v/>
      </c>
      <c r="FI339" s="71" t="str">
        <f t="shared" si="4962"/>
        <v/>
      </c>
      <c r="FJ339" s="71" t="str">
        <f t="shared" si="4963"/>
        <v/>
      </c>
      <c r="FK339" s="71" t="str">
        <f t="shared" si="4964"/>
        <v/>
      </c>
      <c r="FL339" s="71" t="str">
        <f t="shared" si="4965"/>
        <v/>
      </c>
      <c r="FM339" s="71" t="str">
        <f t="shared" si="4966"/>
        <v/>
      </c>
      <c r="FN339" s="71" t="str">
        <f t="shared" si="4967"/>
        <v/>
      </c>
      <c r="FO339" s="71" t="str">
        <f t="shared" si="4968"/>
        <v/>
      </c>
      <c r="FP339" s="71" t="str">
        <f t="shared" si="4969"/>
        <v/>
      </c>
      <c r="FQ339" s="71" t="str">
        <f t="shared" si="4970"/>
        <v/>
      </c>
      <c r="FR339" s="71" t="str">
        <f t="shared" si="4971"/>
        <v/>
      </c>
      <c r="FS339" s="71" t="str">
        <f t="shared" si="4972"/>
        <v/>
      </c>
    </row>
    <row r="340" ht="15" spans="1:175">
      <c r="A340" s="138"/>
      <c r="B340" s="81" t="s">
        <v>1016</v>
      </c>
      <c r="C340" s="144" t="s">
        <v>1007</v>
      </c>
      <c r="K340" s="147"/>
      <c r="T340" s="155" t="s">
        <v>1017</v>
      </c>
      <c r="U340" s="89" t="s">
        <v>1009</v>
      </c>
      <c r="CN340" s="69" t="str">
        <f t="shared" si="4897"/>
        <v>InitUnitState('IK3E',,,,,,,,,,)</v>
      </c>
      <c r="CO340" s="69" t="str">
        <f t="shared" si="4898"/>
        <v>InitUnitNormal('IK3E',,,,,,,,,,)</v>
      </c>
      <c r="CP340" s="69" t="str">
        <f t="shared" si="4899"/>
        <v>InitUnitMagic('IK3E',,,,,,,,,,)</v>
      </c>
      <c r="CQ340" s="69" t="str">
        <f t="shared" si="4900"/>
        <v>InitUnitAdd('IK3E',,,,,,,,,,)</v>
      </c>
      <c r="CR340" s="69" t="str">
        <f t="shared" si="4901"/>
        <v>InitEquipData('IK3E',,"",,,,,'','','','','','',"ReplaceableTextures\\CommandButtons\\BTNSST12.blp")</v>
      </c>
      <c r="CU340" s="99" t="str">
        <f t="shared" si="4902"/>
        <v>|n</v>
      </c>
      <c r="CV340" s="70" t="str">
        <f t="shared" si="4669"/>
        <v>道兵伤害|Cffffc926+60%|n|n|r|Cffaaaaaa○|CffFFD24D火之刻印+1|r|r|n|n|Cff00ff7f点击穿戴或脱卸。|r</v>
      </c>
      <c r="CW340" s="60"/>
      <c r="CX340" s="60"/>
      <c r="CY340" s="60"/>
      <c r="CZ340" s="60"/>
      <c r="DA340" s="60"/>
      <c r="DB340" s="71" t="str">
        <f t="shared" si="4903"/>
        <v/>
      </c>
      <c r="DC340" s="71" t="str">
        <f t="shared" si="4904"/>
        <v/>
      </c>
      <c r="DD340" s="71" t="str">
        <f t="shared" si="4905"/>
        <v/>
      </c>
      <c r="DE340" s="71" t="str">
        <f t="shared" si="4906"/>
        <v/>
      </c>
      <c r="DF340" s="71" t="str">
        <f t="shared" si="4907"/>
        <v/>
      </c>
      <c r="DG340" s="71" t="str">
        <f t="shared" si="4908"/>
        <v/>
      </c>
      <c r="DH340" s="71" t="str">
        <f t="shared" si="4909"/>
        <v/>
      </c>
      <c r="DI340" s="71" t="str">
        <f t="shared" si="4910"/>
        <v/>
      </c>
      <c r="DJ340" s="71" t="str">
        <f t="shared" si="4911"/>
        <v/>
      </c>
      <c r="DK340" s="71" t="str">
        <f t="shared" si="4912"/>
        <v/>
      </c>
      <c r="DL340" s="71" t="str">
        <f t="shared" si="4913"/>
        <v/>
      </c>
      <c r="DM340" s="71" t="str">
        <f t="shared" si="4914"/>
        <v/>
      </c>
      <c r="DN340" s="71" t="str">
        <f t="shared" si="4915"/>
        <v/>
      </c>
      <c r="DO340" s="71" t="str">
        <f t="shared" si="4916"/>
        <v/>
      </c>
      <c r="DP340" s="71" t="str">
        <f t="shared" si="4917"/>
        <v/>
      </c>
      <c r="DQ340" s="71" t="str">
        <f t="shared" si="4918"/>
        <v/>
      </c>
      <c r="DR340" s="71" t="str">
        <f t="shared" si="4919"/>
        <v/>
      </c>
      <c r="DS340" s="71" t="str">
        <f t="shared" si="4920"/>
        <v/>
      </c>
      <c r="DT340" s="71" t="str">
        <f t="shared" si="4921"/>
        <v/>
      </c>
      <c r="DU340" s="71" t="str">
        <f t="shared" si="4922"/>
        <v/>
      </c>
      <c r="DV340" s="71" t="str">
        <f t="shared" si="4923"/>
        <v/>
      </c>
      <c r="DW340" s="71" t="str">
        <f t="shared" si="4924"/>
        <v/>
      </c>
      <c r="DX340" s="71" t="str">
        <f t="shared" si="4925"/>
        <v/>
      </c>
      <c r="DY340" s="71" t="str">
        <f t="shared" si="4926"/>
        <v/>
      </c>
      <c r="DZ340" s="71" t="str">
        <f t="shared" si="4927"/>
        <v/>
      </c>
      <c r="EA340" s="71" t="str">
        <f t="shared" si="4928"/>
        <v/>
      </c>
      <c r="EB340" s="71" t="str">
        <f t="shared" si="4929"/>
        <v/>
      </c>
      <c r="EC340" s="71" t="str">
        <f t="shared" si="4930"/>
        <v/>
      </c>
      <c r="ED340" s="71" t="str">
        <f t="shared" si="4931"/>
        <v/>
      </c>
      <c r="EE340" s="71" t="str">
        <f t="shared" si="4932"/>
        <v/>
      </c>
      <c r="EF340" s="71" t="str">
        <f t="shared" si="4933"/>
        <v/>
      </c>
      <c r="EG340" s="71" t="str">
        <f t="shared" si="4934"/>
        <v/>
      </c>
      <c r="EH340" s="71" t="str">
        <f t="shared" si="4935"/>
        <v/>
      </c>
      <c r="EI340" s="71" t="str">
        <f t="shared" si="4936"/>
        <v/>
      </c>
      <c r="EJ340" s="71" t="str">
        <f t="shared" si="4937"/>
        <v/>
      </c>
      <c r="EK340" s="71" t="str">
        <f t="shared" si="4938"/>
        <v/>
      </c>
      <c r="EL340" s="71" t="str">
        <f t="shared" si="4939"/>
        <v/>
      </c>
      <c r="EM340" s="71" t="str">
        <f t="shared" si="4940"/>
        <v/>
      </c>
      <c r="EN340" s="71" t="str">
        <f t="shared" si="4941"/>
        <v/>
      </c>
      <c r="EO340" s="71" t="str">
        <f t="shared" si="4942"/>
        <v/>
      </c>
      <c r="EP340" s="71" t="str">
        <f t="shared" si="4943"/>
        <v/>
      </c>
      <c r="EQ340" s="71" t="str">
        <f t="shared" si="4944"/>
        <v/>
      </c>
      <c r="ER340" s="71" t="str">
        <f t="shared" si="4945"/>
        <v/>
      </c>
      <c r="ES340" s="71" t="str">
        <f t="shared" si="4946"/>
        <v/>
      </c>
      <c r="ET340" s="71" t="str">
        <f t="shared" si="4947"/>
        <v/>
      </c>
      <c r="EU340" s="71" t="str">
        <f t="shared" si="4948"/>
        <v/>
      </c>
      <c r="EV340" s="71" t="str">
        <f t="shared" si="4949"/>
        <v/>
      </c>
      <c r="EW340" s="71" t="str">
        <f t="shared" si="4950"/>
        <v/>
      </c>
      <c r="EX340" s="71" t="str">
        <f t="shared" si="4951"/>
        <v/>
      </c>
      <c r="EY340" s="71" t="str">
        <f t="shared" si="4952"/>
        <v/>
      </c>
      <c r="EZ340" s="71" t="str">
        <f t="shared" si="4953"/>
        <v/>
      </c>
      <c r="FA340" s="71" t="str">
        <f t="shared" si="4954"/>
        <v/>
      </c>
      <c r="FB340" s="71" t="str">
        <f t="shared" si="4955"/>
        <v/>
      </c>
      <c r="FC340" s="71" t="str">
        <f t="shared" si="4956"/>
        <v/>
      </c>
      <c r="FD340" s="71" t="str">
        <f t="shared" si="4957"/>
        <v/>
      </c>
      <c r="FE340" s="71" t="str">
        <f t="shared" si="4958"/>
        <v/>
      </c>
      <c r="FF340" s="71" t="str">
        <f t="shared" si="4959"/>
        <v/>
      </c>
      <c r="FG340" s="71" t="str">
        <f t="shared" si="4960"/>
        <v/>
      </c>
      <c r="FH340" s="71" t="str">
        <f t="shared" si="4961"/>
        <v/>
      </c>
      <c r="FI340" s="71" t="str">
        <f t="shared" si="4962"/>
        <v/>
      </c>
      <c r="FJ340" s="71" t="str">
        <f t="shared" si="4963"/>
        <v/>
      </c>
      <c r="FK340" s="71" t="str">
        <f t="shared" si="4964"/>
        <v/>
      </c>
      <c r="FL340" s="71" t="str">
        <f t="shared" si="4965"/>
        <v/>
      </c>
      <c r="FM340" s="71" t="str">
        <f t="shared" si="4966"/>
        <v/>
      </c>
      <c r="FN340" s="71" t="str">
        <f t="shared" si="4967"/>
        <v/>
      </c>
      <c r="FO340" s="71" t="str">
        <f t="shared" si="4968"/>
        <v/>
      </c>
      <c r="FP340" s="71" t="str">
        <f t="shared" si="4969"/>
        <v/>
      </c>
      <c r="FQ340" s="71" t="str">
        <f t="shared" si="4970"/>
        <v/>
      </c>
      <c r="FR340" s="71" t="str">
        <f t="shared" si="4971"/>
        <v/>
      </c>
      <c r="FS340" s="71" t="str">
        <f t="shared" si="4972"/>
        <v/>
      </c>
    </row>
    <row r="341" ht="15" spans="1:175">
      <c r="A341" s="138"/>
      <c r="B341" s="81" t="s">
        <v>1018</v>
      </c>
      <c r="C341" s="144" t="s">
        <v>1007</v>
      </c>
      <c r="K341" s="147"/>
      <c r="T341" s="155" t="s">
        <v>1019</v>
      </c>
      <c r="U341" s="89" t="s">
        <v>1009</v>
      </c>
      <c r="CN341" s="69" t="str">
        <f t="shared" si="4897"/>
        <v>InitUnitState('IK3F',,,,,,,,,,)</v>
      </c>
      <c r="CO341" s="69" t="str">
        <f t="shared" si="4898"/>
        <v>InitUnitNormal('IK3F',,,,,,,,,,)</v>
      </c>
      <c r="CP341" s="69" t="str">
        <f t="shared" si="4899"/>
        <v>InitUnitMagic('IK3F',,,,,,,,,,)</v>
      </c>
      <c r="CQ341" s="69" t="str">
        <f t="shared" si="4900"/>
        <v>InitUnitAdd('IK3F',,,,,,,,,,)</v>
      </c>
      <c r="CR341" s="69" t="str">
        <f t="shared" si="4901"/>
        <v>InitEquipData('IK3F',,"",,,,,'','','','','','',"ReplaceableTextures\\CommandButtons\\BTNSST12.blp")</v>
      </c>
      <c r="CU341" s="99" t="str">
        <f t="shared" si="4902"/>
        <v>|n</v>
      </c>
      <c r="CV341" s="70" t="str">
        <f t="shared" si="4669"/>
        <v>道兵伤害|Cffffc926+60%|n|n|r|Cffaaaaaa○|CffFFD24D土之刻印+1|r|r|n|n|Cff00ff7f点击穿戴或脱卸。|r</v>
      </c>
      <c r="CW341" s="60"/>
      <c r="CX341" s="60"/>
      <c r="CY341" s="60"/>
      <c r="CZ341" s="60"/>
      <c r="DA341" s="60"/>
      <c r="DB341" s="71" t="str">
        <f t="shared" si="4903"/>
        <v/>
      </c>
      <c r="DC341" s="71" t="str">
        <f t="shared" si="4904"/>
        <v/>
      </c>
      <c r="DD341" s="71" t="str">
        <f t="shared" si="4905"/>
        <v/>
      </c>
      <c r="DE341" s="71" t="str">
        <f t="shared" si="4906"/>
        <v/>
      </c>
      <c r="DF341" s="71" t="str">
        <f t="shared" si="4907"/>
        <v/>
      </c>
      <c r="DG341" s="71" t="str">
        <f t="shared" si="4908"/>
        <v/>
      </c>
      <c r="DH341" s="71" t="str">
        <f t="shared" si="4909"/>
        <v/>
      </c>
      <c r="DI341" s="71" t="str">
        <f t="shared" si="4910"/>
        <v/>
      </c>
      <c r="DJ341" s="71" t="str">
        <f t="shared" si="4911"/>
        <v/>
      </c>
      <c r="DK341" s="71" t="str">
        <f t="shared" si="4912"/>
        <v/>
      </c>
      <c r="DL341" s="71" t="str">
        <f t="shared" si="4913"/>
        <v/>
      </c>
      <c r="DM341" s="71" t="str">
        <f t="shared" si="4914"/>
        <v/>
      </c>
      <c r="DN341" s="71" t="str">
        <f t="shared" si="4915"/>
        <v/>
      </c>
      <c r="DO341" s="71" t="str">
        <f t="shared" si="4916"/>
        <v/>
      </c>
      <c r="DP341" s="71" t="str">
        <f t="shared" si="4917"/>
        <v/>
      </c>
      <c r="DQ341" s="71" t="str">
        <f t="shared" si="4918"/>
        <v/>
      </c>
      <c r="DR341" s="71" t="str">
        <f t="shared" si="4919"/>
        <v/>
      </c>
      <c r="DS341" s="71" t="str">
        <f t="shared" si="4920"/>
        <v/>
      </c>
      <c r="DT341" s="71" t="str">
        <f t="shared" si="4921"/>
        <v/>
      </c>
      <c r="DU341" s="71" t="str">
        <f t="shared" si="4922"/>
        <v/>
      </c>
      <c r="DV341" s="71" t="str">
        <f t="shared" si="4923"/>
        <v/>
      </c>
      <c r="DW341" s="71" t="str">
        <f t="shared" si="4924"/>
        <v/>
      </c>
      <c r="DX341" s="71" t="str">
        <f t="shared" si="4925"/>
        <v/>
      </c>
      <c r="DY341" s="71" t="str">
        <f t="shared" si="4926"/>
        <v/>
      </c>
      <c r="DZ341" s="71" t="str">
        <f t="shared" si="4927"/>
        <v/>
      </c>
      <c r="EA341" s="71" t="str">
        <f t="shared" si="4928"/>
        <v/>
      </c>
      <c r="EB341" s="71" t="str">
        <f t="shared" si="4929"/>
        <v/>
      </c>
      <c r="EC341" s="71" t="str">
        <f t="shared" si="4930"/>
        <v/>
      </c>
      <c r="ED341" s="71" t="str">
        <f t="shared" si="4931"/>
        <v/>
      </c>
      <c r="EE341" s="71" t="str">
        <f t="shared" si="4932"/>
        <v/>
      </c>
      <c r="EF341" s="71" t="str">
        <f t="shared" si="4933"/>
        <v/>
      </c>
      <c r="EG341" s="71" t="str">
        <f t="shared" si="4934"/>
        <v/>
      </c>
      <c r="EH341" s="71" t="str">
        <f t="shared" si="4935"/>
        <v/>
      </c>
      <c r="EI341" s="71" t="str">
        <f t="shared" si="4936"/>
        <v/>
      </c>
      <c r="EJ341" s="71" t="str">
        <f t="shared" si="4937"/>
        <v/>
      </c>
      <c r="EK341" s="71" t="str">
        <f t="shared" si="4938"/>
        <v/>
      </c>
      <c r="EL341" s="71" t="str">
        <f t="shared" si="4939"/>
        <v/>
      </c>
      <c r="EM341" s="71" t="str">
        <f t="shared" si="4940"/>
        <v/>
      </c>
      <c r="EN341" s="71" t="str">
        <f t="shared" si="4941"/>
        <v/>
      </c>
      <c r="EO341" s="71" t="str">
        <f t="shared" si="4942"/>
        <v/>
      </c>
      <c r="EP341" s="71" t="str">
        <f t="shared" si="4943"/>
        <v/>
      </c>
      <c r="EQ341" s="71" t="str">
        <f t="shared" si="4944"/>
        <v/>
      </c>
      <c r="ER341" s="71" t="str">
        <f t="shared" si="4945"/>
        <v/>
      </c>
      <c r="ES341" s="71" t="str">
        <f t="shared" si="4946"/>
        <v/>
      </c>
      <c r="ET341" s="71" t="str">
        <f t="shared" si="4947"/>
        <v/>
      </c>
      <c r="EU341" s="71" t="str">
        <f t="shared" si="4948"/>
        <v/>
      </c>
      <c r="EV341" s="71" t="str">
        <f t="shared" si="4949"/>
        <v/>
      </c>
      <c r="EW341" s="71" t="str">
        <f t="shared" si="4950"/>
        <v/>
      </c>
      <c r="EX341" s="71" t="str">
        <f t="shared" si="4951"/>
        <v/>
      </c>
      <c r="EY341" s="71" t="str">
        <f t="shared" si="4952"/>
        <v/>
      </c>
      <c r="EZ341" s="71" t="str">
        <f t="shared" si="4953"/>
        <v/>
      </c>
      <c r="FA341" s="71" t="str">
        <f t="shared" si="4954"/>
        <v/>
      </c>
      <c r="FB341" s="71" t="str">
        <f t="shared" si="4955"/>
        <v/>
      </c>
      <c r="FC341" s="71" t="str">
        <f t="shared" si="4956"/>
        <v/>
      </c>
      <c r="FD341" s="71" t="str">
        <f t="shared" si="4957"/>
        <v/>
      </c>
      <c r="FE341" s="71" t="str">
        <f t="shared" si="4958"/>
        <v/>
      </c>
      <c r="FF341" s="71" t="str">
        <f t="shared" si="4959"/>
        <v/>
      </c>
      <c r="FG341" s="71" t="str">
        <f t="shared" si="4960"/>
        <v/>
      </c>
      <c r="FH341" s="71" t="str">
        <f t="shared" si="4961"/>
        <v/>
      </c>
      <c r="FI341" s="71" t="str">
        <f t="shared" si="4962"/>
        <v/>
      </c>
      <c r="FJ341" s="71" t="str">
        <f t="shared" si="4963"/>
        <v/>
      </c>
      <c r="FK341" s="71" t="str">
        <f t="shared" si="4964"/>
        <v/>
      </c>
      <c r="FL341" s="71" t="str">
        <f t="shared" si="4965"/>
        <v/>
      </c>
      <c r="FM341" s="71" t="str">
        <f t="shared" si="4966"/>
        <v/>
      </c>
      <c r="FN341" s="71" t="str">
        <f t="shared" si="4967"/>
        <v/>
      </c>
      <c r="FO341" s="71" t="str">
        <f t="shared" si="4968"/>
        <v/>
      </c>
      <c r="FP341" s="71" t="str">
        <f t="shared" si="4969"/>
        <v/>
      </c>
      <c r="FQ341" s="71" t="str">
        <f t="shared" si="4970"/>
        <v/>
      </c>
      <c r="FR341" s="71" t="str">
        <f t="shared" si="4971"/>
        <v/>
      </c>
      <c r="FS341" s="71" t="str">
        <f t="shared" si="4972"/>
        <v/>
      </c>
    </row>
    <row r="342" ht="15" spans="1:175">
      <c r="A342" s="138"/>
      <c r="B342" s="81" t="s">
        <v>1020</v>
      </c>
      <c r="C342" s="144" t="s">
        <v>1007</v>
      </c>
      <c r="K342" s="147"/>
      <c r="T342" s="155" t="s">
        <v>1021</v>
      </c>
      <c r="U342" s="89" t="s">
        <v>1009</v>
      </c>
      <c r="CN342" s="69" t="str">
        <f t="shared" si="4897"/>
        <v>InitUnitState('IK3G',,,,,,,,,,)</v>
      </c>
      <c r="CO342" s="69" t="str">
        <f t="shared" si="4898"/>
        <v>InitUnitNormal('IK3G',,,,,,,,,,)</v>
      </c>
      <c r="CP342" s="69" t="str">
        <f t="shared" si="4899"/>
        <v>InitUnitMagic('IK3G',,,,,,,,,,)</v>
      </c>
      <c r="CQ342" s="69" t="str">
        <f t="shared" si="4900"/>
        <v>InitUnitAdd('IK3G',,,,,,,,,,)</v>
      </c>
      <c r="CR342" s="69" t="str">
        <f t="shared" si="4901"/>
        <v>InitEquipData('IK3G',,"",,,,,'','','','','','',"ReplaceableTextures\\CommandButtons\\BTNSST12.blp")</v>
      </c>
      <c r="CU342" s="99" t="str">
        <f t="shared" si="4902"/>
        <v>|n</v>
      </c>
      <c r="CV342" s="70" t="str">
        <f t="shared" si="4669"/>
        <v>道兵伤害|Cffffc926+60%|n|n|r|Cffaaaaaa○|CffFFD24D雷之刻印+1|r|r|n|n|Cff00ff7f点击穿戴或脱卸。|r</v>
      </c>
      <c r="CW342" s="60"/>
      <c r="CX342" s="60"/>
      <c r="CY342" s="60"/>
      <c r="CZ342" s="60"/>
      <c r="DA342" s="60"/>
      <c r="DB342" s="71" t="str">
        <f t="shared" si="4903"/>
        <v/>
      </c>
      <c r="DC342" s="71" t="str">
        <f t="shared" si="4904"/>
        <v/>
      </c>
      <c r="DD342" s="71" t="str">
        <f t="shared" si="4905"/>
        <v/>
      </c>
      <c r="DE342" s="71" t="str">
        <f t="shared" si="4906"/>
        <v/>
      </c>
      <c r="DF342" s="71" t="str">
        <f t="shared" si="4907"/>
        <v/>
      </c>
      <c r="DG342" s="71" t="str">
        <f t="shared" si="4908"/>
        <v/>
      </c>
      <c r="DH342" s="71" t="str">
        <f t="shared" si="4909"/>
        <v/>
      </c>
      <c r="DI342" s="71" t="str">
        <f t="shared" si="4910"/>
        <v/>
      </c>
      <c r="DJ342" s="71" t="str">
        <f t="shared" si="4911"/>
        <v/>
      </c>
      <c r="DK342" s="71" t="str">
        <f t="shared" si="4912"/>
        <v/>
      </c>
      <c r="DL342" s="71" t="str">
        <f t="shared" si="4913"/>
        <v/>
      </c>
      <c r="DM342" s="71" t="str">
        <f t="shared" si="4914"/>
        <v/>
      </c>
      <c r="DN342" s="71" t="str">
        <f t="shared" si="4915"/>
        <v/>
      </c>
      <c r="DO342" s="71" t="str">
        <f t="shared" si="4916"/>
        <v/>
      </c>
      <c r="DP342" s="71" t="str">
        <f t="shared" si="4917"/>
        <v/>
      </c>
      <c r="DQ342" s="71" t="str">
        <f t="shared" si="4918"/>
        <v/>
      </c>
      <c r="DR342" s="71" t="str">
        <f t="shared" si="4919"/>
        <v/>
      </c>
      <c r="DS342" s="71" t="str">
        <f t="shared" si="4920"/>
        <v/>
      </c>
      <c r="DT342" s="71" t="str">
        <f t="shared" si="4921"/>
        <v/>
      </c>
      <c r="DU342" s="71" t="str">
        <f t="shared" si="4922"/>
        <v/>
      </c>
      <c r="DV342" s="71" t="str">
        <f t="shared" si="4923"/>
        <v/>
      </c>
      <c r="DW342" s="71" t="str">
        <f t="shared" si="4924"/>
        <v/>
      </c>
      <c r="DX342" s="71" t="str">
        <f t="shared" si="4925"/>
        <v/>
      </c>
      <c r="DY342" s="71" t="str">
        <f t="shared" si="4926"/>
        <v/>
      </c>
      <c r="DZ342" s="71" t="str">
        <f t="shared" si="4927"/>
        <v/>
      </c>
      <c r="EA342" s="71" t="str">
        <f t="shared" si="4928"/>
        <v/>
      </c>
      <c r="EB342" s="71" t="str">
        <f t="shared" si="4929"/>
        <v/>
      </c>
      <c r="EC342" s="71" t="str">
        <f t="shared" si="4930"/>
        <v/>
      </c>
      <c r="ED342" s="71" t="str">
        <f t="shared" si="4931"/>
        <v/>
      </c>
      <c r="EE342" s="71" t="str">
        <f t="shared" si="4932"/>
        <v/>
      </c>
      <c r="EF342" s="71" t="str">
        <f t="shared" si="4933"/>
        <v/>
      </c>
      <c r="EG342" s="71" t="str">
        <f t="shared" si="4934"/>
        <v/>
      </c>
      <c r="EH342" s="71" t="str">
        <f t="shared" si="4935"/>
        <v/>
      </c>
      <c r="EI342" s="71" t="str">
        <f t="shared" si="4936"/>
        <v/>
      </c>
      <c r="EJ342" s="71" t="str">
        <f t="shared" si="4937"/>
        <v/>
      </c>
      <c r="EK342" s="71" t="str">
        <f t="shared" si="4938"/>
        <v/>
      </c>
      <c r="EL342" s="71" t="str">
        <f t="shared" si="4939"/>
        <v/>
      </c>
      <c r="EM342" s="71" t="str">
        <f t="shared" si="4940"/>
        <v/>
      </c>
      <c r="EN342" s="71" t="str">
        <f t="shared" si="4941"/>
        <v/>
      </c>
      <c r="EO342" s="71" t="str">
        <f t="shared" si="4942"/>
        <v/>
      </c>
      <c r="EP342" s="71" t="str">
        <f t="shared" si="4943"/>
        <v/>
      </c>
      <c r="EQ342" s="71" t="str">
        <f t="shared" si="4944"/>
        <v/>
      </c>
      <c r="ER342" s="71" t="str">
        <f t="shared" si="4945"/>
        <v/>
      </c>
      <c r="ES342" s="71" t="str">
        <f t="shared" si="4946"/>
        <v/>
      </c>
      <c r="ET342" s="71" t="str">
        <f t="shared" si="4947"/>
        <v/>
      </c>
      <c r="EU342" s="71" t="str">
        <f t="shared" si="4948"/>
        <v/>
      </c>
      <c r="EV342" s="71" t="str">
        <f t="shared" si="4949"/>
        <v/>
      </c>
      <c r="EW342" s="71" t="str">
        <f t="shared" si="4950"/>
        <v/>
      </c>
      <c r="EX342" s="71" t="str">
        <f t="shared" si="4951"/>
        <v/>
      </c>
      <c r="EY342" s="71" t="str">
        <f t="shared" si="4952"/>
        <v/>
      </c>
      <c r="EZ342" s="71" t="str">
        <f t="shared" si="4953"/>
        <v/>
      </c>
      <c r="FA342" s="71" t="str">
        <f t="shared" si="4954"/>
        <v/>
      </c>
      <c r="FB342" s="71" t="str">
        <f t="shared" si="4955"/>
        <v/>
      </c>
      <c r="FC342" s="71" t="str">
        <f t="shared" si="4956"/>
        <v/>
      </c>
      <c r="FD342" s="71" t="str">
        <f t="shared" si="4957"/>
        <v/>
      </c>
      <c r="FE342" s="71" t="str">
        <f t="shared" si="4958"/>
        <v/>
      </c>
      <c r="FF342" s="71" t="str">
        <f t="shared" si="4959"/>
        <v/>
      </c>
      <c r="FG342" s="71" t="str">
        <f t="shared" si="4960"/>
        <v/>
      </c>
      <c r="FH342" s="71" t="str">
        <f t="shared" si="4961"/>
        <v/>
      </c>
      <c r="FI342" s="71" t="str">
        <f t="shared" si="4962"/>
        <v/>
      </c>
      <c r="FJ342" s="71" t="str">
        <f t="shared" si="4963"/>
        <v/>
      </c>
      <c r="FK342" s="71" t="str">
        <f t="shared" si="4964"/>
        <v/>
      </c>
      <c r="FL342" s="71" t="str">
        <f t="shared" si="4965"/>
        <v/>
      </c>
      <c r="FM342" s="71" t="str">
        <f t="shared" si="4966"/>
        <v/>
      </c>
      <c r="FN342" s="71" t="str">
        <f t="shared" si="4967"/>
        <v/>
      </c>
      <c r="FO342" s="71" t="str">
        <f t="shared" si="4968"/>
        <v/>
      </c>
      <c r="FP342" s="71" t="str">
        <f t="shared" si="4969"/>
        <v/>
      </c>
      <c r="FQ342" s="71" t="str">
        <f t="shared" si="4970"/>
        <v/>
      </c>
      <c r="FR342" s="71" t="str">
        <f t="shared" si="4971"/>
        <v/>
      </c>
      <c r="FS342" s="71" t="str">
        <f t="shared" si="4972"/>
        <v/>
      </c>
    </row>
    <row r="343" ht="15" spans="1:175">
      <c r="A343" s="138"/>
      <c r="B343" s="81" t="s">
        <v>1022</v>
      </c>
      <c r="C343" s="144" t="s">
        <v>1007</v>
      </c>
      <c r="K343" s="147"/>
      <c r="T343" s="155" t="s">
        <v>1023</v>
      </c>
      <c r="U343" s="89" t="s">
        <v>1009</v>
      </c>
      <c r="CN343" s="69" t="str">
        <f t="shared" si="4897"/>
        <v>InitUnitState('IK3H',,,,,,,,,,)</v>
      </c>
      <c r="CO343" s="69" t="str">
        <f t="shared" si="4898"/>
        <v>InitUnitNormal('IK3H',,,,,,,,,,)</v>
      </c>
      <c r="CP343" s="69" t="str">
        <f t="shared" si="4899"/>
        <v>InitUnitMagic('IK3H',,,,,,,,,,)</v>
      </c>
      <c r="CQ343" s="69" t="str">
        <f t="shared" si="4900"/>
        <v>InitUnitAdd('IK3H',,,,,,,,,,)</v>
      </c>
      <c r="CR343" s="69" t="str">
        <f t="shared" si="4901"/>
        <v>InitEquipData('IK3H',,"",,,,,'','','','','','',"ReplaceableTextures\\CommandButtons\\BTNSST12.blp")</v>
      </c>
      <c r="CU343" s="99" t="str">
        <f t="shared" si="4902"/>
        <v>|n</v>
      </c>
      <c r="CV343" s="70" t="str">
        <f t="shared" si="4669"/>
        <v>道兵伤害|Cffffc926+60%|n|n|r|Cffaaaaaa○|CffFFD24D光之刻印+1|r|r|n|n|Cff00ff7f点击穿戴或脱卸。|r</v>
      </c>
      <c r="CW343" s="60"/>
      <c r="CX343" s="60"/>
      <c r="CY343" s="60"/>
      <c r="CZ343" s="60"/>
      <c r="DA343" s="60"/>
      <c r="DB343" s="71" t="str">
        <f t="shared" si="4903"/>
        <v/>
      </c>
      <c r="DC343" s="71" t="str">
        <f t="shared" si="4904"/>
        <v/>
      </c>
      <c r="DD343" s="71" t="str">
        <f t="shared" si="4905"/>
        <v/>
      </c>
      <c r="DE343" s="71" t="str">
        <f t="shared" si="4906"/>
        <v/>
      </c>
      <c r="DF343" s="71" t="str">
        <f t="shared" si="4907"/>
        <v/>
      </c>
      <c r="DG343" s="71" t="str">
        <f t="shared" si="4908"/>
        <v/>
      </c>
      <c r="DH343" s="71" t="str">
        <f t="shared" si="4909"/>
        <v/>
      </c>
      <c r="DI343" s="71" t="str">
        <f t="shared" si="4910"/>
        <v/>
      </c>
      <c r="DJ343" s="71" t="str">
        <f t="shared" si="4911"/>
        <v/>
      </c>
      <c r="DK343" s="71" t="str">
        <f t="shared" si="4912"/>
        <v/>
      </c>
      <c r="DL343" s="71" t="str">
        <f t="shared" si="4913"/>
        <v/>
      </c>
      <c r="DM343" s="71" t="str">
        <f t="shared" si="4914"/>
        <v/>
      </c>
      <c r="DN343" s="71" t="str">
        <f t="shared" si="4915"/>
        <v/>
      </c>
      <c r="DO343" s="71" t="str">
        <f t="shared" si="4916"/>
        <v/>
      </c>
      <c r="DP343" s="71" t="str">
        <f t="shared" si="4917"/>
        <v/>
      </c>
      <c r="DQ343" s="71" t="str">
        <f t="shared" si="4918"/>
        <v/>
      </c>
      <c r="DR343" s="71" t="str">
        <f t="shared" si="4919"/>
        <v/>
      </c>
      <c r="DS343" s="71" t="str">
        <f t="shared" si="4920"/>
        <v/>
      </c>
      <c r="DT343" s="71" t="str">
        <f t="shared" si="4921"/>
        <v/>
      </c>
      <c r="DU343" s="71" t="str">
        <f t="shared" si="4922"/>
        <v/>
      </c>
      <c r="DV343" s="71" t="str">
        <f t="shared" si="4923"/>
        <v/>
      </c>
      <c r="DW343" s="71" t="str">
        <f t="shared" si="4924"/>
        <v/>
      </c>
      <c r="DX343" s="71" t="str">
        <f t="shared" si="4925"/>
        <v/>
      </c>
      <c r="DY343" s="71" t="str">
        <f t="shared" si="4926"/>
        <v/>
      </c>
      <c r="DZ343" s="71" t="str">
        <f t="shared" si="4927"/>
        <v/>
      </c>
      <c r="EA343" s="71" t="str">
        <f t="shared" si="4928"/>
        <v/>
      </c>
      <c r="EB343" s="71" t="str">
        <f t="shared" si="4929"/>
        <v/>
      </c>
      <c r="EC343" s="71" t="str">
        <f t="shared" si="4930"/>
        <v/>
      </c>
      <c r="ED343" s="71" t="str">
        <f t="shared" si="4931"/>
        <v/>
      </c>
      <c r="EE343" s="71" t="str">
        <f t="shared" si="4932"/>
        <v/>
      </c>
      <c r="EF343" s="71" t="str">
        <f t="shared" si="4933"/>
        <v/>
      </c>
      <c r="EG343" s="71" t="str">
        <f t="shared" si="4934"/>
        <v/>
      </c>
      <c r="EH343" s="71" t="str">
        <f t="shared" si="4935"/>
        <v/>
      </c>
      <c r="EI343" s="71" t="str">
        <f t="shared" si="4936"/>
        <v/>
      </c>
      <c r="EJ343" s="71" t="str">
        <f t="shared" si="4937"/>
        <v/>
      </c>
      <c r="EK343" s="71" t="str">
        <f t="shared" si="4938"/>
        <v/>
      </c>
      <c r="EL343" s="71" t="str">
        <f t="shared" si="4939"/>
        <v/>
      </c>
      <c r="EM343" s="71" t="str">
        <f t="shared" si="4940"/>
        <v/>
      </c>
      <c r="EN343" s="71" t="str">
        <f t="shared" si="4941"/>
        <v/>
      </c>
      <c r="EO343" s="71" t="str">
        <f t="shared" si="4942"/>
        <v/>
      </c>
      <c r="EP343" s="71" t="str">
        <f t="shared" si="4943"/>
        <v/>
      </c>
      <c r="EQ343" s="71" t="str">
        <f t="shared" si="4944"/>
        <v/>
      </c>
      <c r="ER343" s="71" t="str">
        <f t="shared" si="4945"/>
        <v/>
      </c>
      <c r="ES343" s="71" t="str">
        <f t="shared" si="4946"/>
        <v/>
      </c>
      <c r="ET343" s="71" t="str">
        <f t="shared" si="4947"/>
        <v/>
      </c>
      <c r="EU343" s="71" t="str">
        <f t="shared" si="4948"/>
        <v/>
      </c>
      <c r="EV343" s="71" t="str">
        <f t="shared" si="4949"/>
        <v/>
      </c>
      <c r="EW343" s="71" t="str">
        <f t="shared" si="4950"/>
        <v/>
      </c>
      <c r="EX343" s="71" t="str">
        <f t="shared" si="4951"/>
        <v/>
      </c>
      <c r="EY343" s="71" t="str">
        <f t="shared" si="4952"/>
        <v/>
      </c>
      <c r="EZ343" s="71" t="str">
        <f t="shared" si="4953"/>
        <v/>
      </c>
      <c r="FA343" s="71" t="str">
        <f t="shared" si="4954"/>
        <v/>
      </c>
      <c r="FB343" s="71" t="str">
        <f t="shared" si="4955"/>
        <v/>
      </c>
      <c r="FC343" s="71" t="str">
        <f t="shared" si="4956"/>
        <v/>
      </c>
      <c r="FD343" s="71" t="str">
        <f t="shared" si="4957"/>
        <v/>
      </c>
      <c r="FE343" s="71" t="str">
        <f t="shared" si="4958"/>
        <v/>
      </c>
      <c r="FF343" s="71" t="str">
        <f t="shared" si="4959"/>
        <v/>
      </c>
      <c r="FG343" s="71" t="str">
        <f t="shared" si="4960"/>
        <v/>
      </c>
      <c r="FH343" s="71" t="str">
        <f t="shared" si="4961"/>
        <v/>
      </c>
      <c r="FI343" s="71" t="str">
        <f t="shared" si="4962"/>
        <v/>
      </c>
      <c r="FJ343" s="71" t="str">
        <f t="shared" si="4963"/>
        <v/>
      </c>
      <c r="FK343" s="71" t="str">
        <f t="shared" si="4964"/>
        <v/>
      </c>
      <c r="FL343" s="71" t="str">
        <f t="shared" si="4965"/>
        <v/>
      </c>
      <c r="FM343" s="71" t="str">
        <f t="shared" si="4966"/>
        <v/>
      </c>
      <c r="FN343" s="71" t="str">
        <f t="shared" si="4967"/>
        <v/>
      </c>
      <c r="FO343" s="71" t="str">
        <f t="shared" si="4968"/>
        <v/>
      </c>
      <c r="FP343" s="71" t="str">
        <f t="shared" si="4969"/>
        <v/>
      </c>
      <c r="FQ343" s="71" t="str">
        <f t="shared" si="4970"/>
        <v/>
      </c>
      <c r="FR343" s="71" t="str">
        <f t="shared" si="4971"/>
        <v/>
      </c>
      <c r="FS343" s="71" t="str">
        <f t="shared" si="4972"/>
        <v/>
      </c>
    </row>
    <row r="344" ht="15" spans="1:175">
      <c r="A344" s="138"/>
      <c r="B344" s="81" t="s">
        <v>1024</v>
      </c>
      <c r="C344" s="144" t="s">
        <v>1007</v>
      </c>
      <c r="K344" s="157"/>
      <c r="T344" s="155" t="s">
        <v>1025</v>
      </c>
      <c r="U344" s="89" t="s">
        <v>1009</v>
      </c>
      <c r="CN344" s="69" t="str">
        <f t="shared" si="4897"/>
        <v>InitUnitState('IK3I',,,,,,,,,,)</v>
      </c>
      <c r="CO344" s="69" t="str">
        <f t="shared" si="4898"/>
        <v>InitUnitNormal('IK3I',,,,,,,,,,)</v>
      </c>
      <c r="CP344" s="69" t="str">
        <f t="shared" si="4899"/>
        <v>InitUnitMagic('IK3I',,,,,,,,,,)</v>
      </c>
      <c r="CQ344" s="69" t="str">
        <f t="shared" si="4900"/>
        <v>InitUnitAdd('IK3I',,,,,,,,,,)</v>
      </c>
      <c r="CR344" s="69" t="str">
        <f t="shared" si="4901"/>
        <v>InitEquipData('IK3I',,"",,,,,'','','','','','',"ReplaceableTextures\\CommandButtons\\BTNSST12.blp")</v>
      </c>
      <c r="CU344" s="99" t="str">
        <f t="shared" si="4902"/>
        <v>|n</v>
      </c>
      <c r="CV344" s="70" t="str">
        <f t="shared" si="4669"/>
        <v>道兵伤害|Cffffc926+60%|n|n|r|Cffaaaaaa○|CffFFD24D暗之刻印+1|r|r|n|n|Cff00ff7f点击穿戴或脱卸。|r</v>
      </c>
      <c r="CW344" s="60"/>
      <c r="CX344" s="60"/>
      <c r="CY344" s="60"/>
      <c r="CZ344" s="60"/>
      <c r="DA344" s="60"/>
      <c r="DB344" s="71" t="str">
        <f t="shared" si="4903"/>
        <v/>
      </c>
      <c r="DC344" s="71" t="str">
        <f t="shared" si="4904"/>
        <v/>
      </c>
      <c r="DD344" s="71" t="str">
        <f t="shared" si="4905"/>
        <v/>
      </c>
      <c r="DE344" s="71" t="str">
        <f t="shared" si="4906"/>
        <v/>
      </c>
      <c r="DF344" s="71" t="str">
        <f t="shared" si="4907"/>
        <v/>
      </c>
      <c r="DG344" s="71" t="str">
        <f t="shared" si="4908"/>
        <v/>
      </c>
      <c r="DH344" s="71" t="str">
        <f t="shared" si="4909"/>
        <v/>
      </c>
      <c r="DI344" s="71" t="str">
        <f t="shared" si="4910"/>
        <v/>
      </c>
      <c r="DJ344" s="71" t="str">
        <f t="shared" si="4911"/>
        <v/>
      </c>
      <c r="DK344" s="71" t="str">
        <f t="shared" si="4912"/>
        <v/>
      </c>
      <c r="DL344" s="71" t="str">
        <f t="shared" si="4913"/>
        <v/>
      </c>
      <c r="DM344" s="71" t="str">
        <f t="shared" si="4914"/>
        <v/>
      </c>
      <c r="DN344" s="71" t="str">
        <f t="shared" si="4915"/>
        <v/>
      </c>
      <c r="DO344" s="71" t="str">
        <f t="shared" si="4916"/>
        <v/>
      </c>
      <c r="DP344" s="71" t="str">
        <f t="shared" si="4917"/>
        <v/>
      </c>
      <c r="DQ344" s="71" t="str">
        <f t="shared" si="4918"/>
        <v/>
      </c>
      <c r="DR344" s="71" t="str">
        <f t="shared" si="4919"/>
        <v/>
      </c>
      <c r="DS344" s="71" t="str">
        <f t="shared" si="4920"/>
        <v/>
      </c>
      <c r="DT344" s="71" t="str">
        <f t="shared" si="4921"/>
        <v/>
      </c>
      <c r="DU344" s="71" t="str">
        <f t="shared" si="4922"/>
        <v/>
      </c>
      <c r="DV344" s="71" t="str">
        <f t="shared" si="4923"/>
        <v/>
      </c>
      <c r="DW344" s="71" t="str">
        <f t="shared" si="4924"/>
        <v/>
      </c>
      <c r="DX344" s="71" t="str">
        <f t="shared" si="4925"/>
        <v/>
      </c>
      <c r="DY344" s="71" t="str">
        <f t="shared" si="4926"/>
        <v/>
      </c>
      <c r="DZ344" s="71" t="str">
        <f t="shared" si="4927"/>
        <v/>
      </c>
      <c r="EA344" s="71" t="str">
        <f t="shared" si="4928"/>
        <v/>
      </c>
      <c r="EB344" s="71" t="str">
        <f t="shared" si="4929"/>
        <v/>
      </c>
      <c r="EC344" s="71" t="str">
        <f t="shared" si="4930"/>
        <v/>
      </c>
      <c r="ED344" s="71" t="str">
        <f t="shared" si="4931"/>
        <v/>
      </c>
      <c r="EE344" s="71" t="str">
        <f t="shared" si="4932"/>
        <v/>
      </c>
      <c r="EF344" s="71" t="str">
        <f t="shared" si="4933"/>
        <v/>
      </c>
      <c r="EG344" s="71" t="str">
        <f t="shared" si="4934"/>
        <v/>
      </c>
      <c r="EH344" s="71" t="str">
        <f t="shared" si="4935"/>
        <v/>
      </c>
      <c r="EI344" s="71" t="str">
        <f t="shared" si="4936"/>
        <v/>
      </c>
      <c r="EJ344" s="71" t="str">
        <f t="shared" si="4937"/>
        <v/>
      </c>
      <c r="EK344" s="71" t="str">
        <f t="shared" si="4938"/>
        <v/>
      </c>
      <c r="EL344" s="71" t="str">
        <f t="shared" si="4939"/>
        <v/>
      </c>
      <c r="EM344" s="71" t="str">
        <f t="shared" si="4940"/>
        <v/>
      </c>
      <c r="EN344" s="71" t="str">
        <f t="shared" si="4941"/>
        <v/>
      </c>
      <c r="EO344" s="71" t="str">
        <f t="shared" si="4942"/>
        <v/>
      </c>
      <c r="EP344" s="71" t="str">
        <f t="shared" si="4943"/>
        <v/>
      </c>
      <c r="EQ344" s="71" t="str">
        <f t="shared" si="4944"/>
        <v/>
      </c>
      <c r="ER344" s="71" t="str">
        <f t="shared" si="4945"/>
        <v/>
      </c>
      <c r="ES344" s="71" t="str">
        <f t="shared" si="4946"/>
        <v/>
      </c>
      <c r="ET344" s="71" t="str">
        <f t="shared" si="4947"/>
        <v/>
      </c>
      <c r="EU344" s="71" t="str">
        <f t="shared" si="4948"/>
        <v/>
      </c>
      <c r="EV344" s="71" t="str">
        <f t="shared" si="4949"/>
        <v/>
      </c>
      <c r="EW344" s="71" t="str">
        <f t="shared" si="4950"/>
        <v/>
      </c>
      <c r="EX344" s="71" t="str">
        <f t="shared" si="4951"/>
        <v/>
      </c>
      <c r="EY344" s="71" t="str">
        <f t="shared" si="4952"/>
        <v/>
      </c>
      <c r="EZ344" s="71" t="str">
        <f t="shared" si="4953"/>
        <v/>
      </c>
      <c r="FA344" s="71" t="str">
        <f t="shared" si="4954"/>
        <v/>
      </c>
      <c r="FB344" s="71" t="str">
        <f t="shared" si="4955"/>
        <v/>
      </c>
      <c r="FC344" s="71" t="str">
        <f t="shared" si="4956"/>
        <v/>
      </c>
      <c r="FD344" s="71" t="str">
        <f t="shared" si="4957"/>
        <v/>
      </c>
      <c r="FE344" s="71" t="str">
        <f t="shared" si="4958"/>
        <v/>
      </c>
      <c r="FF344" s="71" t="str">
        <f t="shared" si="4959"/>
        <v/>
      </c>
      <c r="FG344" s="71" t="str">
        <f t="shared" si="4960"/>
        <v/>
      </c>
      <c r="FH344" s="71" t="str">
        <f t="shared" si="4961"/>
        <v/>
      </c>
      <c r="FI344" s="71" t="str">
        <f t="shared" si="4962"/>
        <v/>
      </c>
      <c r="FJ344" s="71" t="str">
        <f t="shared" si="4963"/>
        <v/>
      </c>
      <c r="FK344" s="71" t="str">
        <f t="shared" si="4964"/>
        <v/>
      </c>
      <c r="FL344" s="71" t="str">
        <f t="shared" si="4965"/>
        <v/>
      </c>
      <c r="FM344" s="71" t="str">
        <f t="shared" si="4966"/>
        <v/>
      </c>
      <c r="FN344" s="71" t="str">
        <f t="shared" si="4967"/>
        <v/>
      </c>
      <c r="FO344" s="71" t="str">
        <f t="shared" si="4968"/>
        <v/>
      </c>
      <c r="FP344" s="71" t="str">
        <f t="shared" si="4969"/>
        <v/>
      </c>
      <c r="FQ344" s="71" t="str">
        <f t="shared" si="4970"/>
        <v/>
      </c>
      <c r="FR344" s="71" t="str">
        <f t="shared" si="4971"/>
        <v/>
      </c>
      <c r="FS344" s="71" t="str">
        <f t="shared" si="4972"/>
        <v/>
      </c>
    </row>
    <row r="345" ht="15" spans="1:175">
      <c r="A345" s="138"/>
      <c r="B345" s="81" t="s">
        <v>1026</v>
      </c>
      <c r="C345" s="144" t="s">
        <v>1027</v>
      </c>
      <c r="T345" s="155" t="s">
        <v>1028</v>
      </c>
      <c r="U345" s="89" t="s">
        <v>1029</v>
      </c>
      <c r="CN345" s="69" t="str">
        <f t="shared" si="4670"/>
        <v>InitUnitState('IK4A',,,,,,,,,,)</v>
      </c>
      <c r="CO345" s="69" t="str">
        <f t="shared" si="4671"/>
        <v>InitUnitNormal('IK4A',,,,,,,,,,)</v>
      </c>
      <c r="CP345" s="69" t="str">
        <f t="shared" si="4672"/>
        <v>InitUnitMagic('IK4A',,,,,,,,,,)</v>
      </c>
      <c r="CQ345" s="69" t="str">
        <f t="shared" si="4673"/>
        <v>InitUnitAdd('IK4A',,,,,,,,,,)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InitEquipData('IK4A',,"",,,,,'','','','','','',"ReplaceableTextures\\CommandButtons\\BTNSST13.blp")</v>
      </c>
      <c r="CU345" s="99" t="str">
        <f t="shared" si="4674"/>
        <v>|n</v>
      </c>
      <c r="CV345" s="70" t="str">
        <f t="shared" si="4669"/>
        <v>攻击|Cffffc926+50000|r，攻击|Cffffc926+12%|n|n|r|Cffaaaaaa○刻印槽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4675"/>
        <v/>
      </c>
      <c r="DC345" s="71" t="str">
        <f t="shared" si="4676"/>
        <v/>
      </c>
      <c r="DD345" s="71" t="str">
        <f t="shared" si="4677"/>
        <v/>
      </c>
      <c r="DE345" s="71" t="str">
        <f t="shared" si="4678"/>
        <v/>
      </c>
      <c r="DF345" s="71" t="str">
        <f t="shared" si="4679"/>
        <v/>
      </c>
      <c r="DG345" s="71" t="str">
        <f t="shared" si="4680"/>
        <v/>
      </c>
      <c r="DH345" s="71" t="str">
        <f t="shared" si="4681"/>
        <v/>
      </c>
      <c r="DI345" s="71" t="str">
        <f t="shared" si="4682"/>
        <v/>
      </c>
      <c r="DJ345" s="71" t="str">
        <f t="shared" si="4683"/>
        <v/>
      </c>
      <c r="DK345" s="71" t="str">
        <f t="shared" si="4684"/>
        <v/>
      </c>
      <c r="DL345" s="71" t="str">
        <f t="shared" si="4685"/>
        <v/>
      </c>
      <c r="DM345" s="71" t="str">
        <f t="shared" si="4686"/>
        <v/>
      </c>
      <c r="DN345" s="71" t="str">
        <f t="shared" si="4687"/>
        <v/>
      </c>
      <c r="DO345" s="71" t="str">
        <f t="shared" si="4688"/>
        <v/>
      </c>
      <c r="DP345" s="71" t="str">
        <f t="shared" si="4689"/>
        <v/>
      </c>
      <c r="DQ345" s="71" t="str">
        <f t="shared" si="4690"/>
        <v/>
      </c>
      <c r="DR345" s="71" t="str">
        <f t="shared" si="4691"/>
        <v/>
      </c>
      <c r="DS345" s="71" t="str">
        <f t="shared" si="4692"/>
        <v/>
      </c>
      <c r="DT345" s="71" t="str">
        <f t="shared" si="4693"/>
        <v/>
      </c>
      <c r="DU345" s="71" t="str">
        <f t="shared" si="4694"/>
        <v/>
      </c>
      <c r="DV345" s="71" t="str">
        <f t="shared" si="4695"/>
        <v/>
      </c>
      <c r="DW345" s="71" t="str">
        <f t="shared" si="4696"/>
        <v/>
      </c>
      <c r="DX345" s="71" t="str">
        <f t="shared" si="4697"/>
        <v/>
      </c>
      <c r="DY345" s="71" t="str">
        <f t="shared" si="4698"/>
        <v/>
      </c>
      <c r="DZ345" s="71" t="str">
        <f t="shared" si="4699"/>
        <v/>
      </c>
      <c r="EA345" s="71" t="str">
        <f t="shared" si="4700"/>
        <v/>
      </c>
      <c r="EB345" s="71" t="str">
        <f t="shared" si="4701"/>
        <v/>
      </c>
      <c r="EC345" s="71" t="str">
        <f t="shared" si="4702"/>
        <v/>
      </c>
      <c r="ED345" s="71" t="str">
        <f t="shared" si="4703"/>
        <v/>
      </c>
      <c r="EE345" s="71" t="str">
        <f t="shared" si="4704"/>
        <v/>
      </c>
      <c r="EF345" s="71" t="str">
        <f t="shared" si="4705"/>
        <v/>
      </c>
      <c r="EG345" s="71" t="str">
        <f t="shared" si="4706"/>
        <v/>
      </c>
      <c r="EH345" s="71" t="str">
        <f t="shared" si="4707"/>
        <v/>
      </c>
      <c r="EI345" s="71" t="str">
        <f t="shared" si="4708"/>
        <v/>
      </c>
      <c r="EJ345" s="71" t="str">
        <f t="shared" si="4709"/>
        <v/>
      </c>
      <c r="EK345" s="71" t="str">
        <f t="shared" si="4710"/>
        <v/>
      </c>
      <c r="EL345" s="71" t="str">
        <f t="shared" si="4711"/>
        <v/>
      </c>
      <c r="EM345" s="71" t="str">
        <f t="shared" si="4712"/>
        <v/>
      </c>
      <c r="EN345" s="71" t="str">
        <f t="shared" si="4713"/>
        <v/>
      </c>
      <c r="EO345" s="71" t="str">
        <f t="shared" si="4714"/>
        <v/>
      </c>
      <c r="EP345" s="71" t="str">
        <f t="shared" si="4715"/>
        <v/>
      </c>
      <c r="EQ345" s="71" t="str">
        <f t="shared" si="4716"/>
        <v/>
      </c>
      <c r="ER345" s="71" t="str">
        <f t="shared" si="4717"/>
        <v/>
      </c>
      <c r="ES345" s="71" t="str">
        <f t="shared" si="4718"/>
        <v/>
      </c>
      <c r="ET345" s="71" t="str">
        <f t="shared" si="4719"/>
        <v/>
      </c>
      <c r="EU345" s="71" t="str">
        <f t="shared" si="4720"/>
        <v/>
      </c>
      <c r="EV345" s="71" t="str">
        <f t="shared" si="4721"/>
        <v/>
      </c>
      <c r="EW345" s="71" t="str">
        <f t="shared" si="4722"/>
        <v/>
      </c>
      <c r="EX345" s="71" t="str">
        <f t="shared" si="4723"/>
        <v/>
      </c>
      <c r="EY345" s="71" t="str">
        <f t="shared" si="4724"/>
        <v/>
      </c>
      <c r="EZ345" s="71" t="str">
        <f t="shared" si="4725"/>
        <v/>
      </c>
      <c r="FA345" s="71" t="str">
        <f t="shared" si="4726"/>
        <v/>
      </c>
      <c r="FB345" s="71" t="str">
        <f t="shared" si="4727"/>
        <v/>
      </c>
      <c r="FC345" s="71" t="str">
        <f t="shared" si="4728"/>
        <v/>
      </c>
      <c r="FD345" s="71" t="str">
        <f t="shared" si="4729"/>
        <v/>
      </c>
      <c r="FE345" s="71" t="str">
        <f t="shared" si="4730"/>
        <v/>
      </c>
      <c r="FF345" s="71" t="str">
        <f t="shared" si="4731"/>
        <v/>
      </c>
      <c r="FG345" s="71" t="str">
        <f t="shared" si="4732"/>
        <v/>
      </c>
      <c r="FH345" s="71" t="str">
        <f t="shared" si="4733"/>
        <v/>
      </c>
      <c r="FI345" s="71" t="str">
        <f t="shared" si="4734"/>
        <v/>
      </c>
      <c r="FJ345" s="71" t="str">
        <f t="shared" si="4735"/>
        <v/>
      </c>
      <c r="FK345" s="71" t="str">
        <f t="shared" si="4736"/>
        <v/>
      </c>
      <c r="FL345" s="71" t="str">
        <f t="shared" si="4737"/>
        <v/>
      </c>
      <c r="FM345" s="71" t="str">
        <f t="shared" si="4738"/>
        <v/>
      </c>
      <c r="FN345" s="71" t="str">
        <f t="shared" si="4739"/>
        <v/>
      </c>
      <c r="FO345" s="71" t="str">
        <f t="shared" si="4740"/>
        <v/>
      </c>
      <c r="FP345" s="71" t="str">
        <f t="shared" si="4741"/>
        <v/>
      </c>
      <c r="FQ345" s="71" t="str">
        <f t="shared" si="4742"/>
        <v/>
      </c>
      <c r="FR345" s="71" t="str">
        <f t="shared" si="4743"/>
        <v/>
      </c>
      <c r="FS345" s="71" t="str">
        <f t="shared" si="4744"/>
        <v/>
      </c>
    </row>
    <row r="346" ht="15" spans="1:175">
      <c r="A346" s="138"/>
      <c r="B346" s="81" t="s">
        <v>1030</v>
      </c>
      <c r="C346" s="144" t="s">
        <v>1027</v>
      </c>
      <c r="K346" s="146"/>
      <c r="T346" s="155" t="s">
        <v>1031</v>
      </c>
      <c r="U346" s="89" t="s">
        <v>1029</v>
      </c>
      <c r="CN346" s="69" t="str">
        <f t="shared" ref="CN346:CN353" si="4973">"InitUnitState('"&amp;B346&amp;"',"&amp;V346&amp;","&amp;W346&amp;","&amp;X346&amp;","&amp;Y346&amp;","&amp;Z346&amp;","&amp;AA346&amp;","&amp;AB346&amp;","&amp;AC346&amp;","&amp;AD346&amp;","&amp;AE346&amp;")"</f>
        <v>InitUnitState('IK4B',,,,,,,,,,)</v>
      </c>
      <c r="CO346" s="69" t="str">
        <f t="shared" ref="CO346:CO353" si="4974">"InitUnitNormal('"&amp;B346&amp;"',"&amp;AF346&amp;","&amp;AG346&amp;","&amp;AH346&amp;","&amp;AI346&amp;","&amp;AJ346&amp;","&amp;AK346&amp;","&amp;AL346&amp;","&amp;AM346&amp;","&amp;AN346&amp;","&amp;AO346&amp;")"</f>
        <v>InitUnitNormal('IK4B',,,,,,,,,,)</v>
      </c>
      <c r="CP346" s="69" t="str">
        <f t="shared" ref="CP346:CP353" si="4975">"InitUnitMagic('"&amp;B346&amp;"',"&amp;AP346&amp;","&amp;AQ346&amp;","&amp;AR346&amp;","&amp;AS346&amp;","&amp;AT346&amp;","&amp;AU346&amp;","&amp;AV346&amp;","&amp;AW346&amp;","&amp;BI346&amp;","&amp;BJ346&amp;")"</f>
        <v>InitUnitMagic('IK4B',,,,,,,,,,)</v>
      </c>
      <c r="CQ346" s="69" t="str">
        <f t="shared" ref="CQ346:CQ353" si="4976">"InitUnitAdd('"&amp;B346&amp;"',"&amp;BK346&amp;","&amp;BL346&amp;","&amp;BM346&amp;","&amp;BN346&amp;","&amp;BO346&amp;","&amp;BP346&amp;","&amp;BQ346&amp;","&amp;BR346&amp;","&amp;BS346&amp;","&amp;BT346&amp;")"</f>
        <v>InitUnitAdd('IK4B',,,,,,,,,,)</v>
      </c>
      <c r="CR346" s="69" t="str">
        <f t="shared" ref="CR346:CR353" si="4977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InitEquipData('IK4B',,"",,,,,'','','','','','',"ReplaceableTextures\\CommandButtons\\BTNSST13.blp")</v>
      </c>
      <c r="CU346" s="99" t="str">
        <f t="shared" ref="CU346:CU353" si="4978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4669"/>
        <v>攻击|Cffffc926+50000|r，攻击|Cffffc926+12%|n|n|r|Cffaaaaaa○|CffFFD24D金之刻印+1|r|r|n|n|Cff00ff7f点击穿戴或脱卸。|r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4979">IF(V346="","","|n"&amp;DB$2&amp;"+"&amp;V346&amp;DB$1)</f>
        <v/>
      </c>
      <c r="DC346" s="71" t="str">
        <f t="shared" ref="DC346:DC353" si="4980">IF(W346="","","|n"&amp;DC$2&amp;"+"&amp;W346&amp;DC$1)</f>
        <v/>
      </c>
      <c r="DD346" s="71" t="str">
        <f t="shared" ref="DD346:DD353" si="4981">IF(X346="","","|n"&amp;DD$2&amp;"+"&amp;X346&amp;DD$1)</f>
        <v/>
      </c>
      <c r="DE346" s="71" t="str">
        <f t="shared" ref="DE346:DE353" si="4982">IF(Y346="","","|n"&amp;DE$2&amp;"+"&amp;Y346&amp;DE$1)</f>
        <v/>
      </c>
      <c r="DF346" s="71" t="str">
        <f t="shared" ref="DF346:DF353" si="4983">IF(Z346="","","|n"&amp;DF$2&amp;"+"&amp;Z346&amp;DF$1)</f>
        <v/>
      </c>
      <c r="DG346" s="71" t="str">
        <f t="shared" ref="DG346:DG353" si="4984">IF(AA346="","","|n"&amp;DG$2&amp;"+"&amp;AA346&amp;DG$1)</f>
        <v/>
      </c>
      <c r="DH346" s="71" t="str">
        <f t="shared" ref="DH346:DH353" si="4985">IF(AB346="","","|n"&amp;DH$2&amp;"+"&amp;AB346&amp;DH$1)</f>
        <v/>
      </c>
      <c r="DI346" s="71" t="str">
        <f t="shared" ref="DI346:DI353" si="4986">IF(AC346="","","|n"&amp;DI$2&amp;"+"&amp;AC346&amp;DI$1)</f>
        <v/>
      </c>
      <c r="DJ346" s="71" t="str">
        <f t="shared" ref="DJ346:DJ353" si="4987">IF(AD346="","","|n"&amp;DJ$2&amp;"+"&amp;AD346&amp;DJ$1)</f>
        <v/>
      </c>
      <c r="DK346" s="71" t="str">
        <f t="shared" ref="DK346:DK353" si="4988">IF(AE346="","","|n"&amp;DK$2&amp;"+"&amp;AE346&amp;DK$1)</f>
        <v/>
      </c>
      <c r="DL346" s="71" t="str">
        <f t="shared" ref="DL346:DL353" si="4989">IF(AF346="","","|n"&amp;DL$2&amp;"+"&amp;AF346&amp;DL$1)</f>
        <v/>
      </c>
      <c r="DM346" s="71" t="str">
        <f t="shared" ref="DM346:DM353" si="4990">IF(AG346="","","|n"&amp;DM$2&amp;"+"&amp;AG346&amp;DM$1)</f>
        <v/>
      </c>
      <c r="DN346" s="71" t="str">
        <f t="shared" ref="DN346:DN353" si="4991">IF(AH346="","","|n"&amp;DN$2&amp;"+"&amp;AH346&amp;DN$1)</f>
        <v/>
      </c>
      <c r="DO346" s="71" t="str">
        <f t="shared" ref="DO346:DO353" si="4992">IF(AI346="","","|n"&amp;DO$2&amp;"+"&amp;AI346&amp;DO$1)</f>
        <v/>
      </c>
      <c r="DP346" s="71" t="str">
        <f t="shared" ref="DP346:DP353" si="4993">IF(AJ346="","","|n"&amp;DP$2&amp;"+"&amp;AJ346&amp;DP$1)</f>
        <v/>
      </c>
      <c r="DQ346" s="71" t="str">
        <f t="shared" ref="DQ346:DQ353" si="4994">IF(AK346="","","|n"&amp;DQ$2&amp;"+"&amp;AK346&amp;DQ$1)</f>
        <v/>
      </c>
      <c r="DR346" s="71" t="str">
        <f t="shared" ref="DR346:DR353" si="4995">IF(AL346="","","|n"&amp;DR$2&amp;"+"&amp;AL346&amp;DR$1)</f>
        <v/>
      </c>
      <c r="DS346" s="71" t="str">
        <f t="shared" ref="DS346:DS353" si="4996">IF(AM346="","","|n"&amp;DS$2&amp;"+"&amp;AM346&amp;DS$1)</f>
        <v/>
      </c>
      <c r="DT346" s="71" t="str">
        <f t="shared" ref="DT346:DT353" si="4997">IF(AN346="","","|n"&amp;DT$2&amp;"+"&amp;AN346&amp;DT$1)</f>
        <v/>
      </c>
      <c r="DU346" s="71" t="str">
        <f t="shared" ref="DU346:DU353" si="4998">IF(AO346="","","|n"&amp;DU$2&amp;"+"&amp;AO346&amp;DU$1)</f>
        <v/>
      </c>
      <c r="DV346" s="71" t="str">
        <f t="shared" ref="DV346:DV353" si="4999">IF(AP346="","","|n"&amp;DV$2&amp;"+"&amp;AP346&amp;DV$1)</f>
        <v/>
      </c>
      <c r="DW346" s="71" t="str">
        <f t="shared" ref="DW346:DW353" si="5000">IF(AQ346="","","|n"&amp;DW$2&amp;"+"&amp;AQ346&amp;DW$1)</f>
        <v/>
      </c>
      <c r="DX346" s="71" t="str">
        <f t="shared" ref="DX346:DX353" si="5001">IF(AR346="","","|n"&amp;DX$2&amp;"+"&amp;AR346&amp;DX$1)</f>
        <v/>
      </c>
      <c r="DY346" s="71" t="str">
        <f t="shared" ref="DY346:DY353" si="5002">IF(AS346="","","|n"&amp;DY$2&amp;"+"&amp;AS346&amp;DY$1)</f>
        <v/>
      </c>
      <c r="DZ346" s="71" t="str">
        <f t="shared" ref="DZ346:DZ353" si="5003">IF(AT346="","","|n"&amp;DZ$2&amp;"+"&amp;AT346&amp;DZ$1)</f>
        <v/>
      </c>
      <c r="EA346" s="71" t="str">
        <f t="shared" ref="EA346:EA353" si="5004">IF(AU346="","","|n"&amp;EA$2&amp;"+"&amp;AU346&amp;EA$1)</f>
        <v/>
      </c>
      <c r="EB346" s="71" t="str">
        <f t="shared" ref="EB346:EB353" si="5005">IF(AV346="","","|n"&amp;EB$2&amp;"+"&amp;AV346&amp;EB$1)</f>
        <v/>
      </c>
      <c r="EC346" s="71" t="str">
        <f t="shared" ref="EC346:EC353" si="5006">IF(AW346="","","|n"&amp;EC$2&amp;"+"&amp;AW346&amp;EC$1)</f>
        <v/>
      </c>
      <c r="ED346" s="71" t="str">
        <f t="shared" ref="ED346:ED353" si="5007">IF(AX346="","","|n"&amp;ED$2&amp;"+"&amp;AX346&amp;ED$1)</f>
        <v/>
      </c>
      <c r="EE346" s="71" t="str">
        <f t="shared" ref="EE346:EE353" si="5008">IF(AY346="","","|n"&amp;EE$2&amp;"+"&amp;AY346&amp;EE$1)</f>
        <v/>
      </c>
      <c r="EF346" s="71" t="str">
        <f t="shared" ref="EF346:EF353" si="5009">IF(AZ346="","","|n"&amp;EF$2&amp;"+"&amp;AZ346&amp;EF$1)</f>
        <v/>
      </c>
      <c r="EG346" s="71" t="str">
        <f t="shared" ref="EG346:EG353" si="5010">IF(BA346="","","|n"&amp;EG$2&amp;"+"&amp;BA346&amp;EG$1)</f>
        <v/>
      </c>
      <c r="EH346" s="71" t="str">
        <f t="shared" ref="EH346:EH353" si="5011">IF(BB346="","","|n"&amp;EH$2&amp;"+"&amp;BB346&amp;EH$1)</f>
        <v/>
      </c>
      <c r="EI346" s="71" t="str">
        <f t="shared" ref="EI346:EI353" si="5012">IF(BC346="","","|n"&amp;EI$2&amp;"+"&amp;BC346&amp;EI$1)</f>
        <v/>
      </c>
      <c r="EJ346" s="71" t="str">
        <f t="shared" ref="EJ346:EJ353" si="5013">IF(BD346="","","|n"&amp;EJ$2&amp;"+"&amp;BD346&amp;EJ$1)</f>
        <v/>
      </c>
      <c r="EK346" s="71" t="str">
        <f t="shared" ref="EK346:EK353" si="5014">IF(BE346="","","|n"&amp;EK$2&amp;"+"&amp;BE346&amp;EK$1)</f>
        <v/>
      </c>
      <c r="EL346" s="71" t="str">
        <f t="shared" ref="EL346:EL353" si="5015">IF(BF346="","","|n"&amp;EL$2&amp;"+"&amp;BF346&amp;EL$1)</f>
        <v/>
      </c>
      <c r="EM346" s="71" t="str">
        <f t="shared" ref="EM346:EM353" si="5016">IF(BG346="","","|n"&amp;EM$2&amp;"+"&amp;BG346&amp;EM$1)</f>
        <v/>
      </c>
      <c r="EN346" s="71" t="str">
        <f t="shared" ref="EN346:EN353" si="5017">IF(BH346="","","|n"&amp;EN$2&amp;"+"&amp;BH346&amp;EN$1)</f>
        <v/>
      </c>
      <c r="EO346" s="71" t="str">
        <f t="shared" ref="EO346:EO353" si="5018">IF(BI346="","","|n"&amp;EO$2&amp;"+"&amp;BI346&amp;EO$1)</f>
        <v/>
      </c>
      <c r="EP346" s="71" t="str">
        <f t="shared" ref="EP346:EP353" si="5019">IF(BJ346="","","|n"&amp;EP$2&amp;"+"&amp;BJ346&amp;EP$1)</f>
        <v/>
      </c>
      <c r="EQ346" s="71" t="str">
        <f t="shared" ref="EQ346:EQ353" si="5020">IF(BK346="","","|n"&amp;EQ$2&amp;"+"&amp;BK346&amp;EQ$1)</f>
        <v/>
      </c>
      <c r="ER346" s="71" t="str">
        <f t="shared" ref="ER346:ER353" si="5021">IF(BL346="","","|n"&amp;ER$2&amp;"+"&amp;BL346&amp;ER$1)</f>
        <v/>
      </c>
      <c r="ES346" s="71" t="str">
        <f t="shared" ref="ES346:ES353" si="5022">IF(BM346="","","|n"&amp;ES$2&amp;"+"&amp;BM346&amp;ES$1)</f>
        <v/>
      </c>
      <c r="ET346" s="71" t="str">
        <f t="shared" ref="ET346:ET353" si="5023">IF(BN346="","","|n"&amp;ET$2&amp;"+"&amp;BN346&amp;ET$1)</f>
        <v/>
      </c>
      <c r="EU346" s="71" t="str">
        <f t="shared" ref="EU346:EU353" si="5024">IF(BO346="","","|n"&amp;EU$2&amp;"+"&amp;BO346&amp;EU$1)</f>
        <v/>
      </c>
      <c r="EV346" s="71" t="str">
        <f t="shared" ref="EV346:EV353" si="5025">IF(BP346="","","|n"&amp;EV$2&amp;"+"&amp;BP346&amp;EV$1)</f>
        <v/>
      </c>
      <c r="EW346" s="71" t="str">
        <f t="shared" ref="EW346:EW353" si="5026">IF(BQ346="","","|n"&amp;EW$2&amp;"+"&amp;BQ346&amp;EW$1)</f>
        <v/>
      </c>
      <c r="EX346" s="71" t="str">
        <f t="shared" ref="EX346:EX353" si="5027">IF(BR346="","","|n"&amp;EX$2&amp;"+"&amp;BR346&amp;EX$1)</f>
        <v/>
      </c>
      <c r="EY346" s="71" t="str">
        <f t="shared" ref="EY346:EY353" si="5028">IF(BS346="","","|n"&amp;EY$2&amp;"+"&amp;BS346&amp;EY$1)</f>
        <v/>
      </c>
      <c r="EZ346" s="71" t="str">
        <f t="shared" ref="EZ346:EZ353" si="5029">IF(BT346="","","|n"&amp;EZ$2&amp;"+"&amp;BT346&amp;EZ$1)</f>
        <v/>
      </c>
      <c r="FA346" s="71" t="str">
        <f t="shared" ref="FA346:FA353" si="5030">IF(BU346="","","|n"&amp;FA$2&amp;"+"&amp;BU346&amp;FA$1)</f>
        <v/>
      </c>
      <c r="FB346" s="71" t="str">
        <f t="shared" ref="FB346:FB353" si="5031">IF(BV346="","","|n"&amp;FB$2&amp;"+"&amp;BV346&amp;FB$1)</f>
        <v/>
      </c>
      <c r="FC346" s="71" t="str">
        <f t="shared" ref="FC346:FC353" si="5032">IF(BW346="","","|n"&amp;FC$2&amp;"+"&amp;BW346&amp;FC$1)</f>
        <v/>
      </c>
      <c r="FD346" s="71" t="str">
        <f t="shared" ref="FD346:FD353" si="5033">IF(BX346="","","|n"&amp;FD$2&amp;"+"&amp;BX346&amp;FD$1)</f>
        <v/>
      </c>
      <c r="FE346" s="71" t="str">
        <f t="shared" ref="FE346:FE353" si="5034">IF(BY346="","","|n"&amp;FE$2&amp;"+"&amp;BY346&amp;FE$1)</f>
        <v/>
      </c>
      <c r="FF346" s="71" t="str">
        <f t="shared" ref="FF346:FF353" si="5035">IF(BZ346="","","|n"&amp;FF$2&amp;"+"&amp;BZ346&amp;FF$1)</f>
        <v/>
      </c>
      <c r="FG346" s="71" t="str">
        <f t="shared" ref="FG346:FG353" si="5036">IF(CA346="","","|n"&amp;FG$2&amp;"+"&amp;CA346&amp;FG$1)</f>
        <v/>
      </c>
      <c r="FH346" s="71" t="str">
        <f t="shared" ref="FH346:FH353" si="5037">IF(CB346="","","|n"&amp;FH$2&amp;"+"&amp;CB346&amp;FH$1)</f>
        <v/>
      </c>
      <c r="FI346" s="71" t="str">
        <f t="shared" ref="FI346:FI353" si="5038">IF(CC346="","","|n"&amp;FI$2&amp;"+"&amp;CC346&amp;FI$1)</f>
        <v/>
      </c>
      <c r="FJ346" s="71" t="str">
        <f t="shared" ref="FJ346:FJ353" si="5039">IF(CD346="","","|n"&amp;FJ$2&amp;"+"&amp;CD346&amp;FJ$1)</f>
        <v/>
      </c>
      <c r="FK346" s="71" t="str">
        <f t="shared" ref="FK346:FK353" si="5040">IF(CE346="","","|n"&amp;FK$2&amp;"+"&amp;CE346&amp;FK$1)</f>
        <v/>
      </c>
      <c r="FL346" s="71" t="str">
        <f t="shared" ref="FL346:FL353" si="5041">IF(CF346="","","|n"&amp;FL$2&amp;"+"&amp;CF346&amp;FL$1)</f>
        <v/>
      </c>
      <c r="FM346" s="71" t="str">
        <f t="shared" ref="FM346:FM353" si="5042">IF(CG346="","","|n"&amp;FM$2&amp;"+"&amp;CG346&amp;FM$1)</f>
        <v/>
      </c>
      <c r="FN346" s="71" t="str">
        <f t="shared" ref="FN346:FN353" si="5043">IF(CH346="","","|n"&amp;FN$2&amp;"+"&amp;CH346&amp;FN$1)</f>
        <v/>
      </c>
      <c r="FO346" s="71" t="str">
        <f t="shared" ref="FO346:FO353" si="5044">IF(CI346="","","|n"&amp;FO$2&amp;"+"&amp;CI346&amp;FO$1)</f>
        <v/>
      </c>
      <c r="FP346" s="71" t="str">
        <f t="shared" ref="FP346:FP353" si="5045">IF(CJ346="","","|n"&amp;FP$2&amp;"+"&amp;CJ346&amp;FP$1)</f>
        <v/>
      </c>
      <c r="FQ346" s="71" t="str">
        <f t="shared" ref="FQ346:FQ353" si="5046">IF(CK346="","","|n"&amp;FQ$2&amp;"+"&amp;CK346&amp;FQ$1)</f>
        <v/>
      </c>
      <c r="FR346" s="71" t="str">
        <f t="shared" ref="FR346:FR353" si="5047">IF(CL346="","","|n"&amp;FR$2&amp;"+"&amp;CL346&amp;FR$1)</f>
        <v/>
      </c>
      <c r="FS346" s="71" t="str">
        <f t="shared" ref="FS346:FS353" si="5048">IF(CM346="","","|n"&amp;FS$2&amp;"+"&amp;CM346&amp;FS$1)</f>
        <v/>
      </c>
    </row>
    <row r="347" ht="15" spans="1:175">
      <c r="A347" s="138"/>
      <c r="B347" s="81" t="s">
        <v>1032</v>
      </c>
      <c r="C347" s="144" t="s">
        <v>1027</v>
      </c>
      <c r="K347" s="147"/>
      <c r="T347" s="155" t="s">
        <v>1033</v>
      </c>
      <c r="U347" s="89" t="s">
        <v>1029</v>
      </c>
      <c r="CN347" s="69" t="str">
        <f t="shared" si="4973"/>
        <v>InitUnitState('IK4C',,,,,,,,,,)</v>
      </c>
      <c r="CO347" s="69" t="str">
        <f t="shared" si="4974"/>
        <v>InitUnitNormal('IK4C',,,,,,,,,,)</v>
      </c>
      <c r="CP347" s="69" t="str">
        <f t="shared" si="4975"/>
        <v>InitUnitMagic('IK4C',,,,,,,,,,)</v>
      </c>
      <c r="CQ347" s="69" t="str">
        <f t="shared" si="4976"/>
        <v>InitUnitAdd('IK4C',,,,,,,,,,)</v>
      </c>
      <c r="CR347" s="69" t="str">
        <f t="shared" si="4977"/>
        <v>InitEquipData('IK4C',,"",,,,,'','','','','','',"ReplaceableTextures\\CommandButtons\\BTNSST13.blp")</v>
      </c>
      <c r="CU347" s="99" t="str">
        <f t="shared" si="4978"/>
        <v>|n</v>
      </c>
      <c r="CV347" s="70" t="str">
        <f t="shared" si="4669"/>
        <v>攻击|Cffffc926+50000|r，攻击|Cffffc926+12%|n|n|r|Cffaaaaaa○|CffFFD24D木之刻印+1|r|r|n|n|Cff00ff7f点击穿戴或脱卸。|r</v>
      </c>
      <c r="CW347" s="60"/>
      <c r="CX347" s="60"/>
      <c r="CY347" s="60"/>
      <c r="CZ347" s="60"/>
      <c r="DA347" s="60"/>
      <c r="DB347" s="71" t="str">
        <f t="shared" si="4979"/>
        <v/>
      </c>
      <c r="DC347" s="71" t="str">
        <f t="shared" si="4980"/>
        <v/>
      </c>
      <c r="DD347" s="71" t="str">
        <f t="shared" si="4981"/>
        <v/>
      </c>
      <c r="DE347" s="71" t="str">
        <f t="shared" si="4982"/>
        <v/>
      </c>
      <c r="DF347" s="71" t="str">
        <f t="shared" si="4983"/>
        <v/>
      </c>
      <c r="DG347" s="71" t="str">
        <f t="shared" si="4984"/>
        <v/>
      </c>
      <c r="DH347" s="71" t="str">
        <f t="shared" si="4985"/>
        <v/>
      </c>
      <c r="DI347" s="71" t="str">
        <f t="shared" si="4986"/>
        <v/>
      </c>
      <c r="DJ347" s="71" t="str">
        <f t="shared" si="4987"/>
        <v/>
      </c>
      <c r="DK347" s="71" t="str">
        <f t="shared" si="4988"/>
        <v/>
      </c>
      <c r="DL347" s="71" t="str">
        <f t="shared" si="4989"/>
        <v/>
      </c>
      <c r="DM347" s="71" t="str">
        <f t="shared" si="4990"/>
        <v/>
      </c>
      <c r="DN347" s="71" t="str">
        <f t="shared" si="4991"/>
        <v/>
      </c>
      <c r="DO347" s="71" t="str">
        <f t="shared" si="4992"/>
        <v/>
      </c>
      <c r="DP347" s="71" t="str">
        <f t="shared" si="4993"/>
        <v/>
      </c>
      <c r="DQ347" s="71" t="str">
        <f t="shared" si="4994"/>
        <v/>
      </c>
      <c r="DR347" s="71" t="str">
        <f t="shared" si="4995"/>
        <v/>
      </c>
      <c r="DS347" s="71" t="str">
        <f t="shared" si="4996"/>
        <v/>
      </c>
      <c r="DT347" s="71" t="str">
        <f t="shared" si="4997"/>
        <v/>
      </c>
      <c r="DU347" s="71" t="str">
        <f t="shared" si="4998"/>
        <v/>
      </c>
      <c r="DV347" s="71" t="str">
        <f t="shared" si="4999"/>
        <v/>
      </c>
      <c r="DW347" s="71" t="str">
        <f t="shared" si="5000"/>
        <v/>
      </c>
      <c r="DX347" s="71" t="str">
        <f t="shared" si="5001"/>
        <v/>
      </c>
      <c r="DY347" s="71" t="str">
        <f t="shared" si="5002"/>
        <v/>
      </c>
      <c r="DZ347" s="71" t="str">
        <f t="shared" si="5003"/>
        <v/>
      </c>
      <c r="EA347" s="71" t="str">
        <f t="shared" si="5004"/>
        <v/>
      </c>
      <c r="EB347" s="71" t="str">
        <f t="shared" si="5005"/>
        <v/>
      </c>
      <c r="EC347" s="71" t="str">
        <f t="shared" si="5006"/>
        <v/>
      </c>
      <c r="ED347" s="71" t="str">
        <f t="shared" si="5007"/>
        <v/>
      </c>
      <c r="EE347" s="71" t="str">
        <f t="shared" si="5008"/>
        <v/>
      </c>
      <c r="EF347" s="71" t="str">
        <f t="shared" si="5009"/>
        <v/>
      </c>
      <c r="EG347" s="71" t="str">
        <f t="shared" si="5010"/>
        <v/>
      </c>
      <c r="EH347" s="71" t="str">
        <f t="shared" si="5011"/>
        <v/>
      </c>
      <c r="EI347" s="71" t="str">
        <f t="shared" si="5012"/>
        <v/>
      </c>
      <c r="EJ347" s="71" t="str">
        <f t="shared" si="5013"/>
        <v/>
      </c>
      <c r="EK347" s="71" t="str">
        <f t="shared" si="5014"/>
        <v/>
      </c>
      <c r="EL347" s="71" t="str">
        <f t="shared" si="5015"/>
        <v/>
      </c>
      <c r="EM347" s="71" t="str">
        <f t="shared" si="5016"/>
        <v/>
      </c>
      <c r="EN347" s="71" t="str">
        <f t="shared" si="5017"/>
        <v/>
      </c>
      <c r="EO347" s="71" t="str">
        <f t="shared" si="5018"/>
        <v/>
      </c>
      <c r="EP347" s="71" t="str">
        <f t="shared" si="5019"/>
        <v/>
      </c>
      <c r="EQ347" s="71" t="str">
        <f t="shared" si="5020"/>
        <v/>
      </c>
      <c r="ER347" s="71" t="str">
        <f t="shared" si="5021"/>
        <v/>
      </c>
      <c r="ES347" s="71" t="str">
        <f t="shared" si="5022"/>
        <v/>
      </c>
      <c r="ET347" s="71" t="str">
        <f t="shared" si="5023"/>
        <v/>
      </c>
      <c r="EU347" s="71" t="str">
        <f t="shared" si="5024"/>
        <v/>
      </c>
      <c r="EV347" s="71" t="str">
        <f t="shared" si="5025"/>
        <v/>
      </c>
      <c r="EW347" s="71" t="str">
        <f t="shared" si="5026"/>
        <v/>
      </c>
      <c r="EX347" s="71" t="str">
        <f t="shared" si="5027"/>
        <v/>
      </c>
      <c r="EY347" s="71" t="str">
        <f t="shared" si="5028"/>
        <v/>
      </c>
      <c r="EZ347" s="71" t="str">
        <f t="shared" si="5029"/>
        <v/>
      </c>
      <c r="FA347" s="71" t="str">
        <f t="shared" si="5030"/>
        <v/>
      </c>
      <c r="FB347" s="71" t="str">
        <f t="shared" si="5031"/>
        <v/>
      </c>
      <c r="FC347" s="71" t="str">
        <f t="shared" si="5032"/>
        <v/>
      </c>
      <c r="FD347" s="71" t="str">
        <f t="shared" si="5033"/>
        <v/>
      </c>
      <c r="FE347" s="71" t="str">
        <f t="shared" si="5034"/>
        <v/>
      </c>
      <c r="FF347" s="71" t="str">
        <f t="shared" si="5035"/>
        <v/>
      </c>
      <c r="FG347" s="71" t="str">
        <f t="shared" si="5036"/>
        <v/>
      </c>
      <c r="FH347" s="71" t="str">
        <f t="shared" si="5037"/>
        <v/>
      </c>
      <c r="FI347" s="71" t="str">
        <f t="shared" si="5038"/>
        <v/>
      </c>
      <c r="FJ347" s="71" t="str">
        <f t="shared" si="5039"/>
        <v/>
      </c>
      <c r="FK347" s="71" t="str">
        <f t="shared" si="5040"/>
        <v/>
      </c>
      <c r="FL347" s="71" t="str">
        <f t="shared" si="5041"/>
        <v/>
      </c>
      <c r="FM347" s="71" t="str">
        <f t="shared" si="5042"/>
        <v/>
      </c>
      <c r="FN347" s="71" t="str">
        <f t="shared" si="5043"/>
        <v/>
      </c>
      <c r="FO347" s="71" t="str">
        <f t="shared" si="5044"/>
        <v/>
      </c>
      <c r="FP347" s="71" t="str">
        <f t="shared" si="5045"/>
        <v/>
      </c>
      <c r="FQ347" s="71" t="str">
        <f t="shared" si="5046"/>
        <v/>
      </c>
      <c r="FR347" s="71" t="str">
        <f t="shared" si="5047"/>
        <v/>
      </c>
      <c r="FS347" s="71" t="str">
        <f t="shared" si="5048"/>
        <v/>
      </c>
    </row>
    <row r="348" ht="15" spans="1:175">
      <c r="A348" s="138"/>
      <c r="B348" s="81" t="s">
        <v>1034</v>
      </c>
      <c r="C348" s="144" t="s">
        <v>1027</v>
      </c>
      <c r="K348" s="147"/>
      <c r="T348" s="155" t="s">
        <v>1035</v>
      </c>
      <c r="U348" s="89" t="s">
        <v>1029</v>
      </c>
      <c r="CN348" s="69" t="str">
        <f t="shared" si="4973"/>
        <v>InitUnitState('IK4D',,,,,,,,,,)</v>
      </c>
      <c r="CO348" s="69" t="str">
        <f t="shared" si="4974"/>
        <v>InitUnitNormal('IK4D',,,,,,,,,,)</v>
      </c>
      <c r="CP348" s="69" t="str">
        <f t="shared" si="4975"/>
        <v>InitUnitMagic('IK4D',,,,,,,,,,)</v>
      </c>
      <c r="CQ348" s="69" t="str">
        <f t="shared" si="4976"/>
        <v>InitUnitAdd('IK4D',,,,,,,,,,)</v>
      </c>
      <c r="CR348" s="69" t="str">
        <f t="shared" si="4977"/>
        <v>InitEquipData('IK4D',,"",,,,,'','','','','','',"ReplaceableTextures\\CommandButtons\\BTNSST13.blp")</v>
      </c>
      <c r="CU348" s="99" t="str">
        <f t="shared" si="4978"/>
        <v>|n</v>
      </c>
      <c r="CV348" s="70" t="str">
        <f t="shared" si="4669"/>
        <v>攻击|Cffffc926+50000|r，攻击|Cffffc926+12%|n|n|r|Cffaaaaaa○|CffFFD24D水之刻印+1|r|r|n|n|Cff00ff7f点击穿戴或脱卸。|r</v>
      </c>
      <c r="CW348" s="60"/>
      <c r="CX348" s="60"/>
      <c r="CY348" s="60"/>
      <c r="CZ348" s="60"/>
      <c r="DA348" s="60"/>
      <c r="DB348" s="71" t="str">
        <f t="shared" si="4979"/>
        <v/>
      </c>
      <c r="DC348" s="71" t="str">
        <f t="shared" si="4980"/>
        <v/>
      </c>
      <c r="DD348" s="71" t="str">
        <f t="shared" si="4981"/>
        <v/>
      </c>
      <c r="DE348" s="71" t="str">
        <f t="shared" si="4982"/>
        <v/>
      </c>
      <c r="DF348" s="71" t="str">
        <f t="shared" si="4983"/>
        <v/>
      </c>
      <c r="DG348" s="71" t="str">
        <f t="shared" si="4984"/>
        <v/>
      </c>
      <c r="DH348" s="71" t="str">
        <f t="shared" si="4985"/>
        <v/>
      </c>
      <c r="DI348" s="71" t="str">
        <f t="shared" si="4986"/>
        <v/>
      </c>
      <c r="DJ348" s="71" t="str">
        <f t="shared" si="4987"/>
        <v/>
      </c>
      <c r="DK348" s="71" t="str">
        <f t="shared" si="4988"/>
        <v/>
      </c>
      <c r="DL348" s="71" t="str">
        <f t="shared" si="4989"/>
        <v/>
      </c>
      <c r="DM348" s="71" t="str">
        <f t="shared" si="4990"/>
        <v/>
      </c>
      <c r="DN348" s="71" t="str">
        <f t="shared" si="4991"/>
        <v/>
      </c>
      <c r="DO348" s="71" t="str">
        <f t="shared" si="4992"/>
        <v/>
      </c>
      <c r="DP348" s="71" t="str">
        <f t="shared" si="4993"/>
        <v/>
      </c>
      <c r="DQ348" s="71" t="str">
        <f t="shared" si="4994"/>
        <v/>
      </c>
      <c r="DR348" s="71" t="str">
        <f t="shared" si="4995"/>
        <v/>
      </c>
      <c r="DS348" s="71" t="str">
        <f t="shared" si="4996"/>
        <v/>
      </c>
      <c r="DT348" s="71" t="str">
        <f t="shared" si="4997"/>
        <v/>
      </c>
      <c r="DU348" s="71" t="str">
        <f t="shared" si="4998"/>
        <v/>
      </c>
      <c r="DV348" s="71" t="str">
        <f t="shared" si="4999"/>
        <v/>
      </c>
      <c r="DW348" s="71" t="str">
        <f t="shared" si="5000"/>
        <v/>
      </c>
      <c r="DX348" s="71" t="str">
        <f t="shared" si="5001"/>
        <v/>
      </c>
      <c r="DY348" s="71" t="str">
        <f t="shared" si="5002"/>
        <v/>
      </c>
      <c r="DZ348" s="71" t="str">
        <f t="shared" si="5003"/>
        <v/>
      </c>
      <c r="EA348" s="71" t="str">
        <f t="shared" si="5004"/>
        <v/>
      </c>
      <c r="EB348" s="71" t="str">
        <f t="shared" si="5005"/>
        <v/>
      </c>
      <c r="EC348" s="71" t="str">
        <f t="shared" si="5006"/>
        <v/>
      </c>
      <c r="ED348" s="71" t="str">
        <f t="shared" si="5007"/>
        <v/>
      </c>
      <c r="EE348" s="71" t="str">
        <f t="shared" si="5008"/>
        <v/>
      </c>
      <c r="EF348" s="71" t="str">
        <f t="shared" si="5009"/>
        <v/>
      </c>
      <c r="EG348" s="71" t="str">
        <f t="shared" si="5010"/>
        <v/>
      </c>
      <c r="EH348" s="71" t="str">
        <f t="shared" si="5011"/>
        <v/>
      </c>
      <c r="EI348" s="71" t="str">
        <f t="shared" si="5012"/>
        <v/>
      </c>
      <c r="EJ348" s="71" t="str">
        <f t="shared" si="5013"/>
        <v/>
      </c>
      <c r="EK348" s="71" t="str">
        <f t="shared" si="5014"/>
        <v/>
      </c>
      <c r="EL348" s="71" t="str">
        <f t="shared" si="5015"/>
        <v/>
      </c>
      <c r="EM348" s="71" t="str">
        <f t="shared" si="5016"/>
        <v/>
      </c>
      <c r="EN348" s="71" t="str">
        <f t="shared" si="5017"/>
        <v/>
      </c>
      <c r="EO348" s="71" t="str">
        <f t="shared" si="5018"/>
        <v/>
      </c>
      <c r="EP348" s="71" t="str">
        <f t="shared" si="5019"/>
        <v/>
      </c>
      <c r="EQ348" s="71" t="str">
        <f t="shared" si="5020"/>
        <v/>
      </c>
      <c r="ER348" s="71" t="str">
        <f t="shared" si="5021"/>
        <v/>
      </c>
      <c r="ES348" s="71" t="str">
        <f t="shared" si="5022"/>
        <v/>
      </c>
      <c r="ET348" s="71" t="str">
        <f t="shared" si="5023"/>
        <v/>
      </c>
      <c r="EU348" s="71" t="str">
        <f t="shared" si="5024"/>
        <v/>
      </c>
      <c r="EV348" s="71" t="str">
        <f t="shared" si="5025"/>
        <v/>
      </c>
      <c r="EW348" s="71" t="str">
        <f t="shared" si="5026"/>
        <v/>
      </c>
      <c r="EX348" s="71" t="str">
        <f t="shared" si="5027"/>
        <v/>
      </c>
      <c r="EY348" s="71" t="str">
        <f t="shared" si="5028"/>
        <v/>
      </c>
      <c r="EZ348" s="71" t="str">
        <f t="shared" si="5029"/>
        <v/>
      </c>
      <c r="FA348" s="71" t="str">
        <f t="shared" si="5030"/>
        <v/>
      </c>
      <c r="FB348" s="71" t="str">
        <f t="shared" si="5031"/>
        <v/>
      </c>
      <c r="FC348" s="71" t="str">
        <f t="shared" si="5032"/>
        <v/>
      </c>
      <c r="FD348" s="71" t="str">
        <f t="shared" si="5033"/>
        <v/>
      </c>
      <c r="FE348" s="71" t="str">
        <f t="shared" si="5034"/>
        <v/>
      </c>
      <c r="FF348" s="71" t="str">
        <f t="shared" si="5035"/>
        <v/>
      </c>
      <c r="FG348" s="71" t="str">
        <f t="shared" si="5036"/>
        <v/>
      </c>
      <c r="FH348" s="71" t="str">
        <f t="shared" si="5037"/>
        <v/>
      </c>
      <c r="FI348" s="71" t="str">
        <f t="shared" si="5038"/>
        <v/>
      </c>
      <c r="FJ348" s="71" t="str">
        <f t="shared" si="5039"/>
        <v/>
      </c>
      <c r="FK348" s="71" t="str">
        <f t="shared" si="5040"/>
        <v/>
      </c>
      <c r="FL348" s="71" t="str">
        <f t="shared" si="5041"/>
        <v/>
      </c>
      <c r="FM348" s="71" t="str">
        <f t="shared" si="5042"/>
        <v/>
      </c>
      <c r="FN348" s="71" t="str">
        <f t="shared" si="5043"/>
        <v/>
      </c>
      <c r="FO348" s="71" t="str">
        <f t="shared" si="5044"/>
        <v/>
      </c>
      <c r="FP348" s="71" t="str">
        <f t="shared" si="5045"/>
        <v/>
      </c>
      <c r="FQ348" s="71" t="str">
        <f t="shared" si="5046"/>
        <v/>
      </c>
      <c r="FR348" s="71" t="str">
        <f t="shared" si="5047"/>
        <v/>
      </c>
      <c r="FS348" s="71" t="str">
        <f t="shared" si="5048"/>
        <v/>
      </c>
    </row>
    <row r="349" ht="15" spans="1:175">
      <c r="A349" s="138"/>
      <c r="B349" s="81" t="s">
        <v>1036</v>
      </c>
      <c r="C349" s="144" t="s">
        <v>1027</v>
      </c>
      <c r="K349" s="147"/>
      <c r="T349" s="155" t="s">
        <v>1037</v>
      </c>
      <c r="U349" s="89" t="s">
        <v>1029</v>
      </c>
      <c r="CN349" s="69" t="str">
        <f t="shared" si="4973"/>
        <v>InitUnitState('IK4E',,,,,,,,,,)</v>
      </c>
      <c r="CO349" s="69" t="str">
        <f t="shared" si="4974"/>
        <v>InitUnitNormal('IK4E',,,,,,,,,,)</v>
      </c>
      <c r="CP349" s="69" t="str">
        <f t="shared" si="4975"/>
        <v>InitUnitMagic('IK4E',,,,,,,,,,)</v>
      </c>
      <c r="CQ349" s="69" t="str">
        <f t="shared" si="4976"/>
        <v>InitUnitAdd('IK4E',,,,,,,,,,)</v>
      </c>
      <c r="CR349" s="69" t="str">
        <f t="shared" si="4977"/>
        <v>InitEquipData('IK4E',,"",,,,,'','','','','','',"ReplaceableTextures\\CommandButtons\\BTNSST13.blp")</v>
      </c>
      <c r="CU349" s="99" t="str">
        <f t="shared" si="4978"/>
        <v>|n</v>
      </c>
      <c r="CV349" s="70" t="str">
        <f t="shared" si="4669"/>
        <v>攻击|Cffffc926+50000|r，攻击|Cffffc926+12%|n|n|r|Cffaaaaaa○|CffFFD24D火之刻印+1|r|r|n|n|Cff00ff7f点击穿戴或脱卸。|r</v>
      </c>
      <c r="CW349" s="60"/>
      <c r="CX349" s="60"/>
      <c r="CY349" s="60"/>
      <c r="CZ349" s="60"/>
      <c r="DA349" s="60"/>
      <c r="DB349" s="71" t="str">
        <f t="shared" si="4979"/>
        <v/>
      </c>
      <c r="DC349" s="71" t="str">
        <f t="shared" si="4980"/>
        <v/>
      </c>
      <c r="DD349" s="71" t="str">
        <f t="shared" si="4981"/>
        <v/>
      </c>
      <c r="DE349" s="71" t="str">
        <f t="shared" si="4982"/>
        <v/>
      </c>
      <c r="DF349" s="71" t="str">
        <f t="shared" si="4983"/>
        <v/>
      </c>
      <c r="DG349" s="71" t="str">
        <f t="shared" si="4984"/>
        <v/>
      </c>
      <c r="DH349" s="71" t="str">
        <f t="shared" si="4985"/>
        <v/>
      </c>
      <c r="DI349" s="71" t="str">
        <f t="shared" si="4986"/>
        <v/>
      </c>
      <c r="DJ349" s="71" t="str">
        <f t="shared" si="4987"/>
        <v/>
      </c>
      <c r="DK349" s="71" t="str">
        <f t="shared" si="4988"/>
        <v/>
      </c>
      <c r="DL349" s="71" t="str">
        <f t="shared" si="4989"/>
        <v/>
      </c>
      <c r="DM349" s="71" t="str">
        <f t="shared" si="4990"/>
        <v/>
      </c>
      <c r="DN349" s="71" t="str">
        <f t="shared" si="4991"/>
        <v/>
      </c>
      <c r="DO349" s="71" t="str">
        <f t="shared" si="4992"/>
        <v/>
      </c>
      <c r="DP349" s="71" t="str">
        <f t="shared" si="4993"/>
        <v/>
      </c>
      <c r="DQ349" s="71" t="str">
        <f t="shared" si="4994"/>
        <v/>
      </c>
      <c r="DR349" s="71" t="str">
        <f t="shared" si="4995"/>
        <v/>
      </c>
      <c r="DS349" s="71" t="str">
        <f t="shared" si="4996"/>
        <v/>
      </c>
      <c r="DT349" s="71" t="str">
        <f t="shared" si="4997"/>
        <v/>
      </c>
      <c r="DU349" s="71" t="str">
        <f t="shared" si="4998"/>
        <v/>
      </c>
      <c r="DV349" s="71" t="str">
        <f t="shared" si="4999"/>
        <v/>
      </c>
      <c r="DW349" s="71" t="str">
        <f t="shared" si="5000"/>
        <v/>
      </c>
      <c r="DX349" s="71" t="str">
        <f t="shared" si="5001"/>
        <v/>
      </c>
      <c r="DY349" s="71" t="str">
        <f t="shared" si="5002"/>
        <v/>
      </c>
      <c r="DZ349" s="71" t="str">
        <f t="shared" si="5003"/>
        <v/>
      </c>
      <c r="EA349" s="71" t="str">
        <f t="shared" si="5004"/>
        <v/>
      </c>
      <c r="EB349" s="71" t="str">
        <f t="shared" si="5005"/>
        <v/>
      </c>
      <c r="EC349" s="71" t="str">
        <f t="shared" si="5006"/>
        <v/>
      </c>
      <c r="ED349" s="71" t="str">
        <f t="shared" si="5007"/>
        <v/>
      </c>
      <c r="EE349" s="71" t="str">
        <f t="shared" si="5008"/>
        <v/>
      </c>
      <c r="EF349" s="71" t="str">
        <f t="shared" si="5009"/>
        <v/>
      </c>
      <c r="EG349" s="71" t="str">
        <f t="shared" si="5010"/>
        <v/>
      </c>
      <c r="EH349" s="71" t="str">
        <f t="shared" si="5011"/>
        <v/>
      </c>
      <c r="EI349" s="71" t="str">
        <f t="shared" si="5012"/>
        <v/>
      </c>
      <c r="EJ349" s="71" t="str">
        <f t="shared" si="5013"/>
        <v/>
      </c>
      <c r="EK349" s="71" t="str">
        <f t="shared" si="5014"/>
        <v/>
      </c>
      <c r="EL349" s="71" t="str">
        <f t="shared" si="5015"/>
        <v/>
      </c>
      <c r="EM349" s="71" t="str">
        <f t="shared" si="5016"/>
        <v/>
      </c>
      <c r="EN349" s="71" t="str">
        <f t="shared" si="5017"/>
        <v/>
      </c>
      <c r="EO349" s="71" t="str">
        <f t="shared" si="5018"/>
        <v/>
      </c>
      <c r="EP349" s="71" t="str">
        <f t="shared" si="5019"/>
        <v/>
      </c>
      <c r="EQ349" s="71" t="str">
        <f t="shared" si="5020"/>
        <v/>
      </c>
      <c r="ER349" s="71" t="str">
        <f t="shared" si="5021"/>
        <v/>
      </c>
      <c r="ES349" s="71" t="str">
        <f t="shared" si="5022"/>
        <v/>
      </c>
      <c r="ET349" s="71" t="str">
        <f t="shared" si="5023"/>
        <v/>
      </c>
      <c r="EU349" s="71" t="str">
        <f t="shared" si="5024"/>
        <v/>
      </c>
      <c r="EV349" s="71" t="str">
        <f t="shared" si="5025"/>
        <v/>
      </c>
      <c r="EW349" s="71" t="str">
        <f t="shared" si="5026"/>
        <v/>
      </c>
      <c r="EX349" s="71" t="str">
        <f t="shared" si="5027"/>
        <v/>
      </c>
      <c r="EY349" s="71" t="str">
        <f t="shared" si="5028"/>
        <v/>
      </c>
      <c r="EZ349" s="71" t="str">
        <f t="shared" si="5029"/>
        <v/>
      </c>
      <c r="FA349" s="71" t="str">
        <f t="shared" si="5030"/>
        <v/>
      </c>
      <c r="FB349" s="71" t="str">
        <f t="shared" si="5031"/>
        <v/>
      </c>
      <c r="FC349" s="71" t="str">
        <f t="shared" si="5032"/>
        <v/>
      </c>
      <c r="FD349" s="71" t="str">
        <f t="shared" si="5033"/>
        <v/>
      </c>
      <c r="FE349" s="71" t="str">
        <f t="shared" si="5034"/>
        <v/>
      </c>
      <c r="FF349" s="71" t="str">
        <f t="shared" si="5035"/>
        <v/>
      </c>
      <c r="FG349" s="71" t="str">
        <f t="shared" si="5036"/>
        <v/>
      </c>
      <c r="FH349" s="71" t="str">
        <f t="shared" si="5037"/>
        <v/>
      </c>
      <c r="FI349" s="71" t="str">
        <f t="shared" si="5038"/>
        <v/>
      </c>
      <c r="FJ349" s="71" t="str">
        <f t="shared" si="5039"/>
        <v/>
      </c>
      <c r="FK349" s="71" t="str">
        <f t="shared" si="5040"/>
        <v/>
      </c>
      <c r="FL349" s="71" t="str">
        <f t="shared" si="5041"/>
        <v/>
      </c>
      <c r="FM349" s="71" t="str">
        <f t="shared" si="5042"/>
        <v/>
      </c>
      <c r="FN349" s="71" t="str">
        <f t="shared" si="5043"/>
        <v/>
      </c>
      <c r="FO349" s="71" t="str">
        <f t="shared" si="5044"/>
        <v/>
      </c>
      <c r="FP349" s="71" t="str">
        <f t="shared" si="5045"/>
        <v/>
      </c>
      <c r="FQ349" s="71" t="str">
        <f t="shared" si="5046"/>
        <v/>
      </c>
      <c r="FR349" s="71" t="str">
        <f t="shared" si="5047"/>
        <v/>
      </c>
      <c r="FS349" s="71" t="str">
        <f t="shared" si="5048"/>
        <v/>
      </c>
    </row>
    <row r="350" ht="15" spans="1:175">
      <c r="A350" s="138"/>
      <c r="B350" s="81" t="s">
        <v>1038</v>
      </c>
      <c r="C350" s="144" t="s">
        <v>1027</v>
      </c>
      <c r="K350" s="147"/>
      <c r="T350" s="155" t="s">
        <v>1039</v>
      </c>
      <c r="U350" s="89" t="s">
        <v>1029</v>
      </c>
      <c r="CN350" s="69" t="str">
        <f t="shared" si="4973"/>
        <v>InitUnitState('IK4F',,,,,,,,,,)</v>
      </c>
      <c r="CO350" s="69" t="str">
        <f t="shared" si="4974"/>
        <v>InitUnitNormal('IK4F',,,,,,,,,,)</v>
      </c>
      <c r="CP350" s="69" t="str">
        <f t="shared" si="4975"/>
        <v>InitUnitMagic('IK4F',,,,,,,,,,)</v>
      </c>
      <c r="CQ350" s="69" t="str">
        <f t="shared" si="4976"/>
        <v>InitUnitAdd('IK4F',,,,,,,,,,)</v>
      </c>
      <c r="CR350" s="69" t="str">
        <f t="shared" si="4977"/>
        <v>InitEquipData('IK4F',,"",,,,,'','','','','','',"ReplaceableTextures\\CommandButtons\\BTNSST13.blp")</v>
      </c>
      <c r="CU350" s="99" t="str">
        <f t="shared" si="4978"/>
        <v>|n</v>
      </c>
      <c r="CV350" s="70" t="str">
        <f t="shared" si="4669"/>
        <v>攻击|Cffffc926+50000|r，攻击|Cffffc926+12%|n|n|r|Cffaaaaaa○|CffFFD24D土之刻印+1|r|r|n|n|Cff00ff7f点击穿戴或脱卸。|r</v>
      </c>
      <c r="CW350" s="60"/>
      <c r="CX350" s="60"/>
      <c r="CY350" s="60"/>
      <c r="CZ350" s="60"/>
      <c r="DA350" s="60"/>
      <c r="DB350" s="71" t="str">
        <f t="shared" si="4979"/>
        <v/>
      </c>
      <c r="DC350" s="71" t="str">
        <f t="shared" si="4980"/>
        <v/>
      </c>
      <c r="DD350" s="71" t="str">
        <f t="shared" si="4981"/>
        <v/>
      </c>
      <c r="DE350" s="71" t="str">
        <f t="shared" si="4982"/>
        <v/>
      </c>
      <c r="DF350" s="71" t="str">
        <f t="shared" si="4983"/>
        <v/>
      </c>
      <c r="DG350" s="71" t="str">
        <f t="shared" si="4984"/>
        <v/>
      </c>
      <c r="DH350" s="71" t="str">
        <f t="shared" si="4985"/>
        <v/>
      </c>
      <c r="DI350" s="71" t="str">
        <f t="shared" si="4986"/>
        <v/>
      </c>
      <c r="DJ350" s="71" t="str">
        <f t="shared" si="4987"/>
        <v/>
      </c>
      <c r="DK350" s="71" t="str">
        <f t="shared" si="4988"/>
        <v/>
      </c>
      <c r="DL350" s="71" t="str">
        <f t="shared" si="4989"/>
        <v/>
      </c>
      <c r="DM350" s="71" t="str">
        <f t="shared" si="4990"/>
        <v/>
      </c>
      <c r="DN350" s="71" t="str">
        <f t="shared" si="4991"/>
        <v/>
      </c>
      <c r="DO350" s="71" t="str">
        <f t="shared" si="4992"/>
        <v/>
      </c>
      <c r="DP350" s="71" t="str">
        <f t="shared" si="4993"/>
        <v/>
      </c>
      <c r="DQ350" s="71" t="str">
        <f t="shared" si="4994"/>
        <v/>
      </c>
      <c r="DR350" s="71" t="str">
        <f t="shared" si="4995"/>
        <v/>
      </c>
      <c r="DS350" s="71" t="str">
        <f t="shared" si="4996"/>
        <v/>
      </c>
      <c r="DT350" s="71" t="str">
        <f t="shared" si="4997"/>
        <v/>
      </c>
      <c r="DU350" s="71" t="str">
        <f t="shared" si="4998"/>
        <v/>
      </c>
      <c r="DV350" s="71" t="str">
        <f t="shared" si="4999"/>
        <v/>
      </c>
      <c r="DW350" s="71" t="str">
        <f t="shared" si="5000"/>
        <v/>
      </c>
      <c r="DX350" s="71" t="str">
        <f t="shared" si="5001"/>
        <v/>
      </c>
      <c r="DY350" s="71" t="str">
        <f t="shared" si="5002"/>
        <v/>
      </c>
      <c r="DZ350" s="71" t="str">
        <f t="shared" si="5003"/>
        <v/>
      </c>
      <c r="EA350" s="71" t="str">
        <f t="shared" si="5004"/>
        <v/>
      </c>
      <c r="EB350" s="71" t="str">
        <f t="shared" si="5005"/>
        <v/>
      </c>
      <c r="EC350" s="71" t="str">
        <f t="shared" si="5006"/>
        <v/>
      </c>
      <c r="ED350" s="71" t="str">
        <f t="shared" si="5007"/>
        <v/>
      </c>
      <c r="EE350" s="71" t="str">
        <f t="shared" si="5008"/>
        <v/>
      </c>
      <c r="EF350" s="71" t="str">
        <f t="shared" si="5009"/>
        <v/>
      </c>
      <c r="EG350" s="71" t="str">
        <f t="shared" si="5010"/>
        <v/>
      </c>
      <c r="EH350" s="71" t="str">
        <f t="shared" si="5011"/>
        <v/>
      </c>
      <c r="EI350" s="71" t="str">
        <f t="shared" si="5012"/>
        <v/>
      </c>
      <c r="EJ350" s="71" t="str">
        <f t="shared" si="5013"/>
        <v/>
      </c>
      <c r="EK350" s="71" t="str">
        <f t="shared" si="5014"/>
        <v/>
      </c>
      <c r="EL350" s="71" t="str">
        <f t="shared" si="5015"/>
        <v/>
      </c>
      <c r="EM350" s="71" t="str">
        <f t="shared" si="5016"/>
        <v/>
      </c>
      <c r="EN350" s="71" t="str">
        <f t="shared" si="5017"/>
        <v/>
      </c>
      <c r="EO350" s="71" t="str">
        <f t="shared" si="5018"/>
        <v/>
      </c>
      <c r="EP350" s="71" t="str">
        <f t="shared" si="5019"/>
        <v/>
      </c>
      <c r="EQ350" s="71" t="str">
        <f t="shared" si="5020"/>
        <v/>
      </c>
      <c r="ER350" s="71" t="str">
        <f t="shared" si="5021"/>
        <v/>
      </c>
      <c r="ES350" s="71" t="str">
        <f t="shared" si="5022"/>
        <v/>
      </c>
      <c r="ET350" s="71" t="str">
        <f t="shared" si="5023"/>
        <v/>
      </c>
      <c r="EU350" s="71" t="str">
        <f t="shared" si="5024"/>
        <v/>
      </c>
      <c r="EV350" s="71" t="str">
        <f t="shared" si="5025"/>
        <v/>
      </c>
      <c r="EW350" s="71" t="str">
        <f t="shared" si="5026"/>
        <v/>
      </c>
      <c r="EX350" s="71" t="str">
        <f t="shared" si="5027"/>
        <v/>
      </c>
      <c r="EY350" s="71" t="str">
        <f t="shared" si="5028"/>
        <v/>
      </c>
      <c r="EZ350" s="71" t="str">
        <f t="shared" si="5029"/>
        <v/>
      </c>
      <c r="FA350" s="71" t="str">
        <f t="shared" si="5030"/>
        <v/>
      </c>
      <c r="FB350" s="71" t="str">
        <f t="shared" si="5031"/>
        <v/>
      </c>
      <c r="FC350" s="71" t="str">
        <f t="shared" si="5032"/>
        <v/>
      </c>
      <c r="FD350" s="71" t="str">
        <f t="shared" si="5033"/>
        <v/>
      </c>
      <c r="FE350" s="71" t="str">
        <f t="shared" si="5034"/>
        <v/>
      </c>
      <c r="FF350" s="71" t="str">
        <f t="shared" si="5035"/>
        <v/>
      </c>
      <c r="FG350" s="71" t="str">
        <f t="shared" si="5036"/>
        <v/>
      </c>
      <c r="FH350" s="71" t="str">
        <f t="shared" si="5037"/>
        <v/>
      </c>
      <c r="FI350" s="71" t="str">
        <f t="shared" si="5038"/>
        <v/>
      </c>
      <c r="FJ350" s="71" t="str">
        <f t="shared" si="5039"/>
        <v/>
      </c>
      <c r="FK350" s="71" t="str">
        <f t="shared" si="5040"/>
        <v/>
      </c>
      <c r="FL350" s="71" t="str">
        <f t="shared" si="5041"/>
        <v/>
      </c>
      <c r="FM350" s="71" t="str">
        <f t="shared" si="5042"/>
        <v/>
      </c>
      <c r="FN350" s="71" t="str">
        <f t="shared" si="5043"/>
        <v/>
      </c>
      <c r="FO350" s="71" t="str">
        <f t="shared" si="5044"/>
        <v/>
      </c>
      <c r="FP350" s="71" t="str">
        <f t="shared" si="5045"/>
        <v/>
      </c>
      <c r="FQ350" s="71" t="str">
        <f t="shared" si="5046"/>
        <v/>
      </c>
      <c r="FR350" s="71" t="str">
        <f t="shared" si="5047"/>
        <v/>
      </c>
      <c r="FS350" s="71" t="str">
        <f t="shared" si="5048"/>
        <v/>
      </c>
    </row>
    <row r="351" ht="15" spans="1:175">
      <c r="A351" s="138"/>
      <c r="B351" s="81" t="s">
        <v>1040</v>
      </c>
      <c r="C351" s="144" t="s">
        <v>1027</v>
      </c>
      <c r="K351" s="147"/>
      <c r="T351" s="155" t="s">
        <v>1041</v>
      </c>
      <c r="U351" s="89" t="s">
        <v>1029</v>
      </c>
      <c r="CN351" s="69" t="str">
        <f t="shared" si="4973"/>
        <v>InitUnitState('IK4G',,,,,,,,,,)</v>
      </c>
      <c r="CO351" s="69" t="str">
        <f t="shared" si="4974"/>
        <v>InitUnitNormal('IK4G',,,,,,,,,,)</v>
      </c>
      <c r="CP351" s="69" t="str">
        <f t="shared" si="4975"/>
        <v>InitUnitMagic('IK4G',,,,,,,,,,)</v>
      </c>
      <c r="CQ351" s="69" t="str">
        <f t="shared" si="4976"/>
        <v>InitUnitAdd('IK4G',,,,,,,,,,)</v>
      </c>
      <c r="CR351" s="69" t="str">
        <f t="shared" si="4977"/>
        <v>InitEquipData('IK4G',,"",,,,,'','','','','','',"ReplaceableTextures\\CommandButtons\\BTNSST13.blp")</v>
      </c>
      <c r="CU351" s="99" t="str">
        <f t="shared" si="4978"/>
        <v>|n</v>
      </c>
      <c r="CV351" s="70" t="str">
        <f t="shared" si="4669"/>
        <v>攻击|Cffffc926+50000|r，攻击|Cffffc926+12%|n|n|r|Cffaaaaaa○|CffFFD24D雷之刻印+1|r|r|n|n|Cff00ff7f点击穿戴或脱卸。|r</v>
      </c>
      <c r="CW351" s="60"/>
      <c r="CX351" s="60"/>
      <c r="CY351" s="60"/>
      <c r="CZ351" s="60"/>
      <c r="DA351" s="60"/>
      <c r="DB351" s="71" t="str">
        <f t="shared" si="4979"/>
        <v/>
      </c>
      <c r="DC351" s="71" t="str">
        <f t="shared" si="4980"/>
        <v/>
      </c>
      <c r="DD351" s="71" t="str">
        <f t="shared" si="4981"/>
        <v/>
      </c>
      <c r="DE351" s="71" t="str">
        <f t="shared" si="4982"/>
        <v/>
      </c>
      <c r="DF351" s="71" t="str">
        <f t="shared" si="4983"/>
        <v/>
      </c>
      <c r="DG351" s="71" t="str">
        <f t="shared" si="4984"/>
        <v/>
      </c>
      <c r="DH351" s="71" t="str">
        <f t="shared" si="4985"/>
        <v/>
      </c>
      <c r="DI351" s="71" t="str">
        <f t="shared" si="4986"/>
        <v/>
      </c>
      <c r="DJ351" s="71" t="str">
        <f t="shared" si="4987"/>
        <v/>
      </c>
      <c r="DK351" s="71" t="str">
        <f t="shared" si="4988"/>
        <v/>
      </c>
      <c r="DL351" s="71" t="str">
        <f t="shared" si="4989"/>
        <v/>
      </c>
      <c r="DM351" s="71" t="str">
        <f t="shared" si="4990"/>
        <v/>
      </c>
      <c r="DN351" s="71" t="str">
        <f t="shared" si="4991"/>
        <v/>
      </c>
      <c r="DO351" s="71" t="str">
        <f t="shared" si="4992"/>
        <v/>
      </c>
      <c r="DP351" s="71" t="str">
        <f t="shared" si="4993"/>
        <v/>
      </c>
      <c r="DQ351" s="71" t="str">
        <f t="shared" si="4994"/>
        <v/>
      </c>
      <c r="DR351" s="71" t="str">
        <f t="shared" si="4995"/>
        <v/>
      </c>
      <c r="DS351" s="71" t="str">
        <f t="shared" si="4996"/>
        <v/>
      </c>
      <c r="DT351" s="71" t="str">
        <f t="shared" si="4997"/>
        <v/>
      </c>
      <c r="DU351" s="71" t="str">
        <f t="shared" si="4998"/>
        <v/>
      </c>
      <c r="DV351" s="71" t="str">
        <f t="shared" si="4999"/>
        <v/>
      </c>
      <c r="DW351" s="71" t="str">
        <f t="shared" si="5000"/>
        <v/>
      </c>
      <c r="DX351" s="71" t="str">
        <f t="shared" si="5001"/>
        <v/>
      </c>
      <c r="DY351" s="71" t="str">
        <f t="shared" si="5002"/>
        <v/>
      </c>
      <c r="DZ351" s="71" t="str">
        <f t="shared" si="5003"/>
        <v/>
      </c>
      <c r="EA351" s="71" t="str">
        <f t="shared" si="5004"/>
        <v/>
      </c>
      <c r="EB351" s="71" t="str">
        <f t="shared" si="5005"/>
        <v/>
      </c>
      <c r="EC351" s="71" t="str">
        <f t="shared" si="5006"/>
        <v/>
      </c>
      <c r="ED351" s="71" t="str">
        <f t="shared" si="5007"/>
        <v/>
      </c>
      <c r="EE351" s="71" t="str">
        <f t="shared" si="5008"/>
        <v/>
      </c>
      <c r="EF351" s="71" t="str">
        <f t="shared" si="5009"/>
        <v/>
      </c>
      <c r="EG351" s="71" t="str">
        <f t="shared" si="5010"/>
        <v/>
      </c>
      <c r="EH351" s="71" t="str">
        <f t="shared" si="5011"/>
        <v/>
      </c>
      <c r="EI351" s="71" t="str">
        <f t="shared" si="5012"/>
        <v/>
      </c>
      <c r="EJ351" s="71" t="str">
        <f t="shared" si="5013"/>
        <v/>
      </c>
      <c r="EK351" s="71" t="str">
        <f t="shared" si="5014"/>
        <v/>
      </c>
      <c r="EL351" s="71" t="str">
        <f t="shared" si="5015"/>
        <v/>
      </c>
      <c r="EM351" s="71" t="str">
        <f t="shared" si="5016"/>
        <v/>
      </c>
      <c r="EN351" s="71" t="str">
        <f t="shared" si="5017"/>
        <v/>
      </c>
      <c r="EO351" s="71" t="str">
        <f t="shared" si="5018"/>
        <v/>
      </c>
      <c r="EP351" s="71" t="str">
        <f t="shared" si="5019"/>
        <v/>
      </c>
      <c r="EQ351" s="71" t="str">
        <f t="shared" si="5020"/>
        <v/>
      </c>
      <c r="ER351" s="71" t="str">
        <f t="shared" si="5021"/>
        <v/>
      </c>
      <c r="ES351" s="71" t="str">
        <f t="shared" si="5022"/>
        <v/>
      </c>
      <c r="ET351" s="71" t="str">
        <f t="shared" si="5023"/>
        <v/>
      </c>
      <c r="EU351" s="71" t="str">
        <f t="shared" si="5024"/>
        <v/>
      </c>
      <c r="EV351" s="71" t="str">
        <f t="shared" si="5025"/>
        <v/>
      </c>
      <c r="EW351" s="71" t="str">
        <f t="shared" si="5026"/>
        <v/>
      </c>
      <c r="EX351" s="71" t="str">
        <f t="shared" si="5027"/>
        <v/>
      </c>
      <c r="EY351" s="71" t="str">
        <f t="shared" si="5028"/>
        <v/>
      </c>
      <c r="EZ351" s="71" t="str">
        <f t="shared" si="5029"/>
        <v/>
      </c>
      <c r="FA351" s="71" t="str">
        <f t="shared" si="5030"/>
        <v/>
      </c>
      <c r="FB351" s="71" t="str">
        <f t="shared" si="5031"/>
        <v/>
      </c>
      <c r="FC351" s="71" t="str">
        <f t="shared" si="5032"/>
        <v/>
      </c>
      <c r="FD351" s="71" t="str">
        <f t="shared" si="5033"/>
        <v/>
      </c>
      <c r="FE351" s="71" t="str">
        <f t="shared" si="5034"/>
        <v/>
      </c>
      <c r="FF351" s="71" t="str">
        <f t="shared" si="5035"/>
        <v/>
      </c>
      <c r="FG351" s="71" t="str">
        <f t="shared" si="5036"/>
        <v/>
      </c>
      <c r="FH351" s="71" t="str">
        <f t="shared" si="5037"/>
        <v/>
      </c>
      <c r="FI351" s="71" t="str">
        <f t="shared" si="5038"/>
        <v/>
      </c>
      <c r="FJ351" s="71" t="str">
        <f t="shared" si="5039"/>
        <v/>
      </c>
      <c r="FK351" s="71" t="str">
        <f t="shared" si="5040"/>
        <v/>
      </c>
      <c r="FL351" s="71" t="str">
        <f t="shared" si="5041"/>
        <v/>
      </c>
      <c r="FM351" s="71" t="str">
        <f t="shared" si="5042"/>
        <v/>
      </c>
      <c r="FN351" s="71" t="str">
        <f t="shared" si="5043"/>
        <v/>
      </c>
      <c r="FO351" s="71" t="str">
        <f t="shared" si="5044"/>
        <v/>
      </c>
      <c r="FP351" s="71" t="str">
        <f t="shared" si="5045"/>
        <v/>
      </c>
      <c r="FQ351" s="71" t="str">
        <f t="shared" si="5046"/>
        <v/>
      </c>
      <c r="FR351" s="71" t="str">
        <f t="shared" si="5047"/>
        <v/>
      </c>
      <c r="FS351" s="71" t="str">
        <f t="shared" si="5048"/>
        <v/>
      </c>
    </row>
    <row r="352" ht="15" spans="1:175">
      <c r="A352" s="138"/>
      <c r="B352" s="81" t="s">
        <v>1042</v>
      </c>
      <c r="C352" s="144" t="s">
        <v>1027</v>
      </c>
      <c r="K352" s="147"/>
      <c r="T352" s="155" t="s">
        <v>1043</v>
      </c>
      <c r="U352" s="89" t="s">
        <v>1029</v>
      </c>
      <c r="CN352" s="69" t="str">
        <f t="shared" si="4973"/>
        <v>InitUnitState('IK4H',,,,,,,,,,)</v>
      </c>
      <c r="CO352" s="69" t="str">
        <f t="shared" si="4974"/>
        <v>InitUnitNormal('IK4H',,,,,,,,,,)</v>
      </c>
      <c r="CP352" s="69" t="str">
        <f t="shared" si="4975"/>
        <v>InitUnitMagic('IK4H',,,,,,,,,,)</v>
      </c>
      <c r="CQ352" s="69" t="str">
        <f t="shared" si="4976"/>
        <v>InitUnitAdd('IK4H',,,,,,,,,,)</v>
      </c>
      <c r="CR352" s="69" t="str">
        <f t="shared" si="4977"/>
        <v>InitEquipData('IK4H',,"",,,,,'','','','','','',"ReplaceableTextures\\CommandButtons\\BTNSST13.blp")</v>
      </c>
      <c r="CU352" s="99" t="str">
        <f t="shared" si="4978"/>
        <v>|n</v>
      </c>
      <c r="CV352" s="70" t="str">
        <f t="shared" si="4669"/>
        <v>攻击|Cffffc926+50000|r，攻击|Cffffc926+12%|n|n|r|Cffaaaaaa○|CffFFD24D光之刻印+1|r|r|n|n|Cff00ff7f点击穿戴或脱卸。|r</v>
      </c>
      <c r="CW352" s="60"/>
      <c r="CX352" s="60"/>
      <c r="CY352" s="60"/>
      <c r="CZ352" s="60"/>
      <c r="DA352" s="60"/>
      <c r="DB352" s="71" t="str">
        <f t="shared" si="4979"/>
        <v/>
      </c>
      <c r="DC352" s="71" t="str">
        <f t="shared" si="4980"/>
        <v/>
      </c>
      <c r="DD352" s="71" t="str">
        <f t="shared" si="4981"/>
        <v/>
      </c>
      <c r="DE352" s="71" t="str">
        <f t="shared" si="4982"/>
        <v/>
      </c>
      <c r="DF352" s="71" t="str">
        <f t="shared" si="4983"/>
        <v/>
      </c>
      <c r="DG352" s="71" t="str">
        <f t="shared" si="4984"/>
        <v/>
      </c>
      <c r="DH352" s="71" t="str">
        <f t="shared" si="4985"/>
        <v/>
      </c>
      <c r="DI352" s="71" t="str">
        <f t="shared" si="4986"/>
        <v/>
      </c>
      <c r="DJ352" s="71" t="str">
        <f t="shared" si="4987"/>
        <v/>
      </c>
      <c r="DK352" s="71" t="str">
        <f t="shared" si="4988"/>
        <v/>
      </c>
      <c r="DL352" s="71" t="str">
        <f t="shared" si="4989"/>
        <v/>
      </c>
      <c r="DM352" s="71" t="str">
        <f t="shared" si="4990"/>
        <v/>
      </c>
      <c r="DN352" s="71" t="str">
        <f t="shared" si="4991"/>
        <v/>
      </c>
      <c r="DO352" s="71" t="str">
        <f t="shared" si="4992"/>
        <v/>
      </c>
      <c r="DP352" s="71" t="str">
        <f t="shared" si="4993"/>
        <v/>
      </c>
      <c r="DQ352" s="71" t="str">
        <f t="shared" si="4994"/>
        <v/>
      </c>
      <c r="DR352" s="71" t="str">
        <f t="shared" si="4995"/>
        <v/>
      </c>
      <c r="DS352" s="71" t="str">
        <f t="shared" si="4996"/>
        <v/>
      </c>
      <c r="DT352" s="71" t="str">
        <f t="shared" si="4997"/>
        <v/>
      </c>
      <c r="DU352" s="71" t="str">
        <f t="shared" si="4998"/>
        <v/>
      </c>
      <c r="DV352" s="71" t="str">
        <f t="shared" si="4999"/>
        <v/>
      </c>
      <c r="DW352" s="71" t="str">
        <f t="shared" si="5000"/>
        <v/>
      </c>
      <c r="DX352" s="71" t="str">
        <f t="shared" si="5001"/>
        <v/>
      </c>
      <c r="DY352" s="71" t="str">
        <f t="shared" si="5002"/>
        <v/>
      </c>
      <c r="DZ352" s="71" t="str">
        <f t="shared" si="5003"/>
        <v/>
      </c>
      <c r="EA352" s="71" t="str">
        <f t="shared" si="5004"/>
        <v/>
      </c>
      <c r="EB352" s="71" t="str">
        <f t="shared" si="5005"/>
        <v/>
      </c>
      <c r="EC352" s="71" t="str">
        <f t="shared" si="5006"/>
        <v/>
      </c>
      <c r="ED352" s="71" t="str">
        <f t="shared" si="5007"/>
        <v/>
      </c>
      <c r="EE352" s="71" t="str">
        <f t="shared" si="5008"/>
        <v/>
      </c>
      <c r="EF352" s="71" t="str">
        <f t="shared" si="5009"/>
        <v/>
      </c>
      <c r="EG352" s="71" t="str">
        <f t="shared" si="5010"/>
        <v/>
      </c>
      <c r="EH352" s="71" t="str">
        <f t="shared" si="5011"/>
        <v/>
      </c>
      <c r="EI352" s="71" t="str">
        <f t="shared" si="5012"/>
        <v/>
      </c>
      <c r="EJ352" s="71" t="str">
        <f t="shared" si="5013"/>
        <v/>
      </c>
      <c r="EK352" s="71" t="str">
        <f t="shared" si="5014"/>
        <v/>
      </c>
      <c r="EL352" s="71" t="str">
        <f t="shared" si="5015"/>
        <v/>
      </c>
      <c r="EM352" s="71" t="str">
        <f t="shared" si="5016"/>
        <v/>
      </c>
      <c r="EN352" s="71" t="str">
        <f t="shared" si="5017"/>
        <v/>
      </c>
      <c r="EO352" s="71" t="str">
        <f t="shared" si="5018"/>
        <v/>
      </c>
      <c r="EP352" s="71" t="str">
        <f t="shared" si="5019"/>
        <v/>
      </c>
      <c r="EQ352" s="71" t="str">
        <f t="shared" si="5020"/>
        <v/>
      </c>
      <c r="ER352" s="71" t="str">
        <f t="shared" si="5021"/>
        <v/>
      </c>
      <c r="ES352" s="71" t="str">
        <f t="shared" si="5022"/>
        <v/>
      </c>
      <c r="ET352" s="71" t="str">
        <f t="shared" si="5023"/>
        <v/>
      </c>
      <c r="EU352" s="71" t="str">
        <f t="shared" si="5024"/>
        <v/>
      </c>
      <c r="EV352" s="71" t="str">
        <f t="shared" si="5025"/>
        <v/>
      </c>
      <c r="EW352" s="71" t="str">
        <f t="shared" si="5026"/>
        <v/>
      </c>
      <c r="EX352" s="71" t="str">
        <f t="shared" si="5027"/>
        <v/>
      </c>
      <c r="EY352" s="71" t="str">
        <f t="shared" si="5028"/>
        <v/>
      </c>
      <c r="EZ352" s="71" t="str">
        <f t="shared" si="5029"/>
        <v/>
      </c>
      <c r="FA352" s="71" t="str">
        <f t="shared" si="5030"/>
        <v/>
      </c>
      <c r="FB352" s="71" t="str">
        <f t="shared" si="5031"/>
        <v/>
      </c>
      <c r="FC352" s="71" t="str">
        <f t="shared" si="5032"/>
        <v/>
      </c>
      <c r="FD352" s="71" t="str">
        <f t="shared" si="5033"/>
        <v/>
      </c>
      <c r="FE352" s="71" t="str">
        <f t="shared" si="5034"/>
        <v/>
      </c>
      <c r="FF352" s="71" t="str">
        <f t="shared" si="5035"/>
        <v/>
      </c>
      <c r="FG352" s="71" t="str">
        <f t="shared" si="5036"/>
        <v/>
      </c>
      <c r="FH352" s="71" t="str">
        <f t="shared" si="5037"/>
        <v/>
      </c>
      <c r="FI352" s="71" t="str">
        <f t="shared" si="5038"/>
        <v/>
      </c>
      <c r="FJ352" s="71" t="str">
        <f t="shared" si="5039"/>
        <v/>
      </c>
      <c r="FK352" s="71" t="str">
        <f t="shared" si="5040"/>
        <v/>
      </c>
      <c r="FL352" s="71" t="str">
        <f t="shared" si="5041"/>
        <v/>
      </c>
      <c r="FM352" s="71" t="str">
        <f t="shared" si="5042"/>
        <v/>
      </c>
      <c r="FN352" s="71" t="str">
        <f t="shared" si="5043"/>
        <v/>
      </c>
      <c r="FO352" s="71" t="str">
        <f t="shared" si="5044"/>
        <v/>
      </c>
      <c r="FP352" s="71" t="str">
        <f t="shared" si="5045"/>
        <v/>
      </c>
      <c r="FQ352" s="71" t="str">
        <f t="shared" si="5046"/>
        <v/>
      </c>
      <c r="FR352" s="71" t="str">
        <f t="shared" si="5047"/>
        <v/>
      </c>
      <c r="FS352" s="71" t="str">
        <f t="shared" si="5048"/>
        <v/>
      </c>
    </row>
    <row r="353" ht="15" spans="1:175">
      <c r="A353" s="138"/>
      <c r="B353" s="81" t="s">
        <v>1044</v>
      </c>
      <c r="C353" s="144" t="s">
        <v>1027</v>
      </c>
      <c r="K353" s="157"/>
      <c r="T353" s="155" t="s">
        <v>1045</v>
      </c>
      <c r="U353" s="89" t="s">
        <v>1029</v>
      </c>
      <c r="CN353" s="69" t="str">
        <f t="shared" si="4973"/>
        <v>InitUnitState('IK4I',,,,,,,,,,)</v>
      </c>
      <c r="CO353" s="69" t="str">
        <f t="shared" si="4974"/>
        <v>InitUnitNormal('IK4I',,,,,,,,,,)</v>
      </c>
      <c r="CP353" s="69" t="str">
        <f t="shared" si="4975"/>
        <v>InitUnitMagic('IK4I',,,,,,,,,,)</v>
      </c>
      <c r="CQ353" s="69" t="str">
        <f t="shared" si="4976"/>
        <v>InitUnitAdd('IK4I',,,,,,,,,,)</v>
      </c>
      <c r="CR353" s="69" t="str">
        <f t="shared" si="4977"/>
        <v>InitEquipData('IK4I',,"",,,,,'','','','','','',"ReplaceableTextures\\CommandButtons\\BTNSST13.blp")</v>
      </c>
      <c r="CU353" s="99" t="str">
        <f t="shared" si="4978"/>
        <v>|n</v>
      </c>
      <c r="CV353" s="70" t="str">
        <f t="shared" si="4669"/>
        <v>攻击|Cffffc926+50000|r，攻击|Cffffc926+12%|n|n|r|Cffaaaaaa○|CffFFD24D暗之刻印+1|r|r|n|n|Cff00ff7f点击穿戴或脱卸。|r</v>
      </c>
      <c r="CW353" s="60"/>
      <c r="CX353" s="60"/>
      <c r="CY353" s="60"/>
      <c r="CZ353" s="60"/>
      <c r="DA353" s="60"/>
      <c r="DB353" s="71" t="str">
        <f t="shared" si="4979"/>
        <v/>
      </c>
      <c r="DC353" s="71" t="str">
        <f t="shared" si="4980"/>
        <v/>
      </c>
      <c r="DD353" s="71" t="str">
        <f t="shared" si="4981"/>
        <v/>
      </c>
      <c r="DE353" s="71" t="str">
        <f t="shared" si="4982"/>
        <v/>
      </c>
      <c r="DF353" s="71" t="str">
        <f t="shared" si="4983"/>
        <v/>
      </c>
      <c r="DG353" s="71" t="str">
        <f t="shared" si="4984"/>
        <v/>
      </c>
      <c r="DH353" s="71" t="str">
        <f t="shared" si="4985"/>
        <v/>
      </c>
      <c r="DI353" s="71" t="str">
        <f t="shared" si="4986"/>
        <v/>
      </c>
      <c r="DJ353" s="71" t="str">
        <f t="shared" si="4987"/>
        <v/>
      </c>
      <c r="DK353" s="71" t="str">
        <f t="shared" si="4988"/>
        <v/>
      </c>
      <c r="DL353" s="71" t="str">
        <f t="shared" si="4989"/>
        <v/>
      </c>
      <c r="DM353" s="71" t="str">
        <f t="shared" si="4990"/>
        <v/>
      </c>
      <c r="DN353" s="71" t="str">
        <f t="shared" si="4991"/>
        <v/>
      </c>
      <c r="DO353" s="71" t="str">
        <f t="shared" si="4992"/>
        <v/>
      </c>
      <c r="DP353" s="71" t="str">
        <f t="shared" si="4993"/>
        <v/>
      </c>
      <c r="DQ353" s="71" t="str">
        <f t="shared" si="4994"/>
        <v/>
      </c>
      <c r="DR353" s="71" t="str">
        <f t="shared" si="4995"/>
        <v/>
      </c>
      <c r="DS353" s="71" t="str">
        <f t="shared" si="4996"/>
        <v/>
      </c>
      <c r="DT353" s="71" t="str">
        <f t="shared" si="4997"/>
        <v/>
      </c>
      <c r="DU353" s="71" t="str">
        <f t="shared" si="4998"/>
        <v/>
      </c>
      <c r="DV353" s="71" t="str">
        <f t="shared" si="4999"/>
        <v/>
      </c>
      <c r="DW353" s="71" t="str">
        <f t="shared" si="5000"/>
        <v/>
      </c>
      <c r="DX353" s="71" t="str">
        <f t="shared" si="5001"/>
        <v/>
      </c>
      <c r="DY353" s="71" t="str">
        <f t="shared" si="5002"/>
        <v/>
      </c>
      <c r="DZ353" s="71" t="str">
        <f t="shared" si="5003"/>
        <v/>
      </c>
      <c r="EA353" s="71" t="str">
        <f t="shared" si="5004"/>
        <v/>
      </c>
      <c r="EB353" s="71" t="str">
        <f t="shared" si="5005"/>
        <v/>
      </c>
      <c r="EC353" s="71" t="str">
        <f t="shared" si="5006"/>
        <v/>
      </c>
      <c r="ED353" s="71" t="str">
        <f t="shared" si="5007"/>
        <v/>
      </c>
      <c r="EE353" s="71" t="str">
        <f t="shared" si="5008"/>
        <v/>
      </c>
      <c r="EF353" s="71" t="str">
        <f t="shared" si="5009"/>
        <v/>
      </c>
      <c r="EG353" s="71" t="str">
        <f t="shared" si="5010"/>
        <v/>
      </c>
      <c r="EH353" s="71" t="str">
        <f t="shared" si="5011"/>
        <v/>
      </c>
      <c r="EI353" s="71" t="str">
        <f t="shared" si="5012"/>
        <v/>
      </c>
      <c r="EJ353" s="71" t="str">
        <f t="shared" si="5013"/>
        <v/>
      </c>
      <c r="EK353" s="71" t="str">
        <f t="shared" si="5014"/>
        <v/>
      </c>
      <c r="EL353" s="71" t="str">
        <f t="shared" si="5015"/>
        <v/>
      </c>
      <c r="EM353" s="71" t="str">
        <f t="shared" si="5016"/>
        <v/>
      </c>
      <c r="EN353" s="71" t="str">
        <f t="shared" si="5017"/>
        <v/>
      </c>
      <c r="EO353" s="71" t="str">
        <f t="shared" si="5018"/>
        <v/>
      </c>
      <c r="EP353" s="71" t="str">
        <f t="shared" si="5019"/>
        <v/>
      </c>
      <c r="EQ353" s="71" t="str">
        <f t="shared" si="5020"/>
        <v/>
      </c>
      <c r="ER353" s="71" t="str">
        <f t="shared" si="5021"/>
        <v/>
      </c>
      <c r="ES353" s="71" t="str">
        <f t="shared" si="5022"/>
        <v/>
      </c>
      <c r="ET353" s="71" t="str">
        <f t="shared" si="5023"/>
        <v/>
      </c>
      <c r="EU353" s="71" t="str">
        <f t="shared" si="5024"/>
        <v/>
      </c>
      <c r="EV353" s="71" t="str">
        <f t="shared" si="5025"/>
        <v/>
      </c>
      <c r="EW353" s="71" t="str">
        <f t="shared" si="5026"/>
        <v/>
      </c>
      <c r="EX353" s="71" t="str">
        <f t="shared" si="5027"/>
        <v/>
      </c>
      <c r="EY353" s="71" t="str">
        <f t="shared" si="5028"/>
        <v/>
      </c>
      <c r="EZ353" s="71" t="str">
        <f t="shared" si="5029"/>
        <v/>
      </c>
      <c r="FA353" s="71" t="str">
        <f t="shared" si="5030"/>
        <v/>
      </c>
      <c r="FB353" s="71" t="str">
        <f t="shared" si="5031"/>
        <v/>
      </c>
      <c r="FC353" s="71" t="str">
        <f t="shared" si="5032"/>
        <v/>
      </c>
      <c r="FD353" s="71" t="str">
        <f t="shared" si="5033"/>
        <v/>
      </c>
      <c r="FE353" s="71" t="str">
        <f t="shared" si="5034"/>
        <v/>
      </c>
      <c r="FF353" s="71" t="str">
        <f t="shared" si="5035"/>
        <v/>
      </c>
      <c r="FG353" s="71" t="str">
        <f t="shared" si="5036"/>
        <v/>
      </c>
      <c r="FH353" s="71" t="str">
        <f t="shared" si="5037"/>
        <v/>
      </c>
      <c r="FI353" s="71" t="str">
        <f t="shared" si="5038"/>
        <v/>
      </c>
      <c r="FJ353" s="71" t="str">
        <f t="shared" si="5039"/>
        <v/>
      </c>
      <c r="FK353" s="71" t="str">
        <f t="shared" si="5040"/>
        <v/>
      </c>
      <c r="FL353" s="71" t="str">
        <f t="shared" si="5041"/>
        <v/>
      </c>
      <c r="FM353" s="71" t="str">
        <f t="shared" si="5042"/>
        <v/>
      </c>
      <c r="FN353" s="71" t="str">
        <f t="shared" si="5043"/>
        <v/>
      </c>
      <c r="FO353" s="71" t="str">
        <f t="shared" si="5044"/>
        <v/>
      </c>
      <c r="FP353" s="71" t="str">
        <f t="shared" si="5045"/>
        <v/>
      </c>
      <c r="FQ353" s="71" t="str">
        <f t="shared" si="5046"/>
        <v/>
      </c>
      <c r="FR353" s="71" t="str">
        <f t="shared" si="5047"/>
        <v/>
      </c>
      <c r="FS353" s="71" t="str">
        <f t="shared" si="5048"/>
        <v/>
      </c>
    </row>
    <row r="354" ht="15" spans="1:175">
      <c r="A354" s="138"/>
      <c r="B354" s="81" t="s">
        <v>1046</v>
      </c>
      <c r="C354" s="144" t="s">
        <v>1047</v>
      </c>
      <c r="T354" s="155" t="s">
        <v>1048</v>
      </c>
      <c r="U354" s="89" t="s">
        <v>1049</v>
      </c>
      <c r="CN354" s="69" t="str">
        <f t="shared" si="4670"/>
        <v>InitUnitState('IK5A',,,,,,,,,,)</v>
      </c>
      <c r="CO354" s="69" t="str">
        <f t="shared" si="4671"/>
        <v>InitUnitNormal('IK5A',,,,,,,,,,)</v>
      </c>
      <c r="CP354" s="69" t="str">
        <f t="shared" si="4672"/>
        <v>InitUnitMagic('IK5A',,,,,,,,,,)</v>
      </c>
      <c r="CQ354" s="69" t="str">
        <f t="shared" si="4673"/>
        <v>InitUnitAdd('IK5A',,,,,,,,,,)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InitEquipData('IK5A',,"",,,,,'','','','','','',"ReplaceableTextures\\CommandButtons\\BTNSST14.blp")</v>
      </c>
      <c r="CU354" s="99" t="str">
        <f t="shared" si="4674"/>
        <v>|n</v>
      </c>
      <c r="CV354" s="70" t="str">
        <f t="shared" si="4669"/>
        <v>护甲穿透|Cffffc926+150|n|n|r|Cffaaaaaa○刻印槽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4675"/>
        <v/>
      </c>
      <c r="DC354" s="71" t="str">
        <f t="shared" si="4676"/>
        <v/>
      </c>
      <c r="DD354" s="71" t="str">
        <f t="shared" si="4677"/>
        <v/>
      </c>
      <c r="DE354" s="71" t="str">
        <f t="shared" si="4678"/>
        <v/>
      </c>
      <c r="DF354" s="71" t="str">
        <f t="shared" si="4679"/>
        <v/>
      </c>
      <c r="DG354" s="71" t="str">
        <f t="shared" si="4680"/>
        <v/>
      </c>
      <c r="DH354" s="71" t="str">
        <f t="shared" si="4681"/>
        <v/>
      </c>
      <c r="DI354" s="71" t="str">
        <f t="shared" si="4682"/>
        <v/>
      </c>
      <c r="DJ354" s="71" t="str">
        <f t="shared" si="4683"/>
        <v/>
      </c>
      <c r="DK354" s="71" t="str">
        <f t="shared" si="4684"/>
        <v/>
      </c>
      <c r="DL354" s="71" t="str">
        <f t="shared" si="4685"/>
        <v/>
      </c>
      <c r="DM354" s="71" t="str">
        <f t="shared" si="4686"/>
        <v/>
      </c>
      <c r="DN354" s="71" t="str">
        <f t="shared" si="4687"/>
        <v/>
      </c>
      <c r="DO354" s="71" t="str">
        <f t="shared" si="4688"/>
        <v/>
      </c>
      <c r="DP354" s="71" t="str">
        <f t="shared" si="4689"/>
        <v/>
      </c>
      <c r="DQ354" s="71" t="str">
        <f t="shared" si="4690"/>
        <v/>
      </c>
      <c r="DR354" s="71" t="str">
        <f t="shared" si="4691"/>
        <v/>
      </c>
      <c r="DS354" s="71" t="str">
        <f t="shared" si="4692"/>
        <v/>
      </c>
      <c r="DT354" s="71" t="str">
        <f t="shared" si="4693"/>
        <v/>
      </c>
      <c r="DU354" s="71" t="str">
        <f t="shared" si="4694"/>
        <v/>
      </c>
      <c r="DV354" s="71" t="str">
        <f t="shared" si="4695"/>
        <v/>
      </c>
      <c r="DW354" s="71" t="str">
        <f t="shared" si="4696"/>
        <v/>
      </c>
      <c r="DX354" s="71" t="str">
        <f t="shared" si="4697"/>
        <v/>
      </c>
      <c r="DY354" s="71" t="str">
        <f t="shared" si="4698"/>
        <v/>
      </c>
      <c r="DZ354" s="71" t="str">
        <f t="shared" si="4699"/>
        <v/>
      </c>
      <c r="EA354" s="71" t="str">
        <f t="shared" si="4700"/>
        <v/>
      </c>
      <c r="EB354" s="71" t="str">
        <f t="shared" si="4701"/>
        <v/>
      </c>
      <c r="EC354" s="71" t="str">
        <f t="shared" si="4702"/>
        <v/>
      </c>
      <c r="ED354" s="71" t="str">
        <f t="shared" si="4703"/>
        <v/>
      </c>
      <c r="EE354" s="71" t="str">
        <f t="shared" si="4704"/>
        <v/>
      </c>
      <c r="EF354" s="71" t="str">
        <f t="shared" si="4705"/>
        <v/>
      </c>
      <c r="EG354" s="71" t="str">
        <f t="shared" si="4706"/>
        <v/>
      </c>
      <c r="EH354" s="71" t="str">
        <f t="shared" si="4707"/>
        <v/>
      </c>
      <c r="EI354" s="71" t="str">
        <f t="shared" si="4708"/>
        <v/>
      </c>
      <c r="EJ354" s="71" t="str">
        <f t="shared" si="4709"/>
        <v/>
      </c>
      <c r="EK354" s="71" t="str">
        <f t="shared" si="4710"/>
        <v/>
      </c>
      <c r="EL354" s="71" t="str">
        <f t="shared" si="4711"/>
        <v/>
      </c>
      <c r="EM354" s="71" t="str">
        <f t="shared" si="4712"/>
        <v/>
      </c>
      <c r="EN354" s="71" t="str">
        <f t="shared" si="4713"/>
        <v/>
      </c>
      <c r="EO354" s="71" t="str">
        <f t="shared" si="4714"/>
        <v/>
      </c>
      <c r="EP354" s="71" t="str">
        <f t="shared" si="4715"/>
        <v/>
      </c>
      <c r="EQ354" s="71" t="str">
        <f t="shared" si="4716"/>
        <v/>
      </c>
      <c r="ER354" s="71" t="str">
        <f t="shared" si="4717"/>
        <v/>
      </c>
      <c r="ES354" s="71" t="str">
        <f t="shared" si="4718"/>
        <v/>
      </c>
      <c r="ET354" s="71" t="str">
        <f t="shared" si="4719"/>
        <v/>
      </c>
      <c r="EU354" s="71" t="str">
        <f t="shared" si="4720"/>
        <v/>
      </c>
      <c r="EV354" s="71" t="str">
        <f t="shared" si="4721"/>
        <v/>
      </c>
      <c r="EW354" s="71" t="str">
        <f t="shared" si="4722"/>
        <v/>
      </c>
      <c r="EX354" s="71" t="str">
        <f t="shared" si="4723"/>
        <v/>
      </c>
      <c r="EY354" s="71" t="str">
        <f t="shared" si="4724"/>
        <v/>
      </c>
      <c r="EZ354" s="71" t="str">
        <f t="shared" si="4725"/>
        <v/>
      </c>
      <c r="FA354" s="71" t="str">
        <f t="shared" si="4726"/>
        <v/>
      </c>
      <c r="FB354" s="71" t="str">
        <f t="shared" si="4727"/>
        <v/>
      </c>
      <c r="FC354" s="71" t="str">
        <f t="shared" si="4728"/>
        <v/>
      </c>
      <c r="FD354" s="71" t="str">
        <f t="shared" si="4729"/>
        <v/>
      </c>
      <c r="FE354" s="71" t="str">
        <f t="shared" si="4730"/>
        <v/>
      </c>
      <c r="FF354" s="71" t="str">
        <f t="shared" si="4731"/>
        <v/>
      </c>
      <c r="FG354" s="71" t="str">
        <f t="shared" si="4732"/>
        <v/>
      </c>
      <c r="FH354" s="71" t="str">
        <f t="shared" si="4733"/>
        <v/>
      </c>
      <c r="FI354" s="71" t="str">
        <f t="shared" si="4734"/>
        <v/>
      </c>
      <c r="FJ354" s="71" t="str">
        <f t="shared" si="4735"/>
        <v/>
      </c>
      <c r="FK354" s="71" t="str">
        <f t="shared" si="4736"/>
        <v/>
      </c>
      <c r="FL354" s="71" t="str">
        <f t="shared" si="4737"/>
        <v/>
      </c>
      <c r="FM354" s="71" t="str">
        <f t="shared" si="4738"/>
        <v/>
      </c>
      <c r="FN354" s="71" t="str">
        <f t="shared" si="4739"/>
        <v/>
      </c>
      <c r="FO354" s="71" t="str">
        <f t="shared" si="4740"/>
        <v/>
      </c>
      <c r="FP354" s="71" t="str">
        <f t="shared" si="4741"/>
        <v/>
      </c>
      <c r="FQ354" s="71" t="str">
        <f t="shared" si="4742"/>
        <v/>
      </c>
      <c r="FR354" s="71" t="str">
        <f t="shared" si="4743"/>
        <v/>
      </c>
      <c r="FS354" s="71" t="str">
        <f t="shared" si="4744"/>
        <v/>
      </c>
    </row>
    <row r="355" ht="15" spans="1:175">
      <c r="A355" s="138"/>
      <c r="B355" s="81" t="s">
        <v>1050</v>
      </c>
      <c r="C355" s="144" t="s">
        <v>1047</v>
      </c>
      <c r="K355" s="146"/>
      <c r="T355" s="155" t="s">
        <v>1051</v>
      </c>
      <c r="U355" s="89" t="s">
        <v>1049</v>
      </c>
      <c r="CN355" s="69" t="str">
        <f t="shared" ref="CN355:CN362" si="5049">"InitUnitState('"&amp;B355&amp;"',"&amp;V355&amp;","&amp;W355&amp;","&amp;X355&amp;","&amp;Y355&amp;","&amp;Z355&amp;","&amp;AA355&amp;","&amp;AB355&amp;","&amp;AC355&amp;","&amp;AD355&amp;","&amp;AE355&amp;")"</f>
        <v>InitUnitState('IK5B',,,,,,,,,,)</v>
      </c>
      <c r="CO355" s="69" t="str">
        <f t="shared" ref="CO355:CO362" si="5050">"InitUnitNormal('"&amp;B355&amp;"',"&amp;AF355&amp;","&amp;AG355&amp;","&amp;AH355&amp;","&amp;AI355&amp;","&amp;AJ355&amp;","&amp;AK355&amp;","&amp;AL355&amp;","&amp;AM355&amp;","&amp;AN355&amp;","&amp;AO355&amp;")"</f>
        <v>InitUnitNormal('IK5B',,,,,,,,,,)</v>
      </c>
      <c r="CP355" s="69" t="str">
        <f t="shared" ref="CP355:CP362" si="5051">"InitUnitMagic('"&amp;B355&amp;"',"&amp;AP355&amp;","&amp;AQ355&amp;","&amp;AR355&amp;","&amp;AS355&amp;","&amp;AT355&amp;","&amp;AU355&amp;","&amp;AV355&amp;","&amp;AW355&amp;","&amp;BI355&amp;","&amp;BJ355&amp;")"</f>
        <v>InitUnitMagic('IK5B',,,,,,,,,,)</v>
      </c>
      <c r="CQ355" s="69" t="str">
        <f t="shared" ref="CQ355:CQ362" si="5052">"InitUnitAdd('"&amp;B355&amp;"',"&amp;BK355&amp;","&amp;BL355&amp;","&amp;BM355&amp;","&amp;BN355&amp;","&amp;BO355&amp;","&amp;BP355&amp;","&amp;BQ355&amp;","&amp;BR355&amp;","&amp;BS355&amp;","&amp;BT355&amp;")"</f>
        <v>InitUnitAdd('IK5B',,,,,,,,,,)</v>
      </c>
      <c r="CR355" s="69" t="str">
        <f t="shared" ref="CR355:CR362" si="5053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InitEquipData('IK5B',,"",,,,,'','','','','','',"ReplaceableTextures\\CommandButtons\\BTNSST14.blp")</v>
      </c>
      <c r="CU355" s="99" t="str">
        <f t="shared" ref="CU355:CU362" si="5054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4669"/>
        <v>护甲穿透|Cffffc926+150|n|n|r|Cffaaaaaa○|CffFFD24D金之刻印+1|r|r|n|n|Cff00ff7f点击穿戴或脱卸。|r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055">IF(V355="","","|n"&amp;DB$2&amp;"+"&amp;V355&amp;DB$1)</f>
        <v/>
      </c>
      <c r="DC355" s="71" t="str">
        <f t="shared" ref="DC355:DC362" si="5056">IF(W355="","","|n"&amp;DC$2&amp;"+"&amp;W355&amp;DC$1)</f>
        <v/>
      </c>
      <c r="DD355" s="71" t="str">
        <f t="shared" ref="DD355:DD362" si="5057">IF(X355="","","|n"&amp;DD$2&amp;"+"&amp;X355&amp;DD$1)</f>
        <v/>
      </c>
      <c r="DE355" s="71" t="str">
        <f t="shared" ref="DE355:DE362" si="5058">IF(Y355="","","|n"&amp;DE$2&amp;"+"&amp;Y355&amp;DE$1)</f>
        <v/>
      </c>
      <c r="DF355" s="71" t="str">
        <f t="shared" ref="DF355:DF362" si="5059">IF(Z355="","","|n"&amp;DF$2&amp;"+"&amp;Z355&amp;DF$1)</f>
        <v/>
      </c>
      <c r="DG355" s="71" t="str">
        <f t="shared" ref="DG355:DG362" si="5060">IF(AA355="","","|n"&amp;DG$2&amp;"+"&amp;AA355&amp;DG$1)</f>
        <v/>
      </c>
      <c r="DH355" s="71" t="str">
        <f t="shared" ref="DH355:DH362" si="5061">IF(AB355="","","|n"&amp;DH$2&amp;"+"&amp;AB355&amp;DH$1)</f>
        <v/>
      </c>
      <c r="DI355" s="71" t="str">
        <f t="shared" ref="DI355:DI362" si="5062">IF(AC355="","","|n"&amp;DI$2&amp;"+"&amp;AC355&amp;DI$1)</f>
        <v/>
      </c>
      <c r="DJ355" s="71" t="str">
        <f t="shared" ref="DJ355:DJ362" si="5063">IF(AD355="","","|n"&amp;DJ$2&amp;"+"&amp;AD355&amp;DJ$1)</f>
        <v/>
      </c>
      <c r="DK355" s="71" t="str">
        <f t="shared" ref="DK355:DK362" si="5064">IF(AE355="","","|n"&amp;DK$2&amp;"+"&amp;AE355&amp;DK$1)</f>
        <v/>
      </c>
      <c r="DL355" s="71" t="str">
        <f t="shared" ref="DL355:DL362" si="5065">IF(AF355="","","|n"&amp;DL$2&amp;"+"&amp;AF355&amp;DL$1)</f>
        <v/>
      </c>
      <c r="DM355" s="71" t="str">
        <f t="shared" ref="DM355:DM362" si="5066">IF(AG355="","","|n"&amp;DM$2&amp;"+"&amp;AG355&amp;DM$1)</f>
        <v/>
      </c>
      <c r="DN355" s="71" t="str">
        <f t="shared" ref="DN355:DN362" si="5067">IF(AH355="","","|n"&amp;DN$2&amp;"+"&amp;AH355&amp;DN$1)</f>
        <v/>
      </c>
      <c r="DO355" s="71" t="str">
        <f t="shared" ref="DO355:DO362" si="5068">IF(AI355="","","|n"&amp;DO$2&amp;"+"&amp;AI355&amp;DO$1)</f>
        <v/>
      </c>
      <c r="DP355" s="71" t="str">
        <f t="shared" ref="DP355:DP362" si="5069">IF(AJ355="","","|n"&amp;DP$2&amp;"+"&amp;AJ355&amp;DP$1)</f>
        <v/>
      </c>
      <c r="DQ355" s="71" t="str">
        <f t="shared" ref="DQ355:DQ362" si="5070">IF(AK355="","","|n"&amp;DQ$2&amp;"+"&amp;AK355&amp;DQ$1)</f>
        <v/>
      </c>
      <c r="DR355" s="71" t="str">
        <f t="shared" ref="DR355:DR362" si="5071">IF(AL355="","","|n"&amp;DR$2&amp;"+"&amp;AL355&amp;DR$1)</f>
        <v/>
      </c>
      <c r="DS355" s="71" t="str">
        <f t="shared" ref="DS355:DS362" si="5072">IF(AM355="","","|n"&amp;DS$2&amp;"+"&amp;AM355&amp;DS$1)</f>
        <v/>
      </c>
      <c r="DT355" s="71" t="str">
        <f t="shared" ref="DT355:DT362" si="5073">IF(AN355="","","|n"&amp;DT$2&amp;"+"&amp;AN355&amp;DT$1)</f>
        <v/>
      </c>
      <c r="DU355" s="71" t="str">
        <f t="shared" ref="DU355:DU362" si="5074">IF(AO355="","","|n"&amp;DU$2&amp;"+"&amp;AO355&amp;DU$1)</f>
        <v/>
      </c>
      <c r="DV355" s="71" t="str">
        <f t="shared" ref="DV355:DV362" si="5075">IF(AP355="","","|n"&amp;DV$2&amp;"+"&amp;AP355&amp;DV$1)</f>
        <v/>
      </c>
      <c r="DW355" s="71" t="str">
        <f t="shared" ref="DW355:DW362" si="5076">IF(AQ355="","","|n"&amp;DW$2&amp;"+"&amp;AQ355&amp;DW$1)</f>
        <v/>
      </c>
      <c r="DX355" s="71" t="str">
        <f t="shared" ref="DX355:DX362" si="5077">IF(AR355="","","|n"&amp;DX$2&amp;"+"&amp;AR355&amp;DX$1)</f>
        <v/>
      </c>
      <c r="DY355" s="71" t="str">
        <f t="shared" ref="DY355:DY362" si="5078">IF(AS355="","","|n"&amp;DY$2&amp;"+"&amp;AS355&amp;DY$1)</f>
        <v/>
      </c>
      <c r="DZ355" s="71" t="str">
        <f t="shared" ref="DZ355:DZ362" si="5079">IF(AT355="","","|n"&amp;DZ$2&amp;"+"&amp;AT355&amp;DZ$1)</f>
        <v/>
      </c>
      <c r="EA355" s="71" t="str">
        <f t="shared" ref="EA355:EA362" si="5080">IF(AU355="","","|n"&amp;EA$2&amp;"+"&amp;AU355&amp;EA$1)</f>
        <v/>
      </c>
      <c r="EB355" s="71" t="str">
        <f t="shared" ref="EB355:EB362" si="5081">IF(AV355="","","|n"&amp;EB$2&amp;"+"&amp;AV355&amp;EB$1)</f>
        <v/>
      </c>
      <c r="EC355" s="71" t="str">
        <f t="shared" ref="EC355:EC362" si="5082">IF(AW355="","","|n"&amp;EC$2&amp;"+"&amp;AW355&amp;EC$1)</f>
        <v/>
      </c>
      <c r="ED355" s="71" t="str">
        <f t="shared" ref="ED355:ED362" si="5083">IF(AX355="","","|n"&amp;ED$2&amp;"+"&amp;AX355&amp;ED$1)</f>
        <v/>
      </c>
      <c r="EE355" s="71" t="str">
        <f t="shared" ref="EE355:EE362" si="5084">IF(AY355="","","|n"&amp;EE$2&amp;"+"&amp;AY355&amp;EE$1)</f>
        <v/>
      </c>
      <c r="EF355" s="71" t="str">
        <f t="shared" ref="EF355:EF362" si="5085">IF(AZ355="","","|n"&amp;EF$2&amp;"+"&amp;AZ355&amp;EF$1)</f>
        <v/>
      </c>
      <c r="EG355" s="71" t="str">
        <f t="shared" ref="EG355:EG362" si="5086">IF(BA355="","","|n"&amp;EG$2&amp;"+"&amp;BA355&amp;EG$1)</f>
        <v/>
      </c>
      <c r="EH355" s="71" t="str">
        <f t="shared" ref="EH355:EH362" si="5087">IF(BB355="","","|n"&amp;EH$2&amp;"+"&amp;BB355&amp;EH$1)</f>
        <v/>
      </c>
      <c r="EI355" s="71" t="str">
        <f t="shared" ref="EI355:EI362" si="5088">IF(BC355="","","|n"&amp;EI$2&amp;"+"&amp;BC355&amp;EI$1)</f>
        <v/>
      </c>
      <c r="EJ355" s="71" t="str">
        <f t="shared" ref="EJ355:EJ362" si="5089">IF(BD355="","","|n"&amp;EJ$2&amp;"+"&amp;BD355&amp;EJ$1)</f>
        <v/>
      </c>
      <c r="EK355" s="71" t="str">
        <f t="shared" ref="EK355:EK362" si="5090">IF(BE355="","","|n"&amp;EK$2&amp;"+"&amp;BE355&amp;EK$1)</f>
        <v/>
      </c>
      <c r="EL355" s="71" t="str">
        <f t="shared" ref="EL355:EL362" si="5091">IF(BF355="","","|n"&amp;EL$2&amp;"+"&amp;BF355&amp;EL$1)</f>
        <v/>
      </c>
      <c r="EM355" s="71" t="str">
        <f t="shared" ref="EM355:EM362" si="5092">IF(BG355="","","|n"&amp;EM$2&amp;"+"&amp;BG355&amp;EM$1)</f>
        <v/>
      </c>
      <c r="EN355" s="71" t="str">
        <f t="shared" ref="EN355:EN362" si="5093">IF(BH355="","","|n"&amp;EN$2&amp;"+"&amp;BH355&amp;EN$1)</f>
        <v/>
      </c>
      <c r="EO355" s="71" t="str">
        <f t="shared" ref="EO355:EO362" si="5094">IF(BI355="","","|n"&amp;EO$2&amp;"+"&amp;BI355&amp;EO$1)</f>
        <v/>
      </c>
      <c r="EP355" s="71" t="str">
        <f t="shared" ref="EP355:EP362" si="5095">IF(BJ355="","","|n"&amp;EP$2&amp;"+"&amp;BJ355&amp;EP$1)</f>
        <v/>
      </c>
      <c r="EQ355" s="71" t="str">
        <f t="shared" ref="EQ355:EQ362" si="5096">IF(BK355="","","|n"&amp;EQ$2&amp;"+"&amp;BK355&amp;EQ$1)</f>
        <v/>
      </c>
      <c r="ER355" s="71" t="str">
        <f t="shared" ref="ER355:ER362" si="5097">IF(BL355="","","|n"&amp;ER$2&amp;"+"&amp;BL355&amp;ER$1)</f>
        <v/>
      </c>
      <c r="ES355" s="71" t="str">
        <f t="shared" ref="ES355:ES362" si="5098">IF(BM355="","","|n"&amp;ES$2&amp;"+"&amp;BM355&amp;ES$1)</f>
        <v/>
      </c>
      <c r="ET355" s="71" t="str">
        <f t="shared" ref="ET355:ET362" si="5099">IF(BN355="","","|n"&amp;ET$2&amp;"+"&amp;BN355&amp;ET$1)</f>
        <v/>
      </c>
      <c r="EU355" s="71" t="str">
        <f t="shared" ref="EU355:EU362" si="5100">IF(BO355="","","|n"&amp;EU$2&amp;"+"&amp;BO355&amp;EU$1)</f>
        <v/>
      </c>
      <c r="EV355" s="71" t="str">
        <f t="shared" ref="EV355:EV362" si="5101">IF(BP355="","","|n"&amp;EV$2&amp;"+"&amp;BP355&amp;EV$1)</f>
        <v/>
      </c>
      <c r="EW355" s="71" t="str">
        <f t="shared" ref="EW355:EW362" si="5102">IF(BQ355="","","|n"&amp;EW$2&amp;"+"&amp;BQ355&amp;EW$1)</f>
        <v/>
      </c>
      <c r="EX355" s="71" t="str">
        <f t="shared" ref="EX355:EX362" si="5103">IF(BR355="","","|n"&amp;EX$2&amp;"+"&amp;BR355&amp;EX$1)</f>
        <v/>
      </c>
      <c r="EY355" s="71" t="str">
        <f t="shared" ref="EY355:EY362" si="5104">IF(BS355="","","|n"&amp;EY$2&amp;"+"&amp;BS355&amp;EY$1)</f>
        <v/>
      </c>
      <c r="EZ355" s="71" t="str">
        <f t="shared" ref="EZ355:EZ362" si="5105">IF(BT355="","","|n"&amp;EZ$2&amp;"+"&amp;BT355&amp;EZ$1)</f>
        <v/>
      </c>
      <c r="FA355" s="71" t="str">
        <f t="shared" ref="FA355:FA362" si="5106">IF(BU355="","","|n"&amp;FA$2&amp;"+"&amp;BU355&amp;FA$1)</f>
        <v/>
      </c>
      <c r="FB355" s="71" t="str">
        <f t="shared" ref="FB355:FB362" si="5107">IF(BV355="","","|n"&amp;FB$2&amp;"+"&amp;BV355&amp;FB$1)</f>
        <v/>
      </c>
      <c r="FC355" s="71" t="str">
        <f t="shared" ref="FC355:FC362" si="5108">IF(BW355="","","|n"&amp;FC$2&amp;"+"&amp;BW355&amp;FC$1)</f>
        <v/>
      </c>
      <c r="FD355" s="71" t="str">
        <f t="shared" ref="FD355:FD362" si="5109">IF(BX355="","","|n"&amp;FD$2&amp;"+"&amp;BX355&amp;FD$1)</f>
        <v/>
      </c>
      <c r="FE355" s="71" t="str">
        <f t="shared" ref="FE355:FE362" si="5110">IF(BY355="","","|n"&amp;FE$2&amp;"+"&amp;BY355&amp;FE$1)</f>
        <v/>
      </c>
      <c r="FF355" s="71" t="str">
        <f t="shared" ref="FF355:FF362" si="5111">IF(BZ355="","","|n"&amp;FF$2&amp;"+"&amp;BZ355&amp;FF$1)</f>
        <v/>
      </c>
      <c r="FG355" s="71" t="str">
        <f t="shared" ref="FG355:FG362" si="5112">IF(CA355="","","|n"&amp;FG$2&amp;"+"&amp;CA355&amp;FG$1)</f>
        <v/>
      </c>
      <c r="FH355" s="71" t="str">
        <f t="shared" ref="FH355:FH362" si="5113">IF(CB355="","","|n"&amp;FH$2&amp;"+"&amp;CB355&amp;FH$1)</f>
        <v/>
      </c>
      <c r="FI355" s="71" t="str">
        <f t="shared" ref="FI355:FI362" si="5114">IF(CC355="","","|n"&amp;FI$2&amp;"+"&amp;CC355&amp;FI$1)</f>
        <v/>
      </c>
      <c r="FJ355" s="71" t="str">
        <f t="shared" ref="FJ355:FJ362" si="5115">IF(CD355="","","|n"&amp;FJ$2&amp;"+"&amp;CD355&amp;FJ$1)</f>
        <v/>
      </c>
      <c r="FK355" s="71" t="str">
        <f t="shared" ref="FK355:FK362" si="5116">IF(CE355="","","|n"&amp;FK$2&amp;"+"&amp;CE355&amp;FK$1)</f>
        <v/>
      </c>
      <c r="FL355" s="71" t="str">
        <f t="shared" ref="FL355:FL362" si="5117">IF(CF355="","","|n"&amp;FL$2&amp;"+"&amp;CF355&amp;FL$1)</f>
        <v/>
      </c>
      <c r="FM355" s="71" t="str">
        <f t="shared" ref="FM355:FM362" si="5118">IF(CG355="","","|n"&amp;FM$2&amp;"+"&amp;CG355&amp;FM$1)</f>
        <v/>
      </c>
      <c r="FN355" s="71" t="str">
        <f t="shared" ref="FN355:FN362" si="5119">IF(CH355="","","|n"&amp;FN$2&amp;"+"&amp;CH355&amp;FN$1)</f>
        <v/>
      </c>
      <c r="FO355" s="71" t="str">
        <f t="shared" ref="FO355:FO362" si="5120">IF(CI355="","","|n"&amp;FO$2&amp;"+"&amp;CI355&amp;FO$1)</f>
        <v/>
      </c>
      <c r="FP355" s="71" t="str">
        <f t="shared" ref="FP355:FP362" si="5121">IF(CJ355="","","|n"&amp;FP$2&amp;"+"&amp;CJ355&amp;FP$1)</f>
        <v/>
      </c>
      <c r="FQ355" s="71" t="str">
        <f t="shared" ref="FQ355:FQ362" si="5122">IF(CK355="","","|n"&amp;FQ$2&amp;"+"&amp;CK355&amp;FQ$1)</f>
        <v/>
      </c>
      <c r="FR355" s="71" t="str">
        <f t="shared" ref="FR355:FR362" si="5123">IF(CL355="","","|n"&amp;FR$2&amp;"+"&amp;CL355&amp;FR$1)</f>
        <v/>
      </c>
      <c r="FS355" s="71" t="str">
        <f t="shared" ref="FS355:FS362" si="5124">IF(CM355="","","|n"&amp;FS$2&amp;"+"&amp;CM355&amp;FS$1)</f>
        <v/>
      </c>
    </row>
    <row r="356" ht="15" spans="1:175">
      <c r="A356" s="138"/>
      <c r="B356" s="81" t="s">
        <v>1052</v>
      </c>
      <c r="C356" s="144" t="s">
        <v>1047</v>
      </c>
      <c r="K356" s="147"/>
      <c r="T356" s="155" t="s">
        <v>1053</v>
      </c>
      <c r="U356" s="89" t="s">
        <v>1049</v>
      </c>
      <c r="CN356" s="69" t="str">
        <f t="shared" si="5049"/>
        <v>InitUnitState('IK5C',,,,,,,,,,)</v>
      </c>
      <c r="CO356" s="69" t="str">
        <f t="shared" si="5050"/>
        <v>InitUnitNormal('IK5C',,,,,,,,,,)</v>
      </c>
      <c r="CP356" s="69" t="str">
        <f t="shared" si="5051"/>
        <v>InitUnitMagic('IK5C',,,,,,,,,,)</v>
      </c>
      <c r="CQ356" s="69" t="str">
        <f t="shared" si="5052"/>
        <v>InitUnitAdd('IK5C',,,,,,,,,,)</v>
      </c>
      <c r="CR356" s="69" t="str">
        <f t="shared" si="5053"/>
        <v>InitEquipData('IK5C',,"",,,,,'','','','','','',"ReplaceableTextures\\CommandButtons\\BTNSST14.blp")</v>
      </c>
      <c r="CU356" s="99" t="str">
        <f t="shared" si="5054"/>
        <v>|n</v>
      </c>
      <c r="CV356" s="70" t="str">
        <f t="shared" si="4669"/>
        <v>护甲穿透|Cffffc926+150|n|n|r|Cffaaaaaa○|CffFFD24D木之刻印+1|r|r|n|n|Cff00ff7f点击穿戴或脱卸。|r</v>
      </c>
      <c r="CW356" s="60"/>
      <c r="CX356" s="60"/>
      <c r="CY356" s="60"/>
      <c r="CZ356" s="60"/>
      <c r="DA356" s="60"/>
      <c r="DB356" s="71" t="str">
        <f t="shared" si="5055"/>
        <v/>
      </c>
      <c r="DC356" s="71" t="str">
        <f t="shared" si="5056"/>
        <v/>
      </c>
      <c r="DD356" s="71" t="str">
        <f t="shared" si="5057"/>
        <v/>
      </c>
      <c r="DE356" s="71" t="str">
        <f t="shared" si="5058"/>
        <v/>
      </c>
      <c r="DF356" s="71" t="str">
        <f t="shared" si="5059"/>
        <v/>
      </c>
      <c r="DG356" s="71" t="str">
        <f t="shared" si="5060"/>
        <v/>
      </c>
      <c r="DH356" s="71" t="str">
        <f t="shared" si="5061"/>
        <v/>
      </c>
      <c r="DI356" s="71" t="str">
        <f t="shared" si="5062"/>
        <v/>
      </c>
      <c r="DJ356" s="71" t="str">
        <f t="shared" si="5063"/>
        <v/>
      </c>
      <c r="DK356" s="71" t="str">
        <f t="shared" si="5064"/>
        <v/>
      </c>
      <c r="DL356" s="71" t="str">
        <f t="shared" si="5065"/>
        <v/>
      </c>
      <c r="DM356" s="71" t="str">
        <f t="shared" si="5066"/>
        <v/>
      </c>
      <c r="DN356" s="71" t="str">
        <f t="shared" si="5067"/>
        <v/>
      </c>
      <c r="DO356" s="71" t="str">
        <f t="shared" si="5068"/>
        <v/>
      </c>
      <c r="DP356" s="71" t="str">
        <f t="shared" si="5069"/>
        <v/>
      </c>
      <c r="DQ356" s="71" t="str">
        <f t="shared" si="5070"/>
        <v/>
      </c>
      <c r="DR356" s="71" t="str">
        <f t="shared" si="5071"/>
        <v/>
      </c>
      <c r="DS356" s="71" t="str">
        <f t="shared" si="5072"/>
        <v/>
      </c>
      <c r="DT356" s="71" t="str">
        <f t="shared" si="5073"/>
        <v/>
      </c>
      <c r="DU356" s="71" t="str">
        <f t="shared" si="5074"/>
        <v/>
      </c>
      <c r="DV356" s="71" t="str">
        <f t="shared" si="5075"/>
        <v/>
      </c>
      <c r="DW356" s="71" t="str">
        <f t="shared" si="5076"/>
        <v/>
      </c>
      <c r="DX356" s="71" t="str">
        <f t="shared" si="5077"/>
        <v/>
      </c>
      <c r="DY356" s="71" t="str">
        <f t="shared" si="5078"/>
        <v/>
      </c>
      <c r="DZ356" s="71" t="str">
        <f t="shared" si="5079"/>
        <v/>
      </c>
      <c r="EA356" s="71" t="str">
        <f t="shared" si="5080"/>
        <v/>
      </c>
      <c r="EB356" s="71" t="str">
        <f t="shared" si="5081"/>
        <v/>
      </c>
      <c r="EC356" s="71" t="str">
        <f t="shared" si="5082"/>
        <v/>
      </c>
      <c r="ED356" s="71" t="str">
        <f t="shared" si="5083"/>
        <v/>
      </c>
      <c r="EE356" s="71" t="str">
        <f t="shared" si="5084"/>
        <v/>
      </c>
      <c r="EF356" s="71" t="str">
        <f t="shared" si="5085"/>
        <v/>
      </c>
      <c r="EG356" s="71" t="str">
        <f t="shared" si="5086"/>
        <v/>
      </c>
      <c r="EH356" s="71" t="str">
        <f t="shared" si="5087"/>
        <v/>
      </c>
      <c r="EI356" s="71" t="str">
        <f t="shared" si="5088"/>
        <v/>
      </c>
      <c r="EJ356" s="71" t="str">
        <f t="shared" si="5089"/>
        <v/>
      </c>
      <c r="EK356" s="71" t="str">
        <f t="shared" si="5090"/>
        <v/>
      </c>
      <c r="EL356" s="71" t="str">
        <f t="shared" si="5091"/>
        <v/>
      </c>
      <c r="EM356" s="71" t="str">
        <f t="shared" si="5092"/>
        <v/>
      </c>
      <c r="EN356" s="71" t="str">
        <f t="shared" si="5093"/>
        <v/>
      </c>
      <c r="EO356" s="71" t="str">
        <f t="shared" si="5094"/>
        <v/>
      </c>
      <c r="EP356" s="71" t="str">
        <f t="shared" si="5095"/>
        <v/>
      </c>
      <c r="EQ356" s="71" t="str">
        <f t="shared" si="5096"/>
        <v/>
      </c>
      <c r="ER356" s="71" t="str">
        <f t="shared" si="5097"/>
        <v/>
      </c>
      <c r="ES356" s="71" t="str">
        <f t="shared" si="5098"/>
        <v/>
      </c>
      <c r="ET356" s="71" t="str">
        <f t="shared" si="5099"/>
        <v/>
      </c>
      <c r="EU356" s="71" t="str">
        <f t="shared" si="5100"/>
        <v/>
      </c>
      <c r="EV356" s="71" t="str">
        <f t="shared" si="5101"/>
        <v/>
      </c>
      <c r="EW356" s="71" t="str">
        <f t="shared" si="5102"/>
        <v/>
      </c>
      <c r="EX356" s="71" t="str">
        <f t="shared" si="5103"/>
        <v/>
      </c>
      <c r="EY356" s="71" t="str">
        <f t="shared" si="5104"/>
        <v/>
      </c>
      <c r="EZ356" s="71" t="str">
        <f t="shared" si="5105"/>
        <v/>
      </c>
      <c r="FA356" s="71" t="str">
        <f t="shared" si="5106"/>
        <v/>
      </c>
      <c r="FB356" s="71" t="str">
        <f t="shared" si="5107"/>
        <v/>
      </c>
      <c r="FC356" s="71" t="str">
        <f t="shared" si="5108"/>
        <v/>
      </c>
      <c r="FD356" s="71" t="str">
        <f t="shared" si="5109"/>
        <v/>
      </c>
      <c r="FE356" s="71" t="str">
        <f t="shared" si="5110"/>
        <v/>
      </c>
      <c r="FF356" s="71" t="str">
        <f t="shared" si="5111"/>
        <v/>
      </c>
      <c r="FG356" s="71" t="str">
        <f t="shared" si="5112"/>
        <v/>
      </c>
      <c r="FH356" s="71" t="str">
        <f t="shared" si="5113"/>
        <v/>
      </c>
      <c r="FI356" s="71" t="str">
        <f t="shared" si="5114"/>
        <v/>
      </c>
      <c r="FJ356" s="71" t="str">
        <f t="shared" si="5115"/>
        <v/>
      </c>
      <c r="FK356" s="71" t="str">
        <f t="shared" si="5116"/>
        <v/>
      </c>
      <c r="FL356" s="71" t="str">
        <f t="shared" si="5117"/>
        <v/>
      </c>
      <c r="FM356" s="71" t="str">
        <f t="shared" si="5118"/>
        <v/>
      </c>
      <c r="FN356" s="71" t="str">
        <f t="shared" si="5119"/>
        <v/>
      </c>
      <c r="FO356" s="71" t="str">
        <f t="shared" si="5120"/>
        <v/>
      </c>
      <c r="FP356" s="71" t="str">
        <f t="shared" si="5121"/>
        <v/>
      </c>
      <c r="FQ356" s="71" t="str">
        <f t="shared" si="5122"/>
        <v/>
      </c>
      <c r="FR356" s="71" t="str">
        <f t="shared" si="5123"/>
        <v/>
      </c>
      <c r="FS356" s="71" t="str">
        <f t="shared" si="5124"/>
        <v/>
      </c>
    </row>
    <row r="357" ht="15" spans="1:175">
      <c r="A357" s="138"/>
      <c r="B357" s="81" t="s">
        <v>1054</v>
      </c>
      <c r="C357" s="144" t="s">
        <v>1047</v>
      </c>
      <c r="K357" s="147"/>
      <c r="T357" s="155" t="s">
        <v>1055</v>
      </c>
      <c r="U357" s="89" t="s">
        <v>1049</v>
      </c>
      <c r="CN357" s="69" t="str">
        <f t="shared" si="5049"/>
        <v>InitUnitState('IK5D',,,,,,,,,,)</v>
      </c>
      <c r="CO357" s="69" t="str">
        <f t="shared" si="5050"/>
        <v>InitUnitNormal('IK5D',,,,,,,,,,)</v>
      </c>
      <c r="CP357" s="69" t="str">
        <f t="shared" si="5051"/>
        <v>InitUnitMagic('IK5D',,,,,,,,,,)</v>
      </c>
      <c r="CQ357" s="69" t="str">
        <f t="shared" si="5052"/>
        <v>InitUnitAdd('IK5D',,,,,,,,,,)</v>
      </c>
      <c r="CR357" s="69" t="str">
        <f t="shared" si="5053"/>
        <v>InitEquipData('IK5D',,"",,,,,'','','','','','',"ReplaceableTextures\\CommandButtons\\BTNSST14.blp")</v>
      </c>
      <c r="CU357" s="99" t="str">
        <f t="shared" si="5054"/>
        <v>|n</v>
      </c>
      <c r="CV357" s="70" t="str">
        <f t="shared" si="4669"/>
        <v>护甲穿透|Cffffc926+150|n|n|r|Cffaaaaaa○|CffFFD24D水之刻印+1|r|r|n|n|Cff00ff7f点击穿戴或脱卸。|r</v>
      </c>
      <c r="CW357" s="60"/>
      <c r="CX357" s="60"/>
      <c r="CY357" s="60"/>
      <c r="CZ357" s="60"/>
      <c r="DA357" s="60"/>
      <c r="DB357" s="71" t="str">
        <f t="shared" si="5055"/>
        <v/>
      </c>
      <c r="DC357" s="71" t="str">
        <f t="shared" si="5056"/>
        <v/>
      </c>
      <c r="DD357" s="71" t="str">
        <f t="shared" si="5057"/>
        <v/>
      </c>
      <c r="DE357" s="71" t="str">
        <f t="shared" si="5058"/>
        <v/>
      </c>
      <c r="DF357" s="71" t="str">
        <f t="shared" si="5059"/>
        <v/>
      </c>
      <c r="DG357" s="71" t="str">
        <f t="shared" si="5060"/>
        <v/>
      </c>
      <c r="DH357" s="71" t="str">
        <f t="shared" si="5061"/>
        <v/>
      </c>
      <c r="DI357" s="71" t="str">
        <f t="shared" si="5062"/>
        <v/>
      </c>
      <c r="DJ357" s="71" t="str">
        <f t="shared" si="5063"/>
        <v/>
      </c>
      <c r="DK357" s="71" t="str">
        <f t="shared" si="5064"/>
        <v/>
      </c>
      <c r="DL357" s="71" t="str">
        <f t="shared" si="5065"/>
        <v/>
      </c>
      <c r="DM357" s="71" t="str">
        <f t="shared" si="5066"/>
        <v/>
      </c>
      <c r="DN357" s="71" t="str">
        <f t="shared" si="5067"/>
        <v/>
      </c>
      <c r="DO357" s="71" t="str">
        <f t="shared" si="5068"/>
        <v/>
      </c>
      <c r="DP357" s="71" t="str">
        <f t="shared" si="5069"/>
        <v/>
      </c>
      <c r="DQ357" s="71" t="str">
        <f t="shared" si="5070"/>
        <v/>
      </c>
      <c r="DR357" s="71" t="str">
        <f t="shared" si="5071"/>
        <v/>
      </c>
      <c r="DS357" s="71" t="str">
        <f t="shared" si="5072"/>
        <v/>
      </c>
      <c r="DT357" s="71" t="str">
        <f t="shared" si="5073"/>
        <v/>
      </c>
      <c r="DU357" s="71" t="str">
        <f t="shared" si="5074"/>
        <v/>
      </c>
      <c r="DV357" s="71" t="str">
        <f t="shared" si="5075"/>
        <v/>
      </c>
      <c r="DW357" s="71" t="str">
        <f t="shared" si="5076"/>
        <v/>
      </c>
      <c r="DX357" s="71" t="str">
        <f t="shared" si="5077"/>
        <v/>
      </c>
      <c r="DY357" s="71" t="str">
        <f t="shared" si="5078"/>
        <v/>
      </c>
      <c r="DZ357" s="71" t="str">
        <f t="shared" si="5079"/>
        <v/>
      </c>
      <c r="EA357" s="71" t="str">
        <f t="shared" si="5080"/>
        <v/>
      </c>
      <c r="EB357" s="71" t="str">
        <f t="shared" si="5081"/>
        <v/>
      </c>
      <c r="EC357" s="71" t="str">
        <f t="shared" si="5082"/>
        <v/>
      </c>
      <c r="ED357" s="71" t="str">
        <f t="shared" si="5083"/>
        <v/>
      </c>
      <c r="EE357" s="71" t="str">
        <f t="shared" si="5084"/>
        <v/>
      </c>
      <c r="EF357" s="71" t="str">
        <f t="shared" si="5085"/>
        <v/>
      </c>
      <c r="EG357" s="71" t="str">
        <f t="shared" si="5086"/>
        <v/>
      </c>
      <c r="EH357" s="71" t="str">
        <f t="shared" si="5087"/>
        <v/>
      </c>
      <c r="EI357" s="71" t="str">
        <f t="shared" si="5088"/>
        <v/>
      </c>
      <c r="EJ357" s="71" t="str">
        <f t="shared" si="5089"/>
        <v/>
      </c>
      <c r="EK357" s="71" t="str">
        <f t="shared" si="5090"/>
        <v/>
      </c>
      <c r="EL357" s="71" t="str">
        <f t="shared" si="5091"/>
        <v/>
      </c>
      <c r="EM357" s="71" t="str">
        <f t="shared" si="5092"/>
        <v/>
      </c>
      <c r="EN357" s="71" t="str">
        <f t="shared" si="5093"/>
        <v/>
      </c>
      <c r="EO357" s="71" t="str">
        <f t="shared" si="5094"/>
        <v/>
      </c>
      <c r="EP357" s="71" t="str">
        <f t="shared" si="5095"/>
        <v/>
      </c>
      <c r="EQ357" s="71" t="str">
        <f t="shared" si="5096"/>
        <v/>
      </c>
      <c r="ER357" s="71" t="str">
        <f t="shared" si="5097"/>
        <v/>
      </c>
      <c r="ES357" s="71" t="str">
        <f t="shared" si="5098"/>
        <v/>
      </c>
      <c r="ET357" s="71" t="str">
        <f t="shared" si="5099"/>
        <v/>
      </c>
      <c r="EU357" s="71" t="str">
        <f t="shared" si="5100"/>
        <v/>
      </c>
      <c r="EV357" s="71" t="str">
        <f t="shared" si="5101"/>
        <v/>
      </c>
      <c r="EW357" s="71" t="str">
        <f t="shared" si="5102"/>
        <v/>
      </c>
      <c r="EX357" s="71" t="str">
        <f t="shared" si="5103"/>
        <v/>
      </c>
      <c r="EY357" s="71" t="str">
        <f t="shared" si="5104"/>
        <v/>
      </c>
      <c r="EZ357" s="71" t="str">
        <f t="shared" si="5105"/>
        <v/>
      </c>
      <c r="FA357" s="71" t="str">
        <f t="shared" si="5106"/>
        <v/>
      </c>
      <c r="FB357" s="71" t="str">
        <f t="shared" si="5107"/>
        <v/>
      </c>
      <c r="FC357" s="71" t="str">
        <f t="shared" si="5108"/>
        <v/>
      </c>
      <c r="FD357" s="71" t="str">
        <f t="shared" si="5109"/>
        <v/>
      </c>
      <c r="FE357" s="71" t="str">
        <f t="shared" si="5110"/>
        <v/>
      </c>
      <c r="FF357" s="71" t="str">
        <f t="shared" si="5111"/>
        <v/>
      </c>
      <c r="FG357" s="71" t="str">
        <f t="shared" si="5112"/>
        <v/>
      </c>
      <c r="FH357" s="71" t="str">
        <f t="shared" si="5113"/>
        <v/>
      </c>
      <c r="FI357" s="71" t="str">
        <f t="shared" si="5114"/>
        <v/>
      </c>
      <c r="FJ357" s="71" t="str">
        <f t="shared" si="5115"/>
        <v/>
      </c>
      <c r="FK357" s="71" t="str">
        <f t="shared" si="5116"/>
        <v/>
      </c>
      <c r="FL357" s="71" t="str">
        <f t="shared" si="5117"/>
        <v/>
      </c>
      <c r="FM357" s="71" t="str">
        <f t="shared" si="5118"/>
        <v/>
      </c>
      <c r="FN357" s="71" t="str">
        <f t="shared" si="5119"/>
        <v/>
      </c>
      <c r="FO357" s="71" t="str">
        <f t="shared" si="5120"/>
        <v/>
      </c>
      <c r="FP357" s="71" t="str">
        <f t="shared" si="5121"/>
        <v/>
      </c>
      <c r="FQ357" s="71" t="str">
        <f t="shared" si="5122"/>
        <v/>
      </c>
      <c r="FR357" s="71" t="str">
        <f t="shared" si="5123"/>
        <v/>
      </c>
      <c r="FS357" s="71" t="str">
        <f t="shared" si="5124"/>
        <v/>
      </c>
    </row>
    <row r="358" ht="15" spans="1:175">
      <c r="A358" s="138"/>
      <c r="B358" s="81" t="s">
        <v>1056</v>
      </c>
      <c r="C358" s="144" t="s">
        <v>1047</v>
      </c>
      <c r="K358" s="147"/>
      <c r="T358" s="155" t="s">
        <v>1057</v>
      </c>
      <c r="U358" s="89" t="s">
        <v>1049</v>
      </c>
      <c r="CN358" s="69" t="str">
        <f t="shared" si="5049"/>
        <v>InitUnitState('IK5E',,,,,,,,,,)</v>
      </c>
      <c r="CO358" s="69" t="str">
        <f t="shared" si="5050"/>
        <v>InitUnitNormal('IK5E',,,,,,,,,,)</v>
      </c>
      <c r="CP358" s="69" t="str">
        <f t="shared" si="5051"/>
        <v>InitUnitMagic('IK5E',,,,,,,,,,)</v>
      </c>
      <c r="CQ358" s="69" t="str">
        <f t="shared" si="5052"/>
        <v>InitUnitAdd('IK5E',,,,,,,,,,)</v>
      </c>
      <c r="CR358" s="69" t="str">
        <f t="shared" si="5053"/>
        <v>InitEquipData('IK5E',,"",,,,,'','','','','','',"ReplaceableTextures\\CommandButtons\\BTNSST14.blp")</v>
      </c>
      <c r="CU358" s="99" t="str">
        <f t="shared" si="5054"/>
        <v>|n</v>
      </c>
      <c r="CV358" s="70" t="str">
        <f t="shared" si="4669"/>
        <v>护甲穿透|Cffffc926+150|n|n|r|Cffaaaaaa○|CffFFD24D火之刻印+1|r|r|n|n|Cff00ff7f点击穿戴或脱卸。|r</v>
      </c>
      <c r="CW358" s="60"/>
      <c r="CX358" s="60"/>
      <c r="CY358" s="60"/>
      <c r="CZ358" s="60"/>
      <c r="DA358" s="60"/>
      <c r="DB358" s="71" t="str">
        <f t="shared" si="5055"/>
        <v/>
      </c>
      <c r="DC358" s="71" t="str">
        <f t="shared" si="5056"/>
        <v/>
      </c>
      <c r="DD358" s="71" t="str">
        <f t="shared" si="5057"/>
        <v/>
      </c>
      <c r="DE358" s="71" t="str">
        <f t="shared" si="5058"/>
        <v/>
      </c>
      <c r="DF358" s="71" t="str">
        <f t="shared" si="5059"/>
        <v/>
      </c>
      <c r="DG358" s="71" t="str">
        <f t="shared" si="5060"/>
        <v/>
      </c>
      <c r="DH358" s="71" t="str">
        <f t="shared" si="5061"/>
        <v/>
      </c>
      <c r="DI358" s="71" t="str">
        <f t="shared" si="5062"/>
        <v/>
      </c>
      <c r="DJ358" s="71" t="str">
        <f t="shared" si="5063"/>
        <v/>
      </c>
      <c r="DK358" s="71" t="str">
        <f t="shared" si="5064"/>
        <v/>
      </c>
      <c r="DL358" s="71" t="str">
        <f t="shared" si="5065"/>
        <v/>
      </c>
      <c r="DM358" s="71" t="str">
        <f t="shared" si="5066"/>
        <v/>
      </c>
      <c r="DN358" s="71" t="str">
        <f t="shared" si="5067"/>
        <v/>
      </c>
      <c r="DO358" s="71" t="str">
        <f t="shared" si="5068"/>
        <v/>
      </c>
      <c r="DP358" s="71" t="str">
        <f t="shared" si="5069"/>
        <v/>
      </c>
      <c r="DQ358" s="71" t="str">
        <f t="shared" si="5070"/>
        <v/>
      </c>
      <c r="DR358" s="71" t="str">
        <f t="shared" si="5071"/>
        <v/>
      </c>
      <c r="DS358" s="71" t="str">
        <f t="shared" si="5072"/>
        <v/>
      </c>
      <c r="DT358" s="71" t="str">
        <f t="shared" si="5073"/>
        <v/>
      </c>
      <c r="DU358" s="71" t="str">
        <f t="shared" si="5074"/>
        <v/>
      </c>
      <c r="DV358" s="71" t="str">
        <f t="shared" si="5075"/>
        <v/>
      </c>
      <c r="DW358" s="71" t="str">
        <f t="shared" si="5076"/>
        <v/>
      </c>
      <c r="DX358" s="71" t="str">
        <f t="shared" si="5077"/>
        <v/>
      </c>
      <c r="DY358" s="71" t="str">
        <f t="shared" si="5078"/>
        <v/>
      </c>
      <c r="DZ358" s="71" t="str">
        <f t="shared" si="5079"/>
        <v/>
      </c>
      <c r="EA358" s="71" t="str">
        <f t="shared" si="5080"/>
        <v/>
      </c>
      <c r="EB358" s="71" t="str">
        <f t="shared" si="5081"/>
        <v/>
      </c>
      <c r="EC358" s="71" t="str">
        <f t="shared" si="5082"/>
        <v/>
      </c>
      <c r="ED358" s="71" t="str">
        <f t="shared" si="5083"/>
        <v/>
      </c>
      <c r="EE358" s="71" t="str">
        <f t="shared" si="5084"/>
        <v/>
      </c>
      <c r="EF358" s="71" t="str">
        <f t="shared" si="5085"/>
        <v/>
      </c>
      <c r="EG358" s="71" t="str">
        <f t="shared" si="5086"/>
        <v/>
      </c>
      <c r="EH358" s="71" t="str">
        <f t="shared" si="5087"/>
        <v/>
      </c>
      <c r="EI358" s="71" t="str">
        <f t="shared" si="5088"/>
        <v/>
      </c>
      <c r="EJ358" s="71" t="str">
        <f t="shared" si="5089"/>
        <v/>
      </c>
      <c r="EK358" s="71" t="str">
        <f t="shared" si="5090"/>
        <v/>
      </c>
      <c r="EL358" s="71" t="str">
        <f t="shared" si="5091"/>
        <v/>
      </c>
      <c r="EM358" s="71" t="str">
        <f t="shared" si="5092"/>
        <v/>
      </c>
      <c r="EN358" s="71" t="str">
        <f t="shared" si="5093"/>
        <v/>
      </c>
      <c r="EO358" s="71" t="str">
        <f t="shared" si="5094"/>
        <v/>
      </c>
      <c r="EP358" s="71" t="str">
        <f t="shared" si="5095"/>
        <v/>
      </c>
      <c r="EQ358" s="71" t="str">
        <f t="shared" si="5096"/>
        <v/>
      </c>
      <c r="ER358" s="71" t="str">
        <f t="shared" si="5097"/>
        <v/>
      </c>
      <c r="ES358" s="71" t="str">
        <f t="shared" si="5098"/>
        <v/>
      </c>
      <c r="ET358" s="71" t="str">
        <f t="shared" si="5099"/>
        <v/>
      </c>
      <c r="EU358" s="71" t="str">
        <f t="shared" si="5100"/>
        <v/>
      </c>
      <c r="EV358" s="71" t="str">
        <f t="shared" si="5101"/>
        <v/>
      </c>
      <c r="EW358" s="71" t="str">
        <f t="shared" si="5102"/>
        <v/>
      </c>
      <c r="EX358" s="71" t="str">
        <f t="shared" si="5103"/>
        <v/>
      </c>
      <c r="EY358" s="71" t="str">
        <f t="shared" si="5104"/>
        <v/>
      </c>
      <c r="EZ358" s="71" t="str">
        <f t="shared" si="5105"/>
        <v/>
      </c>
      <c r="FA358" s="71" t="str">
        <f t="shared" si="5106"/>
        <v/>
      </c>
      <c r="FB358" s="71" t="str">
        <f t="shared" si="5107"/>
        <v/>
      </c>
      <c r="FC358" s="71" t="str">
        <f t="shared" si="5108"/>
        <v/>
      </c>
      <c r="FD358" s="71" t="str">
        <f t="shared" si="5109"/>
        <v/>
      </c>
      <c r="FE358" s="71" t="str">
        <f t="shared" si="5110"/>
        <v/>
      </c>
      <c r="FF358" s="71" t="str">
        <f t="shared" si="5111"/>
        <v/>
      </c>
      <c r="FG358" s="71" t="str">
        <f t="shared" si="5112"/>
        <v/>
      </c>
      <c r="FH358" s="71" t="str">
        <f t="shared" si="5113"/>
        <v/>
      </c>
      <c r="FI358" s="71" t="str">
        <f t="shared" si="5114"/>
        <v/>
      </c>
      <c r="FJ358" s="71" t="str">
        <f t="shared" si="5115"/>
        <v/>
      </c>
      <c r="FK358" s="71" t="str">
        <f t="shared" si="5116"/>
        <v/>
      </c>
      <c r="FL358" s="71" t="str">
        <f t="shared" si="5117"/>
        <v/>
      </c>
      <c r="FM358" s="71" t="str">
        <f t="shared" si="5118"/>
        <v/>
      </c>
      <c r="FN358" s="71" t="str">
        <f t="shared" si="5119"/>
        <v/>
      </c>
      <c r="FO358" s="71" t="str">
        <f t="shared" si="5120"/>
        <v/>
      </c>
      <c r="FP358" s="71" t="str">
        <f t="shared" si="5121"/>
        <v/>
      </c>
      <c r="FQ358" s="71" t="str">
        <f t="shared" si="5122"/>
        <v/>
      </c>
      <c r="FR358" s="71" t="str">
        <f t="shared" si="5123"/>
        <v/>
      </c>
      <c r="FS358" s="71" t="str">
        <f t="shared" si="5124"/>
        <v/>
      </c>
    </row>
    <row r="359" ht="15" spans="1:175">
      <c r="A359" s="138"/>
      <c r="B359" s="81" t="s">
        <v>1058</v>
      </c>
      <c r="C359" s="144" t="s">
        <v>1047</v>
      </c>
      <c r="K359" s="147"/>
      <c r="T359" s="155" t="s">
        <v>1059</v>
      </c>
      <c r="U359" s="89" t="s">
        <v>1049</v>
      </c>
      <c r="CN359" s="69" t="str">
        <f t="shared" si="5049"/>
        <v>InitUnitState('IK5F',,,,,,,,,,)</v>
      </c>
      <c r="CO359" s="69" t="str">
        <f t="shared" si="5050"/>
        <v>InitUnitNormal('IK5F',,,,,,,,,,)</v>
      </c>
      <c r="CP359" s="69" t="str">
        <f t="shared" si="5051"/>
        <v>InitUnitMagic('IK5F',,,,,,,,,,)</v>
      </c>
      <c r="CQ359" s="69" t="str">
        <f t="shared" si="5052"/>
        <v>InitUnitAdd('IK5F',,,,,,,,,,)</v>
      </c>
      <c r="CR359" s="69" t="str">
        <f t="shared" si="5053"/>
        <v>InitEquipData('IK5F',,"",,,,,'','','','','','',"ReplaceableTextures\\CommandButtons\\BTNSST14.blp")</v>
      </c>
      <c r="CU359" s="99" t="str">
        <f t="shared" si="5054"/>
        <v>|n</v>
      </c>
      <c r="CV359" s="70" t="str">
        <f t="shared" si="4669"/>
        <v>护甲穿透|Cffffc926+150|n|n|r|Cffaaaaaa○|CffFFD24D土之刻印+1|r|r|n|n|Cff00ff7f点击穿戴或脱卸。|r</v>
      </c>
      <c r="CW359" s="60"/>
      <c r="CX359" s="60"/>
      <c r="CY359" s="60"/>
      <c r="CZ359" s="60"/>
      <c r="DA359" s="60"/>
      <c r="DB359" s="71" t="str">
        <f t="shared" si="5055"/>
        <v/>
      </c>
      <c r="DC359" s="71" t="str">
        <f t="shared" si="5056"/>
        <v/>
      </c>
      <c r="DD359" s="71" t="str">
        <f t="shared" si="5057"/>
        <v/>
      </c>
      <c r="DE359" s="71" t="str">
        <f t="shared" si="5058"/>
        <v/>
      </c>
      <c r="DF359" s="71" t="str">
        <f t="shared" si="5059"/>
        <v/>
      </c>
      <c r="DG359" s="71" t="str">
        <f t="shared" si="5060"/>
        <v/>
      </c>
      <c r="DH359" s="71" t="str">
        <f t="shared" si="5061"/>
        <v/>
      </c>
      <c r="DI359" s="71" t="str">
        <f t="shared" si="5062"/>
        <v/>
      </c>
      <c r="DJ359" s="71" t="str">
        <f t="shared" si="5063"/>
        <v/>
      </c>
      <c r="DK359" s="71" t="str">
        <f t="shared" si="5064"/>
        <v/>
      </c>
      <c r="DL359" s="71" t="str">
        <f t="shared" si="5065"/>
        <v/>
      </c>
      <c r="DM359" s="71" t="str">
        <f t="shared" si="5066"/>
        <v/>
      </c>
      <c r="DN359" s="71" t="str">
        <f t="shared" si="5067"/>
        <v/>
      </c>
      <c r="DO359" s="71" t="str">
        <f t="shared" si="5068"/>
        <v/>
      </c>
      <c r="DP359" s="71" t="str">
        <f t="shared" si="5069"/>
        <v/>
      </c>
      <c r="DQ359" s="71" t="str">
        <f t="shared" si="5070"/>
        <v/>
      </c>
      <c r="DR359" s="71" t="str">
        <f t="shared" si="5071"/>
        <v/>
      </c>
      <c r="DS359" s="71" t="str">
        <f t="shared" si="5072"/>
        <v/>
      </c>
      <c r="DT359" s="71" t="str">
        <f t="shared" si="5073"/>
        <v/>
      </c>
      <c r="DU359" s="71" t="str">
        <f t="shared" si="5074"/>
        <v/>
      </c>
      <c r="DV359" s="71" t="str">
        <f t="shared" si="5075"/>
        <v/>
      </c>
      <c r="DW359" s="71" t="str">
        <f t="shared" si="5076"/>
        <v/>
      </c>
      <c r="DX359" s="71" t="str">
        <f t="shared" si="5077"/>
        <v/>
      </c>
      <c r="DY359" s="71" t="str">
        <f t="shared" si="5078"/>
        <v/>
      </c>
      <c r="DZ359" s="71" t="str">
        <f t="shared" si="5079"/>
        <v/>
      </c>
      <c r="EA359" s="71" t="str">
        <f t="shared" si="5080"/>
        <v/>
      </c>
      <c r="EB359" s="71" t="str">
        <f t="shared" si="5081"/>
        <v/>
      </c>
      <c r="EC359" s="71" t="str">
        <f t="shared" si="5082"/>
        <v/>
      </c>
      <c r="ED359" s="71" t="str">
        <f t="shared" si="5083"/>
        <v/>
      </c>
      <c r="EE359" s="71" t="str">
        <f t="shared" si="5084"/>
        <v/>
      </c>
      <c r="EF359" s="71" t="str">
        <f t="shared" si="5085"/>
        <v/>
      </c>
      <c r="EG359" s="71" t="str">
        <f t="shared" si="5086"/>
        <v/>
      </c>
      <c r="EH359" s="71" t="str">
        <f t="shared" si="5087"/>
        <v/>
      </c>
      <c r="EI359" s="71" t="str">
        <f t="shared" si="5088"/>
        <v/>
      </c>
      <c r="EJ359" s="71" t="str">
        <f t="shared" si="5089"/>
        <v/>
      </c>
      <c r="EK359" s="71" t="str">
        <f t="shared" si="5090"/>
        <v/>
      </c>
      <c r="EL359" s="71" t="str">
        <f t="shared" si="5091"/>
        <v/>
      </c>
      <c r="EM359" s="71" t="str">
        <f t="shared" si="5092"/>
        <v/>
      </c>
      <c r="EN359" s="71" t="str">
        <f t="shared" si="5093"/>
        <v/>
      </c>
      <c r="EO359" s="71" t="str">
        <f t="shared" si="5094"/>
        <v/>
      </c>
      <c r="EP359" s="71" t="str">
        <f t="shared" si="5095"/>
        <v/>
      </c>
      <c r="EQ359" s="71" t="str">
        <f t="shared" si="5096"/>
        <v/>
      </c>
      <c r="ER359" s="71" t="str">
        <f t="shared" si="5097"/>
        <v/>
      </c>
      <c r="ES359" s="71" t="str">
        <f t="shared" si="5098"/>
        <v/>
      </c>
      <c r="ET359" s="71" t="str">
        <f t="shared" si="5099"/>
        <v/>
      </c>
      <c r="EU359" s="71" t="str">
        <f t="shared" si="5100"/>
        <v/>
      </c>
      <c r="EV359" s="71" t="str">
        <f t="shared" si="5101"/>
        <v/>
      </c>
      <c r="EW359" s="71" t="str">
        <f t="shared" si="5102"/>
        <v/>
      </c>
      <c r="EX359" s="71" t="str">
        <f t="shared" si="5103"/>
        <v/>
      </c>
      <c r="EY359" s="71" t="str">
        <f t="shared" si="5104"/>
        <v/>
      </c>
      <c r="EZ359" s="71" t="str">
        <f t="shared" si="5105"/>
        <v/>
      </c>
      <c r="FA359" s="71" t="str">
        <f t="shared" si="5106"/>
        <v/>
      </c>
      <c r="FB359" s="71" t="str">
        <f t="shared" si="5107"/>
        <v/>
      </c>
      <c r="FC359" s="71" t="str">
        <f t="shared" si="5108"/>
        <v/>
      </c>
      <c r="FD359" s="71" t="str">
        <f t="shared" si="5109"/>
        <v/>
      </c>
      <c r="FE359" s="71" t="str">
        <f t="shared" si="5110"/>
        <v/>
      </c>
      <c r="FF359" s="71" t="str">
        <f t="shared" si="5111"/>
        <v/>
      </c>
      <c r="FG359" s="71" t="str">
        <f t="shared" si="5112"/>
        <v/>
      </c>
      <c r="FH359" s="71" t="str">
        <f t="shared" si="5113"/>
        <v/>
      </c>
      <c r="FI359" s="71" t="str">
        <f t="shared" si="5114"/>
        <v/>
      </c>
      <c r="FJ359" s="71" t="str">
        <f t="shared" si="5115"/>
        <v/>
      </c>
      <c r="FK359" s="71" t="str">
        <f t="shared" si="5116"/>
        <v/>
      </c>
      <c r="FL359" s="71" t="str">
        <f t="shared" si="5117"/>
        <v/>
      </c>
      <c r="FM359" s="71" t="str">
        <f t="shared" si="5118"/>
        <v/>
      </c>
      <c r="FN359" s="71" t="str">
        <f t="shared" si="5119"/>
        <v/>
      </c>
      <c r="FO359" s="71" t="str">
        <f t="shared" si="5120"/>
        <v/>
      </c>
      <c r="FP359" s="71" t="str">
        <f t="shared" si="5121"/>
        <v/>
      </c>
      <c r="FQ359" s="71" t="str">
        <f t="shared" si="5122"/>
        <v/>
      </c>
      <c r="FR359" s="71" t="str">
        <f t="shared" si="5123"/>
        <v/>
      </c>
      <c r="FS359" s="71" t="str">
        <f t="shared" si="5124"/>
        <v/>
      </c>
    </row>
    <row r="360" ht="15" spans="1:175">
      <c r="A360" s="138"/>
      <c r="B360" s="81" t="s">
        <v>1060</v>
      </c>
      <c r="C360" s="144" t="s">
        <v>1047</v>
      </c>
      <c r="K360" s="147"/>
      <c r="T360" s="155" t="s">
        <v>1061</v>
      </c>
      <c r="U360" s="89" t="s">
        <v>1049</v>
      </c>
      <c r="CN360" s="69" t="str">
        <f t="shared" si="5049"/>
        <v>InitUnitState('IK5G',,,,,,,,,,)</v>
      </c>
      <c r="CO360" s="69" t="str">
        <f t="shared" si="5050"/>
        <v>InitUnitNormal('IK5G',,,,,,,,,,)</v>
      </c>
      <c r="CP360" s="69" t="str">
        <f t="shared" si="5051"/>
        <v>InitUnitMagic('IK5G',,,,,,,,,,)</v>
      </c>
      <c r="CQ360" s="69" t="str">
        <f t="shared" si="5052"/>
        <v>InitUnitAdd('IK5G',,,,,,,,,,)</v>
      </c>
      <c r="CR360" s="69" t="str">
        <f t="shared" si="5053"/>
        <v>InitEquipData('IK5G',,"",,,,,'','','','','','',"ReplaceableTextures\\CommandButtons\\BTNSST14.blp")</v>
      </c>
      <c r="CU360" s="99" t="str">
        <f t="shared" si="5054"/>
        <v>|n</v>
      </c>
      <c r="CV360" s="70" t="str">
        <f t="shared" si="4669"/>
        <v>护甲穿透|Cffffc926+150|n|n|r|Cffaaaaaa○|CffFFD24D雷之刻印+1|r|r|n|n|Cff00ff7f点击穿戴或脱卸。|r</v>
      </c>
      <c r="CW360" s="60"/>
      <c r="CX360" s="60"/>
      <c r="CY360" s="60"/>
      <c r="CZ360" s="60"/>
      <c r="DA360" s="60"/>
      <c r="DB360" s="71" t="str">
        <f t="shared" si="5055"/>
        <v/>
      </c>
      <c r="DC360" s="71" t="str">
        <f t="shared" si="5056"/>
        <v/>
      </c>
      <c r="DD360" s="71" t="str">
        <f t="shared" si="5057"/>
        <v/>
      </c>
      <c r="DE360" s="71" t="str">
        <f t="shared" si="5058"/>
        <v/>
      </c>
      <c r="DF360" s="71" t="str">
        <f t="shared" si="5059"/>
        <v/>
      </c>
      <c r="DG360" s="71" t="str">
        <f t="shared" si="5060"/>
        <v/>
      </c>
      <c r="DH360" s="71" t="str">
        <f t="shared" si="5061"/>
        <v/>
      </c>
      <c r="DI360" s="71" t="str">
        <f t="shared" si="5062"/>
        <v/>
      </c>
      <c r="DJ360" s="71" t="str">
        <f t="shared" si="5063"/>
        <v/>
      </c>
      <c r="DK360" s="71" t="str">
        <f t="shared" si="5064"/>
        <v/>
      </c>
      <c r="DL360" s="71" t="str">
        <f t="shared" si="5065"/>
        <v/>
      </c>
      <c r="DM360" s="71" t="str">
        <f t="shared" si="5066"/>
        <v/>
      </c>
      <c r="DN360" s="71" t="str">
        <f t="shared" si="5067"/>
        <v/>
      </c>
      <c r="DO360" s="71" t="str">
        <f t="shared" si="5068"/>
        <v/>
      </c>
      <c r="DP360" s="71" t="str">
        <f t="shared" si="5069"/>
        <v/>
      </c>
      <c r="DQ360" s="71" t="str">
        <f t="shared" si="5070"/>
        <v/>
      </c>
      <c r="DR360" s="71" t="str">
        <f t="shared" si="5071"/>
        <v/>
      </c>
      <c r="DS360" s="71" t="str">
        <f t="shared" si="5072"/>
        <v/>
      </c>
      <c r="DT360" s="71" t="str">
        <f t="shared" si="5073"/>
        <v/>
      </c>
      <c r="DU360" s="71" t="str">
        <f t="shared" si="5074"/>
        <v/>
      </c>
      <c r="DV360" s="71" t="str">
        <f t="shared" si="5075"/>
        <v/>
      </c>
      <c r="DW360" s="71" t="str">
        <f t="shared" si="5076"/>
        <v/>
      </c>
      <c r="DX360" s="71" t="str">
        <f t="shared" si="5077"/>
        <v/>
      </c>
      <c r="DY360" s="71" t="str">
        <f t="shared" si="5078"/>
        <v/>
      </c>
      <c r="DZ360" s="71" t="str">
        <f t="shared" si="5079"/>
        <v/>
      </c>
      <c r="EA360" s="71" t="str">
        <f t="shared" si="5080"/>
        <v/>
      </c>
      <c r="EB360" s="71" t="str">
        <f t="shared" si="5081"/>
        <v/>
      </c>
      <c r="EC360" s="71" t="str">
        <f t="shared" si="5082"/>
        <v/>
      </c>
      <c r="ED360" s="71" t="str">
        <f t="shared" si="5083"/>
        <v/>
      </c>
      <c r="EE360" s="71" t="str">
        <f t="shared" si="5084"/>
        <v/>
      </c>
      <c r="EF360" s="71" t="str">
        <f t="shared" si="5085"/>
        <v/>
      </c>
      <c r="EG360" s="71" t="str">
        <f t="shared" si="5086"/>
        <v/>
      </c>
      <c r="EH360" s="71" t="str">
        <f t="shared" si="5087"/>
        <v/>
      </c>
      <c r="EI360" s="71" t="str">
        <f t="shared" si="5088"/>
        <v/>
      </c>
      <c r="EJ360" s="71" t="str">
        <f t="shared" si="5089"/>
        <v/>
      </c>
      <c r="EK360" s="71" t="str">
        <f t="shared" si="5090"/>
        <v/>
      </c>
      <c r="EL360" s="71" t="str">
        <f t="shared" si="5091"/>
        <v/>
      </c>
      <c r="EM360" s="71" t="str">
        <f t="shared" si="5092"/>
        <v/>
      </c>
      <c r="EN360" s="71" t="str">
        <f t="shared" si="5093"/>
        <v/>
      </c>
      <c r="EO360" s="71" t="str">
        <f t="shared" si="5094"/>
        <v/>
      </c>
      <c r="EP360" s="71" t="str">
        <f t="shared" si="5095"/>
        <v/>
      </c>
      <c r="EQ360" s="71" t="str">
        <f t="shared" si="5096"/>
        <v/>
      </c>
      <c r="ER360" s="71" t="str">
        <f t="shared" si="5097"/>
        <v/>
      </c>
      <c r="ES360" s="71" t="str">
        <f t="shared" si="5098"/>
        <v/>
      </c>
      <c r="ET360" s="71" t="str">
        <f t="shared" si="5099"/>
        <v/>
      </c>
      <c r="EU360" s="71" t="str">
        <f t="shared" si="5100"/>
        <v/>
      </c>
      <c r="EV360" s="71" t="str">
        <f t="shared" si="5101"/>
        <v/>
      </c>
      <c r="EW360" s="71" t="str">
        <f t="shared" si="5102"/>
        <v/>
      </c>
      <c r="EX360" s="71" t="str">
        <f t="shared" si="5103"/>
        <v/>
      </c>
      <c r="EY360" s="71" t="str">
        <f t="shared" si="5104"/>
        <v/>
      </c>
      <c r="EZ360" s="71" t="str">
        <f t="shared" si="5105"/>
        <v/>
      </c>
      <c r="FA360" s="71" t="str">
        <f t="shared" si="5106"/>
        <v/>
      </c>
      <c r="FB360" s="71" t="str">
        <f t="shared" si="5107"/>
        <v/>
      </c>
      <c r="FC360" s="71" t="str">
        <f t="shared" si="5108"/>
        <v/>
      </c>
      <c r="FD360" s="71" t="str">
        <f t="shared" si="5109"/>
        <v/>
      </c>
      <c r="FE360" s="71" t="str">
        <f t="shared" si="5110"/>
        <v/>
      </c>
      <c r="FF360" s="71" t="str">
        <f t="shared" si="5111"/>
        <v/>
      </c>
      <c r="FG360" s="71" t="str">
        <f t="shared" si="5112"/>
        <v/>
      </c>
      <c r="FH360" s="71" t="str">
        <f t="shared" si="5113"/>
        <v/>
      </c>
      <c r="FI360" s="71" t="str">
        <f t="shared" si="5114"/>
        <v/>
      </c>
      <c r="FJ360" s="71" t="str">
        <f t="shared" si="5115"/>
        <v/>
      </c>
      <c r="FK360" s="71" t="str">
        <f t="shared" si="5116"/>
        <v/>
      </c>
      <c r="FL360" s="71" t="str">
        <f t="shared" si="5117"/>
        <v/>
      </c>
      <c r="FM360" s="71" t="str">
        <f t="shared" si="5118"/>
        <v/>
      </c>
      <c r="FN360" s="71" t="str">
        <f t="shared" si="5119"/>
        <v/>
      </c>
      <c r="FO360" s="71" t="str">
        <f t="shared" si="5120"/>
        <v/>
      </c>
      <c r="FP360" s="71" t="str">
        <f t="shared" si="5121"/>
        <v/>
      </c>
      <c r="FQ360" s="71" t="str">
        <f t="shared" si="5122"/>
        <v/>
      </c>
      <c r="FR360" s="71" t="str">
        <f t="shared" si="5123"/>
        <v/>
      </c>
      <c r="FS360" s="71" t="str">
        <f t="shared" si="5124"/>
        <v/>
      </c>
    </row>
    <row r="361" ht="15" spans="1:175">
      <c r="A361" s="138"/>
      <c r="B361" s="81" t="s">
        <v>1062</v>
      </c>
      <c r="C361" s="144" t="s">
        <v>1047</v>
      </c>
      <c r="K361" s="147"/>
      <c r="T361" s="155" t="s">
        <v>1063</v>
      </c>
      <c r="U361" s="89" t="s">
        <v>1049</v>
      </c>
      <c r="CN361" s="69" t="str">
        <f t="shared" si="5049"/>
        <v>InitUnitState('IK5H',,,,,,,,,,)</v>
      </c>
      <c r="CO361" s="69" t="str">
        <f t="shared" si="5050"/>
        <v>InitUnitNormal('IK5H',,,,,,,,,,)</v>
      </c>
      <c r="CP361" s="69" t="str">
        <f t="shared" si="5051"/>
        <v>InitUnitMagic('IK5H',,,,,,,,,,)</v>
      </c>
      <c r="CQ361" s="69" t="str">
        <f t="shared" si="5052"/>
        <v>InitUnitAdd('IK5H',,,,,,,,,,)</v>
      </c>
      <c r="CR361" s="69" t="str">
        <f t="shared" si="5053"/>
        <v>InitEquipData('IK5H',,"",,,,,'','','','','','',"ReplaceableTextures\\CommandButtons\\BTNSST14.blp")</v>
      </c>
      <c r="CU361" s="99" t="str">
        <f t="shared" si="5054"/>
        <v>|n</v>
      </c>
      <c r="CV361" s="70" t="str">
        <f t="shared" si="4669"/>
        <v>护甲穿透|Cffffc926+150|n|n|r|Cffaaaaaa○|CffFFD24D光之刻印+1|r|r|n|n|Cff00ff7f点击穿戴或脱卸。|r</v>
      </c>
      <c r="CW361" s="60"/>
      <c r="CX361" s="60"/>
      <c r="CY361" s="60"/>
      <c r="CZ361" s="60"/>
      <c r="DA361" s="60"/>
      <c r="DB361" s="71" t="str">
        <f t="shared" si="5055"/>
        <v/>
      </c>
      <c r="DC361" s="71" t="str">
        <f t="shared" si="5056"/>
        <v/>
      </c>
      <c r="DD361" s="71" t="str">
        <f t="shared" si="5057"/>
        <v/>
      </c>
      <c r="DE361" s="71" t="str">
        <f t="shared" si="5058"/>
        <v/>
      </c>
      <c r="DF361" s="71" t="str">
        <f t="shared" si="5059"/>
        <v/>
      </c>
      <c r="DG361" s="71" t="str">
        <f t="shared" si="5060"/>
        <v/>
      </c>
      <c r="DH361" s="71" t="str">
        <f t="shared" si="5061"/>
        <v/>
      </c>
      <c r="DI361" s="71" t="str">
        <f t="shared" si="5062"/>
        <v/>
      </c>
      <c r="DJ361" s="71" t="str">
        <f t="shared" si="5063"/>
        <v/>
      </c>
      <c r="DK361" s="71" t="str">
        <f t="shared" si="5064"/>
        <v/>
      </c>
      <c r="DL361" s="71" t="str">
        <f t="shared" si="5065"/>
        <v/>
      </c>
      <c r="DM361" s="71" t="str">
        <f t="shared" si="5066"/>
        <v/>
      </c>
      <c r="DN361" s="71" t="str">
        <f t="shared" si="5067"/>
        <v/>
      </c>
      <c r="DO361" s="71" t="str">
        <f t="shared" si="5068"/>
        <v/>
      </c>
      <c r="DP361" s="71" t="str">
        <f t="shared" si="5069"/>
        <v/>
      </c>
      <c r="DQ361" s="71" t="str">
        <f t="shared" si="5070"/>
        <v/>
      </c>
      <c r="DR361" s="71" t="str">
        <f t="shared" si="5071"/>
        <v/>
      </c>
      <c r="DS361" s="71" t="str">
        <f t="shared" si="5072"/>
        <v/>
      </c>
      <c r="DT361" s="71" t="str">
        <f t="shared" si="5073"/>
        <v/>
      </c>
      <c r="DU361" s="71" t="str">
        <f t="shared" si="5074"/>
        <v/>
      </c>
      <c r="DV361" s="71" t="str">
        <f t="shared" si="5075"/>
        <v/>
      </c>
      <c r="DW361" s="71" t="str">
        <f t="shared" si="5076"/>
        <v/>
      </c>
      <c r="DX361" s="71" t="str">
        <f t="shared" si="5077"/>
        <v/>
      </c>
      <c r="DY361" s="71" t="str">
        <f t="shared" si="5078"/>
        <v/>
      </c>
      <c r="DZ361" s="71" t="str">
        <f t="shared" si="5079"/>
        <v/>
      </c>
      <c r="EA361" s="71" t="str">
        <f t="shared" si="5080"/>
        <v/>
      </c>
      <c r="EB361" s="71" t="str">
        <f t="shared" si="5081"/>
        <v/>
      </c>
      <c r="EC361" s="71" t="str">
        <f t="shared" si="5082"/>
        <v/>
      </c>
      <c r="ED361" s="71" t="str">
        <f t="shared" si="5083"/>
        <v/>
      </c>
      <c r="EE361" s="71" t="str">
        <f t="shared" si="5084"/>
        <v/>
      </c>
      <c r="EF361" s="71" t="str">
        <f t="shared" si="5085"/>
        <v/>
      </c>
      <c r="EG361" s="71" t="str">
        <f t="shared" si="5086"/>
        <v/>
      </c>
      <c r="EH361" s="71" t="str">
        <f t="shared" si="5087"/>
        <v/>
      </c>
      <c r="EI361" s="71" t="str">
        <f t="shared" si="5088"/>
        <v/>
      </c>
      <c r="EJ361" s="71" t="str">
        <f t="shared" si="5089"/>
        <v/>
      </c>
      <c r="EK361" s="71" t="str">
        <f t="shared" si="5090"/>
        <v/>
      </c>
      <c r="EL361" s="71" t="str">
        <f t="shared" si="5091"/>
        <v/>
      </c>
      <c r="EM361" s="71" t="str">
        <f t="shared" si="5092"/>
        <v/>
      </c>
      <c r="EN361" s="71" t="str">
        <f t="shared" si="5093"/>
        <v/>
      </c>
      <c r="EO361" s="71" t="str">
        <f t="shared" si="5094"/>
        <v/>
      </c>
      <c r="EP361" s="71" t="str">
        <f t="shared" si="5095"/>
        <v/>
      </c>
      <c r="EQ361" s="71" t="str">
        <f t="shared" si="5096"/>
        <v/>
      </c>
      <c r="ER361" s="71" t="str">
        <f t="shared" si="5097"/>
        <v/>
      </c>
      <c r="ES361" s="71" t="str">
        <f t="shared" si="5098"/>
        <v/>
      </c>
      <c r="ET361" s="71" t="str">
        <f t="shared" si="5099"/>
        <v/>
      </c>
      <c r="EU361" s="71" t="str">
        <f t="shared" si="5100"/>
        <v/>
      </c>
      <c r="EV361" s="71" t="str">
        <f t="shared" si="5101"/>
        <v/>
      </c>
      <c r="EW361" s="71" t="str">
        <f t="shared" si="5102"/>
        <v/>
      </c>
      <c r="EX361" s="71" t="str">
        <f t="shared" si="5103"/>
        <v/>
      </c>
      <c r="EY361" s="71" t="str">
        <f t="shared" si="5104"/>
        <v/>
      </c>
      <c r="EZ361" s="71" t="str">
        <f t="shared" si="5105"/>
        <v/>
      </c>
      <c r="FA361" s="71" t="str">
        <f t="shared" si="5106"/>
        <v/>
      </c>
      <c r="FB361" s="71" t="str">
        <f t="shared" si="5107"/>
        <v/>
      </c>
      <c r="FC361" s="71" t="str">
        <f t="shared" si="5108"/>
        <v/>
      </c>
      <c r="FD361" s="71" t="str">
        <f t="shared" si="5109"/>
        <v/>
      </c>
      <c r="FE361" s="71" t="str">
        <f t="shared" si="5110"/>
        <v/>
      </c>
      <c r="FF361" s="71" t="str">
        <f t="shared" si="5111"/>
        <v/>
      </c>
      <c r="FG361" s="71" t="str">
        <f t="shared" si="5112"/>
        <v/>
      </c>
      <c r="FH361" s="71" t="str">
        <f t="shared" si="5113"/>
        <v/>
      </c>
      <c r="FI361" s="71" t="str">
        <f t="shared" si="5114"/>
        <v/>
      </c>
      <c r="FJ361" s="71" t="str">
        <f t="shared" si="5115"/>
        <v/>
      </c>
      <c r="FK361" s="71" t="str">
        <f t="shared" si="5116"/>
        <v/>
      </c>
      <c r="FL361" s="71" t="str">
        <f t="shared" si="5117"/>
        <v/>
      </c>
      <c r="FM361" s="71" t="str">
        <f t="shared" si="5118"/>
        <v/>
      </c>
      <c r="FN361" s="71" t="str">
        <f t="shared" si="5119"/>
        <v/>
      </c>
      <c r="FO361" s="71" t="str">
        <f t="shared" si="5120"/>
        <v/>
      </c>
      <c r="FP361" s="71" t="str">
        <f t="shared" si="5121"/>
        <v/>
      </c>
      <c r="FQ361" s="71" t="str">
        <f t="shared" si="5122"/>
        <v/>
      </c>
      <c r="FR361" s="71" t="str">
        <f t="shared" si="5123"/>
        <v/>
      </c>
      <c r="FS361" s="71" t="str">
        <f t="shared" si="5124"/>
        <v/>
      </c>
    </row>
    <row r="362" ht="15" spans="1:175">
      <c r="A362" s="138"/>
      <c r="B362" s="81" t="s">
        <v>1064</v>
      </c>
      <c r="C362" s="144" t="s">
        <v>1047</v>
      </c>
      <c r="K362" s="157"/>
      <c r="T362" s="155" t="s">
        <v>1065</v>
      </c>
      <c r="U362" s="89" t="s">
        <v>1049</v>
      </c>
      <c r="CN362" s="69" t="str">
        <f t="shared" si="5049"/>
        <v>InitUnitState('IK5I',,,,,,,,,,)</v>
      </c>
      <c r="CO362" s="69" t="str">
        <f t="shared" si="5050"/>
        <v>InitUnitNormal('IK5I',,,,,,,,,,)</v>
      </c>
      <c r="CP362" s="69" t="str">
        <f t="shared" si="5051"/>
        <v>InitUnitMagic('IK5I',,,,,,,,,,)</v>
      </c>
      <c r="CQ362" s="69" t="str">
        <f t="shared" si="5052"/>
        <v>InitUnitAdd('IK5I',,,,,,,,,,)</v>
      </c>
      <c r="CR362" s="69" t="str">
        <f t="shared" si="5053"/>
        <v>InitEquipData('IK5I',,"",,,,,'','','','','','',"ReplaceableTextures\\CommandButtons\\BTNSST14.blp")</v>
      </c>
      <c r="CU362" s="99" t="str">
        <f t="shared" si="5054"/>
        <v>|n</v>
      </c>
      <c r="CV362" s="70" t="str">
        <f t="shared" si="4669"/>
        <v>护甲穿透|Cffffc926+150|n|n|r|Cffaaaaaa○|CffFFD24D暗之刻印+1|r|r|n|n|Cff00ff7f点击穿戴或脱卸。|r</v>
      </c>
      <c r="CW362" s="60"/>
      <c r="CX362" s="60"/>
      <c r="CY362" s="60"/>
      <c r="CZ362" s="60"/>
      <c r="DA362" s="60"/>
      <c r="DB362" s="71" t="str">
        <f t="shared" si="5055"/>
        <v/>
      </c>
      <c r="DC362" s="71" t="str">
        <f t="shared" si="5056"/>
        <v/>
      </c>
      <c r="DD362" s="71" t="str">
        <f t="shared" si="5057"/>
        <v/>
      </c>
      <c r="DE362" s="71" t="str">
        <f t="shared" si="5058"/>
        <v/>
      </c>
      <c r="DF362" s="71" t="str">
        <f t="shared" si="5059"/>
        <v/>
      </c>
      <c r="DG362" s="71" t="str">
        <f t="shared" si="5060"/>
        <v/>
      </c>
      <c r="DH362" s="71" t="str">
        <f t="shared" si="5061"/>
        <v/>
      </c>
      <c r="DI362" s="71" t="str">
        <f t="shared" si="5062"/>
        <v/>
      </c>
      <c r="DJ362" s="71" t="str">
        <f t="shared" si="5063"/>
        <v/>
      </c>
      <c r="DK362" s="71" t="str">
        <f t="shared" si="5064"/>
        <v/>
      </c>
      <c r="DL362" s="71" t="str">
        <f t="shared" si="5065"/>
        <v/>
      </c>
      <c r="DM362" s="71" t="str">
        <f t="shared" si="5066"/>
        <v/>
      </c>
      <c r="DN362" s="71" t="str">
        <f t="shared" si="5067"/>
        <v/>
      </c>
      <c r="DO362" s="71" t="str">
        <f t="shared" si="5068"/>
        <v/>
      </c>
      <c r="DP362" s="71" t="str">
        <f t="shared" si="5069"/>
        <v/>
      </c>
      <c r="DQ362" s="71" t="str">
        <f t="shared" si="5070"/>
        <v/>
      </c>
      <c r="DR362" s="71" t="str">
        <f t="shared" si="5071"/>
        <v/>
      </c>
      <c r="DS362" s="71" t="str">
        <f t="shared" si="5072"/>
        <v/>
      </c>
      <c r="DT362" s="71" t="str">
        <f t="shared" si="5073"/>
        <v/>
      </c>
      <c r="DU362" s="71" t="str">
        <f t="shared" si="5074"/>
        <v/>
      </c>
      <c r="DV362" s="71" t="str">
        <f t="shared" si="5075"/>
        <v/>
      </c>
      <c r="DW362" s="71" t="str">
        <f t="shared" si="5076"/>
        <v/>
      </c>
      <c r="DX362" s="71" t="str">
        <f t="shared" si="5077"/>
        <v/>
      </c>
      <c r="DY362" s="71" t="str">
        <f t="shared" si="5078"/>
        <v/>
      </c>
      <c r="DZ362" s="71" t="str">
        <f t="shared" si="5079"/>
        <v/>
      </c>
      <c r="EA362" s="71" t="str">
        <f t="shared" si="5080"/>
        <v/>
      </c>
      <c r="EB362" s="71" t="str">
        <f t="shared" si="5081"/>
        <v/>
      </c>
      <c r="EC362" s="71" t="str">
        <f t="shared" si="5082"/>
        <v/>
      </c>
      <c r="ED362" s="71" t="str">
        <f t="shared" si="5083"/>
        <v/>
      </c>
      <c r="EE362" s="71" t="str">
        <f t="shared" si="5084"/>
        <v/>
      </c>
      <c r="EF362" s="71" t="str">
        <f t="shared" si="5085"/>
        <v/>
      </c>
      <c r="EG362" s="71" t="str">
        <f t="shared" si="5086"/>
        <v/>
      </c>
      <c r="EH362" s="71" t="str">
        <f t="shared" si="5087"/>
        <v/>
      </c>
      <c r="EI362" s="71" t="str">
        <f t="shared" si="5088"/>
        <v/>
      </c>
      <c r="EJ362" s="71" t="str">
        <f t="shared" si="5089"/>
        <v/>
      </c>
      <c r="EK362" s="71" t="str">
        <f t="shared" si="5090"/>
        <v/>
      </c>
      <c r="EL362" s="71" t="str">
        <f t="shared" si="5091"/>
        <v/>
      </c>
      <c r="EM362" s="71" t="str">
        <f t="shared" si="5092"/>
        <v/>
      </c>
      <c r="EN362" s="71" t="str">
        <f t="shared" si="5093"/>
        <v/>
      </c>
      <c r="EO362" s="71" t="str">
        <f t="shared" si="5094"/>
        <v/>
      </c>
      <c r="EP362" s="71" t="str">
        <f t="shared" si="5095"/>
        <v/>
      </c>
      <c r="EQ362" s="71" t="str">
        <f t="shared" si="5096"/>
        <v/>
      </c>
      <c r="ER362" s="71" t="str">
        <f t="shared" si="5097"/>
        <v/>
      </c>
      <c r="ES362" s="71" t="str">
        <f t="shared" si="5098"/>
        <v/>
      </c>
      <c r="ET362" s="71" t="str">
        <f t="shared" si="5099"/>
        <v/>
      </c>
      <c r="EU362" s="71" t="str">
        <f t="shared" si="5100"/>
        <v/>
      </c>
      <c r="EV362" s="71" t="str">
        <f t="shared" si="5101"/>
        <v/>
      </c>
      <c r="EW362" s="71" t="str">
        <f t="shared" si="5102"/>
        <v/>
      </c>
      <c r="EX362" s="71" t="str">
        <f t="shared" si="5103"/>
        <v/>
      </c>
      <c r="EY362" s="71" t="str">
        <f t="shared" si="5104"/>
        <v/>
      </c>
      <c r="EZ362" s="71" t="str">
        <f t="shared" si="5105"/>
        <v/>
      </c>
      <c r="FA362" s="71" t="str">
        <f t="shared" si="5106"/>
        <v/>
      </c>
      <c r="FB362" s="71" t="str">
        <f t="shared" si="5107"/>
        <v/>
      </c>
      <c r="FC362" s="71" t="str">
        <f t="shared" si="5108"/>
        <v/>
      </c>
      <c r="FD362" s="71" t="str">
        <f t="shared" si="5109"/>
        <v/>
      </c>
      <c r="FE362" s="71" t="str">
        <f t="shared" si="5110"/>
        <v/>
      </c>
      <c r="FF362" s="71" t="str">
        <f t="shared" si="5111"/>
        <v/>
      </c>
      <c r="FG362" s="71" t="str">
        <f t="shared" si="5112"/>
        <v/>
      </c>
      <c r="FH362" s="71" t="str">
        <f t="shared" si="5113"/>
        <v/>
      </c>
      <c r="FI362" s="71" t="str">
        <f t="shared" si="5114"/>
        <v/>
      </c>
      <c r="FJ362" s="71" t="str">
        <f t="shared" si="5115"/>
        <v/>
      </c>
      <c r="FK362" s="71" t="str">
        <f t="shared" si="5116"/>
        <v/>
      </c>
      <c r="FL362" s="71" t="str">
        <f t="shared" si="5117"/>
        <v/>
      </c>
      <c r="FM362" s="71" t="str">
        <f t="shared" si="5118"/>
        <v/>
      </c>
      <c r="FN362" s="71" t="str">
        <f t="shared" si="5119"/>
        <v/>
      </c>
      <c r="FO362" s="71" t="str">
        <f t="shared" si="5120"/>
        <v/>
      </c>
      <c r="FP362" s="71" t="str">
        <f t="shared" si="5121"/>
        <v/>
      </c>
      <c r="FQ362" s="71" t="str">
        <f t="shared" si="5122"/>
        <v/>
      </c>
      <c r="FR362" s="71" t="str">
        <f t="shared" si="5123"/>
        <v/>
      </c>
      <c r="FS362" s="71" t="str">
        <f t="shared" si="5124"/>
        <v/>
      </c>
    </row>
    <row r="363" ht="15" spans="1:175">
      <c r="A363" s="138"/>
      <c r="B363" s="81" t="s">
        <v>1066</v>
      </c>
      <c r="C363" s="144" t="s">
        <v>1067</v>
      </c>
      <c r="T363" s="155" t="s">
        <v>1068</v>
      </c>
      <c r="U363" s="89" t="s">
        <v>1069</v>
      </c>
      <c r="CN363" s="69" t="str">
        <f t="shared" si="4670"/>
        <v>InitUnitState('IK6A',,,,,,,,,,)</v>
      </c>
      <c r="CO363" s="69" t="str">
        <f t="shared" si="4671"/>
        <v>InitUnitNormal('IK6A',,,,,,,,,,)</v>
      </c>
      <c r="CP363" s="69" t="str">
        <f t="shared" si="4672"/>
        <v>InitUnitMagic('IK6A',,,,,,,,,,)</v>
      </c>
      <c r="CQ363" s="69" t="str">
        <f t="shared" si="4673"/>
        <v>InitUnitAdd('IK6A',,,,,,,,,,)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InitEquipData('IK6A',,"",,,,,'','','','','','',"ReplaceableTextures\\CommandButtons\\BTNSST15.blp")</v>
      </c>
      <c r="CU363" s="99" t="str">
        <f t="shared" si="4674"/>
        <v>|n</v>
      </c>
      <c r="CV363" s="70" t="str">
        <f t="shared" si="4669"/>
        <v>暴击伤害|Cffffc926+60%|n|n|r|Cffaaaaaa○刻印槽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4675"/>
        <v/>
      </c>
      <c r="DC363" s="71" t="str">
        <f t="shared" si="4676"/>
        <v/>
      </c>
      <c r="DD363" s="71" t="str">
        <f t="shared" si="4677"/>
        <v/>
      </c>
      <c r="DE363" s="71" t="str">
        <f t="shared" si="4678"/>
        <v/>
      </c>
      <c r="DF363" s="71" t="str">
        <f t="shared" si="4679"/>
        <v/>
      </c>
      <c r="DG363" s="71" t="str">
        <f t="shared" si="4680"/>
        <v/>
      </c>
      <c r="DH363" s="71" t="str">
        <f t="shared" si="4681"/>
        <v/>
      </c>
      <c r="DI363" s="71" t="str">
        <f t="shared" si="4682"/>
        <v/>
      </c>
      <c r="DJ363" s="71" t="str">
        <f t="shared" si="4683"/>
        <v/>
      </c>
      <c r="DK363" s="71" t="str">
        <f t="shared" si="4684"/>
        <v/>
      </c>
      <c r="DL363" s="71" t="str">
        <f t="shared" si="4685"/>
        <v/>
      </c>
      <c r="DM363" s="71" t="str">
        <f t="shared" si="4686"/>
        <v/>
      </c>
      <c r="DN363" s="71" t="str">
        <f t="shared" si="4687"/>
        <v/>
      </c>
      <c r="DO363" s="71" t="str">
        <f t="shared" si="4688"/>
        <v/>
      </c>
      <c r="DP363" s="71" t="str">
        <f t="shared" si="4689"/>
        <v/>
      </c>
      <c r="DQ363" s="71" t="str">
        <f t="shared" si="4690"/>
        <v/>
      </c>
      <c r="DR363" s="71" t="str">
        <f t="shared" si="4691"/>
        <v/>
      </c>
      <c r="DS363" s="71" t="str">
        <f t="shared" si="4692"/>
        <v/>
      </c>
      <c r="DT363" s="71" t="str">
        <f t="shared" si="4693"/>
        <v/>
      </c>
      <c r="DU363" s="71" t="str">
        <f t="shared" si="4694"/>
        <v/>
      </c>
      <c r="DV363" s="71" t="str">
        <f t="shared" si="4695"/>
        <v/>
      </c>
      <c r="DW363" s="71" t="str">
        <f t="shared" si="4696"/>
        <v/>
      </c>
      <c r="DX363" s="71" t="str">
        <f t="shared" si="4697"/>
        <v/>
      </c>
      <c r="DY363" s="71" t="str">
        <f t="shared" si="4698"/>
        <v/>
      </c>
      <c r="DZ363" s="71" t="str">
        <f t="shared" si="4699"/>
        <v/>
      </c>
      <c r="EA363" s="71" t="str">
        <f t="shared" si="4700"/>
        <v/>
      </c>
      <c r="EB363" s="71" t="str">
        <f t="shared" si="4701"/>
        <v/>
      </c>
      <c r="EC363" s="71" t="str">
        <f t="shared" si="4702"/>
        <v/>
      </c>
      <c r="ED363" s="71" t="str">
        <f t="shared" si="4703"/>
        <v/>
      </c>
      <c r="EE363" s="71" t="str">
        <f t="shared" si="4704"/>
        <v/>
      </c>
      <c r="EF363" s="71" t="str">
        <f t="shared" si="4705"/>
        <v/>
      </c>
      <c r="EG363" s="71" t="str">
        <f t="shared" si="4706"/>
        <v/>
      </c>
      <c r="EH363" s="71" t="str">
        <f t="shared" si="4707"/>
        <v/>
      </c>
      <c r="EI363" s="71" t="str">
        <f t="shared" si="4708"/>
        <v/>
      </c>
      <c r="EJ363" s="71" t="str">
        <f t="shared" si="4709"/>
        <v/>
      </c>
      <c r="EK363" s="71" t="str">
        <f t="shared" si="4710"/>
        <v/>
      </c>
      <c r="EL363" s="71" t="str">
        <f t="shared" si="4711"/>
        <v/>
      </c>
      <c r="EM363" s="71" t="str">
        <f t="shared" si="4712"/>
        <v/>
      </c>
      <c r="EN363" s="71" t="str">
        <f t="shared" si="4713"/>
        <v/>
      </c>
      <c r="EO363" s="71" t="str">
        <f t="shared" si="4714"/>
        <v/>
      </c>
      <c r="EP363" s="71" t="str">
        <f t="shared" si="4715"/>
        <v/>
      </c>
      <c r="EQ363" s="71" t="str">
        <f t="shared" si="4716"/>
        <v/>
      </c>
      <c r="ER363" s="71" t="str">
        <f t="shared" si="4717"/>
        <v/>
      </c>
      <c r="ES363" s="71" t="str">
        <f t="shared" si="4718"/>
        <v/>
      </c>
      <c r="ET363" s="71" t="str">
        <f t="shared" si="4719"/>
        <v/>
      </c>
      <c r="EU363" s="71" t="str">
        <f t="shared" si="4720"/>
        <v/>
      </c>
      <c r="EV363" s="71" t="str">
        <f t="shared" si="4721"/>
        <v/>
      </c>
      <c r="EW363" s="71" t="str">
        <f t="shared" si="4722"/>
        <v/>
      </c>
      <c r="EX363" s="71" t="str">
        <f t="shared" si="4723"/>
        <v/>
      </c>
      <c r="EY363" s="71" t="str">
        <f t="shared" si="4724"/>
        <v/>
      </c>
      <c r="EZ363" s="71" t="str">
        <f t="shared" si="4725"/>
        <v/>
      </c>
      <c r="FA363" s="71" t="str">
        <f t="shared" si="4726"/>
        <v/>
      </c>
      <c r="FB363" s="71" t="str">
        <f t="shared" si="4727"/>
        <v/>
      </c>
      <c r="FC363" s="71" t="str">
        <f t="shared" si="4728"/>
        <v/>
      </c>
      <c r="FD363" s="71" t="str">
        <f t="shared" si="4729"/>
        <v/>
      </c>
      <c r="FE363" s="71" t="str">
        <f t="shared" si="4730"/>
        <v/>
      </c>
      <c r="FF363" s="71" t="str">
        <f t="shared" si="4731"/>
        <v/>
      </c>
      <c r="FG363" s="71" t="str">
        <f t="shared" si="4732"/>
        <v/>
      </c>
      <c r="FH363" s="71" t="str">
        <f t="shared" si="4733"/>
        <v/>
      </c>
      <c r="FI363" s="71" t="str">
        <f t="shared" si="4734"/>
        <v/>
      </c>
      <c r="FJ363" s="71" t="str">
        <f t="shared" si="4735"/>
        <v/>
      </c>
      <c r="FK363" s="71" t="str">
        <f t="shared" si="4736"/>
        <v/>
      </c>
      <c r="FL363" s="71" t="str">
        <f t="shared" si="4737"/>
        <v/>
      </c>
      <c r="FM363" s="71" t="str">
        <f t="shared" si="4738"/>
        <v/>
      </c>
      <c r="FN363" s="71" t="str">
        <f t="shared" si="4739"/>
        <v/>
      </c>
      <c r="FO363" s="71" t="str">
        <f t="shared" si="4740"/>
        <v/>
      </c>
      <c r="FP363" s="71" t="str">
        <f t="shared" si="4741"/>
        <v/>
      </c>
      <c r="FQ363" s="71" t="str">
        <f t="shared" si="4742"/>
        <v/>
      </c>
      <c r="FR363" s="71" t="str">
        <f t="shared" si="4743"/>
        <v/>
      </c>
      <c r="FS363" s="71" t="str">
        <f t="shared" si="4744"/>
        <v/>
      </c>
    </row>
    <row r="364" ht="15" spans="1:175">
      <c r="A364" s="138"/>
      <c r="B364" s="81" t="s">
        <v>1070</v>
      </c>
      <c r="C364" s="144" t="s">
        <v>1067</v>
      </c>
      <c r="K364" s="146"/>
      <c r="T364" s="155" t="s">
        <v>1071</v>
      </c>
      <c r="U364" s="89" t="s">
        <v>1069</v>
      </c>
      <c r="CN364" s="69" t="str">
        <f t="shared" ref="CN364:CN371" si="5125">"InitUnitState('"&amp;B364&amp;"',"&amp;V364&amp;","&amp;W364&amp;","&amp;X364&amp;","&amp;Y364&amp;","&amp;Z364&amp;","&amp;AA364&amp;","&amp;AB364&amp;","&amp;AC364&amp;","&amp;AD364&amp;","&amp;AE364&amp;")"</f>
        <v>InitUnitState('IK6B',,,,,,,,,,)</v>
      </c>
      <c r="CO364" s="69" t="str">
        <f t="shared" ref="CO364:CO371" si="5126">"InitUnitNormal('"&amp;B364&amp;"',"&amp;AF364&amp;","&amp;AG364&amp;","&amp;AH364&amp;","&amp;AI364&amp;","&amp;AJ364&amp;","&amp;AK364&amp;","&amp;AL364&amp;","&amp;AM364&amp;","&amp;AN364&amp;","&amp;AO364&amp;")"</f>
        <v>InitUnitNormal('IK6B',,,,,,,,,,)</v>
      </c>
      <c r="CP364" s="69" t="str">
        <f t="shared" ref="CP364:CP371" si="5127">"InitUnitMagic('"&amp;B364&amp;"',"&amp;AP364&amp;","&amp;AQ364&amp;","&amp;AR364&amp;","&amp;AS364&amp;","&amp;AT364&amp;","&amp;AU364&amp;","&amp;AV364&amp;","&amp;AW364&amp;","&amp;BI364&amp;","&amp;BJ364&amp;")"</f>
        <v>InitUnitMagic('IK6B',,,,,,,,,,)</v>
      </c>
      <c r="CQ364" s="69" t="str">
        <f t="shared" ref="CQ364:CQ371" si="5128">"InitUnitAdd('"&amp;B364&amp;"',"&amp;BK364&amp;","&amp;BL364&amp;","&amp;BM364&amp;","&amp;BN364&amp;","&amp;BO364&amp;","&amp;BP364&amp;","&amp;BQ364&amp;","&amp;BR364&amp;","&amp;BS364&amp;","&amp;BT364&amp;")"</f>
        <v>InitUnitAdd('IK6B',,,,,,,,,,)</v>
      </c>
      <c r="CR364" s="69" t="str">
        <f t="shared" ref="CR364:CR371" si="5129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InitEquipData('IK6B',,"",,,,,'','','','','','',"ReplaceableTextures\\CommandButtons\\BTNSST15.blp")</v>
      </c>
      <c r="CU364" s="99" t="str">
        <f t="shared" ref="CU364:CU371" si="5130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4669"/>
        <v>暴击伤害|Cffffc926+60%|n|n|r|Cffaaaaaa○|CffFFD24D金之刻印+1|r|r|n|n|Cff00ff7f点击穿戴或脱卸。|r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131">IF(V364="","","|n"&amp;DB$2&amp;"+"&amp;V364&amp;DB$1)</f>
        <v/>
      </c>
      <c r="DC364" s="71" t="str">
        <f t="shared" ref="DC364:DC371" si="5132">IF(W364="","","|n"&amp;DC$2&amp;"+"&amp;W364&amp;DC$1)</f>
        <v/>
      </c>
      <c r="DD364" s="71" t="str">
        <f t="shared" ref="DD364:DD371" si="5133">IF(X364="","","|n"&amp;DD$2&amp;"+"&amp;X364&amp;DD$1)</f>
        <v/>
      </c>
      <c r="DE364" s="71" t="str">
        <f t="shared" ref="DE364:DE371" si="5134">IF(Y364="","","|n"&amp;DE$2&amp;"+"&amp;Y364&amp;DE$1)</f>
        <v/>
      </c>
      <c r="DF364" s="71" t="str">
        <f t="shared" ref="DF364:DF371" si="5135">IF(Z364="","","|n"&amp;DF$2&amp;"+"&amp;Z364&amp;DF$1)</f>
        <v/>
      </c>
      <c r="DG364" s="71" t="str">
        <f t="shared" ref="DG364:DG371" si="5136">IF(AA364="","","|n"&amp;DG$2&amp;"+"&amp;AA364&amp;DG$1)</f>
        <v/>
      </c>
      <c r="DH364" s="71" t="str">
        <f t="shared" ref="DH364:DH371" si="5137">IF(AB364="","","|n"&amp;DH$2&amp;"+"&amp;AB364&amp;DH$1)</f>
        <v/>
      </c>
      <c r="DI364" s="71" t="str">
        <f t="shared" ref="DI364:DI371" si="5138">IF(AC364="","","|n"&amp;DI$2&amp;"+"&amp;AC364&amp;DI$1)</f>
        <v/>
      </c>
      <c r="DJ364" s="71" t="str">
        <f t="shared" ref="DJ364:DJ371" si="5139">IF(AD364="","","|n"&amp;DJ$2&amp;"+"&amp;AD364&amp;DJ$1)</f>
        <v/>
      </c>
      <c r="DK364" s="71" t="str">
        <f t="shared" ref="DK364:DK371" si="5140">IF(AE364="","","|n"&amp;DK$2&amp;"+"&amp;AE364&amp;DK$1)</f>
        <v/>
      </c>
      <c r="DL364" s="71" t="str">
        <f t="shared" ref="DL364:DL371" si="5141">IF(AF364="","","|n"&amp;DL$2&amp;"+"&amp;AF364&amp;DL$1)</f>
        <v/>
      </c>
      <c r="DM364" s="71" t="str">
        <f t="shared" ref="DM364:DM371" si="5142">IF(AG364="","","|n"&amp;DM$2&amp;"+"&amp;AG364&amp;DM$1)</f>
        <v/>
      </c>
      <c r="DN364" s="71" t="str">
        <f t="shared" ref="DN364:DN371" si="5143">IF(AH364="","","|n"&amp;DN$2&amp;"+"&amp;AH364&amp;DN$1)</f>
        <v/>
      </c>
      <c r="DO364" s="71" t="str">
        <f t="shared" ref="DO364:DO371" si="5144">IF(AI364="","","|n"&amp;DO$2&amp;"+"&amp;AI364&amp;DO$1)</f>
        <v/>
      </c>
      <c r="DP364" s="71" t="str">
        <f t="shared" ref="DP364:DP371" si="5145">IF(AJ364="","","|n"&amp;DP$2&amp;"+"&amp;AJ364&amp;DP$1)</f>
        <v/>
      </c>
      <c r="DQ364" s="71" t="str">
        <f t="shared" ref="DQ364:DQ371" si="5146">IF(AK364="","","|n"&amp;DQ$2&amp;"+"&amp;AK364&amp;DQ$1)</f>
        <v/>
      </c>
      <c r="DR364" s="71" t="str">
        <f t="shared" ref="DR364:DR371" si="5147">IF(AL364="","","|n"&amp;DR$2&amp;"+"&amp;AL364&amp;DR$1)</f>
        <v/>
      </c>
      <c r="DS364" s="71" t="str">
        <f t="shared" ref="DS364:DS371" si="5148">IF(AM364="","","|n"&amp;DS$2&amp;"+"&amp;AM364&amp;DS$1)</f>
        <v/>
      </c>
      <c r="DT364" s="71" t="str">
        <f t="shared" ref="DT364:DT371" si="5149">IF(AN364="","","|n"&amp;DT$2&amp;"+"&amp;AN364&amp;DT$1)</f>
        <v/>
      </c>
      <c r="DU364" s="71" t="str">
        <f t="shared" ref="DU364:DU371" si="5150">IF(AO364="","","|n"&amp;DU$2&amp;"+"&amp;AO364&amp;DU$1)</f>
        <v/>
      </c>
      <c r="DV364" s="71" t="str">
        <f t="shared" ref="DV364:DV371" si="5151">IF(AP364="","","|n"&amp;DV$2&amp;"+"&amp;AP364&amp;DV$1)</f>
        <v/>
      </c>
      <c r="DW364" s="71" t="str">
        <f t="shared" ref="DW364:DW371" si="5152">IF(AQ364="","","|n"&amp;DW$2&amp;"+"&amp;AQ364&amp;DW$1)</f>
        <v/>
      </c>
      <c r="DX364" s="71" t="str">
        <f t="shared" ref="DX364:DX371" si="5153">IF(AR364="","","|n"&amp;DX$2&amp;"+"&amp;AR364&amp;DX$1)</f>
        <v/>
      </c>
      <c r="DY364" s="71" t="str">
        <f t="shared" ref="DY364:DY371" si="5154">IF(AS364="","","|n"&amp;DY$2&amp;"+"&amp;AS364&amp;DY$1)</f>
        <v/>
      </c>
      <c r="DZ364" s="71" t="str">
        <f t="shared" ref="DZ364:DZ371" si="5155">IF(AT364="","","|n"&amp;DZ$2&amp;"+"&amp;AT364&amp;DZ$1)</f>
        <v/>
      </c>
      <c r="EA364" s="71" t="str">
        <f t="shared" ref="EA364:EA371" si="5156">IF(AU364="","","|n"&amp;EA$2&amp;"+"&amp;AU364&amp;EA$1)</f>
        <v/>
      </c>
      <c r="EB364" s="71" t="str">
        <f t="shared" ref="EB364:EB371" si="5157">IF(AV364="","","|n"&amp;EB$2&amp;"+"&amp;AV364&amp;EB$1)</f>
        <v/>
      </c>
      <c r="EC364" s="71" t="str">
        <f t="shared" ref="EC364:EC371" si="5158">IF(AW364="","","|n"&amp;EC$2&amp;"+"&amp;AW364&amp;EC$1)</f>
        <v/>
      </c>
      <c r="ED364" s="71" t="str">
        <f t="shared" ref="ED364:ED371" si="5159">IF(AX364="","","|n"&amp;ED$2&amp;"+"&amp;AX364&amp;ED$1)</f>
        <v/>
      </c>
      <c r="EE364" s="71" t="str">
        <f t="shared" ref="EE364:EE371" si="5160">IF(AY364="","","|n"&amp;EE$2&amp;"+"&amp;AY364&amp;EE$1)</f>
        <v/>
      </c>
      <c r="EF364" s="71" t="str">
        <f t="shared" ref="EF364:EF371" si="5161">IF(AZ364="","","|n"&amp;EF$2&amp;"+"&amp;AZ364&amp;EF$1)</f>
        <v/>
      </c>
      <c r="EG364" s="71" t="str">
        <f t="shared" ref="EG364:EG371" si="5162">IF(BA364="","","|n"&amp;EG$2&amp;"+"&amp;BA364&amp;EG$1)</f>
        <v/>
      </c>
      <c r="EH364" s="71" t="str">
        <f t="shared" ref="EH364:EH371" si="5163">IF(BB364="","","|n"&amp;EH$2&amp;"+"&amp;BB364&amp;EH$1)</f>
        <v/>
      </c>
      <c r="EI364" s="71" t="str">
        <f t="shared" ref="EI364:EI371" si="5164">IF(BC364="","","|n"&amp;EI$2&amp;"+"&amp;BC364&amp;EI$1)</f>
        <v/>
      </c>
      <c r="EJ364" s="71" t="str">
        <f t="shared" ref="EJ364:EJ371" si="5165">IF(BD364="","","|n"&amp;EJ$2&amp;"+"&amp;BD364&amp;EJ$1)</f>
        <v/>
      </c>
      <c r="EK364" s="71" t="str">
        <f t="shared" ref="EK364:EK371" si="5166">IF(BE364="","","|n"&amp;EK$2&amp;"+"&amp;BE364&amp;EK$1)</f>
        <v/>
      </c>
      <c r="EL364" s="71" t="str">
        <f t="shared" ref="EL364:EL371" si="5167">IF(BF364="","","|n"&amp;EL$2&amp;"+"&amp;BF364&amp;EL$1)</f>
        <v/>
      </c>
      <c r="EM364" s="71" t="str">
        <f t="shared" ref="EM364:EM371" si="5168">IF(BG364="","","|n"&amp;EM$2&amp;"+"&amp;BG364&amp;EM$1)</f>
        <v/>
      </c>
      <c r="EN364" s="71" t="str">
        <f t="shared" ref="EN364:EN371" si="5169">IF(BH364="","","|n"&amp;EN$2&amp;"+"&amp;BH364&amp;EN$1)</f>
        <v/>
      </c>
      <c r="EO364" s="71" t="str">
        <f t="shared" ref="EO364:EO371" si="5170">IF(BI364="","","|n"&amp;EO$2&amp;"+"&amp;BI364&amp;EO$1)</f>
        <v/>
      </c>
      <c r="EP364" s="71" t="str">
        <f t="shared" ref="EP364:EP371" si="5171">IF(BJ364="","","|n"&amp;EP$2&amp;"+"&amp;BJ364&amp;EP$1)</f>
        <v/>
      </c>
      <c r="EQ364" s="71" t="str">
        <f t="shared" ref="EQ364:EQ371" si="5172">IF(BK364="","","|n"&amp;EQ$2&amp;"+"&amp;BK364&amp;EQ$1)</f>
        <v/>
      </c>
      <c r="ER364" s="71" t="str">
        <f t="shared" ref="ER364:ER371" si="5173">IF(BL364="","","|n"&amp;ER$2&amp;"+"&amp;BL364&amp;ER$1)</f>
        <v/>
      </c>
      <c r="ES364" s="71" t="str">
        <f t="shared" ref="ES364:ES371" si="5174">IF(BM364="","","|n"&amp;ES$2&amp;"+"&amp;BM364&amp;ES$1)</f>
        <v/>
      </c>
      <c r="ET364" s="71" t="str">
        <f t="shared" ref="ET364:ET371" si="5175">IF(BN364="","","|n"&amp;ET$2&amp;"+"&amp;BN364&amp;ET$1)</f>
        <v/>
      </c>
      <c r="EU364" s="71" t="str">
        <f t="shared" ref="EU364:EU371" si="5176">IF(BO364="","","|n"&amp;EU$2&amp;"+"&amp;BO364&amp;EU$1)</f>
        <v/>
      </c>
      <c r="EV364" s="71" t="str">
        <f t="shared" ref="EV364:EV371" si="5177">IF(BP364="","","|n"&amp;EV$2&amp;"+"&amp;BP364&amp;EV$1)</f>
        <v/>
      </c>
      <c r="EW364" s="71" t="str">
        <f t="shared" ref="EW364:EW371" si="5178">IF(BQ364="","","|n"&amp;EW$2&amp;"+"&amp;BQ364&amp;EW$1)</f>
        <v/>
      </c>
      <c r="EX364" s="71" t="str">
        <f t="shared" ref="EX364:EX371" si="5179">IF(BR364="","","|n"&amp;EX$2&amp;"+"&amp;BR364&amp;EX$1)</f>
        <v/>
      </c>
      <c r="EY364" s="71" t="str">
        <f t="shared" ref="EY364:EY371" si="5180">IF(BS364="","","|n"&amp;EY$2&amp;"+"&amp;BS364&amp;EY$1)</f>
        <v/>
      </c>
      <c r="EZ364" s="71" t="str">
        <f t="shared" ref="EZ364:EZ371" si="5181">IF(BT364="","","|n"&amp;EZ$2&amp;"+"&amp;BT364&amp;EZ$1)</f>
        <v/>
      </c>
      <c r="FA364" s="71" t="str">
        <f t="shared" ref="FA364:FA371" si="5182">IF(BU364="","","|n"&amp;FA$2&amp;"+"&amp;BU364&amp;FA$1)</f>
        <v/>
      </c>
      <c r="FB364" s="71" t="str">
        <f t="shared" ref="FB364:FB371" si="5183">IF(BV364="","","|n"&amp;FB$2&amp;"+"&amp;BV364&amp;FB$1)</f>
        <v/>
      </c>
      <c r="FC364" s="71" t="str">
        <f t="shared" ref="FC364:FC371" si="5184">IF(BW364="","","|n"&amp;FC$2&amp;"+"&amp;BW364&amp;FC$1)</f>
        <v/>
      </c>
      <c r="FD364" s="71" t="str">
        <f t="shared" ref="FD364:FD371" si="5185">IF(BX364="","","|n"&amp;FD$2&amp;"+"&amp;BX364&amp;FD$1)</f>
        <v/>
      </c>
      <c r="FE364" s="71" t="str">
        <f t="shared" ref="FE364:FE371" si="5186">IF(BY364="","","|n"&amp;FE$2&amp;"+"&amp;BY364&amp;FE$1)</f>
        <v/>
      </c>
      <c r="FF364" s="71" t="str">
        <f t="shared" ref="FF364:FF371" si="5187">IF(BZ364="","","|n"&amp;FF$2&amp;"+"&amp;BZ364&amp;FF$1)</f>
        <v/>
      </c>
      <c r="FG364" s="71" t="str">
        <f t="shared" ref="FG364:FG371" si="5188">IF(CA364="","","|n"&amp;FG$2&amp;"+"&amp;CA364&amp;FG$1)</f>
        <v/>
      </c>
      <c r="FH364" s="71" t="str">
        <f t="shared" ref="FH364:FH371" si="5189">IF(CB364="","","|n"&amp;FH$2&amp;"+"&amp;CB364&amp;FH$1)</f>
        <v/>
      </c>
      <c r="FI364" s="71" t="str">
        <f t="shared" ref="FI364:FI371" si="5190">IF(CC364="","","|n"&amp;FI$2&amp;"+"&amp;CC364&amp;FI$1)</f>
        <v/>
      </c>
      <c r="FJ364" s="71" t="str">
        <f t="shared" ref="FJ364:FJ371" si="5191">IF(CD364="","","|n"&amp;FJ$2&amp;"+"&amp;CD364&amp;FJ$1)</f>
        <v/>
      </c>
      <c r="FK364" s="71" t="str">
        <f t="shared" ref="FK364:FK371" si="5192">IF(CE364="","","|n"&amp;FK$2&amp;"+"&amp;CE364&amp;FK$1)</f>
        <v/>
      </c>
      <c r="FL364" s="71" t="str">
        <f t="shared" ref="FL364:FL371" si="5193">IF(CF364="","","|n"&amp;FL$2&amp;"+"&amp;CF364&amp;FL$1)</f>
        <v/>
      </c>
      <c r="FM364" s="71" t="str">
        <f t="shared" ref="FM364:FM371" si="5194">IF(CG364="","","|n"&amp;FM$2&amp;"+"&amp;CG364&amp;FM$1)</f>
        <v/>
      </c>
      <c r="FN364" s="71" t="str">
        <f t="shared" ref="FN364:FN371" si="5195">IF(CH364="","","|n"&amp;FN$2&amp;"+"&amp;CH364&amp;FN$1)</f>
        <v/>
      </c>
      <c r="FO364" s="71" t="str">
        <f t="shared" ref="FO364:FO371" si="5196">IF(CI364="","","|n"&amp;FO$2&amp;"+"&amp;CI364&amp;FO$1)</f>
        <v/>
      </c>
      <c r="FP364" s="71" t="str">
        <f t="shared" ref="FP364:FP371" si="5197">IF(CJ364="","","|n"&amp;FP$2&amp;"+"&amp;CJ364&amp;FP$1)</f>
        <v/>
      </c>
      <c r="FQ364" s="71" t="str">
        <f t="shared" ref="FQ364:FQ371" si="5198">IF(CK364="","","|n"&amp;FQ$2&amp;"+"&amp;CK364&amp;FQ$1)</f>
        <v/>
      </c>
      <c r="FR364" s="71" t="str">
        <f t="shared" ref="FR364:FR371" si="5199">IF(CL364="","","|n"&amp;FR$2&amp;"+"&amp;CL364&amp;FR$1)</f>
        <v/>
      </c>
      <c r="FS364" s="71" t="str">
        <f t="shared" ref="FS364:FS371" si="5200">IF(CM364="","","|n"&amp;FS$2&amp;"+"&amp;CM364&amp;FS$1)</f>
        <v/>
      </c>
    </row>
    <row r="365" ht="15" spans="1:175">
      <c r="A365" s="138"/>
      <c r="B365" s="81" t="s">
        <v>1072</v>
      </c>
      <c r="C365" s="144" t="s">
        <v>1067</v>
      </c>
      <c r="K365" s="147"/>
      <c r="T365" s="155" t="s">
        <v>1073</v>
      </c>
      <c r="U365" s="89" t="s">
        <v>1069</v>
      </c>
      <c r="CN365" s="69" t="str">
        <f t="shared" si="5125"/>
        <v>InitUnitState('IK6C',,,,,,,,,,)</v>
      </c>
      <c r="CO365" s="69" t="str">
        <f t="shared" si="5126"/>
        <v>InitUnitNormal('IK6C',,,,,,,,,,)</v>
      </c>
      <c r="CP365" s="69" t="str">
        <f t="shared" si="5127"/>
        <v>InitUnitMagic('IK6C',,,,,,,,,,)</v>
      </c>
      <c r="CQ365" s="69" t="str">
        <f t="shared" si="5128"/>
        <v>InitUnitAdd('IK6C',,,,,,,,,,)</v>
      </c>
      <c r="CR365" s="69" t="str">
        <f t="shared" si="5129"/>
        <v>InitEquipData('IK6C',,"",,,,,'','','','','','',"ReplaceableTextures\\CommandButtons\\BTNSST15.blp")</v>
      </c>
      <c r="CU365" s="99" t="str">
        <f t="shared" si="5130"/>
        <v>|n</v>
      </c>
      <c r="CV365" s="70" t="str">
        <f t="shared" si="4669"/>
        <v>暴击伤害|Cffffc926+60%|n|n|r|Cffaaaaaa○|CffFFD24D木之刻印+1|r|r|n|n|Cff00ff7f点击穿戴或脱卸。|r</v>
      </c>
      <c r="CW365" s="60"/>
      <c r="CX365" s="60"/>
      <c r="CY365" s="60"/>
      <c r="CZ365" s="60"/>
      <c r="DA365" s="60"/>
      <c r="DB365" s="71" t="str">
        <f t="shared" si="5131"/>
        <v/>
      </c>
      <c r="DC365" s="71" t="str">
        <f t="shared" si="5132"/>
        <v/>
      </c>
      <c r="DD365" s="71" t="str">
        <f t="shared" si="5133"/>
        <v/>
      </c>
      <c r="DE365" s="71" t="str">
        <f t="shared" si="5134"/>
        <v/>
      </c>
      <c r="DF365" s="71" t="str">
        <f t="shared" si="5135"/>
        <v/>
      </c>
      <c r="DG365" s="71" t="str">
        <f t="shared" si="5136"/>
        <v/>
      </c>
      <c r="DH365" s="71" t="str">
        <f t="shared" si="5137"/>
        <v/>
      </c>
      <c r="DI365" s="71" t="str">
        <f t="shared" si="5138"/>
        <v/>
      </c>
      <c r="DJ365" s="71" t="str">
        <f t="shared" si="5139"/>
        <v/>
      </c>
      <c r="DK365" s="71" t="str">
        <f t="shared" si="5140"/>
        <v/>
      </c>
      <c r="DL365" s="71" t="str">
        <f t="shared" si="5141"/>
        <v/>
      </c>
      <c r="DM365" s="71" t="str">
        <f t="shared" si="5142"/>
        <v/>
      </c>
      <c r="DN365" s="71" t="str">
        <f t="shared" si="5143"/>
        <v/>
      </c>
      <c r="DO365" s="71" t="str">
        <f t="shared" si="5144"/>
        <v/>
      </c>
      <c r="DP365" s="71" t="str">
        <f t="shared" si="5145"/>
        <v/>
      </c>
      <c r="DQ365" s="71" t="str">
        <f t="shared" si="5146"/>
        <v/>
      </c>
      <c r="DR365" s="71" t="str">
        <f t="shared" si="5147"/>
        <v/>
      </c>
      <c r="DS365" s="71" t="str">
        <f t="shared" si="5148"/>
        <v/>
      </c>
      <c r="DT365" s="71" t="str">
        <f t="shared" si="5149"/>
        <v/>
      </c>
      <c r="DU365" s="71" t="str">
        <f t="shared" si="5150"/>
        <v/>
      </c>
      <c r="DV365" s="71" t="str">
        <f t="shared" si="5151"/>
        <v/>
      </c>
      <c r="DW365" s="71" t="str">
        <f t="shared" si="5152"/>
        <v/>
      </c>
      <c r="DX365" s="71" t="str">
        <f t="shared" si="5153"/>
        <v/>
      </c>
      <c r="DY365" s="71" t="str">
        <f t="shared" si="5154"/>
        <v/>
      </c>
      <c r="DZ365" s="71" t="str">
        <f t="shared" si="5155"/>
        <v/>
      </c>
      <c r="EA365" s="71" t="str">
        <f t="shared" si="5156"/>
        <v/>
      </c>
      <c r="EB365" s="71" t="str">
        <f t="shared" si="5157"/>
        <v/>
      </c>
      <c r="EC365" s="71" t="str">
        <f t="shared" si="5158"/>
        <v/>
      </c>
      <c r="ED365" s="71" t="str">
        <f t="shared" si="5159"/>
        <v/>
      </c>
      <c r="EE365" s="71" t="str">
        <f t="shared" si="5160"/>
        <v/>
      </c>
      <c r="EF365" s="71" t="str">
        <f t="shared" si="5161"/>
        <v/>
      </c>
      <c r="EG365" s="71" t="str">
        <f t="shared" si="5162"/>
        <v/>
      </c>
      <c r="EH365" s="71" t="str">
        <f t="shared" si="5163"/>
        <v/>
      </c>
      <c r="EI365" s="71" t="str">
        <f t="shared" si="5164"/>
        <v/>
      </c>
      <c r="EJ365" s="71" t="str">
        <f t="shared" si="5165"/>
        <v/>
      </c>
      <c r="EK365" s="71" t="str">
        <f t="shared" si="5166"/>
        <v/>
      </c>
      <c r="EL365" s="71" t="str">
        <f t="shared" si="5167"/>
        <v/>
      </c>
      <c r="EM365" s="71" t="str">
        <f t="shared" si="5168"/>
        <v/>
      </c>
      <c r="EN365" s="71" t="str">
        <f t="shared" si="5169"/>
        <v/>
      </c>
      <c r="EO365" s="71" t="str">
        <f t="shared" si="5170"/>
        <v/>
      </c>
      <c r="EP365" s="71" t="str">
        <f t="shared" si="5171"/>
        <v/>
      </c>
      <c r="EQ365" s="71" t="str">
        <f t="shared" si="5172"/>
        <v/>
      </c>
      <c r="ER365" s="71" t="str">
        <f t="shared" si="5173"/>
        <v/>
      </c>
      <c r="ES365" s="71" t="str">
        <f t="shared" si="5174"/>
        <v/>
      </c>
      <c r="ET365" s="71" t="str">
        <f t="shared" si="5175"/>
        <v/>
      </c>
      <c r="EU365" s="71" t="str">
        <f t="shared" si="5176"/>
        <v/>
      </c>
      <c r="EV365" s="71" t="str">
        <f t="shared" si="5177"/>
        <v/>
      </c>
      <c r="EW365" s="71" t="str">
        <f t="shared" si="5178"/>
        <v/>
      </c>
      <c r="EX365" s="71" t="str">
        <f t="shared" si="5179"/>
        <v/>
      </c>
      <c r="EY365" s="71" t="str">
        <f t="shared" si="5180"/>
        <v/>
      </c>
      <c r="EZ365" s="71" t="str">
        <f t="shared" si="5181"/>
        <v/>
      </c>
      <c r="FA365" s="71" t="str">
        <f t="shared" si="5182"/>
        <v/>
      </c>
      <c r="FB365" s="71" t="str">
        <f t="shared" si="5183"/>
        <v/>
      </c>
      <c r="FC365" s="71" t="str">
        <f t="shared" si="5184"/>
        <v/>
      </c>
      <c r="FD365" s="71" t="str">
        <f t="shared" si="5185"/>
        <v/>
      </c>
      <c r="FE365" s="71" t="str">
        <f t="shared" si="5186"/>
        <v/>
      </c>
      <c r="FF365" s="71" t="str">
        <f t="shared" si="5187"/>
        <v/>
      </c>
      <c r="FG365" s="71" t="str">
        <f t="shared" si="5188"/>
        <v/>
      </c>
      <c r="FH365" s="71" t="str">
        <f t="shared" si="5189"/>
        <v/>
      </c>
      <c r="FI365" s="71" t="str">
        <f t="shared" si="5190"/>
        <v/>
      </c>
      <c r="FJ365" s="71" t="str">
        <f t="shared" si="5191"/>
        <v/>
      </c>
      <c r="FK365" s="71" t="str">
        <f t="shared" si="5192"/>
        <v/>
      </c>
      <c r="FL365" s="71" t="str">
        <f t="shared" si="5193"/>
        <v/>
      </c>
      <c r="FM365" s="71" t="str">
        <f t="shared" si="5194"/>
        <v/>
      </c>
      <c r="FN365" s="71" t="str">
        <f t="shared" si="5195"/>
        <v/>
      </c>
      <c r="FO365" s="71" t="str">
        <f t="shared" si="5196"/>
        <v/>
      </c>
      <c r="FP365" s="71" t="str">
        <f t="shared" si="5197"/>
        <v/>
      </c>
      <c r="FQ365" s="71" t="str">
        <f t="shared" si="5198"/>
        <v/>
      </c>
      <c r="FR365" s="71" t="str">
        <f t="shared" si="5199"/>
        <v/>
      </c>
      <c r="FS365" s="71" t="str">
        <f t="shared" si="5200"/>
        <v/>
      </c>
    </row>
    <row r="366" ht="15" spans="1:175">
      <c r="A366" s="138"/>
      <c r="B366" s="81" t="s">
        <v>1074</v>
      </c>
      <c r="C366" s="144" t="s">
        <v>1067</v>
      </c>
      <c r="K366" s="147"/>
      <c r="T366" s="155" t="s">
        <v>1075</v>
      </c>
      <c r="U366" s="89" t="s">
        <v>1069</v>
      </c>
      <c r="CN366" s="69" t="str">
        <f t="shared" si="5125"/>
        <v>InitUnitState('IK6D',,,,,,,,,,)</v>
      </c>
      <c r="CO366" s="69" t="str">
        <f t="shared" si="5126"/>
        <v>InitUnitNormal('IK6D',,,,,,,,,,)</v>
      </c>
      <c r="CP366" s="69" t="str">
        <f t="shared" si="5127"/>
        <v>InitUnitMagic('IK6D',,,,,,,,,,)</v>
      </c>
      <c r="CQ366" s="69" t="str">
        <f t="shared" si="5128"/>
        <v>InitUnitAdd('IK6D',,,,,,,,,,)</v>
      </c>
      <c r="CR366" s="69" t="str">
        <f t="shared" si="5129"/>
        <v>InitEquipData('IK6D',,"",,,,,'','','','','','',"ReplaceableTextures\\CommandButtons\\BTNSST15.blp")</v>
      </c>
      <c r="CU366" s="99" t="str">
        <f t="shared" si="5130"/>
        <v>|n</v>
      </c>
      <c r="CV366" s="70" t="str">
        <f t="shared" si="4669"/>
        <v>暴击伤害|Cffffc926+60%|n|n|r|Cffaaaaaa○|CffFFD24D水之刻印+1|r|r|n|n|Cff00ff7f点击穿戴或脱卸。|r</v>
      </c>
      <c r="CW366" s="60"/>
      <c r="CX366" s="60"/>
      <c r="CY366" s="60"/>
      <c r="CZ366" s="60"/>
      <c r="DA366" s="60"/>
      <c r="DB366" s="71" t="str">
        <f t="shared" si="5131"/>
        <v/>
      </c>
      <c r="DC366" s="71" t="str">
        <f t="shared" si="5132"/>
        <v/>
      </c>
      <c r="DD366" s="71" t="str">
        <f t="shared" si="5133"/>
        <v/>
      </c>
      <c r="DE366" s="71" t="str">
        <f t="shared" si="5134"/>
        <v/>
      </c>
      <c r="DF366" s="71" t="str">
        <f t="shared" si="5135"/>
        <v/>
      </c>
      <c r="DG366" s="71" t="str">
        <f t="shared" si="5136"/>
        <v/>
      </c>
      <c r="DH366" s="71" t="str">
        <f t="shared" si="5137"/>
        <v/>
      </c>
      <c r="DI366" s="71" t="str">
        <f t="shared" si="5138"/>
        <v/>
      </c>
      <c r="DJ366" s="71" t="str">
        <f t="shared" si="5139"/>
        <v/>
      </c>
      <c r="DK366" s="71" t="str">
        <f t="shared" si="5140"/>
        <v/>
      </c>
      <c r="DL366" s="71" t="str">
        <f t="shared" si="5141"/>
        <v/>
      </c>
      <c r="DM366" s="71" t="str">
        <f t="shared" si="5142"/>
        <v/>
      </c>
      <c r="DN366" s="71" t="str">
        <f t="shared" si="5143"/>
        <v/>
      </c>
      <c r="DO366" s="71" t="str">
        <f t="shared" si="5144"/>
        <v/>
      </c>
      <c r="DP366" s="71" t="str">
        <f t="shared" si="5145"/>
        <v/>
      </c>
      <c r="DQ366" s="71" t="str">
        <f t="shared" si="5146"/>
        <v/>
      </c>
      <c r="DR366" s="71" t="str">
        <f t="shared" si="5147"/>
        <v/>
      </c>
      <c r="DS366" s="71" t="str">
        <f t="shared" si="5148"/>
        <v/>
      </c>
      <c r="DT366" s="71" t="str">
        <f t="shared" si="5149"/>
        <v/>
      </c>
      <c r="DU366" s="71" t="str">
        <f t="shared" si="5150"/>
        <v/>
      </c>
      <c r="DV366" s="71" t="str">
        <f t="shared" si="5151"/>
        <v/>
      </c>
      <c r="DW366" s="71" t="str">
        <f t="shared" si="5152"/>
        <v/>
      </c>
      <c r="DX366" s="71" t="str">
        <f t="shared" si="5153"/>
        <v/>
      </c>
      <c r="DY366" s="71" t="str">
        <f t="shared" si="5154"/>
        <v/>
      </c>
      <c r="DZ366" s="71" t="str">
        <f t="shared" si="5155"/>
        <v/>
      </c>
      <c r="EA366" s="71" t="str">
        <f t="shared" si="5156"/>
        <v/>
      </c>
      <c r="EB366" s="71" t="str">
        <f t="shared" si="5157"/>
        <v/>
      </c>
      <c r="EC366" s="71" t="str">
        <f t="shared" si="5158"/>
        <v/>
      </c>
      <c r="ED366" s="71" t="str">
        <f t="shared" si="5159"/>
        <v/>
      </c>
      <c r="EE366" s="71" t="str">
        <f t="shared" si="5160"/>
        <v/>
      </c>
      <c r="EF366" s="71" t="str">
        <f t="shared" si="5161"/>
        <v/>
      </c>
      <c r="EG366" s="71" t="str">
        <f t="shared" si="5162"/>
        <v/>
      </c>
      <c r="EH366" s="71" t="str">
        <f t="shared" si="5163"/>
        <v/>
      </c>
      <c r="EI366" s="71" t="str">
        <f t="shared" si="5164"/>
        <v/>
      </c>
      <c r="EJ366" s="71" t="str">
        <f t="shared" si="5165"/>
        <v/>
      </c>
      <c r="EK366" s="71" t="str">
        <f t="shared" si="5166"/>
        <v/>
      </c>
      <c r="EL366" s="71" t="str">
        <f t="shared" si="5167"/>
        <v/>
      </c>
      <c r="EM366" s="71" t="str">
        <f t="shared" si="5168"/>
        <v/>
      </c>
      <c r="EN366" s="71" t="str">
        <f t="shared" si="5169"/>
        <v/>
      </c>
      <c r="EO366" s="71" t="str">
        <f t="shared" si="5170"/>
        <v/>
      </c>
      <c r="EP366" s="71" t="str">
        <f t="shared" si="5171"/>
        <v/>
      </c>
      <c r="EQ366" s="71" t="str">
        <f t="shared" si="5172"/>
        <v/>
      </c>
      <c r="ER366" s="71" t="str">
        <f t="shared" si="5173"/>
        <v/>
      </c>
      <c r="ES366" s="71" t="str">
        <f t="shared" si="5174"/>
        <v/>
      </c>
      <c r="ET366" s="71" t="str">
        <f t="shared" si="5175"/>
        <v/>
      </c>
      <c r="EU366" s="71" t="str">
        <f t="shared" si="5176"/>
        <v/>
      </c>
      <c r="EV366" s="71" t="str">
        <f t="shared" si="5177"/>
        <v/>
      </c>
      <c r="EW366" s="71" t="str">
        <f t="shared" si="5178"/>
        <v/>
      </c>
      <c r="EX366" s="71" t="str">
        <f t="shared" si="5179"/>
        <v/>
      </c>
      <c r="EY366" s="71" t="str">
        <f t="shared" si="5180"/>
        <v/>
      </c>
      <c r="EZ366" s="71" t="str">
        <f t="shared" si="5181"/>
        <v/>
      </c>
      <c r="FA366" s="71" t="str">
        <f t="shared" si="5182"/>
        <v/>
      </c>
      <c r="FB366" s="71" t="str">
        <f t="shared" si="5183"/>
        <v/>
      </c>
      <c r="FC366" s="71" t="str">
        <f t="shared" si="5184"/>
        <v/>
      </c>
      <c r="FD366" s="71" t="str">
        <f t="shared" si="5185"/>
        <v/>
      </c>
      <c r="FE366" s="71" t="str">
        <f t="shared" si="5186"/>
        <v/>
      </c>
      <c r="FF366" s="71" t="str">
        <f t="shared" si="5187"/>
        <v/>
      </c>
      <c r="FG366" s="71" t="str">
        <f t="shared" si="5188"/>
        <v/>
      </c>
      <c r="FH366" s="71" t="str">
        <f t="shared" si="5189"/>
        <v/>
      </c>
      <c r="FI366" s="71" t="str">
        <f t="shared" si="5190"/>
        <v/>
      </c>
      <c r="FJ366" s="71" t="str">
        <f t="shared" si="5191"/>
        <v/>
      </c>
      <c r="FK366" s="71" t="str">
        <f t="shared" si="5192"/>
        <v/>
      </c>
      <c r="FL366" s="71" t="str">
        <f t="shared" si="5193"/>
        <v/>
      </c>
      <c r="FM366" s="71" t="str">
        <f t="shared" si="5194"/>
        <v/>
      </c>
      <c r="FN366" s="71" t="str">
        <f t="shared" si="5195"/>
        <v/>
      </c>
      <c r="FO366" s="71" t="str">
        <f t="shared" si="5196"/>
        <v/>
      </c>
      <c r="FP366" s="71" t="str">
        <f t="shared" si="5197"/>
        <v/>
      </c>
      <c r="FQ366" s="71" t="str">
        <f t="shared" si="5198"/>
        <v/>
      </c>
      <c r="FR366" s="71" t="str">
        <f t="shared" si="5199"/>
        <v/>
      </c>
      <c r="FS366" s="71" t="str">
        <f t="shared" si="5200"/>
        <v/>
      </c>
    </row>
    <row r="367" ht="15" spans="1:175">
      <c r="A367" s="138"/>
      <c r="B367" s="81" t="s">
        <v>1076</v>
      </c>
      <c r="C367" s="144" t="s">
        <v>1067</v>
      </c>
      <c r="K367" s="147"/>
      <c r="T367" s="155" t="s">
        <v>1077</v>
      </c>
      <c r="U367" s="89" t="s">
        <v>1069</v>
      </c>
      <c r="CN367" s="69" t="str">
        <f t="shared" si="5125"/>
        <v>InitUnitState('IK6E',,,,,,,,,,)</v>
      </c>
      <c r="CO367" s="69" t="str">
        <f t="shared" si="5126"/>
        <v>InitUnitNormal('IK6E',,,,,,,,,,)</v>
      </c>
      <c r="CP367" s="69" t="str">
        <f t="shared" si="5127"/>
        <v>InitUnitMagic('IK6E',,,,,,,,,,)</v>
      </c>
      <c r="CQ367" s="69" t="str">
        <f t="shared" si="5128"/>
        <v>InitUnitAdd('IK6E',,,,,,,,,,)</v>
      </c>
      <c r="CR367" s="69" t="str">
        <f t="shared" si="5129"/>
        <v>InitEquipData('IK6E',,"",,,,,'','','','','','',"ReplaceableTextures\\CommandButtons\\BTNSST15.blp")</v>
      </c>
      <c r="CU367" s="99" t="str">
        <f t="shared" si="5130"/>
        <v>|n</v>
      </c>
      <c r="CV367" s="70" t="str">
        <f t="shared" si="4669"/>
        <v>暴击伤害|Cffffc926+60%|n|n|r|Cffaaaaaa○|CffFFD24D火之刻印+1|r|r|n|n|Cff00ff7f点击穿戴或脱卸。|r</v>
      </c>
      <c r="CW367" s="60"/>
      <c r="CX367" s="60"/>
      <c r="CY367" s="60"/>
      <c r="CZ367" s="60"/>
      <c r="DA367" s="60"/>
      <c r="DB367" s="71" t="str">
        <f t="shared" si="5131"/>
        <v/>
      </c>
      <c r="DC367" s="71" t="str">
        <f t="shared" si="5132"/>
        <v/>
      </c>
      <c r="DD367" s="71" t="str">
        <f t="shared" si="5133"/>
        <v/>
      </c>
      <c r="DE367" s="71" t="str">
        <f t="shared" si="5134"/>
        <v/>
      </c>
      <c r="DF367" s="71" t="str">
        <f t="shared" si="5135"/>
        <v/>
      </c>
      <c r="DG367" s="71" t="str">
        <f t="shared" si="5136"/>
        <v/>
      </c>
      <c r="DH367" s="71" t="str">
        <f t="shared" si="5137"/>
        <v/>
      </c>
      <c r="DI367" s="71" t="str">
        <f t="shared" si="5138"/>
        <v/>
      </c>
      <c r="DJ367" s="71" t="str">
        <f t="shared" si="5139"/>
        <v/>
      </c>
      <c r="DK367" s="71" t="str">
        <f t="shared" si="5140"/>
        <v/>
      </c>
      <c r="DL367" s="71" t="str">
        <f t="shared" si="5141"/>
        <v/>
      </c>
      <c r="DM367" s="71" t="str">
        <f t="shared" si="5142"/>
        <v/>
      </c>
      <c r="DN367" s="71" t="str">
        <f t="shared" si="5143"/>
        <v/>
      </c>
      <c r="DO367" s="71" t="str">
        <f t="shared" si="5144"/>
        <v/>
      </c>
      <c r="DP367" s="71" t="str">
        <f t="shared" si="5145"/>
        <v/>
      </c>
      <c r="DQ367" s="71" t="str">
        <f t="shared" si="5146"/>
        <v/>
      </c>
      <c r="DR367" s="71" t="str">
        <f t="shared" si="5147"/>
        <v/>
      </c>
      <c r="DS367" s="71" t="str">
        <f t="shared" si="5148"/>
        <v/>
      </c>
      <c r="DT367" s="71" t="str">
        <f t="shared" si="5149"/>
        <v/>
      </c>
      <c r="DU367" s="71" t="str">
        <f t="shared" si="5150"/>
        <v/>
      </c>
      <c r="DV367" s="71" t="str">
        <f t="shared" si="5151"/>
        <v/>
      </c>
      <c r="DW367" s="71" t="str">
        <f t="shared" si="5152"/>
        <v/>
      </c>
      <c r="DX367" s="71" t="str">
        <f t="shared" si="5153"/>
        <v/>
      </c>
      <c r="DY367" s="71" t="str">
        <f t="shared" si="5154"/>
        <v/>
      </c>
      <c r="DZ367" s="71" t="str">
        <f t="shared" si="5155"/>
        <v/>
      </c>
      <c r="EA367" s="71" t="str">
        <f t="shared" si="5156"/>
        <v/>
      </c>
      <c r="EB367" s="71" t="str">
        <f t="shared" si="5157"/>
        <v/>
      </c>
      <c r="EC367" s="71" t="str">
        <f t="shared" si="5158"/>
        <v/>
      </c>
      <c r="ED367" s="71" t="str">
        <f t="shared" si="5159"/>
        <v/>
      </c>
      <c r="EE367" s="71" t="str">
        <f t="shared" si="5160"/>
        <v/>
      </c>
      <c r="EF367" s="71" t="str">
        <f t="shared" si="5161"/>
        <v/>
      </c>
      <c r="EG367" s="71" t="str">
        <f t="shared" si="5162"/>
        <v/>
      </c>
      <c r="EH367" s="71" t="str">
        <f t="shared" si="5163"/>
        <v/>
      </c>
      <c r="EI367" s="71" t="str">
        <f t="shared" si="5164"/>
        <v/>
      </c>
      <c r="EJ367" s="71" t="str">
        <f t="shared" si="5165"/>
        <v/>
      </c>
      <c r="EK367" s="71" t="str">
        <f t="shared" si="5166"/>
        <v/>
      </c>
      <c r="EL367" s="71" t="str">
        <f t="shared" si="5167"/>
        <v/>
      </c>
      <c r="EM367" s="71" t="str">
        <f t="shared" si="5168"/>
        <v/>
      </c>
      <c r="EN367" s="71" t="str">
        <f t="shared" si="5169"/>
        <v/>
      </c>
      <c r="EO367" s="71" t="str">
        <f t="shared" si="5170"/>
        <v/>
      </c>
      <c r="EP367" s="71" t="str">
        <f t="shared" si="5171"/>
        <v/>
      </c>
      <c r="EQ367" s="71" t="str">
        <f t="shared" si="5172"/>
        <v/>
      </c>
      <c r="ER367" s="71" t="str">
        <f t="shared" si="5173"/>
        <v/>
      </c>
      <c r="ES367" s="71" t="str">
        <f t="shared" si="5174"/>
        <v/>
      </c>
      <c r="ET367" s="71" t="str">
        <f t="shared" si="5175"/>
        <v/>
      </c>
      <c r="EU367" s="71" t="str">
        <f t="shared" si="5176"/>
        <v/>
      </c>
      <c r="EV367" s="71" t="str">
        <f t="shared" si="5177"/>
        <v/>
      </c>
      <c r="EW367" s="71" t="str">
        <f t="shared" si="5178"/>
        <v/>
      </c>
      <c r="EX367" s="71" t="str">
        <f t="shared" si="5179"/>
        <v/>
      </c>
      <c r="EY367" s="71" t="str">
        <f t="shared" si="5180"/>
        <v/>
      </c>
      <c r="EZ367" s="71" t="str">
        <f t="shared" si="5181"/>
        <v/>
      </c>
      <c r="FA367" s="71" t="str">
        <f t="shared" si="5182"/>
        <v/>
      </c>
      <c r="FB367" s="71" t="str">
        <f t="shared" si="5183"/>
        <v/>
      </c>
      <c r="FC367" s="71" t="str">
        <f t="shared" si="5184"/>
        <v/>
      </c>
      <c r="FD367" s="71" t="str">
        <f t="shared" si="5185"/>
        <v/>
      </c>
      <c r="FE367" s="71" t="str">
        <f t="shared" si="5186"/>
        <v/>
      </c>
      <c r="FF367" s="71" t="str">
        <f t="shared" si="5187"/>
        <v/>
      </c>
      <c r="FG367" s="71" t="str">
        <f t="shared" si="5188"/>
        <v/>
      </c>
      <c r="FH367" s="71" t="str">
        <f t="shared" si="5189"/>
        <v/>
      </c>
      <c r="FI367" s="71" t="str">
        <f t="shared" si="5190"/>
        <v/>
      </c>
      <c r="FJ367" s="71" t="str">
        <f t="shared" si="5191"/>
        <v/>
      </c>
      <c r="FK367" s="71" t="str">
        <f t="shared" si="5192"/>
        <v/>
      </c>
      <c r="FL367" s="71" t="str">
        <f t="shared" si="5193"/>
        <v/>
      </c>
      <c r="FM367" s="71" t="str">
        <f t="shared" si="5194"/>
        <v/>
      </c>
      <c r="FN367" s="71" t="str">
        <f t="shared" si="5195"/>
        <v/>
      </c>
      <c r="FO367" s="71" t="str">
        <f t="shared" si="5196"/>
        <v/>
      </c>
      <c r="FP367" s="71" t="str">
        <f t="shared" si="5197"/>
        <v/>
      </c>
      <c r="FQ367" s="71" t="str">
        <f t="shared" si="5198"/>
        <v/>
      </c>
      <c r="FR367" s="71" t="str">
        <f t="shared" si="5199"/>
        <v/>
      </c>
      <c r="FS367" s="71" t="str">
        <f t="shared" si="5200"/>
        <v/>
      </c>
    </row>
    <row r="368" ht="15" spans="1:175">
      <c r="A368" s="138"/>
      <c r="B368" s="81" t="s">
        <v>1078</v>
      </c>
      <c r="C368" s="144" t="s">
        <v>1067</v>
      </c>
      <c r="K368" s="147"/>
      <c r="T368" s="155" t="s">
        <v>1079</v>
      </c>
      <c r="U368" s="89" t="s">
        <v>1069</v>
      </c>
      <c r="CN368" s="69" t="str">
        <f t="shared" si="5125"/>
        <v>InitUnitState('IK6F',,,,,,,,,,)</v>
      </c>
      <c r="CO368" s="69" t="str">
        <f t="shared" si="5126"/>
        <v>InitUnitNormal('IK6F',,,,,,,,,,)</v>
      </c>
      <c r="CP368" s="69" t="str">
        <f t="shared" si="5127"/>
        <v>InitUnitMagic('IK6F',,,,,,,,,,)</v>
      </c>
      <c r="CQ368" s="69" t="str">
        <f t="shared" si="5128"/>
        <v>InitUnitAdd('IK6F',,,,,,,,,,)</v>
      </c>
      <c r="CR368" s="69" t="str">
        <f t="shared" si="5129"/>
        <v>InitEquipData('IK6F',,"",,,,,'','','','','','',"ReplaceableTextures\\CommandButtons\\BTNSST15.blp")</v>
      </c>
      <c r="CU368" s="99" t="str">
        <f t="shared" si="5130"/>
        <v>|n</v>
      </c>
      <c r="CV368" s="70" t="str">
        <f t="shared" si="4669"/>
        <v>暴击伤害|Cffffc926+60%|n|n|r|Cffaaaaaa○|CffFFD24D土之刻印+1|r|r|n|n|Cff00ff7f点击穿戴或脱卸。|r</v>
      </c>
      <c r="CW368" s="60"/>
      <c r="CX368" s="60"/>
      <c r="CY368" s="60"/>
      <c r="CZ368" s="60"/>
      <c r="DA368" s="60"/>
      <c r="DB368" s="71" t="str">
        <f t="shared" si="5131"/>
        <v/>
      </c>
      <c r="DC368" s="71" t="str">
        <f t="shared" si="5132"/>
        <v/>
      </c>
      <c r="DD368" s="71" t="str">
        <f t="shared" si="5133"/>
        <v/>
      </c>
      <c r="DE368" s="71" t="str">
        <f t="shared" si="5134"/>
        <v/>
      </c>
      <c r="DF368" s="71" t="str">
        <f t="shared" si="5135"/>
        <v/>
      </c>
      <c r="DG368" s="71" t="str">
        <f t="shared" si="5136"/>
        <v/>
      </c>
      <c r="DH368" s="71" t="str">
        <f t="shared" si="5137"/>
        <v/>
      </c>
      <c r="DI368" s="71" t="str">
        <f t="shared" si="5138"/>
        <v/>
      </c>
      <c r="DJ368" s="71" t="str">
        <f t="shared" si="5139"/>
        <v/>
      </c>
      <c r="DK368" s="71" t="str">
        <f t="shared" si="5140"/>
        <v/>
      </c>
      <c r="DL368" s="71" t="str">
        <f t="shared" si="5141"/>
        <v/>
      </c>
      <c r="DM368" s="71" t="str">
        <f t="shared" si="5142"/>
        <v/>
      </c>
      <c r="DN368" s="71" t="str">
        <f t="shared" si="5143"/>
        <v/>
      </c>
      <c r="DO368" s="71" t="str">
        <f t="shared" si="5144"/>
        <v/>
      </c>
      <c r="DP368" s="71" t="str">
        <f t="shared" si="5145"/>
        <v/>
      </c>
      <c r="DQ368" s="71" t="str">
        <f t="shared" si="5146"/>
        <v/>
      </c>
      <c r="DR368" s="71" t="str">
        <f t="shared" si="5147"/>
        <v/>
      </c>
      <c r="DS368" s="71" t="str">
        <f t="shared" si="5148"/>
        <v/>
      </c>
      <c r="DT368" s="71" t="str">
        <f t="shared" si="5149"/>
        <v/>
      </c>
      <c r="DU368" s="71" t="str">
        <f t="shared" si="5150"/>
        <v/>
      </c>
      <c r="DV368" s="71" t="str">
        <f t="shared" si="5151"/>
        <v/>
      </c>
      <c r="DW368" s="71" t="str">
        <f t="shared" si="5152"/>
        <v/>
      </c>
      <c r="DX368" s="71" t="str">
        <f t="shared" si="5153"/>
        <v/>
      </c>
      <c r="DY368" s="71" t="str">
        <f t="shared" si="5154"/>
        <v/>
      </c>
      <c r="DZ368" s="71" t="str">
        <f t="shared" si="5155"/>
        <v/>
      </c>
      <c r="EA368" s="71" t="str">
        <f t="shared" si="5156"/>
        <v/>
      </c>
      <c r="EB368" s="71" t="str">
        <f t="shared" si="5157"/>
        <v/>
      </c>
      <c r="EC368" s="71" t="str">
        <f t="shared" si="5158"/>
        <v/>
      </c>
      <c r="ED368" s="71" t="str">
        <f t="shared" si="5159"/>
        <v/>
      </c>
      <c r="EE368" s="71" t="str">
        <f t="shared" si="5160"/>
        <v/>
      </c>
      <c r="EF368" s="71" t="str">
        <f t="shared" si="5161"/>
        <v/>
      </c>
      <c r="EG368" s="71" t="str">
        <f t="shared" si="5162"/>
        <v/>
      </c>
      <c r="EH368" s="71" t="str">
        <f t="shared" si="5163"/>
        <v/>
      </c>
      <c r="EI368" s="71" t="str">
        <f t="shared" si="5164"/>
        <v/>
      </c>
      <c r="EJ368" s="71" t="str">
        <f t="shared" si="5165"/>
        <v/>
      </c>
      <c r="EK368" s="71" t="str">
        <f t="shared" si="5166"/>
        <v/>
      </c>
      <c r="EL368" s="71" t="str">
        <f t="shared" si="5167"/>
        <v/>
      </c>
      <c r="EM368" s="71" t="str">
        <f t="shared" si="5168"/>
        <v/>
      </c>
      <c r="EN368" s="71" t="str">
        <f t="shared" si="5169"/>
        <v/>
      </c>
      <c r="EO368" s="71" t="str">
        <f t="shared" si="5170"/>
        <v/>
      </c>
      <c r="EP368" s="71" t="str">
        <f t="shared" si="5171"/>
        <v/>
      </c>
      <c r="EQ368" s="71" t="str">
        <f t="shared" si="5172"/>
        <v/>
      </c>
      <c r="ER368" s="71" t="str">
        <f t="shared" si="5173"/>
        <v/>
      </c>
      <c r="ES368" s="71" t="str">
        <f t="shared" si="5174"/>
        <v/>
      </c>
      <c r="ET368" s="71" t="str">
        <f t="shared" si="5175"/>
        <v/>
      </c>
      <c r="EU368" s="71" t="str">
        <f t="shared" si="5176"/>
        <v/>
      </c>
      <c r="EV368" s="71" t="str">
        <f t="shared" si="5177"/>
        <v/>
      </c>
      <c r="EW368" s="71" t="str">
        <f t="shared" si="5178"/>
        <v/>
      </c>
      <c r="EX368" s="71" t="str">
        <f t="shared" si="5179"/>
        <v/>
      </c>
      <c r="EY368" s="71" t="str">
        <f t="shared" si="5180"/>
        <v/>
      </c>
      <c r="EZ368" s="71" t="str">
        <f t="shared" si="5181"/>
        <v/>
      </c>
      <c r="FA368" s="71" t="str">
        <f t="shared" si="5182"/>
        <v/>
      </c>
      <c r="FB368" s="71" t="str">
        <f t="shared" si="5183"/>
        <v/>
      </c>
      <c r="FC368" s="71" t="str">
        <f t="shared" si="5184"/>
        <v/>
      </c>
      <c r="FD368" s="71" t="str">
        <f t="shared" si="5185"/>
        <v/>
      </c>
      <c r="FE368" s="71" t="str">
        <f t="shared" si="5186"/>
        <v/>
      </c>
      <c r="FF368" s="71" t="str">
        <f t="shared" si="5187"/>
        <v/>
      </c>
      <c r="FG368" s="71" t="str">
        <f t="shared" si="5188"/>
        <v/>
      </c>
      <c r="FH368" s="71" t="str">
        <f t="shared" si="5189"/>
        <v/>
      </c>
      <c r="FI368" s="71" t="str">
        <f t="shared" si="5190"/>
        <v/>
      </c>
      <c r="FJ368" s="71" t="str">
        <f t="shared" si="5191"/>
        <v/>
      </c>
      <c r="FK368" s="71" t="str">
        <f t="shared" si="5192"/>
        <v/>
      </c>
      <c r="FL368" s="71" t="str">
        <f t="shared" si="5193"/>
        <v/>
      </c>
      <c r="FM368" s="71" t="str">
        <f t="shared" si="5194"/>
        <v/>
      </c>
      <c r="FN368" s="71" t="str">
        <f t="shared" si="5195"/>
        <v/>
      </c>
      <c r="FO368" s="71" t="str">
        <f t="shared" si="5196"/>
        <v/>
      </c>
      <c r="FP368" s="71" t="str">
        <f t="shared" si="5197"/>
        <v/>
      </c>
      <c r="FQ368" s="71" t="str">
        <f t="shared" si="5198"/>
        <v/>
      </c>
      <c r="FR368" s="71" t="str">
        <f t="shared" si="5199"/>
        <v/>
      </c>
      <c r="FS368" s="71" t="str">
        <f t="shared" si="5200"/>
        <v/>
      </c>
    </row>
    <row r="369" ht="15" spans="1:175">
      <c r="A369" s="138"/>
      <c r="B369" s="81" t="s">
        <v>1080</v>
      </c>
      <c r="C369" s="144" t="s">
        <v>1067</v>
      </c>
      <c r="K369" s="147"/>
      <c r="T369" s="155" t="s">
        <v>1081</v>
      </c>
      <c r="U369" s="89" t="s">
        <v>1069</v>
      </c>
      <c r="CN369" s="69" t="str">
        <f t="shared" si="5125"/>
        <v>InitUnitState('IK6G',,,,,,,,,,)</v>
      </c>
      <c r="CO369" s="69" t="str">
        <f t="shared" si="5126"/>
        <v>InitUnitNormal('IK6G',,,,,,,,,,)</v>
      </c>
      <c r="CP369" s="69" t="str">
        <f t="shared" si="5127"/>
        <v>InitUnitMagic('IK6G',,,,,,,,,,)</v>
      </c>
      <c r="CQ369" s="69" t="str">
        <f t="shared" si="5128"/>
        <v>InitUnitAdd('IK6G',,,,,,,,,,)</v>
      </c>
      <c r="CR369" s="69" t="str">
        <f t="shared" si="5129"/>
        <v>InitEquipData('IK6G',,"",,,,,'','','','','','',"ReplaceableTextures\\CommandButtons\\BTNSST15.blp")</v>
      </c>
      <c r="CU369" s="99" t="str">
        <f t="shared" si="5130"/>
        <v>|n</v>
      </c>
      <c r="CV369" s="70" t="str">
        <f t="shared" si="4669"/>
        <v>暴击伤害|Cffffc926+60%|n|n|r|Cffaaaaaa○|CffFFD24D雷之刻印+1|r|r|n|n|Cff00ff7f点击穿戴或脱卸。|r</v>
      </c>
      <c r="CW369" s="60"/>
      <c r="CX369" s="60"/>
      <c r="CY369" s="60"/>
      <c r="CZ369" s="60"/>
      <c r="DA369" s="60"/>
      <c r="DB369" s="71" t="str">
        <f t="shared" si="5131"/>
        <v/>
      </c>
      <c r="DC369" s="71" t="str">
        <f t="shared" si="5132"/>
        <v/>
      </c>
      <c r="DD369" s="71" t="str">
        <f t="shared" si="5133"/>
        <v/>
      </c>
      <c r="DE369" s="71" t="str">
        <f t="shared" si="5134"/>
        <v/>
      </c>
      <c r="DF369" s="71" t="str">
        <f t="shared" si="5135"/>
        <v/>
      </c>
      <c r="DG369" s="71" t="str">
        <f t="shared" si="5136"/>
        <v/>
      </c>
      <c r="DH369" s="71" t="str">
        <f t="shared" si="5137"/>
        <v/>
      </c>
      <c r="DI369" s="71" t="str">
        <f t="shared" si="5138"/>
        <v/>
      </c>
      <c r="DJ369" s="71" t="str">
        <f t="shared" si="5139"/>
        <v/>
      </c>
      <c r="DK369" s="71" t="str">
        <f t="shared" si="5140"/>
        <v/>
      </c>
      <c r="DL369" s="71" t="str">
        <f t="shared" si="5141"/>
        <v/>
      </c>
      <c r="DM369" s="71" t="str">
        <f t="shared" si="5142"/>
        <v/>
      </c>
      <c r="DN369" s="71" t="str">
        <f t="shared" si="5143"/>
        <v/>
      </c>
      <c r="DO369" s="71" t="str">
        <f t="shared" si="5144"/>
        <v/>
      </c>
      <c r="DP369" s="71" t="str">
        <f t="shared" si="5145"/>
        <v/>
      </c>
      <c r="DQ369" s="71" t="str">
        <f t="shared" si="5146"/>
        <v/>
      </c>
      <c r="DR369" s="71" t="str">
        <f t="shared" si="5147"/>
        <v/>
      </c>
      <c r="DS369" s="71" t="str">
        <f t="shared" si="5148"/>
        <v/>
      </c>
      <c r="DT369" s="71" t="str">
        <f t="shared" si="5149"/>
        <v/>
      </c>
      <c r="DU369" s="71" t="str">
        <f t="shared" si="5150"/>
        <v/>
      </c>
      <c r="DV369" s="71" t="str">
        <f t="shared" si="5151"/>
        <v/>
      </c>
      <c r="DW369" s="71" t="str">
        <f t="shared" si="5152"/>
        <v/>
      </c>
      <c r="DX369" s="71" t="str">
        <f t="shared" si="5153"/>
        <v/>
      </c>
      <c r="DY369" s="71" t="str">
        <f t="shared" si="5154"/>
        <v/>
      </c>
      <c r="DZ369" s="71" t="str">
        <f t="shared" si="5155"/>
        <v/>
      </c>
      <c r="EA369" s="71" t="str">
        <f t="shared" si="5156"/>
        <v/>
      </c>
      <c r="EB369" s="71" t="str">
        <f t="shared" si="5157"/>
        <v/>
      </c>
      <c r="EC369" s="71" t="str">
        <f t="shared" si="5158"/>
        <v/>
      </c>
      <c r="ED369" s="71" t="str">
        <f t="shared" si="5159"/>
        <v/>
      </c>
      <c r="EE369" s="71" t="str">
        <f t="shared" si="5160"/>
        <v/>
      </c>
      <c r="EF369" s="71" t="str">
        <f t="shared" si="5161"/>
        <v/>
      </c>
      <c r="EG369" s="71" t="str">
        <f t="shared" si="5162"/>
        <v/>
      </c>
      <c r="EH369" s="71" t="str">
        <f t="shared" si="5163"/>
        <v/>
      </c>
      <c r="EI369" s="71" t="str">
        <f t="shared" si="5164"/>
        <v/>
      </c>
      <c r="EJ369" s="71" t="str">
        <f t="shared" si="5165"/>
        <v/>
      </c>
      <c r="EK369" s="71" t="str">
        <f t="shared" si="5166"/>
        <v/>
      </c>
      <c r="EL369" s="71" t="str">
        <f t="shared" si="5167"/>
        <v/>
      </c>
      <c r="EM369" s="71" t="str">
        <f t="shared" si="5168"/>
        <v/>
      </c>
      <c r="EN369" s="71" t="str">
        <f t="shared" si="5169"/>
        <v/>
      </c>
      <c r="EO369" s="71" t="str">
        <f t="shared" si="5170"/>
        <v/>
      </c>
      <c r="EP369" s="71" t="str">
        <f t="shared" si="5171"/>
        <v/>
      </c>
      <c r="EQ369" s="71" t="str">
        <f t="shared" si="5172"/>
        <v/>
      </c>
      <c r="ER369" s="71" t="str">
        <f t="shared" si="5173"/>
        <v/>
      </c>
      <c r="ES369" s="71" t="str">
        <f t="shared" si="5174"/>
        <v/>
      </c>
      <c r="ET369" s="71" t="str">
        <f t="shared" si="5175"/>
        <v/>
      </c>
      <c r="EU369" s="71" t="str">
        <f t="shared" si="5176"/>
        <v/>
      </c>
      <c r="EV369" s="71" t="str">
        <f t="shared" si="5177"/>
        <v/>
      </c>
      <c r="EW369" s="71" t="str">
        <f t="shared" si="5178"/>
        <v/>
      </c>
      <c r="EX369" s="71" t="str">
        <f t="shared" si="5179"/>
        <v/>
      </c>
      <c r="EY369" s="71" t="str">
        <f t="shared" si="5180"/>
        <v/>
      </c>
      <c r="EZ369" s="71" t="str">
        <f t="shared" si="5181"/>
        <v/>
      </c>
      <c r="FA369" s="71" t="str">
        <f t="shared" si="5182"/>
        <v/>
      </c>
      <c r="FB369" s="71" t="str">
        <f t="shared" si="5183"/>
        <v/>
      </c>
      <c r="FC369" s="71" t="str">
        <f t="shared" si="5184"/>
        <v/>
      </c>
      <c r="FD369" s="71" t="str">
        <f t="shared" si="5185"/>
        <v/>
      </c>
      <c r="FE369" s="71" t="str">
        <f t="shared" si="5186"/>
        <v/>
      </c>
      <c r="FF369" s="71" t="str">
        <f t="shared" si="5187"/>
        <v/>
      </c>
      <c r="FG369" s="71" t="str">
        <f t="shared" si="5188"/>
        <v/>
      </c>
      <c r="FH369" s="71" t="str">
        <f t="shared" si="5189"/>
        <v/>
      </c>
      <c r="FI369" s="71" t="str">
        <f t="shared" si="5190"/>
        <v/>
      </c>
      <c r="FJ369" s="71" t="str">
        <f t="shared" si="5191"/>
        <v/>
      </c>
      <c r="FK369" s="71" t="str">
        <f t="shared" si="5192"/>
        <v/>
      </c>
      <c r="FL369" s="71" t="str">
        <f t="shared" si="5193"/>
        <v/>
      </c>
      <c r="FM369" s="71" t="str">
        <f t="shared" si="5194"/>
        <v/>
      </c>
      <c r="FN369" s="71" t="str">
        <f t="shared" si="5195"/>
        <v/>
      </c>
      <c r="FO369" s="71" t="str">
        <f t="shared" si="5196"/>
        <v/>
      </c>
      <c r="FP369" s="71" t="str">
        <f t="shared" si="5197"/>
        <v/>
      </c>
      <c r="FQ369" s="71" t="str">
        <f t="shared" si="5198"/>
        <v/>
      </c>
      <c r="FR369" s="71" t="str">
        <f t="shared" si="5199"/>
        <v/>
      </c>
      <c r="FS369" s="71" t="str">
        <f t="shared" si="5200"/>
        <v/>
      </c>
    </row>
    <row r="370" ht="15" spans="1:175">
      <c r="A370" s="138"/>
      <c r="B370" s="81" t="s">
        <v>1082</v>
      </c>
      <c r="C370" s="144" t="s">
        <v>1067</v>
      </c>
      <c r="K370" s="147"/>
      <c r="T370" s="155" t="s">
        <v>1083</v>
      </c>
      <c r="U370" s="89" t="s">
        <v>1069</v>
      </c>
      <c r="CN370" s="69" t="str">
        <f t="shared" si="5125"/>
        <v>InitUnitState('IK6H',,,,,,,,,,)</v>
      </c>
      <c r="CO370" s="69" t="str">
        <f t="shared" si="5126"/>
        <v>InitUnitNormal('IK6H',,,,,,,,,,)</v>
      </c>
      <c r="CP370" s="69" t="str">
        <f t="shared" si="5127"/>
        <v>InitUnitMagic('IK6H',,,,,,,,,,)</v>
      </c>
      <c r="CQ370" s="69" t="str">
        <f t="shared" si="5128"/>
        <v>InitUnitAdd('IK6H',,,,,,,,,,)</v>
      </c>
      <c r="CR370" s="69" t="str">
        <f t="shared" si="5129"/>
        <v>InitEquipData('IK6H',,"",,,,,'','','','','','',"ReplaceableTextures\\CommandButtons\\BTNSST15.blp")</v>
      </c>
      <c r="CU370" s="99" t="str">
        <f t="shared" si="5130"/>
        <v>|n</v>
      </c>
      <c r="CV370" s="70" t="str">
        <f t="shared" si="4669"/>
        <v>暴击伤害|Cffffc926+60%|n|n|r|Cffaaaaaa○|CffFFD24D光之刻印+1|r|r|n|n|Cff00ff7f点击穿戴或脱卸。|r</v>
      </c>
      <c r="CW370" s="60"/>
      <c r="CX370" s="60"/>
      <c r="CY370" s="60"/>
      <c r="CZ370" s="60"/>
      <c r="DA370" s="60"/>
      <c r="DB370" s="71" t="str">
        <f t="shared" si="5131"/>
        <v/>
      </c>
      <c r="DC370" s="71" t="str">
        <f t="shared" si="5132"/>
        <v/>
      </c>
      <c r="DD370" s="71" t="str">
        <f t="shared" si="5133"/>
        <v/>
      </c>
      <c r="DE370" s="71" t="str">
        <f t="shared" si="5134"/>
        <v/>
      </c>
      <c r="DF370" s="71" t="str">
        <f t="shared" si="5135"/>
        <v/>
      </c>
      <c r="DG370" s="71" t="str">
        <f t="shared" si="5136"/>
        <v/>
      </c>
      <c r="DH370" s="71" t="str">
        <f t="shared" si="5137"/>
        <v/>
      </c>
      <c r="DI370" s="71" t="str">
        <f t="shared" si="5138"/>
        <v/>
      </c>
      <c r="DJ370" s="71" t="str">
        <f t="shared" si="5139"/>
        <v/>
      </c>
      <c r="DK370" s="71" t="str">
        <f t="shared" si="5140"/>
        <v/>
      </c>
      <c r="DL370" s="71" t="str">
        <f t="shared" si="5141"/>
        <v/>
      </c>
      <c r="DM370" s="71" t="str">
        <f t="shared" si="5142"/>
        <v/>
      </c>
      <c r="DN370" s="71" t="str">
        <f t="shared" si="5143"/>
        <v/>
      </c>
      <c r="DO370" s="71" t="str">
        <f t="shared" si="5144"/>
        <v/>
      </c>
      <c r="DP370" s="71" t="str">
        <f t="shared" si="5145"/>
        <v/>
      </c>
      <c r="DQ370" s="71" t="str">
        <f t="shared" si="5146"/>
        <v/>
      </c>
      <c r="DR370" s="71" t="str">
        <f t="shared" si="5147"/>
        <v/>
      </c>
      <c r="DS370" s="71" t="str">
        <f t="shared" si="5148"/>
        <v/>
      </c>
      <c r="DT370" s="71" t="str">
        <f t="shared" si="5149"/>
        <v/>
      </c>
      <c r="DU370" s="71" t="str">
        <f t="shared" si="5150"/>
        <v/>
      </c>
      <c r="DV370" s="71" t="str">
        <f t="shared" si="5151"/>
        <v/>
      </c>
      <c r="DW370" s="71" t="str">
        <f t="shared" si="5152"/>
        <v/>
      </c>
      <c r="DX370" s="71" t="str">
        <f t="shared" si="5153"/>
        <v/>
      </c>
      <c r="DY370" s="71" t="str">
        <f t="shared" si="5154"/>
        <v/>
      </c>
      <c r="DZ370" s="71" t="str">
        <f t="shared" si="5155"/>
        <v/>
      </c>
      <c r="EA370" s="71" t="str">
        <f t="shared" si="5156"/>
        <v/>
      </c>
      <c r="EB370" s="71" t="str">
        <f t="shared" si="5157"/>
        <v/>
      </c>
      <c r="EC370" s="71" t="str">
        <f t="shared" si="5158"/>
        <v/>
      </c>
      <c r="ED370" s="71" t="str">
        <f t="shared" si="5159"/>
        <v/>
      </c>
      <c r="EE370" s="71" t="str">
        <f t="shared" si="5160"/>
        <v/>
      </c>
      <c r="EF370" s="71" t="str">
        <f t="shared" si="5161"/>
        <v/>
      </c>
      <c r="EG370" s="71" t="str">
        <f t="shared" si="5162"/>
        <v/>
      </c>
      <c r="EH370" s="71" t="str">
        <f t="shared" si="5163"/>
        <v/>
      </c>
      <c r="EI370" s="71" t="str">
        <f t="shared" si="5164"/>
        <v/>
      </c>
      <c r="EJ370" s="71" t="str">
        <f t="shared" si="5165"/>
        <v/>
      </c>
      <c r="EK370" s="71" t="str">
        <f t="shared" si="5166"/>
        <v/>
      </c>
      <c r="EL370" s="71" t="str">
        <f t="shared" si="5167"/>
        <v/>
      </c>
      <c r="EM370" s="71" t="str">
        <f t="shared" si="5168"/>
        <v/>
      </c>
      <c r="EN370" s="71" t="str">
        <f t="shared" si="5169"/>
        <v/>
      </c>
      <c r="EO370" s="71" t="str">
        <f t="shared" si="5170"/>
        <v/>
      </c>
      <c r="EP370" s="71" t="str">
        <f t="shared" si="5171"/>
        <v/>
      </c>
      <c r="EQ370" s="71" t="str">
        <f t="shared" si="5172"/>
        <v/>
      </c>
      <c r="ER370" s="71" t="str">
        <f t="shared" si="5173"/>
        <v/>
      </c>
      <c r="ES370" s="71" t="str">
        <f t="shared" si="5174"/>
        <v/>
      </c>
      <c r="ET370" s="71" t="str">
        <f t="shared" si="5175"/>
        <v/>
      </c>
      <c r="EU370" s="71" t="str">
        <f t="shared" si="5176"/>
        <v/>
      </c>
      <c r="EV370" s="71" t="str">
        <f t="shared" si="5177"/>
        <v/>
      </c>
      <c r="EW370" s="71" t="str">
        <f t="shared" si="5178"/>
        <v/>
      </c>
      <c r="EX370" s="71" t="str">
        <f t="shared" si="5179"/>
        <v/>
      </c>
      <c r="EY370" s="71" t="str">
        <f t="shared" si="5180"/>
        <v/>
      </c>
      <c r="EZ370" s="71" t="str">
        <f t="shared" si="5181"/>
        <v/>
      </c>
      <c r="FA370" s="71" t="str">
        <f t="shared" si="5182"/>
        <v/>
      </c>
      <c r="FB370" s="71" t="str">
        <f t="shared" si="5183"/>
        <v/>
      </c>
      <c r="FC370" s="71" t="str">
        <f t="shared" si="5184"/>
        <v/>
      </c>
      <c r="FD370" s="71" t="str">
        <f t="shared" si="5185"/>
        <v/>
      </c>
      <c r="FE370" s="71" t="str">
        <f t="shared" si="5186"/>
        <v/>
      </c>
      <c r="FF370" s="71" t="str">
        <f t="shared" si="5187"/>
        <v/>
      </c>
      <c r="FG370" s="71" t="str">
        <f t="shared" si="5188"/>
        <v/>
      </c>
      <c r="FH370" s="71" t="str">
        <f t="shared" si="5189"/>
        <v/>
      </c>
      <c r="FI370" s="71" t="str">
        <f t="shared" si="5190"/>
        <v/>
      </c>
      <c r="FJ370" s="71" t="str">
        <f t="shared" si="5191"/>
        <v/>
      </c>
      <c r="FK370" s="71" t="str">
        <f t="shared" si="5192"/>
        <v/>
      </c>
      <c r="FL370" s="71" t="str">
        <f t="shared" si="5193"/>
        <v/>
      </c>
      <c r="FM370" s="71" t="str">
        <f t="shared" si="5194"/>
        <v/>
      </c>
      <c r="FN370" s="71" t="str">
        <f t="shared" si="5195"/>
        <v/>
      </c>
      <c r="FO370" s="71" t="str">
        <f t="shared" si="5196"/>
        <v/>
      </c>
      <c r="FP370" s="71" t="str">
        <f t="shared" si="5197"/>
        <v/>
      </c>
      <c r="FQ370" s="71" t="str">
        <f t="shared" si="5198"/>
        <v/>
      </c>
      <c r="FR370" s="71" t="str">
        <f t="shared" si="5199"/>
        <v/>
      </c>
      <c r="FS370" s="71" t="str">
        <f t="shared" si="5200"/>
        <v/>
      </c>
    </row>
    <row r="371" ht="15" spans="1:175">
      <c r="A371" s="138"/>
      <c r="B371" s="81" t="s">
        <v>1084</v>
      </c>
      <c r="C371" s="144" t="s">
        <v>1067</v>
      </c>
      <c r="K371" s="157"/>
      <c r="T371" s="155" t="s">
        <v>1085</v>
      </c>
      <c r="U371" s="89" t="s">
        <v>1069</v>
      </c>
      <c r="CN371" s="69" t="str">
        <f t="shared" si="5125"/>
        <v>InitUnitState('IK6I',,,,,,,,,,)</v>
      </c>
      <c r="CO371" s="69" t="str">
        <f t="shared" si="5126"/>
        <v>InitUnitNormal('IK6I',,,,,,,,,,)</v>
      </c>
      <c r="CP371" s="69" t="str">
        <f t="shared" si="5127"/>
        <v>InitUnitMagic('IK6I',,,,,,,,,,)</v>
      </c>
      <c r="CQ371" s="69" t="str">
        <f t="shared" si="5128"/>
        <v>InitUnitAdd('IK6I',,,,,,,,,,)</v>
      </c>
      <c r="CR371" s="69" t="str">
        <f t="shared" si="5129"/>
        <v>InitEquipData('IK6I',,"",,,,,'','','','','','',"ReplaceableTextures\\CommandButtons\\BTNSST15.blp")</v>
      </c>
      <c r="CU371" s="99" t="str">
        <f t="shared" si="5130"/>
        <v>|n</v>
      </c>
      <c r="CV371" s="70" t="str">
        <f t="shared" si="4669"/>
        <v>暴击伤害|Cffffc926+60%|n|n|r|Cffaaaaaa○|CffFFD24D暗之刻印+1|r|r|n|n|Cff00ff7f点击穿戴或脱卸。|r</v>
      </c>
      <c r="CW371" s="60"/>
      <c r="CX371" s="60"/>
      <c r="CY371" s="60"/>
      <c r="CZ371" s="60"/>
      <c r="DA371" s="60"/>
      <c r="DB371" s="71" t="str">
        <f t="shared" si="5131"/>
        <v/>
      </c>
      <c r="DC371" s="71" t="str">
        <f t="shared" si="5132"/>
        <v/>
      </c>
      <c r="DD371" s="71" t="str">
        <f t="shared" si="5133"/>
        <v/>
      </c>
      <c r="DE371" s="71" t="str">
        <f t="shared" si="5134"/>
        <v/>
      </c>
      <c r="DF371" s="71" t="str">
        <f t="shared" si="5135"/>
        <v/>
      </c>
      <c r="DG371" s="71" t="str">
        <f t="shared" si="5136"/>
        <v/>
      </c>
      <c r="DH371" s="71" t="str">
        <f t="shared" si="5137"/>
        <v/>
      </c>
      <c r="DI371" s="71" t="str">
        <f t="shared" si="5138"/>
        <v/>
      </c>
      <c r="DJ371" s="71" t="str">
        <f t="shared" si="5139"/>
        <v/>
      </c>
      <c r="DK371" s="71" t="str">
        <f t="shared" si="5140"/>
        <v/>
      </c>
      <c r="DL371" s="71" t="str">
        <f t="shared" si="5141"/>
        <v/>
      </c>
      <c r="DM371" s="71" t="str">
        <f t="shared" si="5142"/>
        <v/>
      </c>
      <c r="DN371" s="71" t="str">
        <f t="shared" si="5143"/>
        <v/>
      </c>
      <c r="DO371" s="71" t="str">
        <f t="shared" si="5144"/>
        <v/>
      </c>
      <c r="DP371" s="71" t="str">
        <f t="shared" si="5145"/>
        <v/>
      </c>
      <c r="DQ371" s="71" t="str">
        <f t="shared" si="5146"/>
        <v/>
      </c>
      <c r="DR371" s="71" t="str">
        <f t="shared" si="5147"/>
        <v/>
      </c>
      <c r="DS371" s="71" t="str">
        <f t="shared" si="5148"/>
        <v/>
      </c>
      <c r="DT371" s="71" t="str">
        <f t="shared" si="5149"/>
        <v/>
      </c>
      <c r="DU371" s="71" t="str">
        <f t="shared" si="5150"/>
        <v/>
      </c>
      <c r="DV371" s="71" t="str">
        <f t="shared" si="5151"/>
        <v/>
      </c>
      <c r="DW371" s="71" t="str">
        <f t="shared" si="5152"/>
        <v/>
      </c>
      <c r="DX371" s="71" t="str">
        <f t="shared" si="5153"/>
        <v/>
      </c>
      <c r="DY371" s="71" t="str">
        <f t="shared" si="5154"/>
        <v/>
      </c>
      <c r="DZ371" s="71" t="str">
        <f t="shared" si="5155"/>
        <v/>
      </c>
      <c r="EA371" s="71" t="str">
        <f t="shared" si="5156"/>
        <v/>
      </c>
      <c r="EB371" s="71" t="str">
        <f t="shared" si="5157"/>
        <v/>
      </c>
      <c r="EC371" s="71" t="str">
        <f t="shared" si="5158"/>
        <v/>
      </c>
      <c r="ED371" s="71" t="str">
        <f t="shared" si="5159"/>
        <v/>
      </c>
      <c r="EE371" s="71" t="str">
        <f t="shared" si="5160"/>
        <v/>
      </c>
      <c r="EF371" s="71" t="str">
        <f t="shared" si="5161"/>
        <v/>
      </c>
      <c r="EG371" s="71" t="str">
        <f t="shared" si="5162"/>
        <v/>
      </c>
      <c r="EH371" s="71" t="str">
        <f t="shared" si="5163"/>
        <v/>
      </c>
      <c r="EI371" s="71" t="str">
        <f t="shared" si="5164"/>
        <v/>
      </c>
      <c r="EJ371" s="71" t="str">
        <f t="shared" si="5165"/>
        <v/>
      </c>
      <c r="EK371" s="71" t="str">
        <f t="shared" si="5166"/>
        <v/>
      </c>
      <c r="EL371" s="71" t="str">
        <f t="shared" si="5167"/>
        <v/>
      </c>
      <c r="EM371" s="71" t="str">
        <f t="shared" si="5168"/>
        <v/>
      </c>
      <c r="EN371" s="71" t="str">
        <f t="shared" si="5169"/>
        <v/>
      </c>
      <c r="EO371" s="71" t="str">
        <f t="shared" si="5170"/>
        <v/>
      </c>
      <c r="EP371" s="71" t="str">
        <f t="shared" si="5171"/>
        <v/>
      </c>
      <c r="EQ371" s="71" t="str">
        <f t="shared" si="5172"/>
        <v/>
      </c>
      <c r="ER371" s="71" t="str">
        <f t="shared" si="5173"/>
        <v/>
      </c>
      <c r="ES371" s="71" t="str">
        <f t="shared" si="5174"/>
        <v/>
      </c>
      <c r="ET371" s="71" t="str">
        <f t="shared" si="5175"/>
        <v/>
      </c>
      <c r="EU371" s="71" t="str">
        <f t="shared" si="5176"/>
        <v/>
      </c>
      <c r="EV371" s="71" t="str">
        <f t="shared" si="5177"/>
        <v/>
      </c>
      <c r="EW371" s="71" t="str">
        <f t="shared" si="5178"/>
        <v/>
      </c>
      <c r="EX371" s="71" t="str">
        <f t="shared" si="5179"/>
        <v/>
      </c>
      <c r="EY371" s="71" t="str">
        <f t="shared" si="5180"/>
        <v/>
      </c>
      <c r="EZ371" s="71" t="str">
        <f t="shared" si="5181"/>
        <v/>
      </c>
      <c r="FA371" s="71" t="str">
        <f t="shared" si="5182"/>
        <v/>
      </c>
      <c r="FB371" s="71" t="str">
        <f t="shared" si="5183"/>
        <v/>
      </c>
      <c r="FC371" s="71" t="str">
        <f t="shared" si="5184"/>
        <v/>
      </c>
      <c r="FD371" s="71" t="str">
        <f t="shared" si="5185"/>
        <v/>
      </c>
      <c r="FE371" s="71" t="str">
        <f t="shared" si="5186"/>
        <v/>
      </c>
      <c r="FF371" s="71" t="str">
        <f t="shared" si="5187"/>
        <v/>
      </c>
      <c r="FG371" s="71" t="str">
        <f t="shared" si="5188"/>
        <v/>
      </c>
      <c r="FH371" s="71" t="str">
        <f t="shared" si="5189"/>
        <v/>
      </c>
      <c r="FI371" s="71" t="str">
        <f t="shared" si="5190"/>
        <v/>
      </c>
      <c r="FJ371" s="71" t="str">
        <f t="shared" si="5191"/>
        <v/>
      </c>
      <c r="FK371" s="71" t="str">
        <f t="shared" si="5192"/>
        <v/>
      </c>
      <c r="FL371" s="71" t="str">
        <f t="shared" si="5193"/>
        <v/>
      </c>
      <c r="FM371" s="71" t="str">
        <f t="shared" si="5194"/>
        <v/>
      </c>
      <c r="FN371" s="71" t="str">
        <f t="shared" si="5195"/>
        <v/>
      </c>
      <c r="FO371" s="71" t="str">
        <f t="shared" si="5196"/>
        <v/>
      </c>
      <c r="FP371" s="71" t="str">
        <f t="shared" si="5197"/>
        <v/>
      </c>
      <c r="FQ371" s="71" t="str">
        <f t="shared" si="5198"/>
        <v/>
      </c>
      <c r="FR371" s="71" t="str">
        <f t="shared" si="5199"/>
        <v/>
      </c>
      <c r="FS371" s="71" t="str">
        <f t="shared" si="5200"/>
        <v/>
      </c>
    </row>
    <row r="372" ht="15" spans="1:175">
      <c r="A372" s="138"/>
      <c r="B372" s="81" t="s">
        <v>1086</v>
      </c>
      <c r="C372" s="144" t="s">
        <v>1087</v>
      </c>
      <c r="T372" s="155" t="s">
        <v>1088</v>
      </c>
      <c r="U372" s="89" t="s">
        <v>1089</v>
      </c>
      <c r="CN372" s="69" t="str">
        <f t="shared" si="4670"/>
        <v>InitUnitState('IK7A',,,,,,,,,,)</v>
      </c>
      <c r="CO372" s="69" t="str">
        <f t="shared" si="4671"/>
        <v>InitUnitNormal('IK7A',,,,,,,,,,)</v>
      </c>
      <c r="CP372" s="69" t="str">
        <f t="shared" si="4672"/>
        <v>InitUnitMagic('IK7A',,,,,,,,,,)</v>
      </c>
      <c r="CQ372" s="69" t="str">
        <f t="shared" si="4673"/>
        <v>InitUnitAdd('IK7A',,,,,,,,,,)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InitEquipData('IK7A',,"",,,,,'','','','','','',"ReplaceableTextures\\CommandButtons\\BTNSST16.blp")</v>
      </c>
      <c r="CU372" s="99" t="str">
        <f t="shared" si="4674"/>
        <v>|n</v>
      </c>
      <c r="CV372" s="70" t="str">
        <f t="shared" si="4669"/>
        <v>护甲|Cffffc926+100|n|n|r|Cffaaaaaa○刻印槽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4675"/>
        <v/>
      </c>
      <c r="DC372" s="71" t="str">
        <f t="shared" si="4676"/>
        <v/>
      </c>
      <c r="DD372" s="71" t="str">
        <f t="shared" si="4677"/>
        <v/>
      </c>
      <c r="DE372" s="71" t="str">
        <f t="shared" si="4678"/>
        <v/>
      </c>
      <c r="DF372" s="71" t="str">
        <f t="shared" si="4679"/>
        <v/>
      </c>
      <c r="DG372" s="71" t="str">
        <f t="shared" si="4680"/>
        <v/>
      </c>
      <c r="DH372" s="71" t="str">
        <f t="shared" si="4681"/>
        <v/>
      </c>
      <c r="DI372" s="71" t="str">
        <f t="shared" si="4682"/>
        <v/>
      </c>
      <c r="DJ372" s="71" t="str">
        <f t="shared" si="4683"/>
        <v/>
      </c>
      <c r="DK372" s="71" t="str">
        <f t="shared" si="4684"/>
        <v/>
      </c>
      <c r="DL372" s="71" t="str">
        <f t="shared" si="4685"/>
        <v/>
      </c>
      <c r="DM372" s="71" t="str">
        <f t="shared" si="4686"/>
        <v/>
      </c>
      <c r="DN372" s="71" t="str">
        <f t="shared" si="4687"/>
        <v/>
      </c>
      <c r="DO372" s="71" t="str">
        <f t="shared" si="4688"/>
        <v/>
      </c>
      <c r="DP372" s="71" t="str">
        <f t="shared" si="4689"/>
        <v/>
      </c>
      <c r="DQ372" s="71" t="str">
        <f t="shared" si="4690"/>
        <v/>
      </c>
      <c r="DR372" s="71" t="str">
        <f t="shared" si="4691"/>
        <v/>
      </c>
      <c r="DS372" s="71" t="str">
        <f t="shared" si="4692"/>
        <v/>
      </c>
      <c r="DT372" s="71" t="str">
        <f t="shared" si="4693"/>
        <v/>
      </c>
      <c r="DU372" s="71" t="str">
        <f t="shared" si="4694"/>
        <v/>
      </c>
      <c r="DV372" s="71" t="str">
        <f t="shared" si="4695"/>
        <v/>
      </c>
      <c r="DW372" s="71" t="str">
        <f t="shared" si="4696"/>
        <v/>
      </c>
      <c r="DX372" s="71" t="str">
        <f t="shared" si="4697"/>
        <v/>
      </c>
      <c r="DY372" s="71" t="str">
        <f t="shared" si="4698"/>
        <v/>
      </c>
      <c r="DZ372" s="71" t="str">
        <f t="shared" si="4699"/>
        <v/>
      </c>
      <c r="EA372" s="71" t="str">
        <f t="shared" si="4700"/>
        <v/>
      </c>
      <c r="EB372" s="71" t="str">
        <f t="shared" si="4701"/>
        <v/>
      </c>
      <c r="EC372" s="71" t="str">
        <f t="shared" si="4702"/>
        <v/>
      </c>
      <c r="ED372" s="71" t="str">
        <f t="shared" si="4703"/>
        <v/>
      </c>
      <c r="EE372" s="71" t="str">
        <f t="shared" si="4704"/>
        <v/>
      </c>
      <c r="EF372" s="71" t="str">
        <f t="shared" si="4705"/>
        <v/>
      </c>
      <c r="EG372" s="71" t="str">
        <f t="shared" si="4706"/>
        <v/>
      </c>
      <c r="EH372" s="71" t="str">
        <f t="shared" si="4707"/>
        <v/>
      </c>
      <c r="EI372" s="71" t="str">
        <f t="shared" si="4708"/>
        <v/>
      </c>
      <c r="EJ372" s="71" t="str">
        <f t="shared" si="4709"/>
        <v/>
      </c>
      <c r="EK372" s="71" t="str">
        <f t="shared" si="4710"/>
        <v/>
      </c>
      <c r="EL372" s="71" t="str">
        <f t="shared" si="4711"/>
        <v/>
      </c>
      <c r="EM372" s="71" t="str">
        <f t="shared" si="4712"/>
        <v/>
      </c>
      <c r="EN372" s="71" t="str">
        <f t="shared" si="4713"/>
        <v/>
      </c>
      <c r="EO372" s="71" t="str">
        <f t="shared" si="4714"/>
        <v/>
      </c>
      <c r="EP372" s="71" t="str">
        <f t="shared" si="4715"/>
        <v/>
      </c>
      <c r="EQ372" s="71" t="str">
        <f t="shared" si="4716"/>
        <v/>
      </c>
      <c r="ER372" s="71" t="str">
        <f t="shared" si="4717"/>
        <v/>
      </c>
      <c r="ES372" s="71" t="str">
        <f t="shared" si="4718"/>
        <v/>
      </c>
      <c r="ET372" s="71" t="str">
        <f t="shared" si="4719"/>
        <v/>
      </c>
      <c r="EU372" s="71" t="str">
        <f t="shared" si="4720"/>
        <v/>
      </c>
      <c r="EV372" s="71" t="str">
        <f t="shared" si="4721"/>
        <v/>
      </c>
      <c r="EW372" s="71" t="str">
        <f t="shared" si="4722"/>
        <v/>
      </c>
      <c r="EX372" s="71" t="str">
        <f t="shared" si="4723"/>
        <v/>
      </c>
      <c r="EY372" s="71" t="str">
        <f t="shared" si="4724"/>
        <v/>
      </c>
      <c r="EZ372" s="71" t="str">
        <f t="shared" si="4725"/>
        <v/>
      </c>
      <c r="FA372" s="71" t="str">
        <f t="shared" si="4726"/>
        <v/>
      </c>
      <c r="FB372" s="71" t="str">
        <f t="shared" si="4727"/>
        <v/>
      </c>
      <c r="FC372" s="71" t="str">
        <f t="shared" si="4728"/>
        <v/>
      </c>
      <c r="FD372" s="71" t="str">
        <f t="shared" si="4729"/>
        <v/>
      </c>
      <c r="FE372" s="71" t="str">
        <f t="shared" si="4730"/>
        <v/>
      </c>
      <c r="FF372" s="71" t="str">
        <f t="shared" si="4731"/>
        <v/>
      </c>
      <c r="FG372" s="71" t="str">
        <f t="shared" si="4732"/>
        <v/>
      </c>
      <c r="FH372" s="71" t="str">
        <f t="shared" si="4733"/>
        <v/>
      </c>
      <c r="FI372" s="71" t="str">
        <f t="shared" si="4734"/>
        <v/>
      </c>
      <c r="FJ372" s="71" t="str">
        <f t="shared" si="4735"/>
        <v/>
      </c>
      <c r="FK372" s="71" t="str">
        <f t="shared" si="4736"/>
        <v/>
      </c>
      <c r="FL372" s="71" t="str">
        <f t="shared" si="4737"/>
        <v/>
      </c>
      <c r="FM372" s="71" t="str">
        <f t="shared" si="4738"/>
        <v/>
      </c>
      <c r="FN372" s="71" t="str">
        <f t="shared" si="4739"/>
        <v/>
      </c>
      <c r="FO372" s="71" t="str">
        <f t="shared" si="4740"/>
        <v/>
      </c>
      <c r="FP372" s="71" t="str">
        <f t="shared" si="4741"/>
        <v/>
      </c>
      <c r="FQ372" s="71" t="str">
        <f t="shared" si="4742"/>
        <v/>
      </c>
      <c r="FR372" s="71" t="str">
        <f t="shared" si="4743"/>
        <v/>
      </c>
      <c r="FS372" s="71" t="str">
        <f t="shared" si="4744"/>
        <v/>
      </c>
    </row>
    <row r="373" ht="15" spans="1:175">
      <c r="A373" s="138"/>
      <c r="B373" s="81" t="s">
        <v>1090</v>
      </c>
      <c r="C373" s="144" t="s">
        <v>1087</v>
      </c>
      <c r="K373" s="146"/>
      <c r="T373" s="155" t="s">
        <v>1091</v>
      </c>
      <c r="U373" s="89" t="s">
        <v>1089</v>
      </c>
      <c r="CN373" s="69" t="str">
        <f t="shared" ref="CN373:CN380" si="5201">"InitUnitState('"&amp;B373&amp;"',"&amp;V373&amp;","&amp;W373&amp;","&amp;X373&amp;","&amp;Y373&amp;","&amp;Z373&amp;","&amp;AA373&amp;","&amp;AB373&amp;","&amp;AC373&amp;","&amp;AD373&amp;","&amp;AE373&amp;")"</f>
        <v>InitUnitState('IK7B',,,,,,,,,,)</v>
      </c>
      <c r="CO373" s="69" t="str">
        <f t="shared" ref="CO373:CO380" si="5202">"InitUnitNormal('"&amp;B373&amp;"',"&amp;AF373&amp;","&amp;AG373&amp;","&amp;AH373&amp;","&amp;AI373&amp;","&amp;AJ373&amp;","&amp;AK373&amp;","&amp;AL373&amp;","&amp;AM373&amp;","&amp;AN373&amp;","&amp;AO373&amp;")"</f>
        <v>InitUnitNormal('IK7B',,,,,,,,,,)</v>
      </c>
      <c r="CP373" s="69" t="str">
        <f t="shared" ref="CP373:CP380" si="5203">"InitUnitMagic('"&amp;B373&amp;"',"&amp;AP373&amp;","&amp;AQ373&amp;","&amp;AR373&amp;","&amp;AS373&amp;","&amp;AT373&amp;","&amp;AU373&amp;","&amp;AV373&amp;","&amp;AW373&amp;","&amp;BI373&amp;","&amp;BJ373&amp;")"</f>
        <v>InitUnitMagic('IK7B',,,,,,,,,,)</v>
      </c>
      <c r="CQ373" s="69" t="str">
        <f t="shared" ref="CQ373:CQ380" si="5204">"InitUnitAdd('"&amp;B373&amp;"',"&amp;BK373&amp;","&amp;BL373&amp;","&amp;BM373&amp;","&amp;BN373&amp;","&amp;BO373&amp;","&amp;BP373&amp;","&amp;BQ373&amp;","&amp;BR373&amp;","&amp;BS373&amp;","&amp;BT373&amp;")"</f>
        <v>InitUnitAdd('IK7B',,,,,,,,,,)</v>
      </c>
      <c r="CR373" s="69" t="str">
        <f t="shared" ref="CR373:CR380" si="5205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InitEquipData('IK7B',,"",,,,,'','','','','','',"ReplaceableTextures\\CommandButtons\\BTNSST16.blp")</v>
      </c>
      <c r="CU373" s="99" t="str">
        <f t="shared" ref="CU373:CU380" si="5206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4669"/>
        <v>护甲|Cffffc926+100|n|n|r|Cffaaaaaa○|CffFFD24D金之刻印+1|r|r|n|n|Cff00ff7f点击穿戴或脱卸。|r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207">IF(V373="","","|n"&amp;DB$2&amp;"+"&amp;V373&amp;DB$1)</f>
        <v/>
      </c>
      <c r="DC373" s="71" t="str">
        <f t="shared" ref="DC373:DC380" si="5208">IF(W373="","","|n"&amp;DC$2&amp;"+"&amp;W373&amp;DC$1)</f>
        <v/>
      </c>
      <c r="DD373" s="71" t="str">
        <f t="shared" ref="DD373:DD380" si="5209">IF(X373="","","|n"&amp;DD$2&amp;"+"&amp;X373&amp;DD$1)</f>
        <v/>
      </c>
      <c r="DE373" s="71" t="str">
        <f t="shared" ref="DE373:DE380" si="5210">IF(Y373="","","|n"&amp;DE$2&amp;"+"&amp;Y373&amp;DE$1)</f>
        <v/>
      </c>
      <c r="DF373" s="71" t="str">
        <f t="shared" ref="DF373:DF380" si="5211">IF(Z373="","","|n"&amp;DF$2&amp;"+"&amp;Z373&amp;DF$1)</f>
        <v/>
      </c>
      <c r="DG373" s="71" t="str">
        <f t="shared" ref="DG373:DG380" si="5212">IF(AA373="","","|n"&amp;DG$2&amp;"+"&amp;AA373&amp;DG$1)</f>
        <v/>
      </c>
      <c r="DH373" s="71" t="str">
        <f t="shared" ref="DH373:DH380" si="5213">IF(AB373="","","|n"&amp;DH$2&amp;"+"&amp;AB373&amp;DH$1)</f>
        <v/>
      </c>
      <c r="DI373" s="71" t="str">
        <f t="shared" ref="DI373:DI380" si="5214">IF(AC373="","","|n"&amp;DI$2&amp;"+"&amp;AC373&amp;DI$1)</f>
        <v/>
      </c>
      <c r="DJ373" s="71" t="str">
        <f t="shared" ref="DJ373:DJ380" si="5215">IF(AD373="","","|n"&amp;DJ$2&amp;"+"&amp;AD373&amp;DJ$1)</f>
        <v/>
      </c>
      <c r="DK373" s="71" t="str">
        <f t="shared" ref="DK373:DK380" si="5216">IF(AE373="","","|n"&amp;DK$2&amp;"+"&amp;AE373&amp;DK$1)</f>
        <v/>
      </c>
      <c r="DL373" s="71" t="str">
        <f t="shared" ref="DL373:DL380" si="5217">IF(AF373="","","|n"&amp;DL$2&amp;"+"&amp;AF373&amp;DL$1)</f>
        <v/>
      </c>
      <c r="DM373" s="71" t="str">
        <f t="shared" ref="DM373:DM380" si="5218">IF(AG373="","","|n"&amp;DM$2&amp;"+"&amp;AG373&amp;DM$1)</f>
        <v/>
      </c>
      <c r="DN373" s="71" t="str">
        <f t="shared" ref="DN373:DN380" si="5219">IF(AH373="","","|n"&amp;DN$2&amp;"+"&amp;AH373&amp;DN$1)</f>
        <v/>
      </c>
      <c r="DO373" s="71" t="str">
        <f t="shared" ref="DO373:DO380" si="5220">IF(AI373="","","|n"&amp;DO$2&amp;"+"&amp;AI373&amp;DO$1)</f>
        <v/>
      </c>
      <c r="DP373" s="71" t="str">
        <f t="shared" ref="DP373:DP380" si="5221">IF(AJ373="","","|n"&amp;DP$2&amp;"+"&amp;AJ373&amp;DP$1)</f>
        <v/>
      </c>
      <c r="DQ373" s="71" t="str">
        <f t="shared" ref="DQ373:DQ380" si="5222">IF(AK373="","","|n"&amp;DQ$2&amp;"+"&amp;AK373&amp;DQ$1)</f>
        <v/>
      </c>
      <c r="DR373" s="71" t="str">
        <f t="shared" ref="DR373:DR380" si="5223">IF(AL373="","","|n"&amp;DR$2&amp;"+"&amp;AL373&amp;DR$1)</f>
        <v/>
      </c>
      <c r="DS373" s="71" t="str">
        <f t="shared" ref="DS373:DS380" si="5224">IF(AM373="","","|n"&amp;DS$2&amp;"+"&amp;AM373&amp;DS$1)</f>
        <v/>
      </c>
      <c r="DT373" s="71" t="str">
        <f t="shared" ref="DT373:DT380" si="5225">IF(AN373="","","|n"&amp;DT$2&amp;"+"&amp;AN373&amp;DT$1)</f>
        <v/>
      </c>
      <c r="DU373" s="71" t="str">
        <f t="shared" ref="DU373:DU380" si="5226">IF(AO373="","","|n"&amp;DU$2&amp;"+"&amp;AO373&amp;DU$1)</f>
        <v/>
      </c>
      <c r="DV373" s="71" t="str">
        <f t="shared" ref="DV373:DV380" si="5227">IF(AP373="","","|n"&amp;DV$2&amp;"+"&amp;AP373&amp;DV$1)</f>
        <v/>
      </c>
      <c r="DW373" s="71" t="str">
        <f t="shared" ref="DW373:DW380" si="5228">IF(AQ373="","","|n"&amp;DW$2&amp;"+"&amp;AQ373&amp;DW$1)</f>
        <v/>
      </c>
      <c r="DX373" s="71" t="str">
        <f t="shared" ref="DX373:DX380" si="5229">IF(AR373="","","|n"&amp;DX$2&amp;"+"&amp;AR373&amp;DX$1)</f>
        <v/>
      </c>
      <c r="DY373" s="71" t="str">
        <f t="shared" ref="DY373:DY380" si="5230">IF(AS373="","","|n"&amp;DY$2&amp;"+"&amp;AS373&amp;DY$1)</f>
        <v/>
      </c>
      <c r="DZ373" s="71" t="str">
        <f t="shared" ref="DZ373:DZ380" si="5231">IF(AT373="","","|n"&amp;DZ$2&amp;"+"&amp;AT373&amp;DZ$1)</f>
        <v/>
      </c>
      <c r="EA373" s="71" t="str">
        <f t="shared" ref="EA373:EA380" si="5232">IF(AU373="","","|n"&amp;EA$2&amp;"+"&amp;AU373&amp;EA$1)</f>
        <v/>
      </c>
      <c r="EB373" s="71" t="str">
        <f t="shared" ref="EB373:EB380" si="5233">IF(AV373="","","|n"&amp;EB$2&amp;"+"&amp;AV373&amp;EB$1)</f>
        <v/>
      </c>
      <c r="EC373" s="71" t="str">
        <f t="shared" ref="EC373:EC380" si="5234">IF(AW373="","","|n"&amp;EC$2&amp;"+"&amp;AW373&amp;EC$1)</f>
        <v/>
      </c>
      <c r="ED373" s="71" t="str">
        <f t="shared" ref="ED373:ED380" si="5235">IF(AX373="","","|n"&amp;ED$2&amp;"+"&amp;AX373&amp;ED$1)</f>
        <v/>
      </c>
      <c r="EE373" s="71" t="str">
        <f t="shared" ref="EE373:EE380" si="5236">IF(AY373="","","|n"&amp;EE$2&amp;"+"&amp;AY373&amp;EE$1)</f>
        <v/>
      </c>
      <c r="EF373" s="71" t="str">
        <f t="shared" ref="EF373:EF380" si="5237">IF(AZ373="","","|n"&amp;EF$2&amp;"+"&amp;AZ373&amp;EF$1)</f>
        <v/>
      </c>
      <c r="EG373" s="71" t="str">
        <f t="shared" ref="EG373:EG380" si="5238">IF(BA373="","","|n"&amp;EG$2&amp;"+"&amp;BA373&amp;EG$1)</f>
        <v/>
      </c>
      <c r="EH373" s="71" t="str">
        <f t="shared" ref="EH373:EH380" si="5239">IF(BB373="","","|n"&amp;EH$2&amp;"+"&amp;BB373&amp;EH$1)</f>
        <v/>
      </c>
      <c r="EI373" s="71" t="str">
        <f t="shared" ref="EI373:EI380" si="5240">IF(BC373="","","|n"&amp;EI$2&amp;"+"&amp;BC373&amp;EI$1)</f>
        <v/>
      </c>
      <c r="EJ373" s="71" t="str">
        <f t="shared" ref="EJ373:EJ380" si="5241">IF(BD373="","","|n"&amp;EJ$2&amp;"+"&amp;BD373&amp;EJ$1)</f>
        <v/>
      </c>
      <c r="EK373" s="71" t="str">
        <f t="shared" ref="EK373:EK380" si="5242">IF(BE373="","","|n"&amp;EK$2&amp;"+"&amp;BE373&amp;EK$1)</f>
        <v/>
      </c>
      <c r="EL373" s="71" t="str">
        <f t="shared" ref="EL373:EL380" si="5243">IF(BF373="","","|n"&amp;EL$2&amp;"+"&amp;BF373&amp;EL$1)</f>
        <v/>
      </c>
      <c r="EM373" s="71" t="str">
        <f t="shared" ref="EM373:EM380" si="5244">IF(BG373="","","|n"&amp;EM$2&amp;"+"&amp;BG373&amp;EM$1)</f>
        <v/>
      </c>
      <c r="EN373" s="71" t="str">
        <f t="shared" ref="EN373:EN380" si="5245">IF(BH373="","","|n"&amp;EN$2&amp;"+"&amp;BH373&amp;EN$1)</f>
        <v/>
      </c>
      <c r="EO373" s="71" t="str">
        <f t="shared" ref="EO373:EO380" si="5246">IF(BI373="","","|n"&amp;EO$2&amp;"+"&amp;BI373&amp;EO$1)</f>
        <v/>
      </c>
      <c r="EP373" s="71" t="str">
        <f t="shared" ref="EP373:EP380" si="5247">IF(BJ373="","","|n"&amp;EP$2&amp;"+"&amp;BJ373&amp;EP$1)</f>
        <v/>
      </c>
      <c r="EQ373" s="71" t="str">
        <f t="shared" ref="EQ373:EQ380" si="5248">IF(BK373="","","|n"&amp;EQ$2&amp;"+"&amp;BK373&amp;EQ$1)</f>
        <v/>
      </c>
      <c r="ER373" s="71" t="str">
        <f t="shared" ref="ER373:ER380" si="5249">IF(BL373="","","|n"&amp;ER$2&amp;"+"&amp;BL373&amp;ER$1)</f>
        <v/>
      </c>
      <c r="ES373" s="71" t="str">
        <f t="shared" ref="ES373:ES380" si="5250">IF(BM373="","","|n"&amp;ES$2&amp;"+"&amp;BM373&amp;ES$1)</f>
        <v/>
      </c>
      <c r="ET373" s="71" t="str">
        <f t="shared" ref="ET373:ET380" si="5251">IF(BN373="","","|n"&amp;ET$2&amp;"+"&amp;BN373&amp;ET$1)</f>
        <v/>
      </c>
      <c r="EU373" s="71" t="str">
        <f t="shared" ref="EU373:EU380" si="5252">IF(BO373="","","|n"&amp;EU$2&amp;"+"&amp;BO373&amp;EU$1)</f>
        <v/>
      </c>
      <c r="EV373" s="71" t="str">
        <f t="shared" ref="EV373:EV380" si="5253">IF(BP373="","","|n"&amp;EV$2&amp;"+"&amp;BP373&amp;EV$1)</f>
        <v/>
      </c>
      <c r="EW373" s="71" t="str">
        <f t="shared" ref="EW373:EW380" si="5254">IF(BQ373="","","|n"&amp;EW$2&amp;"+"&amp;BQ373&amp;EW$1)</f>
        <v/>
      </c>
      <c r="EX373" s="71" t="str">
        <f t="shared" ref="EX373:EX380" si="5255">IF(BR373="","","|n"&amp;EX$2&amp;"+"&amp;BR373&amp;EX$1)</f>
        <v/>
      </c>
      <c r="EY373" s="71" t="str">
        <f t="shared" ref="EY373:EY380" si="5256">IF(BS373="","","|n"&amp;EY$2&amp;"+"&amp;BS373&amp;EY$1)</f>
        <v/>
      </c>
      <c r="EZ373" s="71" t="str">
        <f t="shared" ref="EZ373:EZ380" si="5257">IF(BT373="","","|n"&amp;EZ$2&amp;"+"&amp;BT373&amp;EZ$1)</f>
        <v/>
      </c>
      <c r="FA373" s="71" t="str">
        <f t="shared" ref="FA373:FA380" si="5258">IF(BU373="","","|n"&amp;FA$2&amp;"+"&amp;BU373&amp;FA$1)</f>
        <v/>
      </c>
      <c r="FB373" s="71" t="str">
        <f t="shared" ref="FB373:FB380" si="5259">IF(BV373="","","|n"&amp;FB$2&amp;"+"&amp;BV373&amp;FB$1)</f>
        <v/>
      </c>
      <c r="FC373" s="71" t="str">
        <f t="shared" ref="FC373:FC380" si="5260">IF(BW373="","","|n"&amp;FC$2&amp;"+"&amp;BW373&amp;FC$1)</f>
        <v/>
      </c>
      <c r="FD373" s="71" t="str">
        <f t="shared" ref="FD373:FD380" si="5261">IF(BX373="","","|n"&amp;FD$2&amp;"+"&amp;BX373&amp;FD$1)</f>
        <v/>
      </c>
      <c r="FE373" s="71" t="str">
        <f t="shared" ref="FE373:FE380" si="5262">IF(BY373="","","|n"&amp;FE$2&amp;"+"&amp;BY373&amp;FE$1)</f>
        <v/>
      </c>
      <c r="FF373" s="71" t="str">
        <f t="shared" ref="FF373:FF380" si="5263">IF(BZ373="","","|n"&amp;FF$2&amp;"+"&amp;BZ373&amp;FF$1)</f>
        <v/>
      </c>
      <c r="FG373" s="71" t="str">
        <f t="shared" ref="FG373:FG380" si="5264">IF(CA373="","","|n"&amp;FG$2&amp;"+"&amp;CA373&amp;FG$1)</f>
        <v/>
      </c>
      <c r="FH373" s="71" t="str">
        <f t="shared" ref="FH373:FH380" si="5265">IF(CB373="","","|n"&amp;FH$2&amp;"+"&amp;CB373&amp;FH$1)</f>
        <v/>
      </c>
      <c r="FI373" s="71" t="str">
        <f t="shared" ref="FI373:FI380" si="5266">IF(CC373="","","|n"&amp;FI$2&amp;"+"&amp;CC373&amp;FI$1)</f>
        <v/>
      </c>
      <c r="FJ373" s="71" t="str">
        <f t="shared" ref="FJ373:FJ380" si="5267">IF(CD373="","","|n"&amp;FJ$2&amp;"+"&amp;CD373&amp;FJ$1)</f>
        <v/>
      </c>
      <c r="FK373" s="71" t="str">
        <f t="shared" ref="FK373:FK380" si="5268">IF(CE373="","","|n"&amp;FK$2&amp;"+"&amp;CE373&amp;FK$1)</f>
        <v/>
      </c>
      <c r="FL373" s="71" t="str">
        <f t="shared" ref="FL373:FL380" si="5269">IF(CF373="","","|n"&amp;FL$2&amp;"+"&amp;CF373&amp;FL$1)</f>
        <v/>
      </c>
      <c r="FM373" s="71" t="str">
        <f t="shared" ref="FM373:FM380" si="5270">IF(CG373="","","|n"&amp;FM$2&amp;"+"&amp;CG373&amp;FM$1)</f>
        <v/>
      </c>
      <c r="FN373" s="71" t="str">
        <f t="shared" ref="FN373:FN380" si="5271">IF(CH373="","","|n"&amp;FN$2&amp;"+"&amp;CH373&amp;FN$1)</f>
        <v/>
      </c>
      <c r="FO373" s="71" t="str">
        <f t="shared" ref="FO373:FO380" si="5272">IF(CI373="","","|n"&amp;FO$2&amp;"+"&amp;CI373&amp;FO$1)</f>
        <v/>
      </c>
      <c r="FP373" s="71" t="str">
        <f t="shared" ref="FP373:FP380" si="5273">IF(CJ373="","","|n"&amp;FP$2&amp;"+"&amp;CJ373&amp;FP$1)</f>
        <v/>
      </c>
      <c r="FQ373" s="71" t="str">
        <f t="shared" ref="FQ373:FQ380" si="5274">IF(CK373="","","|n"&amp;FQ$2&amp;"+"&amp;CK373&amp;FQ$1)</f>
        <v/>
      </c>
      <c r="FR373" s="71" t="str">
        <f t="shared" ref="FR373:FR380" si="5275">IF(CL373="","","|n"&amp;FR$2&amp;"+"&amp;CL373&amp;FR$1)</f>
        <v/>
      </c>
      <c r="FS373" s="71" t="str">
        <f t="shared" ref="FS373:FS380" si="5276">IF(CM373="","","|n"&amp;FS$2&amp;"+"&amp;CM373&amp;FS$1)</f>
        <v/>
      </c>
    </row>
    <row r="374" ht="15" spans="1:175">
      <c r="A374" s="138"/>
      <c r="B374" s="81" t="s">
        <v>1092</v>
      </c>
      <c r="C374" s="144" t="s">
        <v>1087</v>
      </c>
      <c r="K374" s="147"/>
      <c r="T374" s="155" t="s">
        <v>1093</v>
      </c>
      <c r="U374" s="89" t="s">
        <v>1089</v>
      </c>
      <c r="CN374" s="69" t="str">
        <f t="shared" si="5201"/>
        <v>InitUnitState('IK7C',,,,,,,,,,)</v>
      </c>
      <c r="CO374" s="69" t="str">
        <f t="shared" si="5202"/>
        <v>InitUnitNormal('IK7C',,,,,,,,,,)</v>
      </c>
      <c r="CP374" s="69" t="str">
        <f t="shared" si="5203"/>
        <v>InitUnitMagic('IK7C',,,,,,,,,,)</v>
      </c>
      <c r="CQ374" s="69" t="str">
        <f t="shared" si="5204"/>
        <v>InitUnitAdd('IK7C',,,,,,,,,,)</v>
      </c>
      <c r="CR374" s="69" t="str">
        <f t="shared" si="5205"/>
        <v>InitEquipData('IK7C',,"",,,,,'','','','','','',"ReplaceableTextures\\CommandButtons\\BTNSST16.blp")</v>
      </c>
      <c r="CU374" s="99" t="str">
        <f t="shared" si="5206"/>
        <v>|n</v>
      </c>
      <c r="CV374" s="70" t="str">
        <f t="shared" ref="CV374:CV397" si="5277">T374</f>
        <v>护甲|Cffffc926+100|n|n|r|Cffaaaaaa○|CffFFD24D木之刻印+1|r|r|n|n|Cff00ff7f点击穿戴或脱卸。|r</v>
      </c>
      <c r="CW374" s="60"/>
      <c r="CX374" s="60"/>
      <c r="CY374" s="60"/>
      <c r="CZ374" s="60"/>
      <c r="DA374" s="60"/>
      <c r="DB374" s="71" t="str">
        <f t="shared" si="5207"/>
        <v/>
      </c>
      <c r="DC374" s="71" t="str">
        <f t="shared" si="5208"/>
        <v/>
      </c>
      <c r="DD374" s="71" t="str">
        <f t="shared" si="5209"/>
        <v/>
      </c>
      <c r="DE374" s="71" t="str">
        <f t="shared" si="5210"/>
        <v/>
      </c>
      <c r="DF374" s="71" t="str">
        <f t="shared" si="5211"/>
        <v/>
      </c>
      <c r="DG374" s="71" t="str">
        <f t="shared" si="5212"/>
        <v/>
      </c>
      <c r="DH374" s="71" t="str">
        <f t="shared" si="5213"/>
        <v/>
      </c>
      <c r="DI374" s="71" t="str">
        <f t="shared" si="5214"/>
        <v/>
      </c>
      <c r="DJ374" s="71" t="str">
        <f t="shared" si="5215"/>
        <v/>
      </c>
      <c r="DK374" s="71" t="str">
        <f t="shared" si="5216"/>
        <v/>
      </c>
      <c r="DL374" s="71" t="str">
        <f t="shared" si="5217"/>
        <v/>
      </c>
      <c r="DM374" s="71" t="str">
        <f t="shared" si="5218"/>
        <v/>
      </c>
      <c r="DN374" s="71" t="str">
        <f t="shared" si="5219"/>
        <v/>
      </c>
      <c r="DO374" s="71" t="str">
        <f t="shared" si="5220"/>
        <v/>
      </c>
      <c r="DP374" s="71" t="str">
        <f t="shared" si="5221"/>
        <v/>
      </c>
      <c r="DQ374" s="71" t="str">
        <f t="shared" si="5222"/>
        <v/>
      </c>
      <c r="DR374" s="71" t="str">
        <f t="shared" si="5223"/>
        <v/>
      </c>
      <c r="DS374" s="71" t="str">
        <f t="shared" si="5224"/>
        <v/>
      </c>
      <c r="DT374" s="71" t="str">
        <f t="shared" si="5225"/>
        <v/>
      </c>
      <c r="DU374" s="71" t="str">
        <f t="shared" si="5226"/>
        <v/>
      </c>
      <c r="DV374" s="71" t="str">
        <f t="shared" si="5227"/>
        <v/>
      </c>
      <c r="DW374" s="71" t="str">
        <f t="shared" si="5228"/>
        <v/>
      </c>
      <c r="DX374" s="71" t="str">
        <f t="shared" si="5229"/>
        <v/>
      </c>
      <c r="DY374" s="71" t="str">
        <f t="shared" si="5230"/>
        <v/>
      </c>
      <c r="DZ374" s="71" t="str">
        <f t="shared" si="5231"/>
        <v/>
      </c>
      <c r="EA374" s="71" t="str">
        <f t="shared" si="5232"/>
        <v/>
      </c>
      <c r="EB374" s="71" t="str">
        <f t="shared" si="5233"/>
        <v/>
      </c>
      <c r="EC374" s="71" t="str">
        <f t="shared" si="5234"/>
        <v/>
      </c>
      <c r="ED374" s="71" t="str">
        <f t="shared" si="5235"/>
        <v/>
      </c>
      <c r="EE374" s="71" t="str">
        <f t="shared" si="5236"/>
        <v/>
      </c>
      <c r="EF374" s="71" t="str">
        <f t="shared" si="5237"/>
        <v/>
      </c>
      <c r="EG374" s="71" t="str">
        <f t="shared" si="5238"/>
        <v/>
      </c>
      <c r="EH374" s="71" t="str">
        <f t="shared" si="5239"/>
        <v/>
      </c>
      <c r="EI374" s="71" t="str">
        <f t="shared" si="5240"/>
        <v/>
      </c>
      <c r="EJ374" s="71" t="str">
        <f t="shared" si="5241"/>
        <v/>
      </c>
      <c r="EK374" s="71" t="str">
        <f t="shared" si="5242"/>
        <v/>
      </c>
      <c r="EL374" s="71" t="str">
        <f t="shared" si="5243"/>
        <v/>
      </c>
      <c r="EM374" s="71" t="str">
        <f t="shared" si="5244"/>
        <v/>
      </c>
      <c r="EN374" s="71" t="str">
        <f t="shared" si="5245"/>
        <v/>
      </c>
      <c r="EO374" s="71" t="str">
        <f t="shared" si="5246"/>
        <v/>
      </c>
      <c r="EP374" s="71" t="str">
        <f t="shared" si="5247"/>
        <v/>
      </c>
      <c r="EQ374" s="71" t="str">
        <f t="shared" si="5248"/>
        <v/>
      </c>
      <c r="ER374" s="71" t="str">
        <f t="shared" si="5249"/>
        <v/>
      </c>
      <c r="ES374" s="71" t="str">
        <f t="shared" si="5250"/>
        <v/>
      </c>
      <c r="ET374" s="71" t="str">
        <f t="shared" si="5251"/>
        <v/>
      </c>
      <c r="EU374" s="71" t="str">
        <f t="shared" si="5252"/>
        <v/>
      </c>
      <c r="EV374" s="71" t="str">
        <f t="shared" si="5253"/>
        <v/>
      </c>
      <c r="EW374" s="71" t="str">
        <f t="shared" si="5254"/>
        <v/>
      </c>
      <c r="EX374" s="71" t="str">
        <f t="shared" si="5255"/>
        <v/>
      </c>
      <c r="EY374" s="71" t="str">
        <f t="shared" si="5256"/>
        <v/>
      </c>
      <c r="EZ374" s="71" t="str">
        <f t="shared" si="5257"/>
        <v/>
      </c>
      <c r="FA374" s="71" t="str">
        <f t="shared" si="5258"/>
        <v/>
      </c>
      <c r="FB374" s="71" t="str">
        <f t="shared" si="5259"/>
        <v/>
      </c>
      <c r="FC374" s="71" t="str">
        <f t="shared" si="5260"/>
        <v/>
      </c>
      <c r="FD374" s="71" t="str">
        <f t="shared" si="5261"/>
        <v/>
      </c>
      <c r="FE374" s="71" t="str">
        <f t="shared" si="5262"/>
        <v/>
      </c>
      <c r="FF374" s="71" t="str">
        <f t="shared" si="5263"/>
        <v/>
      </c>
      <c r="FG374" s="71" t="str">
        <f t="shared" si="5264"/>
        <v/>
      </c>
      <c r="FH374" s="71" t="str">
        <f t="shared" si="5265"/>
        <v/>
      </c>
      <c r="FI374" s="71" t="str">
        <f t="shared" si="5266"/>
        <v/>
      </c>
      <c r="FJ374" s="71" t="str">
        <f t="shared" si="5267"/>
        <v/>
      </c>
      <c r="FK374" s="71" t="str">
        <f t="shared" si="5268"/>
        <v/>
      </c>
      <c r="FL374" s="71" t="str">
        <f t="shared" si="5269"/>
        <v/>
      </c>
      <c r="FM374" s="71" t="str">
        <f t="shared" si="5270"/>
        <v/>
      </c>
      <c r="FN374" s="71" t="str">
        <f t="shared" si="5271"/>
        <v/>
      </c>
      <c r="FO374" s="71" t="str">
        <f t="shared" si="5272"/>
        <v/>
      </c>
      <c r="FP374" s="71" t="str">
        <f t="shared" si="5273"/>
        <v/>
      </c>
      <c r="FQ374" s="71" t="str">
        <f t="shared" si="5274"/>
        <v/>
      </c>
      <c r="FR374" s="71" t="str">
        <f t="shared" si="5275"/>
        <v/>
      </c>
      <c r="FS374" s="71" t="str">
        <f t="shared" si="5276"/>
        <v/>
      </c>
    </row>
    <row r="375" ht="15" spans="1:175">
      <c r="A375" s="138"/>
      <c r="B375" s="81" t="s">
        <v>1094</v>
      </c>
      <c r="C375" s="144" t="s">
        <v>1087</v>
      </c>
      <c r="K375" s="147"/>
      <c r="T375" s="155" t="s">
        <v>1095</v>
      </c>
      <c r="U375" s="89" t="s">
        <v>1089</v>
      </c>
      <c r="CN375" s="69" t="str">
        <f t="shared" si="5201"/>
        <v>InitUnitState('IK7D',,,,,,,,,,)</v>
      </c>
      <c r="CO375" s="69" t="str">
        <f t="shared" si="5202"/>
        <v>InitUnitNormal('IK7D',,,,,,,,,,)</v>
      </c>
      <c r="CP375" s="69" t="str">
        <f t="shared" si="5203"/>
        <v>InitUnitMagic('IK7D',,,,,,,,,,)</v>
      </c>
      <c r="CQ375" s="69" t="str">
        <f t="shared" si="5204"/>
        <v>InitUnitAdd('IK7D',,,,,,,,,,)</v>
      </c>
      <c r="CR375" s="69" t="str">
        <f t="shared" si="5205"/>
        <v>InitEquipData('IK7D',,"",,,,,'','','','','','',"ReplaceableTextures\\CommandButtons\\BTNSST16.blp")</v>
      </c>
      <c r="CU375" s="99" t="str">
        <f t="shared" si="5206"/>
        <v>|n</v>
      </c>
      <c r="CV375" s="70" t="str">
        <f t="shared" si="5277"/>
        <v>护甲|Cffffc926+100|n|n|r|Cffaaaaaa○|CffFFD24D水之刻印+1|r|r|n|n|Cff00ff7f点击穿戴或脱卸。|r</v>
      </c>
      <c r="CW375" s="60"/>
      <c r="CX375" s="60"/>
      <c r="CY375" s="60"/>
      <c r="CZ375" s="60"/>
      <c r="DA375" s="60"/>
      <c r="DB375" s="71" t="str">
        <f t="shared" si="5207"/>
        <v/>
      </c>
      <c r="DC375" s="71" t="str">
        <f t="shared" si="5208"/>
        <v/>
      </c>
      <c r="DD375" s="71" t="str">
        <f t="shared" si="5209"/>
        <v/>
      </c>
      <c r="DE375" s="71" t="str">
        <f t="shared" si="5210"/>
        <v/>
      </c>
      <c r="DF375" s="71" t="str">
        <f t="shared" si="5211"/>
        <v/>
      </c>
      <c r="DG375" s="71" t="str">
        <f t="shared" si="5212"/>
        <v/>
      </c>
      <c r="DH375" s="71" t="str">
        <f t="shared" si="5213"/>
        <v/>
      </c>
      <c r="DI375" s="71" t="str">
        <f t="shared" si="5214"/>
        <v/>
      </c>
      <c r="DJ375" s="71" t="str">
        <f t="shared" si="5215"/>
        <v/>
      </c>
      <c r="DK375" s="71" t="str">
        <f t="shared" si="5216"/>
        <v/>
      </c>
      <c r="DL375" s="71" t="str">
        <f t="shared" si="5217"/>
        <v/>
      </c>
      <c r="DM375" s="71" t="str">
        <f t="shared" si="5218"/>
        <v/>
      </c>
      <c r="DN375" s="71" t="str">
        <f t="shared" si="5219"/>
        <v/>
      </c>
      <c r="DO375" s="71" t="str">
        <f t="shared" si="5220"/>
        <v/>
      </c>
      <c r="DP375" s="71" t="str">
        <f t="shared" si="5221"/>
        <v/>
      </c>
      <c r="DQ375" s="71" t="str">
        <f t="shared" si="5222"/>
        <v/>
      </c>
      <c r="DR375" s="71" t="str">
        <f t="shared" si="5223"/>
        <v/>
      </c>
      <c r="DS375" s="71" t="str">
        <f t="shared" si="5224"/>
        <v/>
      </c>
      <c r="DT375" s="71" t="str">
        <f t="shared" si="5225"/>
        <v/>
      </c>
      <c r="DU375" s="71" t="str">
        <f t="shared" si="5226"/>
        <v/>
      </c>
      <c r="DV375" s="71" t="str">
        <f t="shared" si="5227"/>
        <v/>
      </c>
      <c r="DW375" s="71" t="str">
        <f t="shared" si="5228"/>
        <v/>
      </c>
      <c r="DX375" s="71" t="str">
        <f t="shared" si="5229"/>
        <v/>
      </c>
      <c r="DY375" s="71" t="str">
        <f t="shared" si="5230"/>
        <v/>
      </c>
      <c r="DZ375" s="71" t="str">
        <f t="shared" si="5231"/>
        <v/>
      </c>
      <c r="EA375" s="71" t="str">
        <f t="shared" si="5232"/>
        <v/>
      </c>
      <c r="EB375" s="71" t="str">
        <f t="shared" si="5233"/>
        <v/>
      </c>
      <c r="EC375" s="71" t="str">
        <f t="shared" si="5234"/>
        <v/>
      </c>
      <c r="ED375" s="71" t="str">
        <f t="shared" si="5235"/>
        <v/>
      </c>
      <c r="EE375" s="71" t="str">
        <f t="shared" si="5236"/>
        <v/>
      </c>
      <c r="EF375" s="71" t="str">
        <f t="shared" si="5237"/>
        <v/>
      </c>
      <c r="EG375" s="71" t="str">
        <f t="shared" si="5238"/>
        <v/>
      </c>
      <c r="EH375" s="71" t="str">
        <f t="shared" si="5239"/>
        <v/>
      </c>
      <c r="EI375" s="71" t="str">
        <f t="shared" si="5240"/>
        <v/>
      </c>
      <c r="EJ375" s="71" t="str">
        <f t="shared" si="5241"/>
        <v/>
      </c>
      <c r="EK375" s="71" t="str">
        <f t="shared" si="5242"/>
        <v/>
      </c>
      <c r="EL375" s="71" t="str">
        <f t="shared" si="5243"/>
        <v/>
      </c>
      <c r="EM375" s="71" t="str">
        <f t="shared" si="5244"/>
        <v/>
      </c>
      <c r="EN375" s="71" t="str">
        <f t="shared" si="5245"/>
        <v/>
      </c>
      <c r="EO375" s="71" t="str">
        <f t="shared" si="5246"/>
        <v/>
      </c>
      <c r="EP375" s="71" t="str">
        <f t="shared" si="5247"/>
        <v/>
      </c>
      <c r="EQ375" s="71" t="str">
        <f t="shared" si="5248"/>
        <v/>
      </c>
      <c r="ER375" s="71" t="str">
        <f t="shared" si="5249"/>
        <v/>
      </c>
      <c r="ES375" s="71" t="str">
        <f t="shared" si="5250"/>
        <v/>
      </c>
      <c r="ET375" s="71" t="str">
        <f t="shared" si="5251"/>
        <v/>
      </c>
      <c r="EU375" s="71" t="str">
        <f t="shared" si="5252"/>
        <v/>
      </c>
      <c r="EV375" s="71" t="str">
        <f t="shared" si="5253"/>
        <v/>
      </c>
      <c r="EW375" s="71" t="str">
        <f t="shared" si="5254"/>
        <v/>
      </c>
      <c r="EX375" s="71" t="str">
        <f t="shared" si="5255"/>
        <v/>
      </c>
      <c r="EY375" s="71" t="str">
        <f t="shared" si="5256"/>
        <v/>
      </c>
      <c r="EZ375" s="71" t="str">
        <f t="shared" si="5257"/>
        <v/>
      </c>
      <c r="FA375" s="71" t="str">
        <f t="shared" si="5258"/>
        <v/>
      </c>
      <c r="FB375" s="71" t="str">
        <f t="shared" si="5259"/>
        <v/>
      </c>
      <c r="FC375" s="71" t="str">
        <f t="shared" si="5260"/>
        <v/>
      </c>
      <c r="FD375" s="71" t="str">
        <f t="shared" si="5261"/>
        <v/>
      </c>
      <c r="FE375" s="71" t="str">
        <f t="shared" si="5262"/>
        <v/>
      </c>
      <c r="FF375" s="71" t="str">
        <f t="shared" si="5263"/>
        <v/>
      </c>
      <c r="FG375" s="71" t="str">
        <f t="shared" si="5264"/>
        <v/>
      </c>
      <c r="FH375" s="71" t="str">
        <f t="shared" si="5265"/>
        <v/>
      </c>
      <c r="FI375" s="71" t="str">
        <f t="shared" si="5266"/>
        <v/>
      </c>
      <c r="FJ375" s="71" t="str">
        <f t="shared" si="5267"/>
        <v/>
      </c>
      <c r="FK375" s="71" t="str">
        <f t="shared" si="5268"/>
        <v/>
      </c>
      <c r="FL375" s="71" t="str">
        <f t="shared" si="5269"/>
        <v/>
      </c>
      <c r="FM375" s="71" t="str">
        <f t="shared" si="5270"/>
        <v/>
      </c>
      <c r="FN375" s="71" t="str">
        <f t="shared" si="5271"/>
        <v/>
      </c>
      <c r="FO375" s="71" t="str">
        <f t="shared" si="5272"/>
        <v/>
      </c>
      <c r="FP375" s="71" t="str">
        <f t="shared" si="5273"/>
        <v/>
      </c>
      <c r="FQ375" s="71" t="str">
        <f t="shared" si="5274"/>
        <v/>
      </c>
      <c r="FR375" s="71" t="str">
        <f t="shared" si="5275"/>
        <v/>
      </c>
      <c r="FS375" s="71" t="str">
        <f t="shared" si="5276"/>
        <v/>
      </c>
    </row>
    <row r="376" ht="15" spans="1:175">
      <c r="A376" s="138"/>
      <c r="B376" s="81" t="s">
        <v>1096</v>
      </c>
      <c r="C376" s="144" t="s">
        <v>1087</v>
      </c>
      <c r="K376" s="147"/>
      <c r="T376" s="155" t="s">
        <v>1097</v>
      </c>
      <c r="U376" s="89" t="s">
        <v>1089</v>
      </c>
      <c r="CN376" s="69" t="str">
        <f t="shared" si="5201"/>
        <v>InitUnitState('IK7E',,,,,,,,,,)</v>
      </c>
      <c r="CO376" s="69" t="str">
        <f t="shared" si="5202"/>
        <v>InitUnitNormal('IK7E',,,,,,,,,,)</v>
      </c>
      <c r="CP376" s="69" t="str">
        <f t="shared" si="5203"/>
        <v>InitUnitMagic('IK7E',,,,,,,,,,)</v>
      </c>
      <c r="CQ376" s="69" t="str">
        <f t="shared" si="5204"/>
        <v>InitUnitAdd('IK7E',,,,,,,,,,)</v>
      </c>
      <c r="CR376" s="69" t="str">
        <f t="shared" si="5205"/>
        <v>InitEquipData('IK7E',,"",,,,,'','','','','','',"ReplaceableTextures\\CommandButtons\\BTNSST16.blp")</v>
      </c>
      <c r="CU376" s="99" t="str">
        <f t="shared" si="5206"/>
        <v>|n</v>
      </c>
      <c r="CV376" s="70" t="str">
        <f t="shared" si="5277"/>
        <v>护甲|Cffffc926+100|n|n|r|Cffaaaaaa○|CffFFD24D火之刻印+1|r|r|n|n|Cff00ff7f点击穿戴或脱卸。|r</v>
      </c>
      <c r="CW376" s="60"/>
      <c r="CX376" s="60"/>
      <c r="CY376" s="60"/>
      <c r="CZ376" s="60"/>
      <c r="DA376" s="60"/>
      <c r="DB376" s="71" t="str">
        <f t="shared" si="5207"/>
        <v/>
      </c>
      <c r="DC376" s="71" t="str">
        <f t="shared" si="5208"/>
        <v/>
      </c>
      <c r="DD376" s="71" t="str">
        <f t="shared" si="5209"/>
        <v/>
      </c>
      <c r="DE376" s="71" t="str">
        <f t="shared" si="5210"/>
        <v/>
      </c>
      <c r="DF376" s="71" t="str">
        <f t="shared" si="5211"/>
        <v/>
      </c>
      <c r="DG376" s="71" t="str">
        <f t="shared" si="5212"/>
        <v/>
      </c>
      <c r="DH376" s="71" t="str">
        <f t="shared" si="5213"/>
        <v/>
      </c>
      <c r="DI376" s="71" t="str">
        <f t="shared" si="5214"/>
        <v/>
      </c>
      <c r="DJ376" s="71" t="str">
        <f t="shared" si="5215"/>
        <v/>
      </c>
      <c r="DK376" s="71" t="str">
        <f t="shared" si="5216"/>
        <v/>
      </c>
      <c r="DL376" s="71" t="str">
        <f t="shared" si="5217"/>
        <v/>
      </c>
      <c r="DM376" s="71" t="str">
        <f t="shared" si="5218"/>
        <v/>
      </c>
      <c r="DN376" s="71" t="str">
        <f t="shared" si="5219"/>
        <v/>
      </c>
      <c r="DO376" s="71" t="str">
        <f t="shared" si="5220"/>
        <v/>
      </c>
      <c r="DP376" s="71" t="str">
        <f t="shared" si="5221"/>
        <v/>
      </c>
      <c r="DQ376" s="71" t="str">
        <f t="shared" si="5222"/>
        <v/>
      </c>
      <c r="DR376" s="71" t="str">
        <f t="shared" si="5223"/>
        <v/>
      </c>
      <c r="DS376" s="71" t="str">
        <f t="shared" si="5224"/>
        <v/>
      </c>
      <c r="DT376" s="71" t="str">
        <f t="shared" si="5225"/>
        <v/>
      </c>
      <c r="DU376" s="71" t="str">
        <f t="shared" si="5226"/>
        <v/>
      </c>
      <c r="DV376" s="71" t="str">
        <f t="shared" si="5227"/>
        <v/>
      </c>
      <c r="DW376" s="71" t="str">
        <f t="shared" si="5228"/>
        <v/>
      </c>
      <c r="DX376" s="71" t="str">
        <f t="shared" si="5229"/>
        <v/>
      </c>
      <c r="DY376" s="71" t="str">
        <f t="shared" si="5230"/>
        <v/>
      </c>
      <c r="DZ376" s="71" t="str">
        <f t="shared" si="5231"/>
        <v/>
      </c>
      <c r="EA376" s="71" t="str">
        <f t="shared" si="5232"/>
        <v/>
      </c>
      <c r="EB376" s="71" t="str">
        <f t="shared" si="5233"/>
        <v/>
      </c>
      <c r="EC376" s="71" t="str">
        <f t="shared" si="5234"/>
        <v/>
      </c>
      <c r="ED376" s="71" t="str">
        <f t="shared" si="5235"/>
        <v/>
      </c>
      <c r="EE376" s="71" t="str">
        <f t="shared" si="5236"/>
        <v/>
      </c>
      <c r="EF376" s="71" t="str">
        <f t="shared" si="5237"/>
        <v/>
      </c>
      <c r="EG376" s="71" t="str">
        <f t="shared" si="5238"/>
        <v/>
      </c>
      <c r="EH376" s="71" t="str">
        <f t="shared" si="5239"/>
        <v/>
      </c>
      <c r="EI376" s="71" t="str">
        <f t="shared" si="5240"/>
        <v/>
      </c>
      <c r="EJ376" s="71" t="str">
        <f t="shared" si="5241"/>
        <v/>
      </c>
      <c r="EK376" s="71" t="str">
        <f t="shared" si="5242"/>
        <v/>
      </c>
      <c r="EL376" s="71" t="str">
        <f t="shared" si="5243"/>
        <v/>
      </c>
      <c r="EM376" s="71" t="str">
        <f t="shared" si="5244"/>
        <v/>
      </c>
      <c r="EN376" s="71" t="str">
        <f t="shared" si="5245"/>
        <v/>
      </c>
      <c r="EO376" s="71" t="str">
        <f t="shared" si="5246"/>
        <v/>
      </c>
      <c r="EP376" s="71" t="str">
        <f t="shared" si="5247"/>
        <v/>
      </c>
      <c r="EQ376" s="71" t="str">
        <f t="shared" si="5248"/>
        <v/>
      </c>
      <c r="ER376" s="71" t="str">
        <f t="shared" si="5249"/>
        <v/>
      </c>
      <c r="ES376" s="71" t="str">
        <f t="shared" si="5250"/>
        <v/>
      </c>
      <c r="ET376" s="71" t="str">
        <f t="shared" si="5251"/>
        <v/>
      </c>
      <c r="EU376" s="71" t="str">
        <f t="shared" si="5252"/>
        <v/>
      </c>
      <c r="EV376" s="71" t="str">
        <f t="shared" si="5253"/>
        <v/>
      </c>
      <c r="EW376" s="71" t="str">
        <f t="shared" si="5254"/>
        <v/>
      </c>
      <c r="EX376" s="71" t="str">
        <f t="shared" si="5255"/>
        <v/>
      </c>
      <c r="EY376" s="71" t="str">
        <f t="shared" si="5256"/>
        <v/>
      </c>
      <c r="EZ376" s="71" t="str">
        <f t="shared" si="5257"/>
        <v/>
      </c>
      <c r="FA376" s="71" t="str">
        <f t="shared" si="5258"/>
        <v/>
      </c>
      <c r="FB376" s="71" t="str">
        <f t="shared" si="5259"/>
        <v/>
      </c>
      <c r="FC376" s="71" t="str">
        <f t="shared" si="5260"/>
        <v/>
      </c>
      <c r="FD376" s="71" t="str">
        <f t="shared" si="5261"/>
        <v/>
      </c>
      <c r="FE376" s="71" t="str">
        <f t="shared" si="5262"/>
        <v/>
      </c>
      <c r="FF376" s="71" t="str">
        <f t="shared" si="5263"/>
        <v/>
      </c>
      <c r="FG376" s="71" t="str">
        <f t="shared" si="5264"/>
        <v/>
      </c>
      <c r="FH376" s="71" t="str">
        <f t="shared" si="5265"/>
        <v/>
      </c>
      <c r="FI376" s="71" t="str">
        <f t="shared" si="5266"/>
        <v/>
      </c>
      <c r="FJ376" s="71" t="str">
        <f t="shared" si="5267"/>
        <v/>
      </c>
      <c r="FK376" s="71" t="str">
        <f t="shared" si="5268"/>
        <v/>
      </c>
      <c r="FL376" s="71" t="str">
        <f t="shared" si="5269"/>
        <v/>
      </c>
      <c r="FM376" s="71" t="str">
        <f t="shared" si="5270"/>
        <v/>
      </c>
      <c r="FN376" s="71" t="str">
        <f t="shared" si="5271"/>
        <v/>
      </c>
      <c r="FO376" s="71" t="str">
        <f t="shared" si="5272"/>
        <v/>
      </c>
      <c r="FP376" s="71" t="str">
        <f t="shared" si="5273"/>
        <v/>
      </c>
      <c r="FQ376" s="71" t="str">
        <f t="shared" si="5274"/>
        <v/>
      </c>
      <c r="FR376" s="71" t="str">
        <f t="shared" si="5275"/>
        <v/>
      </c>
      <c r="FS376" s="71" t="str">
        <f t="shared" si="5276"/>
        <v/>
      </c>
    </row>
    <row r="377" ht="15" spans="1:175">
      <c r="A377" s="138"/>
      <c r="B377" s="81" t="s">
        <v>1098</v>
      </c>
      <c r="C377" s="144" t="s">
        <v>1087</v>
      </c>
      <c r="K377" s="147"/>
      <c r="T377" s="155" t="s">
        <v>1099</v>
      </c>
      <c r="U377" s="89" t="s">
        <v>1089</v>
      </c>
      <c r="CN377" s="69" t="str">
        <f t="shared" si="5201"/>
        <v>InitUnitState('IK7F',,,,,,,,,,)</v>
      </c>
      <c r="CO377" s="69" t="str">
        <f t="shared" si="5202"/>
        <v>InitUnitNormal('IK7F',,,,,,,,,,)</v>
      </c>
      <c r="CP377" s="69" t="str">
        <f t="shared" si="5203"/>
        <v>InitUnitMagic('IK7F',,,,,,,,,,)</v>
      </c>
      <c r="CQ377" s="69" t="str">
        <f t="shared" si="5204"/>
        <v>InitUnitAdd('IK7F',,,,,,,,,,)</v>
      </c>
      <c r="CR377" s="69" t="str">
        <f t="shared" si="5205"/>
        <v>InitEquipData('IK7F',,"",,,,,'','','','','','',"ReplaceableTextures\\CommandButtons\\BTNSST16.blp")</v>
      </c>
      <c r="CU377" s="99" t="str">
        <f t="shared" si="5206"/>
        <v>|n</v>
      </c>
      <c r="CV377" s="70" t="str">
        <f t="shared" si="5277"/>
        <v>护甲|Cffffc926+100|n|n|r|Cffaaaaaa○|CffFFD24D土之刻印+1|r|r|n|n|Cff00ff7f点击穿戴或脱卸。|r</v>
      </c>
      <c r="CW377" s="60"/>
      <c r="CX377" s="60"/>
      <c r="CY377" s="60"/>
      <c r="CZ377" s="60"/>
      <c r="DA377" s="60"/>
      <c r="DB377" s="71" t="str">
        <f t="shared" si="5207"/>
        <v/>
      </c>
      <c r="DC377" s="71" t="str">
        <f t="shared" si="5208"/>
        <v/>
      </c>
      <c r="DD377" s="71" t="str">
        <f t="shared" si="5209"/>
        <v/>
      </c>
      <c r="DE377" s="71" t="str">
        <f t="shared" si="5210"/>
        <v/>
      </c>
      <c r="DF377" s="71" t="str">
        <f t="shared" si="5211"/>
        <v/>
      </c>
      <c r="DG377" s="71" t="str">
        <f t="shared" si="5212"/>
        <v/>
      </c>
      <c r="DH377" s="71" t="str">
        <f t="shared" si="5213"/>
        <v/>
      </c>
      <c r="DI377" s="71" t="str">
        <f t="shared" si="5214"/>
        <v/>
      </c>
      <c r="DJ377" s="71" t="str">
        <f t="shared" si="5215"/>
        <v/>
      </c>
      <c r="DK377" s="71" t="str">
        <f t="shared" si="5216"/>
        <v/>
      </c>
      <c r="DL377" s="71" t="str">
        <f t="shared" si="5217"/>
        <v/>
      </c>
      <c r="DM377" s="71" t="str">
        <f t="shared" si="5218"/>
        <v/>
      </c>
      <c r="DN377" s="71" t="str">
        <f t="shared" si="5219"/>
        <v/>
      </c>
      <c r="DO377" s="71" t="str">
        <f t="shared" si="5220"/>
        <v/>
      </c>
      <c r="DP377" s="71" t="str">
        <f t="shared" si="5221"/>
        <v/>
      </c>
      <c r="DQ377" s="71" t="str">
        <f t="shared" si="5222"/>
        <v/>
      </c>
      <c r="DR377" s="71" t="str">
        <f t="shared" si="5223"/>
        <v/>
      </c>
      <c r="DS377" s="71" t="str">
        <f t="shared" si="5224"/>
        <v/>
      </c>
      <c r="DT377" s="71" t="str">
        <f t="shared" si="5225"/>
        <v/>
      </c>
      <c r="DU377" s="71" t="str">
        <f t="shared" si="5226"/>
        <v/>
      </c>
      <c r="DV377" s="71" t="str">
        <f t="shared" si="5227"/>
        <v/>
      </c>
      <c r="DW377" s="71" t="str">
        <f t="shared" si="5228"/>
        <v/>
      </c>
      <c r="DX377" s="71" t="str">
        <f t="shared" si="5229"/>
        <v/>
      </c>
      <c r="DY377" s="71" t="str">
        <f t="shared" si="5230"/>
        <v/>
      </c>
      <c r="DZ377" s="71" t="str">
        <f t="shared" si="5231"/>
        <v/>
      </c>
      <c r="EA377" s="71" t="str">
        <f t="shared" si="5232"/>
        <v/>
      </c>
      <c r="EB377" s="71" t="str">
        <f t="shared" si="5233"/>
        <v/>
      </c>
      <c r="EC377" s="71" t="str">
        <f t="shared" si="5234"/>
        <v/>
      </c>
      <c r="ED377" s="71" t="str">
        <f t="shared" si="5235"/>
        <v/>
      </c>
      <c r="EE377" s="71" t="str">
        <f t="shared" si="5236"/>
        <v/>
      </c>
      <c r="EF377" s="71" t="str">
        <f t="shared" si="5237"/>
        <v/>
      </c>
      <c r="EG377" s="71" t="str">
        <f t="shared" si="5238"/>
        <v/>
      </c>
      <c r="EH377" s="71" t="str">
        <f t="shared" si="5239"/>
        <v/>
      </c>
      <c r="EI377" s="71" t="str">
        <f t="shared" si="5240"/>
        <v/>
      </c>
      <c r="EJ377" s="71" t="str">
        <f t="shared" si="5241"/>
        <v/>
      </c>
      <c r="EK377" s="71" t="str">
        <f t="shared" si="5242"/>
        <v/>
      </c>
      <c r="EL377" s="71" t="str">
        <f t="shared" si="5243"/>
        <v/>
      </c>
      <c r="EM377" s="71" t="str">
        <f t="shared" si="5244"/>
        <v/>
      </c>
      <c r="EN377" s="71" t="str">
        <f t="shared" si="5245"/>
        <v/>
      </c>
      <c r="EO377" s="71" t="str">
        <f t="shared" si="5246"/>
        <v/>
      </c>
      <c r="EP377" s="71" t="str">
        <f t="shared" si="5247"/>
        <v/>
      </c>
      <c r="EQ377" s="71" t="str">
        <f t="shared" si="5248"/>
        <v/>
      </c>
      <c r="ER377" s="71" t="str">
        <f t="shared" si="5249"/>
        <v/>
      </c>
      <c r="ES377" s="71" t="str">
        <f t="shared" si="5250"/>
        <v/>
      </c>
      <c r="ET377" s="71" t="str">
        <f t="shared" si="5251"/>
        <v/>
      </c>
      <c r="EU377" s="71" t="str">
        <f t="shared" si="5252"/>
        <v/>
      </c>
      <c r="EV377" s="71" t="str">
        <f t="shared" si="5253"/>
        <v/>
      </c>
      <c r="EW377" s="71" t="str">
        <f t="shared" si="5254"/>
        <v/>
      </c>
      <c r="EX377" s="71" t="str">
        <f t="shared" si="5255"/>
        <v/>
      </c>
      <c r="EY377" s="71" t="str">
        <f t="shared" si="5256"/>
        <v/>
      </c>
      <c r="EZ377" s="71" t="str">
        <f t="shared" si="5257"/>
        <v/>
      </c>
      <c r="FA377" s="71" t="str">
        <f t="shared" si="5258"/>
        <v/>
      </c>
      <c r="FB377" s="71" t="str">
        <f t="shared" si="5259"/>
        <v/>
      </c>
      <c r="FC377" s="71" t="str">
        <f t="shared" si="5260"/>
        <v/>
      </c>
      <c r="FD377" s="71" t="str">
        <f t="shared" si="5261"/>
        <v/>
      </c>
      <c r="FE377" s="71" t="str">
        <f t="shared" si="5262"/>
        <v/>
      </c>
      <c r="FF377" s="71" t="str">
        <f t="shared" si="5263"/>
        <v/>
      </c>
      <c r="FG377" s="71" t="str">
        <f t="shared" si="5264"/>
        <v/>
      </c>
      <c r="FH377" s="71" t="str">
        <f t="shared" si="5265"/>
        <v/>
      </c>
      <c r="FI377" s="71" t="str">
        <f t="shared" si="5266"/>
        <v/>
      </c>
      <c r="FJ377" s="71" t="str">
        <f t="shared" si="5267"/>
        <v/>
      </c>
      <c r="FK377" s="71" t="str">
        <f t="shared" si="5268"/>
        <v/>
      </c>
      <c r="FL377" s="71" t="str">
        <f t="shared" si="5269"/>
        <v/>
      </c>
      <c r="FM377" s="71" t="str">
        <f t="shared" si="5270"/>
        <v/>
      </c>
      <c r="FN377" s="71" t="str">
        <f t="shared" si="5271"/>
        <v/>
      </c>
      <c r="FO377" s="71" t="str">
        <f t="shared" si="5272"/>
        <v/>
      </c>
      <c r="FP377" s="71" t="str">
        <f t="shared" si="5273"/>
        <v/>
      </c>
      <c r="FQ377" s="71" t="str">
        <f t="shared" si="5274"/>
        <v/>
      </c>
      <c r="FR377" s="71" t="str">
        <f t="shared" si="5275"/>
        <v/>
      </c>
      <c r="FS377" s="71" t="str">
        <f t="shared" si="5276"/>
        <v/>
      </c>
    </row>
    <row r="378" ht="15" spans="1:175">
      <c r="A378" s="138"/>
      <c r="B378" s="81" t="s">
        <v>1100</v>
      </c>
      <c r="C378" s="144" t="s">
        <v>1087</v>
      </c>
      <c r="K378" s="147"/>
      <c r="T378" s="155" t="s">
        <v>1101</v>
      </c>
      <c r="U378" s="89" t="s">
        <v>1089</v>
      </c>
      <c r="CN378" s="69" t="str">
        <f t="shared" si="5201"/>
        <v>InitUnitState('IK7G',,,,,,,,,,)</v>
      </c>
      <c r="CO378" s="69" t="str">
        <f t="shared" si="5202"/>
        <v>InitUnitNormal('IK7G',,,,,,,,,,)</v>
      </c>
      <c r="CP378" s="69" t="str">
        <f t="shared" si="5203"/>
        <v>InitUnitMagic('IK7G',,,,,,,,,,)</v>
      </c>
      <c r="CQ378" s="69" t="str">
        <f t="shared" si="5204"/>
        <v>InitUnitAdd('IK7G',,,,,,,,,,)</v>
      </c>
      <c r="CR378" s="69" t="str">
        <f t="shared" si="5205"/>
        <v>InitEquipData('IK7G',,"",,,,,'','','','','','',"ReplaceableTextures\\CommandButtons\\BTNSST16.blp")</v>
      </c>
      <c r="CU378" s="99" t="str">
        <f t="shared" si="5206"/>
        <v>|n</v>
      </c>
      <c r="CV378" s="70" t="str">
        <f t="shared" si="5277"/>
        <v>护甲|Cffffc926+100|n|n|r|Cffaaaaaa○|CffFFD24D雷之刻印+1|r|r|n|n|Cff00ff7f点击穿戴或脱卸。|r</v>
      </c>
      <c r="CW378" s="60"/>
      <c r="CX378" s="60"/>
      <c r="CY378" s="60"/>
      <c r="CZ378" s="60"/>
      <c r="DA378" s="60"/>
      <c r="DB378" s="71" t="str">
        <f t="shared" si="5207"/>
        <v/>
      </c>
      <c r="DC378" s="71" t="str">
        <f t="shared" si="5208"/>
        <v/>
      </c>
      <c r="DD378" s="71" t="str">
        <f t="shared" si="5209"/>
        <v/>
      </c>
      <c r="DE378" s="71" t="str">
        <f t="shared" si="5210"/>
        <v/>
      </c>
      <c r="DF378" s="71" t="str">
        <f t="shared" si="5211"/>
        <v/>
      </c>
      <c r="DG378" s="71" t="str">
        <f t="shared" si="5212"/>
        <v/>
      </c>
      <c r="DH378" s="71" t="str">
        <f t="shared" si="5213"/>
        <v/>
      </c>
      <c r="DI378" s="71" t="str">
        <f t="shared" si="5214"/>
        <v/>
      </c>
      <c r="DJ378" s="71" t="str">
        <f t="shared" si="5215"/>
        <v/>
      </c>
      <c r="DK378" s="71" t="str">
        <f t="shared" si="5216"/>
        <v/>
      </c>
      <c r="DL378" s="71" t="str">
        <f t="shared" si="5217"/>
        <v/>
      </c>
      <c r="DM378" s="71" t="str">
        <f t="shared" si="5218"/>
        <v/>
      </c>
      <c r="DN378" s="71" t="str">
        <f t="shared" si="5219"/>
        <v/>
      </c>
      <c r="DO378" s="71" t="str">
        <f t="shared" si="5220"/>
        <v/>
      </c>
      <c r="DP378" s="71" t="str">
        <f t="shared" si="5221"/>
        <v/>
      </c>
      <c r="DQ378" s="71" t="str">
        <f t="shared" si="5222"/>
        <v/>
      </c>
      <c r="DR378" s="71" t="str">
        <f t="shared" si="5223"/>
        <v/>
      </c>
      <c r="DS378" s="71" t="str">
        <f t="shared" si="5224"/>
        <v/>
      </c>
      <c r="DT378" s="71" t="str">
        <f t="shared" si="5225"/>
        <v/>
      </c>
      <c r="DU378" s="71" t="str">
        <f t="shared" si="5226"/>
        <v/>
      </c>
      <c r="DV378" s="71" t="str">
        <f t="shared" si="5227"/>
        <v/>
      </c>
      <c r="DW378" s="71" t="str">
        <f t="shared" si="5228"/>
        <v/>
      </c>
      <c r="DX378" s="71" t="str">
        <f t="shared" si="5229"/>
        <v/>
      </c>
      <c r="DY378" s="71" t="str">
        <f t="shared" si="5230"/>
        <v/>
      </c>
      <c r="DZ378" s="71" t="str">
        <f t="shared" si="5231"/>
        <v/>
      </c>
      <c r="EA378" s="71" t="str">
        <f t="shared" si="5232"/>
        <v/>
      </c>
      <c r="EB378" s="71" t="str">
        <f t="shared" si="5233"/>
        <v/>
      </c>
      <c r="EC378" s="71" t="str">
        <f t="shared" si="5234"/>
        <v/>
      </c>
      <c r="ED378" s="71" t="str">
        <f t="shared" si="5235"/>
        <v/>
      </c>
      <c r="EE378" s="71" t="str">
        <f t="shared" si="5236"/>
        <v/>
      </c>
      <c r="EF378" s="71" t="str">
        <f t="shared" si="5237"/>
        <v/>
      </c>
      <c r="EG378" s="71" t="str">
        <f t="shared" si="5238"/>
        <v/>
      </c>
      <c r="EH378" s="71" t="str">
        <f t="shared" si="5239"/>
        <v/>
      </c>
      <c r="EI378" s="71" t="str">
        <f t="shared" si="5240"/>
        <v/>
      </c>
      <c r="EJ378" s="71" t="str">
        <f t="shared" si="5241"/>
        <v/>
      </c>
      <c r="EK378" s="71" t="str">
        <f t="shared" si="5242"/>
        <v/>
      </c>
      <c r="EL378" s="71" t="str">
        <f t="shared" si="5243"/>
        <v/>
      </c>
      <c r="EM378" s="71" t="str">
        <f t="shared" si="5244"/>
        <v/>
      </c>
      <c r="EN378" s="71" t="str">
        <f t="shared" si="5245"/>
        <v/>
      </c>
      <c r="EO378" s="71" t="str">
        <f t="shared" si="5246"/>
        <v/>
      </c>
      <c r="EP378" s="71" t="str">
        <f t="shared" si="5247"/>
        <v/>
      </c>
      <c r="EQ378" s="71" t="str">
        <f t="shared" si="5248"/>
        <v/>
      </c>
      <c r="ER378" s="71" t="str">
        <f t="shared" si="5249"/>
        <v/>
      </c>
      <c r="ES378" s="71" t="str">
        <f t="shared" si="5250"/>
        <v/>
      </c>
      <c r="ET378" s="71" t="str">
        <f t="shared" si="5251"/>
        <v/>
      </c>
      <c r="EU378" s="71" t="str">
        <f t="shared" si="5252"/>
        <v/>
      </c>
      <c r="EV378" s="71" t="str">
        <f t="shared" si="5253"/>
        <v/>
      </c>
      <c r="EW378" s="71" t="str">
        <f t="shared" si="5254"/>
        <v/>
      </c>
      <c r="EX378" s="71" t="str">
        <f t="shared" si="5255"/>
        <v/>
      </c>
      <c r="EY378" s="71" t="str">
        <f t="shared" si="5256"/>
        <v/>
      </c>
      <c r="EZ378" s="71" t="str">
        <f t="shared" si="5257"/>
        <v/>
      </c>
      <c r="FA378" s="71" t="str">
        <f t="shared" si="5258"/>
        <v/>
      </c>
      <c r="FB378" s="71" t="str">
        <f t="shared" si="5259"/>
        <v/>
      </c>
      <c r="FC378" s="71" t="str">
        <f t="shared" si="5260"/>
        <v/>
      </c>
      <c r="FD378" s="71" t="str">
        <f t="shared" si="5261"/>
        <v/>
      </c>
      <c r="FE378" s="71" t="str">
        <f t="shared" si="5262"/>
        <v/>
      </c>
      <c r="FF378" s="71" t="str">
        <f t="shared" si="5263"/>
        <v/>
      </c>
      <c r="FG378" s="71" t="str">
        <f t="shared" si="5264"/>
        <v/>
      </c>
      <c r="FH378" s="71" t="str">
        <f t="shared" si="5265"/>
        <v/>
      </c>
      <c r="FI378" s="71" t="str">
        <f t="shared" si="5266"/>
        <v/>
      </c>
      <c r="FJ378" s="71" t="str">
        <f t="shared" si="5267"/>
        <v/>
      </c>
      <c r="FK378" s="71" t="str">
        <f t="shared" si="5268"/>
        <v/>
      </c>
      <c r="FL378" s="71" t="str">
        <f t="shared" si="5269"/>
        <v/>
      </c>
      <c r="FM378" s="71" t="str">
        <f t="shared" si="5270"/>
        <v/>
      </c>
      <c r="FN378" s="71" t="str">
        <f t="shared" si="5271"/>
        <v/>
      </c>
      <c r="FO378" s="71" t="str">
        <f t="shared" si="5272"/>
        <v/>
      </c>
      <c r="FP378" s="71" t="str">
        <f t="shared" si="5273"/>
        <v/>
      </c>
      <c r="FQ378" s="71" t="str">
        <f t="shared" si="5274"/>
        <v/>
      </c>
      <c r="FR378" s="71" t="str">
        <f t="shared" si="5275"/>
        <v/>
      </c>
      <c r="FS378" s="71" t="str">
        <f t="shared" si="5276"/>
        <v/>
      </c>
    </row>
    <row r="379" ht="15" spans="1:175">
      <c r="A379" s="138"/>
      <c r="B379" s="81" t="s">
        <v>1102</v>
      </c>
      <c r="C379" s="144" t="s">
        <v>1087</v>
      </c>
      <c r="K379" s="147"/>
      <c r="T379" s="155" t="s">
        <v>1103</v>
      </c>
      <c r="U379" s="89" t="s">
        <v>1089</v>
      </c>
      <c r="CN379" s="69" t="str">
        <f t="shared" si="5201"/>
        <v>InitUnitState('IK7H',,,,,,,,,,)</v>
      </c>
      <c r="CO379" s="69" t="str">
        <f t="shared" si="5202"/>
        <v>InitUnitNormal('IK7H',,,,,,,,,,)</v>
      </c>
      <c r="CP379" s="69" t="str">
        <f t="shared" si="5203"/>
        <v>InitUnitMagic('IK7H',,,,,,,,,,)</v>
      </c>
      <c r="CQ379" s="69" t="str">
        <f t="shared" si="5204"/>
        <v>InitUnitAdd('IK7H',,,,,,,,,,)</v>
      </c>
      <c r="CR379" s="69" t="str">
        <f t="shared" si="5205"/>
        <v>InitEquipData('IK7H',,"",,,,,'','','','','','',"ReplaceableTextures\\CommandButtons\\BTNSST16.blp")</v>
      </c>
      <c r="CU379" s="99" t="str">
        <f t="shared" si="5206"/>
        <v>|n</v>
      </c>
      <c r="CV379" s="70" t="str">
        <f t="shared" si="5277"/>
        <v>护甲|Cffffc926+100|n|n|r|Cffaaaaaa○|CffFFD24D光之刻印+1|r|r|n|n|Cff00ff7f点击穿戴或脱卸。|r</v>
      </c>
      <c r="CW379" s="60"/>
      <c r="CX379" s="60"/>
      <c r="CY379" s="60"/>
      <c r="CZ379" s="60"/>
      <c r="DA379" s="60"/>
      <c r="DB379" s="71" t="str">
        <f t="shared" si="5207"/>
        <v/>
      </c>
      <c r="DC379" s="71" t="str">
        <f t="shared" si="5208"/>
        <v/>
      </c>
      <c r="DD379" s="71" t="str">
        <f t="shared" si="5209"/>
        <v/>
      </c>
      <c r="DE379" s="71" t="str">
        <f t="shared" si="5210"/>
        <v/>
      </c>
      <c r="DF379" s="71" t="str">
        <f t="shared" si="5211"/>
        <v/>
      </c>
      <c r="DG379" s="71" t="str">
        <f t="shared" si="5212"/>
        <v/>
      </c>
      <c r="DH379" s="71" t="str">
        <f t="shared" si="5213"/>
        <v/>
      </c>
      <c r="DI379" s="71" t="str">
        <f t="shared" si="5214"/>
        <v/>
      </c>
      <c r="DJ379" s="71" t="str">
        <f t="shared" si="5215"/>
        <v/>
      </c>
      <c r="DK379" s="71" t="str">
        <f t="shared" si="5216"/>
        <v/>
      </c>
      <c r="DL379" s="71" t="str">
        <f t="shared" si="5217"/>
        <v/>
      </c>
      <c r="DM379" s="71" t="str">
        <f t="shared" si="5218"/>
        <v/>
      </c>
      <c r="DN379" s="71" t="str">
        <f t="shared" si="5219"/>
        <v/>
      </c>
      <c r="DO379" s="71" t="str">
        <f t="shared" si="5220"/>
        <v/>
      </c>
      <c r="DP379" s="71" t="str">
        <f t="shared" si="5221"/>
        <v/>
      </c>
      <c r="DQ379" s="71" t="str">
        <f t="shared" si="5222"/>
        <v/>
      </c>
      <c r="DR379" s="71" t="str">
        <f t="shared" si="5223"/>
        <v/>
      </c>
      <c r="DS379" s="71" t="str">
        <f t="shared" si="5224"/>
        <v/>
      </c>
      <c r="DT379" s="71" t="str">
        <f t="shared" si="5225"/>
        <v/>
      </c>
      <c r="DU379" s="71" t="str">
        <f t="shared" si="5226"/>
        <v/>
      </c>
      <c r="DV379" s="71" t="str">
        <f t="shared" si="5227"/>
        <v/>
      </c>
      <c r="DW379" s="71" t="str">
        <f t="shared" si="5228"/>
        <v/>
      </c>
      <c r="DX379" s="71" t="str">
        <f t="shared" si="5229"/>
        <v/>
      </c>
      <c r="DY379" s="71" t="str">
        <f t="shared" si="5230"/>
        <v/>
      </c>
      <c r="DZ379" s="71" t="str">
        <f t="shared" si="5231"/>
        <v/>
      </c>
      <c r="EA379" s="71" t="str">
        <f t="shared" si="5232"/>
        <v/>
      </c>
      <c r="EB379" s="71" t="str">
        <f t="shared" si="5233"/>
        <v/>
      </c>
      <c r="EC379" s="71" t="str">
        <f t="shared" si="5234"/>
        <v/>
      </c>
      <c r="ED379" s="71" t="str">
        <f t="shared" si="5235"/>
        <v/>
      </c>
      <c r="EE379" s="71" t="str">
        <f t="shared" si="5236"/>
        <v/>
      </c>
      <c r="EF379" s="71" t="str">
        <f t="shared" si="5237"/>
        <v/>
      </c>
      <c r="EG379" s="71" t="str">
        <f t="shared" si="5238"/>
        <v/>
      </c>
      <c r="EH379" s="71" t="str">
        <f t="shared" si="5239"/>
        <v/>
      </c>
      <c r="EI379" s="71" t="str">
        <f t="shared" si="5240"/>
        <v/>
      </c>
      <c r="EJ379" s="71" t="str">
        <f t="shared" si="5241"/>
        <v/>
      </c>
      <c r="EK379" s="71" t="str">
        <f t="shared" si="5242"/>
        <v/>
      </c>
      <c r="EL379" s="71" t="str">
        <f t="shared" si="5243"/>
        <v/>
      </c>
      <c r="EM379" s="71" t="str">
        <f t="shared" si="5244"/>
        <v/>
      </c>
      <c r="EN379" s="71" t="str">
        <f t="shared" si="5245"/>
        <v/>
      </c>
      <c r="EO379" s="71" t="str">
        <f t="shared" si="5246"/>
        <v/>
      </c>
      <c r="EP379" s="71" t="str">
        <f t="shared" si="5247"/>
        <v/>
      </c>
      <c r="EQ379" s="71" t="str">
        <f t="shared" si="5248"/>
        <v/>
      </c>
      <c r="ER379" s="71" t="str">
        <f t="shared" si="5249"/>
        <v/>
      </c>
      <c r="ES379" s="71" t="str">
        <f t="shared" si="5250"/>
        <v/>
      </c>
      <c r="ET379" s="71" t="str">
        <f t="shared" si="5251"/>
        <v/>
      </c>
      <c r="EU379" s="71" t="str">
        <f t="shared" si="5252"/>
        <v/>
      </c>
      <c r="EV379" s="71" t="str">
        <f t="shared" si="5253"/>
        <v/>
      </c>
      <c r="EW379" s="71" t="str">
        <f t="shared" si="5254"/>
        <v/>
      </c>
      <c r="EX379" s="71" t="str">
        <f t="shared" si="5255"/>
        <v/>
      </c>
      <c r="EY379" s="71" t="str">
        <f t="shared" si="5256"/>
        <v/>
      </c>
      <c r="EZ379" s="71" t="str">
        <f t="shared" si="5257"/>
        <v/>
      </c>
      <c r="FA379" s="71" t="str">
        <f t="shared" si="5258"/>
        <v/>
      </c>
      <c r="FB379" s="71" t="str">
        <f t="shared" si="5259"/>
        <v/>
      </c>
      <c r="FC379" s="71" t="str">
        <f t="shared" si="5260"/>
        <v/>
      </c>
      <c r="FD379" s="71" t="str">
        <f t="shared" si="5261"/>
        <v/>
      </c>
      <c r="FE379" s="71" t="str">
        <f t="shared" si="5262"/>
        <v/>
      </c>
      <c r="FF379" s="71" t="str">
        <f t="shared" si="5263"/>
        <v/>
      </c>
      <c r="FG379" s="71" t="str">
        <f t="shared" si="5264"/>
        <v/>
      </c>
      <c r="FH379" s="71" t="str">
        <f t="shared" si="5265"/>
        <v/>
      </c>
      <c r="FI379" s="71" t="str">
        <f t="shared" si="5266"/>
        <v/>
      </c>
      <c r="FJ379" s="71" t="str">
        <f t="shared" si="5267"/>
        <v/>
      </c>
      <c r="FK379" s="71" t="str">
        <f t="shared" si="5268"/>
        <v/>
      </c>
      <c r="FL379" s="71" t="str">
        <f t="shared" si="5269"/>
        <v/>
      </c>
      <c r="FM379" s="71" t="str">
        <f t="shared" si="5270"/>
        <v/>
      </c>
      <c r="FN379" s="71" t="str">
        <f t="shared" si="5271"/>
        <v/>
      </c>
      <c r="FO379" s="71" t="str">
        <f t="shared" si="5272"/>
        <v/>
      </c>
      <c r="FP379" s="71" t="str">
        <f t="shared" si="5273"/>
        <v/>
      </c>
      <c r="FQ379" s="71" t="str">
        <f t="shared" si="5274"/>
        <v/>
      </c>
      <c r="FR379" s="71" t="str">
        <f t="shared" si="5275"/>
        <v/>
      </c>
      <c r="FS379" s="71" t="str">
        <f t="shared" si="5276"/>
        <v/>
      </c>
    </row>
    <row r="380" ht="15" spans="1:175">
      <c r="A380" s="138"/>
      <c r="B380" s="81" t="s">
        <v>1104</v>
      </c>
      <c r="C380" s="144" t="s">
        <v>1087</v>
      </c>
      <c r="K380" s="157"/>
      <c r="T380" s="155" t="s">
        <v>1105</v>
      </c>
      <c r="U380" s="89" t="s">
        <v>1089</v>
      </c>
      <c r="CN380" s="69" t="str">
        <f t="shared" si="5201"/>
        <v>InitUnitState('IK7I',,,,,,,,,,)</v>
      </c>
      <c r="CO380" s="69" t="str">
        <f t="shared" si="5202"/>
        <v>InitUnitNormal('IK7I',,,,,,,,,,)</v>
      </c>
      <c r="CP380" s="69" t="str">
        <f t="shared" si="5203"/>
        <v>InitUnitMagic('IK7I',,,,,,,,,,)</v>
      </c>
      <c r="CQ380" s="69" t="str">
        <f t="shared" si="5204"/>
        <v>InitUnitAdd('IK7I',,,,,,,,,,)</v>
      </c>
      <c r="CR380" s="69" t="str">
        <f t="shared" si="5205"/>
        <v>InitEquipData('IK7I',,"",,,,,'','','','','','',"ReplaceableTextures\\CommandButtons\\BTNSST16.blp")</v>
      </c>
      <c r="CU380" s="99" t="str">
        <f t="shared" si="5206"/>
        <v>|n</v>
      </c>
      <c r="CV380" s="70" t="str">
        <f t="shared" si="5277"/>
        <v>护甲|Cffffc926+100|n|n|r|Cffaaaaaa○|CffFFD24D暗之刻印+1|r|r|n|n|Cff00ff7f点击穿戴或脱卸。|r</v>
      </c>
      <c r="CW380" s="60"/>
      <c r="CX380" s="60"/>
      <c r="CY380" s="60"/>
      <c r="CZ380" s="60"/>
      <c r="DA380" s="60"/>
      <c r="DB380" s="71" t="str">
        <f t="shared" si="5207"/>
        <v/>
      </c>
      <c r="DC380" s="71" t="str">
        <f t="shared" si="5208"/>
        <v/>
      </c>
      <c r="DD380" s="71" t="str">
        <f t="shared" si="5209"/>
        <v/>
      </c>
      <c r="DE380" s="71" t="str">
        <f t="shared" si="5210"/>
        <v/>
      </c>
      <c r="DF380" s="71" t="str">
        <f t="shared" si="5211"/>
        <v/>
      </c>
      <c r="DG380" s="71" t="str">
        <f t="shared" si="5212"/>
        <v/>
      </c>
      <c r="DH380" s="71" t="str">
        <f t="shared" si="5213"/>
        <v/>
      </c>
      <c r="DI380" s="71" t="str">
        <f t="shared" si="5214"/>
        <v/>
      </c>
      <c r="DJ380" s="71" t="str">
        <f t="shared" si="5215"/>
        <v/>
      </c>
      <c r="DK380" s="71" t="str">
        <f t="shared" si="5216"/>
        <v/>
      </c>
      <c r="DL380" s="71" t="str">
        <f t="shared" si="5217"/>
        <v/>
      </c>
      <c r="DM380" s="71" t="str">
        <f t="shared" si="5218"/>
        <v/>
      </c>
      <c r="DN380" s="71" t="str">
        <f t="shared" si="5219"/>
        <v/>
      </c>
      <c r="DO380" s="71" t="str">
        <f t="shared" si="5220"/>
        <v/>
      </c>
      <c r="DP380" s="71" t="str">
        <f t="shared" si="5221"/>
        <v/>
      </c>
      <c r="DQ380" s="71" t="str">
        <f t="shared" si="5222"/>
        <v/>
      </c>
      <c r="DR380" s="71" t="str">
        <f t="shared" si="5223"/>
        <v/>
      </c>
      <c r="DS380" s="71" t="str">
        <f t="shared" si="5224"/>
        <v/>
      </c>
      <c r="DT380" s="71" t="str">
        <f t="shared" si="5225"/>
        <v/>
      </c>
      <c r="DU380" s="71" t="str">
        <f t="shared" si="5226"/>
        <v/>
      </c>
      <c r="DV380" s="71" t="str">
        <f t="shared" si="5227"/>
        <v/>
      </c>
      <c r="DW380" s="71" t="str">
        <f t="shared" si="5228"/>
        <v/>
      </c>
      <c r="DX380" s="71" t="str">
        <f t="shared" si="5229"/>
        <v/>
      </c>
      <c r="DY380" s="71" t="str">
        <f t="shared" si="5230"/>
        <v/>
      </c>
      <c r="DZ380" s="71" t="str">
        <f t="shared" si="5231"/>
        <v/>
      </c>
      <c r="EA380" s="71" t="str">
        <f t="shared" si="5232"/>
        <v/>
      </c>
      <c r="EB380" s="71" t="str">
        <f t="shared" si="5233"/>
        <v/>
      </c>
      <c r="EC380" s="71" t="str">
        <f t="shared" si="5234"/>
        <v/>
      </c>
      <c r="ED380" s="71" t="str">
        <f t="shared" si="5235"/>
        <v/>
      </c>
      <c r="EE380" s="71" t="str">
        <f t="shared" si="5236"/>
        <v/>
      </c>
      <c r="EF380" s="71" t="str">
        <f t="shared" si="5237"/>
        <v/>
      </c>
      <c r="EG380" s="71" t="str">
        <f t="shared" si="5238"/>
        <v/>
      </c>
      <c r="EH380" s="71" t="str">
        <f t="shared" si="5239"/>
        <v/>
      </c>
      <c r="EI380" s="71" t="str">
        <f t="shared" si="5240"/>
        <v/>
      </c>
      <c r="EJ380" s="71" t="str">
        <f t="shared" si="5241"/>
        <v/>
      </c>
      <c r="EK380" s="71" t="str">
        <f t="shared" si="5242"/>
        <v/>
      </c>
      <c r="EL380" s="71" t="str">
        <f t="shared" si="5243"/>
        <v/>
      </c>
      <c r="EM380" s="71" t="str">
        <f t="shared" si="5244"/>
        <v/>
      </c>
      <c r="EN380" s="71" t="str">
        <f t="shared" si="5245"/>
        <v/>
      </c>
      <c r="EO380" s="71" t="str">
        <f t="shared" si="5246"/>
        <v/>
      </c>
      <c r="EP380" s="71" t="str">
        <f t="shared" si="5247"/>
        <v/>
      </c>
      <c r="EQ380" s="71" t="str">
        <f t="shared" si="5248"/>
        <v/>
      </c>
      <c r="ER380" s="71" t="str">
        <f t="shared" si="5249"/>
        <v/>
      </c>
      <c r="ES380" s="71" t="str">
        <f t="shared" si="5250"/>
        <v/>
      </c>
      <c r="ET380" s="71" t="str">
        <f t="shared" si="5251"/>
        <v/>
      </c>
      <c r="EU380" s="71" t="str">
        <f t="shared" si="5252"/>
        <v/>
      </c>
      <c r="EV380" s="71" t="str">
        <f t="shared" si="5253"/>
        <v/>
      </c>
      <c r="EW380" s="71" t="str">
        <f t="shared" si="5254"/>
        <v/>
      </c>
      <c r="EX380" s="71" t="str">
        <f t="shared" si="5255"/>
        <v/>
      </c>
      <c r="EY380" s="71" t="str">
        <f t="shared" si="5256"/>
        <v/>
      </c>
      <c r="EZ380" s="71" t="str">
        <f t="shared" si="5257"/>
        <v/>
      </c>
      <c r="FA380" s="71" t="str">
        <f t="shared" si="5258"/>
        <v/>
      </c>
      <c r="FB380" s="71" t="str">
        <f t="shared" si="5259"/>
        <v/>
      </c>
      <c r="FC380" s="71" t="str">
        <f t="shared" si="5260"/>
        <v/>
      </c>
      <c r="FD380" s="71" t="str">
        <f t="shared" si="5261"/>
        <v/>
      </c>
      <c r="FE380" s="71" t="str">
        <f t="shared" si="5262"/>
        <v/>
      </c>
      <c r="FF380" s="71" t="str">
        <f t="shared" si="5263"/>
        <v/>
      </c>
      <c r="FG380" s="71" t="str">
        <f t="shared" si="5264"/>
        <v/>
      </c>
      <c r="FH380" s="71" t="str">
        <f t="shared" si="5265"/>
        <v/>
      </c>
      <c r="FI380" s="71" t="str">
        <f t="shared" si="5266"/>
        <v/>
      </c>
      <c r="FJ380" s="71" t="str">
        <f t="shared" si="5267"/>
        <v/>
      </c>
      <c r="FK380" s="71" t="str">
        <f t="shared" si="5268"/>
        <v/>
      </c>
      <c r="FL380" s="71" t="str">
        <f t="shared" si="5269"/>
        <v/>
      </c>
      <c r="FM380" s="71" t="str">
        <f t="shared" si="5270"/>
        <v/>
      </c>
      <c r="FN380" s="71" t="str">
        <f t="shared" si="5271"/>
        <v/>
      </c>
      <c r="FO380" s="71" t="str">
        <f t="shared" si="5272"/>
        <v/>
      </c>
      <c r="FP380" s="71" t="str">
        <f t="shared" si="5273"/>
        <v/>
      </c>
      <c r="FQ380" s="71" t="str">
        <f t="shared" si="5274"/>
        <v/>
      </c>
      <c r="FR380" s="71" t="str">
        <f t="shared" si="5275"/>
        <v/>
      </c>
      <c r="FS380" s="71" t="str">
        <f t="shared" si="5276"/>
        <v/>
      </c>
    </row>
    <row r="381" ht="15" spans="1:175">
      <c r="A381" s="138"/>
      <c r="B381" s="81" t="s">
        <v>1106</v>
      </c>
      <c r="C381" s="156" t="s">
        <v>1107</v>
      </c>
      <c r="T381" s="155" t="s">
        <v>1108</v>
      </c>
      <c r="U381" s="89" t="s">
        <v>1109</v>
      </c>
      <c r="CN381" s="69" t="str">
        <f t="shared" si="4670"/>
        <v>InitUnitState('IK8A',,,,,,,,,,)</v>
      </c>
      <c r="CO381" s="69" t="str">
        <f t="shared" si="4671"/>
        <v>InitUnitNormal('IK8A',,,,,,,,,,)</v>
      </c>
      <c r="CP381" s="69" t="str">
        <f t="shared" si="4672"/>
        <v>InitUnitMagic('IK8A',,,,,,,,,,)</v>
      </c>
      <c r="CQ381" s="69" t="str">
        <f t="shared" si="4673"/>
        <v>InitUnitAdd('IK8A',,,,,,,,,,)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InitEquipData('IK8A',,"",,,,,'','','','','','',"ReplaceableTextures\\CommandButtons\\BTNUI_Fuin_01.blp")</v>
      </c>
      <c r="CU381" s="99" t="str">
        <f t="shared" si="4674"/>
        <v>|n</v>
      </c>
      <c r="CV381" s="70" t="str">
        <f t="shared" si="5277"/>
        <v>业力|Cffffc926+50000|r，业力|Cffffc926+12%|n|n|r|Cffaaaaaa○刻印槽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4675"/>
        <v/>
      </c>
      <c r="DC381" s="71" t="str">
        <f t="shared" si="4676"/>
        <v/>
      </c>
      <c r="DD381" s="71" t="str">
        <f t="shared" si="4677"/>
        <v/>
      </c>
      <c r="DE381" s="71" t="str">
        <f t="shared" si="4678"/>
        <v/>
      </c>
      <c r="DF381" s="71" t="str">
        <f t="shared" si="4679"/>
        <v/>
      </c>
      <c r="DG381" s="71" t="str">
        <f t="shared" si="4680"/>
        <v/>
      </c>
      <c r="DH381" s="71" t="str">
        <f t="shared" si="4681"/>
        <v/>
      </c>
      <c r="DI381" s="71" t="str">
        <f t="shared" si="4682"/>
        <v/>
      </c>
      <c r="DJ381" s="71" t="str">
        <f t="shared" si="4683"/>
        <v/>
      </c>
      <c r="DK381" s="71" t="str">
        <f t="shared" si="4684"/>
        <v/>
      </c>
      <c r="DL381" s="71" t="str">
        <f t="shared" si="4685"/>
        <v/>
      </c>
      <c r="DM381" s="71" t="str">
        <f t="shared" si="4686"/>
        <v/>
      </c>
      <c r="DN381" s="71" t="str">
        <f t="shared" si="4687"/>
        <v/>
      </c>
      <c r="DO381" s="71" t="str">
        <f t="shared" si="4688"/>
        <v/>
      </c>
      <c r="DP381" s="71" t="str">
        <f t="shared" si="4689"/>
        <v/>
      </c>
      <c r="DQ381" s="71" t="str">
        <f t="shared" si="4690"/>
        <v/>
      </c>
      <c r="DR381" s="71" t="str">
        <f t="shared" si="4691"/>
        <v/>
      </c>
      <c r="DS381" s="71" t="str">
        <f t="shared" si="4692"/>
        <v/>
      </c>
      <c r="DT381" s="71" t="str">
        <f t="shared" si="4693"/>
        <v/>
      </c>
      <c r="DU381" s="71" t="str">
        <f t="shared" si="4694"/>
        <v/>
      </c>
      <c r="DV381" s="71" t="str">
        <f t="shared" si="4695"/>
        <v/>
      </c>
      <c r="DW381" s="71" t="str">
        <f t="shared" si="4696"/>
        <v/>
      </c>
      <c r="DX381" s="71" t="str">
        <f t="shared" si="4697"/>
        <v/>
      </c>
      <c r="DY381" s="71" t="str">
        <f t="shared" si="4698"/>
        <v/>
      </c>
      <c r="DZ381" s="71" t="str">
        <f t="shared" si="4699"/>
        <v/>
      </c>
      <c r="EA381" s="71" t="str">
        <f t="shared" si="4700"/>
        <v/>
      </c>
      <c r="EB381" s="71" t="str">
        <f t="shared" si="4701"/>
        <v/>
      </c>
      <c r="EC381" s="71" t="str">
        <f t="shared" si="4702"/>
        <v/>
      </c>
      <c r="ED381" s="71" t="str">
        <f t="shared" si="4703"/>
        <v/>
      </c>
      <c r="EE381" s="71" t="str">
        <f t="shared" si="4704"/>
        <v/>
      </c>
      <c r="EF381" s="71" t="str">
        <f t="shared" si="4705"/>
        <v/>
      </c>
      <c r="EG381" s="71" t="str">
        <f t="shared" si="4706"/>
        <v/>
      </c>
      <c r="EH381" s="71" t="str">
        <f t="shared" si="4707"/>
        <v/>
      </c>
      <c r="EI381" s="71" t="str">
        <f t="shared" si="4708"/>
        <v/>
      </c>
      <c r="EJ381" s="71" t="str">
        <f t="shared" si="4709"/>
        <v/>
      </c>
      <c r="EK381" s="71" t="str">
        <f t="shared" si="4710"/>
        <v/>
      </c>
      <c r="EL381" s="71" t="str">
        <f t="shared" si="4711"/>
        <v/>
      </c>
      <c r="EM381" s="71" t="str">
        <f t="shared" si="4712"/>
        <v/>
      </c>
      <c r="EN381" s="71" t="str">
        <f t="shared" si="4713"/>
        <v/>
      </c>
      <c r="EO381" s="71" t="str">
        <f t="shared" si="4714"/>
        <v/>
      </c>
      <c r="EP381" s="71" t="str">
        <f t="shared" si="4715"/>
        <v/>
      </c>
      <c r="EQ381" s="71" t="str">
        <f t="shared" si="4716"/>
        <v/>
      </c>
      <c r="ER381" s="71" t="str">
        <f t="shared" si="4717"/>
        <v/>
      </c>
      <c r="ES381" s="71" t="str">
        <f t="shared" si="4718"/>
        <v/>
      </c>
      <c r="ET381" s="71" t="str">
        <f t="shared" si="4719"/>
        <v/>
      </c>
      <c r="EU381" s="71" t="str">
        <f t="shared" si="4720"/>
        <v/>
      </c>
      <c r="EV381" s="71" t="str">
        <f t="shared" si="4721"/>
        <v/>
      </c>
      <c r="EW381" s="71" t="str">
        <f t="shared" si="4722"/>
        <v/>
      </c>
      <c r="EX381" s="71" t="str">
        <f t="shared" si="4723"/>
        <v/>
      </c>
      <c r="EY381" s="71" t="str">
        <f t="shared" si="4724"/>
        <v/>
      </c>
      <c r="EZ381" s="71" t="str">
        <f t="shared" si="4725"/>
        <v/>
      </c>
      <c r="FA381" s="71" t="str">
        <f t="shared" si="4726"/>
        <v/>
      </c>
      <c r="FB381" s="71" t="str">
        <f t="shared" si="4727"/>
        <v/>
      </c>
      <c r="FC381" s="71" t="str">
        <f t="shared" si="4728"/>
        <v/>
      </c>
      <c r="FD381" s="71" t="str">
        <f t="shared" si="4729"/>
        <v/>
      </c>
      <c r="FE381" s="71" t="str">
        <f t="shared" si="4730"/>
        <v/>
      </c>
      <c r="FF381" s="71" t="str">
        <f t="shared" si="4731"/>
        <v/>
      </c>
      <c r="FG381" s="71" t="str">
        <f t="shared" si="4732"/>
        <v/>
      </c>
      <c r="FH381" s="71" t="str">
        <f t="shared" si="4733"/>
        <v/>
      </c>
      <c r="FI381" s="71" t="str">
        <f t="shared" si="4734"/>
        <v/>
      </c>
      <c r="FJ381" s="71" t="str">
        <f t="shared" si="4735"/>
        <v/>
      </c>
      <c r="FK381" s="71" t="str">
        <f t="shared" si="4736"/>
        <v/>
      </c>
      <c r="FL381" s="71" t="str">
        <f t="shared" si="4737"/>
        <v/>
      </c>
      <c r="FM381" s="71" t="str">
        <f t="shared" si="4738"/>
        <v/>
      </c>
      <c r="FN381" s="71" t="str">
        <f t="shared" si="4739"/>
        <v/>
      </c>
      <c r="FO381" s="71" t="str">
        <f t="shared" si="4740"/>
        <v/>
      </c>
      <c r="FP381" s="71" t="str">
        <f t="shared" si="4741"/>
        <v/>
      </c>
      <c r="FQ381" s="71" t="str">
        <f t="shared" si="4742"/>
        <v/>
      </c>
      <c r="FR381" s="71" t="str">
        <f t="shared" si="4743"/>
        <v/>
      </c>
      <c r="FS381" s="71" t="str">
        <f t="shared" si="4744"/>
        <v/>
      </c>
    </row>
    <row r="382" ht="15" spans="1:175">
      <c r="A382" s="138"/>
      <c r="B382" s="81" t="s">
        <v>1110</v>
      </c>
      <c r="C382" s="156" t="s">
        <v>1107</v>
      </c>
      <c r="K382" s="146"/>
      <c r="T382" s="155" t="s">
        <v>1111</v>
      </c>
      <c r="U382" s="89" t="s">
        <v>1109</v>
      </c>
      <c r="CN382" s="69" t="str">
        <f t="shared" ref="CN382:CN389" si="5278">"InitUnitState('"&amp;B382&amp;"',"&amp;V382&amp;","&amp;W382&amp;","&amp;X382&amp;","&amp;Y382&amp;","&amp;Z382&amp;","&amp;AA382&amp;","&amp;AB382&amp;","&amp;AC382&amp;","&amp;AD382&amp;","&amp;AE382&amp;")"</f>
        <v>InitUnitState('IK8B',,,,,,,,,,)</v>
      </c>
      <c r="CO382" s="69" t="str">
        <f t="shared" ref="CO382:CO389" si="5279">"InitUnitNormal('"&amp;B382&amp;"',"&amp;AF382&amp;","&amp;AG382&amp;","&amp;AH382&amp;","&amp;AI382&amp;","&amp;AJ382&amp;","&amp;AK382&amp;","&amp;AL382&amp;","&amp;AM382&amp;","&amp;AN382&amp;","&amp;AO382&amp;")"</f>
        <v>InitUnitNormal('IK8B',,,,,,,,,,)</v>
      </c>
      <c r="CP382" s="69" t="str">
        <f t="shared" ref="CP382:CP389" si="5280">"InitUnitMagic('"&amp;B382&amp;"',"&amp;AP382&amp;","&amp;AQ382&amp;","&amp;AR382&amp;","&amp;AS382&amp;","&amp;AT382&amp;","&amp;AU382&amp;","&amp;AV382&amp;","&amp;AW382&amp;","&amp;BI382&amp;","&amp;BJ382&amp;")"</f>
        <v>InitUnitMagic('IK8B',,,,,,,,,,)</v>
      </c>
      <c r="CQ382" s="69" t="str">
        <f t="shared" ref="CQ382:CQ389" si="5281">"InitUnitAdd('"&amp;B382&amp;"',"&amp;BK382&amp;","&amp;BL382&amp;","&amp;BM382&amp;","&amp;BN382&amp;","&amp;BO382&amp;","&amp;BP382&amp;","&amp;BQ382&amp;","&amp;BR382&amp;","&amp;BS382&amp;","&amp;BT382&amp;")"</f>
        <v>InitUnitAdd('IK8B',,,,,,,,,,)</v>
      </c>
      <c r="CR382" s="69" t="str">
        <f t="shared" ref="CR382:CR389" si="528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InitEquipData('IK8B',,"",,,,,'','','','','','',"ReplaceableTextures\\CommandButtons\\BTNUI_Fuin_02.blp")</v>
      </c>
      <c r="CU382" s="99" t="str">
        <f t="shared" ref="CU382:CU389" si="528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277"/>
        <v>业力|Cffffc926+50000|r，业力|Cffffc926+12%|n|n|r|Cffaaaaaa○|CffFFD24D金之刻印+1|r|r|n|n|Cff00ff7f点击穿戴或脱卸。|r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284">IF(V382="","","|n"&amp;DB$2&amp;"+"&amp;V382&amp;DB$1)</f>
        <v/>
      </c>
      <c r="DC382" s="71" t="str">
        <f t="shared" ref="DC382:DC389" si="5285">IF(W382="","","|n"&amp;DC$2&amp;"+"&amp;W382&amp;DC$1)</f>
        <v/>
      </c>
      <c r="DD382" s="71" t="str">
        <f t="shared" ref="DD382:DD389" si="5286">IF(X382="","","|n"&amp;DD$2&amp;"+"&amp;X382&amp;DD$1)</f>
        <v/>
      </c>
      <c r="DE382" s="71" t="str">
        <f t="shared" ref="DE382:DE389" si="5287">IF(Y382="","","|n"&amp;DE$2&amp;"+"&amp;Y382&amp;DE$1)</f>
        <v/>
      </c>
      <c r="DF382" s="71" t="str">
        <f t="shared" ref="DF382:DF389" si="5288">IF(Z382="","","|n"&amp;DF$2&amp;"+"&amp;Z382&amp;DF$1)</f>
        <v/>
      </c>
      <c r="DG382" s="71" t="str">
        <f t="shared" ref="DG382:DG389" si="5289">IF(AA382="","","|n"&amp;DG$2&amp;"+"&amp;AA382&amp;DG$1)</f>
        <v/>
      </c>
      <c r="DH382" s="71" t="str">
        <f t="shared" ref="DH382:DH389" si="5290">IF(AB382="","","|n"&amp;DH$2&amp;"+"&amp;AB382&amp;DH$1)</f>
        <v/>
      </c>
      <c r="DI382" s="71" t="str">
        <f t="shared" ref="DI382:DI389" si="5291">IF(AC382="","","|n"&amp;DI$2&amp;"+"&amp;AC382&amp;DI$1)</f>
        <v/>
      </c>
      <c r="DJ382" s="71" t="str">
        <f t="shared" ref="DJ382:DJ389" si="5292">IF(AD382="","","|n"&amp;DJ$2&amp;"+"&amp;AD382&amp;DJ$1)</f>
        <v/>
      </c>
      <c r="DK382" s="71" t="str">
        <f t="shared" ref="DK382:DK389" si="5293">IF(AE382="","","|n"&amp;DK$2&amp;"+"&amp;AE382&amp;DK$1)</f>
        <v/>
      </c>
      <c r="DL382" s="71" t="str">
        <f t="shared" ref="DL382:DL389" si="5294">IF(AF382="","","|n"&amp;DL$2&amp;"+"&amp;AF382&amp;DL$1)</f>
        <v/>
      </c>
      <c r="DM382" s="71" t="str">
        <f t="shared" ref="DM382:DM389" si="5295">IF(AG382="","","|n"&amp;DM$2&amp;"+"&amp;AG382&amp;DM$1)</f>
        <v/>
      </c>
      <c r="DN382" s="71" t="str">
        <f t="shared" ref="DN382:DN389" si="5296">IF(AH382="","","|n"&amp;DN$2&amp;"+"&amp;AH382&amp;DN$1)</f>
        <v/>
      </c>
      <c r="DO382" s="71" t="str">
        <f t="shared" ref="DO382:DO389" si="5297">IF(AI382="","","|n"&amp;DO$2&amp;"+"&amp;AI382&amp;DO$1)</f>
        <v/>
      </c>
      <c r="DP382" s="71" t="str">
        <f t="shared" ref="DP382:DP389" si="5298">IF(AJ382="","","|n"&amp;DP$2&amp;"+"&amp;AJ382&amp;DP$1)</f>
        <v/>
      </c>
      <c r="DQ382" s="71" t="str">
        <f t="shared" ref="DQ382:DQ389" si="5299">IF(AK382="","","|n"&amp;DQ$2&amp;"+"&amp;AK382&amp;DQ$1)</f>
        <v/>
      </c>
      <c r="DR382" s="71" t="str">
        <f t="shared" ref="DR382:DR389" si="5300">IF(AL382="","","|n"&amp;DR$2&amp;"+"&amp;AL382&amp;DR$1)</f>
        <v/>
      </c>
      <c r="DS382" s="71" t="str">
        <f t="shared" ref="DS382:DS389" si="5301">IF(AM382="","","|n"&amp;DS$2&amp;"+"&amp;AM382&amp;DS$1)</f>
        <v/>
      </c>
      <c r="DT382" s="71" t="str">
        <f t="shared" ref="DT382:DT389" si="5302">IF(AN382="","","|n"&amp;DT$2&amp;"+"&amp;AN382&amp;DT$1)</f>
        <v/>
      </c>
      <c r="DU382" s="71" t="str">
        <f t="shared" ref="DU382:DU389" si="5303">IF(AO382="","","|n"&amp;DU$2&amp;"+"&amp;AO382&amp;DU$1)</f>
        <v/>
      </c>
      <c r="DV382" s="71" t="str">
        <f t="shared" ref="DV382:DV389" si="5304">IF(AP382="","","|n"&amp;DV$2&amp;"+"&amp;AP382&amp;DV$1)</f>
        <v/>
      </c>
      <c r="DW382" s="71" t="str">
        <f t="shared" ref="DW382:DW389" si="5305">IF(AQ382="","","|n"&amp;DW$2&amp;"+"&amp;AQ382&amp;DW$1)</f>
        <v/>
      </c>
      <c r="DX382" s="71" t="str">
        <f t="shared" ref="DX382:DX389" si="5306">IF(AR382="","","|n"&amp;DX$2&amp;"+"&amp;AR382&amp;DX$1)</f>
        <v/>
      </c>
      <c r="DY382" s="71" t="str">
        <f t="shared" ref="DY382:DY389" si="5307">IF(AS382="","","|n"&amp;DY$2&amp;"+"&amp;AS382&amp;DY$1)</f>
        <v/>
      </c>
      <c r="DZ382" s="71" t="str">
        <f t="shared" ref="DZ382:DZ389" si="5308">IF(AT382="","","|n"&amp;DZ$2&amp;"+"&amp;AT382&amp;DZ$1)</f>
        <v/>
      </c>
      <c r="EA382" s="71" t="str">
        <f t="shared" ref="EA382:EA389" si="5309">IF(AU382="","","|n"&amp;EA$2&amp;"+"&amp;AU382&amp;EA$1)</f>
        <v/>
      </c>
      <c r="EB382" s="71" t="str">
        <f t="shared" ref="EB382:EB389" si="5310">IF(AV382="","","|n"&amp;EB$2&amp;"+"&amp;AV382&amp;EB$1)</f>
        <v/>
      </c>
      <c r="EC382" s="71" t="str">
        <f t="shared" ref="EC382:EC389" si="5311">IF(AW382="","","|n"&amp;EC$2&amp;"+"&amp;AW382&amp;EC$1)</f>
        <v/>
      </c>
      <c r="ED382" s="71" t="str">
        <f t="shared" ref="ED382:ED389" si="5312">IF(AX382="","","|n"&amp;ED$2&amp;"+"&amp;AX382&amp;ED$1)</f>
        <v/>
      </c>
      <c r="EE382" s="71" t="str">
        <f t="shared" ref="EE382:EE389" si="5313">IF(AY382="","","|n"&amp;EE$2&amp;"+"&amp;AY382&amp;EE$1)</f>
        <v/>
      </c>
      <c r="EF382" s="71" t="str">
        <f t="shared" ref="EF382:EF389" si="5314">IF(AZ382="","","|n"&amp;EF$2&amp;"+"&amp;AZ382&amp;EF$1)</f>
        <v/>
      </c>
      <c r="EG382" s="71" t="str">
        <f t="shared" ref="EG382:EG389" si="5315">IF(BA382="","","|n"&amp;EG$2&amp;"+"&amp;BA382&amp;EG$1)</f>
        <v/>
      </c>
      <c r="EH382" s="71" t="str">
        <f t="shared" ref="EH382:EH389" si="5316">IF(BB382="","","|n"&amp;EH$2&amp;"+"&amp;BB382&amp;EH$1)</f>
        <v/>
      </c>
      <c r="EI382" s="71" t="str">
        <f t="shared" ref="EI382:EI389" si="5317">IF(BC382="","","|n"&amp;EI$2&amp;"+"&amp;BC382&amp;EI$1)</f>
        <v/>
      </c>
      <c r="EJ382" s="71" t="str">
        <f t="shared" ref="EJ382:EJ389" si="5318">IF(BD382="","","|n"&amp;EJ$2&amp;"+"&amp;BD382&amp;EJ$1)</f>
        <v/>
      </c>
      <c r="EK382" s="71" t="str">
        <f t="shared" ref="EK382:EK389" si="5319">IF(BE382="","","|n"&amp;EK$2&amp;"+"&amp;BE382&amp;EK$1)</f>
        <v/>
      </c>
      <c r="EL382" s="71" t="str">
        <f t="shared" ref="EL382:EL389" si="5320">IF(BF382="","","|n"&amp;EL$2&amp;"+"&amp;BF382&amp;EL$1)</f>
        <v/>
      </c>
      <c r="EM382" s="71" t="str">
        <f t="shared" ref="EM382:EM389" si="5321">IF(BG382="","","|n"&amp;EM$2&amp;"+"&amp;BG382&amp;EM$1)</f>
        <v/>
      </c>
      <c r="EN382" s="71" t="str">
        <f t="shared" ref="EN382:EN389" si="5322">IF(BH382="","","|n"&amp;EN$2&amp;"+"&amp;BH382&amp;EN$1)</f>
        <v/>
      </c>
      <c r="EO382" s="71" t="str">
        <f t="shared" ref="EO382:EO389" si="5323">IF(BI382="","","|n"&amp;EO$2&amp;"+"&amp;BI382&amp;EO$1)</f>
        <v/>
      </c>
      <c r="EP382" s="71" t="str">
        <f t="shared" ref="EP382:EP389" si="5324">IF(BJ382="","","|n"&amp;EP$2&amp;"+"&amp;BJ382&amp;EP$1)</f>
        <v/>
      </c>
      <c r="EQ382" s="71" t="str">
        <f t="shared" ref="EQ382:EQ389" si="5325">IF(BK382="","","|n"&amp;EQ$2&amp;"+"&amp;BK382&amp;EQ$1)</f>
        <v/>
      </c>
      <c r="ER382" s="71" t="str">
        <f t="shared" ref="ER382:ER389" si="5326">IF(BL382="","","|n"&amp;ER$2&amp;"+"&amp;BL382&amp;ER$1)</f>
        <v/>
      </c>
      <c r="ES382" s="71" t="str">
        <f t="shared" ref="ES382:ES389" si="5327">IF(BM382="","","|n"&amp;ES$2&amp;"+"&amp;BM382&amp;ES$1)</f>
        <v/>
      </c>
      <c r="ET382" s="71" t="str">
        <f t="shared" ref="ET382:ET389" si="5328">IF(BN382="","","|n"&amp;ET$2&amp;"+"&amp;BN382&amp;ET$1)</f>
        <v/>
      </c>
      <c r="EU382" s="71" t="str">
        <f t="shared" ref="EU382:EU389" si="5329">IF(BO382="","","|n"&amp;EU$2&amp;"+"&amp;BO382&amp;EU$1)</f>
        <v/>
      </c>
      <c r="EV382" s="71" t="str">
        <f t="shared" ref="EV382:EV389" si="5330">IF(BP382="","","|n"&amp;EV$2&amp;"+"&amp;BP382&amp;EV$1)</f>
        <v/>
      </c>
      <c r="EW382" s="71" t="str">
        <f t="shared" ref="EW382:EW389" si="5331">IF(BQ382="","","|n"&amp;EW$2&amp;"+"&amp;BQ382&amp;EW$1)</f>
        <v/>
      </c>
      <c r="EX382" s="71" t="str">
        <f t="shared" ref="EX382:EX389" si="5332">IF(BR382="","","|n"&amp;EX$2&amp;"+"&amp;BR382&amp;EX$1)</f>
        <v/>
      </c>
      <c r="EY382" s="71" t="str">
        <f t="shared" ref="EY382:EY389" si="5333">IF(BS382="","","|n"&amp;EY$2&amp;"+"&amp;BS382&amp;EY$1)</f>
        <v/>
      </c>
      <c r="EZ382" s="71" t="str">
        <f t="shared" ref="EZ382:EZ389" si="5334">IF(BT382="","","|n"&amp;EZ$2&amp;"+"&amp;BT382&amp;EZ$1)</f>
        <v/>
      </c>
      <c r="FA382" s="71" t="str">
        <f t="shared" ref="FA382:FA389" si="5335">IF(BU382="","","|n"&amp;FA$2&amp;"+"&amp;BU382&amp;FA$1)</f>
        <v/>
      </c>
      <c r="FB382" s="71" t="str">
        <f t="shared" ref="FB382:FB389" si="5336">IF(BV382="","","|n"&amp;FB$2&amp;"+"&amp;BV382&amp;FB$1)</f>
        <v/>
      </c>
      <c r="FC382" s="71" t="str">
        <f t="shared" ref="FC382:FC389" si="5337">IF(BW382="","","|n"&amp;FC$2&amp;"+"&amp;BW382&amp;FC$1)</f>
        <v/>
      </c>
      <c r="FD382" s="71" t="str">
        <f t="shared" ref="FD382:FD389" si="5338">IF(BX382="","","|n"&amp;FD$2&amp;"+"&amp;BX382&amp;FD$1)</f>
        <v/>
      </c>
      <c r="FE382" s="71" t="str">
        <f t="shared" ref="FE382:FE389" si="5339">IF(BY382="","","|n"&amp;FE$2&amp;"+"&amp;BY382&amp;FE$1)</f>
        <v/>
      </c>
      <c r="FF382" s="71" t="str">
        <f t="shared" ref="FF382:FF389" si="5340">IF(BZ382="","","|n"&amp;FF$2&amp;"+"&amp;BZ382&amp;FF$1)</f>
        <v/>
      </c>
      <c r="FG382" s="71" t="str">
        <f t="shared" ref="FG382:FG389" si="5341">IF(CA382="","","|n"&amp;FG$2&amp;"+"&amp;CA382&amp;FG$1)</f>
        <v/>
      </c>
      <c r="FH382" s="71" t="str">
        <f t="shared" ref="FH382:FH389" si="5342">IF(CB382="","","|n"&amp;FH$2&amp;"+"&amp;CB382&amp;FH$1)</f>
        <v/>
      </c>
      <c r="FI382" s="71" t="str">
        <f t="shared" ref="FI382:FI389" si="5343">IF(CC382="","","|n"&amp;FI$2&amp;"+"&amp;CC382&amp;FI$1)</f>
        <v/>
      </c>
      <c r="FJ382" s="71" t="str">
        <f t="shared" ref="FJ382:FJ389" si="5344">IF(CD382="","","|n"&amp;FJ$2&amp;"+"&amp;CD382&amp;FJ$1)</f>
        <v/>
      </c>
      <c r="FK382" s="71" t="str">
        <f t="shared" ref="FK382:FK389" si="5345">IF(CE382="","","|n"&amp;FK$2&amp;"+"&amp;CE382&amp;FK$1)</f>
        <v/>
      </c>
      <c r="FL382" s="71" t="str">
        <f t="shared" ref="FL382:FL389" si="5346">IF(CF382="","","|n"&amp;FL$2&amp;"+"&amp;CF382&amp;FL$1)</f>
        <v/>
      </c>
      <c r="FM382" s="71" t="str">
        <f t="shared" ref="FM382:FM389" si="5347">IF(CG382="","","|n"&amp;FM$2&amp;"+"&amp;CG382&amp;FM$1)</f>
        <v/>
      </c>
      <c r="FN382" s="71" t="str">
        <f t="shared" ref="FN382:FN389" si="5348">IF(CH382="","","|n"&amp;FN$2&amp;"+"&amp;CH382&amp;FN$1)</f>
        <v/>
      </c>
      <c r="FO382" s="71" t="str">
        <f t="shared" ref="FO382:FO389" si="5349">IF(CI382="","","|n"&amp;FO$2&amp;"+"&amp;CI382&amp;FO$1)</f>
        <v/>
      </c>
      <c r="FP382" s="71" t="str">
        <f t="shared" ref="FP382:FP389" si="5350">IF(CJ382="","","|n"&amp;FP$2&amp;"+"&amp;CJ382&amp;FP$1)</f>
        <v/>
      </c>
      <c r="FQ382" s="71" t="str">
        <f t="shared" ref="FQ382:FQ389" si="5351">IF(CK382="","","|n"&amp;FQ$2&amp;"+"&amp;CK382&amp;FQ$1)</f>
        <v/>
      </c>
      <c r="FR382" s="71" t="str">
        <f t="shared" ref="FR382:FR389" si="5352">IF(CL382="","","|n"&amp;FR$2&amp;"+"&amp;CL382&amp;FR$1)</f>
        <v/>
      </c>
      <c r="FS382" s="71" t="str">
        <f t="shared" ref="FS382:FS389" si="5353">IF(CM382="","","|n"&amp;FS$2&amp;"+"&amp;CM382&amp;FS$1)</f>
        <v/>
      </c>
    </row>
    <row r="383" ht="15" spans="1:175">
      <c r="A383" s="138"/>
      <c r="B383" s="81" t="s">
        <v>1112</v>
      </c>
      <c r="C383" s="156" t="s">
        <v>1107</v>
      </c>
      <c r="K383" s="147"/>
      <c r="T383" s="155" t="s">
        <v>1113</v>
      </c>
      <c r="U383" s="89" t="s">
        <v>1109</v>
      </c>
      <c r="CN383" s="69" t="str">
        <f t="shared" si="5278"/>
        <v>InitUnitState('IK8C',,,,,,,,,,)</v>
      </c>
      <c r="CO383" s="69" t="str">
        <f t="shared" si="5279"/>
        <v>InitUnitNormal('IK8C',,,,,,,,,,)</v>
      </c>
      <c r="CP383" s="69" t="str">
        <f t="shared" si="5280"/>
        <v>InitUnitMagic('IK8C',,,,,,,,,,)</v>
      </c>
      <c r="CQ383" s="69" t="str">
        <f t="shared" si="5281"/>
        <v>InitUnitAdd('IK8C',,,,,,,,,,)</v>
      </c>
      <c r="CR383" s="69" t="str">
        <f t="shared" si="5282"/>
        <v>InitEquipData('IK8C',,"",,,,,'','','','','','',"ReplaceableTextures\\CommandButtons\\BTNUI_Fuin_03.blp")</v>
      </c>
      <c r="CU383" s="99" t="str">
        <f t="shared" si="5283"/>
        <v>|n</v>
      </c>
      <c r="CV383" s="70" t="str">
        <f t="shared" si="5277"/>
        <v>业力|Cffffc926+50000|r，业力|Cffffc926+12%|n|n|r|Cffaaaaaa○|CffFFD24D木之刻印+1|r|r|n|n|Cff00ff7f点击穿戴或脱卸。|r</v>
      </c>
      <c r="CW383" s="60"/>
      <c r="CX383" s="60"/>
      <c r="CY383" s="60"/>
      <c r="CZ383" s="60"/>
      <c r="DA383" s="60"/>
      <c r="DB383" s="71" t="str">
        <f t="shared" si="5284"/>
        <v/>
      </c>
      <c r="DC383" s="71" t="str">
        <f t="shared" si="5285"/>
        <v/>
      </c>
      <c r="DD383" s="71" t="str">
        <f t="shared" si="5286"/>
        <v/>
      </c>
      <c r="DE383" s="71" t="str">
        <f t="shared" si="5287"/>
        <v/>
      </c>
      <c r="DF383" s="71" t="str">
        <f t="shared" si="5288"/>
        <v/>
      </c>
      <c r="DG383" s="71" t="str">
        <f t="shared" si="5289"/>
        <v/>
      </c>
      <c r="DH383" s="71" t="str">
        <f t="shared" si="5290"/>
        <v/>
      </c>
      <c r="DI383" s="71" t="str">
        <f t="shared" si="5291"/>
        <v/>
      </c>
      <c r="DJ383" s="71" t="str">
        <f t="shared" si="5292"/>
        <v/>
      </c>
      <c r="DK383" s="71" t="str">
        <f t="shared" si="5293"/>
        <v/>
      </c>
      <c r="DL383" s="71" t="str">
        <f t="shared" si="5294"/>
        <v/>
      </c>
      <c r="DM383" s="71" t="str">
        <f t="shared" si="5295"/>
        <v/>
      </c>
      <c r="DN383" s="71" t="str">
        <f t="shared" si="5296"/>
        <v/>
      </c>
      <c r="DO383" s="71" t="str">
        <f t="shared" si="5297"/>
        <v/>
      </c>
      <c r="DP383" s="71" t="str">
        <f t="shared" si="5298"/>
        <v/>
      </c>
      <c r="DQ383" s="71" t="str">
        <f t="shared" si="5299"/>
        <v/>
      </c>
      <c r="DR383" s="71" t="str">
        <f t="shared" si="5300"/>
        <v/>
      </c>
      <c r="DS383" s="71" t="str">
        <f t="shared" si="5301"/>
        <v/>
      </c>
      <c r="DT383" s="71" t="str">
        <f t="shared" si="5302"/>
        <v/>
      </c>
      <c r="DU383" s="71" t="str">
        <f t="shared" si="5303"/>
        <v/>
      </c>
      <c r="DV383" s="71" t="str">
        <f t="shared" si="5304"/>
        <v/>
      </c>
      <c r="DW383" s="71" t="str">
        <f t="shared" si="5305"/>
        <v/>
      </c>
      <c r="DX383" s="71" t="str">
        <f t="shared" si="5306"/>
        <v/>
      </c>
      <c r="DY383" s="71" t="str">
        <f t="shared" si="5307"/>
        <v/>
      </c>
      <c r="DZ383" s="71" t="str">
        <f t="shared" si="5308"/>
        <v/>
      </c>
      <c r="EA383" s="71" t="str">
        <f t="shared" si="5309"/>
        <v/>
      </c>
      <c r="EB383" s="71" t="str">
        <f t="shared" si="5310"/>
        <v/>
      </c>
      <c r="EC383" s="71" t="str">
        <f t="shared" si="5311"/>
        <v/>
      </c>
      <c r="ED383" s="71" t="str">
        <f t="shared" si="5312"/>
        <v/>
      </c>
      <c r="EE383" s="71" t="str">
        <f t="shared" si="5313"/>
        <v/>
      </c>
      <c r="EF383" s="71" t="str">
        <f t="shared" si="5314"/>
        <v/>
      </c>
      <c r="EG383" s="71" t="str">
        <f t="shared" si="5315"/>
        <v/>
      </c>
      <c r="EH383" s="71" t="str">
        <f t="shared" si="5316"/>
        <v/>
      </c>
      <c r="EI383" s="71" t="str">
        <f t="shared" si="5317"/>
        <v/>
      </c>
      <c r="EJ383" s="71" t="str">
        <f t="shared" si="5318"/>
        <v/>
      </c>
      <c r="EK383" s="71" t="str">
        <f t="shared" si="5319"/>
        <v/>
      </c>
      <c r="EL383" s="71" t="str">
        <f t="shared" si="5320"/>
        <v/>
      </c>
      <c r="EM383" s="71" t="str">
        <f t="shared" si="5321"/>
        <v/>
      </c>
      <c r="EN383" s="71" t="str">
        <f t="shared" si="5322"/>
        <v/>
      </c>
      <c r="EO383" s="71" t="str">
        <f t="shared" si="5323"/>
        <v/>
      </c>
      <c r="EP383" s="71" t="str">
        <f t="shared" si="5324"/>
        <v/>
      </c>
      <c r="EQ383" s="71" t="str">
        <f t="shared" si="5325"/>
        <v/>
      </c>
      <c r="ER383" s="71" t="str">
        <f t="shared" si="5326"/>
        <v/>
      </c>
      <c r="ES383" s="71" t="str">
        <f t="shared" si="5327"/>
        <v/>
      </c>
      <c r="ET383" s="71" t="str">
        <f t="shared" si="5328"/>
        <v/>
      </c>
      <c r="EU383" s="71" t="str">
        <f t="shared" si="5329"/>
        <v/>
      </c>
      <c r="EV383" s="71" t="str">
        <f t="shared" si="5330"/>
        <v/>
      </c>
      <c r="EW383" s="71" t="str">
        <f t="shared" si="5331"/>
        <v/>
      </c>
      <c r="EX383" s="71" t="str">
        <f t="shared" si="5332"/>
        <v/>
      </c>
      <c r="EY383" s="71" t="str">
        <f t="shared" si="5333"/>
        <v/>
      </c>
      <c r="EZ383" s="71" t="str">
        <f t="shared" si="5334"/>
        <v/>
      </c>
      <c r="FA383" s="71" t="str">
        <f t="shared" si="5335"/>
        <v/>
      </c>
      <c r="FB383" s="71" t="str">
        <f t="shared" si="5336"/>
        <v/>
      </c>
      <c r="FC383" s="71" t="str">
        <f t="shared" si="5337"/>
        <v/>
      </c>
      <c r="FD383" s="71" t="str">
        <f t="shared" si="5338"/>
        <v/>
      </c>
      <c r="FE383" s="71" t="str">
        <f t="shared" si="5339"/>
        <v/>
      </c>
      <c r="FF383" s="71" t="str">
        <f t="shared" si="5340"/>
        <v/>
      </c>
      <c r="FG383" s="71" t="str">
        <f t="shared" si="5341"/>
        <v/>
      </c>
      <c r="FH383" s="71" t="str">
        <f t="shared" si="5342"/>
        <v/>
      </c>
      <c r="FI383" s="71" t="str">
        <f t="shared" si="5343"/>
        <v/>
      </c>
      <c r="FJ383" s="71" t="str">
        <f t="shared" si="5344"/>
        <v/>
      </c>
      <c r="FK383" s="71" t="str">
        <f t="shared" si="5345"/>
        <v/>
      </c>
      <c r="FL383" s="71" t="str">
        <f t="shared" si="5346"/>
        <v/>
      </c>
      <c r="FM383" s="71" t="str">
        <f t="shared" si="5347"/>
        <v/>
      </c>
      <c r="FN383" s="71" t="str">
        <f t="shared" si="5348"/>
        <v/>
      </c>
      <c r="FO383" s="71" t="str">
        <f t="shared" si="5349"/>
        <v/>
      </c>
      <c r="FP383" s="71" t="str">
        <f t="shared" si="5350"/>
        <v/>
      </c>
      <c r="FQ383" s="71" t="str">
        <f t="shared" si="5351"/>
        <v/>
      </c>
      <c r="FR383" s="71" t="str">
        <f t="shared" si="5352"/>
        <v/>
      </c>
      <c r="FS383" s="71" t="str">
        <f t="shared" si="5353"/>
        <v/>
      </c>
    </row>
    <row r="384" ht="15" spans="1:175">
      <c r="A384" s="138"/>
      <c r="B384" s="81" t="s">
        <v>1114</v>
      </c>
      <c r="C384" s="156" t="s">
        <v>1107</v>
      </c>
      <c r="K384" s="147"/>
      <c r="T384" s="155" t="s">
        <v>1115</v>
      </c>
      <c r="U384" s="89" t="s">
        <v>1109</v>
      </c>
      <c r="CN384" s="69" t="str">
        <f t="shared" si="5278"/>
        <v>InitUnitState('IK8D',,,,,,,,,,)</v>
      </c>
      <c r="CO384" s="69" t="str">
        <f t="shared" si="5279"/>
        <v>InitUnitNormal('IK8D',,,,,,,,,,)</v>
      </c>
      <c r="CP384" s="69" t="str">
        <f t="shared" si="5280"/>
        <v>InitUnitMagic('IK8D',,,,,,,,,,)</v>
      </c>
      <c r="CQ384" s="69" t="str">
        <f t="shared" si="5281"/>
        <v>InitUnitAdd('IK8D',,,,,,,,,,)</v>
      </c>
      <c r="CR384" s="69" t="str">
        <f t="shared" si="5282"/>
        <v>InitEquipData('IK8D',,"",,,,,'','','','','','',"ReplaceableTextures\\CommandButtons\\BTNUI_Fuin_04.blp")</v>
      </c>
      <c r="CU384" s="99" t="str">
        <f t="shared" si="5283"/>
        <v>|n</v>
      </c>
      <c r="CV384" s="70" t="str">
        <f t="shared" si="5277"/>
        <v>业力|Cffffc926+50000|r，业力|Cffffc926+12%|n|n|r|Cffaaaaaa○|CffFFD24D水之刻印+1|r|r|n|n|Cff00ff7f点击穿戴或脱卸。|r</v>
      </c>
      <c r="CW384" s="60"/>
      <c r="CX384" s="60"/>
      <c r="CY384" s="60"/>
      <c r="CZ384" s="60"/>
      <c r="DA384" s="60"/>
      <c r="DB384" s="71" t="str">
        <f t="shared" si="5284"/>
        <v/>
      </c>
      <c r="DC384" s="71" t="str">
        <f t="shared" si="5285"/>
        <v/>
      </c>
      <c r="DD384" s="71" t="str">
        <f t="shared" si="5286"/>
        <v/>
      </c>
      <c r="DE384" s="71" t="str">
        <f t="shared" si="5287"/>
        <v/>
      </c>
      <c r="DF384" s="71" t="str">
        <f t="shared" si="5288"/>
        <v/>
      </c>
      <c r="DG384" s="71" t="str">
        <f t="shared" si="5289"/>
        <v/>
      </c>
      <c r="DH384" s="71" t="str">
        <f t="shared" si="5290"/>
        <v/>
      </c>
      <c r="DI384" s="71" t="str">
        <f t="shared" si="5291"/>
        <v/>
      </c>
      <c r="DJ384" s="71" t="str">
        <f t="shared" si="5292"/>
        <v/>
      </c>
      <c r="DK384" s="71" t="str">
        <f t="shared" si="5293"/>
        <v/>
      </c>
      <c r="DL384" s="71" t="str">
        <f t="shared" si="5294"/>
        <v/>
      </c>
      <c r="DM384" s="71" t="str">
        <f t="shared" si="5295"/>
        <v/>
      </c>
      <c r="DN384" s="71" t="str">
        <f t="shared" si="5296"/>
        <v/>
      </c>
      <c r="DO384" s="71" t="str">
        <f t="shared" si="5297"/>
        <v/>
      </c>
      <c r="DP384" s="71" t="str">
        <f t="shared" si="5298"/>
        <v/>
      </c>
      <c r="DQ384" s="71" t="str">
        <f t="shared" si="5299"/>
        <v/>
      </c>
      <c r="DR384" s="71" t="str">
        <f t="shared" si="5300"/>
        <v/>
      </c>
      <c r="DS384" s="71" t="str">
        <f t="shared" si="5301"/>
        <v/>
      </c>
      <c r="DT384" s="71" t="str">
        <f t="shared" si="5302"/>
        <v/>
      </c>
      <c r="DU384" s="71" t="str">
        <f t="shared" si="5303"/>
        <v/>
      </c>
      <c r="DV384" s="71" t="str">
        <f t="shared" si="5304"/>
        <v/>
      </c>
      <c r="DW384" s="71" t="str">
        <f t="shared" si="5305"/>
        <v/>
      </c>
      <c r="DX384" s="71" t="str">
        <f t="shared" si="5306"/>
        <v/>
      </c>
      <c r="DY384" s="71" t="str">
        <f t="shared" si="5307"/>
        <v/>
      </c>
      <c r="DZ384" s="71" t="str">
        <f t="shared" si="5308"/>
        <v/>
      </c>
      <c r="EA384" s="71" t="str">
        <f t="shared" si="5309"/>
        <v/>
      </c>
      <c r="EB384" s="71" t="str">
        <f t="shared" si="5310"/>
        <v/>
      </c>
      <c r="EC384" s="71" t="str">
        <f t="shared" si="5311"/>
        <v/>
      </c>
      <c r="ED384" s="71" t="str">
        <f t="shared" si="5312"/>
        <v/>
      </c>
      <c r="EE384" s="71" t="str">
        <f t="shared" si="5313"/>
        <v/>
      </c>
      <c r="EF384" s="71" t="str">
        <f t="shared" si="5314"/>
        <v/>
      </c>
      <c r="EG384" s="71" t="str">
        <f t="shared" si="5315"/>
        <v/>
      </c>
      <c r="EH384" s="71" t="str">
        <f t="shared" si="5316"/>
        <v/>
      </c>
      <c r="EI384" s="71" t="str">
        <f t="shared" si="5317"/>
        <v/>
      </c>
      <c r="EJ384" s="71" t="str">
        <f t="shared" si="5318"/>
        <v/>
      </c>
      <c r="EK384" s="71" t="str">
        <f t="shared" si="5319"/>
        <v/>
      </c>
      <c r="EL384" s="71" t="str">
        <f t="shared" si="5320"/>
        <v/>
      </c>
      <c r="EM384" s="71" t="str">
        <f t="shared" si="5321"/>
        <v/>
      </c>
      <c r="EN384" s="71" t="str">
        <f t="shared" si="5322"/>
        <v/>
      </c>
      <c r="EO384" s="71" t="str">
        <f t="shared" si="5323"/>
        <v/>
      </c>
      <c r="EP384" s="71" t="str">
        <f t="shared" si="5324"/>
        <v/>
      </c>
      <c r="EQ384" s="71" t="str">
        <f t="shared" si="5325"/>
        <v/>
      </c>
      <c r="ER384" s="71" t="str">
        <f t="shared" si="5326"/>
        <v/>
      </c>
      <c r="ES384" s="71" t="str">
        <f t="shared" si="5327"/>
        <v/>
      </c>
      <c r="ET384" s="71" t="str">
        <f t="shared" si="5328"/>
        <v/>
      </c>
      <c r="EU384" s="71" t="str">
        <f t="shared" si="5329"/>
        <v/>
      </c>
      <c r="EV384" s="71" t="str">
        <f t="shared" si="5330"/>
        <v/>
      </c>
      <c r="EW384" s="71" t="str">
        <f t="shared" si="5331"/>
        <v/>
      </c>
      <c r="EX384" s="71" t="str">
        <f t="shared" si="5332"/>
        <v/>
      </c>
      <c r="EY384" s="71" t="str">
        <f t="shared" si="5333"/>
        <v/>
      </c>
      <c r="EZ384" s="71" t="str">
        <f t="shared" si="5334"/>
        <v/>
      </c>
      <c r="FA384" s="71" t="str">
        <f t="shared" si="5335"/>
        <v/>
      </c>
      <c r="FB384" s="71" t="str">
        <f t="shared" si="5336"/>
        <v/>
      </c>
      <c r="FC384" s="71" t="str">
        <f t="shared" si="5337"/>
        <v/>
      </c>
      <c r="FD384" s="71" t="str">
        <f t="shared" si="5338"/>
        <v/>
      </c>
      <c r="FE384" s="71" t="str">
        <f t="shared" si="5339"/>
        <v/>
      </c>
      <c r="FF384" s="71" t="str">
        <f t="shared" si="5340"/>
        <v/>
      </c>
      <c r="FG384" s="71" t="str">
        <f t="shared" si="5341"/>
        <v/>
      </c>
      <c r="FH384" s="71" t="str">
        <f t="shared" si="5342"/>
        <v/>
      </c>
      <c r="FI384" s="71" t="str">
        <f t="shared" si="5343"/>
        <v/>
      </c>
      <c r="FJ384" s="71" t="str">
        <f t="shared" si="5344"/>
        <v/>
      </c>
      <c r="FK384" s="71" t="str">
        <f t="shared" si="5345"/>
        <v/>
      </c>
      <c r="FL384" s="71" t="str">
        <f t="shared" si="5346"/>
        <v/>
      </c>
      <c r="FM384" s="71" t="str">
        <f t="shared" si="5347"/>
        <v/>
      </c>
      <c r="FN384" s="71" t="str">
        <f t="shared" si="5348"/>
        <v/>
      </c>
      <c r="FO384" s="71" t="str">
        <f t="shared" si="5349"/>
        <v/>
      </c>
      <c r="FP384" s="71" t="str">
        <f t="shared" si="5350"/>
        <v/>
      </c>
      <c r="FQ384" s="71" t="str">
        <f t="shared" si="5351"/>
        <v/>
      </c>
      <c r="FR384" s="71" t="str">
        <f t="shared" si="5352"/>
        <v/>
      </c>
      <c r="FS384" s="71" t="str">
        <f t="shared" si="5353"/>
        <v/>
      </c>
    </row>
    <row r="385" ht="15" spans="1:175">
      <c r="A385" s="138"/>
      <c r="B385" s="81" t="s">
        <v>1116</v>
      </c>
      <c r="C385" s="156" t="s">
        <v>1107</v>
      </c>
      <c r="K385" s="147"/>
      <c r="T385" s="155" t="s">
        <v>1117</v>
      </c>
      <c r="U385" s="89" t="s">
        <v>1109</v>
      </c>
      <c r="CN385" s="69" t="str">
        <f t="shared" si="5278"/>
        <v>InitUnitState('IK8E',,,,,,,,,,)</v>
      </c>
      <c r="CO385" s="69" t="str">
        <f t="shared" si="5279"/>
        <v>InitUnitNormal('IK8E',,,,,,,,,,)</v>
      </c>
      <c r="CP385" s="69" t="str">
        <f t="shared" si="5280"/>
        <v>InitUnitMagic('IK8E',,,,,,,,,,)</v>
      </c>
      <c r="CQ385" s="69" t="str">
        <f t="shared" si="5281"/>
        <v>InitUnitAdd('IK8E',,,,,,,,,,)</v>
      </c>
      <c r="CR385" s="69" t="str">
        <f t="shared" si="5282"/>
        <v>InitEquipData('IK8E',,"",,,,,'','','','','','',"ReplaceableTextures\\CommandButtons\\BTNUI_Fuin_05.blp")</v>
      </c>
      <c r="CU385" s="99" t="str">
        <f t="shared" si="5283"/>
        <v>|n</v>
      </c>
      <c r="CV385" s="70" t="str">
        <f t="shared" si="5277"/>
        <v>业力|Cffffc926+50000|r，业力|Cffffc926+12%|n|n|r|Cffaaaaaa○|CffFFD24D火之刻印+1|r|r|n|n|Cff00ff7f点击穿戴或脱卸。|r</v>
      </c>
      <c r="CW385" s="60"/>
      <c r="CX385" s="60"/>
      <c r="CY385" s="60"/>
      <c r="CZ385" s="60"/>
      <c r="DA385" s="60"/>
      <c r="DB385" s="71" t="str">
        <f t="shared" si="5284"/>
        <v/>
      </c>
      <c r="DC385" s="71" t="str">
        <f t="shared" si="5285"/>
        <v/>
      </c>
      <c r="DD385" s="71" t="str">
        <f t="shared" si="5286"/>
        <v/>
      </c>
      <c r="DE385" s="71" t="str">
        <f t="shared" si="5287"/>
        <v/>
      </c>
      <c r="DF385" s="71" t="str">
        <f t="shared" si="5288"/>
        <v/>
      </c>
      <c r="DG385" s="71" t="str">
        <f t="shared" si="5289"/>
        <v/>
      </c>
      <c r="DH385" s="71" t="str">
        <f t="shared" si="5290"/>
        <v/>
      </c>
      <c r="DI385" s="71" t="str">
        <f t="shared" si="5291"/>
        <v/>
      </c>
      <c r="DJ385" s="71" t="str">
        <f t="shared" si="5292"/>
        <v/>
      </c>
      <c r="DK385" s="71" t="str">
        <f t="shared" si="5293"/>
        <v/>
      </c>
      <c r="DL385" s="71" t="str">
        <f t="shared" si="5294"/>
        <v/>
      </c>
      <c r="DM385" s="71" t="str">
        <f t="shared" si="5295"/>
        <v/>
      </c>
      <c r="DN385" s="71" t="str">
        <f t="shared" si="5296"/>
        <v/>
      </c>
      <c r="DO385" s="71" t="str">
        <f t="shared" si="5297"/>
        <v/>
      </c>
      <c r="DP385" s="71" t="str">
        <f t="shared" si="5298"/>
        <v/>
      </c>
      <c r="DQ385" s="71" t="str">
        <f t="shared" si="5299"/>
        <v/>
      </c>
      <c r="DR385" s="71" t="str">
        <f t="shared" si="5300"/>
        <v/>
      </c>
      <c r="DS385" s="71" t="str">
        <f t="shared" si="5301"/>
        <v/>
      </c>
      <c r="DT385" s="71" t="str">
        <f t="shared" si="5302"/>
        <v/>
      </c>
      <c r="DU385" s="71" t="str">
        <f t="shared" si="5303"/>
        <v/>
      </c>
      <c r="DV385" s="71" t="str">
        <f t="shared" si="5304"/>
        <v/>
      </c>
      <c r="DW385" s="71" t="str">
        <f t="shared" si="5305"/>
        <v/>
      </c>
      <c r="DX385" s="71" t="str">
        <f t="shared" si="5306"/>
        <v/>
      </c>
      <c r="DY385" s="71" t="str">
        <f t="shared" si="5307"/>
        <v/>
      </c>
      <c r="DZ385" s="71" t="str">
        <f t="shared" si="5308"/>
        <v/>
      </c>
      <c r="EA385" s="71" t="str">
        <f t="shared" si="5309"/>
        <v/>
      </c>
      <c r="EB385" s="71" t="str">
        <f t="shared" si="5310"/>
        <v/>
      </c>
      <c r="EC385" s="71" t="str">
        <f t="shared" si="5311"/>
        <v/>
      </c>
      <c r="ED385" s="71" t="str">
        <f t="shared" si="5312"/>
        <v/>
      </c>
      <c r="EE385" s="71" t="str">
        <f t="shared" si="5313"/>
        <v/>
      </c>
      <c r="EF385" s="71" t="str">
        <f t="shared" si="5314"/>
        <v/>
      </c>
      <c r="EG385" s="71" t="str">
        <f t="shared" si="5315"/>
        <v/>
      </c>
      <c r="EH385" s="71" t="str">
        <f t="shared" si="5316"/>
        <v/>
      </c>
      <c r="EI385" s="71" t="str">
        <f t="shared" si="5317"/>
        <v/>
      </c>
      <c r="EJ385" s="71" t="str">
        <f t="shared" si="5318"/>
        <v/>
      </c>
      <c r="EK385" s="71" t="str">
        <f t="shared" si="5319"/>
        <v/>
      </c>
      <c r="EL385" s="71" t="str">
        <f t="shared" si="5320"/>
        <v/>
      </c>
      <c r="EM385" s="71" t="str">
        <f t="shared" si="5321"/>
        <v/>
      </c>
      <c r="EN385" s="71" t="str">
        <f t="shared" si="5322"/>
        <v/>
      </c>
      <c r="EO385" s="71" t="str">
        <f t="shared" si="5323"/>
        <v/>
      </c>
      <c r="EP385" s="71" t="str">
        <f t="shared" si="5324"/>
        <v/>
      </c>
      <c r="EQ385" s="71" t="str">
        <f t="shared" si="5325"/>
        <v/>
      </c>
      <c r="ER385" s="71" t="str">
        <f t="shared" si="5326"/>
        <v/>
      </c>
      <c r="ES385" s="71" t="str">
        <f t="shared" si="5327"/>
        <v/>
      </c>
      <c r="ET385" s="71" t="str">
        <f t="shared" si="5328"/>
        <v/>
      </c>
      <c r="EU385" s="71" t="str">
        <f t="shared" si="5329"/>
        <v/>
      </c>
      <c r="EV385" s="71" t="str">
        <f t="shared" si="5330"/>
        <v/>
      </c>
      <c r="EW385" s="71" t="str">
        <f t="shared" si="5331"/>
        <v/>
      </c>
      <c r="EX385" s="71" t="str">
        <f t="shared" si="5332"/>
        <v/>
      </c>
      <c r="EY385" s="71" t="str">
        <f t="shared" si="5333"/>
        <v/>
      </c>
      <c r="EZ385" s="71" t="str">
        <f t="shared" si="5334"/>
        <v/>
      </c>
      <c r="FA385" s="71" t="str">
        <f t="shared" si="5335"/>
        <v/>
      </c>
      <c r="FB385" s="71" t="str">
        <f t="shared" si="5336"/>
        <v/>
      </c>
      <c r="FC385" s="71" t="str">
        <f t="shared" si="5337"/>
        <v/>
      </c>
      <c r="FD385" s="71" t="str">
        <f t="shared" si="5338"/>
        <v/>
      </c>
      <c r="FE385" s="71" t="str">
        <f t="shared" si="5339"/>
        <v/>
      </c>
      <c r="FF385" s="71" t="str">
        <f t="shared" si="5340"/>
        <v/>
      </c>
      <c r="FG385" s="71" t="str">
        <f t="shared" si="5341"/>
        <v/>
      </c>
      <c r="FH385" s="71" t="str">
        <f t="shared" si="5342"/>
        <v/>
      </c>
      <c r="FI385" s="71" t="str">
        <f t="shared" si="5343"/>
        <v/>
      </c>
      <c r="FJ385" s="71" t="str">
        <f t="shared" si="5344"/>
        <v/>
      </c>
      <c r="FK385" s="71" t="str">
        <f t="shared" si="5345"/>
        <v/>
      </c>
      <c r="FL385" s="71" t="str">
        <f t="shared" si="5346"/>
        <v/>
      </c>
      <c r="FM385" s="71" t="str">
        <f t="shared" si="5347"/>
        <v/>
      </c>
      <c r="FN385" s="71" t="str">
        <f t="shared" si="5348"/>
        <v/>
      </c>
      <c r="FO385" s="71" t="str">
        <f t="shared" si="5349"/>
        <v/>
      </c>
      <c r="FP385" s="71" t="str">
        <f t="shared" si="5350"/>
        <v/>
      </c>
      <c r="FQ385" s="71" t="str">
        <f t="shared" si="5351"/>
        <v/>
      </c>
      <c r="FR385" s="71" t="str">
        <f t="shared" si="5352"/>
        <v/>
      </c>
      <c r="FS385" s="71" t="str">
        <f t="shared" si="5353"/>
        <v/>
      </c>
    </row>
    <row r="386" ht="15" spans="1:175">
      <c r="A386" s="138"/>
      <c r="B386" s="81" t="s">
        <v>1118</v>
      </c>
      <c r="C386" s="156" t="s">
        <v>1107</v>
      </c>
      <c r="K386" s="147"/>
      <c r="T386" s="155" t="s">
        <v>1119</v>
      </c>
      <c r="U386" s="89" t="s">
        <v>1109</v>
      </c>
      <c r="CN386" s="69" t="str">
        <f t="shared" si="5278"/>
        <v>InitUnitState('IK8F',,,,,,,,,,)</v>
      </c>
      <c r="CO386" s="69" t="str">
        <f t="shared" si="5279"/>
        <v>InitUnitNormal('IK8F',,,,,,,,,,)</v>
      </c>
      <c r="CP386" s="69" t="str">
        <f t="shared" si="5280"/>
        <v>InitUnitMagic('IK8F',,,,,,,,,,)</v>
      </c>
      <c r="CQ386" s="69" t="str">
        <f t="shared" si="5281"/>
        <v>InitUnitAdd('IK8F',,,,,,,,,,)</v>
      </c>
      <c r="CR386" s="69" t="str">
        <f t="shared" si="5282"/>
        <v>InitEquipData('IK8F',,"",,,,,'','','','','','',"ReplaceableTextures\\CommandButtons\\BTNUI_Fuin_06.blp")</v>
      </c>
      <c r="CU386" s="99" t="str">
        <f t="shared" si="5283"/>
        <v>|n</v>
      </c>
      <c r="CV386" s="70" t="str">
        <f t="shared" si="5277"/>
        <v>业力|Cffffc926+50000|r，业力|Cffffc926+12%|n|n|r|Cffaaaaaa○|CffFFD24D土之刻印+1|r|r|n|n|Cff00ff7f点击穿戴或脱卸。|r</v>
      </c>
      <c r="CW386" s="60"/>
      <c r="CX386" s="60"/>
      <c r="CY386" s="60"/>
      <c r="CZ386" s="60"/>
      <c r="DA386" s="60"/>
      <c r="DB386" s="71" t="str">
        <f t="shared" si="5284"/>
        <v/>
      </c>
      <c r="DC386" s="71" t="str">
        <f t="shared" si="5285"/>
        <v/>
      </c>
      <c r="DD386" s="71" t="str">
        <f t="shared" si="5286"/>
        <v/>
      </c>
      <c r="DE386" s="71" t="str">
        <f t="shared" si="5287"/>
        <v/>
      </c>
      <c r="DF386" s="71" t="str">
        <f t="shared" si="5288"/>
        <v/>
      </c>
      <c r="DG386" s="71" t="str">
        <f t="shared" si="5289"/>
        <v/>
      </c>
      <c r="DH386" s="71" t="str">
        <f t="shared" si="5290"/>
        <v/>
      </c>
      <c r="DI386" s="71" t="str">
        <f t="shared" si="5291"/>
        <v/>
      </c>
      <c r="DJ386" s="71" t="str">
        <f t="shared" si="5292"/>
        <v/>
      </c>
      <c r="DK386" s="71" t="str">
        <f t="shared" si="5293"/>
        <v/>
      </c>
      <c r="DL386" s="71" t="str">
        <f t="shared" si="5294"/>
        <v/>
      </c>
      <c r="DM386" s="71" t="str">
        <f t="shared" si="5295"/>
        <v/>
      </c>
      <c r="DN386" s="71" t="str">
        <f t="shared" si="5296"/>
        <v/>
      </c>
      <c r="DO386" s="71" t="str">
        <f t="shared" si="5297"/>
        <v/>
      </c>
      <c r="DP386" s="71" t="str">
        <f t="shared" si="5298"/>
        <v/>
      </c>
      <c r="DQ386" s="71" t="str">
        <f t="shared" si="5299"/>
        <v/>
      </c>
      <c r="DR386" s="71" t="str">
        <f t="shared" si="5300"/>
        <v/>
      </c>
      <c r="DS386" s="71" t="str">
        <f t="shared" si="5301"/>
        <v/>
      </c>
      <c r="DT386" s="71" t="str">
        <f t="shared" si="5302"/>
        <v/>
      </c>
      <c r="DU386" s="71" t="str">
        <f t="shared" si="5303"/>
        <v/>
      </c>
      <c r="DV386" s="71" t="str">
        <f t="shared" si="5304"/>
        <v/>
      </c>
      <c r="DW386" s="71" t="str">
        <f t="shared" si="5305"/>
        <v/>
      </c>
      <c r="DX386" s="71" t="str">
        <f t="shared" si="5306"/>
        <v/>
      </c>
      <c r="DY386" s="71" t="str">
        <f t="shared" si="5307"/>
        <v/>
      </c>
      <c r="DZ386" s="71" t="str">
        <f t="shared" si="5308"/>
        <v/>
      </c>
      <c r="EA386" s="71" t="str">
        <f t="shared" si="5309"/>
        <v/>
      </c>
      <c r="EB386" s="71" t="str">
        <f t="shared" si="5310"/>
        <v/>
      </c>
      <c r="EC386" s="71" t="str">
        <f t="shared" si="5311"/>
        <v/>
      </c>
      <c r="ED386" s="71" t="str">
        <f t="shared" si="5312"/>
        <v/>
      </c>
      <c r="EE386" s="71" t="str">
        <f t="shared" si="5313"/>
        <v/>
      </c>
      <c r="EF386" s="71" t="str">
        <f t="shared" si="5314"/>
        <v/>
      </c>
      <c r="EG386" s="71" t="str">
        <f t="shared" si="5315"/>
        <v/>
      </c>
      <c r="EH386" s="71" t="str">
        <f t="shared" si="5316"/>
        <v/>
      </c>
      <c r="EI386" s="71" t="str">
        <f t="shared" si="5317"/>
        <v/>
      </c>
      <c r="EJ386" s="71" t="str">
        <f t="shared" si="5318"/>
        <v/>
      </c>
      <c r="EK386" s="71" t="str">
        <f t="shared" si="5319"/>
        <v/>
      </c>
      <c r="EL386" s="71" t="str">
        <f t="shared" si="5320"/>
        <v/>
      </c>
      <c r="EM386" s="71" t="str">
        <f t="shared" si="5321"/>
        <v/>
      </c>
      <c r="EN386" s="71" t="str">
        <f t="shared" si="5322"/>
        <v/>
      </c>
      <c r="EO386" s="71" t="str">
        <f t="shared" si="5323"/>
        <v/>
      </c>
      <c r="EP386" s="71" t="str">
        <f t="shared" si="5324"/>
        <v/>
      </c>
      <c r="EQ386" s="71" t="str">
        <f t="shared" si="5325"/>
        <v/>
      </c>
      <c r="ER386" s="71" t="str">
        <f t="shared" si="5326"/>
        <v/>
      </c>
      <c r="ES386" s="71" t="str">
        <f t="shared" si="5327"/>
        <v/>
      </c>
      <c r="ET386" s="71" t="str">
        <f t="shared" si="5328"/>
        <v/>
      </c>
      <c r="EU386" s="71" t="str">
        <f t="shared" si="5329"/>
        <v/>
      </c>
      <c r="EV386" s="71" t="str">
        <f t="shared" si="5330"/>
        <v/>
      </c>
      <c r="EW386" s="71" t="str">
        <f t="shared" si="5331"/>
        <v/>
      </c>
      <c r="EX386" s="71" t="str">
        <f t="shared" si="5332"/>
        <v/>
      </c>
      <c r="EY386" s="71" t="str">
        <f t="shared" si="5333"/>
        <v/>
      </c>
      <c r="EZ386" s="71" t="str">
        <f t="shared" si="5334"/>
        <v/>
      </c>
      <c r="FA386" s="71" t="str">
        <f t="shared" si="5335"/>
        <v/>
      </c>
      <c r="FB386" s="71" t="str">
        <f t="shared" si="5336"/>
        <v/>
      </c>
      <c r="FC386" s="71" t="str">
        <f t="shared" si="5337"/>
        <v/>
      </c>
      <c r="FD386" s="71" t="str">
        <f t="shared" si="5338"/>
        <v/>
      </c>
      <c r="FE386" s="71" t="str">
        <f t="shared" si="5339"/>
        <v/>
      </c>
      <c r="FF386" s="71" t="str">
        <f t="shared" si="5340"/>
        <v/>
      </c>
      <c r="FG386" s="71" t="str">
        <f t="shared" si="5341"/>
        <v/>
      </c>
      <c r="FH386" s="71" t="str">
        <f t="shared" si="5342"/>
        <v/>
      </c>
      <c r="FI386" s="71" t="str">
        <f t="shared" si="5343"/>
        <v/>
      </c>
      <c r="FJ386" s="71" t="str">
        <f t="shared" si="5344"/>
        <v/>
      </c>
      <c r="FK386" s="71" t="str">
        <f t="shared" si="5345"/>
        <v/>
      </c>
      <c r="FL386" s="71" t="str">
        <f t="shared" si="5346"/>
        <v/>
      </c>
      <c r="FM386" s="71" t="str">
        <f t="shared" si="5347"/>
        <v/>
      </c>
      <c r="FN386" s="71" t="str">
        <f t="shared" si="5348"/>
        <v/>
      </c>
      <c r="FO386" s="71" t="str">
        <f t="shared" si="5349"/>
        <v/>
      </c>
      <c r="FP386" s="71" t="str">
        <f t="shared" si="5350"/>
        <v/>
      </c>
      <c r="FQ386" s="71" t="str">
        <f t="shared" si="5351"/>
        <v/>
      </c>
      <c r="FR386" s="71" t="str">
        <f t="shared" si="5352"/>
        <v/>
      </c>
      <c r="FS386" s="71" t="str">
        <f t="shared" si="5353"/>
        <v/>
      </c>
    </row>
    <row r="387" ht="15" spans="1:175">
      <c r="A387" s="138"/>
      <c r="B387" s="81" t="s">
        <v>1120</v>
      </c>
      <c r="C387" s="156" t="s">
        <v>1107</v>
      </c>
      <c r="K387" s="147"/>
      <c r="T387" s="155" t="s">
        <v>1121</v>
      </c>
      <c r="U387" s="89" t="s">
        <v>1109</v>
      </c>
      <c r="CN387" s="69" t="str">
        <f t="shared" si="5278"/>
        <v>InitUnitState('IK8G',,,,,,,,,,)</v>
      </c>
      <c r="CO387" s="69" t="str">
        <f t="shared" si="5279"/>
        <v>InitUnitNormal('IK8G',,,,,,,,,,)</v>
      </c>
      <c r="CP387" s="69" t="str">
        <f t="shared" si="5280"/>
        <v>InitUnitMagic('IK8G',,,,,,,,,,)</v>
      </c>
      <c r="CQ387" s="69" t="str">
        <f t="shared" si="5281"/>
        <v>InitUnitAdd('IK8G',,,,,,,,,,)</v>
      </c>
      <c r="CR387" s="69" t="str">
        <f t="shared" si="5282"/>
        <v>InitEquipData('IK8G',,"",,,,,'','','','','','',"ReplaceableTextures\\CommandButtons\\BTNUI_Fuin_07.blp")</v>
      </c>
      <c r="CU387" s="99" t="str">
        <f t="shared" si="5283"/>
        <v>|n</v>
      </c>
      <c r="CV387" s="70" t="str">
        <f t="shared" si="5277"/>
        <v>业力|Cffffc926+50000|r，业力|Cffffc926+12%|n|n|r|Cffaaaaaa○|CffFFD24D雷之刻印+1|r|r|n|n|Cff00ff7f点击穿戴或脱卸。|r</v>
      </c>
      <c r="CW387" s="60"/>
      <c r="CX387" s="60"/>
      <c r="CY387" s="60"/>
      <c r="CZ387" s="60"/>
      <c r="DA387" s="60"/>
      <c r="DB387" s="71" t="str">
        <f t="shared" si="5284"/>
        <v/>
      </c>
      <c r="DC387" s="71" t="str">
        <f t="shared" si="5285"/>
        <v/>
      </c>
      <c r="DD387" s="71" t="str">
        <f t="shared" si="5286"/>
        <v/>
      </c>
      <c r="DE387" s="71" t="str">
        <f t="shared" si="5287"/>
        <v/>
      </c>
      <c r="DF387" s="71" t="str">
        <f t="shared" si="5288"/>
        <v/>
      </c>
      <c r="DG387" s="71" t="str">
        <f t="shared" si="5289"/>
        <v/>
      </c>
      <c r="DH387" s="71" t="str">
        <f t="shared" si="5290"/>
        <v/>
      </c>
      <c r="DI387" s="71" t="str">
        <f t="shared" si="5291"/>
        <v/>
      </c>
      <c r="DJ387" s="71" t="str">
        <f t="shared" si="5292"/>
        <v/>
      </c>
      <c r="DK387" s="71" t="str">
        <f t="shared" si="5293"/>
        <v/>
      </c>
      <c r="DL387" s="71" t="str">
        <f t="shared" si="5294"/>
        <v/>
      </c>
      <c r="DM387" s="71" t="str">
        <f t="shared" si="5295"/>
        <v/>
      </c>
      <c r="DN387" s="71" t="str">
        <f t="shared" si="5296"/>
        <v/>
      </c>
      <c r="DO387" s="71" t="str">
        <f t="shared" si="5297"/>
        <v/>
      </c>
      <c r="DP387" s="71" t="str">
        <f t="shared" si="5298"/>
        <v/>
      </c>
      <c r="DQ387" s="71" t="str">
        <f t="shared" si="5299"/>
        <v/>
      </c>
      <c r="DR387" s="71" t="str">
        <f t="shared" si="5300"/>
        <v/>
      </c>
      <c r="DS387" s="71" t="str">
        <f t="shared" si="5301"/>
        <v/>
      </c>
      <c r="DT387" s="71" t="str">
        <f t="shared" si="5302"/>
        <v/>
      </c>
      <c r="DU387" s="71" t="str">
        <f t="shared" si="5303"/>
        <v/>
      </c>
      <c r="DV387" s="71" t="str">
        <f t="shared" si="5304"/>
        <v/>
      </c>
      <c r="DW387" s="71" t="str">
        <f t="shared" si="5305"/>
        <v/>
      </c>
      <c r="DX387" s="71" t="str">
        <f t="shared" si="5306"/>
        <v/>
      </c>
      <c r="DY387" s="71" t="str">
        <f t="shared" si="5307"/>
        <v/>
      </c>
      <c r="DZ387" s="71" t="str">
        <f t="shared" si="5308"/>
        <v/>
      </c>
      <c r="EA387" s="71" t="str">
        <f t="shared" si="5309"/>
        <v/>
      </c>
      <c r="EB387" s="71" t="str">
        <f t="shared" si="5310"/>
        <v/>
      </c>
      <c r="EC387" s="71" t="str">
        <f t="shared" si="5311"/>
        <v/>
      </c>
      <c r="ED387" s="71" t="str">
        <f t="shared" si="5312"/>
        <v/>
      </c>
      <c r="EE387" s="71" t="str">
        <f t="shared" si="5313"/>
        <v/>
      </c>
      <c r="EF387" s="71" t="str">
        <f t="shared" si="5314"/>
        <v/>
      </c>
      <c r="EG387" s="71" t="str">
        <f t="shared" si="5315"/>
        <v/>
      </c>
      <c r="EH387" s="71" t="str">
        <f t="shared" si="5316"/>
        <v/>
      </c>
      <c r="EI387" s="71" t="str">
        <f t="shared" si="5317"/>
        <v/>
      </c>
      <c r="EJ387" s="71" t="str">
        <f t="shared" si="5318"/>
        <v/>
      </c>
      <c r="EK387" s="71" t="str">
        <f t="shared" si="5319"/>
        <v/>
      </c>
      <c r="EL387" s="71" t="str">
        <f t="shared" si="5320"/>
        <v/>
      </c>
      <c r="EM387" s="71" t="str">
        <f t="shared" si="5321"/>
        <v/>
      </c>
      <c r="EN387" s="71" t="str">
        <f t="shared" si="5322"/>
        <v/>
      </c>
      <c r="EO387" s="71" t="str">
        <f t="shared" si="5323"/>
        <v/>
      </c>
      <c r="EP387" s="71" t="str">
        <f t="shared" si="5324"/>
        <v/>
      </c>
      <c r="EQ387" s="71" t="str">
        <f t="shared" si="5325"/>
        <v/>
      </c>
      <c r="ER387" s="71" t="str">
        <f t="shared" si="5326"/>
        <v/>
      </c>
      <c r="ES387" s="71" t="str">
        <f t="shared" si="5327"/>
        <v/>
      </c>
      <c r="ET387" s="71" t="str">
        <f t="shared" si="5328"/>
        <v/>
      </c>
      <c r="EU387" s="71" t="str">
        <f t="shared" si="5329"/>
        <v/>
      </c>
      <c r="EV387" s="71" t="str">
        <f t="shared" si="5330"/>
        <v/>
      </c>
      <c r="EW387" s="71" t="str">
        <f t="shared" si="5331"/>
        <v/>
      </c>
      <c r="EX387" s="71" t="str">
        <f t="shared" si="5332"/>
        <v/>
      </c>
      <c r="EY387" s="71" t="str">
        <f t="shared" si="5333"/>
        <v/>
      </c>
      <c r="EZ387" s="71" t="str">
        <f t="shared" si="5334"/>
        <v/>
      </c>
      <c r="FA387" s="71" t="str">
        <f t="shared" si="5335"/>
        <v/>
      </c>
      <c r="FB387" s="71" t="str">
        <f t="shared" si="5336"/>
        <v/>
      </c>
      <c r="FC387" s="71" t="str">
        <f t="shared" si="5337"/>
        <v/>
      </c>
      <c r="FD387" s="71" t="str">
        <f t="shared" si="5338"/>
        <v/>
      </c>
      <c r="FE387" s="71" t="str">
        <f t="shared" si="5339"/>
        <v/>
      </c>
      <c r="FF387" s="71" t="str">
        <f t="shared" si="5340"/>
        <v/>
      </c>
      <c r="FG387" s="71" t="str">
        <f t="shared" si="5341"/>
        <v/>
      </c>
      <c r="FH387" s="71" t="str">
        <f t="shared" si="5342"/>
        <v/>
      </c>
      <c r="FI387" s="71" t="str">
        <f t="shared" si="5343"/>
        <v/>
      </c>
      <c r="FJ387" s="71" t="str">
        <f t="shared" si="5344"/>
        <v/>
      </c>
      <c r="FK387" s="71" t="str">
        <f t="shared" si="5345"/>
        <v/>
      </c>
      <c r="FL387" s="71" t="str">
        <f t="shared" si="5346"/>
        <v/>
      </c>
      <c r="FM387" s="71" t="str">
        <f t="shared" si="5347"/>
        <v/>
      </c>
      <c r="FN387" s="71" t="str">
        <f t="shared" si="5348"/>
        <v/>
      </c>
      <c r="FO387" s="71" t="str">
        <f t="shared" si="5349"/>
        <v/>
      </c>
      <c r="FP387" s="71" t="str">
        <f t="shared" si="5350"/>
        <v/>
      </c>
      <c r="FQ387" s="71" t="str">
        <f t="shared" si="5351"/>
        <v/>
      </c>
      <c r="FR387" s="71" t="str">
        <f t="shared" si="5352"/>
        <v/>
      </c>
      <c r="FS387" s="71" t="str">
        <f t="shared" si="5353"/>
        <v/>
      </c>
    </row>
    <row r="388" ht="15" spans="1:175">
      <c r="A388" s="138"/>
      <c r="B388" s="81" t="s">
        <v>1122</v>
      </c>
      <c r="C388" s="156" t="s">
        <v>1107</v>
      </c>
      <c r="K388" s="147"/>
      <c r="T388" s="155" t="s">
        <v>1123</v>
      </c>
      <c r="U388" s="89" t="s">
        <v>1109</v>
      </c>
      <c r="CN388" s="69" t="str">
        <f t="shared" si="5278"/>
        <v>InitUnitState('IK8H',,,,,,,,,,)</v>
      </c>
      <c r="CO388" s="69" t="str">
        <f t="shared" si="5279"/>
        <v>InitUnitNormal('IK8H',,,,,,,,,,)</v>
      </c>
      <c r="CP388" s="69" t="str">
        <f t="shared" si="5280"/>
        <v>InitUnitMagic('IK8H',,,,,,,,,,)</v>
      </c>
      <c r="CQ388" s="69" t="str">
        <f t="shared" si="5281"/>
        <v>InitUnitAdd('IK8H',,,,,,,,,,)</v>
      </c>
      <c r="CR388" s="69" t="str">
        <f t="shared" si="5282"/>
        <v>InitEquipData('IK8H',,"",,,,,'','','','','','',"ReplaceableTextures\\CommandButtons\\BTNUI_Fuin_08.blp")</v>
      </c>
      <c r="CU388" s="99" t="str">
        <f t="shared" si="5283"/>
        <v>|n</v>
      </c>
      <c r="CV388" s="70" t="str">
        <f t="shared" si="5277"/>
        <v>业力|Cffffc926+50000|r，业力|Cffffc926+12%|n|n|r|Cffaaaaaa○|CffFFD24D光之刻印+1|r|r|n|n|Cff00ff7f点击穿戴或脱卸。|r</v>
      </c>
      <c r="CW388" s="60"/>
      <c r="CX388" s="60"/>
      <c r="CY388" s="60"/>
      <c r="CZ388" s="60"/>
      <c r="DA388" s="60"/>
      <c r="DB388" s="71" t="str">
        <f t="shared" si="5284"/>
        <v/>
      </c>
      <c r="DC388" s="71" t="str">
        <f t="shared" si="5285"/>
        <v/>
      </c>
      <c r="DD388" s="71" t="str">
        <f t="shared" si="5286"/>
        <v/>
      </c>
      <c r="DE388" s="71" t="str">
        <f t="shared" si="5287"/>
        <v/>
      </c>
      <c r="DF388" s="71" t="str">
        <f t="shared" si="5288"/>
        <v/>
      </c>
      <c r="DG388" s="71" t="str">
        <f t="shared" si="5289"/>
        <v/>
      </c>
      <c r="DH388" s="71" t="str">
        <f t="shared" si="5290"/>
        <v/>
      </c>
      <c r="DI388" s="71" t="str">
        <f t="shared" si="5291"/>
        <v/>
      </c>
      <c r="DJ388" s="71" t="str">
        <f t="shared" si="5292"/>
        <v/>
      </c>
      <c r="DK388" s="71" t="str">
        <f t="shared" si="5293"/>
        <v/>
      </c>
      <c r="DL388" s="71" t="str">
        <f t="shared" si="5294"/>
        <v/>
      </c>
      <c r="DM388" s="71" t="str">
        <f t="shared" si="5295"/>
        <v/>
      </c>
      <c r="DN388" s="71" t="str">
        <f t="shared" si="5296"/>
        <v/>
      </c>
      <c r="DO388" s="71" t="str">
        <f t="shared" si="5297"/>
        <v/>
      </c>
      <c r="DP388" s="71" t="str">
        <f t="shared" si="5298"/>
        <v/>
      </c>
      <c r="DQ388" s="71" t="str">
        <f t="shared" si="5299"/>
        <v/>
      </c>
      <c r="DR388" s="71" t="str">
        <f t="shared" si="5300"/>
        <v/>
      </c>
      <c r="DS388" s="71" t="str">
        <f t="shared" si="5301"/>
        <v/>
      </c>
      <c r="DT388" s="71" t="str">
        <f t="shared" si="5302"/>
        <v/>
      </c>
      <c r="DU388" s="71" t="str">
        <f t="shared" si="5303"/>
        <v/>
      </c>
      <c r="DV388" s="71" t="str">
        <f t="shared" si="5304"/>
        <v/>
      </c>
      <c r="DW388" s="71" t="str">
        <f t="shared" si="5305"/>
        <v/>
      </c>
      <c r="DX388" s="71" t="str">
        <f t="shared" si="5306"/>
        <v/>
      </c>
      <c r="DY388" s="71" t="str">
        <f t="shared" si="5307"/>
        <v/>
      </c>
      <c r="DZ388" s="71" t="str">
        <f t="shared" si="5308"/>
        <v/>
      </c>
      <c r="EA388" s="71" t="str">
        <f t="shared" si="5309"/>
        <v/>
      </c>
      <c r="EB388" s="71" t="str">
        <f t="shared" si="5310"/>
        <v/>
      </c>
      <c r="EC388" s="71" t="str">
        <f t="shared" si="5311"/>
        <v/>
      </c>
      <c r="ED388" s="71" t="str">
        <f t="shared" si="5312"/>
        <v/>
      </c>
      <c r="EE388" s="71" t="str">
        <f t="shared" si="5313"/>
        <v/>
      </c>
      <c r="EF388" s="71" t="str">
        <f t="shared" si="5314"/>
        <v/>
      </c>
      <c r="EG388" s="71" t="str">
        <f t="shared" si="5315"/>
        <v/>
      </c>
      <c r="EH388" s="71" t="str">
        <f t="shared" si="5316"/>
        <v/>
      </c>
      <c r="EI388" s="71" t="str">
        <f t="shared" si="5317"/>
        <v/>
      </c>
      <c r="EJ388" s="71" t="str">
        <f t="shared" si="5318"/>
        <v/>
      </c>
      <c r="EK388" s="71" t="str">
        <f t="shared" si="5319"/>
        <v/>
      </c>
      <c r="EL388" s="71" t="str">
        <f t="shared" si="5320"/>
        <v/>
      </c>
      <c r="EM388" s="71" t="str">
        <f t="shared" si="5321"/>
        <v/>
      </c>
      <c r="EN388" s="71" t="str">
        <f t="shared" si="5322"/>
        <v/>
      </c>
      <c r="EO388" s="71" t="str">
        <f t="shared" si="5323"/>
        <v/>
      </c>
      <c r="EP388" s="71" t="str">
        <f t="shared" si="5324"/>
        <v/>
      </c>
      <c r="EQ388" s="71" t="str">
        <f t="shared" si="5325"/>
        <v/>
      </c>
      <c r="ER388" s="71" t="str">
        <f t="shared" si="5326"/>
        <v/>
      </c>
      <c r="ES388" s="71" t="str">
        <f t="shared" si="5327"/>
        <v/>
      </c>
      <c r="ET388" s="71" t="str">
        <f t="shared" si="5328"/>
        <v/>
      </c>
      <c r="EU388" s="71" t="str">
        <f t="shared" si="5329"/>
        <v/>
      </c>
      <c r="EV388" s="71" t="str">
        <f t="shared" si="5330"/>
        <v/>
      </c>
      <c r="EW388" s="71" t="str">
        <f t="shared" si="5331"/>
        <v/>
      </c>
      <c r="EX388" s="71" t="str">
        <f t="shared" si="5332"/>
        <v/>
      </c>
      <c r="EY388" s="71" t="str">
        <f t="shared" si="5333"/>
        <v/>
      </c>
      <c r="EZ388" s="71" t="str">
        <f t="shared" si="5334"/>
        <v/>
      </c>
      <c r="FA388" s="71" t="str">
        <f t="shared" si="5335"/>
        <v/>
      </c>
      <c r="FB388" s="71" t="str">
        <f t="shared" si="5336"/>
        <v/>
      </c>
      <c r="FC388" s="71" t="str">
        <f t="shared" si="5337"/>
        <v/>
      </c>
      <c r="FD388" s="71" t="str">
        <f t="shared" si="5338"/>
        <v/>
      </c>
      <c r="FE388" s="71" t="str">
        <f t="shared" si="5339"/>
        <v/>
      </c>
      <c r="FF388" s="71" t="str">
        <f t="shared" si="5340"/>
        <v/>
      </c>
      <c r="FG388" s="71" t="str">
        <f t="shared" si="5341"/>
        <v/>
      </c>
      <c r="FH388" s="71" t="str">
        <f t="shared" si="5342"/>
        <v/>
      </c>
      <c r="FI388" s="71" t="str">
        <f t="shared" si="5343"/>
        <v/>
      </c>
      <c r="FJ388" s="71" t="str">
        <f t="shared" si="5344"/>
        <v/>
      </c>
      <c r="FK388" s="71" t="str">
        <f t="shared" si="5345"/>
        <v/>
      </c>
      <c r="FL388" s="71" t="str">
        <f t="shared" si="5346"/>
        <v/>
      </c>
      <c r="FM388" s="71" t="str">
        <f t="shared" si="5347"/>
        <v/>
      </c>
      <c r="FN388" s="71" t="str">
        <f t="shared" si="5348"/>
        <v/>
      </c>
      <c r="FO388" s="71" t="str">
        <f t="shared" si="5349"/>
        <v/>
      </c>
      <c r="FP388" s="71" t="str">
        <f t="shared" si="5350"/>
        <v/>
      </c>
      <c r="FQ388" s="71" t="str">
        <f t="shared" si="5351"/>
        <v/>
      </c>
      <c r="FR388" s="71" t="str">
        <f t="shared" si="5352"/>
        <v/>
      </c>
      <c r="FS388" s="71" t="str">
        <f t="shared" si="5353"/>
        <v/>
      </c>
    </row>
    <row r="389" ht="15" spans="1:175">
      <c r="A389" s="138"/>
      <c r="B389" s="81" t="s">
        <v>1124</v>
      </c>
      <c r="C389" s="156" t="s">
        <v>1107</v>
      </c>
      <c r="K389" s="157"/>
      <c r="T389" s="155" t="s">
        <v>1125</v>
      </c>
      <c r="U389" s="89" t="s">
        <v>1109</v>
      </c>
      <c r="CN389" s="69" t="str">
        <f t="shared" si="5278"/>
        <v>InitUnitState('IK8I',,,,,,,,,,)</v>
      </c>
      <c r="CO389" s="69" t="str">
        <f t="shared" si="5279"/>
        <v>InitUnitNormal('IK8I',,,,,,,,,,)</v>
      </c>
      <c r="CP389" s="69" t="str">
        <f t="shared" si="5280"/>
        <v>InitUnitMagic('IK8I',,,,,,,,,,)</v>
      </c>
      <c r="CQ389" s="69" t="str">
        <f t="shared" si="5281"/>
        <v>InitUnitAdd('IK8I',,,,,,,,,,)</v>
      </c>
      <c r="CR389" s="69" t="str">
        <f t="shared" si="5282"/>
        <v>InitEquipData('IK8I',,"",,,,,'','','','','','',"")</v>
      </c>
      <c r="CU389" s="99" t="str">
        <f t="shared" si="5283"/>
        <v>|n</v>
      </c>
      <c r="CV389" s="70" t="str">
        <f t="shared" si="5277"/>
        <v>业力|Cffffc926+50000|r，业力|Cffffc926+12%|n|n|r|Cffaaaaaa○|CffFFD24D暗之刻印+1|r|r|n|n|Cff00ff7f点击穿戴或脱卸。|r</v>
      </c>
      <c r="CW389" s="60"/>
      <c r="CX389" s="60"/>
      <c r="CY389" s="60"/>
      <c r="CZ389" s="60"/>
      <c r="DA389" s="60"/>
      <c r="DB389" s="71" t="str">
        <f t="shared" si="5284"/>
        <v/>
      </c>
      <c r="DC389" s="71" t="str">
        <f t="shared" si="5285"/>
        <v/>
      </c>
      <c r="DD389" s="71" t="str">
        <f t="shared" si="5286"/>
        <v/>
      </c>
      <c r="DE389" s="71" t="str">
        <f t="shared" si="5287"/>
        <v/>
      </c>
      <c r="DF389" s="71" t="str">
        <f t="shared" si="5288"/>
        <v/>
      </c>
      <c r="DG389" s="71" t="str">
        <f t="shared" si="5289"/>
        <v/>
      </c>
      <c r="DH389" s="71" t="str">
        <f t="shared" si="5290"/>
        <v/>
      </c>
      <c r="DI389" s="71" t="str">
        <f t="shared" si="5291"/>
        <v/>
      </c>
      <c r="DJ389" s="71" t="str">
        <f t="shared" si="5292"/>
        <v/>
      </c>
      <c r="DK389" s="71" t="str">
        <f t="shared" si="5293"/>
        <v/>
      </c>
      <c r="DL389" s="71" t="str">
        <f t="shared" si="5294"/>
        <v/>
      </c>
      <c r="DM389" s="71" t="str">
        <f t="shared" si="5295"/>
        <v/>
      </c>
      <c r="DN389" s="71" t="str">
        <f t="shared" si="5296"/>
        <v/>
      </c>
      <c r="DO389" s="71" t="str">
        <f t="shared" si="5297"/>
        <v/>
      </c>
      <c r="DP389" s="71" t="str">
        <f t="shared" si="5298"/>
        <v/>
      </c>
      <c r="DQ389" s="71" t="str">
        <f t="shared" si="5299"/>
        <v/>
      </c>
      <c r="DR389" s="71" t="str">
        <f t="shared" si="5300"/>
        <v/>
      </c>
      <c r="DS389" s="71" t="str">
        <f t="shared" si="5301"/>
        <v/>
      </c>
      <c r="DT389" s="71" t="str">
        <f t="shared" si="5302"/>
        <v/>
      </c>
      <c r="DU389" s="71" t="str">
        <f t="shared" si="5303"/>
        <v/>
      </c>
      <c r="DV389" s="71" t="str">
        <f t="shared" si="5304"/>
        <v/>
      </c>
      <c r="DW389" s="71" t="str">
        <f t="shared" si="5305"/>
        <v/>
      </c>
      <c r="DX389" s="71" t="str">
        <f t="shared" si="5306"/>
        <v/>
      </c>
      <c r="DY389" s="71" t="str">
        <f t="shared" si="5307"/>
        <v/>
      </c>
      <c r="DZ389" s="71" t="str">
        <f t="shared" si="5308"/>
        <v/>
      </c>
      <c r="EA389" s="71" t="str">
        <f t="shared" si="5309"/>
        <v/>
      </c>
      <c r="EB389" s="71" t="str">
        <f t="shared" si="5310"/>
        <v/>
      </c>
      <c r="EC389" s="71" t="str">
        <f t="shared" si="5311"/>
        <v/>
      </c>
      <c r="ED389" s="71" t="str">
        <f t="shared" si="5312"/>
        <v/>
      </c>
      <c r="EE389" s="71" t="str">
        <f t="shared" si="5313"/>
        <v/>
      </c>
      <c r="EF389" s="71" t="str">
        <f t="shared" si="5314"/>
        <v/>
      </c>
      <c r="EG389" s="71" t="str">
        <f t="shared" si="5315"/>
        <v/>
      </c>
      <c r="EH389" s="71" t="str">
        <f t="shared" si="5316"/>
        <v/>
      </c>
      <c r="EI389" s="71" t="str">
        <f t="shared" si="5317"/>
        <v/>
      </c>
      <c r="EJ389" s="71" t="str">
        <f t="shared" si="5318"/>
        <v/>
      </c>
      <c r="EK389" s="71" t="str">
        <f t="shared" si="5319"/>
        <v/>
      </c>
      <c r="EL389" s="71" t="str">
        <f t="shared" si="5320"/>
        <v/>
      </c>
      <c r="EM389" s="71" t="str">
        <f t="shared" si="5321"/>
        <v/>
      </c>
      <c r="EN389" s="71" t="str">
        <f t="shared" si="5322"/>
        <v/>
      </c>
      <c r="EO389" s="71" t="str">
        <f t="shared" si="5323"/>
        <v/>
      </c>
      <c r="EP389" s="71" t="str">
        <f t="shared" si="5324"/>
        <v/>
      </c>
      <c r="EQ389" s="71" t="str">
        <f t="shared" si="5325"/>
        <v/>
      </c>
      <c r="ER389" s="71" t="str">
        <f t="shared" si="5326"/>
        <v/>
      </c>
      <c r="ES389" s="71" t="str">
        <f t="shared" si="5327"/>
        <v/>
      </c>
      <c r="ET389" s="71" t="str">
        <f t="shared" si="5328"/>
        <v/>
      </c>
      <c r="EU389" s="71" t="str">
        <f t="shared" si="5329"/>
        <v/>
      </c>
      <c r="EV389" s="71" t="str">
        <f t="shared" si="5330"/>
        <v/>
      </c>
      <c r="EW389" s="71" t="str">
        <f t="shared" si="5331"/>
        <v/>
      </c>
      <c r="EX389" s="71" t="str">
        <f t="shared" si="5332"/>
        <v/>
      </c>
      <c r="EY389" s="71" t="str">
        <f t="shared" si="5333"/>
        <v/>
      </c>
      <c r="EZ389" s="71" t="str">
        <f t="shared" si="5334"/>
        <v/>
      </c>
      <c r="FA389" s="71" t="str">
        <f t="shared" si="5335"/>
        <v/>
      </c>
      <c r="FB389" s="71" t="str">
        <f t="shared" si="5336"/>
        <v/>
      </c>
      <c r="FC389" s="71" t="str">
        <f t="shared" si="5337"/>
        <v/>
      </c>
      <c r="FD389" s="71" t="str">
        <f t="shared" si="5338"/>
        <v/>
      </c>
      <c r="FE389" s="71" t="str">
        <f t="shared" si="5339"/>
        <v/>
      </c>
      <c r="FF389" s="71" t="str">
        <f t="shared" si="5340"/>
        <v/>
      </c>
      <c r="FG389" s="71" t="str">
        <f t="shared" si="5341"/>
        <v/>
      </c>
      <c r="FH389" s="71" t="str">
        <f t="shared" si="5342"/>
        <v/>
      </c>
      <c r="FI389" s="71" t="str">
        <f t="shared" si="5343"/>
        <v/>
      </c>
      <c r="FJ389" s="71" t="str">
        <f t="shared" si="5344"/>
        <v/>
      </c>
      <c r="FK389" s="71" t="str">
        <f t="shared" si="5345"/>
        <v/>
      </c>
      <c r="FL389" s="71" t="str">
        <f t="shared" si="5346"/>
        <v/>
      </c>
      <c r="FM389" s="71" t="str">
        <f t="shared" si="5347"/>
        <v/>
      </c>
      <c r="FN389" s="71" t="str">
        <f t="shared" si="5348"/>
        <v/>
      </c>
      <c r="FO389" s="71" t="str">
        <f t="shared" si="5349"/>
        <v/>
      </c>
      <c r="FP389" s="71" t="str">
        <f t="shared" si="5350"/>
        <v/>
      </c>
      <c r="FQ389" s="71" t="str">
        <f t="shared" si="5351"/>
        <v/>
      </c>
      <c r="FR389" s="71" t="str">
        <f t="shared" si="5352"/>
        <v/>
      </c>
      <c r="FS389" s="71" t="str">
        <f t="shared" si="5353"/>
        <v/>
      </c>
    </row>
    <row r="390" ht="15" spans="1:175">
      <c r="A390" s="137"/>
      <c r="B390" s="81" t="s">
        <v>1126</v>
      </c>
      <c r="C390" s="146" t="s">
        <v>1127</v>
      </c>
      <c r="T390" s="159" t="s">
        <v>1128</v>
      </c>
      <c r="U390" s="89" t="s">
        <v>1129</v>
      </c>
      <c r="CN390" s="69" t="str">
        <f t="shared" si="4670"/>
        <v>InitUnitState('IK91',,,,,,,,,,)</v>
      </c>
      <c r="CO390" s="69" t="str">
        <f t="shared" si="4671"/>
        <v>InitUnitNormal('IK91',,,,,,,,,,)</v>
      </c>
      <c r="CP390" s="69" t="str">
        <f t="shared" si="4672"/>
        <v>InitUnitMagic('IK91',,,,,,,,,,)</v>
      </c>
      <c r="CQ390" s="69" t="str">
        <f t="shared" si="4673"/>
        <v>InitUnitAdd('IK91',,,,,,,,,,)</v>
      </c>
      <c r="CR390" s="69" t="str">
        <f t="shared" ref="CR390:CR397" si="5354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391&amp;CR$1&amp;")"</f>
        <v>InitEquipData('IK91',,"",,,,,'','','','','','',"ReplaceableTextures\\CommandButtons\\BTNUI_Fuin_02.blp")</v>
      </c>
      <c r="CU390" s="99" t="str">
        <f t="shared" si="4674"/>
        <v>|n</v>
      </c>
      <c r="CV390" s="70" t="str">
        <f t="shared" si="5277"/>
        <v>为|Cffffc926史诗品质|r的|Cffffc926宝物|r附加一条|Cffffc926金之符印|r属性。|n|n|Cff00ff7f点击可将刻印镶嵌至指定史诗品质的宝物。|n|r|Cffff0000镶嵌后不可拆卸和替换。|r</v>
      </c>
      <c r="CW390" s="60"/>
      <c r="CX390" s="60"/>
      <c r="CY390" s="60"/>
      <c r="CZ390" s="60"/>
      <c r="DA390" s="60"/>
      <c r="DB390" s="71" t="str">
        <f t="shared" si="4675"/>
        <v/>
      </c>
      <c r="DC390" s="71" t="str">
        <f t="shared" si="4676"/>
        <v/>
      </c>
      <c r="DD390" s="71" t="str">
        <f t="shared" si="4677"/>
        <v/>
      </c>
      <c r="DE390" s="71" t="str">
        <f t="shared" si="4678"/>
        <v/>
      </c>
      <c r="DF390" s="71" t="str">
        <f t="shared" si="4679"/>
        <v/>
      </c>
      <c r="DG390" s="71" t="str">
        <f t="shared" si="4680"/>
        <v/>
      </c>
      <c r="DH390" s="71" t="str">
        <f t="shared" si="4681"/>
        <v/>
      </c>
      <c r="DI390" s="71" t="str">
        <f t="shared" si="4682"/>
        <v/>
      </c>
      <c r="DJ390" s="71" t="str">
        <f t="shared" si="4683"/>
        <v/>
      </c>
      <c r="DK390" s="71" t="str">
        <f t="shared" si="4684"/>
        <v/>
      </c>
      <c r="DL390" s="71" t="str">
        <f t="shared" si="4685"/>
        <v/>
      </c>
      <c r="DM390" s="71" t="str">
        <f t="shared" si="4686"/>
        <v/>
      </c>
      <c r="DN390" s="71" t="str">
        <f t="shared" si="4687"/>
        <v/>
      </c>
      <c r="DO390" s="71" t="str">
        <f t="shared" si="4688"/>
        <v/>
      </c>
      <c r="DP390" s="71" t="str">
        <f t="shared" si="4689"/>
        <v/>
      </c>
      <c r="DQ390" s="71" t="str">
        <f t="shared" si="4690"/>
        <v/>
      </c>
      <c r="DR390" s="71" t="str">
        <f t="shared" si="4691"/>
        <v/>
      </c>
      <c r="DS390" s="71" t="str">
        <f t="shared" si="4692"/>
        <v/>
      </c>
      <c r="DT390" s="71" t="str">
        <f t="shared" si="4693"/>
        <v/>
      </c>
      <c r="DU390" s="71" t="str">
        <f t="shared" si="4694"/>
        <v/>
      </c>
      <c r="DV390" s="71" t="str">
        <f t="shared" si="4695"/>
        <v/>
      </c>
      <c r="DW390" s="71" t="str">
        <f t="shared" si="4696"/>
        <v/>
      </c>
      <c r="DX390" s="71" t="str">
        <f t="shared" si="4697"/>
        <v/>
      </c>
      <c r="DY390" s="71" t="str">
        <f t="shared" si="4698"/>
        <v/>
      </c>
      <c r="DZ390" s="71" t="str">
        <f t="shared" si="4699"/>
        <v/>
      </c>
      <c r="EA390" s="71" t="str">
        <f t="shared" si="4700"/>
        <v/>
      </c>
      <c r="EB390" s="71" t="str">
        <f t="shared" si="4701"/>
        <v/>
      </c>
      <c r="EC390" s="71" t="str">
        <f t="shared" si="4702"/>
        <v/>
      </c>
      <c r="ED390" s="71" t="str">
        <f t="shared" si="4703"/>
        <v/>
      </c>
      <c r="EE390" s="71" t="str">
        <f t="shared" si="4704"/>
        <v/>
      </c>
      <c r="EF390" s="71" t="str">
        <f t="shared" si="4705"/>
        <v/>
      </c>
      <c r="EG390" s="71" t="str">
        <f t="shared" si="4706"/>
        <v/>
      </c>
      <c r="EH390" s="71" t="str">
        <f t="shared" si="4707"/>
        <v/>
      </c>
      <c r="EI390" s="71" t="str">
        <f t="shared" si="4708"/>
        <v/>
      </c>
      <c r="EJ390" s="71" t="str">
        <f t="shared" si="4709"/>
        <v/>
      </c>
      <c r="EK390" s="71" t="str">
        <f t="shared" si="4710"/>
        <v/>
      </c>
      <c r="EL390" s="71" t="str">
        <f t="shared" si="4711"/>
        <v/>
      </c>
      <c r="EM390" s="71" t="str">
        <f t="shared" si="4712"/>
        <v/>
      </c>
      <c r="EN390" s="71" t="str">
        <f t="shared" si="4713"/>
        <v/>
      </c>
      <c r="EO390" s="71" t="str">
        <f t="shared" si="4714"/>
        <v/>
      </c>
      <c r="EP390" s="71" t="str">
        <f t="shared" si="4715"/>
        <v/>
      </c>
      <c r="EQ390" s="71" t="str">
        <f t="shared" si="4716"/>
        <v/>
      </c>
      <c r="ER390" s="71" t="str">
        <f t="shared" si="4717"/>
        <v/>
      </c>
      <c r="ES390" s="71" t="str">
        <f t="shared" si="4718"/>
        <v/>
      </c>
      <c r="ET390" s="71" t="str">
        <f t="shared" si="4719"/>
        <v/>
      </c>
      <c r="EU390" s="71" t="str">
        <f t="shared" si="4720"/>
        <v/>
      </c>
      <c r="EV390" s="71" t="str">
        <f t="shared" si="4721"/>
        <v/>
      </c>
      <c r="EW390" s="71" t="str">
        <f t="shared" si="4722"/>
        <v/>
      </c>
      <c r="EX390" s="71" t="str">
        <f t="shared" si="4723"/>
        <v/>
      </c>
      <c r="EY390" s="71" t="str">
        <f t="shared" si="4724"/>
        <v/>
      </c>
      <c r="EZ390" s="71" t="str">
        <f t="shared" si="4725"/>
        <v/>
      </c>
      <c r="FA390" s="71" t="str">
        <f t="shared" si="4726"/>
        <v/>
      </c>
      <c r="FB390" s="71" t="str">
        <f t="shared" si="4727"/>
        <v/>
      </c>
      <c r="FC390" s="71" t="str">
        <f t="shared" si="4728"/>
        <v/>
      </c>
      <c r="FD390" s="71" t="str">
        <f t="shared" si="4729"/>
        <v/>
      </c>
      <c r="FE390" s="71" t="str">
        <f t="shared" si="4730"/>
        <v/>
      </c>
      <c r="FF390" s="71" t="str">
        <f t="shared" si="4731"/>
        <v/>
      </c>
      <c r="FG390" s="71" t="str">
        <f t="shared" si="4732"/>
        <v/>
      </c>
      <c r="FH390" s="71" t="str">
        <f t="shared" si="4733"/>
        <v/>
      </c>
      <c r="FI390" s="71" t="str">
        <f t="shared" si="4734"/>
        <v/>
      </c>
      <c r="FJ390" s="71" t="str">
        <f t="shared" si="4735"/>
        <v/>
      </c>
      <c r="FK390" s="71" t="str">
        <f t="shared" si="4736"/>
        <v/>
      </c>
      <c r="FL390" s="71" t="str">
        <f t="shared" si="4737"/>
        <v/>
      </c>
      <c r="FM390" s="71" t="str">
        <f t="shared" si="4738"/>
        <v/>
      </c>
      <c r="FN390" s="71" t="str">
        <f t="shared" si="4739"/>
        <v/>
      </c>
      <c r="FO390" s="71" t="str">
        <f t="shared" si="4740"/>
        <v/>
      </c>
      <c r="FP390" s="71" t="str">
        <f t="shared" si="4741"/>
        <v/>
      </c>
      <c r="FQ390" s="71" t="str">
        <f t="shared" si="4742"/>
        <v/>
      </c>
      <c r="FR390" s="71" t="str">
        <f t="shared" si="4743"/>
        <v/>
      </c>
      <c r="FS390" s="71" t="str">
        <f t="shared" si="4744"/>
        <v/>
      </c>
    </row>
    <row r="391" ht="15" spans="1:175">
      <c r="A391" s="137"/>
      <c r="B391" s="81" t="s">
        <v>1130</v>
      </c>
      <c r="C391" s="147" t="s">
        <v>1131</v>
      </c>
      <c r="T391" s="160" t="s">
        <v>1132</v>
      </c>
      <c r="U391" s="89" t="s">
        <v>1133</v>
      </c>
      <c r="CN391" s="69" t="str">
        <f t="shared" si="4670"/>
        <v>InitUnitState('IK92',,,,,,,,,,)</v>
      </c>
      <c r="CO391" s="69" t="str">
        <f t="shared" si="4671"/>
        <v>InitUnitNormal('IK92',,,,,,,,,,)</v>
      </c>
      <c r="CP391" s="69" t="str">
        <f t="shared" si="4672"/>
        <v>InitUnitMagic('IK92',,,,,,,,,,)</v>
      </c>
      <c r="CQ391" s="69" t="str">
        <f t="shared" si="4673"/>
        <v>InitUnitAdd('IK92',,,,,,,,,,)</v>
      </c>
      <c r="CR391" s="69" t="str">
        <f t="shared" si="5354"/>
        <v>InitEquipData('IK92',,"",,,,,'','','','','','',"ReplaceableTextures\\CommandButtons\\BTNUI_Fuin_03.blp")</v>
      </c>
      <c r="CU391" s="99" t="str">
        <f t="shared" si="4674"/>
        <v>|n</v>
      </c>
      <c r="CV391" s="70" t="str">
        <f t="shared" si="5277"/>
        <v>为|Cffffc926史诗品质|r的|Cffffc926宝物|r附加一条|Cffffc926木之符印|r属性。|n|n|Cff00ff7f点击可将刻印镶嵌至指定史诗品质的宝物。|n|r|Cffff0000镶嵌后不可拆卸和替换。|r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675"/>
        <v/>
      </c>
      <c r="DC391" s="71" t="str">
        <f t="shared" si="4676"/>
        <v/>
      </c>
      <c r="DD391" s="71" t="str">
        <f t="shared" si="4677"/>
        <v/>
      </c>
      <c r="DE391" s="71" t="str">
        <f t="shared" si="4678"/>
        <v/>
      </c>
      <c r="DF391" s="71" t="str">
        <f t="shared" si="4679"/>
        <v/>
      </c>
      <c r="DG391" s="71" t="str">
        <f t="shared" si="4680"/>
        <v/>
      </c>
      <c r="DH391" s="71" t="str">
        <f t="shared" si="4681"/>
        <v/>
      </c>
      <c r="DI391" s="71" t="str">
        <f t="shared" si="4682"/>
        <v/>
      </c>
      <c r="DJ391" s="71" t="str">
        <f t="shared" si="4683"/>
        <v/>
      </c>
      <c r="DK391" s="71" t="str">
        <f t="shared" si="4684"/>
        <v/>
      </c>
      <c r="DL391" s="71" t="str">
        <f t="shared" si="4685"/>
        <v/>
      </c>
      <c r="DM391" s="71" t="str">
        <f t="shared" si="4686"/>
        <v/>
      </c>
      <c r="DN391" s="71" t="str">
        <f t="shared" si="4687"/>
        <v/>
      </c>
      <c r="DO391" s="71" t="str">
        <f t="shared" si="4688"/>
        <v/>
      </c>
      <c r="DP391" s="71" t="str">
        <f t="shared" si="4689"/>
        <v/>
      </c>
      <c r="DQ391" s="71" t="str">
        <f t="shared" si="4690"/>
        <v/>
      </c>
      <c r="DR391" s="71" t="str">
        <f t="shared" si="4691"/>
        <v/>
      </c>
      <c r="DS391" s="71" t="str">
        <f t="shared" si="4692"/>
        <v/>
      </c>
      <c r="DT391" s="71" t="str">
        <f t="shared" si="4693"/>
        <v/>
      </c>
      <c r="DU391" s="71" t="str">
        <f t="shared" si="4694"/>
        <v/>
      </c>
      <c r="DV391" s="71" t="str">
        <f t="shared" si="4695"/>
        <v/>
      </c>
      <c r="DW391" s="71" t="str">
        <f t="shared" si="4696"/>
        <v/>
      </c>
      <c r="DX391" s="71" t="str">
        <f t="shared" si="4697"/>
        <v/>
      </c>
      <c r="DY391" s="71" t="str">
        <f t="shared" si="4698"/>
        <v/>
      </c>
      <c r="DZ391" s="71" t="str">
        <f t="shared" si="4699"/>
        <v/>
      </c>
      <c r="EA391" s="71" t="str">
        <f t="shared" si="4700"/>
        <v/>
      </c>
      <c r="EB391" s="71" t="str">
        <f t="shared" si="4701"/>
        <v/>
      </c>
      <c r="EC391" s="71" t="str">
        <f t="shared" si="4702"/>
        <v/>
      </c>
      <c r="ED391" s="71" t="str">
        <f t="shared" si="4703"/>
        <v/>
      </c>
      <c r="EE391" s="71" t="str">
        <f t="shared" si="4704"/>
        <v/>
      </c>
      <c r="EF391" s="71" t="str">
        <f t="shared" si="4705"/>
        <v/>
      </c>
      <c r="EG391" s="71" t="str">
        <f t="shared" si="4706"/>
        <v/>
      </c>
      <c r="EH391" s="71" t="str">
        <f t="shared" si="4707"/>
        <v/>
      </c>
      <c r="EI391" s="71" t="str">
        <f t="shared" si="4708"/>
        <v/>
      </c>
      <c r="EJ391" s="71" t="str">
        <f t="shared" si="4709"/>
        <v/>
      </c>
      <c r="EK391" s="71" t="str">
        <f t="shared" si="4710"/>
        <v/>
      </c>
      <c r="EL391" s="71" t="str">
        <f t="shared" si="4711"/>
        <v/>
      </c>
      <c r="EM391" s="71" t="str">
        <f t="shared" si="4712"/>
        <v/>
      </c>
      <c r="EN391" s="71" t="str">
        <f t="shared" si="4713"/>
        <v/>
      </c>
      <c r="EO391" s="71" t="str">
        <f t="shared" si="4714"/>
        <v/>
      </c>
      <c r="EP391" s="71" t="str">
        <f t="shared" si="4715"/>
        <v/>
      </c>
      <c r="EQ391" s="71" t="str">
        <f t="shared" si="4716"/>
        <v/>
      </c>
      <c r="ER391" s="71" t="str">
        <f t="shared" si="4717"/>
        <v/>
      </c>
      <c r="ES391" s="71" t="str">
        <f t="shared" si="4718"/>
        <v/>
      </c>
      <c r="ET391" s="71" t="str">
        <f t="shared" si="4719"/>
        <v/>
      </c>
      <c r="EU391" s="71" t="str">
        <f t="shared" si="4720"/>
        <v/>
      </c>
      <c r="EV391" s="71" t="str">
        <f t="shared" si="4721"/>
        <v/>
      </c>
      <c r="EW391" s="71" t="str">
        <f t="shared" si="4722"/>
        <v/>
      </c>
      <c r="EX391" s="71" t="str">
        <f t="shared" si="4723"/>
        <v/>
      </c>
      <c r="EY391" s="71" t="str">
        <f t="shared" si="4724"/>
        <v/>
      </c>
      <c r="EZ391" s="71" t="str">
        <f t="shared" si="4725"/>
        <v/>
      </c>
      <c r="FA391" s="71" t="str">
        <f t="shared" si="4726"/>
        <v/>
      </c>
      <c r="FB391" s="71" t="str">
        <f t="shared" si="4727"/>
        <v/>
      </c>
      <c r="FC391" s="71" t="str">
        <f t="shared" si="4728"/>
        <v/>
      </c>
      <c r="FD391" s="71" t="str">
        <f t="shared" si="4729"/>
        <v/>
      </c>
      <c r="FE391" s="71" t="str">
        <f t="shared" si="4730"/>
        <v/>
      </c>
      <c r="FF391" s="71" t="str">
        <f t="shared" si="4731"/>
        <v/>
      </c>
      <c r="FG391" s="71" t="str">
        <f t="shared" si="4732"/>
        <v/>
      </c>
      <c r="FH391" s="71" t="str">
        <f t="shared" si="4733"/>
        <v/>
      </c>
      <c r="FI391" s="71" t="str">
        <f t="shared" si="4734"/>
        <v/>
      </c>
      <c r="FJ391" s="71" t="str">
        <f t="shared" si="4735"/>
        <v/>
      </c>
      <c r="FK391" s="71" t="str">
        <f t="shared" si="4736"/>
        <v/>
      </c>
      <c r="FL391" s="71" t="str">
        <f t="shared" si="4737"/>
        <v/>
      </c>
      <c r="FM391" s="71" t="str">
        <f t="shared" si="4738"/>
        <v/>
      </c>
      <c r="FN391" s="71" t="str">
        <f t="shared" si="4739"/>
        <v/>
      </c>
      <c r="FO391" s="71" t="str">
        <f t="shared" si="4740"/>
        <v/>
      </c>
      <c r="FP391" s="71" t="str">
        <f t="shared" si="4741"/>
        <v/>
      </c>
      <c r="FQ391" s="71" t="str">
        <f t="shared" si="4742"/>
        <v/>
      </c>
      <c r="FR391" s="71" t="str">
        <f t="shared" si="4743"/>
        <v/>
      </c>
      <c r="FS391" s="71" t="str">
        <f t="shared" si="4744"/>
        <v/>
      </c>
    </row>
    <row r="392" ht="15" spans="1:175">
      <c r="A392" s="138"/>
      <c r="B392" s="81" t="s">
        <v>1134</v>
      </c>
      <c r="C392" s="147" t="s">
        <v>1135</v>
      </c>
      <c r="T392" s="160" t="s">
        <v>1136</v>
      </c>
      <c r="U392" s="89" t="s">
        <v>1137</v>
      </c>
      <c r="CN392" s="69" t="str">
        <f t="shared" si="4670"/>
        <v>InitUnitState('IK93',,,,,,,,,,)</v>
      </c>
      <c r="CO392" s="69" t="str">
        <f t="shared" si="4671"/>
        <v>InitUnitNormal('IK93',,,,,,,,,,)</v>
      </c>
      <c r="CP392" s="69" t="str">
        <f t="shared" si="4672"/>
        <v>InitUnitMagic('IK93',,,,,,,,,,)</v>
      </c>
      <c r="CQ392" s="69" t="str">
        <f t="shared" si="4673"/>
        <v>InitUnitAdd('IK93',,,,,,,,,,)</v>
      </c>
      <c r="CR392" s="69" t="str">
        <f t="shared" si="5354"/>
        <v>InitEquipData('IK93',,"",,,,,'','','','','','',"ReplaceableTextures\\CommandButtons\\BTNUI_Fuin_04.blp")</v>
      </c>
      <c r="CU392" s="99" t="str">
        <f t="shared" si="4674"/>
        <v>|n</v>
      </c>
      <c r="CV392" s="70" t="str">
        <f t="shared" si="5277"/>
        <v>为|Cffffc926史诗品质|r的|Cffffc926宝物|r附加一条|Cffffc926水之符印|r属性。|n|n|Cff00ff7f点击可将刻印镶嵌至指定史诗品质的宝物。|n|r|Cffff0000镶嵌后不可拆卸和替换。|r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675"/>
        <v/>
      </c>
      <c r="DC392" s="71" t="str">
        <f t="shared" si="4676"/>
        <v/>
      </c>
      <c r="DD392" s="71" t="str">
        <f t="shared" si="4677"/>
        <v/>
      </c>
      <c r="DE392" s="71" t="str">
        <f t="shared" si="4678"/>
        <v/>
      </c>
      <c r="DF392" s="71" t="str">
        <f t="shared" si="4679"/>
        <v/>
      </c>
      <c r="DG392" s="71" t="str">
        <f t="shared" si="4680"/>
        <v/>
      </c>
      <c r="DH392" s="71" t="str">
        <f t="shared" si="4681"/>
        <v/>
      </c>
      <c r="DI392" s="71" t="str">
        <f t="shared" si="4682"/>
        <v/>
      </c>
      <c r="DJ392" s="71" t="str">
        <f t="shared" si="4683"/>
        <v/>
      </c>
      <c r="DK392" s="71" t="str">
        <f t="shared" si="4684"/>
        <v/>
      </c>
      <c r="DL392" s="71" t="str">
        <f t="shared" si="4685"/>
        <v/>
      </c>
      <c r="DM392" s="71" t="str">
        <f t="shared" si="4686"/>
        <v/>
      </c>
      <c r="DN392" s="71" t="str">
        <f t="shared" si="4687"/>
        <v/>
      </c>
      <c r="DO392" s="71" t="str">
        <f t="shared" si="4688"/>
        <v/>
      </c>
      <c r="DP392" s="71" t="str">
        <f t="shared" si="4689"/>
        <v/>
      </c>
      <c r="DQ392" s="71" t="str">
        <f t="shared" si="4690"/>
        <v/>
      </c>
      <c r="DR392" s="71" t="str">
        <f t="shared" si="4691"/>
        <v/>
      </c>
      <c r="DS392" s="71" t="str">
        <f t="shared" si="4692"/>
        <v/>
      </c>
      <c r="DT392" s="71" t="str">
        <f t="shared" si="4693"/>
        <v/>
      </c>
      <c r="DU392" s="71" t="str">
        <f t="shared" si="4694"/>
        <v/>
      </c>
      <c r="DV392" s="71" t="str">
        <f t="shared" si="4695"/>
        <v/>
      </c>
      <c r="DW392" s="71" t="str">
        <f t="shared" si="4696"/>
        <v/>
      </c>
      <c r="DX392" s="71" t="str">
        <f t="shared" si="4697"/>
        <v/>
      </c>
      <c r="DY392" s="71" t="str">
        <f t="shared" si="4698"/>
        <v/>
      </c>
      <c r="DZ392" s="71" t="str">
        <f t="shared" si="4699"/>
        <v/>
      </c>
      <c r="EA392" s="71" t="str">
        <f t="shared" si="4700"/>
        <v/>
      </c>
      <c r="EB392" s="71" t="str">
        <f t="shared" si="4701"/>
        <v/>
      </c>
      <c r="EC392" s="71" t="str">
        <f t="shared" si="4702"/>
        <v/>
      </c>
      <c r="ED392" s="71" t="str">
        <f t="shared" si="4703"/>
        <v/>
      </c>
      <c r="EE392" s="71" t="str">
        <f t="shared" si="4704"/>
        <v/>
      </c>
      <c r="EF392" s="71" t="str">
        <f t="shared" si="4705"/>
        <v/>
      </c>
      <c r="EG392" s="71" t="str">
        <f t="shared" si="4706"/>
        <v/>
      </c>
      <c r="EH392" s="71" t="str">
        <f t="shared" si="4707"/>
        <v/>
      </c>
      <c r="EI392" s="71" t="str">
        <f t="shared" si="4708"/>
        <v/>
      </c>
      <c r="EJ392" s="71" t="str">
        <f t="shared" si="4709"/>
        <v/>
      </c>
      <c r="EK392" s="71" t="str">
        <f t="shared" si="4710"/>
        <v/>
      </c>
      <c r="EL392" s="71" t="str">
        <f t="shared" si="4711"/>
        <v/>
      </c>
      <c r="EM392" s="71" t="str">
        <f t="shared" si="4712"/>
        <v/>
      </c>
      <c r="EN392" s="71" t="str">
        <f t="shared" si="4713"/>
        <v/>
      </c>
      <c r="EO392" s="71" t="str">
        <f t="shared" si="4714"/>
        <v/>
      </c>
      <c r="EP392" s="71" t="str">
        <f t="shared" si="4715"/>
        <v/>
      </c>
      <c r="EQ392" s="71" t="str">
        <f t="shared" si="4716"/>
        <v/>
      </c>
      <c r="ER392" s="71" t="str">
        <f t="shared" si="4717"/>
        <v/>
      </c>
      <c r="ES392" s="71" t="str">
        <f t="shared" si="4718"/>
        <v/>
      </c>
      <c r="ET392" s="71" t="str">
        <f t="shared" si="4719"/>
        <v/>
      </c>
      <c r="EU392" s="71" t="str">
        <f t="shared" si="4720"/>
        <v/>
      </c>
      <c r="EV392" s="71" t="str">
        <f t="shared" si="4721"/>
        <v/>
      </c>
      <c r="EW392" s="71" t="str">
        <f t="shared" si="4722"/>
        <v/>
      </c>
      <c r="EX392" s="71" t="str">
        <f t="shared" si="4723"/>
        <v/>
      </c>
      <c r="EY392" s="71" t="str">
        <f t="shared" si="4724"/>
        <v/>
      </c>
      <c r="EZ392" s="71" t="str">
        <f t="shared" si="4725"/>
        <v/>
      </c>
      <c r="FA392" s="71" t="str">
        <f t="shared" si="4726"/>
        <v/>
      </c>
      <c r="FB392" s="71" t="str">
        <f t="shared" si="4727"/>
        <v/>
      </c>
      <c r="FC392" s="71" t="str">
        <f t="shared" si="4728"/>
        <v/>
      </c>
      <c r="FD392" s="71" t="str">
        <f t="shared" si="4729"/>
        <v/>
      </c>
      <c r="FE392" s="71" t="str">
        <f t="shared" si="4730"/>
        <v/>
      </c>
      <c r="FF392" s="71" t="str">
        <f t="shared" si="4731"/>
        <v/>
      </c>
      <c r="FG392" s="71" t="str">
        <f t="shared" si="4732"/>
        <v/>
      </c>
      <c r="FH392" s="71" t="str">
        <f t="shared" si="4733"/>
        <v/>
      </c>
      <c r="FI392" s="71" t="str">
        <f t="shared" si="4734"/>
        <v/>
      </c>
      <c r="FJ392" s="71" t="str">
        <f t="shared" si="4735"/>
        <v/>
      </c>
      <c r="FK392" s="71" t="str">
        <f t="shared" si="4736"/>
        <v/>
      </c>
      <c r="FL392" s="71" t="str">
        <f t="shared" si="4737"/>
        <v/>
      </c>
      <c r="FM392" s="71" t="str">
        <f t="shared" si="4738"/>
        <v/>
      </c>
      <c r="FN392" s="71" t="str">
        <f t="shared" si="4739"/>
        <v/>
      </c>
      <c r="FO392" s="71" t="str">
        <f t="shared" si="4740"/>
        <v/>
      </c>
      <c r="FP392" s="71" t="str">
        <f t="shared" si="4741"/>
        <v/>
      </c>
      <c r="FQ392" s="71" t="str">
        <f t="shared" si="4742"/>
        <v/>
      </c>
      <c r="FR392" s="71" t="str">
        <f t="shared" si="4743"/>
        <v/>
      </c>
      <c r="FS392" s="71" t="str">
        <f t="shared" si="4744"/>
        <v/>
      </c>
    </row>
    <row r="393" ht="15" spans="1:175">
      <c r="A393" s="138"/>
      <c r="B393" s="81" t="s">
        <v>1138</v>
      </c>
      <c r="C393" s="147" t="s">
        <v>1139</v>
      </c>
      <c r="T393" s="160" t="s">
        <v>1140</v>
      </c>
      <c r="U393" s="89" t="s">
        <v>1141</v>
      </c>
      <c r="CN393" s="69" t="str">
        <f t="shared" si="4670"/>
        <v>InitUnitState('IK94',,,,,,,,,,)</v>
      </c>
      <c r="CO393" s="69" t="str">
        <f t="shared" si="4671"/>
        <v>InitUnitNormal('IK94',,,,,,,,,,)</v>
      </c>
      <c r="CP393" s="69" t="str">
        <f t="shared" si="4672"/>
        <v>InitUnitMagic('IK94',,,,,,,,,,)</v>
      </c>
      <c r="CQ393" s="69" t="str">
        <f t="shared" si="4673"/>
        <v>InitUnitAdd('IK94',,,,,,,,,,)</v>
      </c>
      <c r="CR393" s="69" t="str">
        <f t="shared" si="5354"/>
        <v>InitEquipData('IK94',,"",,,,,'','','','','','',"ReplaceableTextures\\CommandButtons\\BTNUI_Fuin_05.blp")</v>
      </c>
      <c r="CU393" s="99" t="str">
        <f t="shared" si="4674"/>
        <v>|n</v>
      </c>
      <c r="CV393" s="70" t="str">
        <f t="shared" si="5277"/>
        <v>为|Cffffc926史诗品质|r的|Cffffc926宝物|r附加一条|Cffffc926火之符印|r属性。|n|n|Cff00ff7f点击可将刻印镶嵌至指定史诗品质的宝物。|n|r|Cffff0000镶嵌后不可拆卸和替换。|r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675"/>
        <v/>
      </c>
      <c r="DC393" s="71" t="str">
        <f t="shared" si="4676"/>
        <v/>
      </c>
      <c r="DD393" s="71" t="str">
        <f t="shared" si="4677"/>
        <v/>
      </c>
      <c r="DE393" s="71" t="str">
        <f t="shared" si="4678"/>
        <v/>
      </c>
      <c r="DF393" s="71" t="str">
        <f t="shared" si="4679"/>
        <v/>
      </c>
      <c r="DG393" s="71" t="str">
        <f t="shared" si="4680"/>
        <v/>
      </c>
      <c r="DH393" s="71" t="str">
        <f t="shared" si="4681"/>
        <v/>
      </c>
      <c r="DI393" s="71" t="str">
        <f t="shared" si="4682"/>
        <v/>
      </c>
      <c r="DJ393" s="71" t="str">
        <f t="shared" si="4683"/>
        <v/>
      </c>
      <c r="DK393" s="71" t="str">
        <f t="shared" si="4684"/>
        <v/>
      </c>
      <c r="DL393" s="71" t="str">
        <f t="shared" si="4685"/>
        <v/>
      </c>
      <c r="DM393" s="71" t="str">
        <f t="shared" si="4686"/>
        <v/>
      </c>
      <c r="DN393" s="71" t="str">
        <f t="shared" si="4687"/>
        <v/>
      </c>
      <c r="DO393" s="71" t="str">
        <f t="shared" si="4688"/>
        <v/>
      </c>
      <c r="DP393" s="71" t="str">
        <f t="shared" si="4689"/>
        <v/>
      </c>
      <c r="DQ393" s="71" t="str">
        <f t="shared" si="4690"/>
        <v/>
      </c>
      <c r="DR393" s="71" t="str">
        <f t="shared" si="4691"/>
        <v/>
      </c>
      <c r="DS393" s="71" t="str">
        <f t="shared" si="4692"/>
        <v/>
      </c>
      <c r="DT393" s="71" t="str">
        <f t="shared" si="4693"/>
        <v/>
      </c>
      <c r="DU393" s="71" t="str">
        <f t="shared" si="4694"/>
        <v/>
      </c>
      <c r="DV393" s="71" t="str">
        <f t="shared" si="4695"/>
        <v/>
      </c>
      <c r="DW393" s="71" t="str">
        <f t="shared" si="4696"/>
        <v/>
      </c>
      <c r="DX393" s="71" t="str">
        <f t="shared" si="4697"/>
        <v/>
      </c>
      <c r="DY393" s="71" t="str">
        <f t="shared" si="4698"/>
        <v/>
      </c>
      <c r="DZ393" s="71" t="str">
        <f t="shared" si="4699"/>
        <v/>
      </c>
      <c r="EA393" s="71" t="str">
        <f t="shared" si="4700"/>
        <v/>
      </c>
      <c r="EB393" s="71" t="str">
        <f t="shared" si="4701"/>
        <v/>
      </c>
      <c r="EC393" s="71" t="str">
        <f t="shared" si="4702"/>
        <v/>
      </c>
      <c r="ED393" s="71" t="str">
        <f t="shared" si="4703"/>
        <v/>
      </c>
      <c r="EE393" s="71" t="str">
        <f t="shared" si="4704"/>
        <v/>
      </c>
      <c r="EF393" s="71" t="str">
        <f t="shared" si="4705"/>
        <v/>
      </c>
      <c r="EG393" s="71" t="str">
        <f t="shared" si="4706"/>
        <v/>
      </c>
      <c r="EH393" s="71" t="str">
        <f t="shared" si="4707"/>
        <v/>
      </c>
      <c r="EI393" s="71" t="str">
        <f t="shared" si="4708"/>
        <v/>
      </c>
      <c r="EJ393" s="71" t="str">
        <f t="shared" si="4709"/>
        <v/>
      </c>
      <c r="EK393" s="71" t="str">
        <f t="shared" si="4710"/>
        <v/>
      </c>
      <c r="EL393" s="71" t="str">
        <f t="shared" si="4711"/>
        <v/>
      </c>
      <c r="EM393" s="71" t="str">
        <f t="shared" si="4712"/>
        <v/>
      </c>
      <c r="EN393" s="71" t="str">
        <f t="shared" si="4713"/>
        <v/>
      </c>
      <c r="EO393" s="71" t="str">
        <f t="shared" si="4714"/>
        <v/>
      </c>
      <c r="EP393" s="71" t="str">
        <f t="shared" si="4715"/>
        <v/>
      </c>
      <c r="EQ393" s="71" t="str">
        <f t="shared" si="4716"/>
        <v/>
      </c>
      <c r="ER393" s="71" t="str">
        <f t="shared" si="4717"/>
        <v/>
      </c>
      <c r="ES393" s="71" t="str">
        <f t="shared" si="4718"/>
        <v/>
      </c>
      <c r="ET393" s="71" t="str">
        <f t="shared" si="4719"/>
        <v/>
      </c>
      <c r="EU393" s="71" t="str">
        <f t="shared" si="4720"/>
        <v/>
      </c>
      <c r="EV393" s="71" t="str">
        <f t="shared" si="4721"/>
        <v/>
      </c>
      <c r="EW393" s="71" t="str">
        <f t="shared" si="4722"/>
        <v/>
      </c>
      <c r="EX393" s="71" t="str">
        <f t="shared" si="4723"/>
        <v/>
      </c>
      <c r="EY393" s="71" t="str">
        <f t="shared" si="4724"/>
        <v/>
      </c>
      <c r="EZ393" s="71" t="str">
        <f t="shared" si="4725"/>
        <v/>
      </c>
      <c r="FA393" s="71" t="str">
        <f t="shared" si="4726"/>
        <v/>
      </c>
      <c r="FB393" s="71" t="str">
        <f t="shared" si="4727"/>
        <v/>
      </c>
      <c r="FC393" s="71" t="str">
        <f t="shared" si="4728"/>
        <v/>
      </c>
      <c r="FD393" s="71" t="str">
        <f t="shared" si="4729"/>
        <v/>
      </c>
      <c r="FE393" s="71" t="str">
        <f t="shared" si="4730"/>
        <v/>
      </c>
      <c r="FF393" s="71" t="str">
        <f t="shared" si="4731"/>
        <v/>
      </c>
      <c r="FG393" s="71" t="str">
        <f t="shared" si="4732"/>
        <v/>
      </c>
      <c r="FH393" s="71" t="str">
        <f t="shared" si="4733"/>
        <v/>
      </c>
      <c r="FI393" s="71" t="str">
        <f t="shared" si="4734"/>
        <v/>
      </c>
      <c r="FJ393" s="71" t="str">
        <f t="shared" si="4735"/>
        <v/>
      </c>
      <c r="FK393" s="71" t="str">
        <f t="shared" si="4736"/>
        <v/>
      </c>
      <c r="FL393" s="71" t="str">
        <f t="shared" si="4737"/>
        <v/>
      </c>
      <c r="FM393" s="71" t="str">
        <f t="shared" si="4738"/>
        <v/>
      </c>
      <c r="FN393" s="71" t="str">
        <f t="shared" si="4739"/>
        <v/>
      </c>
      <c r="FO393" s="71" t="str">
        <f t="shared" si="4740"/>
        <v/>
      </c>
      <c r="FP393" s="71" t="str">
        <f t="shared" si="4741"/>
        <v/>
      </c>
      <c r="FQ393" s="71" t="str">
        <f t="shared" si="4742"/>
        <v/>
      </c>
      <c r="FR393" s="71" t="str">
        <f t="shared" si="4743"/>
        <v/>
      </c>
      <c r="FS393" s="71" t="str">
        <f t="shared" si="4744"/>
        <v/>
      </c>
    </row>
    <row r="394" ht="15" spans="1:175">
      <c r="A394" s="138"/>
      <c r="B394" s="81" t="s">
        <v>1142</v>
      </c>
      <c r="C394" s="147" t="s">
        <v>1143</v>
      </c>
      <c r="T394" s="160" t="s">
        <v>1144</v>
      </c>
      <c r="U394" s="89" t="s">
        <v>1145</v>
      </c>
      <c r="CN394" s="69" t="str">
        <f t="shared" si="4670"/>
        <v>InitUnitState('IK95',,,,,,,,,,)</v>
      </c>
      <c r="CO394" s="69" t="str">
        <f t="shared" si="4671"/>
        <v>InitUnitNormal('IK95',,,,,,,,,,)</v>
      </c>
      <c r="CP394" s="69" t="str">
        <f t="shared" si="4672"/>
        <v>InitUnitMagic('IK95',,,,,,,,,,)</v>
      </c>
      <c r="CQ394" s="69" t="str">
        <f t="shared" si="4673"/>
        <v>InitUnitAdd('IK95',,,,,,,,,,)</v>
      </c>
      <c r="CR394" s="69" t="str">
        <f t="shared" si="5354"/>
        <v>InitEquipData('IK95',,"",,,,,'','','','','','',"ReplaceableTextures\\CommandButtons\\BTNUI_Fuin_06.blp")</v>
      </c>
      <c r="CU394" s="99" t="str">
        <f t="shared" si="4674"/>
        <v>|n</v>
      </c>
      <c r="CV394" s="70" t="str">
        <f t="shared" si="5277"/>
        <v>为|Cffffc926史诗品质|r的|Cffffc926宝物|r附加一条|Cffffc926土之符印|r属性。|n|n|Cff00ff7f点击可将刻印镶嵌至指定史诗品质的宝物。|n|r|Cffff0000镶嵌后不可拆卸和替换。|r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675"/>
        <v/>
      </c>
      <c r="DC394" s="71" t="str">
        <f t="shared" si="4676"/>
        <v/>
      </c>
      <c r="DD394" s="71" t="str">
        <f t="shared" si="4677"/>
        <v/>
      </c>
      <c r="DE394" s="71" t="str">
        <f t="shared" si="4678"/>
        <v/>
      </c>
      <c r="DF394" s="71" t="str">
        <f t="shared" si="4679"/>
        <v/>
      </c>
      <c r="DG394" s="71" t="str">
        <f t="shared" si="4680"/>
        <v/>
      </c>
      <c r="DH394" s="71" t="str">
        <f t="shared" si="4681"/>
        <v/>
      </c>
      <c r="DI394" s="71" t="str">
        <f t="shared" si="4682"/>
        <v/>
      </c>
      <c r="DJ394" s="71" t="str">
        <f t="shared" si="4683"/>
        <v/>
      </c>
      <c r="DK394" s="71" t="str">
        <f t="shared" si="4684"/>
        <v/>
      </c>
      <c r="DL394" s="71" t="str">
        <f t="shared" si="4685"/>
        <v/>
      </c>
      <c r="DM394" s="71" t="str">
        <f t="shared" si="4686"/>
        <v/>
      </c>
      <c r="DN394" s="71" t="str">
        <f t="shared" si="4687"/>
        <v/>
      </c>
      <c r="DO394" s="71" t="str">
        <f t="shared" si="4688"/>
        <v/>
      </c>
      <c r="DP394" s="71" t="str">
        <f t="shared" si="4689"/>
        <v/>
      </c>
      <c r="DQ394" s="71" t="str">
        <f t="shared" si="4690"/>
        <v/>
      </c>
      <c r="DR394" s="71" t="str">
        <f t="shared" si="4691"/>
        <v/>
      </c>
      <c r="DS394" s="71" t="str">
        <f t="shared" si="4692"/>
        <v/>
      </c>
      <c r="DT394" s="71" t="str">
        <f t="shared" si="4693"/>
        <v/>
      </c>
      <c r="DU394" s="71" t="str">
        <f t="shared" si="4694"/>
        <v/>
      </c>
      <c r="DV394" s="71" t="str">
        <f t="shared" si="4695"/>
        <v/>
      </c>
      <c r="DW394" s="71" t="str">
        <f t="shared" si="4696"/>
        <v/>
      </c>
      <c r="DX394" s="71" t="str">
        <f t="shared" si="4697"/>
        <v/>
      </c>
      <c r="DY394" s="71" t="str">
        <f t="shared" si="4698"/>
        <v/>
      </c>
      <c r="DZ394" s="71" t="str">
        <f t="shared" si="4699"/>
        <v/>
      </c>
      <c r="EA394" s="71" t="str">
        <f t="shared" si="4700"/>
        <v/>
      </c>
      <c r="EB394" s="71" t="str">
        <f t="shared" si="4701"/>
        <v/>
      </c>
      <c r="EC394" s="71" t="str">
        <f t="shared" si="4702"/>
        <v/>
      </c>
      <c r="ED394" s="71" t="str">
        <f t="shared" si="4703"/>
        <v/>
      </c>
      <c r="EE394" s="71" t="str">
        <f t="shared" si="4704"/>
        <v/>
      </c>
      <c r="EF394" s="71" t="str">
        <f t="shared" si="4705"/>
        <v/>
      </c>
      <c r="EG394" s="71" t="str">
        <f t="shared" si="4706"/>
        <v/>
      </c>
      <c r="EH394" s="71" t="str">
        <f t="shared" si="4707"/>
        <v/>
      </c>
      <c r="EI394" s="71" t="str">
        <f t="shared" si="4708"/>
        <v/>
      </c>
      <c r="EJ394" s="71" t="str">
        <f t="shared" si="4709"/>
        <v/>
      </c>
      <c r="EK394" s="71" t="str">
        <f t="shared" si="4710"/>
        <v/>
      </c>
      <c r="EL394" s="71" t="str">
        <f t="shared" si="4711"/>
        <v/>
      </c>
      <c r="EM394" s="71" t="str">
        <f t="shared" si="4712"/>
        <v/>
      </c>
      <c r="EN394" s="71" t="str">
        <f t="shared" si="4713"/>
        <v/>
      </c>
      <c r="EO394" s="71" t="str">
        <f t="shared" si="4714"/>
        <v/>
      </c>
      <c r="EP394" s="71" t="str">
        <f t="shared" si="4715"/>
        <v/>
      </c>
      <c r="EQ394" s="71" t="str">
        <f t="shared" si="4716"/>
        <v/>
      </c>
      <c r="ER394" s="71" t="str">
        <f t="shared" si="4717"/>
        <v/>
      </c>
      <c r="ES394" s="71" t="str">
        <f t="shared" si="4718"/>
        <v/>
      </c>
      <c r="ET394" s="71" t="str">
        <f t="shared" si="4719"/>
        <v/>
      </c>
      <c r="EU394" s="71" t="str">
        <f t="shared" si="4720"/>
        <v/>
      </c>
      <c r="EV394" s="71" t="str">
        <f t="shared" si="4721"/>
        <v/>
      </c>
      <c r="EW394" s="71" t="str">
        <f t="shared" si="4722"/>
        <v/>
      </c>
      <c r="EX394" s="71" t="str">
        <f t="shared" si="4723"/>
        <v/>
      </c>
      <c r="EY394" s="71" t="str">
        <f t="shared" si="4724"/>
        <v/>
      </c>
      <c r="EZ394" s="71" t="str">
        <f t="shared" si="4725"/>
        <v/>
      </c>
      <c r="FA394" s="71" t="str">
        <f t="shared" si="4726"/>
        <v/>
      </c>
      <c r="FB394" s="71" t="str">
        <f t="shared" si="4727"/>
        <v/>
      </c>
      <c r="FC394" s="71" t="str">
        <f t="shared" si="4728"/>
        <v/>
      </c>
      <c r="FD394" s="71" t="str">
        <f t="shared" si="4729"/>
        <v/>
      </c>
      <c r="FE394" s="71" t="str">
        <f t="shared" si="4730"/>
        <v/>
      </c>
      <c r="FF394" s="71" t="str">
        <f t="shared" si="4731"/>
        <v/>
      </c>
      <c r="FG394" s="71" t="str">
        <f t="shared" si="4732"/>
        <v/>
      </c>
      <c r="FH394" s="71" t="str">
        <f t="shared" si="4733"/>
        <v/>
      </c>
      <c r="FI394" s="71" t="str">
        <f t="shared" si="4734"/>
        <v/>
      </c>
      <c r="FJ394" s="71" t="str">
        <f t="shared" si="4735"/>
        <v/>
      </c>
      <c r="FK394" s="71" t="str">
        <f t="shared" si="4736"/>
        <v/>
      </c>
      <c r="FL394" s="71" t="str">
        <f t="shared" si="4737"/>
        <v/>
      </c>
      <c r="FM394" s="71" t="str">
        <f t="shared" si="4738"/>
        <v/>
      </c>
      <c r="FN394" s="71" t="str">
        <f t="shared" si="4739"/>
        <v/>
      </c>
      <c r="FO394" s="71" t="str">
        <f t="shared" si="4740"/>
        <v/>
      </c>
      <c r="FP394" s="71" t="str">
        <f t="shared" si="4741"/>
        <v/>
      </c>
      <c r="FQ394" s="71" t="str">
        <f t="shared" si="4742"/>
        <v/>
      </c>
      <c r="FR394" s="71" t="str">
        <f t="shared" si="4743"/>
        <v/>
      </c>
      <c r="FS394" s="71" t="str">
        <f t="shared" si="4744"/>
        <v/>
      </c>
    </row>
    <row r="395" ht="15" spans="1:175">
      <c r="A395" s="138"/>
      <c r="B395" s="81" t="s">
        <v>1146</v>
      </c>
      <c r="C395" s="147" t="s">
        <v>1147</v>
      </c>
      <c r="T395" s="160" t="s">
        <v>1148</v>
      </c>
      <c r="U395" s="89" t="s">
        <v>1149</v>
      </c>
      <c r="CN395" s="69" t="str">
        <f t="shared" si="4670"/>
        <v>InitUnitState('IK96',,,,,,,,,,)</v>
      </c>
      <c r="CO395" s="69" t="str">
        <f t="shared" si="4671"/>
        <v>InitUnitNormal('IK96',,,,,,,,,,)</v>
      </c>
      <c r="CP395" s="69" t="str">
        <f t="shared" si="4672"/>
        <v>InitUnitMagic('IK96',,,,,,,,,,)</v>
      </c>
      <c r="CQ395" s="69" t="str">
        <f t="shared" si="4673"/>
        <v>InitUnitAdd('IK96',,,,,,,,,,)</v>
      </c>
      <c r="CR395" s="69" t="str">
        <f t="shared" si="5354"/>
        <v>InitEquipData('IK96',,"",,,,,'','','','','','',"ReplaceableTextures\\CommandButtons\\BTNUI_Fuin_07.blp")</v>
      </c>
      <c r="CU395" s="99" t="str">
        <f t="shared" si="4674"/>
        <v>|n</v>
      </c>
      <c r="CV395" s="70" t="str">
        <f t="shared" si="5277"/>
        <v>为|Cffffc926史诗品质|r的|Cffffc926宝物|r附加一条|Cffffc926雷之符印|r属性。|n|n|Cff00ff7f点击可将刻印镶嵌至指定史诗品质的宝物。|n|r|Cffff0000镶嵌后不可拆卸和替换。|r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675"/>
        <v/>
      </c>
      <c r="DC395" s="71" t="str">
        <f t="shared" si="4676"/>
        <v/>
      </c>
      <c r="DD395" s="71" t="str">
        <f t="shared" si="4677"/>
        <v/>
      </c>
      <c r="DE395" s="71" t="str">
        <f t="shared" si="4678"/>
        <v/>
      </c>
      <c r="DF395" s="71" t="str">
        <f t="shared" si="4679"/>
        <v/>
      </c>
      <c r="DG395" s="71" t="str">
        <f t="shared" si="4680"/>
        <v/>
      </c>
      <c r="DH395" s="71" t="str">
        <f t="shared" si="4681"/>
        <v/>
      </c>
      <c r="DI395" s="71" t="str">
        <f t="shared" si="4682"/>
        <v/>
      </c>
      <c r="DJ395" s="71" t="str">
        <f t="shared" si="4683"/>
        <v/>
      </c>
      <c r="DK395" s="71" t="str">
        <f t="shared" si="4684"/>
        <v/>
      </c>
      <c r="DL395" s="71" t="str">
        <f t="shared" si="4685"/>
        <v/>
      </c>
      <c r="DM395" s="71" t="str">
        <f t="shared" si="4686"/>
        <v/>
      </c>
      <c r="DN395" s="71" t="str">
        <f t="shared" si="4687"/>
        <v/>
      </c>
      <c r="DO395" s="71" t="str">
        <f t="shared" si="4688"/>
        <v/>
      </c>
      <c r="DP395" s="71" t="str">
        <f t="shared" si="4689"/>
        <v/>
      </c>
      <c r="DQ395" s="71" t="str">
        <f t="shared" si="4690"/>
        <v/>
      </c>
      <c r="DR395" s="71" t="str">
        <f t="shared" si="4691"/>
        <v/>
      </c>
      <c r="DS395" s="71" t="str">
        <f t="shared" si="4692"/>
        <v/>
      </c>
      <c r="DT395" s="71" t="str">
        <f t="shared" si="4693"/>
        <v/>
      </c>
      <c r="DU395" s="71" t="str">
        <f t="shared" si="4694"/>
        <v/>
      </c>
      <c r="DV395" s="71" t="str">
        <f t="shared" si="4695"/>
        <v/>
      </c>
      <c r="DW395" s="71" t="str">
        <f t="shared" si="4696"/>
        <v/>
      </c>
      <c r="DX395" s="71" t="str">
        <f t="shared" si="4697"/>
        <v/>
      </c>
      <c r="DY395" s="71" t="str">
        <f t="shared" si="4698"/>
        <v/>
      </c>
      <c r="DZ395" s="71" t="str">
        <f t="shared" si="4699"/>
        <v/>
      </c>
      <c r="EA395" s="71" t="str">
        <f t="shared" si="4700"/>
        <v/>
      </c>
      <c r="EB395" s="71" t="str">
        <f t="shared" si="4701"/>
        <v/>
      </c>
      <c r="EC395" s="71" t="str">
        <f t="shared" si="4702"/>
        <v/>
      </c>
      <c r="ED395" s="71" t="str">
        <f t="shared" si="4703"/>
        <v/>
      </c>
      <c r="EE395" s="71" t="str">
        <f t="shared" si="4704"/>
        <v/>
      </c>
      <c r="EF395" s="71" t="str">
        <f t="shared" si="4705"/>
        <v/>
      </c>
      <c r="EG395" s="71" t="str">
        <f t="shared" si="4706"/>
        <v/>
      </c>
      <c r="EH395" s="71" t="str">
        <f t="shared" si="4707"/>
        <v/>
      </c>
      <c r="EI395" s="71" t="str">
        <f t="shared" si="4708"/>
        <v/>
      </c>
      <c r="EJ395" s="71" t="str">
        <f t="shared" si="4709"/>
        <v/>
      </c>
      <c r="EK395" s="71" t="str">
        <f t="shared" si="4710"/>
        <v/>
      </c>
      <c r="EL395" s="71" t="str">
        <f t="shared" si="4711"/>
        <v/>
      </c>
      <c r="EM395" s="71" t="str">
        <f t="shared" si="4712"/>
        <v/>
      </c>
      <c r="EN395" s="71" t="str">
        <f t="shared" si="4713"/>
        <v/>
      </c>
      <c r="EO395" s="71" t="str">
        <f t="shared" si="4714"/>
        <v/>
      </c>
      <c r="EP395" s="71" t="str">
        <f t="shared" si="4715"/>
        <v/>
      </c>
      <c r="EQ395" s="71" t="str">
        <f t="shared" si="4716"/>
        <v/>
      </c>
      <c r="ER395" s="71" t="str">
        <f t="shared" si="4717"/>
        <v/>
      </c>
      <c r="ES395" s="71" t="str">
        <f t="shared" si="4718"/>
        <v/>
      </c>
      <c r="ET395" s="71" t="str">
        <f t="shared" si="4719"/>
        <v/>
      </c>
      <c r="EU395" s="71" t="str">
        <f t="shared" si="4720"/>
        <v/>
      </c>
      <c r="EV395" s="71" t="str">
        <f t="shared" si="4721"/>
        <v/>
      </c>
      <c r="EW395" s="71" t="str">
        <f t="shared" si="4722"/>
        <v/>
      </c>
      <c r="EX395" s="71" t="str">
        <f t="shared" si="4723"/>
        <v/>
      </c>
      <c r="EY395" s="71" t="str">
        <f t="shared" si="4724"/>
        <v/>
      </c>
      <c r="EZ395" s="71" t="str">
        <f t="shared" si="4725"/>
        <v/>
      </c>
      <c r="FA395" s="71" t="str">
        <f t="shared" si="4726"/>
        <v/>
      </c>
      <c r="FB395" s="71" t="str">
        <f t="shared" si="4727"/>
        <v/>
      </c>
      <c r="FC395" s="71" t="str">
        <f t="shared" si="4728"/>
        <v/>
      </c>
      <c r="FD395" s="71" t="str">
        <f t="shared" si="4729"/>
        <v/>
      </c>
      <c r="FE395" s="71" t="str">
        <f t="shared" si="4730"/>
        <v/>
      </c>
      <c r="FF395" s="71" t="str">
        <f t="shared" si="4731"/>
        <v/>
      </c>
      <c r="FG395" s="71" t="str">
        <f t="shared" si="4732"/>
        <v/>
      </c>
      <c r="FH395" s="71" t="str">
        <f t="shared" si="4733"/>
        <v/>
      </c>
      <c r="FI395" s="71" t="str">
        <f t="shared" si="4734"/>
        <v/>
      </c>
      <c r="FJ395" s="71" t="str">
        <f t="shared" si="4735"/>
        <v/>
      </c>
      <c r="FK395" s="71" t="str">
        <f t="shared" si="4736"/>
        <v/>
      </c>
      <c r="FL395" s="71" t="str">
        <f t="shared" si="4737"/>
        <v/>
      </c>
      <c r="FM395" s="71" t="str">
        <f t="shared" si="4738"/>
        <v/>
      </c>
      <c r="FN395" s="71" t="str">
        <f t="shared" si="4739"/>
        <v/>
      </c>
      <c r="FO395" s="71" t="str">
        <f t="shared" si="4740"/>
        <v/>
      </c>
      <c r="FP395" s="71" t="str">
        <f t="shared" si="4741"/>
        <v/>
      </c>
      <c r="FQ395" s="71" t="str">
        <f t="shared" si="4742"/>
        <v/>
      </c>
      <c r="FR395" s="71" t="str">
        <f t="shared" si="4743"/>
        <v/>
      </c>
      <c r="FS395" s="71" t="str">
        <f t="shared" si="4744"/>
        <v/>
      </c>
    </row>
    <row r="396" ht="15" spans="1:175">
      <c r="A396" s="138"/>
      <c r="B396" s="81" t="s">
        <v>1150</v>
      </c>
      <c r="C396" s="147" t="s">
        <v>1151</v>
      </c>
      <c r="T396" s="160" t="s">
        <v>1152</v>
      </c>
      <c r="U396" s="89" t="s">
        <v>1153</v>
      </c>
      <c r="CN396" s="69" t="str">
        <f t="shared" si="4670"/>
        <v>InitUnitState('IK97',,,,,,,,,,)</v>
      </c>
      <c r="CO396" s="69" t="str">
        <f t="shared" si="4671"/>
        <v>InitUnitNormal('IK97',,,,,,,,,,)</v>
      </c>
      <c r="CP396" s="69" t="str">
        <f t="shared" si="4672"/>
        <v>InitUnitMagic('IK97',,,,,,,,,,)</v>
      </c>
      <c r="CQ396" s="69" t="str">
        <f t="shared" si="4673"/>
        <v>InitUnitAdd('IK97',,,,,,,,,,)</v>
      </c>
      <c r="CR396" s="69" t="str">
        <f t="shared" si="5354"/>
        <v>InitEquipData('IK97',,"",,,,,'','','','','','',"ReplaceableTextures\\CommandButtons\\BTNUI_Fuin_08.blp")</v>
      </c>
      <c r="CU396" s="99" t="str">
        <f t="shared" si="4674"/>
        <v>|n</v>
      </c>
      <c r="CV396" s="70" t="str">
        <f t="shared" si="5277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675"/>
        <v/>
      </c>
      <c r="DC396" s="71" t="str">
        <f t="shared" si="4676"/>
        <v/>
      </c>
      <c r="DD396" s="71" t="str">
        <f t="shared" si="4677"/>
        <v/>
      </c>
      <c r="DE396" s="71" t="str">
        <f t="shared" si="4678"/>
        <v/>
      </c>
      <c r="DF396" s="71" t="str">
        <f t="shared" si="4679"/>
        <v/>
      </c>
      <c r="DG396" s="71" t="str">
        <f t="shared" si="4680"/>
        <v/>
      </c>
      <c r="DH396" s="71" t="str">
        <f t="shared" si="4681"/>
        <v/>
      </c>
      <c r="DI396" s="71" t="str">
        <f t="shared" si="4682"/>
        <v/>
      </c>
      <c r="DJ396" s="71" t="str">
        <f t="shared" si="4683"/>
        <v/>
      </c>
      <c r="DK396" s="71" t="str">
        <f t="shared" si="4684"/>
        <v/>
      </c>
      <c r="DL396" s="71" t="str">
        <f t="shared" si="4685"/>
        <v/>
      </c>
      <c r="DM396" s="71" t="str">
        <f t="shared" si="4686"/>
        <v/>
      </c>
      <c r="DN396" s="71" t="str">
        <f t="shared" si="4687"/>
        <v/>
      </c>
      <c r="DO396" s="71" t="str">
        <f t="shared" si="4688"/>
        <v/>
      </c>
      <c r="DP396" s="71" t="str">
        <f t="shared" si="4689"/>
        <v/>
      </c>
      <c r="DQ396" s="71" t="str">
        <f t="shared" si="4690"/>
        <v/>
      </c>
      <c r="DR396" s="71" t="str">
        <f t="shared" si="4691"/>
        <v/>
      </c>
      <c r="DS396" s="71" t="str">
        <f t="shared" si="4692"/>
        <v/>
      </c>
      <c r="DT396" s="71" t="str">
        <f t="shared" si="4693"/>
        <v/>
      </c>
      <c r="DU396" s="71" t="str">
        <f t="shared" si="4694"/>
        <v/>
      </c>
      <c r="DV396" s="71" t="str">
        <f t="shared" si="4695"/>
        <v/>
      </c>
      <c r="DW396" s="71" t="str">
        <f t="shared" si="4696"/>
        <v/>
      </c>
      <c r="DX396" s="71" t="str">
        <f t="shared" si="4697"/>
        <v/>
      </c>
      <c r="DY396" s="71" t="str">
        <f t="shared" si="4698"/>
        <v/>
      </c>
      <c r="DZ396" s="71" t="str">
        <f t="shared" si="4699"/>
        <v/>
      </c>
      <c r="EA396" s="71" t="str">
        <f t="shared" si="4700"/>
        <v/>
      </c>
      <c r="EB396" s="71" t="str">
        <f t="shared" si="4701"/>
        <v/>
      </c>
      <c r="EC396" s="71" t="str">
        <f t="shared" si="4702"/>
        <v/>
      </c>
      <c r="ED396" s="71" t="str">
        <f t="shared" si="4703"/>
        <v/>
      </c>
      <c r="EE396" s="71" t="str">
        <f t="shared" si="4704"/>
        <v/>
      </c>
      <c r="EF396" s="71" t="str">
        <f t="shared" si="4705"/>
        <v/>
      </c>
      <c r="EG396" s="71" t="str">
        <f t="shared" si="4706"/>
        <v/>
      </c>
      <c r="EH396" s="71" t="str">
        <f t="shared" si="4707"/>
        <v/>
      </c>
      <c r="EI396" s="71" t="str">
        <f t="shared" si="4708"/>
        <v/>
      </c>
      <c r="EJ396" s="71" t="str">
        <f t="shared" si="4709"/>
        <v/>
      </c>
      <c r="EK396" s="71" t="str">
        <f t="shared" si="4710"/>
        <v/>
      </c>
      <c r="EL396" s="71" t="str">
        <f t="shared" si="4711"/>
        <v/>
      </c>
      <c r="EM396" s="71" t="str">
        <f t="shared" si="4712"/>
        <v/>
      </c>
      <c r="EN396" s="71" t="str">
        <f t="shared" si="4713"/>
        <v/>
      </c>
      <c r="EO396" s="71" t="str">
        <f t="shared" si="4714"/>
        <v/>
      </c>
      <c r="EP396" s="71" t="str">
        <f t="shared" si="4715"/>
        <v/>
      </c>
      <c r="EQ396" s="71" t="str">
        <f t="shared" si="4716"/>
        <v/>
      </c>
      <c r="ER396" s="71" t="str">
        <f t="shared" si="4717"/>
        <v/>
      </c>
      <c r="ES396" s="71" t="str">
        <f t="shared" si="4718"/>
        <v/>
      </c>
      <c r="ET396" s="71" t="str">
        <f t="shared" si="4719"/>
        <v/>
      </c>
      <c r="EU396" s="71" t="str">
        <f t="shared" si="4720"/>
        <v/>
      </c>
      <c r="EV396" s="71" t="str">
        <f t="shared" si="4721"/>
        <v/>
      </c>
      <c r="EW396" s="71" t="str">
        <f t="shared" si="4722"/>
        <v/>
      </c>
      <c r="EX396" s="71" t="str">
        <f t="shared" si="4723"/>
        <v/>
      </c>
      <c r="EY396" s="71" t="str">
        <f t="shared" si="4724"/>
        <v/>
      </c>
      <c r="EZ396" s="71" t="str">
        <f t="shared" si="4725"/>
        <v/>
      </c>
      <c r="FA396" s="71" t="str">
        <f t="shared" si="4726"/>
        <v/>
      </c>
      <c r="FB396" s="71" t="str">
        <f t="shared" si="4727"/>
        <v/>
      </c>
      <c r="FC396" s="71" t="str">
        <f t="shared" si="4728"/>
        <v/>
      </c>
      <c r="FD396" s="71" t="str">
        <f t="shared" si="4729"/>
        <v/>
      </c>
      <c r="FE396" s="71" t="str">
        <f t="shared" si="4730"/>
        <v/>
      </c>
      <c r="FF396" s="71" t="str">
        <f t="shared" si="4731"/>
        <v/>
      </c>
      <c r="FG396" s="71" t="str">
        <f t="shared" si="4732"/>
        <v/>
      </c>
      <c r="FH396" s="71" t="str">
        <f t="shared" si="4733"/>
        <v/>
      </c>
      <c r="FI396" s="71" t="str">
        <f t="shared" si="4734"/>
        <v/>
      </c>
      <c r="FJ396" s="71" t="str">
        <f t="shared" si="4735"/>
        <v/>
      </c>
      <c r="FK396" s="71" t="str">
        <f t="shared" si="4736"/>
        <v/>
      </c>
      <c r="FL396" s="71" t="str">
        <f t="shared" si="4737"/>
        <v/>
      </c>
      <c r="FM396" s="71" t="str">
        <f t="shared" si="4738"/>
        <v/>
      </c>
      <c r="FN396" s="71" t="str">
        <f t="shared" si="4739"/>
        <v/>
      </c>
      <c r="FO396" s="71" t="str">
        <f t="shared" si="4740"/>
        <v/>
      </c>
      <c r="FP396" s="71" t="str">
        <f t="shared" si="4741"/>
        <v/>
      </c>
      <c r="FQ396" s="71" t="str">
        <f t="shared" si="4742"/>
        <v/>
      </c>
      <c r="FR396" s="71" t="str">
        <f t="shared" si="4743"/>
        <v/>
      </c>
      <c r="FS396" s="71" t="str">
        <f t="shared" si="4744"/>
        <v/>
      </c>
    </row>
    <row r="397" ht="15" spans="1:175">
      <c r="A397" s="138"/>
      <c r="B397" s="81" t="s">
        <v>1154</v>
      </c>
      <c r="C397" s="157" t="s">
        <v>1155</v>
      </c>
      <c r="T397" s="161" t="s">
        <v>1156</v>
      </c>
      <c r="U397" s="89" t="s">
        <v>1157</v>
      </c>
      <c r="CN397" s="69" t="str">
        <f t="shared" si="4670"/>
        <v>InitUnitState('IK98',,,,,,,,,,)</v>
      </c>
      <c r="CO397" s="69" t="str">
        <f t="shared" si="4671"/>
        <v>InitUnitNormal('IK98',,,,,,,,,,)</v>
      </c>
      <c r="CP397" s="69" t="str">
        <f t="shared" si="4672"/>
        <v>InitUnitMagic('IK98',,,,,,,,,,)</v>
      </c>
      <c r="CQ397" s="69" t="str">
        <f t="shared" si="4673"/>
        <v>InitUnitAdd('IK98',,,,,,,,,,)</v>
      </c>
      <c r="CR397" s="69" t="str">
        <f t="shared" si="5354"/>
        <v>InitEquipData('IK98',,"",,,,,'','','','','','',"")</v>
      </c>
      <c r="CU397" s="99" t="str">
        <f t="shared" si="4674"/>
        <v>|n</v>
      </c>
      <c r="CV397" s="70" t="str">
        <f t="shared" si="5277"/>
        <v>为|Cffffc926史诗品质|r的|Cffffc926宝物|r附加一条|Cffffc926暗之符印|r属性。|n|n|Cff00ff7f点击可将刻印镶嵌至指定史诗品质的宝物。|n|r|Cffff0000镶嵌后不可拆卸和替换。|r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675"/>
        <v/>
      </c>
      <c r="DC397" s="71" t="str">
        <f t="shared" si="4676"/>
        <v/>
      </c>
      <c r="DD397" s="71" t="str">
        <f t="shared" si="4677"/>
        <v/>
      </c>
      <c r="DE397" s="71" t="str">
        <f t="shared" si="4678"/>
        <v/>
      </c>
      <c r="DF397" s="71" t="str">
        <f t="shared" si="4679"/>
        <v/>
      </c>
      <c r="DG397" s="71" t="str">
        <f t="shared" si="4680"/>
        <v/>
      </c>
      <c r="DH397" s="71" t="str">
        <f t="shared" si="4681"/>
        <v/>
      </c>
      <c r="DI397" s="71" t="str">
        <f t="shared" si="4682"/>
        <v/>
      </c>
      <c r="DJ397" s="71" t="str">
        <f t="shared" si="4683"/>
        <v/>
      </c>
      <c r="DK397" s="71" t="str">
        <f t="shared" si="4684"/>
        <v/>
      </c>
      <c r="DL397" s="71" t="str">
        <f t="shared" si="4685"/>
        <v/>
      </c>
      <c r="DM397" s="71" t="str">
        <f t="shared" si="4686"/>
        <v/>
      </c>
      <c r="DN397" s="71" t="str">
        <f t="shared" si="4687"/>
        <v/>
      </c>
      <c r="DO397" s="71" t="str">
        <f t="shared" si="4688"/>
        <v/>
      </c>
      <c r="DP397" s="71" t="str">
        <f t="shared" si="4689"/>
        <v/>
      </c>
      <c r="DQ397" s="71" t="str">
        <f t="shared" si="4690"/>
        <v/>
      </c>
      <c r="DR397" s="71" t="str">
        <f t="shared" si="4691"/>
        <v/>
      </c>
      <c r="DS397" s="71" t="str">
        <f t="shared" si="4692"/>
        <v/>
      </c>
      <c r="DT397" s="71" t="str">
        <f t="shared" si="4693"/>
        <v/>
      </c>
      <c r="DU397" s="71" t="str">
        <f t="shared" si="4694"/>
        <v/>
      </c>
      <c r="DV397" s="71" t="str">
        <f t="shared" si="4695"/>
        <v/>
      </c>
      <c r="DW397" s="71" t="str">
        <f t="shared" si="4696"/>
        <v/>
      </c>
      <c r="DX397" s="71" t="str">
        <f t="shared" si="4697"/>
        <v/>
      </c>
      <c r="DY397" s="71" t="str">
        <f t="shared" si="4698"/>
        <v/>
      </c>
      <c r="DZ397" s="71" t="str">
        <f t="shared" si="4699"/>
        <v/>
      </c>
      <c r="EA397" s="71" t="str">
        <f t="shared" si="4700"/>
        <v/>
      </c>
      <c r="EB397" s="71" t="str">
        <f t="shared" si="4701"/>
        <v/>
      </c>
      <c r="EC397" s="71" t="str">
        <f t="shared" si="4702"/>
        <v/>
      </c>
      <c r="ED397" s="71" t="str">
        <f t="shared" si="4703"/>
        <v/>
      </c>
      <c r="EE397" s="71" t="str">
        <f t="shared" si="4704"/>
        <v/>
      </c>
      <c r="EF397" s="71" t="str">
        <f t="shared" si="4705"/>
        <v/>
      </c>
      <c r="EG397" s="71" t="str">
        <f t="shared" si="4706"/>
        <v/>
      </c>
      <c r="EH397" s="71" t="str">
        <f t="shared" si="4707"/>
        <v/>
      </c>
      <c r="EI397" s="71" t="str">
        <f t="shared" si="4708"/>
        <v/>
      </c>
      <c r="EJ397" s="71" t="str">
        <f t="shared" si="4709"/>
        <v/>
      </c>
      <c r="EK397" s="71" t="str">
        <f t="shared" si="4710"/>
        <v/>
      </c>
      <c r="EL397" s="71" t="str">
        <f t="shared" si="4711"/>
        <v/>
      </c>
      <c r="EM397" s="71" t="str">
        <f t="shared" si="4712"/>
        <v/>
      </c>
      <c r="EN397" s="71" t="str">
        <f t="shared" si="4713"/>
        <v/>
      </c>
      <c r="EO397" s="71" t="str">
        <f t="shared" si="4714"/>
        <v/>
      </c>
      <c r="EP397" s="71" t="str">
        <f t="shared" si="4715"/>
        <v/>
      </c>
      <c r="EQ397" s="71" t="str">
        <f t="shared" si="4716"/>
        <v/>
      </c>
      <c r="ER397" s="71" t="str">
        <f t="shared" si="4717"/>
        <v/>
      </c>
      <c r="ES397" s="71" t="str">
        <f t="shared" si="4718"/>
        <v/>
      </c>
      <c r="ET397" s="71" t="str">
        <f t="shared" si="4719"/>
        <v/>
      </c>
      <c r="EU397" s="71" t="str">
        <f t="shared" si="4720"/>
        <v/>
      </c>
      <c r="EV397" s="71" t="str">
        <f t="shared" si="4721"/>
        <v/>
      </c>
      <c r="EW397" s="71" t="str">
        <f t="shared" si="4722"/>
        <v/>
      </c>
      <c r="EX397" s="71" t="str">
        <f t="shared" si="4723"/>
        <v/>
      </c>
      <c r="EY397" s="71" t="str">
        <f t="shared" si="4724"/>
        <v/>
      </c>
      <c r="EZ397" s="71" t="str">
        <f t="shared" si="4725"/>
        <v/>
      </c>
      <c r="FA397" s="71" t="str">
        <f t="shared" si="4726"/>
        <v/>
      </c>
      <c r="FB397" s="71" t="str">
        <f t="shared" si="4727"/>
        <v/>
      </c>
      <c r="FC397" s="71" t="str">
        <f t="shared" si="4728"/>
        <v/>
      </c>
      <c r="FD397" s="71" t="str">
        <f t="shared" si="4729"/>
        <v/>
      </c>
      <c r="FE397" s="71" t="str">
        <f t="shared" si="4730"/>
        <v/>
      </c>
      <c r="FF397" s="71" t="str">
        <f t="shared" si="4731"/>
        <v/>
      </c>
      <c r="FG397" s="71" t="str">
        <f t="shared" si="4732"/>
        <v/>
      </c>
      <c r="FH397" s="71" t="str">
        <f t="shared" si="4733"/>
        <v/>
      </c>
      <c r="FI397" s="71" t="str">
        <f t="shared" si="4734"/>
        <v/>
      </c>
      <c r="FJ397" s="71" t="str">
        <f t="shared" si="4735"/>
        <v/>
      </c>
      <c r="FK397" s="71" t="str">
        <f t="shared" si="4736"/>
        <v/>
      </c>
      <c r="FL397" s="71" t="str">
        <f t="shared" si="4737"/>
        <v/>
      </c>
      <c r="FM397" s="71" t="str">
        <f t="shared" si="4738"/>
        <v/>
      </c>
      <c r="FN397" s="71" t="str">
        <f t="shared" si="4739"/>
        <v/>
      </c>
      <c r="FO397" s="71" t="str">
        <f t="shared" si="4740"/>
        <v/>
      </c>
      <c r="FP397" s="71" t="str">
        <f t="shared" si="4741"/>
        <v/>
      </c>
      <c r="FQ397" s="71" t="str">
        <f t="shared" si="4742"/>
        <v/>
      </c>
      <c r="FR397" s="71" t="str">
        <f t="shared" si="4743"/>
        <v/>
      </c>
      <c r="FS397" s="71" t="str">
        <f t="shared" si="4744"/>
        <v/>
      </c>
    </row>
    <row r="398" ht="15" spans="1:175">
      <c r="A398" s="73"/>
      <c r="B398" s="158"/>
      <c r="C398" s="73"/>
      <c r="E398" s="142"/>
      <c r="T398" s="162"/>
      <c r="U398" s="89"/>
      <c r="CU398" s="99" t="str">
        <f t="shared" si="4432"/>
        <v>|n</v>
      </c>
      <c r="CW398" s="60"/>
      <c r="CX398" s="60"/>
      <c r="CY398" s="60"/>
      <c r="CZ398" s="60"/>
      <c r="DA398" s="60"/>
      <c r="DB398" s="71" t="str">
        <f t="shared" si="4433"/>
        <v/>
      </c>
      <c r="DC398" s="71" t="str">
        <f t="shared" si="4434"/>
        <v/>
      </c>
      <c r="DD398" s="71" t="str">
        <f t="shared" si="4435"/>
        <v/>
      </c>
      <c r="DE398" s="71" t="str">
        <f t="shared" si="4436"/>
        <v/>
      </c>
      <c r="DF398" s="71" t="str">
        <f t="shared" si="4437"/>
        <v/>
      </c>
      <c r="DG398" s="71" t="str">
        <f t="shared" si="4438"/>
        <v/>
      </c>
      <c r="DH398" s="71" t="str">
        <f t="shared" si="4439"/>
        <v/>
      </c>
      <c r="DI398" s="71" t="str">
        <f t="shared" si="4440"/>
        <v/>
      </c>
      <c r="DJ398" s="71" t="str">
        <f t="shared" si="4441"/>
        <v/>
      </c>
      <c r="DK398" s="71" t="str">
        <f t="shared" si="4442"/>
        <v/>
      </c>
      <c r="DL398" s="71" t="str">
        <f t="shared" si="4443"/>
        <v/>
      </c>
      <c r="DM398" s="71" t="str">
        <f t="shared" si="4444"/>
        <v/>
      </c>
      <c r="DN398" s="71" t="str">
        <f t="shared" si="4445"/>
        <v/>
      </c>
      <c r="DO398" s="71" t="str">
        <f t="shared" si="4446"/>
        <v/>
      </c>
      <c r="DP398" s="71" t="str">
        <f t="shared" si="4447"/>
        <v/>
      </c>
      <c r="DQ398" s="71" t="str">
        <f t="shared" si="4448"/>
        <v/>
      </c>
      <c r="DR398" s="71" t="str">
        <f t="shared" si="4449"/>
        <v/>
      </c>
      <c r="DS398" s="71" t="str">
        <f t="shared" si="4450"/>
        <v/>
      </c>
      <c r="DT398" s="71" t="str">
        <f t="shared" si="4451"/>
        <v/>
      </c>
      <c r="DU398" s="71" t="str">
        <f t="shared" si="4452"/>
        <v/>
      </c>
      <c r="DV398" s="71" t="str">
        <f t="shared" si="4453"/>
        <v/>
      </c>
      <c r="DW398" s="71" t="str">
        <f t="shared" si="4454"/>
        <v/>
      </c>
      <c r="DX398" s="71" t="str">
        <f t="shared" si="4455"/>
        <v/>
      </c>
      <c r="DY398" s="71" t="str">
        <f t="shared" si="4456"/>
        <v/>
      </c>
      <c r="DZ398" s="71" t="str">
        <f t="shared" si="4457"/>
        <v/>
      </c>
      <c r="EA398" s="71" t="str">
        <f t="shared" si="4458"/>
        <v/>
      </c>
      <c r="EB398" s="71" t="str">
        <f t="shared" si="4459"/>
        <v/>
      </c>
      <c r="EC398" s="71" t="str">
        <f t="shared" si="4460"/>
        <v/>
      </c>
      <c r="ED398" s="71" t="str">
        <f t="shared" si="4461"/>
        <v/>
      </c>
      <c r="EE398" s="71" t="str">
        <f t="shared" si="4462"/>
        <v/>
      </c>
      <c r="EF398" s="71" t="str">
        <f t="shared" si="4463"/>
        <v/>
      </c>
      <c r="EG398" s="71" t="str">
        <f t="shared" si="4464"/>
        <v/>
      </c>
      <c r="EH398" s="71" t="str">
        <f t="shared" si="4465"/>
        <v/>
      </c>
      <c r="EI398" s="71" t="str">
        <f t="shared" si="4466"/>
        <v/>
      </c>
      <c r="EJ398" s="71" t="str">
        <f t="shared" si="4467"/>
        <v/>
      </c>
      <c r="EK398" s="71" t="str">
        <f t="shared" si="4468"/>
        <v/>
      </c>
      <c r="EL398" s="71" t="str">
        <f t="shared" si="4469"/>
        <v/>
      </c>
      <c r="EM398" s="71" t="str">
        <f t="shared" si="4470"/>
        <v/>
      </c>
      <c r="EN398" s="71" t="str">
        <f t="shared" si="4471"/>
        <v/>
      </c>
      <c r="EO398" s="71" t="str">
        <f t="shared" si="4472"/>
        <v/>
      </c>
      <c r="EP398" s="71" t="str">
        <f t="shared" si="4473"/>
        <v/>
      </c>
      <c r="EQ398" s="71" t="str">
        <f t="shared" si="4474"/>
        <v/>
      </c>
      <c r="ER398" s="71" t="str">
        <f t="shared" si="4475"/>
        <v/>
      </c>
      <c r="ES398" s="71" t="str">
        <f t="shared" si="4476"/>
        <v/>
      </c>
      <c r="ET398" s="71" t="str">
        <f t="shared" si="4477"/>
        <v/>
      </c>
      <c r="EU398" s="71" t="str">
        <f t="shared" si="4478"/>
        <v/>
      </c>
      <c r="EV398" s="71" t="str">
        <f t="shared" si="4479"/>
        <v/>
      </c>
      <c r="EW398" s="71" t="str">
        <f t="shared" si="4480"/>
        <v/>
      </c>
      <c r="EX398" s="71" t="str">
        <f t="shared" si="4481"/>
        <v/>
      </c>
      <c r="EY398" s="71" t="str">
        <f t="shared" si="4482"/>
        <v/>
      </c>
      <c r="EZ398" s="71" t="str">
        <f t="shared" si="4483"/>
        <v/>
      </c>
      <c r="FA398" s="71" t="str">
        <f t="shared" si="4484"/>
        <v/>
      </c>
      <c r="FB398" s="71" t="str">
        <f t="shared" si="4485"/>
        <v/>
      </c>
      <c r="FC398" s="71" t="str">
        <f t="shared" si="4486"/>
        <v/>
      </c>
      <c r="FD398" s="71" t="str">
        <f t="shared" si="4487"/>
        <v/>
      </c>
      <c r="FE398" s="71" t="str">
        <f t="shared" si="4488"/>
        <v/>
      </c>
      <c r="FF398" s="71" t="str">
        <f t="shared" si="4489"/>
        <v/>
      </c>
      <c r="FG398" s="71" t="str">
        <f t="shared" si="4490"/>
        <v/>
      </c>
      <c r="FH398" s="71" t="str">
        <f t="shared" si="4491"/>
        <v/>
      </c>
      <c r="FI398" s="71" t="str">
        <f t="shared" si="4492"/>
        <v/>
      </c>
      <c r="FJ398" s="71" t="str">
        <f t="shared" si="4493"/>
        <v/>
      </c>
      <c r="FK398" s="71" t="str">
        <f t="shared" si="4494"/>
        <v/>
      </c>
      <c r="FL398" s="71" t="str">
        <f t="shared" si="4495"/>
        <v/>
      </c>
      <c r="FM398" s="71" t="str">
        <f t="shared" si="4496"/>
        <v/>
      </c>
      <c r="FN398" s="71" t="str">
        <f t="shared" si="4497"/>
        <v/>
      </c>
      <c r="FO398" s="71" t="str">
        <f t="shared" si="4498"/>
        <v/>
      </c>
      <c r="FP398" s="71" t="str">
        <f t="shared" si="4499"/>
        <v/>
      </c>
      <c r="FQ398" s="71" t="str">
        <f t="shared" si="4500"/>
        <v/>
      </c>
      <c r="FR398" s="71" t="str">
        <f t="shared" si="4501"/>
        <v/>
      </c>
      <c r="FS398" s="71" t="str">
        <f t="shared" si="4502"/>
        <v/>
      </c>
    </row>
    <row r="399" ht="15" spans="1:175">
      <c r="A399" s="73"/>
      <c r="B399" s="158"/>
      <c r="C399" s="73"/>
      <c r="E399" s="142"/>
      <c r="T399" s="162"/>
      <c r="U399" s="89"/>
      <c r="CU399" s="99" t="str">
        <f t="shared" si="4432"/>
        <v>|n</v>
      </c>
      <c r="CW399" s="60"/>
      <c r="CX399" s="60"/>
      <c r="CY399" s="60"/>
      <c r="CZ399" s="60"/>
      <c r="DA399" s="60"/>
      <c r="DB399" s="71" t="str">
        <f t="shared" si="4433"/>
        <v/>
      </c>
      <c r="DC399" s="71" t="str">
        <f t="shared" si="4434"/>
        <v/>
      </c>
      <c r="DD399" s="71" t="str">
        <f t="shared" si="4435"/>
        <v/>
      </c>
      <c r="DE399" s="71" t="str">
        <f t="shared" si="4436"/>
        <v/>
      </c>
      <c r="DF399" s="71" t="str">
        <f t="shared" si="4437"/>
        <v/>
      </c>
      <c r="DG399" s="71" t="str">
        <f t="shared" si="4438"/>
        <v/>
      </c>
      <c r="DH399" s="71" t="str">
        <f t="shared" si="4439"/>
        <v/>
      </c>
      <c r="DI399" s="71" t="str">
        <f t="shared" si="4440"/>
        <v/>
      </c>
      <c r="DJ399" s="71" t="str">
        <f t="shared" si="4441"/>
        <v/>
      </c>
      <c r="DK399" s="71" t="str">
        <f t="shared" si="4442"/>
        <v/>
      </c>
      <c r="DL399" s="71" t="str">
        <f t="shared" si="4443"/>
        <v/>
      </c>
      <c r="DM399" s="71" t="str">
        <f t="shared" si="4444"/>
        <v/>
      </c>
      <c r="DN399" s="71" t="str">
        <f t="shared" si="4445"/>
        <v/>
      </c>
      <c r="DO399" s="71" t="str">
        <f t="shared" si="4446"/>
        <v/>
      </c>
      <c r="DP399" s="71" t="str">
        <f t="shared" si="4447"/>
        <v/>
      </c>
      <c r="DQ399" s="71" t="str">
        <f t="shared" si="4448"/>
        <v/>
      </c>
      <c r="DR399" s="71" t="str">
        <f t="shared" si="4449"/>
        <v/>
      </c>
      <c r="DS399" s="71" t="str">
        <f t="shared" si="4450"/>
        <v/>
      </c>
      <c r="DT399" s="71" t="str">
        <f t="shared" si="4451"/>
        <v/>
      </c>
      <c r="DU399" s="71" t="str">
        <f t="shared" si="4452"/>
        <v/>
      </c>
      <c r="DV399" s="71" t="str">
        <f t="shared" si="4453"/>
        <v/>
      </c>
      <c r="DW399" s="71" t="str">
        <f t="shared" si="4454"/>
        <v/>
      </c>
      <c r="DX399" s="71" t="str">
        <f t="shared" si="4455"/>
        <v/>
      </c>
      <c r="DY399" s="71" t="str">
        <f t="shared" si="4456"/>
        <v/>
      </c>
      <c r="DZ399" s="71" t="str">
        <f t="shared" si="4457"/>
        <v/>
      </c>
      <c r="EA399" s="71" t="str">
        <f t="shared" si="4458"/>
        <v/>
      </c>
      <c r="EB399" s="71" t="str">
        <f t="shared" si="4459"/>
        <v/>
      </c>
      <c r="EC399" s="71" t="str">
        <f t="shared" si="4460"/>
        <v/>
      </c>
      <c r="ED399" s="71" t="str">
        <f t="shared" si="4461"/>
        <v/>
      </c>
      <c r="EE399" s="71" t="str">
        <f t="shared" si="4462"/>
        <v/>
      </c>
      <c r="EF399" s="71" t="str">
        <f t="shared" si="4463"/>
        <v/>
      </c>
      <c r="EG399" s="71" t="str">
        <f t="shared" si="4464"/>
        <v/>
      </c>
      <c r="EH399" s="71" t="str">
        <f t="shared" si="4465"/>
        <v/>
      </c>
      <c r="EI399" s="71" t="str">
        <f t="shared" si="4466"/>
        <v/>
      </c>
      <c r="EJ399" s="71" t="str">
        <f t="shared" si="4467"/>
        <v/>
      </c>
      <c r="EK399" s="71" t="str">
        <f t="shared" si="4468"/>
        <v/>
      </c>
      <c r="EL399" s="71" t="str">
        <f t="shared" si="4469"/>
        <v/>
      </c>
      <c r="EM399" s="71" t="str">
        <f t="shared" si="4470"/>
        <v/>
      </c>
      <c r="EN399" s="71" t="str">
        <f t="shared" si="4471"/>
        <v/>
      </c>
      <c r="EO399" s="71" t="str">
        <f t="shared" si="4472"/>
        <v/>
      </c>
      <c r="EP399" s="71" t="str">
        <f t="shared" si="4473"/>
        <v/>
      </c>
      <c r="EQ399" s="71" t="str">
        <f t="shared" si="4474"/>
        <v/>
      </c>
      <c r="ER399" s="71" t="str">
        <f t="shared" si="4475"/>
        <v/>
      </c>
      <c r="ES399" s="71" t="str">
        <f t="shared" si="4476"/>
        <v/>
      </c>
      <c r="ET399" s="71" t="str">
        <f t="shared" si="4477"/>
        <v/>
      </c>
      <c r="EU399" s="71" t="str">
        <f t="shared" si="4478"/>
        <v/>
      </c>
      <c r="EV399" s="71" t="str">
        <f t="shared" si="4479"/>
        <v/>
      </c>
      <c r="EW399" s="71" t="str">
        <f t="shared" si="4480"/>
        <v/>
      </c>
      <c r="EX399" s="71" t="str">
        <f t="shared" si="4481"/>
        <v/>
      </c>
      <c r="EY399" s="71" t="str">
        <f t="shared" si="4482"/>
        <v/>
      </c>
      <c r="EZ399" s="71" t="str">
        <f t="shared" si="4483"/>
        <v/>
      </c>
      <c r="FA399" s="71" t="str">
        <f t="shared" si="4484"/>
        <v/>
      </c>
      <c r="FB399" s="71" t="str">
        <f t="shared" si="4485"/>
        <v/>
      </c>
      <c r="FC399" s="71" t="str">
        <f t="shared" si="4486"/>
        <v/>
      </c>
      <c r="FD399" s="71" t="str">
        <f t="shared" si="4487"/>
        <v/>
      </c>
      <c r="FE399" s="71" t="str">
        <f t="shared" si="4488"/>
        <v/>
      </c>
      <c r="FF399" s="71" t="str">
        <f t="shared" si="4489"/>
        <v/>
      </c>
      <c r="FG399" s="71" t="str">
        <f t="shared" si="4490"/>
        <v/>
      </c>
      <c r="FH399" s="71" t="str">
        <f t="shared" si="4491"/>
        <v/>
      </c>
      <c r="FI399" s="71" t="str">
        <f t="shared" si="4492"/>
        <v/>
      </c>
      <c r="FJ399" s="71" t="str">
        <f t="shared" si="4493"/>
        <v/>
      </c>
      <c r="FK399" s="71" t="str">
        <f t="shared" si="4494"/>
        <v/>
      </c>
      <c r="FL399" s="71" t="str">
        <f t="shared" si="4495"/>
        <v/>
      </c>
      <c r="FM399" s="71" t="str">
        <f t="shared" si="4496"/>
        <v/>
      </c>
      <c r="FN399" s="71" t="str">
        <f t="shared" si="4497"/>
        <v/>
      </c>
      <c r="FO399" s="71" t="str">
        <f t="shared" si="4498"/>
        <v/>
      </c>
      <c r="FP399" s="71" t="str">
        <f t="shared" si="4499"/>
        <v/>
      </c>
      <c r="FQ399" s="71" t="str">
        <f t="shared" si="4500"/>
        <v/>
      </c>
      <c r="FR399" s="71" t="str">
        <f t="shared" si="4501"/>
        <v/>
      </c>
      <c r="FS399" s="71" t="str">
        <f t="shared" si="4502"/>
        <v/>
      </c>
    </row>
    <row r="400" ht="15" spans="1:175">
      <c r="A400" s="73"/>
      <c r="B400" s="158"/>
      <c r="C400" s="73"/>
      <c r="E400" s="142"/>
      <c r="T400" s="162"/>
      <c r="U400" s="89"/>
      <c r="CU400" s="99" t="str">
        <f t="shared" si="4432"/>
        <v>|n</v>
      </c>
      <c r="CW400" s="60"/>
      <c r="CX400" s="60"/>
      <c r="CY400" s="60"/>
      <c r="CZ400" s="60"/>
      <c r="DA400" s="60"/>
      <c r="DB400" s="71" t="str">
        <f t="shared" si="4433"/>
        <v/>
      </c>
      <c r="DC400" s="71" t="str">
        <f t="shared" si="4434"/>
        <v/>
      </c>
      <c r="DD400" s="71" t="str">
        <f t="shared" si="4435"/>
        <v/>
      </c>
      <c r="DE400" s="71" t="str">
        <f t="shared" si="4436"/>
        <v/>
      </c>
      <c r="DF400" s="71" t="str">
        <f t="shared" si="4437"/>
        <v/>
      </c>
      <c r="DG400" s="71" t="str">
        <f t="shared" si="4438"/>
        <v/>
      </c>
      <c r="DH400" s="71" t="str">
        <f t="shared" si="4439"/>
        <v/>
      </c>
      <c r="DI400" s="71" t="str">
        <f t="shared" si="4440"/>
        <v/>
      </c>
      <c r="DJ400" s="71" t="str">
        <f t="shared" si="4441"/>
        <v/>
      </c>
      <c r="DK400" s="71" t="str">
        <f t="shared" si="4442"/>
        <v/>
      </c>
      <c r="DL400" s="71" t="str">
        <f t="shared" si="4443"/>
        <v/>
      </c>
      <c r="DM400" s="71" t="str">
        <f t="shared" si="4444"/>
        <v/>
      </c>
      <c r="DN400" s="71" t="str">
        <f t="shared" si="4445"/>
        <v/>
      </c>
      <c r="DO400" s="71" t="str">
        <f t="shared" si="4446"/>
        <v/>
      </c>
      <c r="DP400" s="71" t="str">
        <f t="shared" si="4447"/>
        <v/>
      </c>
      <c r="DQ400" s="71" t="str">
        <f t="shared" si="4448"/>
        <v/>
      </c>
      <c r="DR400" s="71" t="str">
        <f t="shared" si="4449"/>
        <v/>
      </c>
      <c r="DS400" s="71" t="str">
        <f t="shared" si="4450"/>
        <v/>
      </c>
      <c r="DT400" s="71" t="str">
        <f t="shared" si="4451"/>
        <v/>
      </c>
      <c r="DU400" s="71" t="str">
        <f t="shared" si="4452"/>
        <v/>
      </c>
      <c r="DV400" s="71" t="str">
        <f t="shared" si="4453"/>
        <v/>
      </c>
      <c r="DW400" s="71" t="str">
        <f t="shared" si="4454"/>
        <v/>
      </c>
      <c r="DX400" s="71" t="str">
        <f t="shared" si="4455"/>
        <v/>
      </c>
      <c r="DY400" s="71" t="str">
        <f t="shared" si="4456"/>
        <v/>
      </c>
      <c r="DZ400" s="71" t="str">
        <f t="shared" si="4457"/>
        <v/>
      </c>
      <c r="EA400" s="71" t="str">
        <f t="shared" si="4458"/>
        <v/>
      </c>
      <c r="EB400" s="71" t="str">
        <f t="shared" si="4459"/>
        <v/>
      </c>
      <c r="EC400" s="71" t="str">
        <f t="shared" si="4460"/>
        <v/>
      </c>
      <c r="ED400" s="71" t="str">
        <f t="shared" si="4461"/>
        <v/>
      </c>
      <c r="EE400" s="71" t="str">
        <f t="shared" si="4462"/>
        <v/>
      </c>
      <c r="EF400" s="71" t="str">
        <f t="shared" si="4463"/>
        <v/>
      </c>
      <c r="EG400" s="71" t="str">
        <f t="shared" si="4464"/>
        <v/>
      </c>
      <c r="EH400" s="71" t="str">
        <f t="shared" si="4465"/>
        <v/>
      </c>
      <c r="EI400" s="71" t="str">
        <f t="shared" si="4466"/>
        <v/>
      </c>
      <c r="EJ400" s="71" t="str">
        <f t="shared" si="4467"/>
        <v/>
      </c>
      <c r="EK400" s="71" t="str">
        <f t="shared" si="4468"/>
        <v/>
      </c>
      <c r="EL400" s="71" t="str">
        <f t="shared" si="4469"/>
        <v/>
      </c>
      <c r="EM400" s="71" t="str">
        <f t="shared" si="4470"/>
        <v/>
      </c>
      <c r="EN400" s="71" t="str">
        <f t="shared" si="4471"/>
        <v/>
      </c>
      <c r="EO400" s="71" t="str">
        <f t="shared" si="4472"/>
        <v/>
      </c>
      <c r="EP400" s="71" t="str">
        <f t="shared" si="4473"/>
        <v/>
      </c>
      <c r="EQ400" s="71" t="str">
        <f t="shared" si="4474"/>
        <v/>
      </c>
      <c r="ER400" s="71" t="str">
        <f t="shared" si="4475"/>
        <v/>
      </c>
      <c r="ES400" s="71" t="str">
        <f t="shared" si="4476"/>
        <v/>
      </c>
      <c r="ET400" s="71" t="str">
        <f t="shared" si="4477"/>
        <v/>
      </c>
      <c r="EU400" s="71" t="str">
        <f t="shared" si="4478"/>
        <v/>
      </c>
      <c r="EV400" s="71" t="str">
        <f t="shared" si="4479"/>
        <v/>
      </c>
      <c r="EW400" s="71" t="str">
        <f t="shared" si="4480"/>
        <v/>
      </c>
      <c r="EX400" s="71" t="str">
        <f t="shared" si="4481"/>
        <v/>
      </c>
      <c r="EY400" s="71" t="str">
        <f t="shared" si="4482"/>
        <v/>
      </c>
      <c r="EZ400" s="71" t="str">
        <f t="shared" si="4483"/>
        <v/>
      </c>
      <c r="FA400" s="71" t="str">
        <f t="shared" si="4484"/>
        <v/>
      </c>
      <c r="FB400" s="71" t="str">
        <f t="shared" si="4485"/>
        <v/>
      </c>
      <c r="FC400" s="71" t="str">
        <f t="shared" si="4486"/>
        <v/>
      </c>
      <c r="FD400" s="71" t="str">
        <f t="shared" si="4487"/>
        <v/>
      </c>
      <c r="FE400" s="71" t="str">
        <f t="shared" si="4488"/>
        <v/>
      </c>
      <c r="FF400" s="71" t="str">
        <f t="shared" si="4489"/>
        <v/>
      </c>
      <c r="FG400" s="71" t="str">
        <f t="shared" si="4490"/>
        <v/>
      </c>
      <c r="FH400" s="71" t="str">
        <f t="shared" si="4491"/>
        <v/>
      </c>
      <c r="FI400" s="71" t="str">
        <f t="shared" si="4492"/>
        <v/>
      </c>
      <c r="FJ400" s="71" t="str">
        <f t="shared" si="4493"/>
        <v/>
      </c>
      <c r="FK400" s="71" t="str">
        <f t="shared" si="4494"/>
        <v/>
      </c>
      <c r="FL400" s="71" t="str">
        <f t="shared" si="4495"/>
        <v/>
      </c>
      <c r="FM400" s="71" t="str">
        <f t="shared" si="4496"/>
        <v/>
      </c>
      <c r="FN400" s="71" t="str">
        <f t="shared" si="4497"/>
        <v/>
      </c>
      <c r="FO400" s="71" t="str">
        <f t="shared" si="4498"/>
        <v/>
      </c>
      <c r="FP400" s="71" t="str">
        <f t="shared" si="4499"/>
        <v/>
      </c>
      <c r="FQ400" s="71" t="str">
        <f t="shared" si="4500"/>
        <v/>
      </c>
      <c r="FR400" s="71" t="str">
        <f t="shared" si="4501"/>
        <v/>
      </c>
      <c r="FS400" s="71" t="str">
        <f t="shared" si="4502"/>
        <v/>
      </c>
    </row>
    <row r="401" spans="92:175">
      <c r="CN401" s="69" t="str">
        <f t="shared" ref="CN401:CN432" si="5355">"InitUnitState('"&amp;B401&amp;"',"&amp;V401&amp;","&amp;W401&amp;","&amp;X401&amp;","&amp;Y401&amp;","&amp;Z401&amp;","&amp;AA401&amp;","&amp;AB401&amp;","&amp;AC401&amp;","&amp;AD401&amp;","&amp;AE401&amp;")"</f>
        <v>InitUnitState('',,,,,,,,,,)</v>
      </c>
      <c r="CO401" s="69" t="str">
        <f t="shared" ref="CO401:CO432" si="5356">"InitUnitNormal('"&amp;B401&amp;"',"&amp;AF401&amp;","&amp;AG401&amp;","&amp;AH401&amp;","&amp;AI401&amp;","&amp;AJ401&amp;","&amp;AK401&amp;","&amp;AL401&amp;","&amp;AM401&amp;","&amp;AN401&amp;","&amp;AO401&amp;")"</f>
        <v>InitUnitNormal('',,,,,,,,,,)</v>
      </c>
      <c r="CP401" s="69" t="str">
        <f t="shared" ref="CP401:CP432" si="5357">"InitUnitMagic('"&amp;B401&amp;"',"&amp;AP401&amp;","&amp;AQ401&amp;","&amp;AR401&amp;","&amp;AS401&amp;","&amp;AT401&amp;","&amp;AU401&amp;","&amp;AV401&amp;","&amp;AW401&amp;","&amp;BI401&amp;","&amp;BJ401&amp;")"</f>
        <v>InitUnitMagic('',,,,,,,,,,)</v>
      </c>
      <c r="CQ401" s="69" t="str">
        <f t="shared" ref="CQ401:CQ432" si="5358">"InitUnitAdd('"&amp;B401&amp;"',"&amp;BK401&amp;","&amp;BL401&amp;","&amp;BM401&amp;","&amp;BN401&amp;","&amp;BO401&amp;","&amp;BP401&amp;","&amp;BQ401&amp;","&amp;BR401&amp;","&amp;BS401&amp;","&amp;BT401&amp;")"</f>
        <v>InitUnitAdd('',,,,,,,,,,)</v>
      </c>
      <c r="CR401" s="69" t="str">
        <f t="shared" ref="CR401:CR432" si="5359">"InitEquipData('"&amp;B401&amp;"',"&amp;D401&amp;","&amp;CR$1&amp;A401&amp;CR$1&amp;","&amp;E401&amp;","&amp;I401&amp;","&amp;F401&amp;","&amp;G401&amp;",'"&amp;J401&amp;"','"&amp;K401&amp;"','"&amp;L401&amp;"','"&amp;M401&amp;"','"&amp;N401&amp;"','"&amp;O401&amp;"',"&amp;CR$1&amp;U402&amp;CR$1&amp;")"</f>
        <v>InitEquipData('',,"",,,,,'','','','','','',"")</v>
      </c>
      <c r="CU401" s="70" t="str">
        <f t="shared" ref="CU401:CU413" si="5360">CONCATENATE(DB401,DC401,DD401,DE401,DF401,DG401,DH401,DI401,DJ401,DK401,DL401,DM401,DN401,DO401,DP401,DQ401,DR401,DS401,DT401,DU401,DV401,DW401,DX401,DY401,DZ401,EA401,EB401,EC401,ED401,EE401,EF401,EG401,EH401,EI401,EJ401,EK401,EL401,EM401,EN401,EO401,EP401&amp;"|n")</f>
        <v>|n</v>
      </c>
      <c r="CW401" s="60"/>
      <c r="CX401" s="60"/>
      <c r="CY401" s="60"/>
      <c r="CZ401" s="60"/>
      <c r="DA401" s="60"/>
      <c r="DB401" s="71" t="str">
        <f t="shared" ref="DB401:DB421" si="5361">IF(V401="","","|n"&amp;DB$2&amp;"+"&amp;V401&amp;DB$1)</f>
        <v/>
      </c>
      <c r="DC401" s="71" t="str">
        <f t="shared" ref="DC401:DC421" si="5362">IF(W401="","","|n"&amp;DC$2&amp;"+"&amp;W401&amp;DC$1)</f>
        <v/>
      </c>
      <c r="DD401" s="71" t="str">
        <f t="shared" ref="DD401:DD421" si="5363">IF(X401="","","|n"&amp;DD$2&amp;"+"&amp;X401&amp;DD$1)</f>
        <v/>
      </c>
      <c r="DE401" s="71" t="str">
        <f t="shared" ref="DE401:DE421" si="5364">IF(Y401="","","|n"&amp;DE$2&amp;"+"&amp;Y401&amp;DE$1)</f>
        <v/>
      </c>
      <c r="DF401" s="71" t="str">
        <f t="shared" ref="DF401:DF421" si="5365">IF(Z401="","","|n"&amp;DF$2&amp;"+"&amp;Z401&amp;DF$1)</f>
        <v/>
      </c>
      <c r="DG401" s="71" t="str">
        <f t="shared" ref="DG401:DG421" si="5366">IF(AA401="","","|n"&amp;DG$2&amp;"+"&amp;AA401&amp;DG$1)</f>
        <v/>
      </c>
      <c r="DH401" s="71" t="str">
        <f t="shared" ref="DH401:DH421" si="5367">IF(AB401="","","|n"&amp;DH$2&amp;"+"&amp;AB401&amp;DH$1)</f>
        <v/>
      </c>
      <c r="DI401" s="71" t="str">
        <f t="shared" ref="DI401:DI421" si="5368">IF(AC401="","","|n"&amp;DI$2&amp;"+"&amp;AC401&amp;DI$1)</f>
        <v/>
      </c>
      <c r="DJ401" s="71" t="str">
        <f t="shared" ref="DJ401:DJ421" si="5369">IF(AD401="","","|n"&amp;DJ$2&amp;"+"&amp;AD401&amp;DJ$1)</f>
        <v/>
      </c>
      <c r="DK401" s="71" t="str">
        <f t="shared" ref="DK401:DK421" si="5370">IF(AE401="","","|n"&amp;DK$2&amp;"+"&amp;AE401&amp;DK$1)</f>
        <v/>
      </c>
      <c r="DL401" s="71" t="str">
        <f t="shared" ref="DL401:DL421" si="5371">IF(AF401="","","|n"&amp;DL$2&amp;"+"&amp;AF401&amp;DL$1)</f>
        <v/>
      </c>
      <c r="DM401" s="71" t="str">
        <f t="shared" ref="DM401:DM421" si="5372">IF(AG401="","","|n"&amp;DM$2&amp;"+"&amp;AG401&amp;DM$1)</f>
        <v/>
      </c>
      <c r="DN401" s="71" t="str">
        <f t="shared" ref="DN401:DN421" si="5373">IF(AH401="","","|n"&amp;DN$2&amp;"+"&amp;AH401&amp;DN$1)</f>
        <v/>
      </c>
      <c r="DO401" s="71" t="str">
        <f t="shared" ref="DO401:DO421" si="5374">IF(AI401="","","|n"&amp;DO$2&amp;"+"&amp;AI401&amp;DO$1)</f>
        <v/>
      </c>
      <c r="DP401" s="71" t="str">
        <f t="shared" ref="DP401:DP421" si="5375">IF(AJ401="","","|n"&amp;DP$2&amp;"+"&amp;AJ401&amp;DP$1)</f>
        <v/>
      </c>
      <c r="DQ401" s="71" t="str">
        <f t="shared" ref="DQ401:DQ421" si="5376">IF(AK401="","","|n"&amp;DQ$2&amp;"+"&amp;AK401&amp;DQ$1)</f>
        <v/>
      </c>
      <c r="DR401" s="71" t="str">
        <f t="shared" ref="DR401:DR421" si="5377">IF(AL401="","","|n"&amp;DR$2&amp;"+"&amp;AL401&amp;DR$1)</f>
        <v/>
      </c>
      <c r="DS401" s="71" t="str">
        <f t="shared" ref="DS401:DS421" si="5378">IF(AM401="","","|n"&amp;DS$2&amp;"+"&amp;AM401&amp;DS$1)</f>
        <v/>
      </c>
      <c r="DT401" s="71" t="str">
        <f t="shared" ref="DT401:DT421" si="5379">IF(AN401="","","|n"&amp;DT$2&amp;"+"&amp;AN401&amp;DT$1)</f>
        <v/>
      </c>
      <c r="DU401" s="71" t="str">
        <f t="shared" ref="DU401:DU421" si="5380">IF(AO401="","","|n"&amp;DU$2&amp;"+"&amp;AO401&amp;DU$1)</f>
        <v/>
      </c>
      <c r="DV401" s="71" t="str">
        <f t="shared" ref="DV401:DV421" si="5381">IF(AP401="","","|n"&amp;DV$2&amp;"+"&amp;AP401&amp;DV$1)</f>
        <v/>
      </c>
      <c r="DW401" s="71" t="str">
        <f t="shared" ref="DW401:DW421" si="5382">IF(AQ401="","","|n"&amp;DW$2&amp;"+"&amp;AQ401&amp;DW$1)</f>
        <v/>
      </c>
      <c r="DX401" s="71" t="str">
        <f t="shared" ref="DX401:DX421" si="5383">IF(AR401="","","|n"&amp;DX$2&amp;"+"&amp;AR401&amp;DX$1)</f>
        <v/>
      </c>
      <c r="DY401" s="71" t="str">
        <f t="shared" ref="DY401:DY421" si="5384">IF(AS401="","","|n"&amp;DY$2&amp;"+"&amp;AS401&amp;DY$1)</f>
        <v/>
      </c>
      <c r="DZ401" s="71" t="str">
        <f t="shared" ref="DZ401:DZ421" si="5385">IF(AT401="","","|n"&amp;DZ$2&amp;"+"&amp;AT401&amp;DZ$1)</f>
        <v/>
      </c>
      <c r="EA401" s="71" t="str">
        <f t="shared" ref="EA401:EA421" si="5386">IF(AU401="","","|n"&amp;EA$2&amp;"+"&amp;AU401&amp;EA$1)</f>
        <v/>
      </c>
      <c r="EB401" s="71" t="str">
        <f t="shared" ref="EB401:EB421" si="5387">IF(AV401="","","|n"&amp;EB$2&amp;"+"&amp;AV401&amp;EB$1)</f>
        <v/>
      </c>
      <c r="EC401" s="71" t="str">
        <f t="shared" ref="EC401:EC421" si="5388">IF(AW401="","","|n"&amp;EC$2&amp;"+"&amp;AW401&amp;EC$1)</f>
        <v/>
      </c>
      <c r="ED401" s="71" t="str">
        <f t="shared" ref="ED401:ED421" si="5389">IF(AX401="","","|n"&amp;ED$2&amp;"+"&amp;AX401&amp;ED$1)</f>
        <v/>
      </c>
      <c r="EE401" s="71" t="str">
        <f t="shared" ref="EE401:EE421" si="5390">IF(AY401="","","|n"&amp;EE$2&amp;"+"&amp;AY401&amp;EE$1)</f>
        <v/>
      </c>
      <c r="EF401" s="71" t="str">
        <f t="shared" ref="EF401:EF421" si="5391">IF(AZ401="","","|n"&amp;EF$2&amp;"+"&amp;AZ401&amp;EF$1)</f>
        <v/>
      </c>
      <c r="EG401" s="71" t="str">
        <f t="shared" ref="EG401:EG421" si="5392">IF(BA401="","","|n"&amp;EG$2&amp;"+"&amp;BA401&amp;EG$1)</f>
        <v/>
      </c>
      <c r="EH401" s="71" t="str">
        <f t="shared" ref="EH401:EH421" si="5393">IF(BB401="","","|n"&amp;EH$2&amp;"+"&amp;BB401&amp;EH$1)</f>
        <v/>
      </c>
      <c r="EI401" s="71" t="str">
        <f t="shared" ref="EI401:EI421" si="5394">IF(BC401="","","|n"&amp;EI$2&amp;"+"&amp;BC401&amp;EI$1)</f>
        <v/>
      </c>
      <c r="EJ401" s="71" t="str">
        <f t="shared" ref="EJ401:EJ421" si="5395">IF(BD401="","","|n"&amp;EJ$2&amp;"+"&amp;BD401&amp;EJ$1)</f>
        <v/>
      </c>
      <c r="EK401" s="71" t="str">
        <f t="shared" ref="EK401:EK421" si="5396">IF(BE401="","","|n"&amp;EK$2&amp;"+"&amp;BE401&amp;EK$1)</f>
        <v/>
      </c>
      <c r="EL401" s="71" t="str">
        <f t="shared" ref="EL401:EL421" si="5397">IF(BF401="","","|n"&amp;EL$2&amp;"+"&amp;BF401&amp;EL$1)</f>
        <v/>
      </c>
      <c r="EM401" s="71" t="str">
        <f t="shared" ref="EM401:EM421" si="5398">IF(BG401="","","|n"&amp;EM$2&amp;"+"&amp;BG401&amp;EM$1)</f>
        <v/>
      </c>
      <c r="EN401" s="71" t="str">
        <f t="shared" ref="EN401:EN421" si="5399">IF(BH401="","","|n"&amp;EN$2&amp;"+"&amp;BH401&amp;EN$1)</f>
        <v/>
      </c>
      <c r="EO401" s="71" t="str">
        <f t="shared" ref="EO401:EO421" si="5400">IF(BI401="","","|n"&amp;EO$2&amp;"+"&amp;BI401&amp;EO$1)</f>
        <v/>
      </c>
      <c r="EP401" s="71" t="str">
        <f t="shared" ref="EP401:EP421" si="5401">IF(BJ401="","","|n"&amp;EP$2&amp;"+"&amp;BJ401&amp;EP$1)</f>
        <v/>
      </c>
      <c r="EQ401" s="71" t="str">
        <f t="shared" ref="EQ401:EQ421" si="5402">IF(BK401="","","|n"&amp;EQ$2&amp;"+"&amp;BK401&amp;EQ$1)</f>
        <v/>
      </c>
      <c r="ER401" s="71" t="str">
        <f t="shared" ref="ER401:ER421" si="5403">IF(BL401="","","|n"&amp;ER$2&amp;"+"&amp;BL401&amp;ER$1)</f>
        <v/>
      </c>
      <c r="ES401" s="71" t="str">
        <f t="shared" ref="ES401:ES421" si="5404">IF(BM401="","","|n"&amp;ES$2&amp;"+"&amp;BM401&amp;ES$1)</f>
        <v/>
      </c>
      <c r="ET401" s="71" t="str">
        <f t="shared" ref="ET401:ET421" si="5405">IF(BN401="","","|n"&amp;ET$2&amp;"+"&amp;BN401&amp;ET$1)</f>
        <v/>
      </c>
      <c r="EU401" s="71" t="str">
        <f t="shared" ref="EU401:EU421" si="5406">IF(BO401="","","|n"&amp;EU$2&amp;"+"&amp;BO401&amp;EU$1)</f>
        <v/>
      </c>
      <c r="EV401" s="71" t="str">
        <f t="shared" ref="EV401:EV421" si="5407">IF(BP401="","","|n"&amp;EV$2&amp;"+"&amp;BP401&amp;EV$1)</f>
        <v/>
      </c>
      <c r="EW401" s="71" t="str">
        <f t="shared" ref="EW401:EW421" si="5408">IF(BQ401="","","|n"&amp;EW$2&amp;"+"&amp;BQ401&amp;EW$1)</f>
        <v/>
      </c>
      <c r="EX401" s="71" t="str">
        <f t="shared" ref="EX401:EX421" si="5409">IF(BR401="","","|n"&amp;EX$2&amp;"+"&amp;BR401&amp;EX$1)</f>
        <v/>
      </c>
      <c r="EY401" s="71" t="str">
        <f t="shared" ref="EY401:EY421" si="5410">IF(BS401="","","|n"&amp;EY$2&amp;"+"&amp;BS401&amp;EY$1)</f>
        <v/>
      </c>
      <c r="EZ401" s="71" t="str">
        <f t="shared" ref="EZ401:EZ421" si="5411">IF(BT401="","","|n"&amp;EZ$2&amp;"+"&amp;BT401&amp;EZ$1)</f>
        <v/>
      </c>
      <c r="FA401" s="71" t="str">
        <f t="shared" ref="FA401:FA421" si="5412">IF(BU401="","","|n"&amp;FA$2&amp;"+"&amp;BU401&amp;FA$1)</f>
        <v/>
      </c>
      <c r="FB401" s="71" t="str">
        <f t="shared" ref="FB401:FB421" si="5413">IF(BV401="","","|n"&amp;FB$2&amp;"+"&amp;BV401&amp;FB$1)</f>
        <v/>
      </c>
      <c r="FC401" s="71" t="str">
        <f t="shared" ref="FC401:FC421" si="5414">IF(BW401="","","|n"&amp;FC$2&amp;"+"&amp;BW401&amp;FC$1)</f>
        <v/>
      </c>
      <c r="FD401" s="71" t="str">
        <f t="shared" ref="FD401:FD421" si="5415">IF(BX401="","","|n"&amp;FD$2&amp;"+"&amp;BX401&amp;FD$1)</f>
        <v/>
      </c>
      <c r="FE401" s="71" t="str">
        <f t="shared" ref="FE401:FE421" si="5416">IF(BY401="","","|n"&amp;FE$2&amp;"+"&amp;BY401&amp;FE$1)</f>
        <v/>
      </c>
      <c r="FF401" s="71" t="str">
        <f t="shared" ref="FF401:FF421" si="5417">IF(BZ401="","","|n"&amp;FF$2&amp;"+"&amp;BZ401&amp;FF$1)</f>
        <v/>
      </c>
      <c r="FG401" s="71" t="str">
        <f t="shared" ref="FG401:FG421" si="5418">IF(CA401="","","|n"&amp;FG$2&amp;"+"&amp;CA401&amp;FG$1)</f>
        <v/>
      </c>
      <c r="FH401" s="71" t="str">
        <f t="shared" ref="FH401:FH421" si="5419">IF(CB401="","","|n"&amp;FH$2&amp;"+"&amp;CB401&amp;FH$1)</f>
        <v/>
      </c>
      <c r="FI401" s="71" t="str">
        <f t="shared" ref="FI401:FI421" si="5420">IF(CC401="","","|n"&amp;FI$2&amp;"+"&amp;CC401&amp;FI$1)</f>
        <v/>
      </c>
      <c r="FJ401" s="71" t="str">
        <f t="shared" ref="FJ401:FJ421" si="5421">IF(CD401="","","|n"&amp;FJ$2&amp;"+"&amp;CD401&amp;FJ$1)</f>
        <v/>
      </c>
      <c r="FK401" s="71" t="str">
        <f t="shared" ref="FK401:FK421" si="5422">IF(CE401="","","|n"&amp;FK$2&amp;"+"&amp;CE401&amp;FK$1)</f>
        <v/>
      </c>
      <c r="FL401" s="71" t="str">
        <f t="shared" ref="FL401:FL421" si="5423">IF(CF401="","","|n"&amp;FL$2&amp;"+"&amp;CF401&amp;FL$1)</f>
        <v/>
      </c>
      <c r="FM401" s="71" t="str">
        <f t="shared" ref="FM401:FM421" si="5424">IF(CG401="","","|n"&amp;FM$2&amp;"+"&amp;CG401&amp;FM$1)</f>
        <v/>
      </c>
      <c r="FN401" s="71" t="str">
        <f t="shared" ref="FN401:FN421" si="5425">IF(CH401="","","|n"&amp;FN$2&amp;"+"&amp;CH401&amp;FN$1)</f>
        <v/>
      </c>
      <c r="FO401" s="71" t="str">
        <f t="shared" ref="FO401:FO421" si="5426">IF(CI401="","","|n"&amp;FO$2&amp;"+"&amp;CI401&amp;FO$1)</f>
        <v/>
      </c>
      <c r="FP401" s="71" t="str">
        <f t="shared" ref="FP401:FP421" si="5427">IF(CJ401="","","|n"&amp;FP$2&amp;"+"&amp;CJ401&amp;FP$1)</f>
        <v/>
      </c>
      <c r="FQ401" s="71" t="str">
        <f t="shared" ref="FQ401:FQ421" si="5428">IF(CK401="","","|n"&amp;FQ$2&amp;"+"&amp;CK401&amp;FQ$1)</f>
        <v/>
      </c>
      <c r="FR401" s="71" t="str">
        <f t="shared" ref="FR401:FR421" si="5429">IF(CL401="","","|n"&amp;FR$2&amp;"+"&amp;CL401&amp;FR$1)</f>
        <v/>
      </c>
      <c r="FS401" s="71" t="str">
        <f t="shared" ref="FS401:FS421" si="5430">IF(CM401="","","|n"&amp;FS$2&amp;"+"&amp;CM401&amp;FS$1)</f>
        <v/>
      </c>
    </row>
    <row r="402" spans="92:175">
      <c r="CN402" s="69" t="str">
        <f t="shared" si="5355"/>
        <v>InitUnitState('',,,,,,,,,,)</v>
      </c>
      <c r="CO402" s="69" t="str">
        <f t="shared" si="5356"/>
        <v>InitUnitNormal('',,,,,,,,,,)</v>
      </c>
      <c r="CP402" s="69" t="str">
        <f t="shared" si="5357"/>
        <v>InitUnitMagic('',,,,,,,,,,)</v>
      </c>
      <c r="CQ402" s="69" t="str">
        <f t="shared" si="5358"/>
        <v>InitUnitAdd('',,,,,,,,,,)</v>
      </c>
      <c r="CR402" s="69" t="str">
        <f t="shared" si="5359"/>
        <v>InitEquipData('',,"",,,,,'','','','','','',"")</v>
      </c>
      <c r="CU402" s="70" t="str">
        <f t="shared" si="5360"/>
        <v>|n</v>
      </c>
      <c r="CW402" s="60"/>
      <c r="CX402" s="60"/>
      <c r="CY402" s="60"/>
      <c r="CZ402" s="60"/>
      <c r="DA402" s="60"/>
      <c r="DB402" s="71" t="str">
        <f t="shared" si="5361"/>
        <v/>
      </c>
      <c r="DC402" s="71" t="str">
        <f t="shared" si="5362"/>
        <v/>
      </c>
      <c r="DD402" s="71" t="str">
        <f t="shared" si="5363"/>
        <v/>
      </c>
      <c r="DE402" s="71" t="str">
        <f t="shared" si="5364"/>
        <v/>
      </c>
      <c r="DF402" s="71" t="str">
        <f t="shared" si="5365"/>
        <v/>
      </c>
      <c r="DG402" s="71" t="str">
        <f t="shared" si="5366"/>
        <v/>
      </c>
      <c r="DH402" s="71" t="str">
        <f t="shared" si="5367"/>
        <v/>
      </c>
      <c r="DI402" s="71" t="str">
        <f t="shared" si="5368"/>
        <v/>
      </c>
      <c r="DJ402" s="71" t="str">
        <f t="shared" si="5369"/>
        <v/>
      </c>
      <c r="DK402" s="71" t="str">
        <f t="shared" si="5370"/>
        <v/>
      </c>
      <c r="DL402" s="71" t="str">
        <f t="shared" si="5371"/>
        <v/>
      </c>
      <c r="DM402" s="71" t="str">
        <f t="shared" si="5372"/>
        <v/>
      </c>
      <c r="DN402" s="71" t="str">
        <f t="shared" si="5373"/>
        <v/>
      </c>
      <c r="DO402" s="71" t="str">
        <f t="shared" si="5374"/>
        <v/>
      </c>
      <c r="DP402" s="71" t="str">
        <f t="shared" si="5375"/>
        <v/>
      </c>
      <c r="DQ402" s="71" t="str">
        <f t="shared" si="5376"/>
        <v/>
      </c>
      <c r="DR402" s="71" t="str">
        <f t="shared" si="5377"/>
        <v/>
      </c>
      <c r="DS402" s="71" t="str">
        <f t="shared" si="5378"/>
        <v/>
      </c>
      <c r="DT402" s="71" t="str">
        <f t="shared" si="5379"/>
        <v/>
      </c>
      <c r="DU402" s="71" t="str">
        <f t="shared" si="5380"/>
        <v/>
      </c>
      <c r="DV402" s="71" t="str">
        <f t="shared" si="5381"/>
        <v/>
      </c>
      <c r="DW402" s="71" t="str">
        <f t="shared" si="5382"/>
        <v/>
      </c>
      <c r="DX402" s="71" t="str">
        <f t="shared" si="5383"/>
        <v/>
      </c>
      <c r="DY402" s="71" t="str">
        <f t="shared" si="5384"/>
        <v/>
      </c>
      <c r="DZ402" s="71" t="str">
        <f t="shared" si="5385"/>
        <v/>
      </c>
      <c r="EA402" s="71" t="str">
        <f t="shared" si="5386"/>
        <v/>
      </c>
      <c r="EB402" s="71" t="str">
        <f t="shared" si="5387"/>
        <v/>
      </c>
      <c r="EC402" s="71" t="str">
        <f t="shared" si="5388"/>
        <v/>
      </c>
      <c r="ED402" s="71" t="str">
        <f t="shared" si="5389"/>
        <v/>
      </c>
      <c r="EE402" s="71" t="str">
        <f t="shared" si="5390"/>
        <v/>
      </c>
      <c r="EF402" s="71" t="str">
        <f t="shared" si="5391"/>
        <v/>
      </c>
      <c r="EG402" s="71" t="str">
        <f t="shared" si="5392"/>
        <v/>
      </c>
      <c r="EH402" s="71" t="str">
        <f t="shared" si="5393"/>
        <v/>
      </c>
      <c r="EI402" s="71" t="str">
        <f t="shared" si="5394"/>
        <v/>
      </c>
      <c r="EJ402" s="71" t="str">
        <f t="shared" si="5395"/>
        <v/>
      </c>
      <c r="EK402" s="71" t="str">
        <f t="shared" si="5396"/>
        <v/>
      </c>
      <c r="EL402" s="71" t="str">
        <f t="shared" si="5397"/>
        <v/>
      </c>
      <c r="EM402" s="71" t="str">
        <f t="shared" si="5398"/>
        <v/>
      </c>
      <c r="EN402" s="71" t="str">
        <f t="shared" si="5399"/>
        <v/>
      </c>
      <c r="EO402" s="71" t="str">
        <f t="shared" si="5400"/>
        <v/>
      </c>
      <c r="EP402" s="71" t="str">
        <f t="shared" si="5401"/>
        <v/>
      </c>
      <c r="EQ402" s="71" t="str">
        <f t="shared" si="5402"/>
        <v/>
      </c>
      <c r="ER402" s="71" t="str">
        <f t="shared" si="5403"/>
        <v/>
      </c>
      <c r="ES402" s="71" t="str">
        <f t="shared" si="5404"/>
        <v/>
      </c>
      <c r="ET402" s="71" t="str">
        <f t="shared" si="5405"/>
        <v/>
      </c>
      <c r="EU402" s="71" t="str">
        <f t="shared" si="5406"/>
        <v/>
      </c>
      <c r="EV402" s="71" t="str">
        <f t="shared" si="5407"/>
        <v/>
      </c>
      <c r="EW402" s="71" t="str">
        <f t="shared" si="5408"/>
        <v/>
      </c>
      <c r="EX402" s="71" t="str">
        <f t="shared" si="5409"/>
        <v/>
      </c>
      <c r="EY402" s="71" t="str">
        <f t="shared" si="5410"/>
        <v/>
      </c>
      <c r="EZ402" s="71" t="str">
        <f t="shared" si="5411"/>
        <v/>
      </c>
      <c r="FA402" s="71" t="str">
        <f t="shared" si="5412"/>
        <v/>
      </c>
      <c r="FB402" s="71" t="str">
        <f t="shared" si="5413"/>
        <v/>
      </c>
      <c r="FC402" s="71" t="str">
        <f t="shared" si="5414"/>
        <v/>
      </c>
      <c r="FD402" s="71" t="str">
        <f t="shared" si="5415"/>
        <v/>
      </c>
      <c r="FE402" s="71" t="str">
        <f t="shared" si="5416"/>
        <v/>
      </c>
      <c r="FF402" s="71" t="str">
        <f t="shared" si="5417"/>
        <v/>
      </c>
      <c r="FG402" s="71" t="str">
        <f t="shared" si="5418"/>
        <v/>
      </c>
      <c r="FH402" s="71" t="str">
        <f t="shared" si="5419"/>
        <v/>
      </c>
      <c r="FI402" s="71" t="str">
        <f t="shared" si="5420"/>
        <v/>
      </c>
      <c r="FJ402" s="71" t="str">
        <f t="shared" si="5421"/>
        <v/>
      </c>
      <c r="FK402" s="71" t="str">
        <f t="shared" si="5422"/>
        <v/>
      </c>
      <c r="FL402" s="71" t="str">
        <f t="shared" si="5423"/>
        <v/>
      </c>
      <c r="FM402" s="71" t="str">
        <f t="shared" si="5424"/>
        <v/>
      </c>
      <c r="FN402" s="71" t="str">
        <f t="shared" si="5425"/>
        <v/>
      </c>
      <c r="FO402" s="71" t="str">
        <f t="shared" si="5426"/>
        <v/>
      </c>
      <c r="FP402" s="71" t="str">
        <f t="shared" si="5427"/>
        <v/>
      </c>
      <c r="FQ402" s="71" t="str">
        <f t="shared" si="5428"/>
        <v/>
      </c>
      <c r="FR402" s="71" t="str">
        <f t="shared" si="5429"/>
        <v/>
      </c>
      <c r="FS402" s="71" t="str">
        <f t="shared" si="5430"/>
        <v/>
      </c>
    </row>
    <row r="403" spans="92:175">
      <c r="CN403" s="69" t="str">
        <f t="shared" si="5355"/>
        <v>InitUnitState('',,,,,,,,,,)</v>
      </c>
      <c r="CO403" s="69" t="str">
        <f t="shared" si="5356"/>
        <v>InitUnitNormal('',,,,,,,,,,)</v>
      </c>
      <c r="CP403" s="69" t="str">
        <f t="shared" si="5357"/>
        <v>InitUnitMagic('',,,,,,,,,,)</v>
      </c>
      <c r="CQ403" s="69" t="str">
        <f t="shared" si="5358"/>
        <v>InitUnitAdd('',,,,,,,,,,)</v>
      </c>
      <c r="CR403" s="69" t="str">
        <f t="shared" si="5359"/>
        <v>InitEquipData('',,"",,,,,'','','','','','',"")</v>
      </c>
      <c r="CU403" s="70" t="str">
        <f t="shared" si="5360"/>
        <v>|n</v>
      </c>
      <c r="CW403" s="60"/>
      <c r="CX403" s="60"/>
      <c r="CY403" s="60"/>
      <c r="CZ403" s="60"/>
      <c r="DA403" s="60"/>
      <c r="DB403" s="71" t="str">
        <f t="shared" si="5361"/>
        <v/>
      </c>
      <c r="DC403" s="71" t="str">
        <f t="shared" si="5362"/>
        <v/>
      </c>
      <c r="DD403" s="71" t="str">
        <f t="shared" si="5363"/>
        <v/>
      </c>
      <c r="DE403" s="71" t="str">
        <f t="shared" si="5364"/>
        <v/>
      </c>
      <c r="DF403" s="71" t="str">
        <f t="shared" si="5365"/>
        <v/>
      </c>
      <c r="DG403" s="71" t="str">
        <f t="shared" si="5366"/>
        <v/>
      </c>
      <c r="DH403" s="71" t="str">
        <f t="shared" si="5367"/>
        <v/>
      </c>
      <c r="DI403" s="71" t="str">
        <f t="shared" si="5368"/>
        <v/>
      </c>
      <c r="DJ403" s="71" t="str">
        <f t="shared" si="5369"/>
        <v/>
      </c>
      <c r="DK403" s="71" t="str">
        <f t="shared" si="5370"/>
        <v/>
      </c>
      <c r="DL403" s="71" t="str">
        <f t="shared" si="5371"/>
        <v/>
      </c>
      <c r="DM403" s="71" t="str">
        <f t="shared" si="5372"/>
        <v/>
      </c>
      <c r="DN403" s="71" t="str">
        <f t="shared" si="5373"/>
        <v/>
      </c>
      <c r="DO403" s="71" t="str">
        <f t="shared" si="5374"/>
        <v/>
      </c>
      <c r="DP403" s="71" t="str">
        <f t="shared" si="5375"/>
        <v/>
      </c>
      <c r="DQ403" s="71" t="str">
        <f t="shared" si="5376"/>
        <v/>
      </c>
      <c r="DR403" s="71" t="str">
        <f t="shared" si="5377"/>
        <v/>
      </c>
      <c r="DS403" s="71" t="str">
        <f t="shared" si="5378"/>
        <v/>
      </c>
      <c r="DT403" s="71" t="str">
        <f t="shared" si="5379"/>
        <v/>
      </c>
      <c r="DU403" s="71" t="str">
        <f t="shared" si="5380"/>
        <v/>
      </c>
      <c r="DV403" s="71" t="str">
        <f t="shared" si="5381"/>
        <v/>
      </c>
      <c r="DW403" s="71" t="str">
        <f t="shared" si="5382"/>
        <v/>
      </c>
      <c r="DX403" s="71" t="str">
        <f t="shared" si="5383"/>
        <v/>
      </c>
      <c r="DY403" s="71" t="str">
        <f t="shared" si="5384"/>
        <v/>
      </c>
      <c r="DZ403" s="71" t="str">
        <f t="shared" si="5385"/>
        <v/>
      </c>
      <c r="EA403" s="71" t="str">
        <f t="shared" si="5386"/>
        <v/>
      </c>
      <c r="EB403" s="71" t="str">
        <f t="shared" si="5387"/>
        <v/>
      </c>
      <c r="EC403" s="71" t="str">
        <f t="shared" si="5388"/>
        <v/>
      </c>
      <c r="ED403" s="71" t="str">
        <f t="shared" si="5389"/>
        <v/>
      </c>
      <c r="EE403" s="71" t="str">
        <f t="shared" si="5390"/>
        <v/>
      </c>
      <c r="EF403" s="71" t="str">
        <f t="shared" si="5391"/>
        <v/>
      </c>
      <c r="EG403" s="71" t="str">
        <f t="shared" si="5392"/>
        <v/>
      </c>
      <c r="EH403" s="71" t="str">
        <f t="shared" si="5393"/>
        <v/>
      </c>
      <c r="EI403" s="71" t="str">
        <f t="shared" si="5394"/>
        <v/>
      </c>
      <c r="EJ403" s="71" t="str">
        <f t="shared" si="5395"/>
        <v/>
      </c>
      <c r="EK403" s="71" t="str">
        <f t="shared" si="5396"/>
        <v/>
      </c>
      <c r="EL403" s="71" t="str">
        <f t="shared" si="5397"/>
        <v/>
      </c>
      <c r="EM403" s="71" t="str">
        <f t="shared" si="5398"/>
        <v/>
      </c>
      <c r="EN403" s="71" t="str">
        <f t="shared" si="5399"/>
        <v/>
      </c>
      <c r="EO403" s="71" t="str">
        <f t="shared" si="5400"/>
        <v/>
      </c>
      <c r="EP403" s="71" t="str">
        <f t="shared" si="5401"/>
        <v/>
      </c>
      <c r="EQ403" s="71" t="str">
        <f t="shared" si="5402"/>
        <v/>
      </c>
      <c r="ER403" s="71" t="str">
        <f t="shared" si="5403"/>
        <v/>
      </c>
      <c r="ES403" s="71" t="str">
        <f t="shared" si="5404"/>
        <v/>
      </c>
      <c r="ET403" s="71" t="str">
        <f t="shared" si="5405"/>
        <v/>
      </c>
      <c r="EU403" s="71" t="str">
        <f t="shared" si="5406"/>
        <v/>
      </c>
      <c r="EV403" s="71" t="str">
        <f t="shared" si="5407"/>
        <v/>
      </c>
      <c r="EW403" s="71" t="str">
        <f t="shared" si="5408"/>
        <v/>
      </c>
      <c r="EX403" s="71" t="str">
        <f t="shared" si="5409"/>
        <v/>
      </c>
      <c r="EY403" s="71" t="str">
        <f t="shared" si="5410"/>
        <v/>
      </c>
      <c r="EZ403" s="71" t="str">
        <f t="shared" si="5411"/>
        <v/>
      </c>
      <c r="FA403" s="71" t="str">
        <f t="shared" si="5412"/>
        <v/>
      </c>
      <c r="FB403" s="71" t="str">
        <f t="shared" si="5413"/>
        <v/>
      </c>
      <c r="FC403" s="71" t="str">
        <f t="shared" si="5414"/>
        <v/>
      </c>
      <c r="FD403" s="71" t="str">
        <f t="shared" si="5415"/>
        <v/>
      </c>
      <c r="FE403" s="71" t="str">
        <f t="shared" si="5416"/>
        <v/>
      </c>
      <c r="FF403" s="71" t="str">
        <f t="shared" si="5417"/>
        <v/>
      </c>
      <c r="FG403" s="71" t="str">
        <f t="shared" si="5418"/>
        <v/>
      </c>
      <c r="FH403" s="71" t="str">
        <f t="shared" si="5419"/>
        <v/>
      </c>
      <c r="FI403" s="71" t="str">
        <f t="shared" si="5420"/>
        <v/>
      </c>
      <c r="FJ403" s="71" t="str">
        <f t="shared" si="5421"/>
        <v/>
      </c>
      <c r="FK403" s="71" t="str">
        <f t="shared" si="5422"/>
        <v/>
      </c>
      <c r="FL403" s="71" t="str">
        <f t="shared" si="5423"/>
        <v/>
      </c>
      <c r="FM403" s="71" t="str">
        <f t="shared" si="5424"/>
        <v/>
      </c>
      <c r="FN403" s="71" t="str">
        <f t="shared" si="5425"/>
        <v/>
      </c>
      <c r="FO403" s="71" t="str">
        <f t="shared" si="5426"/>
        <v/>
      </c>
      <c r="FP403" s="71" t="str">
        <f t="shared" si="5427"/>
        <v/>
      </c>
      <c r="FQ403" s="71" t="str">
        <f t="shared" si="5428"/>
        <v/>
      </c>
      <c r="FR403" s="71" t="str">
        <f t="shared" si="5429"/>
        <v/>
      </c>
      <c r="FS403" s="71" t="str">
        <f t="shared" si="5430"/>
        <v/>
      </c>
    </row>
    <row r="404" spans="92:175">
      <c r="CN404" s="69" t="str">
        <f t="shared" si="5355"/>
        <v>InitUnitState('',,,,,,,,,,)</v>
      </c>
      <c r="CO404" s="69" t="str">
        <f t="shared" si="5356"/>
        <v>InitUnitNormal('',,,,,,,,,,)</v>
      </c>
      <c r="CP404" s="69" t="str">
        <f t="shared" si="5357"/>
        <v>InitUnitMagic('',,,,,,,,,,)</v>
      </c>
      <c r="CQ404" s="69" t="str">
        <f t="shared" si="5358"/>
        <v>InitUnitAdd('',,,,,,,,,,)</v>
      </c>
      <c r="CR404" s="69" t="str">
        <f t="shared" si="5359"/>
        <v>InitEquipData('',,"",,,,,'','','','','','',"")</v>
      </c>
      <c r="CU404" s="70" t="str">
        <f t="shared" si="5360"/>
        <v>|n</v>
      </c>
      <c r="CW404" s="60"/>
      <c r="CX404" s="60"/>
      <c r="CY404" s="60"/>
      <c r="CZ404" s="60"/>
      <c r="DA404" s="60"/>
      <c r="DB404" s="71" t="str">
        <f t="shared" si="5361"/>
        <v/>
      </c>
      <c r="DC404" s="71" t="str">
        <f t="shared" si="5362"/>
        <v/>
      </c>
      <c r="DD404" s="71" t="str">
        <f t="shared" si="5363"/>
        <v/>
      </c>
      <c r="DE404" s="71" t="str">
        <f t="shared" si="5364"/>
        <v/>
      </c>
      <c r="DF404" s="71" t="str">
        <f t="shared" si="5365"/>
        <v/>
      </c>
      <c r="DG404" s="71" t="str">
        <f t="shared" si="5366"/>
        <v/>
      </c>
      <c r="DH404" s="71" t="str">
        <f t="shared" si="5367"/>
        <v/>
      </c>
      <c r="DI404" s="71" t="str">
        <f t="shared" si="5368"/>
        <v/>
      </c>
      <c r="DJ404" s="71" t="str">
        <f t="shared" si="5369"/>
        <v/>
      </c>
      <c r="DK404" s="71" t="str">
        <f t="shared" si="5370"/>
        <v/>
      </c>
      <c r="DL404" s="71" t="str">
        <f t="shared" si="5371"/>
        <v/>
      </c>
      <c r="DM404" s="71" t="str">
        <f t="shared" si="5372"/>
        <v/>
      </c>
      <c r="DN404" s="71" t="str">
        <f t="shared" si="5373"/>
        <v/>
      </c>
      <c r="DO404" s="71" t="str">
        <f t="shared" si="5374"/>
        <v/>
      </c>
      <c r="DP404" s="71" t="str">
        <f t="shared" si="5375"/>
        <v/>
      </c>
      <c r="DQ404" s="71" t="str">
        <f t="shared" si="5376"/>
        <v/>
      </c>
      <c r="DR404" s="71" t="str">
        <f t="shared" si="5377"/>
        <v/>
      </c>
      <c r="DS404" s="71" t="str">
        <f t="shared" si="5378"/>
        <v/>
      </c>
      <c r="DT404" s="71" t="str">
        <f t="shared" si="5379"/>
        <v/>
      </c>
      <c r="DU404" s="71" t="str">
        <f t="shared" si="5380"/>
        <v/>
      </c>
      <c r="DV404" s="71" t="str">
        <f t="shared" si="5381"/>
        <v/>
      </c>
      <c r="DW404" s="71" t="str">
        <f t="shared" si="5382"/>
        <v/>
      </c>
      <c r="DX404" s="71" t="str">
        <f t="shared" si="5383"/>
        <v/>
      </c>
      <c r="DY404" s="71" t="str">
        <f t="shared" si="5384"/>
        <v/>
      </c>
      <c r="DZ404" s="71" t="str">
        <f t="shared" si="5385"/>
        <v/>
      </c>
      <c r="EA404" s="71" t="str">
        <f t="shared" si="5386"/>
        <v/>
      </c>
      <c r="EB404" s="71" t="str">
        <f t="shared" si="5387"/>
        <v/>
      </c>
      <c r="EC404" s="71" t="str">
        <f t="shared" si="5388"/>
        <v/>
      </c>
      <c r="ED404" s="71" t="str">
        <f t="shared" si="5389"/>
        <v/>
      </c>
      <c r="EE404" s="71" t="str">
        <f t="shared" si="5390"/>
        <v/>
      </c>
      <c r="EF404" s="71" t="str">
        <f t="shared" si="5391"/>
        <v/>
      </c>
      <c r="EG404" s="71" t="str">
        <f t="shared" si="5392"/>
        <v/>
      </c>
      <c r="EH404" s="71" t="str">
        <f t="shared" si="5393"/>
        <v/>
      </c>
      <c r="EI404" s="71" t="str">
        <f t="shared" si="5394"/>
        <v/>
      </c>
      <c r="EJ404" s="71" t="str">
        <f t="shared" si="5395"/>
        <v/>
      </c>
      <c r="EK404" s="71" t="str">
        <f t="shared" si="5396"/>
        <v/>
      </c>
      <c r="EL404" s="71" t="str">
        <f t="shared" si="5397"/>
        <v/>
      </c>
      <c r="EM404" s="71" t="str">
        <f t="shared" si="5398"/>
        <v/>
      </c>
      <c r="EN404" s="71" t="str">
        <f t="shared" si="5399"/>
        <v/>
      </c>
      <c r="EO404" s="71" t="str">
        <f t="shared" si="5400"/>
        <v/>
      </c>
      <c r="EP404" s="71" t="str">
        <f t="shared" si="5401"/>
        <v/>
      </c>
      <c r="EQ404" s="71" t="str">
        <f t="shared" si="5402"/>
        <v/>
      </c>
      <c r="ER404" s="71" t="str">
        <f t="shared" si="5403"/>
        <v/>
      </c>
      <c r="ES404" s="71" t="str">
        <f t="shared" si="5404"/>
        <v/>
      </c>
      <c r="ET404" s="71" t="str">
        <f t="shared" si="5405"/>
        <v/>
      </c>
      <c r="EU404" s="71" t="str">
        <f t="shared" si="5406"/>
        <v/>
      </c>
      <c r="EV404" s="71" t="str">
        <f t="shared" si="5407"/>
        <v/>
      </c>
      <c r="EW404" s="71" t="str">
        <f t="shared" si="5408"/>
        <v/>
      </c>
      <c r="EX404" s="71" t="str">
        <f t="shared" si="5409"/>
        <v/>
      </c>
      <c r="EY404" s="71" t="str">
        <f t="shared" si="5410"/>
        <v/>
      </c>
      <c r="EZ404" s="71" t="str">
        <f t="shared" si="5411"/>
        <v/>
      </c>
      <c r="FA404" s="71" t="str">
        <f t="shared" si="5412"/>
        <v/>
      </c>
      <c r="FB404" s="71" t="str">
        <f t="shared" si="5413"/>
        <v/>
      </c>
      <c r="FC404" s="71" t="str">
        <f t="shared" si="5414"/>
        <v/>
      </c>
      <c r="FD404" s="71" t="str">
        <f t="shared" si="5415"/>
        <v/>
      </c>
      <c r="FE404" s="71" t="str">
        <f t="shared" si="5416"/>
        <v/>
      </c>
      <c r="FF404" s="71" t="str">
        <f t="shared" si="5417"/>
        <v/>
      </c>
      <c r="FG404" s="71" t="str">
        <f t="shared" si="5418"/>
        <v/>
      </c>
      <c r="FH404" s="71" t="str">
        <f t="shared" si="5419"/>
        <v/>
      </c>
      <c r="FI404" s="71" t="str">
        <f t="shared" si="5420"/>
        <v/>
      </c>
      <c r="FJ404" s="71" t="str">
        <f t="shared" si="5421"/>
        <v/>
      </c>
      <c r="FK404" s="71" t="str">
        <f t="shared" si="5422"/>
        <v/>
      </c>
      <c r="FL404" s="71" t="str">
        <f t="shared" si="5423"/>
        <v/>
      </c>
      <c r="FM404" s="71" t="str">
        <f t="shared" si="5424"/>
        <v/>
      </c>
      <c r="FN404" s="71" t="str">
        <f t="shared" si="5425"/>
        <v/>
      </c>
      <c r="FO404" s="71" t="str">
        <f t="shared" si="5426"/>
        <v/>
      </c>
      <c r="FP404" s="71" t="str">
        <f t="shared" si="5427"/>
        <v/>
      </c>
      <c r="FQ404" s="71" t="str">
        <f t="shared" si="5428"/>
        <v/>
      </c>
      <c r="FR404" s="71" t="str">
        <f t="shared" si="5429"/>
        <v/>
      </c>
      <c r="FS404" s="71" t="str">
        <f t="shared" si="5430"/>
        <v/>
      </c>
    </row>
    <row r="405" spans="92:175">
      <c r="CN405" s="69" t="str">
        <f t="shared" si="5355"/>
        <v>InitUnitState('',,,,,,,,,,)</v>
      </c>
      <c r="CO405" s="69" t="str">
        <f t="shared" si="5356"/>
        <v>InitUnitNormal('',,,,,,,,,,)</v>
      </c>
      <c r="CP405" s="69" t="str">
        <f t="shared" si="5357"/>
        <v>InitUnitMagic('',,,,,,,,,,)</v>
      </c>
      <c r="CQ405" s="69" t="str">
        <f t="shared" si="5358"/>
        <v>InitUnitAdd('',,,,,,,,,,)</v>
      </c>
      <c r="CR405" s="69" t="str">
        <f t="shared" si="5359"/>
        <v>InitEquipData('',,"",,,,,'','','','','','',"")</v>
      </c>
      <c r="CU405" s="70" t="str">
        <f t="shared" si="5360"/>
        <v>|n</v>
      </c>
      <c r="CW405" s="60"/>
      <c r="CX405" s="60"/>
      <c r="CY405" s="60"/>
      <c r="CZ405" s="60"/>
      <c r="DA405" s="60"/>
      <c r="DB405" s="71" t="str">
        <f t="shared" si="5361"/>
        <v/>
      </c>
      <c r="DC405" s="71" t="str">
        <f t="shared" si="5362"/>
        <v/>
      </c>
      <c r="DD405" s="71" t="str">
        <f t="shared" si="5363"/>
        <v/>
      </c>
      <c r="DE405" s="71" t="str">
        <f t="shared" si="5364"/>
        <v/>
      </c>
      <c r="DF405" s="71" t="str">
        <f t="shared" si="5365"/>
        <v/>
      </c>
      <c r="DG405" s="71" t="str">
        <f t="shared" si="5366"/>
        <v/>
      </c>
      <c r="DH405" s="71" t="str">
        <f t="shared" si="5367"/>
        <v/>
      </c>
      <c r="DI405" s="71" t="str">
        <f t="shared" si="5368"/>
        <v/>
      </c>
      <c r="DJ405" s="71" t="str">
        <f t="shared" si="5369"/>
        <v/>
      </c>
      <c r="DK405" s="71" t="str">
        <f t="shared" si="5370"/>
        <v/>
      </c>
      <c r="DL405" s="71" t="str">
        <f t="shared" si="5371"/>
        <v/>
      </c>
      <c r="DM405" s="71" t="str">
        <f t="shared" si="5372"/>
        <v/>
      </c>
      <c r="DN405" s="71" t="str">
        <f t="shared" si="5373"/>
        <v/>
      </c>
      <c r="DO405" s="71" t="str">
        <f t="shared" si="5374"/>
        <v/>
      </c>
      <c r="DP405" s="71" t="str">
        <f t="shared" si="5375"/>
        <v/>
      </c>
      <c r="DQ405" s="71" t="str">
        <f t="shared" si="5376"/>
        <v/>
      </c>
      <c r="DR405" s="71" t="str">
        <f t="shared" si="5377"/>
        <v/>
      </c>
      <c r="DS405" s="71" t="str">
        <f t="shared" si="5378"/>
        <v/>
      </c>
      <c r="DT405" s="71" t="str">
        <f t="shared" si="5379"/>
        <v/>
      </c>
      <c r="DU405" s="71" t="str">
        <f t="shared" si="5380"/>
        <v/>
      </c>
      <c r="DV405" s="71" t="str">
        <f t="shared" si="5381"/>
        <v/>
      </c>
      <c r="DW405" s="71" t="str">
        <f t="shared" si="5382"/>
        <v/>
      </c>
      <c r="DX405" s="71" t="str">
        <f t="shared" si="5383"/>
        <v/>
      </c>
      <c r="DY405" s="71" t="str">
        <f t="shared" si="5384"/>
        <v/>
      </c>
      <c r="DZ405" s="71" t="str">
        <f t="shared" si="5385"/>
        <v/>
      </c>
      <c r="EA405" s="71" t="str">
        <f t="shared" si="5386"/>
        <v/>
      </c>
      <c r="EB405" s="71" t="str">
        <f t="shared" si="5387"/>
        <v/>
      </c>
      <c r="EC405" s="71" t="str">
        <f t="shared" si="5388"/>
        <v/>
      </c>
      <c r="ED405" s="71" t="str">
        <f t="shared" si="5389"/>
        <v/>
      </c>
      <c r="EE405" s="71" t="str">
        <f t="shared" si="5390"/>
        <v/>
      </c>
      <c r="EF405" s="71" t="str">
        <f t="shared" si="5391"/>
        <v/>
      </c>
      <c r="EG405" s="71" t="str">
        <f t="shared" si="5392"/>
        <v/>
      </c>
      <c r="EH405" s="71" t="str">
        <f t="shared" si="5393"/>
        <v/>
      </c>
      <c r="EI405" s="71" t="str">
        <f t="shared" si="5394"/>
        <v/>
      </c>
      <c r="EJ405" s="71" t="str">
        <f t="shared" si="5395"/>
        <v/>
      </c>
      <c r="EK405" s="71" t="str">
        <f t="shared" si="5396"/>
        <v/>
      </c>
      <c r="EL405" s="71" t="str">
        <f t="shared" si="5397"/>
        <v/>
      </c>
      <c r="EM405" s="71" t="str">
        <f t="shared" si="5398"/>
        <v/>
      </c>
      <c r="EN405" s="71" t="str">
        <f t="shared" si="5399"/>
        <v/>
      </c>
      <c r="EO405" s="71" t="str">
        <f t="shared" si="5400"/>
        <v/>
      </c>
      <c r="EP405" s="71" t="str">
        <f t="shared" si="5401"/>
        <v/>
      </c>
      <c r="EQ405" s="71" t="str">
        <f t="shared" si="5402"/>
        <v/>
      </c>
      <c r="ER405" s="71" t="str">
        <f t="shared" si="5403"/>
        <v/>
      </c>
      <c r="ES405" s="71" t="str">
        <f t="shared" si="5404"/>
        <v/>
      </c>
      <c r="ET405" s="71" t="str">
        <f t="shared" si="5405"/>
        <v/>
      </c>
      <c r="EU405" s="71" t="str">
        <f t="shared" si="5406"/>
        <v/>
      </c>
      <c r="EV405" s="71" t="str">
        <f t="shared" si="5407"/>
        <v/>
      </c>
      <c r="EW405" s="71" t="str">
        <f t="shared" si="5408"/>
        <v/>
      </c>
      <c r="EX405" s="71" t="str">
        <f t="shared" si="5409"/>
        <v/>
      </c>
      <c r="EY405" s="71" t="str">
        <f t="shared" si="5410"/>
        <v/>
      </c>
      <c r="EZ405" s="71" t="str">
        <f t="shared" si="5411"/>
        <v/>
      </c>
      <c r="FA405" s="71" t="str">
        <f t="shared" si="5412"/>
        <v/>
      </c>
      <c r="FB405" s="71" t="str">
        <f t="shared" si="5413"/>
        <v/>
      </c>
      <c r="FC405" s="71" t="str">
        <f t="shared" si="5414"/>
        <v/>
      </c>
      <c r="FD405" s="71" t="str">
        <f t="shared" si="5415"/>
        <v/>
      </c>
      <c r="FE405" s="71" t="str">
        <f t="shared" si="5416"/>
        <v/>
      </c>
      <c r="FF405" s="71" t="str">
        <f t="shared" si="5417"/>
        <v/>
      </c>
      <c r="FG405" s="71" t="str">
        <f t="shared" si="5418"/>
        <v/>
      </c>
      <c r="FH405" s="71" t="str">
        <f t="shared" si="5419"/>
        <v/>
      </c>
      <c r="FI405" s="71" t="str">
        <f t="shared" si="5420"/>
        <v/>
      </c>
      <c r="FJ405" s="71" t="str">
        <f t="shared" si="5421"/>
        <v/>
      </c>
      <c r="FK405" s="71" t="str">
        <f t="shared" si="5422"/>
        <v/>
      </c>
      <c r="FL405" s="71" t="str">
        <f t="shared" si="5423"/>
        <v/>
      </c>
      <c r="FM405" s="71" t="str">
        <f t="shared" si="5424"/>
        <v/>
      </c>
      <c r="FN405" s="71" t="str">
        <f t="shared" si="5425"/>
        <v/>
      </c>
      <c r="FO405" s="71" t="str">
        <f t="shared" si="5426"/>
        <v/>
      </c>
      <c r="FP405" s="71" t="str">
        <f t="shared" si="5427"/>
        <v/>
      </c>
      <c r="FQ405" s="71" t="str">
        <f t="shared" si="5428"/>
        <v/>
      </c>
      <c r="FR405" s="71" t="str">
        <f t="shared" si="5429"/>
        <v/>
      </c>
      <c r="FS405" s="71" t="str">
        <f t="shared" si="5430"/>
        <v/>
      </c>
    </row>
    <row r="406" spans="92:175">
      <c r="CN406" s="69" t="str">
        <f t="shared" si="5355"/>
        <v>InitUnitState('',,,,,,,,,,)</v>
      </c>
      <c r="CO406" s="69" t="str">
        <f t="shared" si="5356"/>
        <v>InitUnitNormal('',,,,,,,,,,)</v>
      </c>
      <c r="CP406" s="69" t="str">
        <f t="shared" si="5357"/>
        <v>InitUnitMagic('',,,,,,,,,,)</v>
      </c>
      <c r="CQ406" s="69" t="str">
        <f t="shared" si="5358"/>
        <v>InitUnitAdd('',,,,,,,,,,)</v>
      </c>
      <c r="CR406" s="69" t="str">
        <f t="shared" si="5359"/>
        <v>InitEquipData('',,"",,,,,'','','','','','',"")</v>
      </c>
      <c r="CU406" s="70" t="str">
        <f t="shared" si="5360"/>
        <v>|n</v>
      </c>
      <c r="CW406" s="60"/>
      <c r="CX406" s="60"/>
      <c r="CY406" s="60"/>
      <c r="CZ406" s="60"/>
      <c r="DA406" s="60"/>
      <c r="DB406" s="71" t="str">
        <f t="shared" si="5361"/>
        <v/>
      </c>
      <c r="DC406" s="71" t="str">
        <f t="shared" si="5362"/>
        <v/>
      </c>
      <c r="DD406" s="71" t="str">
        <f t="shared" si="5363"/>
        <v/>
      </c>
      <c r="DE406" s="71" t="str">
        <f t="shared" si="5364"/>
        <v/>
      </c>
      <c r="DF406" s="71" t="str">
        <f t="shared" si="5365"/>
        <v/>
      </c>
      <c r="DG406" s="71" t="str">
        <f t="shared" si="5366"/>
        <v/>
      </c>
      <c r="DH406" s="71" t="str">
        <f t="shared" si="5367"/>
        <v/>
      </c>
      <c r="DI406" s="71" t="str">
        <f t="shared" si="5368"/>
        <v/>
      </c>
      <c r="DJ406" s="71" t="str">
        <f t="shared" si="5369"/>
        <v/>
      </c>
      <c r="DK406" s="71" t="str">
        <f t="shared" si="5370"/>
        <v/>
      </c>
      <c r="DL406" s="71" t="str">
        <f t="shared" si="5371"/>
        <v/>
      </c>
      <c r="DM406" s="71" t="str">
        <f t="shared" si="5372"/>
        <v/>
      </c>
      <c r="DN406" s="71" t="str">
        <f t="shared" si="5373"/>
        <v/>
      </c>
      <c r="DO406" s="71" t="str">
        <f t="shared" si="5374"/>
        <v/>
      </c>
      <c r="DP406" s="71" t="str">
        <f t="shared" si="5375"/>
        <v/>
      </c>
      <c r="DQ406" s="71" t="str">
        <f t="shared" si="5376"/>
        <v/>
      </c>
      <c r="DR406" s="71" t="str">
        <f t="shared" si="5377"/>
        <v/>
      </c>
      <c r="DS406" s="71" t="str">
        <f t="shared" si="5378"/>
        <v/>
      </c>
      <c r="DT406" s="71" t="str">
        <f t="shared" si="5379"/>
        <v/>
      </c>
      <c r="DU406" s="71" t="str">
        <f t="shared" si="5380"/>
        <v/>
      </c>
      <c r="DV406" s="71" t="str">
        <f t="shared" si="5381"/>
        <v/>
      </c>
      <c r="DW406" s="71" t="str">
        <f t="shared" si="5382"/>
        <v/>
      </c>
      <c r="DX406" s="71" t="str">
        <f t="shared" si="5383"/>
        <v/>
      </c>
      <c r="DY406" s="71" t="str">
        <f t="shared" si="5384"/>
        <v/>
      </c>
      <c r="DZ406" s="71" t="str">
        <f t="shared" si="5385"/>
        <v/>
      </c>
      <c r="EA406" s="71" t="str">
        <f t="shared" si="5386"/>
        <v/>
      </c>
      <c r="EB406" s="71" t="str">
        <f t="shared" si="5387"/>
        <v/>
      </c>
      <c r="EC406" s="71" t="str">
        <f t="shared" si="5388"/>
        <v/>
      </c>
      <c r="ED406" s="71" t="str">
        <f t="shared" si="5389"/>
        <v/>
      </c>
      <c r="EE406" s="71" t="str">
        <f t="shared" si="5390"/>
        <v/>
      </c>
      <c r="EF406" s="71" t="str">
        <f t="shared" si="5391"/>
        <v/>
      </c>
      <c r="EG406" s="71" t="str">
        <f t="shared" si="5392"/>
        <v/>
      </c>
      <c r="EH406" s="71" t="str">
        <f t="shared" si="5393"/>
        <v/>
      </c>
      <c r="EI406" s="71" t="str">
        <f t="shared" si="5394"/>
        <v/>
      </c>
      <c r="EJ406" s="71" t="str">
        <f t="shared" si="5395"/>
        <v/>
      </c>
      <c r="EK406" s="71" t="str">
        <f t="shared" si="5396"/>
        <v/>
      </c>
      <c r="EL406" s="71" t="str">
        <f t="shared" si="5397"/>
        <v/>
      </c>
      <c r="EM406" s="71" t="str">
        <f t="shared" si="5398"/>
        <v/>
      </c>
      <c r="EN406" s="71" t="str">
        <f t="shared" si="5399"/>
        <v/>
      </c>
      <c r="EO406" s="71" t="str">
        <f t="shared" si="5400"/>
        <v/>
      </c>
      <c r="EP406" s="71" t="str">
        <f t="shared" si="5401"/>
        <v/>
      </c>
      <c r="EQ406" s="71" t="str">
        <f t="shared" si="5402"/>
        <v/>
      </c>
      <c r="ER406" s="71" t="str">
        <f t="shared" si="5403"/>
        <v/>
      </c>
      <c r="ES406" s="71" t="str">
        <f t="shared" si="5404"/>
        <v/>
      </c>
      <c r="ET406" s="71" t="str">
        <f t="shared" si="5405"/>
        <v/>
      </c>
      <c r="EU406" s="71" t="str">
        <f t="shared" si="5406"/>
        <v/>
      </c>
      <c r="EV406" s="71" t="str">
        <f t="shared" si="5407"/>
        <v/>
      </c>
      <c r="EW406" s="71" t="str">
        <f t="shared" si="5408"/>
        <v/>
      </c>
      <c r="EX406" s="71" t="str">
        <f t="shared" si="5409"/>
        <v/>
      </c>
      <c r="EY406" s="71" t="str">
        <f t="shared" si="5410"/>
        <v/>
      </c>
      <c r="EZ406" s="71" t="str">
        <f t="shared" si="5411"/>
        <v/>
      </c>
      <c r="FA406" s="71" t="str">
        <f t="shared" si="5412"/>
        <v/>
      </c>
      <c r="FB406" s="71" t="str">
        <f t="shared" si="5413"/>
        <v/>
      </c>
      <c r="FC406" s="71" t="str">
        <f t="shared" si="5414"/>
        <v/>
      </c>
      <c r="FD406" s="71" t="str">
        <f t="shared" si="5415"/>
        <v/>
      </c>
      <c r="FE406" s="71" t="str">
        <f t="shared" si="5416"/>
        <v/>
      </c>
      <c r="FF406" s="71" t="str">
        <f t="shared" si="5417"/>
        <v/>
      </c>
      <c r="FG406" s="71" t="str">
        <f t="shared" si="5418"/>
        <v/>
      </c>
      <c r="FH406" s="71" t="str">
        <f t="shared" si="5419"/>
        <v/>
      </c>
      <c r="FI406" s="71" t="str">
        <f t="shared" si="5420"/>
        <v/>
      </c>
      <c r="FJ406" s="71" t="str">
        <f t="shared" si="5421"/>
        <v/>
      </c>
      <c r="FK406" s="71" t="str">
        <f t="shared" si="5422"/>
        <v/>
      </c>
      <c r="FL406" s="71" t="str">
        <f t="shared" si="5423"/>
        <v/>
      </c>
      <c r="FM406" s="71" t="str">
        <f t="shared" si="5424"/>
        <v/>
      </c>
      <c r="FN406" s="71" t="str">
        <f t="shared" si="5425"/>
        <v/>
      </c>
      <c r="FO406" s="71" t="str">
        <f t="shared" si="5426"/>
        <v/>
      </c>
      <c r="FP406" s="71" t="str">
        <f t="shared" si="5427"/>
        <v/>
      </c>
      <c r="FQ406" s="71" t="str">
        <f t="shared" si="5428"/>
        <v/>
      </c>
      <c r="FR406" s="71" t="str">
        <f t="shared" si="5429"/>
        <v/>
      </c>
      <c r="FS406" s="71" t="str">
        <f t="shared" si="5430"/>
        <v/>
      </c>
    </row>
    <row r="407" spans="92:175">
      <c r="CN407" s="69" t="str">
        <f t="shared" si="5355"/>
        <v>InitUnitState('',,,,,,,,,,)</v>
      </c>
      <c r="CO407" s="69" t="str">
        <f t="shared" si="5356"/>
        <v>InitUnitNormal('',,,,,,,,,,)</v>
      </c>
      <c r="CP407" s="69" t="str">
        <f t="shared" si="5357"/>
        <v>InitUnitMagic('',,,,,,,,,,)</v>
      </c>
      <c r="CQ407" s="69" t="str">
        <f t="shared" si="5358"/>
        <v>InitUnitAdd('',,,,,,,,,,)</v>
      </c>
      <c r="CR407" s="69" t="str">
        <f t="shared" si="5359"/>
        <v>InitEquipData('',,"",,,,,'','','','','','',"")</v>
      </c>
      <c r="CU407" s="70" t="str">
        <f t="shared" si="5360"/>
        <v>|n</v>
      </c>
      <c r="CW407" s="60"/>
      <c r="CX407" s="60"/>
      <c r="CY407" s="60"/>
      <c r="CZ407" s="60"/>
      <c r="DA407" s="60"/>
      <c r="DB407" s="71" t="str">
        <f t="shared" si="5361"/>
        <v/>
      </c>
      <c r="DC407" s="71" t="str">
        <f t="shared" si="5362"/>
        <v/>
      </c>
      <c r="DD407" s="71" t="str">
        <f t="shared" si="5363"/>
        <v/>
      </c>
      <c r="DE407" s="71" t="str">
        <f t="shared" si="5364"/>
        <v/>
      </c>
      <c r="DF407" s="71" t="str">
        <f t="shared" si="5365"/>
        <v/>
      </c>
      <c r="DG407" s="71" t="str">
        <f t="shared" si="5366"/>
        <v/>
      </c>
      <c r="DH407" s="71" t="str">
        <f t="shared" si="5367"/>
        <v/>
      </c>
      <c r="DI407" s="71" t="str">
        <f t="shared" si="5368"/>
        <v/>
      </c>
      <c r="DJ407" s="71" t="str">
        <f t="shared" si="5369"/>
        <v/>
      </c>
      <c r="DK407" s="71" t="str">
        <f t="shared" si="5370"/>
        <v/>
      </c>
      <c r="DL407" s="71" t="str">
        <f t="shared" si="5371"/>
        <v/>
      </c>
      <c r="DM407" s="71" t="str">
        <f t="shared" si="5372"/>
        <v/>
      </c>
      <c r="DN407" s="71" t="str">
        <f t="shared" si="5373"/>
        <v/>
      </c>
      <c r="DO407" s="71" t="str">
        <f t="shared" si="5374"/>
        <v/>
      </c>
      <c r="DP407" s="71" t="str">
        <f t="shared" si="5375"/>
        <v/>
      </c>
      <c r="DQ407" s="71" t="str">
        <f t="shared" si="5376"/>
        <v/>
      </c>
      <c r="DR407" s="71" t="str">
        <f t="shared" si="5377"/>
        <v/>
      </c>
      <c r="DS407" s="71" t="str">
        <f t="shared" si="5378"/>
        <v/>
      </c>
      <c r="DT407" s="71" t="str">
        <f t="shared" si="5379"/>
        <v/>
      </c>
      <c r="DU407" s="71" t="str">
        <f t="shared" si="5380"/>
        <v/>
      </c>
      <c r="DV407" s="71" t="str">
        <f t="shared" si="5381"/>
        <v/>
      </c>
      <c r="DW407" s="71" t="str">
        <f t="shared" si="5382"/>
        <v/>
      </c>
      <c r="DX407" s="71" t="str">
        <f t="shared" si="5383"/>
        <v/>
      </c>
      <c r="DY407" s="71" t="str">
        <f t="shared" si="5384"/>
        <v/>
      </c>
      <c r="DZ407" s="71" t="str">
        <f t="shared" si="5385"/>
        <v/>
      </c>
      <c r="EA407" s="71" t="str">
        <f t="shared" si="5386"/>
        <v/>
      </c>
      <c r="EB407" s="71" t="str">
        <f t="shared" si="5387"/>
        <v/>
      </c>
      <c r="EC407" s="71" t="str">
        <f t="shared" si="5388"/>
        <v/>
      </c>
      <c r="ED407" s="71" t="str">
        <f t="shared" si="5389"/>
        <v/>
      </c>
      <c r="EE407" s="71" t="str">
        <f t="shared" si="5390"/>
        <v/>
      </c>
      <c r="EF407" s="71" t="str">
        <f t="shared" si="5391"/>
        <v/>
      </c>
      <c r="EG407" s="71" t="str">
        <f t="shared" si="5392"/>
        <v/>
      </c>
      <c r="EH407" s="71" t="str">
        <f t="shared" si="5393"/>
        <v/>
      </c>
      <c r="EI407" s="71" t="str">
        <f t="shared" si="5394"/>
        <v/>
      </c>
      <c r="EJ407" s="71" t="str">
        <f t="shared" si="5395"/>
        <v/>
      </c>
      <c r="EK407" s="71" t="str">
        <f t="shared" si="5396"/>
        <v/>
      </c>
      <c r="EL407" s="71" t="str">
        <f t="shared" si="5397"/>
        <v/>
      </c>
      <c r="EM407" s="71" t="str">
        <f t="shared" si="5398"/>
        <v/>
      </c>
      <c r="EN407" s="71" t="str">
        <f t="shared" si="5399"/>
        <v/>
      </c>
      <c r="EO407" s="71" t="str">
        <f t="shared" si="5400"/>
        <v/>
      </c>
      <c r="EP407" s="71" t="str">
        <f t="shared" si="5401"/>
        <v/>
      </c>
      <c r="EQ407" s="71" t="str">
        <f t="shared" si="5402"/>
        <v/>
      </c>
      <c r="ER407" s="71" t="str">
        <f t="shared" si="5403"/>
        <v/>
      </c>
      <c r="ES407" s="71" t="str">
        <f t="shared" si="5404"/>
        <v/>
      </c>
      <c r="ET407" s="71" t="str">
        <f t="shared" si="5405"/>
        <v/>
      </c>
      <c r="EU407" s="71" t="str">
        <f t="shared" si="5406"/>
        <v/>
      </c>
      <c r="EV407" s="71" t="str">
        <f t="shared" si="5407"/>
        <v/>
      </c>
      <c r="EW407" s="71" t="str">
        <f t="shared" si="5408"/>
        <v/>
      </c>
      <c r="EX407" s="71" t="str">
        <f t="shared" si="5409"/>
        <v/>
      </c>
      <c r="EY407" s="71" t="str">
        <f t="shared" si="5410"/>
        <v/>
      </c>
      <c r="EZ407" s="71" t="str">
        <f t="shared" si="5411"/>
        <v/>
      </c>
      <c r="FA407" s="71" t="str">
        <f t="shared" si="5412"/>
        <v/>
      </c>
      <c r="FB407" s="71" t="str">
        <f t="shared" si="5413"/>
        <v/>
      </c>
      <c r="FC407" s="71" t="str">
        <f t="shared" si="5414"/>
        <v/>
      </c>
      <c r="FD407" s="71" t="str">
        <f t="shared" si="5415"/>
        <v/>
      </c>
      <c r="FE407" s="71" t="str">
        <f t="shared" si="5416"/>
        <v/>
      </c>
      <c r="FF407" s="71" t="str">
        <f t="shared" si="5417"/>
        <v/>
      </c>
      <c r="FG407" s="71" t="str">
        <f t="shared" si="5418"/>
        <v/>
      </c>
      <c r="FH407" s="71" t="str">
        <f t="shared" si="5419"/>
        <v/>
      </c>
      <c r="FI407" s="71" t="str">
        <f t="shared" si="5420"/>
        <v/>
      </c>
      <c r="FJ407" s="71" t="str">
        <f t="shared" si="5421"/>
        <v/>
      </c>
      <c r="FK407" s="71" t="str">
        <f t="shared" si="5422"/>
        <v/>
      </c>
      <c r="FL407" s="71" t="str">
        <f t="shared" si="5423"/>
        <v/>
      </c>
      <c r="FM407" s="71" t="str">
        <f t="shared" si="5424"/>
        <v/>
      </c>
      <c r="FN407" s="71" t="str">
        <f t="shared" si="5425"/>
        <v/>
      </c>
      <c r="FO407" s="71" t="str">
        <f t="shared" si="5426"/>
        <v/>
      </c>
      <c r="FP407" s="71" t="str">
        <f t="shared" si="5427"/>
        <v/>
      </c>
      <c r="FQ407" s="71" t="str">
        <f t="shared" si="5428"/>
        <v/>
      </c>
      <c r="FR407" s="71" t="str">
        <f t="shared" si="5429"/>
        <v/>
      </c>
      <c r="FS407" s="71" t="str">
        <f t="shared" si="5430"/>
        <v/>
      </c>
    </row>
    <row r="408" spans="92:175">
      <c r="CN408" s="69" t="str">
        <f t="shared" si="5355"/>
        <v>InitUnitState('',,,,,,,,,,)</v>
      </c>
      <c r="CO408" s="69" t="str">
        <f t="shared" si="5356"/>
        <v>InitUnitNormal('',,,,,,,,,,)</v>
      </c>
      <c r="CP408" s="69" t="str">
        <f t="shared" si="5357"/>
        <v>InitUnitMagic('',,,,,,,,,,)</v>
      </c>
      <c r="CQ408" s="69" t="str">
        <f t="shared" si="5358"/>
        <v>InitUnitAdd('',,,,,,,,,,)</v>
      </c>
      <c r="CR408" s="69" t="str">
        <f t="shared" si="5359"/>
        <v>InitEquipData('',,"",,,,,'','','','','','',"")</v>
      </c>
      <c r="CU408" s="70" t="str">
        <f t="shared" si="5360"/>
        <v>|n</v>
      </c>
      <c r="CW408" s="60"/>
      <c r="CX408" s="60"/>
      <c r="CY408" s="60"/>
      <c r="CZ408" s="60"/>
      <c r="DA408" s="60"/>
      <c r="DB408" s="71" t="str">
        <f t="shared" si="5361"/>
        <v/>
      </c>
      <c r="DC408" s="71" t="str">
        <f t="shared" si="5362"/>
        <v/>
      </c>
      <c r="DD408" s="71" t="str">
        <f t="shared" si="5363"/>
        <v/>
      </c>
      <c r="DE408" s="71" t="str">
        <f t="shared" si="5364"/>
        <v/>
      </c>
      <c r="DF408" s="71" t="str">
        <f t="shared" si="5365"/>
        <v/>
      </c>
      <c r="DG408" s="71" t="str">
        <f t="shared" si="5366"/>
        <v/>
      </c>
      <c r="DH408" s="71" t="str">
        <f t="shared" si="5367"/>
        <v/>
      </c>
      <c r="DI408" s="71" t="str">
        <f t="shared" si="5368"/>
        <v/>
      </c>
      <c r="DJ408" s="71" t="str">
        <f t="shared" si="5369"/>
        <v/>
      </c>
      <c r="DK408" s="71" t="str">
        <f t="shared" si="5370"/>
        <v/>
      </c>
      <c r="DL408" s="71" t="str">
        <f t="shared" si="5371"/>
        <v/>
      </c>
      <c r="DM408" s="71" t="str">
        <f t="shared" si="5372"/>
        <v/>
      </c>
      <c r="DN408" s="71" t="str">
        <f t="shared" si="5373"/>
        <v/>
      </c>
      <c r="DO408" s="71" t="str">
        <f t="shared" si="5374"/>
        <v/>
      </c>
      <c r="DP408" s="71" t="str">
        <f t="shared" si="5375"/>
        <v/>
      </c>
      <c r="DQ408" s="71" t="str">
        <f t="shared" si="5376"/>
        <v/>
      </c>
      <c r="DR408" s="71" t="str">
        <f t="shared" si="5377"/>
        <v/>
      </c>
      <c r="DS408" s="71" t="str">
        <f t="shared" si="5378"/>
        <v/>
      </c>
      <c r="DT408" s="71" t="str">
        <f t="shared" si="5379"/>
        <v/>
      </c>
      <c r="DU408" s="71" t="str">
        <f t="shared" si="5380"/>
        <v/>
      </c>
      <c r="DV408" s="71" t="str">
        <f t="shared" si="5381"/>
        <v/>
      </c>
      <c r="DW408" s="71" t="str">
        <f t="shared" si="5382"/>
        <v/>
      </c>
      <c r="DX408" s="71" t="str">
        <f t="shared" si="5383"/>
        <v/>
      </c>
      <c r="DY408" s="71" t="str">
        <f t="shared" si="5384"/>
        <v/>
      </c>
      <c r="DZ408" s="71" t="str">
        <f t="shared" si="5385"/>
        <v/>
      </c>
      <c r="EA408" s="71" t="str">
        <f t="shared" si="5386"/>
        <v/>
      </c>
      <c r="EB408" s="71" t="str">
        <f t="shared" si="5387"/>
        <v/>
      </c>
      <c r="EC408" s="71" t="str">
        <f t="shared" si="5388"/>
        <v/>
      </c>
      <c r="ED408" s="71" t="str">
        <f t="shared" si="5389"/>
        <v/>
      </c>
      <c r="EE408" s="71" t="str">
        <f t="shared" si="5390"/>
        <v/>
      </c>
      <c r="EF408" s="71" t="str">
        <f t="shared" si="5391"/>
        <v/>
      </c>
      <c r="EG408" s="71" t="str">
        <f t="shared" si="5392"/>
        <v/>
      </c>
      <c r="EH408" s="71" t="str">
        <f t="shared" si="5393"/>
        <v/>
      </c>
      <c r="EI408" s="71" t="str">
        <f t="shared" si="5394"/>
        <v/>
      </c>
      <c r="EJ408" s="71" t="str">
        <f t="shared" si="5395"/>
        <v/>
      </c>
      <c r="EK408" s="71" t="str">
        <f t="shared" si="5396"/>
        <v/>
      </c>
      <c r="EL408" s="71" t="str">
        <f t="shared" si="5397"/>
        <v/>
      </c>
      <c r="EM408" s="71" t="str">
        <f t="shared" si="5398"/>
        <v/>
      </c>
      <c r="EN408" s="71" t="str">
        <f t="shared" si="5399"/>
        <v/>
      </c>
      <c r="EO408" s="71" t="str">
        <f t="shared" si="5400"/>
        <v/>
      </c>
      <c r="EP408" s="71" t="str">
        <f t="shared" si="5401"/>
        <v/>
      </c>
      <c r="EQ408" s="71" t="str">
        <f t="shared" si="5402"/>
        <v/>
      </c>
      <c r="ER408" s="71" t="str">
        <f t="shared" si="5403"/>
        <v/>
      </c>
      <c r="ES408" s="71" t="str">
        <f t="shared" si="5404"/>
        <v/>
      </c>
      <c r="ET408" s="71" t="str">
        <f t="shared" si="5405"/>
        <v/>
      </c>
      <c r="EU408" s="71" t="str">
        <f t="shared" si="5406"/>
        <v/>
      </c>
      <c r="EV408" s="71" t="str">
        <f t="shared" si="5407"/>
        <v/>
      </c>
      <c r="EW408" s="71" t="str">
        <f t="shared" si="5408"/>
        <v/>
      </c>
      <c r="EX408" s="71" t="str">
        <f t="shared" si="5409"/>
        <v/>
      </c>
      <c r="EY408" s="71" t="str">
        <f t="shared" si="5410"/>
        <v/>
      </c>
      <c r="EZ408" s="71" t="str">
        <f t="shared" si="5411"/>
        <v/>
      </c>
      <c r="FA408" s="71" t="str">
        <f t="shared" si="5412"/>
        <v/>
      </c>
      <c r="FB408" s="71" t="str">
        <f t="shared" si="5413"/>
        <v/>
      </c>
      <c r="FC408" s="71" t="str">
        <f t="shared" si="5414"/>
        <v/>
      </c>
      <c r="FD408" s="71" t="str">
        <f t="shared" si="5415"/>
        <v/>
      </c>
      <c r="FE408" s="71" t="str">
        <f t="shared" si="5416"/>
        <v/>
      </c>
      <c r="FF408" s="71" t="str">
        <f t="shared" si="5417"/>
        <v/>
      </c>
      <c r="FG408" s="71" t="str">
        <f t="shared" si="5418"/>
        <v/>
      </c>
      <c r="FH408" s="71" t="str">
        <f t="shared" si="5419"/>
        <v/>
      </c>
      <c r="FI408" s="71" t="str">
        <f t="shared" si="5420"/>
        <v/>
      </c>
      <c r="FJ408" s="71" t="str">
        <f t="shared" si="5421"/>
        <v/>
      </c>
      <c r="FK408" s="71" t="str">
        <f t="shared" si="5422"/>
        <v/>
      </c>
      <c r="FL408" s="71" t="str">
        <f t="shared" si="5423"/>
        <v/>
      </c>
      <c r="FM408" s="71" t="str">
        <f t="shared" si="5424"/>
        <v/>
      </c>
      <c r="FN408" s="71" t="str">
        <f t="shared" si="5425"/>
        <v/>
      </c>
      <c r="FO408" s="71" t="str">
        <f t="shared" si="5426"/>
        <v/>
      </c>
      <c r="FP408" s="71" t="str">
        <f t="shared" si="5427"/>
        <v/>
      </c>
      <c r="FQ408" s="71" t="str">
        <f t="shared" si="5428"/>
        <v/>
      </c>
      <c r="FR408" s="71" t="str">
        <f t="shared" si="5429"/>
        <v/>
      </c>
      <c r="FS408" s="71" t="str">
        <f t="shared" si="5430"/>
        <v/>
      </c>
    </row>
    <row r="409" spans="92:175">
      <c r="CN409" s="69" t="str">
        <f t="shared" si="5355"/>
        <v>InitUnitState('',,,,,,,,,,)</v>
      </c>
      <c r="CO409" s="69" t="str">
        <f t="shared" si="5356"/>
        <v>InitUnitNormal('',,,,,,,,,,)</v>
      </c>
      <c r="CP409" s="69" t="str">
        <f t="shared" si="5357"/>
        <v>InitUnitMagic('',,,,,,,,,,)</v>
      </c>
      <c r="CQ409" s="69" t="str">
        <f t="shared" si="5358"/>
        <v>InitUnitAdd('',,,,,,,,,,)</v>
      </c>
      <c r="CR409" s="69" t="str">
        <f t="shared" si="5359"/>
        <v>InitEquipData('',,"",,,,,'','','','','','',"")</v>
      </c>
      <c r="CU409" s="70" t="str">
        <f t="shared" si="5360"/>
        <v>|n</v>
      </c>
      <c r="CW409" s="60"/>
      <c r="CX409" s="60"/>
      <c r="CY409" s="60"/>
      <c r="CZ409" s="60"/>
      <c r="DA409" s="60"/>
      <c r="DB409" s="71" t="str">
        <f t="shared" si="5361"/>
        <v/>
      </c>
      <c r="DC409" s="71" t="str">
        <f t="shared" si="5362"/>
        <v/>
      </c>
      <c r="DD409" s="71" t="str">
        <f t="shared" si="5363"/>
        <v/>
      </c>
      <c r="DE409" s="71" t="str">
        <f t="shared" si="5364"/>
        <v/>
      </c>
      <c r="DF409" s="71" t="str">
        <f t="shared" si="5365"/>
        <v/>
      </c>
      <c r="DG409" s="71" t="str">
        <f t="shared" si="5366"/>
        <v/>
      </c>
      <c r="DH409" s="71" t="str">
        <f t="shared" si="5367"/>
        <v/>
      </c>
      <c r="DI409" s="71" t="str">
        <f t="shared" si="5368"/>
        <v/>
      </c>
      <c r="DJ409" s="71" t="str">
        <f t="shared" si="5369"/>
        <v/>
      </c>
      <c r="DK409" s="71" t="str">
        <f t="shared" si="5370"/>
        <v/>
      </c>
      <c r="DL409" s="71" t="str">
        <f t="shared" si="5371"/>
        <v/>
      </c>
      <c r="DM409" s="71" t="str">
        <f t="shared" si="5372"/>
        <v/>
      </c>
      <c r="DN409" s="71" t="str">
        <f t="shared" si="5373"/>
        <v/>
      </c>
      <c r="DO409" s="71" t="str">
        <f t="shared" si="5374"/>
        <v/>
      </c>
      <c r="DP409" s="71" t="str">
        <f t="shared" si="5375"/>
        <v/>
      </c>
      <c r="DQ409" s="71" t="str">
        <f t="shared" si="5376"/>
        <v/>
      </c>
      <c r="DR409" s="71" t="str">
        <f t="shared" si="5377"/>
        <v/>
      </c>
      <c r="DS409" s="71" t="str">
        <f t="shared" si="5378"/>
        <v/>
      </c>
      <c r="DT409" s="71" t="str">
        <f t="shared" si="5379"/>
        <v/>
      </c>
      <c r="DU409" s="71" t="str">
        <f t="shared" si="5380"/>
        <v/>
      </c>
      <c r="DV409" s="71" t="str">
        <f t="shared" si="5381"/>
        <v/>
      </c>
      <c r="DW409" s="71" t="str">
        <f t="shared" si="5382"/>
        <v/>
      </c>
      <c r="DX409" s="71" t="str">
        <f t="shared" si="5383"/>
        <v/>
      </c>
      <c r="DY409" s="71" t="str">
        <f t="shared" si="5384"/>
        <v/>
      </c>
      <c r="DZ409" s="71" t="str">
        <f t="shared" si="5385"/>
        <v/>
      </c>
      <c r="EA409" s="71" t="str">
        <f t="shared" si="5386"/>
        <v/>
      </c>
      <c r="EB409" s="71" t="str">
        <f t="shared" si="5387"/>
        <v/>
      </c>
      <c r="EC409" s="71" t="str">
        <f t="shared" si="5388"/>
        <v/>
      </c>
      <c r="ED409" s="71" t="str">
        <f t="shared" si="5389"/>
        <v/>
      </c>
      <c r="EE409" s="71" t="str">
        <f t="shared" si="5390"/>
        <v/>
      </c>
      <c r="EF409" s="71" t="str">
        <f t="shared" si="5391"/>
        <v/>
      </c>
      <c r="EG409" s="71" t="str">
        <f t="shared" si="5392"/>
        <v/>
      </c>
      <c r="EH409" s="71" t="str">
        <f t="shared" si="5393"/>
        <v/>
      </c>
      <c r="EI409" s="71" t="str">
        <f t="shared" si="5394"/>
        <v/>
      </c>
      <c r="EJ409" s="71" t="str">
        <f t="shared" si="5395"/>
        <v/>
      </c>
      <c r="EK409" s="71" t="str">
        <f t="shared" si="5396"/>
        <v/>
      </c>
      <c r="EL409" s="71" t="str">
        <f t="shared" si="5397"/>
        <v/>
      </c>
      <c r="EM409" s="71" t="str">
        <f t="shared" si="5398"/>
        <v/>
      </c>
      <c r="EN409" s="71" t="str">
        <f t="shared" si="5399"/>
        <v/>
      </c>
      <c r="EO409" s="71" t="str">
        <f t="shared" si="5400"/>
        <v/>
      </c>
      <c r="EP409" s="71" t="str">
        <f t="shared" si="5401"/>
        <v/>
      </c>
      <c r="EQ409" s="71" t="str">
        <f t="shared" si="5402"/>
        <v/>
      </c>
      <c r="ER409" s="71" t="str">
        <f t="shared" si="5403"/>
        <v/>
      </c>
      <c r="ES409" s="71" t="str">
        <f t="shared" si="5404"/>
        <v/>
      </c>
      <c r="ET409" s="71" t="str">
        <f t="shared" si="5405"/>
        <v/>
      </c>
      <c r="EU409" s="71" t="str">
        <f t="shared" si="5406"/>
        <v/>
      </c>
      <c r="EV409" s="71" t="str">
        <f t="shared" si="5407"/>
        <v/>
      </c>
      <c r="EW409" s="71" t="str">
        <f t="shared" si="5408"/>
        <v/>
      </c>
      <c r="EX409" s="71" t="str">
        <f t="shared" si="5409"/>
        <v/>
      </c>
      <c r="EY409" s="71" t="str">
        <f t="shared" si="5410"/>
        <v/>
      </c>
      <c r="EZ409" s="71" t="str">
        <f t="shared" si="5411"/>
        <v/>
      </c>
      <c r="FA409" s="71" t="str">
        <f t="shared" si="5412"/>
        <v/>
      </c>
      <c r="FB409" s="71" t="str">
        <f t="shared" si="5413"/>
        <v/>
      </c>
      <c r="FC409" s="71" t="str">
        <f t="shared" si="5414"/>
        <v/>
      </c>
      <c r="FD409" s="71" t="str">
        <f t="shared" si="5415"/>
        <v/>
      </c>
      <c r="FE409" s="71" t="str">
        <f t="shared" si="5416"/>
        <v/>
      </c>
      <c r="FF409" s="71" t="str">
        <f t="shared" si="5417"/>
        <v/>
      </c>
      <c r="FG409" s="71" t="str">
        <f t="shared" si="5418"/>
        <v/>
      </c>
      <c r="FH409" s="71" t="str">
        <f t="shared" si="5419"/>
        <v/>
      </c>
      <c r="FI409" s="71" t="str">
        <f t="shared" si="5420"/>
        <v/>
      </c>
      <c r="FJ409" s="71" t="str">
        <f t="shared" si="5421"/>
        <v/>
      </c>
      <c r="FK409" s="71" t="str">
        <f t="shared" si="5422"/>
        <v/>
      </c>
      <c r="FL409" s="71" t="str">
        <f t="shared" si="5423"/>
        <v/>
      </c>
      <c r="FM409" s="71" t="str">
        <f t="shared" si="5424"/>
        <v/>
      </c>
      <c r="FN409" s="71" t="str">
        <f t="shared" si="5425"/>
        <v/>
      </c>
      <c r="FO409" s="71" t="str">
        <f t="shared" si="5426"/>
        <v/>
      </c>
      <c r="FP409" s="71" t="str">
        <f t="shared" si="5427"/>
        <v/>
      </c>
      <c r="FQ409" s="71" t="str">
        <f t="shared" si="5428"/>
        <v/>
      </c>
      <c r="FR409" s="71" t="str">
        <f t="shared" si="5429"/>
        <v/>
      </c>
      <c r="FS409" s="71" t="str">
        <f t="shared" si="5430"/>
        <v/>
      </c>
    </row>
    <row r="410" spans="92:175">
      <c r="CN410" s="69" t="str">
        <f t="shared" si="5355"/>
        <v>InitUnitState('',,,,,,,,,,)</v>
      </c>
      <c r="CO410" s="69" t="str">
        <f t="shared" si="5356"/>
        <v>InitUnitNormal('',,,,,,,,,,)</v>
      </c>
      <c r="CP410" s="69" t="str">
        <f t="shared" si="5357"/>
        <v>InitUnitMagic('',,,,,,,,,,)</v>
      </c>
      <c r="CQ410" s="69" t="str">
        <f t="shared" si="5358"/>
        <v>InitUnitAdd('',,,,,,,,,,)</v>
      </c>
      <c r="CR410" s="69" t="str">
        <f t="shared" si="5359"/>
        <v>InitEquipData('',,"",,,,,'','','','','','',"")</v>
      </c>
      <c r="CU410" s="70" t="str">
        <f t="shared" si="5360"/>
        <v>|n</v>
      </c>
      <c r="CW410" s="60"/>
      <c r="CX410" s="60"/>
      <c r="CY410" s="60"/>
      <c r="CZ410" s="60"/>
      <c r="DA410" s="60"/>
      <c r="DB410" s="71" t="str">
        <f t="shared" si="5361"/>
        <v/>
      </c>
      <c r="DC410" s="71" t="str">
        <f t="shared" si="5362"/>
        <v/>
      </c>
      <c r="DD410" s="71" t="str">
        <f t="shared" si="5363"/>
        <v/>
      </c>
      <c r="DE410" s="71" t="str">
        <f t="shared" si="5364"/>
        <v/>
      </c>
      <c r="DF410" s="71" t="str">
        <f t="shared" si="5365"/>
        <v/>
      </c>
      <c r="DG410" s="71" t="str">
        <f t="shared" si="5366"/>
        <v/>
      </c>
      <c r="DH410" s="71" t="str">
        <f t="shared" si="5367"/>
        <v/>
      </c>
      <c r="DI410" s="71" t="str">
        <f t="shared" si="5368"/>
        <v/>
      </c>
      <c r="DJ410" s="71" t="str">
        <f t="shared" si="5369"/>
        <v/>
      </c>
      <c r="DK410" s="71" t="str">
        <f t="shared" si="5370"/>
        <v/>
      </c>
      <c r="DL410" s="71" t="str">
        <f t="shared" si="5371"/>
        <v/>
      </c>
      <c r="DM410" s="71" t="str">
        <f t="shared" si="5372"/>
        <v/>
      </c>
      <c r="DN410" s="71" t="str">
        <f t="shared" si="5373"/>
        <v/>
      </c>
      <c r="DO410" s="71" t="str">
        <f t="shared" si="5374"/>
        <v/>
      </c>
      <c r="DP410" s="71" t="str">
        <f t="shared" si="5375"/>
        <v/>
      </c>
      <c r="DQ410" s="71" t="str">
        <f t="shared" si="5376"/>
        <v/>
      </c>
      <c r="DR410" s="71" t="str">
        <f t="shared" si="5377"/>
        <v/>
      </c>
      <c r="DS410" s="71" t="str">
        <f t="shared" si="5378"/>
        <v/>
      </c>
      <c r="DT410" s="71" t="str">
        <f t="shared" si="5379"/>
        <v/>
      </c>
      <c r="DU410" s="71" t="str">
        <f t="shared" si="5380"/>
        <v/>
      </c>
      <c r="DV410" s="71" t="str">
        <f t="shared" si="5381"/>
        <v/>
      </c>
      <c r="DW410" s="71" t="str">
        <f t="shared" si="5382"/>
        <v/>
      </c>
      <c r="DX410" s="71" t="str">
        <f t="shared" si="5383"/>
        <v/>
      </c>
      <c r="DY410" s="71" t="str">
        <f t="shared" si="5384"/>
        <v/>
      </c>
      <c r="DZ410" s="71" t="str">
        <f t="shared" si="5385"/>
        <v/>
      </c>
      <c r="EA410" s="71" t="str">
        <f t="shared" si="5386"/>
        <v/>
      </c>
      <c r="EB410" s="71" t="str">
        <f t="shared" si="5387"/>
        <v/>
      </c>
      <c r="EC410" s="71" t="str">
        <f t="shared" si="5388"/>
        <v/>
      </c>
      <c r="ED410" s="71" t="str">
        <f t="shared" si="5389"/>
        <v/>
      </c>
      <c r="EE410" s="71" t="str">
        <f t="shared" si="5390"/>
        <v/>
      </c>
      <c r="EF410" s="71" t="str">
        <f t="shared" si="5391"/>
        <v/>
      </c>
      <c r="EG410" s="71" t="str">
        <f t="shared" si="5392"/>
        <v/>
      </c>
      <c r="EH410" s="71" t="str">
        <f t="shared" si="5393"/>
        <v/>
      </c>
      <c r="EI410" s="71" t="str">
        <f t="shared" si="5394"/>
        <v/>
      </c>
      <c r="EJ410" s="71" t="str">
        <f t="shared" si="5395"/>
        <v/>
      </c>
      <c r="EK410" s="71" t="str">
        <f t="shared" si="5396"/>
        <v/>
      </c>
      <c r="EL410" s="71" t="str">
        <f t="shared" si="5397"/>
        <v/>
      </c>
      <c r="EM410" s="71" t="str">
        <f t="shared" si="5398"/>
        <v/>
      </c>
      <c r="EN410" s="71" t="str">
        <f t="shared" si="5399"/>
        <v/>
      </c>
      <c r="EO410" s="71" t="str">
        <f t="shared" si="5400"/>
        <v/>
      </c>
      <c r="EP410" s="71" t="str">
        <f t="shared" si="5401"/>
        <v/>
      </c>
      <c r="EQ410" s="71" t="str">
        <f t="shared" si="5402"/>
        <v/>
      </c>
      <c r="ER410" s="71" t="str">
        <f t="shared" si="5403"/>
        <v/>
      </c>
      <c r="ES410" s="71" t="str">
        <f t="shared" si="5404"/>
        <v/>
      </c>
      <c r="ET410" s="71" t="str">
        <f t="shared" si="5405"/>
        <v/>
      </c>
      <c r="EU410" s="71" t="str">
        <f t="shared" si="5406"/>
        <v/>
      </c>
      <c r="EV410" s="71" t="str">
        <f t="shared" si="5407"/>
        <v/>
      </c>
      <c r="EW410" s="71" t="str">
        <f t="shared" si="5408"/>
        <v/>
      </c>
      <c r="EX410" s="71" t="str">
        <f t="shared" si="5409"/>
        <v/>
      </c>
      <c r="EY410" s="71" t="str">
        <f t="shared" si="5410"/>
        <v/>
      </c>
      <c r="EZ410" s="71" t="str">
        <f t="shared" si="5411"/>
        <v/>
      </c>
      <c r="FA410" s="71" t="str">
        <f t="shared" si="5412"/>
        <v/>
      </c>
      <c r="FB410" s="71" t="str">
        <f t="shared" si="5413"/>
        <v/>
      </c>
      <c r="FC410" s="71" t="str">
        <f t="shared" si="5414"/>
        <v/>
      </c>
      <c r="FD410" s="71" t="str">
        <f t="shared" si="5415"/>
        <v/>
      </c>
      <c r="FE410" s="71" t="str">
        <f t="shared" si="5416"/>
        <v/>
      </c>
      <c r="FF410" s="71" t="str">
        <f t="shared" si="5417"/>
        <v/>
      </c>
      <c r="FG410" s="71" t="str">
        <f t="shared" si="5418"/>
        <v/>
      </c>
      <c r="FH410" s="71" t="str">
        <f t="shared" si="5419"/>
        <v/>
      </c>
      <c r="FI410" s="71" t="str">
        <f t="shared" si="5420"/>
        <v/>
      </c>
      <c r="FJ410" s="71" t="str">
        <f t="shared" si="5421"/>
        <v/>
      </c>
      <c r="FK410" s="71" t="str">
        <f t="shared" si="5422"/>
        <v/>
      </c>
      <c r="FL410" s="71" t="str">
        <f t="shared" si="5423"/>
        <v/>
      </c>
      <c r="FM410" s="71" t="str">
        <f t="shared" si="5424"/>
        <v/>
      </c>
      <c r="FN410" s="71" t="str">
        <f t="shared" si="5425"/>
        <v/>
      </c>
      <c r="FO410" s="71" t="str">
        <f t="shared" si="5426"/>
        <v/>
      </c>
      <c r="FP410" s="71" t="str">
        <f t="shared" si="5427"/>
        <v/>
      </c>
      <c r="FQ410" s="71" t="str">
        <f t="shared" si="5428"/>
        <v/>
      </c>
      <c r="FR410" s="71" t="str">
        <f t="shared" si="5429"/>
        <v/>
      </c>
      <c r="FS410" s="71" t="str">
        <f t="shared" si="5430"/>
        <v/>
      </c>
    </row>
    <row r="411" spans="92:175">
      <c r="CN411" s="69" t="str">
        <f t="shared" si="5355"/>
        <v>InitUnitState('',,,,,,,,,,)</v>
      </c>
      <c r="CO411" s="69" t="str">
        <f t="shared" si="5356"/>
        <v>InitUnitNormal('',,,,,,,,,,)</v>
      </c>
      <c r="CP411" s="69" t="str">
        <f t="shared" si="5357"/>
        <v>InitUnitMagic('',,,,,,,,,,)</v>
      </c>
      <c r="CQ411" s="69" t="str">
        <f t="shared" si="5358"/>
        <v>InitUnitAdd('',,,,,,,,,,)</v>
      </c>
      <c r="CR411" s="69" t="str">
        <f t="shared" si="5359"/>
        <v>InitEquipData('',,"",,,,,'','','','','','',"")</v>
      </c>
      <c r="CU411" s="70" t="str">
        <f t="shared" si="5360"/>
        <v>|n</v>
      </c>
      <c r="CW411" s="60"/>
      <c r="CX411" s="60"/>
      <c r="CY411" s="60"/>
      <c r="CZ411" s="60"/>
      <c r="DA411" s="60"/>
      <c r="DB411" s="71" t="str">
        <f t="shared" si="5361"/>
        <v/>
      </c>
      <c r="DC411" s="71" t="str">
        <f t="shared" si="5362"/>
        <v/>
      </c>
      <c r="DD411" s="71" t="str">
        <f t="shared" si="5363"/>
        <v/>
      </c>
      <c r="DE411" s="71" t="str">
        <f t="shared" si="5364"/>
        <v/>
      </c>
      <c r="DF411" s="71" t="str">
        <f t="shared" si="5365"/>
        <v/>
      </c>
      <c r="DG411" s="71" t="str">
        <f t="shared" si="5366"/>
        <v/>
      </c>
      <c r="DH411" s="71" t="str">
        <f t="shared" si="5367"/>
        <v/>
      </c>
      <c r="DI411" s="71" t="str">
        <f t="shared" si="5368"/>
        <v/>
      </c>
      <c r="DJ411" s="71" t="str">
        <f t="shared" si="5369"/>
        <v/>
      </c>
      <c r="DK411" s="71" t="str">
        <f t="shared" si="5370"/>
        <v/>
      </c>
      <c r="DL411" s="71" t="str">
        <f t="shared" si="5371"/>
        <v/>
      </c>
      <c r="DM411" s="71" t="str">
        <f t="shared" si="5372"/>
        <v/>
      </c>
      <c r="DN411" s="71" t="str">
        <f t="shared" si="5373"/>
        <v/>
      </c>
      <c r="DO411" s="71" t="str">
        <f t="shared" si="5374"/>
        <v/>
      </c>
      <c r="DP411" s="71" t="str">
        <f t="shared" si="5375"/>
        <v/>
      </c>
      <c r="DQ411" s="71" t="str">
        <f t="shared" si="5376"/>
        <v/>
      </c>
      <c r="DR411" s="71" t="str">
        <f t="shared" si="5377"/>
        <v/>
      </c>
      <c r="DS411" s="71" t="str">
        <f t="shared" si="5378"/>
        <v/>
      </c>
      <c r="DT411" s="71" t="str">
        <f t="shared" si="5379"/>
        <v/>
      </c>
      <c r="DU411" s="71" t="str">
        <f t="shared" si="5380"/>
        <v/>
      </c>
      <c r="DV411" s="71" t="str">
        <f t="shared" si="5381"/>
        <v/>
      </c>
      <c r="DW411" s="71" t="str">
        <f t="shared" si="5382"/>
        <v/>
      </c>
      <c r="DX411" s="71" t="str">
        <f t="shared" si="5383"/>
        <v/>
      </c>
      <c r="DY411" s="71" t="str">
        <f t="shared" si="5384"/>
        <v/>
      </c>
      <c r="DZ411" s="71" t="str">
        <f t="shared" si="5385"/>
        <v/>
      </c>
      <c r="EA411" s="71" t="str">
        <f t="shared" si="5386"/>
        <v/>
      </c>
      <c r="EB411" s="71" t="str">
        <f t="shared" si="5387"/>
        <v/>
      </c>
      <c r="EC411" s="71" t="str">
        <f t="shared" si="5388"/>
        <v/>
      </c>
      <c r="ED411" s="71" t="str">
        <f t="shared" si="5389"/>
        <v/>
      </c>
      <c r="EE411" s="71" t="str">
        <f t="shared" si="5390"/>
        <v/>
      </c>
      <c r="EF411" s="71" t="str">
        <f t="shared" si="5391"/>
        <v/>
      </c>
      <c r="EG411" s="71" t="str">
        <f t="shared" si="5392"/>
        <v/>
      </c>
      <c r="EH411" s="71" t="str">
        <f t="shared" si="5393"/>
        <v/>
      </c>
      <c r="EI411" s="71" t="str">
        <f t="shared" si="5394"/>
        <v/>
      </c>
      <c r="EJ411" s="71" t="str">
        <f t="shared" si="5395"/>
        <v/>
      </c>
      <c r="EK411" s="71" t="str">
        <f t="shared" si="5396"/>
        <v/>
      </c>
      <c r="EL411" s="71" t="str">
        <f t="shared" si="5397"/>
        <v/>
      </c>
      <c r="EM411" s="71" t="str">
        <f t="shared" si="5398"/>
        <v/>
      </c>
      <c r="EN411" s="71" t="str">
        <f t="shared" si="5399"/>
        <v/>
      </c>
      <c r="EO411" s="71" t="str">
        <f t="shared" si="5400"/>
        <v/>
      </c>
      <c r="EP411" s="71" t="str">
        <f t="shared" si="5401"/>
        <v/>
      </c>
      <c r="EQ411" s="71" t="str">
        <f t="shared" si="5402"/>
        <v/>
      </c>
      <c r="ER411" s="71" t="str">
        <f t="shared" si="5403"/>
        <v/>
      </c>
      <c r="ES411" s="71" t="str">
        <f t="shared" si="5404"/>
        <v/>
      </c>
      <c r="ET411" s="71" t="str">
        <f t="shared" si="5405"/>
        <v/>
      </c>
      <c r="EU411" s="71" t="str">
        <f t="shared" si="5406"/>
        <v/>
      </c>
      <c r="EV411" s="71" t="str">
        <f t="shared" si="5407"/>
        <v/>
      </c>
      <c r="EW411" s="71" t="str">
        <f t="shared" si="5408"/>
        <v/>
      </c>
      <c r="EX411" s="71" t="str">
        <f t="shared" si="5409"/>
        <v/>
      </c>
      <c r="EY411" s="71" t="str">
        <f t="shared" si="5410"/>
        <v/>
      </c>
      <c r="EZ411" s="71" t="str">
        <f t="shared" si="5411"/>
        <v/>
      </c>
      <c r="FA411" s="71" t="str">
        <f t="shared" si="5412"/>
        <v/>
      </c>
      <c r="FB411" s="71" t="str">
        <f t="shared" si="5413"/>
        <v/>
      </c>
      <c r="FC411" s="71" t="str">
        <f t="shared" si="5414"/>
        <v/>
      </c>
      <c r="FD411" s="71" t="str">
        <f t="shared" si="5415"/>
        <v/>
      </c>
      <c r="FE411" s="71" t="str">
        <f t="shared" si="5416"/>
        <v/>
      </c>
      <c r="FF411" s="71" t="str">
        <f t="shared" si="5417"/>
        <v/>
      </c>
      <c r="FG411" s="71" t="str">
        <f t="shared" si="5418"/>
        <v/>
      </c>
      <c r="FH411" s="71" t="str">
        <f t="shared" si="5419"/>
        <v/>
      </c>
      <c r="FI411" s="71" t="str">
        <f t="shared" si="5420"/>
        <v/>
      </c>
      <c r="FJ411" s="71" t="str">
        <f t="shared" si="5421"/>
        <v/>
      </c>
      <c r="FK411" s="71" t="str">
        <f t="shared" si="5422"/>
        <v/>
      </c>
      <c r="FL411" s="71" t="str">
        <f t="shared" si="5423"/>
        <v/>
      </c>
      <c r="FM411" s="71" t="str">
        <f t="shared" si="5424"/>
        <v/>
      </c>
      <c r="FN411" s="71" t="str">
        <f t="shared" si="5425"/>
        <v/>
      </c>
      <c r="FO411" s="71" t="str">
        <f t="shared" si="5426"/>
        <v/>
      </c>
      <c r="FP411" s="71" t="str">
        <f t="shared" si="5427"/>
        <v/>
      </c>
      <c r="FQ411" s="71" t="str">
        <f t="shared" si="5428"/>
        <v/>
      </c>
      <c r="FR411" s="71" t="str">
        <f t="shared" si="5429"/>
        <v/>
      </c>
      <c r="FS411" s="71" t="str">
        <f t="shared" si="5430"/>
        <v/>
      </c>
    </row>
    <row r="412" spans="92:175">
      <c r="CN412" s="69" t="str">
        <f t="shared" si="5355"/>
        <v>InitUnitState('',,,,,,,,,,)</v>
      </c>
      <c r="CO412" s="69" t="str">
        <f t="shared" si="5356"/>
        <v>InitUnitNormal('',,,,,,,,,,)</v>
      </c>
      <c r="CP412" s="69" t="str">
        <f t="shared" si="5357"/>
        <v>InitUnitMagic('',,,,,,,,,,)</v>
      </c>
      <c r="CQ412" s="69" t="str">
        <f t="shared" si="5358"/>
        <v>InitUnitAdd('',,,,,,,,,,)</v>
      </c>
      <c r="CR412" s="69" t="str">
        <f t="shared" si="5359"/>
        <v>InitEquipData('',,"",,,,,'','','','','','',"")</v>
      </c>
      <c r="CU412" s="70" t="str">
        <f t="shared" si="5360"/>
        <v>|n</v>
      </c>
      <c r="CW412" s="60"/>
      <c r="CX412" s="60"/>
      <c r="CY412" s="60"/>
      <c r="CZ412" s="60"/>
      <c r="DA412" s="60"/>
      <c r="DB412" s="71" t="str">
        <f t="shared" si="5361"/>
        <v/>
      </c>
      <c r="DC412" s="71" t="str">
        <f t="shared" si="5362"/>
        <v/>
      </c>
      <c r="DD412" s="71" t="str">
        <f t="shared" si="5363"/>
        <v/>
      </c>
      <c r="DE412" s="71" t="str">
        <f t="shared" si="5364"/>
        <v/>
      </c>
      <c r="DF412" s="71" t="str">
        <f t="shared" si="5365"/>
        <v/>
      </c>
      <c r="DG412" s="71" t="str">
        <f t="shared" si="5366"/>
        <v/>
      </c>
      <c r="DH412" s="71" t="str">
        <f t="shared" si="5367"/>
        <v/>
      </c>
      <c r="DI412" s="71" t="str">
        <f t="shared" si="5368"/>
        <v/>
      </c>
      <c r="DJ412" s="71" t="str">
        <f t="shared" si="5369"/>
        <v/>
      </c>
      <c r="DK412" s="71" t="str">
        <f t="shared" si="5370"/>
        <v/>
      </c>
      <c r="DL412" s="71" t="str">
        <f t="shared" si="5371"/>
        <v/>
      </c>
      <c r="DM412" s="71" t="str">
        <f t="shared" si="5372"/>
        <v/>
      </c>
      <c r="DN412" s="71" t="str">
        <f t="shared" si="5373"/>
        <v/>
      </c>
      <c r="DO412" s="71" t="str">
        <f t="shared" si="5374"/>
        <v/>
      </c>
      <c r="DP412" s="71" t="str">
        <f t="shared" si="5375"/>
        <v/>
      </c>
      <c r="DQ412" s="71" t="str">
        <f t="shared" si="5376"/>
        <v/>
      </c>
      <c r="DR412" s="71" t="str">
        <f t="shared" si="5377"/>
        <v/>
      </c>
      <c r="DS412" s="71" t="str">
        <f t="shared" si="5378"/>
        <v/>
      </c>
      <c r="DT412" s="71" t="str">
        <f t="shared" si="5379"/>
        <v/>
      </c>
      <c r="DU412" s="71" t="str">
        <f t="shared" si="5380"/>
        <v/>
      </c>
      <c r="DV412" s="71" t="str">
        <f t="shared" si="5381"/>
        <v/>
      </c>
      <c r="DW412" s="71" t="str">
        <f t="shared" si="5382"/>
        <v/>
      </c>
      <c r="DX412" s="71" t="str">
        <f t="shared" si="5383"/>
        <v/>
      </c>
      <c r="DY412" s="71" t="str">
        <f t="shared" si="5384"/>
        <v/>
      </c>
      <c r="DZ412" s="71" t="str">
        <f t="shared" si="5385"/>
        <v/>
      </c>
      <c r="EA412" s="71" t="str">
        <f t="shared" si="5386"/>
        <v/>
      </c>
      <c r="EB412" s="71" t="str">
        <f t="shared" si="5387"/>
        <v/>
      </c>
      <c r="EC412" s="71" t="str">
        <f t="shared" si="5388"/>
        <v/>
      </c>
      <c r="ED412" s="71" t="str">
        <f t="shared" si="5389"/>
        <v/>
      </c>
      <c r="EE412" s="71" t="str">
        <f t="shared" si="5390"/>
        <v/>
      </c>
      <c r="EF412" s="71" t="str">
        <f t="shared" si="5391"/>
        <v/>
      </c>
      <c r="EG412" s="71" t="str">
        <f t="shared" si="5392"/>
        <v/>
      </c>
      <c r="EH412" s="71" t="str">
        <f t="shared" si="5393"/>
        <v/>
      </c>
      <c r="EI412" s="71" t="str">
        <f t="shared" si="5394"/>
        <v/>
      </c>
      <c r="EJ412" s="71" t="str">
        <f t="shared" si="5395"/>
        <v/>
      </c>
      <c r="EK412" s="71" t="str">
        <f t="shared" si="5396"/>
        <v/>
      </c>
      <c r="EL412" s="71" t="str">
        <f t="shared" si="5397"/>
        <v/>
      </c>
      <c r="EM412" s="71" t="str">
        <f t="shared" si="5398"/>
        <v/>
      </c>
      <c r="EN412" s="71" t="str">
        <f t="shared" si="5399"/>
        <v/>
      </c>
      <c r="EO412" s="71" t="str">
        <f t="shared" si="5400"/>
        <v/>
      </c>
      <c r="EP412" s="71" t="str">
        <f t="shared" si="5401"/>
        <v/>
      </c>
      <c r="EQ412" s="71" t="str">
        <f t="shared" si="5402"/>
        <v/>
      </c>
      <c r="ER412" s="71" t="str">
        <f t="shared" si="5403"/>
        <v/>
      </c>
      <c r="ES412" s="71" t="str">
        <f t="shared" si="5404"/>
        <v/>
      </c>
      <c r="ET412" s="71" t="str">
        <f t="shared" si="5405"/>
        <v/>
      </c>
      <c r="EU412" s="71" t="str">
        <f t="shared" si="5406"/>
        <v/>
      </c>
      <c r="EV412" s="71" t="str">
        <f t="shared" si="5407"/>
        <v/>
      </c>
      <c r="EW412" s="71" t="str">
        <f t="shared" si="5408"/>
        <v/>
      </c>
      <c r="EX412" s="71" t="str">
        <f t="shared" si="5409"/>
        <v/>
      </c>
      <c r="EY412" s="71" t="str">
        <f t="shared" si="5410"/>
        <v/>
      </c>
      <c r="EZ412" s="71" t="str">
        <f t="shared" si="5411"/>
        <v/>
      </c>
      <c r="FA412" s="71" t="str">
        <f t="shared" si="5412"/>
        <v/>
      </c>
      <c r="FB412" s="71" t="str">
        <f t="shared" si="5413"/>
        <v/>
      </c>
      <c r="FC412" s="71" t="str">
        <f t="shared" si="5414"/>
        <v/>
      </c>
      <c r="FD412" s="71" t="str">
        <f t="shared" si="5415"/>
        <v/>
      </c>
      <c r="FE412" s="71" t="str">
        <f t="shared" si="5416"/>
        <v/>
      </c>
      <c r="FF412" s="71" t="str">
        <f t="shared" si="5417"/>
        <v/>
      </c>
      <c r="FG412" s="71" t="str">
        <f t="shared" si="5418"/>
        <v/>
      </c>
      <c r="FH412" s="71" t="str">
        <f t="shared" si="5419"/>
        <v/>
      </c>
      <c r="FI412" s="71" t="str">
        <f t="shared" si="5420"/>
        <v/>
      </c>
      <c r="FJ412" s="71" t="str">
        <f t="shared" si="5421"/>
        <v/>
      </c>
      <c r="FK412" s="71" t="str">
        <f t="shared" si="5422"/>
        <v/>
      </c>
      <c r="FL412" s="71" t="str">
        <f t="shared" si="5423"/>
        <v/>
      </c>
      <c r="FM412" s="71" t="str">
        <f t="shared" si="5424"/>
        <v/>
      </c>
      <c r="FN412" s="71" t="str">
        <f t="shared" si="5425"/>
        <v/>
      </c>
      <c r="FO412" s="71" t="str">
        <f t="shared" si="5426"/>
        <v/>
      </c>
      <c r="FP412" s="71" t="str">
        <f t="shared" si="5427"/>
        <v/>
      </c>
      <c r="FQ412" s="71" t="str">
        <f t="shared" si="5428"/>
        <v/>
      </c>
      <c r="FR412" s="71" t="str">
        <f t="shared" si="5429"/>
        <v/>
      </c>
      <c r="FS412" s="71" t="str">
        <f t="shared" si="5430"/>
        <v/>
      </c>
    </row>
    <row r="413" spans="92:175">
      <c r="CN413" s="69" t="str">
        <f t="shared" si="5355"/>
        <v>InitUnitState('',,,,,,,,,,)</v>
      </c>
      <c r="CO413" s="69" t="str">
        <f t="shared" si="5356"/>
        <v>InitUnitNormal('',,,,,,,,,,)</v>
      </c>
      <c r="CP413" s="69" t="str">
        <f t="shared" si="5357"/>
        <v>InitUnitMagic('',,,,,,,,,,)</v>
      </c>
      <c r="CQ413" s="69" t="str">
        <f t="shared" si="5358"/>
        <v>InitUnitAdd('',,,,,,,,,,)</v>
      </c>
      <c r="CR413" s="69" t="str">
        <f t="shared" si="5359"/>
        <v>InitEquipData('',,"",,,,,'','','','','','',"")</v>
      </c>
      <c r="CU413" s="70" t="str">
        <f t="shared" si="5360"/>
        <v>|n</v>
      </c>
      <c r="CW413" s="60"/>
      <c r="CX413" s="60"/>
      <c r="CY413" s="60"/>
      <c r="CZ413" s="60"/>
      <c r="DA413" s="60"/>
      <c r="DB413" s="71" t="str">
        <f t="shared" si="5361"/>
        <v/>
      </c>
      <c r="DC413" s="71" t="str">
        <f t="shared" si="5362"/>
        <v/>
      </c>
      <c r="DD413" s="71" t="str">
        <f t="shared" si="5363"/>
        <v/>
      </c>
      <c r="DE413" s="71" t="str">
        <f t="shared" si="5364"/>
        <v/>
      </c>
      <c r="DF413" s="71" t="str">
        <f t="shared" si="5365"/>
        <v/>
      </c>
      <c r="DG413" s="71" t="str">
        <f t="shared" si="5366"/>
        <v/>
      </c>
      <c r="DH413" s="71" t="str">
        <f t="shared" si="5367"/>
        <v/>
      </c>
      <c r="DI413" s="71" t="str">
        <f t="shared" si="5368"/>
        <v/>
      </c>
      <c r="DJ413" s="71" t="str">
        <f t="shared" si="5369"/>
        <v/>
      </c>
      <c r="DK413" s="71" t="str">
        <f t="shared" si="5370"/>
        <v/>
      </c>
      <c r="DL413" s="71" t="str">
        <f t="shared" si="5371"/>
        <v/>
      </c>
      <c r="DM413" s="71" t="str">
        <f t="shared" si="5372"/>
        <v/>
      </c>
      <c r="DN413" s="71" t="str">
        <f t="shared" si="5373"/>
        <v/>
      </c>
      <c r="DO413" s="71" t="str">
        <f t="shared" si="5374"/>
        <v/>
      </c>
      <c r="DP413" s="71" t="str">
        <f t="shared" si="5375"/>
        <v/>
      </c>
      <c r="DQ413" s="71" t="str">
        <f t="shared" si="5376"/>
        <v/>
      </c>
      <c r="DR413" s="71" t="str">
        <f t="shared" si="5377"/>
        <v/>
      </c>
      <c r="DS413" s="71" t="str">
        <f t="shared" si="5378"/>
        <v/>
      </c>
      <c r="DT413" s="71" t="str">
        <f t="shared" si="5379"/>
        <v/>
      </c>
      <c r="DU413" s="71" t="str">
        <f t="shared" si="5380"/>
        <v/>
      </c>
      <c r="DV413" s="71" t="str">
        <f t="shared" si="5381"/>
        <v/>
      </c>
      <c r="DW413" s="71" t="str">
        <f t="shared" si="5382"/>
        <v/>
      </c>
      <c r="DX413" s="71" t="str">
        <f t="shared" si="5383"/>
        <v/>
      </c>
      <c r="DY413" s="71" t="str">
        <f t="shared" si="5384"/>
        <v/>
      </c>
      <c r="DZ413" s="71" t="str">
        <f t="shared" si="5385"/>
        <v/>
      </c>
      <c r="EA413" s="71" t="str">
        <f t="shared" si="5386"/>
        <v/>
      </c>
      <c r="EB413" s="71" t="str">
        <f t="shared" si="5387"/>
        <v/>
      </c>
      <c r="EC413" s="71" t="str">
        <f t="shared" si="5388"/>
        <v/>
      </c>
      <c r="ED413" s="71" t="str">
        <f t="shared" si="5389"/>
        <v/>
      </c>
      <c r="EE413" s="71" t="str">
        <f t="shared" si="5390"/>
        <v/>
      </c>
      <c r="EF413" s="71" t="str">
        <f t="shared" si="5391"/>
        <v/>
      </c>
      <c r="EG413" s="71" t="str">
        <f t="shared" si="5392"/>
        <v/>
      </c>
      <c r="EH413" s="71" t="str">
        <f t="shared" si="5393"/>
        <v/>
      </c>
      <c r="EI413" s="71" t="str">
        <f t="shared" si="5394"/>
        <v/>
      </c>
      <c r="EJ413" s="71" t="str">
        <f t="shared" si="5395"/>
        <v/>
      </c>
      <c r="EK413" s="71" t="str">
        <f t="shared" si="5396"/>
        <v/>
      </c>
      <c r="EL413" s="71" t="str">
        <f t="shared" si="5397"/>
        <v/>
      </c>
      <c r="EM413" s="71" t="str">
        <f t="shared" si="5398"/>
        <v/>
      </c>
      <c r="EN413" s="71" t="str">
        <f t="shared" si="5399"/>
        <v/>
      </c>
      <c r="EO413" s="71" t="str">
        <f t="shared" si="5400"/>
        <v/>
      </c>
      <c r="EP413" s="71" t="str">
        <f t="shared" si="5401"/>
        <v/>
      </c>
      <c r="EQ413" s="71" t="str">
        <f t="shared" si="5402"/>
        <v/>
      </c>
      <c r="ER413" s="71" t="str">
        <f t="shared" si="5403"/>
        <v/>
      </c>
      <c r="ES413" s="71" t="str">
        <f t="shared" si="5404"/>
        <v/>
      </c>
      <c r="ET413" s="71" t="str">
        <f t="shared" si="5405"/>
        <v/>
      </c>
      <c r="EU413" s="71" t="str">
        <f t="shared" si="5406"/>
        <v/>
      </c>
      <c r="EV413" s="71" t="str">
        <f t="shared" si="5407"/>
        <v/>
      </c>
      <c r="EW413" s="71" t="str">
        <f t="shared" si="5408"/>
        <v/>
      </c>
      <c r="EX413" s="71" t="str">
        <f t="shared" si="5409"/>
        <v/>
      </c>
      <c r="EY413" s="71" t="str">
        <f t="shared" si="5410"/>
        <v/>
      </c>
      <c r="EZ413" s="71" t="str">
        <f t="shared" si="5411"/>
        <v/>
      </c>
      <c r="FA413" s="71" t="str">
        <f t="shared" si="5412"/>
        <v/>
      </c>
      <c r="FB413" s="71" t="str">
        <f t="shared" si="5413"/>
        <v/>
      </c>
      <c r="FC413" s="71" t="str">
        <f t="shared" si="5414"/>
        <v/>
      </c>
      <c r="FD413" s="71" t="str">
        <f t="shared" si="5415"/>
        <v/>
      </c>
      <c r="FE413" s="71" t="str">
        <f t="shared" si="5416"/>
        <v/>
      </c>
      <c r="FF413" s="71" t="str">
        <f t="shared" si="5417"/>
        <v/>
      </c>
      <c r="FG413" s="71" t="str">
        <f t="shared" si="5418"/>
        <v/>
      </c>
      <c r="FH413" s="71" t="str">
        <f t="shared" si="5419"/>
        <v/>
      </c>
      <c r="FI413" s="71" t="str">
        <f t="shared" si="5420"/>
        <v/>
      </c>
      <c r="FJ413" s="71" t="str">
        <f t="shared" si="5421"/>
        <v/>
      </c>
      <c r="FK413" s="71" t="str">
        <f t="shared" si="5422"/>
        <v/>
      </c>
      <c r="FL413" s="71" t="str">
        <f t="shared" si="5423"/>
        <v/>
      </c>
      <c r="FM413" s="71" t="str">
        <f t="shared" si="5424"/>
        <v/>
      </c>
      <c r="FN413" s="71" t="str">
        <f t="shared" si="5425"/>
        <v/>
      </c>
      <c r="FO413" s="71" t="str">
        <f t="shared" si="5426"/>
        <v/>
      </c>
      <c r="FP413" s="71" t="str">
        <f t="shared" si="5427"/>
        <v/>
      </c>
      <c r="FQ413" s="71" t="str">
        <f t="shared" si="5428"/>
        <v/>
      </c>
      <c r="FR413" s="71" t="str">
        <f t="shared" si="5429"/>
        <v/>
      </c>
      <c r="FS413" s="71" t="str">
        <f t="shared" si="5430"/>
        <v/>
      </c>
    </row>
    <row r="414" spans="92:175">
      <c r="CN414" s="69" t="str">
        <f t="shared" si="5355"/>
        <v>InitUnitState('',,,,,,,,,,)</v>
      </c>
      <c r="CO414" s="69" t="str">
        <f t="shared" si="5356"/>
        <v>InitUnitNormal('',,,,,,,,,,)</v>
      </c>
      <c r="CP414" s="69" t="str">
        <f t="shared" si="5357"/>
        <v>InitUnitMagic('',,,,,,,,,,)</v>
      </c>
      <c r="CQ414" s="69" t="str">
        <f t="shared" si="5358"/>
        <v>InitUnitAdd('',,,,,,,,,,)</v>
      </c>
      <c r="CR414" s="69" t="str">
        <f t="shared" si="5359"/>
        <v>InitEquipData('',,"",,,,,'','','','','','',"")</v>
      </c>
      <c r="CU414" s="70" t="str">
        <f t="shared" ref="CU414:CU452" si="5431">CONCATENATE(DB414,DC414,DD414,DE414,DF414,DG414,DH414,DI414,DJ414,DK414,DL414,DM414,DN414,DO414,DP414,DQ414,DR414,DS414,DT414,DU414,DV414,DW414,DX414,DY414,DZ414,EA414,EB414,EC414,ED414,EE414,EF414,EG414,EH414,EI414,EJ414,EK414,EL414,EM414,EN414,EO414,EP414&amp;"|n")</f>
        <v>|n</v>
      </c>
      <c r="CW414" s="60"/>
      <c r="CX414" s="60"/>
      <c r="CY414" s="60"/>
      <c r="CZ414" s="60"/>
      <c r="DA414" s="60"/>
      <c r="DB414" s="71" t="str">
        <f t="shared" si="5361"/>
        <v/>
      </c>
      <c r="DC414" s="71" t="str">
        <f t="shared" si="5362"/>
        <v/>
      </c>
      <c r="DD414" s="71" t="str">
        <f t="shared" si="5363"/>
        <v/>
      </c>
      <c r="DE414" s="71" t="str">
        <f t="shared" si="5364"/>
        <v/>
      </c>
      <c r="DF414" s="71" t="str">
        <f t="shared" si="5365"/>
        <v/>
      </c>
      <c r="DG414" s="71" t="str">
        <f t="shared" si="5366"/>
        <v/>
      </c>
      <c r="DH414" s="71" t="str">
        <f t="shared" si="5367"/>
        <v/>
      </c>
      <c r="DI414" s="71" t="str">
        <f t="shared" si="5368"/>
        <v/>
      </c>
      <c r="DJ414" s="71" t="str">
        <f t="shared" si="5369"/>
        <v/>
      </c>
      <c r="DK414" s="71" t="str">
        <f t="shared" si="5370"/>
        <v/>
      </c>
      <c r="DL414" s="71" t="str">
        <f t="shared" si="5371"/>
        <v/>
      </c>
      <c r="DM414" s="71" t="str">
        <f t="shared" si="5372"/>
        <v/>
      </c>
      <c r="DN414" s="71" t="str">
        <f t="shared" si="5373"/>
        <v/>
      </c>
      <c r="DO414" s="71" t="str">
        <f t="shared" si="5374"/>
        <v/>
      </c>
      <c r="DP414" s="71" t="str">
        <f t="shared" si="5375"/>
        <v/>
      </c>
      <c r="DQ414" s="71" t="str">
        <f t="shared" si="5376"/>
        <v/>
      </c>
      <c r="DR414" s="71" t="str">
        <f t="shared" si="5377"/>
        <v/>
      </c>
      <c r="DS414" s="71" t="str">
        <f t="shared" si="5378"/>
        <v/>
      </c>
      <c r="DT414" s="71" t="str">
        <f t="shared" si="5379"/>
        <v/>
      </c>
      <c r="DU414" s="71" t="str">
        <f t="shared" si="5380"/>
        <v/>
      </c>
      <c r="DV414" s="71" t="str">
        <f t="shared" si="5381"/>
        <v/>
      </c>
      <c r="DW414" s="71" t="str">
        <f t="shared" si="5382"/>
        <v/>
      </c>
      <c r="DX414" s="71" t="str">
        <f t="shared" si="5383"/>
        <v/>
      </c>
      <c r="DY414" s="71" t="str">
        <f t="shared" si="5384"/>
        <v/>
      </c>
      <c r="DZ414" s="71" t="str">
        <f t="shared" si="5385"/>
        <v/>
      </c>
      <c r="EA414" s="71" t="str">
        <f t="shared" si="5386"/>
        <v/>
      </c>
      <c r="EB414" s="71" t="str">
        <f t="shared" si="5387"/>
        <v/>
      </c>
      <c r="EC414" s="71" t="str">
        <f t="shared" si="5388"/>
        <v/>
      </c>
      <c r="ED414" s="71" t="str">
        <f t="shared" si="5389"/>
        <v/>
      </c>
      <c r="EE414" s="71" t="str">
        <f t="shared" si="5390"/>
        <v/>
      </c>
      <c r="EF414" s="71" t="str">
        <f t="shared" si="5391"/>
        <v/>
      </c>
      <c r="EG414" s="71" t="str">
        <f t="shared" si="5392"/>
        <v/>
      </c>
      <c r="EH414" s="71" t="str">
        <f t="shared" si="5393"/>
        <v/>
      </c>
      <c r="EI414" s="71" t="str">
        <f t="shared" si="5394"/>
        <v/>
      </c>
      <c r="EJ414" s="71" t="str">
        <f t="shared" si="5395"/>
        <v/>
      </c>
      <c r="EK414" s="71" t="str">
        <f t="shared" si="5396"/>
        <v/>
      </c>
      <c r="EL414" s="71" t="str">
        <f t="shared" si="5397"/>
        <v/>
      </c>
      <c r="EM414" s="71" t="str">
        <f t="shared" si="5398"/>
        <v/>
      </c>
      <c r="EN414" s="71" t="str">
        <f t="shared" si="5399"/>
        <v/>
      </c>
      <c r="EO414" s="71" t="str">
        <f t="shared" si="5400"/>
        <v/>
      </c>
      <c r="EP414" s="71" t="str">
        <f t="shared" si="5401"/>
        <v/>
      </c>
      <c r="EQ414" s="71" t="str">
        <f t="shared" si="5402"/>
        <v/>
      </c>
      <c r="ER414" s="71" t="str">
        <f t="shared" si="5403"/>
        <v/>
      </c>
      <c r="ES414" s="71" t="str">
        <f t="shared" si="5404"/>
        <v/>
      </c>
      <c r="ET414" s="71" t="str">
        <f t="shared" si="5405"/>
        <v/>
      </c>
      <c r="EU414" s="71" t="str">
        <f t="shared" si="5406"/>
        <v/>
      </c>
      <c r="EV414" s="71" t="str">
        <f t="shared" si="5407"/>
        <v/>
      </c>
      <c r="EW414" s="71" t="str">
        <f t="shared" si="5408"/>
        <v/>
      </c>
      <c r="EX414" s="71" t="str">
        <f t="shared" si="5409"/>
        <v/>
      </c>
      <c r="EY414" s="71" t="str">
        <f t="shared" si="5410"/>
        <v/>
      </c>
      <c r="EZ414" s="71" t="str">
        <f t="shared" si="5411"/>
        <v/>
      </c>
      <c r="FA414" s="71" t="str">
        <f t="shared" si="5412"/>
        <v/>
      </c>
      <c r="FB414" s="71" t="str">
        <f t="shared" si="5413"/>
        <v/>
      </c>
      <c r="FC414" s="71" t="str">
        <f t="shared" si="5414"/>
        <v/>
      </c>
      <c r="FD414" s="71" t="str">
        <f t="shared" si="5415"/>
        <v/>
      </c>
      <c r="FE414" s="71" t="str">
        <f t="shared" si="5416"/>
        <v/>
      </c>
      <c r="FF414" s="71" t="str">
        <f t="shared" si="5417"/>
        <v/>
      </c>
      <c r="FG414" s="71" t="str">
        <f t="shared" si="5418"/>
        <v/>
      </c>
      <c r="FH414" s="71" t="str">
        <f t="shared" si="5419"/>
        <v/>
      </c>
      <c r="FI414" s="71" t="str">
        <f t="shared" si="5420"/>
        <v/>
      </c>
      <c r="FJ414" s="71" t="str">
        <f t="shared" si="5421"/>
        <v/>
      </c>
      <c r="FK414" s="71" t="str">
        <f t="shared" si="5422"/>
        <v/>
      </c>
      <c r="FL414" s="71" t="str">
        <f t="shared" si="5423"/>
        <v/>
      </c>
      <c r="FM414" s="71" t="str">
        <f t="shared" si="5424"/>
        <v/>
      </c>
      <c r="FN414" s="71" t="str">
        <f t="shared" si="5425"/>
        <v/>
      </c>
      <c r="FO414" s="71" t="str">
        <f t="shared" si="5426"/>
        <v/>
      </c>
      <c r="FP414" s="71" t="str">
        <f t="shared" si="5427"/>
        <v/>
      </c>
      <c r="FQ414" s="71" t="str">
        <f t="shared" si="5428"/>
        <v/>
      </c>
      <c r="FR414" s="71" t="str">
        <f t="shared" si="5429"/>
        <v/>
      </c>
      <c r="FS414" s="71" t="str">
        <f t="shared" si="5430"/>
        <v/>
      </c>
    </row>
    <row r="415" spans="92:175">
      <c r="CN415" s="69" t="str">
        <f t="shared" si="5355"/>
        <v>InitUnitState('',,,,,,,,,,)</v>
      </c>
      <c r="CO415" s="69" t="str">
        <f t="shared" si="5356"/>
        <v>InitUnitNormal('',,,,,,,,,,)</v>
      </c>
      <c r="CP415" s="69" t="str">
        <f t="shared" si="5357"/>
        <v>InitUnitMagic('',,,,,,,,,,)</v>
      </c>
      <c r="CQ415" s="69" t="str">
        <f t="shared" si="5358"/>
        <v>InitUnitAdd('',,,,,,,,,,)</v>
      </c>
      <c r="CR415" s="69" t="str">
        <f t="shared" si="5359"/>
        <v>InitEquipData('',,"",,,,,'','','','','','',"")</v>
      </c>
      <c r="CU415" s="70" t="str">
        <f t="shared" si="5431"/>
        <v>|n</v>
      </c>
      <c r="CW415" s="60"/>
      <c r="CX415" s="60"/>
      <c r="CY415" s="60"/>
      <c r="CZ415" s="60"/>
      <c r="DA415" s="60"/>
      <c r="DB415" s="71" t="str">
        <f t="shared" si="5361"/>
        <v/>
      </c>
      <c r="DC415" s="71" t="str">
        <f t="shared" si="5362"/>
        <v/>
      </c>
      <c r="DD415" s="71" t="str">
        <f t="shared" si="5363"/>
        <v/>
      </c>
      <c r="DE415" s="71" t="str">
        <f t="shared" si="5364"/>
        <v/>
      </c>
      <c r="DF415" s="71" t="str">
        <f t="shared" si="5365"/>
        <v/>
      </c>
      <c r="DG415" s="71" t="str">
        <f t="shared" si="5366"/>
        <v/>
      </c>
      <c r="DH415" s="71" t="str">
        <f t="shared" si="5367"/>
        <v/>
      </c>
      <c r="DI415" s="71" t="str">
        <f t="shared" si="5368"/>
        <v/>
      </c>
      <c r="DJ415" s="71" t="str">
        <f t="shared" si="5369"/>
        <v/>
      </c>
      <c r="DK415" s="71" t="str">
        <f t="shared" si="5370"/>
        <v/>
      </c>
      <c r="DL415" s="71" t="str">
        <f t="shared" si="5371"/>
        <v/>
      </c>
      <c r="DM415" s="71" t="str">
        <f t="shared" si="5372"/>
        <v/>
      </c>
      <c r="DN415" s="71" t="str">
        <f t="shared" si="5373"/>
        <v/>
      </c>
      <c r="DO415" s="71" t="str">
        <f t="shared" si="5374"/>
        <v/>
      </c>
      <c r="DP415" s="71" t="str">
        <f t="shared" si="5375"/>
        <v/>
      </c>
      <c r="DQ415" s="71" t="str">
        <f t="shared" si="5376"/>
        <v/>
      </c>
      <c r="DR415" s="71" t="str">
        <f t="shared" si="5377"/>
        <v/>
      </c>
      <c r="DS415" s="71" t="str">
        <f t="shared" si="5378"/>
        <v/>
      </c>
      <c r="DT415" s="71" t="str">
        <f t="shared" si="5379"/>
        <v/>
      </c>
      <c r="DU415" s="71" t="str">
        <f t="shared" si="5380"/>
        <v/>
      </c>
      <c r="DV415" s="71" t="str">
        <f t="shared" si="5381"/>
        <v/>
      </c>
      <c r="DW415" s="71" t="str">
        <f t="shared" si="5382"/>
        <v/>
      </c>
      <c r="DX415" s="71" t="str">
        <f t="shared" si="5383"/>
        <v/>
      </c>
      <c r="DY415" s="71" t="str">
        <f t="shared" si="5384"/>
        <v/>
      </c>
      <c r="DZ415" s="71" t="str">
        <f t="shared" si="5385"/>
        <v/>
      </c>
      <c r="EA415" s="71" t="str">
        <f t="shared" si="5386"/>
        <v/>
      </c>
      <c r="EB415" s="71" t="str">
        <f t="shared" si="5387"/>
        <v/>
      </c>
      <c r="EC415" s="71" t="str">
        <f t="shared" si="5388"/>
        <v/>
      </c>
      <c r="ED415" s="71" t="str">
        <f t="shared" si="5389"/>
        <v/>
      </c>
      <c r="EE415" s="71" t="str">
        <f t="shared" si="5390"/>
        <v/>
      </c>
      <c r="EF415" s="71" t="str">
        <f t="shared" si="5391"/>
        <v/>
      </c>
      <c r="EG415" s="71" t="str">
        <f t="shared" si="5392"/>
        <v/>
      </c>
      <c r="EH415" s="71" t="str">
        <f t="shared" si="5393"/>
        <v/>
      </c>
      <c r="EI415" s="71" t="str">
        <f t="shared" si="5394"/>
        <v/>
      </c>
      <c r="EJ415" s="71" t="str">
        <f t="shared" si="5395"/>
        <v/>
      </c>
      <c r="EK415" s="71" t="str">
        <f t="shared" si="5396"/>
        <v/>
      </c>
      <c r="EL415" s="71" t="str">
        <f t="shared" si="5397"/>
        <v/>
      </c>
      <c r="EM415" s="71" t="str">
        <f t="shared" si="5398"/>
        <v/>
      </c>
      <c r="EN415" s="71" t="str">
        <f t="shared" si="5399"/>
        <v/>
      </c>
      <c r="EO415" s="71" t="str">
        <f t="shared" si="5400"/>
        <v/>
      </c>
      <c r="EP415" s="71" t="str">
        <f t="shared" si="5401"/>
        <v/>
      </c>
      <c r="EQ415" s="71" t="str">
        <f t="shared" si="5402"/>
        <v/>
      </c>
      <c r="ER415" s="71" t="str">
        <f t="shared" si="5403"/>
        <v/>
      </c>
      <c r="ES415" s="71" t="str">
        <f t="shared" si="5404"/>
        <v/>
      </c>
      <c r="ET415" s="71" t="str">
        <f t="shared" si="5405"/>
        <v/>
      </c>
      <c r="EU415" s="71" t="str">
        <f t="shared" si="5406"/>
        <v/>
      </c>
      <c r="EV415" s="71" t="str">
        <f t="shared" si="5407"/>
        <v/>
      </c>
      <c r="EW415" s="71" t="str">
        <f t="shared" si="5408"/>
        <v/>
      </c>
      <c r="EX415" s="71" t="str">
        <f t="shared" si="5409"/>
        <v/>
      </c>
      <c r="EY415" s="71" t="str">
        <f t="shared" si="5410"/>
        <v/>
      </c>
      <c r="EZ415" s="71" t="str">
        <f t="shared" si="5411"/>
        <v/>
      </c>
      <c r="FA415" s="71" t="str">
        <f t="shared" si="5412"/>
        <v/>
      </c>
      <c r="FB415" s="71" t="str">
        <f t="shared" si="5413"/>
        <v/>
      </c>
      <c r="FC415" s="71" t="str">
        <f t="shared" si="5414"/>
        <v/>
      </c>
      <c r="FD415" s="71" t="str">
        <f t="shared" si="5415"/>
        <v/>
      </c>
      <c r="FE415" s="71" t="str">
        <f t="shared" si="5416"/>
        <v/>
      </c>
      <c r="FF415" s="71" t="str">
        <f t="shared" si="5417"/>
        <v/>
      </c>
      <c r="FG415" s="71" t="str">
        <f t="shared" si="5418"/>
        <v/>
      </c>
      <c r="FH415" s="71" t="str">
        <f t="shared" si="5419"/>
        <v/>
      </c>
      <c r="FI415" s="71" t="str">
        <f t="shared" si="5420"/>
        <v/>
      </c>
      <c r="FJ415" s="71" t="str">
        <f t="shared" si="5421"/>
        <v/>
      </c>
      <c r="FK415" s="71" t="str">
        <f t="shared" si="5422"/>
        <v/>
      </c>
      <c r="FL415" s="71" t="str">
        <f t="shared" si="5423"/>
        <v/>
      </c>
      <c r="FM415" s="71" t="str">
        <f t="shared" si="5424"/>
        <v/>
      </c>
      <c r="FN415" s="71" t="str">
        <f t="shared" si="5425"/>
        <v/>
      </c>
      <c r="FO415" s="71" t="str">
        <f t="shared" si="5426"/>
        <v/>
      </c>
      <c r="FP415" s="71" t="str">
        <f t="shared" si="5427"/>
        <v/>
      </c>
      <c r="FQ415" s="71" t="str">
        <f t="shared" si="5428"/>
        <v/>
      </c>
      <c r="FR415" s="71" t="str">
        <f t="shared" si="5429"/>
        <v/>
      </c>
      <c r="FS415" s="71" t="str">
        <f t="shared" si="5430"/>
        <v/>
      </c>
    </row>
    <row r="416" spans="92:175">
      <c r="CN416" s="69" t="str">
        <f t="shared" si="5355"/>
        <v>InitUnitState('',,,,,,,,,,)</v>
      </c>
      <c r="CO416" s="69" t="str">
        <f t="shared" si="5356"/>
        <v>InitUnitNormal('',,,,,,,,,,)</v>
      </c>
      <c r="CP416" s="69" t="str">
        <f t="shared" si="5357"/>
        <v>InitUnitMagic('',,,,,,,,,,)</v>
      </c>
      <c r="CQ416" s="69" t="str">
        <f t="shared" si="5358"/>
        <v>InitUnitAdd('',,,,,,,,,,)</v>
      </c>
      <c r="CR416" s="69" t="str">
        <f t="shared" si="5359"/>
        <v>InitEquipData('',,"",,,,,'','','','','','',"")</v>
      </c>
      <c r="CU416" s="70" t="str">
        <f t="shared" si="5431"/>
        <v>|n</v>
      </c>
      <c r="CW416" s="60"/>
      <c r="CX416" s="60"/>
      <c r="CY416" s="60"/>
      <c r="CZ416" s="60"/>
      <c r="DA416" s="60"/>
      <c r="DB416" s="71" t="str">
        <f t="shared" si="5361"/>
        <v/>
      </c>
      <c r="DC416" s="71" t="str">
        <f t="shared" si="5362"/>
        <v/>
      </c>
      <c r="DD416" s="71" t="str">
        <f t="shared" si="5363"/>
        <v/>
      </c>
      <c r="DE416" s="71" t="str">
        <f t="shared" si="5364"/>
        <v/>
      </c>
      <c r="DF416" s="71" t="str">
        <f t="shared" si="5365"/>
        <v/>
      </c>
      <c r="DG416" s="71" t="str">
        <f t="shared" si="5366"/>
        <v/>
      </c>
      <c r="DH416" s="71" t="str">
        <f t="shared" si="5367"/>
        <v/>
      </c>
      <c r="DI416" s="71" t="str">
        <f t="shared" si="5368"/>
        <v/>
      </c>
      <c r="DJ416" s="71" t="str">
        <f t="shared" si="5369"/>
        <v/>
      </c>
      <c r="DK416" s="71" t="str">
        <f t="shared" si="5370"/>
        <v/>
      </c>
      <c r="DL416" s="71" t="str">
        <f t="shared" si="5371"/>
        <v/>
      </c>
      <c r="DM416" s="71" t="str">
        <f t="shared" si="5372"/>
        <v/>
      </c>
      <c r="DN416" s="71" t="str">
        <f t="shared" si="5373"/>
        <v/>
      </c>
      <c r="DO416" s="71" t="str">
        <f t="shared" si="5374"/>
        <v/>
      </c>
      <c r="DP416" s="71" t="str">
        <f t="shared" si="5375"/>
        <v/>
      </c>
      <c r="DQ416" s="71" t="str">
        <f t="shared" si="5376"/>
        <v/>
      </c>
      <c r="DR416" s="71" t="str">
        <f t="shared" si="5377"/>
        <v/>
      </c>
      <c r="DS416" s="71" t="str">
        <f t="shared" si="5378"/>
        <v/>
      </c>
      <c r="DT416" s="71" t="str">
        <f t="shared" si="5379"/>
        <v/>
      </c>
      <c r="DU416" s="71" t="str">
        <f t="shared" si="5380"/>
        <v/>
      </c>
      <c r="DV416" s="71" t="str">
        <f t="shared" si="5381"/>
        <v/>
      </c>
      <c r="DW416" s="71" t="str">
        <f t="shared" si="5382"/>
        <v/>
      </c>
      <c r="DX416" s="71" t="str">
        <f t="shared" si="5383"/>
        <v/>
      </c>
      <c r="DY416" s="71" t="str">
        <f t="shared" si="5384"/>
        <v/>
      </c>
      <c r="DZ416" s="71" t="str">
        <f t="shared" si="5385"/>
        <v/>
      </c>
      <c r="EA416" s="71" t="str">
        <f t="shared" si="5386"/>
        <v/>
      </c>
      <c r="EB416" s="71" t="str">
        <f t="shared" si="5387"/>
        <v/>
      </c>
      <c r="EC416" s="71" t="str">
        <f t="shared" si="5388"/>
        <v/>
      </c>
      <c r="ED416" s="71" t="str">
        <f t="shared" si="5389"/>
        <v/>
      </c>
      <c r="EE416" s="71" t="str">
        <f t="shared" si="5390"/>
        <v/>
      </c>
      <c r="EF416" s="71" t="str">
        <f t="shared" si="5391"/>
        <v/>
      </c>
      <c r="EG416" s="71" t="str">
        <f t="shared" si="5392"/>
        <v/>
      </c>
      <c r="EH416" s="71" t="str">
        <f t="shared" si="5393"/>
        <v/>
      </c>
      <c r="EI416" s="71" t="str">
        <f t="shared" si="5394"/>
        <v/>
      </c>
      <c r="EJ416" s="71" t="str">
        <f t="shared" si="5395"/>
        <v/>
      </c>
      <c r="EK416" s="71" t="str">
        <f t="shared" si="5396"/>
        <v/>
      </c>
      <c r="EL416" s="71" t="str">
        <f t="shared" si="5397"/>
        <v/>
      </c>
      <c r="EM416" s="71" t="str">
        <f t="shared" si="5398"/>
        <v/>
      </c>
      <c r="EN416" s="71" t="str">
        <f t="shared" si="5399"/>
        <v/>
      </c>
      <c r="EO416" s="71" t="str">
        <f t="shared" si="5400"/>
        <v/>
      </c>
      <c r="EP416" s="71" t="str">
        <f t="shared" si="5401"/>
        <v/>
      </c>
      <c r="EQ416" s="71" t="str">
        <f t="shared" si="5402"/>
        <v/>
      </c>
      <c r="ER416" s="71" t="str">
        <f t="shared" si="5403"/>
        <v/>
      </c>
      <c r="ES416" s="71" t="str">
        <f t="shared" si="5404"/>
        <v/>
      </c>
      <c r="ET416" s="71" t="str">
        <f t="shared" si="5405"/>
        <v/>
      </c>
      <c r="EU416" s="71" t="str">
        <f t="shared" si="5406"/>
        <v/>
      </c>
      <c r="EV416" s="71" t="str">
        <f t="shared" si="5407"/>
        <v/>
      </c>
      <c r="EW416" s="71" t="str">
        <f t="shared" si="5408"/>
        <v/>
      </c>
      <c r="EX416" s="71" t="str">
        <f t="shared" si="5409"/>
        <v/>
      </c>
      <c r="EY416" s="71" t="str">
        <f t="shared" si="5410"/>
        <v/>
      </c>
      <c r="EZ416" s="71" t="str">
        <f t="shared" si="5411"/>
        <v/>
      </c>
      <c r="FA416" s="71" t="str">
        <f t="shared" si="5412"/>
        <v/>
      </c>
      <c r="FB416" s="71" t="str">
        <f t="shared" si="5413"/>
        <v/>
      </c>
      <c r="FC416" s="71" t="str">
        <f t="shared" si="5414"/>
        <v/>
      </c>
      <c r="FD416" s="71" t="str">
        <f t="shared" si="5415"/>
        <v/>
      </c>
      <c r="FE416" s="71" t="str">
        <f t="shared" si="5416"/>
        <v/>
      </c>
      <c r="FF416" s="71" t="str">
        <f t="shared" si="5417"/>
        <v/>
      </c>
      <c r="FG416" s="71" t="str">
        <f t="shared" si="5418"/>
        <v/>
      </c>
      <c r="FH416" s="71" t="str">
        <f t="shared" si="5419"/>
        <v/>
      </c>
      <c r="FI416" s="71" t="str">
        <f t="shared" si="5420"/>
        <v/>
      </c>
      <c r="FJ416" s="71" t="str">
        <f t="shared" si="5421"/>
        <v/>
      </c>
      <c r="FK416" s="71" t="str">
        <f t="shared" si="5422"/>
        <v/>
      </c>
      <c r="FL416" s="71" t="str">
        <f t="shared" si="5423"/>
        <v/>
      </c>
      <c r="FM416" s="71" t="str">
        <f t="shared" si="5424"/>
        <v/>
      </c>
      <c r="FN416" s="71" t="str">
        <f t="shared" si="5425"/>
        <v/>
      </c>
      <c r="FO416" s="71" t="str">
        <f t="shared" si="5426"/>
        <v/>
      </c>
      <c r="FP416" s="71" t="str">
        <f t="shared" si="5427"/>
        <v/>
      </c>
      <c r="FQ416" s="71" t="str">
        <f t="shared" si="5428"/>
        <v/>
      </c>
      <c r="FR416" s="71" t="str">
        <f t="shared" si="5429"/>
        <v/>
      </c>
      <c r="FS416" s="71" t="str">
        <f t="shared" si="5430"/>
        <v/>
      </c>
    </row>
    <row r="417" spans="92:175">
      <c r="CN417" s="69" t="str">
        <f t="shared" si="5355"/>
        <v>InitUnitState('',,,,,,,,,,)</v>
      </c>
      <c r="CO417" s="69" t="str">
        <f t="shared" si="5356"/>
        <v>InitUnitNormal('',,,,,,,,,,)</v>
      </c>
      <c r="CP417" s="69" t="str">
        <f t="shared" si="5357"/>
        <v>InitUnitMagic('',,,,,,,,,,)</v>
      </c>
      <c r="CQ417" s="69" t="str">
        <f t="shared" si="5358"/>
        <v>InitUnitAdd('',,,,,,,,,,)</v>
      </c>
      <c r="CR417" s="69" t="str">
        <f t="shared" si="5359"/>
        <v>InitEquipData('',,"",,,,,'','','','','','',"")</v>
      </c>
      <c r="CU417" s="70" t="str">
        <f t="shared" si="5431"/>
        <v>|n</v>
      </c>
      <c r="CW417" s="60"/>
      <c r="CX417" s="60"/>
      <c r="CY417" s="60"/>
      <c r="CZ417" s="60"/>
      <c r="DA417" s="60"/>
      <c r="DB417" s="71" t="str">
        <f t="shared" si="5361"/>
        <v/>
      </c>
      <c r="DC417" s="71" t="str">
        <f t="shared" si="5362"/>
        <v/>
      </c>
      <c r="DD417" s="71" t="str">
        <f t="shared" si="5363"/>
        <v/>
      </c>
      <c r="DE417" s="71" t="str">
        <f t="shared" si="5364"/>
        <v/>
      </c>
      <c r="DF417" s="71" t="str">
        <f t="shared" si="5365"/>
        <v/>
      </c>
      <c r="DG417" s="71" t="str">
        <f t="shared" si="5366"/>
        <v/>
      </c>
      <c r="DH417" s="71" t="str">
        <f t="shared" si="5367"/>
        <v/>
      </c>
      <c r="DI417" s="71" t="str">
        <f t="shared" si="5368"/>
        <v/>
      </c>
      <c r="DJ417" s="71" t="str">
        <f t="shared" si="5369"/>
        <v/>
      </c>
      <c r="DK417" s="71" t="str">
        <f t="shared" si="5370"/>
        <v/>
      </c>
      <c r="DL417" s="71" t="str">
        <f t="shared" si="5371"/>
        <v/>
      </c>
      <c r="DM417" s="71" t="str">
        <f t="shared" si="5372"/>
        <v/>
      </c>
      <c r="DN417" s="71" t="str">
        <f t="shared" si="5373"/>
        <v/>
      </c>
      <c r="DO417" s="71" t="str">
        <f t="shared" si="5374"/>
        <v/>
      </c>
      <c r="DP417" s="71" t="str">
        <f t="shared" si="5375"/>
        <v/>
      </c>
      <c r="DQ417" s="71" t="str">
        <f t="shared" si="5376"/>
        <v/>
      </c>
      <c r="DR417" s="71" t="str">
        <f t="shared" si="5377"/>
        <v/>
      </c>
      <c r="DS417" s="71" t="str">
        <f t="shared" si="5378"/>
        <v/>
      </c>
      <c r="DT417" s="71" t="str">
        <f t="shared" si="5379"/>
        <v/>
      </c>
      <c r="DU417" s="71" t="str">
        <f t="shared" si="5380"/>
        <v/>
      </c>
      <c r="DV417" s="71" t="str">
        <f t="shared" si="5381"/>
        <v/>
      </c>
      <c r="DW417" s="71" t="str">
        <f t="shared" si="5382"/>
        <v/>
      </c>
      <c r="DX417" s="71" t="str">
        <f t="shared" si="5383"/>
        <v/>
      </c>
      <c r="DY417" s="71" t="str">
        <f t="shared" si="5384"/>
        <v/>
      </c>
      <c r="DZ417" s="71" t="str">
        <f t="shared" si="5385"/>
        <v/>
      </c>
      <c r="EA417" s="71" t="str">
        <f t="shared" si="5386"/>
        <v/>
      </c>
      <c r="EB417" s="71" t="str">
        <f t="shared" si="5387"/>
        <v/>
      </c>
      <c r="EC417" s="71" t="str">
        <f t="shared" si="5388"/>
        <v/>
      </c>
      <c r="ED417" s="71" t="str">
        <f t="shared" si="5389"/>
        <v/>
      </c>
      <c r="EE417" s="71" t="str">
        <f t="shared" si="5390"/>
        <v/>
      </c>
      <c r="EF417" s="71" t="str">
        <f t="shared" si="5391"/>
        <v/>
      </c>
      <c r="EG417" s="71" t="str">
        <f t="shared" si="5392"/>
        <v/>
      </c>
      <c r="EH417" s="71" t="str">
        <f t="shared" si="5393"/>
        <v/>
      </c>
      <c r="EI417" s="71" t="str">
        <f t="shared" si="5394"/>
        <v/>
      </c>
      <c r="EJ417" s="71" t="str">
        <f t="shared" si="5395"/>
        <v/>
      </c>
      <c r="EK417" s="71" t="str">
        <f t="shared" si="5396"/>
        <v/>
      </c>
      <c r="EL417" s="71" t="str">
        <f t="shared" si="5397"/>
        <v/>
      </c>
      <c r="EM417" s="71" t="str">
        <f t="shared" si="5398"/>
        <v/>
      </c>
      <c r="EN417" s="71" t="str">
        <f t="shared" si="5399"/>
        <v/>
      </c>
      <c r="EO417" s="71" t="str">
        <f t="shared" si="5400"/>
        <v/>
      </c>
      <c r="EP417" s="71" t="str">
        <f t="shared" si="5401"/>
        <v/>
      </c>
      <c r="EQ417" s="71" t="str">
        <f t="shared" si="5402"/>
        <v/>
      </c>
      <c r="ER417" s="71" t="str">
        <f t="shared" si="5403"/>
        <v/>
      </c>
      <c r="ES417" s="71" t="str">
        <f t="shared" si="5404"/>
        <v/>
      </c>
      <c r="ET417" s="71" t="str">
        <f t="shared" si="5405"/>
        <v/>
      </c>
      <c r="EU417" s="71" t="str">
        <f t="shared" si="5406"/>
        <v/>
      </c>
      <c r="EV417" s="71" t="str">
        <f t="shared" si="5407"/>
        <v/>
      </c>
      <c r="EW417" s="71" t="str">
        <f t="shared" si="5408"/>
        <v/>
      </c>
      <c r="EX417" s="71" t="str">
        <f t="shared" si="5409"/>
        <v/>
      </c>
      <c r="EY417" s="71" t="str">
        <f t="shared" si="5410"/>
        <v/>
      </c>
      <c r="EZ417" s="71" t="str">
        <f t="shared" si="5411"/>
        <v/>
      </c>
      <c r="FA417" s="71" t="str">
        <f t="shared" si="5412"/>
        <v/>
      </c>
      <c r="FB417" s="71" t="str">
        <f t="shared" si="5413"/>
        <v/>
      </c>
      <c r="FC417" s="71" t="str">
        <f t="shared" si="5414"/>
        <v/>
      </c>
      <c r="FD417" s="71" t="str">
        <f t="shared" si="5415"/>
        <v/>
      </c>
      <c r="FE417" s="71" t="str">
        <f t="shared" si="5416"/>
        <v/>
      </c>
      <c r="FF417" s="71" t="str">
        <f t="shared" si="5417"/>
        <v/>
      </c>
      <c r="FG417" s="71" t="str">
        <f t="shared" si="5418"/>
        <v/>
      </c>
      <c r="FH417" s="71" t="str">
        <f t="shared" si="5419"/>
        <v/>
      </c>
      <c r="FI417" s="71" t="str">
        <f t="shared" si="5420"/>
        <v/>
      </c>
      <c r="FJ417" s="71" t="str">
        <f t="shared" si="5421"/>
        <v/>
      </c>
      <c r="FK417" s="71" t="str">
        <f t="shared" si="5422"/>
        <v/>
      </c>
      <c r="FL417" s="71" t="str">
        <f t="shared" si="5423"/>
        <v/>
      </c>
      <c r="FM417" s="71" t="str">
        <f t="shared" si="5424"/>
        <v/>
      </c>
      <c r="FN417" s="71" t="str">
        <f t="shared" si="5425"/>
        <v/>
      </c>
      <c r="FO417" s="71" t="str">
        <f t="shared" si="5426"/>
        <v/>
      </c>
      <c r="FP417" s="71" t="str">
        <f t="shared" si="5427"/>
        <v/>
      </c>
      <c r="FQ417" s="71" t="str">
        <f t="shared" si="5428"/>
        <v/>
      </c>
      <c r="FR417" s="71" t="str">
        <f t="shared" si="5429"/>
        <v/>
      </c>
      <c r="FS417" s="71" t="str">
        <f t="shared" si="5430"/>
        <v/>
      </c>
    </row>
    <row r="418" spans="92:175">
      <c r="CN418" s="69" t="str">
        <f t="shared" si="5355"/>
        <v>InitUnitState('',,,,,,,,,,)</v>
      </c>
      <c r="CO418" s="69" t="str">
        <f t="shared" si="5356"/>
        <v>InitUnitNormal('',,,,,,,,,,)</v>
      </c>
      <c r="CP418" s="69" t="str">
        <f t="shared" si="5357"/>
        <v>InitUnitMagic('',,,,,,,,,,)</v>
      </c>
      <c r="CQ418" s="69" t="str">
        <f t="shared" si="5358"/>
        <v>InitUnitAdd('',,,,,,,,,,)</v>
      </c>
      <c r="CR418" s="69" t="str">
        <f t="shared" si="5359"/>
        <v>InitEquipData('',,"",,,,,'','','','','','',"")</v>
      </c>
      <c r="CU418" s="70" t="str">
        <f t="shared" si="5431"/>
        <v>|n</v>
      </c>
      <c r="CW418" s="60"/>
      <c r="CX418" s="60"/>
      <c r="CY418" s="60"/>
      <c r="CZ418" s="60"/>
      <c r="DA418" s="60"/>
      <c r="DB418" s="71" t="str">
        <f t="shared" si="5361"/>
        <v/>
      </c>
      <c r="DC418" s="71" t="str">
        <f t="shared" si="5362"/>
        <v/>
      </c>
      <c r="DD418" s="71" t="str">
        <f t="shared" si="5363"/>
        <v/>
      </c>
      <c r="DE418" s="71" t="str">
        <f t="shared" si="5364"/>
        <v/>
      </c>
      <c r="DF418" s="71" t="str">
        <f t="shared" si="5365"/>
        <v/>
      </c>
      <c r="DG418" s="71" t="str">
        <f t="shared" si="5366"/>
        <v/>
      </c>
      <c r="DH418" s="71" t="str">
        <f t="shared" si="5367"/>
        <v/>
      </c>
      <c r="DI418" s="71" t="str">
        <f t="shared" si="5368"/>
        <v/>
      </c>
      <c r="DJ418" s="71" t="str">
        <f t="shared" si="5369"/>
        <v/>
      </c>
      <c r="DK418" s="71" t="str">
        <f t="shared" si="5370"/>
        <v/>
      </c>
      <c r="DL418" s="71" t="str">
        <f t="shared" si="5371"/>
        <v/>
      </c>
      <c r="DM418" s="71" t="str">
        <f t="shared" si="5372"/>
        <v/>
      </c>
      <c r="DN418" s="71" t="str">
        <f t="shared" si="5373"/>
        <v/>
      </c>
      <c r="DO418" s="71" t="str">
        <f t="shared" si="5374"/>
        <v/>
      </c>
      <c r="DP418" s="71" t="str">
        <f t="shared" si="5375"/>
        <v/>
      </c>
      <c r="DQ418" s="71" t="str">
        <f t="shared" si="5376"/>
        <v/>
      </c>
      <c r="DR418" s="71" t="str">
        <f t="shared" si="5377"/>
        <v/>
      </c>
      <c r="DS418" s="71" t="str">
        <f t="shared" si="5378"/>
        <v/>
      </c>
      <c r="DT418" s="71" t="str">
        <f t="shared" si="5379"/>
        <v/>
      </c>
      <c r="DU418" s="71" t="str">
        <f t="shared" si="5380"/>
        <v/>
      </c>
      <c r="DV418" s="71" t="str">
        <f t="shared" si="5381"/>
        <v/>
      </c>
      <c r="DW418" s="71" t="str">
        <f t="shared" si="5382"/>
        <v/>
      </c>
      <c r="DX418" s="71" t="str">
        <f t="shared" si="5383"/>
        <v/>
      </c>
      <c r="DY418" s="71" t="str">
        <f t="shared" si="5384"/>
        <v/>
      </c>
      <c r="DZ418" s="71" t="str">
        <f t="shared" si="5385"/>
        <v/>
      </c>
      <c r="EA418" s="71" t="str">
        <f t="shared" si="5386"/>
        <v/>
      </c>
      <c r="EB418" s="71" t="str">
        <f t="shared" si="5387"/>
        <v/>
      </c>
      <c r="EC418" s="71" t="str">
        <f t="shared" si="5388"/>
        <v/>
      </c>
      <c r="ED418" s="71" t="str">
        <f t="shared" si="5389"/>
        <v/>
      </c>
      <c r="EE418" s="71" t="str">
        <f t="shared" si="5390"/>
        <v/>
      </c>
      <c r="EF418" s="71" t="str">
        <f t="shared" si="5391"/>
        <v/>
      </c>
      <c r="EG418" s="71" t="str">
        <f t="shared" si="5392"/>
        <v/>
      </c>
      <c r="EH418" s="71" t="str">
        <f t="shared" si="5393"/>
        <v/>
      </c>
      <c r="EI418" s="71" t="str">
        <f t="shared" si="5394"/>
        <v/>
      </c>
      <c r="EJ418" s="71" t="str">
        <f t="shared" si="5395"/>
        <v/>
      </c>
      <c r="EK418" s="71" t="str">
        <f t="shared" si="5396"/>
        <v/>
      </c>
      <c r="EL418" s="71" t="str">
        <f t="shared" si="5397"/>
        <v/>
      </c>
      <c r="EM418" s="71" t="str">
        <f t="shared" si="5398"/>
        <v/>
      </c>
      <c r="EN418" s="71" t="str">
        <f t="shared" si="5399"/>
        <v/>
      </c>
      <c r="EO418" s="71" t="str">
        <f t="shared" si="5400"/>
        <v/>
      </c>
      <c r="EP418" s="71" t="str">
        <f t="shared" si="5401"/>
        <v/>
      </c>
      <c r="EQ418" s="71" t="str">
        <f t="shared" si="5402"/>
        <v/>
      </c>
      <c r="ER418" s="71" t="str">
        <f t="shared" si="5403"/>
        <v/>
      </c>
      <c r="ES418" s="71" t="str">
        <f t="shared" si="5404"/>
        <v/>
      </c>
      <c r="ET418" s="71" t="str">
        <f t="shared" si="5405"/>
        <v/>
      </c>
      <c r="EU418" s="71" t="str">
        <f t="shared" si="5406"/>
        <v/>
      </c>
      <c r="EV418" s="71" t="str">
        <f t="shared" si="5407"/>
        <v/>
      </c>
      <c r="EW418" s="71" t="str">
        <f t="shared" si="5408"/>
        <v/>
      </c>
      <c r="EX418" s="71" t="str">
        <f t="shared" si="5409"/>
        <v/>
      </c>
      <c r="EY418" s="71" t="str">
        <f t="shared" si="5410"/>
        <v/>
      </c>
      <c r="EZ418" s="71" t="str">
        <f t="shared" si="5411"/>
        <v/>
      </c>
      <c r="FA418" s="71" t="str">
        <f t="shared" si="5412"/>
        <v/>
      </c>
      <c r="FB418" s="71" t="str">
        <f t="shared" si="5413"/>
        <v/>
      </c>
      <c r="FC418" s="71" t="str">
        <f t="shared" si="5414"/>
        <v/>
      </c>
      <c r="FD418" s="71" t="str">
        <f t="shared" si="5415"/>
        <v/>
      </c>
      <c r="FE418" s="71" t="str">
        <f t="shared" si="5416"/>
        <v/>
      </c>
      <c r="FF418" s="71" t="str">
        <f t="shared" si="5417"/>
        <v/>
      </c>
      <c r="FG418" s="71" t="str">
        <f t="shared" si="5418"/>
        <v/>
      </c>
      <c r="FH418" s="71" t="str">
        <f t="shared" si="5419"/>
        <v/>
      </c>
      <c r="FI418" s="71" t="str">
        <f t="shared" si="5420"/>
        <v/>
      </c>
      <c r="FJ418" s="71" t="str">
        <f t="shared" si="5421"/>
        <v/>
      </c>
      <c r="FK418" s="71" t="str">
        <f t="shared" si="5422"/>
        <v/>
      </c>
      <c r="FL418" s="71" t="str">
        <f t="shared" si="5423"/>
        <v/>
      </c>
      <c r="FM418" s="71" t="str">
        <f t="shared" si="5424"/>
        <v/>
      </c>
      <c r="FN418" s="71" t="str">
        <f t="shared" si="5425"/>
        <v/>
      </c>
      <c r="FO418" s="71" t="str">
        <f t="shared" si="5426"/>
        <v/>
      </c>
      <c r="FP418" s="71" t="str">
        <f t="shared" si="5427"/>
        <v/>
      </c>
      <c r="FQ418" s="71" t="str">
        <f t="shared" si="5428"/>
        <v/>
      </c>
      <c r="FR418" s="71" t="str">
        <f t="shared" si="5429"/>
        <v/>
      </c>
      <c r="FS418" s="71" t="str">
        <f t="shared" si="5430"/>
        <v/>
      </c>
    </row>
    <row r="419" spans="92:175">
      <c r="CN419" s="69" t="str">
        <f t="shared" si="5355"/>
        <v>InitUnitState('',,,,,,,,,,)</v>
      </c>
      <c r="CO419" s="69" t="str">
        <f t="shared" si="5356"/>
        <v>InitUnitNormal('',,,,,,,,,,)</v>
      </c>
      <c r="CP419" s="69" t="str">
        <f t="shared" si="5357"/>
        <v>InitUnitMagic('',,,,,,,,,,)</v>
      </c>
      <c r="CQ419" s="69" t="str">
        <f t="shared" si="5358"/>
        <v>InitUnitAdd('',,,,,,,,,,)</v>
      </c>
      <c r="CR419" s="69" t="str">
        <f t="shared" si="5359"/>
        <v>InitEquipData('',,"",,,,,'','','','','','',"")</v>
      </c>
      <c r="CU419" s="70" t="str">
        <f t="shared" si="5431"/>
        <v>|n</v>
      </c>
      <c r="CW419" s="60"/>
      <c r="CX419" s="60"/>
      <c r="CY419" s="60"/>
      <c r="CZ419" s="60"/>
      <c r="DA419" s="60"/>
      <c r="DB419" s="71" t="str">
        <f t="shared" si="5361"/>
        <v/>
      </c>
      <c r="DC419" s="71" t="str">
        <f t="shared" si="5362"/>
        <v/>
      </c>
      <c r="DD419" s="71" t="str">
        <f t="shared" si="5363"/>
        <v/>
      </c>
      <c r="DE419" s="71" t="str">
        <f t="shared" si="5364"/>
        <v/>
      </c>
      <c r="DF419" s="71" t="str">
        <f t="shared" si="5365"/>
        <v/>
      </c>
      <c r="DG419" s="71" t="str">
        <f t="shared" si="5366"/>
        <v/>
      </c>
      <c r="DH419" s="71" t="str">
        <f t="shared" si="5367"/>
        <v/>
      </c>
      <c r="DI419" s="71" t="str">
        <f t="shared" si="5368"/>
        <v/>
      </c>
      <c r="DJ419" s="71" t="str">
        <f t="shared" si="5369"/>
        <v/>
      </c>
      <c r="DK419" s="71" t="str">
        <f t="shared" si="5370"/>
        <v/>
      </c>
      <c r="DL419" s="71" t="str">
        <f t="shared" si="5371"/>
        <v/>
      </c>
      <c r="DM419" s="71" t="str">
        <f t="shared" si="5372"/>
        <v/>
      </c>
      <c r="DN419" s="71" t="str">
        <f t="shared" si="5373"/>
        <v/>
      </c>
      <c r="DO419" s="71" t="str">
        <f t="shared" si="5374"/>
        <v/>
      </c>
      <c r="DP419" s="71" t="str">
        <f t="shared" si="5375"/>
        <v/>
      </c>
      <c r="DQ419" s="71" t="str">
        <f t="shared" si="5376"/>
        <v/>
      </c>
      <c r="DR419" s="71" t="str">
        <f t="shared" si="5377"/>
        <v/>
      </c>
      <c r="DS419" s="71" t="str">
        <f t="shared" si="5378"/>
        <v/>
      </c>
      <c r="DT419" s="71" t="str">
        <f t="shared" si="5379"/>
        <v/>
      </c>
      <c r="DU419" s="71" t="str">
        <f t="shared" si="5380"/>
        <v/>
      </c>
      <c r="DV419" s="71" t="str">
        <f t="shared" si="5381"/>
        <v/>
      </c>
      <c r="DW419" s="71" t="str">
        <f t="shared" si="5382"/>
        <v/>
      </c>
      <c r="DX419" s="71" t="str">
        <f t="shared" si="5383"/>
        <v/>
      </c>
      <c r="DY419" s="71" t="str">
        <f t="shared" si="5384"/>
        <v/>
      </c>
      <c r="DZ419" s="71" t="str">
        <f t="shared" si="5385"/>
        <v/>
      </c>
      <c r="EA419" s="71" t="str">
        <f t="shared" si="5386"/>
        <v/>
      </c>
      <c r="EB419" s="71" t="str">
        <f t="shared" si="5387"/>
        <v/>
      </c>
      <c r="EC419" s="71" t="str">
        <f t="shared" si="5388"/>
        <v/>
      </c>
      <c r="ED419" s="71" t="str">
        <f t="shared" si="5389"/>
        <v/>
      </c>
      <c r="EE419" s="71" t="str">
        <f t="shared" si="5390"/>
        <v/>
      </c>
      <c r="EF419" s="71" t="str">
        <f t="shared" si="5391"/>
        <v/>
      </c>
      <c r="EG419" s="71" t="str">
        <f t="shared" si="5392"/>
        <v/>
      </c>
      <c r="EH419" s="71" t="str">
        <f t="shared" si="5393"/>
        <v/>
      </c>
      <c r="EI419" s="71" t="str">
        <f t="shared" si="5394"/>
        <v/>
      </c>
      <c r="EJ419" s="71" t="str">
        <f t="shared" si="5395"/>
        <v/>
      </c>
      <c r="EK419" s="71" t="str">
        <f t="shared" si="5396"/>
        <v/>
      </c>
      <c r="EL419" s="71" t="str">
        <f t="shared" si="5397"/>
        <v/>
      </c>
      <c r="EM419" s="71" t="str">
        <f t="shared" si="5398"/>
        <v/>
      </c>
      <c r="EN419" s="71" t="str">
        <f t="shared" si="5399"/>
        <v/>
      </c>
      <c r="EO419" s="71" t="str">
        <f t="shared" si="5400"/>
        <v/>
      </c>
      <c r="EP419" s="71" t="str">
        <f t="shared" si="5401"/>
        <v/>
      </c>
      <c r="EQ419" s="71" t="str">
        <f t="shared" si="5402"/>
        <v/>
      </c>
      <c r="ER419" s="71" t="str">
        <f t="shared" si="5403"/>
        <v/>
      </c>
      <c r="ES419" s="71" t="str">
        <f t="shared" si="5404"/>
        <v/>
      </c>
      <c r="ET419" s="71" t="str">
        <f t="shared" si="5405"/>
        <v/>
      </c>
      <c r="EU419" s="71" t="str">
        <f t="shared" si="5406"/>
        <v/>
      </c>
      <c r="EV419" s="71" t="str">
        <f t="shared" si="5407"/>
        <v/>
      </c>
      <c r="EW419" s="71" t="str">
        <f t="shared" si="5408"/>
        <v/>
      </c>
      <c r="EX419" s="71" t="str">
        <f t="shared" si="5409"/>
        <v/>
      </c>
      <c r="EY419" s="71" t="str">
        <f t="shared" si="5410"/>
        <v/>
      </c>
      <c r="EZ419" s="71" t="str">
        <f t="shared" si="5411"/>
        <v/>
      </c>
      <c r="FA419" s="71" t="str">
        <f t="shared" si="5412"/>
        <v/>
      </c>
      <c r="FB419" s="71" t="str">
        <f t="shared" si="5413"/>
        <v/>
      </c>
      <c r="FC419" s="71" t="str">
        <f t="shared" si="5414"/>
        <v/>
      </c>
      <c r="FD419" s="71" t="str">
        <f t="shared" si="5415"/>
        <v/>
      </c>
      <c r="FE419" s="71" t="str">
        <f t="shared" si="5416"/>
        <v/>
      </c>
      <c r="FF419" s="71" t="str">
        <f t="shared" si="5417"/>
        <v/>
      </c>
      <c r="FG419" s="71" t="str">
        <f t="shared" si="5418"/>
        <v/>
      </c>
      <c r="FH419" s="71" t="str">
        <f t="shared" si="5419"/>
        <v/>
      </c>
      <c r="FI419" s="71" t="str">
        <f t="shared" si="5420"/>
        <v/>
      </c>
      <c r="FJ419" s="71" t="str">
        <f t="shared" si="5421"/>
        <v/>
      </c>
      <c r="FK419" s="71" t="str">
        <f t="shared" si="5422"/>
        <v/>
      </c>
      <c r="FL419" s="71" t="str">
        <f t="shared" si="5423"/>
        <v/>
      </c>
      <c r="FM419" s="71" t="str">
        <f t="shared" si="5424"/>
        <v/>
      </c>
      <c r="FN419" s="71" t="str">
        <f t="shared" si="5425"/>
        <v/>
      </c>
      <c r="FO419" s="71" t="str">
        <f t="shared" si="5426"/>
        <v/>
      </c>
      <c r="FP419" s="71" t="str">
        <f t="shared" si="5427"/>
        <v/>
      </c>
      <c r="FQ419" s="71" t="str">
        <f t="shared" si="5428"/>
        <v/>
      </c>
      <c r="FR419" s="71" t="str">
        <f t="shared" si="5429"/>
        <v/>
      </c>
      <c r="FS419" s="71" t="str">
        <f t="shared" si="5430"/>
        <v/>
      </c>
    </row>
    <row r="420" spans="92:175">
      <c r="CN420" s="69" t="str">
        <f t="shared" si="5355"/>
        <v>InitUnitState('',,,,,,,,,,)</v>
      </c>
      <c r="CO420" s="69" t="str">
        <f t="shared" si="5356"/>
        <v>InitUnitNormal('',,,,,,,,,,)</v>
      </c>
      <c r="CP420" s="69" t="str">
        <f t="shared" si="5357"/>
        <v>InitUnitMagic('',,,,,,,,,,)</v>
      </c>
      <c r="CQ420" s="69" t="str">
        <f t="shared" si="5358"/>
        <v>InitUnitAdd('',,,,,,,,,,)</v>
      </c>
      <c r="CR420" s="69" t="str">
        <f t="shared" si="5359"/>
        <v>InitEquipData('',,"",,,,,'','','','','','',"")</v>
      </c>
      <c r="CU420" s="70" t="str">
        <f t="shared" si="5431"/>
        <v>|n</v>
      </c>
      <c r="CW420" s="60"/>
      <c r="CX420" s="60"/>
      <c r="CY420" s="60"/>
      <c r="CZ420" s="60"/>
      <c r="DA420" s="60"/>
      <c r="DB420" s="71" t="str">
        <f t="shared" si="5361"/>
        <v/>
      </c>
      <c r="DC420" s="71" t="str">
        <f t="shared" si="5362"/>
        <v/>
      </c>
      <c r="DD420" s="71" t="str">
        <f t="shared" si="5363"/>
        <v/>
      </c>
      <c r="DE420" s="71" t="str">
        <f t="shared" si="5364"/>
        <v/>
      </c>
      <c r="DF420" s="71" t="str">
        <f t="shared" si="5365"/>
        <v/>
      </c>
      <c r="DG420" s="71" t="str">
        <f t="shared" si="5366"/>
        <v/>
      </c>
      <c r="DH420" s="71" t="str">
        <f t="shared" si="5367"/>
        <v/>
      </c>
      <c r="DI420" s="71" t="str">
        <f t="shared" si="5368"/>
        <v/>
      </c>
      <c r="DJ420" s="71" t="str">
        <f t="shared" si="5369"/>
        <v/>
      </c>
      <c r="DK420" s="71" t="str">
        <f t="shared" si="5370"/>
        <v/>
      </c>
      <c r="DL420" s="71" t="str">
        <f t="shared" si="5371"/>
        <v/>
      </c>
      <c r="DM420" s="71" t="str">
        <f t="shared" si="5372"/>
        <v/>
      </c>
      <c r="DN420" s="71" t="str">
        <f t="shared" si="5373"/>
        <v/>
      </c>
      <c r="DO420" s="71" t="str">
        <f t="shared" si="5374"/>
        <v/>
      </c>
      <c r="DP420" s="71" t="str">
        <f t="shared" si="5375"/>
        <v/>
      </c>
      <c r="DQ420" s="71" t="str">
        <f t="shared" si="5376"/>
        <v/>
      </c>
      <c r="DR420" s="71" t="str">
        <f t="shared" si="5377"/>
        <v/>
      </c>
      <c r="DS420" s="71" t="str">
        <f t="shared" si="5378"/>
        <v/>
      </c>
      <c r="DT420" s="71" t="str">
        <f t="shared" si="5379"/>
        <v/>
      </c>
      <c r="DU420" s="71" t="str">
        <f t="shared" si="5380"/>
        <v/>
      </c>
      <c r="DV420" s="71" t="str">
        <f t="shared" si="5381"/>
        <v/>
      </c>
      <c r="DW420" s="71" t="str">
        <f t="shared" si="5382"/>
        <v/>
      </c>
      <c r="DX420" s="71" t="str">
        <f t="shared" si="5383"/>
        <v/>
      </c>
      <c r="DY420" s="71" t="str">
        <f t="shared" si="5384"/>
        <v/>
      </c>
      <c r="DZ420" s="71" t="str">
        <f t="shared" si="5385"/>
        <v/>
      </c>
      <c r="EA420" s="71" t="str">
        <f t="shared" si="5386"/>
        <v/>
      </c>
      <c r="EB420" s="71" t="str">
        <f t="shared" si="5387"/>
        <v/>
      </c>
      <c r="EC420" s="71" t="str">
        <f t="shared" si="5388"/>
        <v/>
      </c>
      <c r="ED420" s="71" t="str">
        <f t="shared" si="5389"/>
        <v/>
      </c>
      <c r="EE420" s="71" t="str">
        <f t="shared" si="5390"/>
        <v/>
      </c>
      <c r="EF420" s="71" t="str">
        <f t="shared" si="5391"/>
        <v/>
      </c>
      <c r="EG420" s="71" t="str">
        <f t="shared" si="5392"/>
        <v/>
      </c>
      <c r="EH420" s="71" t="str">
        <f t="shared" si="5393"/>
        <v/>
      </c>
      <c r="EI420" s="71" t="str">
        <f t="shared" si="5394"/>
        <v/>
      </c>
      <c r="EJ420" s="71" t="str">
        <f t="shared" si="5395"/>
        <v/>
      </c>
      <c r="EK420" s="71" t="str">
        <f t="shared" si="5396"/>
        <v/>
      </c>
      <c r="EL420" s="71" t="str">
        <f t="shared" si="5397"/>
        <v/>
      </c>
      <c r="EM420" s="71" t="str">
        <f t="shared" si="5398"/>
        <v/>
      </c>
      <c r="EN420" s="71" t="str">
        <f t="shared" si="5399"/>
        <v/>
      </c>
      <c r="EO420" s="71" t="str">
        <f t="shared" si="5400"/>
        <v/>
      </c>
      <c r="EP420" s="71" t="str">
        <f t="shared" si="5401"/>
        <v/>
      </c>
      <c r="EQ420" s="71" t="str">
        <f t="shared" si="5402"/>
        <v/>
      </c>
      <c r="ER420" s="71" t="str">
        <f t="shared" si="5403"/>
        <v/>
      </c>
      <c r="ES420" s="71" t="str">
        <f t="shared" si="5404"/>
        <v/>
      </c>
      <c r="ET420" s="71" t="str">
        <f t="shared" si="5405"/>
        <v/>
      </c>
      <c r="EU420" s="71" t="str">
        <f t="shared" si="5406"/>
        <v/>
      </c>
      <c r="EV420" s="71" t="str">
        <f t="shared" si="5407"/>
        <v/>
      </c>
      <c r="EW420" s="71" t="str">
        <f t="shared" si="5408"/>
        <v/>
      </c>
      <c r="EX420" s="71" t="str">
        <f t="shared" si="5409"/>
        <v/>
      </c>
      <c r="EY420" s="71" t="str">
        <f t="shared" si="5410"/>
        <v/>
      </c>
      <c r="EZ420" s="71" t="str">
        <f t="shared" si="5411"/>
        <v/>
      </c>
      <c r="FA420" s="71" t="str">
        <f t="shared" si="5412"/>
        <v/>
      </c>
      <c r="FB420" s="71" t="str">
        <f t="shared" si="5413"/>
        <v/>
      </c>
      <c r="FC420" s="71" t="str">
        <f t="shared" si="5414"/>
        <v/>
      </c>
      <c r="FD420" s="71" t="str">
        <f t="shared" si="5415"/>
        <v/>
      </c>
      <c r="FE420" s="71" t="str">
        <f t="shared" si="5416"/>
        <v/>
      </c>
      <c r="FF420" s="71" t="str">
        <f t="shared" si="5417"/>
        <v/>
      </c>
      <c r="FG420" s="71" t="str">
        <f t="shared" si="5418"/>
        <v/>
      </c>
      <c r="FH420" s="71" t="str">
        <f t="shared" si="5419"/>
        <v/>
      </c>
      <c r="FI420" s="71" t="str">
        <f t="shared" si="5420"/>
        <v/>
      </c>
      <c r="FJ420" s="71" t="str">
        <f t="shared" si="5421"/>
        <v/>
      </c>
      <c r="FK420" s="71" t="str">
        <f t="shared" si="5422"/>
        <v/>
      </c>
      <c r="FL420" s="71" t="str">
        <f t="shared" si="5423"/>
        <v/>
      </c>
      <c r="FM420" s="71" t="str">
        <f t="shared" si="5424"/>
        <v/>
      </c>
      <c r="FN420" s="71" t="str">
        <f t="shared" si="5425"/>
        <v/>
      </c>
      <c r="FO420" s="71" t="str">
        <f t="shared" si="5426"/>
        <v/>
      </c>
      <c r="FP420" s="71" t="str">
        <f t="shared" si="5427"/>
        <v/>
      </c>
      <c r="FQ420" s="71" t="str">
        <f t="shared" si="5428"/>
        <v/>
      </c>
      <c r="FR420" s="71" t="str">
        <f t="shared" si="5429"/>
        <v/>
      </c>
      <c r="FS420" s="71" t="str">
        <f t="shared" si="5430"/>
        <v/>
      </c>
    </row>
    <row r="421" spans="92:175">
      <c r="CN421" s="69" t="str">
        <f t="shared" si="5355"/>
        <v>InitUnitState('',,,,,,,,,,)</v>
      </c>
      <c r="CO421" s="69" t="str">
        <f t="shared" si="5356"/>
        <v>InitUnitNormal('',,,,,,,,,,)</v>
      </c>
      <c r="CP421" s="69" t="str">
        <f t="shared" si="5357"/>
        <v>InitUnitMagic('',,,,,,,,,,)</v>
      </c>
      <c r="CQ421" s="69" t="str">
        <f t="shared" si="5358"/>
        <v>InitUnitAdd('',,,,,,,,,,)</v>
      </c>
      <c r="CR421" s="69" t="str">
        <f t="shared" si="5359"/>
        <v>InitEquipData('',,"",,,,,'','','','','','',"")</v>
      </c>
      <c r="CU421" s="70" t="str">
        <f t="shared" si="5431"/>
        <v>|n</v>
      </c>
      <c r="CW421" s="60"/>
      <c r="CX421" s="60"/>
      <c r="CY421" s="60"/>
      <c r="CZ421" s="60"/>
      <c r="DA421" s="60"/>
      <c r="DB421" s="71" t="str">
        <f t="shared" si="5361"/>
        <v/>
      </c>
      <c r="DC421" s="71" t="str">
        <f t="shared" si="5362"/>
        <v/>
      </c>
      <c r="DD421" s="71" t="str">
        <f t="shared" si="5363"/>
        <v/>
      </c>
      <c r="DE421" s="71" t="str">
        <f t="shared" si="5364"/>
        <v/>
      </c>
      <c r="DF421" s="71" t="str">
        <f t="shared" si="5365"/>
        <v/>
      </c>
      <c r="DG421" s="71" t="str">
        <f t="shared" si="5366"/>
        <v/>
      </c>
      <c r="DH421" s="71" t="str">
        <f t="shared" si="5367"/>
        <v/>
      </c>
      <c r="DI421" s="71" t="str">
        <f t="shared" si="5368"/>
        <v/>
      </c>
      <c r="DJ421" s="71" t="str">
        <f t="shared" si="5369"/>
        <v/>
      </c>
      <c r="DK421" s="71" t="str">
        <f t="shared" si="5370"/>
        <v/>
      </c>
      <c r="DL421" s="71" t="str">
        <f t="shared" si="5371"/>
        <v/>
      </c>
      <c r="DM421" s="71" t="str">
        <f t="shared" si="5372"/>
        <v/>
      </c>
      <c r="DN421" s="71" t="str">
        <f t="shared" si="5373"/>
        <v/>
      </c>
      <c r="DO421" s="71" t="str">
        <f t="shared" si="5374"/>
        <v/>
      </c>
      <c r="DP421" s="71" t="str">
        <f t="shared" si="5375"/>
        <v/>
      </c>
      <c r="DQ421" s="71" t="str">
        <f t="shared" si="5376"/>
        <v/>
      </c>
      <c r="DR421" s="71" t="str">
        <f t="shared" si="5377"/>
        <v/>
      </c>
      <c r="DS421" s="71" t="str">
        <f t="shared" si="5378"/>
        <v/>
      </c>
      <c r="DT421" s="71" t="str">
        <f t="shared" si="5379"/>
        <v/>
      </c>
      <c r="DU421" s="71" t="str">
        <f t="shared" si="5380"/>
        <v/>
      </c>
      <c r="DV421" s="71" t="str">
        <f t="shared" si="5381"/>
        <v/>
      </c>
      <c r="DW421" s="71" t="str">
        <f t="shared" si="5382"/>
        <v/>
      </c>
      <c r="DX421" s="71" t="str">
        <f t="shared" si="5383"/>
        <v/>
      </c>
      <c r="DY421" s="71" t="str">
        <f t="shared" si="5384"/>
        <v/>
      </c>
      <c r="DZ421" s="71" t="str">
        <f t="shared" si="5385"/>
        <v/>
      </c>
      <c r="EA421" s="71" t="str">
        <f t="shared" si="5386"/>
        <v/>
      </c>
      <c r="EB421" s="71" t="str">
        <f t="shared" si="5387"/>
        <v/>
      </c>
      <c r="EC421" s="71" t="str">
        <f t="shared" si="5388"/>
        <v/>
      </c>
      <c r="ED421" s="71" t="str">
        <f t="shared" si="5389"/>
        <v/>
      </c>
      <c r="EE421" s="71" t="str">
        <f t="shared" si="5390"/>
        <v/>
      </c>
      <c r="EF421" s="71" t="str">
        <f t="shared" si="5391"/>
        <v/>
      </c>
      <c r="EG421" s="71" t="str">
        <f t="shared" si="5392"/>
        <v/>
      </c>
      <c r="EH421" s="71" t="str">
        <f t="shared" si="5393"/>
        <v/>
      </c>
      <c r="EI421" s="71" t="str">
        <f t="shared" si="5394"/>
        <v/>
      </c>
      <c r="EJ421" s="71" t="str">
        <f t="shared" si="5395"/>
        <v/>
      </c>
      <c r="EK421" s="71" t="str">
        <f t="shared" si="5396"/>
        <v/>
      </c>
      <c r="EL421" s="71" t="str">
        <f t="shared" si="5397"/>
        <v/>
      </c>
      <c r="EM421" s="71" t="str">
        <f t="shared" si="5398"/>
        <v/>
      </c>
      <c r="EN421" s="71" t="str">
        <f t="shared" si="5399"/>
        <v/>
      </c>
      <c r="EO421" s="71" t="str">
        <f t="shared" si="5400"/>
        <v/>
      </c>
      <c r="EP421" s="71" t="str">
        <f t="shared" si="5401"/>
        <v/>
      </c>
      <c r="EQ421" s="71" t="str">
        <f t="shared" si="5402"/>
        <v/>
      </c>
      <c r="ER421" s="71" t="str">
        <f t="shared" si="5403"/>
        <v/>
      </c>
      <c r="ES421" s="71" t="str">
        <f t="shared" si="5404"/>
        <v/>
      </c>
      <c r="ET421" s="71" t="str">
        <f t="shared" si="5405"/>
        <v/>
      </c>
      <c r="EU421" s="71" t="str">
        <f t="shared" si="5406"/>
        <v/>
      </c>
      <c r="EV421" s="71" t="str">
        <f t="shared" si="5407"/>
        <v/>
      </c>
      <c r="EW421" s="71" t="str">
        <f t="shared" si="5408"/>
        <v/>
      </c>
      <c r="EX421" s="71" t="str">
        <f t="shared" si="5409"/>
        <v/>
      </c>
      <c r="EY421" s="71" t="str">
        <f t="shared" si="5410"/>
        <v/>
      </c>
      <c r="EZ421" s="71" t="str">
        <f t="shared" si="5411"/>
        <v/>
      </c>
      <c r="FA421" s="71" t="str">
        <f t="shared" si="5412"/>
        <v/>
      </c>
      <c r="FB421" s="71" t="str">
        <f t="shared" si="5413"/>
        <v/>
      </c>
      <c r="FC421" s="71" t="str">
        <f t="shared" si="5414"/>
        <v/>
      </c>
      <c r="FD421" s="71" t="str">
        <f t="shared" si="5415"/>
        <v/>
      </c>
      <c r="FE421" s="71" t="str">
        <f t="shared" si="5416"/>
        <v/>
      </c>
      <c r="FF421" s="71" t="str">
        <f t="shared" si="5417"/>
        <v/>
      </c>
      <c r="FG421" s="71" t="str">
        <f t="shared" si="5418"/>
        <v/>
      </c>
      <c r="FH421" s="71" t="str">
        <f t="shared" si="5419"/>
        <v/>
      </c>
      <c r="FI421" s="71" t="str">
        <f t="shared" si="5420"/>
        <v/>
      </c>
      <c r="FJ421" s="71" t="str">
        <f t="shared" si="5421"/>
        <v/>
      </c>
      <c r="FK421" s="71" t="str">
        <f t="shared" si="5422"/>
        <v/>
      </c>
      <c r="FL421" s="71" t="str">
        <f t="shared" si="5423"/>
        <v/>
      </c>
      <c r="FM421" s="71" t="str">
        <f t="shared" si="5424"/>
        <v/>
      </c>
      <c r="FN421" s="71" t="str">
        <f t="shared" si="5425"/>
        <v/>
      </c>
      <c r="FO421" s="71" t="str">
        <f t="shared" si="5426"/>
        <v/>
      </c>
      <c r="FP421" s="71" t="str">
        <f t="shared" si="5427"/>
        <v/>
      </c>
      <c r="FQ421" s="71" t="str">
        <f t="shared" si="5428"/>
        <v/>
      </c>
      <c r="FR421" s="71" t="str">
        <f t="shared" si="5429"/>
        <v/>
      </c>
      <c r="FS421" s="71" t="str">
        <f t="shared" si="5430"/>
        <v/>
      </c>
    </row>
    <row r="422" spans="92:120">
      <c r="CN422" s="69" t="str">
        <f t="shared" si="5355"/>
        <v>InitUnitState('',,,,,,,,,,)</v>
      </c>
      <c r="CO422" s="69" t="str">
        <f t="shared" si="5356"/>
        <v>InitUnitNormal('',,,,,,,,,,)</v>
      </c>
      <c r="CP422" s="69" t="str">
        <f t="shared" si="5357"/>
        <v>InitUnitMagic('',,,,,,,,,,)</v>
      </c>
      <c r="CQ422" s="69" t="str">
        <f t="shared" si="5358"/>
        <v>InitUnitAdd('',,,,,,,,,,)</v>
      </c>
      <c r="CR422" s="69" t="str">
        <f t="shared" si="5359"/>
        <v>InitEquipData('',,"",,,,,'','','','','','',"")</v>
      </c>
      <c r="CU422" s="70" t="str">
        <f t="shared" si="5431"/>
        <v>|n</v>
      </c>
      <c r="DB422" s="71" t="str">
        <f>IF(V422="","","|n"&amp;#REF!&amp;"+"&amp;V422)</f>
        <v/>
      </c>
      <c r="DC422" s="71" t="str">
        <f>IF(W422="","","|n"&amp;#REF!&amp;"+"&amp;W422)</f>
        <v/>
      </c>
      <c r="DD422" s="71" t="str">
        <f>IF(X422="","","|n"&amp;#REF!&amp;"+"&amp;X422)</f>
        <v/>
      </c>
      <c r="DE422" s="71" t="str">
        <f>IF(Y422="","","|n"&amp;#REF!&amp;"+"&amp;Y422)</f>
        <v/>
      </c>
      <c r="DF422" s="71" t="str">
        <f>IF(Z422="","","|n"&amp;#REF!&amp;"+"&amp;Z422)</f>
        <v/>
      </c>
      <c r="DG422" s="71" t="str">
        <f>IF(AA422="","","|n"&amp;#REF!&amp;"+"&amp;AA422)</f>
        <v/>
      </c>
      <c r="DH422" s="71" t="str">
        <f>IF(AB422="","","|n"&amp;#REF!&amp;"+"&amp;AB422)</f>
        <v/>
      </c>
      <c r="DI422" s="71" t="str">
        <f>IF(AC422="","","|n"&amp;#REF!&amp;"+"&amp;AC422&amp;"%")</f>
        <v/>
      </c>
      <c r="DJ422" s="71" t="str">
        <f>IF(AD422="","","|n"&amp;#REF!&amp;"+"&amp;AD422)</f>
        <v/>
      </c>
      <c r="DK422" s="71" t="str">
        <f>IF(AE422="","","|n"&amp;#REF!&amp;"+"&amp;AE422)</f>
        <v/>
      </c>
      <c r="DL422" s="71" t="str">
        <f>IF(AF422="","","|n"&amp;#REF!&amp;"+"&amp;AF422)</f>
        <v/>
      </c>
      <c r="DM422" s="71" t="str">
        <f>IF(AG422="","","|n"&amp;#REF!&amp;"+"&amp;AG422&amp;"%")</f>
        <v/>
      </c>
      <c r="DN422" s="71" t="str">
        <f>IF(AH422="","","|n"&amp;#REF!&amp;"+"&amp;AH422)</f>
        <v/>
      </c>
      <c r="DO422" s="71" t="str">
        <f>IF(AI422="","","|n"&amp;#REF!&amp;"+"&amp;AI422)</f>
        <v/>
      </c>
      <c r="DP422" s="71" t="str">
        <f>IF(AJ422="","","|n"&amp;#REF!&amp;"+"&amp;AJ422)</f>
        <v/>
      </c>
    </row>
    <row r="423" spans="92:120">
      <c r="CN423" s="69" t="str">
        <f t="shared" si="5355"/>
        <v>InitUnitState('',,,,,,,,,,)</v>
      </c>
      <c r="CO423" s="69" t="str">
        <f t="shared" si="5356"/>
        <v>InitUnitNormal('',,,,,,,,,,)</v>
      </c>
      <c r="CP423" s="69" t="str">
        <f t="shared" si="5357"/>
        <v>InitUnitMagic('',,,,,,,,,,)</v>
      </c>
      <c r="CQ423" s="69" t="str">
        <f t="shared" si="5358"/>
        <v>InitUnitAdd('',,,,,,,,,,)</v>
      </c>
      <c r="CR423" s="69" t="str">
        <f t="shared" si="5359"/>
        <v>InitEquipData('',,"",,,,,'','','','','','',"")</v>
      </c>
      <c r="CU423" s="70" t="str">
        <f t="shared" si="5431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20">
      <c r="CN424" s="69" t="str">
        <f t="shared" si="5355"/>
        <v>InitUnitState('',,,,,,,,,,)</v>
      </c>
      <c r="CO424" s="69" t="str">
        <f t="shared" si="5356"/>
        <v>InitUnitNormal('',,,,,,,,,,)</v>
      </c>
      <c r="CP424" s="69" t="str">
        <f t="shared" si="5357"/>
        <v>InitUnitMagic('',,,,,,,,,,)</v>
      </c>
      <c r="CQ424" s="69" t="str">
        <f t="shared" si="5358"/>
        <v>InitUnitAdd('',,,,,,,,,,)</v>
      </c>
      <c r="CR424" s="69" t="str">
        <f t="shared" si="5359"/>
        <v>InitEquipData('',,"",,,,,'','','','','','',"")</v>
      </c>
      <c r="CU424" s="70" t="str">
        <f t="shared" si="5431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20">
      <c r="CN425" s="69" t="str">
        <f t="shared" si="5355"/>
        <v>InitUnitState('',,,,,,,,,,)</v>
      </c>
      <c r="CO425" s="69" t="str">
        <f t="shared" si="5356"/>
        <v>InitUnitNormal('',,,,,,,,,,)</v>
      </c>
      <c r="CP425" s="69" t="str">
        <f t="shared" si="5357"/>
        <v>InitUnitMagic('',,,,,,,,,,)</v>
      </c>
      <c r="CQ425" s="69" t="str">
        <f t="shared" si="5358"/>
        <v>InitUnitAdd('',,,,,,,,,,)</v>
      </c>
      <c r="CR425" s="69" t="str">
        <f t="shared" si="5359"/>
        <v>InitEquipData('',,"",,,,,'','','','','','',"")</v>
      </c>
      <c r="CU425" s="70" t="str">
        <f t="shared" si="5431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20">
      <c r="CN426" s="69" t="str">
        <f t="shared" si="5355"/>
        <v>InitUnitState('',,,,,,,,,,)</v>
      </c>
      <c r="CO426" s="69" t="str">
        <f t="shared" si="5356"/>
        <v>InitUnitNormal('',,,,,,,,,,)</v>
      </c>
      <c r="CP426" s="69" t="str">
        <f t="shared" si="5357"/>
        <v>InitUnitMagic('',,,,,,,,,,)</v>
      </c>
      <c r="CQ426" s="69" t="str">
        <f t="shared" si="5358"/>
        <v>InitUnitAdd('',,,,,,,,,,)</v>
      </c>
      <c r="CR426" s="69" t="str">
        <f t="shared" si="5359"/>
        <v>InitEquipData('',,"",,,,,'','','','','','',"")</v>
      </c>
      <c r="CU426" s="70" t="str">
        <f t="shared" si="5431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20">
      <c r="CN427" s="69" t="str">
        <f t="shared" si="5355"/>
        <v>InitUnitState('',,,,,,,,,,)</v>
      </c>
      <c r="CO427" s="69" t="str">
        <f t="shared" si="5356"/>
        <v>InitUnitNormal('',,,,,,,,,,)</v>
      </c>
      <c r="CP427" s="69" t="str">
        <f t="shared" si="5357"/>
        <v>InitUnitMagic('',,,,,,,,,,)</v>
      </c>
      <c r="CQ427" s="69" t="str">
        <f t="shared" si="5358"/>
        <v>InitUnitAdd('',,,,,,,,,,)</v>
      </c>
      <c r="CR427" s="69" t="str">
        <f t="shared" si="5359"/>
        <v>InitEquipData('',,"",,,,,'','','','','','',"")</v>
      </c>
      <c r="CU427" s="70" t="str">
        <f t="shared" si="5431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20">
      <c r="CN428" s="69" t="str">
        <f t="shared" si="5355"/>
        <v>InitUnitState('',,,,,,,,,,)</v>
      </c>
      <c r="CO428" s="69" t="str">
        <f t="shared" si="5356"/>
        <v>InitUnitNormal('',,,,,,,,,,)</v>
      </c>
      <c r="CP428" s="69" t="str">
        <f t="shared" si="5357"/>
        <v>InitUnitMagic('',,,,,,,,,,)</v>
      </c>
      <c r="CQ428" s="69" t="str">
        <f t="shared" si="5358"/>
        <v>InitUnitAdd('',,,,,,,,,,)</v>
      </c>
      <c r="CR428" s="69" t="str">
        <f t="shared" si="5359"/>
        <v>InitEquipData('',,"",,,,,'','','','','','',"")</v>
      </c>
      <c r="CU428" s="70" t="str">
        <f t="shared" si="5431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20">
      <c r="CN429" s="69" t="str">
        <f t="shared" si="5355"/>
        <v>InitUnitState('',,,,,,,,,,)</v>
      </c>
      <c r="CO429" s="69" t="str">
        <f t="shared" si="5356"/>
        <v>InitUnitNormal('',,,,,,,,,,)</v>
      </c>
      <c r="CP429" s="69" t="str">
        <f t="shared" si="5357"/>
        <v>InitUnitMagic('',,,,,,,,,,)</v>
      </c>
      <c r="CQ429" s="69" t="str">
        <f t="shared" si="5358"/>
        <v>InitUnitAdd('',,,,,,,,,,)</v>
      </c>
      <c r="CR429" s="69" t="str">
        <f t="shared" si="5359"/>
        <v>InitEquipData('',,"",,,,,'','','','','','',"")</v>
      </c>
      <c r="CU429" s="70" t="str">
        <f t="shared" si="5431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20">
      <c r="CN430" s="69" t="str">
        <f t="shared" si="5355"/>
        <v>InitUnitState('',,,,,,,,,,)</v>
      </c>
      <c r="CO430" s="69" t="str">
        <f t="shared" si="5356"/>
        <v>InitUnitNormal('',,,,,,,,,,)</v>
      </c>
      <c r="CP430" s="69" t="str">
        <f t="shared" si="5357"/>
        <v>InitUnitMagic('',,,,,,,,,,)</v>
      </c>
      <c r="CQ430" s="69" t="str">
        <f t="shared" si="5358"/>
        <v>InitUnitAdd('',,,,,,,,,,)</v>
      </c>
      <c r="CR430" s="69" t="str">
        <f t="shared" si="5359"/>
        <v>InitEquipData('',,"",,,,,'','','','','','',"")</v>
      </c>
      <c r="CU430" s="70" t="str">
        <f t="shared" si="5431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20">
      <c r="CN431" s="69" t="str">
        <f t="shared" si="5355"/>
        <v>InitUnitState('',,,,,,,,,,)</v>
      </c>
      <c r="CO431" s="69" t="str">
        <f t="shared" si="5356"/>
        <v>InitUnitNormal('',,,,,,,,,,)</v>
      </c>
      <c r="CP431" s="69" t="str">
        <f t="shared" si="5357"/>
        <v>InitUnitMagic('',,,,,,,,,,)</v>
      </c>
      <c r="CQ431" s="69" t="str">
        <f t="shared" si="5358"/>
        <v>InitUnitAdd('',,,,,,,,,,)</v>
      </c>
      <c r="CR431" s="69" t="str">
        <f t="shared" si="5359"/>
        <v>InitEquipData('',,"",,,,,'','','','','','',"")</v>
      </c>
      <c r="CU431" s="70" t="str">
        <f t="shared" si="5431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20">
      <c r="CN432" s="69" t="str">
        <f t="shared" si="5355"/>
        <v>InitUnitState('',,,,,,,,,,)</v>
      </c>
      <c r="CO432" s="69" t="str">
        <f t="shared" si="5356"/>
        <v>InitUnitNormal('',,,,,,,,,,)</v>
      </c>
      <c r="CP432" s="69" t="str">
        <f t="shared" si="5357"/>
        <v>InitUnitMagic('',,,,,,,,,,)</v>
      </c>
      <c r="CQ432" s="69" t="str">
        <f t="shared" si="5358"/>
        <v>InitUnitAdd('',,,,,,,,,,)</v>
      </c>
      <c r="CR432" s="69" t="str">
        <f t="shared" si="5359"/>
        <v>InitEquipData('',,"",,,,,'','','','','','',"")</v>
      </c>
      <c r="CU432" s="70" t="str">
        <f t="shared" si="5431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ref="CN433:CN452" si="5432">"InitUnitState('"&amp;B433&amp;"',"&amp;V433&amp;","&amp;W433&amp;","&amp;X433&amp;","&amp;Y433&amp;","&amp;Z433&amp;","&amp;AA433&amp;","&amp;AB433&amp;","&amp;AC433&amp;","&amp;AD433&amp;","&amp;AE433&amp;")"</f>
        <v>InitUnitState('',,,,,,,,,,)</v>
      </c>
      <c r="CO433" s="69" t="str">
        <f t="shared" ref="CO433:CO452" si="5433">"InitUnitNormal('"&amp;B433&amp;"',"&amp;AF433&amp;","&amp;AG433&amp;","&amp;AH433&amp;","&amp;AI433&amp;","&amp;AJ433&amp;","&amp;AK433&amp;","&amp;AL433&amp;","&amp;AM433&amp;","&amp;AN433&amp;","&amp;AO433&amp;")"</f>
        <v>InitUnitNormal('',,,,,,,,,,)</v>
      </c>
      <c r="CP433" s="69" t="str">
        <f t="shared" ref="CP433:CP452" si="5434">"InitUnitMagic('"&amp;B433&amp;"',"&amp;AP433&amp;","&amp;AQ433&amp;","&amp;AR433&amp;","&amp;AS433&amp;","&amp;AT433&amp;","&amp;AU433&amp;","&amp;AV433&amp;","&amp;AW433&amp;","&amp;BI433&amp;","&amp;BJ433&amp;")"</f>
        <v>InitUnitMagic('',,,,,,,,,,)</v>
      </c>
      <c r="CQ433" s="69" t="str">
        <f t="shared" ref="CQ433:CQ452" si="5435">"InitUnitAdd('"&amp;B433&amp;"',"&amp;BK433&amp;","&amp;BL433&amp;","&amp;BM433&amp;","&amp;BN433&amp;","&amp;BO433&amp;","&amp;BP433&amp;","&amp;BQ433&amp;","&amp;BR433&amp;","&amp;BS433&amp;","&amp;BT433&amp;")"</f>
        <v>InitUnitAdd('',,,,,,,,,,)</v>
      </c>
      <c r="CR433" s="69" t="str">
        <f t="shared" ref="CR433:CR452" si="5436">"InitEquipData('"&amp;B433&amp;"',"&amp;D433&amp;","&amp;CR$1&amp;A433&amp;CR$1&amp;","&amp;E433&amp;","&amp;I433&amp;","&amp;F433&amp;","&amp;G433&amp;",'"&amp;J433&amp;"','"&amp;K433&amp;"','"&amp;L433&amp;"','"&amp;M433&amp;"','"&amp;N433&amp;"','"&amp;O433&amp;"',"&amp;CR$1&amp;U434&amp;CR$1&amp;")"</f>
        <v>InitEquipData('',,"",,,,,'','','','','','',"")</v>
      </c>
      <c r="CU433" s="70" t="str">
        <f t="shared" si="5431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432"/>
        <v>InitUnitState('',,,,,,,,,,)</v>
      </c>
      <c r="CO434" s="69" t="str">
        <f t="shared" si="5433"/>
        <v>InitUnitNormal('',,,,,,,,,,)</v>
      </c>
      <c r="CP434" s="69" t="str">
        <f t="shared" si="5434"/>
        <v>InitUnitMagic('',,,,,,,,,,)</v>
      </c>
      <c r="CQ434" s="69" t="str">
        <f t="shared" si="5435"/>
        <v>InitUnitAdd('',,,,,,,,,,)</v>
      </c>
      <c r="CR434" s="69" t="str">
        <f t="shared" si="5436"/>
        <v>InitEquipData('',,"",,,,,'','','','','','',"")</v>
      </c>
      <c r="CU434" s="70" t="str">
        <f t="shared" si="5431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432"/>
        <v>InitUnitState('',,,,,,,,,,)</v>
      </c>
      <c r="CO435" s="69" t="str">
        <f t="shared" si="5433"/>
        <v>InitUnitNormal('',,,,,,,,,,)</v>
      </c>
      <c r="CP435" s="69" t="str">
        <f t="shared" si="5434"/>
        <v>InitUnitMagic('',,,,,,,,,,)</v>
      </c>
      <c r="CQ435" s="69" t="str">
        <f t="shared" si="5435"/>
        <v>InitUnitAdd('',,,,,,,,,,)</v>
      </c>
      <c r="CR435" s="69" t="str">
        <f t="shared" si="5436"/>
        <v>InitEquipData('',,"",,,,,'','','','','','',"")</v>
      </c>
      <c r="CU435" s="70" t="str">
        <f t="shared" si="5431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432"/>
        <v>InitUnitState('',,,,,,,,,,)</v>
      </c>
      <c r="CO436" s="69" t="str">
        <f t="shared" si="5433"/>
        <v>InitUnitNormal('',,,,,,,,,,)</v>
      </c>
      <c r="CP436" s="69" t="str">
        <f t="shared" si="5434"/>
        <v>InitUnitMagic('',,,,,,,,,,)</v>
      </c>
      <c r="CQ436" s="69" t="str">
        <f t="shared" si="5435"/>
        <v>InitUnitAdd('',,,,,,,,,,)</v>
      </c>
      <c r="CR436" s="69" t="str">
        <f t="shared" si="5436"/>
        <v>InitEquipData('',,"",,,,,'','','','','','',"")</v>
      </c>
      <c r="CU436" s="70" t="str">
        <f t="shared" si="5431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432"/>
        <v>InitUnitState('',,,,,,,,,,)</v>
      </c>
      <c r="CO437" s="69" t="str">
        <f t="shared" si="5433"/>
        <v>InitUnitNormal('',,,,,,,,,,)</v>
      </c>
      <c r="CP437" s="69" t="str">
        <f t="shared" si="5434"/>
        <v>InitUnitMagic('',,,,,,,,,,)</v>
      </c>
      <c r="CQ437" s="69" t="str">
        <f t="shared" si="5435"/>
        <v>InitUnitAdd('',,,,,,,,,,)</v>
      </c>
      <c r="CR437" s="69" t="str">
        <f t="shared" si="5436"/>
        <v>InitEquipData('',,"",,,,,'','','','','','',"")</v>
      </c>
      <c r="CU437" s="70" t="str">
        <f t="shared" si="5431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432"/>
        <v>InitUnitState('',,,,,,,,,,)</v>
      </c>
      <c r="CO438" s="69" t="str">
        <f t="shared" si="5433"/>
        <v>InitUnitNormal('',,,,,,,,,,)</v>
      </c>
      <c r="CP438" s="69" t="str">
        <f t="shared" si="5434"/>
        <v>InitUnitMagic('',,,,,,,,,,)</v>
      </c>
      <c r="CQ438" s="69" t="str">
        <f t="shared" si="5435"/>
        <v>InitUnitAdd('',,,,,,,,,,)</v>
      </c>
      <c r="CR438" s="69" t="str">
        <f t="shared" si="5436"/>
        <v>InitEquipData('',,"",,,,,'','','','','','',"")</v>
      </c>
      <c r="CU438" s="70" t="str">
        <f t="shared" si="5431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432"/>
        <v>InitUnitState('',,,,,,,,,,)</v>
      </c>
      <c r="CO439" s="69" t="str">
        <f t="shared" si="5433"/>
        <v>InitUnitNormal('',,,,,,,,,,)</v>
      </c>
      <c r="CP439" s="69" t="str">
        <f t="shared" si="5434"/>
        <v>InitUnitMagic('',,,,,,,,,,)</v>
      </c>
      <c r="CQ439" s="69" t="str">
        <f t="shared" si="5435"/>
        <v>InitUnitAdd('',,,,,,,,,,)</v>
      </c>
      <c r="CR439" s="69" t="str">
        <f t="shared" si="5436"/>
        <v>InitEquipData('',,"",,,,,'','','','','','',"")</v>
      </c>
      <c r="CU439" s="70" t="str">
        <f t="shared" si="5431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432"/>
        <v>InitUnitState('',,,,,,,,,,)</v>
      </c>
      <c r="CO440" s="69" t="str">
        <f t="shared" si="5433"/>
        <v>InitUnitNormal('',,,,,,,,,,)</v>
      </c>
      <c r="CP440" s="69" t="str">
        <f t="shared" si="5434"/>
        <v>InitUnitMagic('',,,,,,,,,,)</v>
      </c>
      <c r="CQ440" s="69" t="str">
        <f t="shared" si="5435"/>
        <v>InitUnitAdd('',,,,,,,,,,)</v>
      </c>
      <c r="CR440" s="69" t="str">
        <f t="shared" si="5436"/>
        <v>InitEquipData('',,"",,,,,'','','','','','',"")</v>
      </c>
      <c r="CU440" s="70" t="str">
        <f t="shared" si="5431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432"/>
        <v>InitUnitState('',,,,,,,,,,)</v>
      </c>
      <c r="CO441" s="69" t="str">
        <f t="shared" si="5433"/>
        <v>InitUnitNormal('',,,,,,,,,,)</v>
      </c>
      <c r="CP441" s="69" t="str">
        <f t="shared" si="5434"/>
        <v>InitUnitMagic('',,,,,,,,,,)</v>
      </c>
      <c r="CQ441" s="69" t="str">
        <f t="shared" si="5435"/>
        <v>InitUnitAdd('',,,,,,,,,,)</v>
      </c>
      <c r="CR441" s="69" t="str">
        <f t="shared" si="5436"/>
        <v>InitEquipData('',,"",,,,,'','','','','','',"")</v>
      </c>
      <c r="CU441" s="70" t="str">
        <f t="shared" si="5431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432"/>
        <v>InitUnitState('',,,,,,,,,,)</v>
      </c>
      <c r="CO442" s="69" t="str">
        <f t="shared" si="5433"/>
        <v>InitUnitNormal('',,,,,,,,,,)</v>
      </c>
      <c r="CP442" s="69" t="str">
        <f t="shared" si="5434"/>
        <v>InitUnitMagic('',,,,,,,,,,)</v>
      </c>
      <c r="CQ442" s="69" t="str">
        <f t="shared" si="5435"/>
        <v>InitUnitAdd('',,,,,,,,,,)</v>
      </c>
      <c r="CR442" s="69" t="str">
        <f t="shared" si="5436"/>
        <v>InitEquipData('',,"",,,,,'','','','','','',"")</v>
      </c>
      <c r="CU442" s="70" t="str">
        <f t="shared" si="5431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432"/>
        <v>InitUnitState('',,,,,,,,,,)</v>
      </c>
      <c r="CO443" s="69" t="str">
        <f t="shared" si="5433"/>
        <v>InitUnitNormal('',,,,,,,,,,)</v>
      </c>
      <c r="CP443" s="69" t="str">
        <f t="shared" si="5434"/>
        <v>InitUnitMagic('',,,,,,,,,,)</v>
      </c>
      <c r="CQ443" s="69" t="str">
        <f t="shared" si="5435"/>
        <v>InitUnitAdd('',,,,,,,,,,)</v>
      </c>
      <c r="CR443" s="69" t="str">
        <f t="shared" si="5436"/>
        <v>InitEquipData('',,"",,,,,'','','','','','',"")</v>
      </c>
      <c r="CU443" s="70" t="str">
        <f t="shared" si="5431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432"/>
        <v>InitUnitState('',,,,,,,,,,)</v>
      </c>
      <c r="CO444" s="69" t="str">
        <f t="shared" si="5433"/>
        <v>InitUnitNormal('',,,,,,,,,,)</v>
      </c>
      <c r="CP444" s="69" t="str">
        <f t="shared" si="5434"/>
        <v>InitUnitMagic('',,,,,,,,,,)</v>
      </c>
      <c r="CQ444" s="69" t="str">
        <f t="shared" si="5435"/>
        <v>InitUnitAdd('',,,,,,,,,,)</v>
      </c>
      <c r="CR444" s="69" t="str">
        <f t="shared" si="5436"/>
        <v>InitEquipData('',,"",,,,,'','','','','','',"")</v>
      </c>
      <c r="CU444" s="70" t="str">
        <f t="shared" si="5431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432"/>
        <v>InitUnitState('',,,,,,,,,,)</v>
      </c>
      <c r="CO445" s="69" t="str">
        <f t="shared" si="5433"/>
        <v>InitUnitNormal('',,,,,,,,,,)</v>
      </c>
      <c r="CP445" s="69" t="str">
        <f t="shared" si="5434"/>
        <v>InitUnitMagic('',,,,,,,,,,)</v>
      </c>
      <c r="CQ445" s="69" t="str">
        <f t="shared" si="5435"/>
        <v>InitUnitAdd('',,,,,,,,,,)</v>
      </c>
      <c r="CR445" s="69" t="str">
        <f t="shared" si="5436"/>
        <v>InitEquipData('',,"",,,,,'','','','','','',"")</v>
      </c>
      <c r="CU445" s="70" t="str">
        <f t="shared" si="5431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432"/>
        <v>InitUnitState('',,,,,,,,,,)</v>
      </c>
      <c r="CO446" s="69" t="str">
        <f t="shared" si="5433"/>
        <v>InitUnitNormal('',,,,,,,,,,)</v>
      </c>
      <c r="CP446" s="69" t="str">
        <f t="shared" si="5434"/>
        <v>InitUnitMagic('',,,,,,,,,,)</v>
      </c>
      <c r="CQ446" s="69" t="str">
        <f t="shared" si="5435"/>
        <v>InitUnitAdd('',,,,,,,,,,)</v>
      </c>
      <c r="CR446" s="69" t="str">
        <f t="shared" si="5436"/>
        <v>InitEquipData('',,"",,,,,'','','','','','',"")</v>
      </c>
      <c r="CU446" s="70" t="str">
        <f t="shared" si="5431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432"/>
        <v>InitUnitState('',,,,,,,,,,)</v>
      </c>
      <c r="CO447" s="69" t="str">
        <f t="shared" si="5433"/>
        <v>InitUnitNormal('',,,,,,,,,,)</v>
      </c>
      <c r="CP447" s="69" t="str">
        <f t="shared" si="5434"/>
        <v>InitUnitMagic('',,,,,,,,,,)</v>
      </c>
      <c r="CQ447" s="69" t="str">
        <f t="shared" si="5435"/>
        <v>InitUnitAdd('',,,,,,,,,,)</v>
      </c>
      <c r="CR447" s="69" t="str">
        <f t="shared" si="5436"/>
        <v>InitEquipData('',,"",,,,,'','','','','','',"")</v>
      </c>
      <c r="CU447" s="70" t="str">
        <f t="shared" si="5431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432"/>
        <v>InitUnitState('',,,,,,,,,,)</v>
      </c>
      <c r="CO448" s="69" t="str">
        <f t="shared" si="5433"/>
        <v>InitUnitNormal('',,,,,,,,,,)</v>
      </c>
      <c r="CP448" s="69" t="str">
        <f t="shared" si="5434"/>
        <v>InitUnitMagic('',,,,,,,,,,)</v>
      </c>
      <c r="CQ448" s="69" t="str">
        <f t="shared" si="5435"/>
        <v>InitUnitAdd('',,,,,,,,,,)</v>
      </c>
      <c r="CR448" s="69" t="str">
        <f t="shared" si="5436"/>
        <v>InitEquipData('',,"",,,,,'','','','','','',"")</v>
      </c>
      <c r="CU448" s="70" t="str">
        <f t="shared" si="5431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432"/>
        <v>InitUnitState('',,,,,,,,,,)</v>
      </c>
      <c r="CO449" s="69" t="str">
        <f t="shared" si="5433"/>
        <v>InitUnitNormal('',,,,,,,,,,)</v>
      </c>
      <c r="CP449" s="69" t="str">
        <f t="shared" si="5434"/>
        <v>InitUnitMagic('',,,,,,,,,,)</v>
      </c>
      <c r="CQ449" s="69" t="str">
        <f t="shared" si="5435"/>
        <v>InitUnitAdd('',,,,,,,,,,)</v>
      </c>
      <c r="CR449" s="69" t="str">
        <f t="shared" si="5436"/>
        <v>InitEquipData('',,"",,,,,'','','','','','',"")</v>
      </c>
      <c r="CU449" s="70" t="str">
        <f t="shared" si="5431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432"/>
        <v>InitUnitState('',,,,,,,,,,)</v>
      </c>
      <c r="CO450" s="69" t="str">
        <f t="shared" si="5433"/>
        <v>InitUnitNormal('',,,,,,,,,,)</v>
      </c>
      <c r="CP450" s="69" t="str">
        <f t="shared" si="5434"/>
        <v>InitUnitMagic('',,,,,,,,,,)</v>
      </c>
      <c r="CQ450" s="69" t="str">
        <f t="shared" si="5435"/>
        <v>InitUnitAdd('',,,,,,,,,,)</v>
      </c>
      <c r="CR450" s="69" t="str">
        <f t="shared" si="5436"/>
        <v>InitEquipData('',,"",,,,,'','','','','','',"")</v>
      </c>
      <c r="CU450" s="70" t="str">
        <f t="shared" si="5431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432"/>
        <v>InitUnitState('',,,,,,,,,,)</v>
      </c>
      <c r="CO451" s="69" t="str">
        <f t="shared" si="5433"/>
        <v>InitUnitNormal('',,,,,,,,,,)</v>
      </c>
      <c r="CP451" s="69" t="str">
        <f t="shared" si="5434"/>
        <v>InitUnitMagic('',,,,,,,,,,)</v>
      </c>
      <c r="CQ451" s="69" t="str">
        <f t="shared" si="5435"/>
        <v>InitUnitAdd('',,,,,,,,,,)</v>
      </c>
      <c r="CR451" s="69" t="str">
        <f t="shared" si="5436"/>
        <v>InitEquipData('',,"",,,,,'','','','','','',"")</v>
      </c>
      <c r="CU451" s="70" t="str">
        <f t="shared" si="5431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432"/>
        <v>InitUnitState('',,,,,,,,,,)</v>
      </c>
      <c r="CO452" s="69" t="str">
        <f t="shared" si="5433"/>
        <v>InitUnitNormal('',,,,,,,,,,)</v>
      </c>
      <c r="CP452" s="69" t="str">
        <f t="shared" si="5434"/>
        <v>InitUnitMagic('',,,,,,,,,,)</v>
      </c>
      <c r="CQ452" s="69" t="str">
        <f t="shared" si="5435"/>
        <v>InitUnitAdd('',,,,,,,,,,)</v>
      </c>
      <c r="CR452" s="69" t="str">
        <f t="shared" si="5436"/>
        <v>InitEquipData('',,"",,,,,'','','','','','',"")</v>
      </c>
      <c r="CU452" s="70" t="str">
        <f t="shared" si="5431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3.8"/>
  <cols>
    <col min="1" max="1" width="28.3796296296296" style="54" customWidth="1"/>
    <col min="2" max="2" width="9" style="54"/>
    <col min="3" max="14" width="9" style="54" hidden="1" customWidth="1"/>
    <col min="15" max="15" width="41" style="54" customWidth="1"/>
    <col min="16" max="16" width="102.87962962963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16">
      <c r="A1" s="55" t="s">
        <v>1158</v>
      </c>
      <c r="B1" s="56" t="s">
        <v>122</v>
      </c>
      <c r="C1" s="57" t="s">
        <v>129</v>
      </c>
      <c r="D1" s="57" t="s">
        <v>130</v>
      </c>
      <c r="E1" s="57" t="s">
        <v>131</v>
      </c>
      <c r="F1" s="57" t="s">
        <v>132</v>
      </c>
      <c r="G1" s="57" t="s">
        <v>133</v>
      </c>
      <c r="H1" s="57" t="s">
        <v>134</v>
      </c>
      <c r="I1" s="57" t="s">
        <v>129</v>
      </c>
      <c r="J1" s="57" t="s">
        <v>130</v>
      </c>
      <c r="K1" s="57" t="s">
        <v>131</v>
      </c>
      <c r="L1" s="57" t="s">
        <v>132</v>
      </c>
      <c r="M1" s="57" t="s">
        <v>133</v>
      </c>
      <c r="N1" s="57" t="s">
        <v>134</v>
      </c>
      <c r="O1" s="58" t="s">
        <v>1159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物品!A220</f>
        <v>0</v>
      </c>
      <c r="B186" s="55" t="str">
        <f>"'"&amp;物品!B220&amp;"'"</f>
        <v>'IS02'</v>
      </c>
      <c r="C186" s="55">
        <f>物品!J220</f>
        <v>0</v>
      </c>
      <c r="D186" s="55">
        <f>物品!K220</f>
        <v>0</v>
      </c>
      <c r="E186" s="55">
        <f>物品!L220</f>
        <v>0</v>
      </c>
      <c r="F186" s="55">
        <f>物品!M220</f>
        <v>0</v>
      </c>
      <c r="G186" s="55">
        <f>物品!N220</f>
        <v>0</v>
      </c>
      <c r="H186" s="55">
        <f>物品!O220</f>
        <v>0</v>
      </c>
      <c r="I186" s="55">
        <f>IF(物品!J220=0,0,"'"&amp;物品!J220&amp;"'")</f>
        <v>0</v>
      </c>
      <c r="J186" s="55">
        <f>IF(物品!K220=0,0,"'"&amp;物品!K220&amp;"'")</f>
        <v>0</v>
      </c>
      <c r="K186" s="55">
        <f>IF(物品!L220=0,0,"'"&amp;物品!L220&amp;"'")</f>
        <v>0</v>
      </c>
      <c r="L186" s="55">
        <f>IF(物品!M220=0,0,"'"&amp;物品!M220&amp;"'")</f>
        <v>0</v>
      </c>
      <c r="M186" s="55">
        <f>IF(物品!N220=0,0,"'"&amp;物品!N220&amp;"'")</f>
        <v>0</v>
      </c>
      <c r="N186" s="55">
        <f>IF(物品!O220=0,0,"'"&amp;物品!O220&amp;"'")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物品!A221</f>
        <v>0</v>
      </c>
      <c r="B187" s="55" t="str">
        <f>"'"&amp;物品!B221&amp;"'"</f>
        <v>'IS03'</v>
      </c>
      <c r="C187" s="55">
        <f>物品!J221</f>
        <v>0</v>
      </c>
      <c r="D187" s="55">
        <f>物品!K221</f>
        <v>0</v>
      </c>
      <c r="E187" s="55">
        <f>物品!L221</f>
        <v>0</v>
      </c>
      <c r="F187" s="55">
        <f>物品!M221</f>
        <v>0</v>
      </c>
      <c r="G187" s="55">
        <f>物品!N221</f>
        <v>0</v>
      </c>
      <c r="H187" s="55">
        <f>物品!O221</f>
        <v>0</v>
      </c>
      <c r="I187" s="55">
        <f>IF(物品!J221=0,0,"'"&amp;物品!J221&amp;"'")</f>
        <v>0</v>
      </c>
      <c r="J187" s="55">
        <f>IF(物品!K221=0,0,"'"&amp;物品!K221&amp;"'")</f>
        <v>0</v>
      </c>
      <c r="K187" s="55">
        <f>IF(物品!L221=0,0,"'"&amp;物品!L221&amp;"'")</f>
        <v>0</v>
      </c>
      <c r="L187" s="55">
        <f>IF(物品!M221=0,0,"'"&amp;物品!M221&amp;"'")</f>
        <v>0</v>
      </c>
      <c r="M187" s="55">
        <f>IF(物品!N221=0,0,"'"&amp;物品!N221&amp;"'")</f>
        <v>0</v>
      </c>
      <c r="N187" s="55">
        <f>IF(物品!O221=0,0,"'"&amp;物品!O221&amp;"'")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物品!A232</f>
        <v>0</v>
      </c>
      <c r="B190" s="55" t="str">
        <f>"'"&amp;物品!B232&amp;"'"</f>
        <v>'IS12'</v>
      </c>
      <c r="C190" s="55">
        <f>物品!J232</f>
        <v>0</v>
      </c>
      <c r="D190" s="55">
        <f>物品!K232</f>
        <v>0</v>
      </c>
      <c r="E190" s="55">
        <f>物品!L232</f>
        <v>0</v>
      </c>
      <c r="F190" s="55">
        <f>物品!M232</f>
        <v>0</v>
      </c>
      <c r="G190" s="55">
        <f>物品!N232</f>
        <v>0</v>
      </c>
      <c r="H190" s="55">
        <f>物品!O232</f>
        <v>0</v>
      </c>
      <c r="I190" s="55">
        <f>IF(物品!J232=0,0,"'"&amp;物品!J232&amp;"'")</f>
        <v>0</v>
      </c>
      <c r="J190" s="55">
        <f>IF(物品!K232=0,0,"'"&amp;物品!K232&amp;"'")</f>
        <v>0</v>
      </c>
      <c r="K190" s="55">
        <f>IF(物品!L232=0,0,"'"&amp;物品!L232&amp;"'")</f>
        <v>0</v>
      </c>
      <c r="L190" s="55">
        <f>IF(物品!M232=0,0,"'"&amp;物品!M232&amp;"'")</f>
        <v>0</v>
      </c>
      <c r="M190" s="55">
        <f>IF(物品!N232=0,0,"'"&amp;物品!N232&amp;"'")</f>
        <v>0</v>
      </c>
      <c r="N190" s="55">
        <f>IF(物品!O232=0,0,"'"&amp;物品!O232&amp;"'")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物品!A266</f>
        <v>0</v>
      </c>
      <c r="B199" s="55" t="str">
        <f>"'"&amp;物品!B266&amp;"'"</f>
        <v>'IF01'</v>
      </c>
      <c r="C199" s="55">
        <f>物品!J266</f>
        <v>0</v>
      </c>
      <c r="D199" s="55">
        <f>物品!K266</f>
        <v>0</v>
      </c>
      <c r="E199" s="55">
        <f>物品!L266</f>
        <v>0</v>
      </c>
      <c r="F199" s="55">
        <f>物品!M266</f>
        <v>0</v>
      </c>
      <c r="G199" s="55">
        <f>物品!N266</f>
        <v>0</v>
      </c>
      <c r="H199" s="55">
        <f>物品!O266</f>
        <v>0</v>
      </c>
      <c r="I199" s="55">
        <f>IF(物品!J266=0,0,"'"&amp;物品!J266&amp;"'")</f>
        <v>0</v>
      </c>
      <c r="J199" s="55">
        <f>IF(物品!K266=0,0,"'"&amp;物品!K266&amp;"'")</f>
        <v>0</v>
      </c>
      <c r="K199" s="55">
        <f>IF(物品!L266=0,0,"'"&amp;物品!L266&amp;"'")</f>
        <v>0</v>
      </c>
      <c r="L199" s="55">
        <f>IF(物品!M266=0,0,"'"&amp;物品!M266&amp;"'")</f>
        <v>0</v>
      </c>
      <c r="M199" s="55">
        <f>IF(物品!N266=0,0,"'"&amp;物品!N266&amp;"'")</f>
        <v>0</v>
      </c>
      <c r="N199" s="55">
        <f>IF(物品!O266=0,0,"'"&amp;物品!O266&amp;"'")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物品!A267</f>
        <v>0</v>
      </c>
      <c r="B200" s="55" t="str">
        <f>"'"&amp;物品!B267&amp;"'"</f>
        <v>'IF02'</v>
      </c>
      <c r="C200" s="55">
        <f>物品!J267</f>
        <v>0</v>
      </c>
      <c r="D200" s="55">
        <f>物品!K267</f>
        <v>0</v>
      </c>
      <c r="E200" s="55">
        <f>物品!L267</f>
        <v>0</v>
      </c>
      <c r="F200" s="55">
        <f>物品!M267</f>
        <v>0</v>
      </c>
      <c r="G200" s="55">
        <f>物品!N267</f>
        <v>0</v>
      </c>
      <c r="H200" s="55">
        <f>物品!O267</f>
        <v>0</v>
      </c>
      <c r="I200" s="55">
        <f>IF(物品!J267=0,0,"'"&amp;物品!J267&amp;"'")</f>
        <v>0</v>
      </c>
      <c r="J200" s="55">
        <f>IF(物品!K267=0,0,"'"&amp;物品!K267&amp;"'")</f>
        <v>0</v>
      </c>
      <c r="K200" s="55">
        <f>IF(物品!L267=0,0,"'"&amp;物品!L267&amp;"'")</f>
        <v>0</v>
      </c>
      <c r="L200" s="55">
        <f>IF(物品!M267=0,0,"'"&amp;物品!M267&amp;"'")</f>
        <v>0</v>
      </c>
      <c r="M200" s="55">
        <f>IF(物品!N267=0,0,"'"&amp;物品!N267&amp;"'")</f>
        <v>0</v>
      </c>
      <c r="N200" s="55">
        <f>IF(物品!O267=0,0,"'"&amp;物品!O267&amp;"'")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物品!A268</f>
        <v>0</v>
      </c>
      <c r="B201" s="55" t="str">
        <f>"'"&amp;物品!B268&amp;"'"</f>
        <v>'IF03'</v>
      </c>
      <c r="C201" s="55">
        <f>物品!J268</f>
        <v>0</v>
      </c>
      <c r="D201" s="55">
        <f>物品!K268</f>
        <v>0</v>
      </c>
      <c r="E201" s="55">
        <f>物品!L268</f>
        <v>0</v>
      </c>
      <c r="F201" s="55">
        <f>物品!M268</f>
        <v>0</v>
      </c>
      <c r="G201" s="55">
        <f>物品!N268</f>
        <v>0</v>
      </c>
      <c r="H201" s="55">
        <f>物品!O268</f>
        <v>0</v>
      </c>
      <c r="I201" s="55">
        <f>IF(物品!J268=0,0,"'"&amp;物品!J268&amp;"'")</f>
        <v>0</v>
      </c>
      <c r="J201" s="55">
        <f>IF(物品!K268=0,0,"'"&amp;物品!K268&amp;"'")</f>
        <v>0</v>
      </c>
      <c r="K201" s="55">
        <f>IF(物品!L268=0,0,"'"&amp;物品!L268&amp;"'")</f>
        <v>0</v>
      </c>
      <c r="L201" s="55">
        <f>IF(物品!M268=0,0,"'"&amp;物品!M268&amp;"'")</f>
        <v>0</v>
      </c>
      <c r="M201" s="55">
        <f>IF(物品!N268=0,0,"'"&amp;物品!N268&amp;"'")</f>
        <v>0</v>
      </c>
      <c r="N201" s="55">
        <f>IF(物品!O268=0,0,"'"&amp;物品!O268&amp;"'")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物品!A269</f>
        <v>0</v>
      </c>
      <c r="B202" s="55" t="str">
        <f>"'"&amp;物品!B269&amp;"'"</f>
        <v>'IF04'</v>
      </c>
      <c r="C202" s="55">
        <f>物品!J269</f>
        <v>0</v>
      </c>
      <c r="D202" s="55">
        <f>物品!K269</f>
        <v>0</v>
      </c>
      <c r="E202" s="55">
        <f>物品!L269</f>
        <v>0</v>
      </c>
      <c r="F202" s="55">
        <f>物品!M269</f>
        <v>0</v>
      </c>
      <c r="G202" s="55">
        <f>物品!N269</f>
        <v>0</v>
      </c>
      <c r="H202" s="55">
        <f>物品!O269</f>
        <v>0</v>
      </c>
      <c r="I202" s="55">
        <f>IF(物品!J269=0,0,"'"&amp;物品!J269&amp;"'")</f>
        <v>0</v>
      </c>
      <c r="J202" s="55">
        <f>IF(物品!K269=0,0,"'"&amp;物品!K269&amp;"'")</f>
        <v>0</v>
      </c>
      <c r="K202" s="55">
        <f>IF(物品!L269=0,0,"'"&amp;物品!L269&amp;"'")</f>
        <v>0</v>
      </c>
      <c r="L202" s="55">
        <f>IF(物品!M269=0,0,"'"&amp;物品!M269&amp;"'")</f>
        <v>0</v>
      </c>
      <c r="M202" s="55">
        <f>IF(物品!N269=0,0,"'"&amp;物品!N269&amp;"'")</f>
        <v>0</v>
      </c>
      <c r="N202" s="55">
        <f>IF(物品!O269=0,0,"'"&amp;物品!O269&amp;"'")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物品!A270</f>
        <v>0</v>
      </c>
      <c r="B203" s="55" t="str">
        <f>"'"&amp;物品!B270&amp;"'"</f>
        <v>'IF05'</v>
      </c>
      <c r="C203" s="55">
        <f>物品!J270</f>
        <v>0</v>
      </c>
      <c r="D203" s="55">
        <f>物品!K270</f>
        <v>0</v>
      </c>
      <c r="E203" s="55">
        <f>物品!L270</f>
        <v>0</v>
      </c>
      <c r="F203" s="55">
        <f>物品!M270</f>
        <v>0</v>
      </c>
      <c r="G203" s="55">
        <f>物品!N270</f>
        <v>0</v>
      </c>
      <c r="H203" s="55">
        <f>物品!O270</f>
        <v>0</v>
      </c>
      <c r="I203" s="55">
        <f>IF(物品!J270=0,0,"'"&amp;物品!J270&amp;"'")</f>
        <v>0</v>
      </c>
      <c r="J203" s="55">
        <f>IF(物品!K270=0,0,"'"&amp;物品!K270&amp;"'")</f>
        <v>0</v>
      </c>
      <c r="K203" s="55">
        <f>IF(物品!L270=0,0,"'"&amp;物品!L270&amp;"'")</f>
        <v>0</v>
      </c>
      <c r="L203" s="55">
        <f>IF(物品!M270=0,0,"'"&amp;物品!M270&amp;"'")</f>
        <v>0</v>
      </c>
      <c r="M203" s="55">
        <f>IF(物品!N270=0,0,"'"&amp;物品!N270&amp;"'")</f>
        <v>0</v>
      </c>
      <c r="N203" s="55">
        <f>IF(物品!O270=0,0,"'"&amp;物品!O270&amp;"'")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物品!A271</f>
        <v>0</v>
      </c>
      <c r="B204" s="55" t="str">
        <f>"'"&amp;物品!B271&amp;"'"</f>
        <v>'IF06'</v>
      </c>
      <c r="C204" s="55">
        <f>物品!J271</f>
        <v>0</v>
      </c>
      <c r="D204" s="55">
        <f>物品!K271</f>
        <v>0</v>
      </c>
      <c r="E204" s="55">
        <f>物品!L271</f>
        <v>0</v>
      </c>
      <c r="F204" s="55">
        <f>物品!M271</f>
        <v>0</v>
      </c>
      <c r="G204" s="55">
        <f>物品!N271</f>
        <v>0</v>
      </c>
      <c r="H204" s="55">
        <f>物品!O271</f>
        <v>0</v>
      </c>
      <c r="I204" s="55">
        <f>IF(物品!J271=0,0,"'"&amp;物品!J271&amp;"'")</f>
        <v>0</v>
      </c>
      <c r="J204" s="55">
        <f>IF(物品!K271=0,0,"'"&amp;物品!K271&amp;"'")</f>
        <v>0</v>
      </c>
      <c r="K204" s="55">
        <f>IF(物品!L271=0,0,"'"&amp;物品!L271&amp;"'")</f>
        <v>0</v>
      </c>
      <c r="L204" s="55">
        <f>IF(物品!M271=0,0,"'"&amp;物品!M271&amp;"'")</f>
        <v>0</v>
      </c>
      <c r="M204" s="55">
        <f>IF(物品!N271=0,0,"'"&amp;物品!N271&amp;"'")</f>
        <v>0</v>
      </c>
      <c r="N204" s="55">
        <f>IF(物品!O271=0,0,"'"&amp;物品!O271&amp;"'")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物品!A272</f>
        <v>0</v>
      </c>
      <c r="B205" s="55" t="str">
        <f>"'"&amp;物品!B272&amp;"'"</f>
        <v>'IF07'</v>
      </c>
      <c r="C205" s="55">
        <f>物品!J272</f>
        <v>0</v>
      </c>
      <c r="D205" s="55">
        <f>物品!K272</f>
        <v>0</v>
      </c>
      <c r="E205" s="55">
        <f>物品!L272</f>
        <v>0</v>
      </c>
      <c r="F205" s="55">
        <f>物品!M272</f>
        <v>0</v>
      </c>
      <c r="G205" s="55">
        <f>物品!N272</f>
        <v>0</v>
      </c>
      <c r="H205" s="55">
        <f>物品!O272</f>
        <v>0</v>
      </c>
      <c r="I205" s="55">
        <f>IF(物品!J272=0,0,"'"&amp;物品!J272&amp;"'")</f>
        <v>0</v>
      </c>
      <c r="J205" s="55">
        <f>IF(物品!K272=0,0,"'"&amp;物品!K272&amp;"'")</f>
        <v>0</v>
      </c>
      <c r="K205" s="55">
        <f>IF(物品!L272=0,0,"'"&amp;物品!L272&amp;"'")</f>
        <v>0</v>
      </c>
      <c r="L205" s="55">
        <f>IF(物品!M272=0,0,"'"&amp;物品!M272&amp;"'")</f>
        <v>0</v>
      </c>
      <c r="M205" s="55">
        <f>IF(物品!N272=0,0,"'"&amp;物品!N272&amp;"'")</f>
        <v>0</v>
      </c>
      <c r="N205" s="55">
        <f>IF(物品!O272=0,0,"'"&amp;物品!O272&amp;"'")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物品!A273</f>
        <v>0</v>
      </c>
      <c r="B206" s="55" t="str">
        <f>"'"&amp;物品!B273&amp;"'"</f>
        <v>'IF08'</v>
      </c>
      <c r="C206" s="55">
        <f>物品!J273</f>
        <v>0</v>
      </c>
      <c r="D206" s="55">
        <f>物品!K273</f>
        <v>0</v>
      </c>
      <c r="E206" s="55">
        <f>物品!L273</f>
        <v>0</v>
      </c>
      <c r="F206" s="55">
        <f>物品!M273</f>
        <v>0</v>
      </c>
      <c r="G206" s="55">
        <f>物品!N273</f>
        <v>0</v>
      </c>
      <c r="H206" s="55">
        <f>物品!O273</f>
        <v>0</v>
      </c>
      <c r="I206" s="55">
        <f>IF(物品!J273=0,0,"'"&amp;物品!J273&amp;"'")</f>
        <v>0</v>
      </c>
      <c r="J206" s="55">
        <f>IF(物品!K273=0,0,"'"&amp;物品!K273&amp;"'")</f>
        <v>0</v>
      </c>
      <c r="K206" s="55">
        <f>IF(物品!L273=0,0,"'"&amp;物品!L273&amp;"'")</f>
        <v>0</v>
      </c>
      <c r="L206" s="55">
        <f>IF(物品!M273=0,0,"'"&amp;物品!M273&amp;"'")</f>
        <v>0</v>
      </c>
      <c r="M206" s="55">
        <f>IF(物品!N273=0,0,"'"&amp;物品!N273&amp;"'")</f>
        <v>0</v>
      </c>
      <c r="N206" s="55">
        <f>IF(物品!O273=0,0,"'"&amp;物品!O273&amp;"'")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物品!A274</f>
        <v>0</v>
      </c>
      <c r="B207" s="55" t="str">
        <f>"'"&amp;物品!B274&amp;"'"</f>
        <v>'IF09'</v>
      </c>
      <c r="C207" s="55">
        <f>物品!J274</f>
        <v>0</v>
      </c>
      <c r="D207" s="55">
        <f>物品!K274</f>
        <v>0</v>
      </c>
      <c r="E207" s="55">
        <f>物品!L274</f>
        <v>0</v>
      </c>
      <c r="F207" s="55">
        <f>物品!M274</f>
        <v>0</v>
      </c>
      <c r="G207" s="55">
        <f>物品!N274</f>
        <v>0</v>
      </c>
      <c r="H207" s="55">
        <f>物品!O274</f>
        <v>0</v>
      </c>
      <c r="I207" s="55">
        <f>IF(物品!J274=0,0,"'"&amp;物品!J274&amp;"'")</f>
        <v>0</v>
      </c>
      <c r="J207" s="55">
        <f>IF(物品!K274=0,0,"'"&amp;物品!K274&amp;"'")</f>
        <v>0</v>
      </c>
      <c r="K207" s="55">
        <f>IF(物品!L274=0,0,"'"&amp;物品!L274&amp;"'")</f>
        <v>0</v>
      </c>
      <c r="L207" s="55">
        <f>IF(物品!M274=0,0,"'"&amp;物品!M274&amp;"'")</f>
        <v>0</v>
      </c>
      <c r="M207" s="55">
        <f>IF(物品!N274=0,0,"'"&amp;物品!N274&amp;"'")</f>
        <v>0</v>
      </c>
      <c r="N207" s="55">
        <f>IF(物品!O274=0,0,"'"&amp;物品!O274&amp;"'")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物品!A275</f>
        <v>0</v>
      </c>
      <c r="B208" s="55" t="str">
        <f>"'"&amp;物品!B275&amp;"'"</f>
        <v>'IF10'</v>
      </c>
      <c r="C208" s="55">
        <f>物品!J275</f>
        <v>0</v>
      </c>
      <c r="D208" s="55">
        <f>物品!K275</f>
        <v>0</v>
      </c>
      <c r="E208" s="55">
        <f>物品!L275</f>
        <v>0</v>
      </c>
      <c r="F208" s="55">
        <f>物品!M275</f>
        <v>0</v>
      </c>
      <c r="G208" s="55">
        <f>物品!N275</f>
        <v>0</v>
      </c>
      <c r="H208" s="55">
        <f>物品!O275</f>
        <v>0</v>
      </c>
      <c r="I208" s="55">
        <f>IF(物品!J275=0,0,"'"&amp;物品!J275&amp;"'")</f>
        <v>0</v>
      </c>
      <c r="J208" s="55">
        <f>IF(物品!K275=0,0,"'"&amp;物品!K275&amp;"'")</f>
        <v>0</v>
      </c>
      <c r="K208" s="55">
        <f>IF(物品!L275=0,0,"'"&amp;物品!L275&amp;"'")</f>
        <v>0</v>
      </c>
      <c r="L208" s="55">
        <f>IF(物品!M275=0,0,"'"&amp;物品!M275&amp;"'")</f>
        <v>0</v>
      </c>
      <c r="M208" s="55">
        <f>IF(物品!N275=0,0,"'"&amp;物品!N275&amp;"'")</f>
        <v>0</v>
      </c>
      <c r="N208" s="55">
        <f>IF(物品!O275=0,0,"'"&amp;物品!O275&amp;"'")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物品!A276</f>
        <v>0</v>
      </c>
      <c r="B209" s="55" t="str">
        <f>"'"&amp;物品!B276&amp;"'"</f>
        <v>'IF11'</v>
      </c>
      <c r="C209" s="55">
        <f>物品!J276</f>
        <v>0</v>
      </c>
      <c r="D209" s="55">
        <f>物品!K276</f>
        <v>0</v>
      </c>
      <c r="E209" s="55">
        <f>物品!L276</f>
        <v>0</v>
      </c>
      <c r="F209" s="55">
        <f>物品!M276</f>
        <v>0</v>
      </c>
      <c r="G209" s="55">
        <f>物品!N276</f>
        <v>0</v>
      </c>
      <c r="H209" s="55">
        <f>物品!O276</f>
        <v>0</v>
      </c>
      <c r="I209" s="55">
        <f>IF(物品!J276=0,0,"'"&amp;物品!J276&amp;"'")</f>
        <v>0</v>
      </c>
      <c r="J209" s="55">
        <f>IF(物品!K276=0,0,"'"&amp;物品!K276&amp;"'")</f>
        <v>0</v>
      </c>
      <c r="K209" s="55">
        <f>IF(物品!L276=0,0,"'"&amp;物品!L276&amp;"'")</f>
        <v>0</v>
      </c>
      <c r="L209" s="55">
        <f>IF(物品!M276=0,0,"'"&amp;物品!M276&amp;"'")</f>
        <v>0</v>
      </c>
      <c r="M209" s="55">
        <f>IF(物品!N276=0,0,"'"&amp;物品!N276&amp;"'")</f>
        <v>0</v>
      </c>
      <c r="N209" s="55">
        <f>IF(物品!O276=0,0,"'"&amp;物品!O276&amp;"'")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物品!A277</f>
        <v>0</v>
      </c>
      <c r="B210" s="55" t="str">
        <f>"'"&amp;物品!B277&amp;"'"</f>
        <v>'IF12'</v>
      </c>
      <c r="C210" s="55">
        <f>物品!J277</f>
        <v>0</v>
      </c>
      <c r="D210" s="55">
        <f>物品!K277</f>
        <v>0</v>
      </c>
      <c r="E210" s="55">
        <f>物品!L277</f>
        <v>0</v>
      </c>
      <c r="F210" s="55">
        <f>物品!M277</f>
        <v>0</v>
      </c>
      <c r="G210" s="55">
        <f>物品!N277</f>
        <v>0</v>
      </c>
      <c r="H210" s="55">
        <f>物品!O277</f>
        <v>0</v>
      </c>
      <c r="I210" s="55">
        <f>IF(物品!J277=0,0,"'"&amp;物品!J277&amp;"'")</f>
        <v>0</v>
      </c>
      <c r="J210" s="55">
        <f>IF(物品!K277=0,0,"'"&amp;物品!K277&amp;"'")</f>
        <v>0</v>
      </c>
      <c r="K210" s="55">
        <f>IF(物品!L277=0,0,"'"&amp;物品!L277&amp;"'")</f>
        <v>0</v>
      </c>
      <c r="L210" s="55">
        <f>IF(物品!M277=0,0,"'"&amp;物品!M277&amp;"'")</f>
        <v>0</v>
      </c>
      <c r="M210" s="55">
        <f>IF(物品!N277=0,0,"'"&amp;物品!N277&amp;"'")</f>
        <v>0</v>
      </c>
      <c r="N210" s="55">
        <f>IF(物品!O277=0,0,"'"&amp;物品!O277&amp;"'")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物品!A278</f>
        <v>0</v>
      </c>
      <c r="B211" s="55" t="str">
        <f>"'"&amp;物品!B278&amp;"'"</f>
        <v>'IF13'</v>
      </c>
      <c r="C211" s="55">
        <f>物品!J278</f>
        <v>0</v>
      </c>
      <c r="D211" s="55">
        <f>物品!K278</f>
        <v>0</v>
      </c>
      <c r="E211" s="55">
        <f>物品!L278</f>
        <v>0</v>
      </c>
      <c r="F211" s="55">
        <f>物品!M278</f>
        <v>0</v>
      </c>
      <c r="G211" s="55">
        <f>物品!N278</f>
        <v>0</v>
      </c>
      <c r="H211" s="55">
        <f>物品!O278</f>
        <v>0</v>
      </c>
      <c r="I211" s="55">
        <f>IF(物品!J278=0,0,"'"&amp;物品!J278&amp;"'")</f>
        <v>0</v>
      </c>
      <c r="J211" s="55">
        <f>IF(物品!K278=0,0,"'"&amp;物品!K278&amp;"'")</f>
        <v>0</v>
      </c>
      <c r="K211" s="55">
        <f>IF(物品!L278=0,0,"'"&amp;物品!L278&amp;"'")</f>
        <v>0</v>
      </c>
      <c r="L211" s="55">
        <f>IF(物品!M278=0,0,"'"&amp;物品!M278&amp;"'")</f>
        <v>0</v>
      </c>
      <c r="M211" s="55">
        <f>IF(物品!N278=0,0,"'"&amp;物品!N278&amp;"'")</f>
        <v>0</v>
      </c>
      <c r="N211" s="55">
        <f>IF(物品!O278=0,0,"'"&amp;物品!O278&amp;"'")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物品!A279</f>
        <v>0</v>
      </c>
      <c r="B212" s="55" t="str">
        <f>"'"&amp;物品!B279&amp;"'"</f>
        <v>'IF14'</v>
      </c>
      <c r="C212" s="55">
        <f>物品!J279</f>
        <v>0</v>
      </c>
      <c r="D212" s="55">
        <f>物品!K279</f>
        <v>0</v>
      </c>
      <c r="E212" s="55">
        <f>物品!L279</f>
        <v>0</v>
      </c>
      <c r="F212" s="55">
        <f>物品!M279</f>
        <v>0</v>
      </c>
      <c r="G212" s="55">
        <f>物品!N279</f>
        <v>0</v>
      </c>
      <c r="H212" s="55">
        <f>物品!O279</f>
        <v>0</v>
      </c>
      <c r="I212" s="55">
        <f>IF(物品!J279=0,0,"'"&amp;物品!J279&amp;"'")</f>
        <v>0</v>
      </c>
      <c r="J212" s="55">
        <f>IF(物品!K279=0,0,"'"&amp;物品!K279&amp;"'")</f>
        <v>0</v>
      </c>
      <c r="K212" s="55">
        <f>IF(物品!L279=0,0,"'"&amp;物品!L279&amp;"'")</f>
        <v>0</v>
      </c>
      <c r="L212" s="55">
        <f>IF(物品!M279=0,0,"'"&amp;物品!M279&amp;"'")</f>
        <v>0</v>
      </c>
      <c r="M212" s="55">
        <f>IF(物品!N279=0,0,"'"&amp;物品!N279&amp;"'")</f>
        <v>0</v>
      </c>
      <c r="N212" s="55">
        <f>IF(物品!O279=0,0,"'"&amp;物品!O279&amp;"'")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物品!A280</f>
        <v>0</v>
      </c>
      <c r="B213" s="55" t="str">
        <f>"'"&amp;物品!B280&amp;"'"</f>
        <v>'IF15'</v>
      </c>
      <c r="C213" s="55">
        <f>物品!J280</f>
        <v>0</v>
      </c>
      <c r="D213" s="55">
        <f>物品!K280</f>
        <v>0</v>
      </c>
      <c r="E213" s="55">
        <f>物品!L280</f>
        <v>0</v>
      </c>
      <c r="F213" s="55">
        <f>物品!M280</f>
        <v>0</v>
      </c>
      <c r="G213" s="55">
        <f>物品!N280</f>
        <v>0</v>
      </c>
      <c r="H213" s="55">
        <f>物品!O280</f>
        <v>0</v>
      </c>
      <c r="I213" s="55">
        <f>IF(物品!J280=0,0,"'"&amp;物品!J280&amp;"'")</f>
        <v>0</v>
      </c>
      <c r="J213" s="55">
        <f>IF(物品!K280=0,0,"'"&amp;物品!K280&amp;"'")</f>
        <v>0</v>
      </c>
      <c r="K213" s="55">
        <f>IF(物品!L280=0,0,"'"&amp;物品!L280&amp;"'")</f>
        <v>0</v>
      </c>
      <c r="L213" s="55">
        <f>IF(物品!M280=0,0,"'"&amp;物品!M280&amp;"'")</f>
        <v>0</v>
      </c>
      <c r="M213" s="55">
        <f>IF(物品!N280=0,0,"'"&amp;物品!N280&amp;"'")</f>
        <v>0</v>
      </c>
      <c r="N213" s="55">
        <f>IF(物品!O280=0,0,"'"&amp;物品!O280&amp;"'")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物品!A281</f>
        <v>0</v>
      </c>
      <c r="B214" s="55" t="str">
        <f>"'"&amp;物品!B281&amp;"'"</f>
        <v>'IF16'</v>
      </c>
      <c r="C214" s="55">
        <f>物品!J281</f>
        <v>0</v>
      </c>
      <c r="D214" s="55">
        <f>物品!K281</f>
        <v>0</v>
      </c>
      <c r="E214" s="55">
        <f>物品!L281</f>
        <v>0</v>
      </c>
      <c r="F214" s="55">
        <f>物品!M281</f>
        <v>0</v>
      </c>
      <c r="G214" s="55">
        <f>物品!N281</f>
        <v>0</v>
      </c>
      <c r="H214" s="55">
        <f>物品!O281</f>
        <v>0</v>
      </c>
      <c r="I214" s="55">
        <f>IF(物品!J281=0,0,"'"&amp;物品!J281&amp;"'")</f>
        <v>0</v>
      </c>
      <c r="J214" s="55">
        <f>IF(物品!K281=0,0,"'"&amp;物品!K281&amp;"'")</f>
        <v>0</v>
      </c>
      <c r="K214" s="55">
        <f>IF(物品!L281=0,0,"'"&amp;物品!L281&amp;"'")</f>
        <v>0</v>
      </c>
      <c r="L214" s="55">
        <f>IF(物品!M281=0,0,"'"&amp;物品!M281&amp;"'")</f>
        <v>0</v>
      </c>
      <c r="M214" s="55">
        <f>IF(物品!N281=0,0,"'"&amp;物品!N281&amp;"'")</f>
        <v>0</v>
      </c>
      <c r="N214" s="55">
        <f>IF(物品!O281=0,0,"'"&amp;物品!O281&amp;"'")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物品!A282</f>
        <v>0</v>
      </c>
      <c r="B215" s="55" t="str">
        <f>"'"&amp;物品!B282&amp;"'"</f>
        <v>'IF17'</v>
      </c>
      <c r="C215" s="55">
        <f>物品!J282</f>
        <v>0</v>
      </c>
      <c r="D215" s="55">
        <f>物品!K282</f>
        <v>0</v>
      </c>
      <c r="E215" s="55">
        <f>物品!L282</f>
        <v>0</v>
      </c>
      <c r="F215" s="55">
        <f>物品!M282</f>
        <v>0</v>
      </c>
      <c r="G215" s="55">
        <f>物品!N282</f>
        <v>0</v>
      </c>
      <c r="H215" s="55">
        <f>物品!O282</f>
        <v>0</v>
      </c>
      <c r="I215" s="55">
        <f>IF(物品!J282=0,0,"'"&amp;物品!J282&amp;"'")</f>
        <v>0</v>
      </c>
      <c r="J215" s="55">
        <f>IF(物品!K282=0,0,"'"&amp;物品!K282&amp;"'")</f>
        <v>0</v>
      </c>
      <c r="K215" s="55">
        <f>IF(物品!L282=0,0,"'"&amp;物品!L282&amp;"'")</f>
        <v>0</v>
      </c>
      <c r="L215" s="55">
        <f>IF(物品!M282=0,0,"'"&amp;物品!M282&amp;"'")</f>
        <v>0</v>
      </c>
      <c r="M215" s="55">
        <f>IF(物品!N282=0,0,"'"&amp;物品!N282&amp;"'")</f>
        <v>0</v>
      </c>
      <c r="N215" s="55">
        <f>IF(物品!O282=0,0,"'"&amp;物品!O282&amp;"'")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物品!A283</f>
        <v>0</v>
      </c>
      <c r="B216" s="55" t="str">
        <f>"'"&amp;物品!B283&amp;"'"</f>
        <v>'IF18'</v>
      </c>
      <c r="C216" s="55">
        <f>物品!J283</f>
        <v>0</v>
      </c>
      <c r="D216" s="55">
        <f>物品!K283</f>
        <v>0</v>
      </c>
      <c r="E216" s="55">
        <f>物品!L283</f>
        <v>0</v>
      </c>
      <c r="F216" s="55">
        <f>物品!M283</f>
        <v>0</v>
      </c>
      <c r="G216" s="55">
        <f>物品!N283</f>
        <v>0</v>
      </c>
      <c r="H216" s="55">
        <f>物品!O283</f>
        <v>0</v>
      </c>
      <c r="I216" s="55">
        <f>IF(物品!J283=0,0,"'"&amp;物品!J283&amp;"'")</f>
        <v>0</v>
      </c>
      <c r="J216" s="55">
        <f>IF(物品!K283=0,0,"'"&amp;物品!K283&amp;"'")</f>
        <v>0</v>
      </c>
      <c r="K216" s="55">
        <f>IF(物品!L283=0,0,"'"&amp;物品!L283&amp;"'")</f>
        <v>0</v>
      </c>
      <c r="L216" s="55">
        <f>IF(物品!M283=0,0,"'"&amp;物品!M283&amp;"'")</f>
        <v>0</v>
      </c>
      <c r="M216" s="55">
        <f>IF(物品!N283=0,0,"'"&amp;物品!N283&amp;"'")</f>
        <v>0</v>
      </c>
      <c r="N216" s="55">
        <f>IF(物品!O283=0,0,"'"&amp;物品!O283&amp;"'")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物品!A284</f>
        <v>0</v>
      </c>
      <c r="B217" s="55" t="str">
        <f>"'"&amp;物品!B284&amp;"'"</f>
        <v>'IF19'</v>
      </c>
      <c r="C217" s="55">
        <f>物品!J284</f>
        <v>0</v>
      </c>
      <c r="D217" s="55">
        <f>物品!K284</f>
        <v>0</v>
      </c>
      <c r="E217" s="55">
        <f>物品!L284</f>
        <v>0</v>
      </c>
      <c r="F217" s="55">
        <f>物品!M284</f>
        <v>0</v>
      </c>
      <c r="G217" s="55">
        <f>物品!N284</f>
        <v>0</v>
      </c>
      <c r="H217" s="55">
        <f>物品!O284</f>
        <v>0</v>
      </c>
      <c r="I217" s="55">
        <f>IF(物品!J284=0,0,"'"&amp;物品!J284&amp;"'")</f>
        <v>0</v>
      </c>
      <c r="J217" s="55">
        <f>IF(物品!K284=0,0,"'"&amp;物品!K284&amp;"'")</f>
        <v>0</v>
      </c>
      <c r="K217" s="55">
        <f>IF(物品!L284=0,0,"'"&amp;物品!L284&amp;"'")</f>
        <v>0</v>
      </c>
      <c r="L217" s="55">
        <f>IF(物品!M284=0,0,"'"&amp;物品!M284&amp;"'")</f>
        <v>0</v>
      </c>
      <c r="M217" s="55">
        <f>IF(物品!N284=0,0,"'"&amp;物品!N284&amp;"'")</f>
        <v>0</v>
      </c>
      <c r="N217" s="55">
        <f>IF(物品!O284=0,0,"'"&amp;物品!O284&amp;"'")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物品!A285</f>
        <v>0</v>
      </c>
      <c r="B218" s="55" t="str">
        <f>"'"&amp;物品!B285&amp;"'"</f>
        <v>'IF20'</v>
      </c>
      <c r="C218" s="55">
        <f>物品!J285</f>
        <v>0</v>
      </c>
      <c r="D218" s="55">
        <f>物品!K285</f>
        <v>0</v>
      </c>
      <c r="E218" s="55">
        <f>物品!L285</f>
        <v>0</v>
      </c>
      <c r="F218" s="55">
        <f>物品!M285</f>
        <v>0</v>
      </c>
      <c r="G218" s="55">
        <f>物品!N285</f>
        <v>0</v>
      </c>
      <c r="H218" s="55">
        <f>物品!O285</f>
        <v>0</v>
      </c>
      <c r="I218" s="55">
        <f>IF(物品!J285=0,0,"'"&amp;物品!J285&amp;"'")</f>
        <v>0</v>
      </c>
      <c r="J218" s="55">
        <f>IF(物品!K285=0,0,"'"&amp;物品!K285&amp;"'")</f>
        <v>0</v>
      </c>
      <c r="K218" s="55">
        <f>IF(物品!L285=0,0,"'"&amp;物品!L285&amp;"'")</f>
        <v>0</v>
      </c>
      <c r="L218" s="55">
        <f>IF(物品!M285=0,0,"'"&amp;物品!M285&amp;"'")</f>
        <v>0</v>
      </c>
      <c r="M218" s="55">
        <f>IF(物品!N285=0,0,"'"&amp;物品!N285&amp;"'")</f>
        <v>0</v>
      </c>
      <c r="N218" s="55">
        <f>IF(物品!O285=0,0,"'"&amp;物品!O285&amp;"'")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物品!A286</f>
        <v>0</v>
      </c>
      <c r="B219" s="55" t="str">
        <f>"'"&amp;物品!B286&amp;"'"</f>
        <v>'IF21'</v>
      </c>
      <c r="C219" s="55">
        <f>物品!J286</f>
        <v>0</v>
      </c>
      <c r="D219" s="55">
        <f>物品!K286</f>
        <v>0</v>
      </c>
      <c r="E219" s="55">
        <f>物品!L286</f>
        <v>0</v>
      </c>
      <c r="F219" s="55">
        <f>物品!M286</f>
        <v>0</v>
      </c>
      <c r="G219" s="55">
        <f>物品!N286</f>
        <v>0</v>
      </c>
      <c r="H219" s="55">
        <f>物品!O286</f>
        <v>0</v>
      </c>
      <c r="I219" s="55">
        <f>IF(物品!J286=0,0,"'"&amp;物品!J286&amp;"'")</f>
        <v>0</v>
      </c>
      <c r="J219" s="55">
        <f>IF(物品!K286=0,0,"'"&amp;物品!K286&amp;"'")</f>
        <v>0</v>
      </c>
      <c r="K219" s="55">
        <f>IF(物品!L286=0,0,"'"&amp;物品!L286&amp;"'")</f>
        <v>0</v>
      </c>
      <c r="L219" s="55">
        <f>IF(物品!M286=0,0,"'"&amp;物品!M286&amp;"'")</f>
        <v>0</v>
      </c>
      <c r="M219" s="55">
        <f>IF(物品!N286=0,0,"'"&amp;物品!N286&amp;"'")</f>
        <v>0</v>
      </c>
      <c r="N219" s="55">
        <f>IF(物品!O286=0,0,"'"&amp;物品!O286&amp;"'")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物品!A287</f>
        <v>0</v>
      </c>
      <c r="B220" s="55" t="str">
        <f>"'"&amp;物品!B287&amp;"'"</f>
        <v>'IF22'</v>
      </c>
      <c r="C220" s="55">
        <f>物品!J287</f>
        <v>0</v>
      </c>
      <c r="D220" s="55">
        <f>物品!K287</f>
        <v>0</v>
      </c>
      <c r="E220" s="55">
        <f>物品!L287</f>
        <v>0</v>
      </c>
      <c r="F220" s="55">
        <f>物品!M287</f>
        <v>0</v>
      </c>
      <c r="G220" s="55">
        <f>物品!N287</f>
        <v>0</v>
      </c>
      <c r="H220" s="55">
        <f>物品!O287</f>
        <v>0</v>
      </c>
      <c r="I220" s="55">
        <f>IF(物品!J287=0,0,"'"&amp;物品!J287&amp;"'")</f>
        <v>0</v>
      </c>
      <c r="J220" s="55">
        <f>IF(物品!K287=0,0,"'"&amp;物品!K287&amp;"'")</f>
        <v>0</v>
      </c>
      <c r="K220" s="55">
        <f>IF(物品!L287=0,0,"'"&amp;物品!L287&amp;"'")</f>
        <v>0</v>
      </c>
      <c r="L220" s="55">
        <f>IF(物品!M287=0,0,"'"&amp;物品!M287&amp;"'")</f>
        <v>0</v>
      </c>
      <c r="M220" s="55">
        <f>IF(物品!N287=0,0,"'"&amp;物品!N287&amp;"'")</f>
        <v>0</v>
      </c>
      <c r="N220" s="55">
        <f>IF(物品!O287=0,0,"'"&amp;物品!O287&amp;"'")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物品!A288</f>
        <v>0</v>
      </c>
      <c r="B221" s="55" t="str">
        <f>"'"&amp;物品!B288&amp;"'"</f>
        <v>'IF23'</v>
      </c>
      <c r="C221" s="55">
        <f>物品!J288</f>
        <v>0</v>
      </c>
      <c r="D221" s="55">
        <f>物品!K288</f>
        <v>0</v>
      </c>
      <c r="E221" s="55">
        <f>物品!L288</f>
        <v>0</v>
      </c>
      <c r="F221" s="55">
        <f>物品!M288</f>
        <v>0</v>
      </c>
      <c r="G221" s="55">
        <f>物品!N288</f>
        <v>0</v>
      </c>
      <c r="H221" s="55">
        <f>物品!O288</f>
        <v>0</v>
      </c>
      <c r="I221" s="55">
        <f>IF(物品!J288=0,0,"'"&amp;物品!J288&amp;"'")</f>
        <v>0</v>
      </c>
      <c r="J221" s="55">
        <f>IF(物品!K288=0,0,"'"&amp;物品!K288&amp;"'")</f>
        <v>0</v>
      </c>
      <c r="K221" s="55">
        <f>IF(物品!L288=0,0,"'"&amp;物品!L288&amp;"'")</f>
        <v>0</v>
      </c>
      <c r="L221" s="55">
        <f>IF(物品!M288=0,0,"'"&amp;物品!M288&amp;"'")</f>
        <v>0</v>
      </c>
      <c r="M221" s="55">
        <f>IF(物品!N288=0,0,"'"&amp;物品!N288&amp;"'")</f>
        <v>0</v>
      </c>
      <c r="N221" s="55">
        <f>IF(物品!O288=0,0,"'"&amp;物品!O288&amp;"'")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物品!A289</f>
        <v>0</v>
      </c>
      <c r="B222" s="55" t="str">
        <f>"'"&amp;物品!B289&amp;"'"</f>
        <v>'IF24'</v>
      </c>
      <c r="C222" s="55">
        <f>物品!J289</f>
        <v>0</v>
      </c>
      <c r="D222" s="55">
        <f>物品!K289</f>
        <v>0</v>
      </c>
      <c r="E222" s="55">
        <f>物品!L289</f>
        <v>0</v>
      </c>
      <c r="F222" s="55">
        <f>物品!M289</f>
        <v>0</v>
      </c>
      <c r="G222" s="55">
        <f>物品!N289</f>
        <v>0</v>
      </c>
      <c r="H222" s="55">
        <f>物品!O289</f>
        <v>0</v>
      </c>
      <c r="I222" s="55">
        <f>IF(物品!J289=0,0,"'"&amp;物品!J289&amp;"'")</f>
        <v>0</v>
      </c>
      <c r="J222" s="55">
        <f>IF(物品!K289=0,0,"'"&amp;物品!K289&amp;"'")</f>
        <v>0</v>
      </c>
      <c r="K222" s="55">
        <f>IF(物品!L289=0,0,"'"&amp;物品!L289&amp;"'")</f>
        <v>0</v>
      </c>
      <c r="L222" s="55">
        <f>IF(物品!M289=0,0,"'"&amp;物品!M289&amp;"'")</f>
        <v>0</v>
      </c>
      <c r="M222" s="55">
        <f>IF(物品!N289=0,0,"'"&amp;物品!N289&amp;"'")</f>
        <v>0</v>
      </c>
      <c r="N222" s="55">
        <f>IF(物品!O289=0,0,"'"&amp;物品!O289&amp;"'")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物品!A290</f>
        <v>0</v>
      </c>
      <c r="B223" s="55" t="str">
        <f>"'"&amp;物品!B290&amp;"'"</f>
        <v>'IF25'</v>
      </c>
      <c r="C223" s="55">
        <f>物品!J290</f>
        <v>0</v>
      </c>
      <c r="D223" s="55">
        <f>物品!K290</f>
        <v>0</v>
      </c>
      <c r="E223" s="55">
        <f>物品!L290</f>
        <v>0</v>
      </c>
      <c r="F223" s="55">
        <f>物品!M290</f>
        <v>0</v>
      </c>
      <c r="G223" s="55">
        <f>物品!N290</f>
        <v>0</v>
      </c>
      <c r="H223" s="55">
        <f>物品!O290</f>
        <v>0</v>
      </c>
      <c r="I223" s="55">
        <f>IF(物品!J290=0,0,"'"&amp;物品!J290&amp;"'")</f>
        <v>0</v>
      </c>
      <c r="J223" s="55">
        <f>IF(物品!K290=0,0,"'"&amp;物品!K290&amp;"'")</f>
        <v>0</v>
      </c>
      <c r="K223" s="55">
        <f>IF(物品!L290=0,0,"'"&amp;物品!L290&amp;"'")</f>
        <v>0</v>
      </c>
      <c r="L223" s="55">
        <f>IF(物品!M290=0,0,"'"&amp;物品!M290&amp;"'")</f>
        <v>0</v>
      </c>
      <c r="M223" s="55">
        <f>IF(物品!N290=0,0,"'"&amp;物品!N290&amp;"'")</f>
        <v>0</v>
      </c>
      <c r="N223" s="55">
        <f>IF(物品!O290=0,0,"'"&amp;物品!O290&amp;"'")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物品!A291</f>
        <v>0</v>
      </c>
      <c r="B224" s="55" t="str">
        <f>"'"&amp;物品!B291&amp;"'"</f>
        <v>'IF26'</v>
      </c>
      <c r="C224" s="55">
        <f>物品!J291</f>
        <v>0</v>
      </c>
      <c r="D224" s="55">
        <f>物品!K291</f>
        <v>0</v>
      </c>
      <c r="E224" s="55">
        <f>物品!L291</f>
        <v>0</v>
      </c>
      <c r="F224" s="55">
        <f>物品!M291</f>
        <v>0</v>
      </c>
      <c r="G224" s="55">
        <f>物品!N291</f>
        <v>0</v>
      </c>
      <c r="H224" s="55">
        <f>物品!O291</f>
        <v>0</v>
      </c>
      <c r="I224" s="55">
        <f>IF(物品!J291=0,0,"'"&amp;物品!J291&amp;"'")</f>
        <v>0</v>
      </c>
      <c r="J224" s="55">
        <f>IF(物品!K291=0,0,"'"&amp;物品!K291&amp;"'")</f>
        <v>0</v>
      </c>
      <c r="K224" s="55">
        <f>IF(物品!L291=0,0,"'"&amp;物品!L291&amp;"'")</f>
        <v>0</v>
      </c>
      <c r="L224" s="55">
        <f>IF(物品!M291=0,0,"'"&amp;物品!M291&amp;"'")</f>
        <v>0</v>
      </c>
      <c r="M224" s="55">
        <f>IF(物品!N291=0,0,"'"&amp;物品!N291&amp;"'")</f>
        <v>0</v>
      </c>
      <c r="N224" s="55">
        <f>IF(物品!O291=0,0,"'"&amp;物品!O291&amp;"'")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物品!A292</f>
        <v>0</v>
      </c>
      <c r="B225" s="55" t="str">
        <f>"'"&amp;物品!B292&amp;"'"</f>
        <v>'IF27'</v>
      </c>
      <c r="C225" s="55">
        <f>物品!J292</f>
        <v>0</v>
      </c>
      <c r="D225" s="55">
        <f>物品!K292</f>
        <v>0</v>
      </c>
      <c r="E225" s="55">
        <f>物品!L292</f>
        <v>0</v>
      </c>
      <c r="F225" s="55">
        <f>物品!M292</f>
        <v>0</v>
      </c>
      <c r="G225" s="55">
        <f>物品!N292</f>
        <v>0</v>
      </c>
      <c r="H225" s="55">
        <f>物品!O292</f>
        <v>0</v>
      </c>
      <c r="I225" s="55">
        <f>IF(物品!J292=0,0,"'"&amp;物品!J292&amp;"'")</f>
        <v>0</v>
      </c>
      <c r="J225" s="55">
        <f>IF(物品!K292=0,0,"'"&amp;物品!K292&amp;"'")</f>
        <v>0</v>
      </c>
      <c r="K225" s="55">
        <f>IF(物品!L292=0,0,"'"&amp;物品!L292&amp;"'")</f>
        <v>0</v>
      </c>
      <c r="L225" s="55">
        <f>IF(物品!M292=0,0,"'"&amp;物品!M292&amp;"'")</f>
        <v>0</v>
      </c>
      <c r="M225" s="55">
        <f>IF(物品!N292=0,0,"'"&amp;物品!N292&amp;"'")</f>
        <v>0</v>
      </c>
      <c r="N225" s="55">
        <f>IF(物品!O292=0,0,"'"&amp;物品!O292&amp;"'")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物品!A299</f>
        <v>0</v>
      </c>
      <c r="B226" s="55" t="str">
        <f>"'"&amp;物品!B299&amp;"'"</f>
        <v>'IC01'</v>
      </c>
      <c r="C226" s="55">
        <f>物品!J299</f>
        <v>0</v>
      </c>
      <c r="D226" s="55">
        <f>物品!K299</f>
        <v>0</v>
      </c>
      <c r="E226" s="55">
        <f>物品!L299</f>
        <v>0</v>
      </c>
      <c r="F226" s="55">
        <f>物品!M299</f>
        <v>0</v>
      </c>
      <c r="G226" s="55">
        <f>物品!N299</f>
        <v>0</v>
      </c>
      <c r="H226" s="55">
        <f>物品!O299</f>
        <v>0</v>
      </c>
      <c r="I226" s="55">
        <f>IF(物品!J299=0,0,"'"&amp;物品!J299&amp;"'")</f>
        <v>0</v>
      </c>
      <c r="J226" s="55">
        <f>IF(物品!K299=0,0,"'"&amp;物品!K299&amp;"'")</f>
        <v>0</v>
      </c>
      <c r="K226" s="55">
        <f>IF(物品!L299=0,0,"'"&amp;物品!L299&amp;"'")</f>
        <v>0</v>
      </c>
      <c r="L226" s="55">
        <f>IF(物品!M299=0,0,"'"&amp;物品!M299&amp;"'")</f>
        <v>0</v>
      </c>
      <c r="M226" s="55">
        <f>IF(物品!N299=0,0,"'"&amp;物品!N299&amp;"'")</f>
        <v>0</v>
      </c>
      <c r="N226" s="55">
        <f>IF(物品!O299=0,0,"'"&amp;物品!O299&amp;"'")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物品!A300</f>
        <v>0</v>
      </c>
      <c r="B227" s="55" t="str">
        <f>"'"&amp;物品!B300&amp;"'"</f>
        <v>'IC02'</v>
      </c>
      <c r="C227" s="55">
        <f>物品!J300</f>
        <v>0</v>
      </c>
      <c r="D227" s="55">
        <f>物品!K300</f>
        <v>0</v>
      </c>
      <c r="E227" s="55">
        <f>物品!L300</f>
        <v>0</v>
      </c>
      <c r="F227" s="55">
        <f>物品!M300</f>
        <v>0</v>
      </c>
      <c r="G227" s="55">
        <f>物品!N300</f>
        <v>0</v>
      </c>
      <c r="H227" s="55">
        <f>物品!O300</f>
        <v>0</v>
      </c>
      <c r="I227" s="55">
        <f>IF(物品!J300=0,0,"'"&amp;物品!J300&amp;"'")</f>
        <v>0</v>
      </c>
      <c r="J227" s="55">
        <f>IF(物品!K300=0,0,"'"&amp;物品!K300&amp;"'")</f>
        <v>0</v>
      </c>
      <c r="K227" s="55">
        <f>IF(物品!L300=0,0,"'"&amp;物品!L300&amp;"'")</f>
        <v>0</v>
      </c>
      <c r="L227" s="55">
        <f>IF(物品!M300=0,0,"'"&amp;物品!M300&amp;"'")</f>
        <v>0</v>
      </c>
      <c r="M227" s="55">
        <f>IF(物品!N300=0,0,"'"&amp;物品!N300&amp;"'")</f>
        <v>0</v>
      </c>
      <c r="N227" s="55">
        <f>IF(物品!O300=0,0,"'"&amp;物品!O300&amp;"'")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物品!A301</f>
        <v>0</v>
      </c>
      <c r="B228" s="55" t="str">
        <f>"'"&amp;物品!B301&amp;"'"</f>
        <v>'IC03'</v>
      </c>
      <c r="C228" s="55">
        <f>物品!J301</f>
        <v>0</v>
      </c>
      <c r="D228" s="55">
        <f>物品!K301</f>
        <v>0</v>
      </c>
      <c r="E228" s="55">
        <f>物品!L301</f>
        <v>0</v>
      </c>
      <c r="F228" s="55">
        <f>物品!M301</f>
        <v>0</v>
      </c>
      <c r="G228" s="55">
        <f>物品!N301</f>
        <v>0</v>
      </c>
      <c r="H228" s="55">
        <f>物品!O301</f>
        <v>0</v>
      </c>
      <c r="I228" s="55">
        <f>IF(物品!J301=0,0,"'"&amp;物品!J301&amp;"'")</f>
        <v>0</v>
      </c>
      <c r="J228" s="55">
        <f>IF(物品!K301=0,0,"'"&amp;物品!K301&amp;"'")</f>
        <v>0</v>
      </c>
      <c r="K228" s="55">
        <f>IF(物品!L301=0,0,"'"&amp;物品!L301&amp;"'")</f>
        <v>0</v>
      </c>
      <c r="L228" s="55">
        <f>IF(物品!M301=0,0,"'"&amp;物品!M301&amp;"'")</f>
        <v>0</v>
      </c>
      <c r="M228" s="55">
        <f>IF(物品!N301=0,0,"'"&amp;物品!N301&amp;"'")</f>
        <v>0</v>
      </c>
      <c r="N228" s="55">
        <f>IF(物品!O301=0,0,"'"&amp;物品!O301&amp;"'")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物品!A302</f>
        <v>0</v>
      </c>
      <c r="B229" s="55" t="str">
        <f>"'"&amp;物品!B302&amp;"'"</f>
        <v>'IC04'</v>
      </c>
      <c r="C229" s="55">
        <f>物品!J302</f>
        <v>0</v>
      </c>
      <c r="D229" s="55">
        <f>物品!K302</f>
        <v>0</v>
      </c>
      <c r="E229" s="55">
        <f>物品!L302</f>
        <v>0</v>
      </c>
      <c r="F229" s="55">
        <f>物品!M302</f>
        <v>0</v>
      </c>
      <c r="G229" s="55">
        <f>物品!N302</f>
        <v>0</v>
      </c>
      <c r="H229" s="55">
        <f>物品!O302</f>
        <v>0</v>
      </c>
      <c r="I229" s="55">
        <f>IF(物品!J302=0,0,"'"&amp;物品!J302&amp;"'")</f>
        <v>0</v>
      </c>
      <c r="J229" s="55">
        <f>IF(物品!K302=0,0,"'"&amp;物品!K302&amp;"'")</f>
        <v>0</v>
      </c>
      <c r="K229" s="55">
        <f>IF(物品!L302=0,0,"'"&amp;物品!L302&amp;"'")</f>
        <v>0</v>
      </c>
      <c r="L229" s="55">
        <f>IF(物品!M302=0,0,"'"&amp;物品!M302&amp;"'")</f>
        <v>0</v>
      </c>
      <c r="M229" s="55">
        <f>IF(物品!N302=0,0,"'"&amp;物品!N302&amp;"'")</f>
        <v>0</v>
      </c>
      <c r="N229" s="55">
        <f>IF(物品!O302=0,0,"'"&amp;物品!O302&amp;"'")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物品!A303</f>
        <v>0</v>
      </c>
      <c r="B230" s="55" t="str">
        <f>"'"&amp;物品!B303&amp;"'"</f>
        <v>'IC05'</v>
      </c>
      <c r="C230" s="55">
        <f>物品!J303</f>
        <v>0</v>
      </c>
      <c r="D230" s="55">
        <f>物品!K303</f>
        <v>0</v>
      </c>
      <c r="E230" s="55">
        <f>物品!L303</f>
        <v>0</v>
      </c>
      <c r="F230" s="55">
        <f>物品!M303</f>
        <v>0</v>
      </c>
      <c r="G230" s="55">
        <f>物品!N303</f>
        <v>0</v>
      </c>
      <c r="H230" s="55">
        <f>物品!O303</f>
        <v>0</v>
      </c>
      <c r="I230" s="55">
        <f>IF(物品!J303=0,0,"'"&amp;物品!J303&amp;"'")</f>
        <v>0</v>
      </c>
      <c r="J230" s="55">
        <f>IF(物品!K303=0,0,"'"&amp;物品!K303&amp;"'")</f>
        <v>0</v>
      </c>
      <c r="K230" s="55">
        <f>IF(物品!L303=0,0,"'"&amp;物品!L303&amp;"'")</f>
        <v>0</v>
      </c>
      <c r="L230" s="55">
        <f>IF(物品!M303=0,0,"'"&amp;物品!M303&amp;"'")</f>
        <v>0</v>
      </c>
      <c r="M230" s="55">
        <f>IF(物品!N303=0,0,"'"&amp;物品!N303&amp;"'")</f>
        <v>0</v>
      </c>
      <c r="N230" s="55">
        <f>IF(物品!O303=0,0,"'"&amp;物品!O303&amp;"'")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物品!A304</f>
        <v>0</v>
      </c>
      <c r="B231" s="55" t="str">
        <f>"'"&amp;物品!B304&amp;"'"</f>
        <v>'IC06'</v>
      </c>
      <c r="C231" s="55">
        <f>物品!J304</f>
        <v>0</v>
      </c>
      <c r="D231" s="55">
        <f>物品!K304</f>
        <v>0</v>
      </c>
      <c r="E231" s="55">
        <f>物品!L304</f>
        <v>0</v>
      </c>
      <c r="F231" s="55">
        <f>物品!M304</f>
        <v>0</v>
      </c>
      <c r="G231" s="55">
        <f>物品!N304</f>
        <v>0</v>
      </c>
      <c r="H231" s="55">
        <f>物品!O304</f>
        <v>0</v>
      </c>
      <c r="I231" s="55">
        <f>IF(物品!J304=0,0,"'"&amp;物品!J304&amp;"'")</f>
        <v>0</v>
      </c>
      <c r="J231" s="55">
        <f>IF(物品!K304=0,0,"'"&amp;物品!K304&amp;"'")</f>
        <v>0</v>
      </c>
      <c r="K231" s="55">
        <f>IF(物品!L304=0,0,"'"&amp;物品!L304&amp;"'")</f>
        <v>0</v>
      </c>
      <c r="L231" s="55">
        <f>IF(物品!M304=0,0,"'"&amp;物品!M304&amp;"'")</f>
        <v>0</v>
      </c>
      <c r="M231" s="55">
        <f>IF(物品!N304=0,0,"'"&amp;物品!N304&amp;"'")</f>
        <v>0</v>
      </c>
      <c r="N231" s="55">
        <f>IF(物品!O304=0,0,"'"&amp;物品!O304&amp;"'")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物品!A305</f>
        <v>0</v>
      </c>
      <c r="B232" s="55" t="str">
        <f>"'"&amp;物品!B305&amp;"'"</f>
        <v>'IC07'</v>
      </c>
      <c r="C232" s="55">
        <f>物品!J305</f>
        <v>0</v>
      </c>
      <c r="D232" s="55">
        <f>物品!K305</f>
        <v>0</v>
      </c>
      <c r="E232" s="55">
        <f>物品!L305</f>
        <v>0</v>
      </c>
      <c r="F232" s="55">
        <f>物品!M305</f>
        <v>0</v>
      </c>
      <c r="G232" s="55">
        <f>物品!N305</f>
        <v>0</v>
      </c>
      <c r="H232" s="55">
        <f>物品!O305</f>
        <v>0</v>
      </c>
      <c r="I232" s="55">
        <f>IF(物品!J305=0,0,"'"&amp;物品!J305&amp;"'")</f>
        <v>0</v>
      </c>
      <c r="J232" s="55">
        <f>IF(物品!K305=0,0,"'"&amp;物品!K305&amp;"'")</f>
        <v>0</v>
      </c>
      <c r="K232" s="55">
        <f>IF(物品!L305=0,0,"'"&amp;物品!L305&amp;"'")</f>
        <v>0</v>
      </c>
      <c r="L232" s="55">
        <f>IF(物品!M305=0,0,"'"&amp;物品!M305&amp;"'")</f>
        <v>0</v>
      </c>
      <c r="M232" s="55">
        <f>IF(物品!N305=0,0,"'"&amp;物品!N305&amp;"'")</f>
        <v>0</v>
      </c>
      <c r="N232" s="55">
        <f>IF(物品!O305=0,0,"'"&amp;物品!O305&amp;"'")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物品!A306</f>
        <v>0</v>
      </c>
      <c r="B233" s="55" t="str">
        <f>"'"&amp;物品!B306&amp;"'"</f>
        <v>'IC08'</v>
      </c>
      <c r="C233" s="55">
        <f>物品!J306</f>
        <v>0</v>
      </c>
      <c r="D233" s="55">
        <f>物品!K306</f>
        <v>0</v>
      </c>
      <c r="E233" s="55">
        <f>物品!L306</f>
        <v>0</v>
      </c>
      <c r="F233" s="55">
        <f>物品!M306</f>
        <v>0</v>
      </c>
      <c r="G233" s="55">
        <f>物品!N306</f>
        <v>0</v>
      </c>
      <c r="H233" s="55">
        <f>物品!O306</f>
        <v>0</v>
      </c>
      <c r="I233" s="55">
        <f>IF(物品!J306=0,0,"'"&amp;物品!J306&amp;"'")</f>
        <v>0</v>
      </c>
      <c r="J233" s="55">
        <f>IF(物品!K306=0,0,"'"&amp;物品!K306&amp;"'")</f>
        <v>0</v>
      </c>
      <c r="K233" s="55">
        <f>IF(物品!L306=0,0,"'"&amp;物品!L306&amp;"'")</f>
        <v>0</v>
      </c>
      <c r="L233" s="55">
        <f>IF(物品!M306=0,0,"'"&amp;物品!M306&amp;"'")</f>
        <v>0</v>
      </c>
      <c r="M233" s="55">
        <f>IF(物品!N306=0,0,"'"&amp;物品!N306&amp;"'")</f>
        <v>0</v>
      </c>
      <c r="N233" s="55">
        <f>IF(物品!O306=0,0,"'"&amp;物品!O306&amp;"'")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物品!A307</f>
        <v>0</v>
      </c>
      <c r="B234" s="55" t="str">
        <f>"'"&amp;物品!B307&amp;"'"</f>
        <v>'IC09'</v>
      </c>
      <c r="C234" s="55">
        <f>物品!J307</f>
        <v>0</v>
      </c>
      <c r="D234" s="55">
        <f>物品!K307</f>
        <v>0</v>
      </c>
      <c r="E234" s="55">
        <f>物品!L307</f>
        <v>0</v>
      </c>
      <c r="F234" s="55">
        <f>物品!M307</f>
        <v>0</v>
      </c>
      <c r="G234" s="55">
        <f>物品!N307</f>
        <v>0</v>
      </c>
      <c r="H234" s="55">
        <f>物品!O307</f>
        <v>0</v>
      </c>
      <c r="I234" s="55">
        <f>IF(物品!J307=0,0,"'"&amp;物品!J307&amp;"'")</f>
        <v>0</v>
      </c>
      <c r="J234" s="55">
        <f>IF(物品!K307=0,0,"'"&amp;物品!K307&amp;"'")</f>
        <v>0</v>
      </c>
      <c r="K234" s="55">
        <f>IF(物品!L307=0,0,"'"&amp;物品!L307&amp;"'")</f>
        <v>0</v>
      </c>
      <c r="L234" s="55">
        <f>IF(物品!M307=0,0,"'"&amp;物品!M307&amp;"'")</f>
        <v>0</v>
      </c>
      <c r="M234" s="55">
        <f>IF(物品!N307=0,0,"'"&amp;物品!N307&amp;"'")</f>
        <v>0</v>
      </c>
      <c r="N234" s="55">
        <f>IF(物品!O307=0,0,"'"&amp;物品!O307&amp;"'")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物品!A308</f>
        <v>0</v>
      </c>
      <c r="B235" s="55" t="str">
        <f>"'"&amp;物品!B308&amp;"'"</f>
        <v>'IC10'</v>
      </c>
      <c r="C235" s="55">
        <f>物品!J308</f>
        <v>0</v>
      </c>
      <c r="D235" s="55">
        <f>物品!K308</f>
        <v>0</v>
      </c>
      <c r="E235" s="55">
        <f>物品!L308</f>
        <v>0</v>
      </c>
      <c r="F235" s="55">
        <f>物品!M308</f>
        <v>0</v>
      </c>
      <c r="G235" s="55">
        <f>物品!N308</f>
        <v>0</v>
      </c>
      <c r="H235" s="55">
        <f>物品!O308</f>
        <v>0</v>
      </c>
      <c r="I235" s="55">
        <f>IF(物品!J308=0,0,"'"&amp;物品!J308&amp;"'")</f>
        <v>0</v>
      </c>
      <c r="J235" s="55">
        <f>IF(物品!K308=0,0,"'"&amp;物品!K308&amp;"'")</f>
        <v>0</v>
      </c>
      <c r="K235" s="55">
        <f>IF(物品!L308=0,0,"'"&amp;物品!L308&amp;"'")</f>
        <v>0</v>
      </c>
      <c r="L235" s="55">
        <f>IF(物品!M308=0,0,"'"&amp;物品!M308&amp;"'")</f>
        <v>0</v>
      </c>
      <c r="M235" s="55">
        <f>IF(物品!N308=0,0,"'"&amp;物品!N308&amp;"'")</f>
        <v>0</v>
      </c>
      <c r="N235" s="55">
        <f>IF(物品!O308=0,0,"'"&amp;物品!O308&amp;"'")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物品!A309</f>
        <v>0</v>
      </c>
      <c r="B236" s="55" t="str">
        <f>"'"&amp;物品!B309&amp;"'"</f>
        <v>'IC11'</v>
      </c>
      <c r="C236" s="55">
        <f>物品!J309</f>
        <v>0</v>
      </c>
      <c r="D236" s="55">
        <f>物品!K309</f>
        <v>0</v>
      </c>
      <c r="E236" s="55">
        <f>物品!L309</f>
        <v>0</v>
      </c>
      <c r="F236" s="55">
        <f>物品!M309</f>
        <v>0</v>
      </c>
      <c r="G236" s="55">
        <f>物品!N309</f>
        <v>0</v>
      </c>
      <c r="H236" s="55">
        <f>物品!O309</f>
        <v>0</v>
      </c>
      <c r="I236" s="55">
        <f>IF(物品!J309=0,0,"'"&amp;物品!J309&amp;"'")</f>
        <v>0</v>
      </c>
      <c r="J236" s="55">
        <f>IF(物品!K309=0,0,"'"&amp;物品!K309&amp;"'")</f>
        <v>0</v>
      </c>
      <c r="K236" s="55">
        <f>IF(物品!L309=0,0,"'"&amp;物品!L309&amp;"'")</f>
        <v>0</v>
      </c>
      <c r="L236" s="55">
        <f>IF(物品!M309=0,0,"'"&amp;物品!M309&amp;"'")</f>
        <v>0</v>
      </c>
      <c r="M236" s="55">
        <f>IF(物品!N309=0,0,"'"&amp;物品!N309&amp;"'")</f>
        <v>0</v>
      </c>
      <c r="N236" s="55">
        <f>IF(物品!O309=0,0,"'"&amp;物品!O309&amp;"'")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物品!A310</f>
        <v>0</v>
      </c>
      <c r="B237" s="55" t="str">
        <f>"'"&amp;物品!B310&amp;"'"</f>
        <v>'IK01'</v>
      </c>
      <c r="C237" s="55">
        <f>物品!J310</f>
        <v>0</v>
      </c>
      <c r="D237" s="55">
        <f>物品!K310</f>
        <v>0</v>
      </c>
      <c r="E237" s="55">
        <f>物品!L310</f>
        <v>0</v>
      </c>
      <c r="F237" s="55">
        <f>物品!M310</f>
        <v>0</v>
      </c>
      <c r="G237" s="55">
        <f>物品!N310</f>
        <v>0</v>
      </c>
      <c r="H237" s="55">
        <f>物品!O310</f>
        <v>0</v>
      </c>
      <c r="I237" s="55">
        <f>IF(物品!J310=0,0,"'"&amp;物品!J310&amp;"'")</f>
        <v>0</v>
      </c>
      <c r="J237" s="55">
        <f>IF(物品!K310=0,0,"'"&amp;物品!K310&amp;"'")</f>
        <v>0</v>
      </c>
      <c r="K237" s="55">
        <f>IF(物品!L310=0,0,"'"&amp;物品!L310&amp;"'")</f>
        <v>0</v>
      </c>
      <c r="L237" s="55">
        <f>IF(物品!M310=0,0,"'"&amp;物品!M310&amp;"'")</f>
        <v>0</v>
      </c>
      <c r="M237" s="55">
        <f>IF(物品!N310=0,0,"'"&amp;物品!N310&amp;"'")</f>
        <v>0</v>
      </c>
      <c r="N237" s="55">
        <f>IF(物品!O310=0,0,"'"&amp;物品!O310&amp;"'")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物品!A311</f>
        <v>0</v>
      </c>
      <c r="B238" s="55" t="str">
        <f>"'"&amp;物品!B311&amp;"'"</f>
        <v>'IK02'</v>
      </c>
      <c r="C238" s="55">
        <f>物品!J311</f>
        <v>0</v>
      </c>
      <c r="D238" s="55">
        <f>物品!K311</f>
        <v>0</v>
      </c>
      <c r="E238" s="55">
        <f>物品!L311</f>
        <v>0</v>
      </c>
      <c r="F238" s="55">
        <f>物品!M311</f>
        <v>0</v>
      </c>
      <c r="G238" s="55">
        <f>物品!N311</f>
        <v>0</v>
      </c>
      <c r="H238" s="55">
        <f>物品!O311</f>
        <v>0</v>
      </c>
      <c r="I238" s="55">
        <f>IF(物品!J311=0,0,"'"&amp;物品!J311&amp;"'")</f>
        <v>0</v>
      </c>
      <c r="J238" s="55">
        <f>IF(物品!K311=0,0,"'"&amp;物品!K311&amp;"'")</f>
        <v>0</v>
      </c>
      <c r="K238" s="55">
        <f>IF(物品!L311=0,0,"'"&amp;物品!L311&amp;"'")</f>
        <v>0</v>
      </c>
      <c r="L238" s="55">
        <f>IF(物品!M311=0,0,"'"&amp;物品!M311&amp;"'")</f>
        <v>0</v>
      </c>
      <c r="M238" s="55">
        <f>IF(物品!N311=0,0,"'"&amp;物品!N311&amp;"'")</f>
        <v>0</v>
      </c>
      <c r="N238" s="55">
        <f>IF(物品!O311=0,0,"'"&amp;物品!O311&amp;"'")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物品!A312</f>
        <v>0</v>
      </c>
      <c r="B239" s="55" t="str">
        <f>"'"&amp;物品!B312&amp;"'"</f>
        <v>'IK03'</v>
      </c>
      <c r="C239" s="55">
        <f>物品!J312</f>
        <v>0</v>
      </c>
      <c r="D239" s="55">
        <f>物品!K312</f>
        <v>0</v>
      </c>
      <c r="E239" s="55">
        <f>物品!L312</f>
        <v>0</v>
      </c>
      <c r="F239" s="55">
        <f>物品!M312</f>
        <v>0</v>
      </c>
      <c r="G239" s="55">
        <f>物品!N312</f>
        <v>0</v>
      </c>
      <c r="H239" s="55">
        <f>物品!O312</f>
        <v>0</v>
      </c>
      <c r="I239" s="55">
        <f>IF(物品!J312=0,0,"'"&amp;物品!J312&amp;"'")</f>
        <v>0</v>
      </c>
      <c r="J239" s="55">
        <f>IF(物品!K312=0,0,"'"&amp;物品!K312&amp;"'")</f>
        <v>0</v>
      </c>
      <c r="K239" s="55">
        <f>IF(物品!L312=0,0,"'"&amp;物品!L312&amp;"'")</f>
        <v>0</v>
      </c>
      <c r="L239" s="55">
        <f>IF(物品!M312=0,0,"'"&amp;物品!M312&amp;"'")</f>
        <v>0</v>
      </c>
      <c r="M239" s="55">
        <f>IF(物品!N312=0,0,"'"&amp;物品!N312&amp;"'")</f>
        <v>0</v>
      </c>
      <c r="N239" s="55">
        <f>IF(物品!O312=0,0,"'"&amp;物品!O312&amp;"'")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物品!A313</f>
        <v>0</v>
      </c>
      <c r="B240" s="55" t="str">
        <f>"'"&amp;物品!B313&amp;"'"</f>
        <v>'IK04'</v>
      </c>
      <c r="C240" s="55">
        <f>物品!J313</f>
        <v>0</v>
      </c>
      <c r="D240" s="55">
        <f>物品!K313</f>
        <v>0</v>
      </c>
      <c r="E240" s="55">
        <f>物品!L313</f>
        <v>0</v>
      </c>
      <c r="F240" s="55">
        <f>物品!M313</f>
        <v>0</v>
      </c>
      <c r="G240" s="55">
        <f>物品!N313</f>
        <v>0</v>
      </c>
      <c r="H240" s="55">
        <f>物品!O313</f>
        <v>0</v>
      </c>
      <c r="I240" s="55">
        <f>IF(物品!J313=0,0,"'"&amp;物品!J313&amp;"'")</f>
        <v>0</v>
      </c>
      <c r="J240" s="55">
        <f>IF(物品!K313=0,0,"'"&amp;物品!K313&amp;"'")</f>
        <v>0</v>
      </c>
      <c r="K240" s="55">
        <f>IF(物品!L313=0,0,"'"&amp;物品!L313&amp;"'")</f>
        <v>0</v>
      </c>
      <c r="L240" s="55">
        <f>IF(物品!M313=0,0,"'"&amp;物品!M313&amp;"'")</f>
        <v>0</v>
      </c>
      <c r="M240" s="55">
        <f>IF(物品!N313=0,0,"'"&amp;物品!N313&amp;"'")</f>
        <v>0</v>
      </c>
      <c r="N240" s="55">
        <f>IF(物品!O313=0,0,"'"&amp;物品!O313&amp;"'")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物品!A314</f>
        <v>0</v>
      </c>
      <c r="B241" s="55" t="str">
        <f>"'"&amp;物品!B314&amp;"'"</f>
        <v>'IK05'</v>
      </c>
      <c r="C241" s="55">
        <f>物品!J314</f>
        <v>0</v>
      </c>
      <c r="D241" s="55">
        <f>物品!K314</f>
        <v>0</v>
      </c>
      <c r="E241" s="55">
        <f>物品!L314</f>
        <v>0</v>
      </c>
      <c r="F241" s="55">
        <f>物品!M314</f>
        <v>0</v>
      </c>
      <c r="G241" s="55">
        <f>物品!N314</f>
        <v>0</v>
      </c>
      <c r="H241" s="55">
        <f>物品!O314</f>
        <v>0</v>
      </c>
      <c r="I241" s="55">
        <f>IF(物品!J314=0,0,"'"&amp;物品!J314&amp;"'")</f>
        <v>0</v>
      </c>
      <c r="J241" s="55">
        <f>IF(物品!K314=0,0,"'"&amp;物品!K314&amp;"'")</f>
        <v>0</v>
      </c>
      <c r="K241" s="55">
        <f>IF(物品!L314=0,0,"'"&amp;物品!L314&amp;"'")</f>
        <v>0</v>
      </c>
      <c r="L241" s="55">
        <f>IF(物品!M314=0,0,"'"&amp;物品!M314&amp;"'")</f>
        <v>0</v>
      </c>
      <c r="M241" s="55">
        <f>IF(物品!N314=0,0,"'"&amp;物品!N314&amp;"'")</f>
        <v>0</v>
      </c>
      <c r="N241" s="55">
        <f>IF(物品!O314=0,0,"'"&amp;物品!O314&amp;"'")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物品!A315</f>
        <v>0</v>
      </c>
      <c r="B242" s="55" t="str">
        <f>"'"&amp;物品!B315&amp;"'"</f>
        <v>'IK06'</v>
      </c>
      <c r="C242" s="55">
        <f>物品!J315</f>
        <v>0</v>
      </c>
      <c r="D242" s="55">
        <f>物品!K315</f>
        <v>0</v>
      </c>
      <c r="E242" s="55">
        <f>物品!L315</f>
        <v>0</v>
      </c>
      <c r="F242" s="55">
        <f>物品!M315</f>
        <v>0</v>
      </c>
      <c r="G242" s="55">
        <f>物品!N315</f>
        <v>0</v>
      </c>
      <c r="H242" s="55">
        <f>物品!O315</f>
        <v>0</v>
      </c>
      <c r="I242" s="55">
        <f>IF(物品!J315=0,0,"'"&amp;物品!J315&amp;"'")</f>
        <v>0</v>
      </c>
      <c r="J242" s="55">
        <f>IF(物品!K315=0,0,"'"&amp;物品!K315&amp;"'")</f>
        <v>0</v>
      </c>
      <c r="K242" s="55">
        <f>IF(物品!L315=0,0,"'"&amp;物品!L315&amp;"'")</f>
        <v>0</v>
      </c>
      <c r="L242" s="55">
        <f>IF(物品!M315=0,0,"'"&amp;物品!M315&amp;"'")</f>
        <v>0</v>
      </c>
      <c r="M242" s="55">
        <f>IF(物品!N315=0,0,"'"&amp;物品!N315&amp;"'")</f>
        <v>0</v>
      </c>
      <c r="N242" s="55">
        <f>IF(物品!O315=0,0,"'"&amp;物品!O315&amp;"'")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物品!A316</f>
        <v>0</v>
      </c>
      <c r="B243" s="55" t="str">
        <f>"'"&amp;物品!B316&amp;"'"</f>
        <v>'IK07'</v>
      </c>
      <c r="C243" s="55">
        <f>物品!J316</f>
        <v>0</v>
      </c>
      <c r="D243" s="55">
        <f>物品!K316</f>
        <v>0</v>
      </c>
      <c r="E243" s="55">
        <f>物品!L316</f>
        <v>0</v>
      </c>
      <c r="F243" s="55">
        <f>物品!M316</f>
        <v>0</v>
      </c>
      <c r="G243" s="55">
        <f>物品!N316</f>
        <v>0</v>
      </c>
      <c r="H243" s="55">
        <f>物品!O316</f>
        <v>0</v>
      </c>
      <c r="I243" s="55">
        <f>IF(物品!J316=0,0,"'"&amp;物品!J316&amp;"'")</f>
        <v>0</v>
      </c>
      <c r="J243" s="55">
        <f>IF(物品!K316=0,0,"'"&amp;物品!K316&amp;"'")</f>
        <v>0</v>
      </c>
      <c r="K243" s="55">
        <f>IF(物品!L316=0,0,"'"&amp;物品!L316&amp;"'")</f>
        <v>0</v>
      </c>
      <c r="L243" s="55">
        <f>IF(物品!M316=0,0,"'"&amp;物品!M316&amp;"'")</f>
        <v>0</v>
      </c>
      <c r="M243" s="55">
        <f>IF(物品!N316=0,0,"'"&amp;物品!N316&amp;"'")</f>
        <v>0</v>
      </c>
      <c r="N243" s="55">
        <f>IF(物品!O316=0,0,"'"&amp;物品!O316&amp;"'")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物品!A317</f>
        <v>0</v>
      </c>
      <c r="B244" s="55" t="str">
        <f>"'"&amp;物品!B317&amp;"'"</f>
        <v>'IK08'</v>
      </c>
      <c r="C244" s="55">
        <f>物品!J317</f>
        <v>0</v>
      </c>
      <c r="D244" s="55">
        <f>物品!K317</f>
        <v>0</v>
      </c>
      <c r="E244" s="55">
        <f>物品!L317</f>
        <v>0</v>
      </c>
      <c r="F244" s="55">
        <f>物品!M317</f>
        <v>0</v>
      </c>
      <c r="G244" s="55">
        <f>物品!N317</f>
        <v>0</v>
      </c>
      <c r="H244" s="55">
        <f>物品!O317</f>
        <v>0</v>
      </c>
      <c r="I244" s="55">
        <f>IF(物品!J317=0,0,"'"&amp;物品!J317&amp;"'")</f>
        <v>0</v>
      </c>
      <c r="J244" s="55">
        <f>IF(物品!K317=0,0,"'"&amp;物品!K317&amp;"'")</f>
        <v>0</v>
      </c>
      <c r="K244" s="55">
        <f>IF(物品!L317=0,0,"'"&amp;物品!L317&amp;"'")</f>
        <v>0</v>
      </c>
      <c r="L244" s="55">
        <f>IF(物品!M317=0,0,"'"&amp;物品!M317&amp;"'")</f>
        <v>0</v>
      </c>
      <c r="M244" s="55">
        <f>IF(物品!N317=0,0,"'"&amp;物品!N317&amp;"'")</f>
        <v>0</v>
      </c>
      <c r="N244" s="55">
        <f>IF(物品!O317=0,0,"'"&amp;物品!O317&amp;"'")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物品!A318</f>
        <v>0</v>
      </c>
      <c r="B245" s="55" t="str">
        <f>"'"&amp;物品!B318&amp;"'"</f>
        <v>'IK1A'</v>
      </c>
      <c r="C245" s="55">
        <f>物品!J318</f>
        <v>0</v>
      </c>
      <c r="D245" s="55">
        <f>物品!K318</f>
        <v>0</v>
      </c>
      <c r="E245" s="55">
        <f>物品!L318</f>
        <v>0</v>
      </c>
      <c r="F245" s="55">
        <f>物品!M318</f>
        <v>0</v>
      </c>
      <c r="G245" s="55">
        <f>物品!N318</f>
        <v>0</v>
      </c>
      <c r="H245" s="55">
        <f>物品!O318</f>
        <v>0</v>
      </c>
      <c r="I245" s="55">
        <f>IF(物品!J318=0,0,"'"&amp;物品!J318&amp;"'")</f>
        <v>0</v>
      </c>
      <c r="J245" s="55">
        <f>IF(物品!K318=0,0,"'"&amp;物品!K318&amp;"'")</f>
        <v>0</v>
      </c>
      <c r="K245" s="55">
        <f>IF(物品!L318=0,0,"'"&amp;物品!L318&amp;"'")</f>
        <v>0</v>
      </c>
      <c r="L245" s="55">
        <f>IF(物品!M318=0,0,"'"&amp;物品!M318&amp;"'")</f>
        <v>0</v>
      </c>
      <c r="M245" s="55">
        <f>IF(物品!N318=0,0,"'"&amp;物品!N318&amp;"'")</f>
        <v>0</v>
      </c>
      <c r="N245" s="55">
        <f>IF(物品!O318=0,0,"'"&amp;物品!O318&amp;"'")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物品!A327</f>
        <v>0</v>
      </c>
      <c r="B246" s="55" t="str">
        <f>"'"&amp;物品!B327&amp;"'"</f>
        <v>'IK2A'</v>
      </c>
      <c r="C246" s="55">
        <f>物品!J327</f>
        <v>0</v>
      </c>
      <c r="D246" s="55">
        <f>物品!K327</f>
        <v>0</v>
      </c>
      <c r="E246" s="55">
        <f>物品!L327</f>
        <v>0</v>
      </c>
      <c r="F246" s="55">
        <f>物品!M327</f>
        <v>0</v>
      </c>
      <c r="G246" s="55">
        <f>物品!N327</f>
        <v>0</v>
      </c>
      <c r="H246" s="55">
        <f>物品!O327</f>
        <v>0</v>
      </c>
      <c r="I246" s="55">
        <f>IF(物品!J327=0,0,"'"&amp;物品!J327&amp;"'")</f>
        <v>0</v>
      </c>
      <c r="J246" s="55">
        <f>IF(物品!K327=0,0,"'"&amp;物品!K327&amp;"'")</f>
        <v>0</v>
      </c>
      <c r="K246" s="55">
        <f>IF(物品!L327=0,0,"'"&amp;物品!L327&amp;"'")</f>
        <v>0</v>
      </c>
      <c r="L246" s="55">
        <f>IF(物品!M327=0,0,"'"&amp;物品!M327&amp;"'")</f>
        <v>0</v>
      </c>
      <c r="M246" s="55">
        <f>IF(物品!N327=0,0,"'"&amp;物品!N327&amp;"'")</f>
        <v>0</v>
      </c>
      <c r="N246" s="55">
        <f>IF(物品!O327=0,0,"'"&amp;物品!O327&amp;"'")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物品!A336</f>
        <v>0</v>
      </c>
      <c r="B247" s="55" t="str">
        <f>"'"&amp;物品!B336&amp;"'"</f>
        <v>'IK3A'</v>
      </c>
      <c r="C247" s="55">
        <f>物品!J336</f>
        <v>0</v>
      </c>
      <c r="D247" s="55">
        <f>物品!K336</f>
        <v>0</v>
      </c>
      <c r="E247" s="55">
        <f>物品!L336</f>
        <v>0</v>
      </c>
      <c r="F247" s="55">
        <f>物品!M336</f>
        <v>0</v>
      </c>
      <c r="G247" s="55">
        <f>物品!N336</f>
        <v>0</v>
      </c>
      <c r="H247" s="55">
        <f>物品!O336</f>
        <v>0</v>
      </c>
      <c r="I247" s="55">
        <f>IF(物品!J336=0,0,"'"&amp;物品!J336&amp;"'")</f>
        <v>0</v>
      </c>
      <c r="J247" s="55">
        <f>IF(物品!K336=0,0,"'"&amp;物品!K336&amp;"'")</f>
        <v>0</v>
      </c>
      <c r="K247" s="55">
        <f>IF(物品!L336=0,0,"'"&amp;物品!L336&amp;"'")</f>
        <v>0</v>
      </c>
      <c r="L247" s="55">
        <f>IF(物品!M336=0,0,"'"&amp;物品!M336&amp;"'")</f>
        <v>0</v>
      </c>
      <c r="M247" s="55">
        <f>IF(物品!N336=0,0,"'"&amp;物品!N336&amp;"'")</f>
        <v>0</v>
      </c>
      <c r="N247" s="55">
        <f>IF(物品!O336=0,0,"'"&amp;物品!O336&amp;"'")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物品!A345</f>
        <v>0</v>
      </c>
      <c r="B248" s="55" t="str">
        <f>"'"&amp;物品!B345&amp;"'"</f>
        <v>'IK4A'</v>
      </c>
      <c r="C248" s="55">
        <f>物品!J345</f>
        <v>0</v>
      </c>
      <c r="D248" s="55">
        <f>物品!K345</f>
        <v>0</v>
      </c>
      <c r="E248" s="55">
        <f>物品!L345</f>
        <v>0</v>
      </c>
      <c r="F248" s="55">
        <f>物品!M345</f>
        <v>0</v>
      </c>
      <c r="G248" s="55">
        <f>物品!N345</f>
        <v>0</v>
      </c>
      <c r="H248" s="55">
        <f>物品!O345</f>
        <v>0</v>
      </c>
      <c r="I248" s="55">
        <f>IF(物品!J345=0,0,"'"&amp;物品!J345&amp;"'")</f>
        <v>0</v>
      </c>
      <c r="J248" s="55">
        <f>IF(物品!K345=0,0,"'"&amp;物品!K345&amp;"'")</f>
        <v>0</v>
      </c>
      <c r="K248" s="55">
        <f>IF(物品!L345=0,0,"'"&amp;物品!L345&amp;"'")</f>
        <v>0</v>
      </c>
      <c r="L248" s="55">
        <f>IF(物品!M345=0,0,"'"&amp;物品!M345&amp;"'")</f>
        <v>0</v>
      </c>
      <c r="M248" s="55">
        <f>IF(物品!N345=0,0,"'"&amp;物品!N345&amp;"'")</f>
        <v>0</v>
      </c>
      <c r="N248" s="55">
        <f>IF(物品!O345=0,0,"'"&amp;物品!O345&amp;"'")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物品!A354</f>
        <v>0</v>
      </c>
      <c r="B249" s="55" t="str">
        <f>"'"&amp;物品!B354&amp;"'"</f>
        <v>'IK5A'</v>
      </c>
      <c r="C249" s="55">
        <f>物品!J354</f>
        <v>0</v>
      </c>
      <c r="D249" s="55">
        <f>物品!K354</f>
        <v>0</v>
      </c>
      <c r="E249" s="55">
        <f>物品!L354</f>
        <v>0</v>
      </c>
      <c r="F249" s="55">
        <f>物品!M354</f>
        <v>0</v>
      </c>
      <c r="G249" s="55">
        <f>物品!N354</f>
        <v>0</v>
      </c>
      <c r="H249" s="55">
        <f>物品!O354</f>
        <v>0</v>
      </c>
      <c r="I249" s="55">
        <f>IF(物品!J354=0,0,"'"&amp;物品!J354&amp;"'")</f>
        <v>0</v>
      </c>
      <c r="J249" s="55">
        <f>IF(物品!K354=0,0,"'"&amp;物品!K354&amp;"'")</f>
        <v>0</v>
      </c>
      <c r="K249" s="55">
        <f>IF(物品!L354=0,0,"'"&amp;物品!L354&amp;"'")</f>
        <v>0</v>
      </c>
      <c r="L249" s="55">
        <f>IF(物品!M354=0,0,"'"&amp;物品!M354&amp;"'")</f>
        <v>0</v>
      </c>
      <c r="M249" s="55">
        <f>IF(物品!N354=0,0,"'"&amp;物品!N354&amp;"'")</f>
        <v>0</v>
      </c>
      <c r="N249" s="55">
        <f>IF(物品!O354=0,0,"'"&amp;物品!O354&amp;"'")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物品!A363</f>
        <v>0</v>
      </c>
      <c r="B250" s="55" t="str">
        <f>"'"&amp;物品!B363&amp;"'"</f>
        <v>'IK6A'</v>
      </c>
      <c r="C250" s="55">
        <f>物品!J363</f>
        <v>0</v>
      </c>
      <c r="D250" s="55">
        <f>物品!K363</f>
        <v>0</v>
      </c>
      <c r="E250" s="55">
        <f>物品!L363</f>
        <v>0</v>
      </c>
      <c r="F250" s="55">
        <f>物品!M363</f>
        <v>0</v>
      </c>
      <c r="G250" s="55">
        <f>物品!N363</f>
        <v>0</v>
      </c>
      <c r="H250" s="55">
        <f>物品!O363</f>
        <v>0</v>
      </c>
      <c r="I250" s="55">
        <f>IF(物品!J363=0,0,"'"&amp;物品!J363&amp;"'")</f>
        <v>0</v>
      </c>
      <c r="J250" s="55">
        <f>IF(物品!K363=0,0,"'"&amp;物品!K363&amp;"'")</f>
        <v>0</v>
      </c>
      <c r="K250" s="55">
        <f>IF(物品!L363=0,0,"'"&amp;物品!L363&amp;"'")</f>
        <v>0</v>
      </c>
      <c r="L250" s="55">
        <f>IF(物品!M363=0,0,"'"&amp;物品!M363&amp;"'")</f>
        <v>0</v>
      </c>
      <c r="M250" s="55">
        <f>IF(物品!N363=0,0,"'"&amp;物品!N363&amp;"'")</f>
        <v>0</v>
      </c>
      <c r="N250" s="55">
        <f>IF(物品!O363=0,0,"'"&amp;物品!O363&amp;"'")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物品!A372</f>
        <v>0</v>
      </c>
      <c r="B251" s="55" t="str">
        <f>"'"&amp;物品!B372&amp;"'"</f>
        <v>'IK7A'</v>
      </c>
      <c r="C251" s="55">
        <f>物品!J372</f>
        <v>0</v>
      </c>
      <c r="D251" s="55">
        <f>物品!K372</f>
        <v>0</v>
      </c>
      <c r="E251" s="55">
        <f>物品!L372</f>
        <v>0</v>
      </c>
      <c r="F251" s="55">
        <f>物品!M372</f>
        <v>0</v>
      </c>
      <c r="G251" s="55">
        <f>物品!N372</f>
        <v>0</v>
      </c>
      <c r="H251" s="55">
        <f>物品!O372</f>
        <v>0</v>
      </c>
      <c r="I251" s="55">
        <f>IF(物品!J372=0,0,"'"&amp;物品!J372&amp;"'")</f>
        <v>0</v>
      </c>
      <c r="J251" s="55">
        <f>IF(物品!K372=0,0,"'"&amp;物品!K372&amp;"'")</f>
        <v>0</v>
      </c>
      <c r="K251" s="55">
        <f>IF(物品!L372=0,0,"'"&amp;物品!L372&amp;"'")</f>
        <v>0</v>
      </c>
      <c r="L251" s="55">
        <f>IF(物品!M372=0,0,"'"&amp;物品!M372&amp;"'")</f>
        <v>0</v>
      </c>
      <c r="M251" s="55">
        <f>IF(物品!N372=0,0,"'"&amp;物品!N372&amp;"'")</f>
        <v>0</v>
      </c>
      <c r="N251" s="55">
        <f>IF(物品!O372=0,0,"'"&amp;物品!O372&amp;"'")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物品!A381</f>
        <v>0</v>
      </c>
      <c r="B252" s="55" t="str">
        <f>"'"&amp;物品!B381&amp;"'"</f>
        <v>'IK8A'</v>
      </c>
      <c r="C252" s="55">
        <f>物品!J381</f>
        <v>0</v>
      </c>
      <c r="D252" s="55">
        <f>物品!K381</f>
        <v>0</v>
      </c>
      <c r="E252" s="55">
        <f>物品!L381</f>
        <v>0</v>
      </c>
      <c r="F252" s="55">
        <f>物品!M381</f>
        <v>0</v>
      </c>
      <c r="G252" s="55">
        <f>物品!N381</f>
        <v>0</v>
      </c>
      <c r="H252" s="55">
        <f>物品!O381</f>
        <v>0</v>
      </c>
      <c r="I252" s="55">
        <f>IF(物品!J381=0,0,"'"&amp;物品!J381&amp;"'")</f>
        <v>0</v>
      </c>
      <c r="J252" s="55">
        <f>IF(物品!K381=0,0,"'"&amp;物品!K381&amp;"'")</f>
        <v>0</v>
      </c>
      <c r="K252" s="55">
        <f>IF(物品!L381=0,0,"'"&amp;物品!L381&amp;"'")</f>
        <v>0</v>
      </c>
      <c r="L252" s="55">
        <f>IF(物品!M381=0,0,"'"&amp;物品!M381&amp;"'")</f>
        <v>0</v>
      </c>
      <c r="M252" s="55">
        <f>IF(物品!N381=0,0,"'"&amp;物品!N381&amp;"'")</f>
        <v>0</v>
      </c>
      <c r="N252" s="55">
        <f>IF(物品!O381=0,0,"'"&amp;物品!O381&amp;"'")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物品!A390</f>
        <v>0</v>
      </c>
      <c r="B253" s="55" t="str">
        <f>"'"&amp;物品!B390&amp;"'"</f>
        <v>'IK91'</v>
      </c>
      <c r="C253" s="55">
        <f>物品!J390</f>
        <v>0</v>
      </c>
      <c r="D253" s="55">
        <f>物品!K390</f>
        <v>0</v>
      </c>
      <c r="E253" s="55">
        <f>物品!L390</f>
        <v>0</v>
      </c>
      <c r="F253" s="55">
        <f>物品!M390</f>
        <v>0</v>
      </c>
      <c r="G253" s="55">
        <f>物品!N390</f>
        <v>0</v>
      </c>
      <c r="H253" s="55">
        <f>物品!O390</f>
        <v>0</v>
      </c>
      <c r="I253" s="55">
        <f>IF(物品!J390=0,0,"'"&amp;物品!J390&amp;"'")</f>
        <v>0</v>
      </c>
      <c r="J253" s="55">
        <f>IF(物品!K390=0,0,"'"&amp;物品!K390&amp;"'")</f>
        <v>0</v>
      </c>
      <c r="K253" s="55">
        <f>IF(物品!L390=0,0,"'"&amp;物品!L390&amp;"'")</f>
        <v>0</v>
      </c>
      <c r="L253" s="55">
        <f>IF(物品!M390=0,0,"'"&amp;物品!M390&amp;"'")</f>
        <v>0</v>
      </c>
      <c r="M253" s="55">
        <f>IF(物品!N390=0,0,"'"&amp;物品!N390&amp;"'")</f>
        <v>0</v>
      </c>
      <c r="N253" s="55">
        <f>IF(物品!O390=0,0,"'"&amp;物品!O390&amp;"'")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物品!A391</f>
        <v>0</v>
      </c>
      <c r="B254" s="55" t="str">
        <f>"'"&amp;物品!B391&amp;"'"</f>
        <v>'IK92'</v>
      </c>
      <c r="C254" s="55">
        <f>物品!J391</f>
        <v>0</v>
      </c>
      <c r="D254" s="55">
        <f>物品!K391</f>
        <v>0</v>
      </c>
      <c r="E254" s="55">
        <f>物品!L391</f>
        <v>0</v>
      </c>
      <c r="F254" s="55">
        <f>物品!M391</f>
        <v>0</v>
      </c>
      <c r="G254" s="55">
        <f>物品!N391</f>
        <v>0</v>
      </c>
      <c r="H254" s="55">
        <f>物品!O391</f>
        <v>0</v>
      </c>
      <c r="I254" s="55">
        <f>IF(物品!J391=0,0,"'"&amp;物品!J391&amp;"'")</f>
        <v>0</v>
      </c>
      <c r="J254" s="55">
        <f>IF(物品!K391=0,0,"'"&amp;物品!K391&amp;"'")</f>
        <v>0</v>
      </c>
      <c r="K254" s="55">
        <f>IF(物品!L391=0,0,"'"&amp;物品!L391&amp;"'")</f>
        <v>0</v>
      </c>
      <c r="L254" s="55">
        <f>IF(物品!M391=0,0,"'"&amp;物品!M391&amp;"'")</f>
        <v>0</v>
      </c>
      <c r="M254" s="55">
        <f>IF(物品!N391=0,0,"'"&amp;物品!N391&amp;"'")</f>
        <v>0</v>
      </c>
      <c r="N254" s="55">
        <f>IF(物品!O391=0,0,"'"&amp;物品!O391&amp;"'")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物品!A392</f>
        <v>0</v>
      </c>
      <c r="B255" s="55" t="str">
        <f>"'"&amp;物品!B392&amp;"'"</f>
        <v>'IK93'</v>
      </c>
      <c r="C255" s="55">
        <f>物品!J392</f>
        <v>0</v>
      </c>
      <c r="D255" s="55">
        <f>物品!K392</f>
        <v>0</v>
      </c>
      <c r="E255" s="55">
        <f>物品!L392</f>
        <v>0</v>
      </c>
      <c r="F255" s="55">
        <f>物品!M392</f>
        <v>0</v>
      </c>
      <c r="G255" s="55">
        <f>物品!N392</f>
        <v>0</v>
      </c>
      <c r="H255" s="55">
        <f>物品!O392</f>
        <v>0</v>
      </c>
      <c r="I255" s="55">
        <f>IF(物品!J392=0,0,"'"&amp;物品!J392&amp;"'")</f>
        <v>0</v>
      </c>
      <c r="J255" s="55">
        <f>IF(物品!K392=0,0,"'"&amp;物品!K392&amp;"'")</f>
        <v>0</v>
      </c>
      <c r="K255" s="55">
        <f>IF(物品!L392=0,0,"'"&amp;物品!L392&amp;"'")</f>
        <v>0</v>
      </c>
      <c r="L255" s="55">
        <f>IF(物品!M392=0,0,"'"&amp;物品!M392&amp;"'")</f>
        <v>0</v>
      </c>
      <c r="M255" s="55">
        <f>IF(物品!N392=0,0,"'"&amp;物品!N392&amp;"'")</f>
        <v>0</v>
      </c>
      <c r="N255" s="55">
        <f>IF(物品!O392=0,0,"'"&amp;物品!O392&amp;"'")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物品!A393</f>
        <v>0</v>
      </c>
      <c r="B256" s="55" t="str">
        <f>"'"&amp;物品!B393&amp;"'"</f>
        <v>'IK94'</v>
      </c>
      <c r="C256" s="55">
        <f>物品!J393</f>
        <v>0</v>
      </c>
      <c r="D256" s="55">
        <f>物品!K393</f>
        <v>0</v>
      </c>
      <c r="E256" s="55">
        <f>物品!L393</f>
        <v>0</v>
      </c>
      <c r="F256" s="55">
        <f>物品!M393</f>
        <v>0</v>
      </c>
      <c r="G256" s="55">
        <f>物品!N393</f>
        <v>0</v>
      </c>
      <c r="H256" s="55">
        <f>物品!O393</f>
        <v>0</v>
      </c>
      <c r="I256" s="55">
        <f>IF(物品!J393=0,0,"'"&amp;物品!J393&amp;"'")</f>
        <v>0</v>
      </c>
      <c r="J256" s="55">
        <f>IF(物品!K393=0,0,"'"&amp;物品!K393&amp;"'")</f>
        <v>0</v>
      </c>
      <c r="K256" s="55">
        <f>IF(物品!L393=0,0,"'"&amp;物品!L393&amp;"'")</f>
        <v>0</v>
      </c>
      <c r="L256" s="55">
        <f>IF(物品!M393=0,0,"'"&amp;物品!M393&amp;"'")</f>
        <v>0</v>
      </c>
      <c r="M256" s="55">
        <f>IF(物品!N393=0,0,"'"&amp;物品!N393&amp;"'")</f>
        <v>0</v>
      </c>
      <c r="N256" s="55">
        <f>IF(物品!O393=0,0,"'"&amp;物品!O393&amp;"'")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物品!A394</f>
        <v>0</v>
      </c>
      <c r="B257" s="55" t="str">
        <f>"'"&amp;物品!B394&amp;"'"</f>
        <v>'IK95'</v>
      </c>
      <c r="C257" s="55">
        <f>物品!J394</f>
        <v>0</v>
      </c>
      <c r="D257" s="55">
        <f>物品!K394</f>
        <v>0</v>
      </c>
      <c r="E257" s="55">
        <f>物品!L394</f>
        <v>0</v>
      </c>
      <c r="F257" s="55">
        <f>物品!M394</f>
        <v>0</v>
      </c>
      <c r="G257" s="55">
        <f>物品!N394</f>
        <v>0</v>
      </c>
      <c r="H257" s="55">
        <f>物品!O394</f>
        <v>0</v>
      </c>
      <c r="I257" s="55">
        <f>IF(物品!J394=0,0,"'"&amp;物品!J394&amp;"'")</f>
        <v>0</v>
      </c>
      <c r="J257" s="55">
        <f>IF(物品!K394=0,0,"'"&amp;物品!K394&amp;"'")</f>
        <v>0</v>
      </c>
      <c r="K257" s="55">
        <f>IF(物品!L394=0,0,"'"&amp;物品!L394&amp;"'")</f>
        <v>0</v>
      </c>
      <c r="L257" s="55">
        <f>IF(物品!M394=0,0,"'"&amp;物品!M394&amp;"'")</f>
        <v>0</v>
      </c>
      <c r="M257" s="55">
        <f>IF(物品!N394=0,0,"'"&amp;物品!N394&amp;"'")</f>
        <v>0</v>
      </c>
      <c r="N257" s="55">
        <f>IF(物品!O394=0,0,"'"&amp;物品!O394&amp;"'")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物品!A395</f>
        <v>0</v>
      </c>
      <c r="B258" s="55" t="str">
        <f>"'"&amp;物品!B395&amp;"'"</f>
        <v>'IK96'</v>
      </c>
      <c r="C258" s="55">
        <f>物品!J395</f>
        <v>0</v>
      </c>
      <c r="D258" s="55">
        <f>物品!K395</f>
        <v>0</v>
      </c>
      <c r="E258" s="55">
        <f>物品!L395</f>
        <v>0</v>
      </c>
      <c r="F258" s="55">
        <f>物品!M395</f>
        <v>0</v>
      </c>
      <c r="G258" s="55">
        <f>物品!N395</f>
        <v>0</v>
      </c>
      <c r="H258" s="55">
        <f>物品!O395</f>
        <v>0</v>
      </c>
      <c r="I258" s="55">
        <f>IF(物品!J395=0,0,"'"&amp;物品!J395&amp;"'")</f>
        <v>0</v>
      </c>
      <c r="J258" s="55">
        <f>IF(物品!K395=0,0,"'"&amp;物品!K395&amp;"'")</f>
        <v>0</v>
      </c>
      <c r="K258" s="55">
        <f>IF(物品!L395=0,0,"'"&amp;物品!L395&amp;"'")</f>
        <v>0</v>
      </c>
      <c r="L258" s="55">
        <f>IF(物品!M395=0,0,"'"&amp;物品!M395&amp;"'")</f>
        <v>0</v>
      </c>
      <c r="M258" s="55">
        <f>IF(物品!N395=0,0,"'"&amp;物品!N395&amp;"'")</f>
        <v>0</v>
      </c>
      <c r="N258" s="55">
        <f>IF(物品!O395=0,0,"'"&amp;物品!O395&amp;"'")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物品!A396</f>
        <v>0</v>
      </c>
      <c r="B259" s="55" t="str">
        <f>"'"&amp;物品!B396&amp;"'"</f>
        <v>'IK97'</v>
      </c>
      <c r="C259" s="55">
        <f>物品!J396</f>
        <v>0</v>
      </c>
      <c r="D259" s="55">
        <f>物品!K396</f>
        <v>0</v>
      </c>
      <c r="E259" s="55">
        <f>物品!L396</f>
        <v>0</v>
      </c>
      <c r="F259" s="55">
        <f>物品!M396</f>
        <v>0</v>
      </c>
      <c r="G259" s="55">
        <f>物品!N396</f>
        <v>0</v>
      </c>
      <c r="H259" s="55">
        <f>物品!O396</f>
        <v>0</v>
      </c>
      <c r="I259" s="55">
        <f>IF(物品!J396=0,0,"'"&amp;物品!J396&amp;"'")</f>
        <v>0</v>
      </c>
      <c r="J259" s="55">
        <f>IF(物品!K396=0,0,"'"&amp;物品!K396&amp;"'")</f>
        <v>0</v>
      </c>
      <c r="K259" s="55">
        <f>IF(物品!L396=0,0,"'"&amp;物品!L396&amp;"'")</f>
        <v>0</v>
      </c>
      <c r="L259" s="55">
        <f>IF(物品!M396=0,0,"'"&amp;物品!M396&amp;"'")</f>
        <v>0</v>
      </c>
      <c r="M259" s="55">
        <f>IF(物品!N396=0,0,"'"&amp;物品!N396&amp;"'")</f>
        <v>0</v>
      </c>
      <c r="N259" s="55">
        <f>IF(物品!O396=0,0,"'"&amp;物品!O396&amp;"'")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物品!A397</f>
        <v>0</v>
      </c>
      <c r="B260" s="55" t="str">
        <f>"'"&amp;物品!B397&amp;"'"</f>
        <v>'IK98'</v>
      </c>
      <c r="C260" s="55">
        <f>物品!J397</f>
        <v>0</v>
      </c>
      <c r="D260" s="55">
        <f>物品!K397</f>
        <v>0</v>
      </c>
      <c r="E260" s="55">
        <f>物品!L397</f>
        <v>0</v>
      </c>
      <c r="F260" s="55">
        <f>物品!M397</f>
        <v>0</v>
      </c>
      <c r="G260" s="55">
        <f>物品!N397</f>
        <v>0</v>
      </c>
      <c r="H260" s="55">
        <f>物品!O397</f>
        <v>0</v>
      </c>
      <c r="I260" s="55">
        <f>IF(物品!J397=0,0,"'"&amp;物品!J397&amp;"'")</f>
        <v>0</v>
      </c>
      <c r="J260" s="55">
        <f>IF(物品!K397=0,0,"'"&amp;物品!K397&amp;"'")</f>
        <v>0</v>
      </c>
      <c r="K260" s="55">
        <f>IF(物品!L397=0,0,"'"&amp;物品!L397&amp;"'")</f>
        <v>0</v>
      </c>
      <c r="L260" s="55">
        <f>IF(物品!M397=0,0,"'"&amp;物品!M397&amp;"'")</f>
        <v>0</v>
      </c>
      <c r="M260" s="55">
        <f>IF(物品!N397=0,0,"'"&amp;物品!N397&amp;"'")</f>
        <v>0</v>
      </c>
      <c r="N260" s="55">
        <f>IF(物品!O397=0,0,"'"&amp;物品!O397&amp;"'")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物品!A398</f>
        <v>0</v>
      </c>
      <c r="B261" s="55" t="str">
        <f>"'"&amp;物品!B398&amp;"'"</f>
        <v>''</v>
      </c>
      <c r="C261" s="55">
        <f>物品!J398</f>
        <v>0</v>
      </c>
      <c r="D261" s="55">
        <f>物品!K398</f>
        <v>0</v>
      </c>
      <c r="E261" s="55">
        <f>物品!L398</f>
        <v>0</v>
      </c>
      <c r="F261" s="55">
        <f>物品!M398</f>
        <v>0</v>
      </c>
      <c r="G261" s="55">
        <f>物品!N398</f>
        <v>0</v>
      </c>
      <c r="H261" s="55">
        <f>物品!O398</f>
        <v>0</v>
      </c>
      <c r="I261" s="55">
        <f>IF(物品!J398=0,0,"'"&amp;物品!J398&amp;"'")</f>
        <v>0</v>
      </c>
      <c r="J261" s="55">
        <f>IF(物品!K398=0,0,"'"&amp;物品!K398&amp;"'")</f>
        <v>0</v>
      </c>
      <c r="K261" s="55">
        <f>IF(物品!L398=0,0,"'"&amp;物品!L398&amp;"'")</f>
        <v>0</v>
      </c>
      <c r="L261" s="55">
        <f>IF(物品!M398=0,0,"'"&amp;物品!M398&amp;"'")</f>
        <v>0</v>
      </c>
      <c r="M261" s="55">
        <f>IF(物品!N398=0,0,"'"&amp;物品!N398&amp;"'")</f>
        <v>0</v>
      </c>
      <c r="N261" s="55">
        <f>IF(物品!O398=0,0,"'"&amp;物品!O398&amp;"'")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物品!A399</f>
        <v>0</v>
      </c>
      <c r="B262" s="55" t="str">
        <f>"'"&amp;物品!B399&amp;"'"</f>
        <v>''</v>
      </c>
      <c r="C262" s="55">
        <f>物品!J399</f>
        <v>0</v>
      </c>
      <c r="D262" s="55">
        <f>物品!K399</f>
        <v>0</v>
      </c>
      <c r="E262" s="55">
        <f>物品!L399</f>
        <v>0</v>
      </c>
      <c r="F262" s="55">
        <f>物品!M399</f>
        <v>0</v>
      </c>
      <c r="G262" s="55">
        <f>物品!N399</f>
        <v>0</v>
      </c>
      <c r="H262" s="55">
        <f>物品!O399</f>
        <v>0</v>
      </c>
      <c r="I262" s="55">
        <f>IF(物品!J399=0,0,"'"&amp;物品!J399&amp;"'")</f>
        <v>0</v>
      </c>
      <c r="J262" s="55">
        <f>IF(物品!K399=0,0,"'"&amp;物品!K399&amp;"'")</f>
        <v>0</v>
      </c>
      <c r="K262" s="55">
        <f>IF(物品!L399=0,0,"'"&amp;物品!L399&amp;"'")</f>
        <v>0</v>
      </c>
      <c r="L262" s="55">
        <f>IF(物品!M399=0,0,"'"&amp;物品!M399&amp;"'")</f>
        <v>0</v>
      </c>
      <c r="M262" s="55">
        <f>IF(物品!N399=0,0,"'"&amp;物品!N399&amp;"'")</f>
        <v>0</v>
      </c>
      <c r="N262" s="55">
        <f>IF(物品!O399=0,0,"'"&amp;物品!O399&amp;"'")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物品!A400</f>
        <v>0</v>
      </c>
      <c r="B263" s="55" t="str">
        <f>"'"&amp;物品!B400&amp;"'"</f>
        <v>''</v>
      </c>
      <c r="C263" s="55">
        <f>物品!J400</f>
        <v>0</v>
      </c>
      <c r="D263" s="55">
        <f>物品!K400</f>
        <v>0</v>
      </c>
      <c r="E263" s="55">
        <f>物品!L400</f>
        <v>0</v>
      </c>
      <c r="F263" s="55">
        <f>物品!M400</f>
        <v>0</v>
      </c>
      <c r="G263" s="55">
        <f>物品!N400</f>
        <v>0</v>
      </c>
      <c r="H263" s="55">
        <f>物品!O400</f>
        <v>0</v>
      </c>
      <c r="I263" s="55">
        <f>IF(物品!J400=0,0,"'"&amp;物品!J400&amp;"'")</f>
        <v>0</v>
      </c>
      <c r="J263" s="55">
        <f>IF(物品!K400=0,0,"'"&amp;物品!K400&amp;"'")</f>
        <v>0</v>
      </c>
      <c r="K263" s="55">
        <f>IF(物品!L400=0,0,"'"&amp;物品!L400&amp;"'")</f>
        <v>0</v>
      </c>
      <c r="L263" s="55">
        <f>IF(物品!M400=0,0,"'"&amp;物品!M400&amp;"'")</f>
        <v>0</v>
      </c>
      <c r="M263" s="55">
        <f>IF(物品!N400=0,0,"'"&amp;物品!N400&amp;"'")</f>
        <v>0</v>
      </c>
      <c r="N263" s="55">
        <f>IF(物品!O400=0,0,"'"&amp;物品!O400&amp;"'")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70" workbookViewId="0">
      <selection activeCell="A110" sqref="A110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37" t="s">
        <v>122</v>
      </c>
      <c r="B1" s="37" t="s">
        <v>123</v>
      </c>
      <c r="C1" s="37" t="s">
        <v>124</v>
      </c>
      <c r="D1" s="38" t="s">
        <v>125</v>
      </c>
      <c r="E1" s="38" t="s">
        <v>135</v>
      </c>
      <c r="F1" s="38" t="s">
        <v>127</v>
      </c>
      <c r="G1" s="38" t="s">
        <v>1160</v>
      </c>
      <c r="H1" s="39" t="s">
        <v>1161</v>
      </c>
      <c r="I1" s="43" t="s">
        <v>1162</v>
      </c>
      <c r="J1" s="44" t="s">
        <v>1158</v>
      </c>
      <c r="K1" s="45" t="s">
        <v>138</v>
      </c>
      <c r="L1" s="46" t="s">
        <v>139</v>
      </c>
      <c r="M1" s="47" t="s">
        <v>1163</v>
      </c>
      <c r="N1" s="48" t="s">
        <v>1164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IF(物品!B404="",0,"'"&amp;物品!B404&amp;"'")</f>
        <v>0</v>
      </c>
      <c r="B187">
        <f>物品!D242</f>
        <v>0</v>
      </c>
      <c r="C187">
        <f>物品!E404</f>
        <v>0</v>
      </c>
      <c r="D187">
        <f>物品!F404</f>
        <v>0</v>
      </c>
      <c r="E187">
        <f>IF(ISTEXT(物品!G395)=TRUE,"'"&amp;物品!G395&amp;"'",物品!G395)</f>
        <v>0</v>
      </c>
      <c r="F187">
        <f>IF(ISTEXT(物品!H395)=TRUE,"'"&amp;物品!H395&amp;"'",物品!H395)</f>
        <v>0</v>
      </c>
      <c r="G187">
        <f>IF(物品!I404="",0,"'"&amp;物品!I404&amp;"'")</f>
        <v>0</v>
      </c>
      <c r="H187">
        <f>IF(物品!R395="",0,物品!R395)</f>
        <v>0</v>
      </c>
      <c r="I187">
        <f>IF(物品!S395="",0,物品!S395)</f>
        <v>0</v>
      </c>
      <c r="J187">
        <f>IF(物品!C404="",0,""""&amp;物品!C404&amp;"""")</f>
        <v>0</v>
      </c>
      <c r="K187" t="str">
        <f>IF(物品!T404="","""""",""""&amp;物品!T404&amp;"""")</f>
        <v>""</v>
      </c>
      <c r="L187">
        <f>IF(物品!U404="",0,""""&amp;物品!U404&amp;"""")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IF(物品!B405="",0,"'"&amp;物品!B405&amp;"'")</f>
        <v>0</v>
      </c>
      <c r="B188">
        <f>物品!D243</f>
        <v>0</v>
      </c>
      <c r="C188">
        <f>物品!E405</f>
        <v>0</v>
      </c>
      <c r="D188">
        <f>物品!F405</f>
        <v>0</v>
      </c>
      <c r="E188">
        <f>IF(ISTEXT(物品!G396)=TRUE,"'"&amp;物品!G396&amp;"'",物品!G396)</f>
        <v>0</v>
      </c>
      <c r="F188">
        <f>IF(ISTEXT(物品!H396)=TRUE,"'"&amp;物品!H396&amp;"'",物品!H396)</f>
        <v>0</v>
      </c>
      <c r="G188">
        <f>IF(物品!I405="",0,"'"&amp;物品!I405&amp;"'")</f>
        <v>0</v>
      </c>
      <c r="H188">
        <f>IF(物品!R396="",0,物品!R396)</f>
        <v>0</v>
      </c>
      <c r="I188">
        <f>IF(物品!S396="",0,物品!S396)</f>
        <v>0</v>
      </c>
      <c r="J188">
        <f>IF(物品!C405="",0,""""&amp;物品!C405&amp;"""")</f>
        <v>0</v>
      </c>
      <c r="K188" t="str">
        <f>IF(物品!T405="","""""",""""&amp;物品!T405&amp;"""")</f>
        <v>""</v>
      </c>
      <c r="L188">
        <f>IF(物品!U405="",0,""""&amp;物品!U405&amp;"""")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IF(物品!B406="",0,"'"&amp;物品!B406&amp;"'")</f>
        <v>0</v>
      </c>
      <c r="B189">
        <f>物品!D244</f>
        <v>0</v>
      </c>
      <c r="C189">
        <f>物品!E406</f>
        <v>0</v>
      </c>
      <c r="D189">
        <f>物品!F406</f>
        <v>0</v>
      </c>
      <c r="E189">
        <f>IF(ISTEXT(物品!G397)=TRUE,"'"&amp;物品!G397&amp;"'",物品!G397)</f>
        <v>0</v>
      </c>
      <c r="F189">
        <f>IF(ISTEXT(物品!H397)=TRUE,"'"&amp;物品!H397&amp;"'",物品!H397)</f>
        <v>0</v>
      </c>
      <c r="G189">
        <f>IF(物品!I406="",0,"'"&amp;物品!I406&amp;"'")</f>
        <v>0</v>
      </c>
      <c r="H189">
        <f>IF(物品!R397="",0,物品!R397)</f>
        <v>0</v>
      </c>
      <c r="I189">
        <f>IF(物品!S397="",0,物品!S397)</f>
        <v>0</v>
      </c>
      <c r="J189">
        <f>IF(物品!C406="",0,""""&amp;物品!C406&amp;"""")</f>
        <v>0</v>
      </c>
      <c r="K189" t="str">
        <f>IF(物品!T406="","""""",""""&amp;物品!T406&amp;"""")</f>
        <v>""</v>
      </c>
      <c r="L189">
        <f>IF(物品!U406="",0,""""&amp;物品!U406&amp;"""")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IF(物品!B407="",0,"'"&amp;物品!B407&amp;"'")</f>
        <v>0</v>
      </c>
      <c r="B190">
        <f>物品!D245</f>
        <v>0</v>
      </c>
      <c r="C190">
        <f>物品!E407</f>
        <v>0</v>
      </c>
      <c r="D190">
        <f>物品!F407</f>
        <v>0</v>
      </c>
      <c r="E190">
        <f>IF(ISTEXT(物品!G398)=TRUE,"'"&amp;物品!G398&amp;"'",物品!G398)</f>
        <v>0</v>
      </c>
      <c r="F190">
        <f>IF(ISTEXT(物品!H398)=TRUE,"'"&amp;物品!H398&amp;"'",物品!H398)</f>
        <v>0</v>
      </c>
      <c r="G190">
        <f>IF(物品!I407="",0,"'"&amp;物品!I407&amp;"'")</f>
        <v>0</v>
      </c>
      <c r="H190">
        <f>IF(物品!R398="",0,物品!R398)</f>
        <v>0</v>
      </c>
      <c r="I190">
        <f>IF(物品!S398="",0,物品!S398)</f>
        <v>0</v>
      </c>
      <c r="J190">
        <f>IF(物品!C407="",0,""""&amp;物品!C407&amp;"""")</f>
        <v>0</v>
      </c>
      <c r="K190" t="str">
        <f>IF(物品!T407="","""""",""""&amp;物品!T407&amp;"""")</f>
        <v>""</v>
      </c>
      <c r="L190">
        <f>IF(物品!U407="",0,""""&amp;物品!U407&amp;"""")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IF(物品!B408="",0,"'"&amp;物品!B408&amp;"'")</f>
        <v>0</v>
      </c>
      <c r="B191">
        <f>物品!D246</f>
        <v>0</v>
      </c>
      <c r="C191">
        <f>物品!E408</f>
        <v>0</v>
      </c>
      <c r="D191">
        <f>物品!F408</f>
        <v>0</v>
      </c>
      <c r="E191">
        <f>IF(ISTEXT(物品!G399)=TRUE,"'"&amp;物品!G399&amp;"'",物品!G399)</f>
        <v>0</v>
      </c>
      <c r="F191">
        <f>IF(ISTEXT(物品!H399)=TRUE,"'"&amp;物品!H399&amp;"'",物品!H399)</f>
        <v>0</v>
      </c>
      <c r="G191">
        <f>IF(物品!I408="",0,"'"&amp;物品!I408&amp;"'")</f>
        <v>0</v>
      </c>
      <c r="H191">
        <f>IF(物品!R399="",0,物品!R399)</f>
        <v>0</v>
      </c>
      <c r="I191">
        <f>IF(物品!S399="",0,物品!S399)</f>
        <v>0</v>
      </c>
      <c r="J191">
        <f>IF(物品!C408="",0,""""&amp;物品!C408&amp;"""")</f>
        <v>0</v>
      </c>
      <c r="K191" t="str">
        <f>IF(物品!T408="","""""",""""&amp;物品!T408&amp;"""")</f>
        <v>""</v>
      </c>
      <c r="L191">
        <f>IF(物品!U408="",0,""""&amp;物品!U408&amp;"""")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IF(物品!B409="",0,"'"&amp;物品!B409&amp;"'")</f>
        <v>0</v>
      </c>
      <c r="B192">
        <f>物品!D266</f>
        <v>0</v>
      </c>
      <c r="C192">
        <f>物品!E409</f>
        <v>0</v>
      </c>
      <c r="D192">
        <f>物品!F409</f>
        <v>0</v>
      </c>
      <c r="E192">
        <f>IF(ISTEXT(物品!G400)=TRUE,"'"&amp;物品!G400&amp;"'",物品!G400)</f>
        <v>0</v>
      </c>
      <c r="F192">
        <f>IF(ISTEXT(物品!H400)=TRUE,"'"&amp;物品!H400&amp;"'",物品!H400)</f>
        <v>0</v>
      </c>
      <c r="G192">
        <f>IF(物品!I409="",0,"'"&amp;物品!I409&amp;"'")</f>
        <v>0</v>
      </c>
      <c r="H192">
        <f>IF(物品!R400="",0,物品!R400)</f>
        <v>0</v>
      </c>
      <c r="I192">
        <f>IF(物品!S400="",0,物品!S400)</f>
        <v>0</v>
      </c>
      <c r="J192">
        <f>IF(物品!C409="",0,""""&amp;物品!C409&amp;"""")</f>
        <v>0</v>
      </c>
      <c r="K192" t="str">
        <f>IF(物品!T409="","""""",""""&amp;物品!T409&amp;"""")</f>
        <v>""</v>
      </c>
      <c r="L192">
        <f>IF(物品!U409="",0,""""&amp;物品!U409&amp;"""")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IF(物品!B410="",0,"'"&amp;物品!B410&amp;"'")</f>
        <v>0</v>
      </c>
      <c r="B193">
        <f>物品!D267</f>
        <v>0</v>
      </c>
      <c r="C193">
        <f>物品!E410</f>
        <v>0</v>
      </c>
      <c r="D193">
        <f>物品!F410</f>
        <v>0</v>
      </c>
      <c r="E193">
        <f>IF(ISTEXT(物品!G401)=TRUE,"'"&amp;物品!G401&amp;"'",物品!G401)</f>
        <v>0</v>
      </c>
      <c r="F193">
        <f>IF(ISTEXT(物品!H401)=TRUE,"'"&amp;物品!H401&amp;"'",物品!H401)</f>
        <v>0</v>
      </c>
      <c r="G193">
        <f>IF(物品!I410="",0,"'"&amp;物品!I410&amp;"'")</f>
        <v>0</v>
      </c>
      <c r="H193">
        <f>IF(物品!R401="",0,物品!R401)</f>
        <v>0</v>
      </c>
      <c r="I193">
        <f>IF(物品!S401="",0,物品!S401)</f>
        <v>0</v>
      </c>
      <c r="J193">
        <f>IF(物品!C410="",0,""""&amp;物品!C410&amp;"""")</f>
        <v>0</v>
      </c>
      <c r="K193" t="str">
        <f>IF(物品!T410="","""""",""""&amp;物品!T410&amp;"""")</f>
        <v>""</v>
      </c>
      <c r="L193">
        <f>IF(物品!U410="",0,""""&amp;物品!U410&amp;"""")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IF(物品!B411="",0,"'"&amp;物品!B411&amp;"'")</f>
        <v>0</v>
      </c>
      <c r="B194">
        <f>物品!D268</f>
        <v>0</v>
      </c>
      <c r="C194">
        <f>物品!E411</f>
        <v>0</v>
      </c>
      <c r="D194">
        <f>物品!F411</f>
        <v>0</v>
      </c>
      <c r="E194">
        <f>IF(ISTEXT(物品!G402)=TRUE,"'"&amp;物品!G402&amp;"'",物品!G402)</f>
        <v>0</v>
      </c>
      <c r="F194">
        <f>IF(ISTEXT(物品!H402)=TRUE,"'"&amp;物品!H402&amp;"'",物品!H402)</f>
        <v>0</v>
      </c>
      <c r="G194">
        <f>IF(物品!I411="",0,"'"&amp;物品!I411&amp;"'")</f>
        <v>0</v>
      </c>
      <c r="H194">
        <f>IF(物品!R402="",0,物品!R402)</f>
        <v>0</v>
      </c>
      <c r="I194">
        <f>IF(物品!S402="",0,物品!S402)</f>
        <v>0</v>
      </c>
      <c r="J194">
        <f>IF(物品!C411="",0,""""&amp;物品!C411&amp;"""")</f>
        <v>0</v>
      </c>
      <c r="K194" t="str">
        <f>IF(物品!T411="","""""",""""&amp;物品!T411&amp;"""")</f>
        <v>""</v>
      </c>
      <c r="L194">
        <f>IF(物品!U411="",0,""""&amp;物品!U411&amp;"""")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IF(物品!B412="",0,"'"&amp;物品!B412&amp;"'")</f>
        <v>0</v>
      </c>
      <c r="B195">
        <f>物品!D269</f>
        <v>0</v>
      </c>
      <c r="C195">
        <f>物品!E412</f>
        <v>0</v>
      </c>
      <c r="D195">
        <f>物品!F412</f>
        <v>0</v>
      </c>
      <c r="E195">
        <f>IF(ISTEXT(物品!G403)=TRUE,"'"&amp;物品!G403&amp;"'",物品!G403)</f>
        <v>0</v>
      </c>
      <c r="F195">
        <f>IF(ISTEXT(物品!H403)=TRUE,"'"&amp;物品!H403&amp;"'",物品!H403)</f>
        <v>0</v>
      </c>
      <c r="G195">
        <f>IF(物品!I412="",0,"'"&amp;物品!I412&amp;"'")</f>
        <v>0</v>
      </c>
      <c r="H195">
        <f>IF(物品!R403="",0,物品!R403)</f>
        <v>0</v>
      </c>
      <c r="I195">
        <f>IF(物品!S403="",0,物品!S403)</f>
        <v>0</v>
      </c>
      <c r="J195">
        <f>IF(物品!C412="",0,""""&amp;物品!C412&amp;"""")</f>
        <v>0</v>
      </c>
      <c r="K195" t="str">
        <f>IF(物品!T412="","""""",""""&amp;物品!T412&amp;"""")</f>
        <v>""</v>
      </c>
      <c r="L195">
        <f>IF(物品!U412="",0,""""&amp;物品!U412&amp;"""")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IF(物品!B413="",0,"'"&amp;物品!B413&amp;"'")</f>
        <v>0</v>
      </c>
      <c r="B196">
        <f>物品!D270</f>
        <v>0</v>
      </c>
      <c r="C196">
        <f>物品!E413</f>
        <v>0</v>
      </c>
      <c r="D196">
        <f>物品!F413</f>
        <v>0</v>
      </c>
      <c r="E196">
        <f>IF(ISTEXT(物品!G404)=TRUE,"'"&amp;物品!G404&amp;"'",物品!G404)</f>
        <v>0</v>
      </c>
      <c r="F196">
        <f>IF(ISTEXT(物品!H404)=TRUE,"'"&amp;物品!H404&amp;"'",物品!H404)</f>
        <v>0</v>
      </c>
      <c r="G196">
        <f>IF(物品!I413="",0,"'"&amp;物品!I413&amp;"'")</f>
        <v>0</v>
      </c>
      <c r="H196">
        <f>IF(物品!R404="",0,物品!R404)</f>
        <v>0</v>
      </c>
      <c r="I196">
        <f>IF(物品!S404="",0,物品!S404)</f>
        <v>0</v>
      </c>
      <c r="J196">
        <f>IF(物品!C413="",0,""""&amp;物品!C413&amp;"""")</f>
        <v>0</v>
      </c>
      <c r="K196" t="str">
        <f>IF(物品!T413="","""""",""""&amp;物品!T413&amp;"""")</f>
        <v>""</v>
      </c>
      <c r="L196">
        <f>IF(物品!U413="",0,""""&amp;物品!U413&amp;"""")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IF(物品!B414="",0,"'"&amp;物品!B414&amp;"'")</f>
        <v>0</v>
      </c>
      <c r="B197">
        <f>物品!D271</f>
        <v>0</v>
      </c>
      <c r="C197">
        <f>物品!E414</f>
        <v>0</v>
      </c>
      <c r="D197">
        <f>物品!F414</f>
        <v>0</v>
      </c>
      <c r="E197">
        <f>IF(ISTEXT(物品!G405)=TRUE,"'"&amp;物品!G405&amp;"'",物品!G405)</f>
        <v>0</v>
      </c>
      <c r="F197">
        <f>IF(ISTEXT(物品!H405)=TRUE,"'"&amp;物品!H405&amp;"'",物品!H405)</f>
        <v>0</v>
      </c>
      <c r="G197">
        <f>IF(物品!I414="",0,"'"&amp;物品!I414&amp;"'")</f>
        <v>0</v>
      </c>
      <c r="H197">
        <f>IF(物品!R405="",0,物品!R405)</f>
        <v>0</v>
      </c>
      <c r="I197">
        <f>IF(物品!S405="",0,物品!S405)</f>
        <v>0</v>
      </c>
      <c r="J197">
        <f>IF(物品!C414="",0,""""&amp;物品!C414&amp;"""")</f>
        <v>0</v>
      </c>
      <c r="K197" t="str">
        <f>IF(物品!T414="","""""",""""&amp;物品!T414&amp;"""")</f>
        <v>""</v>
      </c>
      <c r="L197">
        <f>IF(物品!U414="",0,""""&amp;物品!U414&amp;"""")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IF(物品!B415="",0,"'"&amp;物品!B415&amp;"'")</f>
        <v>0</v>
      </c>
      <c r="B198">
        <f>物品!D272</f>
        <v>0</v>
      </c>
      <c r="C198">
        <f>物品!E415</f>
        <v>0</v>
      </c>
      <c r="D198">
        <f>物品!F415</f>
        <v>0</v>
      </c>
      <c r="E198">
        <f>IF(ISTEXT(物品!G406)=TRUE,"'"&amp;物品!G406&amp;"'",物品!G406)</f>
        <v>0</v>
      </c>
      <c r="F198">
        <f>IF(ISTEXT(物品!H406)=TRUE,"'"&amp;物品!H406&amp;"'",物品!H406)</f>
        <v>0</v>
      </c>
      <c r="G198">
        <f>IF(物品!I415="",0,"'"&amp;物品!I415&amp;"'")</f>
        <v>0</v>
      </c>
      <c r="H198">
        <f>IF(物品!R406="",0,物品!R406)</f>
        <v>0</v>
      </c>
      <c r="I198">
        <f>IF(物品!S406="",0,物品!S406)</f>
        <v>0</v>
      </c>
      <c r="J198">
        <f>IF(物品!C415="",0,""""&amp;物品!C415&amp;"""")</f>
        <v>0</v>
      </c>
      <c r="K198" t="str">
        <f>IF(物品!T415="","""""",""""&amp;物品!T415&amp;"""")</f>
        <v>""</v>
      </c>
      <c r="L198">
        <f>IF(物品!U415="",0,""""&amp;物品!U415&amp;"""")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IF(物品!B416="",0,"'"&amp;物品!B416&amp;"'")</f>
        <v>0</v>
      </c>
      <c r="B199">
        <f>物品!D273</f>
        <v>0</v>
      </c>
      <c r="C199">
        <f>物品!E416</f>
        <v>0</v>
      </c>
      <c r="D199">
        <f>物品!F416</f>
        <v>0</v>
      </c>
      <c r="E199">
        <f>IF(ISTEXT(物品!G407)=TRUE,"'"&amp;物品!G407&amp;"'",物品!G407)</f>
        <v>0</v>
      </c>
      <c r="F199">
        <f>IF(ISTEXT(物品!H407)=TRUE,"'"&amp;物品!H407&amp;"'",物品!H407)</f>
        <v>0</v>
      </c>
      <c r="G199">
        <f>IF(物品!I416="",0,"'"&amp;物品!I416&amp;"'")</f>
        <v>0</v>
      </c>
      <c r="H199">
        <f>IF(物品!R407="",0,物品!R407)</f>
        <v>0</v>
      </c>
      <c r="I199">
        <f>IF(物品!S407="",0,物品!S407)</f>
        <v>0</v>
      </c>
      <c r="J199">
        <f>IF(物品!C416="",0,""""&amp;物品!C416&amp;"""")</f>
        <v>0</v>
      </c>
      <c r="K199" t="str">
        <f>IF(物品!T416="","""""",""""&amp;物品!T416&amp;"""")</f>
        <v>""</v>
      </c>
      <c r="L199">
        <f>IF(物品!U416="",0,""""&amp;物品!U416&amp;"""")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IF(物品!B417="",0,"'"&amp;物品!B417&amp;"'")</f>
        <v>0</v>
      </c>
      <c r="B200">
        <f>物品!D274</f>
        <v>0</v>
      </c>
      <c r="C200">
        <f>物品!E417</f>
        <v>0</v>
      </c>
      <c r="D200">
        <f>物品!F417</f>
        <v>0</v>
      </c>
      <c r="E200">
        <f>IF(ISTEXT(物品!G408)=TRUE,"'"&amp;物品!G408&amp;"'",物品!G408)</f>
        <v>0</v>
      </c>
      <c r="F200">
        <f>IF(ISTEXT(物品!H408)=TRUE,"'"&amp;物品!H408&amp;"'",物品!H408)</f>
        <v>0</v>
      </c>
      <c r="G200">
        <f>IF(物品!I417="",0,"'"&amp;物品!I417&amp;"'")</f>
        <v>0</v>
      </c>
      <c r="H200">
        <f>IF(物品!R408="",0,物品!R408)</f>
        <v>0</v>
      </c>
      <c r="I200">
        <f>IF(物品!S408="",0,物品!S408)</f>
        <v>0</v>
      </c>
      <c r="J200">
        <f>IF(物品!C417="",0,""""&amp;物品!C417&amp;"""")</f>
        <v>0</v>
      </c>
      <c r="K200" t="str">
        <f>IF(物品!T417="","""""",""""&amp;物品!T417&amp;"""")</f>
        <v>""</v>
      </c>
      <c r="L200">
        <f>IF(物品!U417="",0,""""&amp;物品!U417&amp;"""")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IF(物品!B418="",0,"'"&amp;物品!B418&amp;"'")</f>
        <v>0</v>
      </c>
      <c r="B201">
        <f>物品!D275</f>
        <v>0</v>
      </c>
      <c r="C201">
        <f>物品!E418</f>
        <v>0</v>
      </c>
      <c r="D201">
        <f>物品!F418</f>
        <v>0</v>
      </c>
      <c r="E201">
        <f>IF(ISTEXT(物品!G409)=TRUE,"'"&amp;物品!G409&amp;"'",物品!G409)</f>
        <v>0</v>
      </c>
      <c r="F201">
        <f>IF(ISTEXT(物品!H409)=TRUE,"'"&amp;物品!H409&amp;"'",物品!H409)</f>
        <v>0</v>
      </c>
      <c r="G201">
        <f>IF(物品!I418="",0,"'"&amp;物品!I418&amp;"'")</f>
        <v>0</v>
      </c>
      <c r="H201">
        <f>IF(物品!R409="",0,物品!R409)</f>
        <v>0</v>
      </c>
      <c r="I201">
        <f>IF(物品!S409="",0,物品!S409)</f>
        <v>0</v>
      </c>
      <c r="J201">
        <f>IF(物品!C418="",0,""""&amp;物品!C418&amp;"""")</f>
        <v>0</v>
      </c>
      <c r="K201" t="str">
        <f>IF(物品!T418="","""""",""""&amp;物品!T418&amp;"""")</f>
        <v>""</v>
      </c>
      <c r="L201">
        <f>IF(物品!U418="",0,""""&amp;物品!U418&amp;"""")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IF(物品!B419="",0,"'"&amp;物品!B419&amp;"'")</f>
        <v>0</v>
      </c>
      <c r="B202">
        <f>物品!D276</f>
        <v>0</v>
      </c>
      <c r="C202">
        <f>物品!E419</f>
        <v>0</v>
      </c>
      <c r="D202">
        <f>物品!F419</f>
        <v>0</v>
      </c>
      <c r="E202">
        <f>IF(ISTEXT(物品!G410)=TRUE,"'"&amp;物品!G410&amp;"'",物品!G410)</f>
        <v>0</v>
      </c>
      <c r="F202">
        <f>IF(ISTEXT(物品!H410)=TRUE,"'"&amp;物品!H410&amp;"'",物品!H410)</f>
        <v>0</v>
      </c>
      <c r="G202">
        <f>IF(物品!I419="",0,"'"&amp;物品!I419&amp;"'")</f>
        <v>0</v>
      </c>
      <c r="H202">
        <f>IF(物品!R410="",0,物品!R410)</f>
        <v>0</v>
      </c>
      <c r="I202">
        <f>IF(物品!S410="",0,物品!S410)</f>
        <v>0</v>
      </c>
      <c r="J202">
        <f>IF(物品!C419="",0,""""&amp;物品!C419&amp;"""")</f>
        <v>0</v>
      </c>
      <c r="K202" t="str">
        <f>IF(物品!T419="","""""",""""&amp;物品!T419&amp;"""")</f>
        <v>""</v>
      </c>
      <c r="L202">
        <f>IF(物品!U419="",0,""""&amp;物品!U419&amp;"""")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IF(物品!B420="",0,"'"&amp;物品!B420&amp;"'")</f>
        <v>0</v>
      </c>
      <c r="B203">
        <f>物品!D277</f>
        <v>0</v>
      </c>
      <c r="C203">
        <f>物品!E420</f>
        <v>0</v>
      </c>
      <c r="D203">
        <f>物品!F420</f>
        <v>0</v>
      </c>
      <c r="E203">
        <f>IF(ISTEXT(物品!G411)=TRUE,"'"&amp;物品!G411&amp;"'",物品!G411)</f>
        <v>0</v>
      </c>
      <c r="F203">
        <f>IF(ISTEXT(物品!H411)=TRUE,"'"&amp;物品!H411&amp;"'",物品!H411)</f>
        <v>0</v>
      </c>
      <c r="G203">
        <f>IF(物品!I420="",0,"'"&amp;物品!I420&amp;"'")</f>
        <v>0</v>
      </c>
      <c r="H203">
        <f>IF(物品!R411="",0,物品!R411)</f>
        <v>0</v>
      </c>
      <c r="I203">
        <f>IF(物品!S411="",0,物品!S411)</f>
        <v>0</v>
      </c>
      <c r="J203">
        <f>IF(物品!C420="",0,""""&amp;物品!C420&amp;"""")</f>
        <v>0</v>
      </c>
      <c r="K203" t="str">
        <f>IF(物品!T420="","""""",""""&amp;物品!T420&amp;"""")</f>
        <v>""</v>
      </c>
      <c r="L203">
        <f>IF(物品!U420="",0,""""&amp;物品!U420&amp;"""")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IF(物品!B421="",0,"'"&amp;物品!B421&amp;"'")</f>
        <v>0</v>
      </c>
      <c r="B204">
        <f>物品!D278</f>
        <v>0</v>
      </c>
      <c r="C204">
        <f>物品!E421</f>
        <v>0</v>
      </c>
      <c r="D204">
        <f>物品!F421</f>
        <v>0</v>
      </c>
      <c r="E204">
        <f>IF(ISTEXT(物品!G412)=TRUE,"'"&amp;物品!G412&amp;"'",物品!G412)</f>
        <v>0</v>
      </c>
      <c r="F204">
        <f>IF(ISTEXT(物品!H412)=TRUE,"'"&amp;物品!H412&amp;"'",物品!H412)</f>
        <v>0</v>
      </c>
      <c r="G204">
        <f>IF(物品!I421="",0,"'"&amp;物品!I421&amp;"'")</f>
        <v>0</v>
      </c>
      <c r="H204">
        <f>IF(物品!R412="",0,物品!R412)</f>
        <v>0</v>
      </c>
      <c r="I204">
        <f>IF(物品!S412="",0,物品!S412)</f>
        <v>0</v>
      </c>
      <c r="J204">
        <f>IF(物品!C421="",0,""""&amp;物品!C421&amp;"""")</f>
        <v>0</v>
      </c>
      <c r="K204" t="str">
        <f>IF(物品!T421="","""""",""""&amp;物品!T421&amp;"""")</f>
        <v>""</v>
      </c>
      <c r="L204">
        <f>IF(物品!U421="",0,""""&amp;物品!U421&amp;"""")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IF(物品!B422="",0,"'"&amp;物品!B422&amp;"'")</f>
        <v>0</v>
      </c>
      <c r="B205">
        <f>物品!D279</f>
        <v>0</v>
      </c>
      <c r="C205">
        <f>物品!E422</f>
        <v>0</v>
      </c>
      <c r="D205">
        <f>物品!F422</f>
        <v>0</v>
      </c>
      <c r="E205">
        <f>IF(ISTEXT(物品!G413)=TRUE,"'"&amp;物品!G413&amp;"'",物品!G413)</f>
        <v>0</v>
      </c>
      <c r="F205">
        <f>IF(ISTEXT(物品!H413)=TRUE,"'"&amp;物品!H413&amp;"'",物品!H413)</f>
        <v>0</v>
      </c>
      <c r="G205">
        <f>IF(物品!I422="",0,"'"&amp;物品!I422&amp;"'")</f>
        <v>0</v>
      </c>
      <c r="H205">
        <f>IF(物品!R413="",0,物品!R413)</f>
        <v>0</v>
      </c>
      <c r="I205">
        <f>IF(物品!S413="",0,物品!S413)</f>
        <v>0</v>
      </c>
      <c r="J205">
        <f>IF(物品!C422="",0,""""&amp;物品!C422&amp;"""")</f>
        <v>0</v>
      </c>
      <c r="K205" t="str">
        <f>IF(物品!T422="","""""",""""&amp;物品!T422&amp;"""")</f>
        <v>""</v>
      </c>
      <c r="L205">
        <f>IF(物品!U422="",0,""""&amp;物品!U422&amp;"""")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IF(物品!B423="",0,"'"&amp;物品!B423&amp;"'")</f>
        <v>0</v>
      </c>
      <c r="B206">
        <f>物品!D280</f>
        <v>0</v>
      </c>
      <c r="C206">
        <f>物品!E423</f>
        <v>0</v>
      </c>
      <c r="D206">
        <f>物品!F423</f>
        <v>0</v>
      </c>
      <c r="E206">
        <f>IF(ISTEXT(物品!G414)=TRUE,"'"&amp;物品!G414&amp;"'",物品!G414)</f>
        <v>0</v>
      </c>
      <c r="F206">
        <f>IF(ISTEXT(物品!H414)=TRUE,"'"&amp;物品!H414&amp;"'",物品!H414)</f>
        <v>0</v>
      </c>
      <c r="G206">
        <f>IF(物品!I423="",0,"'"&amp;物品!I423&amp;"'")</f>
        <v>0</v>
      </c>
      <c r="H206">
        <f>IF(物品!R414="",0,物品!R414)</f>
        <v>0</v>
      </c>
      <c r="I206">
        <f>IF(物品!S414="",0,物品!S414)</f>
        <v>0</v>
      </c>
      <c r="J206">
        <f>IF(物品!C423="",0,""""&amp;物品!C423&amp;"""")</f>
        <v>0</v>
      </c>
      <c r="K206" t="str">
        <f>IF(物品!T423="","""""",""""&amp;物品!T423&amp;"""")</f>
        <v>""</v>
      </c>
      <c r="L206">
        <f>IF(物品!U423="",0,""""&amp;物品!U423&amp;"""")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IF(物品!B424="",0,"'"&amp;物品!B424&amp;"'")</f>
        <v>0</v>
      </c>
      <c r="B207">
        <f>物品!D281</f>
        <v>0</v>
      </c>
      <c r="C207">
        <f>物品!E424</f>
        <v>0</v>
      </c>
      <c r="D207">
        <f>物品!F424</f>
        <v>0</v>
      </c>
      <c r="E207">
        <f>IF(ISTEXT(物品!G415)=TRUE,"'"&amp;物品!G415&amp;"'",物品!G415)</f>
        <v>0</v>
      </c>
      <c r="F207">
        <f>IF(ISTEXT(物品!H415)=TRUE,"'"&amp;物品!H415&amp;"'",物品!H415)</f>
        <v>0</v>
      </c>
      <c r="G207">
        <f>IF(物品!I424="",0,"'"&amp;物品!I424&amp;"'")</f>
        <v>0</v>
      </c>
      <c r="H207">
        <f>IF(物品!R415="",0,物品!R415)</f>
        <v>0</v>
      </c>
      <c r="I207">
        <f>IF(物品!S415="",0,物品!S415)</f>
        <v>0</v>
      </c>
      <c r="J207">
        <f>IF(物品!C424="",0,""""&amp;物品!C424&amp;"""")</f>
        <v>0</v>
      </c>
      <c r="K207" t="str">
        <f>IF(物品!T424="","""""",""""&amp;物品!T424&amp;"""")</f>
        <v>""</v>
      </c>
      <c r="L207">
        <f>IF(物品!U424="",0,""""&amp;物品!U424&amp;"""")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IF(物品!B425="",0,"'"&amp;物品!B425&amp;"'")</f>
        <v>0</v>
      </c>
      <c r="B208">
        <f>物品!D282</f>
        <v>0</v>
      </c>
      <c r="C208">
        <f>物品!E425</f>
        <v>0</v>
      </c>
      <c r="D208">
        <f>物品!F425</f>
        <v>0</v>
      </c>
      <c r="E208">
        <f>IF(ISTEXT(物品!G416)=TRUE,"'"&amp;物品!G416&amp;"'",物品!G416)</f>
        <v>0</v>
      </c>
      <c r="F208">
        <f>IF(ISTEXT(物品!H416)=TRUE,"'"&amp;物品!H416&amp;"'",物品!H416)</f>
        <v>0</v>
      </c>
      <c r="G208">
        <f>IF(物品!I425="",0,"'"&amp;物品!I425&amp;"'")</f>
        <v>0</v>
      </c>
      <c r="H208">
        <f>IF(物品!R416="",0,物品!R416)</f>
        <v>0</v>
      </c>
      <c r="I208">
        <f>IF(物品!S416="",0,物品!S416)</f>
        <v>0</v>
      </c>
      <c r="J208">
        <f>IF(物品!C425="",0,""""&amp;物品!C425&amp;"""")</f>
        <v>0</v>
      </c>
      <c r="K208" t="str">
        <f>IF(物品!T425="","""""",""""&amp;物品!T425&amp;"""")</f>
        <v>""</v>
      </c>
      <c r="L208">
        <f>IF(物品!U425="",0,""""&amp;物品!U425&amp;"""")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IF(物品!B426="",0,"'"&amp;物品!B426&amp;"'")</f>
        <v>0</v>
      </c>
      <c r="B209">
        <f>物品!D283</f>
        <v>0</v>
      </c>
      <c r="C209">
        <f>物品!E426</f>
        <v>0</v>
      </c>
      <c r="D209">
        <f>物品!F426</f>
        <v>0</v>
      </c>
      <c r="E209">
        <f>IF(ISTEXT(物品!G417)=TRUE,"'"&amp;物品!G417&amp;"'",物品!G417)</f>
        <v>0</v>
      </c>
      <c r="F209">
        <f>IF(ISTEXT(物品!H417)=TRUE,"'"&amp;物品!H417&amp;"'",物品!H417)</f>
        <v>0</v>
      </c>
      <c r="G209">
        <f>IF(物品!I426="",0,"'"&amp;物品!I426&amp;"'")</f>
        <v>0</v>
      </c>
      <c r="H209">
        <f>IF(物品!R417="",0,物品!R417)</f>
        <v>0</v>
      </c>
      <c r="I209">
        <f>IF(物品!S417="",0,物品!S417)</f>
        <v>0</v>
      </c>
      <c r="J209">
        <f>IF(物品!C426="",0,""""&amp;物品!C426&amp;"""")</f>
        <v>0</v>
      </c>
      <c r="K209" t="str">
        <f>IF(物品!T426="","""""",""""&amp;物品!T426&amp;"""")</f>
        <v>""</v>
      </c>
      <c r="L209">
        <f>IF(物品!U426="",0,""""&amp;物品!U426&amp;"""")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IF(物品!B427="",0,"'"&amp;物品!B427&amp;"'")</f>
        <v>0</v>
      </c>
      <c r="B210">
        <f>物品!D284</f>
        <v>0</v>
      </c>
      <c r="C210">
        <f>物品!E427</f>
        <v>0</v>
      </c>
      <c r="D210">
        <f>物品!F427</f>
        <v>0</v>
      </c>
      <c r="E210">
        <f>IF(ISTEXT(物品!G418)=TRUE,"'"&amp;物品!G418&amp;"'",物品!G418)</f>
        <v>0</v>
      </c>
      <c r="F210">
        <f>IF(ISTEXT(物品!H418)=TRUE,"'"&amp;物品!H418&amp;"'",物品!H418)</f>
        <v>0</v>
      </c>
      <c r="G210">
        <f>IF(物品!I427="",0,"'"&amp;物品!I427&amp;"'")</f>
        <v>0</v>
      </c>
      <c r="H210">
        <f>IF(物品!R418="",0,物品!R418)</f>
        <v>0</v>
      </c>
      <c r="I210">
        <f>IF(物品!S418="",0,物品!S418)</f>
        <v>0</v>
      </c>
      <c r="J210">
        <f>IF(物品!C427="",0,""""&amp;物品!C427&amp;"""")</f>
        <v>0</v>
      </c>
      <c r="K210" t="str">
        <f>IF(物品!T427="","""""",""""&amp;物品!T427&amp;"""")</f>
        <v>""</v>
      </c>
      <c r="L210">
        <f>IF(物品!U427="",0,""""&amp;物品!U427&amp;"""")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IF(物品!B428="",0,"'"&amp;物品!B428&amp;"'")</f>
        <v>0</v>
      </c>
      <c r="B211">
        <f>物品!D285</f>
        <v>0</v>
      </c>
      <c r="C211">
        <f>物品!E428</f>
        <v>0</v>
      </c>
      <c r="D211">
        <f>物品!F428</f>
        <v>0</v>
      </c>
      <c r="E211">
        <f>IF(ISTEXT(物品!G419)=TRUE,"'"&amp;物品!G419&amp;"'",物品!G419)</f>
        <v>0</v>
      </c>
      <c r="F211">
        <f>IF(ISTEXT(物品!H419)=TRUE,"'"&amp;物品!H419&amp;"'",物品!H419)</f>
        <v>0</v>
      </c>
      <c r="G211">
        <f>IF(物品!I428="",0,"'"&amp;物品!I428&amp;"'")</f>
        <v>0</v>
      </c>
      <c r="H211">
        <f>IF(物品!R419="",0,物品!R419)</f>
        <v>0</v>
      </c>
      <c r="I211">
        <f>IF(物品!S419="",0,物品!S419)</f>
        <v>0</v>
      </c>
      <c r="J211">
        <f>IF(物品!C428="",0,""""&amp;物品!C428&amp;"""")</f>
        <v>0</v>
      </c>
      <c r="K211" t="str">
        <f>IF(物品!T428="","""""",""""&amp;物品!T428&amp;"""")</f>
        <v>""</v>
      </c>
      <c r="L211">
        <f>IF(物品!U428="",0,""""&amp;物品!U428&amp;"""")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IF(物品!B429="",0,"'"&amp;物品!B429&amp;"'")</f>
        <v>0</v>
      </c>
      <c r="B212">
        <f>物品!D286</f>
        <v>0</v>
      </c>
      <c r="C212">
        <f>物品!E429</f>
        <v>0</v>
      </c>
      <c r="D212">
        <f>物品!F429</f>
        <v>0</v>
      </c>
      <c r="E212">
        <f>IF(ISTEXT(物品!G420)=TRUE,"'"&amp;物品!G420&amp;"'",物品!G420)</f>
        <v>0</v>
      </c>
      <c r="F212">
        <f>IF(ISTEXT(物品!H420)=TRUE,"'"&amp;物品!H420&amp;"'",物品!H420)</f>
        <v>0</v>
      </c>
      <c r="G212">
        <f>IF(物品!I429="",0,"'"&amp;物品!I429&amp;"'")</f>
        <v>0</v>
      </c>
      <c r="H212">
        <f>IF(物品!R420="",0,物品!R420)</f>
        <v>0</v>
      </c>
      <c r="I212">
        <f>IF(物品!S420="",0,物品!S420)</f>
        <v>0</v>
      </c>
      <c r="J212">
        <f>IF(物品!C429="",0,""""&amp;物品!C429&amp;"""")</f>
        <v>0</v>
      </c>
      <c r="K212" t="str">
        <f>IF(物品!T429="","""""",""""&amp;物品!T429&amp;"""")</f>
        <v>""</v>
      </c>
      <c r="L212">
        <f>IF(物品!U429="",0,""""&amp;物品!U429&amp;"""")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IF(物品!B430="",0,"'"&amp;物品!B430&amp;"'")</f>
        <v>0</v>
      </c>
      <c r="B213">
        <f>物品!D287</f>
        <v>0</v>
      </c>
      <c r="C213">
        <f>物品!E430</f>
        <v>0</v>
      </c>
      <c r="D213">
        <f>物品!F430</f>
        <v>0</v>
      </c>
      <c r="E213">
        <f>IF(ISTEXT(物品!G421)=TRUE,"'"&amp;物品!G421&amp;"'",物品!G421)</f>
        <v>0</v>
      </c>
      <c r="F213">
        <f>IF(ISTEXT(物品!H421)=TRUE,"'"&amp;物品!H421&amp;"'",物品!H421)</f>
        <v>0</v>
      </c>
      <c r="G213">
        <f>IF(物品!I430="",0,"'"&amp;物品!I430&amp;"'")</f>
        <v>0</v>
      </c>
      <c r="H213">
        <f>IF(物品!R421="",0,物品!R421)</f>
        <v>0</v>
      </c>
      <c r="I213">
        <f>IF(物品!S421="",0,物品!S421)</f>
        <v>0</v>
      </c>
      <c r="J213">
        <f>IF(物品!C430="",0,""""&amp;物品!C430&amp;"""")</f>
        <v>0</v>
      </c>
      <c r="K213" t="str">
        <f>IF(物品!T430="","""""",""""&amp;物品!T430&amp;"""")</f>
        <v>""</v>
      </c>
      <c r="L213">
        <f>IF(物品!U430="",0,""""&amp;物品!U430&amp;"""")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IF(物品!B431="",0,"'"&amp;物品!B431&amp;"'")</f>
        <v>0</v>
      </c>
      <c r="B214">
        <f>物品!D288</f>
        <v>0</v>
      </c>
      <c r="C214">
        <f>物品!E431</f>
        <v>0</v>
      </c>
      <c r="D214">
        <f>物品!F431</f>
        <v>0</v>
      </c>
      <c r="E214">
        <f>IF(ISTEXT(物品!G422)=TRUE,"'"&amp;物品!G422&amp;"'",物品!G422)</f>
        <v>0</v>
      </c>
      <c r="F214">
        <f>IF(ISTEXT(物品!H422)=TRUE,"'"&amp;物品!H422&amp;"'",物品!H422)</f>
        <v>0</v>
      </c>
      <c r="G214">
        <f>IF(物品!I431="",0,"'"&amp;物品!I431&amp;"'")</f>
        <v>0</v>
      </c>
      <c r="H214">
        <f>IF(物品!R422="",0,物品!R422)</f>
        <v>0</v>
      </c>
      <c r="I214">
        <f>IF(物品!S422="",0,物品!S422)</f>
        <v>0</v>
      </c>
      <c r="J214">
        <f>IF(物品!C431="",0,""""&amp;物品!C431&amp;"""")</f>
        <v>0</v>
      </c>
      <c r="K214" t="str">
        <f>IF(物品!T431="","""""",""""&amp;物品!T431&amp;"""")</f>
        <v>""</v>
      </c>
      <c r="L214">
        <f>IF(物品!U431="",0,""""&amp;物品!U431&amp;"""")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IF(物品!B432="",0,"'"&amp;物品!B432&amp;"'")</f>
        <v>0</v>
      </c>
      <c r="B215">
        <f>物品!D289</f>
        <v>0</v>
      </c>
      <c r="C215">
        <f>物品!E432</f>
        <v>0</v>
      </c>
      <c r="D215">
        <f>物品!F432</f>
        <v>0</v>
      </c>
      <c r="E215">
        <f>IF(ISTEXT(物品!G423)=TRUE,"'"&amp;物品!G423&amp;"'",物品!G423)</f>
        <v>0</v>
      </c>
      <c r="F215">
        <f>IF(ISTEXT(物品!H423)=TRUE,"'"&amp;物品!H423&amp;"'",物品!H423)</f>
        <v>0</v>
      </c>
      <c r="G215">
        <f>IF(物品!I432="",0,"'"&amp;物品!I432&amp;"'")</f>
        <v>0</v>
      </c>
      <c r="H215">
        <f>IF(物品!R423="",0,物品!R423)</f>
        <v>0</v>
      </c>
      <c r="I215">
        <f>IF(物品!S423="",0,物品!S423)</f>
        <v>0</v>
      </c>
      <c r="J215">
        <f>IF(物品!C432="",0,""""&amp;物品!C432&amp;"""")</f>
        <v>0</v>
      </c>
      <c r="K215" t="str">
        <f>IF(物品!T432="","""""",""""&amp;物品!T432&amp;"""")</f>
        <v>""</v>
      </c>
      <c r="L215">
        <f>IF(物品!U432="",0,""""&amp;物品!U432&amp;"""")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IF(物品!B433="",0,"'"&amp;物品!B433&amp;"'")</f>
        <v>0</v>
      </c>
      <c r="B216">
        <f>物品!D290</f>
        <v>0</v>
      </c>
      <c r="C216">
        <f>物品!E433</f>
        <v>0</v>
      </c>
      <c r="D216">
        <f>物品!F433</f>
        <v>0</v>
      </c>
      <c r="E216">
        <f>IF(ISTEXT(物品!G424)=TRUE,"'"&amp;物品!G424&amp;"'",物品!G424)</f>
        <v>0</v>
      </c>
      <c r="F216">
        <f>IF(ISTEXT(物品!H424)=TRUE,"'"&amp;物品!H424&amp;"'",物品!H424)</f>
        <v>0</v>
      </c>
      <c r="G216">
        <f>IF(物品!I433="",0,"'"&amp;物品!I433&amp;"'")</f>
        <v>0</v>
      </c>
      <c r="H216">
        <f>IF(物品!R424="",0,物品!R424)</f>
        <v>0</v>
      </c>
      <c r="I216">
        <f>IF(物品!S424="",0,物品!S424)</f>
        <v>0</v>
      </c>
      <c r="J216">
        <f>IF(物品!C433="",0,""""&amp;物品!C433&amp;"""")</f>
        <v>0</v>
      </c>
      <c r="K216" t="str">
        <f>IF(物品!T433="","""""",""""&amp;物品!T433&amp;"""")</f>
        <v>""</v>
      </c>
      <c r="L216">
        <f>IF(物品!U433="",0,""""&amp;物品!U433&amp;"""")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IF(物品!B434="",0,"'"&amp;物品!B434&amp;"'")</f>
        <v>0</v>
      </c>
      <c r="B217">
        <f>物品!D291</f>
        <v>0</v>
      </c>
      <c r="C217">
        <f>物品!E434</f>
        <v>0</v>
      </c>
      <c r="D217">
        <f>物品!F434</f>
        <v>0</v>
      </c>
      <c r="E217">
        <f>IF(ISTEXT(物品!G425)=TRUE,"'"&amp;物品!G425&amp;"'",物品!G425)</f>
        <v>0</v>
      </c>
      <c r="F217">
        <f>IF(ISTEXT(物品!H425)=TRUE,"'"&amp;物品!H425&amp;"'",物品!H425)</f>
        <v>0</v>
      </c>
      <c r="G217">
        <f>IF(物品!I434="",0,"'"&amp;物品!I434&amp;"'")</f>
        <v>0</v>
      </c>
      <c r="H217">
        <f>IF(物品!R425="",0,物品!R425)</f>
        <v>0</v>
      </c>
      <c r="I217">
        <f>IF(物品!S425="",0,物品!S425)</f>
        <v>0</v>
      </c>
      <c r="J217">
        <f>IF(物品!C434="",0,""""&amp;物品!C434&amp;"""")</f>
        <v>0</v>
      </c>
      <c r="K217" t="str">
        <f>IF(物品!T434="","""""",""""&amp;物品!T434&amp;"""")</f>
        <v>""</v>
      </c>
      <c r="L217">
        <f>IF(物品!U434="",0,""""&amp;物品!U434&amp;"""")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IF(物品!B435="",0,"'"&amp;物品!B435&amp;"'")</f>
        <v>0</v>
      </c>
      <c r="B218">
        <f>物品!D292</f>
        <v>0</v>
      </c>
      <c r="C218">
        <f>物品!E435</f>
        <v>0</v>
      </c>
      <c r="D218">
        <f>物品!F435</f>
        <v>0</v>
      </c>
      <c r="E218">
        <f>IF(ISTEXT(物品!G426)=TRUE,"'"&amp;物品!G426&amp;"'",物品!G426)</f>
        <v>0</v>
      </c>
      <c r="F218">
        <f>IF(ISTEXT(物品!H426)=TRUE,"'"&amp;物品!H426&amp;"'",物品!H426)</f>
        <v>0</v>
      </c>
      <c r="G218">
        <f>IF(物品!I435="",0,"'"&amp;物品!I435&amp;"'")</f>
        <v>0</v>
      </c>
      <c r="H218">
        <f>IF(物品!R426="",0,物品!R426)</f>
        <v>0</v>
      </c>
      <c r="I218">
        <f>IF(物品!S426="",0,物品!S426)</f>
        <v>0</v>
      </c>
      <c r="J218">
        <f>IF(物品!C435="",0,""""&amp;物品!C435&amp;"""")</f>
        <v>0</v>
      </c>
      <c r="K218" t="str">
        <f>IF(物品!T435="","""""",""""&amp;物品!T435&amp;"""")</f>
        <v>""</v>
      </c>
      <c r="L218">
        <f>IF(物品!U435="",0,""""&amp;物品!U435&amp;"""")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IF(物品!B436="",0,"'"&amp;物品!B436&amp;"'")</f>
        <v>0</v>
      </c>
      <c r="B219">
        <f>物品!D299</f>
        <v>0</v>
      </c>
      <c r="C219">
        <f>物品!E436</f>
        <v>0</v>
      </c>
      <c r="D219">
        <f>物品!F436</f>
        <v>0</v>
      </c>
      <c r="E219">
        <f>IF(ISTEXT(物品!G427)=TRUE,"'"&amp;物品!G427&amp;"'",物品!G427)</f>
        <v>0</v>
      </c>
      <c r="F219">
        <f>IF(ISTEXT(物品!H427)=TRUE,"'"&amp;物品!H427&amp;"'",物品!H427)</f>
        <v>0</v>
      </c>
      <c r="G219">
        <f>IF(物品!I436="",0,"'"&amp;物品!I436&amp;"'")</f>
        <v>0</v>
      </c>
      <c r="H219">
        <f>IF(物品!R427="",0,物品!R427)</f>
        <v>0</v>
      </c>
      <c r="I219">
        <f>IF(物品!S427="",0,物品!S427)</f>
        <v>0</v>
      </c>
      <c r="J219">
        <f>IF(物品!C436="",0,""""&amp;物品!C436&amp;"""")</f>
        <v>0</v>
      </c>
      <c r="K219" t="str">
        <f>IF(物品!T436="","""""",""""&amp;物品!T436&amp;"""")</f>
        <v>""</v>
      </c>
      <c r="L219">
        <f>IF(物品!U436="",0,""""&amp;物品!U436&amp;"""")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IF(物品!B437="",0,"'"&amp;物品!B437&amp;"'")</f>
        <v>0</v>
      </c>
      <c r="B220">
        <f>物品!D300</f>
        <v>0</v>
      </c>
      <c r="C220">
        <f>物品!E437</f>
        <v>0</v>
      </c>
      <c r="D220">
        <f>物品!F437</f>
        <v>0</v>
      </c>
      <c r="E220">
        <f>IF(ISTEXT(物品!G428)=TRUE,"'"&amp;物品!G428&amp;"'",物品!G428)</f>
        <v>0</v>
      </c>
      <c r="F220">
        <f>IF(ISTEXT(物品!H428)=TRUE,"'"&amp;物品!H428&amp;"'",物品!H428)</f>
        <v>0</v>
      </c>
      <c r="G220">
        <f>IF(物品!I437="",0,"'"&amp;物品!I437&amp;"'")</f>
        <v>0</v>
      </c>
      <c r="H220">
        <f>IF(物品!R428="",0,物品!R428)</f>
        <v>0</v>
      </c>
      <c r="I220">
        <f>IF(物品!S428="",0,物品!S428)</f>
        <v>0</v>
      </c>
      <c r="J220">
        <f>IF(物品!C437="",0,""""&amp;物品!C437&amp;"""")</f>
        <v>0</v>
      </c>
      <c r="K220" t="str">
        <f>IF(物品!T437="","""""",""""&amp;物品!T437&amp;"""")</f>
        <v>""</v>
      </c>
      <c r="L220">
        <f>IF(物品!U437="",0,""""&amp;物品!U437&amp;"""")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IF(物品!B438="",0,"'"&amp;物品!B438&amp;"'")</f>
        <v>0</v>
      </c>
      <c r="B221">
        <f>物品!D301</f>
        <v>0</v>
      </c>
      <c r="C221">
        <f>物品!E438</f>
        <v>0</v>
      </c>
      <c r="D221">
        <f>物品!F438</f>
        <v>0</v>
      </c>
      <c r="E221">
        <f>IF(ISTEXT(物品!G429)=TRUE,"'"&amp;物品!G429&amp;"'",物品!G429)</f>
        <v>0</v>
      </c>
      <c r="F221">
        <f>IF(ISTEXT(物品!H429)=TRUE,"'"&amp;物品!H429&amp;"'",物品!H429)</f>
        <v>0</v>
      </c>
      <c r="G221">
        <f>IF(物品!I438="",0,"'"&amp;物品!I438&amp;"'")</f>
        <v>0</v>
      </c>
      <c r="H221">
        <f>IF(物品!R429="",0,物品!R429)</f>
        <v>0</v>
      </c>
      <c r="I221">
        <f>IF(物品!S429="",0,物品!S429)</f>
        <v>0</v>
      </c>
      <c r="J221">
        <f>IF(物品!C438="",0,""""&amp;物品!C438&amp;"""")</f>
        <v>0</v>
      </c>
      <c r="K221" t="str">
        <f>IF(物品!T438="","""""",""""&amp;物品!T438&amp;"""")</f>
        <v>""</v>
      </c>
      <c r="L221">
        <f>IF(物品!U438="",0,""""&amp;物品!U438&amp;"""")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IF(物品!B439="",0,"'"&amp;物品!B439&amp;"'")</f>
        <v>0</v>
      </c>
      <c r="B222">
        <f>物品!D302</f>
        <v>0</v>
      </c>
      <c r="C222">
        <f>物品!E439</f>
        <v>0</v>
      </c>
      <c r="D222">
        <f>物品!F439</f>
        <v>0</v>
      </c>
      <c r="E222">
        <f>IF(ISTEXT(物品!G430)=TRUE,"'"&amp;物品!G430&amp;"'",物品!G430)</f>
        <v>0</v>
      </c>
      <c r="F222">
        <f>IF(ISTEXT(物品!H430)=TRUE,"'"&amp;物品!H430&amp;"'",物品!H430)</f>
        <v>0</v>
      </c>
      <c r="G222">
        <f>IF(物品!I439="",0,"'"&amp;物品!I439&amp;"'")</f>
        <v>0</v>
      </c>
      <c r="H222">
        <f>IF(物品!R430="",0,物品!R430)</f>
        <v>0</v>
      </c>
      <c r="I222">
        <f>IF(物品!S430="",0,物品!S430)</f>
        <v>0</v>
      </c>
      <c r="J222">
        <f>IF(物品!C439="",0,""""&amp;物品!C439&amp;"""")</f>
        <v>0</v>
      </c>
      <c r="K222" t="str">
        <f>IF(物品!T439="","""""",""""&amp;物品!T439&amp;"""")</f>
        <v>""</v>
      </c>
      <c r="L222">
        <f>IF(物品!U439="",0,""""&amp;物品!U439&amp;"""")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IF(物品!B440="",0,"'"&amp;物品!B440&amp;"'")</f>
        <v>0</v>
      </c>
      <c r="B223">
        <f>物品!D303</f>
        <v>0</v>
      </c>
      <c r="C223">
        <f>物品!E440</f>
        <v>0</v>
      </c>
      <c r="D223">
        <f>物品!F440</f>
        <v>0</v>
      </c>
      <c r="E223">
        <f>IF(ISTEXT(物品!G431)=TRUE,"'"&amp;物品!G431&amp;"'",物品!G431)</f>
        <v>0</v>
      </c>
      <c r="F223">
        <f>IF(ISTEXT(物品!H431)=TRUE,"'"&amp;物品!H431&amp;"'",物品!H431)</f>
        <v>0</v>
      </c>
      <c r="G223">
        <f>IF(物品!I440="",0,"'"&amp;物品!I440&amp;"'")</f>
        <v>0</v>
      </c>
      <c r="H223">
        <f>IF(物品!R431="",0,物品!R431)</f>
        <v>0</v>
      </c>
      <c r="I223">
        <f>IF(物品!S431="",0,物品!S431)</f>
        <v>0</v>
      </c>
      <c r="J223">
        <f>IF(物品!C440="",0,""""&amp;物品!C440&amp;"""")</f>
        <v>0</v>
      </c>
      <c r="K223" t="str">
        <f>IF(物品!T440="","""""",""""&amp;物品!T440&amp;"""")</f>
        <v>""</v>
      </c>
      <c r="L223">
        <f>IF(物品!U440="",0,""""&amp;物品!U440&amp;"""")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IF(物品!B441="",0,"'"&amp;物品!B441&amp;"'")</f>
        <v>0</v>
      </c>
      <c r="B224">
        <f>物品!D304</f>
        <v>0</v>
      </c>
      <c r="C224">
        <f>物品!E441</f>
        <v>0</v>
      </c>
      <c r="D224">
        <f>物品!F441</f>
        <v>0</v>
      </c>
      <c r="E224">
        <f>IF(ISTEXT(物品!G432)=TRUE,"'"&amp;物品!G432&amp;"'",物品!G432)</f>
        <v>0</v>
      </c>
      <c r="F224">
        <f>IF(ISTEXT(物品!H432)=TRUE,"'"&amp;物品!H432&amp;"'",物品!H432)</f>
        <v>0</v>
      </c>
      <c r="G224">
        <f>IF(物品!I441="",0,"'"&amp;物品!I441&amp;"'")</f>
        <v>0</v>
      </c>
      <c r="H224">
        <f>IF(物品!R432="",0,物品!R432)</f>
        <v>0</v>
      </c>
      <c r="I224">
        <f>IF(物品!S432="",0,物品!S432)</f>
        <v>0</v>
      </c>
      <c r="J224">
        <f>IF(物品!C441="",0,""""&amp;物品!C441&amp;"""")</f>
        <v>0</v>
      </c>
      <c r="K224" t="str">
        <f>IF(物品!T441="","""""",""""&amp;物品!T441&amp;"""")</f>
        <v>""</v>
      </c>
      <c r="L224">
        <f>IF(物品!U441="",0,""""&amp;物品!U441&amp;"""")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IF(物品!B442="",0,"'"&amp;物品!B442&amp;"'")</f>
        <v>0</v>
      </c>
      <c r="B225">
        <f>物品!D305</f>
        <v>0</v>
      </c>
      <c r="C225">
        <f>物品!E442</f>
        <v>0</v>
      </c>
      <c r="D225">
        <f>物品!F442</f>
        <v>0</v>
      </c>
      <c r="E225">
        <f>IF(ISTEXT(物品!G433)=TRUE,"'"&amp;物品!G433&amp;"'",物品!G433)</f>
        <v>0</v>
      </c>
      <c r="F225">
        <f>IF(ISTEXT(物品!H433)=TRUE,"'"&amp;物品!H433&amp;"'",物品!H433)</f>
        <v>0</v>
      </c>
      <c r="G225">
        <f>IF(物品!I442="",0,"'"&amp;物品!I442&amp;"'")</f>
        <v>0</v>
      </c>
      <c r="H225">
        <f>IF(物品!R433="",0,物品!R433)</f>
        <v>0</v>
      </c>
      <c r="I225">
        <f>IF(物品!S433="",0,物品!S433)</f>
        <v>0</v>
      </c>
      <c r="J225">
        <f>IF(物品!C442="",0,""""&amp;物品!C442&amp;"""")</f>
        <v>0</v>
      </c>
      <c r="K225" t="str">
        <f>IF(物品!T442="","""""",""""&amp;物品!T442&amp;"""")</f>
        <v>""</v>
      </c>
      <c r="L225">
        <f>IF(物品!U442="",0,""""&amp;物品!U442&amp;"""")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36"/>
      <c r="CC1" s="10" t="s">
        <v>1165</v>
      </c>
      <c r="CD1" s="10" t="s">
        <v>1165</v>
      </c>
      <c r="CE1" s="10" t="s">
        <v>1165</v>
      </c>
      <c r="CF1" s="10" t="s">
        <v>1165</v>
      </c>
      <c r="CH1" s="10" t="s">
        <v>1165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1166</v>
      </c>
      <c r="CC2" s="10" t="s">
        <v>1167</v>
      </c>
      <c r="CD2" s="10" t="s">
        <v>1168</v>
      </c>
      <c r="CE2" s="10" t="s">
        <v>1169</v>
      </c>
      <c r="CF2" s="10" t="s">
        <v>1170</v>
      </c>
      <c r="CG2" s="10" t="s">
        <v>1171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10" t="s">
        <v>1172</v>
      </c>
      <c r="B1" s="10" t="s">
        <v>1173</v>
      </c>
      <c r="C1" s="10" t="s">
        <v>1174</v>
      </c>
      <c r="D1" s="10" t="s">
        <v>1175</v>
      </c>
      <c r="E1" s="10" t="s">
        <v>1176</v>
      </c>
    </row>
    <row r="2" ht="15" spans="1:5">
      <c r="A2" s="9">
        <v>1</v>
      </c>
      <c r="B2" s="9" t="s">
        <v>1177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9">
        <v>1</v>
      </c>
      <c r="B3" s="9" t="s">
        <v>1178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9">
        <v>1</v>
      </c>
      <c r="B4" s="9" t="s">
        <v>1179</v>
      </c>
      <c r="C4" s="19">
        <v>4</v>
      </c>
      <c r="D4" s="10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9">
        <v>1</v>
      </c>
      <c r="B5" s="9" t="s">
        <v>1180</v>
      </c>
      <c r="C5" s="19">
        <v>1</v>
      </c>
      <c r="D5" s="10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9">
        <v>1</v>
      </c>
      <c r="B6" s="9" t="s">
        <v>1181</v>
      </c>
      <c r="C6" s="19">
        <v>1</v>
      </c>
      <c r="D6" s="10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9">
        <v>1</v>
      </c>
      <c r="B7" s="9" t="s">
        <v>1182</v>
      </c>
      <c r="C7" s="19">
        <v>1</v>
      </c>
      <c r="D7" s="10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9">
        <v>1</v>
      </c>
      <c r="B8" s="9" t="s">
        <v>567</v>
      </c>
      <c r="C8" s="19">
        <v>2</v>
      </c>
      <c r="D8" s="10" t="str">
        <f>VLOOKUP(B8,物品!B:E,2,FALSE)</f>
        <v>|Cff00BFFF来份快餐|r</v>
      </c>
      <c r="E8" t="str">
        <f t="shared" si="0"/>
        <v>            ItemPoolAddItemType(ItemPool[1],'IN07',2)</v>
      </c>
    </row>
    <row r="9" ht="15" spans="1:5">
      <c r="A9" s="9">
        <v>1</v>
      </c>
      <c r="B9" s="9" t="s">
        <v>570</v>
      </c>
      <c r="C9" s="19">
        <v>2</v>
      </c>
      <c r="D9" s="10" t="str">
        <f>VLOOKUP(B9,物品!B:E,2,FALSE)</f>
        <v>|CffFF0000抬你一手|r</v>
      </c>
      <c r="E9" t="str">
        <f t="shared" si="0"/>
        <v>            ItemPoolAddItemType(ItemPool[1],'IN08',2)</v>
      </c>
    </row>
    <row r="10" ht="15" spans="1:5">
      <c r="A10" s="9">
        <v>1</v>
      </c>
      <c r="B10" s="9" t="s">
        <v>573</v>
      </c>
      <c r="C10" s="19">
        <v>3</v>
      </c>
      <c r="D10" s="10" t="str">
        <f>VLOOKUP(B10,物品!B:E,2,FALSE)</f>
        <v>|CffFFC926死者苏生|r</v>
      </c>
      <c r="E10" t="str">
        <f t="shared" si="0"/>
        <v>            ItemPoolAddItemType(ItemPool[1],'IN09',3)</v>
      </c>
    </row>
    <row r="11" ht="15" spans="1:11">
      <c r="A11" s="9">
        <v>1</v>
      </c>
      <c r="B11" s="9" t="s">
        <v>576</v>
      </c>
      <c r="C11" s="19">
        <v>2</v>
      </c>
      <c r="D11" s="10" t="str">
        <f>VLOOKUP(B11,物品!B:E,2,FALSE)</f>
        <v>|Cff00BFFF福娃这么可爱..|r</v>
      </c>
      <c r="E11" t="str">
        <f t="shared" si="0"/>
        <v>            ItemPoolAddItemType(ItemPool[1],'IN10',2)</v>
      </c>
      <c r="K11" s="34"/>
    </row>
    <row r="12" ht="15" spans="1:5">
      <c r="A12" s="9">
        <v>1</v>
      </c>
      <c r="B12" s="9" t="s">
        <v>579</v>
      </c>
      <c r="C12" s="19">
        <v>2</v>
      </c>
      <c r="D12" s="10" t="str">
        <f>VLOOKUP(B12,物品!B:E,2,FALSE)</f>
        <v>|CffFFC926奥里给Lo他|r</v>
      </c>
      <c r="E12" t="str">
        <f t="shared" si="0"/>
        <v>            ItemPoolAddItemType(ItemPool[1],'IN11',2)</v>
      </c>
    </row>
    <row r="13" ht="15" spans="1:5">
      <c r="A13" s="9">
        <v>1</v>
      </c>
      <c r="B13" s="9" t="s">
        <v>582</v>
      </c>
      <c r="C13" s="19">
        <v>2</v>
      </c>
      <c r="D13" s="10" t="str">
        <f>VLOOKUP(B13,物品!B:E,2,FALSE)</f>
        <v>|CffFF0000以逸待劳|r</v>
      </c>
      <c r="E13" t="str">
        <f t="shared" si="0"/>
        <v>            ItemPoolAddItemType(ItemPool[1],'IN12',2)</v>
      </c>
    </row>
    <row r="14" ht="15" spans="1:5">
      <c r="A14" s="9">
        <v>1</v>
      </c>
      <c r="B14" s="9" t="s">
        <v>585</v>
      </c>
      <c r="C14" s="19">
        <v>4</v>
      </c>
      <c r="D14" s="10" t="str">
        <f>VLOOKUP(B14,物品!B:E,2,FALSE)</f>
        <v>|CffFF0000全军出击|r</v>
      </c>
      <c r="E14" t="str">
        <f t="shared" si="0"/>
        <v>            ItemPoolAddItemType(ItemPool[1],'IN13',4)</v>
      </c>
    </row>
    <row r="15" ht="15" spans="1:5">
      <c r="A15" s="9">
        <v>1</v>
      </c>
      <c r="B15" s="9" t="s">
        <v>588</v>
      </c>
      <c r="C15" s="19">
        <v>1</v>
      </c>
      <c r="D15" s="10" t="str">
        <f>VLOOKUP(B15,物品!B:E,2,FALSE)</f>
        <v>|CffFFC926心跳时刻|r</v>
      </c>
      <c r="E15" t="str">
        <f t="shared" si="0"/>
        <v>            ItemPoolAddItemType(ItemPool[1],'IN14',1)</v>
      </c>
    </row>
    <row r="16" ht="15" spans="1:5">
      <c r="A16" s="9">
        <v>1</v>
      </c>
      <c r="B16" s="9" t="s">
        <v>591</v>
      </c>
      <c r="C16" s="19">
        <v>1</v>
      </c>
      <c r="D16" s="10" t="str">
        <f>VLOOKUP(B16,物品!B:E,2,FALSE)</f>
        <v>|CffFFC926据守|r</v>
      </c>
      <c r="E16" t="str">
        <f t="shared" si="0"/>
        <v>            ItemPoolAddItemType(ItemPool[1],'IN15',1)</v>
      </c>
    </row>
    <row r="17" ht="15" spans="1:5">
      <c r="A17" s="9">
        <v>1</v>
      </c>
      <c r="B17" s="9" t="s">
        <v>594</v>
      </c>
      <c r="C17" s="19">
        <v>1</v>
      </c>
      <c r="D17" s="10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9">
        <v>1</v>
      </c>
      <c r="B18" s="9" t="s">
        <v>597</v>
      </c>
      <c r="C18" s="19">
        <v>2</v>
      </c>
      <c r="D18" s="10" t="str">
        <f>VLOOKUP(B18,物品!B:E,2,FALSE)</f>
        <v>|Cff00BFFF来点玄铁|r</v>
      </c>
      <c r="E18" t="str">
        <f t="shared" si="0"/>
        <v>            ItemPoolAddItemType(ItemPool[1],'IN17',2)</v>
      </c>
    </row>
    <row r="19" ht="15" spans="1:5">
      <c r="A19" s="9">
        <v>1</v>
      </c>
      <c r="B19" s="9" t="s">
        <v>600</v>
      </c>
      <c r="C19" s="19">
        <v>2</v>
      </c>
      <c r="D19" s="10" t="str">
        <f>VLOOKUP(B19,物品!B:E,2,FALSE)</f>
        <v>|CffFFC926恭喜发财|r</v>
      </c>
      <c r="E19" t="str">
        <f t="shared" si="0"/>
        <v>            ItemPoolAddItemType(ItemPool[1],'IN18',2)</v>
      </c>
    </row>
    <row r="20" spans="1:4">
      <c r="A20" s="33"/>
      <c r="B20" s="10"/>
      <c r="C20" s="19"/>
      <c r="D20" s="10"/>
    </row>
    <row r="21" ht="15" spans="1:5">
      <c r="A21" s="9">
        <v>2</v>
      </c>
      <c r="B21" s="27" t="s">
        <v>878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9">
        <v>2</v>
      </c>
      <c r="B22" s="27" t="s">
        <v>880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9">
        <v>2</v>
      </c>
      <c r="B23" s="27" t="s">
        <v>881</v>
      </c>
      <c r="C23" s="19">
        <v>1</v>
      </c>
      <c r="D23" s="10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9">
        <v>2</v>
      </c>
      <c r="B24" s="27" t="s">
        <v>882</v>
      </c>
      <c r="C24" s="19">
        <v>1</v>
      </c>
      <c r="D24" s="10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9">
        <v>2</v>
      </c>
      <c r="B25" s="27" t="s">
        <v>883</v>
      </c>
      <c r="C25" s="19">
        <v>1</v>
      </c>
      <c r="D25" s="10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9">
        <v>2</v>
      </c>
      <c r="B26" s="27" t="s">
        <v>884</v>
      </c>
      <c r="C26" s="19">
        <v>1</v>
      </c>
      <c r="D26" s="10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9">
        <v>2</v>
      </c>
      <c r="B27" s="27" t="s">
        <v>885</v>
      </c>
      <c r="C27" s="19">
        <v>3</v>
      </c>
      <c r="D27" s="10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9">
        <v>2</v>
      </c>
      <c r="B28" s="27" t="s">
        <v>886</v>
      </c>
      <c r="C28" s="19">
        <v>3</v>
      </c>
      <c r="D28" s="10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9">
        <v>2</v>
      </c>
      <c r="B29" s="27" t="s">
        <v>887</v>
      </c>
      <c r="C29" s="19">
        <v>1</v>
      </c>
      <c r="D29" s="10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9">
        <v>2</v>
      </c>
      <c r="B30" s="27" t="s">
        <v>888</v>
      </c>
      <c r="C30" s="19">
        <v>1</v>
      </c>
      <c r="D30" s="10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9">
        <v>2</v>
      </c>
      <c r="B31" s="27" t="s">
        <v>889</v>
      </c>
      <c r="C31" s="19">
        <v>2</v>
      </c>
      <c r="D31" s="10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9">
        <v>2</v>
      </c>
      <c r="B32" s="27" t="s">
        <v>890</v>
      </c>
      <c r="C32" s="19">
        <v>1</v>
      </c>
      <c r="D32" s="10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9">
        <v>2</v>
      </c>
      <c r="B33" s="27" t="s">
        <v>891</v>
      </c>
      <c r="C33" s="19">
        <v>3</v>
      </c>
      <c r="D33" s="10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9">
        <v>2</v>
      </c>
      <c r="B34" s="27" t="s">
        <v>892</v>
      </c>
      <c r="C34" s="19">
        <v>2</v>
      </c>
      <c r="D34" s="10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9">
        <v>2</v>
      </c>
      <c r="B35" s="27" t="s">
        <v>893</v>
      </c>
      <c r="C35" s="19">
        <v>1</v>
      </c>
      <c r="D35" s="10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9">
        <v>2</v>
      </c>
      <c r="B36" s="27" t="s">
        <v>894</v>
      </c>
      <c r="C36" s="19">
        <v>2</v>
      </c>
      <c r="D36" s="10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9">
        <v>2</v>
      </c>
      <c r="B37" s="27" t="s">
        <v>895</v>
      </c>
      <c r="C37" s="19">
        <v>1</v>
      </c>
      <c r="D37" s="10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9">
        <v>2</v>
      </c>
      <c r="B38" s="27" t="s">
        <v>896</v>
      </c>
      <c r="C38" s="19">
        <v>2</v>
      </c>
      <c r="D38" s="10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9">
        <v>2</v>
      </c>
      <c r="B39" s="27" t="s">
        <v>897</v>
      </c>
      <c r="C39" s="19">
        <v>1</v>
      </c>
      <c r="D39" s="10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9">
        <v>2</v>
      </c>
      <c r="B40" s="27" t="s">
        <v>898</v>
      </c>
      <c r="C40" s="19">
        <v>3</v>
      </c>
      <c r="D40" s="10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9">
        <v>2</v>
      </c>
      <c r="B41" s="27" t="s">
        <v>899</v>
      </c>
      <c r="C41" s="19">
        <v>1</v>
      </c>
      <c r="D41" s="10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9">
        <v>2</v>
      </c>
      <c r="B42" s="27" t="s">
        <v>900</v>
      </c>
      <c r="C42" s="19">
        <v>3</v>
      </c>
      <c r="D42" s="10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9">
        <v>2</v>
      </c>
      <c r="B43" s="27" t="s">
        <v>901</v>
      </c>
      <c r="C43" s="19">
        <v>1</v>
      </c>
      <c r="D43" s="10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9">
        <v>2</v>
      </c>
      <c r="B44" s="27" t="s">
        <v>902</v>
      </c>
      <c r="C44" s="19">
        <v>2</v>
      </c>
      <c r="D44" s="10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9">
        <v>2</v>
      </c>
      <c r="B45" s="27" t="s">
        <v>903</v>
      </c>
      <c r="C45" s="19">
        <v>2</v>
      </c>
      <c r="D45" s="10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9">
        <v>2</v>
      </c>
      <c r="B46" s="27" t="s">
        <v>904</v>
      </c>
      <c r="C46" s="19">
        <v>3</v>
      </c>
      <c r="D46" s="10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9">
        <v>2</v>
      </c>
      <c r="B47" s="27" t="s">
        <v>905</v>
      </c>
      <c r="C47" s="19">
        <v>3</v>
      </c>
      <c r="D47" s="10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ht="15" spans="1:4">
      <c r="A83" s="33"/>
      <c r="B83" s="13"/>
      <c r="C83" s="33"/>
      <c r="D83" s="10"/>
    </row>
    <row r="84" ht="15" spans="1:4">
      <c r="A84" s="33"/>
      <c r="B84" s="13"/>
      <c r="C84" s="33"/>
      <c r="D84" s="10"/>
    </row>
    <row r="85" ht="15" spans="1:4">
      <c r="A85" s="33"/>
      <c r="B85" s="13"/>
      <c r="C85" s="33"/>
      <c r="D85" s="10"/>
    </row>
    <row r="86" ht="15" spans="1:4">
      <c r="A86" s="33"/>
      <c r="B86" s="13"/>
      <c r="C86" s="33"/>
      <c r="D86" s="10"/>
    </row>
    <row r="87" ht="15" spans="1:4">
      <c r="A87" s="33"/>
      <c r="B87" s="13"/>
      <c r="C87" s="33"/>
      <c r="D87" s="10"/>
    </row>
    <row r="88" ht="15" spans="1:4">
      <c r="A88" s="33"/>
      <c r="B88" s="13"/>
      <c r="C88" s="33"/>
      <c r="D88" s="10"/>
    </row>
    <row r="89" ht="15" spans="1:4">
      <c r="A89" s="33"/>
      <c r="B89" s="2"/>
      <c r="C89" s="33"/>
      <c r="D89" s="10"/>
    </row>
    <row r="90" ht="15" spans="1:4">
      <c r="A90" s="33"/>
      <c r="B90" s="13"/>
      <c r="C90" s="33"/>
      <c r="D90" s="10"/>
    </row>
    <row r="91" ht="15" spans="1:4">
      <c r="A91" s="33"/>
      <c r="B91" s="13"/>
      <c r="C91" s="33"/>
      <c r="D91" s="10"/>
    </row>
    <row r="92" ht="15" spans="1:4">
      <c r="A92" s="33"/>
      <c r="B92" s="13"/>
      <c r="C92" s="33"/>
      <c r="D92" s="10"/>
    </row>
    <row r="93" ht="15" spans="2:4">
      <c r="B93" s="13"/>
      <c r="C93" s="33"/>
      <c r="D93" s="10"/>
    </row>
    <row r="94" ht="15" spans="2:4">
      <c r="B94" s="13"/>
      <c r="C94" s="33"/>
      <c r="D94" s="10"/>
    </row>
    <row r="95" ht="15" spans="1:4">
      <c r="A95" s="10"/>
      <c r="B95" s="35"/>
      <c r="D95" s="10"/>
    </row>
    <row r="96" ht="15" spans="1:4">
      <c r="A96" s="10"/>
      <c r="B96" s="35"/>
      <c r="D96" s="10"/>
    </row>
    <row r="97" ht="15" spans="1:4">
      <c r="A97" s="10"/>
      <c r="B97" s="35"/>
      <c r="D97" s="10"/>
    </row>
    <row r="98" ht="15" spans="1:4">
      <c r="A98" s="10"/>
      <c r="B98" s="35"/>
      <c r="D98" s="10"/>
    </row>
    <row r="99" ht="15" spans="1:4">
      <c r="A99" s="10"/>
      <c r="B99" s="35"/>
      <c r="D99" s="10"/>
    </row>
    <row r="100" ht="15" spans="1:4">
      <c r="A100" s="10"/>
      <c r="B100" s="35"/>
      <c r="D100" s="10"/>
    </row>
    <row r="101" ht="15" spans="1:4">
      <c r="A101" s="10"/>
      <c r="B101" s="35"/>
      <c r="D101" s="10"/>
    </row>
    <row r="102" ht="15" spans="1:4">
      <c r="A102" s="10"/>
      <c r="B102" s="35"/>
      <c r="D102" s="10"/>
    </row>
    <row r="103" ht="15" spans="1:4">
      <c r="A103" s="10"/>
      <c r="B103" s="35"/>
      <c r="D103" s="10"/>
    </row>
    <row r="104" ht="15" spans="1:4">
      <c r="A104" s="10"/>
      <c r="B104" s="35"/>
      <c r="D104" s="10"/>
    </row>
    <row r="105" ht="15" spans="1:4">
      <c r="A105" s="10"/>
      <c r="B105" s="35"/>
      <c r="D105" s="10"/>
    </row>
    <row r="106" spans="4:4">
      <c r="D106" s="10"/>
    </row>
    <row r="107" spans="4:4">
      <c r="D107" s="10"/>
    </row>
    <row r="108" spans="4:4">
      <c r="D108" s="10"/>
    </row>
    <row r="109" spans="4:4">
      <c r="D109" s="10"/>
    </row>
    <row r="110" spans="4:4">
      <c r="D110" s="10"/>
    </row>
    <row r="111" spans="4:4">
      <c r="D111" s="10"/>
    </row>
    <row r="112" spans="4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796296296296" customWidth="1"/>
  </cols>
  <sheetData>
    <row r="1" spans="4:24">
      <c r="D1" t="s">
        <v>125</v>
      </c>
      <c r="E1" t="s">
        <v>126</v>
      </c>
      <c r="F1" t="s">
        <v>1183</v>
      </c>
      <c r="G1" t="s">
        <v>1184</v>
      </c>
      <c r="I1" t="s">
        <v>1185</v>
      </c>
      <c r="J1">
        <v>11</v>
      </c>
      <c r="P1" t="s">
        <v>1186</v>
      </c>
      <c r="U1" t="s">
        <v>1187</v>
      </c>
      <c r="V1" t="s">
        <v>1188</v>
      </c>
      <c r="X1" s="10" t="s">
        <v>1189</v>
      </c>
    </row>
    <row r="2" spans="1:25">
      <c r="A2" t="s">
        <v>1190</v>
      </c>
      <c r="D2">
        <v>800</v>
      </c>
      <c r="E2" s="30">
        <v>1</v>
      </c>
      <c r="F2" s="31">
        <f>D2/E2</f>
        <v>800</v>
      </c>
      <c r="I2" t="s">
        <v>1191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1192</v>
      </c>
      <c r="D3">
        <v>800</v>
      </c>
      <c r="E3" s="30">
        <v>1</v>
      </c>
      <c r="F3" s="31">
        <f t="shared" ref="F3:F25" si="1">D3/E3</f>
        <v>800</v>
      </c>
      <c r="I3" t="s">
        <v>1193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1194</v>
      </c>
      <c r="D4">
        <v>800</v>
      </c>
      <c r="E4" s="30">
        <v>1</v>
      </c>
      <c r="F4" s="31">
        <f t="shared" si="1"/>
        <v>800</v>
      </c>
      <c r="I4" t="s">
        <v>1195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1196</v>
      </c>
      <c r="D5">
        <v>800</v>
      </c>
      <c r="E5" s="30">
        <v>1</v>
      </c>
      <c r="F5" s="31">
        <f t="shared" si="1"/>
        <v>800</v>
      </c>
      <c r="I5" t="s">
        <v>1197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1198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1199</v>
      </c>
      <c r="D7">
        <v>2500</v>
      </c>
      <c r="E7" s="30">
        <v>0.85</v>
      </c>
      <c r="F7" s="31">
        <f t="shared" si="1"/>
        <v>2941.17647058824</v>
      </c>
      <c r="J7" t="s">
        <v>1200</v>
      </c>
      <c r="K7" s="10" t="s">
        <v>1201</v>
      </c>
      <c r="L7" s="10" t="s">
        <v>1202</v>
      </c>
      <c r="M7" t="s">
        <v>1203</v>
      </c>
      <c r="N7" t="s">
        <v>1204</v>
      </c>
      <c r="P7">
        <f t="shared" si="0"/>
        <v>85</v>
      </c>
    </row>
    <row r="8" spans="1:16">
      <c r="A8" t="s">
        <v>1205</v>
      </c>
      <c r="D8">
        <v>2500</v>
      </c>
      <c r="E8" s="30">
        <v>0.85</v>
      </c>
      <c r="F8" s="31">
        <f t="shared" si="1"/>
        <v>2941.17647058824</v>
      </c>
      <c r="I8" t="s">
        <v>1206</v>
      </c>
      <c r="J8" s="31">
        <f>G6/J$1/W2</f>
        <v>29.0909090909091</v>
      </c>
      <c r="K8" s="31">
        <f>D2/J$1/W2*J$2</f>
        <v>5.81818181818182</v>
      </c>
      <c r="L8" s="31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1207</v>
      </c>
      <c r="D9">
        <v>2500</v>
      </c>
      <c r="E9" s="30">
        <v>0.85</v>
      </c>
      <c r="F9" s="31">
        <f t="shared" si="1"/>
        <v>2941.17647058824</v>
      </c>
      <c r="I9" t="s">
        <v>1208</v>
      </c>
      <c r="J9" s="31">
        <f>G11/J$1/W3</f>
        <v>35.650623885918</v>
      </c>
      <c r="K9" s="31">
        <f>D6/J$1/W3*J$2</f>
        <v>6.06060606060606</v>
      </c>
      <c r="L9" s="31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1209</v>
      </c>
      <c r="D10">
        <v>2500</v>
      </c>
      <c r="E10" s="30">
        <v>0.85</v>
      </c>
      <c r="F10" s="31">
        <f t="shared" si="1"/>
        <v>2941.17647058824</v>
      </c>
      <c r="I10" t="s">
        <v>1210</v>
      </c>
      <c r="J10" s="31">
        <f>G16/J$1/W4</f>
        <v>75.5608028335301</v>
      </c>
      <c r="K10" s="31">
        <f>D11/J$1/W4*J$2</f>
        <v>13.2231404958678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1211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</v>
      </c>
      <c r="I11" t="s">
        <v>1212</v>
      </c>
      <c r="J11" s="31">
        <f>G21/J$1/W5</f>
        <v>134.680134680135</v>
      </c>
      <c r="K11" s="31">
        <f>D16/J$1/W5*J$2</f>
        <v>24.2424242424242</v>
      </c>
      <c r="L11" s="31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1213</v>
      </c>
      <c r="D12">
        <v>8000</v>
      </c>
      <c r="E12" s="30">
        <v>0.7</v>
      </c>
      <c r="F12" s="31">
        <f t="shared" si="1"/>
        <v>11428.5714285714</v>
      </c>
      <c r="I12" t="s">
        <v>1214</v>
      </c>
      <c r="J12" s="31">
        <f>G26/J$1/W6</f>
        <v>169.69696969697</v>
      </c>
      <c r="K12" s="31">
        <f>D21/J$1/W6*J$2</f>
        <v>16.969696969697</v>
      </c>
      <c r="L12" s="31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1215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1216</v>
      </c>
      <c r="N13">
        <f>SUM(N8:N12)</f>
        <v>1061280</v>
      </c>
      <c r="P13">
        <f t="shared" si="0"/>
        <v>70</v>
      </c>
    </row>
    <row r="14" spans="1:16">
      <c r="A14" t="s">
        <v>1217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16">
      <c r="A15" t="s">
        <v>1218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16">
      <c r="A16" t="s">
        <v>1219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</v>
      </c>
      <c r="J16">
        <v>1000</v>
      </c>
      <c r="K16" s="30">
        <v>1</v>
      </c>
      <c r="P16">
        <f t="shared" si="0"/>
        <v>100</v>
      </c>
    </row>
    <row r="17" spans="1:16">
      <c r="A17" t="s">
        <v>1220</v>
      </c>
      <c r="D17">
        <v>20000</v>
      </c>
      <c r="E17" s="30">
        <v>0.6</v>
      </c>
      <c r="F17" s="31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1221</v>
      </c>
      <c r="D18">
        <v>20000</v>
      </c>
      <c r="E18" s="30">
        <v>0.6</v>
      </c>
      <c r="F18" s="31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1222</v>
      </c>
      <c r="D19">
        <v>20000</v>
      </c>
      <c r="E19" s="30">
        <v>0.6</v>
      </c>
      <c r="F19" s="31">
        <f t="shared" si="1"/>
        <v>33333.3333333333</v>
      </c>
      <c r="J19">
        <v>2500</v>
      </c>
      <c r="K19" s="30">
        <v>0.85</v>
      </c>
      <c r="P19">
        <f t="shared" si="0"/>
        <v>60</v>
      </c>
    </row>
    <row r="20" spans="1:16">
      <c r="A20" t="s">
        <v>1223</v>
      </c>
      <c r="D20">
        <v>20000</v>
      </c>
      <c r="E20" s="30">
        <v>0.6</v>
      </c>
      <c r="F20" s="31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1224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1225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1227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1228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</v>
      </c>
      <c r="P25">
        <f t="shared" si="0"/>
        <v>50</v>
      </c>
    </row>
    <row r="26" spans="1:10">
      <c r="A26" t="s">
        <v>1229</v>
      </c>
      <c r="E26" t="s">
        <v>1230</v>
      </c>
      <c r="F26" s="31">
        <f>SUM(F2:F25)</f>
        <v>551512.324929972</v>
      </c>
      <c r="G26">
        <f>SUM(F22:F25)</f>
        <v>280000</v>
      </c>
      <c r="J26" s="10">
        <v>20000</v>
      </c>
    </row>
    <row r="27" spans="5:6">
      <c r="E27" t="s">
        <v>1231</v>
      </c>
      <c r="F27">
        <f>F26*2</f>
        <v>1103024.64985994</v>
      </c>
    </row>
    <row r="29" spans="11:11">
      <c r="K29" s="10"/>
    </row>
    <row r="30" spans="10:11">
      <c r="J30" s="10"/>
      <c r="K30" s="10"/>
    </row>
    <row r="31" spans="1:11">
      <c r="A31" s="10" t="s">
        <v>1232</v>
      </c>
      <c r="B31" s="10" t="s">
        <v>125</v>
      </c>
      <c r="C31" s="10" t="s">
        <v>135</v>
      </c>
      <c r="F31" s="10" t="s">
        <v>1233</v>
      </c>
      <c r="J31" s="10"/>
      <c r="K31" s="10"/>
    </row>
    <row r="32" spans="1:15">
      <c r="A32">
        <v>1</v>
      </c>
      <c r="B32">
        <v>2000</v>
      </c>
      <c r="C32">
        <v>1</v>
      </c>
      <c r="F32" s="10" t="s">
        <v>1234</v>
      </c>
      <c r="G32" s="10" t="s">
        <v>1235</v>
      </c>
      <c r="H32" s="10" t="s">
        <v>1183</v>
      </c>
      <c r="J32" s="10" t="s">
        <v>1236</v>
      </c>
      <c r="K32" s="10" t="s">
        <v>1237</v>
      </c>
      <c r="L32" s="10" t="s">
        <v>1</v>
      </c>
      <c r="M32" s="10" t="s">
        <v>1183</v>
      </c>
      <c r="N32" s="10" t="s">
        <v>125</v>
      </c>
      <c r="O32" s="10" t="s">
        <v>127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125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125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127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</v>
      </c>
      <c r="J36">
        <v>4</v>
      </c>
      <c r="K36" s="10">
        <v>1500</v>
      </c>
      <c r="L36" s="10" t="s">
        <v>125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135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127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</v>
      </c>
      <c r="H39" s="30">
        <f>SUM(G$33:G39)</f>
        <v>1.33</v>
      </c>
      <c r="J39" s="10">
        <v>7</v>
      </c>
      <c r="K39" s="10">
        <v>3000</v>
      </c>
      <c r="L39" s="10" t="s">
        <v>125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127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1230</v>
      </c>
      <c r="N41">
        <f>SUM(N33:N40)</f>
        <v>28860</v>
      </c>
      <c r="O41">
        <f>SUM(O33:O40)</f>
        <v>9600</v>
      </c>
    </row>
    <row r="42" spans="1:11">
      <c r="A42" s="10" t="s">
        <v>1230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7:8">
      <c r="G43" s="30"/>
      <c r="H43" s="30"/>
    </row>
    <row r="44" spans="7:11">
      <c r="G44" s="30"/>
      <c r="H44" s="30"/>
      <c r="J44" s="10"/>
      <c r="K44" s="10"/>
    </row>
    <row r="45" spans="1:11">
      <c r="A45" s="10" t="s">
        <v>1238</v>
      </c>
      <c r="B45" s="10" t="s">
        <v>1239</v>
      </c>
      <c r="C45" s="10" t="s">
        <v>1240</v>
      </c>
      <c r="F45" s="10" t="s">
        <v>1241</v>
      </c>
      <c r="G45" s="30"/>
      <c r="H45" s="30"/>
      <c r="J45" s="10"/>
      <c r="K45" s="10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10" t="s">
        <v>1242</v>
      </c>
      <c r="G46" s="32" t="s">
        <v>1243</v>
      </c>
      <c r="H46" s="32" t="s">
        <v>176</v>
      </c>
      <c r="I46" s="10" t="s">
        <v>1244</v>
      </c>
      <c r="K46" s="10"/>
    </row>
    <row r="47" spans="1:11">
      <c r="A47">
        <v>2</v>
      </c>
      <c r="B47">
        <f t="shared" si="11"/>
        <v>200</v>
      </c>
      <c r="C47" s="10" t="s">
        <v>1245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7">
      <c r="A57">
        <v>12</v>
      </c>
      <c r="B57">
        <f t="shared" si="15"/>
        <v>1200</v>
      </c>
      <c r="F57" s="10" t="s">
        <v>1230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O248"/>
  <sheetViews>
    <sheetView workbookViewId="0">
      <selection activeCell="M13" sqref="M13"/>
    </sheetView>
  </sheetViews>
  <sheetFormatPr defaultColWidth="9" defaultRowHeight="13.8"/>
  <sheetData>
    <row r="1" ht="15" spans="1:8">
      <c r="A1" s="1" t="s">
        <v>190</v>
      </c>
      <c r="B1" s="2" t="s">
        <v>191</v>
      </c>
      <c r="G1" s="3" t="s">
        <v>644</v>
      </c>
      <c r="H1" t="str">
        <f>IF(G1="","",VLOOKUP(G1,A:B,2,FALSE))</f>
        <v>炽星魔盒</v>
      </c>
    </row>
    <row r="2" ht="15" spans="1:8">
      <c r="A2" s="1" t="s">
        <v>194</v>
      </c>
      <c r="B2" s="2" t="s">
        <v>195</v>
      </c>
      <c r="G2" s="4" t="s">
        <v>545</v>
      </c>
      <c r="H2" t="str">
        <f t="shared" ref="H2:H65" si="0">IF(G2="","",VLOOKUP(G2,A:B,2,FALSE))</f>
        <v>招魂幡Lv1</v>
      </c>
    </row>
    <row r="3" ht="15" spans="1:8">
      <c r="A3" s="1" t="s">
        <v>196</v>
      </c>
      <c r="B3" s="2" t="s">
        <v>197</v>
      </c>
      <c r="G3" s="4" t="s">
        <v>552</v>
      </c>
      <c r="H3" t="str">
        <f t="shared" si="0"/>
        <v>|Cff00BFFF招魂幡Lv3|r</v>
      </c>
    </row>
    <row r="4" ht="15" spans="1:8">
      <c r="A4" s="1" t="s">
        <v>198</v>
      </c>
      <c r="B4" s="2" t="s">
        <v>199</v>
      </c>
      <c r="G4" s="4" t="s">
        <v>560</v>
      </c>
      <c r="H4" t="str">
        <f t="shared" si="0"/>
        <v>|CffFF0000招魂幡Lv5|r</v>
      </c>
    </row>
    <row r="5" ht="15" spans="1:8">
      <c r="A5" s="1" t="s">
        <v>200</v>
      </c>
      <c r="B5" s="2" t="s">
        <v>201</v>
      </c>
      <c r="G5" s="5" t="s">
        <v>626</v>
      </c>
      <c r="H5" t="str">
        <f t="shared" si="0"/>
        <v>|CffFFD24D后天道果箱|r</v>
      </c>
    </row>
    <row r="6" ht="15" spans="1:8">
      <c r="A6" s="1" t="s">
        <v>203</v>
      </c>
      <c r="B6" s="2" t="s">
        <v>204</v>
      </c>
      <c r="G6" s="5" t="s">
        <v>916</v>
      </c>
      <c r="H6" t="str">
        <f t="shared" si="0"/>
        <v>攻击力低</v>
      </c>
    </row>
    <row r="7" ht="15" spans="1:8">
      <c r="A7" s="1" t="s">
        <v>206</v>
      </c>
      <c r="B7" s="2" t="s">
        <v>207</v>
      </c>
      <c r="G7" s="5" t="s">
        <v>918</v>
      </c>
      <c r="H7" t="str">
        <f t="shared" si="0"/>
        <v>攻击力中</v>
      </c>
    </row>
    <row r="8" ht="15" spans="1:8">
      <c r="A8" s="1" t="s">
        <v>208</v>
      </c>
      <c r="B8" s="2" t="s">
        <v>209</v>
      </c>
      <c r="G8" s="5" t="s">
        <v>922</v>
      </c>
      <c r="H8" t="str">
        <f t="shared" si="0"/>
        <v>生命值低</v>
      </c>
    </row>
    <row r="9" ht="15" spans="1:8">
      <c r="A9" s="1" t="s">
        <v>210</v>
      </c>
      <c r="B9" s="2" t="s">
        <v>211</v>
      </c>
      <c r="G9" s="5" t="s">
        <v>924</v>
      </c>
      <c r="H9" t="str">
        <f t="shared" si="0"/>
        <v>生命值中</v>
      </c>
    </row>
    <row r="10" ht="15" spans="1:8">
      <c r="A10" s="1" t="s">
        <v>212</v>
      </c>
      <c r="B10" s="2" t="s">
        <v>213</v>
      </c>
      <c r="G10" s="5" t="s">
        <v>928</v>
      </c>
      <c r="H10" t="str">
        <f t="shared" si="0"/>
        <v>业力低</v>
      </c>
    </row>
    <row r="11" ht="15" spans="1:8">
      <c r="A11" s="1" t="s">
        <v>215</v>
      </c>
      <c r="B11" s="2" t="s">
        <v>216</v>
      </c>
      <c r="G11" s="5" t="s">
        <v>930</v>
      </c>
      <c r="H11" t="str">
        <f t="shared" si="0"/>
        <v>业力中</v>
      </c>
    </row>
    <row r="12" ht="15" spans="1:8">
      <c r="A12" s="1" t="s">
        <v>218</v>
      </c>
      <c r="B12" s="2" t="s">
        <v>219</v>
      </c>
      <c r="G12" s="5" t="s">
        <v>634</v>
      </c>
      <c r="H12" t="str">
        <f t="shared" si="0"/>
        <v>|CffFFD24D技能宝箱|r</v>
      </c>
    </row>
    <row r="13" ht="15" spans="1:8">
      <c r="A13" s="1" t="s">
        <v>220</v>
      </c>
      <c r="B13" s="2" t="s">
        <v>221</v>
      </c>
      <c r="G13" s="5" t="s">
        <v>622</v>
      </c>
      <c r="H13" t="str">
        <f t="shared" si="0"/>
        <v>|Cff00BFFF入门道果箱|r</v>
      </c>
    </row>
    <row r="14" ht="15" spans="1:8">
      <c r="A14" s="1" t="s">
        <v>222</v>
      </c>
      <c r="B14" s="2" t="s">
        <v>223</v>
      </c>
      <c r="G14" s="5" t="s">
        <v>673</v>
      </c>
      <c r="H14" t="str">
        <f t="shared" si="0"/>
        <v>|CffFF0000时渊碎片|r</v>
      </c>
    </row>
    <row r="15" ht="15" spans="1:8">
      <c r="A15" s="1" t="s">
        <v>224</v>
      </c>
      <c r="B15" s="2" t="s">
        <v>225</v>
      </c>
      <c r="G15" s="5" t="s">
        <v>688</v>
      </c>
      <c r="H15" t="str">
        <f t="shared" si="0"/>
        <v>|Cff00FF7F大补丸|r</v>
      </c>
    </row>
    <row r="16" ht="15" spans="1:8">
      <c r="A16" s="1" t="s">
        <v>227</v>
      </c>
      <c r="B16" s="2" t="s">
        <v>240</v>
      </c>
      <c r="G16" s="6" t="s">
        <v>695</v>
      </c>
      <c r="H16" t="str">
        <f t="shared" si="0"/>
        <v>|Cff00FF7F超级大补丸|r</v>
      </c>
    </row>
    <row r="17" ht="15" spans="1:15">
      <c r="A17" s="1" t="s">
        <v>230</v>
      </c>
      <c r="B17" s="2" t="s">
        <v>243</v>
      </c>
      <c r="G17" s="5" t="s">
        <v>699</v>
      </c>
      <c r="H17" t="str">
        <f t="shared" si="0"/>
        <v>|Cff00FF7F特级大补丸|r</v>
      </c>
      <c r="O17" s="10"/>
    </row>
    <row r="18" ht="15" spans="1:15">
      <c r="A18" s="1" t="s">
        <v>232</v>
      </c>
      <c r="B18" s="2" t="s">
        <v>245</v>
      </c>
      <c r="G18" s="7" t="s">
        <v>1247</v>
      </c>
      <c r="H18" t="e">
        <f t="shared" si="0"/>
        <v>#N/A</v>
      </c>
      <c r="O18" s="10"/>
    </row>
    <row r="19" ht="15" spans="1:15">
      <c r="A19" s="1" t="s">
        <v>234</v>
      </c>
      <c r="B19" s="2" t="s">
        <v>247</v>
      </c>
      <c r="G19" s="8" t="s">
        <v>603</v>
      </c>
      <c r="H19" t="str">
        <f t="shared" si="0"/>
        <v>附魔宝箱</v>
      </c>
      <c r="O19" s="10"/>
    </row>
    <row r="20" ht="15" spans="1:8">
      <c r="A20" s="1" t="s">
        <v>236</v>
      </c>
      <c r="B20" s="2" t="s">
        <v>249</v>
      </c>
      <c r="G20" s="5" t="s">
        <v>911</v>
      </c>
      <c r="H20" t="str">
        <f t="shared" si="0"/>
        <v>没抽到任何东西</v>
      </c>
    </row>
    <row r="21" ht="15" spans="1:8">
      <c r="A21" s="1" t="s">
        <v>239</v>
      </c>
      <c r="B21" s="2" t="s">
        <v>252</v>
      </c>
      <c r="G21" s="9"/>
      <c r="H21" t="str">
        <f t="shared" si="0"/>
        <v/>
      </c>
    </row>
    <row r="22" ht="15" spans="1:8">
      <c r="A22" s="1" t="s">
        <v>242</v>
      </c>
      <c r="B22" s="2" t="s">
        <v>255</v>
      </c>
      <c r="G22" s="9"/>
      <c r="H22" t="str">
        <f t="shared" si="0"/>
        <v/>
      </c>
    </row>
    <row r="23" ht="15" spans="1:8">
      <c r="A23" s="1" t="s">
        <v>244</v>
      </c>
      <c r="B23" s="2" t="s">
        <v>257</v>
      </c>
      <c r="G23" s="9"/>
      <c r="H23" t="str">
        <f t="shared" si="0"/>
        <v/>
      </c>
    </row>
    <row r="24" ht="15" spans="1:8">
      <c r="A24" s="1" t="s">
        <v>246</v>
      </c>
      <c r="B24" s="2" t="s">
        <v>259</v>
      </c>
      <c r="G24" s="9"/>
      <c r="H24" t="str">
        <f t="shared" si="0"/>
        <v/>
      </c>
    </row>
    <row r="25" ht="15" spans="1:8">
      <c r="A25" s="1" t="s">
        <v>248</v>
      </c>
      <c r="B25" s="2" t="s">
        <v>261</v>
      </c>
      <c r="G25" s="9" t="s">
        <v>1248</v>
      </c>
      <c r="H25" t="e">
        <f t="shared" si="0"/>
        <v>#N/A</v>
      </c>
    </row>
    <row r="26" ht="15" spans="1:8">
      <c r="A26" s="1" t="s">
        <v>262</v>
      </c>
      <c r="B26" s="10" t="s">
        <v>263</v>
      </c>
      <c r="G26" s="4" t="s">
        <v>682</v>
      </c>
      <c r="H26" t="str">
        <f t="shared" si="0"/>
        <v>|CffFF0000神兽洗灵石|r</v>
      </c>
    </row>
    <row r="27" ht="15" spans="1:8">
      <c r="A27" s="1" t="s">
        <v>265</v>
      </c>
      <c r="B27" s="10" t="s">
        <v>266</v>
      </c>
      <c r="G27" s="5" t="s">
        <v>676</v>
      </c>
      <c r="H27" t="str">
        <f t="shared" si="0"/>
        <v>|CffFFD24D补天石|r</v>
      </c>
    </row>
    <row r="28" ht="15" spans="1:8">
      <c r="A28" s="1" t="s">
        <v>267</v>
      </c>
      <c r="B28" s="10" t="s">
        <v>268</v>
      </c>
      <c r="G28" s="5" t="s">
        <v>679</v>
      </c>
      <c r="H28" t="str">
        <f t="shared" si="0"/>
        <v>|CffFF0000鸿蒙结晶|r</v>
      </c>
    </row>
    <row r="29" ht="15" spans="1:8">
      <c r="A29" s="1" t="s">
        <v>269</v>
      </c>
      <c r="B29" s="10" t="s">
        <v>270</v>
      </c>
      <c r="G29" s="5" t="s">
        <v>918</v>
      </c>
      <c r="H29" t="str">
        <f t="shared" si="0"/>
        <v>攻击力中</v>
      </c>
    </row>
    <row r="30" ht="15" spans="1:8">
      <c r="A30" s="1" t="s">
        <v>271</v>
      </c>
      <c r="B30" s="10" t="s">
        <v>272</v>
      </c>
      <c r="G30" s="5" t="s">
        <v>920</v>
      </c>
      <c r="H30" t="str">
        <f t="shared" si="0"/>
        <v>攻击力高</v>
      </c>
    </row>
    <row r="31" ht="15" spans="1:8">
      <c r="A31" s="1" t="s">
        <v>273</v>
      </c>
      <c r="B31" s="10" t="s">
        <v>274</v>
      </c>
      <c r="G31" s="5" t="s">
        <v>924</v>
      </c>
      <c r="H31" t="str">
        <f t="shared" si="0"/>
        <v>生命值中</v>
      </c>
    </row>
    <row r="32" ht="15" spans="1:8">
      <c r="A32" s="1" t="s">
        <v>276</v>
      </c>
      <c r="B32" s="10" t="s">
        <v>277</v>
      </c>
      <c r="G32" s="5" t="s">
        <v>926</v>
      </c>
      <c r="H32" t="str">
        <f t="shared" si="0"/>
        <v>生命值高</v>
      </c>
    </row>
    <row r="33" ht="15" spans="1:8">
      <c r="A33" s="1" t="s">
        <v>278</v>
      </c>
      <c r="B33" s="10" t="s">
        <v>279</v>
      </c>
      <c r="G33" s="5" t="s">
        <v>930</v>
      </c>
      <c r="H33" t="str">
        <f t="shared" si="0"/>
        <v>业力中</v>
      </c>
    </row>
    <row r="34" ht="15" spans="1:8">
      <c r="A34" s="1" t="s">
        <v>280</v>
      </c>
      <c r="B34" s="10" t="s">
        <v>281</v>
      </c>
      <c r="G34" s="5" t="s">
        <v>932</v>
      </c>
      <c r="H34" t="str">
        <f t="shared" si="0"/>
        <v>业力高</v>
      </c>
    </row>
    <row r="35" ht="15" spans="1:8">
      <c r="A35" s="1" t="s">
        <v>282</v>
      </c>
      <c r="B35" s="10" t="s">
        <v>283</v>
      </c>
      <c r="G35" s="5" t="s">
        <v>626</v>
      </c>
      <c r="H35" t="str">
        <f t="shared" si="0"/>
        <v>|CffFFD24D后天道果箱|r</v>
      </c>
    </row>
    <row r="36" ht="15" spans="1:8">
      <c r="A36" s="1" t="s">
        <v>284</v>
      </c>
      <c r="B36" s="10" t="s">
        <v>285</v>
      </c>
      <c r="G36" s="8" t="s">
        <v>630</v>
      </c>
      <c r="H36" t="str">
        <f t="shared" si="0"/>
        <v>|CffFF0000先天道果箱|r</v>
      </c>
    </row>
    <row r="37" ht="15" spans="1:8">
      <c r="A37" s="1" t="s">
        <v>287</v>
      </c>
      <c r="B37" s="10" t="s">
        <v>288</v>
      </c>
      <c r="G37" s="4" t="s">
        <v>552</v>
      </c>
      <c r="H37" t="str">
        <f t="shared" si="0"/>
        <v>|Cff00BFFF招魂幡Lv3|r</v>
      </c>
    </row>
    <row r="38" ht="15" spans="1:8">
      <c r="A38" s="1" t="s">
        <v>289</v>
      </c>
      <c r="B38" s="10" t="s">
        <v>290</v>
      </c>
      <c r="G38" s="3" t="s">
        <v>560</v>
      </c>
      <c r="H38" t="str">
        <f t="shared" si="0"/>
        <v>|CffFF0000招魂幡Lv5|r</v>
      </c>
    </row>
    <row r="39" ht="15" spans="1:8">
      <c r="A39" s="1" t="s">
        <v>291</v>
      </c>
      <c r="B39" s="10" t="s">
        <v>292</v>
      </c>
      <c r="G39" s="5" t="s">
        <v>634</v>
      </c>
      <c r="H39" t="str">
        <f t="shared" si="0"/>
        <v>|CffFFD24D技能宝箱|r</v>
      </c>
    </row>
    <row r="40" ht="15" spans="1:8">
      <c r="A40" s="1" t="s">
        <v>293</v>
      </c>
      <c r="B40" s="10" t="s">
        <v>294</v>
      </c>
      <c r="G40" s="7" t="s">
        <v>1247</v>
      </c>
      <c r="H40" t="e">
        <f t="shared" si="0"/>
        <v>#N/A</v>
      </c>
    </row>
    <row r="41" ht="15" spans="1:8">
      <c r="A41" s="1" t="s">
        <v>295</v>
      </c>
      <c r="B41" s="10" t="s">
        <v>307</v>
      </c>
      <c r="G41" s="5" t="s">
        <v>603</v>
      </c>
      <c r="H41" t="str">
        <f t="shared" si="0"/>
        <v>附魔宝箱</v>
      </c>
    </row>
    <row r="42" ht="15" spans="1:8">
      <c r="A42" s="1" t="s">
        <v>298</v>
      </c>
      <c r="B42" s="10" t="s">
        <v>310</v>
      </c>
      <c r="G42" s="5" t="s">
        <v>673</v>
      </c>
      <c r="H42" t="str">
        <f t="shared" si="0"/>
        <v>|CffFF0000时渊碎片|r</v>
      </c>
    </row>
    <row r="43" ht="15" spans="1:8">
      <c r="A43" s="1" t="s">
        <v>300</v>
      </c>
      <c r="B43" s="10" t="s">
        <v>312</v>
      </c>
      <c r="G43" s="5" t="s">
        <v>688</v>
      </c>
      <c r="H43" t="str">
        <f t="shared" si="0"/>
        <v>|Cff00FF7F大补丸|r</v>
      </c>
    </row>
    <row r="44" ht="15" spans="1:8">
      <c r="A44" s="1" t="s">
        <v>302</v>
      </c>
      <c r="B44" s="10" t="s">
        <v>314</v>
      </c>
      <c r="G44" s="6" t="s">
        <v>695</v>
      </c>
      <c r="H44" t="str">
        <f t="shared" si="0"/>
        <v>|Cff00FF7F超级大补丸|r</v>
      </c>
    </row>
    <row r="45" ht="15" spans="1:8">
      <c r="A45" s="1" t="s">
        <v>304</v>
      </c>
      <c r="B45" s="10" t="s">
        <v>316</v>
      </c>
      <c r="G45" s="5" t="s">
        <v>911</v>
      </c>
      <c r="H45" t="str">
        <f t="shared" si="0"/>
        <v>没抽到任何东西</v>
      </c>
    </row>
    <row r="46" ht="15" spans="1:8">
      <c r="A46" s="1" t="s">
        <v>306</v>
      </c>
      <c r="B46" s="10" t="s">
        <v>318</v>
      </c>
      <c r="G46" s="8" t="s">
        <v>622</v>
      </c>
      <c r="H46" t="str">
        <f t="shared" si="0"/>
        <v>|Cff00BFFF入门道果箱|r</v>
      </c>
    </row>
    <row r="47" ht="15" spans="1:8">
      <c r="A47" s="1" t="s">
        <v>309</v>
      </c>
      <c r="B47" s="10" t="s">
        <v>321</v>
      </c>
      <c r="G47" s="3" t="s">
        <v>461</v>
      </c>
      <c r="H47" t="str">
        <f t="shared" si="0"/>
        <v>残缺的中级道果【2】</v>
      </c>
    </row>
    <row r="48" ht="15" spans="1:8">
      <c r="A48" s="1" t="s">
        <v>311</v>
      </c>
      <c r="B48" s="10" t="s">
        <v>323</v>
      </c>
      <c r="G48" s="3" t="s">
        <v>463</v>
      </c>
      <c r="H48" t="str">
        <f t="shared" si="0"/>
        <v>|Cff00FF7F残缺的高级道果【3】|r</v>
      </c>
    </row>
    <row r="49" ht="15" spans="1:8">
      <c r="A49" s="1" t="s">
        <v>313</v>
      </c>
      <c r="B49" s="10" t="s">
        <v>325</v>
      </c>
      <c r="G49" s="9" t="s">
        <v>432</v>
      </c>
      <c r="H49" t="str">
        <f t="shared" si="0"/>
        <v>完美的中级道果【2】</v>
      </c>
    </row>
    <row r="50" ht="15" spans="1:8">
      <c r="A50" s="1" t="s">
        <v>315</v>
      </c>
      <c r="B50" s="10" t="s">
        <v>327</v>
      </c>
      <c r="G50" s="9" t="s">
        <v>435</v>
      </c>
      <c r="H50" t="str">
        <f t="shared" si="0"/>
        <v>|Cff00FF7F完美的高级道果【3】|r</v>
      </c>
    </row>
    <row r="51" ht="15" spans="1:8">
      <c r="A51" s="1" t="s">
        <v>328</v>
      </c>
      <c r="B51" s="2" t="s">
        <v>329</v>
      </c>
      <c r="G51" s="9"/>
      <c r="H51" t="str">
        <f t="shared" si="0"/>
        <v/>
      </c>
    </row>
    <row r="52" ht="15" spans="1:8">
      <c r="A52" s="1" t="s">
        <v>331</v>
      </c>
      <c r="B52" s="2" t="s">
        <v>332</v>
      </c>
      <c r="G52" s="11"/>
      <c r="H52" t="str">
        <f t="shared" si="0"/>
        <v/>
      </c>
    </row>
    <row r="53" ht="15" spans="1:8">
      <c r="A53" s="1" t="s">
        <v>333</v>
      </c>
      <c r="B53" s="2" t="s">
        <v>334</v>
      </c>
      <c r="G53" s="9"/>
      <c r="H53" t="str">
        <f t="shared" si="0"/>
        <v/>
      </c>
    </row>
    <row r="54" ht="15" spans="1:8">
      <c r="A54" s="1" t="s">
        <v>335</v>
      </c>
      <c r="B54" s="2" t="s">
        <v>336</v>
      </c>
      <c r="G54" s="11"/>
      <c r="H54" t="str">
        <f t="shared" si="0"/>
        <v/>
      </c>
    </row>
    <row r="55" ht="15" spans="1:8">
      <c r="A55" s="1" t="s">
        <v>337</v>
      </c>
      <c r="B55" s="2" t="s">
        <v>338</v>
      </c>
      <c r="G55" s="8" t="s">
        <v>626</v>
      </c>
      <c r="H55" t="str">
        <f t="shared" si="0"/>
        <v>|CffFFD24D后天道果箱|r</v>
      </c>
    </row>
    <row r="56" ht="15" spans="1:8">
      <c r="A56" s="1" t="s">
        <v>340</v>
      </c>
      <c r="B56" s="2" t="s">
        <v>341</v>
      </c>
      <c r="G56" s="3" t="s">
        <v>465</v>
      </c>
      <c r="H56" t="str">
        <f t="shared" si="0"/>
        <v>|Cff00FF7F残缺的黄级道果【4】|r</v>
      </c>
    </row>
    <row r="57" ht="15" spans="1:8">
      <c r="A57" s="1" t="s">
        <v>343</v>
      </c>
      <c r="B57" s="2" t="s">
        <v>344</v>
      </c>
      <c r="G57" s="3" t="s">
        <v>467</v>
      </c>
      <c r="H57" t="str">
        <f t="shared" si="0"/>
        <v>|Cff00BFFF残缺的玄级道果【5】|r</v>
      </c>
    </row>
    <row r="58" ht="15" spans="1:8">
      <c r="A58" s="1" t="s">
        <v>345</v>
      </c>
      <c r="B58" s="2" t="s">
        <v>346</v>
      </c>
      <c r="G58" s="3" t="s">
        <v>469</v>
      </c>
      <c r="H58" t="str">
        <f t="shared" si="0"/>
        <v>|Cff00BFFF残缺的地级道果【6】|r</v>
      </c>
    </row>
    <row r="59" ht="15" spans="1:8">
      <c r="A59" s="1" t="s">
        <v>347</v>
      </c>
      <c r="B59" s="2" t="s">
        <v>348</v>
      </c>
      <c r="G59" s="9" t="s">
        <v>438</v>
      </c>
      <c r="H59" t="str">
        <f t="shared" si="0"/>
        <v>|Cff00FF7F完美的黄级道果【4】|r</v>
      </c>
    </row>
    <row r="60" ht="15" spans="1:8">
      <c r="A60" s="1" t="s">
        <v>349</v>
      </c>
      <c r="B60" s="2" t="s">
        <v>350</v>
      </c>
      <c r="G60" s="9" t="s">
        <v>441</v>
      </c>
      <c r="H60" t="str">
        <f t="shared" si="0"/>
        <v>|Cff00BFFF完美的玄级道果【5】|r</v>
      </c>
    </row>
    <row r="61" ht="15" spans="1:8">
      <c r="A61" s="1" t="s">
        <v>352</v>
      </c>
      <c r="B61" s="2" t="s">
        <v>353</v>
      </c>
      <c r="G61" s="9" t="s">
        <v>444</v>
      </c>
      <c r="H61" t="str">
        <f t="shared" si="0"/>
        <v>|Cff00BFFF完美的地级道果【6】|r</v>
      </c>
    </row>
    <row r="62" ht="15" spans="1:8">
      <c r="A62" s="1" t="s">
        <v>355</v>
      </c>
      <c r="B62" s="2" t="s">
        <v>356</v>
      </c>
      <c r="G62" s="11" t="s">
        <v>695</v>
      </c>
      <c r="H62" t="str">
        <f t="shared" si="0"/>
        <v>|Cff00FF7F超级大补丸|r</v>
      </c>
    </row>
    <row r="63" ht="15" spans="1:8">
      <c r="A63" s="1" t="s">
        <v>357</v>
      </c>
      <c r="B63" s="2" t="s">
        <v>358</v>
      </c>
      <c r="G63" s="9" t="s">
        <v>699</v>
      </c>
      <c r="H63" t="str">
        <f t="shared" si="0"/>
        <v>|Cff00FF7F特级大补丸|r</v>
      </c>
    </row>
    <row r="64" ht="15" spans="1:8">
      <c r="A64" s="1" t="s">
        <v>359</v>
      </c>
      <c r="B64" s="2" t="s">
        <v>360</v>
      </c>
      <c r="G64" s="9"/>
      <c r="H64" t="str">
        <f t="shared" si="0"/>
        <v/>
      </c>
    </row>
    <row r="65" ht="15" spans="1:8">
      <c r="A65" s="1" t="s">
        <v>361</v>
      </c>
      <c r="B65" s="2" t="s">
        <v>362</v>
      </c>
      <c r="G65" s="11"/>
      <c r="H65" t="str">
        <f t="shared" si="0"/>
        <v/>
      </c>
    </row>
    <row r="66" ht="15" spans="1:8">
      <c r="A66" s="1" t="s">
        <v>364</v>
      </c>
      <c r="B66" s="2" t="s">
        <v>377</v>
      </c>
      <c r="G66" s="11"/>
      <c r="H66" t="str">
        <f t="shared" ref="H66:H129" si="1">IF(G66="","",VLOOKUP(G66,A:B,2,FALSE))</f>
        <v/>
      </c>
    </row>
    <row r="67" ht="15" spans="1:8">
      <c r="A67" s="1" t="s">
        <v>367</v>
      </c>
      <c r="B67" s="2" t="s">
        <v>380</v>
      </c>
      <c r="G67" s="11"/>
      <c r="H67" t="str">
        <f t="shared" si="1"/>
        <v/>
      </c>
    </row>
    <row r="68" ht="15" spans="1:8">
      <c r="A68" s="1" t="s">
        <v>369</v>
      </c>
      <c r="B68" s="2" t="s">
        <v>382</v>
      </c>
      <c r="G68" s="8" t="s">
        <v>630</v>
      </c>
      <c r="H68" t="str">
        <f t="shared" si="1"/>
        <v>|CffFF0000先天道果箱|r</v>
      </c>
    </row>
    <row r="69" ht="15" spans="1:8">
      <c r="A69" s="1" t="s">
        <v>371</v>
      </c>
      <c r="B69" s="2" t="s">
        <v>384</v>
      </c>
      <c r="G69" s="3" t="s">
        <v>447</v>
      </c>
      <c r="H69" t="str">
        <f t="shared" si="1"/>
        <v>|CffFFC926完美的天级道果【7】|r</v>
      </c>
    </row>
    <row r="70" ht="15" spans="1:8">
      <c r="A70" s="1" t="s">
        <v>373</v>
      </c>
      <c r="B70" s="2" t="s">
        <v>386</v>
      </c>
      <c r="G70" s="3" t="s">
        <v>450</v>
      </c>
      <c r="H70" t="str">
        <f t="shared" si="1"/>
        <v>|CffFFC926完美的仙品道果【8】|r</v>
      </c>
    </row>
    <row r="71" ht="15" spans="1:8">
      <c r="A71" s="1" t="s">
        <v>376</v>
      </c>
      <c r="B71" s="2" t="s">
        <v>389</v>
      </c>
      <c r="G71" s="3" t="s">
        <v>453</v>
      </c>
      <c r="H71" t="str">
        <f t="shared" si="1"/>
        <v>|CffFF0000完美的至圣道果【9】|r</v>
      </c>
    </row>
    <row r="72" ht="15" spans="1:8">
      <c r="A72" s="1" t="s">
        <v>379</v>
      </c>
      <c r="B72" s="2" t="s">
        <v>392</v>
      </c>
      <c r="G72" s="3" t="s">
        <v>456</v>
      </c>
      <c r="H72" t="str">
        <f t="shared" si="1"/>
        <v>|CffFF0000完美的混沌道果【10】|r</v>
      </c>
    </row>
    <row r="73" ht="15" spans="1:8">
      <c r="A73" s="1" t="s">
        <v>381</v>
      </c>
      <c r="B73" s="2" t="s">
        <v>394</v>
      </c>
      <c r="G73" s="9" t="s">
        <v>471</v>
      </c>
      <c r="H73" t="str">
        <f t="shared" si="1"/>
        <v>|CffFFC926残缺的天级道果【7】|r</v>
      </c>
    </row>
    <row r="74" ht="15" spans="1:8">
      <c r="A74" s="1" t="s">
        <v>383</v>
      </c>
      <c r="B74" s="2" t="s">
        <v>396</v>
      </c>
      <c r="G74" s="9" t="s">
        <v>473</v>
      </c>
      <c r="H74" t="str">
        <f t="shared" si="1"/>
        <v>|CffFFC926残缺的仙品道果【8】|r</v>
      </c>
    </row>
    <row r="75" ht="15" spans="1:8">
      <c r="A75" s="1" t="s">
        <v>385</v>
      </c>
      <c r="B75" s="2" t="s">
        <v>398</v>
      </c>
      <c r="G75" s="9" t="s">
        <v>475</v>
      </c>
      <c r="H75" t="str">
        <f t="shared" si="1"/>
        <v>|CffFF0000残缺的至圣道果【9】|r</v>
      </c>
    </row>
    <row r="76" ht="15" spans="1:8">
      <c r="A76" s="1" t="s">
        <v>399</v>
      </c>
      <c r="B76" s="12" t="s">
        <v>400</v>
      </c>
      <c r="G76" s="9" t="s">
        <v>477</v>
      </c>
      <c r="H76" t="str">
        <f t="shared" si="1"/>
        <v>|CffFF0000残缺的混沌道果【10】|r</v>
      </c>
    </row>
    <row r="77" ht="15" spans="1:8">
      <c r="A77" s="1" t="s">
        <v>402</v>
      </c>
      <c r="B77" s="12" t="s">
        <v>403</v>
      </c>
      <c r="G77" s="11" t="s">
        <v>695</v>
      </c>
      <c r="H77" t="str">
        <f t="shared" si="1"/>
        <v>|Cff00FF7F超级大补丸|r</v>
      </c>
    </row>
    <row r="78" ht="15" spans="1:8">
      <c r="A78" s="1" t="s">
        <v>405</v>
      </c>
      <c r="B78" s="13" t="s">
        <v>406</v>
      </c>
      <c r="G78" s="9" t="s">
        <v>699</v>
      </c>
      <c r="H78" t="str">
        <f t="shared" si="1"/>
        <v>|Cff00FF7F特级大补丸|r</v>
      </c>
    </row>
    <row r="79" ht="15" spans="1:8">
      <c r="A79" s="1" t="s">
        <v>408</v>
      </c>
      <c r="B79" s="13" t="s">
        <v>409</v>
      </c>
      <c r="G79" s="9"/>
      <c r="H79" t="str">
        <f t="shared" si="1"/>
        <v/>
      </c>
    </row>
    <row r="80" ht="15" spans="1:8">
      <c r="A80" s="1" t="s">
        <v>411</v>
      </c>
      <c r="B80" s="13" t="s">
        <v>412</v>
      </c>
      <c r="G80" s="11"/>
      <c r="H80" t="str">
        <f t="shared" si="1"/>
        <v/>
      </c>
    </row>
    <row r="81" ht="15" spans="1:8">
      <c r="A81" s="1" t="s">
        <v>414</v>
      </c>
      <c r="B81" s="2" t="s">
        <v>415</v>
      </c>
      <c r="G81" s="3" t="s">
        <v>640</v>
      </c>
      <c r="H81" t="str">
        <f t="shared" si="1"/>
        <v>幸运星盒</v>
      </c>
    </row>
    <row r="82" ht="15" spans="1:8">
      <c r="A82" s="1" t="s">
        <v>417</v>
      </c>
      <c r="B82" s="2" t="s">
        <v>418</v>
      </c>
      <c r="G82" s="9" t="s">
        <v>913</v>
      </c>
      <c r="H82" t="str">
        <f t="shared" si="1"/>
        <v>玄铁</v>
      </c>
    </row>
    <row r="83" ht="15" spans="1:8">
      <c r="A83" s="1" t="s">
        <v>420</v>
      </c>
      <c r="B83" s="2" t="s">
        <v>421</v>
      </c>
      <c r="G83" s="9" t="s">
        <v>915</v>
      </c>
      <c r="H83" t="str">
        <f t="shared" si="1"/>
        <v>杀敌数</v>
      </c>
    </row>
    <row r="84" ht="15" spans="1:8">
      <c r="A84" s="1" t="s">
        <v>423</v>
      </c>
      <c r="B84" s="2" t="s">
        <v>424</v>
      </c>
      <c r="G84" s="9" t="s">
        <v>916</v>
      </c>
      <c r="H84" t="str">
        <f t="shared" si="1"/>
        <v>攻击力低</v>
      </c>
    </row>
    <row r="85" ht="15" spans="1:8">
      <c r="A85" s="1" t="s">
        <v>426</v>
      </c>
      <c r="B85" s="2" t="s">
        <v>427</v>
      </c>
      <c r="G85" s="9" t="s">
        <v>918</v>
      </c>
      <c r="H85" t="str">
        <f t="shared" si="1"/>
        <v>攻击力中</v>
      </c>
    </row>
    <row r="86" ht="15" spans="1:8">
      <c r="A86" s="9" t="s">
        <v>429</v>
      </c>
      <c r="B86" s="12" t="s">
        <v>430</v>
      </c>
      <c r="G86" s="9" t="s">
        <v>920</v>
      </c>
      <c r="H86" t="str">
        <f t="shared" si="1"/>
        <v>攻击力高</v>
      </c>
    </row>
    <row r="87" ht="15" spans="1:8">
      <c r="A87" s="9" t="s">
        <v>432</v>
      </c>
      <c r="B87" s="12" t="s">
        <v>433</v>
      </c>
      <c r="G87" s="9" t="s">
        <v>922</v>
      </c>
      <c r="H87" t="str">
        <f t="shared" si="1"/>
        <v>生命值低</v>
      </c>
    </row>
    <row r="88" ht="15" spans="1:8">
      <c r="A88" s="9" t="s">
        <v>435</v>
      </c>
      <c r="B88" s="13" t="s">
        <v>436</v>
      </c>
      <c r="G88" s="9" t="s">
        <v>924</v>
      </c>
      <c r="H88" t="str">
        <f t="shared" si="1"/>
        <v>生命值中</v>
      </c>
    </row>
    <row r="89" ht="15" spans="1:8">
      <c r="A89" s="9" t="s">
        <v>438</v>
      </c>
      <c r="B89" s="13" t="s">
        <v>439</v>
      </c>
      <c r="G89" s="9" t="s">
        <v>926</v>
      </c>
      <c r="H89" t="str">
        <f t="shared" si="1"/>
        <v>生命值高</v>
      </c>
    </row>
    <row r="90" ht="15" spans="1:8">
      <c r="A90" s="9" t="s">
        <v>441</v>
      </c>
      <c r="B90" s="13" t="s">
        <v>442</v>
      </c>
      <c r="G90" s="9" t="s">
        <v>928</v>
      </c>
      <c r="H90" t="str">
        <f t="shared" si="1"/>
        <v>业力低</v>
      </c>
    </row>
    <row r="91" ht="15" spans="1:8">
      <c r="A91" s="9" t="s">
        <v>444</v>
      </c>
      <c r="B91" s="2" t="s">
        <v>445</v>
      </c>
      <c r="G91" s="9" t="s">
        <v>930</v>
      </c>
      <c r="H91" t="str">
        <f t="shared" si="1"/>
        <v>业力中</v>
      </c>
    </row>
    <row r="92" ht="15" spans="1:8">
      <c r="A92" s="9" t="s">
        <v>447</v>
      </c>
      <c r="B92" s="2" t="s">
        <v>448</v>
      </c>
      <c r="G92" s="9" t="s">
        <v>932</v>
      </c>
      <c r="H92" t="str">
        <f t="shared" si="1"/>
        <v>业力高</v>
      </c>
    </row>
    <row r="93" ht="15" spans="1:8">
      <c r="A93" s="9" t="s">
        <v>450</v>
      </c>
      <c r="B93" s="2" t="s">
        <v>451</v>
      </c>
      <c r="G93" s="9" t="s">
        <v>692</v>
      </c>
      <c r="H93" t="str">
        <f t="shared" si="1"/>
        <v>|Cff00FF7F抽奖抵用券|r</v>
      </c>
    </row>
    <row r="94" ht="15" spans="1:8">
      <c r="A94" s="9" t="s">
        <v>453</v>
      </c>
      <c r="B94" s="2" t="s">
        <v>454</v>
      </c>
      <c r="G94" s="9" t="s">
        <v>911</v>
      </c>
      <c r="H94" t="str">
        <f t="shared" si="1"/>
        <v>没抽到任何东西</v>
      </c>
    </row>
    <row r="95" ht="15" spans="1:8">
      <c r="A95" s="9" t="s">
        <v>456</v>
      </c>
      <c r="B95" s="2" t="s">
        <v>457</v>
      </c>
      <c r="G95" s="11"/>
      <c r="H95" t="str">
        <f t="shared" si="1"/>
        <v/>
      </c>
    </row>
    <row r="96" ht="15" spans="1:8">
      <c r="A96" s="9" t="s">
        <v>459</v>
      </c>
      <c r="B96" s="12" t="s">
        <v>1249</v>
      </c>
      <c r="G96" s="8" t="s">
        <v>564</v>
      </c>
      <c r="H96" t="str">
        <f t="shared" si="1"/>
        <v>锦囊</v>
      </c>
    </row>
    <row r="97" ht="15" spans="1:8">
      <c r="A97" s="9" t="s">
        <v>461</v>
      </c>
      <c r="B97" s="12" t="s">
        <v>1250</v>
      </c>
      <c r="G97" s="9" t="s">
        <v>567</v>
      </c>
      <c r="H97" t="str">
        <f t="shared" si="1"/>
        <v>来份快餐</v>
      </c>
    </row>
    <row r="98" ht="15" spans="1:8">
      <c r="A98" s="9" t="s">
        <v>463</v>
      </c>
      <c r="B98" s="13" t="s">
        <v>1251</v>
      </c>
      <c r="G98" s="9" t="s">
        <v>570</v>
      </c>
      <c r="H98" t="str">
        <f t="shared" si="1"/>
        <v>抬你一手</v>
      </c>
    </row>
    <row r="99" ht="15" spans="1:8">
      <c r="A99" s="9" t="s">
        <v>465</v>
      </c>
      <c r="B99" s="13" t="s">
        <v>1252</v>
      </c>
      <c r="G99" s="9" t="s">
        <v>573</v>
      </c>
      <c r="H99" t="str">
        <f t="shared" si="1"/>
        <v>死者苏生</v>
      </c>
    </row>
    <row r="100" ht="15" spans="1:8">
      <c r="A100" s="9" t="s">
        <v>467</v>
      </c>
      <c r="B100" s="13" t="s">
        <v>1253</v>
      </c>
      <c r="G100" s="9" t="s">
        <v>576</v>
      </c>
      <c r="H100" t="str">
        <f t="shared" si="1"/>
        <v>福娃这么可爱..</v>
      </c>
    </row>
    <row r="101" ht="15" spans="1:8">
      <c r="A101" s="9" t="s">
        <v>469</v>
      </c>
      <c r="B101" s="2" t="s">
        <v>1254</v>
      </c>
      <c r="G101" s="9" t="s">
        <v>579</v>
      </c>
      <c r="H101" t="str">
        <f t="shared" si="1"/>
        <v>奥里给Lo他</v>
      </c>
    </row>
    <row r="102" ht="15" spans="1:8">
      <c r="A102" s="9" t="s">
        <v>471</v>
      </c>
      <c r="B102" s="2" t="s">
        <v>1255</v>
      </c>
      <c r="G102" s="9" t="s">
        <v>582</v>
      </c>
      <c r="H102" t="str">
        <f t="shared" si="1"/>
        <v>以逸待劳</v>
      </c>
    </row>
    <row r="103" ht="15" spans="1:8">
      <c r="A103" s="9" t="s">
        <v>473</v>
      </c>
      <c r="B103" s="2" t="s">
        <v>1256</v>
      </c>
      <c r="G103" s="9" t="s">
        <v>585</v>
      </c>
      <c r="H103" t="str">
        <f t="shared" si="1"/>
        <v>全军出击</v>
      </c>
    </row>
    <row r="104" ht="15" spans="1:8">
      <c r="A104" s="9" t="s">
        <v>475</v>
      </c>
      <c r="B104" s="2" t="s">
        <v>1257</v>
      </c>
      <c r="G104" s="9" t="s">
        <v>588</v>
      </c>
      <c r="H104" t="str">
        <f t="shared" si="1"/>
        <v>心跳时刻</v>
      </c>
    </row>
    <row r="105" ht="15" spans="1:8">
      <c r="A105" s="9" t="s">
        <v>477</v>
      </c>
      <c r="B105" s="2" t="s">
        <v>1258</v>
      </c>
      <c r="G105" s="9" t="s">
        <v>591</v>
      </c>
      <c r="H105" t="str">
        <f t="shared" si="1"/>
        <v>据守</v>
      </c>
    </row>
    <row r="106" ht="15" spans="1:8">
      <c r="A106" s="9" t="s">
        <v>479</v>
      </c>
      <c r="B106" s="9" t="s">
        <v>1259</v>
      </c>
      <c r="G106" s="9" t="s">
        <v>594</v>
      </c>
      <c r="H106" t="str">
        <f t="shared" si="1"/>
        <v>赌输可退</v>
      </c>
    </row>
    <row r="107" ht="15" spans="1:8">
      <c r="A107" s="9" t="s">
        <v>515</v>
      </c>
      <c r="B107" s="9" t="s">
        <v>502</v>
      </c>
      <c r="G107" s="9" t="s">
        <v>597</v>
      </c>
      <c r="H107" t="str">
        <f t="shared" si="1"/>
        <v>来点玄铁</v>
      </c>
    </row>
    <row r="108" ht="15" spans="1:8">
      <c r="A108" s="9" t="s">
        <v>517</v>
      </c>
      <c r="B108" s="9" t="s">
        <v>1260</v>
      </c>
      <c r="G108" s="9" t="s">
        <v>600</v>
      </c>
      <c r="H108" t="str">
        <f t="shared" si="1"/>
        <v>恭喜发财</v>
      </c>
    </row>
    <row r="109" ht="15" spans="1:8">
      <c r="A109" s="9" t="s">
        <v>520</v>
      </c>
      <c r="B109" s="9" t="s">
        <v>510</v>
      </c>
      <c r="G109" s="9" t="s">
        <v>607</v>
      </c>
      <c r="H109" t="str">
        <f t="shared" si="1"/>
        <v>鼠年大吉</v>
      </c>
    </row>
    <row r="110" ht="15" spans="1:8">
      <c r="A110" s="9" t="s">
        <v>522</v>
      </c>
      <c r="B110" s="9" t="s">
        <v>1261</v>
      </c>
      <c r="G110" s="9" t="s">
        <v>610</v>
      </c>
      <c r="H110" t="str">
        <f t="shared" si="1"/>
        <v>兄弟们拼了</v>
      </c>
    </row>
    <row r="111" ht="15" spans="1:8">
      <c r="A111" s="9" t="s">
        <v>523</v>
      </c>
      <c r="B111" s="14" t="s">
        <v>524</v>
      </c>
      <c r="G111" s="9" t="s">
        <v>613</v>
      </c>
      <c r="H111" t="str">
        <f t="shared" si="1"/>
        <v>老铁忍住啊</v>
      </c>
    </row>
    <row r="112" ht="15" spans="1:8">
      <c r="A112" s="9" t="s">
        <v>526</v>
      </c>
      <c r="B112" s="9" t="s">
        <v>527</v>
      </c>
      <c r="G112" s="9" t="s">
        <v>616</v>
      </c>
      <c r="H112" t="str">
        <f t="shared" si="1"/>
        <v>老铁忍住呀</v>
      </c>
    </row>
    <row r="113" ht="15" spans="1:8">
      <c r="A113" s="9" t="s">
        <v>529</v>
      </c>
      <c r="B113" s="9" t="s">
        <v>530</v>
      </c>
      <c r="G113" s="9" t="s">
        <v>619</v>
      </c>
      <c r="H113" t="str">
        <f t="shared" si="1"/>
        <v>跳不动了</v>
      </c>
    </row>
    <row r="114" ht="15" spans="1:8">
      <c r="A114" s="9" t="s">
        <v>532</v>
      </c>
      <c r="B114" s="9" t="s">
        <v>533</v>
      </c>
      <c r="G114" s="9" t="s">
        <v>916</v>
      </c>
      <c r="H114" t="str">
        <f t="shared" si="1"/>
        <v>攻击力低</v>
      </c>
    </row>
    <row r="115" ht="15" spans="1:8">
      <c r="A115" s="9" t="s">
        <v>535</v>
      </c>
      <c r="B115" s="9" t="s">
        <v>536</v>
      </c>
      <c r="G115" s="9" t="s">
        <v>922</v>
      </c>
      <c r="H115" t="str">
        <f t="shared" si="1"/>
        <v>生命值低</v>
      </c>
    </row>
    <row r="116" ht="15" spans="1:8">
      <c r="A116" s="9" t="s">
        <v>538</v>
      </c>
      <c r="B116" s="9" t="s">
        <v>539</v>
      </c>
      <c r="G116" s="9" t="s">
        <v>928</v>
      </c>
      <c r="H116" t="str">
        <f t="shared" si="1"/>
        <v>业力低</v>
      </c>
    </row>
    <row r="117" ht="15" spans="1:8">
      <c r="A117" s="9" t="s">
        <v>545</v>
      </c>
      <c r="B117" s="15" t="s">
        <v>546</v>
      </c>
      <c r="G117" s="11"/>
      <c r="H117" t="str">
        <f t="shared" si="1"/>
        <v/>
      </c>
    </row>
    <row r="118" ht="15" spans="1:8">
      <c r="A118" s="9" t="s">
        <v>548</v>
      </c>
      <c r="B118" s="16" t="s">
        <v>549</v>
      </c>
      <c r="G118" s="8" t="s">
        <v>603</v>
      </c>
      <c r="H118" t="str">
        <f t="shared" si="1"/>
        <v>附魔宝箱</v>
      </c>
    </row>
    <row r="119" ht="15" spans="1:8">
      <c r="A119" s="9" t="s">
        <v>552</v>
      </c>
      <c r="B119" s="16" t="s">
        <v>553</v>
      </c>
      <c r="G119" s="9" t="s">
        <v>780</v>
      </c>
      <c r="H119" t="str">
        <f t="shared" si="1"/>
        <v>Q技能附魔卷</v>
      </c>
    </row>
    <row r="120" ht="15" spans="1:8">
      <c r="A120" s="9" t="s">
        <v>556</v>
      </c>
      <c r="B120" s="16" t="s">
        <v>557</v>
      </c>
      <c r="G120" s="9" t="s">
        <v>784</v>
      </c>
      <c r="H120" t="str">
        <f t="shared" si="1"/>
        <v>W技能附魔卷</v>
      </c>
    </row>
    <row r="121" ht="15" spans="1:8">
      <c r="A121" s="9" t="s">
        <v>560</v>
      </c>
      <c r="B121" s="16" t="s">
        <v>561</v>
      </c>
      <c r="G121" s="9" t="s">
        <v>788</v>
      </c>
      <c r="H121" t="str">
        <f t="shared" si="1"/>
        <v>E技能附魔卷</v>
      </c>
    </row>
    <row r="122" ht="15" spans="1:8">
      <c r="A122" s="9" t="s">
        <v>564</v>
      </c>
      <c r="B122" s="9" t="s">
        <v>1262</v>
      </c>
      <c r="G122" s="9" t="s">
        <v>792</v>
      </c>
      <c r="H122" t="str">
        <f t="shared" si="1"/>
        <v>|CffFFD24DQ强力附魔卷|r</v>
      </c>
    </row>
    <row r="123" ht="15" spans="1:8">
      <c r="A123" s="17" t="s">
        <v>567</v>
      </c>
      <c r="B123" s="18" t="s">
        <v>1263</v>
      </c>
      <c r="G123" s="9" t="s">
        <v>795</v>
      </c>
      <c r="H123" t="str">
        <f t="shared" si="1"/>
        <v>|CffFFD24DW强力附魔卷|r</v>
      </c>
    </row>
    <row r="124" ht="15" spans="1:8">
      <c r="A124" s="9" t="s">
        <v>570</v>
      </c>
      <c r="B124" s="19" t="s">
        <v>1264</v>
      </c>
      <c r="G124" s="9" t="s">
        <v>798</v>
      </c>
      <c r="H124" t="str">
        <f t="shared" si="1"/>
        <v>|CffFFD24DE强力附魔卷|r</v>
      </c>
    </row>
    <row r="125" ht="15" spans="1:8">
      <c r="A125" s="17" t="s">
        <v>573</v>
      </c>
      <c r="B125" s="18" t="s">
        <v>1265</v>
      </c>
      <c r="G125" s="11"/>
      <c r="H125" t="str">
        <f t="shared" si="1"/>
        <v/>
      </c>
    </row>
    <row r="126" ht="15" spans="1:8">
      <c r="A126" s="17" t="s">
        <v>576</v>
      </c>
      <c r="B126" s="18" t="s">
        <v>1266</v>
      </c>
      <c r="G126" s="8" t="s">
        <v>634</v>
      </c>
      <c r="H126" t="str">
        <f t="shared" si="1"/>
        <v>|CffFFD24D技能宝箱|r</v>
      </c>
    </row>
    <row r="127" ht="15" spans="1:8">
      <c r="A127" s="17" t="s">
        <v>579</v>
      </c>
      <c r="B127" s="18" t="s">
        <v>1267</v>
      </c>
      <c r="G127" s="9" t="s">
        <v>520</v>
      </c>
      <c r="H127" t="str">
        <f t="shared" si="1"/>
        <v>|Cff00FF7F技能进阶石【残缺】|r</v>
      </c>
    </row>
    <row r="128" ht="15" spans="1:8">
      <c r="A128" s="17" t="s">
        <v>582</v>
      </c>
      <c r="B128" s="18" t="s">
        <v>1268</v>
      </c>
      <c r="G128" s="9" t="s">
        <v>515</v>
      </c>
      <c r="H128" t="str">
        <f t="shared" si="1"/>
        <v>|Cff00BFFF技能进阶石【完美】|r</v>
      </c>
    </row>
    <row r="129" ht="15" spans="1:8">
      <c r="A129" s="17" t="s">
        <v>585</v>
      </c>
      <c r="B129" s="18" t="s">
        <v>1269</v>
      </c>
      <c r="G129" s="9" t="s">
        <v>517</v>
      </c>
      <c r="H129" t="str">
        <f t="shared" si="1"/>
        <v>|CffFF0000技能进化石【完美】|r</v>
      </c>
    </row>
    <row r="130" ht="15" spans="1:8">
      <c r="A130" s="17" t="s">
        <v>588</v>
      </c>
      <c r="B130" s="18" t="s">
        <v>1270</v>
      </c>
      <c r="G130" s="9" t="s">
        <v>522</v>
      </c>
      <c r="H130" t="str">
        <f t="shared" ref="H130:H174" si="2">IF(G130="","",VLOOKUP(G130,A:B,2,FALSE))</f>
        <v>|CffFFD24D技能进化石【残缺】|r</v>
      </c>
    </row>
    <row r="131" ht="15" spans="1:8">
      <c r="A131" s="17" t="s">
        <v>591</v>
      </c>
      <c r="B131" s="18" t="s">
        <v>1271</v>
      </c>
      <c r="G131" s="11"/>
      <c r="H131" t="str">
        <f t="shared" si="2"/>
        <v/>
      </c>
    </row>
    <row r="132" ht="15" spans="1:8">
      <c r="A132" s="17" t="s">
        <v>594</v>
      </c>
      <c r="B132" s="17" t="s">
        <v>595</v>
      </c>
      <c r="G132" s="8" t="s">
        <v>648</v>
      </c>
      <c r="H132" t="str">
        <f t="shared" si="2"/>
        <v>|CffFFD24D技能宝箱|r</v>
      </c>
    </row>
    <row r="133" ht="15" spans="1:8">
      <c r="A133" s="17" t="s">
        <v>597</v>
      </c>
      <c r="B133" s="18" t="s">
        <v>1272</v>
      </c>
      <c r="G133" s="9" t="s">
        <v>520</v>
      </c>
      <c r="H133" t="str">
        <f t="shared" si="2"/>
        <v>|Cff00FF7F技能进阶石【残缺】|r</v>
      </c>
    </row>
    <row r="134" ht="15" spans="1:8">
      <c r="A134" s="17" t="s">
        <v>600</v>
      </c>
      <c r="B134" s="18" t="s">
        <v>1273</v>
      </c>
      <c r="G134" s="9" t="s">
        <v>515</v>
      </c>
      <c r="H134" t="str">
        <f t="shared" si="2"/>
        <v>|Cff00BFFF技能进阶石【完美】|r</v>
      </c>
    </row>
    <row r="135" ht="15" spans="1:8">
      <c r="A135" s="9" t="s">
        <v>603</v>
      </c>
      <c r="B135" s="20" t="s">
        <v>604</v>
      </c>
      <c r="G135" s="11"/>
      <c r="H135" t="str">
        <f t="shared" si="2"/>
        <v/>
      </c>
    </row>
    <row r="136" ht="15" spans="1:8">
      <c r="A136" s="17" t="s">
        <v>607</v>
      </c>
      <c r="B136" s="21" t="s">
        <v>1274</v>
      </c>
      <c r="G136" s="8" t="s">
        <v>638</v>
      </c>
      <c r="H136" t="str">
        <f t="shared" si="2"/>
        <v>|CffFFD24D附魔宝箱|r</v>
      </c>
    </row>
    <row r="137" ht="15" spans="1:8">
      <c r="A137" s="17" t="s">
        <v>610</v>
      </c>
      <c r="B137" s="22" t="s">
        <v>1275</v>
      </c>
      <c r="G137" s="9" t="s">
        <v>780</v>
      </c>
      <c r="H137" t="str">
        <f t="shared" si="2"/>
        <v>Q技能附魔卷</v>
      </c>
    </row>
    <row r="138" ht="15" spans="1:8">
      <c r="A138" s="9" t="s">
        <v>613</v>
      </c>
      <c r="B138" s="23" t="s">
        <v>1276</v>
      </c>
      <c r="G138" s="9" t="s">
        <v>792</v>
      </c>
      <c r="H138" t="str">
        <f t="shared" si="2"/>
        <v>|CffFFD24DQ强力附魔卷|r</v>
      </c>
    </row>
    <row r="139" ht="15" spans="1:8">
      <c r="A139" s="17" t="s">
        <v>616</v>
      </c>
      <c r="B139" s="21" t="s">
        <v>1277</v>
      </c>
      <c r="G139" s="9"/>
      <c r="H139" t="str">
        <f t="shared" si="2"/>
        <v/>
      </c>
    </row>
    <row r="140" ht="15" spans="1:8">
      <c r="A140" s="17" t="s">
        <v>619</v>
      </c>
      <c r="B140" s="21" t="s">
        <v>1278</v>
      </c>
      <c r="G140" s="8"/>
      <c r="H140" t="str">
        <f t="shared" si="2"/>
        <v/>
      </c>
    </row>
    <row r="141" ht="15" spans="1:8">
      <c r="A141" s="24" t="s">
        <v>622</v>
      </c>
      <c r="B141" s="23" t="s">
        <v>623</v>
      </c>
      <c r="G141" s="9" t="s">
        <v>878</v>
      </c>
      <c r="H141" t="str">
        <f t="shared" si="2"/>
        <v>附魔</v>
      </c>
    </row>
    <row r="142" ht="15" spans="1:8">
      <c r="A142" s="24" t="s">
        <v>626</v>
      </c>
      <c r="B142" s="23" t="s">
        <v>627</v>
      </c>
      <c r="G142" s="9" t="s">
        <v>880</v>
      </c>
      <c r="H142" t="str">
        <f t="shared" si="2"/>
        <v>附魔</v>
      </c>
    </row>
    <row r="143" ht="15" spans="1:8">
      <c r="A143" s="24" t="s">
        <v>630</v>
      </c>
      <c r="B143" s="23" t="s">
        <v>631</v>
      </c>
      <c r="G143" s="9" t="s">
        <v>881</v>
      </c>
      <c r="H143" t="str">
        <f t="shared" si="2"/>
        <v>附魔</v>
      </c>
    </row>
    <row r="144" ht="15" spans="1:8">
      <c r="A144" s="24" t="s">
        <v>634</v>
      </c>
      <c r="B144" s="20" t="s">
        <v>635</v>
      </c>
      <c r="G144" s="9" t="s">
        <v>882</v>
      </c>
      <c r="H144" t="str">
        <f t="shared" si="2"/>
        <v>附魔</v>
      </c>
    </row>
    <row r="145" ht="15" spans="1:8">
      <c r="A145" s="24" t="s">
        <v>638</v>
      </c>
      <c r="B145" s="20" t="s">
        <v>639</v>
      </c>
      <c r="G145" s="9" t="s">
        <v>883</v>
      </c>
      <c r="H145" t="str">
        <f t="shared" si="2"/>
        <v>附魔</v>
      </c>
    </row>
    <row r="146" ht="15" spans="1:8">
      <c r="A146" s="24" t="s">
        <v>640</v>
      </c>
      <c r="B146" s="20" t="s">
        <v>1279</v>
      </c>
      <c r="G146" s="9" t="s">
        <v>884</v>
      </c>
      <c r="H146" t="str">
        <f t="shared" si="2"/>
        <v>附魔</v>
      </c>
    </row>
    <row r="147" ht="15" spans="1:8">
      <c r="A147" s="24" t="s">
        <v>644</v>
      </c>
      <c r="B147" s="20" t="s">
        <v>1280</v>
      </c>
      <c r="G147" s="9" t="s">
        <v>885</v>
      </c>
      <c r="H147" t="str">
        <f t="shared" si="2"/>
        <v>附魔</v>
      </c>
    </row>
    <row r="148" ht="15" spans="1:8">
      <c r="A148" s="24" t="s">
        <v>648</v>
      </c>
      <c r="B148" s="20" t="s">
        <v>635</v>
      </c>
      <c r="G148" s="9" t="s">
        <v>886</v>
      </c>
      <c r="H148" t="str">
        <f t="shared" si="2"/>
        <v>附魔</v>
      </c>
    </row>
    <row r="149" ht="15" spans="1:8">
      <c r="A149" s="9" t="s">
        <v>673</v>
      </c>
      <c r="B149" s="9" t="s">
        <v>1281</v>
      </c>
      <c r="G149" s="9" t="s">
        <v>887</v>
      </c>
      <c r="H149" t="str">
        <f t="shared" si="2"/>
        <v>附魔</v>
      </c>
    </row>
    <row r="150" ht="15" spans="1:8">
      <c r="A150" s="9" t="s">
        <v>676</v>
      </c>
      <c r="B150" s="15" t="s">
        <v>677</v>
      </c>
      <c r="G150" s="9" t="s">
        <v>888</v>
      </c>
      <c r="H150" t="str">
        <f t="shared" si="2"/>
        <v>附魔</v>
      </c>
    </row>
    <row r="151" ht="15" spans="1:8">
      <c r="A151" s="9" t="s">
        <v>679</v>
      </c>
      <c r="B151" s="15" t="s">
        <v>680</v>
      </c>
      <c r="G151" s="9" t="s">
        <v>889</v>
      </c>
      <c r="H151" t="str">
        <f t="shared" si="2"/>
        <v>附魔</v>
      </c>
    </row>
    <row r="152" ht="15" spans="1:8">
      <c r="A152" s="9" t="s">
        <v>682</v>
      </c>
      <c r="B152" s="15" t="s">
        <v>683</v>
      </c>
      <c r="G152" s="9" t="s">
        <v>890</v>
      </c>
      <c r="H152" t="str">
        <f t="shared" si="2"/>
        <v>附魔</v>
      </c>
    </row>
    <row r="153" ht="15" spans="1:8">
      <c r="A153" s="9" t="s">
        <v>685</v>
      </c>
      <c r="B153" s="15" t="s">
        <v>686</v>
      </c>
      <c r="G153" s="9" t="s">
        <v>891</v>
      </c>
      <c r="H153" t="str">
        <f t="shared" si="2"/>
        <v>附魔</v>
      </c>
    </row>
    <row r="154" ht="15" spans="1:8">
      <c r="A154" s="9" t="s">
        <v>688</v>
      </c>
      <c r="B154" s="25" t="s">
        <v>689</v>
      </c>
      <c r="G154" s="9" t="s">
        <v>892</v>
      </c>
      <c r="H154" t="str">
        <f t="shared" si="2"/>
        <v>附魔</v>
      </c>
    </row>
    <row r="155" ht="15" spans="1:8">
      <c r="A155" s="9" t="s">
        <v>692</v>
      </c>
      <c r="B155" s="25" t="s">
        <v>693</v>
      </c>
      <c r="G155" s="9" t="s">
        <v>893</v>
      </c>
      <c r="H155" t="str">
        <f t="shared" si="2"/>
        <v>附魔</v>
      </c>
    </row>
    <row r="156" ht="15" spans="1:8">
      <c r="A156" s="9" t="s">
        <v>695</v>
      </c>
      <c r="B156" s="25" t="s">
        <v>696</v>
      </c>
      <c r="G156" s="9" t="s">
        <v>894</v>
      </c>
      <c r="H156" t="str">
        <f t="shared" si="2"/>
        <v>附魔</v>
      </c>
    </row>
    <row r="157" ht="15" spans="1:8">
      <c r="A157" s="9" t="s">
        <v>699</v>
      </c>
      <c r="B157" s="25" t="s">
        <v>700</v>
      </c>
      <c r="G157" s="11"/>
      <c r="H157" t="str">
        <f t="shared" si="2"/>
        <v/>
      </c>
    </row>
    <row r="158" ht="15" spans="1:8">
      <c r="A158" s="9" t="s">
        <v>704</v>
      </c>
      <c r="B158" s="15" t="s">
        <v>705</v>
      </c>
      <c r="G158" s="8"/>
      <c r="H158" t="str">
        <f t="shared" si="2"/>
        <v/>
      </c>
    </row>
    <row r="159" ht="15" spans="1:8">
      <c r="A159" s="9" t="s">
        <v>706</v>
      </c>
      <c r="B159" s="15" t="s">
        <v>707</v>
      </c>
      <c r="G159" s="9" t="s">
        <v>895</v>
      </c>
      <c r="H159" t="str">
        <f t="shared" si="2"/>
        <v>附魔</v>
      </c>
    </row>
    <row r="160" ht="15" spans="1:8">
      <c r="A160" s="9" t="s">
        <v>708</v>
      </c>
      <c r="B160" s="15" t="s">
        <v>709</v>
      </c>
      <c r="G160" s="9" t="s">
        <v>896</v>
      </c>
      <c r="H160" t="str">
        <f t="shared" si="2"/>
        <v>附魔</v>
      </c>
    </row>
    <row r="161" ht="15" spans="1:8">
      <c r="A161" s="9" t="s">
        <v>710</v>
      </c>
      <c r="B161" s="15" t="s">
        <v>711</v>
      </c>
      <c r="G161" s="9" t="s">
        <v>897</v>
      </c>
      <c r="H161" t="str">
        <f t="shared" si="2"/>
        <v>附魔</v>
      </c>
    </row>
    <row r="162" ht="15" spans="1:8">
      <c r="A162" s="9" t="s">
        <v>712</v>
      </c>
      <c r="B162" s="15" t="s">
        <v>713</v>
      </c>
      <c r="G162" s="9" t="s">
        <v>898</v>
      </c>
      <c r="H162" t="str">
        <f t="shared" si="2"/>
        <v>附魔</v>
      </c>
    </row>
    <row r="163" ht="15" spans="1:8">
      <c r="A163" s="9" t="s">
        <v>714</v>
      </c>
      <c r="B163" s="15" t="s">
        <v>715</v>
      </c>
      <c r="G163" s="9" t="s">
        <v>899</v>
      </c>
      <c r="H163" t="str">
        <f t="shared" si="2"/>
        <v>附魔</v>
      </c>
    </row>
    <row r="164" ht="15" spans="1:8">
      <c r="A164" s="9" t="s">
        <v>716</v>
      </c>
      <c r="B164" s="15" t="s">
        <v>717</v>
      </c>
      <c r="G164" s="9" t="s">
        <v>900</v>
      </c>
      <c r="H164" t="str">
        <f t="shared" si="2"/>
        <v>附魔</v>
      </c>
    </row>
    <row r="165" ht="15" spans="1:8">
      <c r="A165" s="9" t="s">
        <v>719</v>
      </c>
      <c r="B165" s="15" t="s">
        <v>720</v>
      </c>
      <c r="G165" s="9" t="s">
        <v>901</v>
      </c>
      <c r="H165" t="str">
        <f t="shared" si="2"/>
        <v>附魔</v>
      </c>
    </row>
    <row r="166" ht="15" spans="1:8">
      <c r="A166" s="9" t="s">
        <v>721</v>
      </c>
      <c r="B166" s="15" t="s">
        <v>722</v>
      </c>
      <c r="G166" s="9" t="s">
        <v>902</v>
      </c>
      <c r="H166" t="str">
        <f t="shared" si="2"/>
        <v>附魔</v>
      </c>
    </row>
    <row r="167" ht="15" spans="1:8">
      <c r="A167" s="9" t="s">
        <v>723</v>
      </c>
      <c r="B167" s="15" t="s">
        <v>724</v>
      </c>
      <c r="G167" s="9" t="s">
        <v>903</v>
      </c>
      <c r="H167" t="str">
        <f t="shared" si="2"/>
        <v>附魔</v>
      </c>
    </row>
    <row r="168" ht="15" spans="1:8">
      <c r="A168" s="9" t="s">
        <v>725</v>
      </c>
      <c r="B168" s="15" t="s">
        <v>726</v>
      </c>
      <c r="G168" s="9" t="s">
        <v>904</v>
      </c>
      <c r="H168" t="str">
        <f t="shared" si="2"/>
        <v>附魔</v>
      </c>
    </row>
    <row r="169" ht="15" spans="1:8">
      <c r="A169" s="9" t="s">
        <v>728</v>
      </c>
      <c r="B169" s="15" t="s">
        <v>729</v>
      </c>
      <c r="G169" s="9" t="s">
        <v>905</v>
      </c>
      <c r="H169" t="str">
        <f t="shared" si="2"/>
        <v>附魔</v>
      </c>
    </row>
    <row r="170" ht="15" spans="1:8">
      <c r="A170" s="9" t="s">
        <v>731</v>
      </c>
      <c r="B170" s="15" t="s">
        <v>732</v>
      </c>
      <c r="G170" s="9" t="s">
        <v>906</v>
      </c>
      <c r="H170" t="str">
        <f t="shared" si="2"/>
        <v>附魔</v>
      </c>
    </row>
    <row r="171" ht="15" spans="1:8">
      <c r="A171" s="9" t="s">
        <v>734</v>
      </c>
      <c r="B171" s="15" t="s">
        <v>735</v>
      </c>
      <c r="G171" s="9" t="s">
        <v>907</v>
      </c>
      <c r="H171" t="str">
        <f t="shared" si="2"/>
        <v>附魔</v>
      </c>
    </row>
    <row r="172" ht="15" spans="1:8">
      <c r="A172" s="9" t="s">
        <v>736</v>
      </c>
      <c r="B172" s="15" t="s">
        <v>737</v>
      </c>
      <c r="G172" s="9" t="s">
        <v>908</v>
      </c>
      <c r="H172" t="str">
        <f t="shared" si="2"/>
        <v>附魔</v>
      </c>
    </row>
    <row r="173" ht="15" spans="1:8">
      <c r="A173" s="9" t="s">
        <v>739</v>
      </c>
      <c r="B173" s="15" t="s">
        <v>740</v>
      </c>
      <c r="G173" s="9" t="s">
        <v>909</v>
      </c>
      <c r="H173" t="str">
        <f t="shared" si="2"/>
        <v>附魔</v>
      </c>
    </row>
    <row r="174" ht="15" spans="1:8">
      <c r="A174" s="9" t="s">
        <v>750</v>
      </c>
      <c r="B174" s="15" t="s">
        <v>751</v>
      </c>
      <c r="G174" s="9" t="s">
        <v>910</v>
      </c>
      <c r="H174" t="e">
        <f t="shared" si="2"/>
        <v>#N/A</v>
      </c>
    </row>
    <row r="175" ht="15" spans="1:2">
      <c r="A175" s="9" t="s">
        <v>762</v>
      </c>
      <c r="B175" s="15" t="s">
        <v>1282</v>
      </c>
    </row>
    <row r="176" ht="15" spans="1:2">
      <c r="A176" s="9" t="s">
        <v>765</v>
      </c>
      <c r="B176" s="15" t="s">
        <v>1283</v>
      </c>
    </row>
    <row r="177" ht="15" spans="1:2">
      <c r="A177" s="9" t="s">
        <v>768</v>
      </c>
      <c r="B177" s="15" t="s">
        <v>1284</v>
      </c>
    </row>
    <row r="178" ht="15" spans="1:2">
      <c r="A178" s="9" t="s">
        <v>780</v>
      </c>
      <c r="B178" s="15" t="s">
        <v>1285</v>
      </c>
    </row>
    <row r="179" ht="15" spans="1:2">
      <c r="A179" s="9" t="s">
        <v>784</v>
      </c>
      <c r="B179" s="15" t="s">
        <v>1286</v>
      </c>
    </row>
    <row r="180" ht="15" spans="1:2">
      <c r="A180" s="9" t="s">
        <v>788</v>
      </c>
      <c r="B180" s="15" t="s">
        <v>1287</v>
      </c>
    </row>
    <row r="181" ht="15" spans="1:2">
      <c r="A181" s="9" t="s">
        <v>792</v>
      </c>
      <c r="B181" s="25" t="s">
        <v>1288</v>
      </c>
    </row>
    <row r="182" ht="15" spans="1:2">
      <c r="A182" s="9" t="s">
        <v>795</v>
      </c>
      <c r="B182" s="26" t="s">
        <v>1289</v>
      </c>
    </row>
    <row r="183" ht="15" spans="1:2">
      <c r="A183" s="9" t="s">
        <v>798</v>
      </c>
      <c r="B183" s="26" t="s">
        <v>1290</v>
      </c>
    </row>
    <row r="184" ht="15" spans="1:2">
      <c r="A184" s="9" t="s">
        <v>801</v>
      </c>
      <c r="B184" s="15" t="s">
        <v>802</v>
      </c>
    </row>
    <row r="185" ht="15" spans="1:2">
      <c r="A185" s="9" t="s">
        <v>803</v>
      </c>
      <c r="B185" s="15" t="s">
        <v>804</v>
      </c>
    </row>
    <row r="186" ht="15" spans="1:2">
      <c r="A186" s="9" t="s">
        <v>813</v>
      </c>
      <c r="B186" s="15" t="s">
        <v>814</v>
      </c>
    </row>
    <row r="187" ht="15" spans="1:2">
      <c r="A187" s="9" t="s">
        <v>816</v>
      </c>
      <c r="B187" s="15" t="s">
        <v>817</v>
      </c>
    </row>
    <row r="188" ht="14.4" spans="1:2">
      <c r="A188" s="27" t="s">
        <v>823</v>
      </c>
      <c r="B188" s="28" t="s">
        <v>824</v>
      </c>
    </row>
    <row r="189" ht="14.4" spans="1:2">
      <c r="A189" s="27" t="s">
        <v>826</v>
      </c>
      <c r="B189" s="28" t="s">
        <v>827</v>
      </c>
    </row>
    <row r="190" ht="14.4" spans="1:2">
      <c r="A190" s="27" t="s">
        <v>829</v>
      </c>
      <c r="B190" s="28" t="s">
        <v>830</v>
      </c>
    </row>
    <row r="191" ht="14.4" spans="1:2">
      <c r="A191" s="27" t="s">
        <v>832</v>
      </c>
      <c r="B191" s="28" t="s">
        <v>833</v>
      </c>
    </row>
    <row r="192" ht="14.4" spans="1:2">
      <c r="A192" s="27" t="s">
        <v>835</v>
      </c>
      <c r="B192" s="28" t="s">
        <v>836</v>
      </c>
    </row>
    <row r="193" ht="14.4" spans="1:2">
      <c r="A193" s="27" t="s">
        <v>838</v>
      </c>
      <c r="B193" s="28" t="s">
        <v>839</v>
      </c>
    </row>
    <row r="194" ht="14.4" spans="1:2">
      <c r="A194" s="27" t="s">
        <v>841</v>
      </c>
      <c r="B194" s="28" t="s">
        <v>842</v>
      </c>
    </row>
    <row r="195" ht="14.4" spans="1:2">
      <c r="A195" s="27" t="s">
        <v>844</v>
      </c>
      <c r="B195" s="28" t="s">
        <v>845</v>
      </c>
    </row>
    <row r="196" ht="14.4" spans="1:2">
      <c r="A196" s="27" t="s">
        <v>847</v>
      </c>
      <c r="B196" s="28" t="s">
        <v>848</v>
      </c>
    </row>
    <row r="197" ht="14.4" spans="1:2">
      <c r="A197" s="27" t="s">
        <v>1291</v>
      </c>
      <c r="B197" s="28" t="str">
        <f>"已领取"&amp;B188</f>
        <v>已领取公众号礼包</v>
      </c>
    </row>
    <row r="198" ht="14.4" spans="1:2">
      <c r="A198" s="27" t="s">
        <v>1292</v>
      </c>
      <c r="B198" s="28" t="str">
        <f t="shared" ref="B198:B205" si="3">"已领取"&amp;B189</f>
        <v>已领取入群礼包</v>
      </c>
    </row>
    <row r="199" ht="14.4" spans="1:2">
      <c r="A199" s="27" t="s">
        <v>1293</v>
      </c>
      <c r="B199" s="28" t="str">
        <f t="shared" si="3"/>
        <v>已领取拜年礼包</v>
      </c>
    </row>
    <row r="200" ht="14.4" spans="1:2">
      <c r="A200" s="27" t="s">
        <v>1294</v>
      </c>
      <c r="B200" s="28" t="str">
        <f t="shared" si="3"/>
        <v>已领取收藏礼包</v>
      </c>
    </row>
    <row r="201" ht="14.4" spans="1:2">
      <c r="A201" s="27" t="s">
        <v>1295</v>
      </c>
      <c r="B201" s="28" t="str">
        <f t="shared" si="3"/>
        <v>已领取重置版礼包</v>
      </c>
    </row>
    <row r="202" ht="14.4" spans="1:2">
      <c r="A202" s="27" t="s">
        <v>1296</v>
      </c>
      <c r="B202" s="28" t="str">
        <f t="shared" si="3"/>
        <v>已领取公会福利</v>
      </c>
    </row>
    <row r="203" ht="14.4" spans="1:2">
      <c r="A203" s="27" t="s">
        <v>1297</v>
      </c>
      <c r="B203" s="28" t="str">
        <f t="shared" si="3"/>
        <v>已领取星耀礼包</v>
      </c>
    </row>
    <row r="204" ht="14.4" spans="1:2">
      <c r="A204" s="27" t="s">
        <v>1298</v>
      </c>
      <c r="B204" s="28" t="str">
        <f t="shared" si="3"/>
        <v>已领取魔芝RPG礼包</v>
      </c>
    </row>
    <row r="205" ht="14.4" spans="1:2">
      <c r="A205" s="27" t="s">
        <v>1299</v>
      </c>
      <c r="B205" s="28" t="str">
        <f t="shared" si="3"/>
        <v>已领取老铁礼包</v>
      </c>
    </row>
    <row r="206" spans="1:2">
      <c r="A206" s="27" t="s">
        <v>878</v>
      </c>
      <c r="B206" s="29" t="s">
        <v>879</v>
      </c>
    </row>
    <row r="207" spans="1:2">
      <c r="A207" s="27" t="s">
        <v>880</v>
      </c>
      <c r="B207" s="29" t="s">
        <v>879</v>
      </c>
    </row>
    <row r="208" spans="1:2">
      <c r="A208" s="27" t="s">
        <v>881</v>
      </c>
      <c r="B208" s="29" t="s">
        <v>879</v>
      </c>
    </row>
    <row r="209" spans="1:2">
      <c r="A209" s="27" t="s">
        <v>882</v>
      </c>
      <c r="B209" s="29" t="s">
        <v>879</v>
      </c>
    </row>
    <row r="210" spans="1:2">
      <c r="A210" s="27" t="s">
        <v>883</v>
      </c>
      <c r="B210" s="29" t="s">
        <v>879</v>
      </c>
    </row>
    <row r="211" spans="1:2">
      <c r="A211" s="27" t="s">
        <v>884</v>
      </c>
      <c r="B211" s="29" t="s">
        <v>879</v>
      </c>
    </row>
    <row r="212" spans="1:2">
      <c r="A212" s="27" t="s">
        <v>885</v>
      </c>
      <c r="B212" s="29" t="s">
        <v>879</v>
      </c>
    </row>
    <row r="213" spans="1:2">
      <c r="A213" s="27" t="s">
        <v>886</v>
      </c>
      <c r="B213" s="29" t="s">
        <v>879</v>
      </c>
    </row>
    <row r="214" spans="1:2">
      <c r="A214" s="27" t="s">
        <v>887</v>
      </c>
      <c r="B214" s="29" t="s">
        <v>879</v>
      </c>
    </row>
    <row r="215" spans="1:2">
      <c r="A215" s="27" t="s">
        <v>888</v>
      </c>
      <c r="B215" s="29" t="s">
        <v>879</v>
      </c>
    </row>
    <row r="216" spans="1:2">
      <c r="A216" s="27" t="s">
        <v>889</v>
      </c>
      <c r="B216" s="29" t="s">
        <v>879</v>
      </c>
    </row>
    <row r="217" spans="1:2">
      <c r="A217" s="27" t="s">
        <v>890</v>
      </c>
      <c r="B217" s="29" t="s">
        <v>879</v>
      </c>
    </row>
    <row r="218" spans="1:2">
      <c r="A218" s="27" t="s">
        <v>891</v>
      </c>
      <c r="B218" s="29" t="s">
        <v>879</v>
      </c>
    </row>
    <row r="219" spans="1:2">
      <c r="A219" s="27" t="s">
        <v>892</v>
      </c>
      <c r="B219" s="29" t="s">
        <v>879</v>
      </c>
    </row>
    <row r="220" spans="1:2">
      <c r="A220" s="27" t="s">
        <v>893</v>
      </c>
      <c r="B220" s="29" t="s">
        <v>879</v>
      </c>
    </row>
    <row r="221" spans="1:2">
      <c r="A221" s="27" t="s">
        <v>894</v>
      </c>
      <c r="B221" s="29" t="s">
        <v>879</v>
      </c>
    </row>
    <row r="222" spans="1:2">
      <c r="A222" s="27" t="s">
        <v>895</v>
      </c>
      <c r="B222" s="29" t="s">
        <v>879</v>
      </c>
    </row>
    <row r="223" spans="1:2">
      <c r="A223" s="27" t="s">
        <v>896</v>
      </c>
      <c r="B223" s="29" t="s">
        <v>879</v>
      </c>
    </row>
    <row r="224" spans="1:2">
      <c r="A224" s="27" t="s">
        <v>897</v>
      </c>
      <c r="B224" s="29" t="s">
        <v>879</v>
      </c>
    </row>
    <row r="225" spans="1:2">
      <c r="A225" s="27" t="s">
        <v>898</v>
      </c>
      <c r="B225" s="29" t="s">
        <v>879</v>
      </c>
    </row>
    <row r="226" spans="1:2">
      <c r="A226" s="27" t="s">
        <v>899</v>
      </c>
      <c r="B226" s="29" t="s">
        <v>879</v>
      </c>
    </row>
    <row r="227" spans="1:2">
      <c r="A227" s="27" t="s">
        <v>900</v>
      </c>
      <c r="B227" s="29" t="s">
        <v>879</v>
      </c>
    </row>
    <row r="228" spans="1:2">
      <c r="A228" s="27" t="s">
        <v>901</v>
      </c>
      <c r="B228" s="29" t="s">
        <v>879</v>
      </c>
    </row>
    <row r="229" spans="1:2">
      <c r="A229" s="27" t="s">
        <v>902</v>
      </c>
      <c r="B229" s="29" t="s">
        <v>879</v>
      </c>
    </row>
    <row r="230" spans="1:2">
      <c r="A230" s="27" t="s">
        <v>903</v>
      </c>
      <c r="B230" s="29" t="s">
        <v>879</v>
      </c>
    </row>
    <row r="231" spans="1:2">
      <c r="A231" s="27" t="s">
        <v>904</v>
      </c>
      <c r="B231" s="29" t="s">
        <v>879</v>
      </c>
    </row>
    <row r="232" spans="1:2">
      <c r="A232" s="27" t="s">
        <v>905</v>
      </c>
      <c r="B232" s="29" t="s">
        <v>879</v>
      </c>
    </row>
    <row r="233" spans="1:2">
      <c r="A233" s="27" t="s">
        <v>906</v>
      </c>
      <c r="B233" s="29" t="s">
        <v>879</v>
      </c>
    </row>
    <row r="234" spans="1:2">
      <c r="A234" s="27" t="s">
        <v>907</v>
      </c>
      <c r="B234" s="29" t="s">
        <v>879</v>
      </c>
    </row>
    <row r="235" spans="1:2">
      <c r="A235" s="27" t="s">
        <v>908</v>
      </c>
      <c r="B235" s="29" t="s">
        <v>879</v>
      </c>
    </row>
    <row r="236" spans="1:2">
      <c r="A236" s="27" t="s">
        <v>909</v>
      </c>
      <c r="B236" s="29" t="s">
        <v>879</v>
      </c>
    </row>
    <row r="237" ht="15" spans="1:2">
      <c r="A237" s="9" t="s">
        <v>911</v>
      </c>
      <c r="B237" s="9" t="s">
        <v>912</v>
      </c>
    </row>
    <row r="238" ht="15" spans="1:2">
      <c r="A238" s="9" t="s">
        <v>913</v>
      </c>
      <c r="B238" s="9" t="s">
        <v>914</v>
      </c>
    </row>
    <row r="239" ht="15" spans="1:2">
      <c r="A239" s="9" t="s">
        <v>915</v>
      </c>
      <c r="B239" s="9" t="s">
        <v>127</v>
      </c>
    </row>
    <row r="240" ht="15" spans="1:2">
      <c r="A240" s="9" t="s">
        <v>916</v>
      </c>
      <c r="B240" s="9" t="s">
        <v>917</v>
      </c>
    </row>
    <row r="241" ht="15" spans="1:2">
      <c r="A241" s="9" t="s">
        <v>918</v>
      </c>
      <c r="B241" s="9" t="s">
        <v>919</v>
      </c>
    </row>
    <row r="242" ht="15" spans="1:2">
      <c r="A242" s="9" t="s">
        <v>920</v>
      </c>
      <c r="B242" s="9" t="s">
        <v>921</v>
      </c>
    </row>
    <row r="243" ht="15" spans="1:2">
      <c r="A243" s="9" t="s">
        <v>922</v>
      </c>
      <c r="B243" s="9" t="s">
        <v>923</v>
      </c>
    </row>
    <row r="244" ht="15" spans="1:2">
      <c r="A244" s="9" t="s">
        <v>924</v>
      </c>
      <c r="B244" s="9" t="s">
        <v>925</v>
      </c>
    </row>
    <row r="245" ht="15" spans="1:2">
      <c r="A245" s="9" t="s">
        <v>926</v>
      </c>
      <c r="B245" s="9" t="s">
        <v>927</v>
      </c>
    </row>
    <row r="246" ht="15" spans="1:2">
      <c r="A246" s="9" t="s">
        <v>928</v>
      </c>
      <c r="B246" s="9" t="s">
        <v>929</v>
      </c>
    </row>
    <row r="247" ht="15" spans="1:2">
      <c r="A247" s="9" t="s">
        <v>930</v>
      </c>
      <c r="B247" s="9" t="s">
        <v>931</v>
      </c>
    </row>
    <row r="248" ht="15" spans="1:2">
      <c r="A248" s="9" t="s">
        <v>932</v>
      </c>
      <c r="B248" s="9" t="s">
        <v>933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ASUS</cp:lastModifiedBy>
  <dcterms:created xsi:type="dcterms:W3CDTF">2015-06-05T18:19:00Z</dcterms:created>
  <dcterms:modified xsi:type="dcterms:W3CDTF">2020-04-07T05:30:12Z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